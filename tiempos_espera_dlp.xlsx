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'Datos'!$A$1:$H$29513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IFERROR(ROUND(AVERAGEIFS(Datos!$G$2:$G$29513,Datos!$E$2:$E$29513,$A5,Datos!$D$2:$D$29513,$B5,Datos!$F$2:$F$29513,"STANDBY"),1),"")</f>
        <v/>
      </c>
      <c r="D5" s="5">
        <f>IFERROR(_xlfn.MAXIFS(Datos!$G$2:$G$29513,Datos!$E$2:$E$29513,$A5,Datos!$D$2:$D$29513,$B5,Datos!$F$2:$F$29513,"STANDBY"),"")</f>
        <v/>
      </c>
      <c r="E5" s="5">
        <f>IFERROR(_xlfn.MINIFS(Datos!$G$2:$G$29513,Datos!$E$2:$E$29513,$A5,Datos!$D$2:$D$29513,$B5,Datos!$F$2:$F$29513,"STANDBY"),"")</f>
        <v/>
      </c>
      <c r="F5" s="5">
        <f>IFERROR(ROUND(AVERAGEIFS(Datos!$G$2:$G$29513,Datos!$E$2:$E$29513,$A5,Datos!$D$2:$D$29513,$B5,Datos!$F$2:$F$29513,"SINGLE_RIDER"),1),"")</f>
        <v/>
      </c>
      <c r="G5" s="5">
        <f>COUNTIFS(Datos!$E$2:$E$29513,$A5,Datos!$D$2:$D$29513,$B5,Datos!$F$2:$F$29513,"STANDBY")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IFERROR(ROUND(AVERAGEIFS(Datos!$G$2:$G$29513,Datos!$E$2:$E$29513,$A6,Datos!$D$2:$D$29513,$B6,Datos!$F$2:$F$29513,"STANDBY"),1),"")</f>
        <v/>
      </c>
      <c r="D6" s="7">
        <f>IFERROR(_xlfn.MAXIFS(Datos!$G$2:$G$29513,Datos!$E$2:$E$29513,$A6,Datos!$D$2:$D$29513,$B6,Datos!$F$2:$F$29513,"STANDBY"),"")</f>
        <v/>
      </c>
      <c r="E6" s="7">
        <f>IFERROR(_xlfn.MINIFS(Datos!$G$2:$G$29513,Datos!$E$2:$E$29513,$A6,Datos!$D$2:$D$29513,$B6,Datos!$F$2:$F$29513,"STANDBY"),"")</f>
        <v/>
      </c>
      <c r="F6" s="7">
        <f>IFERROR(ROUND(AVERAGEIFS(Datos!$G$2:$G$29513,Datos!$E$2:$E$29513,$A6,Datos!$D$2:$D$29513,$B6,Datos!$F$2:$F$29513,"SINGLE_RIDER"),1),"")</f>
        <v/>
      </c>
      <c r="G6" s="7">
        <f>COUNTIFS(Datos!$E$2:$E$29513,$A6,Datos!$D$2:$D$29513,$B6,Datos!$F$2:$F$29513,"STANDBY")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IFERROR(ROUND(AVERAGEIFS(Datos!$G$2:$G$29513,Datos!$E$2:$E$29513,$A7,Datos!$D$2:$D$29513,$B7,Datos!$F$2:$F$29513,"STANDBY"),1),"")</f>
        <v/>
      </c>
      <c r="D7" s="5">
        <f>IFERROR(_xlfn.MAXIFS(Datos!$G$2:$G$29513,Datos!$E$2:$E$29513,$A7,Datos!$D$2:$D$29513,$B7,Datos!$F$2:$F$29513,"STANDBY"),"")</f>
        <v/>
      </c>
      <c r="E7" s="5">
        <f>IFERROR(_xlfn.MINIFS(Datos!$G$2:$G$29513,Datos!$E$2:$E$29513,$A7,Datos!$D$2:$D$29513,$B7,Datos!$F$2:$F$29513,"STANDBY"),"")</f>
        <v/>
      </c>
      <c r="F7" s="5">
        <f>IFERROR(ROUND(AVERAGEIFS(Datos!$G$2:$G$29513,Datos!$E$2:$E$29513,$A7,Datos!$D$2:$D$29513,$B7,Datos!$F$2:$F$29513,"SINGLE_RIDER"),1),"")</f>
        <v/>
      </c>
      <c r="G7" s="5">
        <f>COUNTIFS(Datos!$E$2:$E$29513,$A7,Datos!$D$2:$D$29513,$B7,Datos!$F$2:$F$29513,"STANDBY")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IFERROR(ROUND(AVERAGEIFS(Datos!$G$2:$G$29513,Datos!$E$2:$E$29513,$A8,Datos!$D$2:$D$29513,$B8,Datos!$F$2:$F$29513,"STANDBY"),1),"")</f>
        <v/>
      </c>
      <c r="D8" s="7">
        <f>IFERROR(_xlfn.MAXIFS(Datos!$G$2:$G$29513,Datos!$E$2:$E$29513,$A8,Datos!$D$2:$D$29513,$B8,Datos!$F$2:$F$29513,"STANDBY"),"")</f>
        <v/>
      </c>
      <c r="E8" s="7">
        <f>IFERROR(_xlfn.MINIFS(Datos!$G$2:$G$29513,Datos!$E$2:$E$29513,$A8,Datos!$D$2:$D$29513,$B8,Datos!$F$2:$F$29513,"STANDBY"),"")</f>
        <v/>
      </c>
      <c r="F8" s="7">
        <f>IFERROR(ROUND(AVERAGEIFS(Datos!$G$2:$G$29513,Datos!$E$2:$E$29513,$A8,Datos!$D$2:$D$29513,$B8,Datos!$F$2:$F$29513,"SINGLE_RIDER"),1),"")</f>
        <v/>
      </c>
      <c r="G8" s="7">
        <f>COUNTIFS(Datos!$E$2:$E$29513,$A8,Datos!$D$2:$D$29513,$B8,Datos!$F$2:$F$29513,"STANDBY")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IFERROR(ROUND(AVERAGEIFS(Datos!$G$2:$G$29513,Datos!$E$2:$E$29513,$A9,Datos!$D$2:$D$29513,$B9,Datos!$F$2:$F$29513,"STANDBY"),1),"")</f>
        <v/>
      </c>
      <c r="D9" s="5">
        <f>IFERROR(_xlfn.MAXIFS(Datos!$G$2:$G$29513,Datos!$E$2:$E$29513,$A9,Datos!$D$2:$D$29513,$B9,Datos!$F$2:$F$29513,"STANDBY"),"")</f>
        <v/>
      </c>
      <c r="E9" s="5">
        <f>IFERROR(_xlfn.MINIFS(Datos!$G$2:$G$29513,Datos!$E$2:$E$29513,$A9,Datos!$D$2:$D$29513,$B9,Datos!$F$2:$F$29513,"STANDBY"),"")</f>
        <v/>
      </c>
      <c r="F9" s="5">
        <f>IFERROR(ROUND(AVERAGEIFS(Datos!$G$2:$G$29513,Datos!$E$2:$E$29513,$A9,Datos!$D$2:$D$29513,$B9,Datos!$F$2:$F$29513,"SINGLE_RIDER"),1),"")</f>
        <v/>
      </c>
      <c r="G9" s="5">
        <f>COUNTIFS(Datos!$E$2:$E$29513,$A9,Datos!$D$2:$D$29513,$B9,Datos!$F$2:$F$29513,"STANDBY")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IFERROR(ROUND(AVERAGEIFS(Datos!$G$2:$G$29513,Datos!$E$2:$E$29513,$A10,Datos!$D$2:$D$29513,$B10,Datos!$F$2:$F$29513,"STANDBY"),1),"")</f>
        <v/>
      </c>
      <c r="D10" s="7">
        <f>IFERROR(_xlfn.MAXIFS(Datos!$G$2:$G$29513,Datos!$E$2:$E$29513,$A10,Datos!$D$2:$D$29513,$B10,Datos!$F$2:$F$29513,"STANDBY"),"")</f>
        <v/>
      </c>
      <c r="E10" s="7">
        <f>IFERROR(_xlfn.MINIFS(Datos!$G$2:$G$29513,Datos!$E$2:$E$29513,$A10,Datos!$D$2:$D$29513,$B10,Datos!$F$2:$F$29513,"STANDBY"),"")</f>
        <v/>
      </c>
      <c r="F10" s="7">
        <f>IFERROR(ROUND(AVERAGEIFS(Datos!$G$2:$G$29513,Datos!$E$2:$E$29513,$A10,Datos!$D$2:$D$29513,$B10,Datos!$F$2:$F$29513,"SINGLE_RIDER"),1),"")</f>
        <v/>
      </c>
      <c r="G10" s="7">
        <f>COUNTIFS(Datos!$E$2:$E$29513,$A10,Datos!$D$2:$D$29513,$B10,Datos!$F$2:$F$29513,"STANDBY")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IFERROR(ROUND(AVERAGEIFS(Datos!$G$2:$G$29513,Datos!$E$2:$E$29513,$A11,Datos!$D$2:$D$29513,$B11,Datos!$F$2:$F$29513,"STANDBY"),1),"")</f>
        <v/>
      </c>
      <c r="D11" s="5">
        <f>IFERROR(_xlfn.MAXIFS(Datos!$G$2:$G$29513,Datos!$E$2:$E$29513,$A11,Datos!$D$2:$D$29513,$B11,Datos!$F$2:$F$29513,"STANDBY"),"")</f>
        <v/>
      </c>
      <c r="E11" s="5">
        <f>IFERROR(_xlfn.MINIFS(Datos!$G$2:$G$29513,Datos!$E$2:$E$29513,$A11,Datos!$D$2:$D$29513,$B11,Datos!$F$2:$F$29513,"STANDBY"),"")</f>
        <v/>
      </c>
      <c r="F11" s="5">
        <f>IFERROR(ROUND(AVERAGEIFS(Datos!$G$2:$G$29513,Datos!$E$2:$E$29513,$A11,Datos!$D$2:$D$29513,$B11,Datos!$F$2:$F$29513,"SINGLE_RIDER"),1),"")</f>
        <v/>
      </c>
      <c r="G11" s="5">
        <f>COUNTIFS(Datos!$E$2:$E$29513,$A11,Datos!$D$2:$D$29513,$B11,Datos!$F$2:$F$29513,"STANDBY")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IFERROR(ROUND(AVERAGEIFS(Datos!$G$2:$G$29513,Datos!$E$2:$E$29513,$A12,Datos!$D$2:$D$29513,$B12,Datos!$F$2:$F$29513,"STANDBY"),1),"")</f>
        <v/>
      </c>
      <c r="D12" s="7">
        <f>IFERROR(_xlfn.MAXIFS(Datos!$G$2:$G$29513,Datos!$E$2:$E$29513,$A12,Datos!$D$2:$D$29513,$B12,Datos!$F$2:$F$29513,"STANDBY"),"")</f>
        <v/>
      </c>
      <c r="E12" s="7">
        <f>IFERROR(_xlfn.MINIFS(Datos!$G$2:$G$29513,Datos!$E$2:$E$29513,$A12,Datos!$D$2:$D$29513,$B12,Datos!$F$2:$F$29513,"STANDBY"),"")</f>
        <v/>
      </c>
      <c r="F12" s="7">
        <f>IFERROR(ROUND(AVERAGEIFS(Datos!$G$2:$G$29513,Datos!$E$2:$E$29513,$A12,Datos!$D$2:$D$29513,$B12,Datos!$F$2:$F$29513,"SINGLE_RIDER"),1),"")</f>
        <v/>
      </c>
      <c r="G12" s="7">
        <f>COUNTIFS(Datos!$E$2:$E$29513,$A12,Datos!$D$2:$D$29513,$B12,Datos!$F$2:$F$29513,"STANDBY")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IFERROR(ROUND(AVERAGEIFS(Datos!$G$2:$G$29513,Datos!$E$2:$E$29513,$A13,Datos!$D$2:$D$29513,$B13,Datos!$F$2:$F$29513,"STANDBY"),1),"")</f>
        <v/>
      </c>
      <c r="D13" s="5">
        <f>IFERROR(_xlfn.MAXIFS(Datos!$G$2:$G$29513,Datos!$E$2:$E$29513,$A13,Datos!$D$2:$D$29513,$B13,Datos!$F$2:$F$29513,"STANDBY"),"")</f>
        <v/>
      </c>
      <c r="E13" s="5">
        <f>IFERROR(_xlfn.MINIFS(Datos!$G$2:$G$29513,Datos!$E$2:$E$29513,$A13,Datos!$D$2:$D$29513,$B13,Datos!$F$2:$F$29513,"STANDBY"),"")</f>
        <v/>
      </c>
      <c r="F13" s="5">
        <f>IFERROR(ROUND(AVERAGEIFS(Datos!$G$2:$G$29513,Datos!$E$2:$E$29513,$A13,Datos!$D$2:$D$29513,$B13,Datos!$F$2:$F$29513,"SINGLE_RIDER"),1),"")</f>
        <v/>
      </c>
      <c r="G13" s="5">
        <f>COUNTIFS(Datos!$E$2:$E$29513,$A13,Datos!$D$2:$D$29513,$B13,Datos!$F$2:$F$29513,"STANDBY")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IFERROR(ROUND(AVERAGEIFS(Datos!$G$2:$G$29513,Datos!$E$2:$E$29513,$A14,Datos!$D$2:$D$29513,$B14,Datos!$F$2:$F$29513,"STANDBY"),1),"")</f>
        <v/>
      </c>
      <c r="D14" s="7">
        <f>IFERROR(_xlfn.MAXIFS(Datos!$G$2:$G$29513,Datos!$E$2:$E$29513,$A14,Datos!$D$2:$D$29513,$B14,Datos!$F$2:$F$29513,"STANDBY"),"")</f>
        <v/>
      </c>
      <c r="E14" s="7">
        <f>IFERROR(_xlfn.MINIFS(Datos!$G$2:$G$29513,Datos!$E$2:$E$29513,$A14,Datos!$D$2:$D$29513,$B14,Datos!$F$2:$F$29513,"STANDBY"),"")</f>
        <v/>
      </c>
      <c r="F14" s="7">
        <f>IFERROR(ROUND(AVERAGEIFS(Datos!$G$2:$G$29513,Datos!$E$2:$E$29513,$A14,Datos!$D$2:$D$29513,$B14,Datos!$F$2:$F$29513,"SINGLE_RIDER"),1),"")</f>
        <v/>
      </c>
      <c r="G14" s="7">
        <f>COUNTIFS(Datos!$E$2:$E$29513,$A14,Datos!$D$2:$D$29513,$B14,Datos!$F$2:$F$29513,"STANDBY")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IFERROR(ROUND(AVERAGEIFS(Datos!$G$2:$G$29513,Datos!$E$2:$E$29513,$A15,Datos!$D$2:$D$29513,$B15,Datos!$F$2:$F$29513,"STANDBY"),1),"")</f>
        <v/>
      </c>
      <c r="D15" s="5">
        <f>IFERROR(_xlfn.MAXIFS(Datos!$G$2:$G$29513,Datos!$E$2:$E$29513,$A15,Datos!$D$2:$D$29513,$B15,Datos!$F$2:$F$29513,"STANDBY"),"")</f>
        <v/>
      </c>
      <c r="E15" s="5">
        <f>IFERROR(_xlfn.MINIFS(Datos!$G$2:$G$29513,Datos!$E$2:$E$29513,$A15,Datos!$D$2:$D$29513,$B15,Datos!$F$2:$F$29513,"STANDBY"),"")</f>
        <v/>
      </c>
      <c r="F15" s="5">
        <f>IFERROR(ROUND(AVERAGEIFS(Datos!$G$2:$G$29513,Datos!$E$2:$E$29513,$A15,Datos!$D$2:$D$29513,$B15,Datos!$F$2:$F$29513,"SINGLE_RIDER"),1),"")</f>
        <v/>
      </c>
      <c r="G15" s="5">
        <f>COUNTIFS(Datos!$E$2:$E$29513,$A15,Datos!$D$2:$D$29513,$B15,Datos!$F$2:$F$29513,"STANDBY")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IFERROR(ROUND(AVERAGEIFS(Datos!$G$2:$G$29513,Datos!$E$2:$E$29513,$A16,Datos!$D$2:$D$29513,$B16,Datos!$F$2:$F$29513,"STANDBY"),1),"")</f>
        <v/>
      </c>
      <c r="D16" s="7">
        <f>IFERROR(_xlfn.MAXIFS(Datos!$G$2:$G$29513,Datos!$E$2:$E$29513,$A16,Datos!$D$2:$D$29513,$B16,Datos!$F$2:$F$29513,"STANDBY"),"")</f>
        <v/>
      </c>
      <c r="E16" s="7">
        <f>IFERROR(_xlfn.MINIFS(Datos!$G$2:$G$29513,Datos!$E$2:$E$29513,$A16,Datos!$D$2:$D$29513,$B16,Datos!$F$2:$F$29513,"STANDBY"),"")</f>
        <v/>
      </c>
      <c r="F16" s="7">
        <f>IFERROR(ROUND(AVERAGEIFS(Datos!$G$2:$G$29513,Datos!$E$2:$E$29513,$A16,Datos!$D$2:$D$29513,$B16,Datos!$F$2:$F$29513,"SINGLE_RIDER"),1),"")</f>
        <v/>
      </c>
      <c r="G16" s="7">
        <f>COUNTIFS(Datos!$E$2:$E$29513,$A16,Datos!$D$2:$D$29513,$B16,Datos!$F$2:$F$29513,"STANDBY")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IFERROR(ROUND(AVERAGEIFS(Datos!$G$2:$G$29513,Datos!$E$2:$E$29513,$A17,Datos!$D$2:$D$29513,$B17,Datos!$F$2:$F$29513,"STANDBY"),1),"")</f>
        <v/>
      </c>
      <c r="D17" s="5">
        <f>IFERROR(_xlfn.MAXIFS(Datos!$G$2:$G$29513,Datos!$E$2:$E$29513,$A17,Datos!$D$2:$D$29513,$B17,Datos!$F$2:$F$29513,"STANDBY"),"")</f>
        <v/>
      </c>
      <c r="E17" s="5">
        <f>IFERROR(_xlfn.MINIFS(Datos!$G$2:$G$29513,Datos!$E$2:$E$29513,$A17,Datos!$D$2:$D$29513,$B17,Datos!$F$2:$F$29513,"STANDBY"),"")</f>
        <v/>
      </c>
      <c r="F17" s="5">
        <f>IFERROR(ROUND(AVERAGEIFS(Datos!$G$2:$G$29513,Datos!$E$2:$E$29513,$A17,Datos!$D$2:$D$29513,$B17,Datos!$F$2:$F$29513,"SINGLE_RIDER"),1),"")</f>
        <v/>
      </c>
      <c r="G17" s="5">
        <f>COUNTIFS(Datos!$E$2:$E$29513,$A17,Datos!$D$2:$D$29513,$B17,Datos!$F$2:$F$29513,"STANDBY")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IFERROR(ROUND(AVERAGEIFS(Datos!$G$2:$G$29513,Datos!$E$2:$E$29513,$A18,Datos!$D$2:$D$29513,$B18,Datos!$F$2:$F$29513,"STANDBY"),1),"")</f>
        <v/>
      </c>
      <c r="D18" s="7">
        <f>IFERROR(_xlfn.MAXIFS(Datos!$G$2:$G$29513,Datos!$E$2:$E$29513,$A18,Datos!$D$2:$D$29513,$B18,Datos!$F$2:$F$29513,"STANDBY"),"")</f>
        <v/>
      </c>
      <c r="E18" s="7">
        <f>IFERROR(_xlfn.MINIFS(Datos!$G$2:$G$29513,Datos!$E$2:$E$29513,$A18,Datos!$D$2:$D$29513,$B18,Datos!$F$2:$F$29513,"STANDBY"),"")</f>
        <v/>
      </c>
      <c r="F18" s="7">
        <f>IFERROR(ROUND(AVERAGEIFS(Datos!$G$2:$G$29513,Datos!$E$2:$E$29513,$A18,Datos!$D$2:$D$29513,$B18,Datos!$F$2:$F$29513,"SINGLE_RIDER"),1),"")</f>
        <v/>
      </c>
      <c r="G18" s="7">
        <f>COUNTIFS(Datos!$E$2:$E$29513,$A18,Datos!$D$2:$D$29513,$B18,Datos!$F$2:$F$29513,"STANDBY")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IFERROR(ROUND(AVERAGEIFS(Datos!$G$2:$G$29513,Datos!$E$2:$E$29513,$A19,Datos!$D$2:$D$29513,$B19,Datos!$F$2:$F$29513,"STANDBY"),1),"")</f>
        <v/>
      </c>
      <c r="D19" s="5">
        <f>IFERROR(_xlfn.MAXIFS(Datos!$G$2:$G$29513,Datos!$E$2:$E$29513,$A19,Datos!$D$2:$D$29513,$B19,Datos!$F$2:$F$29513,"STANDBY"),"")</f>
        <v/>
      </c>
      <c r="E19" s="5">
        <f>IFERROR(_xlfn.MINIFS(Datos!$G$2:$G$29513,Datos!$E$2:$E$29513,$A19,Datos!$D$2:$D$29513,$B19,Datos!$F$2:$F$29513,"STANDBY"),"")</f>
        <v/>
      </c>
      <c r="F19" s="5">
        <f>IFERROR(ROUND(AVERAGEIFS(Datos!$G$2:$G$29513,Datos!$E$2:$E$29513,$A19,Datos!$D$2:$D$29513,$B19,Datos!$F$2:$F$29513,"SINGLE_RIDER"),1),"")</f>
        <v/>
      </c>
      <c r="G19" s="5">
        <f>COUNTIFS(Datos!$E$2:$E$29513,$A19,Datos!$D$2:$D$29513,$B19,Datos!$F$2:$F$29513,"STANDBY")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IFERROR(ROUND(AVERAGEIFS(Datos!$G$2:$G$29513,Datos!$E$2:$E$29513,$A20,Datos!$D$2:$D$29513,$B20,Datos!$F$2:$F$29513,"STANDBY"),1),"")</f>
        <v/>
      </c>
      <c r="D20" s="7">
        <f>IFERROR(_xlfn.MAXIFS(Datos!$G$2:$G$29513,Datos!$E$2:$E$29513,$A20,Datos!$D$2:$D$29513,$B20,Datos!$F$2:$F$29513,"STANDBY"),"")</f>
        <v/>
      </c>
      <c r="E20" s="7">
        <f>IFERROR(_xlfn.MINIFS(Datos!$G$2:$G$29513,Datos!$E$2:$E$29513,$A20,Datos!$D$2:$D$29513,$B20,Datos!$F$2:$F$29513,"STANDBY"),"")</f>
        <v/>
      </c>
      <c r="F20" s="7">
        <f>IFERROR(ROUND(AVERAGEIFS(Datos!$G$2:$G$29513,Datos!$E$2:$E$29513,$A20,Datos!$D$2:$D$29513,$B20,Datos!$F$2:$F$29513,"SINGLE_RIDER"),1),"")</f>
        <v/>
      </c>
      <c r="G20" s="7">
        <f>COUNTIFS(Datos!$E$2:$E$29513,$A20,Datos!$D$2:$D$29513,$B20,Datos!$F$2:$F$29513,"STANDBY")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IFERROR(ROUND(AVERAGEIFS(Datos!$G$2:$G$29513,Datos!$E$2:$E$29513,$A21,Datos!$D$2:$D$29513,$B21,Datos!$F$2:$F$29513,"STANDBY"),1),"")</f>
        <v/>
      </c>
      <c r="D21" s="5">
        <f>IFERROR(_xlfn.MAXIFS(Datos!$G$2:$G$29513,Datos!$E$2:$E$29513,$A21,Datos!$D$2:$D$29513,$B21,Datos!$F$2:$F$29513,"STANDBY"),"")</f>
        <v/>
      </c>
      <c r="E21" s="5">
        <f>IFERROR(_xlfn.MINIFS(Datos!$G$2:$G$29513,Datos!$E$2:$E$29513,$A21,Datos!$D$2:$D$29513,$B21,Datos!$F$2:$F$29513,"STANDBY"),"")</f>
        <v/>
      </c>
      <c r="F21" s="5">
        <f>IFERROR(ROUND(AVERAGEIFS(Datos!$G$2:$G$29513,Datos!$E$2:$E$29513,$A21,Datos!$D$2:$D$29513,$B21,Datos!$F$2:$F$29513,"SINGLE_RIDER"),1),"")</f>
        <v/>
      </c>
      <c r="G21" s="5">
        <f>COUNTIFS(Datos!$E$2:$E$29513,$A21,Datos!$D$2:$D$29513,$B21,Datos!$F$2:$F$29513,"STANDBY")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IFERROR(ROUND(AVERAGEIFS(Datos!$G$2:$G$29513,Datos!$E$2:$E$29513,$A22,Datos!$D$2:$D$29513,$B22,Datos!$F$2:$F$29513,"STANDBY"),1),"")</f>
        <v/>
      </c>
      <c r="D22" s="7">
        <f>IFERROR(_xlfn.MAXIFS(Datos!$G$2:$G$29513,Datos!$E$2:$E$29513,$A22,Datos!$D$2:$D$29513,$B22,Datos!$F$2:$F$29513,"STANDBY"),"")</f>
        <v/>
      </c>
      <c r="E22" s="7">
        <f>IFERROR(_xlfn.MINIFS(Datos!$G$2:$G$29513,Datos!$E$2:$E$29513,$A22,Datos!$D$2:$D$29513,$B22,Datos!$F$2:$F$29513,"STANDBY"),"")</f>
        <v/>
      </c>
      <c r="F22" s="7">
        <f>IFERROR(ROUND(AVERAGEIFS(Datos!$G$2:$G$29513,Datos!$E$2:$E$29513,$A22,Datos!$D$2:$D$29513,$B22,Datos!$F$2:$F$29513,"SINGLE_RIDER"),1),"")</f>
        <v/>
      </c>
      <c r="G22" s="7">
        <f>COUNTIFS(Datos!$E$2:$E$29513,$A22,Datos!$D$2:$D$29513,$B22,Datos!$F$2:$F$29513,"STANDBY")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IFERROR(ROUND(AVERAGEIFS(Datos!$G$2:$G$29513,Datos!$E$2:$E$29513,$A23,Datos!$D$2:$D$29513,$B23,Datos!$F$2:$F$29513,"STANDBY"),1),"")</f>
        <v/>
      </c>
      <c r="D23" s="5">
        <f>IFERROR(_xlfn.MAXIFS(Datos!$G$2:$G$29513,Datos!$E$2:$E$29513,$A23,Datos!$D$2:$D$29513,$B23,Datos!$F$2:$F$29513,"STANDBY"),"")</f>
        <v/>
      </c>
      <c r="E23" s="5">
        <f>IFERROR(_xlfn.MINIFS(Datos!$G$2:$G$29513,Datos!$E$2:$E$29513,$A23,Datos!$D$2:$D$29513,$B23,Datos!$F$2:$F$29513,"STANDBY"),"")</f>
        <v/>
      </c>
      <c r="F23" s="5">
        <f>IFERROR(ROUND(AVERAGEIFS(Datos!$G$2:$G$29513,Datos!$E$2:$E$29513,$A23,Datos!$D$2:$D$29513,$B23,Datos!$F$2:$F$29513,"SINGLE_RIDER"),1),"")</f>
        <v/>
      </c>
      <c r="G23" s="5">
        <f>COUNTIFS(Datos!$E$2:$E$29513,$A23,Datos!$D$2:$D$29513,$B23,Datos!$F$2:$F$29513,"STANDBY")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IFERROR(ROUND(AVERAGEIFS(Datos!$G$2:$G$29513,Datos!$E$2:$E$29513,$A24,Datos!$D$2:$D$29513,$B24,Datos!$F$2:$F$29513,"STANDBY"),1),"")</f>
        <v/>
      </c>
      <c r="D24" s="7">
        <f>IFERROR(_xlfn.MAXIFS(Datos!$G$2:$G$29513,Datos!$E$2:$E$29513,$A24,Datos!$D$2:$D$29513,$B24,Datos!$F$2:$F$29513,"STANDBY"),"")</f>
        <v/>
      </c>
      <c r="E24" s="7">
        <f>IFERROR(_xlfn.MINIFS(Datos!$G$2:$G$29513,Datos!$E$2:$E$29513,$A24,Datos!$D$2:$D$29513,$B24,Datos!$F$2:$F$29513,"STANDBY"),"")</f>
        <v/>
      </c>
      <c r="F24" s="7">
        <f>IFERROR(ROUND(AVERAGEIFS(Datos!$G$2:$G$29513,Datos!$E$2:$E$29513,$A24,Datos!$D$2:$D$29513,$B24,Datos!$F$2:$F$29513,"SINGLE_RIDER"),1),"")</f>
        <v/>
      </c>
      <c r="G24" s="7">
        <f>COUNTIFS(Datos!$E$2:$E$29513,$A24,Datos!$D$2:$D$29513,$B24,Datos!$F$2:$F$29513,"STANDBY")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IFERROR(ROUND(AVERAGEIFS(Datos!$G$2:$G$29513,Datos!$E$2:$E$29513,$A25,Datos!$D$2:$D$29513,$B25,Datos!$F$2:$F$29513,"STANDBY"),1),"")</f>
        <v/>
      </c>
      <c r="D25" s="5">
        <f>IFERROR(_xlfn.MAXIFS(Datos!$G$2:$G$29513,Datos!$E$2:$E$29513,$A25,Datos!$D$2:$D$29513,$B25,Datos!$F$2:$F$29513,"STANDBY"),"")</f>
        <v/>
      </c>
      <c r="E25" s="5">
        <f>IFERROR(_xlfn.MINIFS(Datos!$G$2:$G$29513,Datos!$E$2:$E$29513,$A25,Datos!$D$2:$D$29513,$B25,Datos!$F$2:$F$29513,"STANDBY"),"")</f>
        <v/>
      </c>
      <c r="F25" s="5">
        <f>IFERROR(ROUND(AVERAGEIFS(Datos!$G$2:$G$29513,Datos!$E$2:$E$29513,$A25,Datos!$D$2:$D$29513,$B25,Datos!$F$2:$F$29513,"SINGLE_RIDER"),1),"")</f>
        <v/>
      </c>
      <c r="G25" s="5">
        <f>COUNTIFS(Datos!$E$2:$E$29513,$A25,Datos!$D$2:$D$29513,$B25,Datos!$F$2:$F$29513,"STANDBY")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IFERROR(ROUND(AVERAGEIFS(Datos!$G$2:$G$29513,Datos!$E$2:$E$29513,$A26,Datos!$D$2:$D$29513,$B26,Datos!$F$2:$F$29513,"STANDBY"),1),"")</f>
        <v/>
      </c>
      <c r="D26" s="7">
        <f>IFERROR(_xlfn.MAXIFS(Datos!$G$2:$G$29513,Datos!$E$2:$E$29513,$A26,Datos!$D$2:$D$29513,$B26,Datos!$F$2:$F$29513,"STANDBY"),"")</f>
        <v/>
      </c>
      <c r="E26" s="7">
        <f>IFERROR(_xlfn.MINIFS(Datos!$G$2:$G$29513,Datos!$E$2:$E$29513,$A26,Datos!$D$2:$D$29513,$B26,Datos!$F$2:$F$29513,"STANDBY"),"")</f>
        <v/>
      </c>
      <c r="F26" s="7">
        <f>IFERROR(ROUND(AVERAGEIFS(Datos!$G$2:$G$29513,Datos!$E$2:$E$29513,$A26,Datos!$D$2:$D$29513,$B26,Datos!$F$2:$F$29513,"SINGLE_RIDER"),1),"")</f>
        <v/>
      </c>
      <c r="G26" s="7">
        <f>COUNTIFS(Datos!$E$2:$E$29513,$A26,Datos!$D$2:$D$29513,$B26,Datos!$F$2:$F$29513,"STANDBY")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IFERROR(ROUND(AVERAGEIFS(Datos!$G$2:$G$29513,Datos!$E$2:$E$29513,$A27,Datos!$D$2:$D$29513,$B27,Datos!$F$2:$F$29513,"STANDBY"),1),"")</f>
        <v/>
      </c>
      <c r="D27" s="5">
        <f>IFERROR(_xlfn.MAXIFS(Datos!$G$2:$G$29513,Datos!$E$2:$E$29513,$A27,Datos!$D$2:$D$29513,$B27,Datos!$F$2:$F$29513,"STANDBY"),"")</f>
        <v/>
      </c>
      <c r="E27" s="5">
        <f>IFERROR(_xlfn.MINIFS(Datos!$G$2:$G$29513,Datos!$E$2:$E$29513,$A27,Datos!$D$2:$D$29513,$B27,Datos!$F$2:$F$29513,"STANDBY"),"")</f>
        <v/>
      </c>
      <c r="F27" s="5">
        <f>IFERROR(ROUND(AVERAGEIFS(Datos!$G$2:$G$29513,Datos!$E$2:$E$29513,$A27,Datos!$D$2:$D$29513,$B27,Datos!$F$2:$F$29513,"SINGLE_RIDER"),1),"")</f>
        <v/>
      </c>
      <c r="G27" s="5">
        <f>COUNTIFS(Datos!$E$2:$E$29513,$A27,Datos!$D$2:$D$29513,$B27,Datos!$F$2:$F$29513,"STANDBY")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IFERROR(ROUND(AVERAGEIFS(Datos!$G$2:$G$29513,Datos!$E$2:$E$29513,$A28,Datos!$D$2:$D$29513,$B28,Datos!$F$2:$F$29513,"STANDBY"),1),"")</f>
        <v/>
      </c>
      <c r="D28" s="7">
        <f>IFERROR(_xlfn.MAXIFS(Datos!$G$2:$G$29513,Datos!$E$2:$E$29513,$A28,Datos!$D$2:$D$29513,$B28,Datos!$F$2:$F$29513,"STANDBY"),"")</f>
        <v/>
      </c>
      <c r="E28" s="7">
        <f>IFERROR(_xlfn.MINIFS(Datos!$G$2:$G$29513,Datos!$E$2:$E$29513,$A28,Datos!$D$2:$D$29513,$B28,Datos!$F$2:$F$29513,"STANDBY"),"")</f>
        <v/>
      </c>
      <c r="F28" s="7">
        <f>IFERROR(ROUND(AVERAGEIFS(Datos!$G$2:$G$29513,Datos!$E$2:$E$29513,$A28,Datos!$D$2:$D$29513,$B28,Datos!$F$2:$F$29513,"SINGLE_RIDER"),1),"")</f>
        <v/>
      </c>
      <c r="G28" s="7">
        <f>COUNTIFS(Datos!$E$2:$E$29513,$A28,Datos!$D$2:$D$29513,$B28,Datos!$F$2:$F$29513,"STANDBY")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IFERROR(ROUND(AVERAGEIFS(Datos!$G$2:$G$29513,Datos!$E$2:$E$29513,$A29,Datos!$D$2:$D$29513,$B29,Datos!$F$2:$F$29513,"STANDBY"),1),"")</f>
        <v/>
      </c>
      <c r="D29" s="5">
        <f>IFERROR(_xlfn.MAXIFS(Datos!$G$2:$G$29513,Datos!$E$2:$E$29513,$A29,Datos!$D$2:$D$29513,$B29,Datos!$F$2:$F$29513,"STANDBY"),"")</f>
        <v/>
      </c>
      <c r="E29" s="5">
        <f>IFERROR(_xlfn.MINIFS(Datos!$G$2:$G$29513,Datos!$E$2:$E$29513,$A29,Datos!$D$2:$D$29513,$B29,Datos!$F$2:$F$29513,"STANDBY"),"")</f>
        <v/>
      </c>
      <c r="F29" s="5">
        <f>IFERROR(ROUND(AVERAGEIFS(Datos!$G$2:$G$29513,Datos!$E$2:$E$29513,$A29,Datos!$D$2:$D$29513,$B29,Datos!$F$2:$F$29513,"SINGLE_RIDER"),1),"")</f>
        <v/>
      </c>
      <c r="G29" s="5">
        <f>COUNTIFS(Datos!$E$2:$E$29513,$A29,Datos!$D$2:$D$29513,$B29,Datos!$F$2:$F$29513,"STANDBY")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IFERROR(ROUND(AVERAGEIFS(Datos!$G$2:$G$29513,Datos!$E$2:$E$29513,$A30,Datos!$D$2:$D$29513,$B30,Datos!$F$2:$F$29513,"STANDBY"),1),"")</f>
        <v/>
      </c>
      <c r="D30" s="7">
        <f>IFERROR(_xlfn.MAXIFS(Datos!$G$2:$G$29513,Datos!$E$2:$E$29513,$A30,Datos!$D$2:$D$29513,$B30,Datos!$F$2:$F$29513,"STANDBY"),"")</f>
        <v/>
      </c>
      <c r="E30" s="7">
        <f>IFERROR(_xlfn.MINIFS(Datos!$G$2:$G$29513,Datos!$E$2:$E$29513,$A30,Datos!$D$2:$D$29513,$B30,Datos!$F$2:$F$29513,"STANDBY"),"")</f>
        <v/>
      </c>
      <c r="F30" s="7">
        <f>IFERROR(ROUND(AVERAGEIFS(Datos!$G$2:$G$29513,Datos!$E$2:$E$29513,$A30,Datos!$D$2:$D$29513,$B30,Datos!$F$2:$F$29513,"SINGLE_RIDER"),1),"")</f>
        <v/>
      </c>
      <c r="G30" s="7">
        <f>COUNTIFS(Datos!$E$2:$E$29513,$A30,Datos!$D$2:$D$29513,$B30,Datos!$F$2:$F$29513,"STANDBY")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IFERROR(ROUND(AVERAGEIFS(Datos!$G$2:$G$29513,Datos!$E$2:$E$29513,$A31,Datos!$D$2:$D$29513,$B31,Datos!$F$2:$F$29513,"STANDBY"),1),"")</f>
        <v/>
      </c>
      <c r="D31" s="5">
        <f>IFERROR(_xlfn.MAXIFS(Datos!$G$2:$G$29513,Datos!$E$2:$E$29513,$A31,Datos!$D$2:$D$29513,$B31,Datos!$F$2:$F$29513,"STANDBY"),"")</f>
        <v/>
      </c>
      <c r="E31" s="5">
        <f>IFERROR(_xlfn.MINIFS(Datos!$G$2:$G$29513,Datos!$E$2:$E$29513,$A31,Datos!$D$2:$D$29513,$B31,Datos!$F$2:$F$29513,"STANDBY"),"")</f>
        <v/>
      </c>
      <c r="F31" s="5">
        <f>IFERROR(ROUND(AVERAGEIFS(Datos!$G$2:$G$29513,Datos!$E$2:$E$29513,$A31,Datos!$D$2:$D$29513,$B31,Datos!$F$2:$F$29513,"SINGLE_RIDER"),1),"")</f>
        <v/>
      </c>
      <c r="G31" s="5">
        <f>COUNTIFS(Datos!$E$2:$E$29513,$A31,Datos!$D$2:$D$29513,$B31,Datos!$F$2:$F$29513,"STANDBY")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IFERROR(ROUND(AVERAGEIFS(Datos!$G$2:$G$29513,Datos!$E$2:$E$29513,$A32,Datos!$D$2:$D$29513,$B32,Datos!$F$2:$F$29513,"STANDBY"),1),"")</f>
        <v/>
      </c>
      <c r="D32" s="7">
        <f>IFERROR(_xlfn.MAXIFS(Datos!$G$2:$G$29513,Datos!$E$2:$E$29513,$A32,Datos!$D$2:$D$29513,$B32,Datos!$F$2:$F$29513,"STANDBY"),"")</f>
        <v/>
      </c>
      <c r="E32" s="7">
        <f>IFERROR(_xlfn.MINIFS(Datos!$G$2:$G$29513,Datos!$E$2:$E$29513,$A32,Datos!$D$2:$D$29513,$B32,Datos!$F$2:$F$29513,"STANDBY"),"")</f>
        <v/>
      </c>
      <c r="F32" s="7">
        <f>IFERROR(ROUND(AVERAGEIFS(Datos!$G$2:$G$29513,Datos!$E$2:$E$29513,$A32,Datos!$D$2:$D$29513,$B32,Datos!$F$2:$F$29513,"SINGLE_RIDER"),1),"")</f>
        <v/>
      </c>
      <c r="G32" s="7">
        <f>COUNTIFS(Datos!$E$2:$E$29513,$A32,Datos!$D$2:$D$29513,$B32,Datos!$F$2:$F$29513,"STANDBY")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IFERROR(ROUND(AVERAGEIFS(Datos!$G$2:$G$29513,Datos!$E$2:$E$29513,$A33,Datos!$D$2:$D$29513,$B33,Datos!$F$2:$F$29513,"STANDBY"),1),"")</f>
        <v/>
      </c>
      <c r="D33" s="5">
        <f>IFERROR(_xlfn.MAXIFS(Datos!$G$2:$G$29513,Datos!$E$2:$E$29513,$A33,Datos!$D$2:$D$29513,$B33,Datos!$F$2:$F$29513,"STANDBY"),"")</f>
        <v/>
      </c>
      <c r="E33" s="5">
        <f>IFERROR(_xlfn.MINIFS(Datos!$G$2:$G$29513,Datos!$E$2:$E$29513,$A33,Datos!$D$2:$D$29513,$B33,Datos!$F$2:$F$29513,"STANDBY"),"")</f>
        <v/>
      </c>
      <c r="F33" s="5">
        <f>IFERROR(ROUND(AVERAGEIFS(Datos!$G$2:$G$29513,Datos!$E$2:$E$29513,$A33,Datos!$D$2:$D$29513,$B33,Datos!$F$2:$F$29513,"SINGLE_RIDER"),1),"")</f>
        <v/>
      </c>
      <c r="G33" s="5">
        <f>COUNTIFS(Datos!$E$2:$E$29513,$A33,Datos!$D$2:$D$29513,$B33,Datos!$F$2:$F$29513,"STANDBY")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IFERROR(ROUND(AVERAGEIFS(Datos!$G$2:$G$29513,Datos!$E$2:$E$29513,$A34,Datos!$D$2:$D$29513,$B34,Datos!$F$2:$F$29513,"STANDBY"),1),"")</f>
        <v/>
      </c>
      <c r="D34" s="7">
        <f>IFERROR(_xlfn.MAXIFS(Datos!$G$2:$G$29513,Datos!$E$2:$E$29513,$A34,Datos!$D$2:$D$29513,$B34,Datos!$F$2:$F$29513,"STANDBY"),"")</f>
        <v/>
      </c>
      <c r="E34" s="7">
        <f>IFERROR(_xlfn.MINIFS(Datos!$G$2:$G$29513,Datos!$E$2:$E$29513,$A34,Datos!$D$2:$D$29513,$B34,Datos!$F$2:$F$29513,"STANDBY"),"")</f>
        <v/>
      </c>
      <c r="F34" s="7">
        <f>IFERROR(ROUND(AVERAGEIFS(Datos!$G$2:$G$29513,Datos!$E$2:$E$29513,$A34,Datos!$D$2:$D$29513,$B34,Datos!$F$2:$F$29513,"SINGLE_RIDER"),1),"")</f>
        <v/>
      </c>
      <c r="G34" s="7">
        <f>COUNTIFS(Datos!$E$2:$E$29513,$A34,Datos!$D$2:$D$29513,$B34,Datos!$F$2:$F$29513,"STANDBY")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IFERROR(ROUND(AVERAGEIFS(Datos!$G$2:$G$29513,Datos!$E$2:$E$29513,$A35,Datos!$D$2:$D$29513,$B35,Datos!$F$2:$F$29513,"STANDBY"),1),"")</f>
        <v/>
      </c>
      <c r="D35" s="5">
        <f>IFERROR(_xlfn.MAXIFS(Datos!$G$2:$G$29513,Datos!$E$2:$E$29513,$A35,Datos!$D$2:$D$29513,$B35,Datos!$F$2:$F$29513,"STANDBY"),"")</f>
        <v/>
      </c>
      <c r="E35" s="5">
        <f>IFERROR(_xlfn.MINIFS(Datos!$G$2:$G$29513,Datos!$E$2:$E$29513,$A35,Datos!$D$2:$D$29513,$B35,Datos!$F$2:$F$29513,"STANDBY"),"")</f>
        <v/>
      </c>
      <c r="F35" s="5">
        <f>IFERROR(ROUND(AVERAGEIFS(Datos!$G$2:$G$29513,Datos!$E$2:$E$29513,$A35,Datos!$D$2:$D$29513,$B35,Datos!$F$2:$F$29513,"SINGLE_RIDER"),1),"")</f>
        <v/>
      </c>
      <c r="G35" s="5">
        <f>COUNTIFS(Datos!$E$2:$E$29513,$A35,Datos!$D$2:$D$29513,$B35,Datos!$F$2:$F$29513,"STANDBY")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IFERROR(ROUND(AVERAGEIFS(Datos!$G$2:$G$29513,Datos!$E$2:$E$29513,$A36,Datos!$D$2:$D$29513,$B36,Datos!$F$2:$F$29513,"STANDBY"),1),"")</f>
        <v/>
      </c>
      <c r="D36" s="7">
        <f>IFERROR(_xlfn.MAXIFS(Datos!$G$2:$G$29513,Datos!$E$2:$E$29513,$A36,Datos!$D$2:$D$29513,$B36,Datos!$F$2:$F$29513,"STANDBY"),"")</f>
        <v/>
      </c>
      <c r="E36" s="7">
        <f>IFERROR(_xlfn.MINIFS(Datos!$G$2:$G$29513,Datos!$E$2:$E$29513,$A36,Datos!$D$2:$D$29513,$B36,Datos!$F$2:$F$29513,"STANDBY"),"")</f>
        <v/>
      </c>
      <c r="F36" s="7">
        <f>IFERROR(ROUND(AVERAGEIFS(Datos!$G$2:$G$29513,Datos!$E$2:$E$29513,$A36,Datos!$D$2:$D$29513,$B36,Datos!$F$2:$F$29513,"SINGLE_RIDER"),1),"")</f>
        <v/>
      </c>
      <c r="G36" s="7">
        <f>COUNTIFS(Datos!$E$2:$E$29513,$A36,Datos!$D$2:$D$29513,$B36,Datos!$F$2:$F$29513,"STANDBY")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IFERROR(ROUND(AVERAGEIFS(Datos!$G$2:$G$29513,Datos!$E$2:$E$29513,$A37,Datos!$D$2:$D$29513,$B37,Datos!$F$2:$F$29513,"STANDBY"),1),"")</f>
        <v/>
      </c>
      <c r="D37" s="5">
        <f>IFERROR(_xlfn.MAXIFS(Datos!$G$2:$G$29513,Datos!$E$2:$E$29513,$A37,Datos!$D$2:$D$29513,$B37,Datos!$F$2:$F$29513,"STANDBY"),"")</f>
        <v/>
      </c>
      <c r="E37" s="5">
        <f>IFERROR(_xlfn.MINIFS(Datos!$G$2:$G$29513,Datos!$E$2:$E$29513,$A37,Datos!$D$2:$D$29513,$B37,Datos!$F$2:$F$29513,"STANDBY"),"")</f>
        <v/>
      </c>
      <c r="F37" s="5">
        <f>IFERROR(ROUND(AVERAGEIFS(Datos!$G$2:$G$29513,Datos!$E$2:$E$29513,$A37,Datos!$D$2:$D$29513,$B37,Datos!$F$2:$F$29513,"SINGLE_RIDER"),1),"")</f>
        <v/>
      </c>
      <c r="G37" s="5">
        <f>COUNTIFS(Datos!$E$2:$E$29513,$A37,Datos!$D$2:$D$29513,$B37,Datos!$F$2:$F$29513,"STANDBY")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IFERROR(ROUND(AVERAGEIFS(Datos!$G$2:$G$29513,Datos!$E$2:$E$29513,$A38,Datos!$D$2:$D$29513,$B38,Datos!$F$2:$F$29513,"STANDBY"),1),"")</f>
        <v/>
      </c>
      <c r="D38" s="7">
        <f>IFERROR(_xlfn.MAXIFS(Datos!$G$2:$G$29513,Datos!$E$2:$E$29513,$A38,Datos!$D$2:$D$29513,$B38,Datos!$F$2:$F$29513,"STANDBY"),"")</f>
        <v/>
      </c>
      <c r="E38" s="7">
        <f>IFERROR(_xlfn.MINIFS(Datos!$G$2:$G$29513,Datos!$E$2:$E$29513,$A38,Datos!$D$2:$D$29513,$B38,Datos!$F$2:$F$29513,"STANDBY"),"")</f>
        <v/>
      </c>
      <c r="F38" s="7">
        <f>IFERROR(ROUND(AVERAGEIFS(Datos!$G$2:$G$29513,Datos!$E$2:$E$29513,$A38,Datos!$D$2:$D$29513,$B38,Datos!$F$2:$F$29513,"SINGLE_RIDER"),1),"")</f>
        <v/>
      </c>
      <c r="G38" s="7">
        <f>COUNTIFS(Datos!$E$2:$E$29513,$A38,Datos!$D$2:$D$29513,$B38,Datos!$F$2:$F$29513,"STANDBY")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IFERROR(ROUND(AVERAGEIFS(Datos!$G$2:$G$29513,Datos!$E$2:$E$29513,$A39,Datos!$D$2:$D$29513,$B39,Datos!$F$2:$F$29513,"STANDBY"),1),"")</f>
        <v/>
      </c>
      <c r="D39" s="5">
        <f>IFERROR(_xlfn.MAXIFS(Datos!$G$2:$G$29513,Datos!$E$2:$E$29513,$A39,Datos!$D$2:$D$29513,$B39,Datos!$F$2:$F$29513,"STANDBY"),"")</f>
        <v/>
      </c>
      <c r="E39" s="5">
        <f>IFERROR(_xlfn.MINIFS(Datos!$G$2:$G$29513,Datos!$E$2:$E$29513,$A39,Datos!$D$2:$D$29513,$B39,Datos!$F$2:$F$29513,"STANDBY"),"")</f>
        <v/>
      </c>
      <c r="F39" s="5">
        <f>IFERROR(ROUND(AVERAGEIFS(Datos!$G$2:$G$29513,Datos!$E$2:$E$29513,$A39,Datos!$D$2:$D$29513,$B39,Datos!$F$2:$F$29513,"SINGLE_RIDER"),1),"")</f>
        <v/>
      </c>
      <c r="G39" s="5">
        <f>COUNTIFS(Datos!$E$2:$E$29513,$A39,Datos!$D$2:$D$29513,$B39,Datos!$F$2:$F$29513,"STANDBY")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IFERROR(ROUND(AVERAGEIFS(Datos!$G$2:$G$29513,Datos!$E$2:$E$29513,$A40,Datos!$D$2:$D$29513,$B40,Datos!$F$2:$F$29513,"STANDBY"),1),"")</f>
        <v/>
      </c>
      <c r="D40" s="7">
        <f>IFERROR(_xlfn.MAXIFS(Datos!$G$2:$G$29513,Datos!$E$2:$E$29513,$A40,Datos!$D$2:$D$29513,$B40,Datos!$F$2:$F$29513,"STANDBY"),"")</f>
        <v/>
      </c>
      <c r="E40" s="7">
        <f>IFERROR(_xlfn.MINIFS(Datos!$G$2:$G$29513,Datos!$E$2:$E$29513,$A40,Datos!$D$2:$D$29513,$B40,Datos!$F$2:$F$29513,"STANDBY"),"")</f>
        <v/>
      </c>
      <c r="F40" s="7">
        <f>IFERROR(ROUND(AVERAGEIFS(Datos!$G$2:$G$29513,Datos!$E$2:$E$29513,$A40,Datos!$D$2:$D$29513,$B40,Datos!$F$2:$F$29513,"SINGLE_RIDER"),1),"")</f>
        <v/>
      </c>
      <c r="G40" s="7">
        <f>COUNTIFS(Datos!$E$2:$E$29513,$A40,Datos!$D$2:$D$29513,$B40,Datos!$F$2:$F$29513,"STANDBY")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IFERROR(ROUND(AVERAGEIFS(Datos!$G$2:$G$29513,Datos!$E$2:$E$29513,$A41,Datos!$D$2:$D$29513,$B41,Datos!$F$2:$F$29513,"STANDBY"),1),"")</f>
        <v/>
      </c>
      <c r="D41" s="5">
        <f>IFERROR(_xlfn.MAXIFS(Datos!$G$2:$G$29513,Datos!$E$2:$E$29513,$A41,Datos!$D$2:$D$29513,$B41,Datos!$F$2:$F$29513,"STANDBY"),"")</f>
        <v/>
      </c>
      <c r="E41" s="5">
        <f>IFERROR(_xlfn.MINIFS(Datos!$G$2:$G$29513,Datos!$E$2:$E$29513,$A41,Datos!$D$2:$D$29513,$B41,Datos!$F$2:$F$29513,"STANDBY"),"")</f>
        <v/>
      </c>
      <c r="F41" s="5">
        <f>IFERROR(ROUND(AVERAGEIFS(Datos!$G$2:$G$29513,Datos!$E$2:$E$29513,$A41,Datos!$D$2:$D$29513,$B41,Datos!$F$2:$F$29513,"SINGLE_RIDER"),1),"")</f>
        <v/>
      </c>
      <c r="G41" s="5">
        <f>COUNTIFS(Datos!$E$2:$E$29513,$A41,Datos!$D$2:$D$29513,$B41,Datos!$F$2:$F$29513,"STANDBY")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IFERROR(ROUND(AVERAGEIFS(Datos!$G$2:$G$29513,Datos!$E$2:$E$29513,$A42,Datos!$D$2:$D$29513,$B42,Datos!$F$2:$F$29513,"STANDBY"),1),"")</f>
        <v/>
      </c>
      <c r="D42" s="7">
        <f>IFERROR(_xlfn.MAXIFS(Datos!$G$2:$G$29513,Datos!$E$2:$E$29513,$A42,Datos!$D$2:$D$29513,$B42,Datos!$F$2:$F$29513,"STANDBY"),"")</f>
        <v/>
      </c>
      <c r="E42" s="7">
        <f>IFERROR(_xlfn.MINIFS(Datos!$G$2:$G$29513,Datos!$E$2:$E$29513,$A42,Datos!$D$2:$D$29513,$B42,Datos!$F$2:$F$29513,"STANDBY"),"")</f>
        <v/>
      </c>
      <c r="F42" s="7">
        <f>IFERROR(ROUND(AVERAGEIFS(Datos!$G$2:$G$29513,Datos!$E$2:$E$29513,$A42,Datos!$D$2:$D$29513,$B42,Datos!$F$2:$F$29513,"SINGLE_RIDER"),1),"")</f>
        <v/>
      </c>
      <c r="G42" s="7">
        <f>COUNTIFS(Datos!$E$2:$E$29513,$A42,Datos!$D$2:$D$29513,$B42,Datos!$F$2:$F$29513,"STANDBY")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IFERROR(ROUND(AVERAGEIFS(Datos!$G$2:$G$29513,Datos!$E$2:$E$29513,$A43,Datos!$D$2:$D$29513,$B43,Datos!$F$2:$F$29513,"STANDBY"),1),"")</f>
        <v/>
      </c>
      <c r="D43" s="5">
        <f>IFERROR(_xlfn.MAXIFS(Datos!$G$2:$G$29513,Datos!$E$2:$E$29513,$A43,Datos!$D$2:$D$29513,$B43,Datos!$F$2:$F$29513,"STANDBY"),"")</f>
        <v/>
      </c>
      <c r="E43" s="5">
        <f>IFERROR(_xlfn.MINIFS(Datos!$G$2:$G$29513,Datos!$E$2:$E$29513,$A43,Datos!$D$2:$D$29513,$B43,Datos!$F$2:$F$29513,"STANDBY"),"")</f>
        <v/>
      </c>
      <c r="F43" s="5">
        <f>IFERROR(ROUND(AVERAGEIFS(Datos!$G$2:$G$29513,Datos!$E$2:$E$29513,$A43,Datos!$D$2:$D$29513,$B43,Datos!$F$2:$F$29513,"SINGLE_RIDER"),1),"")</f>
        <v/>
      </c>
      <c r="G43" s="5">
        <f>COUNTIFS(Datos!$E$2:$E$29513,$A43,Datos!$D$2:$D$29513,$B43,Datos!$F$2:$F$29513,"STANDBY")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IFERROR(ROUND(AVERAGEIFS(Datos!$G$2:$G$29513,Datos!$E$2:$E$29513,$A44,Datos!$D$2:$D$29513,$B44,Datos!$F$2:$F$29513,"STANDBY"),1),"")</f>
        <v/>
      </c>
      <c r="D44" s="7">
        <f>IFERROR(_xlfn.MAXIFS(Datos!$G$2:$G$29513,Datos!$E$2:$E$29513,$A44,Datos!$D$2:$D$29513,$B44,Datos!$F$2:$F$29513,"STANDBY"),"")</f>
        <v/>
      </c>
      <c r="E44" s="7">
        <f>IFERROR(_xlfn.MINIFS(Datos!$G$2:$G$29513,Datos!$E$2:$E$29513,$A44,Datos!$D$2:$D$29513,$B44,Datos!$F$2:$F$29513,"STANDBY"),"")</f>
        <v/>
      </c>
      <c r="F44" s="7">
        <f>IFERROR(ROUND(AVERAGEIFS(Datos!$G$2:$G$29513,Datos!$E$2:$E$29513,$A44,Datos!$D$2:$D$29513,$B44,Datos!$F$2:$F$29513,"SINGLE_RIDER"),1),"")</f>
        <v/>
      </c>
      <c r="G44" s="7">
        <f>COUNTIFS(Datos!$E$2:$E$29513,$A44,Datos!$D$2:$D$29513,$B44,Datos!$F$2:$F$29513,"STANDBY")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IFERROR(ROUND(AVERAGEIFS(Datos!$G$2:$G$29513,Datos!$E$2:$E$29513,$A45,Datos!$D$2:$D$29513,$B45,Datos!$F$2:$F$29513,"STANDBY"),1),"")</f>
        <v/>
      </c>
      <c r="D45" s="5">
        <f>IFERROR(_xlfn.MAXIFS(Datos!$G$2:$G$29513,Datos!$E$2:$E$29513,$A45,Datos!$D$2:$D$29513,$B45,Datos!$F$2:$F$29513,"STANDBY"),"")</f>
        <v/>
      </c>
      <c r="E45" s="5">
        <f>IFERROR(_xlfn.MINIFS(Datos!$G$2:$G$29513,Datos!$E$2:$E$29513,$A45,Datos!$D$2:$D$29513,$B45,Datos!$F$2:$F$29513,"STANDBY"),"")</f>
        <v/>
      </c>
      <c r="F45" s="5">
        <f>IFERROR(ROUND(AVERAGEIFS(Datos!$G$2:$G$29513,Datos!$E$2:$E$29513,$A45,Datos!$D$2:$D$29513,$B45,Datos!$F$2:$F$29513,"SINGLE_RIDER"),1),"")</f>
        <v/>
      </c>
      <c r="G45" s="5">
        <f>COUNTIFS(Datos!$E$2:$E$29513,$A45,Datos!$D$2:$D$29513,$B45,Datos!$F$2:$F$29513,"STANDBY")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IFERROR(ROUND(AVERAGEIFS(Datos!$G$2:$G$29513,Datos!$E$2:$E$29513,$A46,Datos!$D$2:$D$29513,$B46,Datos!$F$2:$F$29513,"STANDBY"),1),"")</f>
        <v/>
      </c>
      <c r="D46" s="7">
        <f>IFERROR(_xlfn.MAXIFS(Datos!$G$2:$G$29513,Datos!$E$2:$E$29513,$A46,Datos!$D$2:$D$29513,$B46,Datos!$F$2:$F$29513,"STANDBY"),"")</f>
        <v/>
      </c>
      <c r="E46" s="7">
        <f>IFERROR(_xlfn.MINIFS(Datos!$G$2:$G$29513,Datos!$E$2:$E$29513,$A46,Datos!$D$2:$D$29513,$B46,Datos!$F$2:$F$29513,"STANDBY"),"")</f>
        <v/>
      </c>
      <c r="F46" s="7">
        <f>IFERROR(ROUND(AVERAGEIFS(Datos!$G$2:$G$29513,Datos!$E$2:$E$29513,$A46,Datos!$D$2:$D$29513,$B46,Datos!$F$2:$F$29513,"SINGLE_RIDER"),1),"")</f>
        <v/>
      </c>
      <c r="G46" s="7">
        <f>COUNTIFS(Datos!$E$2:$E$29513,$A46,Datos!$D$2:$D$29513,$B46,Datos!$F$2:$F$29513,"STANDBY")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IFERROR(ROUND(AVERAGEIFS(Datos!$G$2:$G$29513,Datos!$E$2:$E$29513,$A47,Datos!$D$2:$D$29513,$B47,Datos!$F$2:$F$29513,"STANDBY"),1),"")</f>
        <v/>
      </c>
      <c r="D47" s="5">
        <f>IFERROR(_xlfn.MAXIFS(Datos!$G$2:$G$29513,Datos!$E$2:$E$29513,$A47,Datos!$D$2:$D$29513,$B47,Datos!$F$2:$F$29513,"STANDBY"),"")</f>
        <v/>
      </c>
      <c r="E47" s="5">
        <f>IFERROR(_xlfn.MINIFS(Datos!$G$2:$G$29513,Datos!$E$2:$E$29513,$A47,Datos!$D$2:$D$29513,$B47,Datos!$F$2:$F$29513,"STANDBY"),"")</f>
        <v/>
      </c>
      <c r="F47" s="5">
        <f>IFERROR(ROUND(AVERAGEIFS(Datos!$G$2:$G$29513,Datos!$E$2:$E$29513,$A47,Datos!$D$2:$D$29513,$B47,Datos!$F$2:$F$29513,"SINGLE_RIDER"),1),"")</f>
        <v/>
      </c>
      <c r="G47" s="5">
        <f>COUNTIFS(Datos!$E$2:$E$29513,$A47,Datos!$D$2:$D$29513,$B47,Datos!$F$2:$F$29513,"STANDBY")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IFERROR(ROUND(AVERAGEIFS(Datos!$G$2:$G$29513,Datos!$E$2:$E$29513,$A48,Datos!$D$2:$D$29513,$B48,Datos!$F$2:$F$29513,"STANDBY"),1),"")</f>
        <v/>
      </c>
      <c r="D48" s="7">
        <f>IFERROR(_xlfn.MAXIFS(Datos!$G$2:$G$29513,Datos!$E$2:$E$29513,$A48,Datos!$D$2:$D$29513,$B48,Datos!$F$2:$F$29513,"STANDBY"),"")</f>
        <v/>
      </c>
      <c r="E48" s="7">
        <f>IFERROR(_xlfn.MINIFS(Datos!$G$2:$G$29513,Datos!$E$2:$E$29513,$A48,Datos!$D$2:$D$29513,$B48,Datos!$F$2:$F$29513,"STANDBY"),"")</f>
        <v/>
      </c>
      <c r="F48" s="7">
        <f>IFERROR(ROUND(AVERAGEIFS(Datos!$G$2:$G$29513,Datos!$E$2:$E$29513,$A48,Datos!$D$2:$D$29513,$B48,Datos!$F$2:$F$29513,"SINGLE_RIDER"),1),"")</f>
        <v/>
      </c>
      <c r="G48" s="7">
        <f>COUNTIFS(Datos!$E$2:$E$29513,$A48,Datos!$D$2:$D$29513,$B48,Datos!$F$2:$F$29513,"STANDBY")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IFERROR(ROUND(AVERAGEIFS(Datos!$G$2:$G$29513,Datos!$E$2:$E$29513,$A49,Datos!$D$2:$D$29513,$B49,Datos!$F$2:$F$29513,"STANDBY"),1),"")</f>
        <v/>
      </c>
      <c r="D49" s="5">
        <f>IFERROR(_xlfn.MAXIFS(Datos!$G$2:$G$29513,Datos!$E$2:$E$29513,$A49,Datos!$D$2:$D$29513,$B49,Datos!$F$2:$F$29513,"STANDBY"),"")</f>
        <v/>
      </c>
      <c r="E49" s="5">
        <f>IFERROR(_xlfn.MINIFS(Datos!$G$2:$G$29513,Datos!$E$2:$E$29513,$A49,Datos!$D$2:$D$29513,$B49,Datos!$F$2:$F$29513,"STANDBY"),"")</f>
        <v/>
      </c>
      <c r="F49" s="5">
        <f>IFERROR(ROUND(AVERAGEIFS(Datos!$G$2:$G$29513,Datos!$E$2:$E$29513,$A49,Datos!$D$2:$D$29513,$B49,Datos!$F$2:$F$29513,"SINGLE_RIDER"),1),"")</f>
        <v/>
      </c>
      <c r="G49" s="5">
        <f>COUNTIFS(Datos!$E$2:$E$29513,$A49,Datos!$D$2:$D$29513,$B49,Datos!$F$2:$F$29513,"STANDBY")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IFERROR(ROUND(AVERAGEIFS(Datos!$G$2:$G$29513,Datos!$E$2:$E$29513,$A50,Datos!$D$2:$D$29513,$B50,Datos!$F$2:$F$29513,"STANDBY"),1),"")</f>
        <v/>
      </c>
      <c r="D50" s="7">
        <f>IFERROR(_xlfn.MAXIFS(Datos!$G$2:$G$29513,Datos!$E$2:$E$29513,$A50,Datos!$D$2:$D$29513,$B50,Datos!$F$2:$F$29513,"STANDBY"),"")</f>
        <v/>
      </c>
      <c r="E50" s="7">
        <f>IFERROR(_xlfn.MINIFS(Datos!$G$2:$G$29513,Datos!$E$2:$E$29513,$A50,Datos!$D$2:$D$29513,$B50,Datos!$F$2:$F$29513,"STANDBY"),"")</f>
        <v/>
      </c>
      <c r="F50" s="7">
        <f>IFERROR(ROUND(AVERAGEIFS(Datos!$G$2:$G$29513,Datos!$E$2:$E$29513,$A50,Datos!$D$2:$D$29513,$B50,Datos!$F$2:$F$29513,"SINGLE_RIDER"),1),"")</f>
        <v/>
      </c>
      <c r="G50" s="7">
        <f>COUNTIFS(Datos!$E$2:$E$29513,$A50,Datos!$D$2:$D$29513,$B50,Datos!$F$2:$F$29513,"STANDBY")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IFERROR(ROUND(AVERAGEIFS(Datos!$G$2:$G$29513,Datos!$E$2:$E$29513,$A51,Datos!$D$2:$D$29513,$B51,Datos!$F$2:$F$29513,"STANDBY"),1),"")</f>
        <v/>
      </c>
      <c r="D51" s="5">
        <f>IFERROR(_xlfn.MAXIFS(Datos!$G$2:$G$29513,Datos!$E$2:$E$29513,$A51,Datos!$D$2:$D$29513,$B51,Datos!$F$2:$F$29513,"STANDBY"),"")</f>
        <v/>
      </c>
      <c r="E51" s="5">
        <f>IFERROR(_xlfn.MINIFS(Datos!$G$2:$G$29513,Datos!$E$2:$E$29513,$A51,Datos!$D$2:$D$29513,$B51,Datos!$F$2:$F$29513,"STANDBY"),"")</f>
        <v/>
      </c>
      <c r="F51" s="5">
        <f>IFERROR(ROUND(AVERAGEIFS(Datos!$G$2:$G$29513,Datos!$E$2:$E$29513,$A51,Datos!$D$2:$D$29513,$B51,Datos!$F$2:$F$29513,"SINGLE_RIDER"),1),"")</f>
        <v/>
      </c>
      <c r="G51" s="5">
        <f>COUNTIFS(Datos!$E$2:$E$29513,$A51,Datos!$D$2:$D$29513,$B51,Datos!$F$2:$F$29513,"STANDBY")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IFERROR(ROUND(AVERAGEIFS(Datos!$G$2:$G$29513,Datos!$E$2:$E$29513,$A52,Datos!$D$2:$D$29513,$B52,Datos!$F$2:$F$29513,"STANDBY"),1),"")</f>
        <v/>
      </c>
      <c r="D52" s="7">
        <f>IFERROR(_xlfn.MAXIFS(Datos!$G$2:$G$29513,Datos!$E$2:$E$29513,$A52,Datos!$D$2:$D$29513,$B52,Datos!$F$2:$F$29513,"STANDBY"),"")</f>
        <v/>
      </c>
      <c r="E52" s="7">
        <f>IFERROR(_xlfn.MINIFS(Datos!$G$2:$G$29513,Datos!$E$2:$E$29513,$A52,Datos!$D$2:$D$29513,$B52,Datos!$F$2:$F$29513,"STANDBY"),"")</f>
        <v/>
      </c>
      <c r="F52" s="7">
        <f>IFERROR(ROUND(AVERAGEIFS(Datos!$G$2:$G$29513,Datos!$E$2:$E$29513,$A52,Datos!$D$2:$D$29513,$B52,Datos!$F$2:$F$29513,"SINGLE_RIDER"),1),"")</f>
        <v/>
      </c>
      <c r="G52" s="7">
        <f>COUNTIFS(Datos!$E$2:$E$29513,$A52,Datos!$D$2:$D$29513,$B52,Datos!$F$2:$F$29513,"STANDBY")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IFERROR(ROUND(AVERAGEIFS(Datos!$G$2:$G$29513,Datos!$E$2:$E$29513,$A53,Datos!$D$2:$D$29513,$B53,Datos!$F$2:$F$29513,"STANDBY"),1),"")</f>
        <v/>
      </c>
      <c r="D53" s="5">
        <f>IFERROR(_xlfn.MAXIFS(Datos!$G$2:$G$29513,Datos!$E$2:$E$29513,$A53,Datos!$D$2:$D$29513,$B53,Datos!$F$2:$F$29513,"STANDBY"),"")</f>
        <v/>
      </c>
      <c r="E53" s="5">
        <f>IFERROR(_xlfn.MINIFS(Datos!$G$2:$G$29513,Datos!$E$2:$E$29513,$A53,Datos!$D$2:$D$29513,$B53,Datos!$F$2:$F$29513,"STANDBY"),"")</f>
        <v/>
      </c>
      <c r="F53" s="5">
        <f>IFERROR(ROUND(AVERAGEIFS(Datos!$G$2:$G$29513,Datos!$E$2:$E$29513,$A53,Datos!$D$2:$D$29513,$B53,Datos!$F$2:$F$29513,"SINGLE_RIDER"),1),"")</f>
        <v/>
      </c>
      <c r="G53" s="5">
        <f>COUNTIFS(Datos!$E$2:$E$29513,$A53,Datos!$D$2:$D$29513,$B53,Datos!$F$2:$F$29513,"STANDBY")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IFERROR(ROUND(AVERAGEIFS(Datos!$G$2:$G$29513,Datos!$E$2:$E$29513,$A54,Datos!$D$2:$D$29513,$B54,Datos!$F$2:$F$29513,"STANDBY"),1),"")</f>
        <v/>
      </c>
      <c r="D54" s="7">
        <f>IFERROR(_xlfn.MAXIFS(Datos!$G$2:$G$29513,Datos!$E$2:$E$29513,$A54,Datos!$D$2:$D$29513,$B54,Datos!$F$2:$F$29513,"STANDBY"),"")</f>
        <v/>
      </c>
      <c r="E54" s="7">
        <f>IFERROR(_xlfn.MINIFS(Datos!$G$2:$G$29513,Datos!$E$2:$E$29513,$A54,Datos!$D$2:$D$29513,$B54,Datos!$F$2:$F$29513,"STANDBY"),"")</f>
        <v/>
      </c>
      <c r="F54" s="7">
        <f>IFERROR(ROUND(AVERAGEIFS(Datos!$G$2:$G$29513,Datos!$E$2:$E$29513,$A54,Datos!$D$2:$D$29513,$B54,Datos!$F$2:$F$29513,"SINGLE_RIDER"),1),"")</f>
        <v/>
      </c>
      <c r="G54" s="7">
        <f>COUNTIFS(Datos!$E$2:$E$29513,$A54,Datos!$D$2:$D$29513,$B54,Datos!$F$2:$F$29513,"STANDBY")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IFERROR(ROUND(AVERAGEIFS(Datos!$G$2:$G$29513,Datos!$E$2:$E$29513,$A55,Datos!$D$2:$D$29513,$B55,Datos!$F$2:$F$29513,"STANDBY"),1),"")</f>
        <v/>
      </c>
      <c r="D55" s="5">
        <f>IFERROR(_xlfn.MAXIFS(Datos!$G$2:$G$29513,Datos!$E$2:$E$29513,$A55,Datos!$D$2:$D$29513,$B55,Datos!$F$2:$F$29513,"STANDBY"),"")</f>
        <v/>
      </c>
      <c r="E55" s="5">
        <f>IFERROR(_xlfn.MINIFS(Datos!$G$2:$G$29513,Datos!$E$2:$E$29513,$A55,Datos!$D$2:$D$29513,$B55,Datos!$F$2:$F$29513,"STANDBY"),"")</f>
        <v/>
      </c>
      <c r="F55" s="5">
        <f>IFERROR(ROUND(AVERAGEIFS(Datos!$G$2:$G$29513,Datos!$E$2:$E$29513,$A55,Datos!$D$2:$D$29513,$B55,Datos!$F$2:$F$29513,"SINGLE_RIDER"),1),"")</f>
        <v/>
      </c>
      <c r="G55" s="5">
        <f>COUNTIFS(Datos!$E$2:$E$29513,$A55,Datos!$D$2:$D$29513,$B55,Datos!$F$2:$F$29513,"STANDBY")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IFERROR(ROUND(AVERAGEIFS(Datos!$G$2:$G$29513,Datos!$E$2:$E$29513,$A56,Datos!$D$2:$D$29513,$B56,Datos!$F$2:$F$29513,"STANDBY"),1),"")</f>
        <v/>
      </c>
      <c r="D56" s="7">
        <f>IFERROR(_xlfn.MAXIFS(Datos!$G$2:$G$29513,Datos!$E$2:$E$29513,$A56,Datos!$D$2:$D$29513,$B56,Datos!$F$2:$F$29513,"STANDBY"),"")</f>
        <v/>
      </c>
      <c r="E56" s="7">
        <f>IFERROR(_xlfn.MINIFS(Datos!$G$2:$G$29513,Datos!$E$2:$E$29513,$A56,Datos!$D$2:$D$29513,$B56,Datos!$F$2:$F$29513,"STANDBY"),"")</f>
        <v/>
      </c>
      <c r="F56" s="7">
        <f>IFERROR(ROUND(AVERAGEIFS(Datos!$G$2:$G$29513,Datos!$E$2:$E$29513,$A56,Datos!$D$2:$D$29513,$B56,Datos!$F$2:$F$29513,"SINGLE_RIDER"),1),"")</f>
        <v/>
      </c>
      <c r="G56" s="7">
        <f>COUNTIFS(Datos!$E$2:$E$29513,$A56,Datos!$D$2:$D$29513,$B56,Datos!$F$2:$F$29513,"STANDBY")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IFERROR(ROUND(AVERAGEIFS(Datos!$G$2:$G$29513,Datos!$E$2:$E$29513,$A57,Datos!$D$2:$D$29513,$B57,Datos!$F$2:$F$29513,"STANDBY"),1),"")</f>
        <v/>
      </c>
      <c r="D57" s="5">
        <f>IFERROR(_xlfn.MAXIFS(Datos!$G$2:$G$29513,Datos!$E$2:$E$29513,$A57,Datos!$D$2:$D$29513,$B57,Datos!$F$2:$F$29513,"STANDBY"),"")</f>
        <v/>
      </c>
      <c r="E57" s="5">
        <f>IFERROR(_xlfn.MINIFS(Datos!$G$2:$G$29513,Datos!$E$2:$E$29513,$A57,Datos!$D$2:$D$29513,$B57,Datos!$F$2:$F$29513,"STANDBY"),"")</f>
        <v/>
      </c>
      <c r="F57" s="5">
        <f>IFERROR(ROUND(AVERAGEIFS(Datos!$G$2:$G$29513,Datos!$E$2:$E$29513,$A57,Datos!$D$2:$D$29513,$B57,Datos!$F$2:$F$29513,"SINGLE_RIDER"),1),"")</f>
        <v/>
      </c>
      <c r="G57" s="5">
        <f>COUNTIFS(Datos!$E$2:$E$29513,$A57,Datos!$D$2:$D$29513,$B57,Datos!$F$2:$F$29513,"STANDBY")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IFERROR(ROUND(AVERAGEIFS(Datos!$G$2:$G$29513,Datos!$E$2:$E$29513,$A58,Datos!$D$2:$D$29513,$B58,Datos!$F$2:$F$29513,"STANDBY"),1),"")</f>
        <v/>
      </c>
      <c r="D58" s="7">
        <f>IFERROR(_xlfn.MAXIFS(Datos!$G$2:$G$29513,Datos!$E$2:$E$29513,$A58,Datos!$D$2:$D$29513,$B58,Datos!$F$2:$F$29513,"STANDBY"),"")</f>
        <v/>
      </c>
      <c r="E58" s="7">
        <f>IFERROR(_xlfn.MINIFS(Datos!$G$2:$G$29513,Datos!$E$2:$E$29513,$A58,Datos!$D$2:$D$29513,$B58,Datos!$F$2:$F$29513,"STANDBY"),"")</f>
        <v/>
      </c>
      <c r="F58" s="7">
        <f>IFERROR(ROUND(AVERAGEIFS(Datos!$G$2:$G$29513,Datos!$E$2:$E$29513,$A58,Datos!$D$2:$D$29513,$B58,Datos!$F$2:$F$29513,"SINGLE_RIDER"),1),"")</f>
        <v/>
      </c>
      <c r="G58" s="7">
        <f>COUNTIFS(Datos!$E$2:$E$29513,$A58,Datos!$D$2:$D$29513,$B58,Datos!$F$2:$F$29513,"STANDBY")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IFERROR(ROUND(AVERAGEIFS(Datos!$G$2:$G$29513,Datos!$E$2:$E$29513,$A59,Datos!$D$2:$D$29513,$B59,Datos!$F$2:$F$29513,"STANDBY"),1),"")</f>
        <v/>
      </c>
      <c r="D59" s="5">
        <f>IFERROR(_xlfn.MAXIFS(Datos!$G$2:$G$29513,Datos!$E$2:$E$29513,$A59,Datos!$D$2:$D$29513,$B59,Datos!$F$2:$F$29513,"STANDBY"),"")</f>
        <v/>
      </c>
      <c r="E59" s="5">
        <f>IFERROR(_xlfn.MINIFS(Datos!$G$2:$G$29513,Datos!$E$2:$E$29513,$A59,Datos!$D$2:$D$29513,$B59,Datos!$F$2:$F$29513,"STANDBY"),"")</f>
        <v/>
      </c>
      <c r="F59" s="5">
        <f>IFERROR(ROUND(AVERAGEIFS(Datos!$G$2:$G$29513,Datos!$E$2:$E$29513,$A59,Datos!$D$2:$D$29513,$B59,Datos!$F$2:$F$29513,"SINGLE_RIDER"),1),"")</f>
        <v/>
      </c>
      <c r="G59" s="5">
        <f>COUNTIFS(Datos!$E$2:$E$29513,$A59,Datos!$D$2:$D$29513,$B59,Datos!$F$2:$F$29513,"STANDBY")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IFERROR(ROUND(AVERAGEIFS(Datos!$G$2:$G$29513,Datos!$E$2:$E$29513,$A60,Datos!$D$2:$D$29513,$B60,Datos!$F$2:$F$29513,"STANDBY"),1),"")</f>
        <v/>
      </c>
      <c r="D60" s="7">
        <f>IFERROR(_xlfn.MAXIFS(Datos!$G$2:$G$29513,Datos!$E$2:$E$29513,$A60,Datos!$D$2:$D$29513,$B60,Datos!$F$2:$F$29513,"STANDBY"),"")</f>
        <v/>
      </c>
      <c r="E60" s="7">
        <f>IFERROR(_xlfn.MINIFS(Datos!$G$2:$G$29513,Datos!$E$2:$E$29513,$A60,Datos!$D$2:$D$29513,$B60,Datos!$F$2:$F$29513,"STANDBY"),"")</f>
        <v/>
      </c>
      <c r="F60" s="7">
        <f>IFERROR(ROUND(AVERAGEIFS(Datos!$G$2:$G$29513,Datos!$E$2:$E$29513,$A60,Datos!$D$2:$D$29513,$B60,Datos!$F$2:$F$29513,"SINGLE_RIDER"),1),"")</f>
        <v/>
      </c>
      <c r="G60" s="7">
        <f>COUNTIFS(Datos!$E$2:$E$29513,$A60,Datos!$D$2:$D$29513,$B60,Datos!$F$2:$F$29513,"STANDBY")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IFERROR(ROUND(AVERAGEIFS(Datos!$G$2:$G$29513,Datos!$E$2:$E$29513,$A61,Datos!$D$2:$D$29513,$B61,Datos!$F$2:$F$29513,"STANDBY"),1),"")</f>
        <v/>
      </c>
      <c r="D61" s="5">
        <f>IFERROR(_xlfn.MAXIFS(Datos!$G$2:$G$29513,Datos!$E$2:$E$29513,$A61,Datos!$D$2:$D$29513,$B61,Datos!$F$2:$F$29513,"STANDBY"),"")</f>
        <v/>
      </c>
      <c r="E61" s="5">
        <f>IFERROR(_xlfn.MINIFS(Datos!$G$2:$G$29513,Datos!$E$2:$E$29513,$A61,Datos!$D$2:$D$29513,$B61,Datos!$F$2:$F$29513,"STANDBY"),"")</f>
        <v/>
      </c>
      <c r="F61" s="5">
        <f>IFERROR(ROUND(AVERAGEIFS(Datos!$G$2:$G$29513,Datos!$E$2:$E$29513,$A61,Datos!$D$2:$D$29513,$B61,Datos!$F$2:$F$29513,"SINGLE_RIDER"),1),"")</f>
        <v/>
      </c>
      <c r="G61" s="5">
        <f>COUNTIFS(Datos!$E$2:$E$29513,$A61,Datos!$D$2:$D$29513,$B61,Datos!$F$2:$F$29513,"STANDBY")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IFERROR(ROUND(AVERAGEIFS(Datos!$G$2:$G$29513,Datos!$E$2:$E$29513,$A62,Datos!$D$2:$D$29513,$B62,Datos!$F$2:$F$29513,"STANDBY"),1),"")</f>
        <v/>
      </c>
      <c r="D62" s="7">
        <f>IFERROR(_xlfn.MAXIFS(Datos!$G$2:$G$29513,Datos!$E$2:$E$29513,$A62,Datos!$D$2:$D$29513,$B62,Datos!$F$2:$F$29513,"STANDBY"),"")</f>
        <v/>
      </c>
      <c r="E62" s="7">
        <f>IFERROR(_xlfn.MINIFS(Datos!$G$2:$G$29513,Datos!$E$2:$E$29513,$A62,Datos!$D$2:$D$29513,$B62,Datos!$F$2:$F$29513,"STANDBY"),"")</f>
        <v/>
      </c>
      <c r="F62" s="7">
        <f>IFERROR(ROUND(AVERAGEIFS(Datos!$G$2:$G$29513,Datos!$E$2:$E$29513,$A62,Datos!$D$2:$D$29513,$B62,Datos!$F$2:$F$29513,"SINGLE_RIDER"),1),"")</f>
        <v/>
      </c>
      <c r="G62" s="7">
        <f>COUNTIFS(Datos!$E$2:$E$29513,$A62,Datos!$D$2:$D$29513,$B62,Datos!$F$2:$F$29513,"STANDBY")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IFERROR(ROUND(AVERAGEIFS(Datos!$G$2:$G$29513,Datos!$E$2:$E$29513,$A63,Datos!$D$2:$D$29513,$B63,Datos!$F$2:$F$29513,"STANDBY"),1),"")</f>
        <v/>
      </c>
      <c r="D63" s="5">
        <f>IFERROR(_xlfn.MAXIFS(Datos!$G$2:$G$29513,Datos!$E$2:$E$29513,$A63,Datos!$D$2:$D$29513,$B63,Datos!$F$2:$F$29513,"STANDBY"),"")</f>
        <v/>
      </c>
      <c r="E63" s="5">
        <f>IFERROR(_xlfn.MINIFS(Datos!$G$2:$G$29513,Datos!$E$2:$E$29513,$A63,Datos!$D$2:$D$29513,$B63,Datos!$F$2:$F$29513,"STANDBY"),"")</f>
        <v/>
      </c>
      <c r="F63" s="5">
        <f>IFERROR(ROUND(AVERAGEIFS(Datos!$G$2:$G$29513,Datos!$E$2:$E$29513,$A63,Datos!$D$2:$D$29513,$B63,Datos!$F$2:$F$29513,"SINGLE_RIDER"),1),"")</f>
        <v/>
      </c>
      <c r="G63" s="5">
        <f>COUNTIFS(Datos!$E$2:$E$29513,$A63,Datos!$D$2:$D$29513,$B63,Datos!$F$2:$F$29513,"STANDBY")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IFERROR(ROUND(AVERAGEIFS(Datos!$G$2:$G$29513,Datos!$E$2:$E$29513,$A64,Datos!$D$2:$D$29513,$B64,Datos!$F$2:$F$29513,"STANDBY"),1),"")</f>
        <v/>
      </c>
      <c r="D64" s="7">
        <f>IFERROR(_xlfn.MAXIFS(Datos!$G$2:$G$29513,Datos!$E$2:$E$29513,$A64,Datos!$D$2:$D$29513,$B64,Datos!$F$2:$F$29513,"STANDBY"),"")</f>
        <v/>
      </c>
      <c r="E64" s="7">
        <f>IFERROR(_xlfn.MINIFS(Datos!$G$2:$G$29513,Datos!$E$2:$E$29513,$A64,Datos!$D$2:$D$29513,$B64,Datos!$F$2:$F$29513,"STANDBY"),"")</f>
        <v/>
      </c>
      <c r="F64" s="7">
        <f>IFERROR(ROUND(AVERAGEIFS(Datos!$G$2:$G$29513,Datos!$E$2:$E$29513,$A64,Datos!$D$2:$D$29513,$B64,Datos!$F$2:$F$29513,"SINGLE_RIDER"),1),"")</f>
        <v/>
      </c>
      <c r="G64" s="7">
        <f>COUNTIFS(Datos!$E$2:$E$29513,$A64,Datos!$D$2:$D$29513,$B64,Datos!$F$2:$F$29513,"STANDBY")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IFERROR(ROUND(AVERAGEIFS(Datos!$G$2:$G$29513,Datos!$E$2:$E$29513,$A65,Datos!$D$2:$D$29513,$B65,Datos!$F$2:$F$29513,"STANDBY"),1),"")</f>
        <v/>
      </c>
      <c r="D65" s="5">
        <f>IFERROR(_xlfn.MAXIFS(Datos!$G$2:$G$29513,Datos!$E$2:$E$29513,$A65,Datos!$D$2:$D$29513,$B65,Datos!$F$2:$F$29513,"STANDBY"),"")</f>
        <v/>
      </c>
      <c r="E65" s="5">
        <f>IFERROR(_xlfn.MINIFS(Datos!$G$2:$G$29513,Datos!$E$2:$E$29513,$A65,Datos!$D$2:$D$29513,$B65,Datos!$F$2:$F$29513,"STANDBY"),"")</f>
        <v/>
      </c>
      <c r="F65" s="5">
        <f>IFERROR(ROUND(AVERAGEIFS(Datos!$G$2:$G$29513,Datos!$E$2:$E$29513,$A65,Datos!$D$2:$D$29513,$B65,Datos!$F$2:$F$29513,"SINGLE_RIDER"),1),"")</f>
        <v/>
      </c>
      <c r="G65" s="5">
        <f>COUNTIFS(Datos!$E$2:$E$29513,$A65,Datos!$D$2:$D$29513,$B65,Datos!$F$2:$F$29513,"STANDBY")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95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  <row r="26166">
      <c r="A26166" s="8" t="inlineStr">
        <is>
          <t>2026-08-05</t>
        </is>
      </c>
      <c r="B26166" s="8" t="n">
        <v>18</v>
      </c>
      <c r="C26166" s="8" t="n">
        <v>31</v>
      </c>
      <c r="D26166" s="8" t="inlineStr">
        <is>
          <t>Disneyland Park</t>
        </is>
      </c>
      <c r="E26166" s="8" t="inlineStr">
        <is>
          <t>Adventure Isle</t>
        </is>
      </c>
      <c r="F26166" s="8" t="inlineStr">
        <is>
          <t>STANDBY</t>
        </is>
      </c>
      <c r="G26166" s="8" t="n">
        <v>0</v>
      </c>
      <c r="H26166" s="8" t="inlineStr">
        <is>
          <t>OPERATING</t>
        </is>
      </c>
    </row>
    <row r="26167">
      <c r="A26167" s="8" t="inlineStr">
        <is>
          <t>2026-08-05</t>
        </is>
      </c>
      <c r="B26167" s="8" t="n">
        <v>18</v>
      </c>
      <c r="C26167" s="8" t="n">
        <v>31</v>
      </c>
      <c r="D26167" s="8" t="inlineStr">
        <is>
          <t>Disneyland Park</t>
        </is>
      </c>
      <c r="E26167" s="8" t="inlineStr">
        <is>
          <t>Indiana Jones and the Temple of Peril Single Rider</t>
        </is>
      </c>
      <c r="F26167" s="8" t="inlineStr">
        <is>
          <t>STANDBY</t>
        </is>
      </c>
      <c r="G26167" s="8" t="n">
        <v>10</v>
      </c>
      <c r="H26167" s="8" t="inlineStr">
        <is>
          <t>OPERATING</t>
        </is>
      </c>
    </row>
    <row r="26168">
      <c r="A26168" s="8" t="inlineStr">
        <is>
          <t>2026-08-05</t>
        </is>
      </c>
      <c r="B26168" s="8" t="n">
        <v>18</v>
      </c>
      <c r="C26168" s="8" t="n">
        <v>31</v>
      </c>
      <c r="D26168" s="8" t="inlineStr">
        <is>
          <t>Disneyland Park</t>
        </is>
      </c>
      <c r="E26168" s="8" t="inlineStr">
        <is>
          <t>Indiana Jones™ and the Temple of Peril</t>
        </is>
      </c>
      <c r="F26168" s="8" t="inlineStr">
        <is>
          <t>STANDBY</t>
        </is>
      </c>
      <c r="G26168" s="8" t="n">
        <v>25</v>
      </c>
      <c r="H26168" s="8" t="inlineStr">
        <is>
          <t>OPERATING</t>
        </is>
      </c>
    </row>
    <row r="26169">
      <c r="A26169" s="8" t="inlineStr">
        <is>
          <t>2026-08-05</t>
        </is>
      </c>
      <c r="B26169" s="8" t="n">
        <v>18</v>
      </c>
      <c r="C26169" s="8" t="n">
        <v>31</v>
      </c>
      <c r="D26169" s="8" t="inlineStr">
        <is>
          <t>Disneyland Park</t>
        </is>
      </c>
      <c r="E26169" s="8" t="inlineStr">
        <is>
          <t>La Cabane des Robinson</t>
        </is>
      </c>
      <c r="F26169" s="8" t="inlineStr">
        <is>
          <t>STANDBY</t>
        </is>
      </c>
      <c r="G26169" s="8" t="n">
        <v>5</v>
      </c>
      <c r="H26169" s="8" t="inlineStr">
        <is>
          <t>OPERATING</t>
        </is>
      </c>
    </row>
    <row r="26170">
      <c r="A26170" s="8" t="inlineStr">
        <is>
          <t>2026-08-05</t>
        </is>
      </c>
      <c r="B26170" s="8" t="n">
        <v>18</v>
      </c>
      <c r="C26170" s="8" t="n">
        <v>31</v>
      </c>
      <c r="D26170" s="8" t="inlineStr">
        <is>
          <t>Disneyland Park</t>
        </is>
      </c>
      <c r="E26170" s="8" t="inlineStr">
        <is>
          <t>Le Passage Enchanté d'Aladdin</t>
        </is>
      </c>
      <c r="F26170" s="8" t="inlineStr">
        <is>
          <t>STANDBY</t>
        </is>
      </c>
      <c r="G26170" s="8" t="n">
        <v>0</v>
      </c>
      <c r="H26170" s="8" t="inlineStr">
        <is>
          <t>OPERATING</t>
        </is>
      </c>
    </row>
    <row r="26171">
      <c r="A26171" s="8" t="inlineStr">
        <is>
          <t>2026-08-05</t>
        </is>
      </c>
      <c r="B26171" s="8" t="n">
        <v>18</v>
      </c>
      <c r="C26171" s="8" t="n">
        <v>31</v>
      </c>
      <c r="D26171" s="8" t="inlineStr">
        <is>
          <t>Disneyland Park</t>
        </is>
      </c>
      <c r="E26171" s="8" t="inlineStr">
        <is>
          <t>Pirate Galleon</t>
        </is>
      </c>
      <c r="F26171" s="8" t="inlineStr">
        <is>
          <t>STANDBY</t>
        </is>
      </c>
      <c r="G26171" s="8" t="n">
        <v>0</v>
      </c>
      <c r="H26171" s="8" t="inlineStr">
        <is>
          <t>CLOSED</t>
        </is>
      </c>
    </row>
    <row r="26172">
      <c r="A26172" s="8" t="inlineStr">
        <is>
          <t>2026-08-05</t>
        </is>
      </c>
      <c r="B26172" s="8" t="n">
        <v>18</v>
      </c>
      <c r="C26172" s="8" t="n">
        <v>31</v>
      </c>
      <c r="D26172" s="8" t="inlineStr">
        <is>
          <t>Disneyland Park</t>
        </is>
      </c>
      <c r="E26172" s="8" t="inlineStr">
        <is>
          <t>Pirates of the Caribbean</t>
        </is>
      </c>
      <c r="F26172" s="8" t="inlineStr">
        <is>
          <t>STANDBY</t>
        </is>
      </c>
      <c r="G26172" s="8" t="n">
        <v>15</v>
      </c>
      <c r="H26172" s="8" t="inlineStr">
        <is>
          <t>OPERATING</t>
        </is>
      </c>
    </row>
    <row r="26173">
      <c r="A26173" s="8" t="inlineStr">
        <is>
          <t>2026-08-05</t>
        </is>
      </c>
      <c r="B26173" s="8" t="n">
        <v>18</v>
      </c>
      <c r="C26173" s="8" t="n">
        <v>31</v>
      </c>
      <c r="D26173" s="8" t="inlineStr">
        <is>
          <t>Disneyland Park</t>
        </is>
      </c>
      <c r="E26173" s="8" t="inlineStr">
        <is>
          <t>Pirates' Beach</t>
        </is>
      </c>
      <c r="F26173" s="8" t="inlineStr">
        <is>
          <t>STANDBY</t>
        </is>
      </c>
      <c r="G26173" s="8" t="n">
        <v>0</v>
      </c>
      <c r="H26173" s="8" t="inlineStr">
        <is>
          <t>OPERATING</t>
        </is>
      </c>
    </row>
    <row r="26174">
      <c r="A26174" s="8" t="inlineStr">
        <is>
          <t>2026-08-05</t>
        </is>
      </c>
      <c r="B26174" s="8" t="n">
        <v>18</v>
      </c>
      <c r="C26174" s="8" t="n">
        <v>31</v>
      </c>
      <c r="D26174" s="8" t="inlineStr">
        <is>
          <t>Disneyland Park</t>
        </is>
      </c>
      <c r="E26174" s="8" t="inlineStr">
        <is>
          <t>Autopia, presented by Avis</t>
        </is>
      </c>
      <c r="F26174" s="8" t="inlineStr">
        <is>
          <t>STANDBY</t>
        </is>
      </c>
      <c r="G26174" s="8" t="n">
        <v>50</v>
      </c>
      <c r="H26174" s="8" t="inlineStr">
        <is>
          <t>OPERATING</t>
        </is>
      </c>
    </row>
    <row r="26175">
      <c r="A26175" s="8" t="inlineStr">
        <is>
          <t>2026-08-05</t>
        </is>
      </c>
      <c r="B26175" s="8" t="n">
        <v>18</v>
      </c>
      <c r="C26175" s="8" t="n">
        <v>31</v>
      </c>
      <c r="D26175" s="8" t="inlineStr">
        <is>
          <t>Disneyland Park</t>
        </is>
      </c>
      <c r="E26175" s="8" t="inlineStr">
        <is>
          <t>Buzz Lightyear Laser Blast</t>
        </is>
      </c>
      <c r="F26175" s="8" t="inlineStr">
        <is>
          <t>STANDBY</t>
        </is>
      </c>
      <c r="G26175" s="8" t="n">
        <v>50</v>
      </c>
      <c r="H26175" s="8" t="inlineStr">
        <is>
          <t>OPERATING</t>
        </is>
      </c>
    </row>
    <row r="26176">
      <c r="A26176" s="8" t="inlineStr">
        <is>
          <t>2026-08-05</t>
        </is>
      </c>
      <c r="B26176" s="8" t="n">
        <v>18</v>
      </c>
      <c r="C26176" s="8" t="n">
        <v>31</v>
      </c>
      <c r="D26176" s="8" t="inlineStr">
        <is>
          <t>Disneyland Park</t>
        </is>
      </c>
      <c r="E26176" s="8" t="inlineStr">
        <is>
          <t>Disneyland Railroad Discoveryland Station</t>
        </is>
      </c>
      <c r="F26176" s="8" t="inlineStr">
        <is>
          <t>STANDBY</t>
        </is>
      </c>
      <c r="G26176" s="8" t="n">
        <v>0</v>
      </c>
      <c r="H26176" s="8" t="inlineStr">
        <is>
          <t>CLOSED</t>
        </is>
      </c>
    </row>
    <row r="26177">
      <c r="A26177" s="8" t="inlineStr">
        <is>
          <t>2026-08-05</t>
        </is>
      </c>
      <c r="B26177" s="8" t="n">
        <v>18</v>
      </c>
      <c r="C26177" s="8" t="n">
        <v>31</v>
      </c>
      <c r="D26177" s="8" t="inlineStr">
        <is>
          <t>Disneyland Park</t>
        </is>
      </c>
      <c r="E26177" s="8" t="inlineStr">
        <is>
          <t>Les Mystères du Nautilus</t>
        </is>
      </c>
      <c r="F26177" s="8" t="inlineStr">
        <is>
          <t>STANDBY</t>
        </is>
      </c>
      <c r="G26177" s="8" t="n">
        <v>5</v>
      </c>
      <c r="H26177" s="8" t="inlineStr">
        <is>
          <t>OPERATING</t>
        </is>
      </c>
    </row>
    <row r="26178">
      <c r="A26178" s="8" t="inlineStr">
        <is>
          <t>2026-08-05</t>
        </is>
      </c>
      <c r="B26178" s="8" t="n">
        <v>18</v>
      </c>
      <c r="C26178" s="8" t="n">
        <v>31</v>
      </c>
      <c r="D26178" s="8" t="inlineStr">
        <is>
          <t>Disneyland Park</t>
        </is>
      </c>
      <c r="E26178" s="8" t="inlineStr">
        <is>
          <t>Mickey’s PhilharMagic</t>
        </is>
      </c>
      <c r="F26178" s="8" t="inlineStr">
        <is>
          <t>STANDBY</t>
        </is>
      </c>
      <c r="G26178" s="8" t="n">
        <v>0</v>
      </c>
      <c r="H26178" s="8" t="inlineStr">
        <is>
          <t>CLOSED</t>
        </is>
      </c>
    </row>
    <row r="26179">
      <c r="A26179" s="8" t="inlineStr">
        <is>
          <t>2026-08-05</t>
        </is>
      </c>
      <c r="B26179" s="8" t="n">
        <v>18</v>
      </c>
      <c r="C26179" s="8" t="n">
        <v>31</v>
      </c>
      <c r="D26179" s="8" t="inlineStr">
        <is>
          <t>Disneyland Park</t>
        </is>
      </c>
      <c r="E26179" s="8" t="inlineStr">
        <is>
          <t>Orbitron®</t>
        </is>
      </c>
      <c r="F26179" s="8" t="inlineStr">
        <is>
          <t>STANDBY</t>
        </is>
      </c>
      <c r="G26179" s="8" t="n">
        <v>70</v>
      </c>
      <c r="H26179" s="8" t="inlineStr">
        <is>
          <t>OPERATING</t>
        </is>
      </c>
    </row>
    <row r="26180">
      <c r="A26180" s="8" t="inlineStr">
        <is>
          <t>2026-08-05</t>
        </is>
      </c>
      <c r="B26180" s="8" t="n">
        <v>18</v>
      </c>
      <c r="C26180" s="8" t="n">
        <v>31</v>
      </c>
      <c r="D26180" s="8" t="inlineStr">
        <is>
          <t>Disneyland Park</t>
        </is>
      </c>
      <c r="E26180" s="8" t="inlineStr">
        <is>
          <t>Star Tours: The Adventures Continue*</t>
        </is>
      </c>
      <c r="F26180" s="8" t="inlineStr">
        <is>
          <t>STANDBY</t>
        </is>
      </c>
      <c r="G26180" s="8" t="n">
        <v>10</v>
      </c>
      <c r="H26180" s="8" t="inlineStr">
        <is>
          <t>OPERATING</t>
        </is>
      </c>
    </row>
    <row r="26181">
      <c r="A26181" s="8" t="inlineStr">
        <is>
          <t>2026-08-05</t>
        </is>
      </c>
      <c r="B26181" s="8" t="n">
        <v>18</v>
      </c>
      <c r="C26181" s="8" t="n">
        <v>31</v>
      </c>
      <c r="D26181" s="8" t="inlineStr">
        <is>
          <t>Disneyland Park</t>
        </is>
      </c>
      <c r="E26181" s="8" t="inlineStr">
        <is>
          <t>Star Wars Hyperspace Mountain</t>
        </is>
      </c>
      <c r="F26181" s="8" t="inlineStr">
        <is>
          <t>STANDBY</t>
        </is>
      </c>
      <c r="G26181" s="8" t="n">
        <v>70</v>
      </c>
      <c r="H26181" s="8" t="inlineStr">
        <is>
          <t>OPERATING</t>
        </is>
      </c>
    </row>
    <row r="26182">
      <c r="A26182" s="8" t="inlineStr">
        <is>
          <t>2026-08-05</t>
        </is>
      </c>
      <c r="B26182" s="8" t="n">
        <v>18</v>
      </c>
      <c r="C26182" s="8" t="n">
        <v>31</v>
      </c>
      <c r="D26182" s="8" t="inlineStr">
        <is>
          <t>Disneyland Park</t>
        </is>
      </c>
      <c r="E26182" s="8" t="inlineStr">
        <is>
          <t>Star Wars Hyperspace Mountain Single Rider</t>
        </is>
      </c>
      <c r="F26182" s="8" t="inlineStr">
        <is>
          <t>STANDBY</t>
        </is>
      </c>
      <c r="G26182" s="8" t="n">
        <v>60</v>
      </c>
      <c r="H26182" s="8" t="inlineStr">
        <is>
          <t>OPERATING</t>
        </is>
      </c>
    </row>
    <row r="26183">
      <c r="A26183" s="8" t="inlineStr">
        <is>
          <t>2026-08-05</t>
        </is>
      </c>
      <c r="B26183" s="8" t="n">
        <v>18</v>
      </c>
      <c r="C26183" s="8" t="n">
        <v>31</v>
      </c>
      <c r="D26183" s="8" t="inlineStr">
        <is>
          <t>Disneyland Park</t>
        </is>
      </c>
      <c r="E26183" s="8" t="inlineStr">
        <is>
          <t>Welcome to Starport: A Star Wars Encounter</t>
        </is>
      </c>
      <c r="F26183" s="8" t="inlineStr">
        <is>
          <t>STANDBY</t>
        </is>
      </c>
      <c r="G26183" s="8" t="n">
        <v>0</v>
      </c>
      <c r="H26183" s="8" t="inlineStr">
        <is>
          <t>CLOSED</t>
        </is>
      </c>
    </row>
    <row r="26184">
      <c r="A26184" s="8" t="inlineStr">
        <is>
          <t>2026-08-05</t>
        </is>
      </c>
      <c r="B26184" s="8" t="n">
        <v>18</v>
      </c>
      <c r="C26184" s="8" t="n">
        <v>31</v>
      </c>
      <c r="D26184" s="8" t="inlineStr">
        <is>
          <t>Disneyland Park</t>
        </is>
      </c>
      <c r="E26184" s="8" t="inlineStr">
        <is>
          <t>"it's a small world"</t>
        </is>
      </c>
      <c r="F26184" s="8" t="inlineStr">
        <is>
          <t>STANDBY</t>
        </is>
      </c>
      <c r="G26184" s="8" t="n">
        <v>5</v>
      </c>
      <c r="H26184" s="8" t="inlineStr">
        <is>
          <t>OPERATING</t>
        </is>
      </c>
    </row>
    <row r="26185">
      <c r="A26185" s="8" t="inlineStr">
        <is>
          <t>2026-08-05</t>
        </is>
      </c>
      <c r="B26185" s="8" t="n">
        <v>18</v>
      </c>
      <c r="C26185" s="8" t="n">
        <v>31</v>
      </c>
      <c r="D26185" s="8" t="inlineStr">
        <is>
          <t>Disneyland Park</t>
        </is>
      </c>
      <c r="E26185" s="8" t="inlineStr">
        <is>
          <t>Alice's Curious Labyrinth</t>
        </is>
      </c>
      <c r="F26185" s="8" t="inlineStr">
        <is>
          <t>STANDBY</t>
        </is>
      </c>
      <c r="G26185" s="8" t="n">
        <v>5</v>
      </c>
      <c r="H26185" s="8" t="inlineStr">
        <is>
          <t>OPERATING</t>
        </is>
      </c>
    </row>
    <row r="26186">
      <c r="A26186" s="8" t="inlineStr">
        <is>
          <t>2026-08-05</t>
        </is>
      </c>
      <c r="B26186" s="8" t="n">
        <v>18</v>
      </c>
      <c r="C26186" s="8" t="n">
        <v>31</v>
      </c>
      <c r="D26186" s="8" t="inlineStr">
        <is>
          <t>Disneyland Park</t>
        </is>
      </c>
      <c r="E26186" s="8" t="inlineStr">
        <is>
          <t>Blanche-Neige et les Sept Nains®</t>
        </is>
      </c>
      <c r="F26186" s="8" t="inlineStr">
        <is>
          <t>STANDBY</t>
        </is>
      </c>
      <c r="G26186" s="8" t="n">
        <v>30</v>
      </c>
      <c r="H26186" s="8" t="inlineStr">
        <is>
          <t>OPERATING</t>
        </is>
      </c>
    </row>
    <row r="26187">
      <c r="A26187" s="8" t="inlineStr">
        <is>
          <t>2026-08-05</t>
        </is>
      </c>
      <c r="B26187" s="8" t="n">
        <v>18</v>
      </c>
      <c r="C26187" s="8" t="n">
        <v>31</v>
      </c>
      <c r="D26187" s="8" t="inlineStr">
        <is>
          <t>Disneyland Park</t>
        </is>
      </c>
      <c r="E26187" s="8" t="inlineStr">
        <is>
          <t>Casey Jr. – le Petit Train du Cirque</t>
        </is>
      </c>
      <c r="F26187" s="8" t="inlineStr">
        <is>
          <t>STANDBY</t>
        </is>
      </c>
      <c r="G26187" s="8" t="n">
        <v>25</v>
      </c>
      <c r="H26187" s="8" t="inlineStr">
        <is>
          <t>OPERATING</t>
        </is>
      </c>
    </row>
    <row r="26188">
      <c r="A26188" s="8" t="inlineStr">
        <is>
          <t>2026-08-05</t>
        </is>
      </c>
      <c r="B26188" s="8" t="n">
        <v>18</v>
      </c>
      <c r="C26188" s="8" t="n">
        <v>31</v>
      </c>
      <c r="D26188" s="8" t="inlineStr">
        <is>
          <t>Disneyland Park</t>
        </is>
      </c>
      <c r="E26188" s="8" t="inlineStr">
        <is>
          <t>Disneyland Railroad Fantasyland Station</t>
        </is>
      </c>
      <c r="F26188" s="8" t="inlineStr">
        <is>
          <t>STANDBY</t>
        </is>
      </c>
      <c r="G26188" s="8" t="n">
        <v>0</v>
      </c>
      <c r="H26188" s="8" t="inlineStr">
        <is>
          <t>CLOSED</t>
        </is>
      </c>
    </row>
    <row r="26189">
      <c r="A26189" s="8" t="inlineStr">
        <is>
          <t>2026-08-05</t>
        </is>
      </c>
      <c r="B26189" s="8" t="n">
        <v>18</v>
      </c>
      <c r="C26189" s="8" t="n">
        <v>31</v>
      </c>
      <c r="D26189" s="8" t="inlineStr">
        <is>
          <t>Disneyland Park</t>
        </is>
      </c>
      <c r="E26189" s="8" t="inlineStr">
        <is>
          <t>Disneyland Railroad Main Street Station</t>
        </is>
      </c>
      <c r="F26189" s="8" t="inlineStr">
        <is>
          <t>STANDBY</t>
        </is>
      </c>
      <c r="G26189" s="8" t="n">
        <v>20</v>
      </c>
      <c r="H26189" s="8" t="inlineStr">
        <is>
          <t>OPERATING</t>
        </is>
      </c>
    </row>
    <row r="26190">
      <c r="A26190" s="8" t="inlineStr">
        <is>
          <t>2026-08-05</t>
        </is>
      </c>
      <c r="B26190" s="8" t="n">
        <v>18</v>
      </c>
      <c r="C26190" s="8" t="n">
        <v>31</v>
      </c>
      <c r="D26190" s="8" t="inlineStr">
        <is>
          <t>Disneyland Park</t>
        </is>
      </c>
      <c r="E26190" s="8" t="inlineStr">
        <is>
          <t>Dumbo the Flying Elephant</t>
        </is>
      </c>
      <c r="F26190" s="8" t="inlineStr">
        <is>
          <t>STANDBY</t>
        </is>
      </c>
      <c r="G26190" s="8" t="n">
        <v>25</v>
      </c>
      <c r="H26190" s="8" t="inlineStr">
        <is>
          <t>OPERATING</t>
        </is>
      </c>
    </row>
    <row r="26191">
      <c r="A26191" s="8" t="inlineStr">
        <is>
          <t>2026-08-05</t>
        </is>
      </c>
      <c r="B26191" s="8" t="n">
        <v>18</v>
      </c>
      <c r="C26191" s="8" t="n">
        <v>31</v>
      </c>
      <c r="D26191" s="8" t="inlineStr">
        <is>
          <t>Disneyland Park</t>
        </is>
      </c>
      <c r="E26191" s="8" t="inlineStr">
        <is>
          <t>La Tanière du Dragon</t>
        </is>
      </c>
      <c r="F26191" s="8" t="inlineStr">
        <is>
          <t>STANDBY</t>
        </is>
      </c>
      <c r="G26191" s="8" t="n">
        <v>0</v>
      </c>
      <c r="H26191" s="8" t="inlineStr">
        <is>
          <t>OPERATING</t>
        </is>
      </c>
    </row>
    <row r="26192">
      <c r="A26192" s="8" t="inlineStr">
        <is>
          <t>2026-08-05</t>
        </is>
      </c>
      <c r="B26192" s="8" t="n">
        <v>18</v>
      </c>
      <c r="C26192" s="8" t="n">
        <v>31</v>
      </c>
      <c r="D26192" s="8" t="inlineStr">
        <is>
          <t>Disneyland Park</t>
        </is>
      </c>
      <c r="E26192" s="8" t="inlineStr">
        <is>
          <t>Le Carrousel de Lancelot</t>
        </is>
      </c>
      <c r="F26192" s="8" t="inlineStr">
        <is>
          <t>STANDBY</t>
        </is>
      </c>
      <c r="G26192" s="8" t="n">
        <v>10</v>
      </c>
      <c r="H26192" s="8" t="inlineStr">
        <is>
          <t>OPERATING</t>
        </is>
      </c>
    </row>
    <row r="26193">
      <c r="A26193" s="8" t="inlineStr">
        <is>
          <t>2026-08-05</t>
        </is>
      </c>
      <c r="B26193" s="8" t="n">
        <v>18</v>
      </c>
      <c r="C26193" s="8" t="n">
        <v>31</v>
      </c>
      <c r="D26193" s="8" t="inlineStr">
        <is>
          <t>Disneyland Park</t>
        </is>
      </c>
      <c r="E26193" s="8" t="inlineStr">
        <is>
          <t>Le Pays des Contes de Fées, presented by Vittel</t>
        </is>
      </c>
      <c r="F26193" s="8" t="inlineStr">
        <is>
          <t>STANDBY</t>
        </is>
      </c>
      <c r="G26193" s="8" t="n">
        <v>5</v>
      </c>
      <c r="H26193" s="8" t="inlineStr">
        <is>
          <t>OPERATING</t>
        </is>
      </c>
    </row>
    <row r="26194">
      <c r="A26194" s="8" t="inlineStr">
        <is>
          <t>2026-08-05</t>
        </is>
      </c>
      <c r="B26194" s="8" t="n">
        <v>18</v>
      </c>
      <c r="C26194" s="8" t="n">
        <v>31</v>
      </c>
      <c r="D26194" s="8" t="inlineStr">
        <is>
          <t>Disneyland Park</t>
        </is>
      </c>
      <c r="E26194" s="8" t="inlineStr">
        <is>
          <t>Les Voyages de Pinocchio</t>
        </is>
      </c>
      <c r="F26194" s="8" t="inlineStr">
        <is>
          <t>STANDBY</t>
        </is>
      </c>
      <c r="G26194" s="8" t="n">
        <v>30</v>
      </c>
      <c r="H26194" s="8" t="inlineStr">
        <is>
          <t>OPERATING</t>
        </is>
      </c>
    </row>
    <row r="26195">
      <c r="A26195" s="8" t="inlineStr">
        <is>
          <t>2026-08-05</t>
        </is>
      </c>
      <c r="B26195" s="8" t="n">
        <v>18</v>
      </c>
      <c r="C26195" s="8" t="n">
        <v>31</v>
      </c>
      <c r="D26195" s="8" t="inlineStr">
        <is>
          <t>Disneyland Park</t>
        </is>
      </c>
      <c r="E26195" s="8" t="inlineStr">
        <is>
          <t>Mad Hatter's Tea Cups</t>
        </is>
      </c>
      <c r="F26195" s="8" t="inlineStr">
        <is>
          <t>STANDBY</t>
        </is>
      </c>
      <c r="G26195" s="8" t="n">
        <v>5</v>
      </c>
      <c r="H26195" s="8" t="inlineStr">
        <is>
          <t>OPERATING</t>
        </is>
      </c>
    </row>
    <row r="26196">
      <c r="A26196" s="8" t="inlineStr">
        <is>
          <t>2026-08-05</t>
        </is>
      </c>
      <c r="B26196" s="8" t="n">
        <v>18</v>
      </c>
      <c r="C26196" s="8" t="n">
        <v>31</v>
      </c>
      <c r="D26196" s="8" t="inlineStr">
        <is>
          <t>Disneyland Park</t>
        </is>
      </c>
      <c r="E26196" s="8" t="inlineStr">
        <is>
          <t>Meet Mickey Mouse</t>
        </is>
      </c>
      <c r="F26196" s="8" t="inlineStr">
        <is>
          <t>STANDBY</t>
        </is>
      </c>
      <c r="G26196" s="8" t="n">
        <v>0</v>
      </c>
      <c r="H26196" s="8" t="inlineStr">
        <is>
          <t>CLOSED</t>
        </is>
      </c>
    </row>
    <row r="26197">
      <c r="A26197" s="8" t="inlineStr">
        <is>
          <t>2026-08-05</t>
        </is>
      </c>
      <c r="B26197" s="8" t="n">
        <v>18</v>
      </c>
      <c r="C26197" s="8" t="n">
        <v>31</v>
      </c>
      <c r="D26197" s="8" t="inlineStr">
        <is>
          <t>Disneyland Park</t>
        </is>
      </c>
      <c r="E26197" s="8" t="inlineStr">
        <is>
          <t>Peter Pan's Flight</t>
        </is>
      </c>
      <c r="F26197" s="8" t="inlineStr">
        <is>
          <t>STANDBY</t>
        </is>
      </c>
      <c r="G26197" s="8" t="n">
        <v>60</v>
      </c>
      <c r="H26197" s="8" t="inlineStr">
        <is>
          <t>OPERATING</t>
        </is>
      </c>
    </row>
    <row r="26198">
      <c r="A26198" s="8" t="inlineStr">
        <is>
          <t>2026-08-05</t>
        </is>
      </c>
      <c r="B26198" s="8" t="n">
        <v>18</v>
      </c>
      <c r="C26198" s="8" t="n">
        <v>31</v>
      </c>
      <c r="D26198" s="8" t="inlineStr">
        <is>
          <t>Disneyland Park</t>
        </is>
      </c>
      <c r="E26198" s="8" t="inlineStr">
        <is>
          <t>Princess Pavilion</t>
        </is>
      </c>
      <c r="F26198" s="8" t="inlineStr">
        <is>
          <t>STANDBY</t>
        </is>
      </c>
      <c r="G26198" s="8" t="n">
        <v>0</v>
      </c>
      <c r="H26198" s="8" t="inlineStr">
        <is>
          <t>CLOSED</t>
        </is>
      </c>
    </row>
    <row r="26199">
      <c r="A26199" s="8" t="inlineStr">
        <is>
          <t>2026-08-05</t>
        </is>
      </c>
      <c r="B26199" s="8" t="n">
        <v>18</v>
      </c>
      <c r="C26199" s="8" t="n">
        <v>31</v>
      </c>
      <c r="D26199" s="8" t="inlineStr">
        <is>
          <t>Disneyland Park</t>
        </is>
      </c>
      <c r="E26199" s="8" t="inlineStr">
        <is>
          <t>Big Thunder Mountain</t>
        </is>
      </c>
      <c r="F26199" s="8" t="inlineStr">
        <is>
          <t>STANDBY</t>
        </is>
      </c>
      <c r="G26199" s="8" t="n">
        <v>65</v>
      </c>
      <c r="H26199" s="8" t="inlineStr">
        <is>
          <t>OPERATING</t>
        </is>
      </c>
    </row>
    <row r="26200">
      <c r="A26200" s="8" t="inlineStr">
        <is>
          <t>2026-08-05</t>
        </is>
      </c>
      <c r="B26200" s="8" t="n">
        <v>18</v>
      </c>
      <c r="C26200" s="8" t="n">
        <v>31</v>
      </c>
      <c r="D26200" s="8" t="inlineStr">
        <is>
          <t>Disneyland Park</t>
        </is>
      </c>
      <c r="E26200" s="8" t="inlineStr">
        <is>
          <t>Disneyland Railroad Frontierland Depot</t>
        </is>
      </c>
      <c r="F26200" s="8" t="inlineStr">
        <is>
          <t>STANDBY</t>
        </is>
      </c>
      <c r="G26200" s="8" t="n">
        <v>20</v>
      </c>
      <c r="H26200" s="8" t="inlineStr">
        <is>
          <t>OPERATING</t>
        </is>
      </c>
    </row>
    <row r="26201">
      <c r="A26201" s="8" t="inlineStr">
        <is>
          <t>2026-08-05</t>
        </is>
      </c>
      <c r="B26201" s="8" t="n">
        <v>18</v>
      </c>
      <c r="C26201" s="8" t="n">
        <v>31</v>
      </c>
      <c r="D26201" s="8" t="inlineStr">
        <is>
          <t>Disneyland Park</t>
        </is>
      </c>
      <c r="E26201" s="8" t="inlineStr">
        <is>
          <t>Frontierland Playground</t>
        </is>
      </c>
      <c r="F26201" s="8" t="inlineStr">
        <is>
          <t>STANDBY</t>
        </is>
      </c>
      <c r="G26201" s="8" t="n">
        <v>0</v>
      </c>
      <c r="H26201" s="8" t="inlineStr">
        <is>
          <t>OPERATING</t>
        </is>
      </c>
    </row>
    <row r="26202">
      <c r="A26202" s="8" t="inlineStr">
        <is>
          <t>2026-08-05</t>
        </is>
      </c>
      <c r="B26202" s="8" t="n">
        <v>18</v>
      </c>
      <c r="C26202" s="8" t="n">
        <v>31</v>
      </c>
      <c r="D26202" s="8" t="inlineStr">
        <is>
          <t>Disneyland Park</t>
        </is>
      </c>
      <c r="E26202" s="8" t="inlineStr">
        <is>
          <t>Phantom Manor</t>
        </is>
      </c>
      <c r="F26202" s="8" t="inlineStr">
        <is>
          <t>STANDBY</t>
        </is>
      </c>
      <c r="G26202" s="8" t="n">
        <v>20</v>
      </c>
      <c r="H26202" s="8" t="inlineStr">
        <is>
          <t>OPERATING</t>
        </is>
      </c>
    </row>
    <row r="26203">
      <c r="A26203" s="8" t="inlineStr">
        <is>
          <t>2026-08-05</t>
        </is>
      </c>
      <c r="B26203" s="8" t="n">
        <v>18</v>
      </c>
      <c r="C26203" s="8" t="n">
        <v>31</v>
      </c>
      <c r="D26203" s="8" t="inlineStr">
        <is>
          <t>Disneyland Park</t>
        </is>
      </c>
      <c r="E26203" s="8" t="inlineStr">
        <is>
          <t>River Rogue Keelboats</t>
        </is>
      </c>
      <c r="F26203" s="8" t="inlineStr">
        <is>
          <t>STANDBY</t>
        </is>
      </c>
      <c r="G26203" s="8" t="n">
        <v>0</v>
      </c>
      <c r="H26203" s="8" t="inlineStr">
        <is>
          <t>CLOSED</t>
        </is>
      </c>
    </row>
    <row r="26204">
      <c r="A26204" s="8" t="inlineStr">
        <is>
          <t>2026-08-05</t>
        </is>
      </c>
      <c r="B26204" s="8" t="n">
        <v>18</v>
      </c>
      <c r="C26204" s="8" t="n">
        <v>31</v>
      </c>
      <c r="D26204" s="8" t="inlineStr">
        <is>
          <t>Disneyland Park</t>
        </is>
      </c>
      <c r="E26204" s="8" t="inlineStr">
        <is>
          <t>Rustler Roundup Shootin' Gallery</t>
        </is>
      </c>
      <c r="F26204" s="8" t="inlineStr">
        <is>
          <t>STANDBY</t>
        </is>
      </c>
      <c r="G26204" s="8" t="n">
        <v>0</v>
      </c>
      <c r="H26204" s="8" t="inlineStr">
        <is>
          <t>OPERATING</t>
        </is>
      </c>
    </row>
    <row r="26205">
      <c r="A26205" s="8" t="inlineStr">
        <is>
          <t>2026-08-05</t>
        </is>
      </c>
      <c r="B26205" s="8" t="n">
        <v>18</v>
      </c>
      <c r="C26205" s="8" t="n">
        <v>31</v>
      </c>
      <c r="D26205" s="8" t="inlineStr">
        <is>
          <t>Disneyland Park</t>
        </is>
      </c>
      <c r="E26205" s="8" t="inlineStr">
        <is>
          <t>Thunder Mesa Riverboat Landing</t>
        </is>
      </c>
      <c r="F26205" s="8" t="inlineStr">
        <is>
          <t>STANDBY</t>
        </is>
      </c>
      <c r="G26205" s="8" t="n">
        <v>0</v>
      </c>
      <c r="H26205" s="8" t="inlineStr">
        <is>
          <t>CLOSED</t>
        </is>
      </c>
    </row>
    <row r="26206">
      <c r="A26206" s="8" t="inlineStr">
        <is>
          <t>2026-08-05</t>
        </is>
      </c>
      <c r="B26206" s="8" t="n">
        <v>18</v>
      </c>
      <c r="C26206" s="8" t="n">
        <v>31</v>
      </c>
      <c r="D26206" s="8" t="inlineStr">
        <is>
          <t>Disneyland Park</t>
        </is>
      </c>
      <c r="E26206" s="8" t="inlineStr">
        <is>
          <t>Disneyland Railroad Main Street Station</t>
        </is>
      </c>
      <c r="F26206" s="8" t="inlineStr">
        <is>
          <t>STANDBY</t>
        </is>
      </c>
      <c r="G26206" s="8" t="n">
        <v>0</v>
      </c>
      <c r="H26206" s="8" t="inlineStr">
        <is>
          <t>OPERATING</t>
        </is>
      </c>
    </row>
    <row r="26207">
      <c r="A26207" s="8" t="inlineStr">
        <is>
          <t>2026-08-05</t>
        </is>
      </c>
      <c r="B26207" s="8" t="n">
        <v>18</v>
      </c>
      <c r="C26207" s="8" t="n">
        <v>31</v>
      </c>
      <c r="D26207" s="8" t="inlineStr">
        <is>
          <t>Disneyland Park</t>
        </is>
      </c>
      <c r="E26207" s="8" t="inlineStr">
        <is>
          <t>Main Street Vehicles</t>
        </is>
      </c>
      <c r="F26207" s="8" t="inlineStr">
        <is>
          <t>STANDBY</t>
        </is>
      </c>
      <c r="G26207" s="8" t="n">
        <v>0</v>
      </c>
      <c r="H26207" s="8" t="inlineStr">
        <is>
          <t>CLOSED</t>
        </is>
      </c>
    </row>
    <row r="26208">
      <c r="A26208" s="8" t="inlineStr">
        <is>
          <t>2026-08-05</t>
        </is>
      </c>
      <c r="B26208" s="8" t="n">
        <v>18</v>
      </c>
      <c r="C26208" s="8" t="n">
        <v>31</v>
      </c>
      <c r="D26208" s="8" t="inlineStr">
        <is>
          <t>Disney Adventure World</t>
        </is>
      </c>
      <c r="E26208" s="8" t="inlineStr">
        <is>
          <t>Avengers Assemble: Flight Force</t>
        </is>
      </c>
      <c r="F26208" s="8" t="inlineStr">
        <is>
          <t>STANDBY</t>
        </is>
      </c>
      <c r="G26208" s="8" t="n">
        <v>20</v>
      </c>
      <c r="H26208" s="8" t="inlineStr">
        <is>
          <t>OPERATING</t>
        </is>
      </c>
    </row>
    <row r="26209">
      <c r="A26209" s="8" t="inlineStr">
        <is>
          <t>2026-08-05</t>
        </is>
      </c>
      <c r="B26209" s="8" t="n">
        <v>18</v>
      </c>
      <c r="C26209" s="8" t="n">
        <v>31</v>
      </c>
      <c r="D26209" s="8" t="inlineStr">
        <is>
          <t>Disney Adventure World</t>
        </is>
      </c>
      <c r="E26209" s="8" t="inlineStr">
        <is>
          <t>Avengers Assemble: Flight Force Single Rider</t>
        </is>
      </c>
      <c r="F26209" s="8" t="inlineStr">
        <is>
          <t>STANDBY</t>
        </is>
      </c>
      <c r="G26209" s="8" t="n">
        <v>15</v>
      </c>
      <c r="H26209" s="8" t="inlineStr">
        <is>
          <t>OPERATING</t>
        </is>
      </c>
    </row>
    <row r="26210">
      <c r="A26210" s="8" t="inlineStr">
        <is>
          <t>2026-08-05</t>
        </is>
      </c>
      <c r="B26210" s="8" t="n">
        <v>18</v>
      </c>
      <c r="C26210" s="8" t="n">
        <v>31</v>
      </c>
      <c r="D26210" s="8" t="inlineStr">
        <is>
          <t>Disney Adventure World</t>
        </is>
      </c>
      <c r="E26210" s="8" t="inlineStr">
        <is>
          <t>Spider-Man W.E.B. Adventure</t>
        </is>
      </c>
      <c r="F26210" s="8" t="inlineStr">
        <is>
          <t>STANDBY</t>
        </is>
      </c>
      <c r="G26210" s="8" t="n">
        <v>40</v>
      </c>
      <c r="H26210" s="8" t="inlineStr">
        <is>
          <t>OPERATING</t>
        </is>
      </c>
    </row>
    <row r="26211">
      <c r="A26211" s="8" t="inlineStr">
        <is>
          <t>2026-08-05</t>
        </is>
      </c>
      <c r="B26211" s="8" t="n">
        <v>18</v>
      </c>
      <c r="C26211" s="8" t="n">
        <v>31</v>
      </c>
      <c r="D26211" s="8" t="inlineStr">
        <is>
          <t>Disney Adventure World</t>
        </is>
      </c>
      <c r="E26211" s="8" t="inlineStr">
        <is>
          <t>Spider-Man W.E.B. Adventure Single Rider</t>
        </is>
      </c>
      <c r="F26211" s="8" t="inlineStr">
        <is>
          <t>STANDBY</t>
        </is>
      </c>
      <c r="G26211" s="8" t="n">
        <v>25</v>
      </c>
      <c r="H26211" s="8" t="inlineStr">
        <is>
          <t>OPERATING</t>
        </is>
      </c>
    </row>
    <row r="26212">
      <c r="A26212" s="8" t="inlineStr">
        <is>
          <t>2026-08-05</t>
        </is>
      </c>
      <c r="B26212" s="8" t="n">
        <v>18</v>
      </c>
      <c r="C26212" s="8" t="n">
        <v>31</v>
      </c>
      <c r="D26212" s="8" t="inlineStr">
        <is>
          <t>Disney Adventure World</t>
        </is>
      </c>
      <c r="E26212" s="8" t="inlineStr">
        <is>
          <t>The Twilight Zone Tower of Terror</t>
        </is>
      </c>
      <c r="F26212" s="8" t="inlineStr">
        <is>
          <t>STANDBY</t>
        </is>
      </c>
      <c r="G26212" s="8" t="n">
        <v>30</v>
      </c>
      <c r="H26212" s="8" t="inlineStr">
        <is>
          <t>OPERATING</t>
        </is>
      </c>
    </row>
    <row r="26213">
      <c r="A26213" s="8" t="inlineStr">
        <is>
          <t>2026-08-05</t>
        </is>
      </c>
      <c r="B26213" s="8" t="n">
        <v>18</v>
      </c>
      <c r="C26213" s="8" t="n">
        <v>31</v>
      </c>
      <c r="D26213" s="8" t="inlineStr">
        <is>
          <t>Disney Adventure World</t>
        </is>
      </c>
      <c r="E26213" s="8" t="inlineStr">
        <is>
          <t>Cars Quatre Roues Rallye</t>
        </is>
      </c>
      <c r="F26213" s="8" t="inlineStr">
        <is>
          <t>STANDBY</t>
        </is>
      </c>
      <c r="G26213" s="8" t="n">
        <v>5</v>
      </c>
      <c r="H26213" s="8" t="inlineStr">
        <is>
          <t>OPERATING</t>
        </is>
      </c>
    </row>
    <row r="26214">
      <c r="A26214" s="8" t="inlineStr">
        <is>
          <t>2026-08-05</t>
        </is>
      </c>
      <c r="B26214" s="8" t="n">
        <v>18</v>
      </c>
      <c r="C26214" s="8" t="n">
        <v>31</v>
      </c>
      <c r="D26214" s="8" t="inlineStr">
        <is>
          <t>Disney Adventure World</t>
        </is>
      </c>
      <c r="E26214" s="8" t="inlineStr">
        <is>
          <t>Cars ROAD TRIP</t>
        </is>
      </c>
      <c r="F26214" s="8" t="inlineStr">
        <is>
          <t>STANDBY</t>
        </is>
      </c>
      <c r="G26214" s="8" t="n">
        <v>5</v>
      </c>
      <c r="H26214" s="8" t="inlineStr">
        <is>
          <t>OPERATING</t>
        </is>
      </c>
    </row>
    <row r="26215">
      <c r="A26215" s="8" t="inlineStr">
        <is>
          <t>2026-08-05</t>
        </is>
      </c>
      <c r="B26215" s="8" t="n">
        <v>18</v>
      </c>
      <c r="C26215" s="8" t="n">
        <v>31</v>
      </c>
      <c r="D26215" s="8" t="inlineStr">
        <is>
          <t>Disney Adventure World</t>
        </is>
      </c>
      <c r="E26215" s="8" t="inlineStr">
        <is>
          <t>Crush's Coaster</t>
        </is>
      </c>
      <c r="F26215" s="8" t="inlineStr">
        <is>
          <t>STANDBY</t>
        </is>
      </c>
      <c r="G26215" s="8" t="n">
        <v>70</v>
      </c>
      <c r="H26215" s="8" t="inlineStr">
        <is>
          <t>OPERATING</t>
        </is>
      </c>
    </row>
    <row r="26216">
      <c r="A26216" s="8" t="inlineStr">
        <is>
          <t>2026-08-05</t>
        </is>
      </c>
      <c r="B26216" s="8" t="n">
        <v>18</v>
      </c>
      <c r="C26216" s="8" t="n">
        <v>31</v>
      </c>
      <c r="D26216" s="8" t="inlineStr">
        <is>
          <t>Disney Adventure World</t>
        </is>
      </c>
      <c r="E26216" s="8" t="inlineStr">
        <is>
          <t>Crush's Coaster Single Rider</t>
        </is>
      </c>
      <c r="F26216" s="8" t="inlineStr">
        <is>
          <t>STANDBY</t>
        </is>
      </c>
      <c r="G26216" s="8" t="n">
        <v>45</v>
      </c>
      <c r="H26216" s="8" t="inlineStr">
        <is>
          <t>OPERATING</t>
        </is>
      </c>
    </row>
    <row r="26217">
      <c r="A26217" s="8" t="inlineStr">
        <is>
          <t>2026-08-05</t>
        </is>
      </c>
      <c r="B26217" s="8" t="n">
        <v>18</v>
      </c>
      <c r="C26217" s="8" t="n">
        <v>31</v>
      </c>
      <c r="D26217" s="8" t="inlineStr">
        <is>
          <t>Disney Adventure World</t>
        </is>
      </c>
      <c r="E26217" s="8" t="inlineStr">
        <is>
          <t>Les Tapis Volants - Flying Carpets Over Agrabah®</t>
        </is>
      </c>
      <c r="F26217" s="8" t="inlineStr">
        <is>
          <t>STANDBY</t>
        </is>
      </c>
      <c r="G26217" s="8" t="n">
        <v>20</v>
      </c>
      <c r="H26217" s="8" t="inlineStr">
        <is>
          <t>OPERATING</t>
        </is>
      </c>
    </row>
    <row r="26218">
      <c r="A26218" s="8" t="inlineStr">
        <is>
          <t>2026-08-05</t>
        </is>
      </c>
      <c r="B26218" s="8" t="n">
        <v>18</v>
      </c>
      <c r="C26218" s="8" t="n">
        <v>31</v>
      </c>
      <c r="D26218" s="8" t="inlineStr">
        <is>
          <t>Disney Adventure World</t>
        </is>
      </c>
      <c r="E26218" s="8" t="inlineStr">
        <is>
          <t>Ratatouille : L’Aventure Totalement Toquée de Rémy​</t>
        </is>
      </c>
      <c r="F26218" s="8" t="inlineStr">
        <is>
          <t>STANDBY</t>
        </is>
      </c>
      <c r="G26218" s="8" t="n">
        <v>60</v>
      </c>
      <c r="H26218" s="8" t="inlineStr">
        <is>
          <t>OPERATING</t>
        </is>
      </c>
    </row>
    <row r="26219">
      <c r="A26219" s="8" t="inlineStr">
        <is>
          <t>2026-08-05</t>
        </is>
      </c>
      <c r="B26219" s="8" t="n">
        <v>18</v>
      </c>
      <c r="C26219" s="8" t="n">
        <v>31</v>
      </c>
      <c r="D26219" s="8" t="inlineStr">
        <is>
          <t>Disney Adventure World</t>
        </is>
      </c>
      <c r="E26219" s="8" t="inlineStr">
        <is>
          <t>Ratatouille: The Adventure Single Rider</t>
        </is>
      </c>
      <c r="F26219" s="8" t="inlineStr">
        <is>
          <t>STANDBY</t>
        </is>
      </c>
      <c r="G26219" s="8" t="n">
        <v>15</v>
      </c>
      <c r="H26219" s="8" t="inlineStr">
        <is>
          <t>OPERATING</t>
        </is>
      </c>
    </row>
    <row r="26220">
      <c r="A26220" s="8" t="inlineStr">
        <is>
          <t>2026-08-05</t>
        </is>
      </c>
      <c r="B26220" s="8" t="n">
        <v>18</v>
      </c>
      <c r="C26220" s="8" t="n">
        <v>31</v>
      </c>
      <c r="D26220" s="8" t="inlineStr">
        <is>
          <t>Disney Adventure World</t>
        </is>
      </c>
      <c r="E26220" s="8" t="inlineStr">
        <is>
          <t>RC Racer</t>
        </is>
      </c>
      <c r="F26220" s="8" t="inlineStr">
        <is>
          <t>STANDBY</t>
        </is>
      </c>
      <c r="G26220" s="8" t="n">
        <v>40</v>
      </c>
      <c r="H26220" s="8" t="inlineStr">
        <is>
          <t>OPERATING</t>
        </is>
      </c>
    </row>
    <row r="26221">
      <c r="A26221" s="8" t="inlineStr">
        <is>
          <t>2026-08-05</t>
        </is>
      </c>
      <c r="B26221" s="8" t="n">
        <v>18</v>
      </c>
      <c r="C26221" s="8" t="n">
        <v>31</v>
      </c>
      <c r="D26221" s="8" t="inlineStr">
        <is>
          <t>Disney Adventure World</t>
        </is>
      </c>
      <c r="E26221" s="8" t="inlineStr">
        <is>
          <t>RC Racer Single Rider</t>
        </is>
      </c>
      <c r="F26221" s="8" t="inlineStr">
        <is>
          <t>STANDBY</t>
        </is>
      </c>
      <c r="G26221" s="8" t="n">
        <v>35</v>
      </c>
      <c r="H26221" s="8" t="inlineStr">
        <is>
          <t>OPERATING</t>
        </is>
      </c>
    </row>
    <row r="26222">
      <c r="A26222" s="8" t="inlineStr">
        <is>
          <t>2026-08-05</t>
        </is>
      </c>
      <c r="B26222" s="8" t="n">
        <v>18</v>
      </c>
      <c r="C26222" s="8" t="n">
        <v>31</v>
      </c>
      <c r="D26222" s="8" t="inlineStr">
        <is>
          <t>Disney Adventure World</t>
        </is>
      </c>
      <c r="E26222" s="8" t="inlineStr">
        <is>
          <t>Slinky® Dog Zigzag Spin</t>
        </is>
      </c>
      <c r="F26222" s="8" t="inlineStr">
        <is>
          <t>STANDBY</t>
        </is>
      </c>
      <c r="G26222" s="8" t="n">
        <v>10</v>
      </c>
      <c r="H26222" s="8" t="inlineStr">
        <is>
          <t>OPERATING</t>
        </is>
      </c>
    </row>
    <row r="26223">
      <c r="A26223" s="8" t="inlineStr">
        <is>
          <t>2026-08-05</t>
        </is>
      </c>
      <c r="B26223" s="8" t="n">
        <v>18</v>
      </c>
      <c r="C26223" s="8" t="n">
        <v>31</v>
      </c>
      <c r="D26223" s="8" t="inlineStr">
        <is>
          <t>Disney Adventure World</t>
        </is>
      </c>
      <c r="E26223" s="8" t="inlineStr">
        <is>
          <t>Toy Soldiers Parachute Drop</t>
        </is>
      </c>
      <c r="F26223" s="8" t="inlineStr">
        <is>
          <t>STANDBY</t>
        </is>
      </c>
      <c r="G26223" s="8" t="n">
        <v>55</v>
      </c>
      <c r="H26223" s="8" t="inlineStr">
        <is>
          <t>OPERATING</t>
        </is>
      </c>
    </row>
    <row r="26224">
      <c r="A26224" s="8" t="inlineStr">
        <is>
          <t>2026-08-05</t>
        </is>
      </c>
      <c r="B26224" s="8" t="n">
        <v>18</v>
      </c>
      <c r="C26224" s="8" t="n">
        <v>31</v>
      </c>
      <c r="D26224" s="8" t="inlineStr">
        <is>
          <t>Disney Adventure World</t>
        </is>
      </c>
      <c r="E26224" s="8" t="inlineStr">
        <is>
          <t>Toy Soldiers Parachute Drop Single Rider</t>
        </is>
      </c>
      <c r="F26224" s="8" t="inlineStr">
        <is>
          <t>STANDBY</t>
        </is>
      </c>
      <c r="G26224" s="8" t="n">
        <v>20</v>
      </c>
      <c r="H26224" s="8" t="inlineStr">
        <is>
          <t>OPERATING</t>
        </is>
      </c>
    </row>
    <row r="26225">
      <c r="A26225" s="8" t="inlineStr">
        <is>
          <t>2026-08-05</t>
        </is>
      </c>
      <c r="B26225" s="8" t="n">
        <v>18</v>
      </c>
      <c r="C26225" s="8" t="n">
        <v>31</v>
      </c>
      <c r="D26225" s="8" t="inlineStr">
        <is>
          <t>Disney Adventure World</t>
        </is>
      </c>
      <c r="E26225" s="8" t="inlineStr">
        <is>
          <t>Entry to World of Frozen</t>
        </is>
      </c>
      <c r="F26225" s="8" t="inlineStr">
        <is>
          <t>STANDBY</t>
        </is>
      </c>
      <c r="G26225" s="8" t="n">
        <v>0</v>
      </c>
      <c r="H26225" s="8" t="inlineStr">
        <is>
          <t>OPERATING</t>
        </is>
      </c>
    </row>
    <row r="26226">
      <c r="A26226" s="8" t="inlineStr">
        <is>
          <t>2026-08-05</t>
        </is>
      </c>
      <c r="B26226" s="8" t="n">
        <v>18</v>
      </c>
      <c r="C26226" s="8" t="n">
        <v>31</v>
      </c>
      <c r="D26226" s="8" t="inlineStr">
        <is>
          <t>Disney Adventure World</t>
        </is>
      </c>
      <c r="E26226" s="8" t="inlineStr">
        <is>
          <t>Frozen Ever After</t>
        </is>
      </c>
      <c r="F26226" s="8" t="inlineStr">
        <is>
          <t>STANDBY</t>
        </is>
      </c>
      <c r="G26226" s="8" t="n">
        <v>65</v>
      </c>
      <c r="H26226" s="8" t="inlineStr">
        <is>
          <t>OPERATING</t>
        </is>
      </c>
    </row>
    <row r="26227">
      <c r="A26227" s="8" t="inlineStr">
        <is>
          <t>2026-08-05</t>
        </is>
      </c>
      <c r="B26227" s="8" t="n">
        <v>18</v>
      </c>
      <c r="C26227" s="8" t="n">
        <v>31</v>
      </c>
      <c r="D26227" s="8" t="inlineStr">
        <is>
          <t>Disney Adventure World</t>
        </is>
      </c>
      <c r="E26227" s="8" t="inlineStr">
        <is>
          <t>Raiponce Tangled Spin</t>
        </is>
      </c>
      <c r="F26227" s="8" t="inlineStr">
        <is>
          <t>STANDBY</t>
        </is>
      </c>
      <c r="G26227" s="8" t="n">
        <v>5</v>
      </c>
      <c r="H26227" s="8" t="inlineStr">
        <is>
          <t>OPERATING</t>
        </is>
      </c>
    </row>
    <row r="26228">
      <c r="A26228" s="8" t="inlineStr">
        <is>
          <t>2026-08-05</t>
        </is>
      </c>
      <c r="B26228" s="8" t="n">
        <v>18</v>
      </c>
      <c r="C26228" s="8" t="n">
        <v>45</v>
      </c>
      <c r="D26228" s="8" t="inlineStr">
        <is>
          <t>Disneyland Park</t>
        </is>
      </c>
      <c r="E26228" s="8" t="inlineStr">
        <is>
          <t>Adventure Isle</t>
        </is>
      </c>
      <c r="F26228" s="8" t="inlineStr">
        <is>
          <t>STANDBY</t>
        </is>
      </c>
      <c r="G26228" s="8" t="n">
        <v>0</v>
      </c>
      <c r="H26228" s="8" t="inlineStr">
        <is>
          <t>OPERATING</t>
        </is>
      </c>
    </row>
    <row r="26229">
      <c r="A26229" s="8" t="inlineStr">
        <is>
          <t>2026-08-05</t>
        </is>
      </c>
      <c r="B26229" s="8" t="n">
        <v>18</v>
      </c>
      <c r="C26229" s="8" t="n">
        <v>45</v>
      </c>
      <c r="D26229" s="8" t="inlineStr">
        <is>
          <t>Disneyland Park</t>
        </is>
      </c>
      <c r="E26229" s="8" t="inlineStr">
        <is>
          <t>Indiana Jones and the Temple of Peril Single Rider</t>
        </is>
      </c>
      <c r="F26229" s="8" t="inlineStr">
        <is>
          <t>STANDBY</t>
        </is>
      </c>
      <c r="G26229" s="8" t="n">
        <v>10</v>
      </c>
      <c r="H26229" s="8" t="inlineStr">
        <is>
          <t>OPERATING</t>
        </is>
      </c>
    </row>
    <row r="26230">
      <c r="A26230" s="8" t="inlineStr">
        <is>
          <t>2026-08-05</t>
        </is>
      </c>
      <c r="B26230" s="8" t="n">
        <v>18</v>
      </c>
      <c r="C26230" s="8" t="n">
        <v>45</v>
      </c>
      <c r="D26230" s="8" t="inlineStr">
        <is>
          <t>Disneyland Park</t>
        </is>
      </c>
      <c r="E26230" s="8" t="inlineStr">
        <is>
          <t>Indiana Jones™ and the Temple of Peril</t>
        </is>
      </c>
      <c r="F26230" s="8" t="inlineStr">
        <is>
          <t>STANDBY</t>
        </is>
      </c>
      <c r="G26230" s="8" t="n">
        <v>25</v>
      </c>
      <c r="H26230" s="8" t="inlineStr">
        <is>
          <t>OPERATING</t>
        </is>
      </c>
    </row>
    <row r="26231">
      <c r="A26231" s="8" t="inlineStr">
        <is>
          <t>2026-08-05</t>
        </is>
      </c>
      <c r="B26231" s="8" t="n">
        <v>18</v>
      </c>
      <c r="C26231" s="8" t="n">
        <v>45</v>
      </c>
      <c r="D26231" s="8" t="inlineStr">
        <is>
          <t>Disneyland Park</t>
        </is>
      </c>
      <c r="E26231" s="8" t="inlineStr">
        <is>
          <t>La Cabane des Robinson</t>
        </is>
      </c>
      <c r="F26231" s="8" t="inlineStr">
        <is>
          <t>STANDBY</t>
        </is>
      </c>
      <c r="G26231" s="8" t="n">
        <v>5</v>
      </c>
      <c r="H26231" s="8" t="inlineStr">
        <is>
          <t>OPERATING</t>
        </is>
      </c>
    </row>
    <row r="26232">
      <c r="A26232" s="8" t="inlineStr">
        <is>
          <t>2026-08-05</t>
        </is>
      </c>
      <c r="B26232" s="8" t="n">
        <v>18</v>
      </c>
      <c r="C26232" s="8" t="n">
        <v>45</v>
      </c>
      <c r="D26232" s="8" t="inlineStr">
        <is>
          <t>Disneyland Park</t>
        </is>
      </c>
      <c r="E26232" s="8" t="inlineStr">
        <is>
          <t>Le Passage Enchanté d'Aladdin</t>
        </is>
      </c>
      <c r="F26232" s="8" t="inlineStr">
        <is>
          <t>STANDBY</t>
        </is>
      </c>
      <c r="G26232" s="8" t="n">
        <v>0</v>
      </c>
      <c r="H26232" s="8" t="inlineStr">
        <is>
          <t>OPERATING</t>
        </is>
      </c>
    </row>
    <row r="26233">
      <c r="A26233" s="8" t="inlineStr">
        <is>
          <t>2026-08-05</t>
        </is>
      </c>
      <c r="B26233" s="8" t="n">
        <v>18</v>
      </c>
      <c r="C26233" s="8" t="n">
        <v>45</v>
      </c>
      <c r="D26233" s="8" t="inlineStr">
        <is>
          <t>Disneyland Park</t>
        </is>
      </c>
      <c r="E26233" s="8" t="inlineStr">
        <is>
          <t>Pirate Galleon</t>
        </is>
      </c>
      <c r="F26233" s="8" t="inlineStr">
        <is>
          <t>STANDBY</t>
        </is>
      </c>
      <c r="G26233" s="8" t="n">
        <v>0</v>
      </c>
      <c r="H26233" s="8" t="inlineStr">
        <is>
          <t>CLOSED</t>
        </is>
      </c>
    </row>
    <row r="26234">
      <c r="A26234" s="8" t="inlineStr">
        <is>
          <t>2026-08-05</t>
        </is>
      </c>
      <c r="B26234" s="8" t="n">
        <v>18</v>
      </c>
      <c r="C26234" s="8" t="n">
        <v>45</v>
      </c>
      <c r="D26234" s="8" t="inlineStr">
        <is>
          <t>Disneyland Park</t>
        </is>
      </c>
      <c r="E26234" s="8" t="inlineStr">
        <is>
          <t>Pirates of the Caribbean</t>
        </is>
      </c>
      <c r="F26234" s="8" t="inlineStr">
        <is>
          <t>STANDBY</t>
        </is>
      </c>
      <c r="G26234" s="8" t="n">
        <v>15</v>
      </c>
      <c r="H26234" s="8" t="inlineStr">
        <is>
          <t>OPERATING</t>
        </is>
      </c>
    </row>
    <row r="26235">
      <c r="A26235" s="8" t="inlineStr">
        <is>
          <t>2026-08-05</t>
        </is>
      </c>
      <c r="B26235" s="8" t="n">
        <v>18</v>
      </c>
      <c r="C26235" s="8" t="n">
        <v>45</v>
      </c>
      <c r="D26235" s="8" t="inlineStr">
        <is>
          <t>Disneyland Park</t>
        </is>
      </c>
      <c r="E26235" s="8" t="inlineStr">
        <is>
          <t>Pirates' Beach</t>
        </is>
      </c>
      <c r="F26235" s="8" t="inlineStr">
        <is>
          <t>STANDBY</t>
        </is>
      </c>
      <c r="G26235" s="8" t="n">
        <v>0</v>
      </c>
      <c r="H26235" s="8" t="inlineStr">
        <is>
          <t>OPERATING</t>
        </is>
      </c>
    </row>
    <row r="26236">
      <c r="A26236" s="8" t="inlineStr">
        <is>
          <t>2026-08-05</t>
        </is>
      </c>
      <c r="B26236" s="8" t="n">
        <v>18</v>
      </c>
      <c r="C26236" s="8" t="n">
        <v>45</v>
      </c>
      <c r="D26236" s="8" t="inlineStr">
        <is>
          <t>Disneyland Park</t>
        </is>
      </c>
      <c r="E26236" s="8" t="inlineStr">
        <is>
          <t>Autopia, presented by Avis</t>
        </is>
      </c>
      <c r="F26236" s="8" t="inlineStr">
        <is>
          <t>STANDBY</t>
        </is>
      </c>
      <c r="G26236" s="8" t="n">
        <v>70</v>
      </c>
      <c r="H26236" s="8" t="inlineStr">
        <is>
          <t>OPERATING</t>
        </is>
      </c>
    </row>
    <row r="26237">
      <c r="A26237" s="8" t="inlineStr">
        <is>
          <t>2026-08-05</t>
        </is>
      </c>
      <c r="B26237" s="8" t="n">
        <v>18</v>
      </c>
      <c r="C26237" s="8" t="n">
        <v>45</v>
      </c>
      <c r="D26237" s="8" t="inlineStr">
        <is>
          <t>Disneyland Park</t>
        </is>
      </c>
      <c r="E26237" s="8" t="inlineStr">
        <is>
          <t>Buzz Lightyear Laser Blast</t>
        </is>
      </c>
      <c r="F26237" s="8" t="inlineStr">
        <is>
          <t>STANDBY</t>
        </is>
      </c>
      <c r="G26237" s="8" t="n">
        <v>45</v>
      </c>
      <c r="H26237" s="8" t="inlineStr">
        <is>
          <t>OPERATING</t>
        </is>
      </c>
    </row>
    <row r="26238">
      <c r="A26238" s="8" t="inlineStr">
        <is>
          <t>2026-08-05</t>
        </is>
      </c>
      <c r="B26238" s="8" t="n">
        <v>18</v>
      </c>
      <c r="C26238" s="8" t="n">
        <v>45</v>
      </c>
      <c r="D26238" s="8" t="inlineStr">
        <is>
          <t>Disneyland Park</t>
        </is>
      </c>
      <c r="E26238" s="8" t="inlineStr">
        <is>
          <t>Disneyland Railroad Discoveryland Station</t>
        </is>
      </c>
      <c r="F26238" s="8" t="inlineStr">
        <is>
          <t>STANDBY</t>
        </is>
      </c>
      <c r="G26238" s="8" t="n">
        <v>0</v>
      </c>
      <c r="H26238" s="8" t="inlineStr">
        <is>
          <t>CLOSED</t>
        </is>
      </c>
    </row>
    <row r="26239">
      <c r="A26239" s="8" t="inlineStr">
        <is>
          <t>2026-08-05</t>
        </is>
      </c>
      <c r="B26239" s="8" t="n">
        <v>18</v>
      </c>
      <c r="C26239" s="8" t="n">
        <v>45</v>
      </c>
      <c r="D26239" s="8" t="inlineStr">
        <is>
          <t>Disneyland Park</t>
        </is>
      </c>
      <c r="E26239" s="8" t="inlineStr">
        <is>
          <t>Les Mystères du Nautilus</t>
        </is>
      </c>
      <c r="F26239" s="8" t="inlineStr">
        <is>
          <t>STANDBY</t>
        </is>
      </c>
      <c r="G26239" s="8" t="n">
        <v>5</v>
      </c>
      <c r="H26239" s="8" t="inlineStr">
        <is>
          <t>OPERATING</t>
        </is>
      </c>
    </row>
    <row r="26240">
      <c r="A26240" s="8" t="inlineStr">
        <is>
          <t>2026-08-05</t>
        </is>
      </c>
      <c r="B26240" s="8" t="n">
        <v>18</v>
      </c>
      <c r="C26240" s="8" t="n">
        <v>45</v>
      </c>
      <c r="D26240" s="8" t="inlineStr">
        <is>
          <t>Disneyland Park</t>
        </is>
      </c>
      <c r="E26240" s="8" t="inlineStr">
        <is>
          <t>Mickey’s PhilharMagic</t>
        </is>
      </c>
      <c r="F26240" s="8" t="inlineStr">
        <is>
          <t>STANDBY</t>
        </is>
      </c>
      <c r="G26240" s="8" t="n">
        <v>0</v>
      </c>
      <c r="H26240" s="8" t="inlineStr">
        <is>
          <t>CLOSED</t>
        </is>
      </c>
    </row>
    <row r="26241">
      <c r="A26241" s="8" t="inlineStr">
        <is>
          <t>2026-08-05</t>
        </is>
      </c>
      <c r="B26241" s="8" t="n">
        <v>18</v>
      </c>
      <c r="C26241" s="8" t="n">
        <v>45</v>
      </c>
      <c r="D26241" s="8" t="inlineStr">
        <is>
          <t>Disneyland Park</t>
        </is>
      </c>
      <c r="E26241" s="8" t="inlineStr">
        <is>
          <t>Orbitron®</t>
        </is>
      </c>
      <c r="F26241" s="8" t="inlineStr">
        <is>
          <t>STANDBY</t>
        </is>
      </c>
      <c r="G26241" s="8" t="n">
        <v>45</v>
      </c>
      <c r="H26241" s="8" t="inlineStr">
        <is>
          <t>OPERATING</t>
        </is>
      </c>
    </row>
    <row r="26242">
      <c r="A26242" s="8" t="inlineStr">
        <is>
          <t>2026-08-05</t>
        </is>
      </c>
      <c r="B26242" s="8" t="n">
        <v>18</v>
      </c>
      <c r="C26242" s="8" t="n">
        <v>45</v>
      </c>
      <c r="D26242" s="8" t="inlineStr">
        <is>
          <t>Disneyland Park</t>
        </is>
      </c>
      <c r="E26242" s="8" t="inlineStr">
        <is>
          <t>Star Tours: The Adventures Continue*</t>
        </is>
      </c>
      <c r="F26242" s="8" t="inlineStr">
        <is>
          <t>STANDBY</t>
        </is>
      </c>
      <c r="G26242" s="8" t="n">
        <v>15</v>
      </c>
      <c r="H26242" s="8" t="inlineStr">
        <is>
          <t>OPERATING</t>
        </is>
      </c>
    </row>
    <row r="26243">
      <c r="A26243" s="8" t="inlineStr">
        <is>
          <t>2026-08-05</t>
        </is>
      </c>
      <c r="B26243" s="8" t="n">
        <v>18</v>
      </c>
      <c r="C26243" s="8" t="n">
        <v>45</v>
      </c>
      <c r="D26243" s="8" t="inlineStr">
        <is>
          <t>Disneyland Park</t>
        </is>
      </c>
      <c r="E26243" s="8" t="inlineStr">
        <is>
          <t>Star Wars Hyperspace Mountain</t>
        </is>
      </c>
      <c r="F26243" s="8" t="inlineStr">
        <is>
          <t>STANDBY</t>
        </is>
      </c>
      <c r="G26243" s="8" t="n">
        <v>35</v>
      </c>
      <c r="H26243" s="8" t="inlineStr">
        <is>
          <t>OPERATING</t>
        </is>
      </c>
    </row>
    <row r="26244">
      <c r="A26244" s="8" t="inlineStr">
        <is>
          <t>2026-08-05</t>
        </is>
      </c>
      <c r="B26244" s="8" t="n">
        <v>18</v>
      </c>
      <c r="C26244" s="8" t="n">
        <v>45</v>
      </c>
      <c r="D26244" s="8" t="inlineStr">
        <is>
          <t>Disneyland Park</t>
        </is>
      </c>
      <c r="E26244" s="8" t="inlineStr">
        <is>
          <t>Star Wars Hyperspace Mountain Single Rider</t>
        </is>
      </c>
      <c r="F26244" s="8" t="inlineStr">
        <is>
          <t>STANDBY</t>
        </is>
      </c>
      <c r="G26244" s="8" t="n">
        <v>0</v>
      </c>
      <c r="H26244" s="8" t="inlineStr">
        <is>
          <t>OPERATING</t>
        </is>
      </c>
    </row>
    <row r="26245">
      <c r="A26245" s="8" t="inlineStr">
        <is>
          <t>2026-08-05</t>
        </is>
      </c>
      <c r="B26245" s="8" t="n">
        <v>18</v>
      </c>
      <c r="C26245" s="8" t="n">
        <v>45</v>
      </c>
      <c r="D26245" s="8" t="inlineStr">
        <is>
          <t>Disneyland Park</t>
        </is>
      </c>
      <c r="E26245" s="8" t="inlineStr">
        <is>
          <t>Welcome to Starport: A Star Wars Encounter</t>
        </is>
      </c>
      <c r="F26245" s="8" t="inlineStr">
        <is>
          <t>STANDBY</t>
        </is>
      </c>
      <c r="G26245" s="8" t="n">
        <v>0</v>
      </c>
      <c r="H26245" s="8" t="inlineStr">
        <is>
          <t>CLOSED</t>
        </is>
      </c>
    </row>
    <row r="26246">
      <c r="A26246" s="8" t="inlineStr">
        <is>
          <t>2026-08-05</t>
        </is>
      </c>
      <c r="B26246" s="8" t="n">
        <v>18</v>
      </c>
      <c r="C26246" s="8" t="n">
        <v>45</v>
      </c>
      <c r="D26246" s="8" t="inlineStr">
        <is>
          <t>Disneyland Park</t>
        </is>
      </c>
      <c r="E26246" s="8" t="inlineStr">
        <is>
          <t>"it's a small world"</t>
        </is>
      </c>
      <c r="F26246" s="8" t="inlineStr">
        <is>
          <t>STANDBY</t>
        </is>
      </c>
      <c r="G26246" s="8" t="n">
        <v>5</v>
      </c>
      <c r="H26246" s="8" t="inlineStr">
        <is>
          <t>OPERATING</t>
        </is>
      </c>
    </row>
    <row r="26247">
      <c r="A26247" s="8" t="inlineStr">
        <is>
          <t>2026-08-05</t>
        </is>
      </c>
      <c r="B26247" s="8" t="n">
        <v>18</v>
      </c>
      <c r="C26247" s="8" t="n">
        <v>45</v>
      </c>
      <c r="D26247" s="8" t="inlineStr">
        <is>
          <t>Disneyland Park</t>
        </is>
      </c>
      <c r="E26247" s="8" t="inlineStr">
        <is>
          <t>Alice's Curious Labyrinth</t>
        </is>
      </c>
      <c r="F26247" s="8" t="inlineStr">
        <is>
          <t>STANDBY</t>
        </is>
      </c>
      <c r="G26247" s="8" t="n">
        <v>5</v>
      </c>
      <c r="H26247" s="8" t="inlineStr">
        <is>
          <t>OPERATING</t>
        </is>
      </c>
    </row>
    <row r="26248">
      <c r="A26248" s="8" t="inlineStr">
        <is>
          <t>2026-08-05</t>
        </is>
      </c>
      <c r="B26248" s="8" t="n">
        <v>18</v>
      </c>
      <c r="C26248" s="8" t="n">
        <v>45</v>
      </c>
      <c r="D26248" s="8" t="inlineStr">
        <is>
          <t>Disneyland Park</t>
        </is>
      </c>
      <c r="E26248" s="8" t="inlineStr">
        <is>
          <t>Blanche-Neige et les Sept Nains®</t>
        </is>
      </c>
      <c r="F26248" s="8" t="inlineStr">
        <is>
          <t>STANDBY</t>
        </is>
      </c>
      <c r="G26248" s="8" t="n">
        <v>30</v>
      </c>
      <c r="H26248" s="8" t="inlineStr">
        <is>
          <t>OPERATING</t>
        </is>
      </c>
    </row>
    <row r="26249">
      <c r="A26249" s="8" t="inlineStr">
        <is>
          <t>2026-08-05</t>
        </is>
      </c>
      <c r="B26249" s="8" t="n">
        <v>18</v>
      </c>
      <c r="C26249" s="8" t="n">
        <v>45</v>
      </c>
      <c r="D26249" s="8" t="inlineStr">
        <is>
          <t>Disneyland Park</t>
        </is>
      </c>
      <c r="E26249" s="8" t="inlineStr">
        <is>
          <t>Casey Jr. – le Petit Train du Cirque</t>
        </is>
      </c>
      <c r="F26249" s="8" t="inlineStr">
        <is>
          <t>STANDBY</t>
        </is>
      </c>
      <c r="G26249" s="8" t="n">
        <v>25</v>
      </c>
      <c r="H26249" s="8" t="inlineStr">
        <is>
          <t>OPERATING</t>
        </is>
      </c>
    </row>
    <row r="26250">
      <c r="A26250" s="8" t="inlineStr">
        <is>
          <t>2026-08-05</t>
        </is>
      </c>
      <c r="B26250" s="8" t="n">
        <v>18</v>
      </c>
      <c r="C26250" s="8" t="n">
        <v>45</v>
      </c>
      <c r="D26250" s="8" t="inlineStr">
        <is>
          <t>Disneyland Park</t>
        </is>
      </c>
      <c r="E26250" s="8" t="inlineStr">
        <is>
          <t>Disneyland Railroad Fantasyland Station</t>
        </is>
      </c>
      <c r="F26250" s="8" t="inlineStr">
        <is>
          <t>STANDBY</t>
        </is>
      </c>
      <c r="G26250" s="8" t="n">
        <v>0</v>
      </c>
      <c r="H26250" s="8" t="inlineStr">
        <is>
          <t>CLOSED</t>
        </is>
      </c>
    </row>
    <row r="26251">
      <c r="A26251" s="8" t="inlineStr">
        <is>
          <t>2026-08-05</t>
        </is>
      </c>
      <c r="B26251" s="8" t="n">
        <v>18</v>
      </c>
      <c r="C26251" s="8" t="n">
        <v>45</v>
      </c>
      <c r="D26251" s="8" t="inlineStr">
        <is>
          <t>Disneyland Park</t>
        </is>
      </c>
      <c r="E26251" s="8" t="inlineStr">
        <is>
          <t>Disneyland Railroad Main Street Station</t>
        </is>
      </c>
      <c r="F26251" s="8" t="inlineStr">
        <is>
          <t>STANDBY</t>
        </is>
      </c>
      <c r="G26251" s="8" t="n">
        <v>20</v>
      </c>
      <c r="H26251" s="8" t="inlineStr">
        <is>
          <t>OPERATING</t>
        </is>
      </c>
    </row>
    <row r="26252">
      <c r="A26252" s="8" t="inlineStr">
        <is>
          <t>2026-08-05</t>
        </is>
      </c>
      <c r="B26252" s="8" t="n">
        <v>18</v>
      </c>
      <c r="C26252" s="8" t="n">
        <v>45</v>
      </c>
      <c r="D26252" s="8" t="inlineStr">
        <is>
          <t>Disneyland Park</t>
        </is>
      </c>
      <c r="E26252" s="8" t="inlineStr">
        <is>
          <t>Dumbo the Flying Elephant</t>
        </is>
      </c>
      <c r="F26252" s="8" t="inlineStr">
        <is>
          <t>STANDBY</t>
        </is>
      </c>
      <c r="G26252" s="8" t="n">
        <v>25</v>
      </c>
      <c r="H26252" s="8" t="inlineStr">
        <is>
          <t>OPERATING</t>
        </is>
      </c>
    </row>
    <row r="26253">
      <c r="A26253" s="8" t="inlineStr">
        <is>
          <t>2026-08-05</t>
        </is>
      </c>
      <c r="B26253" s="8" t="n">
        <v>18</v>
      </c>
      <c r="C26253" s="8" t="n">
        <v>45</v>
      </c>
      <c r="D26253" s="8" t="inlineStr">
        <is>
          <t>Disneyland Park</t>
        </is>
      </c>
      <c r="E26253" s="8" t="inlineStr">
        <is>
          <t>La Tanière du Dragon</t>
        </is>
      </c>
      <c r="F26253" s="8" t="inlineStr">
        <is>
          <t>STANDBY</t>
        </is>
      </c>
      <c r="G26253" s="8" t="n">
        <v>0</v>
      </c>
      <c r="H26253" s="8" t="inlineStr">
        <is>
          <t>OPERATING</t>
        </is>
      </c>
    </row>
    <row r="26254">
      <c r="A26254" s="8" t="inlineStr">
        <is>
          <t>2026-08-05</t>
        </is>
      </c>
      <c r="B26254" s="8" t="n">
        <v>18</v>
      </c>
      <c r="C26254" s="8" t="n">
        <v>45</v>
      </c>
      <c r="D26254" s="8" t="inlineStr">
        <is>
          <t>Disneyland Park</t>
        </is>
      </c>
      <c r="E26254" s="8" t="inlineStr">
        <is>
          <t>Le Carrousel de Lancelot</t>
        </is>
      </c>
      <c r="F26254" s="8" t="inlineStr">
        <is>
          <t>STANDBY</t>
        </is>
      </c>
      <c r="G26254" s="8" t="n">
        <v>10</v>
      </c>
      <c r="H26254" s="8" t="inlineStr">
        <is>
          <t>OPERATING</t>
        </is>
      </c>
    </row>
    <row r="26255">
      <c r="A26255" s="8" t="inlineStr">
        <is>
          <t>2026-08-05</t>
        </is>
      </c>
      <c r="B26255" s="8" t="n">
        <v>18</v>
      </c>
      <c r="C26255" s="8" t="n">
        <v>45</v>
      </c>
      <c r="D26255" s="8" t="inlineStr">
        <is>
          <t>Disneyland Park</t>
        </is>
      </c>
      <c r="E26255" s="8" t="inlineStr">
        <is>
          <t>Le Pays des Contes de Fées, presented by Vittel</t>
        </is>
      </c>
      <c r="F26255" s="8" t="inlineStr">
        <is>
          <t>STANDBY</t>
        </is>
      </c>
      <c r="G26255" s="8" t="n">
        <v>5</v>
      </c>
      <c r="H26255" s="8" t="inlineStr">
        <is>
          <t>OPERATING</t>
        </is>
      </c>
    </row>
    <row r="26256">
      <c r="A26256" s="8" t="inlineStr">
        <is>
          <t>2026-08-05</t>
        </is>
      </c>
      <c r="B26256" s="8" t="n">
        <v>18</v>
      </c>
      <c r="C26256" s="8" t="n">
        <v>45</v>
      </c>
      <c r="D26256" s="8" t="inlineStr">
        <is>
          <t>Disneyland Park</t>
        </is>
      </c>
      <c r="E26256" s="8" t="inlineStr">
        <is>
          <t>Les Voyages de Pinocchio</t>
        </is>
      </c>
      <c r="F26256" s="8" t="inlineStr">
        <is>
          <t>STANDBY</t>
        </is>
      </c>
      <c r="G26256" s="8" t="n">
        <v>30</v>
      </c>
      <c r="H26256" s="8" t="inlineStr">
        <is>
          <t>OPERATING</t>
        </is>
      </c>
    </row>
    <row r="26257">
      <c r="A26257" s="8" t="inlineStr">
        <is>
          <t>2026-08-05</t>
        </is>
      </c>
      <c r="B26257" s="8" t="n">
        <v>18</v>
      </c>
      <c r="C26257" s="8" t="n">
        <v>45</v>
      </c>
      <c r="D26257" s="8" t="inlineStr">
        <is>
          <t>Disneyland Park</t>
        </is>
      </c>
      <c r="E26257" s="8" t="inlineStr">
        <is>
          <t>Mad Hatter's Tea Cups</t>
        </is>
      </c>
      <c r="F26257" s="8" t="inlineStr">
        <is>
          <t>STANDBY</t>
        </is>
      </c>
      <c r="G26257" s="8" t="n">
        <v>10</v>
      </c>
      <c r="H26257" s="8" t="inlineStr">
        <is>
          <t>OPERATING</t>
        </is>
      </c>
    </row>
    <row r="26258">
      <c r="A26258" s="8" t="inlineStr">
        <is>
          <t>2026-08-05</t>
        </is>
      </c>
      <c r="B26258" s="8" t="n">
        <v>18</v>
      </c>
      <c r="C26258" s="8" t="n">
        <v>45</v>
      </c>
      <c r="D26258" s="8" t="inlineStr">
        <is>
          <t>Disneyland Park</t>
        </is>
      </c>
      <c r="E26258" s="8" t="inlineStr">
        <is>
          <t>Meet Mickey Mouse</t>
        </is>
      </c>
      <c r="F26258" s="8" t="inlineStr">
        <is>
          <t>STANDBY</t>
        </is>
      </c>
      <c r="G26258" s="8" t="n">
        <v>0</v>
      </c>
      <c r="H26258" s="8" t="inlineStr">
        <is>
          <t>CLOSED</t>
        </is>
      </c>
    </row>
    <row r="26259">
      <c r="A26259" s="8" t="inlineStr">
        <is>
          <t>2026-08-05</t>
        </is>
      </c>
      <c r="B26259" s="8" t="n">
        <v>18</v>
      </c>
      <c r="C26259" s="8" t="n">
        <v>45</v>
      </c>
      <c r="D26259" s="8" t="inlineStr">
        <is>
          <t>Disneyland Park</t>
        </is>
      </c>
      <c r="E26259" s="8" t="inlineStr">
        <is>
          <t>Peter Pan's Flight</t>
        </is>
      </c>
      <c r="F26259" s="8" t="inlineStr">
        <is>
          <t>STANDBY</t>
        </is>
      </c>
      <c r="G26259" s="8" t="n">
        <v>60</v>
      </c>
      <c r="H26259" s="8" t="inlineStr">
        <is>
          <t>OPERATING</t>
        </is>
      </c>
    </row>
    <row r="26260">
      <c r="A26260" s="8" t="inlineStr">
        <is>
          <t>2026-08-05</t>
        </is>
      </c>
      <c r="B26260" s="8" t="n">
        <v>18</v>
      </c>
      <c r="C26260" s="8" t="n">
        <v>45</v>
      </c>
      <c r="D26260" s="8" t="inlineStr">
        <is>
          <t>Disneyland Park</t>
        </is>
      </c>
      <c r="E26260" s="8" t="inlineStr">
        <is>
          <t>Princess Pavilion</t>
        </is>
      </c>
      <c r="F26260" s="8" t="inlineStr">
        <is>
          <t>STANDBY</t>
        </is>
      </c>
      <c r="G26260" s="8" t="n">
        <v>0</v>
      </c>
      <c r="H26260" s="8" t="inlineStr">
        <is>
          <t>CLOSED</t>
        </is>
      </c>
    </row>
    <row r="26261">
      <c r="A26261" s="8" t="inlineStr">
        <is>
          <t>2026-08-05</t>
        </is>
      </c>
      <c r="B26261" s="8" t="n">
        <v>18</v>
      </c>
      <c r="C26261" s="8" t="n">
        <v>45</v>
      </c>
      <c r="D26261" s="8" t="inlineStr">
        <is>
          <t>Disneyland Park</t>
        </is>
      </c>
      <c r="E26261" s="8" t="inlineStr">
        <is>
          <t>Big Thunder Mountain</t>
        </is>
      </c>
      <c r="F26261" s="8" t="inlineStr">
        <is>
          <t>STANDBY</t>
        </is>
      </c>
      <c r="G26261" s="8" t="n">
        <v>75</v>
      </c>
      <c r="H26261" s="8" t="inlineStr">
        <is>
          <t>OPERATING</t>
        </is>
      </c>
    </row>
    <row r="26262">
      <c r="A26262" s="8" t="inlineStr">
        <is>
          <t>2026-08-05</t>
        </is>
      </c>
      <c r="B26262" s="8" t="n">
        <v>18</v>
      </c>
      <c r="C26262" s="8" t="n">
        <v>45</v>
      </c>
      <c r="D26262" s="8" t="inlineStr">
        <is>
          <t>Disneyland Park</t>
        </is>
      </c>
      <c r="E26262" s="8" t="inlineStr">
        <is>
          <t>Disneyland Railroad Frontierland Depot</t>
        </is>
      </c>
      <c r="F26262" s="8" t="inlineStr">
        <is>
          <t>STANDBY</t>
        </is>
      </c>
      <c r="G26262" s="8" t="n">
        <v>20</v>
      </c>
      <c r="H26262" s="8" t="inlineStr">
        <is>
          <t>OPERATING</t>
        </is>
      </c>
    </row>
    <row r="26263">
      <c r="A26263" s="8" t="inlineStr">
        <is>
          <t>2026-08-05</t>
        </is>
      </c>
      <c r="B26263" s="8" t="n">
        <v>18</v>
      </c>
      <c r="C26263" s="8" t="n">
        <v>45</v>
      </c>
      <c r="D26263" s="8" t="inlineStr">
        <is>
          <t>Disneyland Park</t>
        </is>
      </c>
      <c r="E26263" s="8" t="inlineStr">
        <is>
          <t>Frontierland Playground</t>
        </is>
      </c>
      <c r="F26263" s="8" t="inlineStr">
        <is>
          <t>STANDBY</t>
        </is>
      </c>
      <c r="G26263" s="8" t="n">
        <v>0</v>
      </c>
      <c r="H26263" s="8" t="inlineStr">
        <is>
          <t>OPERATING</t>
        </is>
      </c>
    </row>
    <row r="26264">
      <c r="A26264" s="8" t="inlineStr">
        <is>
          <t>2026-08-05</t>
        </is>
      </c>
      <c r="B26264" s="8" t="n">
        <v>18</v>
      </c>
      <c r="C26264" s="8" t="n">
        <v>45</v>
      </c>
      <c r="D26264" s="8" t="inlineStr">
        <is>
          <t>Disneyland Park</t>
        </is>
      </c>
      <c r="E26264" s="8" t="inlineStr">
        <is>
          <t>Phantom Manor</t>
        </is>
      </c>
      <c r="F26264" s="8" t="inlineStr">
        <is>
          <t>STANDBY</t>
        </is>
      </c>
      <c r="G26264" s="8" t="n">
        <v>20</v>
      </c>
      <c r="H26264" s="8" t="inlineStr">
        <is>
          <t>OPERATING</t>
        </is>
      </c>
    </row>
    <row r="26265">
      <c r="A26265" s="8" t="inlineStr">
        <is>
          <t>2026-08-05</t>
        </is>
      </c>
      <c r="B26265" s="8" t="n">
        <v>18</v>
      </c>
      <c r="C26265" s="8" t="n">
        <v>45</v>
      </c>
      <c r="D26265" s="8" t="inlineStr">
        <is>
          <t>Disneyland Park</t>
        </is>
      </c>
      <c r="E26265" s="8" t="inlineStr">
        <is>
          <t>River Rogue Keelboats</t>
        </is>
      </c>
      <c r="F26265" s="8" t="inlineStr">
        <is>
          <t>STANDBY</t>
        </is>
      </c>
      <c r="G26265" s="8" t="n">
        <v>0</v>
      </c>
      <c r="H26265" s="8" t="inlineStr">
        <is>
          <t>CLOSED</t>
        </is>
      </c>
    </row>
    <row r="26266">
      <c r="A26266" s="8" t="inlineStr">
        <is>
          <t>2026-08-05</t>
        </is>
      </c>
      <c r="B26266" s="8" t="n">
        <v>18</v>
      </c>
      <c r="C26266" s="8" t="n">
        <v>45</v>
      </c>
      <c r="D26266" s="8" t="inlineStr">
        <is>
          <t>Disneyland Park</t>
        </is>
      </c>
      <c r="E26266" s="8" t="inlineStr">
        <is>
          <t>Rustler Roundup Shootin' Gallery</t>
        </is>
      </c>
      <c r="F26266" s="8" t="inlineStr">
        <is>
          <t>STANDBY</t>
        </is>
      </c>
      <c r="G26266" s="8" t="n">
        <v>0</v>
      </c>
      <c r="H26266" s="8" t="inlineStr">
        <is>
          <t>OPERATING</t>
        </is>
      </c>
    </row>
    <row r="26267">
      <c r="A26267" s="8" t="inlineStr">
        <is>
          <t>2026-08-05</t>
        </is>
      </c>
      <c r="B26267" s="8" t="n">
        <v>18</v>
      </c>
      <c r="C26267" s="8" t="n">
        <v>45</v>
      </c>
      <c r="D26267" s="8" t="inlineStr">
        <is>
          <t>Disneyland Park</t>
        </is>
      </c>
      <c r="E26267" s="8" t="inlineStr">
        <is>
          <t>Thunder Mesa Riverboat Landing</t>
        </is>
      </c>
      <c r="F26267" s="8" t="inlineStr">
        <is>
          <t>STANDBY</t>
        </is>
      </c>
      <c r="G26267" s="8" t="n">
        <v>0</v>
      </c>
      <c r="H26267" s="8" t="inlineStr">
        <is>
          <t>CLOSED</t>
        </is>
      </c>
    </row>
    <row r="26268">
      <c r="A26268" s="8" t="inlineStr">
        <is>
          <t>2026-08-05</t>
        </is>
      </c>
      <c r="B26268" s="8" t="n">
        <v>18</v>
      </c>
      <c r="C26268" s="8" t="n">
        <v>45</v>
      </c>
      <c r="D26268" s="8" t="inlineStr">
        <is>
          <t>Disneyland Park</t>
        </is>
      </c>
      <c r="E26268" s="8" t="inlineStr">
        <is>
          <t>Disneyland Railroad Main Street Station</t>
        </is>
      </c>
      <c r="F26268" s="8" t="inlineStr">
        <is>
          <t>STANDBY</t>
        </is>
      </c>
      <c r="G26268" s="8" t="n">
        <v>0</v>
      </c>
      <c r="H26268" s="8" t="inlineStr">
        <is>
          <t>OPERATING</t>
        </is>
      </c>
    </row>
    <row r="26269">
      <c r="A26269" s="8" t="inlineStr">
        <is>
          <t>2026-08-05</t>
        </is>
      </c>
      <c r="B26269" s="8" t="n">
        <v>18</v>
      </c>
      <c r="C26269" s="8" t="n">
        <v>45</v>
      </c>
      <c r="D26269" s="8" t="inlineStr">
        <is>
          <t>Disneyland Park</t>
        </is>
      </c>
      <c r="E26269" s="8" t="inlineStr">
        <is>
          <t>Main Street Vehicles</t>
        </is>
      </c>
      <c r="F26269" s="8" t="inlineStr">
        <is>
          <t>STANDBY</t>
        </is>
      </c>
      <c r="G26269" s="8" t="n">
        <v>0</v>
      </c>
      <c r="H26269" s="8" t="inlineStr">
        <is>
          <t>CLOSED</t>
        </is>
      </c>
    </row>
    <row r="26270">
      <c r="A26270" s="8" t="inlineStr">
        <is>
          <t>2026-08-05</t>
        </is>
      </c>
      <c r="B26270" s="8" t="n">
        <v>18</v>
      </c>
      <c r="C26270" s="8" t="n">
        <v>45</v>
      </c>
      <c r="D26270" s="8" t="inlineStr">
        <is>
          <t>Disney Adventure World</t>
        </is>
      </c>
      <c r="E26270" s="8" t="inlineStr">
        <is>
          <t>Avengers Assemble: Flight Force</t>
        </is>
      </c>
      <c r="F26270" s="8" t="inlineStr">
        <is>
          <t>STANDBY</t>
        </is>
      </c>
      <c r="G26270" s="8" t="n">
        <v>20</v>
      </c>
      <c r="H26270" s="8" t="inlineStr">
        <is>
          <t>OPERATING</t>
        </is>
      </c>
    </row>
    <row r="26271">
      <c r="A26271" s="8" t="inlineStr">
        <is>
          <t>2026-08-05</t>
        </is>
      </c>
      <c r="B26271" s="8" t="n">
        <v>18</v>
      </c>
      <c r="C26271" s="8" t="n">
        <v>45</v>
      </c>
      <c r="D26271" s="8" t="inlineStr">
        <is>
          <t>Disney Adventure World</t>
        </is>
      </c>
      <c r="E26271" s="8" t="inlineStr">
        <is>
          <t>Avengers Assemble: Flight Force Single Rider</t>
        </is>
      </c>
      <c r="F26271" s="8" t="inlineStr">
        <is>
          <t>STANDBY</t>
        </is>
      </c>
      <c r="G26271" s="8" t="n">
        <v>15</v>
      </c>
      <c r="H26271" s="8" t="inlineStr">
        <is>
          <t>OPERATING</t>
        </is>
      </c>
    </row>
    <row r="26272">
      <c r="A26272" s="8" t="inlineStr">
        <is>
          <t>2026-08-05</t>
        </is>
      </c>
      <c r="B26272" s="8" t="n">
        <v>18</v>
      </c>
      <c r="C26272" s="8" t="n">
        <v>45</v>
      </c>
      <c r="D26272" s="8" t="inlineStr">
        <is>
          <t>Disney Adventure World</t>
        </is>
      </c>
      <c r="E26272" s="8" t="inlineStr">
        <is>
          <t>Spider-Man W.E.B. Adventure</t>
        </is>
      </c>
      <c r="F26272" s="8" t="inlineStr">
        <is>
          <t>STANDBY</t>
        </is>
      </c>
      <c r="G26272" s="8" t="n">
        <v>40</v>
      </c>
      <c r="H26272" s="8" t="inlineStr">
        <is>
          <t>OPERATING</t>
        </is>
      </c>
    </row>
    <row r="26273">
      <c r="A26273" s="8" t="inlineStr">
        <is>
          <t>2026-08-05</t>
        </is>
      </c>
      <c r="B26273" s="8" t="n">
        <v>18</v>
      </c>
      <c r="C26273" s="8" t="n">
        <v>45</v>
      </c>
      <c r="D26273" s="8" t="inlineStr">
        <is>
          <t>Disney Adventure World</t>
        </is>
      </c>
      <c r="E26273" s="8" t="inlineStr">
        <is>
          <t>Spider-Man W.E.B. Adventure Single Rider</t>
        </is>
      </c>
      <c r="F26273" s="8" t="inlineStr">
        <is>
          <t>STANDBY</t>
        </is>
      </c>
      <c r="G26273" s="8" t="n">
        <v>25</v>
      </c>
      <c r="H26273" s="8" t="inlineStr">
        <is>
          <t>OPERATING</t>
        </is>
      </c>
    </row>
    <row r="26274">
      <c r="A26274" s="8" t="inlineStr">
        <is>
          <t>2026-08-05</t>
        </is>
      </c>
      <c r="B26274" s="8" t="n">
        <v>18</v>
      </c>
      <c r="C26274" s="8" t="n">
        <v>45</v>
      </c>
      <c r="D26274" s="8" t="inlineStr">
        <is>
          <t>Disney Adventure World</t>
        </is>
      </c>
      <c r="E26274" s="8" t="inlineStr">
        <is>
          <t>The Twilight Zone Tower of Terror</t>
        </is>
      </c>
      <c r="F26274" s="8" t="inlineStr">
        <is>
          <t>STANDBY</t>
        </is>
      </c>
      <c r="G26274" s="8" t="n">
        <v>25</v>
      </c>
      <c r="H26274" s="8" t="inlineStr">
        <is>
          <t>OPERATING</t>
        </is>
      </c>
    </row>
    <row r="26275">
      <c r="A26275" s="8" t="inlineStr">
        <is>
          <t>2026-08-05</t>
        </is>
      </c>
      <c r="B26275" s="8" t="n">
        <v>18</v>
      </c>
      <c r="C26275" s="8" t="n">
        <v>45</v>
      </c>
      <c r="D26275" s="8" t="inlineStr">
        <is>
          <t>Disney Adventure World</t>
        </is>
      </c>
      <c r="E26275" s="8" t="inlineStr">
        <is>
          <t>Cars Quatre Roues Rallye</t>
        </is>
      </c>
      <c r="F26275" s="8" t="inlineStr">
        <is>
          <t>STANDBY</t>
        </is>
      </c>
      <c r="G26275" s="8" t="n">
        <v>15</v>
      </c>
      <c r="H26275" s="8" t="inlineStr">
        <is>
          <t>OPERATING</t>
        </is>
      </c>
    </row>
    <row r="26276">
      <c r="A26276" s="8" t="inlineStr">
        <is>
          <t>2026-08-05</t>
        </is>
      </c>
      <c r="B26276" s="8" t="n">
        <v>18</v>
      </c>
      <c r="C26276" s="8" t="n">
        <v>45</v>
      </c>
      <c r="D26276" s="8" t="inlineStr">
        <is>
          <t>Disney Adventure World</t>
        </is>
      </c>
      <c r="E26276" s="8" t="inlineStr">
        <is>
          <t>Cars ROAD TRIP</t>
        </is>
      </c>
      <c r="F26276" s="8" t="inlineStr">
        <is>
          <t>STANDBY</t>
        </is>
      </c>
      <c r="G26276" s="8" t="n">
        <v>5</v>
      </c>
      <c r="H26276" s="8" t="inlineStr">
        <is>
          <t>OPERATING</t>
        </is>
      </c>
    </row>
    <row r="26277">
      <c r="A26277" s="8" t="inlineStr">
        <is>
          <t>2026-08-05</t>
        </is>
      </c>
      <c r="B26277" s="8" t="n">
        <v>18</v>
      </c>
      <c r="C26277" s="8" t="n">
        <v>45</v>
      </c>
      <c r="D26277" s="8" t="inlineStr">
        <is>
          <t>Disney Adventure World</t>
        </is>
      </c>
      <c r="E26277" s="8" t="inlineStr">
        <is>
          <t>Crush's Coaster</t>
        </is>
      </c>
      <c r="F26277" s="8" t="inlineStr">
        <is>
          <t>STANDBY</t>
        </is>
      </c>
      <c r="G26277" s="8" t="n">
        <v>75</v>
      </c>
      <c r="H26277" s="8" t="inlineStr">
        <is>
          <t>OPERATING</t>
        </is>
      </c>
    </row>
    <row r="26278">
      <c r="A26278" s="8" t="inlineStr">
        <is>
          <t>2026-08-05</t>
        </is>
      </c>
      <c r="B26278" s="8" t="n">
        <v>18</v>
      </c>
      <c r="C26278" s="8" t="n">
        <v>45</v>
      </c>
      <c r="D26278" s="8" t="inlineStr">
        <is>
          <t>Disney Adventure World</t>
        </is>
      </c>
      <c r="E26278" s="8" t="inlineStr">
        <is>
          <t>Crush's Coaster Single Rider</t>
        </is>
      </c>
      <c r="F26278" s="8" t="inlineStr">
        <is>
          <t>STANDBY</t>
        </is>
      </c>
      <c r="G26278" s="8" t="n">
        <v>55</v>
      </c>
      <c r="H26278" s="8" t="inlineStr">
        <is>
          <t>OPERATING</t>
        </is>
      </c>
    </row>
    <row r="26279">
      <c r="A26279" s="8" t="inlineStr">
        <is>
          <t>2026-08-05</t>
        </is>
      </c>
      <c r="B26279" s="8" t="n">
        <v>18</v>
      </c>
      <c r="C26279" s="8" t="n">
        <v>45</v>
      </c>
      <c r="D26279" s="8" t="inlineStr">
        <is>
          <t>Disney Adventure World</t>
        </is>
      </c>
      <c r="E26279" s="8" t="inlineStr">
        <is>
          <t>Les Tapis Volants - Flying Carpets Over Agrabah®</t>
        </is>
      </c>
      <c r="F26279" s="8" t="inlineStr">
        <is>
          <t>STANDBY</t>
        </is>
      </c>
      <c r="G26279" s="8" t="n">
        <v>20</v>
      </c>
      <c r="H26279" s="8" t="inlineStr">
        <is>
          <t>OPERATING</t>
        </is>
      </c>
    </row>
    <row r="26280">
      <c r="A26280" s="8" t="inlineStr">
        <is>
          <t>2026-08-05</t>
        </is>
      </c>
      <c r="B26280" s="8" t="n">
        <v>18</v>
      </c>
      <c r="C26280" s="8" t="n">
        <v>45</v>
      </c>
      <c r="D26280" s="8" t="inlineStr">
        <is>
          <t>Disney Adventure World</t>
        </is>
      </c>
      <c r="E26280" s="8" t="inlineStr">
        <is>
          <t>Ratatouille : L’Aventure Totalement Toquée de Rémy​</t>
        </is>
      </c>
      <c r="F26280" s="8" t="inlineStr">
        <is>
          <t>STANDBY</t>
        </is>
      </c>
      <c r="G26280" s="8" t="n">
        <v>55</v>
      </c>
      <c r="H26280" s="8" t="inlineStr">
        <is>
          <t>OPERATING</t>
        </is>
      </c>
    </row>
    <row r="26281">
      <c r="A26281" s="8" t="inlineStr">
        <is>
          <t>2026-08-05</t>
        </is>
      </c>
      <c r="B26281" s="8" t="n">
        <v>18</v>
      </c>
      <c r="C26281" s="8" t="n">
        <v>45</v>
      </c>
      <c r="D26281" s="8" t="inlineStr">
        <is>
          <t>Disney Adventure World</t>
        </is>
      </c>
      <c r="E26281" s="8" t="inlineStr">
        <is>
          <t>Ratatouille: The Adventure Single Rider</t>
        </is>
      </c>
      <c r="F26281" s="8" t="inlineStr">
        <is>
          <t>STANDBY</t>
        </is>
      </c>
      <c r="G26281" s="8" t="n">
        <v>15</v>
      </c>
      <c r="H26281" s="8" t="inlineStr">
        <is>
          <t>OPERATING</t>
        </is>
      </c>
    </row>
    <row r="26282">
      <c r="A26282" s="8" t="inlineStr">
        <is>
          <t>2026-08-05</t>
        </is>
      </c>
      <c r="B26282" s="8" t="n">
        <v>18</v>
      </c>
      <c r="C26282" s="8" t="n">
        <v>45</v>
      </c>
      <c r="D26282" s="8" t="inlineStr">
        <is>
          <t>Disney Adventure World</t>
        </is>
      </c>
      <c r="E26282" s="8" t="inlineStr">
        <is>
          <t>RC Racer</t>
        </is>
      </c>
      <c r="F26282" s="8" t="inlineStr">
        <is>
          <t>STANDBY</t>
        </is>
      </c>
      <c r="G26282" s="8" t="n">
        <v>40</v>
      </c>
      <c r="H26282" s="8" t="inlineStr">
        <is>
          <t>OPERATING</t>
        </is>
      </c>
    </row>
    <row r="26283">
      <c r="A26283" s="8" t="inlineStr">
        <is>
          <t>2026-08-05</t>
        </is>
      </c>
      <c r="B26283" s="8" t="n">
        <v>18</v>
      </c>
      <c r="C26283" s="8" t="n">
        <v>45</v>
      </c>
      <c r="D26283" s="8" t="inlineStr">
        <is>
          <t>Disney Adventure World</t>
        </is>
      </c>
      <c r="E26283" s="8" t="inlineStr">
        <is>
          <t>RC Racer Single Rider</t>
        </is>
      </c>
      <c r="F26283" s="8" t="inlineStr">
        <is>
          <t>STANDBY</t>
        </is>
      </c>
      <c r="G26283" s="8" t="n">
        <v>35</v>
      </c>
      <c r="H26283" s="8" t="inlineStr">
        <is>
          <t>OPERATING</t>
        </is>
      </c>
    </row>
    <row r="26284">
      <c r="A26284" s="8" t="inlineStr">
        <is>
          <t>2026-08-05</t>
        </is>
      </c>
      <c r="B26284" s="8" t="n">
        <v>18</v>
      </c>
      <c r="C26284" s="8" t="n">
        <v>45</v>
      </c>
      <c r="D26284" s="8" t="inlineStr">
        <is>
          <t>Disney Adventure World</t>
        </is>
      </c>
      <c r="E26284" s="8" t="inlineStr">
        <is>
          <t>Slinky® Dog Zigzag Spin</t>
        </is>
      </c>
      <c r="F26284" s="8" t="inlineStr">
        <is>
          <t>STANDBY</t>
        </is>
      </c>
      <c r="G26284" s="8" t="n">
        <v>10</v>
      </c>
      <c r="H26284" s="8" t="inlineStr">
        <is>
          <t>OPERATING</t>
        </is>
      </c>
    </row>
    <row r="26285">
      <c r="A26285" s="8" t="inlineStr">
        <is>
          <t>2026-08-05</t>
        </is>
      </c>
      <c r="B26285" s="8" t="n">
        <v>18</v>
      </c>
      <c r="C26285" s="8" t="n">
        <v>45</v>
      </c>
      <c r="D26285" s="8" t="inlineStr">
        <is>
          <t>Disney Adventure World</t>
        </is>
      </c>
      <c r="E26285" s="8" t="inlineStr">
        <is>
          <t>Toy Soldiers Parachute Drop</t>
        </is>
      </c>
      <c r="F26285" s="8" t="inlineStr">
        <is>
          <t>STANDBY</t>
        </is>
      </c>
      <c r="G26285" s="8" t="n">
        <v>50</v>
      </c>
      <c r="H26285" s="8" t="inlineStr">
        <is>
          <t>OPERATING</t>
        </is>
      </c>
    </row>
    <row r="26286">
      <c r="A26286" s="8" t="inlineStr">
        <is>
          <t>2026-08-05</t>
        </is>
      </c>
      <c r="B26286" s="8" t="n">
        <v>18</v>
      </c>
      <c r="C26286" s="8" t="n">
        <v>45</v>
      </c>
      <c r="D26286" s="8" t="inlineStr">
        <is>
          <t>Disney Adventure World</t>
        </is>
      </c>
      <c r="E26286" s="8" t="inlineStr">
        <is>
          <t>Toy Soldiers Parachute Drop Single Rider</t>
        </is>
      </c>
      <c r="F26286" s="8" t="inlineStr">
        <is>
          <t>STANDBY</t>
        </is>
      </c>
      <c r="G26286" s="8" t="n">
        <v>30</v>
      </c>
      <c r="H26286" s="8" t="inlineStr">
        <is>
          <t>OPERATING</t>
        </is>
      </c>
    </row>
    <row r="26287">
      <c r="A26287" s="8" t="inlineStr">
        <is>
          <t>2026-08-05</t>
        </is>
      </c>
      <c r="B26287" s="8" t="n">
        <v>18</v>
      </c>
      <c r="C26287" s="8" t="n">
        <v>45</v>
      </c>
      <c r="D26287" s="8" t="inlineStr">
        <is>
          <t>Disney Adventure World</t>
        </is>
      </c>
      <c r="E26287" s="8" t="inlineStr">
        <is>
          <t>Entry to World of Frozen</t>
        </is>
      </c>
      <c r="F26287" s="8" t="inlineStr">
        <is>
          <t>STANDBY</t>
        </is>
      </c>
      <c r="G26287" s="8" t="n">
        <v>0</v>
      </c>
      <c r="H26287" s="8" t="inlineStr">
        <is>
          <t>OPERATING</t>
        </is>
      </c>
    </row>
    <row r="26288">
      <c r="A26288" s="8" t="inlineStr">
        <is>
          <t>2026-08-05</t>
        </is>
      </c>
      <c r="B26288" s="8" t="n">
        <v>18</v>
      </c>
      <c r="C26288" s="8" t="n">
        <v>45</v>
      </c>
      <c r="D26288" s="8" t="inlineStr">
        <is>
          <t>Disney Adventure World</t>
        </is>
      </c>
      <c r="E26288" s="8" t="inlineStr">
        <is>
          <t>Frozen Ever After</t>
        </is>
      </c>
      <c r="F26288" s="8" t="inlineStr">
        <is>
          <t>STANDBY</t>
        </is>
      </c>
      <c r="G26288" s="8" t="n">
        <v>65</v>
      </c>
      <c r="H26288" s="8" t="inlineStr">
        <is>
          <t>OPERATING</t>
        </is>
      </c>
    </row>
    <row r="26289">
      <c r="A26289" s="8" t="inlineStr">
        <is>
          <t>2026-08-05</t>
        </is>
      </c>
      <c r="B26289" s="8" t="n">
        <v>18</v>
      </c>
      <c r="C26289" s="8" t="n">
        <v>45</v>
      </c>
      <c r="D26289" s="8" t="inlineStr">
        <is>
          <t>Disney Adventure World</t>
        </is>
      </c>
      <c r="E26289" s="8" t="inlineStr">
        <is>
          <t>Raiponce Tangled Spin</t>
        </is>
      </c>
      <c r="F26289" s="8" t="inlineStr">
        <is>
          <t>STANDBY</t>
        </is>
      </c>
      <c r="G26289" s="8" t="n">
        <v>10</v>
      </c>
      <c r="H26289" s="8" t="inlineStr">
        <is>
          <t>OPERATING</t>
        </is>
      </c>
    </row>
    <row r="26290">
      <c r="A26290" s="8" t="inlineStr">
        <is>
          <t>2026-08-05</t>
        </is>
      </c>
      <c r="B26290" s="8" t="n">
        <v>19</v>
      </c>
      <c r="C26290" s="8" t="n">
        <v>1</v>
      </c>
      <c r="D26290" s="8" t="inlineStr">
        <is>
          <t>Disneyland Park</t>
        </is>
      </c>
      <c r="E26290" s="8" t="inlineStr">
        <is>
          <t>Adventure Isle</t>
        </is>
      </c>
      <c r="F26290" s="8" t="inlineStr">
        <is>
          <t>STANDBY</t>
        </is>
      </c>
      <c r="G26290" s="8" t="n">
        <v>0</v>
      </c>
      <c r="H26290" s="8" t="inlineStr">
        <is>
          <t>OPERATING</t>
        </is>
      </c>
    </row>
    <row r="26291">
      <c r="A26291" s="8" t="inlineStr">
        <is>
          <t>2026-08-05</t>
        </is>
      </c>
      <c r="B26291" s="8" t="n">
        <v>19</v>
      </c>
      <c r="C26291" s="8" t="n">
        <v>1</v>
      </c>
      <c r="D26291" s="8" t="inlineStr">
        <is>
          <t>Disneyland Park</t>
        </is>
      </c>
      <c r="E26291" s="8" t="inlineStr">
        <is>
          <t>Indiana Jones and the Temple of Peril Single Rider</t>
        </is>
      </c>
      <c r="F26291" s="8" t="inlineStr">
        <is>
          <t>STANDBY</t>
        </is>
      </c>
      <c r="G26291" s="8" t="n">
        <v>15</v>
      </c>
      <c r="H26291" s="8" t="inlineStr">
        <is>
          <t>OPERATING</t>
        </is>
      </c>
    </row>
    <row r="26292">
      <c r="A26292" s="8" t="inlineStr">
        <is>
          <t>2026-08-05</t>
        </is>
      </c>
      <c r="B26292" s="8" t="n">
        <v>19</v>
      </c>
      <c r="C26292" s="8" t="n">
        <v>1</v>
      </c>
      <c r="D26292" s="8" t="inlineStr">
        <is>
          <t>Disneyland Park</t>
        </is>
      </c>
      <c r="E26292" s="8" t="inlineStr">
        <is>
          <t>Indiana Jones™ and the Temple of Peril</t>
        </is>
      </c>
      <c r="F26292" s="8" t="inlineStr">
        <is>
          <t>STANDBY</t>
        </is>
      </c>
      <c r="G26292" s="8" t="n">
        <v>20</v>
      </c>
      <c r="H26292" s="8" t="inlineStr">
        <is>
          <t>OPERATING</t>
        </is>
      </c>
    </row>
    <row r="26293">
      <c r="A26293" s="8" t="inlineStr">
        <is>
          <t>2026-08-05</t>
        </is>
      </c>
      <c r="B26293" s="8" t="n">
        <v>19</v>
      </c>
      <c r="C26293" s="8" t="n">
        <v>1</v>
      </c>
      <c r="D26293" s="8" t="inlineStr">
        <is>
          <t>Disneyland Park</t>
        </is>
      </c>
      <c r="E26293" s="8" t="inlineStr">
        <is>
          <t>La Cabane des Robinson</t>
        </is>
      </c>
      <c r="F26293" s="8" t="inlineStr">
        <is>
          <t>STANDBY</t>
        </is>
      </c>
      <c r="G26293" s="8" t="n">
        <v>5</v>
      </c>
      <c r="H26293" s="8" t="inlineStr">
        <is>
          <t>OPERATING</t>
        </is>
      </c>
    </row>
    <row r="26294">
      <c r="A26294" s="8" t="inlineStr">
        <is>
          <t>2026-08-05</t>
        </is>
      </c>
      <c r="B26294" s="8" t="n">
        <v>19</v>
      </c>
      <c r="C26294" s="8" t="n">
        <v>1</v>
      </c>
      <c r="D26294" s="8" t="inlineStr">
        <is>
          <t>Disneyland Park</t>
        </is>
      </c>
      <c r="E26294" s="8" t="inlineStr">
        <is>
          <t>Le Passage Enchanté d'Aladdin</t>
        </is>
      </c>
      <c r="F26294" s="8" t="inlineStr">
        <is>
          <t>STANDBY</t>
        </is>
      </c>
      <c r="G26294" s="8" t="n">
        <v>0</v>
      </c>
      <c r="H26294" s="8" t="inlineStr">
        <is>
          <t>OPERATING</t>
        </is>
      </c>
    </row>
    <row r="26295">
      <c r="A26295" s="8" t="inlineStr">
        <is>
          <t>2026-08-05</t>
        </is>
      </c>
      <c r="B26295" s="8" t="n">
        <v>19</v>
      </c>
      <c r="C26295" s="8" t="n">
        <v>1</v>
      </c>
      <c r="D26295" s="8" t="inlineStr">
        <is>
          <t>Disneyland Park</t>
        </is>
      </c>
      <c r="E26295" s="8" t="inlineStr">
        <is>
          <t>Pirate Galleon</t>
        </is>
      </c>
      <c r="F26295" s="8" t="inlineStr">
        <is>
          <t>STANDBY</t>
        </is>
      </c>
      <c r="G26295" s="8" t="n">
        <v>0</v>
      </c>
      <c r="H26295" s="8" t="inlineStr">
        <is>
          <t>CLOSED</t>
        </is>
      </c>
    </row>
    <row r="26296">
      <c r="A26296" s="8" t="inlineStr">
        <is>
          <t>2026-08-05</t>
        </is>
      </c>
      <c r="B26296" s="8" t="n">
        <v>19</v>
      </c>
      <c r="C26296" s="8" t="n">
        <v>1</v>
      </c>
      <c r="D26296" s="8" t="inlineStr">
        <is>
          <t>Disneyland Park</t>
        </is>
      </c>
      <c r="E26296" s="8" t="inlineStr">
        <is>
          <t>Pirates of the Caribbean</t>
        </is>
      </c>
      <c r="F26296" s="8" t="inlineStr">
        <is>
          <t>STANDBY</t>
        </is>
      </c>
      <c r="G26296" s="8" t="n">
        <v>10</v>
      </c>
      <c r="H26296" s="8" t="inlineStr">
        <is>
          <t>OPERATING</t>
        </is>
      </c>
    </row>
    <row r="26297">
      <c r="A26297" s="8" t="inlineStr">
        <is>
          <t>2026-08-05</t>
        </is>
      </c>
      <c r="B26297" s="8" t="n">
        <v>19</v>
      </c>
      <c r="C26297" s="8" t="n">
        <v>1</v>
      </c>
      <c r="D26297" s="8" t="inlineStr">
        <is>
          <t>Disneyland Park</t>
        </is>
      </c>
      <c r="E26297" s="8" t="inlineStr">
        <is>
          <t>Pirates' Beach</t>
        </is>
      </c>
      <c r="F26297" s="8" t="inlineStr">
        <is>
          <t>STANDBY</t>
        </is>
      </c>
      <c r="G26297" s="8" t="n">
        <v>0</v>
      </c>
      <c r="H26297" s="8" t="inlineStr">
        <is>
          <t>OPERATING</t>
        </is>
      </c>
    </row>
    <row r="26298">
      <c r="A26298" s="8" t="inlineStr">
        <is>
          <t>2026-08-05</t>
        </is>
      </c>
      <c r="B26298" s="8" t="n">
        <v>19</v>
      </c>
      <c r="C26298" s="8" t="n">
        <v>1</v>
      </c>
      <c r="D26298" s="8" t="inlineStr">
        <is>
          <t>Disneyland Park</t>
        </is>
      </c>
      <c r="E26298" s="8" t="inlineStr">
        <is>
          <t>Autopia, presented by Avis</t>
        </is>
      </c>
      <c r="F26298" s="8" t="inlineStr">
        <is>
          <t>STANDBY</t>
        </is>
      </c>
      <c r="G26298" s="8" t="n">
        <v>50</v>
      </c>
      <c r="H26298" s="8" t="inlineStr">
        <is>
          <t>OPERATING</t>
        </is>
      </c>
    </row>
    <row r="26299">
      <c r="A26299" s="8" t="inlineStr">
        <is>
          <t>2026-08-05</t>
        </is>
      </c>
      <c r="B26299" s="8" t="n">
        <v>19</v>
      </c>
      <c r="C26299" s="8" t="n">
        <v>1</v>
      </c>
      <c r="D26299" s="8" t="inlineStr">
        <is>
          <t>Disneyland Park</t>
        </is>
      </c>
      <c r="E26299" s="8" t="inlineStr">
        <is>
          <t>Buzz Lightyear Laser Blast</t>
        </is>
      </c>
      <c r="F26299" s="8" t="inlineStr">
        <is>
          <t>STANDBY</t>
        </is>
      </c>
      <c r="G26299" s="8" t="n">
        <v>35</v>
      </c>
      <c r="H26299" s="8" t="inlineStr">
        <is>
          <t>OPERATING</t>
        </is>
      </c>
    </row>
    <row r="26300">
      <c r="A26300" s="8" t="inlineStr">
        <is>
          <t>2026-08-05</t>
        </is>
      </c>
      <c r="B26300" s="8" t="n">
        <v>19</v>
      </c>
      <c r="C26300" s="8" t="n">
        <v>1</v>
      </c>
      <c r="D26300" s="8" t="inlineStr">
        <is>
          <t>Disneyland Park</t>
        </is>
      </c>
      <c r="E26300" s="8" t="inlineStr">
        <is>
          <t>Disneyland Railroad Discoveryland Station</t>
        </is>
      </c>
      <c r="F26300" s="8" t="inlineStr">
        <is>
          <t>STANDBY</t>
        </is>
      </c>
      <c r="G26300" s="8" t="n">
        <v>0</v>
      </c>
      <c r="H26300" s="8" t="inlineStr">
        <is>
          <t>CLOSED</t>
        </is>
      </c>
    </row>
    <row r="26301">
      <c r="A26301" s="8" t="inlineStr">
        <is>
          <t>2026-08-05</t>
        </is>
      </c>
      <c r="B26301" s="8" t="n">
        <v>19</v>
      </c>
      <c r="C26301" s="8" t="n">
        <v>1</v>
      </c>
      <c r="D26301" s="8" t="inlineStr">
        <is>
          <t>Disneyland Park</t>
        </is>
      </c>
      <c r="E26301" s="8" t="inlineStr">
        <is>
          <t>Les Mystères du Nautilus</t>
        </is>
      </c>
      <c r="F26301" s="8" t="inlineStr">
        <is>
          <t>STANDBY</t>
        </is>
      </c>
      <c r="G26301" s="8" t="n">
        <v>5</v>
      </c>
      <c r="H26301" s="8" t="inlineStr">
        <is>
          <t>OPERATING</t>
        </is>
      </c>
    </row>
    <row r="26302">
      <c r="A26302" s="8" t="inlineStr">
        <is>
          <t>2026-08-05</t>
        </is>
      </c>
      <c r="B26302" s="8" t="n">
        <v>19</v>
      </c>
      <c r="C26302" s="8" t="n">
        <v>1</v>
      </c>
      <c r="D26302" s="8" t="inlineStr">
        <is>
          <t>Disneyland Park</t>
        </is>
      </c>
      <c r="E26302" s="8" t="inlineStr">
        <is>
          <t>Mickey’s PhilharMagic</t>
        </is>
      </c>
      <c r="F26302" s="8" t="inlineStr">
        <is>
          <t>STANDBY</t>
        </is>
      </c>
      <c r="G26302" s="8" t="n">
        <v>0</v>
      </c>
      <c r="H26302" s="8" t="inlineStr">
        <is>
          <t>CLOSED</t>
        </is>
      </c>
    </row>
    <row r="26303">
      <c r="A26303" s="8" t="inlineStr">
        <is>
          <t>2026-08-05</t>
        </is>
      </c>
      <c r="B26303" s="8" t="n">
        <v>19</v>
      </c>
      <c r="C26303" s="8" t="n">
        <v>1</v>
      </c>
      <c r="D26303" s="8" t="inlineStr">
        <is>
          <t>Disneyland Park</t>
        </is>
      </c>
      <c r="E26303" s="8" t="inlineStr">
        <is>
          <t>Orbitron®</t>
        </is>
      </c>
      <c r="F26303" s="8" t="inlineStr">
        <is>
          <t>STANDBY</t>
        </is>
      </c>
      <c r="G26303" s="8" t="n">
        <v>60</v>
      </c>
      <c r="H26303" s="8" t="inlineStr">
        <is>
          <t>OPERATING</t>
        </is>
      </c>
    </row>
    <row r="26304">
      <c r="A26304" s="8" t="inlineStr">
        <is>
          <t>2026-08-05</t>
        </is>
      </c>
      <c r="B26304" s="8" t="n">
        <v>19</v>
      </c>
      <c r="C26304" s="8" t="n">
        <v>1</v>
      </c>
      <c r="D26304" s="8" t="inlineStr">
        <is>
          <t>Disneyland Park</t>
        </is>
      </c>
      <c r="E26304" s="8" t="inlineStr">
        <is>
          <t>Star Tours: The Adventures Continue*</t>
        </is>
      </c>
      <c r="F26304" s="8" t="inlineStr">
        <is>
          <t>STANDBY</t>
        </is>
      </c>
      <c r="G26304" s="8" t="n">
        <v>10</v>
      </c>
      <c r="H26304" s="8" t="inlineStr">
        <is>
          <t>OPERATING</t>
        </is>
      </c>
    </row>
    <row r="26305">
      <c r="A26305" s="8" t="inlineStr">
        <is>
          <t>2026-08-05</t>
        </is>
      </c>
      <c r="B26305" s="8" t="n">
        <v>19</v>
      </c>
      <c r="C26305" s="8" t="n">
        <v>1</v>
      </c>
      <c r="D26305" s="8" t="inlineStr">
        <is>
          <t>Disneyland Park</t>
        </is>
      </c>
      <c r="E26305" s="8" t="inlineStr">
        <is>
          <t>Star Wars Hyperspace Mountain</t>
        </is>
      </c>
      <c r="F26305" s="8" t="inlineStr">
        <is>
          <t>STANDBY</t>
        </is>
      </c>
      <c r="G26305" s="8" t="n">
        <v>40</v>
      </c>
      <c r="H26305" s="8" t="inlineStr">
        <is>
          <t>OPERATING</t>
        </is>
      </c>
    </row>
    <row r="26306">
      <c r="A26306" s="8" t="inlineStr">
        <is>
          <t>2026-08-05</t>
        </is>
      </c>
      <c r="B26306" s="8" t="n">
        <v>19</v>
      </c>
      <c r="C26306" s="8" t="n">
        <v>1</v>
      </c>
      <c r="D26306" s="8" t="inlineStr">
        <is>
          <t>Disneyland Park</t>
        </is>
      </c>
      <c r="E26306" s="8" t="inlineStr">
        <is>
          <t>Star Wars Hyperspace Mountain Single Rider</t>
        </is>
      </c>
      <c r="F26306" s="8" t="inlineStr">
        <is>
          <t>STANDBY</t>
        </is>
      </c>
      <c r="G26306" s="8" t="n">
        <v>0</v>
      </c>
      <c r="H26306" s="8" t="inlineStr">
        <is>
          <t>OPERATING</t>
        </is>
      </c>
    </row>
    <row r="26307">
      <c r="A26307" s="8" t="inlineStr">
        <is>
          <t>2026-08-05</t>
        </is>
      </c>
      <c r="B26307" s="8" t="n">
        <v>19</v>
      </c>
      <c r="C26307" s="8" t="n">
        <v>1</v>
      </c>
      <c r="D26307" s="8" t="inlineStr">
        <is>
          <t>Disneyland Park</t>
        </is>
      </c>
      <c r="E26307" s="8" t="inlineStr">
        <is>
          <t>Welcome to Starport: A Star Wars Encounter</t>
        </is>
      </c>
      <c r="F26307" s="8" t="inlineStr">
        <is>
          <t>STANDBY</t>
        </is>
      </c>
      <c r="G26307" s="8" t="n">
        <v>0</v>
      </c>
      <c r="H26307" s="8" t="inlineStr">
        <is>
          <t>CLOSED</t>
        </is>
      </c>
    </row>
    <row r="26308">
      <c r="A26308" s="8" t="inlineStr">
        <is>
          <t>2026-08-05</t>
        </is>
      </c>
      <c r="B26308" s="8" t="n">
        <v>19</v>
      </c>
      <c r="C26308" s="8" t="n">
        <v>1</v>
      </c>
      <c r="D26308" s="8" t="inlineStr">
        <is>
          <t>Disneyland Park</t>
        </is>
      </c>
      <c r="E26308" s="8" t="inlineStr">
        <is>
          <t>"it's a small world"</t>
        </is>
      </c>
      <c r="F26308" s="8" t="inlineStr">
        <is>
          <t>STANDBY</t>
        </is>
      </c>
      <c r="G26308" s="8" t="n">
        <v>5</v>
      </c>
      <c r="H26308" s="8" t="inlineStr">
        <is>
          <t>OPERATING</t>
        </is>
      </c>
    </row>
    <row r="26309">
      <c r="A26309" s="8" t="inlineStr">
        <is>
          <t>2026-08-05</t>
        </is>
      </c>
      <c r="B26309" s="8" t="n">
        <v>19</v>
      </c>
      <c r="C26309" s="8" t="n">
        <v>1</v>
      </c>
      <c r="D26309" s="8" t="inlineStr">
        <is>
          <t>Disneyland Park</t>
        </is>
      </c>
      <c r="E26309" s="8" t="inlineStr">
        <is>
          <t>Alice's Curious Labyrinth</t>
        </is>
      </c>
      <c r="F26309" s="8" t="inlineStr">
        <is>
          <t>STANDBY</t>
        </is>
      </c>
      <c r="G26309" s="8" t="n">
        <v>5</v>
      </c>
      <c r="H26309" s="8" t="inlineStr">
        <is>
          <t>OPERATING</t>
        </is>
      </c>
    </row>
    <row r="26310">
      <c r="A26310" s="8" t="inlineStr">
        <is>
          <t>2026-08-05</t>
        </is>
      </c>
      <c r="B26310" s="8" t="n">
        <v>19</v>
      </c>
      <c r="C26310" s="8" t="n">
        <v>1</v>
      </c>
      <c r="D26310" s="8" t="inlineStr">
        <is>
          <t>Disneyland Park</t>
        </is>
      </c>
      <c r="E26310" s="8" t="inlineStr">
        <is>
          <t>Blanche-Neige et les Sept Nains®</t>
        </is>
      </c>
      <c r="F26310" s="8" t="inlineStr">
        <is>
          <t>STANDBY</t>
        </is>
      </c>
      <c r="G26310" s="8" t="n">
        <v>30</v>
      </c>
      <c r="H26310" s="8" t="inlineStr">
        <is>
          <t>OPERATING</t>
        </is>
      </c>
    </row>
    <row r="26311">
      <c r="A26311" s="8" t="inlineStr">
        <is>
          <t>2026-08-05</t>
        </is>
      </c>
      <c r="B26311" s="8" t="n">
        <v>19</v>
      </c>
      <c r="C26311" s="8" t="n">
        <v>1</v>
      </c>
      <c r="D26311" s="8" t="inlineStr">
        <is>
          <t>Disneyland Park</t>
        </is>
      </c>
      <c r="E26311" s="8" t="inlineStr">
        <is>
          <t>Casey Jr. – le Petit Train du Cirque</t>
        </is>
      </c>
      <c r="F26311" s="8" t="inlineStr">
        <is>
          <t>STANDBY</t>
        </is>
      </c>
      <c r="G26311" s="8" t="n">
        <v>25</v>
      </c>
      <c r="H26311" s="8" t="inlineStr">
        <is>
          <t>OPERATING</t>
        </is>
      </c>
    </row>
    <row r="26312">
      <c r="A26312" s="8" t="inlineStr">
        <is>
          <t>2026-08-05</t>
        </is>
      </c>
      <c r="B26312" s="8" t="n">
        <v>19</v>
      </c>
      <c r="C26312" s="8" t="n">
        <v>1</v>
      </c>
      <c r="D26312" s="8" t="inlineStr">
        <is>
          <t>Disneyland Park</t>
        </is>
      </c>
      <c r="E26312" s="8" t="inlineStr">
        <is>
          <t>Disneyland Railroad Fantasyland Station</t>
        </is>
      </c>
      <c r="F26312" s="8" t="inlineStr">
        <is>
          <t>STANDBY</t>
        </is>
      </c>
      <c r="G26312" s="8" t="n">
        <v>0</v>
      </c>
      <c r="H26312" s="8" t="inlineStr">
        <is>
          <t>CLOSED</t>
        </is>
      </c>
    </row>
    <row r="26313">
      <c r="A26313" s="8" t="inlineStr">
        <is>
          <t>2026-08-05</t>
        </is>
      </c>
      <c r="B26313" s="8" t="n">
        <v>19</v>
      </c>
      <c r="C26313" s="8" t="n">
        <v>1</v>
      </c>
      <c r="D26313" s="8" t="inlineStr">
        <is>
          <t>Disneyland Park</t>
        </is>
      </c>
      <c r="E26313" s="8" t="inlineStr">
        <is>
          <t>Disneyland Railroad Main Street Station</t>
        </is>
      </c>
      <c r="F26313" s="8" t="inlineStr">
        <is>
          <t>STANDBY</t>
        </is>
      </c>
      <c r="G26313" s="8" t="n">
        <v>20</v>
      </c>
      <c r="H26313" s="8" t="inlineStr">
        <is>
          <t>OPERATING</t>
        </is>
      </c>
    </row>
    <row r="26314">
      <c r="A26314" s="8" t="inlineStr">
        <is>
          <t>2026-08-05</t>
        </is>
      </c>
      <c r="B26314" s="8" t="n">
        <v>19</v>
      </c>
      <c r="C26314" s="8" t="n">
        <v>1</v>
      </c>
      <c r="D26314" s="8" t="inlineStr">
        <is>
          <t>Disneyland Park</t>
        </is>
      </c>
      <c r="E26314" s="8" t="inlineStr">
        <is>
          <t>Dumbo the Flying Elephant</t>
        </is>
      </c>
      <c r="F26314" s="8" t="inlineStr">
        <is>
          <t>STANDBY</t>
        </is>
      </c>
      <c r="G26314" s="8" t="n">
        <v>25</v>
      </c>
      <c r="H26314" s="8" t="inlineStr">
        <is>
          <t>OPERATING</t>
        </is>
      </c>
    </row>
    <row r="26315">
      <c r="A26315" s="8" t="inlineStr">
        <is>
          <t>2026-08-05</t>
        </is>
      </c>
      <c r="B26315" s="8" t="n">
        <v>19</v>
      </c>
      <c r="C26315" s="8" t="n">
        <v>1</v>
      </c>
      <c r="D26315" s="8" t="inlineStr">
        <is>
          <t>Disneyland Park</t>
        </is>
      </c>
      <c r="E26315" s="8" t="inlineStr">
        <is>
          <t>La Tanière du Dragon</t>
        </is>
      </c>
      <c r="F26315" s="8" t="inlineStr">
        <is>
          <t>STANDBY</t>
        </is>
      </c>
      <c r="G26315" s="8" t="n">
        <v>0</v>
      </c>
      <c r="H26315" s="8" t="inlineStr">
        <is>
          <t>OPERATING</t>
        </is>
      </c>
    </row>
    <row r="26316">
      <c r="A26316" s="8" t="inlineStr">
        <is>
          <t>2026-08-05</t>
        </is>
      </c>
      <c r="B26316" s="8" t="n">
        <v>19</v>
      </c>
      <c r="C26316" s="8" t="n">
        <v>1</v>
      </c>
      <c r="D26316" s="8" t="inlineStr">
        <is>
          <t>Disneyland Park</t>
        </is>
      </c>
      <c r="E26316" s="8" t="inlineStr">
        <is>
          <t>Le Carrousel de Lancelot</t>
        </is>
      </c>
      <c r="F26316" s="8" t="inlineStr">
        <is>
          <t>STANDBY</t>
        </is>
      </c>
      <c r="G26316" s="8" t="n">
        <v>15</v>
      </c>
      <c r="H26316" s="8" t="inlineStr">
        <is>
          <t>OPERATING</t>
        </is>
      </c>
    </row>
    <row r="26317">
      <c r="A26317" s="8" t="inlineStr">
        <is>
          <t>2026-08-05</t>
        </is>
      </c>
      <c r="B26317" s="8" t="n">
        <v>19</v>
      </c>
      <c r="C26317" s="8" t="n">
        <v>1</v>
      </c>
      <c r="D26317" s="8" t="inlineStr">
        <is>
          <t>Disneyland Park</t>
        </is>
      </c>
      <c r="E26317" s="8" t="inlineStr">
        <is>
          <t>Le Pays des Contes de Fées, presented by Vittel</t>
        </is>
      </c>
      <c r="F26317" s="8" t="inlineStr">
        <is>
          <t>STANDBY</t>
        </is>
      </c>
      <c r="G26317" s="8" t="n">
        <v>5</v>
      </c>
      <c r="H26317" s="8" t="inlineStr">
        <is>
          <t>OPERATING</t>
        </is>
      </c>
    </row>
    <row r="26318">
      <c r="A26318" s="8" t="inlineStr">
        <is>
          <t>2026-08-05</t>
        </is>
      </c>
      <c r="B26318" s="8" t="n">
        <v>19</v>
      </c>
      <c r="C26318" s="8" t="n">
        <v>1</v>
      </c>
      <c r="D26318" s="8" t="inlineStr">
        <is>
          <t>Disneyland Park</t>
        </is>
      </c>
      <c r="E26318" s="8" t="inlineStr">
        <is>
          <t>Les Voyages de Pinocchio</t>
        </is>
      </c>
      <c r="F26318" s="8" t="inlineStr">
        <is>
          <t>STANDBY</t>
        </is>
      </c>
      <c r="G26318" s="8" t="n">
        <v>20</v>
      </c>
      <c r="H26318" s="8" t="inlineStr">
        <is>
          <t>OPERATING</t>
        </is>
      </c>
    </row>
    <row r="26319">
      <c r="A26319" s="8" t="inlineStr">
        <is>
          <t>2026-08-05</t>
        </is>
      </c>
      <c r="B26319" s="8" t="n">
        <v>19</v>
      </c>
      <c r="C26319" s="8" t="n">
        <v>1</v>
      </c>
      <c r="D26319" s="8" t="inlineStr">
        <is>
          <t>Disneyland Park</t>
        </is>
      </c>
      <c r="E26319" s="8" t="inlineStr">
        <is>
          <t>Mad Hatter's Tea Cups</t>
        </is>
      </c>
      <c r="F26319" s="8" t="inlineStr">
        <is>
          <t>STANDBY</t>
        </is>
      </c>
      <c r="G26319" s="8" t="n">
        <v>10</v>
      </c>
      <c r="H26319" s="8" t="inlineStr">
        <is>
          <t>OPERATING</t>
        </is>
      </c>
    </row>
    <row r="26320">
      <c r="A26320" s="8" t="inlineStr">
        <is>
          <t>2026-08-05</t>
        </is>
      </c>
      <c r="B26320" s="8" t="n">
        <v>19</v>
      </c>
      <c r="C26320" s="8" t="n">
        <v>1</v>
      </c>
      <c r="D26320" s="8" t="inlineStr">
        <is>
          <t>Disneyland Park</t>
        </is>
      </c>
      <c r="E26320" s="8" t="inlineStr">
        <is>
          <t>Meet Mickey Mouse</t>
        </is>
      </c>
      <c r="F26320" s="8" t="inlineStr">
        <is>
          <t>STANDBY</t>
        </is>
      </c>
      <c r="G26320" s="8" t="n">
        <v>0</v>
      </c>
      <c r="H26320" s="8" t="inlineStr">
        <is>
          <t>CLOSED</t>
        </is>
      </c>
    </row>
    <row r="26321">
      <c r="A26321" s="8" t="inlineStr">
        <is>
          <t>2026-08-05</t>
        </is>
      </c>
      <c r="B26321" s="8" t="n">
        <v>19</v>
      </c>
      <c r="C26321" s="8" t="n">
        <v>1</v>
      </c>
      <c r="D26321" s="8" t="inlineStr">
        <is>
          <t>Disneyland Park</t>
        </is>
      </c>
      <c r="E26321" s="8" t="inlineStr">
        <is>
          <t>Peter Pan's Flight</t>
        </is>
      </c>
      <c r="F26321" s="8" t="inlineStr">
        <is>
          <t>STANDBY</t>
        </is>
      </c>
      <c r="G26321" s="8" t="n">
        <v>75</v>
      </c>
      <c r="H26321" s="8" t="inlineStr">
        <is>
          <t>OPERATING</t>
        </is>
      </c>
    </row>
    <row r="26322">
      <c r="A26322" s="8" t="inlineStr">
        <is>
          <t>2026-08-05</t>
        </is>
      </c>
      <c r="B26322" s="8" t="n">
        <v>19</v>
      </c>
      <c r="C26322" s="8" t="n">
        <v>1</v>
      </c>
      <c r="D26322" s="8" t="inlineStr">
        <is>
          <t>Disneyland Park</t>
        </is>
      </c>
      <c r="E26322" s="8" t="inlineStr">
        <is>
          <t>Princess Pavilion</t>
        </is>
      </c>
      <c r="F26322" s="8" t="inlineStr">
        <is>
          <t>STANDBY</t>
        </is>
      </c>
      <c r="G26322" s="8" t="n">
        <v>0</v>
      </c>
      <c r="H26322" s="8" t="inlineStr">
        <is>
          <t>CLOSED</t>
        </is>
      </c>
    </row>
    <row r="26323">
      <c r="A26323" s="8" t="inlineStr">
        <is>
          <t>2026-08-05</t>
        </is>
      </c>
      <c r="B26323" s="8" t="n">
        <v>19</v>
      </c>
      <c r="C26323" s="8" t="n">
        <v>1</v>
      </c>
      <c r="D26323" s="8" t="inlineStr">
        <is>
          <t>Disneyland Park</t>
        </is>
      </c>
      <c r="E26323" s="8" t="inlineStr">
        <is>
          <t>Big Thunder Mountain</t>
        </is>
      </c>
      <c r="F26323" s="8" t="inlineStr">
        <is>
          <t>STANDBY</t>
        </is>
      </c>
      <c r="G26323" s="8" t="n">
        <v>75</v>
      </c>
      <c r="H26323" s="8" t="inlineStr">
        <is>
          <t>OPERATING</t>
        </is>
      </c>
    </row>
    <row r="26324">
      <c r="A26324" s="8" t="inlineStr">
        <is>
          <t>2026-08-05</t>
        </is>
      </c>
      <c r="B26324" s="8" t="n">
        <v>19</v>
      </c>
      <c r="C26324" s="8" t="n">
        <v>1</v>
      </c>
      <c r="D26324" s="8" t="inlineStr">
        <is>
          <t>Disneyland Park</t>
        </is>
      </c>
      <c r="E26324" s="8" t="inlineStr">
        <is>
          <t>Disneyland Railroad Frontierland Depot</t>
        </is>
      </c>
      <c r="F26324" s="8" t="inlineStr">
        <is>
          <t>STANDBY</t>
        </is>
      </c>
      <c r="G26324" s="8" t="n">
        <v>20</v>
      </c>
      <c r="H26324" s="8" t="inlineStr">
        <is>
          <t>OPERATING</t>
        </is>
      </c>
    </row>
    <row r="26325">
      <c r="A26325" s="8" t="inlineStr">
        <is>
          <t>2026-08-05</t>
        </is>
      </c>
      <c r="B26325" s="8" t="n">
        <v>19</v>
      </c>
      <c r="C26325" s="8" t="n">
        <v>1</v>
      </c>
      <c r="D26325" s="8" t="inlineStr">
        <is>
          <t>Disneyland Park</t>
        </is>
      </c>
      <c r="E26325" s="8" t="inlineStr">
        <is>
          <t>Frontierland Playground</t>
        </is>
      </c>
      <c r="F26325" s="8" t="inlineStr">
        <is>
          <t>STANDBY</t>
        </is>
      </c>
      <c r="G26325" s="8" t="n">
        <v>0</v>
      </c>
      <c r="H26325" s="8" t="inlineStr">
        <is>
          <t>OPERATING</t>
        </is>
      </c>
    </row>
    <row r="26326">
      <c r="A26326" s="8" t="inlineStr">
        <is>
          <t>2026-08-05</t>
        </is>
      </c>
      <c r="B26326" s="8" t="n">
        <v>19</v>
      </c>
      <c r="C26326" s="8" t="n">
        <v>1</v>
      </c>
      <c r="D26326" s="8" t="inlineStr">
        <is>
          <t>Disneyland Park</t>
        </is>
      </c>
      <c r="E26326" s="8" t="inlineStr">
        <is>
          <t>Phantom Manor</t>
        </is>
      </c>
      <c r="F26326" s="8" t="inlineStr">
        <is>
          <t>STANDBY</t>
        </is>
      </c>
      <c r="G26326" s="8" t="n">
        <v>20</v>
      </c>
      <c r="H26326" s="8" t="inlineStr">
        <is>
          <t>OPERATING</t>
        </is>
      </c>
    </row>
    <row r="26327">
      <c r="A26327" s="8" t="inlineStr">
        <is>
          <t>2026-08-05</t>
        </is>
      </c>
      <c r="B26327" s="8" t="n">
        <v>19</v>
      </c>
      <c r="C26327" s="8" t="n">
        <v>1</v>
      </c>
      <c r="D26327" s="8" t="inlineStr">
        <is>
          <t>Disneyland Park</t>
        </is>
      </c>
      <c r="E26327" s="8" t="inlineStr">
        <is>
          <t>River Rogue Keelboats</t>
        </is>
      </c>
      <c r="F26327" s="8" t="inlineStr">
        <is>
          <t>STANDBY</t>
        </is>
      </c>
      <c r="G26327" s="8" t="n">
        <v>0</v>
      </c>
      <c r="H26327" s="8" t="inlineStr">
        <is>
          <t>CLOSED</t>
        </is>
      </c>
    </row>
    <row r="26328">
      <c r="A26328" s="8" t="inlineStr">
        <is>
          <t>2026-08-05</t>
        </is>
      </c>
      <c r="B26328" s="8" t="n">
        <v>19</v>
      </c>
      <c r="C26328" s="8" t="n">
        <v>1</v>
      </c>
      <c r="D26328" s="8" t="inlineStr">
        <is>
          <t>Disneyland Park</t>
        </is>
      </c>
      <c r="E26328" s="8" t="inlineStr">
        <is>
          <t>Rustler Roundup Shootin' Gallery</t>
        </is>
      </c>
      <c r="F26328" s="8" t="inlineStr">
        <is>
          <t>STANDBY</t>
        </is>
      </c>
      <c r="G26328" s="8" t="n">
        <v>0</v>
      </c>
      <c r="H26328" s="8" t="inlineStr">
        <is>
          <t>OPERATING</t>
        </is>
      </c>
    </row>
    <row r="26329">
      <c r="A26329" s="8" t="inlineStr">
        <is>
          <t>2026-08-05</t>
        </is>
      </c>
      <c r="B26329" s="8" t="n">
        <v>19</v>
      </c>
      <c r="C26329" s="8" t="n">
        <v>1</v>
      </c>
      <c r="D26329" s="8" t="inlineStr">
        <is>
          <t>Disneyland Park</t>
        </is>
      </c>
      <c r="E26329" s="8" t="inlineStr">
        <is>
          <t>Thunder Mesa Riverboat Landing</t>
        </is>
      </c>
      <c r="F26329" s="8" t="inlineStr">
        <is>
          <t>STANDBY</t>
        </is>
      </c>
      <c r="G26329" s="8" t="n">
        <v>0</v>
      </c>
      <c r="H26329" s="8" t="inlineStr">
        <is>
          <t>CLOSED</t>
        </is>
      </c>
    </row>
    <row r="26330">
      <c r="A26330" s="8" t="inlineStr">
        <is>
          <t>2026-08-05</t>
        </is>
      </c>
      <c r="B26330" s="8" t="n">
        <v>19</v>
      </c>
      <c r="C26330" s="8" t="n">
        <v>1</v>
      </c>
      <c r="D26330" s="8" t="inlineStr">
        <is>
          <t>Disneyland Park</t>
        </is>
      </c>
      <c r="E26330" s="8" t="inlineStr">
        <is>
          <t>Disneyland Railroad Main Street Station</t>
        </is>
      </c>
      <c r="F26330" s="8" t="inlineStr">
        <is>
          <t>STANDBY</t>
        </is>
      </c>
      <c r="G26330" s="8" t="n">
        <v>0</v>
      </c>
      <c r="H26330" s="8" t="inlineStr">
        <is>
          <t>OPERATING</t>
        </is>
      </c>
    </row>
    <row r="26331">
      <c r="A26331" s="8" t="inlineStr">
        <is>
          <t>2026-08-05</t>
        </is>
      </c>
      <c r="B26331" s="8" t="n">
        <v>19</v>
      </c>
      <c r="C26331" s="8" t="n">
        <v>1</v>
      </c>
      <c r="D26331" s="8" t="inlineStr">
        <is>
          <t>Disneyland Park</t>
        </is>
      </c>
      <c r="E26331" s="8" t="inlineStr">
        <is>
          <t>Main Street Vehicles</t>
        </is>
      </c>
      <c r="F26331" s="8" t="inlineStr">
        <is>
          <t>STANDBY</t>
        </is>
      </c>
      <c r="G26331" s="8" t="n">
        <v>0</v>
      </c>
      <c r="H26331" s="8" t="inlineStr">
        <is>
          <t>CLOSED</t>
        </is>
      </c>
    </row>
    <row r="26332">
      <c r="A26332" s="8" t="inlineStr">
        <is>
          <t>2026-08-05</t>
        </is>
      </c>
      <c r="B26332" s="8" t="n">
        <v>19</v>
      </c>
      <c r="C26332" s="8" t="n">
        <v>1</v>
      </c>
      <c r="D26332" s="8" t="inlineStr">
        <is>
          <t>Disney Adventure World</t>
        </is>
      </c>
      <c r="E26332" s="8" t="inlineStr">
        <is>
          <t>Avengers Assemble: Flight Force</t>
        </is>
      </c>
      <c r="F26332" s="8" t="inlineStr">
        <is>
          <t>STANDBY</t>
        </is>
      </c>
      <c r="G26332" s="8" t="n">
        <v>20</v>
      </c>
      <c r="H26332" s="8" t="inlineStr">
        <is>
          <t>OPERATING</t>
        </is>
      </c>
    </row>
    <row r="26333">
      <c r="A26333" s="8" t="inlineStr">
        <is>
          <t>2026-08-05</t>
        </is>
      </c>
      <c r="B26333" s="8" t="n">
        <v>19</v>
      </c>
      <c r="C26333" s="8" t="n">
        <v>1</v>
      </c>
      <c r="D26333" s="8" t="inlineStr">
        <is>
          <t>Disney Adventure World</t>
        </is>
      </c>
      <c r="E26333" s="8" t="inlineStr">
        <is>
          <t>Avengers Assemble: Flight Force Single Rider</t>
        </is>
      </c>
      <c r="F26333" s="8" t="inlineStr">
        <is>
          <t>STANDBY</t>
        </is>
      </c>
      <c r="G26333" s="8" t="n">
        <v>15</v>
      </c>
      <c r="H26333" s="8" t="inlineStr">
        <is>
          <t>OPERATING</t>
        </is>
      </c>
    </row>
    <row r="26334">
      <c r="A26334" s="8" t="inlineStr">
        <is>
          <t>2026-08-05</t>
        </is>
      </c>
      <c r="B26334" s="8" t="n">
        <v>19</v>
      </c>
      <c r="C26334" s="8" t="n">
        <v>1</v>
      </c>
      <c r="D26334" s="8" t="inlineStr">
        <is>
          <t>Disney Adventure World</t>
        </is>
      </c>
      <c r="E26334" s="8" t="inlineStr">
        <is>
          <t>Spider-Man W.E.B. Adventure</t>
        </is>
      </c>
      <c r="F26334" s="8" t="inlineStr">
        <is>
          <t>STANDBY</t>
        </is>
      </c>
      <c r="G26334" s="8" t="n">
        <v>40</v>
      </c>
      <c r="H26334" s="8" t="inlineStr">
        <is>
          <t>OPERATING</t>
        </is>
      </c>
    </row>
    <row r="26335">
      <c r="A26335" s="8" t="inlineStr">
        <is>
          <t>2026-08-05</t>
        </is>
      </c>
      <c r="B26335" s="8" t="n">
        <v>19</v>
      </c>
      <c r="C26335" s="8" t="n">
        <v>1</v>
      </c>
      <c r="D26335" s="8" t="inlineStr">
        <is>
          <t>Disney Adventure World</t>
        </is>
      </c>
      <c r="E26335" s="8" t="inlineStr">
        <is>
          <t>Spider-Man W.E.B. Adventure Single Rider</t>
        </is>
      </c>
      <c r="F26335" s="8" t="inlineStr">
        <is>
          <t>STANDBY</t>
        </is>
      </c>
      <c r="G26335" s="8" t="n">
        <v>15</v>
      </c>
      <c r="H26335" s="8" t="inlineStr">
        <is>
          <t>OPERATING</t>
        </is>
      </c>
    </row>
    <row r="26336">
      <c r="A26336" s="8" t="inlineStr">
        <is>
          <t>2026-08-05</t>
        </is>
      </c>
      <c r="B26336" s="8" t="n">
        <v>19</v>
      </c>
      <c r="C26336" s="8" t="n">
        <v>1</v>
      </c>
      <c r="D26336" s="8" t="inlineStr">
        <is>
          <t>Disney Adventure World</t>
        </is>
      </c>
      <c r="E26336" s="8" t="inlineStr">
        <is>
          <t>The Twilight Zone Tower of Terror</t>
        </is>
      </c>
      <c r="F26336" s="8" t="inlineStr">
        <is>
          <t>STANDBY</t>
        </is>
      </c>
      <c r="G26336" s="8" t="n">
        <v>10</v>
      </c>
      <c r="H26336" s="8" t="inlineStr">
        <is>
          <t>OPERATING</t>
        </is>
      </c>
    </row>
    <row r="26337">
      <c r="A26337" s="8" t="inlineStr">
        <is>
          <t>2026-08-05</t>
        </is>
      </c>
      <c r="B26337" s="8" t="n">
        <v>19</v>
      </c>
      <c r="C26337" s="8" t="n">
        <v>1</v>
      </c>
      <c r="D26337" s="8" t="inlineStr">
        <is>
          <t>Disney Adventure World</t>
        </is>
      </c>
      <c r="E26337" s="8" t="inlineStr">
        <is>
          <t>Cars Quatre Roues Rallye</t>
        </is>
      </c>
      <c r="F26337" s="8" t="inlineStr">
        <is>
          <t>STANDBY</t>
        </is>
      </c>
      <c r="G26337" s="8" t="n">
        <v>10</v>
      </c>
      <c r="H26337" s="8" t="inlineStr">
        <is>
          <t>OPERATING</t>
        </is>
      </c>
    </row>
    <row r="26338">
      <c r="A26338" s="8" t="inlineStr">
        <is>
          <t>2026-08-05</t>
        </is>
      </c>
      <c r="B26338" s="8" t="n">
        <v>19</v>
      </c>
      <c r="C26338" s="8" t="n">
        <v>1</v>
      </c>
      <c r="D26338" s="8" t="inlineStr">
        <is>
          <t>Disney Adventure World</t>
        </is>
      </c>
      <c r="E26338" s="8" t="inlineStr">
        <is>
          <t>Cars ROAD TRIP</t>
        </is>
      </c>
      <c r="F26338" s="8" t="inlineStr">
        <is>
          <t>STANDBY</t>
        </is>
      </c>
      <c r="G26338" s="8" t="n">
        <v>10</v>
      </c>
      <c r="H26338" s="8" t="inlineStr">
        <is>
          <t>OPERATING</t>
        </is>
      </c>
    </row>
    <row r="26339">
      <c r="A26339" s="8" t="inlineStr">
        <is>
          <t>2026-08-05</t>
        </is>
      </c>
      <c r="B26339" s="8" t="n">
        <v>19</v>
      </c>
      <c r="C26339" s="8" t="n">
        <v>1</v>
      </c>
      <c r="D26339" s="8" t="inlineStr">
        <is>
          <t>Disney Adventure World</t>
        </is>
      </c>
      <c r="E26339" s="8" t="inlineStr">
        <is>
          <t>Crush's Coaster</t>
        </is>
      </c>
      <c r="F26339" s="8" t="inlineStr">
        <is>
          <t>STANDBY</t>
        </is>
      </c>
      <c r="G26339" s="8" t="n">
        <v>75</v>
      </c>
      <c r="H26339" s="8" t="inlineStr">
        <is>
          <t>OPERATING</t>
        </is>
      </c>
    </row>
    <row r="26340">
      <c r="A26340" s="8" t="inlineStr">
        <is>
          <t>2026-08-05</t>
        </is>
      </c>
      <c r="B26340" s="8" t="n">
        <v>19</v>
      </c>
      <c r="C26340" s="8" t="n">
        <v>1</v>
      </c>
      <c r="D26340" s="8" t="inlineStr">
        <is>
          <t>Disney Adventure World</t>
        </is>
      </c>
      <c r="E26340" s="8" t="inlineStr">
        <is>
          <t>Crush's Coaster Single Rider</t>
        </is>
      </c>
      <c r="F26340" s="8" t="inlineStr">
        <is>
          <t>STANDBY</t>
        </is>
      </c>
      <c r="G26340" s="8" t="n">
        <v>45</v>
      </c>
      <c r="H26340" s="8" t="inlineStr">
        <is>
          <t>OPERATING</t>
        </is>
      </c>
    </row>
    <row r="26341">
      <c r="A26341" s="8" t="inlineStr">
        <is>
          <t>2026-08-05</t>
        </is>
      </c>
      <c r="B26341" s="8" t="n">
        <v>19</v>
      </c>
      <c r="C26341" s="8" t="n">
        <v>1</v>
      </c>
      <c r="D26341" s="8" t="inlineStr">
        <is>
          <t>Disney Adventure World</t>
        </is>
      </c>
      <c r="E26341" s="8" t="inlineStr">
        <is>
          <t>Les Tapis Volants - Flying Carpets Over Agrabah®</t>
        </is>
      </c>
      <c r="F26341" s="8" t="inlineStr">
        <is>
          <t>STANDBY</t>
        </is>
      </c>
      <c r="G26341" s="8" t="n">
        <v>15</v>
      </c>
      <c r="H26341" s="8" t="inlineStr">
        <is>
          <t>OPERATING</t>
        </is>
      </c>
    </row>
    <row r="26342">
      <c r="A26342" s="8" t="inlineStr">
        <is>
          <t>2026-08-05</t>
        </is>
      </c>
      <c r="B26342" s="8" t="n">
        <v>19</v>
      </c>
      <c r="C26342" s="8" t="n">
        <v>1</v>
      </c>
      <c r="D26342" s="8" t="inlineStr">
        <is>
          <t>Disney Adventure World</t>
        </is>
      </c>
      <c r="E26342" s="8" t="inlineStr">
        <is>
          <t>Ratatouille : L’Aventure Totalement Toquée de Rémy​</t>
        </is>
      </c>
      <c r="F26342" s="8" t="inlineStr">
        <is>
          <t>STANDBY</t>
        </is>
      </c>
      <c r="G26342" s="8" t="n">
        <v>50</v>
      </c>
      <c r="H26342" s="8" t="inlineStr">
        <is>
          <t>OPERATING</t>
        </is>
      </c>
    </row>
    <row r="26343">
      <c r="A26343" s="8" t="inlineStr">
        <is>
          <t>2026-08-05</t>
        </is>
      </c>
      <c r="B26343" s="8" t="n">
        <v>19</v>
      </c>
      <c r="C26343" s="8" t="n">
        <v>1</v>
      </c>
      <c r="D26343" s="8" t="inlineStr">
        <is>
          <t>Disney Adventure World</t>
        </is>
      </c>
      <c r="E26343" s="8" t="inlineStr">
        <is>
          <t>Ratatouille: The Adventure Single Rider</t>
        </is>
      </c>
      <c r="F26343" s="8" t="inlineStr">
        <is>
          <t>STANDBY</t>
        </is>
      </c>
      <c r="G26343" s="8" t="n">
        <v>20</v>
      </c>
      <c r="H26343" s="8" t="inlineStr">
        <is>
          <t>OPERATING</t>
        </is>
      </c>
    </row>
    <row r="26344">
      <c r="A26344" s="8" t="inlineStr">
        <is>
          <t>2026-08-05</t>
        </is>
      </c>
      <c r="B26344" s="8" t="n">
        <v>19</v>
      </c>
      <c r="C26344" s="8" t="n">
        <v>1</v>
      </c>
      <c r="D26344" s="8" t="inlineStr">
        <is>
          <t>Disney Adventure World</t>
        </is>
      </c>
      <c r="E26344" s="8" t="inlineStr">
        <is>
          <t>RC Racer</t>
        </is>
      </c>
      <c r="F26344" s="8" t="inlineStr">
        <is>
          <t>STANDBY</t>
        </is>
      </c>
      <c r="G26344" s="8" t="n">
        <v>40</v>
      </c>
      <c r="H26344" s="8" t="inlineStr">
        <is>
          <t>OPERATING</t>
        </is>
      </c>
    </row>
    <row r="26345">
      <c r="A26345" s="8" t="inlineStr">
        <is>
          <t>2026-08-05</t>
        </is>
      </c>
      <c r="B26345" s="8" t="n">
        <v>19</v>
      </c>
      <c r="C26345" s="8" t="n">
        <v>1</v>
      </c>
      <c r="D26345" s="8" t="inlineStr">
        <is>
          <t>Disney Adventure World</t>
        </is>
      </c>
      <c r="E26345" s="8" t="inlineStr">
        <is>
          <t>RC Racer Single Rider</t>
        </is>
      </c>
      <c r="F26345" s="8" t="inlineStr">
        <is>
          <t>STANDBY</t>
        </is>
      </c>
      <c r="G26345" s="8" t="n">
        <v>35</v>
      </c>
      <c r="H26345" s="8" t="inlineStr">
        <is>
          <t>OPERATING</t>
        </is>
      </c>
    </row>
    <row r="26346">
      <c r="A26346" s="8" t="inlineStr">
        <is>
          <t>2026-08-05</t>
        </is>
      </c>
      <c r="B26346" s="8" t="n">
        <v>19</v>
      </c>
      <c r="C26346" s="8" t="n">
        <v>1</v>
      </c>
      <c r="D26346" s="8" t="inlineStr">
        <is>
          <t>Disney Adventure World</t>
        </is>
      </c>
      <c r="E26346" s="8" t="inlineStr">
        <is>
          <t>Slinky® Dog Zigzag Spin</t>
        </is>
      </c>
      <c r="F26346" s="8" t="inlineStr">
        <is>
          <t>STANDBY</t>
        </is>
      </c>
      <c r="G26346" s="8" t="n">
        <v>10</v>
      </c>
      <c r="H26346" s="8" t="inlineStr">
        <is>
          <t>OPERATING</t>
        </is>
      </c>
    </row>
    <row r="26347">
      <c r="A26347" s="8" t="inlineStr">
        <is>
          <t>2026-08-05</t>
        </is>
      </c>
      <c r="B26347" s="8" t="n">
        <v>19</v>
      </c>
      <c r="C26347" s="8" t="n">
        <v>1</v>
      </c>
      <c r="D26347" s="8" t="inlineStr">
        <is>
          <t>Disney Adventure World</t>
        </is>
      </c>
      <c r="E26347" s="8" t="inlineStr">
        <is>
          <t>Toy Soldiers Parachute Drop</t>
        </is>
      </c>
      <c r="F26347" s="8" t="inlineStr">
        <is>
          <t>STANDBY</t>
        </is>
      </c>
      <c r="G26347" s="8" t="n">
        <v>55</v>
      </c>
      <c r="H26347" s="8" t="inlineStr">
        <is>
          <t>OPERATING</t>
        </is>
      </c>
    </row>
    <row r="26348">
      <c r="A26348" s="8" t="inlineStr">
        <is>
          <t>2026-08-05</t>
        </is>
      </c>
      <c r="B26348" s="8" t="n">
        <v>19</v>
      </c>
      <c r="C26348" s="8" t="n">
        <v>1</v>
      </c>
      <c r="D26348" s="8" t="inlineStr">
        <is>
          <t>Disney Adventure World</t>
        </is>
      </c>
      <c r="E26348" s="8" t="inlineStr">
        <is>
          <t>Toy Soldiers Parachute Drop Single Rider</t>
        </is>
      </c>
      <c r="F26348" s="8" t="inlineStr">
        <is>
          <t>STANDBY</t>
        </is>
      </c>
      <c r="G26348" s="8" t="n">
        <v>25</v>
      </c>
      <c r="H26348" s="8" t="inlineStr">
        <is>
          <t>OPERATING</t>
        </is>
      </c>
    </row>
    <row r="26349">
      <c r="A26349" s="8" t="inlineStr">
        <is>
          <t>2026-08-05</t>
        </is>
      </c>
      <c r="B26349" s="8" t="n">
        <v>19</v>
      </c>
      <c r="C26349" s="8" t="n">
        <v>1</v>
      </c>
      <c r="D26349" s="8" t="inlineStr">
        <is>
          <t>Disney Adventure World</t>
        </is>
      </c>
      <c r="E26349" s="8" t="inlineStr">
        <is>
          <t>Entry to World of Frozen</t>
        </is>
      </c>
      <c r="F26349" s="8" t="inlineStr">
        <is>
          <t>STANDBY</t>
        </is>
      </c>
      <c r="G26349" s="8" t="n">
        <v>0</v>
      </c>
      <c r="H26349" s="8" t="inlineStr">
        <is>
          <t>OPERATING</t>
        </is>
      </c>
    </row>
    <row r="26350">
      <c r="A26350" s="8" t="inlineStr">
        <is>
          <t>2026-08-05</t>
        </is>
      </c>
      <c r="B26350" s="8" t="n">
        <v>19</v>
      </c>
      <c r="C26350" s="8" t="n">
        <v>1</v>
      </c>
      <c r="D26350" s="8" t="inlineStr">
        <is>
          <t>Disney Adventure World</t>
        </is>
      </c>
      <c r="E26350" s="8" t="inlineStr">
        <is>
          <t>Frozen Ever After</t>
        </is>
      </c>
      <c r="F26350" s="8" t="inlineStr">
        <is>
          <t>STANDBY</t>
        </is>
      </c>
      <c r="G26350" s="8" t="n">
        <v>55</v>
      </c>
      <c r="H26350" s="8" t="inlineStr">
        <is>
          <t>OPERATING</t>
        </is>
      </c>
    </row>
    <row r="26351">
      <c r="A26351" s="8" t="inlineStr">
        <is>
          <t>2026-08-05</t>
        </is>
      </c>
      <c r="B26351" s="8" t="n">
        <v>19</v>
      </c>
      <c r="C26351" s="8" t="n">
        <v>1</v>
      </c>
      <c r="D26351" s="8" t="inlineStr">
        <is>
          <t>Disney Adventure World</t>
        </is>
      </c>
      <c r="E26351" s="8" t="inlineStr">
        <is>
          <t>Raiponce Tangled Spin</t>
        </is>
      </c>
      <c r="F26351" s="8" t="inlineStr">
        <is>
          <t>STANDBY</t>
        </is>
      </c>
      <c r="G26351" s="8" t="n">
        <v>5</v>
      </c>
      <c r="H26351" s="8" t="inlineStr">
        <is>
          <t>OPERATING</t>
        </is>
      </c>
    </row>
    <row r="26352">
      <c r="A26352" s="8" t="inlineStr">
        <is>
          <t>2026-08-05</t>
        </is>
      </c>
      <c r="B26352" s="8" t="n">
        <v>19</v>
      </c>
      <c r="C26352" s="8" t="n">
        <v>6</v>
      </c>
      <c r="D26352" s="8" t="inlineStr">
        <is>
          <t>Disneyland Park</t>
        </is>
      </c>
      <c r="E26352" s="8" t="inlineStr">
        <is>
          <t>Adventure Isle</t>
        </is>
      </c>
      <c r="F26352" s="8" t="inlineStr">
        <is>
          <t>STANDBY</t>
        </is>
      </c>
      <c r="G26352" s="8" t="n">
        <v>0</v>
      </c>
      <c r="H26352" s="8" t="inlineStr">
        <is>
          <t>OPERATING</t>
        </is>
      </c>
    </row>
    <row r="26353">
      <c r="A26353" s="8" t="inlineStr">
        <is>
          <t>2026-08-05</t>
        </is>
      </c>
      <c r="B26353" s="8" t="n">
        <v>19</v>
      </c>
      <c r="C26353" s="8" t="n">
        <v>6</v>
      </c>
      <c r="D26353" s="8" t="inlineStr">
        <is>
          <t>Disneyland Park</t>
        </is>
      </c>
      <c r="E26353" s="8" t="inlineStr">
        <is>
          <t>Indiana Jones and the Temple of Peril Single Rider</t>
        </is>
      </c>
      <c r="F26353" s="8" t="inlineStr">
        <is>
          <t>STANDBY</t>
        </is>
      </c>
      <c r="G26353" s="8" t="n">
        <v>15</v>
      </c>
      <c r="H26353" s="8" t="inlineStr">
        <is>
          <t>OPERATING</t>
        </is>
      </c>
    </row>
    <row r="26354">
      <c r="A26354" s="8" t="inlineStr">
        <is>
          <t>2026-08-05</t>
        </is>
      </c>
      <c r="B26354" s="8" t="n">
        <v>19</v>
      </c>
      <c r="C26354" s="8" t="n">
        <v>6</v>
      </c>
      <c r="D26354" s="8" t="inlineStr">
        <is>
          <t>Disneyland Park</t>
        </is>
      </c>
      <c r="E26354" s="8" t="inlineStr">
        <is>
          <t>Indiana Jones™ and the Temple of Peril</t>
        </is>
      </c>
      <c r="F26354" s="8" t="inlineStr">
        <is>
          <t>STANDBY</t>
        </is>
      </c>
      <c r="G26354" s="8" t="n">
        <v>20</v>
      </c>
      <c r="H26354" s="8" t="inlineStr">
        <is>
          <t>OPERATING</t>
        </is>
      </c>
    </row>
    <row r="26355">
      <c r="A26355" s="8" t="inlineStr">
        <is>
          <t>2026-08-05</t>
        </is>
      </c>
      <c r="B26355" s="8" t="n">
        <v>19</v>
      </c>
      <c r="C26355" s="8" t="n">
        <v>6</v>
      </c>
      <c r="D26355" s="8" t="inlineStr">
        <is>
          <t>Disneyland Park</t>
        </is>
      </c>
      <c r="E26355" s="8" t="inlineStr">
        <is>
          <t>La Cabane des Robinson</t>
        </is>
      </c>
      <c r="F26355" s="8" t="inlineStr">
        <is>
          <t>STANDBY</t>
        </is>
      </c>
      <c r="G26355" s="8" t="n">
        <v>5</v>
      </c>
      <c r="H26355" s="8" t="inlineStr">
        <is>
          <t>OPERATING</t>
        </is>
      </c>
    </row>
    <row r="26356">
      <c r="A26356" s="8" t="inlineStr">
        <is>
          <t>2026-08-05</t>
        </is>
      </c>
      <c r="B26356" s="8" t="n">
        <v>19</v>
      </c>
      <c r="C26356" s="8" t="n">
        <v>6</v>
      </c>
      <c r="D26356" s="8" t="inlineStr">
        <is>
          <t>Disneyland Park</t>
        </is>
      </c>
      <c r="E26356" s="8" t="inlineStr">
        <is>
          <t>Le Passage Enchanté d'Aladdin</t>
        </is>
      </c>
      <c r="F26356" s="8" t="inlineStr">
        <is>
          <t>STANDBY</t>
        </is>
      </c>
      <c r="G26356" s="8" t="n">
        <v>0</v>
      </c>
      <c r="H26356" s="8" t="inlineStr">
        <is>
          <t>OPERATING</t>
        </is>
      </c>
    </row>
    <row r="26357">
      <c r="A26357" s="8" t="inlineStr">
        <is>
          <t>2026-08-05</t>
        </is>
      </c>
      <c r="B26357" s="8" t="n">
        <v>19</v>
      </c>
      <c r="C26357" s="8" t="n">
        <v>6</v>
      </c>
      <c r="D26357" s="8" t="inlineStr">
        <is>
          <t>Disneyland Park</t>
        </is>
      </c>
      <c r="E26357" s="8" t="inlineStr">
        <is>
          <t>Pirate Galleon</t>
        </is>
      </c>
      <c r="F26357" s="8" t="inlineStr">
        <is>
          <t>STANDBY</t>
        </is>
      </c>
      <c r="G26357" s="8" t="n">
        <v>0</v>
      </c>
      <c r="H26357" s="8" t="inlineStr">
        <is>
          <t>CLOSED</t>
        </is>
      </c>
    </row>
    <row r="26358">
      <c r="A26358" s="8" t="inlineStr">
        <is>
          <t>2026-08-05</t>
        </is>
      </c>
      <c r="B26358" s="8" t="n">
        <v>19</v>
      </c>
      <c r="C26358" s="8" t="n">
        <v>6</v>
      </c>
      <c r="D26358" s="8" t="inlineStr">
        <is>
          <t>Disneyland Park</t>
        </is>
      </c>
      <c r="E26358" s="8" t="inlineStr">
        <is>
          <t>Pirates of the Caribbean</t>
        </is>
      </c>
      <c r="F26358" s="8" t="inlineStr">
        <is>
          <t>STANDBY</t>
        </is>
      </c>
      <c r="G26358" s="8" t="n">
        <v>10</v>
      </c>
      <c r="H26358" s="8" t="inlineStr">
        <is>
          <t>OPERATING</t>
        </is>
      </c>
    </row>
    <row r="26359">
      <c r="A26359" s="8" t="inlineStr">
        <is>
          <t>2026-08-05</t>
        </is>
      </c>
      <c r="B26359" s="8" t="n">
        <v>19</v>
      </c>
      <c r="C26359" s="8" t="n">
        <v>6</v>
      </c>
      <c r="D26359" s="8" t="inlineStr">
        <is>
          <t>Disneyland Park</t>
        </is>
      </c>
      <c r="E26359" s="8" t="inlineStr">
        <is>
          <t>Pirates' Beach</t>
        </is>
      </c>
      <c r="F26359" s="8" t="inlineStr">
        <is>
          <t>STANDBY</t>
        </is>
      </c>
      <c r="G26359" s="8" t="n">
        <v>0</v>
      </c>
      <c r="H26359" s="8" t="inlineStr">
        <is>
          <t>OPERATING</t>
        </is>
      </c>
    </row>
    <row r="26360">
      <c r="A26360" s="8" t="inlineStr">
        <is>
          <t>2026-08-05</t>
        </is>
      </c>
      <c r="B26360" s="8" t="n">
        <v>19</v>
      </c>
      <c r="C26360" s="8" t="n">
        <v>6</v>
      </c>
      <c r="D26360" s="8" t="inlineStr">
        <is>
          <t>Disneyland Park</t>
        </is>
      </c>
      <c r="E26360" s="8" t="inlineStr">
        <is>
          <t>Autopia, presented by Avis</t>
        </is>
      </c>
      <c r="F26360" s="8" t="inlineStr">
        <is>
          <t>STANDBY</t>
        </is>
      </c>
      <c r="G26360" s="8" t="n">
        <v>50</v>
      </c>
      <c r="H26360" s="8" t="inlineStr">
        <is>
          <t>OPERATING</t>
        </is>
      </c>
    </row>
    <row r="26361">
      <c r="A26361" s="8" t="inlineStr">
        <is>
          <t>2026-08-05</t>
        </is>
      </c>
      <c r="B26361" s="8" t="n">
        <v>19</v>
      </c>
      <c r="C26361" s="8" t="n">
        <v>6</v>
      </c>
      <c r="D26361" s="8" t="inlineStr">
        <is>
          <t>Disneyland Park</t>
        </is>
      </c>
      <c r="E26361" s="8" t="inlineStr">
        <is>
          <t>Buzz Lightyear Laser Blast</t>
        </is>
      </c>
      <c r="F26361" s="8" t="inlineStr">
        <is>
          <t>STANDBY</t>
        </is>
      </c>
      <c r="G26361" s="8" t="n">
        <v>35</v>
      </c>
      <c r="H26361" s="8" t="inlineStr">
        <is>
          <t>OPERATING</t>
        </is>
      </c>
    </row>
    <row r="26362">
      <c r="A26362" s="8" t="inlineStr">
        <is>
          <t>2026-08-05</t>
        </is>
      </c>
      <c r="B26362" s="8" t="n">
        <v>19</v>
      </c>
      <c r="C26362" s="8" t="n">
        <v>6</v>
      </c>
      <c r="D26362" s="8" t="inlineStr">
        <is>
          <t>Disneyland Park</t>
        </is>
      </c>
      <c r="E26362" s="8" t="inlineStr">
        <is>
          <t>Disneyland Railroad Discoveryland Station</t>
        </is>
      </c>
      <c r="F26362" s="8" t="inlineStr">
        <is>
          <t>STANDBY</t>
        </is>
      </c>
      <c r="G26362" s="8" t="n">
        <v>0</v>
      </c>
      <c r="H26362" s="8" t="inlineStr">
        <is>
          <t>CLOSED</t>
        </is>
      </c>
    </row>
    <row r="26363">
      <c r="A26363" s="8" t="inlineStr">
        <is>
          <t>2026-08-05</t>
        </is>
      </c>
      <c r="B26363" s="8" t="n">
        <v>19</v>
      </c>
      <c r="C26363" s="8" t="n">
        <v>6</v>
      </c>
      <c r="D26363" s="8" t="inlineStr">
        <is>
          <t>Disneyland Park</t>
        </is>
      </c>
      <c r="E26363" s="8" t="inlineStr">
        <is>
          <t>Les Mystères du Nautilus</t>
        </is>
      </c>
      <c r="F26363" s="8" t="inlineStr">
        <is>
          <t>STANDBY</t>
        </is>
      </c>
      <c r="G26363" s="8" t="n">
        <v>5</v>
      </c>
      <c r="H26363" s="8" t="inlineStr">
        <is>
          <t>OPERATING</t>
        </is>
      </c>
    </row>
    <row r="26364">
      <c r="A26364" s="8" t="inlineStr">
        <is>
          <t>2026-08-05</t>
        </is>
      </c>
      <c r="B26364" s="8" t="n">
        <v>19</v>
      </c>
      <c r="C26364" s="8" t="n">
        <v>6</v>
      </c>
      <c r="D26364" s="8" t="inlineStr">
        <is>
          <t>Disneyland Park</t>
        </is>
      </c>
      <c r="E26364" s="8" t="inlineStr">
        <is>
          <t>Mickey’s PhilharMagic</t>
        </is>
      </c>
      <c r="F26364" s="8" t="inlineStr">
        <is>
          <t>STANDBY</t>
        </is>
      </c>
      <c r="G26364" s="8" t="n">
        <v>0</v>
      </c>
      <c r="H26364" s="8" t="inlineStr">
        <is>
          <t>CLOSED</t>
        </is>
      </c>
    </row>
    <row r="26365">
      <c r="A26365" s="8" t="inlineStr">
        <is>
          <t>2026-08-05</t>
        </is>
      </c>
      <c r="B26365" s="8" t="n">
        <v>19</v>
      </c>
      <c r="C26365" s="8" t="n">
        <v>6</v>
      </c>
      <c r="D26365" s="8" t="inlineStr">
        <is>
          <t>Disneyland Park</t>
        </is>
      </c>
      <c r="E26365" s="8" t="inlineStr">
        <is>
          <t>Orbitron®</t>
        </is>
      </c>
      <c r="F26365" s="8" t="inlineStr">
        <is>
          <t>STANDBY</t>
        </is>
      </c>
      <c r="G26365" s="8" t="n">
        <v>60</v>
      </c>
      <c r="H26365" s="8" t="inlineStr">
        <is>
          <t>OPERATING</t>
        </is>
      </c>
    </row>
    <row r="26366">
      <c r="A26366" s="8" t="inlineStr">
        <is>
          <t>2026-08-05</t>
        </is>
      </c>
      <c r="B26366" s="8" t="n">
        <v>19</v>
      </c>
      <c r="C26366" s="8" t="n">
        <v>6</v>
      </c>
      <c r="D26366" s="8" t="inlineStr">
        <is>
          <t>Disneyland Park</t>
        </is>
      </c>
      <c r="E26366" s="8" t="inlineStr">
        <is>
          <t>Star Tours: The Adventures Continue*</t>
        </is>
      </c>
      <c r="F26366" s="8" t="inlineStr">
        <is>
          <t>STANDBY</t>
        </is>
      </c>
      <c r="G26366" s="8" t="n">
        <v>10</v>
      </c>
      <c r="H26366" s="8" t="inlineStr">
        <is>
          <t>OPERATING</t>
        </is>
      </c>
    </row>
    <row r="26367">
      <c r="A26367" s="8" t="inlineStr">
        <is>
          <t>2026-08-05</t>
        </is>
      </c>
      <c r="B26367" s="8" t="n">
        <v>19</v>
      </c>
      <c r="C26367" s="8" t="n">
        <v>6</v>
      </c>
      <c r="D26367" s="8" t="inlineStr">
        <is>
          <t>Disneyland Park</t>
        </is>
      </c>
      <c r="E26367" s="8" t="inlineStr">
        <is>
          <t>Star Wars Hyperspace Mountain</t>
        </is>
      </c>
      <c r="F26367" s="8" t="inlineStr">
        <is>
          <t>STANDBY</t>
        </is>
      </c>
      <c r="G26367" s="8" t="n">
        <v>35</v>
      </c>
      <c r="H26367" s="8" t="inlineStr">
        <is>
          <t>OPERATING</t>
        </is>
      </c>
    </row>
    <row r="26368">
      <c r="A26368" s="8" t="inlineStr">
        <is>
          <t>2026-08-05</t>
        </is>
      </c>
      <c r="B26368" s="8" t="n">
        <v>19</v>
      </c>
      <c r="C26368" s="8" t="n">
        <v>6</v>
      </c>
      <c r="D26368" s="8" t="inlineStr">
        <is>
          <t>Disneyland Park</t>
        </is>
      </c>
      <c r="E26368" s="8" t="inlineStr">
        <is>
          <t>Star Wars Hyperspace Mountain Single Rider</t>
        </is>
      </c>
      <c r="F26368" s="8" t="inlineStr">
        <is>
          <t>STANDBY</t>
        </is>
      </c>
      <c r="G26368" s="8" t="n">
        <v>0</v>
      </c>
      <c r="H26368" s="8" t="inlineStr">
        <is>
          <t>OPERATING</t>
        </is>
      </c>
    </row>
    <row r="26369">
      <c r="A26369" s="8" t="inlineStr">
        <is>
          <t>2026-08-05</t>
        </is>
      </c>
      <c r="B26369" s="8" t="n">
        <v>19</v>
      </c>
      <c r="C26369" s="8" t="n">
        <v>6</v>
      </c>
      <c r="D26369" s="8" t="inlineStr">
        <is>
          <t>Disneyland Park</t>
        </is>
      </c>
      <c r="E26369" s="8" t="inlineStr">
        <is>
          <t>Welcome to Starport: A Star Wars Encounter</t>
        </is>
      </c>
      <c r="F26369" s="8" t="inlineStr">
        <is>
          <t>STANDBY</t>
        </is>
      </c>
      <c r="G26369" s="8" t="n">
        <v>0</v>
      </c>
      <c r="H26369" s="8" t="inlineStr">
        <is>
          <t>CLOSED</t>
        </is>
      </c>
    </row>
    <row r="26370">
      <c r="A26370" s="8" t="inlineStr">
        <is>
          <t>2026-08-05</t>
        </is>
      </c>
      <c r="B26370" s="8" t="n">
        <v>19</v>
      </c>
      <c r="C26370" s="8" t="n">
        <v>6</v>
      </c>
      <c r="D26370" s="8" t="inlineStr">
        <is>
          <t>Disneyland Park</t>
        </is>
      </c>
      <c r="E26370" s="8" t="inlineStr">
        <is>
          <t>"it's a small world"</t>
        </is>
      </c>
      <c r="F26370" s="8" t="inlineStr">
        <is>
          <t>STANDBY</t>
        </is>
      </c>
      <c r="G26370" s="8" t="n">
        <v>5</v>
      </c>
      <c r="H26370" s="8" t="inlineStr">
        <is>
          <t>OPERATING</t>
        </is>
      </c>
    </row>
    <row r="26371">
      <c r="A26371" s="8" t="inlineStr">
        <is>
          <t>2026-08-05</t>
        </is>
      </c>
      <c r="B26371" s="8" t="n">
        <v>19</v>
      </c>
      <c r="C26371" s="8" t="n">
        <v>6</v>
      </c>
      <c r="D26371" s="8" t="inlineStr">
        <is>
          <t>Disneyland Park</t>
        </is>
      </c>
      <c r="E26371" s="8" t="inlineStr">
        <is>
          <t>Alice's Curious Labyrinth</t>
        </is>
      </c>
      <c r="F26371" s="8" t="inlineStr">
        <is>
          <t>STANDBY</t>
        </is>
      </c>
      <c r="G26371" s="8" t="n">
        <v>5</v>
      </c>
      <c r="H26371" s="8" t="inlineStr">
        <is>
          <t>OPERATING</t>
        </is>
      </c>
    </row>
    <row r="26372">
      <c r="A26372" s="8" t="inlineStr">
        <is>
          <t>2026-08-05</t>
        </is>
      </c>
      <c r="B26372" s="8" t="n">
        <v>19</v>
      </c>
      <c r="C26372" s="8" t="n">
        <v>6</v>
      </c>
      <c r="D26372" s="8" t="inlineStr">
        <is>
          <t>Disneyland Park</t>
        </is>
      </c>
      <c r="E26372" s="8" t="inlineStr">
        <is>
          <t>Blanche-Neige et les Sept Nains®</t>
        </is>
      </c>
      <c r="F26372" s="8" t="inlineStr">
        <is>
          <t>STANDBY</t>
        </is>
      </c>
      <c r="G26372" s="8" t="n">
        <v>30</v>
      </c>
      <c r="H26372" s="8" t="inlineStr">
        <is>
          <t>OPERATING</t>
        </is>
      </c>
    </row>
    <row r="26373">
      <c r="A26373" s="8" t="inlineStr">
        <is>
          <t>2026-08-05</t>
        </is>
      </c>
      <c r="B26373" s="8" t="n">
        <v>19</v>
      </c>
      <c r="C26373" s="8" t="n">
        <v>6</v>
      </c>
      <c r="D26373" s="8" t="inlineStr">
        <is>
          <t>Disneyland Park</t>
        </is>
      </c>
      <c r="E26373" s="8" t="inlineStr">
        <is>
          <t>Casey Jr. – le Petit Train du Cirque</t>
        </is>
      </c>
      <c r="F26373" s="8" t="inlineStr">
        <is>
          <t>STANDBY</t>
        </is>
      </c>
      <c r="G26373" s="8" t="n">
        <v>35</v>
      </c>
      <c r="H26373" s="8" t="inlineStr">
        <is>
          <t>OPERATING</t>
        </is>
      </c>
    </row>
    <row r="26374">
      <c r="A26374" s="8" t="inlineStr">
        <is>
          <t>2026-08-05</t>
        </is>
      </c>
      <c r="B26374" s="8" t="n">
        <v>19</v>
      </c>
      <c r="C26374" s="8" t="n">
        <v>6</v>
      </c>
      <c r="D26374" s="8" t="inlineStr">
        <is>
          <t>Disneyland Park</t>
        </is>
      </c>
      <c r="E26374" s="8" t="inlineStr">
        <is>
          <t>Disneyland Railroad Fantasyland Station</t>
        </is>
      </c>
      <c r="F26374" s="8" t="inlineStr">
        <is>
          <t>STANDBY</t>
        </is>
      </c>
      <c r="G26374" s="8" t="n">
        <v>0</v>
      </c>
      <c r="H26374" s="8" t="inlineStr">
        <is>
          <t>CLOSED</t>
        </is>
      </c>
    </row>
    <row r="26375">
      <c r="A26375" s="8" t="inlineStr">
        <is>
          <t>2026-08-05</t>
        </is>
      </c>
      <c r="B26375" s="8" t="n">
        <v>19</v>
      </c>
      <c r="C26375" s="8" t="n">
        <v>6</v>
      </c>
      <c r="D26375" s="8" t="inlineStr">
        <is>
          <t>Disneyland Park</t>
        </is>
      </c>
      <c r="E26375" s="8" t="inlineStr">
        <is>
          <t>Disneyland Railroad Main Street Station</t>
        </is>
      </c>
      <c r="F26375" s="8" t="inlineStr">
        <is>
          <t>STANDBY</t>
        </is>
      </c>
      <c r="G26375" s="8" t="n">
        <v>20</v>
      </c>
      <c r="H26375" s="8" t="inlineStr">
        <is>
          <t>OPERATING</t>
        </is>
      </c>
    </row>
    <row r="26376">
      <c r="A26376" s="8" t="inlineStr">
        <is>
          <t>2026-08-05</t>
        </is>
      </c>
      <c r="B26376" s="8" t="n">
        <v>19</v>
      </c>
      <c r="C26376" s="8" t="n">
        <v>6</v>
      </c>
      <c r="D26376" s="8" t="inlineStr">
        <is>
          <t>Disneyland Park</t>
        </is>
      </c>
      <c r="E26376" s="8" t="inlineStr">
        <is>
          <t>Dumbo the Flying Elephant</t>
        </is>
      </c>
      <c r="F26376" s="8" t="inlineStr">
        <is>
          <t>STANDBY</t>
        </is>
      </c>
      <c r="G26376" s="8" t="n">
        <v>25</v>
      </c>
      <c r="H26376" s="8" t="inlineStr">
        <is>
          <t>OPERATING</t>
        </is>
      </c>
    </row>
    <row r="26377">
      <c r="A26377" s="8" t="inlineStr">
        <is>
          <t>2026-08-05</t>
        </is>
      </c>
      <c r="B26377" s="8" t="n">
        <v>19</v>
      </c>
      <c r="C26377" s="8" t="n">
        <v>6</v>
      </c>
      <c r="D26377" s="8" t="inlineStr">
        <is>
          <t>Disneyland Park</t>
        </is>
      </c>
      <c r="E26377" s="8" t="inlineStr">
        <is>
          <t>La Tanière du Dragon</t>
        </is>
      </c>
      <c r="F26377" s="8" t="inlineStr">
        <is>
          <t>STANDBY</t>
        </is>
      </c>
      <c r="G26377" s="8" t="n">
        <v>0</v>
      </c>
      <c r="H26377" s="8" t="inlineStr">
        <is>
          <t>OPERATING</t>
        </is>
      </c>
    </row>
    <row r="26378">
      <c r="A26378" s="8" t="inlineStr">
        <is>
          <t>2026-08-05</t>
        </is>
      </c>
      <c r="B26378" s="8" t="n">
        <v>19</v>
      </c>
      <c r="C26378" s="8" t="n">
        <v>6</v>
      </c>
      <c r="D26378" s="8" t="inlineStr">
        <is>
          <t>Disneyland Park</t>
        </is>
      </c>
      <c r="E26378" s="8" t="inlineStr">
        <is>
          <t>Le Carrousel de Lancelot</t>
        </is>
      </c>
      <c r="F26378" s="8" t="inlineStr">
        <is>
          <t>STANDBY</t>
        </is>
      </c>
      <c r="G26378" s="8" t="n">
        <v>15</v>
      </c>
      <c r="H26378" s="8" t="inlineStr">
        <is>
          <t>OPERATING</t>
        </is>
      </c>
    </row>
    <row r="26379">
      <c r="A26379" s="8" t="inlineStr">
        <is>
          <t>2026-08-05</t>
        </is>
      </c>
      <c r="B26379" s="8" t="n">
        <v>19</v>
      </c>
      <c r="C26379" s="8" t="n">
        <v>6</v>
      </c>
      <c r="D26379" s="8" t="inlineStr">
        <is>
          <t>Disneyland Park</t>
        </is>
      </c>
      <c r="E26379" s="8" t="inlineStr">
        <is>
          <t>Le Pays des Contes de Fées, presented by Vittel</t>
        </is>
      </c>
      <c r="F26379" s="8" t="inlineStr">
        <is>
          <t>STANDBY</t>
        </is>
      </c>
      <c r="G26379" s="8" t="n">
        <v>5</v>
      </c>
      <c r="H26379" s="8" t="inlineStr">
        <is>
          <t>OPERATING</t>
        </is>
      </c>
    </row>
    <row r="26380">
      <c r="A26380" s="8" t="inlineStr">
        <is>
          <t>2026-08-05</t>
        </is>
      </c>
      <c r="B26380" s="8" t="n">
        <v>19</v>
      </c>
      <c r="C26380" s="8" t="n">
        <v>6</v>
      </c>
      <c r="D26380" s="8" t="inlineStr">
        <is>
          <t>Disneyland Park</t>
        </is>
      </c>
      <c r="E26380" s="8" t="inlineStr">
        <is>
          <t>Les Voyages de Pinocchio</t>
        </is>
      </c>
      <c r="F26380" s="8" t="inlineStr">
        <is>
          <t>STANDBY</t>
        </is>
      </c>
      <c r="G26380" s="8" t="n">
        <v>15</v>
      </c>
      <c r="H26380" s="8" t="inlineStr">
        <is>
          <t>OPERATING</t>
        </is>
      </c>
    </row>
    <row r="26381">
      <c r="A26381" s="8" t="inlineStr">
        <is>
          <t>2026-08-05</t>
        </is>
      </c>
      <c r="B26381" s="8" t="n">
        <v>19</v>
      </c>
      <c r="C26381" s="8" t="n">
        <v>6</v>
      </c>
      <c r="D26381" s="8" t="inlineStr">
        <is>
          <t>Disneyland Park</t>
        </is>
      </c>
      <c r="E26381" s="8" t="inlineStr">
        <is>
          <t>Mad Hatter's Tea Cups</t>
        </is>
      </c>
      <c r="F26381" s="8" t="inlineStr">
        <is>
          <t>STANDBY</t>
        </is>
      </c>
      <c r="G26381" s="8" t="n">
        <v>10</v>
      </c>
      <c r="H26381" s="8" t="inlineStr">
        <is>
          <t>OPERATING</t>
        </is>
      </c>
    </row>
    <row r="26382">
      <c r="A26382" s="8" t="inlineStr">
        <is>
          <t>2026-08-05</t>
        </is>
      </c>
      <c r="B26382" s="8" t="n">
        <v>19</v>
      </c>
      <c r="C26382" s="8" t="n">
        <v>6</v>
      </c>
      <c r="D26382" s="8" t="inlineStr">
        <is>
          <t>Disneyland Park</t>
        </is>
      </c>
      <c r="E26382" s="8" t="inlineStr">
        <is>
          <t>Meet Mickey Mouse</t>
        </is>
      </c>
      <c r="F26382" s="8" t="inlineStr">
        <is>
          <t>STANDBY</t>
        </is>
      </c>
      <c r="G26382" s="8" t="n">
        <v>0</v>
      </c>
      <c r="H26382" s="8" t="inlineStr">
        <is>
          <t>CLOSED</t>
        </is>
      </c>
    </row>
    <row r="26383">
      <c r="A26383" s="8" t="inlineStr">
        <is>
          <t>2026-08-05</t>
        </is>
      </c>
      <c r="B26383" s="8" t="n">
        <v>19</v>
      </c>
      <c r="C26383" s="8" t="n">
        <v>6</v>
      </c>
      <c r="D26383" s="8" t="inlineStr">
        <is>
          <t>Disneyland Park</t>
        </is>
      </c>
      <c r="E26383" s="8" t="inlineStr">
        <is>
          <t>Peter Pan's Flight</t>
        </is>
      </c>
      <c r="F26383" s="8" t="inlineStr">
        <is>
          <t>STANDBY</t>
        </is>
      </c>
      <c r="G26383" s="8" t="n">
        <v>75</v>
      </c>
      <c r="H26383" s="8" t="inlineStr">
        <is>
          <t>OPERATING</t>
        </is>
      </c>
    </row>
    <row r="26384">
      <c r="A26384" s="8" t="inlineStr">
        <is>
          <t>2026-08-05</t>
        </is>
      </c>
      <c r="B26384" s="8" t="n">
        <v>19</v>
      </c>
      <c r="C26384" s="8" t="n">
        <v>6</v>
      </c>
      <c r="D26384" s="8" t="inlineStr">
        <is>
          <t>Disneyland Park</t>
        </is>
      </c>
      <c r="E26384" s="8" t="inlineStr">
        <is>
          <t>Princess Pavilion</t>
        </is>
      </c>
      <c r="F26384" s="8" t="inlineStr">
        <is>
          <t>STANDBY</t>
        </is>
      </c>
      <c r="G26384" s="8" t="n">
        <v>0</v>
      </c>
      <c r="H26384" s="8" t="inlineStr">
        <is>
          <t>CLOSED</t>
        </is>
      </c>
    </row>
    <row r="26385">
      <c r="A26385" s="8" t="inlineStr">
        <is>
          <t>2026-08-05</t>
        </is>
      </c>
      <c r="B26385" s="8" t="n">
        <v>19</v>
      </c>
      <c r="C26385" s="8" t="n">
        <v>6</v>
      </c>
      <c r="D26385" s="8" t="inlineStr">
        <is>
          <t>Disneyland Park</t>
        </is>
      </c>
      <c r="E26385" s="8" t="inlineStr">
        <is>
          <t>Big Thunder Mountain</t>
        </is>
      </c>
      <c r="F26385" s="8" t="inlineStr">
        <is>
          <t>STANDBY</t>
        </is>
      </c>
      <c r="G26385" s="8" t="n">
        <v>75</v>
      </c>
      <c r="H26385" s="8" t="inlineStr">
        <is>
          <t>OPERATING</t>
        </is>
      </c>
    </row>
    <row r="26386">
      <c r="A26386" s="8" t="inlineStr">
        <is>
          <t>2026-08-05</t>
        </is>
      </c>
      <c r="B26386" s="8" t="n">
        <v>19</v>
      </c>
      <c r="C26386" s="8" t="n">
        <v>6</v>
      </c>
      <c r="D26386" s="8" t="inlineStr">
        <is>
          <t>Disneyland Park</t>
        </is>
      </c>
      <c r="E26386" s="8" t="inlineStr">
        <is>
          <t>Disneyland Railroad Frontierland Depot</t>
        </is>
      </c>
      <c r="F26386" s="8" t="inlineStr">
        <is>
          <t>STANDBY</t>
        </is>
      </c>
      <c r="G26386" s="8" t="n">
        <v>20</v>
      </c>
      <c r="H26386" s="8" t="inlineStr">
        <is>
          <t>OPERATING</t>
        </is>
      </c>
    </row>
    <row r="26387">
      <c r="A26387" s="8" t="inlineStr">
        <is>
          <t>2026-08-05</t>
        </is>
      </c>
      <c r="B26387" s="8" t="n">
        <v>19</v>
      </c>
      <c r="C26387" s="8" t="n">
        <v>6</v>
      </c>
      <c r="D26387" s="8" t="inlineStr">
        <is>
          <t>Disneyland Park</t>
        </is>
      </c>
      <c r="E26387" s="8" t="inlineStr">
        <is>
          <t>Frontierland Playground</t>
        </is>
      </c>
      <c r="F26387" s="8" t="inlineStr">
        <is>
          <t>STANDBY</t>
        </is>
      </c>
      <c r="G26387" s="8" t="n">
        <v>0</v>
      </c>
      <c r="H26387" s="8" t="inlineStr">
        <is>
          <t>OPERATING</t>
        </is>
      </c>
    </row>
    <row r="26388">
      <c r="A26388" s="8" t="inlineStr">
        <is>
          <t>2026-08-05</t>
        </is>
      </c>
      <c r="B26388" s="8" t="n">
        <v>19</v>
      </c>
      <c r="C26388" s="8" t="n">
        <v>6</v>
      </c>
      <c r="D26388" s="8" t="inlineStr">
        <is>
          <t>Disneyland Park</t>
        </is>
      </c>
      <c r="E26388" s="8" t="inlineStr">
        <is>
          <t>Phantom Manor</t>
        </is>
      </c>
      <c r="F26388" s="8" t="inlineStr">
        <is>
          <t>STANDBY</t>
        </is>
      </c>
      <c r="G26388" s="8" t="n">
        <v>20</v>
      </c>
      <c r="H26388" s="8" t="inlineStr">
        <is>
          <t>OPERATING</t>
        </is>
      </c>
    </row>
    <row r="26389">
      <c r="A26389" s="8" t="inlineStr">
        <is>
          <t>2026-08-05</t>
        </is>
      </c>
      <c r="B26389" s="8" t="n">
        <v>19</v>
      </c>
      <c r="C26389" s="8" t="n">
        <v>6</v>
      </c>
      <c r="D26389" s="8" t="inlineStr">
        <is>
          <t>Disneyland Park</t>
        </is>
      </c>
      <c r="E26389" s="8" t="inlineStr">
        <is>
          <t>River Rogue Keelboats</t>
        </is>
      </c>
      <c r="F26389" s="8" t="inlineStr">
        <is>
          <t>STANDBY</t>
        </is>
      </c>
      <c r="G26389" s="8" t="n">
        <v>0</v>
      </c>
      <c r="H26389" s="8" t="inlineStr">
        <is>
          <t>CLOSED</t>
        </is>
      </c>
    </row>
    <row r="26390">
      <c r="A26390" s="8" t="inlineStr">
        <is>
          <t>2026-08-05</t>
        </is>
      </c>
      <c r="B26390" s="8" t="n">
        <v>19</v>
      </c>
      <c r="C26390" s="8" t="n">
        <v>6</v>
      </c>
      <c r="D26390" s="8" t="inlineStr">
        <is>
          <t>Disneyland Park</t>
        </is>
      </c>
      <c r="E26390" s="8" t="inlineStr">
        <is>
          <t>Rustler Roundup Shootin' Gallery</t>
        </is>
      </c>
      <c r="F26390" s="8" t="inlineStr">
        <is>
          <t>STANDBY</t>
        </is>
      </c>
      <c r="G26390" s="8" t="n">
        <v>0</v>
      </c>
      <c r="H26390" s="8" t="inlineStr">
        <is>
          <t>OPERATING</t>
        </is>
      </c>
    </row>
    <row r="26391">
      <c r="A26391" s="8" t="inlineStr">
        <is>
          <t>2026-08-05</t>
        </is>
      </c>
      <c r="B26391" s="8" t="n">
        <v>19</v>
      </c>
      <c r="C26391" s="8" t="n">
        <v>6</v>
      </c>
      <c r="D26391" s="8" t="inlineStr">
        <is>
          <t>Disneyland Park</t>
        </is>
      </c>
      <c r="E26391" s="8" t="inlineStr">
        <is>
          <t>Thunder Mesa Riverboat Landing</t>
        </is>
      </c>
      <c r="F26391" s="8" t="inlineStr">
        <is>
          <t>STANDBY</t>
        </is>
      </c>
      <c r="G26391" s="8" t="n">
        <v>0</v>
      </c>
      <c r="H26391" s="8" t="inlineStr">
        <is>
          <t>CLOSED</t>
        </is>
      </c>
    </row>
    <row r="26392">
      <c r="A26392" s="8" t="inlineStr">
        <is>
          <t>2026-08-05</t>
        </is>
      </c>
      <c r="B26392" s="8" t="n">
        <v>19</v>
      </c>
      <c r="C26392" s="8" t="n">
        <v>6</v>
      </c>
      <c r="D26392" s="8" t="inlineStr">
        <is>
          <t>Disneyland Park</t>
        </is>
      </c>
      <c r="E26392" s="8" t="inlineStr">
        <is>
          <t>Disneyland Railroad Main Street Station</t>
        </is>
      </c>
      <c r="F26392" s="8" t="inlineStr">
        <is>
          <t>STANDBY</t>
        </is>
      </c>
      <c r="G26392" s="8" t="n">
        <v>0</v>
      </c>
      <c r="H26392" s="8" t="inlineStr">
        <is>
          <t>OPERATING</t>
        </is>
      </c>
    </row>
    <row r="26393">
      <c r="A26393" s="8" t="inlineStr">
        <is>
          <t>2026-08-05</t>
        </is>
      </c>
      <c r="B26393" s="8" t="n">
        <v>19</v>
      </c>
      <c r="C26393" s="8" t="n">
        <v>6</v>
      </c>
      <c r="D26393" s="8" t="inlineStr">
        <is>
          <t>Disneyland Park</t>
        </is>
      </c>
      <c r="E26393" s="8" t="inlineStr">
        <is>
          <t>Main Street Vehicles</t>
        </is>
      </c>
      <c r="F26393" s="8" t="inlineStr">
        <is>
          <t>STANDBY</t>
        </is>
      </c>
      <c r="G26393" s="8" t="n">
        <v>0</v>
      </c>
      <c r="H26393" s="8" t="inlineStr">
        <is>
          <t>CLOSED</t>
        </is>
      </c>
    </row>
    <row r="26394">
      <c r="A26394" s="8" t="inlineStr">
        <is>
          <t>2026-08-05</t>
        </is>
      </c>
      <c r="B26394" s="8" t="n">
        <v>19</v>
      </c>
      <c r="C26394" s="8" t="n">
        <v>6</v>
      </c>
      <c r="D26394" s="8" t="inlineStr">
        <is>
          <t>Disney Adventure World</t>
        </is>
      </c>
      <c r="E26394" s="8" t="inlineStr">
        <is>
          <t>Avengers Assemble: Flight Force</t>
        </is>
      </c>
      <c r="F26394" s="8" t="inlineStr">
        <is>
          <t>STANDBY</t>
        </is>
      </c>
      <c r="G26394" s="8" t="n">
        <v>20</v>
      </c>
      <c r="H26394" s="8" t="inlineStr">
        <is>
          <t>OPERATING</t>
        </is>
      </c>
    </row>
    <row r="26395">
      <c r="A26395" s="8" t="inlineStr">
        <is>
          <t>2026-08-05</t>
        </is>
      </c>
      <c r="B26395" s="8" t="n">
        <v>19</v>
      </c>
      <c r="C26395" s="8" t="n">
        <v>6</v>
      </c>
      <c r="D26395" s="8" t="inlineStr">
        <is>
          <t>Disney Adventure World</t>
        </is>
      </c>
      <c r="E26395" s="8" t="inlineStr">
        <is>
          <t>Avengers Assemble: Flight Force Single Rider</t>
        </is>
      </c>
      <c r="F26395" s="8" t="inlineStr">
        <is>
          <t>STANDBY</t>
        </is>
      </c>
      <c r="G26395" s="8" t="n">
        <v>15</v>
      </c>
      <c r="H26395" s="8" t="inlineStr">
        <is>
          <t>OPERATING</t>
        </is>
      </c>
    </row>
    <row r="26396">
      <c r="A26396" s="8" t="inlineStr">
        <is>
          <t>2026-08-05</t>
        </is>
      </c>
      <c r="B26396" s="8" t="n">
        <v>19</v>
      </c>
      <c r="C26396" s="8" t="n">
        <v>6</v>
      </c>
      <c r="D26396" s="8" t="inlineStr">
        <is>
          <t>Disney Adventure World</t>
        </is>
      </c>
      <c r="E26396" s="8" t="inlineStr">
        <is>
          <t>Spider-Man W.E.B. Adventure</t>
        </is>
      </c>
      <c r="F26396" s="8" t="inlineStr">
        <is>
          <t>STANDBY</t>
        </is>
      </c>
      <c r="G26396" s="8" t="n">
        <v>45</v>
      </c>
      <c r="H26396" s="8" t="inlineStr">
        <is>
          <t>OPERATING</t>
        </is>
      </c>
    </row>
    <row r="26397">
      <c r="A26397" s="8" t="inlineStr">
        <is>
          <t>2026-08-05</t>
        </is>
      </c>
      <c r="B26397" s="8" t="n">
        <v>19</v>
      </c>
      <c r="C26397" s="8" t="n">
        <v>6</v>
      </c>
      <c r="D26397" s="8" t="inlineStr">
        <is>
          <t>Disney Adventure World</t>
        </is>
      </c>
      <c r="E26397" s="8" t="inlineStr">
        <is>
          <t>Spider-Man W.E.B. Adventure Single Rider</t>
        </is>
      </c>
      <c r="F26397" s="8" t="inlineStr">
        <is>
          <t>STANDBY</t>
        </is>
      </c>
      <c r="G26397" s="8" t="n">
        <v>20</v>
      </c>
      <c r="H26397" s="8" t="inlineStr">
        <is>
          <t>OPERATING</t>
        </is>
      </c>
    </row>
    <row r="26398">
      <c r="A26398" s="8" t="inlineStr">
        <is>
          <t>2026-08-05</t>
        </is>
      </c>
      <c r="B26398" s="8" t="n">
        <v>19</v>
      </c>
      <c r="C26398" s="8" t="n">
        <v>6</v>
      </c>
      <c r="D26398" s="8" t="inlineStr">
        <is>
          <t>Disney Adventure World</t>
        </is>
      </c>
      <c r="E26398" s="8" t="inlineStr">
        <is>
          <t>The Twilight Zone Tower of Terror</t>
        </is>
      </c>
      <c r="F26398" s="8" t="inlineStr">
        <is>
          <t>STANDBY</t>
        </is>
      </c>
      <c r="G26398" s="8" t="n">
        <v>15</v>
      </c>
      <c r="H26398" s="8" t="inlineStr">
        <is>
          <t>OPERATING</t>
        </is>
      </c>
    </row>
    <row r="26399">
      <c r="A26399" s="8" t="inlineStr">
        <is>
          <t>2026-08-05</t>
        </is>
      </c>
      <c r="B26399" s="8" t="n">
        <v>19</v>
      </c>
      <c r="C26399" s="8" t="n">
        <v>6</v>
      </c>
      <c r="D26399" s="8" t="inlineStr">
        <is>
          <t>Disney Adventure World</t>
        </is>
      </c>
      <c r="E26399" s="8" t="inlineStr">
        <is>
          <t>Cars Quatre Roues Rallye</t>
        </is>
      </c>
      <c r="F26399" s="8" t="inlineStr">
        <is>
          <t>STANDBY</t>
        </is>
      </c>
      <c r="G26399" s="8" t="n">
        <v>10</v>
      </c>
      <c r="H26399" s="8" t="inlineStr">
        <is>
          <t>OPERATING</t>
        </is>
      </c>
    </row>
    <row r="26400">
      <c r="A26400" s="8" t="inlineStr">
        <is>
          <t>2026-08-05</t>
        </is>
      </c>
      <c r="B26400" s="8" t="n">
        <v>19</v>
      </c>
      <c r="C26400" s="8" t="n">
        <v>6</v>
      </c>
      <c r="D26400" s="8" t="inlineStr">
        <is>
          <t>Disney Adventure World</t>
        </is>
      </c>
      <c r="E26400" s="8" t="inlineStr">
        <is>
          <t>Cars ROAD TRIP</t>
        </is>
      </c>
      <c r="F26400" s="8" t="inlineStr">
        <is>
          <t>STANDBY</t>
        </is>
      </c>
      <c r="G26400" s="8" t="n">
        <v>10</v>
      </c>
      <c r="H26400" s="8" t="inlineStr">
        <is>
          <t>OPERATING</t>
        </is>
      </c>
    </row>
    <row r="26401">
      <c r="A26401" s="8" t="inlineStr">
        <is>
          <t>2026-08-05</t>
        </is>
      </c>
      <c r="B26401" s="8" t="n">
        <v>19</v>
      </c>
      <c r="C26401" s="8" t="n">
        <v>6</v>
      </c>
      <c r="D26401" s="8" t="inlineStr">
        <is>
          <t>Disney Adventure World</t>
        </is>
      </c>
      <c r="E26401" s="8" t="inlineStr">
        <is>
          <t>Crush's Coaster</t>
        </is>
      </c>
      <c r="F26401" s="8" t="inlineStr">
        <is>
          <t>STANDBY</t>
        </is>
      </c>
      <c r="G26401" s="8" t="n">
        <v>75</v>
      </c>
      <c r="H26401" s="8" t="inlineStr">
        <is>
          <t>OPERATING</t>
        </is>
      </c>
    </row>
    <row r="26402">
      <c r="A26402" s="8" t="inlineStr">
        <is>
          <t>2026-08-05</t>
        </is>
      </c>
      <c r="B26402" s="8" t="n">
        <v>19</v>
      </c>
      <c r="C26402" s="8" t="n">
        <v>6</v>
      </c>
      <c r="D26402" s="8" t="inlineStr">
        <is>
          <t>Disney Adventure World</t>
        </is>
      </c>
      <c r="E26402" s="8" t="inlineStr">
        <is>
          <t>Crush's Coaster Single Rider</t>
        </is>
      </c>
      <c r="F26402" s="8" t="inlineStr">
        <is>
          <t>STANDBY</t>
        </is>
      </c>
      <c r="G26402" s="8" t="n">
        <v>40</v>
      </c>
      <c r="H26402" s="8" t="inlineStr">
        <is>
          <t>OPERATING</t>
        </is>
      </c>
    </row>
    <row r="26403">
      <c r="A26403" s="8" t="inlineStr">
        <is>
          <t>2026-08-05</t>
        </is>
      </c>
      <c r="B26403" s="8" t="n">
        <v>19</v>
      </c>
      <c r="C26403" s="8" t="n">
        <v>6</v>
      </c>
      <c r="D26403" s="8" t="inlineStr">
        <is>
          <t>Disney Adventure World</t>
        </is>
      </c>
      <c r="E26403" s="8" t="inlineStr">
        <is>
          <t>Les Tapis Volants - Flying Carpets Over Agrabah®</t>
        </is>
      </c>
      <c r="F26403" s="8" t="inlineStr">
        <is>
          <t>STANDBY</t>
        </is>
      </c>
      <c r="G26403" s="8" t="n">
        <v>15</v>
      </c>
      <c r="H26403" s="8" t="inlineStr">
        <is>
          <t>OPERATING</t>
        </is>
      </c>
    </row>
    <row r="26404">
      <c r="A26404" s="8" t="inlineStr">
        <is>
          <t>2026-08-05</t>
        </is>
      </c>
      <c r="B26404" s="8" t="n">
        <v>19</v>
      </c>
      <c r="C26404" s="8" t="n">
        <v>6</v>
      </c>
      <c r="D26404" s="8" t="inlineStr">
        <is>
          <t>Disney Adventure World</t>
        </is>
      </c>
      <c r="E26404" s="8" t="inlineStr">
        <is>
          <t>Ratatouille : L’Aventure Totalement Toquée de Rémy​</t>
        </is>
      </c>
      <c r="F26404" s="8" t="inlineStr">
        <is>
          <t>STANDBY</t>
        </is>
      </c>
      <c r="G26404" s="8" t="n">
        <v>50</v>
      </c>
      <c r="H26404" s="8" t="inlineStr">
        <is>
          <t>OPERATING</t>
        </is>
      </c>
    </row>
    <row r="26405">
      <c r="A26405" s="8" t="inlineStr">
        <is>
          <t>2026-08-05</t>
        </is>
      </c>
      <c r="B26405" s="8" t="n">
        <v>19</v>
      </c>
      <c r="C26405" s="8" t="n">
        <v>6</v>
      </c>
      <c r="D26405" s="8" t="inlineStr">
        <is>
          <t>Disney Adventure World</t>
        </is>
      </c>
      <c r="E26405" s="8" t="inlineStr">
        <is>
          <t>Ratatouille: The Adventure Single Rider</t>
        </is>
      </c>
      <c r="F26405" s="8" t="inlineStr">
        <is>
          <t>STANDBY</t>
        </is>
      </c>
      <c r="G26405" s="8" t="n">
        <v>20</v>
      </c>
      <c r="H26405" s="8" t="inlineStr">
        <is>
          <t>OPERATING</t>
        </is>
      </c>
    </row>
    <row r="26406">
      <c r="A26406" s="8" t="inlineStr">
        <is>
          <t>2026-08-05</t>
        </is>
      </c>
      <c r="B26406" s="8" t="n">
        <v>19</v>
      </c>
      <c r="C26406" s="8" t="n">
        <v>6</v>
      </c>
      <c r="D26406" s="8" t="inlineStr">
        <is>
          <t>Disney Adventure World</t>
        </is>
      </c>
      <c r="E26406" s="8" t="inlineStr">
        <is>
          <t>RC Racer</t>
        </is>
      </c>
      <c r="F26406" s="8" t="inlineStr">
        <is>
          <t>STANDBY</t>
        </is>
      </c>
      <c r="G26406" s="8" t="n">
        <v>40</v>
      </c>
      <c r="H26406" s="8" t="inlineStr">
        <is>
          <t>OPERATING</t>
        </is>
      </c>
    </row>
    <row r="26407">
      <c r="A26407" s="8" t="inlineStr">
        <is>
          <t>2026-08-05</t>
        </is>
      </c>
      <c r="B26407" s="8" t="n">
        <v>19</v>
      </c>
      <c r="C26407" s="8" t="n">
        <v>6</v>
      </c>
      <c r="D26407" s="8" t="inlineStr">
        <is>
          <t>Disney Adventure World</t>
        </is>
      </c>
      <c r="E26407" s="8" t="inlineStr">
        <is>
          <t>RC Racer Single Rider</t>
        </is>
      </c>
      <c r="F26407" s="8" t="inlineStr">
        <is>
          <t>STANDBY</t>
        </is>
      </c>
      <c r="G26407" s="8" t="n">
        <v>35</v>
      </c>
      <c r="H26407" s="8" t="inlineStr">
        <is>
          <t>OPERATING</t>
        </is>
      </c>
    </row>
    <row r="26408">
      <c r="A26408" s="8" t="inlineStr">
        <is>
          <t>2026-08-05</t>
        </is>
      </c>
      <c r="B26408" s="8" t="n">
        <v>19</v>
      </c>
      <c r="C26408" s="8" t="n">
        <v>6</v>
      </c>
      <c r="D26408" s="8" t="inlineStr">
        <is>
          <t>Disney Adventure World</t>
        </is>
      </c>
      <c r="E26408" s="8" t="inlineStr">
        <is>
          <t>Slinky® Dog Zigzag Spin</t>
        </is>
      </c>
      <c r="F26408" s="8" t="inlineStr">
        <is>
          <t>STANDBY</t>
        </is>
      </c>
      <c r="G26408" s="8" t="n">
        <v>10</v>
      </c>
      <c r="H26408" s="8" t="inlineStr">
        <is>
          <t>OPERATING</t>
        </is>
      </c>
    </row>
    <row r="26409">
      <c r="A26409" s="8" t="inlineStr">
        <is>
          <t>2026-08-05</t>
        </is>
      </c>
      <c r="B26409" s="8" t="n">
        <v>19</v>
      </c>
      <c r="C26409" s="8" t="n">
        <v>6</v>
      </c>
      <c r="D26409" s="8" t="inlineStr">
        <is>
          <t>Disney Adventure World</t>
        </is>
      </c>
      <c r="E26409" s="8" t="inlineStr">
        <is>
          <t>Toy Soldiers Parachute Drop</t>
        </is>
      </c>
      <c r="F26409" s="8" t="inlineStr">
        <is>
          <t>STANDBY</t>
        </is>
      </c>
      <c r="G26409" s="8" t="n">
        <v>55</v>
      </c>
      <c r="H26409" s="8" t="inlineStr">
        <is>
          <t>OPERATING</t>
        </is>
      </c>
    </row>
    <row r="26410">
      <c r="A26410" s="8" t="inlineStr">
        <is>
          <t>2026-08-05</t>
        </is>
      </c>
      <c r="B26410" s="8" t="n">
        <v>19</v>
      </c>
      <c r="C26410" s="8" t="n">
        <v>6</v>
      </c>
      <c r="D26410" s="8" t="inlineStr">
        <is>
          <t>Disney Adventure World</t>
        </is>
      </c>
      <c r="E26410" s="8" t="inlineStr">
        <is>
          <t>Toy Soldiers Parachute Drop Single Rider</t>
        </is>
      </c>
      <c r="F26410" s="8" t="inlineStr">
        <is>
          <t>STANDBY</t>
        </is>
      </c>
      <c r="G26410" s="8" t="n">
        <v>25</v>
      </c>
      <c r="H26410" s="8" t="inlineStr">
        <is>
          <t>OPERATING</t>
        </is>
      </c>
    </row>
    <row r="26411">
      <c r="A26411" s="8" t="inlineStr">
        <is>
          <t>2026-08-05</t>
        </is>
      </c>
      <c r="B26411" s="8" t="n">
        <v>19</v>
      </c>
      <c r="C26411" s="8" t="n">
        <v>6</v>
      </c>
      <c r="D26411" s="8" t="inlineStr">
        <is>
          <t>Disney Adventure World</t>
        </is>
      </c>
      <c r="E26411" s="8" t="inlineStr">
        <is>
          <t>Entry to World of Frozen</t>
        </is>
      </c>
      <c r="F26411" s="8" t="inlineStr">
        <is>
          <t>STANDBY</t>
        </is>
      </c>
      <c r="G26411" s="8" t="n">
        <v>0</v>
      </c>
      <c r="H26411" s="8" t="inlineStr">
        <is>
          <t>OPERATING</t>
        </is>
      </c>
    </row>
    <row r="26412">
      <c r="A26412" s="8" t="inlineStr">
        <is>
          <t>2026-08-05</t>
        </is>
      </c>
      <c r="B26412" s="8" t="n">
        <v>19</v>
      </c>
      <c r="C26412" s="8" t="n">
        <v>6</v>
      </c>
      <c r="D26412" s="8" t="inlineStr">
        <is>
          <t>Disney Adventure World</t>
        </is>
      </c>
      <c r="E26412" s="8" t="inlineStr">
        <is>
          <t>Frozen Ever After</t>
        </is>
      </c>
      <c r="F26412" s="8" t="inlineStr">
        <is>
          <t>STANDBY</t>
        </is>
      </c>
      <c r="G26412" s="8" t="n">
        <v>65</v>
      </c>
      <c r="H26412" s="8" t="inlineStr">
        <is>
          <t>OPERATING</t>
        </is>
      </c>
    </row>
    <row r="26413">
      <c r="A26413" s="8" t="inlineStr">
        <is>
          <t>2026-08-05</t>
        </is>
      </c>
      <c r="B26413" s="8" t="n">
        <v>19</v>
      </c>
      <c r="C26413" s="8" t="n">
        <v>6</v>
      </c>
      <c r="D26413" s="8" t="inlineStr">
        <is>
          <t>Disney Adventure World</t>
        </is>
      </c>
      <c r="E26413" s="8" t="inlineStr">
        <is>
          <t>Raiponce Tangled Spin</t>
        </is>
      </c>
      <c r="F26413" s="8" t="inlineStr">
        <is>
          <t>STANDBY</t>
        </is>
      </c>
      <c r="G26413" s="8" t="n">
        <v>5</v>
      </c>
      <c r="H26413" s="8" t="inlineStr">
        <is>
          <t>OPERATING</t>
        </is>
      </c>
    </row>
    <row r="26414">
      <c r="A26414" s="8" t="inlineStr">
        <is>
          <t>2026-08-05</t>
        </is>
      </c>
      <c r="B26414" s="8" t="n">
        <v>19</v>
      </c>
      <c r="C26414" s="8" t="n">
        <v>15</v>
      </c>
      <c r="D26414" s="8" t="inlineStr">
        <is>
          <t>Disneyland Park</t>
        </is>
      </c>
      <c r="E26414" s="8" t="inlineStr">
        <is>
          <t>Adventure Isle</t>
        </is>
      </c>
      <c r="F26414" s="8" t="inlineStr">
        <is>
          <t>STANDBY</t>
        </is>
      </c>
      <c r="G26414" s="8" t="n">
        <v>0</v>
      </c>
      <c r="H26414" s="8" t="inlineStr">
        <is>
          <t>OPERATING</t>
        </is>
      </c>
    </row>
    <row r="26415">
      <c r="A26415" s="8" t="inlineStr">
        <is>
          <t>2026-08-05</t>
        </is>
      </c>
      <c r="B26415" s="8" t="n">
        <v>19</v>
      </c>
      <c r="C26415" s="8" t="n">
        <v>15</v>
      </c>
      <c r="D26415" s="8" t="inlineStr">
        <is>
          <t>Disneyland Park</t>
        </is>
      </c>
      <c r="E26415" s="8" t="inlineStr">
        <is>
          <t>Indiana Jones and the Temple of Peril Single Rider</t>
        </is>
      </c>
      <c r="F26415" s="8" t="inlineStr">
        <is>
          <t>STANDBY</t>
        </is>
      </c>
      <c r="G26415" s="8" t="n">
        <v>5</v>
      </c>
      <c r="H26415" s="8" t="inlineStr">
        <is>
          <t>OPERATING</t>
        </is>
      </c>
    </row>
    <row r="26416">
      <c r="A26416" s="8" t="inlineStr">
        <is>
          <t>2026-08-05</t>
        </is>
      </c>
      <c r="B26416" s="8" t="n">
        <v>19</v>
      </c>
      <c r="C26416" s="8" t="n">
        <v>15</v>
      </c>
      <c r="D26416" s="8" t="inlineStr">
        <is>
          <t>Disneyland Park</t>
        </is>
      </c>
      <c r="E26416" s="8" t="inlineStr">
        <is>
          <t>Indiana Jones™ and the Temple of Peril</t>
        </is>
      </c>
      <c r="F26416" s="8" t="inlineStr">
        <is>
          <t>STANDBY</t>
        </is>
      </c>
      <c r="G26416" s="8" t="n">
        <v>10</v>
      </c>
      <c r="H26416" s="8" t="inlineStr">
        <is>
          <t>OPERATING</t>
        </is>
      </c>
    </row>
    <row r="26417">
      <c r="A26417" s="8" t="inlineStr">
        <is>
          <t>2026-08-05</t>
        </is>
      </c>
      <c r="B26417" s="8" t="n">
        <v>19</v>
      </c>
      <c r="C26417" s="8" t="n">
        <v>15</v>
      </c>
      <c r="D26417" s="8" t="inlineStr">
        <is>
          <t>Disneyland Park</t>
        </is>
      </c>
      <c r="E26417" s="8" t="inlineStr">
        <is>
          <t>La Cabane des Robinson</t>
        </is>
      </c>
      <c r="F26417" s="8" t="inlineStr">
        <is>
          <t>STANDBY</t>
        </is>
      </c>
      <c r="G26417" s="8" t="n">
        <v>5</v>
      </c>
      <c r="H26417" s="8" t="inlineStr">
        <is>
          <t>OPERATING</t>
        </is>
      </c>
    </row>
    <row r="26418">
      <c r="A26418" s="8" t="inlineStr">
        <is>
          <t>2026-08-05</t>
        </is>
      </c>
      <c r="B26418" s="8" t="n">
        <v>19</v>
      </c>
      <c r="C26418" s="8" t="n">
        <v>15</v>
      </c>
      <c r="D26418" s="8" t="inlineStr">
        <is>
          <t>Disneyland Park</t>
        </is>
      </c>
      <c r="E26418" s="8" t="inlineStr">
        <is>
          <t>Le Passage Enchanté d'Aladdin</t>
        </is>
      </c>
      <c r="F26418" s="8" t="inlineStr">
        <is>
          <t>STANDBY</t>
        </is>
      </c>
      <c r="G26418" s="8" t="n">
        <v>0</v>
      </c>
      <c r="H26418" s="8" t="inlineStr">
        <is>
          <t>OPERATING</t>
        </is>
      </c>
    </row>
    <row r="26419">
      <c r="A26419" s="8" t="inlineStr">
        <is>
          <t>2026-08-05</t>
        </is>
      </c>
      <c r="B26419" s="8" t="n">
        <v>19</v>
      </c>
      <c r="C26419" s="8" t="n">
        <v>15</v>
      </c>
      <c r="D26419" s="8" t="inlineStr">
        <is>
          <t>Disneyland Park</t>
        </is>
      </c>
      <c r="E26419" s="8" t="inlineStr">
        <is>
          <t>Pirate Galleon</t>
        </is>
      </c>
      <c r="F26419" s="8" t="inlineStr">
        <is>
          <t>STANDBY</t>
        </is>
      </c>
      <c r="G26419" s="8" t="n">
        <v>0</v>
      </c>
      <c r="H26419" s="8" t="inlineStr">
        <is>
          <t>CLOSED</t>
        </is>
      </c>
    </row>
    <row r="26420">
      <c r="A26420" s="8" t="inlineStr">
        <is>
          <t>2026-08-05</t>
        </is>
      </c>
      <c r="B26420" s="8" t="n">
        <v>19</v>
      </c>
      <c r="C26420" s="8" t="n">
        <v>15</v>
      </c>
      <c r="D26420" s="8" t="inlineStr">
        <is>
          <t>Disneyland Park</t>
        </is>
      </c>
      <c r="E26420" s="8" t="inlineStr">
        <is>
          <t>Pirates of the Caribbean</t>
        </is>
      </c>
      <c r="F26420" s="8" t="inlineStr">
        <is>
          <t>STANDBY</t>
        </is>
      </c>
      <c r="G26420" s="8" t="n">
        <v>5</v>
      </c>
      <c r="H26420" s="8" t="inlineStr">
        <is>
          <t>OPERATING</t>
        </is>
      </c>
    </row>
    <row r="26421">
      <c r="A26421" s="8" t="inlineStr">
        <is>
          <t>2026-08-05</t>
        </is>
      </c>
      <c r="B26421" s="8" t="n">
        <v>19</v>
      </c>
      <c r="C26421" s="8" t="n">
        <v>15</v>
      </c>
      <c r="D26421" s="8" t="inlineStr">
        <is>
          <t>Disneyland Park</t>
        </is>
      </c>
      <c r="E26421" s="8" t="inlineStr">
        <is>
          <t>Pirates' Beach</t>
        </is>
      </c>
      <c r="F26421" s="8" t="inlineStr">
        <is>
          <t>STANDBY</t>
        </is>
      </c>
      <c r="G26421" s="8" t="n">
        <v>0</v>
      </c>
      <c r="H26421" s="8" t="inlineStr">
        <is>
          <t>OPERATING</t>
        </is>
      </c>
    </row>
    <row r="26422">
      <c r="A26422" s="8" t="inlineStr">
        <is>
          <t>2026-08-05</t>
        </is>
      </c>
      <c r="B26422" s="8" t="n">
        <v>19</v>
      </c>
      <c r="C26422" s="8" t="n">
        <v>15</v>
      </c>
      <c r="D26422" s="8" t="inlineStr">
        <is>
          <t>Disneyland Park</t>
        </is>
      </c>
      <c r="E26422" s="8" t="inlineStr">
        <is>
          <t>Autopia, presented by Avis</t>
        </is>
      </c>
      <c r="F26422" s="8" t="inlineStr">
        <is>
          <t>STANDBY</t>
        </is>
      </c>
      <c r="G26422" s="8" t="n">
        <v>45</v>
      </c>
      <c r="H26422" s="8" t="inlineStr">
        <is>
          <t>OPERATING</t>
        </is>
      </c>
    </row>
    <row r="26423">
      <c r="A26423" s="8" t="inlineStr">
        <is>
          <t>2026-08-05</t>
        </is>
      </c>
      <c r="B26423" s="8" t="n">
        <v>19</v>
      </c>
      <c r="C26423" s="8" t="n">
        <v>15</v>
      </c>
      <c r="D26423" s="8" t="inlineStr">
        <is>
          <t>Disneyland Park</t>
        </is>
      </c>
      <c r="E26423" s="8" t="inlineStr">
        <is>
          <t>Buzz Lightyear Laser Blast</t>
        </is>
      </c>
      <c r="F26423" s="8" t="inlineStr">
        <is>
          <t>STANDBY</t>
        </is>
      </c>
      <c r="G26423" s="8" t="n">
        <v>25</v>
      </c>
      <c r="H26423" s="8" t="inlineStr">
        <is>
          <t>OPERATING</t>
        </is>
      </c>
    </row>
    <row r="26424">
      <c r="A26424" s="8" t="inlineStr">
        <is>
          <t>2026-08-05</t>
        </is>
      </c>
      <c r="B26424" s="8" t="n">
        <v>19</v>
      </c>
      <c r="C26424" s="8" t="n">
        <v>15</v>
      </c>
      <c r="D26424" s="8" t="inlineStr">
        <is>
          <t>Disneyland Park</t>
        </is>
      </c>
      <c r="E26424" s="8" t="inlineStr">
        <is>
          <t>Disneyland Railroad Discoveryland Station</t>
        </is>
      </c>
      <c r="F26424" s="8" t="inlineStr">
        <is>
          <t>STANDBY</t>
        </is>
      </c>
      <c r="G26424" s="8" t="n">
        <v>0</v>
      </c>
      <c r="H26424" s="8" t="inlineStr">
        <is>
          <t>CLOSED</t>
        </is>
      </c>
    </row>
    <row r="26425">
      <c r="A26425" s="8" t="inlineStr">
        <is>
          <t>2026-08-05</t>
        </is>
      </c>
      <c r="B26425" s="8" t="n">
        <v>19</v>
      </c>
      <c r="C26425" s="8" t="n">
        <v>15</v>
      </c>
      <c r="D26425" s="8" t="inlineStr">
        <is>
          <t>Disneyland Park</t>
        </is>
      </c>
      <c r="E26425" s="8" t="inlineStr">
        <is>
          <t>Les Mystères du Nautilus</t>
        </is>
      </c>
      <c r="F26425" s="8" t="inlineStr">
        <is>
          <t>STANDBY</t>
        </is>
      </c>
      <c r="G26425" s="8" t="n">
        <v>5</v>
      </c>
      <c r="H26425" s="8" t="inlineStr">
        <is>
          <t>OPERATING</t>
        </is>
      </c>
    </row>
    <row r="26426">
      <c r="A26426" s="8" t="inlineStr">
        <is>
          <t>2026-08-05</t>
        </is>
      </c>
      <c r="B26426" s="8" t="n">
        <v>19</v>
      </c>
      <c r="C26426" s="8" t="n">
        <v>15</v>
      </c>
      <c r="D26426" s="8" t="inlineStr">
        <is>
          <t>Disneyland Park</t>
        </is>
      </c>
      <c r="E26426" s="8" t="inlineStr">
        <is>
          <t>Mickey’s PhilharMagic</t>
        </is>
      </c>
      <c r="F26426" s="8" t="inlineStr">
        <is>
          <t>STANDBY</t>
        </is>
      </c>
      <c r="G26426" s="8" t="n">
        <v>0</v>
      </c>
      <c r="H26426" s="8" t="inlineStr">
        <is>
          <t>CLOSED</t>
        </is>
      </c>
    </row>
    <row r="26427">
      <c r="A26427" s="8" t="inlineStr">
        <is>
          <t>2026-08-05</t>
        </is>
      </c>
      <c r="B26427" s="8" t="n">
        <v>19</v>
      </c>
      <c r="C26427" s="8" t="n">
        <v>15</v>
      </c>
      <c r="D26427" s="8" t="inlineStr">
        <is>
          <t>Disneyland Park</t>
        </is>
      </c>
      <c r="E26427" s="8" t="inlineStr">
        <is>
          <t>Orbitron®</t>
        </is>
      </c>
      <c r="F26427" s="8" t="inlineStr">
        <is>
          <t>STANDBY</t>
        </is>
      </c>
      <c r="G26427" s="8" t="n">
        <v>60</v>
      </c>
      <c r="H26427" s="8" t="inlineStr">
        <is>
          <t>OPERATING</t>
        </is>
      </c>
    </row>
    <row r="26428">
      <c r="A26428" s="8" t="inlineStr">
        <is>
          <t>2026-08-05</t>
        </is>
      </c>
      <c r="B26428" s="8" t="n">
        <v>19</v>
      </c>
      <c r="C26428" s="8" t="n">
        <v>15</v>
      </c>
      <c r="D26428" s="8" t="inlineStr">
        <is>
          <t>Disneyland Park</t>
        </is>
      </c>
      <c r="E26428" s="8" t="inlineStr">
        <is>
          <t>Star Tours: The Adventures Continue*</t>
        </is>
      </c>
      <c r="F26428" s="8" t="inlineStr">
        <is>
          <t>STANDBY</t>
        </is>
      </c>
      <c r="G26428" s="8" t="n">
        <v>10</v>
      </c>
      <c r="H26428" s="8" t="inlineStr">
        <is>
          <t>OPERATING</t>
        </is>
      </c>
    </row>
    <row r="26429">
      <c r="A26429" s="8" t="inlineStr">
        <is>
          <t>2026-08-05</t>
        </is>
      </c>
      <c r="B26429" s="8" t="n">
        <v>19</v>
      </c>
      <c r="C26429" s="8" t="n">
        <v>15</v>
      </c>
      <c r="D26429" s="8" t="inlineStr">
        <is>
          <t>Disneyland Park</t>
        </is>
      </c>
      <c r="E26429" s="8" t="inlineStr">
        <is>
          <t>Star Wars Hyperspace Mountain</t>
        </is>
      </c>
      <c r="F26429" s="8" t="inlineStr">
        <is>
          <t>STANDBY</t>
        </is>
      </c>
      <c r="G26429" s="8" t="n">
        <v>35</v>
      </c>
      <c r="H26429" s="8" t="inlineStr">
        <is>
          <t>OPERATING</t>
        </is>
      </c>
    </row>
    <row r="26430">
      <c r="A26430" s="8" t="inlineStr">
        <is>
          <t>2026-08-05</t>
        </is>
      </c>
      <c r="B26430" s="8" t="n">
        <v>19</v>
      </c>
      <c r="C26430" s="8" t="n">
        <v>15</v>
      </c>
      <c r="D26430" s="8" t="inlineStr">
        <is>
          <t>Disneyland Park</t>
        </is>
      </c>
      <c r="E26430" s="8" t="inlineStr">
        <is>
          <t>Star Wars Hyperspace Mountain Single Rider</t>
        </is>
      </c>
      <c r="F26430" s="8" t="inlineStr">
        <is>
          <t>STANDBY</t>
        </is>
      </c>
      <c r="G26430" s="8" t="n">
        <v>0</v>
      </c>
      <c r="H26430" s="8" t="inlineStr">
        <is>
          <t>OPERATING</t>
        </is>
      </c>
    </row>
    <row r="26431">
      <c r="A26431" s="8" t="inlineStr">
        <is>
          <t>2026-08-05</t>
        </is>
      </c>
      <c r="B26431" s="8" t="n">
        <v>19</v>
      </c>
      <c r="C26431" s="8" t="n">
        <v>15</v>
      </c>
      <c r="D26431" s="8" t="inlineStr">
        <is>
          <t>Disneyland Park</t>
        </is>
      </c>
      <c r="E26431" s="8" t="inlineStr">
        <is>
          <t>Welcome to Starport: A Star Wars Encounter</t>
        </is>
      </c>
      <c r="F26431" s="8" t="inlineStr">
        <is>
          <t>STANDBY</t>
        </is>
      </c>
      <c r="G26431" s="8" t="n">
        <v>0</v>
      </c>
      <c r="H26431" s="8" t="inlineStr">
        <is>
          <t>CLOSED</t>
        </is>
      </c>
    </row>
    <row r="26432">
      <c r="A26432" s="8" t="inlineStr">
        <is>
          <t>2026-08-05</t>
        </is>
      </c>
      <c r="B26432" s="8" t="n">
        <v>19</v>
      </c>
      <c r="C26432" s="8" t="n">
        <v>15</v>
      </c>
      <c r="D26432" s="8" t="inlineStr">
        <is>
          <t>Disneyland Park</t>
        </is>
      </c>
      <c r="E26432" s="8" t="inlineStr">
        <is>
          <t>"it's a small world"</t>
        </is>
      </c>
      <c r="F26432" s="8" t="inlineStr">
        <is>
          <t>STANDBY</t>
        </is>
      </c>
      <c r="G26432" s="8" t="n">
        <v>5</v>
      </c>
      <c r="H26432" s="8" t="inlineStr">
        <is>
          <t>OPERATING</t>
        </is>
      </c>
    </row>
    <row r="26433">
      <c r="A26433" s="8" t="inlineStr">
        <is>
          <t>2026-08-05</t>
        </is>
      </c>
      <c r="B26433" s="8" t="n">
        <v>19</v>
      </c>
      <c r="C26433" s="8" t="n">
        <v>15</v>
      </c>
      <c r="D26433" s="8" t="inlineStr">
        <is>
          <t>Disneyland Park</t>
        </is>
      </c>
      <c r="E26433" s="8" t="inlineStr">
        <is>
          <t>Alice's Curious Labyrinth</t>
        </is>
      </c>
      <c r="F26433" s="8" t="inlineStr">
        <is>
          <t>STANDBY</t>
        </is>
      </c>
      <c r="G26433" s="8" t="n">
        <v>5</v>
      </c>
      <c r="H26433" s="8" t="inlineStr">
        <is>
          <t>OPERATING</t>
        </is>
      </c>
    </row>
    <row r="26434">
      <c r="A26434" s="8" t="inlineStr">
        <is>
          <t>2026-08-05</t>
        </is>
      </c>
      <c r="B26434" s="8" t="n">
        <v>19</v>
      </c>
      <c r="C26434" s="8" t="n">
        <v>15</v>
      </c>
      <c r="D26434" s="8" t="inlineStr">
        <is>
          <t>Disneyland Park</t>
        </is>
      </c>
      <c r="E26434" s="8" t="inlineStr">
        <is>
          <t>Blanche-Neige et les Sept Nains®</t>
        </is>
      </c>
      <c r="F26434" s="8" t="inlineStr">
        <is>
          <t>STANDBY</t>
        </is>
      </c>
      <c r="G26434" s="8" t="n">
        <v>30</v>
      </c>
      <c r="H26434" s="8" t="inlineStr">
        <is>
          <t>OPERATING</t>
        </is>
      </c>
    </row>
    <row r="26435">
      <c r="A26435" s="8" t="inlineStr">
        <is>
          <t>2026-08-05</t>
        </is>
      </c>
      <c r="B26435" s="8" t="n">
        <v>19</v>
      </c>
      <c r="C26435" s="8" t="n">
        <v>15</v>
      </c>
      <c r="D26435" s="8" t="inlineStr">
        <is>
          <t>Disneyland Park</t>
        </is>
      </c>
      <c r="E26435" s="8" t="inlineStr">
        <is>
          <t>Casey Jr. – le Petit Train du Cirque</t>
        </is>
      </c>
      <c r="F26435" s="8" t="inlineStr">
        <is>
          <t>STANDBY</t>
        </is>
      </c>
      <c r="G26435" s="8" t="n">
        <v>35</v>
      </c>
      <c r="H26435" s="8" t="inlineStr">
        <is>
          <t>OPERATING</t>
        </is>
      </c>
    </row>
    <row r="26436">
      <c r="A26436" s="8" t="inlineStr">
        <is>
          <t>2026-08-05</t>
        </is>
      </c>
      <c r="B26436" s="8" t="n">
        <v>19</v>
      </c>
      <c r="C26436" s="8" t="n">
        <v>15</v>
      </c>
      <c r="D26436" s="8" t="inlineStr">
        <is>
          <t>Disneyland Park</t>
        </is>
      </c>
      <c r="E26436" s="8" t="inlineStr">
        <is>
          <t>Disneyland Railroad Fantasyland Station</t>
        </is>
      </c>
      <c r="F26436" s="8" t="inlineStr">
        <is>
          <t>STANDBY</t>
        </is>
      </c>
      <c r="G26436" s="8" t="n">
        <v>0</v>
      </c>
      <c r="H26436" s="8" t="inlineStr">
        <is>
          <t>CLOSED</t>
        </is>
      </c>
    </row>
    <row r="26437">
      <c r="A26437" s="8" t="inlineStr">
        <is>
          <t>2026-08-05</t>
        </is>
      </c>
      <c r="B26437" s="8" t="n">
        <v>19</v>
      </c>
      <c r="C26437" s="8" t="n">
        <v>15</v>
      </c>
      <c r="D26437" s="8" t="inlineStr">
        <is>
          <t>Disneyland Park</t>
        </is>
      </c>
      <c r="E26437" s="8" t="inlineStr">
        <is>
          <t>Disneyland Railroad Main Street Station</t>
        </is>
      </c>
      <c r="F26437" s="8" t="inlineStr">
        <is>
          <t>STANDBY</t>
        </is>
      </c>
      <c r="G26437" s="8" t="n">
        <v>20</v>
      </c>
      <c r="H26437" s="8" t="inlineStr">
        <is>
          <t>OPERATING</t>
        </is>
      </c>
    </row>
    <row r="26438">
      <c r="A26438" s="8" t="inlineStr">
        <is>
          <t>2026-08-05</t>
        </is>
      </c>
      <c r="B26438" s="8" t="n">
        <v>19</v>
      </c>
      <c r="C26438" s="8" t="n">
        <v>15</v>
      </c>
      <c r="D26438" s="8" t="inlineStr">
        <is>
          <t>Disneyland Park</t>
        </is>
      </c>
      <c r="E26438" s="8" t="inlineStr">
        <is>
          <t>Dumbo the Flying Elephant</t>
        </is>
      </c>
      <c r="F26438" s="8" t="inlineStr">
        <is>
          <t>STANDBY</t>
        </is>
      </c>
      <c r="G26438" s="8" t="n">
        <v>35</v>
      </c>
      <c r="H26438" s="8" t="inlineStr">
        <is>
          <t>OPERATING</t>
        </is>
      </c>
    </row>
    <row r="26439">
      <c r="A26439" s="8" t="inlineStr">
        <is>
          <t>2026-08-05</t>
        </is>
      </c>
      <c r="B26439" s="8" t="n">
        <v>19</v>
      </c>
      <c r="C26439" s="8" t="n">
        <v>15</v>
      </c>
      <c r="D26439" s="8" t="inlineStr">
        <is>
          <t>Disneyland Park</t>
        </is>
      </c>
      <c r="E26439" s="8" t="inlineStr">
        <is>
          <t>La Tanière du Dragon</t>
        </is>
      </c>
      <c r="F26439" s="8" t="inlineStr">
        <is>
          <t>STANDBY</t>
        </is>
      </c>
      <c r="G26439" s="8" t="n">
        <v>0</v>
      </c>
      <c r="H26439" s="8" t="inlineStr">
        <is>
          <t>OPERATING</t>
        </is>
      </c>
    </row>
    <row r="26440">
      <c r="A26440" s="8" t="inlineStr">
        <is>
          <t>2026-08-05</t>
        </is>
      </c>
      <c r="B26440" s="8" t="n">
        <v>19</v>
      </c>
      <c r="C26440" s="8" t="n">
        <v>15</v>
      </c>
      <c r="D26440" s="8" t="inlineStr">
        <is>
          <t>Disneyland Park</t>
        </is>
      </c>
      <c r="E26440" s="8" t="inlineStr">
        <is>
          <t>Le Carrousel de Lancelot</t>
        </is>
      </c>
      <c r="F26440" s="8" t="inlineStr">
        <is>
          <t>STANDBY</t>
        </is>
      </c>
      <c r="G26440" s="8" t="n">
        <v>15</v>
      </c>
      <c r="H26440" s="8" t="inlineStr">
        <is>
          <t>OPERATING</t>
        </is>
      </c>
    </row>
    <row r="26441">
      <c r="A26441" s="8" t="inlineStr">
        <is>
          <t>2026-08-05</t>
        </is>
      </c>
      <c r="B26441" s="8" t="n">
        <v>19</v>
      </c>
      <c r="C26441" s="8" t="n">
        <v>15</v>
      </c>
      <c r="D26441" s="8" t="inlineStr">
        <is>
          <t>Disneyland Park</t>
        </is>
      </c>
      <c r="E26441" s="8" t="inlineStr">
        <is>
          <t>Le Pays des Contes de Fées, presented by Vittel</t>
        </is>
      </c>
      <c r="F26441" s="8" t="inlineStr">
        <is>
          <t>STANDBY</t>
        </is>
      </c>
      <c r="G26441" s="8" t="n">
        <v>5</v>
      </c>
      <c r="H26441" s="8" t="inlineStr">
        <is>
          <t>OPERATING</t>
        </is>
      </c>
    </row>
    <row r="26442">
      <c r="A26442" s="8" t="inlineStr">
        <is>
          <t>2026-08-05</t>
        </is>
      </c>
      <c r="B26442" s="8" t="n">
        <v>19</v>
      </c>
      <c r="C26442" s="8" t="n">
        <v>15</v>
      </c>
      <c r="D26442" s="8" t="inlineStr">
        <is>
          <t>Disneyland Park</t>
        </is>
      </c>
      <c r="E26442" s="8" t="inlineStr">
        <is>
          <t>Les Voyages de Pinocchio</t>
        </is>
      </c>
      <c r="F26442" s="8" t="inlineStr">
        <is>
          <t>STANDBY</t>
        </is>
      </c>
      <c r="G26442" s="8" t="n">
        <v>15</v>
      </c>
      <c r="H26442" s="8" t="inlineStr">
        <is>
          <t>OPERATING</t>
        </is>
      </c>
    </row>
    <row r="26443">
      <c r="A26443" s="8" t="inlineStr">
        <is>
          <t>2026-08-05</t>
        </is>
      </c>
      <c r="B26443" s="8" t="n">
        <v>19</v>
      </c>
      <c r="C26443" s="8" t="n">
        <v>15</v>
      </c>
      <c r="D26443" s="8" t="inlineStr">
        <is>
          <t>Disneyland Park</t>
        </is>
      </c>
      <c r="E26443" s="8" t="inlineStr">
        <is>
          <t>Mad Hatter's Tea Cups</t>
        </is>
      </c>
      <c r="F26443" s="8" t="inlineStr">
        <is>
          <t>STANDBY</t>
        </is>
      </c>
      <c r="G26443" s="8" t="n">
        <v>5</v>
      </c>
      <c r="H26443" s="8" t="inlineStr">
        <is>
          <t>OPERATING</t>
        </is>
      </c>
    </row>
    <row r="26444">
      <c r="A26444" s="8" t="inlineStr">
        <is>
          <t>2026-08-05</t>
        </is>
      </c>
      <c r="B26444" s="8" t="n">
        <v>19</v>
      </c>
      <c r="C26444" s="8" t="n">
        <v>15</v>
      </c>
      <c r="D26444" s="8" t="inlineStr">
        <is>
          <t>Disneyland Park</t>
        </is>
      </c>
      <c r="E26444" s="8" t="inlineStr">
        <is>
          <t>Meet Mickey Mouse</t>
        </is>
      </c>
      <c r="F26444" s="8" t="inlineStr">
        <is>
          <t>STANDBY</t>
        </is>
      </c>
      <c r="G26444" s="8" t="n">
        <v>0</v>
      </c>
      <c r="H26444" s="8" t="inlineStr">
        <is>
          <t>CLOSED</t>
        </is>
      </c>
    </row>
    <row r="26445">
      <c r="A26445" s="8" t="inlineStr">
        <is>
          <t>2026-08-05</t>
        </is>
      </c>
      <c r="B26445" s="8" t="n">
        <v>19</v>
      </c>
      <c r="C26445" s="8" t="n">
        <v>15</v>
      </c>
      <c r="D26445" s="8" t="inlineStr">
        <is>
          <t>Disneyland Park</t>
        </is>
      </c>
      <c r="E26445" s="8" t="inlineStr">
        <is>
          <t>Peter Pan's Flight</t>
        </is>
      </c>
      <c r="F26445" s="8" t="inlineStr">
        <is>
          <t>STANDBY</t>
        </is>
      </c>
      <c r="G26445" s="8" t="n">
        <v>55</v>
      </c>
      <c r="H26445" s="8" t="inlineStr">
        <is>
          <t>OPERATING</t>
        </is>
      </c>
    </row>
    <row r="26446">
      <c r="A26446" s="8" t="inlineStr">
        <is>
          <t>2026-08-05</t>
        </is>
      </c>
      <c r="B26446" s="8" t="n">
        <v>19</v>
      </c>
      <c r="C26446" s="8" t="n">
        <v>15</v>
      </c>
      <c r="D26446" s="8" t="inlineStr">
        <is>
          <t>Disneyland Park</t>
        </is>
      </c>
      <c r="E26446" s="8" t="inlineStr">
        <is>
          <t>Princess Pavilion</t>
        </is>
      </c>
      <c r="F26446" s="8" t="inlineStr">
        <is>
          <t>STANDBY</t>
        </is>
      </c>
      <c r="G26446" s="8" t="n">
        <v>0</v>
      </c>
      <c r="H26446" s="8" t="inlineStr">
        <is>
          <t>CLOSED</t>
        </is>
      </c>
    </row>
    <row r="26447">
      <c r="A26447" s="8" t="inlineStr">
        <is>
          <t>2026-08-05</t>
        </is>
      </c>
      <c r="B26447" s="8" t="n">
        <v>19</v>
      </c>
      <c r="C26447" s="8" t="n">
        <v>15</v>
      </c>
      <c r="D26447" s="8" t="inlineStr">
        <is>
          <t>Disneyland Park</t>
        </is>
      </c>
      <c r="E26447" s="8" t="inlineStr">
        <is>
          <t>Big Thunder Mountain</t>
        </is>
      </c>
      <c r="F26447" s="8" t="inlineStr">
        <is>
          <t>STANDBY</t>
        </is>
      </c>
      <c r="G26447" s="8" t="n">
        <v>75</v>
      </c>
      <c r="H26447" s="8" t="inlineStr">
        <is>
          <t>OPERATING</t>
        </is>
      </c>
    </row>
    <row r="26448">
      <c r="A26448" s="8" t="inlineStr">
        <is>
          <t>2026-08-05</t>
        </is>
      </c>
      <c r="B26448" s="8" t="n">
        <v>19</v>
      </c>
      <c r="C26448" s="8" t="n">
        <v>15</v>
      </c>
      <c r="D26448" s="8" t="inlineStr">
        <is>
          <t>Disneyland Park</t>
        </is>
      </c>
      <c r="E26448" s="8" t="inlineStr">
        <is>
          <t>Disneyland Railroad Frontierland Depot</t>
        </is>
      </c>
      <c r="F26448" s="8" t="inlineStr">
        <is>
          <t>STANDBY</t>
        </is>
      </c>
      <c r="G26448" s="8" t="n">
        <v>10</v>
      </c>
      <c r="H26448" s="8" t="inlineStr">
        <is>
          <t>OPERATING</t>
        </is>
      </c>
    </row>
    <row r="26449">
      <c r="A26449" s="8" t="inlineStr">
        <is>
          <t>2026-08-05</t>
        </is>
      </c>
      <c r="B26449" s="8" t="n">
        <v>19</v>
      </c>
      <c r="C26449" s="8" t="n">
        <v>15</v>
      </c>
      <c r="D26449" s="8" t="inlineStr">
        <is>
          <t>Disneyland Park</t>
        </is>
      </c>
      <c r="E26449" s="8" t="inlineStr">
        <is>
          <t>Frontierland Playground</t>
        </is>
      </c>
      <c r="F26449" s="8" t="inlineStr">
        <is>
          <t>STANDBY</t>
        </is>
      </c>
      <c r="G26449" s="8" t="n">
        <v>0</v>
      </c>
      <c r="H26449" s="8" t="inlineStr">
        <is>
          <t>OPERATING</t>
        </is>
      </c>
    </row>
    <row r="26450">
      <c r="A26450" s="8" t="inlineStr">
        <is>
          <t>2026-08-05</t>
        </is>
      </c>
      <c r="B26450" s="8" t="n">
        <v>19</v>
      </c>
      <c r="C26450" s="8" t="n">
        <v>15</v>
      </c>
      <c r="D26450" s="8" t="inlineStr">
        <is>
          <t>Disneyland Park</t>
        </is>
      </c>
      <c r="E26450" s="8" t="inlineStr">
        <is>
          <t>Phantom Manor</t>
        </is>
      </c>
      <c r="F26450" s="8" t="inlineStr">
        <is>
          <t>STANDBY</t>
        </is>
      </c>
      <c r="G26450" s="8" t="n">
        <v>20</v>
      </c>
      <c r="H26450" s="8" t="inlineStr">
        <is>
          <t>OPERATING</t>
        </is>
      </c>
    </row>
    <row r="26451">
      <c r="A26451" s="8" t="inlineStr">
        <is>
          <t>2026-08-05</t>
        </is>
      </c>
      <c r="B26451" s="8" t="n">
        <v>19</v>
      </c>
      <c r="C26451" s="8" t="n">
        <v>15</v>
      </c>
      <c r="D26451" s="8" t="inlineStr">
        <is>
          <t>Disneyland Park</t>
        </is>
      </c>
      <c r="E26451" s="8" t="inlineStr">
        <is>
          <t>River Rogue Keelboats</t>
        </is>
      </c>
      <c r="F26451" s="8" t="inlineStr">
        <is>
          <t>STANDBY</t>
        </is>
      </c>
      <c r="G26451" s="8" t="n">
        <v>0</v>
      </c>
      <c r="H26451" s="8" t="inlineStr">
        <is>
          <t>CLOSED</t>
        </is>
      </c>
    </row>
    <row r="26452">
      <c r="A26452" s="8" t="inlineStr">
        <is>
          <t>2026-08-05</t>
        </is>
      </c>
      <c r="B26452" s="8" t="n">
        <v>19</v>
      </c>
      <c r="C26452" s="8" t="n">
        <v>15</v>
      </c>
      <c r="D26452" s="8" t="inlineStr">
        <is>
          <t>Disneyland Park</t>
        </is>
      </c>
      <c r="E26452" s="8" t="inlineStr">
        <is>
          <t>Rustler Roundup Shootin' Gallery</t>
        </is>
      </c>
      <c r="F26452" s="8" t="inlineStr">
        <is>
          <t>STANDBY</t>
        </is>
      </c>
      <c r="G26452" s="8" t="n">
        <v>0</v>
      </c>
      <c r="H26452" s="8" t="inlineStr">
        <is>
          <t>OPERATING</t>
        </is>
      </c>
    </row>
    <row r="26453">
      <c r="A26453" s="8" t="inlineStr">
        <is>
          <t>2026-08-05</t>
        </is>
      </c>
      <c r="B26453" s="8" t="n">
        <v>19</v>
      </c>
      <c r="C26453" s="8" t="n">
        <v>15</v>
      </c>
      <c r="D26453" s="8" t="inlineStr">
        <is>
          <t>Disneyland Park</t>
        </is>
      </c>
      <c r="E26453" s="8" t="inlineStr">
        <is>
          <t>Thunder Mesa Riverboat Landing</t>
        </is>
      </c>
      <c r="F26453" s="8" t="inlineStr">
        <is>
          <t>STANDBY</t>
        </is>
      </c>
      <c r="G26453" s="8" t="n">
        <v>0</v>
      </c>
      <c r="H26453" s="8" t="inlineStr">
        <is>
          <t>CLOSED</t>
        </is>
      </c>
    </row>
    <row r="26454">
      <c r="A26454" s="8" t="inlineStr">
        <is>
          <t>2026-08-05</t>
        </is>
      </c>
      <c r="B26454" s="8" t="n">
        <v>19</v>
      </c>
      <c r="C26454" s="8" t="n">
        <v>15</v>
      </c>
      <c r="D26454" s="8" t="inlineStr">
        <is>
          <t>Disneyland Park</t>
        </is>
      </c>
      <c r="E26454" s="8" t="inlineStr">
        <is>
          <t>Disneyland Railroad Main Street Station</t>
        </is>
      </c>
      <c r="F26454" s="8" t="inlineStr">
        <is>
          <t>STANDBY</t>
        </is>
      </c>
      <c r="G26454" s="8" t="n">
        <v>0</v>
      </c>
      <c r="H26454" s="8" t="inlineStr">
        <is>
          <t>OPERATING</t>
        </is>
      </c>
    </row>
    <row r="26455">
      <c r="A26455" s="8" t="inlineStr">
        <is>
          <t>2026-08-05</t>
        </is>
      </c>
      <c r="B26455" s="8" t="n">
        <v>19</v>
      </c>
      <c r="C26455" s="8" t="n">
        <v>15</v>
      </c>
      <c r="D26455" s="8" t="inlineStr">
        <is>
          <t>Disneyland Park</t>
        </is>
      </c>
      <c r="E26455" s="8" t="inlineStr">
        <is>
          <t>Main Street Vehicles</t>
        </is>
      </c>
      <c r="F26455" s="8" t="inlineStr">
        <is>
          <t>STANDBY</t>
        </is>
      </c>
      <c r="G26455" s="8" t="n">
        <v>0</v>
      </c>
      <c r="H26455" s="8" t="inlineStr">
        <is>
          <t>CLOSED</t>
        </is>
      </c>
    </row>
    <row r="26456">
      <c r="A26456" s="8" t="inlineStr">
        <is>
          <t>2026-08-05</t>
        </is>
      </c>
      <c r="B26456" s="8" t="n">
        <v>19</v>
      </c>
      <c r="C26456" s="8" t="n">
        <v>15</v>
      </c>
      <c r="D26456" s="8" t="inlineStr">
        <is>
          <t>Disney Adventure World</t>
        </is>
      </c>
      <c r="E26456" s="8" t="inlineStr">
        <is>
          <t>Avengers Assemble: Flight Force</t>
        </is>
      </c>
      <c r="F26456" s="8" t="inlineStr">
        <is>
          <t>STANDBY</t>
        </is>
      </c>
      <c r="G26456" s="8" t="n">
        <v>20</v>
      </c>
      <c r="H26456" s="8" t="inlineStr">
        <is>
          <t>OPERATING</t>
        </is>
      </c>
    </row>
    <row r="26457">
      <c r="A26457" s="8" t="inlineStr">
        <is>
          <t>2026-08-05</t>
        </is>
      </c>
      <c r="B26457" s="8" t="n">
        <v>19</v>
      </c>
      <c r="C26457" s="8" t="n">
        <v>15</v>
      </c>
      <c r="D26457" s="8" t="inlineStr">
        <is>
          <t>Disney Adventure World</t>
        </is>
      </c>
      <c r="E26457" s="8" t="inlineStr">
        <is>
          <t>Avengers Assemble: Flight Force Single Rider</t>
        </is>
      </c>
      <c r="F26457" s="8" t="inlineStr">
        <is>
          <t>STANDBY</t>
        </is>
      </c>
      <c r="G26457" s="8" t="n">
        <v>10</v>
      </c>
      <c r="H26457" s="8" t="inlineStr">
        <is>
          <t>OPERATING</t>
        </is>
      </c>
    </row>
    <row r="26458">
      <c r="A26458" s="8" t="inlineStr">
        <is>
          <t>2026-08-05</t>
        </is>
      </c>
      <c r="B26458" s="8" t="n">
        <v>19</v>
      </c>
      <c r="C26458" s="8" t="n">
        <v>15</v>
      </c>
      <c r="D26458" s="8" t="inlineStr">
        <is>
          <t>Disney Adventure World</t>
        </is>
      </c>
      <c r="E26458" s="8" t="inlineStr">
        <is>
          <t>Spider-Man W.E.B. Adventure</t>
        </is>
      </c>
      <c r="F26458" s="8" t="inlineStr">
        <is>
          <t>STANDBY</t>
        </is>
      </c>
      <c r="G26458" s="8" t="n">
        <v>45</v>
      </c>
      <c r="H26458" s="8" t="inlineStr">
        <is>
          <t>OPERATING</t>
        </is>
      </c>
    </row>
    <row r="26459">
      <c r="A26459" s="8" t="inlineStr">
        <is>
          <t>2026-08-05</t>
        </is>
      </c>
      <c r="B26459" s="8" t="n">
        <v>19</v>
      </c>
      <c r="C26459" s="8" t="n">
        <v>15</v>
      </c>
      <c r="D26459" s="8" t="inlineStr">
        <is>
          <t>Disney Adventure World</t>
        </is>
      </c>
      <c r="E26459" s="8" t="inlineStr">
        <is>
          <t>Spider-Man W.E.B. Adventure Single Rider</t>
        </is>
      </c>
      <c r="F26459" s="8" t="inlineStr">
        <is>
          <t>STANDBY</t>
        </is>
      </c>
      <c r="G26459" s="8" t="n">
        <v>20</v>
      </c>
      <c r="H26459" s="8" t="inlineStr">
        <is>
          <t>OPERATING</t>
        </is>
      </c>
    </row>
    <row r="26460">
      <c r="A26460" s="8" t="inlineStr">
        <is>
          <t>2026-08-05</t>
        </is>
      </c>
      <c r="B26460" s="8" t="n">
        <v>19</v>
      </c>
      <c r="C26460" s="8" t="n">
        <v>15</v>
      </c>
      <c r="D26460" s="8" t="inlineStr">
        <is>
          <t>Disney Adventure World</t>
        </is>
      </c>
      <c r="E26460" s="8" t="inlineStr">
        <is>
          <t>The Twilight Zone Tower of Terror</t>
        </is>
      </c>
      <c r="F26460" s="8" t="inlineStr">
        <is>
          <t>STANDBY</t>
        </is>
      </c>
      <c r="G26460" s="8" t="n">
        <v>25</v>
      </c>
      <c r="H26460" s="8" t="inlineStr">
        <is>
          <t>OPERATING</t>
        </is>
      </c>
    </row>
    <row r="26461">
      <c r="A26461" s="8" t="inlineStr">
        <is>
          <t>2026-08-05</t>
        </is>
      </c>
      <c r="B26461" s="8" t="n">
        <v>19</v>
      </c>
      <c r="C26461" s="8" t="n">
        <v>15</v>
      </c>
      <c r="D26461" s="8" t="inlineStr">
        <is>
          <t>Disney Adventure World</t>
        </is>
      </c>
      <c r="E26461" s="8" t="inlineStr">
        <is>
          <t>Cars Quatre Roues Rallye</t>
        </is>
      </c>
      <c r="F26461" s="8" t="inlineStr">
        <is>
          <t>STANDBY</t>
        </is>
      </c>
      <c r="G26461" s="8" t="n">
        <v>10</v>
      </c>
      <c r="H26461" s="8" t="inlineStr">
        <is>
          <t>OPERATING</t>
        </is>
      </c>
    </row>
    <row r="26462">
      <c r="A26462" s="8" t="inlineStr">
        <is>
          <t>2026-08-05</t>
        </is>
      </c>
      <c r="B26462" s="8" t="n">
        <v>19</v>
      </c>
      <c r="C26462" s="8" t="n">
        <v>15</v>
      </c>
      <c r="D26462" s="8" t="inlineStr">
        <is>
          <t>Disney Adventure World</t>
        </is>
      </c>
      <c r="E26462" s="8" t="inlineStr">
        <is>
          <t>Cars ROAD TRIP</t>
        </is>
      </c>
      <c r="F26462" s="8" t="inlineStr">
        <is>
          <t>STANDBY</t>
        </is>
      </c>
      <c r="G26462" s="8" t="n">
        <v>10</v>
      </c>
      <c r="H26462" s="8" t="inlineStr">
        <is>
          <t>OPERATING</t>
        </is>
      </c>
    </row>
    <row r="26463">
      <c r="A26463" s="8" t="inlineStr">
        <is>
          <t>2026-08-05</t>
        </is>
      </c>
      <c r="B26463" s="8" t="n">
        <v>19</v>
      </c>
      <c r="C26463" s="8" t="n">
        <v>15</v>
      </c>
      <c r="D26463" s="8" t="inlineStr">
        <is>
          <t>Disney Adventure World</t>
        </is>
      </c>
      <c r="E26463" s="8" t="inlineStr">
        <is>
          <t>Crush's Coaster</t>
        </is>
      </c>
      <c r="F26463" s="8" t="inlineStr">
        <is>
          <t>STANDBY</t>
        </is>
      </c>
      <c r="G26463" s="8" t="n">
        <v>65</v>
      </c>
      <c r="H26463" s="8" t="inlineStr">
        <is>
          <t>OPERATING</t>
        </is>
      </c>
    </row>
    <row r="26464">
      <c r="A26464" s="8" t="inlineStr">
        <is>
          <t>2026-08-05</t>
        </is>
      </c>
      <c r="B26464" s="8" t="n">
        <v>19</v>
      </c>
      <c r="C26464" s="8" t="n">
        <v>15</v>
      </c>
      <c r="D26464" s="8" t="inlineStr">
        <is>
          <t>Disney Adventure World</t>
        </is>
      </c>
      <c r="E26464" s="8" t="inlineStr">
        <is>
          <t>Crush's Coaster Single Rider</t>
        </is>
      </c>
      <c r="F26464" s="8" t="inlineStr">
        <is>
          <t>STANDBY</t>
        </is>
      </c>
      <c r="G26464" s="8" t="n">
        <v>40</v>
      </c>
      <c r="H26464" s="8" t="inlineStr">
        <is>
          <t>OPERATING</t>
        </is>
      </c>
    </row>
    <row r="26465">
      <c r="A26465" s="8" t="inlineStr">
        <is>
          <t>2026-08-05</t>
        </is>
      </c>
      <c r="B26465" s="8" t="n">
        <v>19</v>
      </c>
      <c r="C26465" s="8" t="n">
        <v>15</v>
      </c>
      <c r="D26465" s="8" t="inlineStr">
        <is>
          <t>Disney Adventure World</t>
        </is>
      </c>
      <c r="E26465" s="8" t="inlineStr">
        <is>
          <t>Les Tapis Volants - Flying Carpets Over Agrabah®</t>
        </is>
      </c>
      <c r="F26465" s="8" t="inlineStr">
        <is>
          <t>STANDBY</t>
        </is>
      </c>
      <c r="G26465" s="8" t="n">
        <v>20</v>
      </c>
      <c r="H26465" s="8" t="inlineStr">
        <is>
          <t>OPERATING</t>
        </is>
      </c>
    </row>
    <row r="26466">
      <c r="A26466" s="8" t="inlineStr">
        <is>
          <t>2026-08-05</t>
        </is>
      </c>
      <c r="B26466" s="8" t="n">
        <v>19</v>
      </c>
      <c r="C26466" s="8" t="n">
        <v>15</v>
      </c>
      <c r="D26466" s="8" t="inlineStr">
        <is>
          <t>Disney Adventure World</t>
        </is>
      </c>
      <c r="E26466" s="8" t="inlineStr">
        <is>
          <t>Ratatouille : L’Aventure Totalement Toquée de Rémy​</t>
        </is>
      </c>
      <c r="F26466" s="8" t="inlineStr">
        <is>
          <t>STANDBY</t>
        </is>
      </c>
      <c r="G26466" s="8" t="n">
        <v>50</v>
      </c>
      <c r="H26466" s="8" t="inlineStr">
        <is>
          <t>OPERATING</t>
        </is>
      </c>
    </row>
    <row r="26467">
      <c r="A26467" s="8" t="inlineStr">
        <is>
          <t>2026-08-05</t>
        </is>
      </c>
      <c r="B26467" s="8" t="n">
        <v>19</v>
      </c>
      <c r="C26467" s="8" t="n">
        <v>15</v>
      </c>
      <c r="D26467" s="8" t="inlineStr">
        <is>
          <t>Disney Adventure World</t>
        </is>
      </c>
      <c r="E26467" s="8" t="inlineStr">
        <is>
          <t>Ratatouille: The Adventure Single Rider</t>
        </is>
      </c>
      <c r="F26467" s="8" t="inlineStr">
        <is>
          <t>STANDBY</t>
        </is>
      </c>
      <c r="G26467" s="8" t="n">
        <v>20</v>
      </c>
      <c r="H26467" s="8" t="inlineStr">
        <is>
          <t>OPERATING</t>
        </is>
      </c>
    </row>
    <row r="26468">
      <c r="A26468" s="8" t="inlineStr">
        <is>
          <t>2026-08-05</t>
        </is>
      </c>
      <c r="B26468" s="8" t="n">
        <v>19</v>
      </c>
      <c r="C26468" s="8" t="n">
        <v>15</v>
      </c>
      <c r="D26468" s="8" t="inlineStr">
        <is>
          <t>Disney Adventure World</t>
        </is>
      </c>
      <c r="E26468" s="8" t="inlineStr">
        <is>
          <t>RC Racer</t>
        </is>
      </c>
      <c r="F26468" s="8" t="inlineStr">
        <is>
          <t>STANDBY</t>
        </is>
      </c>
      <c r="G26468" s="8" t="n">
        <v>50</v>
      </c>
      <c r="H26468" s="8" t="inlineStr">
        <is>
          <t>OPERATING</t>
        </is>
      </c>
    </row>
    <row r="26469">
      <c r="A26469" s="8" t="inlineStr">
        <is>
          <t>2026-08-05</t>
        </is>
      </c>
      <c r="B26469" s="8" t="n">
        <v>19</v>
      </c>
      <c r="C26469" s="8" t="n">
        <v>15</v>
      </c>
      <c r="D26469" s="8" t="inlineStr">
        <is>
          <t>Disney Adventure World</t>
        </is>
      </c>
      <c r="E26469" s="8" t="inlineStr">
        <is>
          <t>RC Racer Single Rider</t>
        </is>
      </c>
      <c r="F26469" s="8" t="inlineStr">
        <is>
          <t>STANDBY</t>
        </is>
      </c>
      <c r="G26469" s="8" t="n">
        <v>45</v>
      </c>
      <c r="H26469" s="8" t="inlineStr">
        <is>
          <t>OPERATING</t>
        </is>
      </c>
    </row>
    <row r="26470">
      <c r="A26470" s="8" t="inlineStr">
        <is>
          <t>2026-08-05</t>
        </is>
      </c>
      <c r="B26470" s="8" t="n">
        <v>19</v>
      </c>
      <c r="C26470" s="8" t="n">
        <v>15</v>
      </c>
      <c r="D26470" s="8" t="inlineStr">
        <is>
          <t>Disney Adventure World</t>
        </is>
      </c>
      <c r="E26470" s="8" t="inlineStr">
        <is>
          <t>Slinky® Dog Zigzag Spin</t>
        </is>
      </c>
      <c r="F26470" s="8" t="inlineStr">
        <is>
          <t>STANDBY</t>
        </is>
      </c>
      <c r="G26470" s="8" t="n">
        <v>10</v>
      </c>
      <c r="H26470" s="8" t="inlineStr">
        <is>
          <t>OPERATING</t>
        </is>
      </c>
    </row>
    <row r="26471">
      <c r="A26471" s="8" t="inlineStr">
        <is>
          <t>2026-08-05</t>
        </is>
      </c>
      <c r="B26471" s="8" t="n">
        <v>19</v>
      </c>
      <c r="C26471" s="8" t="n">
        <v>15</v>
      </c>
      <c r="D26471" s="8" t="inlineStr">
        <is>
          <t>Disney Adventure World</t>
        </is>
      </c>
      <c r="E26471" s="8" t="inlineStr">
        <is>
          <t>Toy Soldiers Parachute Drop</t>
        </is>
      </c>
      <c r="F26471" s="8" t="inlineStr">
        <is>
          <t>STANDBY</t>
        </is>
      </c>
      <c r="G26471" s="8" t="n">
        <v>55</v>
      </c>
      <c r="H26471" s="8" t="inlineStr">
        <is>
          <t>OPERATING</t>
        </is>
      </c>
    </row>
    <row r="26472">
      <c r="A26472" s="8" t="inlineStr">
        <is>
          <t>2026-08-05</t>
        </is>
      </c>
      <c r="B26472" s="8" t="n">
        <v>19</v>
      </c>
      <c r="C26472" s="8" t="n">
        <v>15</v>
      </c>
      <c r="D26472" s="8" t="inlineStr">
        <is>
          <t>Disney Adventure World</t>
        </is>
      </c>
      <c r="E26472" s="8" t="inlineStr">
        <is>
          <t>Toy Soldiers Parachute Drop Single Rider</t>
        </is>
      </c>
      <c r="F26472" s="8" t="inlineStr">
        <is>
          <t>STANDBY</t>
        </is>
      </c>
      <c r="G26472" s="8" t="n">
        <v>25</v>
      </c>
      <c r="H26472" s="8" t="inlineStr">
        <is>
          <t>OPERATING</t>
        </is>
      </c>
    </row>
    <row r="26473">
      <c r="A26473" s="8" t="inlineStr">
        <is>
          <t>2026-08-05</t>
        </is>
      </c>
      <c r="B26473" s="8" t="n">
        <v>19</v>
      </c>
      <c r="C26473" s="8" t="n">
        <v>15</v>
      </c>
      <c r="D26473" s="8" t="inlineStr">
        <is>
          <t>Disney Adventure World</t>
        </is>
      </c>
      <c r="E26473" s="8" t="inlineStr">
        <is>
          <t>Entry to World of Frozen</t>
        </is>
      </c>
      <c r="F26473" s="8" t="inlineStr">
        <is>
          <t>STANDBY</t>
        </is>
      </c>
      <c r="G26473" s="8" t="n">
        <v>0</v>
      </c>
      <c r="H26473" s="8" t="inlineStr">
        <is>
          <t>OPERATING</t>
        </is>
      </c>
    </row>
    <row r="26474">
      <c r="A26474" s="8" t="inlineStr">
        <is>
          <t>2026-08-05</t>
        </is>
      </c>
      <c r="B26474" s="8" t="n">
        <v>19</v>
      </c>
      <c r="C26474" s="8" t="n">
        <v>15</v>
      </c>
      <c r="D26474" s="8" t="inlineStr">
        <is>
          <t>Disney Adventure World</t>
        </is>
      </c>
      <c r="E26474" s="8" t="inlineStr">
        <is>
          <t>Frozen Ever After</t>
        </is>
      </c>
      <c r="F26474" s="8" t="inlineStr">
        <is>
          <t>STANDBY</t>
        </is>
      </c>
      <c r="G26474" s="8" t="n">
        <v>65</v>
      </c>
      <c r="H26474" s="8" t="inlineStr">
        <is>
          <t>OPERATING</t>
        </is>
      </c>
    </row>
    <row r="26475">
      <c r="A26475" s="8" t="inlineStr">
        <is>
          <t>2026-08-05</t>
        </is>
      </c>
      <c r="B26475" s="8" t="n">
        <v>19</v>
      </c>
      <c r="C26475" s="8" t="n">
        <v>15</v>
      </c>
      <c r="D26475" s="8" t="inlineStr">
        <is>
          <t>Disney Adventure World</t>
        </is>
      </c>
      <c r="E26475" s="8" t="inlineStr">
        <is>
          <t>Raiponce Tangled Spin</t>
        </is>
      </c>
      <c r="F26475" s="8" t="inlineStr">
        <is>
          <t>STANDBY</t>
        </is>
      </c>
      <c r="G26475" s="8" t="n">
        <v>5</v>
      </c>
      <c r="H26475" s="8" t="inlineStr">
        <is>
          <t>OPERATING</t>
        </is>
      </c>
    </row>
    <row r="26476">
      <c r="A26476" s="8" t="inlineStr">
        <is>
          <t>2026-08-05</t>
        </is>
      </c>
      <c r="B26476" s="8" t="n">
        <v>19</v>
      </c>
      <c r="C26476" s="8" t="n">
        <v>31</v>
      </c>
      <c r="D26476" s="8" t="inlineStr">
        <is>
          <t>Disneyland Park</t>
        </is>
      </c>
      <c r="E26476" s="8" t="inlineStr">
        <is>
          <t>Adventure Isle</t>
        </is>
      </c>
      <c r="F26476" s="8" t="inlineStr">
        <is>
          <t>STANDBY</t>
        </is>
      </c>
      <c r="G26476" s="8" t="n">
        <v>0</v>
      </c>
      <c r="H26476" s="8" t="inlineStr">
        <is>
          <t>OPERATING</t>
        </is>
      </c>
    </row>
    <row r="26477">
      <c r="A26477" s="8" t="inlineStr">
        <is>
          <t>2026-08-05</t>
        </is>
      </c>
      <c r="B26477" s="8" t="n">
        <v>19</v>
      </c>
      <c r="C26477" s="8" t="n">
        <v>31</v>
      </c>
      <c r="D26477" s="8" t="inlineStr">
        <is>
          <t>Disneyland Park</t>
        </is>
      </c>
      <c r="E26477" s="8" t="inlineStr">
        <is>
          <t>Indiana Jones and the Temple of Peril Single Rider</t>
        </is>
      </c>
      <c r="F26477" s="8" t="inlineStr">
        <is>
          <t>STANDBY</t>
        </is>
      </c>
      <c r="G26477" s="8" t="n">
        <v>5</v>
      </c>
      <c r="H26477" s="8" t="inlineStr">
        <is>
          <t>OPERATING</t>
        </is>
      </c>
    </row>
    <row r="26478">
      <c r="A26478" s="8" t="inlineStr">
        <is>
          <t>2026-08-05</t>
        </is>
      </c>
      <c r="B26478" s="8" t="n">
        <v>19</v>
      </c>
      <c r="C26478" s="8" t="n">
        <v>31</v>
      </c>
      <c r="D26478" s="8" t="inlineStr">
        <is>
          <t>Disneyland Park</t>
        </is>
      </c>
      <c r="E26478" s="8" t="inlineStr">
        <is>
          <t>Indiana Jones™ and the Temple of Peril</t>
        </is>
      </c>
      <c r="F26478" s="8" t="inlineStr">
        <is>
          <t>STANDBY</t>
        </is>
      </c>
      <c r="G26478" s="8" t="n">
        <v>10</v>
      </c>
      <c r="H26478" s="8" t="inlineStr">
        <is>
          <t>OPERATING</t>
        </is>
      </c>
    </row>
    <row r="26479">
      <c r="A26479" s="8" t="inlineStr">
        <is>
          <t>2026-08-05</t>
        </is>
      </c>
      <c r="B26479" s="8" t="n">
        <v>19</v>
      </c>
      <c r="C26479" s="8" t="n">
        <v>31</v>
      </c>
      <c r="D26479" s="8" t="inlineStr">
        <is>
          <t>Disneyland Park</t>
        </is>
      </c>
      <c r="E26479" s="8" t="inlineStr">
        <is>
          <t>La Cabane des Robinson</t>
        </is>
      </c>
      <c r="F26479" s="8" t="inlineStr">
        <is>
          <t>STANDBY</t>
        </is>
      </c>
      <c r="G26479" s="8" t="n">
        <v>5</v>
      </c>
      <c r="H26479" s="8" t="inlineStr">
        <is>
          <t>OPERATING</t>
        </is>
      </c>
    </row>
    <row r="26480">
      <c r="A26480" s="8" t="inlineStr">
        <is>
          <t>2026-08-05</t>
        </is>
      </c>
      <c r="B26480" s="8" t="n">
        <v>19</v>
      </c>
      <c r="C26480" s="8" t="n">
        <v>31</v>
      </c>
      <c r="D26480" s="8" t="inlineStr">
        <is>
          <t>Disneyland Park</t>
        </is>
      </c>
      <c r="E26480" s="8" t="inlineStr">
        <is>
          <t>Le Passage Enchanté d'Aladdin</t>
        </is>
      </c>
      <c r="F26480" s="8" t="inlineStr">
        <is>
          <t>STANDBY</t>
        </is>
      </c>
      <c r="G26480" s="8" t="n">
        <v>0</v>
      </c>
      <c r="H26480" s="8" t="inlineStr">
        <is>
          <t>OPERATING</t>
        </is>
      </c>
    </row>
    <row r="26481">
      <c r="A26481" s="8" t="inlineStr">
        <is>
          <t>2026-08-05</t>
        </is>
      </c>
      <c r="B26481" s="8" t="n">
        <v>19</v>
      </c>
      <c r="C26481" s="8" t="n">
        <v>31</v>
      </c>
      <c r="D26481" s="8" t="inlineStr">
        <is>
          <t>Disneyland Park</t>
        </is>
      </c>
      <c r="E26481" s="8" t="inlineStr">
        <is>
          <t>Pirate Galleon</t>
        </is>
      </c>
      <c r="F26481" s="8" t="inlineStr">
        <is>
          <t>STANDBY</t>
        </is>
      </c>
      <c r="G26481" s="8" t="n">
        <v>0</v>
      </c>
      <c r="H26481" s="8" t="inlineStr">
        <is>
          <t>CLOSED</t>
        </is>
      </c>
    </row>
    <row r="26482">
      <c r="A26482" s="8" t="inlineStr">
        <is>
          <t>2026-08-05</t>
        </is>
      </c>
      <c r="B26482" s="8" t="n">
        <v>19</v>
      </c>
      <c r="C26482" s="8" t="n">
        <v>31</v>
      </c>
      <c r="D26482" s="8" t="inlineStr">
        <is>
          <t>Disneyland Park</t>
        </is>
      </c>
      <c r="E26482" s="8" t="inlineStr">
        <is>
          <t>Pirates of the Caribbean</t>
        </is>
      </c>
      <c r="F26482" s="8" t="inlineStr">
        <is>
          <t>STANDBY</t>
        </is>
      </c>
      <c r="G26482" s="8" t="n">
        <v>5</v>
      </c>
      <c r="H26482" s="8" t="inlineStr">
        <is>
          <t>OPERATING</t>
        </is>
      </c>
    </row>
    <row r="26483">
      <c r="A26483" s="8" t="inlineStr">
        <is>
          <t>2026-08-05</t>
        </is>
      </c>
      <c r="B26483" s="8" t="n">
        <v>19</v>
      </c>
      <c r="C26483" s="8" t="n">
        <v>31</v>
      </c>
      <c r="D26483" s="8" t="inlineStr">
        <is>
          <t>Disneyland Park</t>
        </is>
      </c>
      <c r="E26483" s="8" t="inlineStr">
        <is>
          <t>Pirates' Beach</t>
        </is>
      </c>
      <c r="F26483" s="8" t="inlineStr">
        <is>
          <t>STANDBY</t>
        </is>
      </c>
      <c r="G26483" s="8" t="n">
        <v>0</v>
      </c>
      <c r="H26483" s="8" t="inlineStr">
        <is>
          <t>OPERATING</t>
        </is>
      </c>
    </row>
    <row r="26484">
      <c r="A26484" s="8" t="inlineStr">
        <is>
          <t>2026-08-05</t>
        </is>
      </c>
      <c r="B26484" s="8" t="n">
        <v>19</v>
      </c>
      <c r="C26484" s="8" t="n">
        <v>31</v>
      </c>
      <c r="D26484" s="8" t="inlineStr">
        <is>
          <t>Disneyland Park</t>
        </is>
      </c>
      <c r="E26484" s="8" t="inlineStr">
        <is>
          <t>Autopia, presented by Avis</t>
        </is>
      </c>
      <c r="F26484" s="8" t="inlineStr">
        <is>
          <t>STANDBY</t>
        </is>
      </c>
      <c r="G26484" s="8" t="n">
        <v>35</v>
      </c>
      <c r="H26484" s="8" t="inlineStr">
        <is>
          <t>OPERATING</t>
        </is>
      </c>
    </row>
    <row r="26485">
      <c r="A26485" s="8" t="inlineStr">
        <is>
          <t>2026-08-05</t>
        </is>
      </c>
      <c r="B26485" s="8" t="n">
        <v>19</v>
      </c>
      <c r="C26485" s="8" t="n">
        <v>31</v>
      </c>
      <c r="D26485" s="8" t="inlineStr">
        <is>
          <t>Disneyland Park</t>
        </is>
      </c>
      <c r="E26485" s="8" t="inlineStr">
        <is>
          <t>Buzz Lightyear Laser Blast</t>
        </is>
      </c>
      <c r="F26485" s="8" t="inlineStr">
        <is>
          <t>STANDBY</t>
        </is>
      </c>
      <c r="G26485" s="8" t="n">
        <v>35</v>
      </c>
      <c r="H26485" s="8" t="inlineStr">
        <is>
          <t>OPERATING</t>
        </is>
      </c>
    </row>
    <row r="26486">
      <c r="A26486" s="8" t="inlineStr">
        <is>
          <t>2026-08-05</t>
        </is>
      </c>
      <c r="B26486" s="8" t="n">
        <v>19</v>
      </c>
      <c r="C26486" s="8" t="n">
        <v>31</v>
      </c>
      <c r="D26486" s="8" t="inlineStr">
        <is>
          <t>Disneyland Park</t>
        </is>
      </c>
      <c r="E26486" s="8" t="inlineStr">
        <is>
          <t>Disneyland Railroad Discoveryland Station</t>
        </is>
      </c>
      <c r="F26486" s="8" t="inlineStr">
        <is>
          <t>STANDBY</t>
        </is>
      </c>
      <c r="G26486" s="8" t="n">
        <v>0</v>
      </c>
      <c r="H26486" s="8" t="inlineStr">
        <is>
          <t>CLOSED</t>
        </is>
      </c>
    </row>
    <row r="26487">
      <c r="A26487" s="8" t="inlineStr">
        <is>
          <t>2026-08-05</t>
        </is>
      </c>
      <c r="B26487" s="8" t="n">
        <v>19</v>
      </c>
      <c r="C26487" s="8" t="n">
        <v>31</v>
      </c>
      <c r="D26487" s="8" t="inlineStr">
        <is>
          <t>Disneyland Park</t>
        </is>
      </c>
      <c r="E26487" s="8" t="inlineStr">
        <is>
          <t>Les Mystères du Nautilus</t>
        </is>
      </c>
      <c r="F26487" s="8" t="inlineStr">
        <is>
          <t>STANDBY</t>
        </is>
      </c>
      <c r="G26487" s="8" t="n">
        <v>5</v>
      </c>
      <c r="H26487" s="8" t="inlineStr">
        <is>
          <t>OPERATING</t>
        </is>
      </c>
    </row>
    <row r="26488">
      <c r="A26488" s="8" t="inlineStr">
        <is>
          <t>2026-08-05</t>
        </is>
      </c>
      <c r="B26488" s="8" t="n">
        <v>19</v>
      </c>
      <c r="C26488" s="8" t="n">
        <v>31</v>
      </c>
      <c r="D26488" s="8" t="inlineStr">
        <is>
          <t>Disneyland Park</t>
        </is>
      </c>
      <c r="E26488" s="8" t="inlineStr">
        <is>
          <t>Mickey’s PhilharMagic</t>
        </is>
      </c>
      <c r="F26488" s="8" t="inlineStr">
        <is>
          <t>STANDBY</t>
        </is>
      </c>
      <c r="G26488" s="8" t="n">
        <v>0</v>
      </c>
      <c r="H26488" s="8" t="inlineStr">
        <is>
          <t>CLOSED</t>
        </is>
      </c>
    </row>
    <row r="26489">
      <c r="A26489" s="8" t="inlineStr">
        <is>
          <t>2026-08-05</t>
        </is>
      </c>
      <c r="B26489" s="8" t="n">
        <v>19</v>
      </c>
      <c r="C26489" s="8" t="n">
        <v>31</v>
      </c>
      <c r="D26489" s="8" t="inlineStr">
        <is>
          <t>Disneyland Park</t>
        </is>
      </c>
      <c r="E26489" s="8" t="inlineStr">
        <is>
          <t>Orbitron®</t>
        </is>
      </c>
      <c r="F26489" s="8" t="inlineStr">
        <is>
          <t>STANDBY</t>
        </is>
      </c>
      <c r="G26489" s="8" t="n">
        <v>45</v>
      </c>
      <c r="H26489" s="8" t="inlineStr">
        <is>
          <t>OPERATING</t>
        </is>
      </c>
    </row>
    <row r="26490">
      <c r="A26490" s="8" t="inlineStr">
        <is>
          <t>2026-08-05</t>
        </is>
      </c>
      <c r="B26490" s="8" t="n">
        <v>19</v>
      </c>
      <c r="C26490" s="8" t="n">
        <v>31</v>
      </c>
      <c r="D26490" s="8" t="inlineStr">
        <is>
          <t>Disneyland Park</t>
        </is>
      </c>
      <c r="E26490" s="8" t="inlineStr">
        <is>
          <t>Star Tours: The Adventures Continue*</t>
        </is>
      </c>
      <c r="F26490" s="8" t="inlineStr">
        <is>
          <t>STANDBY</t>
        </is>
      </c>
      <c r="G26490" s="8" t="n">
        <v>5</v>
      </c>
      <c r="H26490" s="8" t="inlineStr">
        <is>
          <t>OPERATING</t>
        </is>
      </c>
    </row>
    <row r="26491">
      <c r="A26491" s="8" t="inlineStr">
        <is>
          <t>2026-08-05</t>
        </is>
      </c>
      <c r="B26491" s="8" t="n">
        <v>19</v>
      </c>
      <c r="C26491" s="8" t="n">
        <v>31</v>
      </c>
      <c r="D26491" s="8" t="inlineStr">
        <is>
          <t>Disneyland Park</t>
        </is>
      </c>
      <c r="E26491" s="8" t="inlineStr">
        <is>
          <t>Star Wars Hyperspace Mountain</t>
        </is>
      </c>
      <c r="F26491" s="8" t="inlineStr">
        <is>
          <t>STANDBY</t>
        </is>
      </c>
      <c r="G26491" s="8" t="n">
        <v>30</v>
      </c>
      <c r="H26491" s="8" t="inlineStr">
        <is>
          <t>OPERATING</t>
        </is>
      </c>
    </row>
    <row r="26492">
      <c r="A26492" s="8" t="inlineStr">
        <is>
          <t>2026-08-05</t>
        </is>
      </c>
      <c r="B26492" s="8" t="n">
        <v>19</v>
      </c>
      <c r="C26492" s="8" t="n">
        <v>31</v>
      </c>
      <c r="D26492" s="8" t="inlineStr">
        <is>
          <t>Disneyland Park</t>
        </is>
      </c>
      <c r="E26492" s="8" t="inlineStr">
        <is>
          <t>Star Wars Hyperspace Mountain Single Rider</t>
        </is>
      </c>
      <c r="F26492" s="8" t="inlineStr">
        <is>
          <t>STANDBY</t>
        </is>
      </c>
      <c r="G26492" s="8" t="n">
        <v>0</v>
      </c>
      <c r="H26492" s="8" t="inlineStr">
        <is>
          <t>OPERATING</t>
        </is>
      </c>
    </row>
    <row r="26493">
      <c r="A26493" s="8" t="inlineStr">
        <is>
          <t>2026-08-05</t>
        </is>
      </c>
      <c r="B26493" s="8" t="n">
        <v>19</v>
      </c>
      <c r="C26493" s="8" t="n">
        <v>31</v>
      </c>
      <c r="D26493" s="8" t="inlineStr">
        <is>
          <t>Disneyland Park</t>
        </is>
      </c>
      <c r="E26493" s="8" t="inlineStr">
        <is>
          <t>Welcome to Starport: A Star Wars Encounter</t>
        </is>
      </c>
      <c r="F26493" s="8" t="inlineStr">
        <is>
          <t>STANDBY</t>
        </is>
      </c>
      <c r="G26493" s="8" t="n">
        <v>0</v>
      </c>
      <c r="H26493" s="8" t="inlineStr">
        <is>
          <t>CLOSED</t>
        </is>
      </c>
    </row>
    <row r="26494">
      <c r="A26494" s="8" t="inlineStr">
        <is>
          <t>2026-08-05</t>
        </is>
      </c>
      <c r="B26494" s="8" t="n">
        <v>19</v>
      </c>
      <c r="C26494" s="8" t="n">
        <v>31</v>
      </c>
      <c r="D26494" s="8" t="inlineStr">
        <is>
          <t>Disneyland Park</t>
        </is>
      </c>
      <c r="E26494" s="8" t="inlineStr">
        <is>
          <t>"it's a small world"</t>
        </is>
      </c>
      <c r="F26494" s="8" t="inlineStr">
        <is>
          <t>STANDBY</t>
        </is>
      </c>
      <c r="G26494" s="8" t="n">
        <v>5</v>
      </c>
      <c r="H26494" s="8" t="inlineStr">
        <is>
          <t>OPERATING</t>
        </is>
      </c>
    </row>
    <row r="26495">
      <c r="A26495" s="8" t="inlineStr">
        <is>
          <t>2026-08-05</t>
        </is>
      </c>
      <c r="B26495" s="8" t="n">
        <v>19</v>
      </c>
      <c r="C26495" s="8" t="n">
        <v>31</v>
      </c>
      <c r="D26495" s="8" t="inlineStr">
        <is>
          <t>Disneyland Park</t>
        </is>
      </c>
      <c r="E26495" s="8" t="inlineStr">
        <is>
          <t>Alice's Curious Labyrinth</t>
        </is>
      </c>
      <c r="F26495" s="8" t="inlineStr">
        <is>
          <t>STANDBY</t>
        </is>
      </c>
      <c r="G26495" s="8" t="n">
        <v>5</v>
      </c>
      <c r="H26495" s="8" t="inlineStr">
        <is>
          <t>OPERATING</t>
        </is>
      </c>
    </row>
    <row r="26496">
      <c r="A26496" s="8" t="inlineStr">
        <is>
          <t>2026-08-05</t>
        </is>
      </c>
      <c r="B26496" s="8" t="n">
        <v>19</v>
      </c>
      <c r="C26496" s="8" t="n">
        <v>31</v>
      </c>
      <c r="D26496" s="8" t="inlineStr">
        <is>
          <t>Disneyland Park</t>
        </is>
      </c>
      <c r="E26496" s="8" t="inlineStr">
        <is>
          <t>Blanche-Neige et les Sept Nains®</t>
        </is>
      </c>
      <c r="F26496" s="8" t="inlineStr">
        <is>
          <t>STANDBY</t>
        </is>
      </c>
      <c r="G26496" s="8" t="n">
        <v>30</v>
      </c>
      <c r="H26496" s="8" t="inlineStr">
        <is>
          <t>OPERATING</t>
        </is>
      </c>
    </row>
    <row r="26497">
      <c r="A26497" s="8" t="inlineStr">
        <is>
          <t>2026-08-05</t>
        </is>
      </c>
      <c r="B26497" s="8" t="n">
        <v>19</v>
      </c>
      <c r="C26497" s="8" t="n">
        <v>31</v>
      </c>
      <c r="D26497" s="8" t="inlineStr">
        <is>
          <t>Disneyland Park</t>
        </is>
      </c>
      <c r="E26497" s="8" t="inlineStr">
        <is>
          <t>Casey Jr. – le Petit Train du Cirque</t>
        </is>
      </c>
      <c r="F26497" s="8" t="inlineStr">
        <is>
          <t>STANDBY</t>
        </is>
      </c>
      <c r="G26497" s="8" t="n">
        <v>20</v>
      </c>
      <c r="H26497" s="8" t="inlineStr">
        <is>
          <t>OPERATING</t>
        </is>
      </c>
    </row>
    <row r="26498">
      <c r="A26498" s="8" t="inlineStr">
        <is>
          <t>2026-08-05</t>
        </is>
      </c>
      <c r="B26498" s="8" t="n">
        <v>19</v>
      </c>
      <c r="C26498" s="8" t="n">
        <v>31</v>
      </c>
      <c r="D26498" s="8" t="inlineStr">
        <is>
          <t>Disneyland Park</t>
        </is>
      </c>
      <c r="E26498" s="8" t="inlineStr">
        <is>
          <t>Disneyland Railroad Fantasyland Station</t>
        </is>
      </c>
      <c r="F26498" s="8" t="inlineStr">
        <is>
          <t>STANDBY</t>
        </is>
      </c>
      <c r="G26498" s="8" t="n">
        <v>0</v>
      </c>
      <c r="H26498" s="8" t="inlineStr">
        <is>
          <t>CLOSED</t>
        </is>
      </c>
    </row>
    <row r="26499">
      <c r="A26499" s="8" t="inlineStr">
        <is>
          <t>2026-08-05</t>
        </is>
      </c>
      <c r="B26499" s="8" t="n">
        <v>19</v>
      </c>
      <c r="C26499" s="8" t="n">
        <v>31</v>
      </c>
      <c r="D26499" s="8" t="inlineStr">
        <is>
          <t>Disneyland Park</t>
        </is>
      </c>
      <c r="E26499" s="8" t="inlineStr">
        <is>
          <t>Disneyland Railroad Main Street Station</t>
        </is>
      </c>
      <c r="F26499" s="8" t="inlineStr">
        <is>
          <t>STANDBY</t>
        </is>
      </c>
      <c r="G26499" s="8" t="n">
        <v>20</v>
      </c>
      <c r="H26499" s="8" t="inlineStr">
        <is>
          <t>OPERATING</t>
        </is>
      </c>
    </row>
    <row r="26500">
      <c r="A26500" s="8" t="inlineStr">
        <is>
          <t>2026-08-05</t>
        </is>
      </c>
      <c r="B26500" s="8" t="n">
        <v>19</v>
      </c>
      <c r="C26500" s="8" t="n">
        <v>31</v>
      </c>
      <c r="D26500" s="8" t="inlineStr">
        <is>
          <t>Disneyland Park</t>
        </is>
      </c>
      <c r="E26500" s="8" t="inlineStr">
        <is>
          <t>Dumbo the Flying Elephant</t>
        </is>
      </c>
      <c r="F26500" s="8" t="inlineStr">
        <is>
          <t>STANDBY</t>
        </is>
      </c>
      <c r="G26500" s="8" t="n">
        <v>35</v>
      </c>
      <c r="H26500" s="8" t="inlineStr">
        <is>
          <t>OPERATING</t>
        </is>
      </c>
    </row>
    <row r="26501">
      <c r="A26501" s="8" t="inlineStr">
        <is>
          <t>2026-08-05</t>
        </is>
      </c>
      <c r="B26501" s="8" t="n">
        <v>19</v>
      </c>
      <c r="C26501" s="8" t="n">
        <v>31</v>
      </c>
      <c r="D26501" s="8" t="inlineStr">
        <is>
          <t>Disneyland Park</t>
        </is>
      </c>
      <c r="E26501" s="8" t="inlineStr">
        <is>
          <t>La Tanière du Dragon</t>
        </is>
      </c>
      <c r="F26501" s="8" t="inlineStr">
        <is>
          <t>STANDBY</t>
        </is>
      </c>
      <c r="G26501" s="8" t="n">
        <v>0</v>
      </c>
      <c r="H26501" s="8" t="inlineStr">
        <is>
          <t>OPERATING</t>
        </is>
      </c>
    </row>
    <row r="26502">
      <c r="A26502" s="8" t="inlineStr">
        <is>
          <t>2026-08-05</t>
        </is>
      </c>
      <c r="B26502" s="8" t="n">
        <v>19</v>
      </c>
      <c r="C26502" s="8" t="n">
        <v>31</v>
      </c>
      <c r="D26502" s="8" t="inlineStr">
        <is>
          <t>Disneyland Park</t>
        </is>
      </c>
      <c r="E26502" s="8" t="inlineStr">
        <is>
          <t>Le Carrousel de Lancelot</t>
        </is>
      </c>
      <c r="F26502" s="8" t="inlineStr">
        <is>
          <t>STANDBY</t>
        </is>
      </c>
      <c r="G26502" s="8" t="n">
        <v>15</v>
      </c>
      <c r="H26502" s="8" t="inlineStr">
        <is>
          <t>OPERATING</t>
        </is>
      </c>
    </row>
    <row r="26503">
      <c r="A26503" s="8" t="inlineStr">
        <is>
          <t>2026-08-05</t>
        </is>
      </c>
      <c r="B26503" s="8" t="n">
        <v>19</v>
      </c>
      <c r="C26503" s="8" t="n">
        <v>31</v>
      </c>
      <c r="D26503" s="8" t="inlineStr">
        <is>
          <t>Disneyland Park</t>
        </is>
      </c>
      <c r="E26503" s="8" t="inlineStr">
        <is>
          <t>Le Pays des Contes de Fées, presented by Vittel</t>
        </is>
      </c>
      <c r="F26503" s="8" t="inlineStr">
        <is>
          <t>STANDBY</t>
        </is>
      </c>
      <c r="G26503" s="8" t="n">
        <v>5</v>
      </c>
      <c r="H26503" s="8" t="inlineStr">
        <is>
          <t>OPERATING</t>
        </is>
      </c>
    </row>
    <row r="26504">
      <c r="A26504" s="8" t="inlineStr">
        <is>
          <t>2026-08-05</t>
        </is>
      </c>
      <c r="B26504" s="8" t="n">
        <v>19</v>
      </c>
      <c r="C26504" s="8" t="n">
        <v>31</v>
      </c>
      <c r="D26504" s="8" t="inlineStr">
        <is>
          <t>Disneyland Park</t>
        </is>
      </c>
      <c r="E26504" s="8" t="inlineStr">
        <is>
          <t>Les Voyages de Pinocchio</t>
        </is>
      </c>
      <c r="F26504" s="8" t="inlineStr">
        <is>
          <t>STANDBY</t>
        </is>
      </c>
      <c r="G26504" s="8" t="n">
        <v>15</v>
      </c>
      <c r="H26504" s="8" t="inlineStr">
        <is>
          <t>OPERATING</t>
        </is>
      </c>
    </row>
    <row r="26505">
      <c r="A26505" s="8" t="inlineStr">
        <is>
          <t>2026-08-05</t>
        </is>
      </c>
      <c r="B26505" s="8" t="n">
        <v>19</v>
      </c>
      <c r="C26505" s="8" t="n">
        <v>31</v>
      </c>
      <c r="D26505" s="8" t="inlineStr">
        <is>
          <t>Disneyland Park</t>
        </is>
      </c>
      <c r="E26505" s="8" t="inlineStr">
        <is>
          <t>Mad Hatter's Tea Cups</t>
        </is>
      </c>
      <c r="F26505" s="8" t="inlineStr">
        <is>
          <t>STANDBY</t>
        </is>
      </c>
      <c r="G26505" s="8" t="n">
        <v>5</v>
      </c>
      <c r="H26505" s="8" t="inlineStr">
        <is>
          <t>OPERATING</t>
        </is>
      </c>
    </row>
    <row r="26506">
      <c r="A26506" s="8" t="inlineStr">
        <is>
          <t>2026-08-05</t>
        </is>
      </c>
      <c r="B26506" s="8" t="n">
        <v>19</v>
      </c>
      <c r="C26506" s="8" t="n">
        <v>31</v>
      </c>
      <c r="D26506" s="8" t="inlineStr">
        <is>
          <t>Disneyland Park</t>
        </is>
      </c>
      <c r="E26506" s="8" t="inlineStr">
        <is>
          <t>Meet Mickey Mouse</t>
        </is>
      </c>
      <c r="F26506" s="8" t="inlineStr">
        <is>
          <t>STANDBY</t>
        </is>
      </c>
      <c r="G26506" s="8" t="n">
        <v>0</v>
      </c>
      <c r="H26506" s="8" t="inlineStr">
        <is>
          <t>CLOSED</t>
        </is>
      </c>
    </row>
    <row r="26507">
      <c r="A26507" s="8" t="inlineStr">
        <is>
          <t>2026-08-05</t>
        </is>
      </c>
      <c r="B26507" s="8" t="n">
        <v>19</v>
      </c>
      <c r="C26507" s="8" t="n">
        <v>31</v>
      </c>
      <c r="D26507" s="8" t="inlineStr">
        <is>
          <t>Disneyland Park</t>
        </is>
      </c>
      <c r="E26507" s="8" t="inlineStr">
        <is>
          <t>Peter Pan's Flight</t>
        </is>
      </c>
      <c r="F26507" s="8" t="inlineStr">
        <is>
          <t>STANDBY</t>
        </is>
      </c>
      <c r="G26507" s="8" t="n">
        <v>40</v>
      </c>
      <c r="H26507" s="8" t="inlineStr">
        <is>
          <t>OPERATING</t>
        </is>
      </c>
    </row>
    <row r="26508">
      <c r="A26508" s="8" t="inlineStr">
        <is>
          <t>2026-08-05</t>
        </is>
      </c>
      <c r="B26508" s="8" t="n">
        <v>19</v>
      </c>
      <c r="C26508" s="8" t="n">
        <v>31</v>
      </c>
      <c r="D26508" s="8" t="inlineStr">
        <is>
          <t>Disneyland Park</t>
        </is>
      </c>
      <c r="E26508" s="8" t="inlineStr">
        <is>
          <t>Princess Pavilion</t>
        </is>
      </c>
      <c r="F26508" s="8" t="inlineStr">
        <is>
          <t>STANDBY</t>
        </is>
      </c>
      <c r="G26508" s="8" t="n">
        <v>0</v>
      </c>
      <c r="H26508" s="8" t="inlineStr">
        <is>
          <t>CLOSED</t>
        </is>
      </c>
    </row>
    <row r="26509">
      <c r="A26509" s="8" t="inlineStr">
        <is>
          <t>2026-08-05</t>
        </is>
      </c>
      <c r="B26509" s="8" t="n">
        <v>19</v>
      </c>
      <c r="C26509" s="8" t="n">
        <v>31</v>
      </c>
      <c r="D26509" s="8" t="inlineStr">
        <is>
          <t>Disneyland Park</t>
        </is>
      </c>
      <c r="E26509" s="8" t="inlineStr">
        <is>
          <t>Big Thunder Mountain</t>
        </is>
      </c>
      <c r="F26509" s="8" t="inlineStr">
        <is>
          <t>STANDBY</t>
        </is>
      </c>
      <c r="G26509" s="8" t="n">
        <v>50</v>
      </c>
      <c r="H26509" s="8" t="inlineStr">
        <is>
          <t>OPERATING</t>
        </is>
      </c>
    </row>
    <row r="26510">
      <c r="A26510" s="8" t="inlineStr">
        <is>
          <t>2026-08-05</t>
        </is>
      </c>
      <c r="B26510" s="8" t="n">
        <v>19</v>
      </c>
      <c r="C26510" s="8" t="n">
        <v>31</v>
      </c>
      <c r="D26510" s="8" t="inlineStr">
        <is>
          <t>Disneyland Park</t>
        </is>
      </c>
      <c r="E26510" s="8" t="inlineStr">
        <is>
          <t>Disneyland Railroad Frontierland Depot</t>
        </is>
      </c>
      <c r="F26510" s="8" t="inlineStr">
        <is>
          <t>STANDBY</t>
        </is>
      </c>
      <c r="G26510" s="8" t="n">
        <v>10</v>
      </c>
      <c r="H26510" s="8" t="inlineStr">
        <is>
          <t>OPERATING</t>
        </is>
      </c>
    </row>
    <row r="26511">
      <c r="A26511" s="8" t="inlineStr">
        <is>
          <t>2026-08-05</t>
        </is>
      </c>
      <c r="B26511" s="8" t="n">
        <v>19</v>
      </c>
      <c r="C26511" s="8" t="n">
        <v>31</v>
      </c>
      <c r="D26511" s="8" t="inlineStr">
        <is>
          <t>Disneyland Park</t>
        </is>
      </c>
      <c r="E26511" s="8" t="inlineStr">
        <is>
          <t>Frontierland Playground</t>
        </is>
      </c>
      <c r="F26511" s="8" t="inlineStr">
        <is>
          <t>STANDBY</t>
        </is>
      </c>
      <c r="G26511" s="8" t="n">
        <v>0</v>
      </c>
      <c r="H26511" s="8" t="inlineStr">
        <is>
          <t>OPERATING</t>
        </is>
      </c>
    </row>
    <row r="26512">
      <c r="A26512" s="8" t="inlineStr">
        <is>
          <t>2026-08-05</t>
        </is>
      </c>
      <c r="B26512" s="8" t="n">
        <v>19</v>
      </c>
      <c r="C26512" s="8" t="n">
        <v>31</v>
      </c>
      <c r="D26512" s="8" t="inlineStr">
        <is>
          <t>Disneyland Park</t>
        </is>
      </c>
      <c r="E26512" s="8" t="inlineStr">
        <is>
          <t>Phantom Manor</t>
        </is>
      </c>
      <c r="F26512" s="8" t="inlineStr">
        <is>
          <t>STANDBY</t>
        </is>
      </c>
      <c r="G26512" s="8" t="n">
        <v>5</v>
      </c>
      <c r="H26512" s="8" t="inlineStr">
        <is>
          <t>OPERATING</t>
        </is>
      </c>
    </row>
    <row r="26513">
      <c r="A26513" s="8" t="inlineStr">
        <is>
          <t>2026-08-05</t>
        </is>
      </c>
      <c r="B26513" s="8" t="n">
        <v>19</v>
      </c>
      <c r="C26513" s="8" t="n">
        <v>31</v>
      </c>
      <c r="D26513" s="8" t="inlineStr">
        <is>
          <t>Disneyland Park</t>
        </is>
      </c>
      <c r="E26513" s="8" t="inlineStr">
        <is>
          <t>River Rogue Keelboats</t>
        </is>
      </c>
      <c r="F26513" s="8" t="inlineStr">
        <is>
          <t>STANDBY</t>
        </is>
      </c>
      <c r="G26513" s="8" t="n">
        <v>0</v>
      </c>
      <c r="H26513" s="8" t="inlineStr">
        <is>
          <t>CLOSED</t>
        </is>
      </c>
    </row>
    <row r="26514">
      <c r="A26514" s="8" t="inlineStr">
        <is>
          <t>2026-08-05</t>
        </is>
      </c>
      <c r="B26514" s="8" t="n">
        <v>19</v>
      </c>
      <c r="C26514" s="8" t="n">
        <v>31</v>
      </c>
      <c r="D26514" s="8" t="inlineStr">
        <is>
          <t>Disneyland Park</t>
        </is>
      </c>
      <c r="E26514" s="8" t="inlineStr">
        <is>
          <t>Rustler Roundup Shootin' Gallery</t>
        </is>
      </c>
      <c r="F26514" s="8" t="inlineStr">
        <is>
          <t>STANDBY</t>
        </is>
      </c>
      <c r="G26514" s="8" t="n">
        <v>0</v>
      </c>
      <c r="H26514" s="8" t="inlineStr">
        <is>
          <t>OPERATING</t>
        </is>
      </c>
    </row>
    <row r="26515">
      <c r="A26515" s="8" t="inlineStr">
        <is>
          <t>2026-08-05</t>
        </is>
      </c>
      <c r="B26515" s="8" t="n">
        <v>19</v>
      </c>
      <c r="C26515" s="8" t="n">
        <v>31</v>
      </c>
      <c r="D26515" s="8" t="inlineStr">
        <is>
          <t>Disneyland Park</t>
        </is>
      </c>
      <c r="E26515" s="8" t="inlineStr">
        <is>
          <t>Thunder Mesa Riverboat Landing</t>
        </is>
      </c>
      <c r="F26515" s="8" t="inlineStr">
        <is>
          <t>STANDBY</t>
        </is>
      </c>
      <c r="G26515" s="8" t="n">
        <v>0</v>
      </c>
      <c r="H26515" s="8" t="inlineStr">
        <is>
          <t>CLOSED</t>
        </is>
      </c>
    </row>
    <row r="26516">
      <c r="A26516" s="8" t="inlineStr">
        <is>
          <t>2026-08-05</t>
        </is>
      </c>
      <c r="B26516" s="8" t="n">
        <v>19</v>
      </c>
      <c r="C26516" s="8" t="n">
        <v>31</v>
      </c>
      <c r="D26516" s="8" t="inlineStr">
        <is>
          <t>Disneyland Park</t>
        </is>
      </c>
      <c r="E26516" s="8" t="inlineStr">
        <is>
          <t>Disneyland Railroad Main Street Station</t>
        </is>
      </c>
      <c r="F26516" s="8" t="inlineStr">
        <is>
          <t>STANDBY</t>
        </is>
      </c>
      <c r="G26516" s="8" t="n">
        <v>0</v>
      </c>
      <c r="H26516" s="8" t="inlineStr">
        <is>
          <t>OPERATING</t>
        </is>
      </c>
    </row>
    <row r="26517">
      <c r="A26517" s="8" t="inlineStr">
        <is>
          <t>2026-08-05</t>
        </is>
      </c>
      <c r="B26517" s="8" t="n">
        <v>19</v>
      </c>
      <c r="C26517" s="8" t="n">
        <v>31</v>
      </c>
      <c r="D26517" s="8" t="inlineStr">
        <is>
          <t>Disneyland Park</t>
        </is>
      </c>
      <c r="E26517" s="8" t="inlineStr">
        <is>
          <t>Main Street Vehicles</t>
        </is>
      </c>
      <c r="F26517" s="8" t="inlineStr">
        <is>
          <t>STANDBY</t>
        </is>
      </c>
      <c r="G26517" s="8" t="n">
        <v>0</v>
      </c>
      <c r="H26517" s="8" t="inlineStr">
        <is>
          <t>CLOSED</t>
        </is>
      </c>
    </row>
    <row r="26518">
      <c r="A26518" s="8" t="inlineStr">
        <is>
          <t>2026-08-05</t>
        </is>
      </c>
      <c r="B26518" s="8" t="n">
        <v>19</v>
      </c>
      <c r="C26518" s="8" t="n">
        <v>31</v>
      </c>
      <c r="D26518" s="8" t="inlineStr">
        <is>
          <t>Disney Adventure World</t>
        </is>
      </c>
      <c r="E26518" s="8" t="inlineStr">
        <is>
          <t>Avengers Assemble: Flight Force</t>
        </is>
      </c>
      <c r="F26518" s="8" t="inlineStr">
        <is>
          <t>STANDBY</t>
        </is>
      </c>
      <c r="G26518" s="8" t="n">
        <v>20</v>
      </c>
      <c r="H26518" s="8" t="inlineStr">
        <is>
          <t>OPERATING</t>
        </is>
      </c>
    </row>
    <row r="26519">
      <c r="A26519" s="8" t="inlineStr">
        <is>
          <t>2026-08-05</t>
        </is>
      </c>
      <c r="B26519" s="8" t="n">
        <v>19</v>
      </c>
      <c r="C26519" s="8" t="n">
        <v>31</v>
      </c>
      <c r="D26519" s="8" t="inlineStr">
        <is>
          <t>Disney Adventure World</t>
        </is>
      </c>
      <c r="E26519" s="8" t="inlineStr">
        <is>
          <t>Avengers Assemble: Flight Force Single Rider</t>
        </is>
      </c>
      <c r="F26519" s="8" t="inlineStr">
        <is>
          <t>STANDBY</t>
        </is>
      </c>
      <c r="G26519" s="8" t="n">
        <v>15</v>
      </c>
      <c r="H26519" s="8" t="inlineStr">
        <is>
          <t>OPERATING</t>
        </is>
      </c>
    </row>
    <row r="26520">
      <c r="A26520" s="8" t="inlineStr">
        <is>
          <t>2026-08-05</t>
        </is>
      </c>
      <c r="B26520" s="8" t="n">
        <v>19</v>
      </c>
      <c r="C26520" s="8" t="n">
        <v>31</v>
      </c>
      <c r="D26520" s="8" t="inlineStr">
        <is>
          <t>Disney Adventure World</t>
        </is>
      </c>
      <c r="E26520" s="8" t="inlineStr">
        <is>
          <t>Spider-Man W.E.B. Adventure</t>
        </is>
      </c>
      <c r="F26520" s="8" t="inlineStr">
        <is>
          <t>STANDBY</t>
        </is>
      </c>
      <c r="G26520" s="8" t="n">
        <v>50</v>
      </c>
      <c r="H26520" s="8" t="inlineStr">
        <is>
          <t>OPERATING</t>
        </is>
      </c>
    </row>
    <row r="26521">
      <c r="A26521" s="8" t="inlineStr">
        <is>
          <t>2026-08-05</t>
        </is>
      </c>
      <c r="B26521" s="8" t="n">
        <v>19</v>
      </c>
      <c r="C26521" s="8" t="n">
        <v>31</v>
      </c>
      <c r="D26521" s="8" t="inlineStr">
        <is>
          <t>Disney Adventure World</t>
        </is>
      </c>
      <c r="E26521" s="8" t="inlineStr">
        <is>
          <t>Spider-Man W.E.B. Adventure Single Rider</t>
        </is>
      </c>
      <c r="F26521" s="8" t="inlineStr">
        <is>
          <t>STANDBY</t>
        </is>
      </c>
      <c r="G26521" s="8" t="n">
        <v>20</v>
      </c>
      <c r="H26521" s="8" t="inlineStr">
        <is>
          <t>OPERATING</t>
        </is>
      </c>
    </row>
    <row r="26522">
      <c r="A26522" s="8" t="inlineStr">
        <is>
          <t>2026-08-05</t>
        </is>
      </c>
      <c r="B26522" s="8" t="n">
        <v>19</v>
      </c>
      <c r="C26522" s="8" t="n">
        <v>31</v>
      </c>
      <c r="D26522" s="8" t="inlineStr">
        <is>
          <t>Disney Adventure World</t>
        </is>
      </c>
      <c r="E26522" s="8" t="inlineStr">
        <is>
          <t>The Twilight Zone Tower of Terror</t>
        </is>
      </c>
      <c r="F26522" s="8" t="inlineStr">
        <is>
          <t>STANDBY</t>
        </is>
      </c>
      <c r="G26522" s="8" t="n">
        <v>25</v>
      </c>
      <c r="H26522" s="8" t="inlineStr">
        <is>
          <t>OPERATING</t>
        </is>
      </c>
    </row>
    <row r="26523">
      <c r="A26523" s="8" t="inlineStr">
        <is>
          <t>2026-08-05</t>
        </is>
      </c>
      <c r="B26523" s="8" t="n">
        <v>19</v>
      </c>
      <c r="C26523" s="8" t="n">
        <v>31</v>
      </c>
      <c r="D26523" s="8" t="inlineStr">
        <is>
          <t>Disney Adventure World</t>
        </is>
      </c>
      <c r="E26523" s="8" t="inlineStr">
        <is>
          <t>Cars Quatre Roues Rallye</t>
        </is>
      </c>
      <c r="F26523" s="8" t="inlineStr">
        <is>
          <t>STANDBY</t>
        </is>
      </c>
      <c r="G26523" s="8" t="n">
        <v>20</v>
      </c>
      <c r="H26523" s="8" t="inlineStr">
        <is>
          <t>OPERATING</t>
        </is>
      </c>
    </row>
    <row r="26524">
      <c r="A26524" s="8" t="inlineStr">
        <is>
          <t>2026-08-05</t>
        </is>
      </c>
      <c r="B26524" s="8" t="n">
        <v>19</v>
      </c>
      <c r="C26524" s="8" t="n">
        <v>31</v>
      </c>
      <c r="D26524" s="8" t="inlineStr">
        <is>
          <t>Disney Adventure World</t>
        </is>
      </c>
      <c r="E26524" s="8" t="inlineStr">
        <is>
          <t>Cars ROAD TRIP</t>
        </is>
      </c>
      <c r="F26524" s="8" t="inlineStr">
        <is>
          <t>STANDBY</t>
        </is>
      </c>
      <c r="G26524" s="8" t="n">
        <v>30</v>
      </c>
      <c r="H26524" s="8" t="inlineStr">
        <is>
          <t>OPERATING</t>
        </is>
      </c>
    </row>
    <row r="26525">
      <c r="A26525" s="8" t="inlineStr">
        <is>
          <t>2026-08-05</t>
        </is>
      </c>
      <c r="B26525" s="8" t="n">
        <v>19</v>
      </c>
      <c r="C26525" s="8" t="n">
        <v>31</v>
      </c>
      <c r="D26525" s="8" t="inlineStr">
        <is>
          <t>Disney Adventure World</t>
        </is>
      </c>
      <c r="E26525" s="8" t="inlineStr">
        <is>
          <t>Crush's Coaster</t>
        </is>
      </c>
      <c r="F26525" s="8" t="inlineStr">
        <is>
          <t>STANDBY</t>
        </is>
      </c>
      <c r="G26525" s="8" t="n">
        <v>75</v>
      </c>
      <c r="H26525" s="8" t="inlineStr">
        <is>
          <t>OPERATING</t>
        </is>
      </c>
    </row>
    <row r="26526">
      <c r="A26526" s="8" t="inlineStr">
        <is>
          <t>2026-08-05</t>
        </is>
      </c>
      <c r="B26526" s="8" t="n">
        <v>19</v>
      </c>
      <c r="C26526" s="8" t="n">
        <v>31</v>
      </c>
      <c r="D26526" s="8" t="inlineStr">
        <is>
          <t>Disney Adventure World</t>
        </is>
      </c>
      <c r="E26526" s="8" t="inlineStr">
        <is>
          <t>Crush's Coaster Single Rider</t>
        </is>
      </c>
      <c r="F26526" s="8" t="inlineStr">
        <is>
          <t>STANDBY</t>
        </is>
      </c>
      <c r="G26526" s="8" t="n">
        <v>50</v>
      </c>
      <c r="H26526" s="8" t="inlineStr">
        <is>
          <t>OPERATING</t>
        </is>
      </c>
    </row>
    <row r="26527">
      <c r="A26527" s="8" t="inlineStr">
        <is>
          <t>2026-08-05</t>
        </is>
      </c>
      <c r="B26527" s="8" t="n">
        <v>19</v>
      </c>
      <c r="C26527" s="8" t="n">
        <v>31</v>
      </c>
      <c r="D26527" s="8" t="inlineStr">
        <is>
          <t>Disney Adventure World</t>
        </is>
      </c>
      <c r="E26527" s="8" t="inlineStr">
        <is>
          <t>Les Tapis Volants - Flying Carpets Over Agrabah®</t>
        </is>
      </c>
      <c r="F26527" s="8" t="inlineStr">
        <is>
          <t>STANDBY</t>
        </is>
      </c>
      <c r="G26527" s="8" t="n">
        <v>15</v>
      </c>
      <c r="H26527" s="8" t="inlineStr">
        <is>
          <t>OPERATING</t>
        </is>
      </c>
    </row>
    <row r="26528">
      <c r="A26528" s="8" t="inlineStr">
        <is>
          <t>2026-08-05</t>
        </is>
      </c>
      <c r="B26528" s="8" t="n">
        <v>19</v>
      </c>
      <c r="C26528" s="8" t="n">
        <v>31</v>
      </c>
      <c r="D26528" s="8" t="inlineStr">
        <is>
          <t>Disney Adventure World</t>
        </is>
      </c>
      <c r="E26528" s="8" t="inlineStr">
        <is>
          <t>Ratatouille : L’Aventure Totalement Toquée de Rémy​</t>
        </is>
      </c>
      <c r="F26528" s="8" t="inlineStr">
        <is>
          <t>STANDBY</t>
        </is>
      </c>
      <c r="G26528" s="8" t="n">
        <v>45</v>
      </c>
      <c r="H26528" s="8" t="inlineStr">
        <is>
          <t>OPERATING</t>
        </is>
      </c>
    </row>
    <row r="26529">
      <c r="A26529" s="8" t="inlineStr">
        <is>
          <t>2026-08-05</t>
        </is>
      </c>
      <c r="B26529" s="8" t="n">
        <v>19</v>
      </c>
      <c r="C26529" s="8" t="n">
        <v>31</v>
      </c>
      <c r="D26529" s="8" t="inlineStr">
        <is>
          <t>Disney Adventure World</t>
        </is>
      </c>
      <c r="E26529" s="8" t="inlineStr">
        <is>
          <t>Ratatouille: The Adventure Single Rider</t>
        </is>
      </c>
      <c r="F26529" s="8" t="inlineStr">
        <is>
          <t>STANDBY</t>
        </is>
      </c>
      <c r="G26529" s="8" t="n">
        <v>20</v>
      </c>
      <c r="H26529" s="8" t="inlineStr">
        <is>
          <t>OPERATING</t>
        </is>
      </c>
    </row>
    <row r="26530">
      <c r="A26530" s="8" t="inlineStr">
        <is>
          <t>2026-08-05</t>
        </is>
      </c>
      <c r="B26530" s="8" t="n">
        <v>19</v>
      </c>
      <c r="C26530" s="8" t="n">
        <v>31</v>
      </c>
      <c r="D26530" s="8" t="inlineStr">
        <is>
          <t>Disney Adventure World</t>
        </is>
      </c>
      <c r="E26530" s="8" t="inlineStr">
        <is>
          <t>RC Racer</t>
        </is>
      </c>
      <c r="F26530" s="8" t="inlineStr">
        <is>
          <t>STANDBY</t>
        </is>
      </c>
      <c r="G26530" s="8" t="n">
        <v>40</v>
      </c>
      <c r="H26530" s="8" t="inlineStr">
        <is>
          <t>OPERATING</t>
        </is>
      </c>
    </row>
    <row r="26531">
      <c r="A26531" s="8" t="inlineStr">
        <is>
          <t>2026-08-05</t>
        </is>
      </c>
      <c r="B26531" s="8" t="n">
        <v>19</v>
      </c>
      <c r="C26531" s="8" t="n">
        <v>31</v>
      </c>
      <c r="D26531" s="8" t="inlineStr">
        <is>
          <t>Disney Adventure World</t>
        </is>
      </c>
      <c r="E26531" s="8" t="inlineStr">
        <is>
          <t>RC Racer Single Rider</t>
        </is>
      </c>
      <c r="F26531" s="8" t="inlineStr">
        <is>
          <t>STANDBY</t>
        </is>
      </c>
      <c r="G26531" s="8" t="n">
        <v>35</v>
      </c>
      <c r="H26531" s="8" t="inlineStr">
        <is>
          <t>OPERATING</t>
        </is>
      </c>
    </row>
    <row r="26532">
      <c r="A26532" s="8" t="inlineStr">
        <is>
          <t>2026-08-05</t>
        </is>
      </c>
      <c r="B26532" s="8" t="n">
        <v>19</v>
      </c>
      <c r="C26532" s="8" t="n">
        <v>31</v>
      </c>
      <c r="D26532" s="8" t="inlineStr">
        <is>
          <t>Disney Adventure World</t>
        </is>
      </c>
      <c r="E26532" s="8" t="inlineStr">
        <is>
          <t>Slinky® Dog Zigzag Spin</t>
        </is>
      </c>
      <c r="F26532" s="8" t="inlineStr">
        <is>
          <t>STANDBY</t>
        </is>
      </c>
      <c r="G26532" s="8" t="n">
        <v>15</v>
      </c>
      <c r="H26532" s="8" t="inlineStr">
        <is>
          <t>OPERATING</t>
        </is>
      </c>
    </row>
    <row r="26533">
      <c r="A26533" s="8" t="inlineStr">
        <is>
          <t>2026-08-05</t>
        </is>
      </c>
      <c r="B26533" s="8" t="n">
        <v>19</v>
      </c>
      <c r="C26533" s="8" t="n">
        <v>31</v>
      </c>
      <c r="D26533" s="8" t="inlineStr">
        <is>
          <t>Disney Adventure World</t>
        </is>
      </c>
      <c r="E26533" s="8" t="inlineStr">
        <is>
          <t>Toy Soldiers Parachute Drop</t>
        </is>
      </c>
      <c r="F26533" s="8" t="inlineStr">
        <is>
          <t>STANDBY</t>
        </is>
      </c>
      <c r="G26533" s="8" t="n">
        <v>45</v>
      </c>
      <c r="H26533" s="8" t="inlineStr">
        <is>
          <t>OPERATING</t>
        </is>
      </c>
    </row>
    <row r="26534">
      <c r="A26534" s="8" t="inlineStr">
        <is>
          <t>2026-08-05</t>
        </is>
      </c>
      <c r="B26534" s="8" t="n">
        <v>19</v>
      </c>
      <c r="C26534" s="8" t="n">
        <v>31</v>
      </c>
      <c r="D26534" s="8" t="inlineStr">
        <is>
          <t>Disney Adventure World</t>
        </is>
      </c>
      <c r="E26534" s="8" t="inlineStr">
        <is>
          <t>Toy Soldiers Parachute Drop Single Rider</t>
        </is>
      </c>
      <c r="F26534" s="8" t="inlineStr">
        <is>
          <t>STANDBY</t>
        </is>
      </c>
      <c r="G26534" s="8" t="n">
        <v>20</v>
      </c>
      <c r="H26534" s="8" t="inlineStr">
        <is>
          <t>OPERATING</t>
        </is>
      </c>
    </row>
    <row r="26535">
      <c r="A26535" s="8" t="inlineStr">
        <is>
          <t>2026-08-05</t>
        </is>
      </c>
      <c r="B26535" s="8" t="n">
        <v>19</v>
      </c>
      <c r="C26535" s="8" t="n">
        <v>31</v>
      </c>
      <c r="D26535" s="8" t="inlineStr">
        <is>
          <t>Disney Adventure World</t>
        </is>
      </c>
      <c r="E26535" s="8" t="inlineStr">
        <is>
          <t>Entry to World of Frozen</t>
        </is>
      </c>
      <c r="F26535" s="8" t="inlineStr">
        <is>
          <t>STANDBY</t>
        </is>
      </c>
      <c r="G26535" s="8" t="n">
        <v>0</v>
      </c>
      <c r="H26535" s="8" t="inlineStr">
        <is>
          <t>OPERATING</t>
        </is>
      </c>
    </row>
    <row r="26536">
      <c r="A26536" s="8" t="inlineStr">
        <is>
          <t>2026-08-05</t>
        </is>
      </c>
      <c r="B26536" s="8" t="n">
        <v>19</v>
      </c>
      <c r="C26536" s="8" t="n">
        <v>31</v>
      </c>
      <c r="D26536" s="8" t="inlineStr">
        <is>
          <t>Disney Adventure World</t>
        </is>
      </c>
      <c r="E26536" s="8" t="inlineStr">
        <is>
          <t>Frozen Ever After</t>
        </is>
      </c>
      <c r="F26536" s="8" t="inlineStr">
        <is>
          <t>STANDBY</t>
        </is>
      </c>
      <c r="G26536" s="8" t="n">
        <v>50</v>
      </c>
      <c r="H26536" s="8" t="inlineStr">
        <is>
          <t>OPERATING</t>
        </is>
      </c>
    </row>
    <row r="26537">
      <c r="A26537" s="8" t="inlineStr">
        <is>
          <t>2026-08-05</t>
        </is>
      </c>
      <c r="B26537" s="8" t="n">
        <v>19</v>
      </c>
      <c r="C26537" s="8" t="n">
        <v>31</v>
      </c>
      <c r="D26537" s="8" t="inlineStr">
        <is>
          <t>Disney Adventure World</t>
        </is>
      </c>
      <c r="E26537" s="8" t="inlineStr">
        <is>
          <t>Raiponce Tangled Spin</t>
        </is>
      </c>
      <c r="F26537" s="8" t="inlineStr">
        <is>
          <t>STANDBY</t>
        </is>
      </c>
      <c r="G26537" s="8" t="n">
        <v>5</v>
      </c>
      <c r="H26537" s="8" t="inlineStr">
        <is>
          <t>OPERATING</t>
        </is>
      </c>
    </row>
    <row r="26538">
      <c r="A26538" s="8" t="inlineStr">
        <is>
          <t>2026-08-05</t>
        </is>
      </c>
      <c r="B26538" s="8" t="n">
        <v>19</v>
      </c>
      <c r="C26538" s="8" t="n">
        <v>45</v>
      </c>
      <c r="D26538" s="8" t="inlineStr">
        <is>
          <t>Disneyland Park</t>
        </is>
      </c>
      <c r="E26538" s="8" t="inlineStr">
        <is>
          <t>Adventure Isle</t>
        </is>
      </c>
      <c r="F26538" s="8" t="inlineStr">
        <is>
          <t>STANDBY</t>
        </is>
      </c>
      <c r="G26538" s="8" t="n">
        <v>0</v>
      </c>
      <c r="H26538" s="8" t="inlineStr">
        <is>
          <t>OPERATING</t>
        </is>
      </c>
    </row>
    <row r="26539">
      <c r="A26539" s="8" t="inlineStr">
        <is>
          <t>2026-08-05</t>
        </is>
      </c>
      <c r="B26539" s="8" t="n">
        <v>19</v>
      </c>
      <c r="C26539" s="8" t="n">
        <v>45</v>
      </c>
      <c r="D26539" s="8" t="inlineStr">
        <is>
          <t>Disneyland Park</t>
        </is>
      </c>
      <c r="E26539" s="8" t="inlineStr">
        <is>
          <t>Indiana Jones and the Temple of Peril Single Rider</t>
        </is>
      </c>
      <c r="F26539" s="8" t="inlineStr">
        <is>
          <t>STANDBY</t>
        </is>
      </c>
      <c r="G26539" s="8" t="n">
        <v>5</v>
      </c>
      <c r="H26539" s="8" t="inlineStr">
        <is>
          <t>OPERATING</t>
        </is>
      </c>
    </row>
    <row r="26540">
      <c r="A26540" s="8" t="inlineStr">
        <is>
          <t>2026-08-05</t>
        </is>
      </c>
      <c r="B26540" s="8" t="n">
        <v>19</v>
      </c>
      <c r="C26540" s="8" t="n">
        <v>45</v>
      </c>
      <c r="D26540" s="8" t="inlineStr">
        <is>
          <t>Disneyland Park</t>
        </is>
      </c>
      <c r="E26540" s="8" t="inlineStr">
        <is>
          <t>Indiana Jones™ and the Temple of Peril</t>
        </is>
      </c>
      <c r="F26540" s="8" t="inlineStr">
        <is>
          <t>STANDBY</t>
        </is>
      </c>
      <c r="G26540" s="8" t="n">
        <v>15</v>
      </c>
      <c r="H26540" s="8" t="inlineStr">
        <is>
          <t>OPERATING</t>
        </is>
      </c>
    </row>
    <row r="26541">
      <c r="A26541" s="8" t="inlineStr">
        <is>
          <t>2026-08-05</t>
        </is>
      </c>
      <c r="B26541" s="8" t="n">
        <v>19</v>
      </c>
      <c r="C26541" s="8" t="n">
        <v>45</v>
      </c>
      <c r="D26541" s="8" t="inlineStr">
        <is>
          <t>Disneyland Park</t>
        </is>
      </c>
      <c r="E26541" s="8" t="inlineStr">
        <is>
          <t>La Cabane des Robinson</t>
        </is>
      </c>
      <c r="F26541" s="8" t="inlineStr">
        <is>
          <t>STANDBY</t>
        </is>
      </c>
      <c r="G26541" s="8" t="n">
        <v>5</v>
      </c>
      <c r="H26541" s="8" t="inlineStr">
        <is>
          <t>OPERATING</t>
        </is>
      </c>
    </row>
    <row r="26542">
      <c r="A26542" s="8" t="inlineStr">
        <is>
          <t>2026-08-05</t>
        </is>
      </c>
      <c r="B26542" s="8" t="n">
        <v>19</v>
      </c>
      <c r="C26542" s="8" t="n">
        <v>45</v>
      </c>
      <c r="D26542" s="8" t="inlineStr">
        <is>
          <t>Disneyland Park</t>
        </is>
      </c>
      <c r="E26542" s="8" t="inlineStr">
        <is>
          <t>Le Passage Enchanté d'Aladdin</t>
        </is>
      </c>
      <c r="F26542" s="8" t="inlineStr">
        <is>
          <t>STANDBY</t>
        </is>
      </c>
      <c r="G26542" s="8" t="n">
        <v>0</v>
      </c>
      <c r="H26542" s="8" t="inlineStr">
        <is>
          <t>OPERATING</t>
        </is>
      </c>
    </row>
    <row r="26543">
      <c r="A26543" s="8" t="inlineStr">
        <is>
          <t>2026-08-05</t>
        </is>
      </c>
      <c r="B26543" s="8" t="n">
        <v>19</v>
      </c>
      <c r="C26543" s="8" t="n">
        <v>45</v>
      </c>
      <c r="D26543" s="8" t="inlineStr">
        <is>
          <t>Disneyland Park</t>
        </is>
      </c>
      <c r="E26543" s="8" t="inlineStr">
        <is>
          <t>Pirate Galleon</t>
        </is>
      </c>
      <c r="F26543" s="8" t="inlineStr">
        <is>
          <t>STANDBY</t>
        </is>
      </c>
      <c r="G26543" s="8" t="n">
        <v>0</v>
      </c>
      <c r="H26543" s="8" t="inlineStr">
        <is>
          <t>CLOSED</t>
        </is>
      </c>
    </row>
    <row r="26544">
      <c r="A26544" s="8" t="inlineStr">
        <is>
          <t>2026-08-05</t>
        </is>
      </c>
      <c r="B26544" s="8" t="n">
        <v>19</v>
      </c>
      <c r="C26544" s="8" t="n">
        <v>45</v>
      </c>
      <c r="D26544" s="8" t="inlineStr">
        <is>
          <t>Disneyland Park</t>
        </is>
      </c>
      <c r="E26544" s="8" t="inlineStr">
        <is>
          <t>Pirates of the Caribbean</t>
        </is>
      </c>
      <c r="F26544" s="8" t="inlineStr">
        <is>
          <t>STANDBY</t>
        </is>
      </c>
      <c r="G26544" s="8" t="n">
        <v>5</v>
      </c>
      <c r="H26544" s="8" t="inlineStr">
        <is>
          <t>OPERATING</t>
        </is>
      </c>
    </row>
    <row r="26545">
      <c r="A26545" s="8" t="inlineStr">
        <is>
          <t>2026-08-05</t>
        </is>
      </c>
      <c r="B26545" s="8" t="n">
        <v>19</v>
      </c>
      <c r="C26545" s="8" t="n">
        <v>45</v>
      </c>
      <c r="D26545" s="8" t="inlineStr">
        <is>
          <t>Disneyland Park</t>
        </is>
      </c>
      <c r="E26545" s="8" t="inlineStr">
        <is>
          <t>Pirates' Beach</t>
        </is>
      </c>
      <c r="F26545" s="8" t="inlineStr">
        <is>
          <t>STANDBY</t>
        </is>
      </c>
      <c r="G26545" s="8" t="n">
        <v>0</v>
      </c>
      <c r="H26545" s="8" t="inlineStr">
        <is>
          <t>OPERATING</t>
        </is>
      </c>
    </row>
    <row r="26546">
      <c r="A26546" s="8" t="inlineStr">
        <is>
          <t>2026-08-05</t>
        </is>
      </c>
      <c r="B26546" s="8" t="n">
        <v>19</v>
      </c>
      <c r="C26546" s="8" t="n">
        <v>45</v>
      </c>
      <c r="D26546" s="8" t="inlineStr">
        <is>
          <t>Disneyland Park</t>
        </is>
      </c>
      <c r="E26546" s="8" t="inlineStr">
        <is>
          <t>Autopia, presented by Avis</t>
        </is>
      </c>
      <c r="F26546" s="8" t="inlineStr">
        <is>
          <t>STANDBY</t>
        </is>
      </c>
      <c r="G26546" s="8" t="n">
        <v>35</v>
      </c>
      <c r="H26546" s="8" t="inlineStr">
        <is>
          <t>OPERATING</t>
        </is>
      </c>
    </row>
    <row r="26547">
      <c r="A26547" s="8" t="inlineStr">
        <is>
          <t>2026-08-05</t>
        </is>
      </c>
      <c r="B26547" s="8" t="n">
        <v>19</v>
      </c>
      <c r="C26547" s="8" t="n">
        <v>45</v>
      </c>
      <c r="D26547" s="8" t="inlineStr">
        <is>
          <t>Disneyland Park</t>
        </is>
      </c>
      <c r="E26547" s="8" t="inlineStr">
        <is>
          <t>Buzz Lightyear Laser Blast</t>
        </is>
      </c>
      <c r="F26547" s="8" t="inlineStr">
        <is>
          <t>STANDBY</t>
        </is>
      </c>
      <c r="G26547" s="8" t="n">
        <v>45</v>
      </c>
      <c r="H26547" s="8" t="inlineStr">
        <is>
          <t>OPERATING</t>
        </is>
      </c>
    </row>
    <row r="26548">
      <c r="A26548" s="8" t="inlineStr">
        <is>
          <t>2026-08-05</t>
        </is>
      </c>
      <c r="B26548" s="8" t="n">
        <v>19</v>
      </c>
      <c r="C26548" s="8" t="n">
        <v>45</v>
      </c>
      <c r="D26548" s="8" t="inlineStr">
        <is>
          <t>Disneyland Park</t>
        </is>
      </c>
      <c r="E26548" s="8" t="inlineStr">
        <is>
          <t>Disneyland Railroad Discoveryland Station</t>
        </is>
      </c>
      <c r="F26548" s="8" t="inlineStr">
        <is>
          <t>STANDBY</t>
        </is>
      </c>
      <c r="G26548" s="8" t="n">
        <v>0</v>
      </c>
      <c r="H26548" s="8" t="inlineStr">
        <is>
          <t>CLOSED</t>
        </is>
      </c>
    </row>
    <row r="26549">
      <c r="A26549" s="8" t="inlineStr">
        <is>
          <t>2026-08-05</t>
        </is>
      </c>
      <c r="B26549" s="8" t="n">
        <v>19</v>
      </c>
      <c r="C26549" s="8" t="n">
        <v>45</v>
      </c>
      <c r="D26549" s="8" t="inlineStr">
        <is>
          <t>Disneyland Park</t>
        </is>
      </c>
      <c r="E26549" s="8" t="inlineStr">
        <is>
          <t>Les Mystères du Nautilus</t>
        </is>
      </c>
      <c r="F26549" s="8" t="inlineStr">
        <is>
          <t>STANDBY</t>
        </is>
      </c>
      <c r="G26549" s="8" t="n">
        <v>5</v>
      </c>
      <c r="H26549" s="8" t="inlineStr">
        <is>
          <t>OPERATING</t>
        </is>
      </c>
    </row>
    <row r="26550">
      <c r="A26550" s="8" t="inlineStr">
        <is>
          <t>2026-08-05</t>
        </is>
      </c>
      <c r="B26550" s="8" t="n">
        <v>19</v>
      </c>
      <c r="C26550" s="8" t="n">
        <v>45</v>
      </c>
      <c r="D26550" s="8" t="inlineStr">
        <is>
          <t>Disneyland Park</t>
        </is>
      </c>
      <c r="E26550" s="8" t="inlineStr">
        <is>
          <t>Mickey’s PhilharMagic</t>
        </is>
      </c>
      <c r="F26550" s="8" t="inlineStr">
        <is>
          <t>STANDBY</t>
        </is>
      </c>
      <c r="G26550" s="8" t="n">
        <v>0</v>
      </c>
      <c r="H26550" s="8" t="inlineStr">
        <is>
          <t>CLOSED</t>
        </is>
      </c>
    </row>
    <row r="26551">
      <c r="A26551" s="8" t="inlineStr">
        <is>
          <t>2026-08-05</t>
        </is>
      </c>
      <c r="B26551" s="8" t="n">
        <v>19</v>
      </c>
      <c r="C26551" s="8" t="n">
        <v>45</v>
      </c>
      <c r="D26551" s="8" t="inlineStr">
        <is>
          <t>Disneyland Park</t>
        </is>
      </c>
      <c r="E26551" s="8" t="inlineStr">
        <is>
          <t>Orbitron®</t>
        </is>
      </c>
      <c r="F26551" s="8" t="inlineStr">
        <is>
          <t>STANDBY</t>
        </is>
      </c>
      <c r="G26551" s="8" t="n">
        <v>40</v>
      </c>
      <c r="H26551" s="8" t="inlineStr">
        <is>
          <t>OPERATING</t>
        </is>
      </c>
    </row>
    <row r="26552">
      <c r="A26552" s="8" t="inlineStr">
        <is>
          <t>2026-08-05</t>
        </is>
      </c>
      <c r="B26552" s="8" t="n">
        <v>19</v>
      </c>
      <c r="C26552" s="8" t="n">
        <v>45</v>
      </c>
      <c r="D26552" s="8" t="inlineStr">
        <is>
          <t>Disneyland Park</t>
        </is>
      </c>
      <c r="E26552" s="8" t="inlineStr">
        <is>
          <t>Star Tours: The Adventures Continue*</t>
        </is>
      </c>
      <c r="F26552" s="8" t="inlineStr">
        <is>
          <t>STANDBY</t>
        </is>
      </c>
      <c r="G26552" s="8" t="n">
        <v>5</v>
      </c>
      <c r="H26552" s="8" t="inlineStr">
        <is>
          <t>OPERATING</t>
        </is>
      </c>
    </row>
    <row r="26553">
      <c r="A26553" s="8" t="inlineStr">
        <is>
          <t>2026-08-05</t>
        </is>
      </c>
      <c r="B26553" s="8" t="n">
        <v>19</v>
      </c>
      <c r="C26553" s="8" t="n">
        <v>45</v>
      </c>
      <c r="D26553" s="8" t="inlineStr">
        <is>
          <t>Disneyland Park</t>
        </is>
      </c>
      <c r="E26553" s="8" t="inlineStr">
        <is>
          <t>Star Wars Hyperspace Mountain</t>
        </is>
      </c>
      <c r="F26553" s="8" t="inlineStr">
        <is>
          <t>STANDBY</t>
        </is>
      </c>
      <c r="G26553" s="8" t="n">
        <v>35</v>
      </c>
      <c r="H26553" s="8" t="inlineStr">
        <is>
          <t>OPERATING</t>
        </is>
      </c>
    </row>
    <row r="26554">
      <c r="A26554" s="8" t="inlineStr">
        <is>
          <t>2026-08-05</t>
        </is>
      </c>
      <c r="B26554" s="8" t="n">
        <v>19</v>
      </c>
      <c r="C26554" s="8" t="n">
        <v>45</v>
      </c>
      <c r="D26554" s="8" t="inlineStr">
        <is>
          <t>Disneyland Park</t>
        </is>
      </c>
      <c r="E26554" s="8" t="inlineStr">
        <is>
          <t>Star Wars Hyperspace Mountain Single Rider</t>
        </is>
      </c>
      <c r="F26554" s="8" t="inlineStr">
        <is>
          <t>STANDBY</t>
        </is>
      </c>
      <c r="G26554" s="8" t="n">
        <v>0</v>
      </c>
      <c r="H26554" s="8" t="inlineStr">
        <is>
          <t>OPERATING</t>
        </is>
      </c>
    </row>
    <row r="26555">
      <c r="A26555" s="8" t="inlineStr">
        <is>
          <t>2026-08-05</t>
        </is>
      </c>
      <c r="B26555" s="8" t="n">
        <v>19</v>
      </c>
      <c r="C26555" s="8" t="n">
        <v>45</v>
      </c>
      <c r="D26555" s="8" t="inlineStr">
        <is>
          <t>Disneyland Park</t>
        </is>
      </c>
      <c r="E26555" s="8" t="inlineStr">
        <is>
          <t>Welcome to Starport: A Star Wars Encounter</t>
        </is>
      </c>
      <c r="F26555" s="8" t="inlineStr">
        <is>
          <t>STANDBY</t>
        </is>
      </c>
      <c r="G26555" s="8" t="n">
        <v>0</v>
      </c>
      <c r="H26555" s="8" t="inlineStr">
        <is>
          <t>CLOSED</t>
        </is>
      </c>
    </row>
    <row r="26556">
      <c r="A26556" s="8" t="inlineStr">
        <is>
          <t>2026-08-05</t>
        </is>
      </c>
      <c r="B26556" s="8" t="n">
        <v>19</v>
      </c>
      <c r="C26556" s="8" t="n">
        <v>45</v>
      </c>
      <c r="D26556" s="8" t="inlineStr">
        <is>
          <t>Disneyland Park</t>
        </is>
      </c>
      <c r="E26556" s="8" t="inlineStr">
        <is>
          <t>"it's a small world"</t>
        </is>
      </c>
      <c r="F26556" s="8" t="inlineStr">
        <is>
          <t>STANDBY</t>
        </is>
      </c>
      <c r="G26556" s="8" t="n">
        <v>5</v>
      </c>
      <c r="H26556" s="8" t="inlineStr">
        <is>
          <t>OPERATING</t>
        </is>
      </c>
    </row>
    <row r="26557">
      <c r="A26557" s="8" t="inlineStr">
        <is>
          <t>2026-08-05</t>
        </is>
      </c>
      <c r="B26557" s="8" t="n">
        <v>19</v>
      </c>
      <c r="C26557" s="8" t="n">
        <v>45</v>
      </c>
      <c r="D26557" s="8" t="inlineStr">
        <is>
          <t>Disneyland Park</t>
        </is>
      </c>
      <c r="E26557" s="8" t="inlineStr">
        <is>
          <t>Alice's Curious Labyrinth</t>
        </is>
      </c>
      <c r="F26557" s="8" t="inlineStr">
        <is>
          <t>STANDBY</t>
        </is>
      </c>
      <c r="G26557" s="8" t="n">
        <v>5</v>
      </c>
      <c r="H26557" s="8" t="inlineStr">
        <is>
          <t>OPERATING</t>
        </is>
      </c>
    </row>
    <row r="26558">
      <c r="A26558" s="8" t="inlineStr">
        <is>
          <t>2026-08-05</t>
        </is>
      </c>
      <c r="B26558" s="8" t="n">
        <v>19</v>
      </c>
      <c r="C26558" s="8" t="n">
        <v>45</v>
      </c>
      <c r="D26558" s="8" t="inlineStr">
        <is>
          <t>Disneyland Park</t>
        </is>
      </c>
      <c r="E26558" s="8" t="inlineStr">
        <is>
          <t>Blanche-Neige et les Sept Nains®</t>
        </is>
      </c>
      <c r="F26558" s="8" t="inlineStr">
        <is>
          <t>STANDBY</t>
        </is>
      </c>
      <c r="G26558" s="8" t="n">
        <v>30</v>
      </c>
      <c r="H26558" s="8" t="inlineStr">
        <is>
          <t>OPERATING</t>
        </is>
      </c>
    </row>
    <row r="26559">
      <c r="A26559" s="8" t="inlineStr">
        <is>
          <t>2026-08-05</t>
        </is>
      </c>
      <c r="B26559" s="8" t="n">
        <v>19</v>
      </c>
      <c r="C26559" s="8" t="n">
        <v>45</v>
      </c>
      <c r="D26559" s="8" t="inlineStr">
        <is>
          <t>Disneyland Park</t>
        </is>
      </c>
      <c r="E26559" s="8" t="inlineStr">
        <is>
          <t>Casey Jr. – le Petit Train du Cirque</t>
        </is>
      </c>
      <c r="F26559" s="8" t="inlineStr">
        <is>
          <t>STANDBY</t>
        </is>
      </c>
      <c r="G26559" s="8" t="n">
        <v>25</v>
      </c>
      <c r="H26559" s="8" t="inlineStr">
        <is>
          <t>OPERATING</t>
        </is>
      </c>
    </row>
    <row r="26560">
      <c r="A26560" s="8" t="inlineStr">
        <is>
          <t>2026-08-05</t>
        </is>
      </c>
      <c r="B26560" s="8" t="n">
        <v>19</v>
      </c>
      <c r="C26560" s="8" t="n">
        <v>45</v>
      </c>
      <c r="D26560" s="8" t="inlineStr">
        <is>
          <t>Disneyland Park</t>
        </is>
      </c>
      <c r="E26560" s="8" t="inlineStr">
        <is>
          <t>Disneyland Railroad Fantasyland Station</t>
        </is>
      </c>
      <c r="F26560" s="8" t="inlineStr">
        <is>
          <t>STANDBY</t>
        </is>
      </c>
      <c r="G26560" s="8" t="n">
        <v>0</v>
      </c>
      <c r="H26560" s="8" t="inlineStr">
        <is>
          <t>CLOSED</t>
        </is>
      </c>
    </row>
    <row r="26561">
      <c r="A26561" s="8" t="inlineStr">
        <is>
          <t>2026-08-05</t>
        </is>
      </c>
      <c r="B26561" s="8" t="n">
        <v>19</v>
      </c>
      <c r="C26561" s="8" t="n">
        <v>45</v>
      </c>
      <c r="D26561" s="8" t="inlineStr">
        <is>
          <t>Disneyland Park</t>
        </is>
      </c>
      <c r="E26561" s="8" t="inlineStr">
        <is>
          <t>Disneyland Railroad Main Street Station</t>
        </is>
      </c>
      <c r="F26561" s="8" t="inlineStr">
        <is>
          <t>STANDBY</t>
        </is>
      </c>
      <c r="G26561" s="8" t="n">
        <v>20</v>
      </c>
      <c r="H26561" s="8" t="inlineStr">
        <is>
          <t>OPERATING</t>
        </is>
      </c>
    </row>
    <row r="26562">
      <c r="A26562" s="8" t="inlineStr">
        <is>
          <t>2026-08-05</t>
        </is>
      </c>
      <c r="B26562" s="8" t="n">
        <v>19</v>
      </c>
      <c r="C26562" s="8" t="n">
        <v>45</v>
      </c>
      <c r="D26562" s="8" t="inlineStr">
        <is>
          <t>Disneyland Park</t>
        </is>
      </c>
      <c r="E26562" s="8" t="inlineStr">
        <is>
          <t>Dumbo the Flying Elephant</t>
        </is>
      </c>
      <c r="F26562" s="8" t="inlineStr">
        <is>
          <t>STANDBY</t>
        </is>
      </c>
      <c r="G26562" s="8" t="n">
        <v>35</v>
      </c>
      <c r="H26562" s="8" t="inlineStr">
        <is>
          <t>OPERATING</t>
        </is>
      </c>
    </row>
    <row r="26563">
      <c r="A26563" s="8" t="inlineStr">
        <is>
          <t>2026-08-05</t>
        </is>
      </c>
      <c r="B26563" s="8" t="n">
        <v>19</v>
      </c>
      <c r="C26563" s="8" t="n">
        <v>45</v>
      </c>
      <c r="D26563" s="8" t="inlineStr">
        <is>
          <t>Disneyland Park</t>
        </is>
      </c>
      <c r="E26563" s="8" t="inlineStr">
        <is>
          <t>La Tanière du Dragon</t>
        </is>
      </c>
      <c r="F26563" s="8" t="inlineStr">
        <is>
          <t>STANDBY</t>
        </is>
      </c>
      <c r="G26563" s="8" t="n">
        <v>0</v>
      </c>
      <c r="H26563" s="8" t="inlineStr">
        <is>
          <t>OPERATING</t>
        </is>
      </c>
    </row>
    <row r="26564">
      <c r="A26564" s="8" t="inlineStr">
        <is>
          <t>2026-08-05</t>
        </is>
      </c>
      <c r="B26564" s="8" t="n">
        <v>19</v>
      </c>
      <c r="C26564" s="8" t="n">
        <v>45</v>
      </c>
      <c r="D26564" s="8" t="inlineStr">
        <is>
          <t>Disneyland Park</t>
        </is>
      </c>
      <c r="E26564" s="8" t="inlineStr">
        <is>
          <t>Le Carrousel de Lancelot</t>
        </is>
      </c>
      <c r="F26564" s="8" t="inlineStr">
        <is>
          <t>STANDBY</t>
        </is>
      </c>
      <c r="G26564" s="8" t="n">
        <v>15</v>
      </c>
      <c r="H26564" s="8" t="inlineStr">
        <is>
          <t>OPERATING</t>
        </is>
      </c>
    </row>
    <row r="26565">
      <c r="A26565" s="8" t="inlineStr">
        <is>
          <t>2026-08-05</t>
        </is>
      </c>
      <c r="B26565" s="8" t="n">
        <v>19</v>
      </c>
      <c r="C26565" s="8" t="n">
        <v>45</v>
      </c>
      <c r="D26565" s="8" t="inlineStr">
        <is>
          <t>Disneyland Park</t>
        </is>
      </c>
      <c r="E26565" s="8" t="inlineStr">
        <is>
          <t>Le Pays des Contes de Fées, presented by Vittel</t>
        </is>
      </c>
      <c r="F26565" s="8" t="inlineStr">
        <is>
          <t>STANDBY</t>
        </is>
      </c>
      <c r="G26565" s="8" t="n">
        <v>5</v>
      </c>
      <c r="H26565" s="8" t="inlineStr">
        <is>
          <t>OPERATING</t>
        </is>
      </c>
    </row>
    <row r="26566">
      <c r="A26566" s="8" t="inlineStr">
        <is>
          <t>2026-08-05</t>
        </is>
      </c>
      <c r="B26566" s="8" t="n">
        <v>19</v>
      </c>
      <c r="C26566" s="8" t="n">
        <v>45</v>
      </c>
      <c r="D26566" s="8" t="inlineStr">
        <is>
          <t>Disneyland Park</t>
        </is>
      </c>
      <c r="E26566" s="8" t="inlineStr">
        <is>
          <t>Les Voyages de Pinocchio</t>
        </is>
      </c>
      <c r="F26566" s="8" t="inlineStr">
        <is>
          <t>STANDBY</t>
        </is>
      </c>
      <c r="G26566" s="8" t="n">
        <v>15</v>
      </c>
      <c r="H26566" s="8" t="inlineStr">
        <is>
          <t>OPERATING</t>
        </is>
      </c>
    </row>
    <row r="26567">
      <c r="A26567" s="8" t="inlineStr">
        <is>
          <t>2026-08-05</t>
        </is>
      </c>
      <c r="B26567" s="8" t="n">
        <v>19</v>
      </c>
      <c r="C26567" s="8" t="n">
        <v>45</v>
      </c>
      <c r="D26567" s="8" t="inlineStr">
        <is>
          <t>Disneyland Park</t>
        </is>
      </c>
      <c r="E26567" s="8" t="inlineStr">
        <is>
          <t>Mad Hatter's Tea Cups</t>
        </is>
      </c>
      <c r="F26567" s="8" t="inlineStr">
        <is>
          <t>STANDBY</t>
        </is>
      </c>
      <c r="G26567" s="8" t="n">
        <v>5</v>
      </c>
      <c r="H26567" s="8" t="inlineStr">
        <is>
          <t>OPERATING</t>
        </is>
      </c>
    </row>
    <row r="26568">
      <c r="A26568" s="8" t="inlineStr">
        <is>
          <t>2026-08-05</t>
        </is>
      </c>
      <c r="B26568" s="8" t="n">
        <v>19</v>
      </c>
      <c r="C26568" s="8" t="n">
        <v>45</v>
      </c>
      <c r="D26568" s="8" t="inlineStr">
        <is>
          <t>Disneyland Park</t>
        </is>
      </c>
      <c r="E26568" s="8" t="inlineStr">
        <is>
          <t>Meet Mickey Mouse</t>
        </is>
      </c>
      <c r="F26568" s="8" t="inlineStr">
        <is>
          <t>STANDBY</t>
        </is>
      </c>
      <c r="G26568" s="8" t="n">
        <v>0</v>
      </c>
      <c r="H26568" s="8" t="inlineStr">
        <is>
          <t>CLOSED</t>
        </is>
      </c>
    </row>
    <row r="26569">
      <c r="A26569" s="8" t="inlineStr">
        <is>
          <t>2026-08-05</t>
        </is>
      </c>
      <c r="B26569" s="8" t="n">
        <v>19</v>
      </c>
      <c r="C26569" s="8" t="n">
        <v>45</v>
      </c>
      <c r="D26569" s="8" t="inlineStr">
        <is>
          <t>Disneyland Park</t>
        </is>
      </c>
      <c r="E26569" s="8" t="inlineStr">
        <is>
          <t>Peter Pan's Flight</t>
        </is>
      </c>
      <c r="F26569" s="8" t="inlineStr">
        <is>
          <t>STANDBY</t>
        </is>
      </c>
      <c r="G26569" s="8" t="n">
        <v>50</v>
      </c>
      <c r="H26569" s="8" t="inlineStr">
        <is>
          <t>OPERATING</t>
        </is>
      </c>
    </row>
    <row r="26570">
      <c r="A26570" s="8" t="inlineStr">
        <is>
          <t>2026-08-05</t>
        </is>
      </c>
      <c r="B26570" s="8" t="n">
        <v>19</v>
      </c>
      <c r="C26570" s="8" t="n">
        <v>45</v>
      </c>
      <c r="D26570" s="8" t="inlineStr">
        <is>
          <t>Disneyland Park</t>
        </is>
      </c>
      <c r="E26570" s="8" t="inlineStr">
        <is>
          <t>Princess Pavilion</t>
        </is>
      </c>
      <c r="F26570" s="8" t="inlineStr">
        <is>
          <t>STANDBY</t>
        </is>
      </c>
      <c r="G26570" s="8" t="n">
        <v>0</v>
      </c>
      <c r="H26570" s="8" t="inlineStr">
        <is>
          <t>CLOSED</t>
        </is>
      </c>
    </row>
    <row r="26571">
      <c r="A26571" s="8" t="inlineStr">
        <is>
          <t>2026-08-05</t>
        </is>
      </c>
      <c r="B26571" s="8" t="n">
        <v>19</v>
      </c>
      <c r="C26571" s="8" t="n">
        <v>45</v>
      </c>
      <c r="D26571" s="8" t="inlineStr">
        <is>
          <t>Disneyland Park</t>
        </is>
      </c>
      <c r="E26571" s="8" t="inlineStr">
        <is>
          <t>Big Thunder Mountain</t>
        </is>
      </c>
      <c r="F26571" s="8" t="inlineStr">
        <is>
          <t>STANDBY</t>
        </is>
      </c>
      <c r="G26571" s="8" t="n">
        <v>50</v>
      </c>
      <c r="H26571" s="8" t="inlineStr">
        <is>
          <t>OPERATING</t>
        </is>
      </c>
    </row>
    <row r="26572">
      <c r="A26572" s="8" t="inlineStr">
        <is>
          <t>2026-08-05</t>
        </is>
      </c>
      <c r="B26572" s="8" t="n">
        <v>19</v>
      </c>
      <c r="C26572" s="8" t="n">
        <v>45</v>
      </c>
      <c r="D26572" s="8" t="inlineStr">
        <is>
          <t>Disneyland Park</t>
        </is>
      </c>
      <c r="E26572" s="8" t="inlineStr">
        <is>
          <t>Disneyland Railroad Frontierland Depot</t>
        </is>
      </c>
      <c r="F26572" s="8" t="inlineStr">
        <is>
          <t>STANDBY</t>
        </is>
      </c>
      <c r="G26572" s="8" t="n">
        <v>10</v>
      </c>
      <c r="H26572" s="8" t="inlineStr">
        <is>
          <t>OPERATING</t>
        </is>
      </c>
    </row>
    <row r="26573">
      <c r="A26573" s="8" t="inlineStr">
        <is>
          <t>2026-08-05</t>
        </is>
      </c>
      <c r="B26573" s="8" t="n">
        <v>19</v>
      </c>
      <c r="C26573" s="8" t="n">
        <v>45</v>
      </c>
      <c r="D26573" s="8" t="inlineStr">
        <is>
          <t>Disneyland Park</t>
        </is>
      </c>
      <c r="E26573" s="8" t="inlineStr">
        <is>
          <t>Frontierland Playground</t>
        </is>
      </c>
      <c r="F26573" s="8" t="inlineStr">
        <is>
          <t>STANDBY</t>
        </is>
      </c>
      <c r="G26573" s="8" t="n">
        <v>0</v>
      </c>
      <c r="H26573" s="8" t="inlineStr">
        <is>
          <t>OPERATING</t>
        </is>
      </c>
    </row>
    <row r="26574">
      <c r="A26574" s="8" t="inlineStr">
        <is>
          <t>2026-08-05</t>
        </is>
      </c>
      <c r="B26574" s="8" t="n">
        <v>19</v>
      </c>
      <c r="C26574" s="8" t="n">
        <v>45</v>
      </c>
      <c r="D26574" s="8" t="inlineStr">
        <is>
          <t>Disneyland Park</t>
        </is>
      </c>
      <c r="E26574" s="8" t="inlineStr">
        <is>
          <t>Phantom Manor</t>
        </is>
      </c>
      <c r="F26574" s="8" t="inlineStr">
        <is>
          <t>STANDBY</t>
        </is>
      </c>
      <c r="G26574" s="8" t="n">
        <v>5</v>
      </c>
      <c r="H26574" s="8" t="inlineStr">
        <is>
          <t>OPERATING</t>
        </is>
      </c>
    </row>
    <row r="26575">
      <c r="A26575" s="8" t="inlineStr">
        <is>
          <t>2026-08-05</t>
        </is>
      </c>
      <c r="B26575" s="8" t="n">
        <v>19</v>
      </c>
      <c r="C26575" s="8" t="n">
        <v>45</v>
      </c>
      <c r="D26575" s="8" t="inlineStr">
        <is>
          <t>Disneyland Park</t>
        </is>
      </c>
      <c r="E26575" s="8" t="inlineStr">
        <is>
          <t>River Rogue Keelboats</t>
        </is>
      </c>
      <c r="F26575" s="8" t="inlineStr">
        <is>
          <t>STANDBY</t>
        </is>
      </c>
      <c r="G26575" s="8" t="n">
        <v>0</v>
      </c>
      <c r="H26575" s="8" t="inlineStr">
        <is>
          <t>CLOSED</t>
        </is>
      </c>
    </row>
    <row r="26576">
      <c r="A26576" s="8" t="inlineStr">
        <is>
          <t>2026-08-05</t>
        </is>
      </c>
      <c r="B26576" s="8" t="n">
        <v>19</v>
      </c>
      <c r="C26576" s="8" t="n">
        <v>45</v>
      </c>
      <c r="D26576" s="8" t="inlineStr">
        <is>
          <t>Disneyland Park</t>
        </is>
      </c>
      <c r="E26576" s="8" t="inlineStr">
        <is>
          <t>Rustler Roundup Shootin' Gallery</t>
        </is>
      </c>
      <c r="F26576" s="8" t="inlineStr">
        <is>
          <t>STANDBY</t>
        </is>
      </c>
      <c r="G26576" s="8" t="n">
        <v>0</v>
      </c>
      <c r="H26576" s="8" t="inlineStr">
        <is>
          <t>OPERATING</t>
        </is>
      </c>
    </row>
    <row r="26577">
      <c r="A26577" s="8" t="inlineStr">
        <is>
          <t>2026-08-05</t>
        </is>
      </c>
      <c r="B26577" s="8" t="n">
        <v>19</v>
      </c>
      <c r="C26577" s="8" t="n">
        <v>45</v>
      </c>
      <c r="D26577" s="8" t="inlineStr">
        <is>
          <t>Disneyland Park</t>
        </is>
      </c>
      <c r="E26577" s="8" t="inlineStr">
        <is>
          <t>Thunder Mesa Riverboat Landing</t>
        </is>
      </c>
      <c r="F26577" s="8" t="inlineStr">
        <is>
          <t>STANDBY</t>
        </is>
      </c>
      <c r="G26577" s="8" t="n">
        <v>0</v>
      </c>
      <c r="H26577" s="8" t="inlineStr">
        <is>
          <t>CLOSED</t>
        </is>
      </c>
    </row>
    <row r="26578">
      <c r="A26578" s="8" t="inlineStr">
        <is>
          <t>2026-08-05</t>
        </is>
      </c>
      <c r="B26578" s="8" t="n">
        <v>19</v>
      </c>
      <c r="C26578" s="8" t="n">
        <v>45</v>
      </c>
      <c r="D26578" s="8" t="inlineStr">
        <is>
          <t>Disneyland Park</t>
        </is>
      </c>
      <c r="E26578" s="8" t="inlineStr">
        <is>
          <t>Disneyland Railroad Main Street Station</t>
        </is>
      </c>
      <c r="F26578" s="8" t="inlineStr">
        <is>
          <t>STANDBY</t>
        </is>
      </c>
      <c r="G26578" s="8" t="n">
        <v>0</v>
      </c>
      <c r="H26578" s="8" t="inlineStr">
        <is>
          <t>OPERATING</t>
        </is>
      </c>
    </row>
    <row r="26579">
      <c r="A26579" s="8" t="inlineStr">
        <is>
          <t>2026-08-05</t>
        </is>
      </c>
      <c r="B26579" s="8" t="n">
        <v>19</v>
      </c>
      <c r="C26579" s="8" t="n">
        <v>45</v>
      </c>
      <c r="D26579" s="8" t="inlineStr">
        <is>
          <t>Disneyland Park</t>
        </is>
      </c>
      <c r="E26579" s="8" t="inlineStr">
        <is>
          <t>Main Street Vehicles</t>
        </is>
      </c>
      <c r="F26579" s="8" t="inlineStr">
        <is>
          <t>STANDBY</t>
        </is>
      </c>
      <c r="G26579" s="8" t="n">
        <v>0</v>
      </c>
      <c r="H26579" s="8" t="inlineStr">
        <is>
          <t>CLOSED</t>
        </is>
      </c>
    </row>
    <row r="26580">
      <c r="A26580" s="8" t="inlineStr">
        <is>
          <t>2026-08-05</t>
        </is>
      </c>
      <c r="B26580" s="8" t="n">
        <v>19</v>
      </c>
      <c r="C26580" s="8" t="n">
        <v>45</v>
      </c>
      <c r="D26580" s="8" t="inlineStr">
        <is>
          <t>Disney Adventure World</t>
        </is>
      </c>
      <c r="E26580" s="8" t="inlineStr">
        <is>
          <t>Avengers Assemble: Flight Force</t>
        </is>
      </c>
      <c r="F26580" s="8" t="inlineStr">
        <is>
          <t>STANDBY</t>
        </is>
      </c>
      <c r="G26580" s="8" t="n">
        <v>15</v>
      </c>
      <c r="H26580" s="8" t="inlineStr">
        <is>
          <t>OPERATING</t>
        </is>
      </c>
    </row>
    <row r="26581">
      <c r="A26581" s="8" t="inlineStr">
        <is>
          <t>2026-08-05</t>
        </is>
      </c>
      <c r="B26581" s="8" t="n">
        <v>19</v>
      </c>
      <c r="C26581" s="8" t="n">
        <v>45</v>
      </c>
      <c r="D26581" s="8" t="inlineStr">
        <is>
          <t>Disney Adventure World</t>
        </is>
      </c>
      <c r="E26581" s="8" t="inlineStr">
        <is>
          <t>Avengers Assemble: Flight Force Single Rider</t>
        </is>
      </c>
      <c r="F26581" s="8" t="inlineStr">
        <is>
          <t>STANDBY</t>
        </is>
      </c>
      <c r="G26581" s="8" t="n">
        <v>5</v>
      </c>
      <c r="H26581" s="8" t="inlineStr">
        <is>
          <t>OPERATING</t>
        </is>
      </c>
    </row>
    <row r="26582">
      <c r="A26582" s="8" t="inlineStr">
        <is>
          <t>2026-08-05</t>
        </is>
      </c>
      <c r="B26582" s="8" t="n">
        <v>19</v>
      </c>
      <c r="C26582" s="8" t="n">
        <v>45</v>
      </c>
      <c r="D26582" s="8" t="inlineStr">
        <is>
          <t>Disney Adventure World</t>
        </is>
      </c>
      <c r="E26582" s="8" t="inlineStr">
        <is>
          <t>Spider-Man W.E.B. Adventure</t>
        </is>
      </c>
      <c r="F26582" s="8" t="inlineStr">
        <is>
          <t>STANDBY</t>
        </is>
      </c>
      <c r="G26582" s="8" t="n">
        <v>50</v>
      </c>
      <c r="H26582" s="8" t="inlineStr">
        <is>
          <t>OPERATING</t>
        </is>
      </c>
    </row>
    <row r="26583">
      <c r="A26583" s="8" t="inlineStr">
        <is>
          <t>2026-08-05</t>
        </is>
      </c>
      <c r="B26583" s="8" t="n">
        <v>19</v>
      </c>
      <c r="C26583" s="8" t="n">
        <v>45</v>
      </c>
      <c r="D26583" s="8" t="inlineStr">
        <is>
          <t>Disney Adventure World</t>
        </is>
      </c>
      <c r="E26583" s="8" t="inlineStr">
        <is>
          <t>Spider-Man W.E.B. Adventure Single Rider</t>
        </is>
      </c>
      <c r="F26583" s="8" t="inlineStr">
        <is>
          <t>STANDBY</t>
        </is>
      </c>
      <c r="G26583" s="8" t="n">
        <v>20</v>
      </c>
      <c r="H26583" s="8" t="inlineStr">
        <is>
          <t>OPERATING</t>
        </is>
      </c>
    </row>
    <row r="26584">
      <c r="A26584" s="8" t="inlineStr">
        <is>
          <t>2026-08-05</t>
        </is>
      </c>
      <c r="B26584" s="8" t="n">
        <v>19</v>
      </c>
      <c r="C26584" s="8" t="n">
        <v>45</v>
      </c>
      <c r="D26584" s="8" t="inlineStr">
        <is>
          <t>Disney Adventure World</t>
        </is>
      </c>
      <c r="E26584" s="8" t="inlineStr">
        <is>
          <t>The Twilight Zone Tower of Terror</t>
        </is>
      </c>
      <c r="F26584" s="8" t="inlineStr">
        <is>
          <t>STANDBY</t>
        </is>
      </c>
      <c r="G26584" s="8" t="n">
        <v>25</v>
      </c>
      <c r="H26584" s="8" t="inlineStr">
        <is>
          <t>OPERATING</t>
        </is>
      </c>
    </row>
    <row r="26585">
      <c r="A26585" s="8" t="inlineStr">
        <is>
          <t>2026-08-05</t>
        </is>
      </c>
      <c r="B26585" s="8" t="n">
        <v>19</v>
      </c>
      <c r="C26585" s="8" t="n">
        <v>45</v>
      </c>
      <c r="D26585" s="8" t="inlineStr">
        <is>
          <t>Disney Adventure World</t>
        </is>
      </c>
      <c r="E26585" s="8" t="inlineStr">
        <is>
          <t>Cars Quatre Roues Rallye</t>
        </is>
      </c>
      <c r="F26585" s="8" t="inlineStr">
        <is>
          <t>STANDBY</t>
        </is>
      </c>
      <c r="G26585" s="8" t="n">
        <v>20</v>
      </c>
      <c r="H26585" s="8" t="inlineStr">
        <is>
          <t>OPERATING</t>
        </is>
      </c>
    </row>
    <row r="26586">
      <c r="A26586" s="8" t="inlineStr">
        <is>
          <t>2026-08-05</t>
        </is>
      </c>
      <c r="B26586" s="8" t="n">
        <v>19</v>
      </c>
      <c r="C26586" s="8" t="n">
        <v>45</v>
      </c>
      <c r="D26586" s="8" t="inlineStr">
        <is>
          <t>Disney Adventure World</t>
        </is>
      </c>
      <c r="E26586" s="8" t="inlineStr">
        <is>
          <t>Cars ROAD TRIP</t>
        </is>
      </c>
      <c r="F26586" s="8" t="inlineStr">
        <is>
          <t>STANDBY</t>
        </is>
      </c>
      <c r="G26586" s="8" t="n">
        <v>40</v>
      </c>
      <c r="H26586" s="8" t="inlineStr">
        <is>
          <t>OPERATING</t>
        </is>
      </c>
    </row>
    <row r="26587">
      <c r="A26587" s="8" t="inlineStr">
        <is>
          <t>2026-08-05</t>
        </is>
      </c>
      <c r="B26587" s="8" t="n">
        <v>19</v>
      </c>
      <c r="C26587" s="8" t="n">
        <v>45</v>
      </c>
      <c r="D26587" s="8" t="inlineStr">
        <is>
          <t>Disney Adventure World</t>
        </is>
      </c>
      <c r="E26587" s="8" t="inlineStr">
        <is>
          <t>Crush's Coaster</t>
        </is>
      </c>
      <c r="F26587" s="8" t="inlineStr">
        <is>
          <t>STANDBY</t>
        </is>
      </c>
      <c r="G26587" s="8" t="n">
        <v>100</v>
      </c>
      <c r="H26587" s="8" t="inlineStr">
        <is>
          <t>OPERATING</t>
        </is>
      </c>
    </row>
    <row r="26588">
      <c r="A26588" s="8" t="inlineStr">
        <is>
          <t>2026-08-05</t>
        </is>
      </c>
      <c r="B26588" s="8" t="n">
        <v>19</v>
      </c>
      <c r="C26588" s="8" t="n">
        <v>45</v>
      </c>
      <c r="D26588" s="8" t="inlineStr">
        <is>
          <t>Disney Adventure World</t>
        </is>
      </c>
      <c r="E26588" s="8" t="inlineStr">
        <is>
          <t>Crush's Coaster Single Rider</t>
        </is>
      </c>
      <c r="F26588" s="8" t="inlineStr">
        <is>
          <t>STANDBY</t>
        </is>
      </c>
      <c r="G26588" s="8" t="n">
        <v>45</v>
      </c>
      <c r="H26588" s="8" t="inlineStr">
        <is>
          <t>OPERATING</t>
        </is>
      </c>
    </row>
    <row r="26589">
      <c r="A26589" s="8" t="inlineStr">
        <is>
          <t>2026-08-05</t>
        </is>
      </c>
      <c r="B26589" s="8" t="n">
        <v>19</v>
      </c>
      <c r="C26589" s="8" t="n">
        <v>45</v>
      </c>
      <c r="D26589" s="8" t="inlineStr">
        <is>
          <t>Disney Adventure World</t>
        </is>
      </c>
      <c r="E26589" s="8" t="inlineStr">
        <is>
          <t>Les Tapis Volants - Flying Carpets Over Agrabah®</t>
        </is>
      </c>
      <c r="F26589" s="8" t="inlineStr">
        <is>
          <t>STANDBY</t>
        </is>
      </c>
      <c r="G26589" s="8" t="n">
        <v>15</v>
      </c>
      <c r="H26589" s="8" t="inlineStr">
        <is>
          <t>OPERATING</t>
        </is>
      </c>
    </row>
    <row r="26590">
      <c r="A26590" s="8" t="inlineStr">
        <is>
          <t>2026-08-05</t>
        </is>
      </c>
      <c r="B26590" s="8" t="n">
        <v>19</v>
      </c>
      <c r="C26590" s="8" t="n">
        <v>45</v>
      </c>
      <c r="D26590" s="8" t="inlineStr">
        <is>
          <t>Disney Adventure World</t>
        </is>
      </c>
      <c r="E26590" s="8" t="inlineStr">
        <is>
          <t>Ratatouille : L’Aventure Totalement Toquée de Rémy​</t>
        </is>
      </c>
      <c r="F26590" s="8" t="inlineStr">
        <is>
          <t>STANDBY</t>
        </is>
      </c>
      <c r="G26590" s="8" t="n">
        <v>55</v>
      </c>
      <c r="H26590" s="8" t="inlineStr">
        <is>
          <t>OPERATING</t>
        </is>
      </c>
    </row>
    <row r="26591">
      <c r="A26591" s="8" t="inlineStr">
        <is>
          <t>2026-08-05</t>
        </is>
      </c>
      <c r="B26591" s="8" t="n">
        <v>19</v>
      </c>
      <c r="C26591" s="8" t="n">
        <v>45</v>
      </c>
      <c r="D26591" s="8" t="inlineStr">
        <is>
          <t>Disney Adventure World</t>
        </is>
      </c>
      <c r="E26591" s="8" t="inlineStr">
        <is>
          <t>Ratatouille: The Adventure Single Rider</t>
        </is>
      </c>
      <c r="F26591" s="8" t="inlineStr">
        <is>
          <t>STANDBY</t>
        </is>
      </c>
      <c r="G26591" s="8" t="n">
        <v>20</v>
      </c>
      <c r="H26591" s="8" t="inlineStr">
        <is>
          <t>OPERATING</t>
        </is>
      </c>
    </row>
    <row r="26592">
      <c r="A26592" s="8" t="inlineStr">
        <is>
          <t>2026-08-05</t>
        </is>
      </c>
      <c r="B26592" s="8" t="n">
        <v>19</v>
      </c>
      <c r="C26592" s="8" t="n">
        <v>45</v>
      </c>
      <c r="D26592" s="8" t="inlineStr">
        <is>
          <t>Disney Adventure World</t>
        </is>
      </c>
      <c r="E26592" s="8" t="inlineStr">
        <is>
          <t>RC Racer</t>
        </is>
      </c>
      <c r="F26592" s="8" t="inlineStr">
        <is>
          <t>STANDBY</t>
        </is>
      </c>
      <c r="G26592" s="8" t="n">
        <v>40</v>
      </c>
      <c r="H26592" s="8" t="inlineStr">
        <is>
          <t>OPERATING</t>
        </is>
      </c>
    </row>
    <row r="26593">
      <c r="A26593" s="8" t="inlineStr">
        <is>
          <t>2026-08-05</t>
        </is>
      </c>
      <c r="B26593" s="8" t="n">
        <v>19</v>
      </c>
      <c r="C26593" s="8" t="n">
        <v>45</v>
      </c>
      <c r="D26593" s="8" t="inlineStr">
        <is>
          <t>Disney Adventure World</t>
        </is>
      </c>
      <c r="E26593" s="8" t="inlineStr">
        <is>
          <t>RC Racer Single Rider</t>
        </is>
      </c>
      <c r="F26593" s="8" t="inlineStr">
        <is>
          <t>STANDBY</t>
        </is>
      </c>
      <c r="G26593" s="8" t="n">
        <v>35</v>
      </c>
      <c r="H26593" s="8" t="inlineStr">
        <is>
          <t>OPERATING</t>
        </is>
      </c>
    </row>
    <row r="26594">
      <c r="A26594" s="8" t="inlineStr">
        <is>
          <t>2026-08-05</t>
        </is>
      </c>
      <c r="B26594" s="8" t="n">
        <v>19</v>
      </c>
      <c r="C26594" s="8" t="n">
        <v>45</v>
      </c>
      <c r="D26594" s="8" t="inlineStr">
        <is>
          <t>Disney Adventure World</t>
        </is>
      </c>
      <c r="E26594" s="8" t="inlineStr">
        <is>
          <t>Slinky® Dog Zigzag Spin</t>
        </is>
      </c>
      <c r="F26594" s="8" t="inlineStr">
        <is>
          <t>STANDBY</t>
        </is>
      </c>
      <c r="G26594" s="8" t="n">
        <v>15</v>
      </c>
      <c r="H26594" s="8" t="inlineStr">
        <is>
          <t>OPERATING</t>
        </is>
      </c>
    </row>
    <row r="26595">
      <c r="A26595" s="8" t="inlineStr">
        <is>
          <t>2026-08-05</t>
        </is>
      </c>
      <c r="B26595" s="8" t="n">
        <v>19</v>
      </c>
      <c r="C26595" s="8" t="n">
        <v>45</v>
      </c>
      <c r="D26595" s="8" t="inlineStr">
        <is>
          <t>Disney Adventure World</t>
        </is>
      </c>
      <c r="E26595" s="8" t="inlineStr">
        <is>
          <t>Toy Soldiers Parachute Drop</t>
        </is>
      </c>
      <c r="F26595" s="8" t="inlineStr">
        <is>
          <t>STANDBY</t>
        </is>
      </c>
      <c r="G26595" s="8" t="n">
        <v>40</v>
      </c>
      <c r="H26595" s="8" t="inlineStr">
        <is>
          <t>OPERATING</t>
        </is>
      </c>
    </row>
    <row r="26596">
      <c r="A26596" s="8" t="inlineStr">
        <is>
          <t>2026-08-05</t>
        </is>
      </c>
      <c r="B26596" s="8" t="n">
        <v>19</v>
      </c>
      <c r="C26596" s="8" t="n">
        <v>45</v>
      </c>
      <c r="D26596" s="8" t="inlineStr">
        <is>
          <t>Disney Adventure World</t>
        </is>
      </c>
      <c r="E26596" s="8" t="inlineStr">
        <is>
          <t>Toy Soldiers Parachute Drop Single Rider</t>
        </is>
      </c>
      <c r="F26596" s="8" t="inlineStr">
        <is>
          <t>STANDBY</t>
        </is>
      </c>
      <c r="G26596" s="8" t="n">
        <v>20</v>
      </c>
      <c r="H26596" s="8" t="inlineStr">
        <is>
          <t>OPERATING</t>
        </is>
      </c>
    </row>
    <row r="26597">
      <c r="A26597" s="8" t="inlineStr">
        <is>
          <t>2026-08-05</t>
        </is>
      </c>
      <c r="B26597" s="8" t="n">
        <v>19</v>
      </c>
      <c r="C26597" s="8" t="n">
        <v>45</v>
      </c>
      <c r="D26597" s="8" t="inlineStr">
        <is>
          <t>Disney Adventure World</t>
        </is>
      </c>
      <c r="E26597" s="8" t="inlineStr">
        <is>
          <t>Entry to World of Frozen</t>
        </is>
      </c>
      <c r="F26597" s="8" t="inlineStr">
        <is>
          <t>STANDBY</t>
        </is>
      </c>
      <c r="G26597" s="8" t="n">
        <v>0</v>
      </c>
      <c r="H26597" s="8" t="inlineStr">
        <is>
          <t>OPERATING</t>
        </is>
      </c>
    </row>
    <row r="26598">
      <c r="A26598" s="8" t="inlineStr">
        <is>
          <t>2026-08-05</t>
        </is>
      </c>
      <c r="B26598" s="8" t="n">
        <v>19</v>
      </c>
      <c r="C26598" s="8" t="n">
        <v>45</v>
      </c>
      <c r="D26598" s="8" t="inlineStr">
        <is>
          <t>Disney Adventure World</t>
        </is>
      </c>
      <c r="E26598" s="8" t="inlineStr">
        <is>
          <t>Frozen Ever After</t>
        </is>
      </c>
      <c r="F26598" s="8" t="inlineStr">
        <is>
          <t>STANDBY</t>
        </is>
      </c>
      <c r="G26598" s="8" t="n">
        <v>55</v>
      </c>
      <c r="H26598" s="8" t="inlineStr">
        <is>
          <t>OPERATING</t>
        </is>
      </c>
    </row>
    <row r="26599">
      <c r="A26599" s="8" t="inlineStr">
        <is>
          <t>2026-08-05</t>
        </is>
      </c>
      <c r="B26599" s="8" t="n">
        <v>19</v>
      </c>
      <c r="C26599" s="8" t="n">
        <v>45</v>
      </c>
      <c r="D26599" s="8" t="inlineStr">
        <is>
          <t>Disney Adventure World</t>
        </is>
      </c>
      <c r="E26599" s="8" t="inlineStr">
        <is>
          <t>Raiponce Tangled Spin</t>
        </is>
      </c>
      <c r="F26599" s="8" t="inlineStr">
        <is>
          <t>STANDBY</t>
        </is>
      </c>
      <c r="G26599" s="8" t="n">
        <v>5</v>
      </c>
      <c r="H26599" s="8" t="inlineStr">
        <is>
          <t>OPERATING</t>
        </is>
      </c>
    </row>
    <row r="26600">
      <c r="A26600" s="8" t="inlineStr">
        <is>
          <t>2026-08-05</t>
        </is>
      </c>
      <c r="B26600" s="8" t="n">
        <v>20</v>
      </c>
      <c r="C26600" s="8" t="n">
        <v>1</v>
      </c>
      <c r="D26600" s="8" t="inlineStr">
        <is>
          <t>Disneyland Park</t>
        </is>
      </c>
      <c r="E26600" s="8" t="inlineStr">
        <is>
          <t>Adventure Isle</t>
        </is>
      </c>
      <c r="F26600" s="8" t="inlineStr">
        <is>
          <t>STANDBY</t>
        </is>
      </c>
      <c r="G26600" s="8" t="n">
        <v>0</v>
      </c>
      <c r="H26600" s="8" t="inlineStr">
        <is>
          <t>OPERATING</t>
        </is>
      </c>
    </row>
    <row r="26601">
      <c r="A26601" s="8" t="inlineStr">
        <is>
          <t>2026-08-05</t>
        </is>
      </c>
      <c r="B26601" s="8" t="n">
        <v>20</v>
      </c>
      <c r="C26601" s="8" t="n">
        <v>1</v>
      </c>
      <c r="D26601" s="8" t="inlineStr">
        <is>
          <t>Disneyland Park</t>
        </is>
      </c>
      <c r="E26601" s="8" t="inlineStr">
        <is>
          <t>Indiana Jones and the Temple of Peril Single Rider</t>
        </is>
      </c>
      <c r="F26601" s="8" t="inlineStr">
        <is>
          <t>STANDBY</t>
        </is>
      </c>
      <c r="G26601" s="8" t="n">
        <v>5</v>
      </c>
      <c r="H26601" s="8" t="inlineStr">
        <is>
          <t>OPERATING</t>
        </is>
      </c>
    </row>
    <row r="26602">
      <c r="A26602" s="8" t="inlineStr">
        <is>
          <t>2026-08-05</t>
        </is>
      </c>
      <c r="B26602" s="8" t="n">
        <v>20</v>
      </c>
      <c r="C26602" s="8" t="n">
        <v>1</v>
      </c>
      <c r="D26602" s="8" t="inlineStr">
        <is>
          <t>Disneyland Park</t>
        </is>
      </c>
      <c r="E26602" s="8" t="inlineStr">
        <is>
          <t>Indiana Jones™ and the Temple of Peril</t>
        </is>
      </c>
      <c r="F26602" s="8" t="inlineStr">
        <is>
          <t>STANDBY</t>
        </is>
      </c>
      <c r="G26602" s="8" t="n">
        <v>15</v>
      </c>
      <c r="H26602" s="8" t="inlineStr">
        <is>
          <t>OPERATING</t>
        </is>
      </c>
    </row>
    <row r="26603">
      <c r="A26603" s="8" t="inlineStr">
        <is>
          <t>2026-08-05</t>
        </is>
      </c>
      <c r="B26603" s="8" t="n">
        <v>20</v>
      </c>
      <c r="C26603" s="8" t="n">
        <v>1</v>
      </c>
      <c r="D26603" s="8" t="inlineStr">
        <is>
          <t>Disneyland Park</t>
        </is>
      </c>
      <c r="E26603" s="8" t="inlineStr">
        <is>
          <t>La Cabane des Robinson</t>
        </is>
      </c>
      <c r="F26603" s="8" t="inlineStr">
        <is>
          <t>STANDBY</t>
        </is>
      </c>
      <c r="G26603" s="8" t="n">
        <v>5</v>
      </c>
      <c r="H26603" s="8" t="inlineStr">
        <is>
          <t>OPERATING</t>
        </is>
      </c>
    </row>
    <row r="26604">
      <c r="A26604" s="8" t="inlineStr">
        <is>
          <t>2026-08-05</t>
        </is>
      </c>
      <c r="B26604" s="8" t="n">
        <v>20</v>
      </c>
      <c r="C26604" s="8" t="n">
        <v>1</v>
      </c>
      <c r="D26604" s="8" t="inlineStr">
        <is>
          <t>Disneyland Park</t>
        </is>
      </c>
      <c r="E26604" s="8" t="inlineStr">
        <is>
          <t>Le Passage Enchanté d'Aladdin</t>
        </is>
      </c>
      <c r="F26604" s="8" t="inlineStr">
        <is>
          <t>STANDBY</t>
        </is>
      </c>
      <c r="G26604" s="8" t="n">
        <v>0</v>
      </c>
      <c r="H26604" s="8" t="inlineStr">
        <is>
          <t>OPERATING</t>
        </is>
      </c>
    </row>
    <row r="26605">
      <c r="A26605" s="8" t="inlineStr">
        <is>
          <t>2026-08-05</t>
        </is>
      </c>
      <c r="B26605" s="8" t="n">
        <v>20</v>
      </c>
      <c r="C26605" s="8" t="n">
        <v>1</v>
      </c>
      <c r="D26605" s="8" t="inlineStr">
        <is>
          <t>Disneyland Park</t>
        </is>
      </c>
      <c r="E26605" s="8" t="inlineStr">
        <is>
          <t>Pirate Galleon</t>
        </is>
      </c>
      <c r="F26605" s="8" t="inlineStr">
        <is>
          <t>STANDBY</t>
        </is>
      </c>
      <c r="G26605" s="8" t="n">
        <v>0</v>
      </c>
      <c r="H26605" s="8" t="inlineStr">
        <is>
          <t>CLOSED</t>
        </is>
      </c>
    </row>
    <row r="26606">
      <c r="A26606" s="8" t="inlineStr">
        <is>
          <t>2026-08-05</t>
        </is>
      </c>
      <c r="B26606" s="8" t="n">
        <v>20</v>
      </c>
      <c r="C26606" s="8" t="n">
        <v>1</v>
      </c>
      <c r="D26606" s="8" t="inlineStr">
        <is>
          <t>Disneyland Park</t>
        </is>
      </c>
      <c r="E26606" s="8" t="inlineStr">
        <is>
          <t>Pirates of the Caribbean</t>
        </is>
      </c>
      <c r="F26606" s="8" t="inlineStr">
        <is>
          <t>STANDBY</t>
        </is>
      </c>
      <c r="G26606" s="8" t="n">
        <v>10</v>
      </c>
      <c r="H26606" s="8" t="inlineStr">
        <is>
          <t>OPERATING</t>
        </is>
      </c>
    </row>
    <row r="26607">
      <c r="A26607" s="8" t="inlineStr">
        <is>
          <t>2026-08-05</t>
        </is>
      </c>
      <c r="B26607" s="8" t="n">
        <v>20</v>
      </c>
      <c r="C26607" s="8" t="n">
        <v>1</v>
      </c>
      <c r="D26607" s="8" t="inlineStr">
        <is>
          <t>Disneyland Park</t>
        </is>
      </c>
      <c r="E26607" s="8" t="inlineStr">
        <is>
          <t>Pirates' Beach</t>
        </is>
      </c>
      <c r="F26607" s="8" t="inlineStr">
        <is>
          <t>STANDBY</t>
        </is>
      </c>
      <c r="G26607" s="8" t="n">
        <v>0</v>
      </c>
      <c r="H26607" s="8" t="inlineStr">
        <is>
          <t>OPERATING</t>
        </is>
      </c>
    </row>
    <row r="26608">
      <c r="A26608" s="8" t="inlineStr">
        <is>
          <t>2026-08-05</t>
        </is>
      </c>
      <c r="B26608" s="8" t="n">
        <v>20</v>
      </c>
      <c r="C26608" s="8" t="n">
        <v>1</v>
      </c>
      <c r="D26608" s="8" t="inlineStr">
        <is>
          <t>Disneyland Park</t>
        </is>
      </c>
      <c r="E26608" s="8" t="inlineStr">
        <is>
          <t>Autopia, presented by Avis</t>
        </is>
      </c>
      <c r="F26608" s="8" t="inlineStr">
        <is>
          <t>STANDBY</t>
        </is>
      </c>
      <c r="G26608" s="8" t="n">
        <v>60</v>
      </c>
      <c r="H26608" s="8" t="inlineStr">
        <is>
          <t>OPERATING</t>
        </is>
      </c>
    </row>
    <row r="26609">
      <c r="A26609" s="8" t="inlineStr">
        <is>
          <t>2026-08-05</t>
        </is>
      </c>
      <c r="B26609" s="8" t="n">
        <v>20</v>
      </c>
      <c r="C26609" s="8" t="n">
        <v>1</v>
      </c>
      <c r="D26609" s="8" t="inlineStr">
        <is>
          <t>Disneyland Park</t>
        </is>
      </c>
      <c r="E26609" s="8" t="inlineStr">
        <is>
          <t>Buzz Lightyear Laser Blast</t>
        </is>
      </c>
      <c r="F26609" s="8" t="inlineStr">
        <is>
          <t>STANDBY</t>
        </is>
      </c>
      <c r="G26609" s="8" t="n">
        <v>35</v>
      </c>
      <c r="H26609" s="8" t="inlineStr">
        <is>
          <t>OPERATING</t>
        </is>
      </c>
    </row>
    <row r="26610">
      <c r="A26610" s="8" t="inlineStr">
        <is>
          <t>2026-08-05</t>
        </is>
      </c>
      <c r="B26610" s="8" t="n">
        <v>20</v>
      </c>
      <c r="C26610" s="8" t="n">
        <v>1</v>
      </c>
      <c r="D26610" s="8" t="inlineStr">
        <is>
          <t>Disneyland Park</t>
        </is>
      </c>
      <c r="E26610" s="8" t="inlineStr">
        <is>
          <t>Disneyland Railroad Discoveryland Station</t>
        </is>
      </c>
      <c r="F26610" s="8" t="inlineStr">
        <is>
          <t>STANDBY</t>
        </is>
      </c>
      <c r="G26610" s="8" t="n">
        <v>0</v>
      </c>
      <c r="H26610" s="8" t="inlineStr">
        <is>
          <t>CLOSED</t>
        </is>
      </c>
    </row>
    <row r="26611">
      <c r="A26611" s="8" t="inlineStr">
        <is>
          <t>2026-08-05</t>
        </is>
      </c>
      <c r="B26611" s="8" t="n">
        <v>20</v>
      </c>
      <c r="C26611" s="8" t="n">
        <v>1</v>
      </c>
      <c r="D26611" s="8" t="inlineStr">
        <is>
          <t>Disneyland Park</t>
        </is>
      </c>
      <c r="E26611" s="8" t="inlineStr">
        <is>
          <t>Les Mystères du Nautilus</t>
        </is>
      </c>
      <c r="F26611" s="8" t="inlineStr">
        <is>
          <t>STANDBY</t>
        </is>
      </c>
      <c r="G26611" s="8" t="n">
        <v>5</v>
      </c>
      <c r="H26611" s="8" t="inlineStr">
        <is>
          <t>OPERATING</t>
        </is>
      </c>
    </row>
    <row r="26612">
      <c r="A26612" s="8" t="inlineStr">
        <is>
          <t>2026-08-05</t>
        </is>
      </c>
      <c r="B26612" s="8" t="n">
        <v>20</v>
      </c>
      <c r="C26612" s="8" t="n">
        <v>1</v>
      </c>
      <c r="D26612" s="8" t="inlineStr">
        <is>
          <t>Disneyland Park</t>
        </is>
      </c>
      <c r="E26612" s="8" t="inlineStr">
        <is>
          <t>Mickey’s PhilharMagic</t>
        </is>
      </c>
      <c r="F26612" s="8" t="inlineStr">
        <is>
          <t>STANDBY</t>
        </is>
      </c>
      <c r="G26612" s="8" t="n">
        <v>0</v>
      </c>
      <c r="H26612" s="8" t="inlineStr">
        <is>
          <t>CLOSED</t>
        </is>
      </c>
    </row>
    <row r="26613">
      <c r="A26613" s="8" t="inlineStr">
        <is>
          <t>2026-08-05</t>
        </is>
      </c>
      <c r="B26613" s="8" t="n">
        <v>20</v>
      </c>
      <c r="C26613" s="8" t="n">
        <v>1</v>
      </c>
      <c r="D26613" s="8" t="inlineStr">
        <is>
          <t>Disneyland Park</t>
        </is>
      </c>
      <c r="E26613" s="8" t="inlineStr">
        <is>
          <t>Orbitron®</t>
        </is>
      </c>
      <c r="F26613" s="8" t="inlineStr">
        <is>
          <t>STANDBY</t>
        </is>
      </c>
      <c r="G26613" s="8" t="n">
        <v>50</v>
      </c>
      <c r="H26613" s="8" t="inlineStr">
        <is>
          <t>OPERATING</t>
        </is>
      </c>
    </row>
    <row r="26614">
      <c r="A26614" s="8" t="inlineStr">
        <is>
          <t>2026-08-05</t>
        </is>
      </c>
      <c r="B26614" s="8" t="n">
        <v>20</v>
      </c>
      <c r="C26614" s="8" t="n">
        <v>1</v>
      </c>
      <c r="D26614" s="8" t="inlineStr">
        <is>
          <t>Disneyland Park</t>
        </is>
      </c>
      <c r="E26614" s="8" t="inlineStr">
        <is>
          <t>Star Tours: The Adventures Continue*</t>
        </is>
      </c>
      <c r="F26614" s="8" t="inlineStr">
        <is>
          <t>STANDBY</t>
        </is>
      </c>
      <c r="G26614" s="8" t="n">
        <v>10</v>
      </c>
      <c r="H26614" s="8" t="inlineStr">
        <is>
          <t>OPERATING</t>
        </is>
      </c>
    </row>
    <row r="26615">
      <c r="A26615" s="8" t="inlineStr">
        <is>
          <t>2026-08-05</t>
        </is>
      </c>
      <c r="B26615" s="8" t="n">
        <v>20</v>
      </c>
      <c r="C26615" s="8" t="n">
        <v>1</v>
      </c>
      <c r="D26615" s="8" t="inlineStr">
        <is>
          <t>Disneyland Park</t>
        </is>
      </c>
      <c r="E26615" s="8" t="inlineStr">
        <is>
          <t>Star Wars Hyperspace Mountain</t>
        </is>
      </c>
      <c r="F26615" s="8" t="inlineStr">
        <is>
          <t>STANDBY</t>
        </is>
      </c>
      <c r="G26615" s="8" t="n">
        <v>30</v>
      </c>
      <c r="H26615" s="8" t="inlineStr">
        <is>
          <t>OPERATING</t>
        </is>
      </c>
    </row>
    <row r="26616">
      <c r="A26616" s="8" t="inlineStr">
        <is>
          <t>2026-08-05</t>
        </is>
      </c>
      <c r="B26616" s="8" t="n">
        <v>20</v>
      </c>
      <c r="C26616" s="8" t="n">
        <v>1</v>
      </c>
      <c r="D26616" s="8" t="inlineStr">
        <is>
          <t>Disneyland Park</t>
        </is>
      </c>
      <c r="E26616" s="8" t="inlineStr">
        <is>
          <t>Star Wars Hyperspace Mountain Single Rider</t>
        </is>
      </c>
      <c r="F26616" s="8" t="inlineStr">
        <is>
          <t>STANDBY</t>
        </is>
      </c>
      <c r="G26616" s="8" t="n">
        <v>0</v>
      </c>
      <c r="H26616" s="8" t="inlineStr">
        <is>
          <t>OPERATING</t>
        </is>
      </c>
    </row>
    <row r="26617">
      <c r="A26617" s="8" t="inlineStr">
        <is>
          <t>2026-08-05</t>
        </is>
      </c>
      <c r="B26617" s="8" t="n">
        <v>20</v>
      </c>
      <c r="C26617" s="8" t="n">
        <v>1</v>
      </c>
      <c r="D26617" s="8" t="inlineStr">
        <is>
          <t>Disneyland Park</t>
        </is>
      </c>
      <c r="E26617" s="8" t="inlineStr">
        <is>
          <t>Welcome to Starport: A Star Wars Encounter</t>
        </is>
      </c>
      <c r="F26617" s="8" t="inlineStr">
        <is>
          <t>STANDBY</t>
        </is>
      </c>
      <c r="G26617" s="8" t="n">
        <v>0</v>
      </c>
      <c r="H26617" s="8" t="inlineStr">
        <is>
          <t>CLOSED</t>
        </is>
      </c>
    </row>
    <row r="26618">
      <c r="A26618" s="8" t="inlineStr">
        <is>
          <t>2026-08-05</t>
        </is>
      </c>
      <c r="B26618" s="8" t="n">
        <v>20</v>
      </c>
      <c r="C26618" s="8" t="n">
        <v>1</v>
      </c>
      <c r="D26618" s="8" t="inlineStr">
        <is>
          <t>Disneyland Park</t>
        </is>
      </c>
      <c r="E26618" s="8" t="inlineStr">
        <is>
          <t>"it's a small world"</t>
        </is>
      </c>
      <c r="F26618" s="8" t="inlineStr">
        <is>
          <t>STANDBY</t>
        </is>
      </c>
      <c r="G26618" s="8" t="n">
        <v>5</v>
      </c>
      <c r="H26618" s="8" t="inlineStr">
        <is>
          <t>OPERATING</t>
        </is>
      </c>
    </row>
    <row r="26619">
      <c r="A26619" s="8" t="inlineStr">
        <is>
          <t>2026-08-05</t>
        </is>
      </c>
      <c r="B26619" s="8" t="n">
        <v>20</v>
      </c>
      <c r="C26619" s="8" t="n">
        <v>1</v>
      </c>
      <c r="D26619" s="8" t="inlineStr">
        <is>
          <t>Disneyland Park</t>
        </is>
      </c>
      <c r="E26619" s="8" t="inlineStr">
        <is>
          <t>Alice's Curious Labyrinth</t>
        </is>
      </c>
      <c r="F26619" s="8" t="inlineStr">
        <is>
          <t>STANDBY</t>
        </is>
      </c>
      <c r="G26619" s="8" t="n">
        <v>5</v>
      </c>
      <c r="H26619" s="8" t="inlineStr">
        <is>
          <t>OPERATING</t>
        </is>
      </c>
    </row>
    <row r="26620">
      <c r="A26620" s="8" t="inlineStr">
        <is>
          <t>2026-08-05</t>
        </is>
      </c>
      <c r="B26620" s="8" t="n">
        <v>20</v>
      </c>
      <c r="C26620" s="8" t="n">
        <v>1</v>
      </c>
      <c r="D26620" s="8" t="inlineStr">
        <is>
          <t>Disneyland Park</t>
        </is>
      </c>
      <c r="E26620" s="8" t="inlineStr">
        <is>
          <t>Blanche-Neige et les Sept Nains®</t>
        </is>
      </c>
      <c r="F26620" s="8" t="inlineStr">
        <is>
          <t>STANDBY</t>
        </is>
      </c>
      <c r="G26620" s="8" t="n">
        <v>30</v>
      </c>
      <c r="H26620" s="8" t="inlineStr">
        <is>
          <t>OPERATING</t>
        </is>
      </c>
    </row>
    <row r="26621">
      <c r="A26621" s="8" t="inlineStr">
        <is>
          <t>2026-08-05</t>
        </is>
      </c>
      <c r="B26621" s="8" t="n">
        <v>20</v>
      </c>
      <c r="C26621" s="8" t="n">
        <v>1</v>
      </c>
      <c r="D26621" s="8" t="inlineStr">
        <is>
          <t>Disneyland Park</t>
        </is>
      </c>
      <c r="E26621" s="8" t="inlineStr">
        <is>
          <t>Casey Jr. – le Petit Train du Cirque</t>
        </is>
      </c>
      <c r="F26621" s="8" t="inlineStr">
        <is>
          <t>STANDBY</t>
        </is>
      </c>
      <c r="G26621" s="8" t="n">
        <v>25</v>
      </c>
      <c r="H26621" s="8" t="inlineStr">
        <is>
          <t>OPERATING</t>
        </is>
      </c>
    </row>
    <row r="26622">
      <c r="A26622" s="8" t="inlineStr">
        <is>
          <t>2026-08-05</t>
        </is>
      </c>
      <c r="B26622" s="8" t="n">
        <v>20</v>
      </c>
      <c r="C26622" s="8" t="n">
        <v>1</v>
      </c>
      <c r="D26622" s="8" t="inlineStr">
        <is>
          <t>Disneyland Park</t>
        </is>
      </c>
      <c r="E26622" s="8" t="inlineStr">
        <is>
          <t>Disneyland Railroad Fantasyland Station</t>
        </is>
      </c>
      <c r="F26622" s="8" t="inlineStr">
        <is>
          <t>STANDBY</t>
        </is>
      </c>
      <c r="G26622" s="8" t="n">
        <v>0</v>
      </c>
      <c r="H26622" s="8" t="inlineStr">
        <is>
          <t>CLOSED</t>
        </is>
      </c>
    </row>
    <row r="26623">
      <c r="A26623" s="8" t="inlineStr">
        <is>
          <t>2026-08-05</t>
        </is>
      </c>
      <c r="B26623" s="8" t="n">
        <v>20</v>
      </c>
      <c r="C26623" s="8" t="n">
        <v>1</v>
      </c>
      <c r="D26623" s="8" t="inlineStr">
        <is>
          <t>Disneyland Park</t>
        </is>
      </c>
      <c r="E26623" s="8" t="inlineStr">
        <is>
          <t>Disneyland Railroad Main Street Station</t>
        </is>
      </c>
      <c r="F26623" s="8" t="inlineStr">
        <is>
          <t>STANDBY</t>
        </is>
      </c>
      <c r="G26623" s="8" t="n">
        <v>0</v>
      </c>
      <c r="H26623" s="8" t="inlineStr">
        <is>
          <t>CLOSED</t>
        </is>
      </c>
    </row>
    <row r="26624">
      <c r="A26624" s="8" t="inlineStr">
        <is>
          <t>2026-08-05</t>
        </is>
      </c>
      <c r="B26624" s="8" t="n">
        <v>20</v>
      </c>
      <c r="C26624" s="8" t="n">
        <v>1</v>
      </c>
      <c r="D26624" s="8" t="inlineStr">
        <is>
          <t>Disneyland Park</t>
        </is>
      </c>
      <c r="E26624" s="8" t="inlineStr">
        <is>
          <t>Dumbo the Flying Elephant</t>
        </is>
      </c>
      <c r="F26624" s="8" t="inlineStr">
        <is>
          <t>STANDBY</t>
        </is>
      </c>
      <c r="G26624" s="8" t="n">
        <v>35</v>
      </c>
      <c r="H26624" s="8" t="inlineStr">
        <is>
          <t>OPERATING</t>
        </is>
      </c>
    </row>
    <row r="26625">
      <c r="A26625" s="8" t="inlineStr">
        <is>
          <t>2026-08-05</t>
        </is>
      </c>
      <c r="B26625" s="8" t="n">
        <v>20</v>
      </c>
      <c r="C26625" s="8" t="n">
        <v>1</v>
      </c>
      <c r="D26625" s="8" t="inlineStr">
        <is>
          <t>Disneyland Park</t>
        </is>
      </c>
      <c r="E26625" s="8" t="inlineStr">
        <is>
          <t>La Tanière du Dragon</t>
        </is>
      </c>
      <c r="F26625" s="8" t="inlineStr">
        <is>
          <t>STANDBY</t>
        </is>
      </c>
      <c r="G26625" s="8" t="n">
        <v>0</v>
      </c>
      <c r="H26625" s="8" t="inlineStr">
        <is>
          <t>OPERATING</t>
        </is>
      </c>
    </row>
    <row r="26626">
      <c r="A26626" s="8" t="inlineStr">
        <is>
          <t>2026-08-05</t>
        </is>
      </c>
      <c r="B26626" s="8" t="n">
        <v>20</v>
      </c>
      <c r="C26626" s="8" t="n">
        <v>1</v>
      </c>
      <c r="D26626" s="8" t="inlineStr">
        <is>
          <t>Disneyland Park</t>
        </is>
      </c>
      <c r="E26626" s="8" t="inlineStr">
        <is>
          <t>Le Carrousel de Lancelot</t>
        </is>
      </c>
      <c r="F26626" s="8" t="inlineStr">
        <is>
          <t>STANDBY</t>
        </is>
      </c>
      <c r="G26626" s="8" t="n">
        <v>15</v>
      </c>
      <c r="H26626" s="8" t="inlineStr">
        <is>
          <t>OPERATING</t>
        </is>
      </c>
    </row>
    <row r="26627">
      <c r="A26627" s="8" t="inlineStr">
        <is>
          <t>2026-08-05</t>
        </is>
      </c>
      <c r="B26627" s="8" t="n">
        <v>20</v>
      </c>
      <c r="C26627" s="8" t="n">
        <v>1</v>
      </c>
      <c r="D26627" s="8" t="inlineStr">
        <is>
          <t>Disneyland Park</t>
        </is>
      </c>
      <c r="E26627" s="8" t="inlineStr">
        <is>
          <t>Le Pays des Contes de Fées, presented by Vittel</t>
        </is>
      </c>
      <c r="F26627" s="8" t="inlineStr">
        <is>
          <t>STANDBY</t>
        </is>
      </c>
      <c r="G26627" s="8" t="n">
        <v>5</v>
      </c>
      <c r="H26627" s="8" t="inlineStr">
        <is>
          <t>OPERATING</t>
        </is>
      </c>
    </row>
    <row r="26628">
      <c r="A26628" s="8" t="inlineStr">
        <is>
          <t>2026-08-05</t>
        </is>
      </c>
      <c r="B26628" s="8" t="n">
        <v>20</v>
      </c>
      <c r="C26628" s="8" t="n">
        <v>1</v>
      </c>
      <c r="D26628" s="8" t="inlineStr">
        <is>
          <t>Disneyland Park</t>
        </is>
      </c>
      <c r="E26628" s="8" t="inlineStr">
        <is>
          <t>Les Voyages de Pinocchio</t>
        </is>
      </c>
      <c r="F26628" s="8" t="inlineStr">
        <is>
          <t>STANDBY</t>
        </is>
      </c>
      <c r="G26628" s="8" t="n">
        <v>15</v>
      </c>
      <c r="H26628" s="8" t="inlineStr">
        <is>
          <t>OPERATING</t>
        </is>
      </c>
    </row>
    <row r="26629">
      <c r="A26629" s="8" t="inlineStr">
        <is>
          <t>2026-08-05</t>
        </is>
      </c>
      <c r="B26629" s="8" t="n">
        <v>20</v>
      </c>
      <c r="C26629" s="8" t="n">
        <v>1</v>
      </c>
      <c r="D26629" s="8" t="inlineStr">
        <is>
          <t>Disneyland Park</t>
        </is>
      </c>
      <c r="E26629" s="8" t="inlineStr">
        <is>
          <t>Mad Hatter's Tea Cups</t>
        </is>
      </c>
      <c r="F26629" s="8" t="inlineStr">
        <is>
          <t>STANDBY</t>
        </is>
      </c>
      <c r="G26629" s="8" t="n">
        <v>5</v>
      </c>
      <c r="H26629" s="8" t="inlineStr">
        <is>
          <t>OPERATING</t>
        </is>
      </c>
    </row>
    <row r="26630">
      <c r="A26630" s="8" t="inlineStr">
        <is>
          <t>2026-08-05</t>
        </is>
      </c>
      <c r="B26630" s="8" t="n">
        <v>20</v>
      </c>
      <c r="C26630" s="8" t="n">
        <v>1</v>
      </c>
      <c r="D26630" s="8" t="inlineStr">
        <is>
          <t>Disneyland Park</t>
        </is>
      </c>
      <c r="E26630" s="8" t="inlineStr">
        <is>
          <t>Meet Mickey Mouse</t>
        </is>
      </c>
      <c r="F26630" s="8" t="inlineStr">
        <is>
          <t>STANDBY</t>
        </is>
      </c>
      <c r="G26630" s="8" t="n">
        <v>0</v>
      </c>
      <c r="H26630" s="8" t="inlineStr">
        <is>
          <t>CLOSED</t>
        </is>
      </c>
    </row>
    <row r="26631">
      <c r="A26631" s="8" t="inlineStr">
        <is>
          <t>2026-08-05</t>
        </is>
      </c>
      <c r="B26631" s="8" t="n">
        <v>20</v>
      </c>
      <c r="C26631" s="8" t="n">
        <v>1</v>
      </c>
      <c r="D26631" s="8" t="inlineStr">
        <is>
          <t>Disneyland Park</t>
        </is>
      </c>
      <c r="E26631" s="8" t="inlineStr">
        <is>
          <t>Peter Pan's Flight</t>
        </is>
      </c>
      <c r="F26631" s="8" t="inlineStr">
        <is>
          <t>STANDBY</t>
        </is>
      </c>
      <c r="G26631" s="8" t="n">
        <v>75</v>
      </c>
      <c r="H26631" s="8" t="inlineStr">
        <is>
          <t>OPERATING</t>
        </is>
      </c>
    </row>
    <row r="26632">
      <c r="A26632" s="8" t="inlineStr">
        <is>
          <t>2026-08-05</t>
        </is>
      </c>
      <c r="B26632" s="8" t="n">
        <v>20</v>
      </c>
      <c r="C26632" s="8" t="n">
        <v>1</v>
      </c>
      <c r="D26632" s="8" t="inlineStr">
        <is>
          <t>Disneyland Park</t>
        </is>
      </c>
      <c r="E26632" s="8" t="inlineStr">
        <is>
          <t>Princess Pavilion</t>
        </is>
      </c>
      <c r="F26632" s="8" t="inlineStr">
        <is>
          <t>STANDBY</t>
        </is>
      </c>
      <c r="G26632" s="8" t="n">
        <v>0</v>
      </c>
      <c r="H26632" s="8" t="inlineStr">
        <is>
          <t>CLOSED</t>
        </is>
      </c>
    </row>
    <row r="26633">
      <c r="A26633" s="8" t="inlineStr">
        <is>
          <t>2026-08-05</t>
        </is>
      </c>
      <c r="B26633" s="8" t="n">
        <v>20</v>
      </c>
      <c r="C26633" s="8" t="n">
        <v>1</v>
      </c>
      <c r="D26633" s="8" t="inlineStr">
        <is>
          <t>Disneyland Park</t>
        </is>
      </c>
      <c r="E26633" s="8" t="inlineStr">
        <is>
          <t>Big Thunder Mountain</t>
        </is>
      </c>
      <c r="F26633" s="8" t="inlineStr">
        <is>
          <t>STANDBY</t>
        </is>
      </c>
      <c r="G26633" s="8" t="n">
        <v>50</v>
      </c>
      <c r="H26633" s="8" t="inlineStr">
        <is>
          <t>OPERATING</t>
        </is>
      </c>
    </row>
    <row r="26634">
      <c r="A26634" s="8" t="inlineStr">
        <is>
          <t>2026-08-05</t>
        </is>
      </c>
      <c r="B26634" s="8" t="n">
        <v>20</v>
      </c>
      <c r="C26634" s="8" t="n">
        <v>1</v>
      </c>
      <c r="D26634" s="8" t="inlineStr">
        <is>
          <t>Disneyland Park</t>
        </is>
      </c>
      <c r="E26634" s="8" t="inlineStr">
        <is>
          <t>Disneyland Railroad Frontierland Depot</t>
        </is>
      </c>
      <c r="F26634" s="8" t="inlineStr">
        <is>
          <t>STANDBY</t>
        </is>
      </c>
      <c r="G26634" s="8" t="n">
        <v>0</v>
      </c>
      <c r="H26634" s="8" t="inlineStr">
        <is>
          <t>CLOSED</t>
        </is>
      </c>
    </row>
    <row r="26635">
      <c r="A26635" s="8" t="inlineStr">
        <is>
          <t>2026-08-05</t>
        </is>
      </c>
      <c r="B26635" s="8" t="n">
        <v>20</v>
      </c>
      <c r="C26635" s="8" t="n">
        <v>1</v>
      </c>
      <c r="D26635" s="8" t="inlineStr">
        <is>
          <t>Disneyland Park</t>
        </is>
      </c>
      <c r="E26635" s="8" t="inlineStr">
        <is>
          <t>Frontierland Playground</t>
        </is>
      </c>
      <c r="F26635" s="8" t="inlineStr">
        <is>
          <t>STANDBY</t>
        </is>
      </c>
      <c r="G26635" s="8" t="n">
        <v>0</v>
      </c>
      <c r="H26635" s="8" t="inlineStr">
        <is>
          <t>OPERATING</t>
        </is>
      </c>
    </row>
    <row r="26636">
      <c r="A26636" s="8" t="inlineStr">
        <is>
          <t>2026-08-05</t>
        </is>
      </c>
      <c r="B26636" s="8" t="n">
        <v>20</v>
      </c>
      <c r="C26636" s="8" t="n">
        <v>1</v>
      </c>
      <c r="D26636" s="8" t="inlineStr">
        <is>
          <t>Disneyland Park</t>
        </is>
      </c>
      <c r="E26636" s="8" t="inlineStr">
        <is>
          <t>Phantom Manor</t>
        </is>
      </c>
      <c r="F26636" s="8" t="inlineStr">
        <is>
          <t>STANDBY</t>
        </is>
      </c>
      <c r="G26636" s="8" t="n">
        <v>5</v>
      </c>
      <c r="H26636" s="8" t="inlineStr">
        <is>
          <t>OPERATING</t>
        </is>
      </c>
    </row>
    <row r="26637">
      <c r="A26637" s="8" t="inlineStr">
        <is>
          <t>2026-08-05</t>
        </is>
      </c>
      <c r="B26637" s="8" t="n">
        <v>20</v>
      </c>
      <c r="C26637" s="8" t="n">
        <v>1</v>
      </c>
      <c r="D26637" s="8" t="inlineStr">
        <is>
          <t>Disneyland Park</t>
        </is>
      </c>
      <c r="E26637" s="8" t="inlineStr">
        <is>
          <t>River Rogue Keelboats</t>
        </is>
      </c>
      <c r="F26637" s="8" t="inlineStr">
        <is>
          <t>STANDBY</t>
        </is>
      </c>
      <c r="G26637" s="8" t="n">
        <v>0</v>
      </c>
      <c r="H26637" s="8" t="inlineStr">
        <is>
          <t>CLOSED</t>
        </is>
      </c>
    </row>
    <row r="26638">
      <c r="A26638" s="8" t="inlineStr">
        <is>
          <t>2026-08-05</t>
        </is>
      </c>
      <c r="B26638" s="8" t="n">
        <v>20</v>
      </c>
      <c r="C26638" s="8" t="n">
        <v>1</v>
      </c>
      <c r="D26638" s="8" t="inlineStr">
        <is>
          <t>Disneyland Park</t>
        </is>
      </c>
      <c r="E26638" s="8" t="inlineStr">
        <is>
          <t>Rustler Roundup Shootin' Gallery</t>
        </is>
      </c>
      <c r="F26638" s="8" t="inlineStr">
        <is>
          <t>STANDBY</t>
        </is>
      </c>
      <c r="G26638" s="8" t="n">
        <v>0</v>
      </c>
      <c r="H26638" s="8" t="inlineStr">
        <is>
          <t>OPERATING</t>
        </is>
      </c>
    </row>
    <row r="26639">
      <c r="A26639" s="8" t="inlineStr">
        <is>
          <t>2026-08-05</t>
        </is>
      </c>
      <c r="B26639" s="8" t="n">
        <v>20</v>
      </c>
      <c r="C26639" s="8" t="n">
        <v>1</v>
      </c>
      <c r="D26639" s="8" t="inlineStr">
        <is>
          <t>Disneyland Park</t>
        </is>
      </c>
      <c r="E26639" s="8" t="inlineStr">
        <is>
          <t>Thunder Mesa Riverboat Landing</t>
        </is>
      </c>
      <c r="F26639" s="8" t="inlineStr">
        <is>
          <t>STANDBY</t>
        </is>
      </c>
      <c r="G26639" s="8" t="n">
        <v>0</v>
      </c>
      <c r="H26639" s="8" t="inlineStr">
        <is>
          <t>CLOSED</t>
        </is>
      </c>
    </row>
    <row r="26640">
      <c r="A26640" s="8" t="inlineStr">
        <is>
          <t>2026-08-05</t>
        </is>
      </c>
      <c r="B26640" s="8" t="n">
        <v>20</v>
      </c>
      <c r="C26640" s="8" t="n">
        <v>1</v>
      </c>
      <c r="D26640" s="8" t="inlineStr">
        <is>
          <t>Disneyland Park</t>
        </is>
      </c>
      <c r="E26640" s="8" t="inlineStr">
        <is>
          <t>Disneyland Railroad Main Street Station</t>
        </is>
      </c>
      <c r="F26640" s="8" t="inlineStr">
        <is>
          <t>STANDBY</t>
        </is>
      </c>
      <c r="G26640" s="8" t="n">
        <v>0</v>
      </c>
      <c r="H26640" s="8" t="inlineStr">
        <is>
          <t>CLOSED</t>
        </is>
      </c>
    </row>
    <row r="26641">
      <c r="A26641" s="8" t="inlineStr">
        <is>
          <t>2026-08-05</t>
        </is>
      </c>
      <c r="B26641" s="8" t="n">
        <v>20</v>
      </c>
      <c r="C26641" s="8" t="n">
        <v>1</v>
      </c>
      <c r="D26641" s="8" t="inlineStr">
        <is>
          <t>Disneyland Park</t>
        </is>
      </c>
      <c r="E26641" s="8" t="inlineStr">
        <is>
          <t>Main Street Vehicles</t>
        </is>
      </c>
      <c r="F26641" s="8" t="inlineStr">
        <is>
          <t>STANDBY</t>
        </is>
      </c>
      <c r="G26641" s="8" t="n">
        <v>0</v>
      </c>
      <c r="H26641" s="8" t="inlineStr">
        <is>
          <t>CLOSED</t>
        </is>
      </c>
    </row>
    <row r="26642">
      <c r="A26642" s="8" t="inlineStr">
        <is>
          <t>2026-08-05</t>
        </is>
      </c>
      <c r="B26642" s="8" t="n">
        <v>20</v>
      </c>
      <c r="C26642" s="8" t="n">
        <v>1</v>
      </c>
      <c r="D26642" s="8" t="inlineStr">
        <is>
          <t>Disney Adventure World</t>
        </is>
      </c>
      <c r="E26642" s="8" t="inlineStr">
        <is>
          <t>Avengers Assemble: Flight Force</t>
        </is>
      </c>
      <c r="F26642" s="8" t="inlineStr">
        <is>
          <t>STANDBY</t>
        </is>
      </c>
      <c r="G26642" s="8" t="n">
        <v>10</v>
      </c>
      <c r="H26642" s="8" t="inlineStr">
        <is>
          <t>OPERATING</t>
        </is>
      </c>
    </row>
    <row r="26643">
      <c r="A26643" s="8" t="inlineStr">
        <is>
          <t>2026-08-05</t>
        </is>
      </c>
      <c r="B26643" s="8" t="n">
        <v>20</v>
      </c>
      <c r="C26643" s="8" t="n">
        <v>1</v>
      </c>
      <c r="D26643" s="8" t="inlineStr">
        <is>
          <t>Disney Adventure World</t>
        </is>
      </c>
      <c r="E26643" s="8" t="inlineStr">
        <is>
          <t>Avengers Assemble: Flight Force Single Rider</t>
        </is>
      </c>
      <c r="F26643" s="8" t="inlineStr">
        <is>
          <t>STANDBY</t>
        </is>
      </c>
      <c r="G26643" s="8" t="n">
        <v>5</v>
      </c>
      <c r="H26643" s="8" t="inlineStr">
        <is>
          <t>OPERATING</t>
        </is>
      </c>
    </row>
    <row r="26644">
      <c r="A26644" s="8" t="inlineStr">
        <is>
          <t>2026-08-05</t>
        </is>
      </c>
      <c r="B26644" s="8" t="n">
        <v>20</v>
      </c>
      <c r="C26644" s="8" t="n">
        <v>1</v>
      </c>
      <c r="D26644" s="8" t="inlineStr">
        <is>
          <t>Disney Adventure World</t>
        </is>
      </c>
      <c r="E26644" s="8" t="inlineStr">
        <is>
          <t>Spider-Man W.E.B. Adventure</t>
        </is>
      </c>
      <c r="F26644" s="8" t="inlineStr">
        <is>
          <t>STANDBY</t>
        </is>
      </c>
      <c r="G26644" s="8" t="n">
        <v>50</v>
      </c>
      <c r="H26644" s="8" t="inlineStr">
        <is>
          <t>OPERATING</t>
        </is>
      </c>
    </row>
    <row r="26645">
      <c r="A26645" s="8" t="inlineStr">
        <is>
          <t>2026-08-05</t>
        </is>
      </c>
      <c r="B26645" s="8" t="n">
        <v>20</v>
      </c>
      <c r="C26645" s="8" t="n">
        <v>1</v>
      </c>
      <c r="D26645" s="8" t="inlineStr">
        <is>
          <t>Disney Adventure World</t>
        </is>
      </c>
      <c r="E26645" s="8" t="inlineStr">
        <is>
          <t>Spider-Man W.E.B. Adventure Single Rider</t>
        </is>
      </c>
      <c r="F26645" s="8" t="inlineStr">
        <is>
          <t>STANDBY</t>
        </is>
      </c>
      <c r="G26645" s="8" t="n">
        <v>15</v>
      </c>
      <c r="H26645" s="8" t="inlineStr">
        <is>
          <t>OPERATING</t>
        </is>
      </c>
    </row>
    <row r="26646">
      <c r="A26646" s="8" t="inlineStr">
        <is>
          <t>2026-08-05</t>
        </is>
      </c>
      <c r="B26646" s="8" t="n">
        <v>20</v>
      </c>
      <c r="C26646" s="8" t="n">
        <v>1</v>
      </c>
      <c r="D26646" s="8" t="inlineStr">
        <is>
          <t>Disney Adventure World</t>
        </is>
      </c>
      <c r="E26646" s="8" t="inlineStr">
        <is>
          <t>The Twilight Zone Tower of Terror</t>
        </is>
      </c>
      <c r="F26646" s="8" t="inlineStr">
        <is>
          <t>STANDBY</t>
        </is>
      </c>
      <c r="G26646" s="8" t="n">
        <v>10</v>
      </c>
      <c r="H26646" s="8" t="inlineStr">
        <is>
          <t>OPERATING</t>
        </is>
      </c>
    </row>
    <row r="26647">
      <c r="A26647" s="8" t="inlineStr">
        <is>
          <t>2026-08-05</t>
        </is>
      </c>
      <c r="B26647" s="8" t="n">
        <v>20</v>
      </c>
      <c r="C26647" s="8" t="n">
        <v>1</v>
      </c>
      <c r="D26647" s="8" t="inlineStr">
        <is>
          <t>Disney Adventure World</t>
        </is>
      </c>
      <c r="E26647" s="8" t="inlineStr">
        <is>
          <t>Cars Quatre Roues Rallye</t>
        </is>
      </c>
      <c r="F26647" s="8" t="inlineStr">
        <is>
          <t>STANDBY</t>
        </is>
      </c>
      <c r="G26647" s="8" t="n">
        <v>10</v>
      </c>
      <c r="H26647" s="8" t="inlineStr">
        <is>
          <t>OPERATING</t>
        </is>
      </c>
    </row>
    <row r="26648">
      <c r="A26648" s="8" t="inlineStr">
        <is>
          <t>2026-08-05</t>
        </is>
      </c>
      <c r="B26648" s="8" t="n">
        <v>20</v>
      </c>
      <c r="C26648" s="8" t="n">
        <v>1</v>
      </c>
      <c r="D26648" s="8" t="inlineStr">
        <is>
          <t>Disney Adventure World</t>
        </is>
      </c>
      <c r="E26648" s="8" t="inlineStr">
        <is>
          <t>Cars ROAD TRIP</t>
        </is>
      </c>
      <c r="F26648" s="8" t="inlineStr">
        <is>
          <t>STANDBY</t>
        </is>
      </c>
      <c r="G26648" s="8" t="n">
        <v>10</v>
      </c>
      <c r="H26648" s="8" t="inlineStr">
        <is>
          <t>OPERATING</t>
        </is>
      </c>
    </row>
    <row r="26649">
      <c r="A26649" s="8" t="inlineStr">
        <is>
          <t>2026-08-05</t>
        </is>
      </c>
      <c r="B26649" s="8" t="n">
        <v>20</v>
      </c>
      <c r="C26649" s="8" t="n">
        <v>1</v>
      </c>
      <c r="D26649" s="8" t="inlineStr">
        <is>
          <t>Disney Adventure World</t>
        </is>
      </c>
      <c r="E26649" s="8" t="inlineStr">
        <is>
          <t>Crush's Coaster</t>
        </is>
      </c>
      <c r="F26649" s="8" t="inlineStr">
        <is>
          <t>STANDBY</t>
        </is>
      </c>
      <c r="G26649" s="8" t="n">
        <v>60</v>
      </c>
      <c r="H26649" s="8" t="inlineStr">
        <is>
          <t>OPERATING</t>
        </is>
      </c>
    </row>
    <row r="26650">
      <c r="A26650" s="8" t="inlineStr">
        <is>
          <t>2026-08-05</t>
        </is>
      </c>
      <c r="B26650" s="8" t="n">
        <v>20</v>
      </c>
      <c r="C26650" s="8" t="n">
        <v>1</v>
      </c>
      <c r="D26650" s="8" t="inlineStr">
        <is>
          <t>Disney Adventure World</t>
        </is>
      </c>
      <c r="E26650" s="8" t="inlineStr">
        <is>
          <t>Crush's Coaster Single Rider</t>
        </is>
      </c>
      <c r="F26650" s="8" t="inlineStr">
        <is>
          <t>STANDBY</t>
        </is>
      </c>
      <c r="G26650" s="8" t="n">
        <v>40</v>
      </c>
      <c r="H26650" s="8" t="inlineStr">
        <is>
          <t>OPERATING</t>
        </is>
      </c>
    </row>
    <row r="26651">
      <c r="A26651" s="8" t="inlineStr">
        <is>
          <t>2026-08-05</t>
        </is>
      </c>
      <c r="B26651" s="8" t="n">
        <v>20</v>
      </c>
      <c r="C26651" s="8" t="n">
        <v>1</v>
      </c>
      <c r="D26651" s="8" t="inlineStr">
        <is>
          <t>Disney Adventure World</t>
        </is>
      </c>
      <c r="E26651" s="8" t="inlineStr">
        <is>
          <t>Les Tapis Volants - Flying Carpets Over Agrabah®</t>
        </is>
      </c>
      <c r="F26651" s="8" t="inlineStr">
        <is>
          <t>STANDBY</t>
        </is>
      </c>
      <c r="G26651" s="8" t="n">
        <v>5</v>
      </c>
      <c r="H26651" s="8" t="inlineStr">
        <is>
          <t>OPERATING</t>
        </is>
      </c>
    </row>
    <row r="26652">
      <c r="A26652" s="8" t="inlineStr">
        <is>
          <t>2026-08-05</t>
        </is>
      </c>
      <c r="B26652" s="8" t="n">
        <v>20</v>
      </c>
      <c r="C26652" s="8" t="n">
        <v>1</v>
      </c>
      <c r="D26652" s="8" t="inlineStr">
        <is>
          <t>Disney Adventure World</t>
        </is>
      </c>
      <c r="E26652" s="8" t="inlineStr">
        <is>
          <t>Ratatouille : L’Aventure Totalement Toquée de Rémy​</t>
        </is>
      </c>
      <c r="F26652" s="8" t="inlineStr">
        <is>
          <t>STANDBY</t>
        </is>
      </c>
      <c r="G26652" s="8" t="n">
        <v>45</v>
      </c>
      <c r="H26652" s="8" t="inlineStr">
        <is>
          <t>OPERATING</t>
        </is>
      </c>
    </row>
    <row r="26653">
      <c r="A26653" s="8" t="inlineStr">
        <is>
          <t>2026-08-05</t>
        </is>
      </c>
      <c r="B26653" s="8" t="n">
        <v>20</v>
      </c>
      <c r="C26653" s="8" t="n">
        <v>1</v>
      </c>
      <c r="D26653" s="8" t="inlineStr">
        <is>
          <t>Disney Adventure World</t>
        </is>
      </c>
      <c r="E26653" s="8" t="inlineStr">
        <is>
          <t>Ratatouille: The Adventure Single Rider</t>
        </is>
      </c>
      <c r="F26653" s="8" t="inlineStr">
        <is>
          <t>STANDBY</t>
        </is>
      </c>
      <c r="G26653" s="8" t="n">
        <v>20</v>
      </c>
      <c r="H26653" s="8" t="inlineStr">
        <is>
          <t>OPERATING</t>
        </is>
      </c>
    </row>
    <row r="26654">
      <c r="A26654" s="8" t="inlineStr">
        <is>
          <t>2026-08-05</t>
        </is>
      </c>
      <c r="B26654" s="8" t="n">
        <v>20</v>
      </c>
      <c r="C26654" s="8" t="n">
        <v>1</v>
      </c>
      <c r="D26654" s="8" t="inlineStr">
        <is>
          <t>Disney Adventure World</t>
        </is>
      </c>
      <c r="E26654" s="8" t="inlineStr">
        <is>
          <t>RC Racer</t>
        </is>
      </c>
      <c r="F26654" s="8" t="inlineStr">
        <is>
          <t>STANDBY</t>
        </is>
      </c>
      <c r="G26654" s="8" t="n">
        <v>35</v>
      </c>
      <c r="H26654" s="8" t="inlineStr">
        <is>
          <t>OPERATING</t>
        </is>
      </c>
    </row>
    <row r="26655">
      <c r="A26655" s="8" t="inlineStr">
        <is>
          <t>2026-08-05</t>
        </is>
      </c>
      <c r="B26655" s="8" t="n">
        <v>20</v>
      </c>
      <c r="C26655" s="8" t="n">
        <v>1</v>
      </c>
      <c r="D26655" s="8" t="inlineStr">
        <is>
          <t>Disney Adventure World</t>
        </is>
      </c>
      <c r="E26655" s="8" t="inlineStr">
        <is>
          <t>RC Racer Single Rider</t>
        </is>
      </c>
      <c r="F26655" s="8" t="inlineStr">
        <is>
          <t>STANDBY</t>
        </is>
      </c>
      <c r="G26655" s="8" t="n">
        <v>30</v>
      </c>
      <c r="H26655" s="8" t="inlineStr">
        <is>
          <t>OPERATING</t>
        </is>
      </c>
    </row>
    <row r="26656">
      <c r="A26656" s="8" t="inlineStr">
        <is>
          <t>2026-08-05</t>
        </is>
      </c>
      <c r="B26656" s="8" t="n">
        <v>20</v>
      </c>
      <c r="C26656" s="8" t="n">
        <v>1</v>
      </c>
      <c r="D26656" s="8" t="inlineStr">
        <is>
          <t>Disney Adventure World</t>
        </is>
      </c>
      <c r="E26656" s="8" t="inlineStr">
        <is>
          <t>Slinky® Dog Zigzag Spin</t>
        </is>
      </c>
      <c r="F26656" s="8" t="inlineStr">
        <is>
          <t>STANDBY</t>
        </is>
      </c>
      <c r="G26656" s="8" t="n">
        <v>20</v>
      </c>
      <c r="H26656" s="8" t="inlineStr">
        <is>
          <t>OPERATING</t>
        </is>
      </c>
    </row>
    <row r="26657">
      <c r="A26657" s="8" t="inlineStr">
        <is>
          <t>2026-08-05</t>
        </is>
      </c>
      <c r="B26657" s="8" t="n">
        <v>20</v>
      </c>
      <c r="C26657" s="8" t="n">
        <v>1</v>
      </c>
      <c r="D26657" s="8" t="inlineStr">
        <is>
          <t>Disney Adventure World</t>
        </is>
      </c>
      <c r="E26657" s="8" t="inlineStr">
        <is>
          <t>Toy Soldiers Parachute Drop</t>
        </is>
      </c>
      <c r="F26657" s="8" t="inlineStr">
        <is>
          <t>STANDBY</t>
        </is>
      </c>
      <c r="G26657" s="8" t="n">
        <v>40</v>
      </c>
      <c r="H26657" s="8" t="inlineStr">
        <is>
          <t>OPERATING</t>
        </is>
      </c>
    </row>
    <row r="26658">
      <c r="A26658" s="8" t="inlineStr">
        <is>
          <t>2026-08-05</t>
        </is>
      </c>
      <c r="B26658" s="8" t="n">
        <v>20</v>
      </c>
      <c r="C26658" s="8" t="n">
        <v>1</v>
      </c>
      <c r="D26658" s="8" t="inlineStr">
        <is>
          <t>Disney Adventure World</t>
        </is>
      </c>
      <c r="E26658" s="8" t="inlineStr">
        <is>
          <t>Toy Soldiers Parachute Drop Single Rider</t>
        </is>
      </c>
      <c r="F26658" s="8" t="inlineStr">
        <is>
          <t>STANDBY</t>
        </is>
      </c>
      <c r="G26658" s="8" t="n">
        <v>35</v>
      </c>
      <c r="H26658" s="8" t="inlineStr">
        <is>
          <t>OPERATING</t>
        </is>
      </c>
    </row>
    <row r="26659">
      <c r="A26659" s="8" t="inlineStr">
        <is>
          <t>2026-08-05</t>
        </is>
      </c>
      <c r="B26659" s="8" t="n">
        <v>20</v>
      </c>
      <c r="C26659" s="8" t="n">
        <v>1</v>
      </c>
      <c r="D26659" s="8" t="inlineStr">
        <is>
          <t>Disney Adventure World</t>
        </is>
      </c>
      <c r="E26659" s="8" t="inlineStr">
        <is>
          <t>Entry to World of Frozen</t>
        </is>
      </c>
      <c r="F26659" s="8" t="inlineStr">
        <is>
          <t>STANDBY</t>
        </is>
      </c>
      <c r="G26659" s="8" t="n">
        <v>0</v>
      </c>
      <c r="H26659" s="8" t="inlineStr">
        <is>
          <t>OPERATING</t>
        </is>
      </c>
    </row>
    <row r="26660">
      <c r="A26660" s="8" t="inlineStr">
        <is>
          <t>2026-08-05</t>
        </is>
      </c>
      <c r="B26660" s="8" t="n">
        <v>20</v>
      </c>
      <c r="C26660" s="8" t="n">
        <v>1</v>
      </c>
      <c r="D26660" s="8" t="inlineStr">
        <is>
          <t>Disney Adventure World</t>
        </is>
      </c>
      <c r="E26660" s="8" t="inlineStr">
        <is>
          <t>Frozen Ever After</t>
        </is>
      </c>
      <c r="F26660" s="8" t="inlineStr">
        <is>
          <t>STANDBY</t>
        </is>
      </c>
      <c r="G26660" s="8" t="n">
        <v>45</v>
      </c>
      <c r="H26660" s="8" t="inlineStr">
        <is>
          <t>OPERATING</t>
        </is>
      </c>
    </row>
    <row r="26661">
      <c r="A26661" s="8" t="inlineStr">
        <is>
          <t>2026-08-05</t>
        </is>
      </c>
      <c r="B26661" s="8" t="n">
        <v>20</v>
      </c>
      <c r="C26661" s="8" t="n">
        <v>1</v>
      </c>
      <c r="D26661" s="8" t="inlineStr">
        <is>
          <t>Disney Adventure World</t>
        </is>
      </c>
      <c r="E26661" s="8" t="inlineStr">
        <is>
          <t>Raiponce Tangled Spin</t>
        </is>
      </c>
      <c r="F26661" s="8" t="inlineStr">
        <is>
          <t>STANDBY</t>
        </is>
      </c>
      <c r="G26661" s="8" t="n">
        <v>5</v>
      </c>
      <c r="H26661" s="8" t="inlineStr">
        <is>
          <t>OPERATING</t>
        </is>
      </c>
    </row>
    <row r="26662">
      <c r="A26662" s="8" t="inlineStr">
        <is>
          <t>2026-08-05</t>
        </is>
      </c>
      <c r="B26662" s="8" t="n">
        <v>20</v>
      </c>
      <c r="C26662" s="8" t="n">
        <v>15</v>
      </c>
      <c r="D26662" s="8" t="inlineStr">
        <is>
          <t>Disneyland Park</t>
        </is>
      </c>
      <c r="E26662" s="8" t="inlineStr">
        <is>
          <t>Adventure Isle</t>
        </is>
      </c>
      <c r="F26662" s="8" t="inlineStr">
        <is>
          <t>STANDBY</t>
        </is>
      </c>
      <c r="G26662" s="8" t="n">
        <v>0</v>
      </c>
      <c r="H26662" s="8" t="inlineStr">
        <is>
          <t>OPERATING</t>
        </is>
      </c>
    </row>
    <row r="26663">
      <c r="A26663" s="8" t="inlineStr">
        <is>
          <t>2026-08-05</t>
        </is>
      </c>
      <c r="B26663" s="8" t="n">
        <v>20</v>
      </c>
      <c r="C26663" s="8" t="n">
        <v>15</v>
      </c>
      <c r="D26663" s="8" t="inlineStr">
        <is>
          <t>Disneyland Park</t>
        </is>
      </c>
      <c r="E26663" s="8" t="inlineStr">
        <is>
          <t>Indiana Jones and the Temple of Peril Single Rider</t>
        </is>
      </c>
      <c r="F26663" s="8" t="inlineStr">
        <is>
          <t>STANDBY</t>
        </is>
      </c>
      <c r="G26663" s="8" t="n">
        <v>5</v>
      </c>
      <c r="H26663" s="8" t="inlineStr">
        <is>
          <t>OPERATING</t>
        </is>
      </c>
    </row>
    <row r="26664">
      <c r="A26664" s="8" t="inlineStr">
        <is>
          <t>2026-08-05</t>
        </is>
      </c>
      <c r="B26664" s="8" t="n">
        <v>20</v>
      </c>
      <c r="C26664" s="8" t="n">
        <v>15</v>
      </c>
      <c r="D26664" s="8" t="inlineStr">
        <is>
          <t>Disneyland Park</t>
        </is>
      </c>
      <c r="E26664" s="8" t="inlineStr">
        <is>
          <t>Indiana Jones™ and the Temple of Peril</t>
        </is>
      </c>
      <c r="F26664" s="8" t="inlineStr">
        <is>
          <t>STANDBY</t>
        </is>
      </c>
      <c r="G26664" s="8" t="n">
        <v>10</v>
      </c>
      <c r="H26664" s="8" t="inlineStr">
        <is>
          <t>OPERATING</t>
        </is>
      </c>
    </row>
    <row r="26665">
      <c r="A26665" s="8" t="inlineStr">
        <is>
          <t>2026-08-05</t>
        </is>
      </c>
      <c r="B26665" s="8" t="n">
        <v>20</v>
      </c>
      <c r="C26665" s="8" t="n">
        <v>15</v>
      </c>
      <c r="D26665" s="8" t="inlineStr">
        <is>
          <t>Disneyland Park</t>
        </is>
      </c>
      <c r="E26665" s="8" t="inlineStr">
        <is>
          <t>La Cabane des Robinson</t>
        </is>
      </c>
      <c r="F26665" s="8" t="inlineStr">
        <is>
          <t>STANDBY</t>
        </is>
      </c>
      <c r="G26665" s="8" t="n">
        <v>5</v>
      </c>
      <c r="H26665" s="8" t="inlineStr">
        <is>
          <t>OPERATING</t>
        </is>
      </c>
    </row>
    <row r="26666">
      <c r="A26666" s="8" t="inlineStr">
        <is>
          <t>2026-08-05</t>
        </is>
      </c>
      <c r="B26666" s="8" t="n">
        <v>20</v>
      </c>
      <c r="C26666" s="8" t="n">
        <v>15</v>
      </c>
      <c r="D26666" s="8" t="inlineStr">
        <is>
          <t>Disneyland Park</t>
        </is>
      </c>
      <c r="E26666" s="8" t="inlineStr">
        <is>
          <t>Le Passage Enchanté d'Aladdin</t>
        </is>
      </c>
      <c r="F26666" s="8" t="inlineStr">
        <is>
          <t>STANDBY</t>
        </is>
      </c>
      <c r="G26666" s="8" t="n">
        <v>0</v>
      </c>
      <c r="H26666" s="8" t="inlineStr">
        <is>
          <t>OPERATING</t>
        </is>
      </c>
    </row>
    <row r="26667">
      <c r="A26667" s="8" t="inlineStr">
        <is>
          <t>2026-08-05</t>
        </is>
      </c>
      <c r="B26667" s="8" t="n">
        <v>20</v>
      </c>
      <c r="C26667" s="8" t="n">
        <v>15</v>
      </c>
      <c r="D26667" s="8" t="inlineStr">
        <is>
          <t>Disneyland Park</t>
        </is>
      </c>
      <c r="E26667" s="8" t="inlineStr">
        <is>
          <t>Pirate Galleon</t>
        </is>
      </c>
      <c r="F26667" s="8" t="inlineStr">
        <is>
          <t>STANDBY</t>
        </is>
      </c>
      <c r="G26667" s="8" t="n">
        <v>0</v>
      </c>
      <c r="H26667" s="8" t="inlineStr">
        <is>
          <t>CLOSED</t>
        </is>
      </c>
    </row>
    <row r="26668">
      <c r="A26668" s="8" t="inlineStr">
        <is>
          <t>2026-08-05</t>
        </is>
      </c>
      <c r="B26668" s="8" t="n">
        <v>20</v>
      </c>
      <c r="C26668" s="8" t="n">
        <v>15</v>
      </c>
      <c r="D26668" s="8" t="inlineStr">
        <is>
          <t>Disneyland Park</t>
        </is>
      </c>
      <c r="E26668" s="8" t="inlineStr">
        <is>
          <t>Pirates of the Caribbean</t>
        </is>
      </c>
      <c r="F26668" s="8" t="inlineStr">
        <is>
          <t>STANDBY</t>
        </is>
      </c>
      <c r="G26668" s="8" t="n">
        <v>10</v>
      </c>
      <c r="H26668" s="8" t="inlineStr">
        <is>
          <t>OPERATING</t>
        </is>
      </c>
    </row>
    <row r="26669">
      <c r="A26669" s="8" t="inlineStr">
        <is>
          <t>2026-08-05</t>
        </is>
      </c>
      <c r="B26669" s="8" t="n">
        <v>20</v>
      </c>
      <c r="C26669" s="8" t="n">
        <v>15</v>
      </c>
      <c r="D26669" s="8" t="inlineStr">
        <is>
          <t>Disneyland Park</t>
        </is>
      </c>
      <c r="E26669" s="8" t="inlineStr">
        <is>
          <t>Pirates' Beach</t>
        </is>
      </c>
      <c r="F26669" s="8" t="inlineStr">
        <is>
          <t>STANDBY</t>
        </is>
      </c>
      <c r="G26669" s="8" t="n">
        <v>0</v>
      </c>
      <c r="H26669" s="8" t="inlineStr">
        <is>
          <t>OPERATING</t>
        </is>
      </c>
    </row>
    <row r="26670">
      <c r="A26670" s="8" t="inlineStr">
        <is>
          <t>2026-08-05</t>
        </is>
      </c>
      <c r="B26670" s="8" t="n">
        <v>20</v>
      </c>
      <c r="C26670" s="8" t="n">
        <v>15</v>
      </c>
      <c r="D26670" s="8" t="inlineStr">
        <is>
          <t>Disneyland Park</t>
        </is>
      </c>
      <c r="E26670" s="8" t="inlineStr">
        <is>
          <t>Autopia, presented by Avis</t>
        </is>
      </c>
      <c r="F26670" s="8" t="inlineStr">
        <is>
          <t>STANDBY</t>
        </is>
      </c>
      <c r="G26670" s="8" t="n">
        <v>50</v>
      </c>
      <c r="H26670" s="8" t="inlineStr">
        <is>
          <t>OPERATING</t>
        </is>
      </c>
    </row>
    <row r="26671">
      <c r="A26671" s="8" t="inlineStr">
        <is>
          <t>2026-08-05</t>
        </is>
      </c>
      <c r="B26671" s="8" t="n">
        <v>20</v>
      </c>
      <c r="C26671" s="8" t="n">
        <v>15</v>
      </c>
      <c r="D26671" s="8" t="inlineStr">
        <is>
          <t>Disneyland Park</t>
        </is>
      </c>
      <c r="E26671" s="8" t="inlineStr">
        <is>
          <t>Buzz Lightyear Laser Blast</t>
        </is>
      </c>
      <c r="F26671" s="8" t="inlineStr">
        <is>
          <t>STANDBY</t>
        </is>
      </c>
      <c r="G26671" s="8" t="n">
        <v>30</v>
      </c>
      <c r="H26671" s="8" t="inlineStr">
        <is>
          <t>OPERATING</t>
        </is>
      </c>
    </row>
    <row r="26672">
      <c r="A26672" s="8" t="inlineStr">
        <is>
          <t>2026-08-05</t>
        </is>
      </c>
      <c r="B26672" s="8" t="n">
        <v>20</v>
      </c>
      <c r="C26672" s="8" t="n">
        <v>15</v>
      </c>
      <c r="D26672" s="8" t="inlineStr">
        <is>
          <t>Disneyland Park</t>
        </is>
      </c>
      <c r="E26672" s="8" t="inlineStr">
        <is>
          <t>Disneyland Railroad Discoveryland Station</t>
        </is>
      </c>
      <c r="F26672" s="8" t="inlineStr">
        <is>
          <t>STANDBY</t>
        </is>
      </c>
      <c r="G26672" s="8" t="n">
        <v>0</v>
      </c>
      <c r="H26672" s="8" t="inlineStr">
        <is>
          <t>CLOSED</t>
        </is>
      </c>
    </row>
    <row r="26673">
      <c r="A26673" s="8" t="inlineStr">
        <is>
          <t>2026-08-05</t>
        </is>
      </c>
      <c r="B26673" s="8" t="n">
        <v>20</v>
      </c>
      <c r="C26673" s="8" t="n">
        <v>15</v>
      </c>
      <c r="D26673" s="8" t="inlineStr">
        <is>
          <t>Disneyland Park</t>
        </is>
      </c>
      <c r="E26673" s="8" t="inlineStr">
        <is>
          <t>Les Mystères du Nautilus</t>
        </is>
      </c>
      <c r="F26673" s="8" t="inlineStr">
        <is>
          <t>STANDBY</t>
        </is>
      </c>
      <c r="G26673" s="8" t="n">
        <v>5</v>
      </c>
      <c r="H26673" s="8" t="inlineStr">
        <is>
          <t>OPERATING</t>
        </is>
      </c>
    </row>
    <row r="26674">
      <c r="A26674" s="8" t="inlineStr">
        <is>
          <t>2026-08-05</t>
        </is>
      </c>
      <c r="B26674" s="8" t="n">
        <v>20</v>
      </c>
      <c r="C26674" s="8" t="n">
        <v>15</v>
      </c>
      <c r="D26674" s="8" t="inlineStr">
        <is>
          <t>Disneyland Park</t>
        </is>
      </c>
      <c r="E26674" s="8" t="inlineStr">
        <is>
          <t>Mickey’s PhilharMagic</t>
        </is>
      </c>
      <c r="F26674" s="8" t="inlineStr">
        <is>
          <t>STANDBY</t>
        </is>
      </c>
      <c r="G26674" s="8" t="n">
        <v>0</v>
      </c>
      <c r="H26674" s="8" t="inlineStr">
        <is>
          <t>CLOSED</t>
        </is>
      </c>
    </row>
    <row r="26675">
      <c r="A26675" s="8" t="inlineStr">
        <is>
          <t>2026-08-05</t>
        </is>
      </c>
      <c r="B26675" s="8" t="n">
        <v>20</v>
      </c>
      <c r="C26675" s="8" t="n">
        <v>15</v>
      </c>
      <c r="D26675" s="8" t="inlineStr">
        <is>
          <t>Disneyland Park</t>
        </is>
      </c>
      <c r="E26675" s="8" t="inlineStr">
        <is>
          <t>Orbitron®</t>
        </is>
      </c>
      <c r="F26675" s="8" t="inlineStr">
        <is>
          <t>STANDBY</t>
        </is>
      </c>
      <c r="G26675" s="8" t="n">
        <v>50</v>
      </c>
      <c r="H26675" s="8" t="inlineStr">
        <is>
          <t>OPERATING</t>
        </is>
      </c>
    </row>
    <row r="26676">
      <c r="A26676" s="8" t="inlineStr">
        <is>
          <t>2026-08-05</t>
        </is>
      </c>
      <c r="B26676" s="8" t="n">
        <v>20</v>
      </c>
      <c r="C26676" s="8" t="n">
        <v>15</v>
      </c>
      <c r="D26676" s="8" t="inlineStr">
        <is>
          <t>Disneyland Park</t>
        </is>
      </c>
      <c r="E26676" s="8" t="inlineStr">
        <is>
          <t>Star Tours: The Adventures Continue*</t>
        </is>
      </c>
      <c r="F26676" s="8" t="inlineStr">
        <is>
          <t>STANDBY</t>
        </is>
      </c>
      <c r="G26676" s="8" t="n">
        <v>5</v>
      </c>
      <c r="H26676" s="8" t="inlineStr">
        <is>
          <t>OPERATING</t>
        </is>
      </c>
    </row>
    <row r="26677">
      <c r="A26677" s="8" t="inlineStr">
        <is>
          <t>2026-08-05</t>
        </is>
      </c>
      <c r="B26677" s="8" t="n">
        <v>20</v>
      </c>
      <c r="C26677" s="8" t="n">
        <v>15</v>
      </c>
      <c r="D26677" s="8" t="inlineStr">
        <is>
          <t>Disneyland Park</t>
        </is>
      </c>
      <c r="E26677" s="8" t="inlineStr">
        <is>
          <t>Star Wars Hyperspace Mountain</t>
        </is>
      </c>
      <c r="F26677" s="8" t="inlineStr">
        <is>
          <t>STANDBY</t>
        </is>
      </c>
      <c r="G26677" s="8" t="n">
        <v>25</v>
      </c>
      <c r="H26677" s="8" t="inlineStr">
        <is>
          <t>OPERATING</t>
        </is>
      </c>
    </row>
    <row r="26678">
      <c r="A26678" s="8" t="inlineStr">
        <is>
          <t>2026-08-05</t>
        </is>
      </c>
      <c r="B26678" s="8" t="n">
        <v>20</v>
      </c>
      <c r="C26678" s="8" t="n">
        <v>15</v>
      </c>
      <c r="D26678" s="8" t="inlineStr">
        <is>
          <t>Disneyland Park</t>
        </is>
      </c>
      <c r="E26678" s="8" t="inlineStr">
        <is>
          <t>Star Wars Hyperspace Mountain Single Rider</t>
        </is>
      </c>
      <c r="F26678" s="8" t="inlineStr">
        <is>
          <t>STANDBY</t>
        </is>
      </c>
      <c r="G26678" s="8" t="n">
        <v>0</v>
      </c>
      <c r="H26678" s="8" t="inlineStr">
        <is>
          <t>OPERATING</t>
        </is>
      </c>
    </row>
    <row r="26679">
      <c r="A26679" s="8" t="inlineStr">
        <is>
          <t>2026-08-05</t>
        </is>
      </c>
      <c r="B26679" s="8" t="n">
        <v>20</v>
      </c>
      <c r="C26679" s="8" t="n">
        <v>15</v>
      </c>
      <c r="D26679" s="8" t="inlineStr">
        <is>
          <t>Disneyland Park</t>
        </is>
      </c>
      <c r="E26679" s="8" t="inlineStr">
        <is>
          <t>Welcome to Starport: A Star Wars Encounter</t>
        </is>
      </c>
      <c r="F26679" s="8" t="inlineStr">
        <is>
          <t>STANDBY</t>
        </is>
      </c>
      <c r="G26679" s="8" t="n">
        <v>0</v>
      </c>
      <c r="H26679" s="8" t="inlineStr">
        <is>
          <t>CLOSED</t>
        </is>
      </c>
    </row>
    <row r="26680">
      <c r="A26680" s="8" t="inlineStr">
        <is>
          <t>2026-08-05</t>
        </is>
      </c>
      <c r="B26680" s="8" t="n">
        <v>20</v>
      </c>
      <c r="C26680" s="8" t="n">
        <v>15</v>
      </c>
      <c r="D26680" s="8" t="inlineStr">
        <is>
          <t>Disneyland Park</t>
        </is>
      </c>
      <c r="E26680" s="8" t="inlineStr">
        <is>
          <t>"it's a small world"</t>
        </is>
      </c>
      <c r="F26680" s="8" t="inlineStr">
        <is>
          <t>STANDBY</t>
        </is>
      </c>
      <c r="G26680" s="8" t="n">
        <v>5</v>
      </c>
      <c r="H26680" s="8" t="inlineStr">
        <is>
          <t>OPERATING</t>
        </is>
      </c>
    </row>
    <row r="26681">
      <c r="A26681" s="8" t="inlineStr">
        <is>
          <t>2026-08-05</t>
        </is>
      </c>
      <c r="B26681" s="8" t="n">
        <v>20</v>
      </c>
      <c r="C26681" s="8" t="n">
        <v>15</v>
      </c>
      <c r="D26681" s="8" t="inlineStr">
        <is>
          <t>Disneyland Park</t>
        </is>
      </c>
      <c r="E26681" s="8" t="inlineStr">
        <is>
          <t>Alice's Curious Labyrinth</t>
        </is>
      </c>
      <c r="F26681" s="8" t="inlineStr">
        <is>
          <t>STANDBY</t>
        </is>
      </c>
      <c r="G26681" s="8" t="n">
        <v>5</v>
      </c>
      <c r="H26681" s="8" t="inlineStr">
        <is>
          <t>OPERATING</t>
        </is>
      </c>
    </row>
    <row r="26682">
      <c r="A26682" s="8" t="inlineStr">
        <is>
          <t>2026-08-05</t>
        </is>
      </c>
      <c r="B26682" s="8" t="n">
        <v>20</v>
      </c>
      <c r="C26682" s="8" t="n">
        <v>15</v>
      </c>
      <c r="D26682" s="8" t="inlineStr">
        <is>
          <t>Disneyland Park</t>
        </is>
      </c>
      <c r="E26682" s="8" t="inlineStr">
        <is>
          <t>Blanche-Neige et les Sept Nains®</t>
        </is>
      </c>
      <c r="F26682" s="8" t="inlineStr">
        <is>
          <t>STANDBY</t>
        </is>
      </c>
      <c r="G26682" s="8" t="n">
        <v>30</v>
      </c>
      <c r="H26682" s="8" t="inlineStr">
        <is>
          <t>OPERATING</t>
        </is>
      </c>
    </row>
    <row r="26683">
      <c r="A26683" s="8" t="inlineStr">
        <is>
          <t>2026-08-05</t>
        </is>
      </c>
      <c r="B26683" s="8" t="n">
        <v>20</v>
      </c>
      <c r="C26683" s="8" t="n">
        <v>15</v>
      </c>
      <c r="D26683" s="8" t="inlineStr">
        <is>
          <t>Disneyland Park</t>
        </is>
      </c>
      <c r="E26683" s="8" t="inlineStr">
        <is>
          <t>Casey Jr. – le Petit Train du Cirque</t>
        </is>
      </c>
      <c r="F26683" s="8" t="inlineStr">
        <is>
          <t>STANDBY</t>
        </is>
      </c>
      <c r="G26683" s="8" t="n">
        <v>35</v>
      </c>
      <c r="H26683" s="8" t="inlineStr">
        <is>
          <t>OPERATING</t>
        </is>
      </c>
    </row>
    <row r="26684">
      <c r="A26684" s="8" t="inlineStr">
        <is>
          <t>2026-08-05</t>
        </is>
      </c>
      <c r="B26684" s="8" t="n">
        <v>20</v>
      </c>
      <c r="C26684" s="8" t="n">
        <v>15</v>
      </c>
      <c r="D26684" s="8" t="inlineStr">
        <is>
          <t>Disneyland Park</t>
        </is>
      </c>
      <c r="E26684" s="8" t="inlineStr">
        <is>
          <t>Disneyland Railroad Fantasyland Station</t>
        </is>
      </c>
      <c r="F26684" s="8" t="inlineStr">
        <is>
          <t>STANDBY</t>
        </is>
      </c>
      <c r="G26684" s="8" t="n">
        <v>0</v>
      </c>
      <c r="H26684" s="8" t="inlineStr">
        <is>
          <t>CLOSED</t>
        </is>
      </c>
    </row>
    <row r="26685">
      <c r="A26685" s="8" t="inlineStr">
        <is>
          <t>2026-08-05</t>
        </is>
      </c>
      <c r="B26685" s="8" t="n">
        <v>20</v>
      </c>
      <c r="C26685" s="8" t="n">
        <v>15</v>
      </c>
      <c r="D26685" s="8" t="inlineStr">
        <is>
          <t>Disneyland Park</t>
        </is>
      </c>
      <c r="E26685" s="8" t="inlineStr">
        <is>
          <t>Disneyland Railroad Main Street Station</t>
        </is>
      </c>
      <c r="F26685" s="8" t="inlineStr">
        <is>
          <t>STANDBY</t>
        </is>
      </c>
      <c r="G26685" s="8" t="n">
        <v>0</v>
      </c>
      <c r="H26685" s="8" t="inlineStr">
        <is>
          <t>CLOSED</t>
        </is>
      </c>
    </row>
    <row r="26686">
      <c r="A26686" s="8" t="inlineStr">
        <is>
          <t>2026-08-05</t>
        </is>
      </c>
      <c r="B26686" s="8" t="n">
        <v>20</v>
      </c>
      <c r="C26686" s="8" t="n">
        <v>15</v>
      </c>
      <c r="D26686" s="8" t="inlineStr">
        <is>
          <t>Disneyland Park</t>
        </is>
      </c>
      <c r="E26686" s="8" t="inlineStr">
        <is>
          <t>Dumbo the Flying Elephant</t>
        </is>
      </c>
      <c r="F26686" s="8" t="inlineStr">
        <is>
          <t>STANDBY</t>
        </is>
      </c>
      <c r="G26686" s="8" t="n">
        <v>35</v>
      </c>
      <c r="H26686" s="8" t="inlineStr">
        <is>
          <t>OPERATING</t>
        </is>
      </c>
    </row>
    <row r="26687">
      <c r="A26687" s="8" t="inlineStr">
        <is>
          <t>2026-08-05</t>
        </is>
      </c>
      <c r="B26687" s="8" t="n">
        <v>20</v>
      </c>
      <c r="C26687" s="8" t="n">
        <v>15</v>
      </c>
      <c r="D26687" s="8" t="inlineStr">
        <is>
          <t>Disneyland Park</t>
        </is>
      </c>
      <c r="E26687" s="8" t="inlineStr">
        <is>
          <t>La Tanière du Dragon</t>
        </is>
      </c>
      <c r="F26687" s="8" t="inlineStr">
        <is>
          <t>STANDBY</t>
        </is>
      </c>
      <c r="G26687" s="8" t="n">
        <v>0</v>
      </c>
      <c r="H26687" s="8" t="inlineStr">
        <is>
          <t>OPERATING</t>
        </is>
      </c>
    </row>
    <row r="26688">
      <c r="A26688" s="8" t="inlineStr">
        <is>
          <t>2026-08-05</t>
        </is>
      </c>
      <c r="B26688" s="8" t="n">
        <v>20</v>
      </c>
      <c r="C26688" s="8" t="n">
        <v>15</v>
      </c>
      <c r="D26688" s="8" t="inlineStr">
        <is>
          <t>Disneyland Park</t>
        </is>
      </c>
      <c r="E26688" s="8" t="inlineStr">
        <is>
          <t>Le Carrousel de Lancelot</t>
        </is>
      </c>
      <c r="F26688" s="8" t="inlineStr">
        <is>
          <t>STANDBY</t>
        </is>
      </c>
      <c r="G26688" s="8" t="n">
        <v>15</v>
      </c>
      <c r="H26688" s="8" t="inlineStr">
        <is>
          <t>OPERATING</t>
        </is>
      </c>
    </row>
    <row r="26689">
      <c r="A26689" s="8" t="inlineStr">
        <is>
          <t>2026-08-05</t>
        </is>
      </c>
      <c r="B26689" s="8" t="n">
        <v>20</v>
      </c>
      <c r="C26689" s="8" t="n">
        <v>15</v>
      </c>
      <c r="D26689" s="8" t="inlineStr">
        <is>
          <t>Disneyland Park</t>
        </is>
      </c>
      <c r="E26689" s="8" t="inlineStr">
        <is>
          <t>Le Pays des Contes de Fées, presented by Vittel</t>
        </is>
      </c>
      <c r="F26689" s="8" t="inlineStr">
        <is>
          <t>STANDBY</t>
        </is>
      </c>
      <c r="G26689" s="8" t="n">
        <v>5</v>
      </c>
      <c r="H26689" s="8" t="inlineStr">
        <is>
          <t>OPERATING</t>
        </is>
      </c>
    </row>
    <row r="26690">
      <c r="A26690" s="8" t="inlineStr">
        <is>
          <t>2026-08-05</t>
        </is>
      </c>
      <c r="B26690" s="8" t="n">
        <v>20</v>
      </c>
      <c r="C26690" s="8" t="n">
        <v>15</v>
      </c>
      <c r="D26690" s="8" t="inlineStr">
        <is>
          <t>Disneyland Park</t>
        </is>
      </c>
      <c r="E26690" s="8" t="inlineStr">
        <is>
          <t>Les Voyages de Pinocchio</t>
        </is>
      </c>
      <c r="F26690" s="8" t="inlineStr">
        <is>
          <t>STANDBY</t>
        </is>
      </c>
      <c r="G26690" s="8" t="n">
        <v>25</v>
      </c>
      <c r="H26690" s="8" t="inlineStr">
        <is>
          <t>OPERATING</t>
        </is>
      </c>
    </row>
    <row r="26691">
      <c r="A26691" s="8" t="inlineStr">
        <is>
          <t>2026-08-05</t>
        </is>
      </c>
      <c r="B26691" s="8" t="n">
        <v>20</v>
      </c>
      <c r="C26691" s="8" t="n">
        <v>15</v>
      </c>
      <c r="D26691" s="8" t="inlineStr">
        <is>
          <t>Disneyland Park</t>
        </is>
      </c>
      <c r="E26691" s="8" t="inlineStr">
        <is>
          <t>Mad Hatter's Tea Cups</t>
        </is>
      </c>
      <c r="F26691" s="8" t="inlineStr">
        <is>
          <t>STANDBY</t>
        </is>
      </c>
      <c r="G26691" s="8" t="n">
        <v>5</v>
      </c>
      <c r="H26691" s="8" t="inlineStr">
        <is>
          <t>OPERATING</t>
        </is>
      </c>
    </row>
    <row r="26692">
      <c r="A26692" s="8" t="inlineStr">
        <is>
          <t>2026-08-05</t>
        </is>
      </c>
      <c r="B26692" s="8" t="n">
        <v>20</v>
      </c>
      <c r="C26692" s="8" t="n">
        <v>15</v>
      </c>
      <c r="D26692" s="8" t="inlineStr">
        <is>
          <t>Disneyland Park</t>
        </is>
      </c>
      <c r="E26692" s="8" t="inlineStr">
        <is>
          <t>Meet Mickey Mouse</t>
        </is>
      </c>
      <c r="F26692" s="8" t="inlineStr">
        <is>
          <t>STANDBY</t>
        </is>
      </c>
      <c r="G26692" s="8" t="n">
        <v>0</v>
      </c>
      <c r="H26692" s="8" t="inlineStr">
        <is>
          <t>CLOSED</t>
        </is>
      </c>
    </row>
    <row r="26693">
      <c r="A26693" s="8" t="inlineStr">
        <is>
          <t>2026-08-05</t>
        </is>
      </c>
      <c r="B26693" s="8" t="n">
        <v>20</v>
      </c>
      <c r="C26693" s="8" t="n">
        <v>15</v>
      </c>
      <c r="D26693" s="8" t="inlineStr">
        <is>
          <t>Disneyland Park</t>
        </is>
      </c>
      <c r="E26693" s="8" t="inlineStr">
        <is>
          <t>Peter Pan's Flight</t>
        </is>
      </c>
      <c r="F26693" s="8" t="inlineStr">
        <is>
          <t>STANDBY</t>
        </is>
      </c>
      <c r="G26693" s="8" t="n">
        <v>75</v>
      </c>
      <c r="H26693" s="8" t="inlineStr">
        <is>
          <t>OPERATING</t>
        </is>
      </c>
    </row>
    <row r="26694">
      <c r="A26694" s="8" t="inlineStr">
        <is>
          <t>2026-08-05</t>
        </is>
      </c>
      <c r="B26694" s="8" t="n">
        <v>20</v>
      </c>
      <c r="C26694" s="8" t="n">
        <v>15</v>
      </c>
      <c r="D26694" s="8" t="inlineStr">
        <is>
          <t>Disneyland Park</t>
        </is>
      </c>
      <c r="E26694" s="8" t="inlineStr">
        <is>
          <t>Princess Pavilion</t>
        </is>
      </c>
      <c r="F26694" s="8" t="inlineStr">
        <is>
          <t>STANDBY</t>
        </is>
      </c>
      <c r="G26694" s="8" t="n">
        <v>0</v>
      </c>
      <c r="H26694" s="8" t="inlineStr">
        <is>
          <t>CLOSED</t>
        </is>
      </c>
    </row>
    <row r="26695">
      <c r="A26695" s="8" t="inlineStr">
        <is>
          <t>2026-08-05</t>
        </is>
      </c>
      <c r="B26695" s="8" t="n">
        <v>20</v>
      </c>
      <c r="C26695" s="8" t="n">
        <v>15</v>
      </c>
      <c r="D26695" s="8" t="inlineStr">
        <is>
          <t>Disneyland Park</t>
        </is>
      </c>
      <c r="E26695" s="8" t="inlineStr">
        <is>
          <t>Big Thunder Mountain</t>
        </is>
      </c>
      <c r="F26695" s="8" t="inlineStr">
        <is>
          <t>STANDBY</t>
        </is>
      </c>
      <c r="G26695" s="8" t="n">
        <v>95</v>
      </c>
      <c r="H26695" s="8" t="inlineStr">
        <is>
          <t>OPERATING</t>
        </is>
      </c>
    </row>
    <row r="26696">
      <c r="A26696" s="8" t="inlineStr">
        <is>
          <t>2026-08-05</t>
        </is>
      </c>
      <c r="B26696" s="8" t="n">
        <v>20</v>
      </c>
      <c r="C26696" s="8" t="n">
        <v>15</v>
      </c>
      <c r="D26696" s="8" t="inlineStr">
        <is>
          <t>Disneyland Park</t>
        </is>
      </c>
      <c r="E26696" s="8" t="inlineStr">
        <is>
          <t>Disneyland Railroad Frontierland Depot</t>
        </is>
      </c>
      <c r="F26696" s="8" t="inlineStr">
        <is>
          <t>STANDBY</t>
        </is>
      </c>
      <c r="G26696" s="8" t="n">
        <v>0</v>
      </c>
      <c r="H26696" s="8" t="inlineStr">
        <is>
          <t>CLOSED</t>
        </is>
      </c>
    </row>
    <row r="26697">
      <c r="A26697" s="8" t="inlineStr">
        <is>
          <t>2026-08-05</t>
        </is>
      </c>
      <c r="B26697" s="8" t="n">
        <v>20</v>
      </c>
      <c r="C26697" s="8" t="n">
        <v>15</v>
      </c>
      <c r="D26697" s="8" t="inlineStr">
        <is>
          <t>Disneyland Park</t>
        </is>
      </c>
      <c r="E26697" s="8" t="inlineStr">
        <is>
          <t>Frontierland Playground</t>
        </is>
      </c>
      <c r="F26697" s="8" t="inlineStr">
        <is>
          <t>STANDBY</t>
        </is>
      </c>
      <c r="G26697" s="8" t="n">
        <v>0</v>
      </c>
      <c r="H26697" s="8" t="inlineStr">
        <is>
          <t>OPERATING</t>
        </is>
      </c>
    </row>
    <row r="26698">
      <c r="A26698" s="8" t="inlineStr">
        <is>
          <t>2026-08-05</t>
        </is>
      </c>
      <c r="B26698" s="8" t="n">
        <v>20</v>
      </c>
      <c r="C26698" s="8" t="n">
        <v>15</v>
      </c>
      <c r="D26698" s="8" t="inlineStr">
        <is>
          <t>Disneyland Park</t>
        </is>
      </c>
      <c r="E26698" s="8" t="inlineStr">
        <is>
          <t>Phantom Manor</t>
        </is>
      </c>
      <c r="F26698" s="8" t="inlineStr">
        <is>
          <t>STANDBY</t>
        </is>
      </c>
      <c r="G26698" s="8" t="n">
        <v>5</v>
      </c>
      <c r="H26698" s="8" t="inlineStr">
        <is>
          <t>OPERATING</t>
        </is>
      </c>
    </row>
    <row r="26699">
      <c r="A26699" s="8" t="inlineStr">
        <is>
          <t>2026-08-05</t>
        </is>
      </c>
      <c r="B26699" s="8" t="n">
        <v>20</v>
      </c>
      <c r="C26699" s="8" t="n">
        <v>15</v>
      </c>
      <c r="D26699" s="8" t="inlineStr">
        <is>
          <t>Disneyland Park</t>
        </is>
      </c>
      <c r="E26699" s="8" t="inlineStr">
        <is>
          <t>River Rogue Keelboats</t>
        </is>
      </c>
      <c r="F26699" s="8" t="inlineStr">
        <is>
          <t>STANDBY</t>
        </is>
      </c>
      <c r="G26699" s="8" t="n">
        <v>0</v>
      </c>
      <c r="H26699" s="8" t="inlineStr">
        <is>
          <t>CLOSED</t>
        </is>
      </c>
    </row>
    <row r="26700">
      <c r="A26700" s="8" t="inlineStr">
        <is>
          <t>2026-08-05</t>
        </is>
      </c>
      <c r="B26700" s="8" t="n">
        <v>20</v>
      </c>
      <c r="C26700" s="8" t="n">
        <v>15</v>
      </c>
      <c r="D26700" s="8" t="inlineStr">
        <is>
          <t>Disneyland Park</t>
        </is>
      </c>
      <c r="E26700" s="8" t="inlineStr">
        <is>
          <t>Rustler Roundup Shootin' Gallery</t>
        </is>
      </c>
      <c r="F26700" s="8" t="inlineStr">
        <is>
          <t>STANDBY</t>
        </is>
      </c>
      <c r="G26700" s="8" t="n">
        <v>0</v>
      </c>
      <c r="H26700" s="8" t="inlineStr">
        <is>
          <t>OPERATING</t>
        </is>
      </c>
    </row>
    <row r="26701">
      <c r="A26701" s="8" t="inlineStr">
        <is>
          <t>2026-08-05</t>
        </is>
      </c>
      <c r="B26701" s="8" t="n">
        <v>20</v>
      </c>
      <c r="C26701" s="8" t="n">
        <v>15</v>
      </c>
      <c r="D26701" s="8" t="inlineStr">
        <is>
          <t>Disneyland Park</t>
        </is>
      </c>
      <c r="E26701" s="8" t="inlineStr">
        <is>
          <t>Thunder Mesa Riverboat Landing</t>
        </is>
      </c>
      <c r="F26701" s="8" t="inlineStr">
        <is>
          <t>STANDBY</t>
        </is>
      </c>
      <c r="G26701" s="8" t="n">
        <v>0</v>
      </c>
      <c r="H26701" s="8" t="inlineStr">
        <is>
          <t>CLOSED</t>
        </is>
      </c>
    </row>
    <row r="26702">
      <c r="A26702" s="8" t="inlineStr">
        <is>
          <t>2026-08-05</t>
        </is>
      </c>
      <c r="B26702" s="8" t="n">
        <v>20</v>
      </c>
      <c r="C26702" s="8" t="n">
        <v>15</v>
      </c>
      <c r="D26702" s="8" t="inlineStr">
        <is>
          <t>Disneyland Park</t>
        </is>
      </c>
      <c r="E26702" s="8" t="inlineStr">
        <is>
          <t>Disneyland Railroad Main Street Station</t>
        </is>
      </c>
      <c r="F26702" s="8" t="inlineStr">
        <is>
          <t>STANDBY</t>
        </is>
      </c>
      <c r="G26702" s="8" t="n">
        <v>0</v>
      </c>
      <c r="H26702" s="8" t="inlineStr">
        <is>
          <t>CLOSED</t>
        </is>
      </c>
    </row>
    <row r="26703">
      <c r="A26703" s="8" t="inlineStr">
        <is>
          <t>2026-08-05</t>
        </is>
      </c>
      <c r="B26703" s="8" t="n">
        <v>20</v>
      </c>
      <c r="C26703" s="8" t="n">
        <v>15</v>
      </c>
      <c r="D26703" s="8" t="inlineStr">
        <is>
          <t>Disneyland Park</t>
        </is>
      </c>
      <c r="E26703" s="8" t="inlineStr">
        <is>
          <t>Main Street Vehicles</t>
        </is>
      </c>
      <c r="F26703" s="8" t="inlineStr">
        <is>
          <t>STANDBY</t>
        </is>
      </c>
      <c r="G26703" s="8" t="n">
        <v>0</v>
      </c>
      <c r="H26703" s="8" t="inlineStr">
        <is>
          <t>CLOSED</t>
        </is>
      </c>
    </row>
    <row r="26704">
      <c r="A26704" s="8" t="inlineStr">
        <is>
          <t>2026-08-05</t>
        </is>
      </c>
      <c r="B26704" s="8" t="n">
        <v>20</v>
      </c>
      <c r="C26704" s="8" t="n">
        <v>15</v>
      </c>
      <c r="D26704" s="8" t="inlineStr">
        <is>
          <t>Disney Adventure World</t>
        </is>
      </c>
      <c r="E26704" s="8" t="inlineStr">
        <is>
          <t>Avengers Assemble: Flight Force</t>
        </is>
      </c>
      <c r="F26704" s="8" t="inlineStr">
        <is>
          <t>STANDBY</t>
        </is>
      </c>
      <c r="G26704" s="8" t="n">
        <v>5</v>
      </c>
      <c r="H26704" s="8" t="inlineStr">
        <is>
          <t>OPERATING</t>
        </is>
      </c>
    </row>
    <row r="26705">
      <c r="A26705" s="8" t="inlineStr">
        <is>
          <t>2026-08-05</t>
        </is>
      </c>
      <c r="B26705" s="8" t="n">
        <v>20</v>
      </c>
      <c r="C26705" s="8" t="n">
        <v>15</v>
      </c>
      <c r="D26705" s="8" t="inlineStr">
        <is>
          <t>Disney Adventure World</t>
        </is>
      </c>
      <c r="E26705" s="8" t="inlineStr">
        <is>
          <t>Avengers Assemble: Flight Force Single Rider</t>
        </is>
      </c>
      <c r="F26705" s="8" t="inlineStr">
        <is>
          <t>STANDBY</t>
        </is>
      </c>
      <c r="G26705" s="8" t="n">
        <v>5</v>
      </c>
      <c r="H26705" s="8" t="inlineStr">
        <is>
          <t>OPERATING</t>
        </is>
      </c>
    </row>
    <row r="26706">
      <c r="A26706" s="8" t="inlineStr">
        <is>
          <t>2026-08-05</t>
        </is>
      </c>
      <c r="B26706" s="8" t="n">
        <v>20</v>
      </c>
      <c r="C26706" s="8" t="n">
        <v>15</v>
      </c>
      <c r="D26706" s="8" t="inlineStr">
        <is>
          <t>Disney Adventure World</t>
        </is>
      </c>
      <c r="E26706" s="8" t="inlineStr">
        <is>
          <t>Spider-Man W.E.B. Adventure</t>
        </is>
      </c>
      <c r="F26706" s="8" t="inlineStr">
        <is>
          <t>STANDBY</t>
        </is>
      </c>
      <c r="G26706" s="8" t="n">
        <v>40</v>
      </c>
      <c r="H26706" s="8" t="inlineStr">
        <is>
          <t>OPERATING</t>
        </is>
      </c>
    </row>
    <row r="26707">
      <c r="A26707" s="8" t="inlineStr">
        <is>
          <t>2026-08-05</t>
        </is>
      </c>
      <c r="B26707" s="8" t="n">
        <v>20</v>
      </c>
      <c r="C26707" s="8" t="n">
        <v>15</v>
      </c>
      <c r="D26707" s="8" t="inlineStr">
        <is>
          <t>Disney Adventure World</t>
        </is>
      </c>
      <c r="E26707" s="8" t="inlineStr">
        <is>
          <t>Spider-Man W.E.B. Adventure Single Rider</t>
        </is>
      </c>
      <c r="F26707" s="8" t="inlineStr">
        <is>
          <t>STANDBY</t>
        </is>
      </c>
      <c r="G26707" s="8" t="n">
        <v>15</v>
      </c>
      <c r="H26707" s="8" t="inlineStr">
        <is>
          <t>OPERATING</t>
        </is>
      </c>
    </row>
    <row r="26708">
      <c r="A26708" s="8" t="inlineStr">
        <is>
          <t>2026-08-05</t>
        </is>
      </c>
      <c r="B26708" s="8" t="n">
        <v>20</v>
      </c>
      <c r="C26708" s="8" t="n">
        <v>15</v>
      </c>
      <c r="D26708" s="8" t="inlineStr">
        <is>
          <t>Disney Adventure World</t>
        </is>
      </c>
      <c r="E26708" s="8" t="inlineStr">
        <is>
          <t>The Twilight Zone Tower of Terror</t>
        </is>
      </c>
      <c r="F26708" s="8" t="inlineStr">
        <is>
          <t>STANDBY</t>
        </is>
      </c>
      <c r="G26708" s="8" t="n">
        <v>15</v>
      </c>
      <c r="H26708" s="8" t="inlineStr">
        <is>
          <t>OPERATING</t>
        </is>
      </c>
    </row>
    <row r="26709">
      <c r="A26709" s="8" t="inlineStr">
        <is>
          <t>2026-08-05</t>
        </is>
      </c>
      <c r="B26709" s="8" t="n">
        <v>20</v>
      </c>
      <c r="C26709" s="8" t="n">
        <v>15</v>
      </c>
      <c r="D26709" s="8" t="inlineStr">
        <is>
          <t>Disney Adventure World</t>
        </is>
      </c>
      <c r="E26709" s="8" t="inlineStr">
        <is>
          <t>Cars Quatre Roues Rallye</t>
        </is>
      </c>
      <c r="F26709" s="8" t="inlineStr">
        <is>
          <t>STANDBY</t>
        </is>
      </c>
      <c r="G26709" s="8" t="n">
        <v>10</v>
      </c>
      <c r="H26709" s="8" t="inlineStr">
        <is>
          <t>OPERATING</t>
        </is>
      </c>
    </row>
    <row r="26710">
      <c r="A26710" s="8" t="inlineStr">
        <is>
          <t>2026-08-05</t>
        </is>
      </c>
      <c r="B26710" s="8" t="n">
        <v>20</v>
      </c>
      <c r="C26710" s="8" t="n">
        <v>15</v>
      </c>
      <c r="D26710" s="8" t="inlineStr">
        <is>
          <t>Disney Adventure World</t>
        </is>
      </c>
      <c r="E26710" s="8" t="inlineStr">
        <is>
          <t>Cars ROAD TRIP</t>
        </is>
      </c>
      <c r="F26710" s="8" t="inlineStr">
        <is>
          <t>STANDBY</t>
        </is>
      </c>
      <c r="G26710" s="8" t="n">
        <v>5</v>
      </c>
      <c r="H26710" s="8" t="inlineStr">
        <is>
          <t>OPERATING</t>
        </is>
      </c>
    </row>
    <row r="26711">
      <c r="A26711" s="8" t="inlineStr">
        <is>
          <t>2026-08-05</t>
        </is>
      </c>
      <c r="B26711" s="8" t="n">
        <v>20</v>
      </c>
      <c r="C26711" s="8" t="n">
        <v>15</v>
      </c>
      <c r="D26711" s="8" t="inlineStr">
        <is>
          <t>Disney Adventure World</t>
        </is>
      </c>
      <c r="E26711" s="8" t="inlineStr">
        <is>
          <t>Crush's Coaster</t>
        </is>
      </c>
      <c r="F26711" s="8" t="inlineStr">
        <is>
          <t>STANDBY</t>
        </is>
      </c>
      <c r="G26711" s="8" t="n">
        <v>60</v>
      </c>
      <c r="H26711" s="8" t="inlineStr">
        <is>
          <t>OPERATING</t>
        </is>
      </c>
    </row>
    <row r="26712">
      <c r="A26712" s="8" t="inlineStr">
        <is>
          <t>2026-08-05</t>
        </is>
      </c>
      <c r="B26712" s="8" t="n">
        <v>20</v>
      </c>
      <c r="C26712" s="8" t="n">
        <v>15</v>
      </c>
      <c r="D26712" s="8" t="inlineStr">
        <is>
          <t>Disney Adventure World</t>
        </is>
      </c>
      <c r="E26712" s="8" t="inlineStr">
        <is>
          <t>Crush's Coaster Single Rider</t>
        </is>
      </c>
      <c r="F26712" s="8" t="inlineStr">
        <is>
          <t>STANDBY</t>
        </is>
      </c>
      <c r="G26712" s="8" t="n">
        <v>50</v>
      </c>
      <c r="H26712" s="8" t="inlineStr">
        <is>
          <t>OPERATING</t>
        </is>
      </c>
    </row>
    <row r="26713">
      <c r="A26713" s="8" t="inlineStr">
        <is>
          <t>2026-08-05</t>
        </is>
      </c>
      <c r="B26713" s="8" t="n">
        <v>20</v>
      </c>
      <c r="C26713" s="8" t="n">
        <v>15</v>
      </c>
      <c r="D26713" s="8" t="inlineStr">
        <is>
          <t>Disney Adventure World</t>
        </is>
      </c>
      <c r="E26713" s="8" t="inlineStr">
        <is>
          <t>Les Tapis Volants - Flying Carpets Over Agrabah®</t>
        </is>
      </c>
      <c r="F26713" s="8" t="inlineStr">
        <is>
          <t>STANDBY</t>
        </is>
      </c>
      <c r="G26713" s="8" t="n">
        <v>5</v>
      </c>
      <c r="H26713" s="8" t="inlineStr">
        <is>
          <t>OPERATING</t>
        </is>
      </c>
    </row>
    <row r="26714">
      <c r="A26714" s="8" t="inlineStr">
        <is>
          <t>2026-08-05</t>
        </is>
      </c>
      <c r="B26714" s="8" t="n">
        <v>20</v>
      </c>
      <c r="C26714" s="8" t="n">
        <v>15</v>
      </c>
      <c r="D26714" s="8" t="inlineStr">
        <is>
          <t>Disney Adventure World</t>
        </is>
      </c>
      <c r="E26714" s="8" t="inlineStr">
        <is>
          <t>Ratatouille : L’Aventure Totalement Toquée de Rémy​</t>
        </is>
      </c>
      <c r="F26714" s="8" t="inlineStr">
        <is>
          <t>STANDBY</t>
        </is>
      </c>
      <c r="G26714" s="8" t="n">
        <v>45</v>
      </c>
      <c r="H26714" s="8" t="inlineStr">
        <is>
          <t>OPERATING</t>
        </is>
      </c>
    </row>
    <row r="26715">
      <c r="A26715" s="8" t="inlineStr">
        <is>
          <t>2026-08-05</t>
        </is>
      </c>
      <c r="B26715" s="8" t="n">
        <v>20</v>
      </c>
      <c r="C26715" s="8" t="n">
        <v>15</v>
      </c>
      <c r="D26715" s="8" t="inlineStr">
        <is>
          <t>Disney Adventure World</t>
        </is>
      </c>
      <c r="E26715" s="8" t="inlineStr">
        <is>
          <t>Ratatouille: The Adventure Single Rider</t>
        </is>
      </c>
      <c r="F26715" s="8" t="inlineStr">
        <is>
          <t>STANDBY</t>
        </is>
      </c>
      <c r="G26715" s="8" t="n">
        <v>15</v>
      </c>
      <c r="H26715" s="8" t="inlineStr">
        <is>
          <t>OPERATING</t>
        </is>
      </c>
    </row>
    <row r="26716">
      <c r="A26716" s="8" t="inlineStr">
        <is>
          <t>2026-08-05</t>
        </is>
      </c>
      <c r="B26716" s="8" t="n">
        <v>20</v>
      </c>
      <c r="C26716" s="8" t="n">
        <v>15</v>
      </c>
      <c r="D26716" s="8" t="inlineStr">
        <is>
          <t>Disney Adventure World</t>
        </is>
      </c>
      <c r="E26716" s="8" t="inlineStr">
        <is>
          <t>RC Racer</t>
        </is>
      </c>
      <c r="F26716" s="8" t="inlineStr">
        <is>
          <t>STANDBY</t>
        </is>
      </c>
      <c r="G26716" s="8" t="n">
        <v>40</v>
      </c>
      <c r="H26716" s="8" t="inlineStr">
        <is>
          <t>OPERATING</t>
        </is>
      </c>
    </row>
    <row r="26717">
      <c r="A26717" s="8" t="inlineStr">
        <is>
          <t>2026-08-05</t>
        </is>
      </c>
      <c r="B26717" s="8" t="n">
        <v>20</v>
      </c>
      <c r="C26717" s="8" t="n">
        <v>15</v>
      </c>
      <c r="D26717" s="8" t="inlineStr">
        <is>
          <t>Disney Adventure World</t>
        </is>
      </c>
      <c r="E26717" s="8" t="inlineStr">
        <is>
          <t>RC Racer Single Rider</t>
        </is>
      </c>
      <c r="F26717" s="8" t="inlineStr">
        <is>
          <t>STANDBY</t>
        </is>
      </c>
      <c r="G26717" s="8" t="n">
        <v>35</v>
      </c>
      <c r="H26717" s="8" t="inlineStr">
        <is>
          <t>OPERATING</t>
        </is>
      </c>
    </row>
    <row r="26718">
      <c r="A26718" s="8" t="inlineStr">
        <is>
          <t>2026-08-05</t>
        </is>
      </c>
      <c r="B26718" s="8" t="n">
        <v>20</v>
      </c>
      <c r="C26718" s="8" t="n">
        <v>15</v>
      </c>
      <c r="D26718" s="8" t="inlineStr">
        <is>
          <t>Disney Adventure World</t>
        </is>
      </c>
      <c r="E26718" s="8" t="inlineStr">
        <is>
          <t>Slinky® Dog Zigzag Spin</t>
        </is>
      </c>
      <c r="F26718" s="8" t="inlineStr">
        <is>
          <t>STANDBY</t>
        </is>
      </c>
      <c r="G26718" s="8" t="n">
        <v>10</v>
      </c>
      <c r="H26718" s="8" t="inlineStr">
        <is>
          <t>OPERATING</t>
        </is>
      </c>
    </row>
    <row r="26719">
      <c r="A26719" s="8" t="inlineStr">
        <is>
          <t>2026-08-05</t>
        </is>
      </c>
      <c r="B26719" s="8" t="n">
        <v>20</v>
      </c>
      <c r="C26719" s="8" t="n">
        <v>15</v>
      </c>
      <c r="D26719" s="8" t="inlineStr">
        <is>
          <t>Disney Adventure World</t>
        </is>
      </c>
      <c r="E26719" s="8" t="inlineStr">
        <is>
          <t>Toy Soldiers Parachute Drop</t>
        </is>
      </c>
      <c r="F26719" s="8" t="inlineStr">
        <is>
          <t>STANDBY</t>
        </is>
      </c>
      <c r="G26719" s="8" t="n">
        <v>40</v>
      </c>
      <c r="H26719" s="8" t="inlineStr">
        <is>
          <t>OPERATING</t>
        </is>
      </c>
    </row>
    <row r="26720">
      <c r="A26720" s="8" t="inlineStr">
        <is>
          <t>2026-08-05</t>
        </is>
      </c>
      <c r="B26720" s="8" t="n">
        <v>20</v>
      </c>
      <c r="C26720" s="8" t="n">
        <v>15</v>
      </c>
      <c r="D26720" s="8" t="inlineStr">
        <is>
          <t>Disney Adventure World</t>
        </is>
      </c>
      <c r="E26720" s="8" t="inlineStr">
        <is>
          <t>Toy Soldiers Parachute Drop Single Rider</t>
        </is>
      </c>
      <c r="F26720" s="8" t="inlineStr">
        <is>
          <t>STANDBY</t>
        </is>
      </c>
      <c r="G26720" s="8" t="n">
        <v>20</v>
      </c>
      <c r="H26720" s="8" t="inlineStr">
        <is>
          <t>OPERATING</t>
        </is>
      </c>
    </row>
    <row r="26721">
      <c r="A26721" s="8" t="inlineStr">
        <is>
          <t>2026-08-05</t>
        </is>
      </c>
      <c r="B26721" s="8" t="n">
        <v>20</v>
      </c>
      <c r="C26721" s="8" t="n">
        <v>15</v>
      </c>
      <c r="D26721" s="8" t="inlineStr">
        <is>
          <t>Disney Adventure World</t>
        </is>
      </c>
      <c r="E26721" s="8" t="inlineStr">
        <is>
          <t>Entry to World of Frozen</t>
        </is>
      </c>
      <c r="F26721" s="8" t="inlineStr">
        <is>
          <t>STANDBY</t>
        </is>
      </c>
      <c r="G26721" s="8" t="n">
        <v>0</v>
      </c>
      <c r="H26721" s="8" t="inlineStr">
        <is>
          <t>OPERATING</t>
        </is>
      </c>
    </row>
    <row r="26722">
      <c r="A26722" s="8" t="inlineStr">
        <is>
          <t>2026-08-05</t>
        </is>
      </c>
      <c r="B26722" s="8" t="n">
        <v>20</v>
      </c>
      <c r="C26722" s="8" t="n">
        <v>15</v>
      </c>
      <c r="D26722" s="8" t="inlineStr">
        <is>
          <t>Disney Adventure World</t>
        </is>
      </c>
      <c r="E26722" s="8" t="inlineStr">
        <is>
          <t>Frozen Ever After</t>
        </is>
      </c>
      <c r="F26722" s="8" t="inlineStr">
        <is>
          <t>STANDBY</t>
        </is>
      </c>
      <c r="G26722" s="8" t="n">
        <v>50</v>
      </c>
      <c r="H26722" s="8" t="inlineStr">
        <is>
          <t>OPERATING</t>
        </is>
      </c>
    </row>
    <row r="26723">
      <c r="A26723" s="8" t="inlineStr">
        <is>
          <t>2026-08-05</t>
        </is>
      </c>
      <c r="B26723" s="8" t="n">
        <v>20</v>
      </c>
      <c r="C26723" s="8" t="n">
        <v>15</v>
      </c>
      <c r="D26723" s="8" t="inlineStr">
        <is>
          <t>Disney Adventure World</t>
        </is>
      </c>
      <c r="E26723" s="8" t="inlineStr">
        <is>
          <t>Raiponce Tangled Spin</t>
        </is>
      </c>
      <c r="F26723" s="8" t="inlineStr">
        <is>
          <t>STANDBY</t>
        </is>
      </c>
      <c r="G26723" s="8" t="n">
        <v>5</v>
      </c>
      <c r="H26723" s="8" t="inlineStr">
        <is>
          <t>OPERATING</t>
        </is>
      </c>
    </row>
    <row r="26724">
      <c r="A26724" s="8" t="inlineStr">
        <is>
          <t>2026-08-05</t>
        </is>
      </c>
      <c r="B26724" s="8" t="n">
        <v>20</v>
      </c>
      <c r="C26724" s="8" t="n">
        <v>31</v>
      </c>
      <c r="D26724" s="8" t="inlineStr">
        <is>
          <t>Disneyland Park</t>
        </is>
      </c>
      <c r="E26724" s="8" t="inlineStr">
        <is>
          <t>Adventure Isle</t>
        </is>
      </c>
      <c r="F26724" s="8" t="inlineStr">
        <is>
          <t>STANDBY</t>
        </is>
      </c>
      <c r="G26724" s="8" t="n">
        <v>0</v>
      </c>
      <c r="H26724" s="8" t="inlineStr">
        <is>
          <t>OPERATING</t>
        </is>
      </c>
    </row>
    <row r="26725">
      <c r="A26725" s="8" t="inlineStr">
        <is>
          <t>2026-08-05</t>
        </is>
      </c>
      <c r="B26725" s="8" t="n">
        <v>20</v>
      </c>
      <c r="C26725" s="8" t="n">
        <v>31</v>
      </c>
      <c r="D26725" s="8" t="inlineStr">
        <is>
          <t>Disneyland Park</t>
        </is>
      </c>
      <c r="E26725" s="8" t="inlineStr">
        <is>
          <t>Indiana Jones and the Temple of Peril Single Rider</t>
        </is>
      </c>
      <c r="F26725" s="8" t="inlineStr">
        <is>
          <t>STANDBY</t>
        </is>
      </c>
      <c r="G26725" s="8" t="n">
        <v>5</v>
      </c>
      <c r="H26725" s="8" t="inlineStr">
        <is>
          <t>OPERATING</t>
        </is>
      </c>
    </row>
    <row r="26726">
      <c r="A26726" s="8" t="inlineStr">
        <is>
          <t>2026-08-05</t>
        </is>
      </c>
      <c r="B26726" s="8" t="n">
        <v>20</v>
      </c>
      <c r="C26726" s="8" t="n">
        <v>31</v>
      </c>
      <c r="D26726" s="8" t="inlineStr">
        <is>
          <t>Disneyland Park</t>
        </is>
      </c>
      <c r="E26726" s="8" t="inlineStr">
        <is>
          <t>Indiana Jones™ and the Temple of Peril</t>
        </is>
      </c>
      <c r="F26726" s="8" t="inlineStr">
        <is>
          <t>STANDBY</t>
        </is>
      </c>
      <c r="G26726" s="8" t="n">
        <v>10</v>
      </c>
      <c r="H26726" s="8" t="inlineStr">
        <is>
          <t>OPERATING</t>
        </is>
      </c>
    </row>
    <row r="26727">
      <c r="A26727" s="8" t="inlineStr">
        <is>
          <t>2026-08-05</t>
        </is>
      </c>
      <c r="B26727" s="8" t="n">
        <v>20</v>
      </c>
      <c r="C26727" s="8" t="n">
        <v>31</v>
      </c>
      <c r="D26727" s="8" t="inlineStr">
        <is>
          <t>Disneyland Park</t>
        </is>
      </c>
      <c r="E26727" s="8" t="inlineStr">
        <is>
          <t>La Cabane des Robinson</t>
        </is>
      </c>
      <c r="F26727" s="8" t="inlineStr">
        <is>
          <t>STANDBY</t>
        </is>
      </c>
      <c r="G26727" s="8" t="n">
        <v>5</v>
      </c>
      <c r="H26727" s="8" t="inlineStr">
        <is>
          <t>OPERATING</t>
        </is>
      </c>
    </row>
    <row r="26728">
      <c r="A26728" s="8" t="inlineStr">
        <is>
          <t>2026-08-05</t>
        </is>
      </c>
      <c r="B26728" s="8" t="n">
        <v>20</v>
      </c>
      <c r="C26728" s="8" t="n">
        <v>31</v>
      </c>
      <c r="D26728" s="8" t="inlineStr">
        <is>
          <t>Disneyland Park</t>
        </is>
      </c>
      <c r="E26728" s="8" t="inlineStr">
        <is>
          <t>Le Passage Enchanté d'Aladdin</t>
        </is>
      </c>
      <c r="F26728" s="8" t="inlineStr">
        <is>
          <t>STANDBY</t>
        </is>
      </c>
      <c r="G26728" s="8" t="n">
        <v>0</v>
      </c>
      <c r="H26728" s="8" t="inlineStr">
        <is>
          <t>OPERATING</t>
        </is>
      </c>
    </row>
    <row r="26729">
      <c r="A26729" s="8" t="inlineStr">
        <is>
          <t>2026-08-05</t>
        </is>
      </c>
      <c r="B26729" s="8" t="n">
        <v>20</v>
      </c>
      <c r="C26729" s="8" t="n">
        <v>31</v>
      </c>
      <c r="D26729" s="8" t="inlineStr">
        <is>
          <t>Disneyland Park</t>
        </is>
      </c>
      <c r="E26729" s="8" t="inlineStr">
        <is>
          <t>Pirate Galleon</t>
        </is>
      </c>
      <c r="F26729" s="8" t="inlineStr">
        <is>
          <t>STANDBY</t>
        </is>
      </c>
      <c r="G26729" s="8" t="n">
        <v>0</v>
      </c>
      <c r="H26729" s="8" t="inlineStr">
        <is>
          <t>CLOSED</t>
        </is>
      </c>
    </row>
    <row r="26730">
      <c r="A26730" s="8" t="inlineStr">
        <is>
          <t>2026-08-05</t>
        </is>
      </c>
      <c r="B26730" s="8" t="n">
        <v>20</v>
      </c>
      <c r="C26730" s="8" t="n">
        <v>31</v>
      </c>
      <c r="D26730" s="8" t="inlineStr">
        <is>
          <t>Disneyland Park</t>
        </is>
      </c>
      <c r="E26730" s="8" t="inlineStr">
        <is>
          <t>Pirates of the Caribbean</t>
        </is>
      </c>
      <c r="F26730" s="8" t="inlineStr">
        <is>
          <t>STANDBY</t>
        </is>
      </c>
      <c r="G26730" s="8" t="n">
        <v>10</v>
      </c>
      <c r="H26730" s="8" t="inlineStr">
        <is>
          <t>OPERATING</t>
        </is>
      </c>
    </row>
    <row r="26731">
      <c r="A26731" s="8" t="inlineStr">
        <is>
          <t>2026-08-05</t>
        </is>
      </c>
      <c r="B26731" s="8" t="n">
        <v>20</v>
      </c>
      <c r="C26731" s="8" t="n">
        <v>31</v>
      </c>
      <c r="D26731" s="8" t="inlineStr">
        <is>
          <t>Disneyland Park</t>
        </is>
      </c>
      <c r="E26731" s="8" t="inlineStr">
        <is>
          <t>Pirates' Beach</t>
        </is>
      </c>
      <c r="F26731" s="8" t="inlineStr">
        <is>
          <t>STANDBY</t>
        </is>
      </c>
      <c r="G26731" s="8" t="n">
        <v>0</v>
      </c>
      <c r="H26731" s="8" t="inlineStr">
        <is>
          <t>OPERATING</t>
        </is>
      </c>
    </row>
    <row r="26732">
      <c r="A26732" s="8" t="inlineStr">
        <is>
          <t>2026-08-05</t>
        </is>
      </c>
      <c r="B26732" s="8" t="n">
        <v>20</v>
      </c>
      <c r="C26732" s="8" t="n">
        <v>31</v>
      </c>
      <c r="D26732" s="8" t="inlineStr">
        <is>
          <t>Disneyland Park</t>
        </is>
      </c>
      <c r="E26732" s="8" t="inlineStr">
        <is>
          <t>Autopia, presented by Avis</t>
        </is>
      </c>
      <c r="F26732" s="8" t="inlineStr">
        <is>
          <t>STANDBY</t>
        </is>
      </c>
      <c r="G26732" s="8" t="n">
        <v>35</v>
      </c>
      <c r="H26732" s="8" t="inlineStr">
        <is>
          <t>OPERATING</t>
        </is>
      </c>
    </row>
    <row r="26733">
      <c r="A26733" s="8" t="inlineStr">
        <is>
          <t>2026-08-05</t>
        </is>
      </c>
      <c r="B26733" s="8" t="n">
        <v>20</v>
      </c>
      <c r="C26733" s="8" t="n">
        <v>31</v>
      </c>
      <c r="D26733" s="8" t="inlineStr">
        <is>
          <t>Disneyland Park</t>
        </is>
      </c>
      <c r="E26733" s="8" t="inlineStr">
        <is>
          <t>Buzz Lightyear Laser Blast</t>
        </is>
      </c>
      <c r="F26733" s="8" t="inlineStr">
        <is>
          <t>STANDBY</t>
        </is>
      </c>
      <c r="G26733" s="8" t="n">
        <v>40</v>
      </c>
      <c r="H26733" s="8" t="inlineStr">
        <is>
          <t>OPERATING</t>
        </is>
      </c>
    </row>
    <row r="26734">
      <c r="A26734" s="8" t="inlineStr">
        <is>
          <t>2026-08-05</t>
        </is>
      </c>
      <c r="B26734" s="8" t="n">
        <v>20</v>
      </c>
      <c r="C26734" s="8" t="n">
        <v>31</v>
      </c>
      <c r="D26734" s="8" t="inlineStr">
        <is>
          <t>Disneyland Park</t>
        </is>
      </c>
      <c r="E26734" s="8" t="inlineStr">
        <is>
          <t>Disneyland Railroad Discoveryland Station</t>
        </is>
      </c>
      <c r="F26734" s="8" t="inlineStr">
        <is>
          <t>STANDBY</t>
        </is>
      </c>
      <c r="G26734" s="8" t="n">
        <v>0</v>
      </c>
      <c r="H26734" s="8" t="inlineStr">
        <is>
          <t>CLOSED</t>
        </is>
      </c>
    </row>
    <row r="26735">
      <c r="A26735" s="8" t="inlineStr">
        <is>
          <t>2026-08-05</t>
        </is>
      </c>
      <c r="B26735" s="8" t="n">
        <v>20</v>
      </c>
      <c r="C26735" s="8" t="n">
        <v>31</v>
      </c>
      <c r="D26735" s="8" t="inlineStr">
        <is>
          <t>Disneyland Park</t>
        </is>
      </c>
      <c r="E26735" s="8" t="inlineStr">
        <is>
          <t>Les Mystères du Nautilus</t>
        </is>
      </c>
      <c r="F26735" s="8" t="inlineStr">
        <is>
          <t>STANDBY</t>
        </is>
      </c>
      <c r="G26735" s="8" t="n">
        <v>5</v>
      </c>
      <c r="H26735" s="8" t="inlineStr">
        <is>
          <t>OPERATING</t>
        </is>
      </c>
    </row>
    <row r="26736">
      <c r="A26736" s="8" t="inlineStr">
        <is>
          <t>2026-08-05</t>
        </is>
      </c>
      <c r="B26736" s="8" t="n">
        <v>20</v>
      </c>
      <c r="C26736" s="8" t="n">
        <v>31</v>
      </c>
      <c r="D26736" s="8" t="inlineStr">
        <is>
          <t>Disneyland Park</t>
        </is>
      </c>
      <c r="E26736" s="8" t="inlineStr">
        <is>
          <t>Mickey’s PhilharMagic</t>
        </is>
      </c>
      <c r="F26736" s="8" t="inlineStr">
        <is>
          <t>STANDBY</t>
        </is>
      </c>
      <c r="G26736" s="8" t="n">
        <v>0</v>
      </c>
      <c r="H26736" s="8" t="inlineStr">
        <is>
          <t>CLOSED</t>
        </is>
      </c>
    </row>
    <row r="26737">
      <c r="A26737" s="8" t="inlineStr">
        <is>
          <t>2026-08-05</t>
        </is>
      </c>
      <c r="B26737" s="8" t="n">
        <v>20</v>
      </c>
      <c r="C26737" s="8" t="n">
        <v>31</v>
      </c>
      <c r="D26737" s="8" t="inlineStr">
        <is>
          <t>Disneyland Park</t>
        </is>
      </c>
      <c r="E26737" s="8" t="inlineStr">
        <is>
          <t>Orbitron®</t>
        </is>
      </c>
      <c r="F26737" s="8" t="inlineStr">
        <is>
          <t>STANDBY</t>
        </is>
      </c>
      <c r="G26737" s="8" t="n">
        <v>45</v>
      </c>
      <c r="H26737" s="8" t="inlineStr">
        <is>
          <t>OPERATING</t>
        </is>
      </c>
    </row>
    <row r="26738">
      <c r="A26738" s="8" t="inlineStr">
        <is>
          <t>2026-08-05</t>
        </is>
      </c>
      <c r="B26738" s="8" t="n">
        <v>20</v>
      </c>
      <c r="C26738" s="8" t="n">
        <v>31</v>
      </c>
      <c r="D26738" s="8" t="inlineStr">
        <is>
          <t>Disneyland Park</t>
        </is>
      </c>
      <c r="E26738" s="8" t="inlineStr">
        <is>
          <t>Star Tours: The Adventures Continue*</t>
        </is>
      </c>
      <c r="F26738" s="8" t="inlineStr">
        <is>
          <t>STANDBY</t>
        </is>
      </c>
      <c r="G26738" s="8" t="n">
        <v>5</v>
      </c>
      <c r="H26738" s="8" t="inlineStr">
        <is>
          <t>OPERATING</t>
        </is>
      </c>
    </row>
    <row r="26739">
      <c r="A26739" s="8" t="inlineStr">
        <is>
          <t>2026-08-05</t>
        </is>
      </c>
      <c r="B26739" s="8" t="n">
        <v>20</v>
      </c>
      <c r="C26739" s="8" t="n">
        <v>31</v>
      </c>
      <c r="D26739" s="8" t="inlineStr">
        <is>
          <t>Disneyland Park</t>
        </is>
      </c>
      <c r="E26739" s="8" t="inlineStr">
        <is>
          <t>Star Wars Hyperspace Mountain</t>
        </is>
      </c>
      <c r="F26739" s="8" t="inlineStr">
        <is>
          <t>STANDBY</t>
        </is>
      </c>
      <c r="G26739" s="8" t="n">
        <v>30</v>
      </c>
      <c r="H26739" s="8" t="inlineStr">
        <is>
          <t>OPERATING</t>
        </is>
      </c>
    </row>
    <row r="26740">
      <c r="A26740" s="8" t="inlineStr">
        <is>
          <t>2026-08-05</t>
        </is>
      </c>
      <c r="B26740" s="8" t="n">
        <v>20</v>
      </c>
      <c r="C26740" s="8" t="n">
        <v>31</v>
      </c>
      <c r="D26740" s="8" t="inlineStr">
        <is>
          <t>Disneyland Park</t>
        </is>
      </c>
      <c r="E26740" s="8" t="inlineStr">
        <is>
          <t>Star Wars Hyperspace Mountain Single Rider</t>
        </is>
      </c>
      <c r="F26740" s="8" t="inlineStr">
        <is>
          <t>STANDBY</t>
        </is>
      </c>
      <c r="G26740" s="8" t="n">
        <v>0</v>
      </c>
      <c r="H26740" s="8" t="inlineStr">
        <is>
          <t>OPERATING</t>
        </is>
      </c>
    </row>
    <row r="26741">
      <c r="A26741" s="8" t="inlineStr">
        <is>
          <t>2026-08-05</t>
        </is>
      </c>
      <c r="B26741" s="8" t="n">
        <v>20</v>
      </c>
      <c r="C26741" s="8" t="n">
        <v>31</v>
      </c>
      <c r="D26741" s="8" t="inlineStr">
        <is>
          <t>Disneyland Park</t>
        </is>
      </c>
      <c r="E26741" s="8" t="inlineStr">
        <is>
          <t>Welcome to Starport: A Star Wars Encounter</t>
        </is>
      </c>
      <c r="F26741" s="8" t="inlineStr">
        <is>
          <t>STANDBY</t>
        </is>
      </c>
      <c r="G26741" s="8" t="n">
        <v>0</v>
      </c>
      <c r="H26741" s="8" t="inlineStr">
        <is>
          <t>CLOSED</t>
        </is>
      </c>
    </row>
    <row r="26742">
      <c r="A26742" s="8" t="inlineStr">
        <is>
          <t>2026-08-05</t>
        </is>
      </c>
      <c r="B26742" s="8" t="n">
        <v>20</v>
      </c>
      <c r="C26742" s="8" t="n">
        <v>31</v>
      </c>
      <c r="D26742" s="8" t="inlineStr">
        <is>
          <t>Disneyland Park</t>
        </is>
      </c>
      <c r="E26742" s="8" t="inlineStr">
        <is>
          <t>"it's a small world"</t>
        </is>
      </c>
      <c r="F26742" s="8" t="inlineStr">
        <is>
          <t>STANDBY</t>
        </is>
      </c>
      <c r="G26742" s="8" t="n">
        <v>5</v>
      </c>
      <c r="H26742" s="8" t="inlineStr">
        <is>
          <t>OPERATING</t>
        </is>
      </c>
    </row>
    <row r="26743">
      <c r="A26743" s="8" t="inlineStr">
        <is>
          <t>2026-08-05</t>
        </is>
      </c>
      <c r="B26743" s="8" t="n">
        <v>20</v>
      </c>
      <c r="C26743" s="8" t="n">
        <v>31</v>
      </c>
      <c r="D26743" s="8" t="inlineStr">
        <is>
          <t>Disneyland Park</t>
        </is>
      </c>
      <c r="E26743" s="8" t="inlineStr">
        <is>
          <t>Alice's Curious Labyrinth</t>
        </is>
      </c>
      <c r="F26743" s="8" t="inlineStr">
        <is>
          <t>STANDBY</t>
        </is>
      </c>
      <c r="G26743" s="8" t="n">
        <v>5</v>
      </c>
      <c r="H26743" s="8" t="inlineStr">
        <is>
          <t>OPERATING</t>
        </is>
      </c>
    </row>
    <row r="26744">
      <c r="A26744" s="8" t="inlineStr">
        <is>
          <t>2026-08-05</t>
        </is>
      </c>
      <c r="B26744" s="8" t="n">
        <v>20</v>
      </c>
      <c r="C26744" s="8" t="n">
        <v>31</v>
      </c>
      <c r="D26744" s="8" t="inlineStr">
        <is>
          <t>Disneyland Park</t>
        </is>
      </c>
      <c r="E26744" s="8" t="inlineStr">
        <is>
          <t>Blanche-Neige et les Sept Nains®</t>
        </is>
      </c>
      <c r="F26744" s="8" t="inlineStr">
        <is>
          <t>STANDBY</t>
        </is>
      </c>
      <c r="G26744" s="8" t="n">
        <v>10</v>
      </c>
      <c r="H26744" s="8" t="inlineStr">
        <is>
          <t>OPERATING</t>
        </is>
      </c>
    </row>
    <row r="26745">
      <c r="A26745" s="8" t="inlineStr">
        <is>
          <t>2026-08-05</t>
        </is>
      </c>
      <c r="B26745" s="8" t="n">
        <v>20</v>
      </c>
      <c r="C26745" s="8" t="n">
        <v>31</v>
      </c>
      <c r="D26745" s="8" t="inlineStr">
        <is>
          <t>Disneyland Park</t>
        </is>
      </c>
      <c r="E26745" s="8" t="inlineStr">
        <is>
          <t>Casey Jr. – le Petit Train du Cirque</t>
        </is>
      </c>
      <c r="F26745" s="8" t="inlineStr">
        <is>
          <t>STANDBY</t>
        </is>
      </c>
      <c r="G26745" s="8" t="n">
        <v>35</v>
      </c>
      <c r="H26745" s="8" t="inlineStr">
        <is>
          <t>OPERATING</t>
        </is>
      </c>
    </row>
    <row r="26746">
      <c r="A26746" s="8" t="inlineStr">
        <is>
          <t>2026-08-05</t>
        </is>
      </c>
      <c r="B26746" s="8" t="n">
        <v>20</v>
      </c>
      <c r="C26746" s="8" t="n">
        <v>31</v>
      </c>
      <c r="D26746" s="8" t="inlineStr">
        <is>
          <t>Disneyland Park</t>
        </is>
      </c>
      <c r="E26746" s="8" t="inlineStr">
        <is>
          <t>Disneyland Railroad Fantasyland Station</t>
        </is>
      </c>
      <c r="F26746" s="8" t="inlineStr">
        <is>
          <t>STANDBY</t>
        </is>
      </c>
      <c r="G26746" s="8" t="n">
        <v>0</v>
      </c>
      <c r="H26746" s="8" t="inlineStr">
        <is>
          <t>CLOSED</t>
        </is>
      </c>
    </row>
    <row r="26747">
      <c r="A26747" s="8" t="inlineStr">
        <is>
          <t>2026-08-05</t>
        </is>
      </c>
      <c r="B26747" s="8" t="n">
        <v>20</v>
      </c>
      <c r="C26747" s="8" t="n">
        <v>31</v>
      </c>
      <c r="D26747" s="8" t="inlineStr">
        <is>
          <t>Disneyland Park</t>
        </is>
      </c>
      <c r="E26747" s="8" t="inlineStr">
        <is>
          <t>Disneyland Railroad Main Street Station</t>
        </is>
      </c>
      <c r="F26747" s="8" t="inlineStr">
        <is>
          <t>STANDBY</t>
        </is>
      </c>
      <c r="G26747" s="8" t="n">
        <v>0</v>
      </c>
      <c r="H26747" s="8" t="inlineStr">
        <is>
          <t>CLOSED</t>
        </is>
      </c>
    </row>
    <row r="26748">
      <c r="A26748" s="8" t="inlineStr">
        <is>
          <t>2026-08-05</t>
        </is>
      </c>
      <c r="B26748" s="8" t="n">
        <v>20</v>
      </c>
      <c r="C26748" s="8" t="n">
        <v>31</v>
      </c>
      <c r="D26748" s="8" t="inlineStr">
        <is>
          <t>Disneyland Park</t>
        </is>
      </c>
      <c r="E26748" s="8" t="inlineStr">
        <is>
          <t>Dumbo the Flying Elephant</t>
        </is>
      </c>
      <c r="F26748" s="8" t="inlineStr">
        <is>
          <t>STANDBY</t>
        </is>
      </c>
      <c r="G26748" s="8" t="n">
        <v>35</v>
      </c>
      <c r="H26748" s="8" t="inlineStr">
        <is>
          <t>OPERATING</t>
        </is>
      </c>
    </row>
    <row r="26749">
      <c r="A26749" s="8" t="inlineStr">
        <is>
          <t>2026-08-05</t>
        </is>
      </c>
      <c r="B26749" s="8" t="n">
        <v>20</v>
      </c>
      <c r="C26749" s="8" t="n">
        <v>31</v>
      </c>
      <c r="D26749" s="8" t="inlineStr">
        <is>
          <t>Disneyland Park</t>
        </is>
      </c>
      <c r="E26749" s="8" t="inlineStr">
        <is>
          <t>La Tanière du Dragon</t>
        </is>
      </c>
      <c r="F26749" s="8" t="inlineStr">
        <is>
          <t>STANDBY</t>
        </is>
      </c>
      <c r="G26749" s="8" t="n">
        <v>0</v>
      </c>
      <c r="H26749" s="8" t="inlineStr">
        <is>
          <t>OPERATING</t>
        </is>
      </c>
    </row>
    <row r="26750">
      <c r="A26750" s="8" t="inlineStr">
        <is>
          <t>2026-08-05</t>
        </is>
      </c>
      <c r="B26750" s="8" t="n">
        <v>20</v>
      </c>
      <c r="C26750" s="8" t="n">
        <v>31</v>
      </c>
      <c r="D26750" s="8" t="inlineStr">
        <is>
          <t>Disneyland Park</t>
        </is>
      </c>
      <c r="E26750" s="8" t="inlineStr">
        <is>
          <t>Le Carrousel de Lancelot</t>
        </is>
      </c>
      <c r="F26750" s="8" t="inlineStr">
        <is>
          <t>STANDBY</t>
        </is>
      </c>
      <c r="G26750" s="8" t="n">
        <v>15</v>
      </c>
      <c r="H26750" s="8" t="inlineStr">
        <is>
          <t>OPERATING</t>
        </is>
      </c>
    </row>
    <row r="26751">
      <c r="A26751" s="8" t="inlineStr">
        <is>
          <t>2026-08-05</t>
        </is>
      </c>
      <c r="B26751" s="8" t="n">
        <v>20</v>
      </c>
      <c r="C26751" s="8" t="n">
        <v>31</v>
      </c>
      <c r="D26751" s="8" t="inlineStr">
        <is>
          <t>Disneyland Park</t>
        </is>
      </c>
      <c r="E26751" s="8" t="inlineStr">
        <is>
          <t>Le Pays des Contes de Fées, presented by Vittel</t>
        </is>
      </c>
      <c r="F26751" s="8" t="inlineStr">
        <is>
          <t>STANDBY</t>
        </is>
      </c>
      <c r="G26751" s="8" t="n">
        <v>5</v>
      </c>
      <c r="H26751" s="8" t="inlineStr">
        <is>
          <t>OPERATING</t>
        </is>
      </c>
    </row>
    <row r="26752">
      <c r="A26752" s="8" t="inlineStr">
        <is>
          <t>2026-08-05</t>
        </is>
      </c>
      <c r="B26752" s="8" t="n">
        <v>20</v>
      </c>
      <c r="C26752" s="8" t="n">
        <v>31</v>
      </c>
      <c r="D26752" s="8" t="inlineStr">
        <is>
          <t>Disneyland Park</t>
        </is>
      </c>
      <c r="E26752" s="8" t="inlineStr">
        <is>
          <t>Les Voyages de Pinocchio</t>
        </is>
      </c>
      <c r="F26752" s="8" t="inlineStr">
        <is>
          <t>STANDBY</t>
        </is>
      </c>
      <c r="G26752" s="8" t="n">
        <v>25</v>
      </c>
      <c r="H26752" s="8" t="inlineStr">
        <is>
          <t>OPERATING</t>
        </is>
      </c>
    </row>
    <row r="26753">
      <c r="A26753" s="8" t="inlineStr">
        <is>
          <t>2026-08-05</t>
        </is>
      </c>
      <c r="B26753" s="8" t="n">
        <v>20</v>
      </c>
      <c r="C26753" s="8" t="n">
        <v>31</v>
      </c>
      <c r="D26753" s="8" t="inlineStr">
        <is>
          <t>Disneyland Park</t>
        </is>
      </c>
      <c r="E26753" s="8" t="inlineStr">
        <is>
          <t>Mad Hatter's Tea Cups</t>
        </is>
      </c>
      <c r="F26753" s="8" t="inlineStr">
        <is>
          <t>STANDBY</t>
        </is>
      </c>
      <c r="G26753" s="8" t="n">
        <v>5</v>
      </c>
      <c r="H26753" s="8" t="inlineStr">
        <is>
          <t>OPERATING</t>
        </is>
      </c>
    </row>
    <row r="26754">
      <c r="A26754" s="8" t="inlineStr">
        <is>
          <t>2026-08-05</t>
        </is>
      </c>
      <c r="B26754" s="8" t="n">
        <v>20</v>
      </c>
      <c r="C26754" s="8" t="n">
        <v>31</v>
      </c>
      <c r="D26754" s="8" t="inlineStr">
        <is>
          <t>Disneyland Park</t>
        </is>
      </c>
      <c r="E26754" s="8" t="inlineStr">
        <is>
          <t>Meet Mickey Mouse</t>
        </is>
      </c>
      <c r="F26754" s="8" t="inlineStr">
        <is>
          <t>STANDBY</t>
        </is>
      </c>
      <c r="G26754" s="8" t="n">
        <v>0</v>
      </c>
      <c r="H26754" s="8" t="inlineStr">
        <is>
          <t>CLOSED</t>
        </is>
      </c>
    </row>
    <row r="26755">
      <c r="A26755" s="8" t="inlineStr">
        <is>
          <t>2026-08-05</t>
        </is>
      </c>
      <c r="B26755" s="8" t="n">
        <v>20</v>
      </c>
      <c r="C26755" s="8" t="n">
        <v>31</v>
      </c>
      <c r="D26755" s="8" t="inlineStr">
        <is>
          <t>Disneyland Park</t>
        </is>
      </c>
      <c r="E26755" s="8" t="inlineStr">
        <is>
          <t>Peter Pan's Flight</t>
        </is>
      </c>
      <c r="F26755" s="8" t="inlineStr">
        <is>
          <t>STANDBY</t>
        </is>
      </c>
      <c r="G26755" s="8" t="n">
        <v>70</v>
      </c>
      <c r="H26755" s="8" t="inlineStr">
        <is>
          <t>OPERATING</t>
        </is>
      </c>
    </row>
    <row r="26756">
      <c r="A26756" s="8" t="inlineStr">
        <is>
          <t>2026-08-05</t>
        </is>
      </c>
      <c r="B26756" s="8" t="n">
        <v>20</v>
      </c>
      <c r="C26756" s="8" t="n">
        <v>31</v>
      </c>
      <c r="D26756" s="8" t="inlineStr">
        <is>
          <t>Disneyland Park</t>
        </is>
      </c>
      <c r="E26756" s="8" t="inlineStr">
        <is>
          <t>Princess Pavilion</t>
        </is>
      </c>
      <c r="F26756" s="8" t="inlineStr">
        <is>
          <t>STANDBY</t>
        </is>
      </c>
      <c r="G26756" s="8" t="n">
        <v>0</v>
      </c>
      <c r="H26756" s="8" t="inlineStr">
        <is>
          <t>CLOSED</t>
        </is>
      </c>
    </row>
    <row r="26757">
      <c r="A26757" s="8" t="inlineStr">
        <is>
          <t>2026-08-05</t>
        </is>
      </c>
      <c r="B26757" s="8" t="n">
        <v>20</v>
      </c>
      <c r="C26757" s="8" t="n">
        <v>31</v>
      </c>
      <c r="D26757" s="8" t="inlineStr">
        <is>
          <t>Disneyland Park</t>
        </is>
      </c>
      <c r="E26757" s="8" t="inlineStr">
        <is>
          <t>Big Thunder Mountain</t>
        </is>
      </c>
      <c r="F26757" s="8" t="inlineStr">
        <is>
          <t>STANDBY</t>
        </is>
      </c>
      <c r="G26757" s="8" t="n">
        <v>95</v>
      </c>
      <c r="H26757" s="8" t="inlineStr">
        <is>
          <t>OPERATING</t>
        </is>
      </c>
    </row>
    <row r="26758">
      <c r="A26758" s="8" t="inlineStr">
        <is>
          <t>2026-08-05</t>
        </is>
      </c>
      <c r="B26758" s="8" t="n">
        <v>20</v>
      </c>
      <c r="C26758" s="8" t="n">
        <v>31</v>
      </c>
      <c r="D26758" s="8" t="inlineStr">
        <is>
          <t>Disneyland Park</t>
        </is>
      </c>
      <c r="E26758" s="8" t="inlineStr">
        <is>
          <t>Disneyland Railroad Frontierland Depot</t>
        </is>
      </c>
      <c r="F26758" s="8" t="inlineStr">
        <is>
          <t>STANDBY</t>
        </is>
      </c>
      <c r="G26758" s="8" t="n">
        <v>0</v>
      </c>
      <c r="H26758" s="8" t="inlineStr">
        <is>
          <t>CLOSED</t>
        </is>
      </c>
    </row>
    <row r="26759">
      <c r="A26759" s="8" t="inlineStr">
        <is>
          <t>2026-08-05</t>
        </is>
      </c>
      <c r="B26759" s="8" t="n">
        <v>20</v>
      </c>
      <c r="C26759" s="8" t="n">
        <v>31</v>
      </c>
      <c r="D26759" s="8" t="inlineStr">
        <is>
          <t>Disneyland Park</t>
        </is>
      </c>
      <c r="E26759" s="8" t="inlineStr">
        <is>
          <t>Frontierland Playground</t>
        </is>
      </c>
      <c r="F26759" s="8" t="inlineStr">
        <is>
          <t>STANDBY</t>
        </is>
      </c>
      <c r="G26759" s="8" t="n">
        <v>0</v>
      </c>
      <c r="H26759" s="8" t="inlineStr">
        <is>
          <t>OPERATING</t>
        </is>
      </c>
    </row>
    <row r="26760">
      <c r="A26760" s="8" t="inlineStr">
        <is>
          <t>2026-08-05</t>
        </is>
      </c>
      <c r="B26760" s="8" t="n">
        <v>20</v>
      </c>
      <c r="C26760" s="8" t="n">
        <v>31</v>
      </c>
      <c r="D26760" s="8" t="inlineStr">
        <is>
          <t>Disneyland Park</t>
        </is>
      </c>
      <c r="E26760" s="8" t="inlineStr">
        <is>
          <t>Phantom Manor</t>
        </is>
      </c>
      <c r="F26760" s="8" t="inlineStr">
        <is>
          <t>STANDBY</t>
        </is>
      </c>
      <c r="G26760" s="8" t="n">
        <v>5</v>
      </c>
      <c r="H26760" s="8" t="inlineStr">
        <is>
          <t>OPERATING</t>
        </is>
      </c>
    </row>
    <row r="26761">
      <c r="A26761" s="8" t="inlineStr">
        <is>
          <t>2026-08-05</t>
        </is>
      </c>
      <c r="B26761" s="8" t="n">
        <v>20</v>
      </c>
      <c r="C26761" s="8" t="n">
        <v>31</v>
      </c>
      <c r="D26761" s="8" t="inlineStr">
        <is>
          <t>Disneyland Park</t>
        </is>
      </c>
      <c r="E26761" s="8" t="inlineStr">
        <is>
          <t>River Rogue Keelboats</t>
        </is>
      </c>
      <c r="F26761" s="8" t="inlineStr">
        <is>
          <t>STANDBY</t>
        </is>
      </c>
      <c r="G26761" s="8" t="n">
        <v>0</v>
      </c>
      <c r="H26761" s="8" t="inlineStr">
        <is>
          <t>CLOSED</t>
        </is>
      </c>
    </row>
    <row r="26762">
      <c r="A26762" s="8" t="inlineStr">
        <is>
          <t>2026-08-05</t>
        </is>
      </c>
      <c r="B26762" s="8" t="n">
        <v>20</v>
      </c>
      <c r="C26762" s="8" t="n">
        <v>31</v>
      </c>
      <c r="D26762" s="8" t="inlineStr">
        <is>
          <t>Disneyland Park</t>
        </is>
      </c>
      <c r="E26762" s="8" t="inlineStr">
        <is>
          <t>Rustler Roundup Shootin' Gallery</t>
        </is>
      </c>
      <c r="F26762" s="8" t="inlineStr">
        <is>
          <t>STANDBY</t>
        </is>
      </c>
      <c r="G26762" s="8" t="n">
        <v>0</v>
      </c>
      <c r="H26762" s="8" t="inlineStr">
        <is>
          <t>OPERATING</t>
        </is>
      </c>
    </row>
    <row r="26763">
      <c r="A26763" s="8" t="inlineStr">
        <is>
          <t>2026-08-05</t>
        </is>
      </c>
      <c r="B26763" s="8" t="n">
        <v>20</v>
      </c>
      <c r="C26763" s="8" t="n">
        <v>31</v>
      </c>
      <c r="D26763" s="8" t="inlineStr">
        <is>
          <t>Disneyland Park</t>
        </is>
      </c>
      <c r="E26763" s="8" t="inlineStr">
        <is>
          <t>Thunder Mesa Riverboat Landing</t>
        </is>
      </c>
      <c r="F26763" s="8" t="inlineStr">
        <is>
          <t>STANDBY</t>
        </is>
      </c>
      <c r="G26763" s="8" t="n">
        <v>0</v>
      </c>
      <c r="H26763" s="8" t="inlineStr">
        <is>
          <t>CLOSED</t>
        </is>
      </c>
    </row>
    <row r="26764">
      <c r="A26764" s="8" t="inlineStr">
        <is>
          <t>2026-08-05</t>
        </is>
      </c>
      <c r="B26764" s="8" t="n">
        <v>20</v>
      </c>
      <c r="C26764" s="8" t="n">
        <v>31</v>
      </c>
      <c r="D26764" s="8" t="inlineStr">
        <is>
          <t>Disneyland Park</t>
        </is>
      </c>
      <c r="E26764" s="8" t="inlineStr">
        <is>
          <t>Disneyland Railroad Main Street Station</t>
        </is>
      </c>
      <c r="F26764" s="8" t="inlineStr">
        <is>
          <t>STANDBY</t>
        </is>
      </c>
      <c r="G26764" s="8" t="n">
        <v>0</v>
      </c>
      <c r="H26764" s="8" t="inlineStr">
        <is>
          <t>CLOSED</t>
        </is>
      </c>
    </row>
    <row r="26765">
      <c r="A26765" s="8" t="inlineStr">
        <is>
          <t>2026-08-05</t>
        </is>
      </c>
      <c r="B26765" s="8" t="n">
        <v>20</v>
      </c>
      <c r="C26765" s="8" t="n">
        <v>31</v>
      </c>
      <c r="D26765" s="8" t="inlineStr">
        <is>
          <t>Disneyland Park</t>
        </is>
      </c>
      <c r="E26765" s="8" t="inlineStr">
        <is>
          <t>Main Street Vehicles</t>
        </is>
      </c>
      <c r="F26765" s="8" t="inlineStr">
        <is>
          <t>STANDBY</t>
        </is>
      </c>
      <c r="G26765" s="8" t="n">
        <v>0</v>
      </c>
      <c r="H26765" s="8" t="inlineStr">
        <is>
          <t>CLOSED</t>
        </is>
      </c>
    </row>
    <row r="26766">
      <c r="A26766" s="8" t="inlineStr">
        <is>
          <t>2026-08-05</t>
        </is>
      </c>
      <c r="B26766" s="8" t="n">
        <v>20</v>
      </c>
      <c r="C26766" s="8" t="n">
        <v>31</v>
      </c>
      <c r="D26766" s="8" t="inlineStr">
        <is>
          <t>Disney Adventure World</t>
        </is>
      </c>
      <c r="E26766" s="8" t="inlineStr">
        <is>
          <t>Avengers Assemble: Flight Force</t>
        </is>
      </c>
      <c r="F26766" s="8" t="inlineStr">
        <is>
          <t>STANDBY</t>
        </is>
      </c>
      <c r="G26766" s="8" t="n">
        <v>5</v>
      </c>
      <c r="H26766" s="8" t="inlineStr">
        <is>
          <t>OPERATING</t>
        </is>
      </c>
    </row>
    <row r="26767">
      <c r="A26767" s="8" t="inlineStr">
        <is>
          <t>2026-08-05</t>
        </is>
      </c>
      <c r="B26767" s="8" t="n">
        <v>20</v>
      </c>
      <c r="C26767" s="8" t="n">
        <v>31</v>
      </c>
      <c r="D26767" s="8" t="inlineStr">
        <is>
          <t>Disney Adventure World</t>
        </is>
      </c>
      <c r="E26767" s="8" t="inlineStr">
        <is>
          <t>Avengers Assemble: Flight Force Single Rider</t>
        </is>
      </c>
      <c r="F26767" s="8" t="inlineStr">
        <is>
          <t>STANDBY</t>
        </is>
      </c>
      <c r="G26767" s="8" t="n">
        <v>5</v>
      </c>
      <c r="H26767" s="8" t="inlineStr">
        <is>
          <t>OPERATING</t>
        </is>
      </c>
    </row>
    <row r="26768">
      <c r="A26768" s="8" t="inlineStr">
        <is>
          <t>2026-08-05</t>
        </is>
      </c>
      <c r="B26768" s="8" t="n">
        <v>20</v>
      </c>
      <c r="C26768" s="8" t="n">
        <v>31</v>
      </c>
      <c r="D26768" s="8" t="inlineStr">
        <is>
          <t>Disney Adventure World</t>
        </is>
      </c>
      <c r="E26768" s="8" t="inlineStr">
        <is>
          <t>Spider-Man W.E.B. Adventure</t>
        </is>
      </c>
      <c r="F26768" s="8" t="inlineStr">
        <is>
          <t>STANDBY</t>
        </is>
      </c>
      <c r="G26768" s="8" t="n">
        <v>30</v>
      </c>
      <c r="H26768" s="8" t="inlineStr">
        <is>
          <t>OPERATING</t>
        </is>
      </c>
    </row>
    <row r="26769">
      <c r="A26769" s="8" t="inlineStr">
        <is>
          <t>2026-08-05</t>
        </is>
      </c>
      <c r="B26769" s="8" t="n">
        <v>20</v>
      </c>
      <c r="C26769" s="8" t="n">
        <v>31</v>
      </c>
      <c r="D26769" s="8" t="inlineStr">
        <is>
          <t>Disney Adventure World</t>
        </is>
      </c>
      <c r="E26769" s="8" t="inlineStr">
        <is>
          <t>Spider-Man W.E.B. Adventure Single Rider</t>
        </is>
      </c>
      <c r="F26769" s="8" t="inlineStr">
        <is>
          <t>STANDBY</t>
        </is>
      </c>
      <c r="G26769" s="8" t="n">
        <v>15</v>
      </c>
      <c r="H26769" s="8" t="inlineStr">
        <is>
          <t>OPERATING</t>
        </is>
      </c>
    </row>
    <row r="26770">
      <c r="A26770" s="8" t="inlineStr">
        <is>
          <t>2026-08-05</t>
        </is>
      </c>
      <c r="B26770" s="8" t="n">
        <v>20</v>
      </c>
      <c r="C26770" s="8" t="n">
        <v>31</v>
      </c>
      <c r="D26770" s="8" t="inlineStr">
        <is>
          <t>Disney Adventure World</t>
        </is>
      </c>
      <c r="E26770" s="8" t="inlineStr">
        <is>
          <t>The Twilight Zone Tower of Terror</t>
        </is>
      </c>
      <c r="F26770" s="8" t="inlineStr">
        <is>
          <t>STANDBY</t>
        </is>
      </c>
      <c r="G26770" s="8" t="n">
        <v>10</v>
      </c>
      <c r="H26770" s="8" t="inlineStr">
        <is>
          <t>OPERATING</t>
        </is>
      </c>
    </row>
    <row r="26771">
      <c r="A26771" s="8" t="inlineStr">
        <is>
          <t>2026-08-05</t>
        </is>
      </c>
      <c r="B26771" s="8" t="n">
        <v>20</v>
      </c>
      <c r="C26771" s="8" t="n">
        <v>31</v>
      </c>
      <c r="D26771" s="8" t="inlineStr">
        <is>
          <t>Disney Adventure World</t>
        </is>
      </c>
      <c r="E26771" s="8" t="inlineStr">
        <is>
          <t>Cars Quatre Roues Rallye</t>
        </is>
      </c>
      <c r="F26771" s="8" t="inlineStr">
        <is>
          <t>STANDBY</t>
        </is>
      </c>
      <c r="G26771" s="8" t="n">
        <v>10</v>
      </c>
      <c r="H26771" s="8" t="inlineStr">
        <is>
          <t>OPERATING</t>
        </is>
      </c>
    </row>
    <row r="26772">
      <c r="A26772" s="8" t="inlineStr">
        <is>
          <t>2026-08-05</t>
        </is>
      </c>
      <c r="B26772" s="8" t="n">
        <v>20</v>
      </c>
      <c r="C26772" s="8" t="n">
        <v>31</v>
      </c>
      <c r="D26772" s="8" t="inlineStr">
        <is>
          <t>Disney Adventure World</t>
        </is>
      </c>
      <c r="E26772" s="8" t="inlineStr">
        <is>
          <t>Cars ROAD TRIP</t>
        </is>
      </c>
      <c r="F26772" s="8" t="inlineStr">
        <is>
          <t>STANDBY</t>
        </is>
      </c>
      <c r="G26772" s="8" t="n">
        <v>5</v>
      </c>
      <c r="H26772" s="8" t="inlineStr">
        <is>
          <t>OPERATING</t>
        </is>
      </c>
    </row>
    <row r="26773">
      <c r="A26773" s="8" t="inlineStr">
        <is>
          <t>2026-08-05</t>
        </is>
      </c>
      <c r="B26773" s="8" t="n">
        <v>20</v>
      </c>
      <c r="C26773" s="8" t="n">
        <v>31</v>
      </c>
      <c r="D26773" s="8" t="inlineStr">
        <is>
          <t>Disney Adventure World</t>
        </is>
      </c>
      <c r="E26773" s="8" t="inlineStr">
        <is>
          <t>Crush's Coaster</t>
        </is>
      </c>
      <c r="F26773" s="8" t="inlineStr">
        <is>
          <t>STANDBY</t>
        </is>
      </c>
      <c r="G26773" s="8" t="n">
        <v>65</v>
      </c>
      <c r="H26773" s="8" t="inlineStr">
        <is>
          <t>OPERATING</t>
        </is>
      </c>
    </row>
    <row r="26774">
      <c r="A26774" s="8" t="inlineStr">
        <is>
          <t>2026-08-05</t>
        </is>
      </c>
      <c r="B26774" s="8" t="n">
        <v>20</v>
      </c>
      <c r="C26774" s="8" t="n">
        <v>31</v>
      </c>
      <c r="D26774" s="8" t="inlineStr">
        <is>
          <t>Disney Adventure World</t>
        </is>
      </c>
      <c r="E26774" s="8" t="inlineStr">
        <is>
          <t>Crush's Coaster Single Rider</t>
        </is>
      </c>
      <c r="F26774" s="8" t="inlineStr">
        <is>
          <t>STANDBY</t>
        </is>
      </c>
      <c r="G26774" s="8" t="n">
        <v>50</v>
      </c>
      <c r="H26774" s="8" t="inlineStr">
        <is>
          <t>OPERATING</t>
        </is>
      </c>
    </row>
    <row r="26775">
      <c r="A26775" s="8" t="inlineStr">
        <is>
          <t>2026-08-05</t>
        </is>
      </c>
      <c r="B26775" s="8" t="n">
        <v>20</v>
      </c>
      <c r="C26775" s="8" t="n">
        <v>31</v>
      </c>
      <c r="D26775" s="8" t="inlineStr">
        <is>
          <t>Disney Adventure World</t>
        </is>
      </c>
      <c r="E26775" s="8" t="inlineStr">
        <is>
          <t>Les Tapis Volants - Flying Carpets Over Agrabah®</t>
        </is>
      </c>
      <c r="F26775" s="8" t="inlineStr">
        <is>
          <t>STANDBY</t>
        </is>
      </c>
      <c r="G26775" s="8" t="n">
        <v>15</v>
      </c>
      <c r="H26775" s="8" t="inlineStr">
        <is>
          <t>OPERATING</t>
        </is>
      </c>
    </row>
    <row r="26776">
      <c r="A26776" s="8" t="inlineStr">
        <is>
          <t>2026-08-05</t>
        </is>
      </c>
      <c r="B26776" s="8" t="n">
        <v>20</v>
      </c>
      <c r="C26776" s="8" t="n">
        <v>31</v>
      </c>
      <c r="D26776" s="8" t="inlineStr">
        <is>
          <t>Disney Adventure World</t>
        </is>
      </c>
      <c r="E26776" s="8" t="inlineStr">
        <is>
          <t>Ratatouille : L’Aventure Totalement Toquée de Rémy​</t>
        </is>
      </c>
      <c r="F26776" s="8" t="inlineStr">
        <is>
          <t>STANDBY</t>
        </is>
      </c>
      <c r="G26776" s="8" t="n">
        <v>35</v>
      </c>
      <c r="H26776" s="8" t="inlineStr">
        <is>
          <t>OPERATING</t>
        </is>
      </c>
    </row>
    <row r="26777">
      <c r="A26777" s="8" t="inlineStr">
        <is>
          <t>2026-08-05</t>
        </is>
      </c>
      <c r="B26777" s="8" t="n">
        <v>20</v>
      </c>
      <c r="C26777" s="8" t="n">
        <v>31</v>
      </c>
      <c r="D26777" s="8" t="inlineStr">
        <is>
          <t>Disney Adventure World</t>
        </is>
      </c>
      <c r="E26777" s="8" t="inlineStr">
        <is>
          <t>Ratatouille: The Adventure Single Rider</t>
        </is>
      </c>
      <c r="F26777" s="8" t="inlineStr">
        <is>
          <t>STANDBY</t>
        </is>
      </c>
      <c r="G26777" s="8" t="n">
        <v>5</v>
      </c>
      <c r="H26777" s="8" t="inlineStr">
        <is>
          <t>OPERATING</t>
        </is>
      </c>
    </row>
    <row r="26778">
      <c r="A26778" s="8" t="inlineStr">
        <is>
          <t>2026-08-05</t>
        </is>
      </c>
      <c r="B26778" s="8" t="n">
        <v>20</v>
      </c>
      <c r="C26778" s="8" t="n">
        <v>31</v>
      </c>
      <c r="D26778" s="8" t="inlineStr">
        <is>
          <t>Disney Adventure World</t>
        </is>
      </c>
      <c r="E26778" s="8" t="inlineStr">
        <is>
          <t>RC Racer</t>
        </is>
      </c>
      <c r="F26778" s="8" t="inlineStr">
        <is>
          <t>STANDBY</t>
        </is>
      </c>
      <c r="G26778" s="8" t="n">
        <v>35</v>
      </c>
      <c r="H26778" s="8" t="inlineStr">
        <is>
          <t>OPERATING</t>
        </is>
      </c>
    </row>
    <row r="26779">
      <c r="A26779" s="8" t="inlineStr">
        <is>
          <t>2026-08-05</t>
        </is>
      </c>
      <c r="B26779" s="8" t="n">
        <v>20</v>
      </c>
      <c r="C26779" s="8" t="n">
        <v>31</v>
      </c>
      <c r="D26779" s="8" t="inlineStr">
        <is>
          <t>Disney Adventure World</t>
        </is>
      </c>
      <c r="E26779" s="8" t="inlineStr">
        <is>
          <t>RC Racer Single Rider</t>
        </is>
      </c>
      <c r="F26779" s="8" t="inlineStr">
        <is>
          <t>STANDBY</t>
        </is>
      </c>
      <c r="G26779" s="8" t="n">
        <v>20</v>
      </c>
      <c r="H26779" s="8" t="inlineStr">
        <is>
          <t>OPERATING</t>
        </is>
      </c>
    </row>
    <row r="26780">
      <c r="A26780" s="8" t="inlineStr">
        <is>
          <t>2026-08-05</t>
        </is>
      </c>
      <c r="B26780" s="8" t="n">
        <v>20</v>
      </c>
      <c r="C26780" s="8" t="n">
        <v>31</v>
      </c>
      <c r="D26780" s="8" t="inlineStr">
        <is>
          <t>Disney Adventure World</t>
        </is>
      </c>
      <c r="E26780" s="8" t="inlineStr">
        <is>
          <t>Slinky® Dog Zigzag Spin</t>
        </is>
      </c>
      <c r="F26780" s="8" t="inlineStr">
        <is>
          <t>STANDBY</t>
        </is>
      </c>
      <c r="G26780" s="8" t="n">
        <v>10</v>
      </c>
      <c r="H26780" s="8" t="inlineStr">
        <is>
          <t>OPERATING</t>
        </is>
      </c>
    </row>
    <row r="26781">
      <c r="A26781" s="8" t="inlineStr">
        <is>
          <t>2026-08-05</t>
        </is>
      </c>
      <c r="B26781" s="8" t="n">
        <v>20</v>
      </c>
      <c r="C26781" s="8" t="n">
        <v>31</v>
      </c>
      <c r="D26781" s="8" t="inlineStr">
        <is>
          <t>Disney Adventure World</t>
        </is>
      </c>
      <c r="E26781" s="8" t="inlineStr">
        <is>
          <t>Toy Soldiers Parachute Drop</t>
        </is>
      </c>
      <c r="F26781" s="8" t="inlineStr">
        <is>
          <t>STANDBY</t>
        </is>
      </c>
      <c r="G26781" s="8" t="n">
        <v>40</v>
      </c>
      <c r="H26781" s="8" t="inlineStr">
        <is>
          <t>OPERATING</t>
        </is>
      </c>
    </row>
    <row r="26782">
      <c r="A26782" s="8" t="inlineStr">
        <is>
          <t>2026-08-05</t>
        </is>
      </c>
      <c r="B26782" s="8" t="n">
        <v>20</v>
      </c>
      <c r="C26782" s="8" t="n">
        <v>31</v>
      </c>
      <c r="D26782" s="8" t="inlineStr">
        <is>
          <t>Disney Adventure World</t>
        </is>
      </c>
      <c r="E26782" s="8" t="inlineStr">
        <is>
          <t>Toy Soldiers Parachute Drop Single Rider</t>
        </is>
      </c>
      <c r="F26782" s="8" t="inlineStr">
        <is>
          <t>STANDBY</t>
        </is>
      </c>
      <c r="G26782" s="8" t="n">
        <v>15</v>
      </c>
      <c r="H26782" s="8" t="inlineStr">
        <is>
          <t>OPERATING</t>
        </is>
      </c>
    </row>
    <row r="26783">
      <c r="A26783" s="8" t="inlineStr">
        <is>
          <t>2026-08-05</t>
        </is>
      </c>
      <c r="B26783" s="8" t="n">
        <v>20</v>
      </c>
      <c r="C26783" s="8" t="n">
        <v>31</v>
      </c>
      <c r="D26783" s="8" t="inlineStr">
        <is>
          <t>Disney Adventure World</t>
        </is>
      </c>
      <c r="E26783" s="8" t="inlineStr">
        <is>
          <t>Entry to World of Frozen</t>
        </is>
      </c>
      <c r="F26783" s="8" t="inlineStr">
        <is>
          <t>STANDBY</t>
        </is>
      </c>
      <c r="G26783" s="8" t="n">
        <v>0</v>
      </c>
      <c r="H26783" s="8" t="inlineStr">
        <is>
          <t>OPERATING</t>
        </is>
      </c>
    </row>
    <row r="26784">
      <c r="A26784" s="8" t="inlineStr">
        <is>
          <t>2026-08-05</t>
        </is>
      </c>
      <c r="B26784" s="8" t="n">
        <v>20</v>
      </c>
      <c r="C26784" s="8" t="n">
        <v>31</v>
      </c>
      <c r="D26784" s="8" t="inlineStr">
        <is>
          <t>Disney Adventure World</t>
        </is>
      </c>
      <c r="E26784" s="8" t="inlineStr">
        <is>
          <t>Frozen Ever After</t>
        </is>
      </c>
      <c r="F26784" s="8" t="inlineStr">
        <is>
          <t>STANDBY</t>
        </is>
      </c>
      <c r="G26784" s="8" t="n">
        <v>55</v>
      </c>
      <c r="H26784" s="8" t="inlineStr">
        <is>
          <t>OPERATING</t>
        </is>
      </c>
    </row>
    <row r="26785">
      <c r="A26785" s="8" t="inlineStr">
        <is>
          <t>2026-08-05</t>
        </is>
      </c>
      <c r="B26785" s="8" t="n">
        <v>20</v>
      </c>
      <c r="C26785" s="8" t="n">
        <v>31</v>
      </c>
      <c r="D26785" s="8" t="inlineStr">
        <is>
          <t>Disney Adventure World</t>
        </is>
      </c>
      <c r="E26785" s="8" t="inlineStr">
        <is>
          <t>Raiponce Tangled Spin</t>
        </is>
      </c>
      <c r="F26785" s="8" t="inlineStr">
        <is>
          <t>STANDBY</t>
        </is>
      </c>
      <c r="G26785" s="8" t="n">
        <v>5</v>
      </c>
      <c r="H26785" s="8" t="inlineStr">
        <is>
          <t>OPERATING</t>
        </is>
      </c>
    </row>
    <row r="26786">
      <c r="A26786" s="8" t="inlineStr">
        <is>
          <t>2026-08-05</t>
        </is>
      </c>
      <c r="B26786" s="8" t="n">
        <v>20</v>
      </c>
      <c r="C26786" s="8" t="n">
        <v>45</v>
      </c>
      <c r="D26786" s="8" t="inlineStr">
        <is>
          <t>Disneyland Park</t>
        </is>
      </c>
      <c r="E26786" s="8" t="inlineStr">
        <is>
          <t>Adventure Isle</t>
        </is>
      </c>
      <c r="F26786" s="8" t="inlineStr">
        <is>
          <t>STANDBY</t>
        </is>
      </c>
      <c r="G26786" s="8" t="n">
        <v>0</v>
      </c>
      <c r="H26786" s="8" t="inlineStr">
        <is>
          <t>OPERATING</t>
        </is>
      </c>
    </row>
    <row r="26787">
      <c r="A26787" s="8" t="inlineStr">
        <is>
          <t>2026-08-05</t>
        </is>
      </c>
      <c r="B26787" s="8" t="n">
        <v>20</v>
      </c>
      <c r="C26787" s="8" t="n">
        <v>45</v>
      </c>
      <c r="D26787" s="8" t="inlineStr">
        <is>
          <t>Disneyland Park</t>
        </is>
      </c>
      <c r="E26787" s="8" t="inlineStr">
        <is>
          <t>Indiana Jones and the Temple of Peril Single Rider</t>
        </is>
      </c>
      <c r="F26787" s="8" t="inlineStr">
        <is>
          <t>STANDBY</t>
        </is>
      </c>
      <c r="G26787" s="8" t="n">
        <v>5</v>
      </c>
      <c r="H26787" s="8" t="inlineStr">
        <is>
          <t>OPERATING</t>
        </is>
      </c>
    </row>
    <row r="26788">
      <c r="A26788" s="8" t="inlineStr">
        <is>
          <t>2026-08-05</t>
        </is>
      </c>
      <c r="B26788" s="8" t="n">
        <v>20</v>
      </c>
      <c r="C26788" s="8" t="n">
        <v>45</v>
      </c>
      <c r="D26788" s="8" t="inlineStr">
        <is>
          <t>Disneyland Park</t>
        </is>
      </c>
      <c r="E26788" s="8" t="inlineStr">
        <is>
          <t>Indiana Jones™ and the Temple of Peril</t>
        </is>
      </c>
      <c r="F26788" s="8" t="inlineStr">
        <is>
          <t>STANDBY</t>
        </is>
      </c>
      <c r="G26788" s="8" t="n">
        <v>10</v>
      </c>
      <c r="H26788" s="8" t="inlineStr">
        <is>
          <t>OPERATING</t>
        </is>
      </c>
    </row>
    <row r="26789">
      <c r="A26789" s="8" t="inlineStr">
        <is>
          <t>2026-08-05</t>
        </is>
      </c>
      <c r="B26789" s="8" t="n">
        <v>20</v>
      </c>
      <c r="C26789" s="8" t="n">
        <v>45</v>
      </c>
      <c r="D26789" s="8" t="inlineStr">
        <is>
          <t>Disneyland Park</t>
        </is>
      </c>
      <c r="E26789" s="8" t="inlineStr">
        <is>
          <t>La Cabane des Robinson</t>
        </is>
      </c>
      <c r="F26789" s="8" t="inlineStr">
        <is>
          <t>STANDBY</t>
        </is>
      </c>
      <c r="G26789" s="8" t="n">
        <v>5</v>
      </c>
      <c r="H26789" s="8" t="inlineStr">
        <is>
          <t>OPERATING</t>
        </is>
      </c>
    </row>
    <row r="26790">
      <c r="A26790" s="8" t="inlineStr">
        <is>
          <t>2026-08-05</t>
        </is>
      </c>
      <c r="B26790" s="8" t="n">
        <v>20</v>
      </c>
      <c r="C26790" s="8" t="n">
        <v>45</v>
      </c>
      <c r="D26790" s="8" t="inlineStr">
        <is>
          <t>Disneyland Park</t>
        </is>
      </c>
      <c r="E26790" s="8" t="inlineStr">
        <is>
          <t>Le Passage Enchanté d'Aladdin</t>
        </is>
      </c>
      <c r="F26790" s="8" t="inlineStr">
        <is>
          <t>STANDBY</t>
        </is>
      </c>
      <c r="G26790" s="8" t="n">
        <v>0</v>
      </c>
      <c r="H26790" s="8" t="inlineStr">
        <is>
          <t>OPERATING</t>
        </is>
      </c>
    </row>
    <row r="26791">
      <c r="A26791" s="8" t="inlineStr">
        <is>
          <t>2026-08-05</t>
        </is>
      </c>
      <c r="B26791" s="8" t="n">
        <v>20</v>
      </c>
      <c r="C26791" s="8" t="n">
        <v>45</v>
      </c>
      <c r="D26791" s="8" t="inlineStr">
        <is>
          <t>Disneyland Park</t>
        </is>
      </c>
      <c r="E26791" s="8" t="inlineStr">
        <is>
          <t>Pirate Galleon</t>
        </is>
      </c>
      <c r="F26791" s="8" t="inlineStr">
        <is>
          <t>STANDBY</t>
        </is>
      </c>
      <c r="G26791" s="8" t="n">
        <v>0</v>
      </c>
      <c r="H26791" s="8" t="inlineStr">
        <is>
          <t>CLOSED</t>
        </is>
      </c>
    </row>
    <row r="26792">
      <c r="A26792" s="8" t="inlineStr">
        <is>
          <t>2026-08-05</t>
        </is>
      </c>
      <c r="B26792" s="8" t="n">
        <v>20</v>
      </c>
      <c r="C26792" s="8" t="n">
        <v>45</v>
      </c>
      <c r="D26792" s="8" t="inlineStr">
        <is>
          <t>Disneyland Park</t>
        </is>
      </c>
      <c r="E26792" s="8" t="inlineStr">
        <is>
          <t>Pirates of the Caribbean</t>
        </is>
      </c>
      <c r="F26792" s="8" t="inlineStr">
        <is>
          <t>STANDBY</t>
        </is>
      </c>
      <c r="G26792" s="8" t="n">
        <v>15</v>
      </c>
      <c r="H26792" s="8" t="inlineStr">
        <is>
          <t>OPERATING</t>
        </is>
      </c>
    </row>
    <row r="26793">
      <c r="A26793" s="8" t="inlineStr">
        <is>
          <t>2026-08-05</t>
        </is>
      </c>
      <c r="B26793" s="8" t="n">
        <v>20</v>
      </c>
      <c r="C26793" s="8" t="n">
        <v>45</v>
      </c>
      <c r="D26793" s="8" t="inlineStr">
        <is>
          <t>Disneyland Park</t>
        </is>
      </c>
      <c r="E26793" s="8" t="inlineStr">
        <is>
          <t>Pirates' Beach</t>
        </is>
      </c>
      <c r="F26793" s="8" t="inlineStr">
        <is>
          <t>STANDBY</t>
        </is>
      </c>
      <c r="G26793" s="8" t="n">
        <v>0</v>
      </c>
      <c r="H26793" s="8" t="inlineStr">
        <is>
          <t>OPERATING</t>
        </is>
      </c>
    </row>
    <row r="26794">
      <c r="A26794" s="8" t="inlineStr">
        <is>
          <t>2026-08-05</t>
        </is>
      </c>
      <c r="B26794" s="8" t="n">
        <v>20</v>
      </c>
      <c r="C26794" s="8" t="n">
        <v>45</v>
      </c>
      <c r="D26794" s="8" t="inlineStr">
        <is>
          <t>Disneyland Park</t>
        </is>
      </c>
      <c r="E26794" s="8" t="inlineStr">
        <is>
          <t>Autopia, presented by Avis</t>
        </is>
      </c>
      <c r="F26794" s="8" t="inlineStr">
        <is>
          <t>STANDBY</t>
        </is>
      </c>
      <c r="G26794" s="8" t="n">
        <v>30</v>
      </c>
      <c r="H26794" s="8" t="inlineStr">
        <is>
          <t>OPERATING</t>
        </is>
      </c>
    </row>
    <row r="26795">
      <c r="A26795" s="8" t="inlineStr">
        <is>
          <t>2026-08-05</t>
        </is>
      </c>
      <c r="B26795" s="8" t="n">
        <v>20</v>
      </c>
      <c r="C26795" s="8" t="n">
        <v>45</v>
      </c>
      <c r="D26795" s="8" t="inlineStr">
        <is>
          <t>Disneyland Park</t>
        </is>
      </c>
      <c r="E26795" s="8" t="inlineStr">
        <is>
          <t>Buzz Lightyear Laser Blast</t>
        </is>
      </c>
      <c r="F26795" s="8" t="inlineStr">
        <is>
          <t>STANDBY</t>
        </is>
      </c>
      <c r="G26795" s="8" t="n">
        <v>25</v>
      </c>
      <c r="H26795" s="8" t="inlineStr">
        <is>
          <t>OPERATING</t>
        </is>
      </c>
    </row>
    <row r="26796">
      <c r="A26796" s="8" t="inlineStr">
        <is>
          <t>2026-08-05</t>
        </is>
      </c>
      <c r="B26796" s="8" t="n">
        <v>20</v>
      </c>
      <c r="C26796" s="8" t="n">
        <v>45</v>
      </c>
      <c r="D26796" s="8" t="inlineStr">
        <is>
          <t>Disneyland Park</t>
        </is>
      </c>
      <c r="E26796" s="8" t="inlineStr">
        <is>
          <t>Disneyland Railroad Discoveryland Station</t>
        </is>
      </c>
      <c r="F26796" s="8" t="inlineStr">
        <is>
          <t>STANDBY</t>
        </is>
      </c>
      <c r="G26796" s="8" t="n">
        <v>0</v>
      </c>
      <c r="H26796" s="8" t="inlineStr">
        <is>
          <t>CLOSED</t>
        </is>
      </c>
    </row>
    <row r="26797">
      <c r="A26797" s="8" t="inlineStr">
        <is>
          <t>2026-08-05</t>
        </is>
      </c>
      <c r="B26797" s="8" t="n">
        <v>20</v>
      </c>
      <c r="C26797" s="8" t="n">
        <v>45</v>
      </c>
      <c r="D26797" s="8" t="inlineStr">
        <is>
          <t>Disneyland Park</t>
        </is>
      </c>
      <c r="E26797" s="8" t="inlineStr">
        <is>
          <t>Les Mystères du Nautilus</t>
        </is>
      </c>
      <c r="F26797" s="8" t="inlineStr">
        <is>
          <t>STANDBY</t>
        </is>
      </c>
      <c r="G26797" s="8" t="n">
        <v>5</v>
      </c>
      <c r="H26797" s="8" t="inlineStr">
        <is>
          <t>OPERATING</t>
        </is>
      </c>
    </row>
    <row r="26798">
      <c r="A26798" s="8" t="inlineStr">
        <is>
          <t>2026-08-05</t>
        </is>
      </c>
      <c r="B26798" s="8" t="n">
        <v>20</v>
      </c>
      <c r="C26798" s="8" t="n">
        <v>45</v>
      </c>
      <c r="D26798" s="8" t="inlineStr">
        <is>
          <t>Disneyland Park</t>
        </is>
      </c>
      <c r="E26798" s="8" t="inlineStr">
        <is>
          <t>Mickey’s PhilharMagic</t>
        </is>
      </c>
      <c r="F26798" s="8" t="inlineStr">
        <is>
          <t>STANDBY</t>
        </is>
      </c>
      <c r="G26798" s="8" t="n">
        <v>0</v>
      </c>
      <c r="H26798" s="8" t="inlineStr">
        <is>
          <t>CLOSED</t>
        </is>
      </c>
    </row>
    <row r="26799">
      <c r="A26799" s="8" t="inlineStr">
        <is>
          <t>2026-08-05</t>
        </is>
      </c>
      <c r="B26799" s="8" t="n">
        <v>20</v>
      </c>
      <c r="C26799" s="8" t="n">
        <v>45</v>
      </c>
      <c r="D26799" s="8" t="inlineStr">
        <is>
          <t>Disneyland Park</t>
        </is>
      </c>
      <c r="E26799" s="8" t="inlineStr">
        <is>
          <t>Orbitron®</t>
        </is>
      </c>
      <c r="F26799" s="8" t="inlineStr">
        <is>
          <t>STANDBY</t>
        </is>
      </c>
      <c r="G26799" s="8" t="n">
        <v>45</v>
      </c>
      <c r="H26799" s="8" t="inlineStr">
        <is>
          <t>OPERATING</t>
        </is>
      </c>
    </row>
    <row r="26800">
      <c r="A26800" s="8" t="inlineStr">
        <is>
          <t>2026-08-05</t>
        </is>
      </c>
      <c r="B26800" s="8" t="n">
        <v>20</v>
      </c>
      <c r="C26800" s="8" t="n">
        <v>45</v>
      </c>
      <c r="D26800" s="8" t="inlineStr">
        <is>
          <t>Disneyland Park</t>
        </is>
      </c>
      <c r="E26800" s="8" t="inlineStr">
        <is>
          <t>Star Tours: The Adventures Continue*</t>
        </is>
      </c>
      <c r="F26800" s="8" t="inlineStr">
        <is>
          <t>STANDBY</t>
        </is>
      </c>
      <c r="G26800" s="8" t="n">
        <v>5</v>
      </c>
      <c r="H26800" s="8" t="inlineStr">
        <is>
          <t>OPERATING</t>
        </is>
      </c>
    </row>
    <row r="26801">
      <c r="A26801" s="8" t="inlineStr">
        <is>
          <t>2026-08-05</t>
        </is>
      </c>
      <c r="B26801" s="8" t="n">
        <v>20</v>
      </c>
      <c r="C26801" s="8" t="n">
        <v>45</v>
      </c>
      <c r="D26801" s="8" t="inlineStr">
        <is>
          <t>Disneyland Park</t>
        </is>
      </c>
      <c r="E26801" s="8" t="inlineStr">
        <is>
          <t>Star Wars Hyperspace Mountain</t>
        </is>
      </c>
      <c r="F26801" s="8" t="inlineStr">
        <is>
          <t>STANDBY</t>
        </is>
      </c>
      <c r="G26801" s="8" t="n">
        <v>30</v>
      </c>
      <c r="H26801" s="8" t="inlineStr">
        <is>
          <t>OPERATING</t>
        </is>
      </c>
    </row>
    <row r="26802">
      <c r="A26802" s="8" t="inlineStr">
        <is>
          <t>2026-08-05</t>
        </is>
      </c>
      <c r="B26802" s="8" t="n">
        <v>20</v>
      </c>
      <c r="C26802" s="8" t="n">
        <v>45</v>
      </c>
      <c r="D26802" s="8" t="inlineStr">
        <is>
          <t>Disneyland Park</t>
        </is>
      </c>
      <c r="E26802" s="8" t="inlineStr">
        <is>
          <t>Star Wars Hyperspace Mountain Single Rider</t>
        </is>
      </c>
      <c r="F26802" s="8" t="inlineStr">
        <is>
          <t>STANDBY</t>
        </is>
      </c>
      <c r="G26802" s="8" t="n">
        <v>0</v>
      </c>
      <c r="H26802" s="8" t="inlineStr">
        <is>
          <t>OPERATING</t>
        </is>
      </c>
    </row>
    <row r="26803">
      <c r="A26803" s="8" t="inlineStr">
        <is>
          <t>2026-08-05</t>
        </is>
      </c>
      <c r="B26803" s="8" t="n">
        <v>20</v>
      </c>
      <c r="C26803" s="8" t="n">
        <v>45</v>
      </c>
      <c r="D26803" s="8" t="inlineStr">
        <is>
          <t>Disneyland Park</t>
        </is>
      </c>
      <c r="E26803" s="8" t="inlineStr">
        <is>
          <t>Welcome to Starport: A Star Wars Encounter</t>
        </is>
      </c>
      <c r="F26803" s="8" t="inlineStr">
        <is>
          <t>STANDBY</t>
        </is>
      </c>
      <c r="G26803" s="8" t="n">
        <v>0</v>
      </c>
      <c r="H26803" s="8" t="inlineStr">
        <is>
          <t>CLOSED</t>
        </is>
      </c>
    </row>
    <row r="26804">
      <c r="A26804" s="8" t="inlineStr">
        <is>
          <t>2026-08-05</t>
        </is>
      </c>
      <c r="B26804" s="8" t="n">
        <v>20</v>
      </c>
      <c r="C26804" s="8" t="n">
        <v>45</v>
      </c>
      <c r="D26804" s="8" t="inlineStr">
        <is>
          <t>Disneyland Park</t>
        </is>
      </c>
      <c r="E26804" s="8" t="inlineStr">
        <is>
          <t>"it's a small world"</t>
        </is>
      </c>
      <c r="F26804" s="8" t="inlineStr">
        <is>
          <t>STANDBY</t>
        </is>
      </c>
      <c r="G26804" s="8" t="n">
        <v>5</v>
      </c>
      <c r="H26804" s="8" t="inlineStr">
        <is>
          <t>OPERATING</t>
        </is>
      </c>
    </row>
    <row r="26805">
      <c r="A26805" s="8" t="inlineStr">
        <is>
          <t>2026-08-05</t>
        </is>
      </c>
      <c r="B26805" s="8" t="n">
        <v>20</v>
      </c>
      <c r="C26805" s="8" t="n">
        <v>45</v>
      </c>
      <c r="D26805" s="8" t="inlineStr">
        <is>
          <t>Disneyland Park</t>
        </is>
      </c>
      <c r="E26805" s="8" t="inlineStr">
        <is>
          <t>Alice's Curious Labyrinth</t>
        </is>
      </c>
      <c r="F26805" s="8" t="inlineStr">
        <is>
          <t>STANDBY</t>
        </is>
      </c>
      <c r="G26805" s="8" t="n">
        <v>5</v>
      </c>
      <c r="H26805" s="8" t="inlineStr">
        <is>
          <t>OPERATING</t>
        </is>
      </c>
    </row>
    <row r="26806">
      <c r="A26806" s="8" t="inlineStr">
        <is>
          <t>2026-08-05</t>
        </is>
      </c>
      <c r="B26806" s="8" t="n">
        <v>20</v>
      </c>
      <c r="C26806" s="8" t="n">
        <v>45</v>
      </c>
      <c r="D26806" s="8" t="inlineStr">
        <is>
          <t>Disneyland Park</t>
        </is>
      </c>
      <c r="E26806" s="8" t="inlineStr">
        <is>
          <t>Blanche-Neige et les Sept Nains®</t>
        </is>
      </c>
      <c r="F26806" s="8" t="inlineStr">
        <is>
          <t>STANDBY</t>
        </is>
      </c>
      <c r="G26806" s="8" t="n">
        <v>10</v>
      </c>
      <c r="H26806" s="8" t="inlineStr">
        <is>
          <t>OPERATING</t>
        </is>
      </c>
    </row>
    <row r="26807">
      <c r="A26807" s="8" t="inlineStr">
        <is>
          <t>2026-08-05</t>
        </is>
      </c>
      <c r="B26807" s="8" t="n">
        <v>20</v>
      </c>
      <c r="C26807" s="8" t="n">
        <v>45</v>
      </c>
      <c r="D26807" s="8" t="inlineStr">
        <is>
          <t>Disneyland Park</t>
        </is>
      </c>
      <c r="E26807" s="8" t="inlineStr">
        <is>
          <t>Casey Jr. – le Petit Train du Cirque</t>
        </is>
      </c>
      <c r="F26807" s="8" t="inlineStr">
        <is>
          <t>STANDBY</t>
        </is>
      </c>
      <c r="G26807" s="8" t="n">
        <v>25</v>
      </c>
      <c r="H26807" s="8" t="inlineStr">
        <is>
          <t>OPERATING</t>
        </is>
      </c>
    </row>
    <row r="26808">
      <c r="A26808" s="8" t="inlineStr">
        <is>
          <t>2026-08-05</t>
        </is>
      </c>
      <c r="B26808" s="8" t="n">
        <v>20</v>
      </c>
      <c r="C26808" s="8" t="n">
        <v>45</v>
      </c>
      <c r="D26808" s="8" t="inlineStr">
        <is>
          <t>Disneyland Park</t>
        </is>
      </c>
      <c r="E26808" s="8" t="inlineStr">
        <is>
          <t>Disneyland Railroad Fantasyland Station</t>
        </is>
      </c>
      <c r="F26808" s="8" t="inlineStr">
        <is>
          <t>STANDBY</t>
        </is>
      </c>
      <c r="G26808" s="8" t="n">
        <v>0</v>
      </c>
      <c r="H26808" s="8" t="inlineStr">
        <is>
          <t>CLOSED</t>
        </is>
      </c>
    </row>
    <row r="26809">
      <c r="A26809" s="8" t="inlineStr">
        <is>
          <t>2026-08-05</t>
        </is>
      </c>
      <c r="B26809" s="8" t="n">
        <v>20</v>
      </c>
      <c r="C26809" s="8" t="n">
        <v>45</v>
      </c>
      <c r="D26809" s="8" t="inlineStr">
        <is>
          <t>Disneyland Park</t>
        </is>
      </c>
      <c r="E26809" s="8" t="inlineStr">
        <is>
          <t>Disneyland Railroad Main Street Station</t>
        </is>
      </c>
      <c r="F26809" s="8" t="inlineStr">
        <is>
          <t>STANDBY</t>
        </is>
      </c>
      <c r="G26809" s="8" t="n">
        <v>0</v>
      </c>
      <c r="H26809" s="8" t="inlineStr">
        <is>
          <t>CLOSED</t>
        </is>
      </c>
    </row>
    <row r="26810">
      <c r="A26810" s="8" t="inlineStr">
        <is>
          <t>2026-08-05</t>
        </is>
      </c>
      <c r="B26810" s="8" t="n">
        <v>20</v>
      </c>
      <c r="C26810" s="8" t="n">
        <v>45</v>
      </c>
      <c r="D26810" s="8" t="inlineStr">
        <is>
          <t>Disneyland Park</t>
        </is>
      </c>
      <c r="E26810" s="8" t="inlineStr">
        <is>
          <t>Dumbo the Flying Elephant</t>
        </is>
      </c>
      <c r="F26810" s="8" t="inlineStr">
        <is>
          <t>STANDBY</t>
        </is>
      </c>
      <c r="G26810" s="8" t="n">
        <v>35</v>
      </c>
      <c r="H26810" s="8" t="inlineStr">
        <is>
          <t>OPERATING</t>
        </is>
      </c>
    </row>
    <row r="26811">
      <c r="A26811" s="8" t="inlineStr">
        <is>
          <t>2026-08-05</t>
        </is>
      </c>
      <c r="B26811" s="8" t="n">
        <v>20</v>
      </c>
      <c r="C26811" s="8" t="n">
        <v>45</v>
      </c>
      <c r="D26811" s="8" t="inlineStr">
        <is>
          <t>Disneyland Park</t>
        </is>
      </c>
      <c r="E26811" s="8" t="inlineStr">
        <is>
          <t>La Tanière du Dragon</t>
        </is>
      </c>
      <c r="F26811" s="8" t="inlineStr">
        <is>
          <t>STANDBY</t>
        </is>
      </c>
      <c r="G26811" s="8" t="n">
        <v>0</v>
      </c>
      <c r="H26811" s="8" t="inlineStr">
        <is>
          <t>OPERATING</t>
        </is>
      </c>
    </row>
    <row r="26812">
      <c r="A26812" s="8" t="inlineStr">
        <is>
          <t>2026-08-05</t>
        </is>
      </c>
      <c r="B26812" s="8" t="n">
        <v>20</v>
      </c>
      <c r="C26812" s="8" t="n">
        <v>45</v>
      </c>
      <c r="D26812" s="8" t="inlineStr">
        <is>
          <t>Disneyland Park</t>
        </is>
      </c>
      <c r="E26812" s="8" t="inlineStr">
        <is>
          <t>Le Carrousel de Lancelot</t>
        </is>
      </c>
      <c r="F26812" s="8" t="inlineStr">
        <is>
          <t>STANDBY</t>
        </is>
      </c>
      <c r="G26812" s="8" t="n">
        <v>15</v>
      </c>
      <c r="H26812" s="8" t="inlineStr">
        <is>
          <t>OPERATING</t>
        </is>
      </c>
    </row>
    <row r="26813">
      <c r="A26813" s="8" t="inlineStr">
        <is>
          <t>2026-08-05</t>
        </is>
      </c>
      <c r="B26813" s="8" t="n">
        <v>20</v>
      </c>
      <c r="C26813" s="8" t="n">
        <v>45</v>
      </c>
      <c r="D26813" s="8" t="inlineStr">
        <is>
          <t>Disneyland Park</t>
        </is>
      </c>
      <c r="E26813" s="8" t="inlineStr">
        <is>
          <t>Le Pays des Contes de Fées, presented by Vittel</t>
        </is>
      </c>
      <c r="F26813" s="8" t="inlineStr">
        <is>
          <t>STANDBY</t>
        </is>
      </c>
      <c r="G26813" s="8" t="n">
        <v>5</v>
      </c>
      <c r="H26813" s="8" t="inlineStr">
        <is>
          <t>OPERATING</t>
        </is>
      </c>
    </row>
    <row r="26814">
      <c r="A26814" s="8" t="inlineStr">
        <is>
          <t>2026-08-05</t>
        </is>
      </c>
      <c r="B26814" s="8" t="n">
        <v>20</v>
      </c>
      <c r="C26814" s="8" t="n">
        <v>45</v>
      </c>
      <c r="D26814" s="8" t="inlineStr">
        <is>
          <t>Disneyland Park</t>
        </is>
      </c>
      <c r="E26814" s="8" t="inlineStr">
        <is>
          <t>Les Voyages de Pinocchio</t>
        </is>
      </c>
      <c r="F26814" s="8" t="inlineStr">
        <is>
          <t>STANDBY</t>
        </is>
      </c>
      <c r="G26814" s="8" t="n">
        <v>25</v>
      </c>
      <c r="H26814" s="8" t="inlineStr">
        <is>
          <t>OPERATING</t>
        </is>
      </c>
    </row>
    <row r="26815">
      <c r="A26815" s="8" t="inlineStr">
        <is>
          <t>2026-08-05</t>
        </is>
      </c>
      <c r="B26815" s="8" t="n">
        <v>20</v>
      </c>
      <c r="C26815" s="8" t="n">
        <v>45</v>
      </c>
      <c r="D26815" s="8" t="inlineStr">
        <is>
          <t>Disneyland Park</t>
        </is>
      </c>
      <c r="E26815" s="8" t="inlineStr">
        <is>
          <t>Mad Hatter's Tea Cups</t>
        </is>
      </c>
      <c r="F26815" s="8" t="inlineStr">
        <is>
          <t>STANDBY</t>
        </is>
      </c>
      <c r="G26815" s="8" t="n">
        <v>5</v>
      </c>
      <c r="H26815" s="8" t="inlineStr">
        <is>
          <t>OPERATING</t>
        </is>
      </c>
    </row>
    <row r="26816">
      <c r="A26816" s="8" t="inlineStr">
        <is>
          <t>2026-08-05</t>
        </is>
      </c>
      <c r="B26816" s="8" t="n">
        <v>20</v>
      </c>
      <c r="C26816" s="8" t="n">
        <v>45</v>
      </c>
      <c r="D26816" s="8" t="inlineStr">
        <is>
          <t>Disneyland Park</t>
        </is>
      </c>
      <c r="E26816" s="8" t="inlineStr">
        <is>
          <t>Meet Mickey Mouse</t>
        </is>
      </c>
      <c r="F26816" s="8" t="inlineStr">
        <is>
          <t>STANDBY</t>
        </is>
      </c>
      <c r="G26816" s="8" t="n">
        <v>0</v>
      </c>
      <c r="H26816" s="8" t="inlineStr">
        <is>
          <t>CLOSED</t>
        </is>
      </c>
    </row>
    <row r="26817">
      <c r="A26817" s="8" t="inlineStr">
        <is>
          <t>2026-08-05</t>
        </is>
      </c>
      <c r="B26817" s="8" t="n">
        <v>20</v>
      </c>
      <c r="C26817" s="8" t="n">
        <v>45</v>
      </c>
      <c r="D26817" s="8" t="inlineStr">
        <is>
          <t>Disneyland Park</t>
        </is>
      </c>
      <c r="E26817" s="8" t="inlineStr">
        <is>
          <t>Peter Pan's Flight</t>
        </is>
      </c>
      <c r="F26817" s="8" t="inlineStr">
        <is>
          <t>STANDBY</t>
        </is>
      </c>
      <c r="G26817" s="8" t="n">
        <v>65</v>
      </c>
      <c r="H26817" s="8" t="inlineStr">
        <is>
          <t>OPERATING</t>
        </is>
      </c>
    </row>
    <row r="26818">
      <c r="A26818" s="8" t="inlineStr">
        <is>
          <t>2026-08-05</t>
        </is>
      </c>
      <c r="B26818" s="8" t="n">
        <v>20</v>
      </c>
      <c r="C26818" s="8" t="n">
        <v>45</v>
      </c>
      <c r="D26818" s="8" t="inlineStr">
        <is>
          <t>Disneyland Park</t>
        </is>
      </c>
      <c r="E26818" s="8" t="inlineStr">
        <is>
          <t>Princess Pavilion</t>
        </is>
      </c>
      <c r="F26818" s="8" t="inlineStr">
        <is>
          <t>STANDBY</t>
        </is>
      </c>
      <c r="G26818" s="8" t="n">
        <v>0</v>
      </c>
      <c r="H26818" s="8" t="inlineStr">
        <is>
          <t>CLOSED</t>
        </is>
      </c>
    </row>
    <row r="26819">
      <c r="A26819" s="8" t="inlineStr">
        <is>
          <t>2026-08-05</t>
        </is>
      </c>
      <c r="B26819" s="8" t="n">
        <v>20</v>
      </c>
      <c r="C26819" s="8" t="n">
        <v>45</v>
      </c>
      <c r="D26819" s="8" t="inlineStr">
        <is>
          <t>Disneyland Park</t>
        </is>
      </c>
      <c r="E26819" s="8" t="inlineStr">
        <is>
          <t>Big Thunder Mountain</t>
        </is>
      </c>
      <c r="F26819" s="8" t="inlineStr">
        <is>
          <t>STANDBY</t>
        </is>
      </c>
      <c r="G26819" s="8" t="n">
        <v>85</v>
      </c>
      <c r="H26819" s="8" t="inlineStr">
        <is>
          <t>OPERATING</t>
        </is>
      </c>
    </row>
    <row r="26820">
      <c r="A26820" s="8" t="inlineStr">
        <is>
          <t>2026-08-05</t>
        </is>
      </c>
      <c r="B26820" s="8" t="n">
        <v>20</v>
      </c>
      <c r="C26820" s="8" t="n">
        <v>45</v>
      </c>
      <c r="D26820" s="8" t="inlineStr">
        <is>
          <t>Disneyland Park</t>
        </is>
      </c>
      <c r="E26820" s="8" t="inlineStr">
        <is>
          <t>Disneyland Railroad Frontierland Depot</t>
        </is>
      </c>
      <c r="F26820" s="8" t="inlineStr">
        <is>
          <t>STANDBY</t>
        </is>
      </c>
      <c r="G26820" s="8" t="n">
        <v>0</v>
      </c>
      <c r="H26820" s="8" t="inlineStr">
        <is>
          <t>CLOSED</t>
        </is>
      </c>
    </row>
    <row r="26821">
      <c r="A26821" s="8" t="inlineStr">
        <is>
          <t>2026-08-05</t>
        </is>
      </c>
      <c r="B26821" s="8" t="n">
        <v>20</v>
      </c>
      <c r="C26821" s="8" t="n">
        <v>45</v>
      </c>
      <c r="D26821" s="8" t="inlineStr">
        <is>
          <t>Disneyland Park</t>
        </is>
      </c>
      <c r="E26821" s="8" t="inlineStr">
        <is>
          <t>Frontierland Playground</t>
        </is>
      </c>
      <c r="F26821" s="8" t="inlineStr">
        <is>
          <t>STANDBY</t>
        </is>
      </c>
      <c r="G26821" s="8" t="n">
        <v>0</v>
      </c>
      <c r="H26821" s="8" t="inlineStr">
        <is>
          <t>OPERATING</t>
        </is>
      </c>
    </row>
    <row r="26822">
      <c r="A26822" s="8" t="inlineStr">
        <is>
          <t>2026-08-05</t>
        </is>
      </c>
      <c r="B26822" s="8" t="n">
        <v>20</v>
      </c>
      <c r="C26822" s="8" t="n">
        <v>45</v>
      </c>
      <c r="D26822" s="8" t="inlineStr">
        <is>
          <t>Disneyland Park</t>
        </is>
      </c>
      <c r="E26822" s="8" t="inlineStr">
        <is>
          <t>Phantom Manor</t>
        </is>
      </c>
      <c r="F26822" s="8" t="inlineStr">
        <is>
          <t>STANDBY</t>
        </is>
      </c>
      <c r="G26822" s="8" t="n">
        <v>5</v>
      </c>
      <c r="H26822" s="8" t="inlineStr">
        <is>
          <t>OPERATING</t>
        </is>
      </c>
    </row>
    <row r="26823">
      <c r="A26823" s="8" t="inlineStr">
        <is>
          <t>2026-08-05</t>
        </is>
      </c>
      <c r="B26823" s="8" t="n">
        <v>20</v>
      </c>
      <c r="C26823" s="8" t="n">
        <v>45</v>
      </c>
      <c r="D26823" s="8" t="inlineStr">
        <is>
          <t>Disneyland Park</t>
        </is>
      </c>
      <c r="E26823" s="8" t="inlineStr">
        <is>
          <t>River Rogue Keelboats</t>
        </is>
      </c>
      <c r="F26823" s="8" t="inlineStr">
        <is>
          <t>STANDBY</t>
        </is>
      </c>
      <c r="G26823" s="8" t="n">
        <v>0</v>
      </c>
      <c r="H26823" s="8" t="inlineStr">
        <is>
          <t>CLOSED</t>
        </is>
      </c>
    </row>
    <row r="26824">
      <c r="A26824" s="8" t="inlineStr">
        <is>
          <t>2026-08-05</t>
        </is>
      </c>
      <c r="B26824" s="8" t="n">
        <v>20</v>
      </c>
      <c r="C26824" s="8" t="n">
        <v>45</v>
      </c>
      <c r="D26824" s="8" t="inlineStr">
        <is>
          <t>Disneyland Park</t>
        </is>
      </c>
      <c r="E26824" s="8" t="inlineStr">
        <is>
          <t>Rustler Roundup Shootin' Gallery</t>
        </is>
      </c>
      <c r="F26824" s="8" t="inlineStr">
        <is>
          <t>STANDBY</t>
        </is>
      </c>
      <c r="G26824" s="8" t="n">
        <v>0</v>
      </c>
      <c r="H26824" s="8" t="inlineStr">
        <is>
          <t>OPERATING</t>
        </is>
      </c>
    </row>
    <row r="26825">
      <c r="A26825" s="8" t="inlineStr">
        <is>
          <t>2026-08-05</t>
        </is>
      </c>
      <c r="B26825" s="8" t="n">
        <v>20</v>
      </c>
      <c r="C26825" s="8" t="n">
        <v>45</v>
      </c>
      <c r="D26825" s="8" t="inlineStr">
        <is>
          <t>Disneyland Park</t>
        </is>
      </c>
      <c r="E26825" s="8" t="inlineStr">
        <is>
          <t>Thunder Mesa Riverboat Landing</t>
        </is>
      </c>
      <c r="F26825" s="8" t="inlineStr">
        <is>
          <t>STANDBY</t>
        </is>
      </c>
      <c r="G26825" s="8" t="n">
        <v>0</v>
      </c>
      <c r="H26825" s="8" t="inlineStr">
        <is>
          <t>CLOSED</t>
        </is>
      </c>
    </row>
    <row r="26826">
      <c r="A26826" s="8" t="inlineStr">
        <is>
          <t>2026-08-05</t>
        </is>
      </c>
      <c r="B26826" s="8" t="n">
        <v>20</v>
      </c>
      <c r="C26826" s="8" t="n">
        <v>45</v>
      </c>
      <c r="D26826" s="8" t="inlineStr">
        <is>
          <t>Disneyland Park</t>
        </is>
      </c>
      <c r="E26826" s="8" t="inlineStr">
        <is>
          <t>Disneyland Railroad Main Street Station</t>
        </is>
      </c>
      <c r="F26826" s="8" t="inlineStr">
        <is>
          <t>STANDBY</t>
        </is>
      </c>
      <c r="G26826" s="8" t="n">
        <v>0</v>
      </c>
      <c r="H26826" s="8" t="inlineStr">
        <is>
          <t>CLOSED</t>
        </is>
      </c>
    </row>
    <row r="26827">
      <c r="A26827" s="8" t="inlineStr">
        <is>
          <t>2026-08-05</t>
        </is>
      </c>
      <c r="B26827" s="8" t="n">
        <v>20</v>
      </c>
      <c r="C26827" s="8" t="n">
        <v>45</v>
      </c>
      <c r="D26827" s="8" t="inlineStr">
        <is>
          <t>Disneyland Park</t>
        </is>
      </c>
      <c r="E26827" s="8" t="inlineStr">
        <is>
          <t>Main Street Vehicles</t>
        </is>
      </c>
      <c r="F26827" s="8" t="inlineStr">
        <is>
          <t>STANDBY</t>
        </is>
      </c>
      <c r="G26827" s="8" t="n">
        <v>0</v>
      </c>
      <c r="H26827" s="8" t="inlineStr">
        <is>
          <t>CLOSED</t>
        </is>
      </c>
    </row>
    <row r="26828">
      <c r="A26828" s="8" t="inlineStr">
        <is>
          <t>2026-08-05</t>
        </is>
      </c>
      <c r="B26828" s="8" t="n">
        <v>20</v>
      </c>
      <c r="C26828" s="8" t="n">
        <v>45</v>
      </c>
      <c r="D26828" s="8" t="inlineStr">
        <is>
          <t>Disney Adventure World</t>
        </is>
      </c>
      <c r="E26828" s="8" t="inlineStr">
        <is>
          <t>Avengers Assemble: Flight Force</t>
        </is>
      </c>
      <c r="F26828" s="8" t="inlineStr">
        <is>
          <t>STANDBY</t>
        </is>
      </c>
      <c r="G26828" s="8" t="n">
        <v>10</v>
      </c>
      <c r="H26828" s="8" t="inlineStr">
        <is>
          <t>OPERATING</t>
        </is>
      </c>
    </row>
    <row r="26829">
      <c r="A26829" s="8" t="inlineStr">
        <is>
          <t>2026-08-05</t>
        </is>
      </c>
      <c r="B26829" s="8" t="n">
        <v>20</v>
      </c>
      <c r="C26829" s="8" t="n">
        <v>45</v>
      </c>
      <c r="D26829" s="8" t="inlineStr">
        <is>
          <t>Disney Adventure World</t>
        </is>
      </c>
      <c r="E26829" s="8" t="inlineStr">
        <is>
          <t>Avengers Assemble: Flight Force Single Rider</t>
        </is>
      </c>
      <c r="F26829" s="8" t="inlineStr">
        <is>
          <t>STANDBY</t>
        </is>
      </c>
      <c r="G26829" s="8" t="n">
        <v>5</v>
      </c>
      <c r="H26829" s="8" t="inlineStr">
        <is>
          <t>OPERATING</t>
        </is>
      </c>
    </row>
    <row r="26830">
      <c r="A26830" s="8" t="inlineStr">
        <is>
          <t>2026-08-05</t>
        </is>
      </c>
      <c r="B26830" s="8" t="n">
        <v>20</v>
      </c>
      <c r="C26830" s="8" t="n">
        <v>45</v>
      </c>
      <c r="D26830" s="8" t="inlineStr">
        <is>
          <t>Disney Adventure World</t>
        </is>
      </c>
      <c r="E26830" s="8" t="inlineStr">
        <is>
          <t>Spider-Man W.E.B. Adventure</t>
        </is>
      </c>
      <c r="F26830" s="8" t="inlineStr">
        <is>
          <t>STANDBY</t>
        </is>
      </c>
      <c r="G26830" s="8" t="n">
        <v>35</v>
      </c>
      <c r="H26830" s="8" t="inlineStr">
        <is>
          <t>OPERATING</t>
        </is>
      </c>
    </row>
    <row r="26831">
      <c r="A26831" s="8" t="inlineStr">
        <is>
          <t>2026-08-05</t>
        </is>
      </c>
      <c r="B26831" s="8" t="n">
        <v>20</v>
      </c>
      <c r="C26831" s="8" t="n">
        <v>45</v>
      </c>
      <c r="D26831" s="8" t="inlineStr">
        <is>
          <t>Disney Adventure World</t>
        </is>
      </c>
      <c r="E26831" s="8" t="inlineStr">
        <is>
          <t>Spider-Man W.E.B. Adventure Single Rider</t>
        </is>
      </c>
      <c r="F26831" s="8" t="inlineStr">
        <is>
          <t>STANDBY</t>
        </is>
      </c>
      <c r="G26831" s="8" t="n">
        <v>15</v>
      </c>
      <c r="H26831" s="8" t="inlineStr">
        <is>
          <t>OPERATING</t>
        </is>
      </c>
    </row>
    <row r="26832">
      <c r="A26832" s="8" t="inlineStr">
        <is>
          <t>2026-08-05</t>
        </is>
      </c>
      <c r="B26832" s="8" t="n">
        <v>20</v>
      </c>
      <c r="C26832" s="8" t="n">
        <v>45</v>
      </c>
      <c r="D26832" s="8" t="inlineStr">
        <is>
          <t>Disney Adventure World</t>
        </is>
      </c>
      <c r="E26832" s="8" t="inlineStr">
        <is>
          <t>The Twilight Zone Tower of Terror</t>
        </is>
      </c>
      <c r="F26832" s="8" t="inlineStr">
        <is>
          <t>STANDBY</t>
        </is>
      </c>
      <c r="G26832" s="8" t="n">
        <v>15</v>
      </c>
      <c r="H26832" s="8" t="inlineStr">
        <is>
          <t>OPERATING</t>
        </is>
      </c>
    </row>
    <row r="26833">
      <c r="A26833" s="8" t="inlineStr">
        <is>
          <t>2026-08-05</t>
        </is>
      </c>
      <c r="B26833" s="8" t="n">
        <v>20</v>
      </c>
      <c r="C26833" s="8" t="n">
        <v>45</v>
      </c>
      <c r="D26833" s="8" t="inlineStr">
        <is>
          <t>Disney Adventure World</t>
        </is>
      </c>
      <c r="E26833" s="8" t="inlineStr">
        <is>
          <t>Cars Quatre Roues Rallye</t>
        </is>
      </c>
      <c r="F26833" s="8" t="inlineStr">
        <is>
          <t>STANDBY</t>
        </is>
      </c>
      <c r="G26833" s="8" t="n">
        <v>5</v>
      </c>
      <c r="H26833" s="8" t="inlineStr">
        <is>
          <t>OPERATING</t>
        </is>
      </c>
    </row>
    <row r="26834">
      <c r="A26834" s="8" t="inlineStr">
        <is>
          <t>2026-08-05</t>
        </is>
      </c>
      <c r="B26834" s="8" t="n">
        <v>20</v>
      </c>
      <c r="C26834" s="8" t="n">
        <v>45</v>
      </c>
      <c r="D26834" s="8" t="inlineStr">
        <is>
          <t>Disney Adventure World</t>
        </is>
      </c>
      <c r="E26834" s="8" t="inlineStr">
        <is>
          <t>Cars ROAD TRIP</t>
        </is>
      </c>
      <c r="F26834" s="8" t="inlineStr">
        <is>
          <t>STANDBY</t>
        </is>
      </c>
      <c r="G26834" s="8" t="n">
        <v>5</v>
      </c>
      <c r="H26834" s="8" t="inlineStr">
        <is>
          <t>OPERATING</t>
        </is>
      </c>
    </row>
    <row r="26835">
      <c r="A26835" s="8" t="inlineStr">
        <is>
          <t>2026-08-05</t>
        </is>
      </c>
      <c r="B26835" s="8" t="n">
        <v>20</v>
      </c>
      <c r="C26835" s="8" t="n">
        <v>45</v>
      </c>
      <c r="D26835" s="8" t="inlineStr">
        <is>
          <t>Disney Adventure World</t>
        </is>
      </c>
      <c r="E26835" s="8" t="inlineStr">
        <is>
          <t>Crush's Coaster</t>
        </is>
      </c>
      <c r="F26835" s="8" t="inlineStr">
        <is>
          <t>STANDBY</t>
        </is>
      </c>
      <c r="G26835" s="8" t="n">
        <v>70</v>
      </c>
      <c r="H26835" s="8" t="inlineStr">
        <is>
          <t>OPERATING</t>
        </is>
      </c>
    </row>
    <row r="26836">
      <c r="A26836" s="8" t="inlineStr">
        <is>
          <t>2026-08-05</t>
        </is>
      </c>
      <c r="B26836" s="8" t="n">
        <v>20</v>
      </c>
      <c r="C26836" s="8" t="n">
        <v>45</v>
      </c>
      <c r="D26836" s="8" t="inlineStr">
        <is>
          <t>Disney Adventure World</t>
        </is>
      </c>
      <c r="E26836" s="8" t="inlineStr">
        <is>
          <t>Crush's Coaster Single Rider</t>
        </is>
      </c>
      <c r="F26836" s="8" t="inlineStr">
        <is>
          <t>STANDBY</t>
        </is>
      </c>
      <c r="G26836" s="8" t="n">
        <v>60</v>
      </c>
      <c r="H26836" s="8" t="inlineStr">
        <is>
          <t>OPERATING</t>
        </is>
      </c>
    </row>
    <row r="26837">
      <c r="A26837" s="8" t="inlineStr">
        <is>
          <t>2026-08-05</t>
        </is>
      </c>
      <c r="B26837" s="8" t="n">
        <v>20</v>
      </c>
      <c r="C26837" s="8" t="n">
        <v>45</v>
      </c>
      <c r="D26837" s="8" t="inlineStr">
        <is>
          <t>Disney Adventure World</t>
        </is>
      </c>
      <c r="E26837" s="8" t="inlineStr">
        <is>
          <t>Les Tapis Volants - Flying Carpets Over Agrabah®</t>
        </is>
      </c>
      <c r="F26837" s="8" t="inlineStr">
        <is>
          <t>STANDBY</t>
        </is>
      </c>
      <c r="G26837" s="8" t="n">
        <v>10</v>
      </c>
      <c r="H26837" s="8" t="inlineStr">
        <is>
          <t>OPERATING</t>
        </is>
      </c>
    </row>
    <row r="26838">
      <c r="A26838" s="8" t="inlineStr">
        <is>
          <t>2026-08-05</t>
        </is>
      </c>
      <c r="B26838" s="8" t="n">
        <v>20</v>
      </c>
      <c r="C26838" s="8" t="n">
        <v>45</v>
      </c>
      <c r="D26838" s="8" t="inlineStr">
        <is>
          <t>Disney Adventure World</t>
        </is>
      </c>
      <c r="E26838" s="8" t="inlineStr">
        <is>
          <t>Ratatouille : L’Aventure Totalement Toquée de Rémy​</t>
        </is>
      </c>
      <c r="F26838" s="8" t="inlineStr">
        <is>
          <t>STANDBY</t>
        </is>
      </c>
      <c r="G26838" s="8" t="n">
        <v>45</v>
      </c>
      <c r="H26838" s="8" t="inlineStr">
        <is>
          <t>OPERATING</t>
        </is>
      </c>
    </row>
    <row r="26839">
      <c r="A26839" s="8" t="inlineStr">
        <is>
          <t>2026-08-05</t>
        </is>
      </c>
      <c r="B26839" s="8" t="n">
        <v>20</v>
      </c>
      <c r="C26839" s="8" t="n">
        <v>45</v>
      </c>
      <c r="D26839" s="8" t="inlineStr">
        <is>
          <t>Disney Adventure World</t>
        </is>
      </c>
      <c r="E26839" s="8" t="inlineStr">
        <is>
          <t>Ratatouille: The Adventure Single Rider</t>
        </is>
      </c>
      <c r="F26839" s="8" t="inlineStr">
        <is>
          <t>STANDBY</t>
        </is>
      </c>
      <c r="G26839" s="8" t="n">
        <v>5</v>
      </c>
      <c r="H26839" s="8" t="inlineStr">
        <is>
          <t>OPERATING</t>
        </is>
      </c>
    </row>
    <row r="26840">
      <c r="A26840" s="8" t="inlineStr">
        <is>
          <t>2026-08-05</t>
        </is>
      </c>
      <c r="B26840" s="8" t="n">
        <v>20</v>
      </c>
      <c r="C26840" s="8" t="n">
        <v>45</v>
      </c>
      <c r="D26840" s="8" t="inlineStr">
        <is>
          <t>Disney Adventure World</t>
        </is>
      </c>
      <c r="E26840" s="8" t="inlineStr">
        <is>
          <t>RC Racer</t>
        </is>
      </c>
      <c r="F26840" s="8" t="inlineStr">
        <is>
          <t>STANDBY</t>
        </is>
      </c>
      <c r="G26840" s="8" t="n">
        <v>35</v>
      </c>
      <c r="H26840" s="8" t="inlineStr">
        <is>
          <t>OPERATING</t>
        </is>
      </c>
    </row>
    <row r="26841">
      <c r="A26841" s="8" t="inlineStr">
        <is>
          <t>2026-08-05</t>
        </is>
      </c>
      <c r="B26841" s="8" t="n">
        <v>20</v>
      </c>
      <c r="C26841" s="8" t="n">
        <v>45</v>
      </c>
      <c r="D26841" s="8" t="inlineStr">
        <is>
          <t>Disney Adventure World</t>
        </is>
      </c>
      <c r="E26841" s="8" t="inlineStr">
        <is>
          <t>RC Racer Single Rider</t>
        </is>
      </c>
      <c r="F26841" s="8" t="inlineStr">
        <is>
          <t>STANDBY</t>
        </is>
      </c>
      <c r="G26841" s="8" t="n">
        <v>20</v>
      </c>
      <c r="H26841" s="8" t="inlineStr">
        <is>
          <t>OPERATING</t>
        </is>
      </c>
    </row>
    <row r="26842">
      <c r="A26842" s="8" t="inlineStr">
        <is>
          <t>2026-08-05</t>
        </is>
      </c>
      <c r="B26842" s="8" t="n">
        <v>20</v>
      </c>
      <c r="C26842" s="8" t="n">
        <v>45</v>
      </c>
      <c r="D26842" s="8" t="inlineStr">
        <is>
          <t>Disney Adventure World</t>
        </is>
      </c>
      <c r="E26842" s="8" t="inlineStr">
        <is>
          <t>Slinky® Dog Zigzag Spin</t>
        </is>
      </c>
      <c r="F26842" s="8" t="inlineStr">
        <is>
          <t>STANDBY</t>
        </is>
      </c>
      <c r="G26842" s="8" t="n">
        <v>5</v>
      </c>
      <c r="H26842" s="8" t="inlineStr">
        <is>
          <t>OPERATING</t>
        </is>
      </c>
    </row>
    <row r="26843">
      <c r="A26843" s="8" t="inlineStr">
        <is>
          <t>2026-08-05</t>
        </is>
      </c>
      <c r="B26843" s="8" t="n">
        <v>20</v>
      </c>
      <c r="C26843" s="8" t="n">
        <v>45</v>
      </c>
      <c r="D26843" s="8" t="inlineStr">
        <is>
          <t>Disney Adventure World</t>
        </is>
      </c>
      <c r="E26843" s="8" t="inlineStr">
        <is>
          <t>Toy Soldiers Parachute Drop</t>
        </is>
      </c>
      <c r="F26843" s="8" t="inlineStr">
        <is>
          <t>STANDBY</t>
        </is>
      </c>
      <c r="G26843" s="8" t="n">
        <v>40</v>
      </c>
      <c r="H26843" s="8" t="inlineStr">
        <is>
          <t>OPERATING</t>
        </is>
      </c>
    </row>
    <row r="26844">
      <c r="A26844" s="8" t="inlineStr">
        <is>
          <t>2026-08-05</t>
        </is>
      </c>
      <c r="B26844" s="8" t="n">
        <v>20</v>
      </c>
      <c r="C26844" s="8" t="n">
        <v>45</v>
      </c>
      <c r="D26844" s="8" t="inlineStr">
        <is>
          <t>Disney Adventure World</t>
        </is>
      </c>
      <c r="E26844" s="8" t="inlineStr">
        <is>
          <t>Toy Soldiers Parachute Drop Single Rider</t>
        </is>
      </c>
      <c r="F26844" s="8" t="inlineStr">
        <is>
          <t>STANDBY</t>
        </is>
      </c>
      <c r="G26844" s="8" t="n">
        <v>25</v>
      </c>
      <c r="H26844" s="8" t="inlineStr">
        <is>
          <t>OPERATING</t>
        </is>
      </c>
    </row>
    <row r="26845">
      <c r="A26845" s="8" t="inlineStr">
        <is>
          <t>2026-08-05</t>
        </is>
      </c>
      <c r="B26845" s="8" t="n">
        <v>20</v>
      </c>
      <c r="C26845" s="8" t="n">
        <v>45</v>
      </c>
      <c r="D26845" s="8" t="inlineStr">
        <is>
          <t>Disney Adventure World</t>
        </is>
      </c>
      <c r="E26845" s="8" t="inlineStr">
        <is>
          <t>Entry to World of Frozen</t>
        </is>
      </c>
      <c r="F26845" s="8" t="inlineStr">
        <is>
          <t>STANDBY</t>
        </is>
      </c>
      <c r="G26845" s="8" t="n">
        <v>0</v>
      </c>
      <c r="H26845" s="8" t="inlineStr">
        <is>
          <t>OPERATING</t>
        </is>
      </c>
    </row>
    <row r="26846">
      <c r="A26846" s="8" t="inlineStr">
        <is>
          <t>2026-08-05</t>
        </is>
      </c>
      <c r="B26846" s="8" t="n">
        <v>20</v>
      </c>
      <c r="C26846" s="8" t="n">
        <v>45</v>
      </c>
      <c r="D26846" s="8" t="inlineStr">
        <is>
          <t>Disney Adventure World</t>
        </is>
      </c>
      <c r="E26846" s="8" t="inlineStr">
        <is>
          <t>Frozen Ever After</t>
        </is>
      </c>
      <c r="F26846" s="8" t="inlineStr">
        <is>
          <t>STANDBY</t>
        </is>
      </c>
      <c r="G26846" s="8" t="n">
        <v>55</v>
      </c>
      <c r="H26846" s="8" t="inlineStr">
        <is>
          <t>OPERATING</t>
        </is>
      </c>
    </row>
    <row r="26847">
      <c r="A26847" s="8" t="inlineStr">
        <is>
          <t>2026-08-05</t>
        </is>
      </c>
      <c r="B26847" s="8" t="n">
        <v>20</v>
      </c>
      <c r="C26847" s="8" t="n">
        <v>45</v>
      </c>
      <c r="D26847" s="8" t="inlineStr">
        <is>
          <t>Disney Adventure World</t>
        </is>
      </c>
      <c r="E26847" s="8" t="inlineStr">
        <is>
          <t>Raiponce Tangled Spin</t>
        </is>
      </c>
      <c r="F26847" s="8" t="inlineStr">
        <is>
          <t>STANDBY</t>
        </is>
      </c>
      <c r="G26847" s="8" t="n">
        <v>5</v>
      </c>
      <c r="H26847" s="8" t="inlineStr">
        <is>
          <t>OPERATING</t>
        </is>
      </c>
    </row>
    <row r="26848">
      <c r="A26848" s="8" t="inlineStr">
        <is>
          <t>2026-08-05</t>
        </is>
      </c>
      <c r="B26848" s="8" t="n">
        <v>20</v>
      </c>
      <c r="C26848" s="8" t="n">
        <v>46</v>
      </c>
      <c r="D26848" s="8" t="inlineStr">
        <is>
          <t>Disneyland Park</t>
        </is>
      </c>
      <c r="E26848" s="8" t="inlineStr">
        <is>
          <t>Adventure Isle</t>
        </is>
      </c>
      <c r="F26848" s="8" t="inlineStr">
        <is>
          <t>STANDBY</t>
        </is>
      </c>
      <c r="G26848" s="8" t="n">
        <v>0</v>
      </c>
      <c r="H26848" s="8" t="inlineStr">
        <is>
          <t>OPERATING</t>
        </is>
      </c>
    </row>
    <row r="26849">
      <c r="A26849" s="8" t="inlineStr">
        <is>
          <t>2026-08-05</t>
        </is>
      </c>
      <c r="B26849" s="8" t="n">
        <v>20</v>
      </c>
      <c r="C26849" s="8" t="n">
        <v>46</v>
      </c>
      <c r="D26849" s="8" t="inlineStr">
        <is>
          <t>Disneyland Park</t>
        </is>
      </c>
      <c r="E26849" s="8" t="inlineStr">
        <is>
          <t>Indiana Jones and the Temple of Peril Single Rider</t>
        </is>
      </c>
      <c r="F26849" s="8" t="inlineStr">
        <is>
          <t>STANDBY</t>
        </is>
      </c>
      <c r="G26849" s="8" t="n">
        <v>5</v>
      </c>
      <c r="H26849" s="8" t="inlineStr">
        <is>
          <t>OPERATING</t>
        </is>
      </c>
    </row>
    <row r="26850">
      <c r="A26850" s="8" t="inlineStr">
        <is>
          <t>2026-08-05</t>
        </is>
      </c>
      <c r="B26850" s="8" t="n">
        <v>20</v>
      </c>
      <c r="C26850" s="8" t="n">
        <v>46</v>
      </c>
      <c r="D26850" s="8" t="inlineStr">
        <is>
          <t>Disneyland Park</t>
        </is>
      </c>
      <c r="E26850" s="8" t="inlineStr">
        <is>
          <t>Indiana Jones™ and the Temple of Peril</t>
        </is>
      </c>
      <c r="F26850" s="8" t="inlineStr">
        <is>
          <t>STANDBY</t>
        </is>
      </c>
      <c r="G26850" s="8" t="n">
        <v>10</v>
      </c>
      <c r="H26850" s="8" t="inlineStr">
        <is>
          <t>OPERATING</t>
        </is>
      </c>
    </row>
    <row r="26851">
      <c r="A26851" s="8" t="inlineStr">
        <is>
          <t>2026-08-05</t>
        </is>
      </c>
      <c r="B26851" s="8" t="n">
        <v>20</v>
      </c>
      <c r="C26851" s="8" t="n">
        <v>46</v>
      </c>
      <c r="D26851" s="8" t="inlineStr">
        <is>
          <t>Disneyland Park</t>
        </is>
      </c>
      <c r="E26851" s="8" t="inlineStr">
        <is>
          <t>La Cabane des Robinson</t>
        </is>
      </c>
      <c r="F26851" s="8" t="inlineStr">
        <is>
          <t>STANDBY</t>
        </is>
      </c>
      <c r="G26851" s="8" t="n">
        <v>5</v>
      </c>
      <c r="H26851" s="8" t="inlineStr">
        <is>
          <t>OPERATING</t>
        </is>
      </c>
    </row>
    <row r="26852">
      <c r="A26852" s="8" t="inlineStr">
        <is>
          <t>2026-08-05</t>
        </is>
      </c>
      <c r="B26852" s="8" t="n">
        <v>20</v>
      </c>
      <c r="C26852" s="8" t="n">
        <v>46</v>
      </c>
      <c r="D26852" s="8" t="inlineStr">
        <is>
          <t>Disneyland Park</t>
        </is>
      </c>
      <c r="E26852" s="8" t="inlineStr">
        <is>
          <t>Le Passage Enchanté d'Aladdin</t>
        </is>
      </c>
      <c r="F26852" s="8" t="inlineStr">
        <is>
          <t>STANDBY</t>
        </is>
      </c>
      <c r="G26852" s="8" t="n">
        <v>0</v>
      </c>
      <c r="H26852" s="8" t="inlineStr">
        <is>
          <t>OPERATING</t>
        </is>
      </c>
    </row>
    <row r="26853">
      <c r="A26853" s="8" t="inlineStr">
        <is>
          <t>2026-08-05</t>
        </is>
      </c>
      <c r="B26853" s="8" t="n">
        <v>20</v>
      </c>
      <c r="C26853" s="8" t="n">
        <v>46</v>
      </c>
      <c r="D26853" s="8" t="inlineStr">
        <is>
          <t>Disneyland Park</t>
        </is>
      </c>
      <c r="E26853" s="8" t="inlineStr">
        <is>
          <t>Pirate Galleon</t>
        </is>
      </c>
      <c r="F26853" s="8" t="inlineStr">
        <is>
          <t>STANDBY</t>
        </is>
      </c>
      <c r="G26853" s="8" t="n">
        <v>0</v>
      </c>
      <c r="H26853" s="8" t="inlineStr">
        <is>
          <t>CLOSED</t>
        </is>
      </c>
    </row>
    <row r="26854">
      <c r="A26854" s="8" t="inlineStr">
        <is>
          <t>2026-08-05</t>
        </is>
      </c>
      <c r="B26854" s="8" t="n">
        <v>20</v>
      </c>
      <c r="C26854" s="8" t="n">
        <v>46</v>
      </c>
      <c r="D26854" s="8" t="inlineStr">
        <is>
          <t>Disneyland Park</t>
        </is>
      </c>
      <c r="E26854" s="8" t="inlineStr">
        <is>
          <t>Pirates of the Caribbean</t>
        </is>
      </c>
      <c r="F26854" s="8" t="inlineStr">
        <is>
          <t>STANDBY</t>
        </is>
      </c>
      <c r="G26854" s="8" t="n">
        <v>15</v>
      </c>
      <c r="H26854" s="8" t="inlineStr">
        <is>
          <t>OPERATING</t>
        </is>
      </c>
    </row>
    <row r="26855">
      <c r="A26855" s="8" t="inlineStr">
        <is>
          <t>2026-08-05</t>
        </is>
      </c>
      <c r="B26855" s="8" t="n">
        <v>20</v>
      </c>
      <c r="C26855" s="8" t="n">
        <v>46</v>
      </c>
      <c r="D26855" s="8" t="inlineStr">
        <is>
          <t>Disneyland Park</t>
        </is>
      </c>
      <c r="E26855" s="8" t="inlineStr">
        <is>
          <t>Pirates' Beach</t>
        </is>
      </c>
      <c r="F26855" s="8" t="inlineStr">
        <is>
          <t>STANDBY</t>
        </is>
      </c>
      <c r="G26855" s="8" t="n">
        <v>0</v>
      </c>
      <c r="H26855" s="8" t="inlineStr">
        <is>
          <t>OPERATING</t>
        </is>
      </c>
    </row>
    <row r="26856">
      <c r="A26856" s="8" t="inlineStr">
        <is>
          <t>2026-08-05</t>
        </is>
      </c>
      <c r="B26856" s="8" t="n">
        <v>20</v>
      </c>
      <c r="C26856" s="8" t="n">
        <v>46</v>
      </c>
      <c r="D26856" s="8" t="inlineStr">
        <is>
          <t>Disneyland Park</t>
        </is>
      </c>
      <c r="E26856" s="8" t="inlineStr">
        <is>
          <t>Autopia, presented by Avis</t>
        </is>
      </c>
      <c r="F26856" s="8" t="inlineStr">
        <is>
          <t>STANDBY</t>
        </is>
      </c>
      <c r="G26856" s="8" t="n">
        <v>30</v>
      </c>
      <c r="H26856" s="8" t="inlineStr">
        <is>
          <t>OPERATING</t>
        </is>
      </c>
    </row>
    <row r="26857">
      <c r="A26857" s="8" t="inlineStr">
        <is>
          <t>2026-08-05</t>
        </is>
      </c>
      <c r="B26857" s="8" t="n">
        <v>20</v>
      </c>
      <c r="C26857" s="8" t="n">
        <v>46</v>
      </c>
      <c r="D26857" s="8" t="inlineStr">
        <is>
          <t>Disneyland Park</t>
        </is>
      </c>
      <c r="E26857" s="8" t="inlineStr">
        <is>
          <t>Buzz Lightyear Laser Blast</t>
        </is>
      </c>
      <c r="F26857" s="8" t="inlineStr">
        <is>
          <t>STANDBY</t>
        </is>
      </c>
      <c r="G26857" s="8" t="n">
        <v>25</v>
      </c>
      <c r="H26857" s="8" t="inlineStr">
        <is>
          <t>OPERATING</t>
        </is>
      </c>
    </row>
    <row r="26858">
      <c r="A26858" s="8" t="inlineStr">
        <is>
          <t>2026-08-05</t>
        </is>
      </c>
      <c r="B26858" s="8" t="n">
        <v>20</v>
      </c>
      <c r="C26858" s="8" t="n">
        <v>46</v>
      </c>
      <c r="D26858" s="8" t="inlineStr">
        <is>
          <t>Disneyland Park</t>
        </is>
      </c>
      <c r="E26858" s="8" t="inlineStr">
        <is>
          <t>Disneyland Railroad Discoveryland Station</t>
        </is>
      </c>
      <c r="F26858" s="8" t="inlineStr">
        <is>
          <t>STANDBY</t>
        </is>
      </c>
      <c r="G26858" s="8" t="n">
        <v>0</v>
      </c>
      <c r="H26858" s="8" t="inlineStr">
        <is>
          <t>CLOSED</t>
        </is>
      </c>
    </row>
    <row r="26859">
      <c r="A26859" s="8" t="inlineStr">
        <is>
          <t>2026-08-05</t>
        </is>
      </c>
      <c r="B26859" s="8" t="n">
        <v>20</v>
      </c>
      <c r="C26859" s="8" t="n">
        <v>46</v>
      </c>
      <c r="D26859" s="8" t="inlineStr">
        <is>
          <t>Disneyland Park</t>
        </is>
      </c>
      <c r="E26859" s="8" t="inlineStr">
        <is>
          <t>Les Mystères du Nautilus</t>
        </is>
      </c>
      <c r="F26859" s="8" t="inlineStr">
        <is>
          <t>STANDBY</t>
        </is>
      </c>
      <c r="G26859" s="8" t="n">
        <v>5</v>
      </c>
      <c r="H26859" s="8" t="inlineStr">
        <is>
          <t>OPERATING</t>
        </is>
      </c>
    </row>
    <row r="26860">
      <c r="A26860" s="8" t="inlineStr">
        <is>
          <t>2026-08-05</t>
        </is>
      </c>
      <c r="B26860" s="8" t="n">
        <v>20</v>
      </c>
      <c r="C26860" s="8" t="n">
        <v>46</v>
      </c>
      <c r="D26860" s="8" t="inlineStr">
        <is>
          <t>Disneyland Park</t>
        </is>
      </c>
      <c r="E26860" s="8" t="inlineStr">
        <is>
          <t>Mickey’s PhilharMagic</t>
        </is>
      </c>
      <c r="F26860" s="8" t="inlineStr">
        <is>
          <t>STANDBY</t>
        </is>
      </c>
      <c r="G26860" s="8" t="n">
        <v>0</v>
      </c>
      <c r="H26860" s="8" t="inlineStr">
        <is>
          <t>CLOSED</t>
        </is>
      </c>
    </row>
    <row r="26861">
      <c r="A26861" s="8" t="inlineStr">
        <is>
          <t>2026-08-05</t>
        </is>
      </c>
      <c r="B26861" s="8" t="n">
        <v>20</v>
      </c>
      <c r="C26861" s="8" t="n">
        <v>46</v>
      </c>
      <c r="D26861" s="8" t="inlineStr">
        <is>
          <t>Disneyland Park</t>
        </is>
      </c>
      <c r="E26861" s="8" t="inlineStr">
        <is>
          <t>Orbitron®</t>
        </is>
      </c>
      <c r="F26861" s="8" t="inlineStr">
        <is>
          <t>STANDBY</t>
        </is>
      </c>
      <c r="G26861" s="8" t="n">
        <v>45</v>
      </c>
      <c r="H26861" s="8" t="inlineStr">
        <is>
          <t>OPERATING</t>
        </is>
      </c>
    </row>
    <row r="26862">
      <c r="A26862" s="8" t="inlineStr">
        <is>
          <t>2026-08-05</t>
        </is>
      </c>
      <c r="B26862" s="8" t="n">
        <v>20</v>
      </c>
      <c r="C26862" s="8" t="n">
        <v>46</v>
      </c>
      <c r="D26862" s="8" t="inlineStr">
        <is>
          <t>Disneyland Park</t>
        </is>
      </c>
      <c r="E26862" s="8" t="inlineStr">
        <is>
          <t>Star Tours: The Adventures Continue*</t>
        </is>
      </c>
      <c r="F26862" s="8" t="inlineStr">
        <is>
          <t>STANDBY</t>
        </is>
      </c>
      <c r="G26862" s="8" t="n">
        <v>5</v>
      </c>
      <c r="H26862" s="8" t="inlineStr">
        <is>
          <t>OPERATING</t>
        </is>
      </c>
    </row>
    <row r="26863">
      <c r="A26863" s="8" t="inlineStr">
        <is>
          <t>2026-08-05</t>
        </is>
      </c>
      <c r="B26863" s="8" t="n">
        <v>20</v>
      </c>
      <c r="C26863" s="8" t="n">
        <v>46</v>
      </c>
      <c r="D26863" s="8" t="inlineStr">
        <is>
          <t>Disneyland Park</t>
        </is>
      </c>
      <c r="E26863" s="8" t="inlineStr">
        <is>
          <t>Star Wars Hyperspace Mountain</t>
        </is>
      </c>
      <c r="F26863" s="8" t="inlineStr">
        <is>
          <t>STANDBY</t>
        </is>
      </c>
      <c r="G26863" s="8" t="n">
        <v>30</v>
      </c>
      <c r="H26863" s="8" t="inlineStr">
        <is>
          <t>OPERATING</t>
        </is>
      </c>
    </row>
    <row r="26864">
      <c r="A26864" s="8" t="inlineStr">
        <is>
          <t>2026-08-05</t>
        </is>
      </c>
      <c r="B26864" s="8" t="n">
        <v>20</v>
      </c>
      <c r="C26864" s="8" t="n">
        <v>46</v>
      </c>
      <c r="D26864" s="8" t="inlineStr">
        <is>
          <t>Disneyland Park</t>
        </is>
      </c>
      <c r="E26864" s="8" t="inlineStr">
        <is>
          <t>Star Wars Hyperspace Mountain Single Rider</t>
        </is>
      </c>
      <c r="F26864" s="8" t="inlineStr">
        <is>
          <t>STANDBY</t>
        </is>
      </c>
      <c r="G26864" s="8" t="n">
        <v>0</v>
      </c>
      <c r="H26864" s="8" t="inlineStr">
        <is>
          <t>OPERATING</t>
        </is>
      </c>
    </row>
    <row r="26865">
      <c r="A26865" s="8" t="inlineStr">
        <is>
          <t>2026-08-05</t>
        </is>
      </c>
      <c r="B26865" s="8" t="n">
        <v>20</v>
      </c>
      <c r="C26865" s="8" t="n">
        <v>46</v>
      </c>
      <c r="D26865" s="8" t="inlineStr">
        <is>
          <t>Disneyland Park</t>
        </is>
      </c>
      <c r="E26865" s="8" t="inlineStr">
        <is>
          <t>Welcome to Starport: A Star Wars Encounter</t>
        </is>
      </c>
      <c r="F26865" s="8" t="inlineStr">
        <is>
          <t>STANDBY</t>
        </is>
      </c>
      <c r="G26865" s="8" t="n">
        <v>0</v>
      </c>
      <c r="H26865" s="8" t="inlineStr">
        <is>
          <t>CLOSED</t>
        </is>
      </c>
    </row>
    <row r="26866">
      <c r="A26866" s="8" t="inlineStr">
        <is>
          <t>2026-08-05</t>
        </is>
      </c>
      <c r="B26866" s="8" t="n">
        <v>20</v>
      </c>
      <c r="C26866" s="8" t="n">
        <v>46</v>
      </c>
      <c r="D26866" s="8" t="inlineStr">
        <is>
          <t>Disneyland Park</t>
        </is>
      </c>
      <c r="E26866" s="8" t="inlineStr">
        <is>
          <t>"it's a small world"</t>
        </is>
      </c>
      <c r="F26866" s="8" t="inlineStr">
        <is>
          <t>STANDBY</t>
        </is>
      </c>
      <c r="G26866" s="8" t="n">
        <v>5</v>
      </c>
      <c r="H26866" s="8" t="inlineStr">
        <is>
          <t>OPERATING</t>
        </is>
      </c>
    </row>
    <row r="26867">
      <c r="A26867" s="8" t="inlineStr">
        <is>
          <t>2026-08-05</t>
        </is>
      </c>
      <c r="B26867" s="8" t="n">
        <v>20</v>
      </c>
      <c r="C26867" s="8" t="n">
        <v>46</v>
      </c>
      <c r="D26867" s="8" t="inlineStr">
        <is>
          <t>Disneyland Park</t>
        </is>
      </c>
      <c r="E26867" s="8" t="inlineStr">
        <is>
          <t>Alice's Curious Labyrinth</t>
        </is>
      </c>
      <c r="F26867" s="8" t="inlineStr">
        <is>
          <t>STANDBY</t>
        </is>
      </c>
      <c r="G26867" s="8" t="n">
        <v>5</v>
      </c>
      <c r="H26867" s="8" t="inlineStr">
        <is>
          <t>OPERATING</t>
        </is>
      </c>
    </row>
    <row r="26868">
      <c r="A26868" s="8" t="inlineStr">
        <is>
          <t>2026-08-05</t>
        </is>
      </c>
      <c r="B26868" s="8" t="n">
        <v>20</v>
      </c>
      <c r="C26868" s="8" t="n">
        <v>46</v>
      </c>
      <c r="D26868" s="8" t="inlineStr">
        <is>
          <t>Disneyland Park</t>
        </is>
      </c>
      <c r="E26868" s="8" t="inlineStr">
        <is>
          <t>Blanche-Neige et les Sept Nains®</t>
        </is>
      </c>
      <c r="F26868" s="8" t="inlineStr">
        <is>
          <t>STANDBY</t>
        </is>
      </c>
      <c r="G26868" s="8" t="n">
        <v>10</v>
      </c>
      <c r="H26868" s="8" t="inlineStr">
        <is>
          <t>OPERATING</t>
        </is>
      </c>
    </row>
    <row r="26869">
      <c r="A26869" s="8" t="inlineStr">
        <is>
          <t>2026-08-05</t>
        </is>
      </c>
      <c r="B26869" s="8" t="n">
        <v>20</v>
      </c>
      <c r="C26869" s="8" t="n">
        <v>46</v>
      </c>
      <c r="D26869" s="8" t="inlineStr">
        <is>
          <t>Disneyland Park</t>
        </is>
      </c>
      <c r="E26869" s="8" t="inlineStr">
        <is>
          <t>Casey Jr. – le Petit Train du Cirque</t>
        </is>
      </c>
      <c r="F26869" s="8" t="inlineStr">
        <is>
          <t>STANDBY</t>
        </is>
      </c>
      <c r="G26869" s="8" t="n">
        <v>25</v>
      </c>
      <c r="H26869" s="8" t="inlineStr">
        <is>
          <t>OPERATING</t>
        </is>
      </c>
    </row>
    <row r="26870">
      <c r="A26870" s="8" t="inlineStr">
        <is>
          <t>2026-08-05</t>
        </is>
      </c>
      <c r="B26870" s="8" t="n">
        <v>20</v>
      </c>
      <c r="C26870" s="8" t="n">
        <v>46</v>
      </c>
      <c r="D26870" s="8" t="inlineStr">
        <is>
          <t>Disneyland Park</t>
        </is>
      </c>
      <c r="E26870" s="8" t="inlineStr">
        <is>
          <t>Disneyland Railroad Fantasyland Station</t>
        </is>
      </c>
      <c r="F26870" s="8" t="inlineStr">
        <is>
          <t>STANDBY</t>
        </is>
      </c>
      <c r="G26870" s="8" t="n">
        <v>0</v>
      </c>
      <c r="H26870" s="8" t="inlineStr">
        <is>
          <t>CLOSED</t>
        </is>
      </c>
    </row>
    <row r="26871">
      <c r="A26871" s="8" t="inlineStr">
        <is>
          <t>2026-08-05</t>
        </is>
      </c>
      <c r="B26871" s="8" t="n">
        <v>20</v>
      </c>
      <c r="C26871" s="8" t="n">
        <v>46</v>
      </c>
      <c r="D26871" s="8" t="inlineStr">
        <is>
          <t>Disneyland Park</t>
        </is>
      </c>
      <c r="E26871" s="8" t="inlineStr">
        <is>
          <t>Disneyland Railroad Main Street Station</t>
        </is>
      </c>
      <c r="F26871" s="8" t="inlineStr">
        <is>
          <t>STANDBY</t>
        </is>
      </c>
      <c r="G26871" s="8" t="n">
        <v>0</v>
      </c>
      <c r="H26871" s="8" t="inlineStr">
        <is>
          <t>CLOSED</t>
        </is>
      </c>
    </row>
    <row r="26872">
      <c r="A26872" s="8" t="inlineStr">
        <is>
          <t>2026-08-05</t>
        </is>
      </c>
      <c r="B26872" s="8" t="n">
        <v>20</v>
      </c>
      <c r="C26872" s="8" t="n">
        <v>46</v>
      </c>
      <c r="D26872" s="8" t="inlineStr">
        <is>
          <t>Disneyland Park</t>
        </is>
      </c>
      <c r="E26872" s="8" t="inlineStr">
        <is>
          <t>Dumbo the Flying Elephant</t>
        </is>
      </c>
      <c r="F26872" s="8" t="inlineStr">
        <is>
          <t>STANDBY</t>
        </is>
      </c>
      <c r="G26872" s="8" t="n">
        <v>35</v>
      </c>
      <c r="H26872" s="8" t="inlineStr">
        <is>
          <t>OPERATING</t>
        </is>
      </c>
    </row>
    <row r="26873">
      <c r="A26873" s="8" t="inlineStr">
        <is>
          <t>2026-08-05</t>
        </is>
      </c>
      <c r="B26873" s="8" t="n">
        <v>20</v>
      </c>
      <c r="C26873" s="8" t="n">
        <v>46</v>
      </c>
      <c r="D26873" s="8" t="inlineStr">
        <is>
          <t>Disneyland Park</t>
        </is>
      </c>
      <c r="E26873" s="8" t="inlineStr">
        <is>
          <t>La Tanière du Dragon</t>
        </is>
      </c>
      <c r="F26873" s="8" t="inlineStr">
        <is>
          <t>STANDBY</t>
        </is>
      </c>
      <c r="G26873" s="8" t="n">
        <v>0</v>
      </c>
      <c r="H26873" s="8" t="inlineStr">
        <is>
          <t>OPERATING</t>
        </is>
      </c>
    </row>
    <row r="26874">
      <c r="A26874" s="8" t="inlineStr">
        <is>
          <t>2026-08-05</t>
        </is>
      </c>
      <c r="B26874" s="8" t="n">
        <v>20</v>
      </c>
      <c r="C26874" s="8" t="n">
        <v>46</v>
      </c>
      <c r="D26874" s="8" t="inlineStr">
        <is>
          <t>Disneyland Park</t>
        </is>
      </c>
      <c r="E26874" s="8" t="inlineStr">
        <is>
          <t>Le Carrousel de Lancelot</t>
        </is>
      </c>
      <c r="F26874" s="8" t="inlineStr">
        <is>
          <t>STANDBY</t>
        </is>
      </c>
      <c r="G26874" s="8" t="n">
        <v>15</v>
      </c>
      <c r="H26874" s="8" t="inlineStr">
        <is>
          <t>OPERATING</t>
        </is>
      </c>
    </row>
    <row r="26875">
      <c r="A26875" s="8" t="inlineStr">
        <is>
          <t>2026-08-05</t>
        </is>
      </c>
      <c r="B26875" s="8" t="n">
        <v>20</v>
      </c>
      <c r="C26875" s="8" t="n">
        <v>46</v>
      </c>
      <c r="D26875" s="8" t="inlineStr">
        <is>
          <t>Disneyland Park</t>
        </is>
      </c>
      <c r="E26875" s="8" t="inlineStr">
        <is>
          <t>Le Pays des Contes de Fées, presented by Vittel</t>
        </is>
      </c>
      <c r="F26875" s="8" t="inlineStr">
        <is>
          <t>STANDBY</t>
        </is>
      </c>
      <c r="G26875" s="8" t="n">
        <v>5</v>
      </c>
      <c r="H26875" s="8" t="inlineStr">
        <is>
          <t>OPERATING</t>
        </is>
      </c>
    </row>
    <row r="26876">
      <c r="A26876" s="8" t="inlineStr">
        <is>
          <t>2026-08-05</t>
        </is>
      </c>
      <c r="B26876" s="8" t="n">
        <v>20</v>
      </c>
      <c r="C26876" s="8" t="n">
        <v>46</v>
      </c>
      <c r="D26876" s="8" t="inlineStr">
        <is>
          <t>Disneyland Park</t>
        </is>
      </c>
      <c r="E26876" s="8" t="inlineStr">
        <is>
          <t>Les Voyages de Pinocchio</t>
        </is>
      </c>
      <c r="F26876" s="8" t="inlineStr">
        <is>
          <t>STANDBY</t>
        </is>
      </c>
      <c r="G26876" s="8" t="n">
        <v>25</v>
      </c>
      <c r="H26876" s="8" t="inlineStr">
        <is>
          <t>OPERATING</t>
        </is>
      </c>
    </row>
    <row r="26877">
      <c r="A26877" s="8" t="inlineStr">
        <is>
          <t>2026-08-05</t>
        </is>
      </c>
      <c r="B26877" s="8" t="n">
        <v>20</v>
      </c>
      <c r="C26877" s="8" t="n">
        <v>46</v>
      </c>
      <c r="D26877" s="8" t="inlineStr">
        <is>
          <t>Disneyland Park</t>
        </is>
      </c>
      <c r="E26877" s="8" t="inlineStr">
        <is>
          <t>Mad Hatter's Tea Cups</t>
        </is>
      </c>
      <c r="F26877" s="8" t="inlineStr">
        <is>
          <t>STANDBY</t>
        </is>
      </c>
      <c r="G26877" s="8" t="n">
        <v>5</v>
      </c>
      <c r="H26877" s="8" t="inlineStr">
        <is>
          <t>OPERATING</t>
        </is>
      </c>
    </row>
    <row r="26878">
      <c r="A26878" s="8" t="inlineStr">
        <is>
          <t>2026-08-05</t>
        </is>
      </c>
      <c r="B26878" s="8" t="n">
        <v>20</v>
      </c>
      <c r="C26878" s="8" t="n">
        <v>46</v>
      </c>
      <c r="D26878" s="8" t="inlineStr">
        <is>
          <t>Disneyland Park</t>
        </is>
      </c>
      <c r="E26878" s="8" t="inlineStr">
        <is>
          <t>Meet Mickey Mouse</t>
        </is>
      </c>
      <c r="F26878" s="8" t="inlineStr">
        <is>
          <t>STANDBY</t>
        </is>
      </c>
      <c r="G26878" s="8" t="n">
        <v>0</v>
      </c>
      <c r="H26878" s="8" t="inlineStr">
        <is>
          <t>CLOSED</t>
        </is>
      </c>
    </row>
    <row r="26879">
      <c r="A26879" s="8" t="inlineStr">
        <is>
          <t>2026-08-05</t>
        </is>
      </c>
      <c r="B26879" s="8" t="n">
        <v>20</v>
      </c>
      <c r="C26879" s="8" t="n">
        <v>46</v>
      </c>
      <c r="D26879" s="8" t="inlineStr">
        <is>
          <t>Disneyland Park</t>
        </is>
      </c>
      <c r="E26879" s="8" t="inlineStr">
        <is>
          <t>Peter Pan's Flight</t>
        </is>
      </c>
      <c r="F26879" s="8" t="inlineStr">
        <is>
          <t>STANDBY</t>
        </is>
      </c>
      <c r="G26879" s="8" t="n">
        <v>65</v>
      </c>
      <c r="H26879" s="8" t="inlineStr">
        <is>
          <t>OPERATING</t>
        </is>
      </c>
    </row>
    <row r="26880">
      <c r="A26880" s="8" t="inlineStr">
        <is>
          <t>2026-08-05</t>
        </is>
      </c>
      <c r="B26880" s="8" t="n">
        <v>20</v>
      </c>
      <c r="C26880" s="8" t="n">
        <v>46</v>
      </c>
      <c r="D26880" s="8" t="inlineStr">
        <is>
          <t>Disneyland Park</t>
        </is>
      </c>
      <c r="E26880" s="8" t="inlineStr">
        <is>
          <t>Princess Pavilion</t>
        </is>
      </c>
      <c r="F26880" s="8" t="inlineStr">
        <is>
          <t>STANDBY</t>
        </is>
      </c>
      <c r="G26880" s="8" t="n">
        <v>0</v>
      </c>
      <c r="H26880" s="8" t="inlineStr">
        <is>
          <t>CLOSED</t>
        </is>
      </c>
    </row>
    <row r="26881">
      <c r="A26881" s="8" t="inlineStr">
        <is>
          <t>2026-08-05</t>
        </is>
      </c>
      <c r="B26881" s="8" t="n">
        <v>20</v>
      </c>
      <c r="C26881" s="8" t="n">
        <v>46</v>
      </c>
      <c r="D26881" s="8" t="inlineStr">
        <is>
          <t>Disneyland Park</t>
        </is>
      </c>
      <c r="E26881" s="8" t="inlineStr">
        <is>
          <t>Big Thunder Mountain</t>
        </is>
      </c>
      <c r="F26881" s="8" t="inlineStr">
        <is>
          <t>STANDBY</t>
        </is>
      </c>
      <c r="G26881" s="8" t="n">
        <v>85</v>
      </c>
      <c r="H26881" s="8" t="inlineStr">
        <is>
          <t>OPERATING</t>
        </is>
      </c>
    </row>
    <row r="26882">
      <c r="A26882" s="8" t="inlineStr">
        <is>
          <t>2026-08-05</t>
        </is>
      </c>
      <c r="B26882" s="8" t="n">
        <v>20</v>
      </c>
      <c r="C26882" s="8" t="n">
        <v>46</v>
      </c>
      <c r="D26882" s="8" t="inlineStr">
        <is>
          <t>Disneyland Park</t>
        </is>
      </c>
      <c r="E26882" s="8" t="inlineStr">
        <is>
          <t>Disneyland Railroad Frontierland Depot</t>
        </is>
      </c>
      <c r="F26882" s="8" t="inlineStr">
        <is>
          <t>STANDBY</t>
        </is>
      </c>
      <c r="G26882" s="8" t="n">
        <v>0</v>
      </c>
      <c r="H26882" s="8" t="inlineStr">
        <is>
          <t>CLOSED</t>
        </is>
      </c>
    </row>
    <row r="26883">
      <c r="A26883" s="8" t="inlineStr">
        <is>
          <t>2026-08-05</t>
        </is>
      </c>
      <c r="B26883" s="8" t="n">
        <v>20</v>
      </c>
      <c r="C26883" s="8" t="n">
        <v>46</v>
      </c>
      <c r="D26883" s="8" t="inlineStr">
        <is>
          <t>Disneyland Park</t>
        </is>
      </c>
      <c r="E26883" s="8" t="inlineStr">
        <is>
          <t>Frontierland Playground</t>
        </is>
      </c>
      <c r="F26883" s="8" t="inlineStr">
        <is>
          <t>STANDBY</t>
        </is>
      </c>
      <c r="G26883" s="8" t="n">
        <v>0</v>
      </c>
      <c r="H26883" s="8" t="inlineStr">
        <is>
          <t>OPERATING</t>
        </is>
      </c>
    </row>
    <row r="26884">
      <c r="A26884" s="8" t="inlineStr">
        <is>
          <t>2026-08-05</t>
        </is>
      </c>
      <c r="B26884" s="8" t="n">
        <v>20</v>
      </c>
      <c r="C26884" s="8" t="n">
        <v>46</v>
      </c>
      <c r="D26884" s="8" t="inlineStr">
        <is>
          <t>Disneyland Park</t>
        </is>
      </c>
      <c r="E26884" s="8" t="inlineStr">
        <is>
          <t>Phantom Manor</t>
        </is>
      </c>
      <c r="F26884" s="8" t="inlineStr">
        <is>
          <t>STANDBY</t>
        </is>
      </c>
      <c r="G26884" s="8" t="n">
        <v>5</v>
      </c>
      <c r="H26884" s="8" t="inlineStr">
        <is>
          <t>OPERATING</t>
        </is>
      </c>
    </row>
    <row r="26885">
      <c r="A26885" s="8" t="inlineStr">
        <is>
          <t>2026-08-05</t>
        </is>
      </c>
      <c r="B26885" s="8" t="n">
        <v>20</v>
      </c>
      <c r="C26885" s="8" t="n">
        <v>46</v>
      </c>
      <c r="D26885" s="8" t="inlineStr">
        <is>
          <t>Disneyland Park</t>
        </is>
      </c>
      <c r="E26885" s="8" t="inlineStr">
        <is>
          <t>River Rogue Keelboats</t>
        </is>
      </c>
      <c r="F26885" s="8" t="inlineStr">
        <is>
          <t>STANDBY</t>
        </is>
      </c>
      <c r="G26885" s="8" t="n">
        <v>0</v>
      </c>
      <c r="H26885" s="8" t="inlineStr">
        <is>
          <t>CLOSED</t>
        </is>
      </c>
    </row>
    <row r="26886">
      <c r="A26886" s="8" t="inlineStr">
        <is>
          <t>2026-08-05</t>
        </is>
      </c>
      <c r="B26886" s="8" t="n">
        <v>20</v>
      </c>
      <c r="C26886" s="8" t="n">
        <v>46</v>
      </c>
      <c r="D26886" s="8" t="inlineStr">
        <is>
          <t>Disneyland Park</t>
        </is>
      </c>
      <c r="E26886" s="8" t="inlineStr">
        <is>
          <t>Rustler Roundup Shootin' Gallery</t>
        </is>
      </c>
      <c r="F26886" s="8" t="inlineStr">
        <is>
          <t>STANDBY</t>
        </is>
      </c>
      <c r="G26886" s="8" t="n">
        <v>0</v>
      </c>
      <c r="H26886" s="8" t="inlineStr">
        <is>
          <t>OPERATING</t>
        </is>
      </c>
    </row>
    <row r="26887">
      <c r="A26887" s="8" t="inlineStr">
        <is>
          <t>2026-08-05</t>
        </is>
      </c>
      <c r="B26887" s="8" t="n">
        <v>20</v>
      </c>
      <c r="C26887" s="8" t="n">
        <v>46</v>
      </c>
      <c r="D26887" s="8" t="inlineStr">
        <is>
          <t>Disneyland Park</t>
        </is>
      </c>
      <c r="E26887" s="8" t="inlineStr">
        <is>
          <t>Thunder Mesa Riverboat Landing</t>
        </is>
      </c>
      <c r="F26887" s="8" t="inlineStr">
        <is>
          <t>STANDBY</t>
        </is>
      </c>
      <c r="G26887" s="8" t="n">
        <v>0</v>
      </c>
      <c r="H26887" s="8" t="inlineStr">
        <is>
          <t>CLOSED</t>
        </is>
      </c>
    </row>
    <row r="26888">
      <c r="A26888" s="8" t="inlineStr">
        <is>
          <t>2026-08-05</t>
        </is>
      </c>
      <c r="B26888" s="8" t="n">
        <v>20</v>
      </c>
      <c r="C26888" s="8" t="n">
        <v>46</v>
      </c>
      <c r="D26888" s="8" t="inlineStr">
        <is>
          <t>Disneyland Park</t>
        </is>
      </c>
      <c r="E26888" s="8" t="inlineStr">
        <is>
          <t>Disneyland Railroad Main Street Station</t>
        </is>
      </c>
      <c r="F26888" s="8" t="inlineStr">
        <is>
          <t>STANDBY</t>
        </is>
      </c>
      <c r="G26888" s="8" t="n">
        <v>0</v>
      </c>
      <c r="H26888" s="8" t="inlineStr">
        <is>
          <t>CLOSED</t>
        </is>
      </c>
    </row>
    <row r="26889">
      <c r="A26889" s="8" t="inlineStr">
        <is>
          <t>2026-08-05</t>
        </is>
      </c>
      <c r="B26889" s="8" t="n">
        <v>20</v>
      </c>
      <c r="C26889" s="8" t="n">
        <v>46</v>
      </c>
      <c r="D26889" s="8" t="inlineStr">
        <is>
          <t>Disneyland Park</t>
        </is>
      </c>
      <c r="E26889" s="8" t="inlineStr">
        <is>
          <t>Main Street Vehicles</t>
        </is>
      </c>
      <c r="F26889" s="8" t="inlineStr">
        <is>
          <t>STANDBY</t>
        </is>
      </c>
      <c r="G26889" s="8" t="n">
        <v>0</v>
      </c>
      <c r="H26889" s="8" t="inlineStr">
        <is>
          <t>CLOSED</t>
        </is>
      </c>
    </row>
    <row r="26890">
      <c r="A26890" s="8" t="inlineStr">
        <is>
          <t>2026-08-05</t>
        </is>
      </c>
      <c r="B26890" s="8" t="n">
        <v>20</v>
      </c>
      <c r="C26890" s="8" t="n">
        <v>46</v>
      </c>
      <c r="D26890" s="8" t="inlineStr">
        <is>
          <t>Disney Adventure World</t>
        </is>
      </c>
      <c r="E26890" s="8" t="inlineStr">
        <is>
          <t>Avengers Assemble: Flight Force</t>
        </is>
      </c>
      <c r="F26890" s="8" t="inlineStr">
        <is>
          <t>STANDBY</t>
        </is>
      </c>
      <c r="G26890" s="8" t="n">
        <v>10</v>
      </c>
      <c r="H26890" s="8" t="inlineStr">
        <is>
          <t>OPERATING</t>
        </is>
      </c>
    </row>
    <row r="26891">
      <c r="A26891" s="8" t="inlineStr">
        <is>
          <t>2026-08-05</t>
        </is>
      </c>
      <c r="B26891" s="8" t="n">
        <v>20</v>
      </c>
      <c r="C26891" s="8" t="n">
        <v>46</v>
      </c>
      <c r="D26891" s="8" t="inlineStr">
        <is>
          <t>Disney Adventure World</t>
        </is>
      </c>
      <c r="E26891" s="8" t="inlineStr">
        <is>
          <t>Avengers Assemble: Flight Force Single Rider</t>
        </is>
      </c>
      <c r="F26891" s="8" t="inlineStr">
        <is>
          <t>STANDBY</t>
        </is>
      </c>
      <c r="G26891" s="8" t="n">
        <v>5</v>
      </c>
      <c r="H26891" s="8" t="inlineStr">
        <is>
          <t>OPERATING</t>
        </is>
      </c>
    </row>
    <row r="26892">
      <c r="A26892" s="8" t="inlineStr">
        <is>
          <t>2026-08-05</t>
        </is>
      </c>
      <c r="B26892" s="8" t="n">
        <v>20</v>
      </c>
      <c r="C26892" s="8" t="n">
        <v>46</v>
      </c>
      <c r="D26892" s="8" t="inlineStr">
        <is>
          <t>Disney Adventure World</t>
        </is>
      </c>
      <c r="E26892" s="8" t="inlineStr">
        <is>
          <t>Spider-Man W.E.B. Adventure</t>
        </is>
      </c>
      <c r="F26892" s="8" t="inlineStr">
        <is>
          <t>STANDBY</t>
        </is>
      </c>
      <c r="G26892" s="8" t="n">
        <v>35</v>
      </c>
      <c r="H26892" s="8" t="inlineStr">
        <is>
          <t>OPERATING</t>
        </is>
      </c>
    </row>
    <row r="26893">
      <c r="A26893" s="8" t="inlineStr">
        <is>
          <t>2026-08-05</t>
        </is>
      </c>
      <c r="B26893" s="8" t="n">
        <v>20</v>
      </c>
      <c r="C26893" s="8" t="n">
        <v>46</v>
      </c>
      <c r="D26893" s="8" t="inlineStr">
        <is>
          <t>Disney Adventure World</t>
        </is>
      </c>
      <c r="E26893" s="8" t="inlineStr">
        <is>
          <t>Spider-Man W.E.B. Adventure Single Rider</t>
        </is>
      </c>
      <c r="F26893" s="8" t="inlineStr">
        <is>
          <t>STANDBY</t>
        </is>
      </c>
      <c r="G26893" s="8" t="n">
        <v>15</v>
      </c>
      <c r="H26893" s="8" t="inlineStr">
        <is>
          <t>OPERATING</t>
        </is>
      </c>
    </row>
    <row r="26894">
      <c r="A26894" s="8" t="inlineStr">
        <is>
          <t>2026-08-05</t>
        </is>
      </c>
      <c r="B26894" s="8" t="n">
        <v>20</v>
      </c>
      <c r="C26894" s="8" t="n">
        <v>46</v>
      </c>
      <c r="D26894" s="8" t="inlineStr">
        <is>
          <t>Disney Adventure World</t>
        </is>
      </c>
      <c r="E26894" s="8" t="inlineStr">
        <is>
          <t>The Twilight Zone Tower of Terror</t>
        </is>
      </c>
      <c r="F26894" s="8" t="inlineStr">
        <is>
          <t>STANDBY</t>
        </is>
      </c>
      <c r="G26894" s="8" t="n">
        <v>15</v>
      </c>
      <c r="H26894" s="8" t="inlineStr">
        <is>
          <t>OPERATING</t>
        </is>
      </c>
    </row>
    <row r="26895">
      <c r="A26895" s="8" t="inlineStr">
        <is>
          <t>2026-08-05</t>
        </is>
      </c>
      <c r="B26895" s="8" t="n">
        <v>20</v>
      </c>
      <c r="C26895" s="8" t="n">
        <v>46</v>
      </c>
      <c r="D26895" s="8" t="inlineStr">
        <is>
          <t>Disney Adventure World</t>
        </is>
      </c>
      <c r="E26895" s="8" t="inlineStr">
        <is>
          <t>Cars Quatre Roues Rallye</t>
        </is>
      </c>
      <c r="F26895" s="8" t="inlineStr">
        <is>
          <t>STANDBY</t>
        </is>
      </c>
      <c r="G26895" s="8" t="n">
        <v>5</v>
      </c>
      <c r="H26895" s="8" t="inlineStr">
        <is>
          <t>OPERATING</t>
        </is>
      </c>
    </row>
    <row r="26896">
      <c r="A26896" s="8" t="inlineStr">
        <is>
          <t>2026-08-05</t>
        </is>
      </c>
      <c r="B26896" s="8" t="n">
        <v>20</v>
      </c>
      <c r="C26896" s="8" t="n">
        <v>46</v>
      </c>
      <c r="D26896" s="8" t="inlineStr">
        <is>
          <t>Disney Adventure World</t>
        </is>
      </c>
      <c r="E26896" s="8" t="inlineStr">
        <is>
          <t>Cars ROAD TRIP</t>
        </is>
      </c>
      <c r="F26896" s="8" t="inlineStr">
        <is>
          <t>STANDBY</t>
        </is>
      </c>
      <c r="G26896" s="8" t="n">
        <v>5</v>
      </c>
      <c r="H26896" s="8" t="inlineStr">
        <is>
          <t>OPERATING</t>
        </is>
      </c>
    </row>
    <row r="26897">
      <c r="A26897" s="8" t="inlineStr">
        <is>
          <t>2026-08-05</t>
        </is>
      </c>
      <c r="B26897" s="8" t="n">
        <v>20</v>
      </c>
      <c r="C26897" s="8" t="n">
        <v>46</v>
      </c>
      <c r="D26897" s="8" t="inlineStr">
        <is>
          <t>Disney Adventure World</t>
        </is>
      </c>
      <c r="E26897" s="8" t="inlineStr">
        <is>
          <t>Crush's Coaster</t>
        </is>
      </c>
      <c r="F26897" s="8" t="inlineStr">
        <is>
          <t>STANDBY</t>
        </is>
      </c>
      <c r="G26897" s="8" t="n">
        <v>70</v>
      </c>
      <c r="H26897" s="8" t="inlineStr">
        <is>
          <t>OPERATING</t>
        </is>
      </c>
    </row>
    <row r="26898">
      <c r="A26898" s="8" t="inlineStr">
        <is>
          <t>2026-08-05</t>
        </is>
      </c>
      <c r="B26898" s="8" t="n">
        <v>20</v>
      </c>
      <c r="C26898" s="8" t="n">
        <v>46</v>
      </c>
      <c r="D26898" s="8" t="inlineStr">
        <is>
          <t>Disney Adventure World</t>
        </is>
      </c>
      <c r="E26898" s="8" t="inlineStr">
        <is>
          <t>Crush's Coaster Single Rider</t>
        </is>
      </c>
      <c r="F26898" s="8" t="inlineStr">
        <is>
          <t>STANDBY</t>
        </is>
      </c>
      <c r="G26898" s="8" t="n">
        <v>60</v>
      </c>
      <c r="H26898" s="8" t="inlineStr">
        <is>
          <t>OPERATING</t>
        </is>
      </c>
    </row>
    <row r="26899">
      <c r="A26899" s="8" t="inlineStr">
        <is>
          <t>2026-08-05</t>
        </is>
      </c>
      <c r="B26899" s="8" t="n">
        <v>20</v>
      </c>
      <c r="C26899" s="8" t="n">
        <v>46</v>
      </c>
      <c r="D26899" s="8" t="inlineStr">
        <is>
          <t>Disney Adventure World</t>
        </is>
      </c>
      <c r="E26899" s="8" t="inlineStr">
        <is>
          <t>Les Tapis Volants - Flying Carpets Over Agrabah®</t>
        </is>
      </c>
      <c r="F26899" s="8" t="inlineStr">
        <is>
          <t>STANDBY</t>
        </is>
      </c>
      <c r="G26899" s="8" t="n">
        <v>10</v>
      </c>
      <c r="H26899" s="8" t="inlineStr">
        <is>
          <t>OPERATING</t>
        </is>
      </c>
    </row>
    <row r="26900">
      <c r="A26900" s="8" t="inlineStr">
        <is>
          <t>2026-08-05</t>
        </is>
      </c>
      <c r="B26900" s="8" t="n">
        <v>20</v>
      </c>
      <c r="C26900" s="8" t="n">
        <v>46</v>
      </c>
      <c r="D26900" s="8" t="inlineStr">
        <is>
          <t>Disney Adventure World</t>
        </is>
      </c>
      <c r="E26900" s="8" t="inlineStr">
        <is>
          <t>Ratatouille : L’Aventure Totalement Toquée de Rémy​</t>
        </is>
      </c>
      <c r="F26900" s="8" t="inlineStr">
        <is>
          <t>STANDBY</t>
        </is>
      </c>
      <c r="G26900" s="8" t="n">
        <v>45</v>
      </c>
      <c r="H26900" s="8" t="inlineStr">
        <is>
          <t>OPERATING</t>
        </is>
      </c>
    </row>
    <row r="26901">
      <c r="A26901" s="8" t="inlineStr">
        <is>
          <t>2026-08-05</t>
        </is>
      </c>
      <c r="B26901" s="8" t="n">
        <v>20</v>
      </c>
      <c r="C26901" s="8" t="n">
        <v>46</v>
      </c>
      <c r="D26901" s="8" t="inlineStr">
        <is>
          <t>Disney Adventure World</t>
        </is>
      </c>
      <c r="E26901" s="8" t="inlineStr">
        <is>
          <t>Ratatouille: The Adventure Single Rider</t>
        </is>
      </c>
      <c r="F26901" s="8" t="inlineStr">
        <is>
          <t>STANDBY</t>
        </is>
      </c>
      <c r="G26901" s="8" t="n">
        <v>5</v>
      </c>
      <c r="H26901" s="8" t="inlineStr">
        <is>
          <t>OPERATING</t>
        </is>
      </c>
    </row>
    <row r="26902">
      <c r="A26902" s="8" t="inlineStr">
        <is>
          <t>2026-08-05</t>
        </is>
      </c>
      <c r="B26902" s="8" t="n">
        <v>20</v>
      </c>
      <c r="C26902" s="8" t="n">
        <v>46</v>
      </c>
      <c r="D26902" s="8" t="inlineStr">
        <is>
          <t>Disney Adventure World</t>
        </is>
      </c>
      <c r="E26902" s="8" t="inlineStr">
        <is>
          <t>RC Racer</t>
        </is>
      </c>
      <c r="F26902" s="8" t="inlineStr">
        <is>
          <t>STANDBY</t>
        </is>
      </c>
      <c r="G26902" s="8" t="n">
        <v>35</v>
      </c>
      <c r="H26902" s="8" t="inlineStr">
        <is>
          <t>OPERATING</t>
        </is>
      </c>
    </row>
    <row r="26903">
      <c r="A26903" s="8" t="inlineStr">
        <is>
          <t>2026-08-05</t>
        </is>
      </c>
      <c r="B26903" s="8" t="n">
        <v>20</v>
      </c>
      <c r="C26903" s="8" t="n">
        <v>46</v>
      </c>
      <c r="D26903" s="8" t="inlineStr">
        <is>
          <t>Disney Adventure World</t>
        </is>
      </c>
      <c r="E26903" s="8" t="inlineStr">
        <is>
          <t>RC Racer Single Rider</t>
        </is>
      </c>
      <c r="F26903" s="8" t="inlineStr">
        <is>
          <t>STANDBY</t>
        </is>
      </c>
      <c r="G26903" s="8" t="n">
        <v>20</v>
      </c>
      <c r="H26903" s="8" t="inlineStr">
        <is>
          <t>OPERATING</t>
        </is>
      </c>
    </row>
    <row r="26904">
      <c r="A26904" s="8" t="inlineStr">
        <is>
          <t>2026-08-05</t>
        </is>
      </c>
      <c r="B26904" s="8" t="n">
        <v>20</v>
      </c>
      <c r="C26904" s="8" t="n">
        <v>46</v>
      </c>
      <c r="D26904" s="8" t="inlineStr">
        <is>
          <t>Disney Adventure World</t>
        </is>
      </c>
      <c r="E26904" s="8" t="inlineStr">
        <is>
          <t>Slinky® Dog Zigzag Spin</t>
        </is>
      </c>
      <c r="F26904" s="8" t="inlineStr">
        <is>
          <t>STANDBY</t>
        </is>
      </c>
      <c r="G26904" s="8" t="n">
        <v>5</v>
      </c>
      <c r="H26904" s="8" t="inlineStr">
        <is>
          <t>OPERATING</t>
        </is>
      </c>
    </row>
    <row r="26905">
      <c r="A26905" s="8" t="inlineStr">
        <is>
          <t>2026-08-05</t>
        </is>
      </c>
      <c r="B26905" s="8" t="n">
        <v>20</v>
      </c>
      <c r="C26905" s="8" t="n">
        <v>46</v>
      </c>
      <c r="D26905" s="8" t="inlineStr">
        <is>
          <t>Disney Adventure World</t>
        </is>
      </c>
      <c r="E26905" s="8" t="inlineStr">
        <is>
          <t>Toy Soldiers Parachute Drop</t>
        </is>
      </c>
      <c r="F26905" s="8" t="inlineStr">
        <is>
          <t>STANDBY</t>
        </is>
      </c>
      <c r="G26905" s="8" t="n">
        <v>40</v>
      </c>
      <c r="H26905" s="8" t="inlineStr">
        <is>
          <t>OPERATING</t>
        </is>
      </c>
    </row>
    <row r="26906">
      <c r="A26906" s="8" t="inlineStr">
        <is>
          <t>2026-08-05</t>
        </is>
      </c>
      <c r="B26906" s="8" t="n">
        <v>20</v>
      </c>
      <c r="C26906" s="8" t="n">
        <v>46</v>
      </c>
      <c r="D26906" s="8" t="inlineStr">
        <is>
          <t>Disney Adventure World</t>
        </is>
      </c>
      <c r="E26906" s="8" t="inlineStr">
        <is>
          <t>Toy Soldiers Parachute Drop Single Rider</t>
        </is>
      </c>
      <c r="F26906" s="8" t="inlineStr">
        <is>
          <t>STANDBY</t>
        </is>
      </c>
      <c r="G26906" s="8" t="n">
        <v>25</v>
      </c>
      <c r="H26906" s="8" t="inlineStr">
        <is>
          <t>OPERATING</t>
        </is>
      </c>
    </row>
    <row r="26907">
      <c r="A26907" s="8" t="inlineStr">
        <is>
          <t>2026-08-05</t>
        </is>
      </c>
      <c r="B26907" s="8" t="n">
        <v>20</v>
      </c>
      <c r="C26907" s="8" t="n">
        <v>46</v>
      </c>
      <c r="D26907" s="8" t="inlineStr">
        <is>
          <t>Disney Adventure World</t>
        </is>
      </c>
      <c r="E26907" s="8" t="inlineStr">
        <is>
          <t>Entry to World of Frozen</t>
        </is>
      </c>
      <c r="F26907" s="8" t="inlineStr">
        <is>
          <t>STANDBY</t>
        </is>
      </c>
      <c r="G26907" s="8" t="n">
        <v>0</v>
      </c>
      <c r="H26907" s="8" t="inlineStr">
        <is>
          <t>OPERATING</t>
        </is>
      </c>
    </row>
    <row r="26908">
      <c r="A26908" s="8" t="inlineStr">
        <is>
          <t>2026-08-05</t>
        </is>
      </c>
      <c r="B26908" s="8" t="n">
        <v>20</v>
      </c>
      <c r="C26908" s="8" t="n">
        <v>46</v>
      </c>
      <c r="D26908" s="8" t="inlineStr">
        <is>
          <t>Disney Adventure World</t>
        </is>
      </c>
      <c r="E26908" s="8" t="inlineStr">
        <is>
          <t>Frozen Ever After</t>
        </is>
      </c>
      <c r="F26908" s="8" t="inlineStr">
        <is>
          <t>STANDBY</t>
        </is>
      </c>
      <c r="G26908" s="8" t="n">
        <v>55</v>
      </c>
      <c r="H26908" s="8" t="inlineStr">
        <is>
          <t>OPERATING</t>
        </is>
      </c>
    </row>
    <row r="26909">
      <c r="A26909" s="8" t="inlineStr">
        <is>
          <t>2026-08-05</t>
        </is>
      </c>
      <c r="B26909" s="8" t="n">
        <v>20</v>
      </c>
      <c r="C26909" s="8" t="n">
        <v>46</v>
      </c>
      <c r="D26909" s="8" t="inlineStr">
        <is>
          <t>Disney Adventure World</t>
        </is>
      </c>
      <c r="E26909" s="8" t="inlineStr">
        <is>
          <t>Raiponce Tangled Spin</t>
        </is>
      </c>
      <c r="F26909" s="8" t="inlineStr">
        <is>
          <t>STANDBY</t>
        </is>
      </c>
      <c r="G26909" s="8" t="n">
        <v>5</v>
      </c>
      <c r="H26909" s="8" t="inlineStr">
        <is>
          <t>OPERATING</t>
        </is>
      </c>
    </row>
    <row r="26910">
      <c r="A26910" s="8" t="inlineStr">
        <is>
          <t>2026-08-05</t>
        </is>
      </c>
      <c r="B26910" s="8" t="n">
        <v>21</v>
      </c>
      <c r="C26910" s="8" t="n">
        <v>1</v>
      </c>
      <c r="D26910" s="8" t="inlineStr">
        <is>
          <t>Disneyland Park</t>
        </is>
      </c>
      <c r="E26910" s="8" t="inlineStr">
        <is>
          <t>Adventure Isle</t>
        </is>
      </c>
      <c r="F26910" s="8" t="inlineStr">
        <is>
          <t>STANDBY</t>
        </is>
      </c>
      <c r="G26910" s="8" t="n">
        <v>0</v>
      </c>
      <c r="H26910" s="8" t="inlineStr">
        <is>
          <t>OPERATING</t>
        </is>
      </c>
    </row>
    <row r="26911">
      <c r="A26911" s="8" t="inlineStr">
        <is>
          <t>2026-08-05</t>
        </is>
      </c>
      <c r="B26911" s="8" t="n">
        <v>21</v>
      </c>
      <c r="C26911" s="8" t="n">
        <v>1</v>
      </c>
      <c r="D26911" s="8" t="inlineStr">
        <is>
          <t>Disneyland Park</t>
        </is>
      </c>
      <c r="E26911" s="8" t="inlineStr">
        <is>
          <t>Indiana Jones and the Temple of Peril Single Rider</t>
        </is>
      </c>
      <c r="F26911" s="8" t="inlineStr">
        <is>
          <t>STANDBY</t>
        </is>
      </c>
      <c r="G26911" s="8" t="n">
        <v>5</v>
      </c>
      <c r="H26911" s="8" t="inlineStr">
        <is>
          <t>OPERATING</t>
        </is>
      </c>
    </row>
    <row r="26912">
      <c r="A26912" s="8" t="inlineStr">
        <is>
          <t>2026-08-05</t>
        </is>
      </c>
      <c r="B26912" s="8" t="n">
        <v>21</v>
      </c>
      <c r="C26912" s="8" t="n">
        <v>1</v>
      </c>
      <c r="D26912" s="8" t="inlineStr">
        <is>
          <t>Disneyland Park</t>
        </is>
      </c>
      <c r="E26912" s="8" t="inlineStr">
        <is>
          <t>Indiana Jones™ and the Temple of Peril</t>
        </is>
      </c>
      <c r="F26912" s="8" t="inlineStr">
        <is>
          <t>STANDBY</t>
        </is>
      </c>
      <c r="G26912" s="8" t="n">
        <v>10</v>
      </c>
      <c r="H26912" s="8" t="inlineStr">
        <is>
          <t>OPERATING</t>
        </is>
      </c>
    </row>
    <row r="26913">
      <c r="A26913" s="8" t="inlineStr">
        <is>
          <t>2026-08-05</t>
        </is>
      </c>
      <c r="B26913" s="8" t="n">
        <v>21</v>
      </c>
      <c r="C26913" s="8" t="n">
        <v>1</v>
      </c>
      <c r="D26913" s="8" t="inlineStr">
        <is>
          <t>Disneyland Park</t>
        </is>
      </c>
      <c r="E26913" s="8" t="inlineStr">
        <is>
          <t>La Cabane des Robinson</t>
        </is>
      </c>
      <c r="F26913" s="8" t="inlineStr">
        <is>
          <t>STANDBY</t>
        </is>
      </c>
      <c r="G26913" s="8" t="n">
        <v>5</v>
      </c>
      <c r="H26913" s="8" t="inlineStr">
        <is>
          <t>OPERATING</t>
        </is>
      </c>
    </row>
    <row r="26914">
      <c r="A26914" s="8" t="inlineStr">
        <is>
          <t>2026-08-05</t>
        </is>
      </c>
      <c r="B26914" s="8" t="n">
        <v>21</v>
      </c>
      <c r="C26914" s="8" t="n">
        <v>1</v>
      </c>
      <c r="D26914" s="8" t="inlineStr">
        <is>
          <t>Disneyland Park</t>
        </is>
      </c>
      <c r="E26914" s="8" t="inlineStr">
        <is>
          <t>Le Passage Enchanté d'Aladdin</t>
        </is>
      </c>
      <c r="F26914" s="8" t="inlineStr">
        <is>
          <t>STANDBY</t>
        </is>
      </c>
      <c r="G26914" s="8" t="n">
        <v>0</v>
      </c>
      <c r="H26914" s="8" t="inlineStr">
        <is>
          <t>OPERATING</t>
        </is>
      </c>
    </row>
    <row r="26915">
      <c r="A26915" s="8" t="inlineStr">
        <is>
          <t>2026-08-05</t>
        </is>
      </c>
      <c r="B26915" s="8" t="n">
        <v>21</v>
      </c>
      <c r="C26915" s="8" t="n">
        <v>1</v>
      </c>
      <c r="D26915" s="8" t="inlineStr">
        <is>
          <t>Disneyland Park</t>
        </is>
      </c>
      <c r="E26915" s="8" t="inlineStr">
        <is>
          <t>Pirate Galleon</t>
        </is>
      </c>
      <c r="F26915" s="8" t="inlineStr">
        <is>
          <t>STANDBY</t>
        </is>
      </c>
      <c r="G26915" s="8" t="n">
        <v>0</v>
      </c>
      <c r="H26915" s="8" t="inlineStr">
        <is>
          <t>CLOSED</t>
        </is>
      </c>
    </row>
    <row r="26916">
      <c r="A26916" s="8" t="inlineStr">
        <is>
          <t>2026-08-05</t>
        </is>
      </c>
      <c r="B26916" s="8" t="n">
        <v>21</v>
      </c>
      <c r="C26916" s="8" t="n">
        <v>1</v>
      </c>
      <c r="D26916" s="8" t="inlineStr">
        <is>
          <t>Disneyland Park</t>
        </is>
      </c>
      <c r="E26916" s="8" t="inlineStr">
        <is>
          <t>Pirates of the Caribbean</t>
        </is>
      </c>
      <c r="F26916" s="8" t="inlineStr">
        <is>
          <t>STANDBY</t>
        </is>
      </c>
      <c r="G26916" s="8" t="n">
        <v>15</v>
      </c>
      <c r="H26916" s="8" t="inlineStr">
        <is>
          <t>OPERATING</t>
        </is>
      </c>
    </row>
    <row r="26917">
      <c r="A26917" s="8" t="inlineStr">
        <is>
          <t>2026-08-05</t>
        </is>
      </c>
      <c r="B26917" s="8" t="n">
        <v>21</v>
      </c>
      <c r="C26917" s="8" t="n">
        <v>1</v>
      </c>
      <c r="D26917" s="8" t="inlineStr">
        <is>
          <t>Disneyland Park</t>
        </is>
      </c>
      <c r="E26917" s="8" t="inlineStr">
        <is>
          <t>Pirates' Beach</t>
        </is>
      </c>
      <c r="F26917" s="8" t="inlineStr">
        <is>
          <t>STANDBY</t>
        </is>
      </c>
      <c r="G26917" s="8" t="n">
        <v>0</v>
      </c>
      <c r="H26917" s="8" t="inlineStr">
        <is>
          <t>OPERATING</t>
        </is>
      </c>
    </row>
    <row r="26918">
      <c r="A26918" s="8" t="inlineStr">
        <is>
          <t>2026-08-05</t>
        </is>
      </c>
      <c r="B26918" s="8" t="n">
        <v>21</v>
      </c>
      <c r="C26918" s="8" t="n">
        <v>1</v>
      </c>
      <c r="D26918" s="8" t="inlineStr">
        <is>
          <t>Disneyland Park</t>
        </is>
      </c>
      <c r="E26918" s="8" t="inlineStr">
        <is>
          <t>Autopia, presented by Avis</t>
        </is>
      </c>
      <c r="F26918" s="8" t="inlineStr">
        <is>
          <t>STANDBY</t>
        </is>
      </c>
      <c r="G26918" s="8" t="n">
        <v>40</v>
      </c>
      <c r="H26918" s="8" t="inlineStr">
        <is>
          <t>OPERATING</t>
        </is>
      </c>
    </row>
    <row r="26919">
      <c r="A26919" s="8" t="inlineStr">
        <is>
          <t>2026-08-05</t>
        </is>
      </c>
      <c r="B26919" s="8" t="n">
        <v>21</v>
      </c>
      <c r="C26919" s="8" t="n">
        <v>1</v>
      </c>
      <c r="D26919" s="8" t="inlineStr">
        <is>
          <t>Disneyland Park</t>
        </is>
      </c>
      <c r="E26919" s="8" t="inlineStr">
        <is>
          <t>Buzz Lightyear Laser Blast</t>
        </is>
      </c>
      <c r="F26919" s="8" t="inlineStr">
        <is>
          <t>STANDBY</t>
        </is>
      </c>
      <c r="G26919" s="8" t="n">
        <v>35</v>
      </c>
      <c r="H26919" s="8" t="inlineStr">
        <is>
          <t>OPERATING</t>
        </is>
      </c>
    </row>
    <row r="26920">
      <c r="A26920" s="8" t="inlineStr">
        <is>
          <t>2026-08-05</t>
        </is>
      </c>
      <c r="B26920" s="8" t="n">
        <v>21</v>
      </c>
      <c r="C26920" s="8" t="n">
        <v>1</v>
      </c>
      <c r="D26920" s="8" t="inlineStr">
        <is>
          <t>Disneyland Park</t>
        </is>
      </c>
      <c r="E26920" s="8" t="inlineStr">
        <is>
          <t>Disneyland Railroad Discoveryland Station</t>
        </is>
      </c>
      <c r="F26920" s="8" t="inlineStr">
        <is>
          <t>STANDBY</t>
        </is>
      </c>
      <c r="G26920" s="8" t="n">
        <v>0</v>
      </c>
      <c r="H26920" s="8" t="inlineStr">
        <is>
          <t>CLOSED</t>
        </is>
      </c>
    </row>
    <row r="26921">
      <c r="A26921" s="8" t="inlineStr">
        <is>
          <t>2026-08-05</t>
        </is>
      </c>
      <c r="B26921" s="8" t="n">
        <v>21</v>
      </c>
      <c r="C26921" s="8" t="n">
        <v>1</v>
      </c>
      <c r="D26921" s="8" t="inlineStr">
        <is>
          <t>Disneyland Park</t>
        </is>
      </c>
      <c r="E26921" s="8" t="inlineStr">
        <is>
          <t>Les Mystères du Nautilus</t>
        </is>
      </c>
      <c r="F26921" s="8" t="inlineStr">
        <is>
          <t>STANDBY</t>
        </is>
      </c>
      <c r="G26921" s="8" t="n">
        <v>5</v>
      </c>
      <c r="H26921" s="8" t="inlineStr">
        <is>
          <t>OPERATING</t>
        </is>
      </c>
    </row>
    <row r="26922">
      <c r="A26922" s="8" t="inlineStr">
        <is>
          <t>2026-08-05</t>
        </is>
      </c>
      <c r="B26922" s="8" t="n">
        <v>21</v>
      </c>
      <c r="C26922" s="8" t="n">
        <v>1</v>
      </c>
      <c r="D26922" s="8" t="inlineStr">
        <is>
          <t>Disneyland Park</t>
        </is>
      </c>
      <c r="E26922" s="8" t="inlineStr">
        <is>
          <t>Mickey’s PhilharMagic</t>
        </is>
      </c>
      <c r="F26922" s="8" t="inlineStr">
        <is>
          <t>STANDBY</t>
        </is>
      </c>
      <c r="G26922" s="8" t="n">
        <v>0</v>
      </c>
      <c r="H26922" s="8" t="inlineStr">
        <is>
          <t>CLOSED</t>
        </is>
      </c>
    </row>
    <row r="26923">
      <c r="A26923" s="8" t="inlineStr">
        <is>
          <t>2026-08-05</t>
        </is>
      </c>
      <c r="B26923" s="8" t="n">
        <v>21</v>
      </c>
      <c r="C26923" s="8" t="n">
        <v>1</v>
      </c>
      <c r="D26923" s="8" t="inlineStr">
        <is>
          <t>Disneyland Park</t>
        </is>
      </c>
      <c r="E26923" s="8" t="inlineStr">
        <is>
          <t>Orbitron®</t>
        </is>
      </c>
      <c r="F26923" s="8" t="inlineStr">
        <is>
          <t>STANDBY</t>
        </is>
      </c>
      <c r="G26923" s="8" t="n">
        <v>45</v>
      </c>
      <c r="H26923" s="8" t="inlineStr">
        <is>
          <t>OPERATING</t>
        </is>
      </c>
    </row>
    <row r="26924">
      <c r="A26924" s="8" t="inlineStr">
        <is>
          <t>2026-08-05</t>
        </is>
      </c>
      <c r="B26924" s="8" t="n">
        <v>21</v>
      </c>
      <c r="C26924" s="8" t="n">
        <v>1</v>
      </c>
      <c r="D26924" s="8" t="inlineStr">
        <is>
          <t>Disneyland Park</t>
        </is>
      </c>
      <c r="E26924" s="8" t="inlineStr">
        <is>
          <t>Star Tours: The Adventures Continue*</t>
        </is>
      </c>
      <c r="F26924" s="8" t="inlineStr">
        <is>
          <t>STANDBY</t>
        </is>
      </c>
      <c r="G26924" s="8" t="n">
        <v>5</v>
      </c>
      <c r="H26924" s="8" t="inlineStr">
        <is>
          <t>OPERATING</t>
        </is>
      </c>
    </row>
    <row r="26925">
      <c r="A26925" s="8" t="inlineStr">
        <is>
          <t>2026-08-05</t>
        </is>
      </c>
      <c r="B26925" s="8" t="n">
        <v>21</v>
      </c>
      <c r="C26925" s="8" t="n">
        <v>1</v>
      </c>
      <c r="D26925" s="8" t="inlineStr">
        <is>
          <t>Disneyland Park</t>
        </is>
      </c>
      <c r="E26925" s="8" t="inlineStr">
        <is>
          <t>Star Wars Hyperspace Mountain</t>
        </is>
      </c>
      <c r="F26925" s="8" t="inlineStr">
        <is>
          <t>STANDBY</t>
        </is>
      </c>
      <c r="G26925" s="8" t="n">
        <v>30</v>
      </c>
      <c r="H26925" s="8" t="inlineStr">
        <is>
          <t>OPERATING</t>
        </is>
      </c>
    </row>
    <row r="26926">
      <c r="A26926" s="8" t="inlineStr">
        <is>
          <t>2026-08-05</t>
        </is>
      </c>
      <c r="B26926" s="8" t="n">
        <v>21</v>
      </c>
      <c r="C26926" s="8" t="n">
        <v>1</v>
      </c>
      <c r="D26926" s="8" t="inlineStr">
        <is>
          <t>Disneyland Park</t>
        </is>
      </c>
      <c r="E26926" s="8" t="inlineStr">
        <is>
          <t>Star Wars Hyperspace Mountain Single Rider</t>
        </is>
      </c>
      <c r="F26926" s="8" t="inlineStr">
        <is>
          <t>STANDBY</t>
        </is>
      </c>
      <c r="G26926" s="8" t="n">
        <v>0</v>
      </c>
      <c r="H26926" s="8" t="inlineStr">
        <is>
          <t>OPERATING</t>
        </is>
      </c>
    </row>
    <row r="26927">
      <c r="A26927" s="8" t="inlineStr">
        <is>
          <t>2026-08-05</t>
        </is>
      </c>
      <c r="B26927" s="8" t="n">
        <v>21</v>
      </c>
      <c r="C26927" s="8" t="n">
        <v>1</v>
      </c>
      <c r="D26927" s="8" t="inlineStr">
        <is>
          <t>Disneyland Park</t>
        </is>
      </c>
      <c r="E26927" s="8" t="inlineStr">
        <is>
          <t>Welcome to Starport: A Star Wars Encounter</t>
        </is>
      </c>
      <c r="F26927" s="8" t="inlineStr">
        <is>
          <t>STANDBY</t>
        </is>
      </c>
      <c r="G26927" s="8" t="n">
        <v>0</v>
      </c>
      <c r="H26927" s="8" t="inlineStr">
        <is>
          <t>CLOSED</t>
        </is>
      </c>
    </row>
    <row r="26928">
      <c r="A26928" s="8" t="inlineStr">
        <is>
          <t>2026-08-05</t>
        </is>
      </c>
      <c r="B26928" s="8" t="n">
        <v>21</v>
      </c>
      <c r="C26928" s="8" t="n">
        <v>1</v>
      </c>
      <c r="D26928" s="8" t="inlineStr">
        <is>
          <t>Disneyland Park</t>
        </is>
      </c>
      <c r="E26928" s="8" t="inlineStr">
        <is>
          <t>"it's a small world"</t>
        </is>
      </c>
      <c r="F26928" s="8" t="inlineStr">
        <is>
          <t>STANDBY</t>
        </is>
      </c>
      <c r="G26928" s="8" t="n">
        <v>5</v>
      </c>
      <c r="H26928" s="8" t="inlineStr">
        <is>
          <t>OPERATING</t>
        </is>
      </c>
    </row>
    <row r="26929">
      <c r="A26929" s="8" t="inlineStr">
        <is>
          <t>2026-08-05</t>
        </is>
      </c>
      <c r="B26929" s="8" t="n">
        <v>21</v>
      </c>
      <c r="C26929" s="8" t="n">
        <v>1</v>
      </c>
      <c r="D26929" s="8" t="inlineStr">
        <is>
          <t>Disneyland Park</t>
        </is>
      </c>
      <c r="E26929" s="8" t="inlineStr">
        <is>
          <t>Alice's Curious Labyrinth</t>
        </is>
      </c>
      <c r="F26929" s="8" t="inlineStr">
        <is>
          <t>STANDBY</t>
        </is>
      </c>
      <c r="G26929" s="8" t="n">
        <v>0</v>
      </c>
      <c r="H26929" s="8" t="inlineStr">
        <is>
          <t>OPERATING</t>
        </is>
      </c>
    </row>
    <row r="26930">
      <c r="A26930" s="8" t="inlineStr">
        <is>
          <t>2026-08-05</t>
        </is>
      </c>
      <c r="B26930" s="8" t="n">
        <v>21</v>
      </c>
      <c r="C26930" s="8" t="n">
        <v>1</v>
      </c>
      <c r="D26930" s="8" t="inlineStr">
        <is>
          <t>Disneyland Park</t>
        </is>
      </c>
      <c r="E26930" s="8" t="inlineStr">
        <is>
          <t>Blanche-Neige et les Sept Nains®</t>
        </is>
      </c>
      <c r="F26930" s="8" t="inlineStr">
        <is>
          <t>STANDBY</t>
        </is>
      </c>
      <c r="G26930" s="8" t="n">
        <v>10</v>
      </c>
      <c r="H26930" s="8" t="inlineStr">
        <is>
          <t>OPERATING</t>
        </is>
      </c>
    </row>
    <row r="26931">
      <c r="A26931" s="8" t="inlineStr">
        <is>
          <t>2026-08-05</t>
        </is>
      </c>
      <c r="B26931" s="8" t="n">
        <v>21</v>
      </c>
      <c r="C26931" s="8" t="n">
        <v>1</v>
      </c>
      <c r="D26931" s="8" t="inlineStr">
        <is>
          <t>Disneyland Park</t>
        </is>
      </c>
      <c r="E26931" s="8" t="inlineStr">
        <is>
          <t>Casey Jr. – le Petit Train du Cirque</t>
        </is>
      </c>
      <c r="F26931" s="8" t="inlineStr">
        <is>
          <t>STANDBY</t>
        </is>
      </c>
      <c r="G26931" s="8" t="n">
        <v>0</v>
      </c>
      <c r="H26931" s="8" t="inlineStr">
        <is>
          <t>OPERATING</t>
        </is>
      </c>
    </row>
    <row r="26932">
      <c r="A26932" s="8" t="inlineStr">
        <is>
          <t>2026-08-05</t>
        </is>
      </c>
      <c r="B26932" s="8" t="n">
        <v>21</v>
      </c>
      <c r="C26932" s="8" t="n">
        <v>1</v>
      </c>
      <c r="D26932" s="8" t="inlineStr">
        <is>
          <t>Disneyland Park</t>
        </is>
      </c>
      <c r="E26932" s="8" t="inlineStr">
        <is>
          <t>Disneyland Railroad Fantasyland Station</t>
        </is>
      </c>
      <c r="F26932" s="8" t="inlineStr">
        <is>
          <t>STANDBY</t>
        </is>
      </c>
      <c r="G26932" s="8" t="n">
        <v>0</v>
      </c>
      <c r="H26932" s="8" t="inlineStr">
        <is>
          <t>CLOSED</t>
        </is>
      </c>
    </row>
    <row r="26933">
      <c r="A26933" s="8" t="inlineStr">
        <is>
          <t>2026-08-05</t>
        </is>
      </c>
      <c r="B26933" s="8" t="n">
        <v>21</v>
      </c>
      <c r="C26933" s="8" t="n">
        <v>1</v>
      </c>
      <c r="D26933" s="8" t="inlineStr">
        <is>
          <t>Disneyland Park</t>
        </is>
      </c>
      <c r="E26933" s="8" t="inlineStr">
        <is>
          <t>Disneyland Railroad Main Street Station</t>
        </is>
      </c>
      <c r="F26933" s="8" t="inlineStr">
        <is>
          <t>STANDBY</t>
        </is>
      </c>
      <c r="G26933" s="8" t="n">
        <v>0</v>
      </c>
      <c r="H26933" s="8" t="inlineStr">
        <is>
          <t>CLOSED</t>
        </is>
      </c>
    </row>
    <row r="26934">
      <c r="A26934" s="8" t="inlineStr">
        <is>
          <t>2026-08-05</t>
        </is>
      </c>
      <c r="B26934" s="8" t="n">
        <v>21</v>
      </c>
      <c r="C26934" s="8" t="n">
        <v>1</v>
      </c>
      <c r="D26934" s="8" t="inlineStr">
        <is>
          <t>Disneyland Park</t>
        </is>
      </c>
      <c r="E26934" s="8" t="inlineStr">
        <is>
          <t>Dumbo the Flying Elephant</t>
        </is>
      </c>
      <c r="F26934" s="8" t="inlineStr">
        <is>
          <t>STANDBY</t>
        </is>
      </c>
      <c r="G26934" s="8" t="n">
        <v>35</v>
      </c>
      <c r="H26934" s="8" t="inlineStr">
        <is>
          <t>OPERATING</t>
        </is>
      </c>
    </row>
    <row r="26935">
      <c r="A26935" s="8" t="inlineStr">
        <is>
          <t>2026-08-05</t>
        </is>
      </c>
      <c r="B26935" s="8" t="n">
        <v>21</v>
      </c>
      <c r="C26935" s="8" t="n">
        <v>1</v>
      </c>
      <c r="D26935" s="8" t="inlineStr">
        <is>
          <t>Disneyland Park</t>
        </is>
      </c>
      <c r="E26935" s="8" t="inlineStr">
        <is>
          <t>La Tanière du Dragon</t>
        </is>
      </c>
      <c r="F26935" s="8" t="inlineStr">
        <is>
          <t>STANDBY</t>
        </is>
      </c>
      <c r="G26935" s="8" t="n">
        <v>0</v>
      </c>
      <c r="H26935" s="8" t="inlineStr">
        <is>
          <t>CLOSED</t>
        </is>
      </c>
    </row>
    <row r="26936">
      <c r="A26936" s="8" t="inlineStr">
        <is>
          <t>2026-08-05</t>
        </is>
      </c>
      <c r="B26936" s="8" t="n">
        <v>21</v>
      </c>
      <c r="C26936" s="8" t="n">
        <v>1</v>
      </c>
      <c r="D26936" s="8" t="inlineStr">
        <is>
          <t>Disneyland Park</t>
        </is>
      </c>
      <c r="E26936" s="8" t="inlineStr">
        <is>
          <t>Le Carrousel de Lancelot</t>
        </is>
      </c>
      <c r="F26936" s="8" t="inlineStr">
        <is>
          <t>STANDBY</t>
        </is>
      </c>
      <c r="G26936" s="8" t="n">
        <v>15</v>
      </c>
      <c r="H26936" s="8" t="inlineStr">
        <is>
          <t>OPERATING</t>
        </is>
      </c>
    </row>
    <row r="26937">
      <c r="A26937" s="8" t="inlineStr">
        <is>
          <t>2026-08-05</t>
        </is>
      </c>
      <c r="B26937" s="8" t="n">
        <v>21</v>
      </c>
      <c r="C26937" s="8" t="n">
        <v>1</v>
      </c>
      <c r="D26937" s="8" t="inlineStr">
        <is>
          <t>Disneyland Park</t>
        </is>
      </c>
      <c r="E26937" s="8" t="inlineStr">
        <is>
          <t>Le Pays des Contes de Fées, presented by Vittel</t>
        </is>
      </c>
      <c r="F26937" s="8" t="inlineStr">
        <is>
          <t>STANDBY</t>
        </is>
      </c>
      <c r="G26937" s="8" t="n">
        <v>0</v>
      </c>
      <c r="H26937" s="8" t="inlineStr">
        <is>
          <t>OPERATING</t>
        </is>
      </c>
    </row>
    <row r="26938">
      <c r="A26938" s="8" t="inlineStr">
        <is>
          <t>2026-08-05</t>
        </is>
      </c>
      <c r="B26938" s="8" t="n">
        <v>21</v>
      </c>
      <c r="C26938" s="8" t="n">
        <v>1</v>
      </c>
      <c r="D26938" s="8" t="inlineStr">
        <is>
          <t>Disneyland Park</t>
        </is>
      </c>
      <c r="E26938" s="8" t="inlineStr">
        <is>
          <t>Les Voyages de Pinocchio</t>
        </is>
      </c>
      <c r="F26938" s="8" t="inlineStr">
        <is>
          <t>STANDBY</t>
        </is>
      </c>
      <c r="G26938" s="8" t="n">
        <v>15</v>
      </c>
      <c r="H26938" s="8" t="inlineStr">
        <is>
          <t>OPERATING</t>
        </is>
      </c>
    </row>
    <row r="26939">
      <c r="A26939" s="8" t="inlineStr">
        <is>
          <t>2026-08-05</t>
        </is>
      </c>
      <c r="B26939" s="8" t="n">
        <v>21</v>
      </c>
      <c r="C26939" s="8" t="n">
        <v>1</v>
      </c>
      <c r="D26939" s="8" t="inlineStr">
        <is>
          <t>Disneyland Park</t>
        </is>
      </c>
      <c r="E26939" s="8" t="inlineStr">
        <is>
          <t>Mad Hatter's Tea Cups</t>
        </is>
      </c>
      <c r="F26939" s="8" t="inlineStr">
        <is>
          <t>STANDBY</t>
        </is>
      </c>
      <c r="G26939" s="8" t="n">
        <v>5</v>
      </c>
      <c r="H26939" s="8" t="inlineStr">
        <is>
          <t>OPERATING</t>
        </is>
      </c>
    </row>
    <row r="26940">
      <c r="A26940" s="8" t="inlineStr">
        <is>
          <t>2026-08-05</t>
        </is>
      </c>
      <c r="B26940" s="8" t="n">
        <v>21</v>
      </c>
      <c r="C26940" s="8" t="n">
        <v>1</v>
      </c>
      <c r="D26940" s="8" t="inlineStr">
        <is>
          <t>Disneyland Park</t>
        </is>
      </c>
      <c r="E26940" s="8" t="inlineStr">
        <is>
          <t>Meet Mickey Mouse</t>
        </is>
      </c>
      <c r="F26940" s="8" t="inlineStr">
        <is>
          <t>STANDBY</t>
        </is>
      </c>
      <c r="G26940" s="8" t="n">
        <v>0</v>
      </c>
      <c r="H26940" s="8" t="inlineStr">
        <is>
          <t>CLOSED</t>
        </is>
      </c>
    </row>
    <row r="26941">
      <c r="A26941" s="8" t="inlineStr">
        <is>
          <t>2026-08-05</t>
        </is>
      </c>
      <c r="B26941" s="8" t="n">
        <v>21</v>
      </c>
      <c r="C26941" s="8" t="n">
        <v>1</v>
      </c>
      <c r="D26941" s="8" t="inlineStr">
        <is>
          <t>Disneyland Park</t>
        </is>
      </c>
      <c r="E26941" s="8" t="inlineStr">
        <is>
          <t>Peter Pan's Flight</t>
        </is>
      </c>
      <c r="F26941" s="8" t="inlineStr">
        <is>
          <t>STANDBY</t>
        </is>
      </c>
      <c r="G26941" s="8" t="n">
        <v>45</v>
      </c>
      <c r="H26941" s="8" t="inlineStr">
        <is>
          <t>OPERATING</t>
        </is>
      </c>
    </row>
    <row r="26942">
      <c r="A26942" s="8" t="inlineStr">
        <is>
          <t>2026-08-05</t>
        </is>
      </c>
      <c r="B26942" s="8" t="n">
        <v>21</v>
      </c>
      <c r="C26942" s="8" t="n">
        <v>1</v>
      </c>
      <c r="D26942" s="8" t="inlineStr">
        <is>
          <t>Disneyland Park</t>
        </is>
      </c>
      <c r="E26942" s="8" t="inlineStr">
        <is>
          <t>Princess Pavilion</t>
        </is>
      </c>
      <c r="F26942" s="8" t="inlineStr">
        <is>
          <t>STANDBY</t>
        </is>
      </c>
      <c r="G26942" s="8" t="n">
        <v>0</v>
      </c>
      <c r="H26942" s="8" t="inlineStr">
        <is>
          <t>CLOSED</t>
        </is>
      </c>
    </row>
    <row r="26943">
      <c r="A26943" s="8" t="inlineStr">
        <is>
          <t>2026-08-05</t>
        </is>
      </c>
      <c r="B26943" s="8" t="n">
        <v>21</v>
      </c>
      <c r="C26943" s="8" t="n">
        <v>1</v>
      </c>
      <c r="D26943" s="8" t="inlineStr">
        <is>
          <t>Disneyland Park</t>
        </is>
      </c>
      <c r="E26943" s="8" t="inlineStr">
        <is>
          <t>Big Thunder Mountain</t>
        </is>
      </c>
      <c r="F26943" s="8" t="inlineStr">
        <is>
          <t>STANDBY</t>
        </is>
      </c>
      <c r="G26943" s="8" t="n">
        <v>50</v>
      </c>
      <c r="H26943" s="8" t="inlineStr">
        <is>
          <t>OPERATING</t>
        </is>
      </c>
    </row>
    <row r="26944">
      <c r="A26944" s="8" t="inlineStr">
        <is>
          <t>2026-08-05</t>
        </is>
      </c>
      <c r="B26944" s="8" t="n">
        <v>21</v>
      </c>
      <c r="C26944" s="8" t="n">
        <v>1</v>
      </c>
      <c r="D26944" s="8" t="inlineStr">
        <is>
          <t>Disneyland Park</t>
        </is>
      </c>
      <c r="E26944" s="8" t="inlineStr">
        <is>
          <t>Disneyland Railroad Frontierland Depot</t>
        </is>
      </c>
      <c r="F26944" s="8" t="inlineStr">
        <is>
          <t>STANDBY</t>
        </is>
      </c>
      <c r="G26944" s="8" t="n">
        <v>0</v>
      </c>
      <c r="H26944" s="8" t="inlineStr">
        <is>
          <t>CLOSED</t>
        </is>
      </c>
    </row>
    <row r="26945">
      <c r="A26945" s="8" t="inlineStr">
        <is>
          <t>2026-08-05</t>
        </is>
      </c>
      <c r="B26945" s="8" t="n">
        <v>21</v>
      </c>
      <c r="C26945" s="8" t="n">
        <v>1</v>
      </c>
      <c r="D26945" s="8" t="inlineStr">
        <is>
          <t>Disneyland Park</t>
        </is>
      </c>
      <c r="E26945" s="8" t="inlineStr">
        <is>
          <t>Frontierland Playground</t>
        </is>
      </c>
      <c r="F26945" s="8" t="inlineStr">
        <is>
          <t>STANDBY</t>
        </is>
      </c>
      <c r="G26945" s="8" t="n">
        <v>0</v>
      </c>
      <c r="H26945" s="8" t="inlineStr">
        <is>
          <t>OPERATING</t>
        </is>
      </c>
    </row>
    <row r="26946">
      <c r="A26946" s="8" t="inlineStr">
        <is>
          <t>2026-08-05</t>
        </is>
      </c>
      <c r="B26946" s="8" t="n">
        <v>21</v>
      </c>
      <c r="C26946" s="8" t="n">
        <v>1</v>
      </c>
      <c r="D26946" s="8" t="inlineStr">
        <is>
          <t>Disneyland Park</t>
        </is>
      </c>
      <c r="E26946" s="8" t="inlineStr">
        <is>
          <t>Phantom Manor</t>
        </is>
      </c>
      <c r="F26946" s="8" t="inlineStr">
        <is>
          <t>STANDBY</t>
        </is>
      </c>
      <c r="G26946" s="8" t="n">
        <v>5</v>
      </c>
      <c r="H26946" s="8" t="inlineStr">
        <is>
          <t>OPERATING</t>
        </is>
      </c>
    </row>
    <row r="26947">
      <c r="A26947" s="8" t="inlineStr">
        <is>
          <t>2026-08-05</t>
        </is>
      </c>
      <c r="B26947" s="8" t="n">
        <v>21</v>
      </c>
      <c r="C26947" s="8" t="n">
        <v>1</v>
      </c>
      <c r="D26947" s="8" t="inlineStr">
        <is>
          <t>Disneyland Park</t>
        </is>
      </c>
      <c r="E26947" s="8" t="inlineStr">
        <is>
          <t>River Rogue Keelboats</t>
        </is>
      </c>
      <c r="F26947" s="8" t="inlineStr">
        <is>
          <t>STANDBY</t>
        </is>
      </c>
      <c r="G26947" s="8" t="n">
        <v>0</v>
      </c>
      <c r="H26947" s="8" t="inlineStr">
        <is>
          <t>CLOSED</t>
        </is>
      </c>
    </row>
    <row r="26948">
      <c r="A26948" s="8" t="inlineStr">
        <is>
          <t>2026-08-05</t>
        </is>
      </c>
      <c r="B26948" s="8" t="n">
        <v>21</v>
      </c>
      <c r="C26948" s="8" t="n">
        <v>1</v>
      </c>
      <c r="D26948" s="8" t="inlineStr">
        <is>
          <t>Disneyland Park</t>
        </is>
      </c>
      <c r="E26948" s="8" t="inlineStr">
        <is>
          <t>Rustler Roundup Shootin' Gallery</t>
        </is>
      </c>
      <c r="F26948" s="8" t="inlineStr">
        <is>
          <t>STANDBY</t>
        </is>
      </c>
      <c r="G26948" s="8" t="n">
        <v>0</v>
      </c>
      <c r="H26948" s="8" t="inlineStr">
        <is>
          <t>OPERATING</t>
        </is>
      </c>
    </row>
    <row r="26949">
      <c r="A26949" s="8" t="inlineStr">
        <is>
          <t>2026-08-05</t>
        </is>
      </c>
      <c r="B26949" s="8" t="n">
        <v>21</v>
      </c>
      <c r="C26949" s="8" t="n">
        <v>1</v>
      </c>
      <c r="D26949" s="8" t="inlineStr">
        <is>
          <t>Disneyland Park</t>
        </is>
      </c>
      <c r="E26949" s="8" t="inlineStr">
        <is>
          <t>Thunder Mesa Riverboat Landing</t>
        </is>
      </c>
      <c r="F26949" s="8" t="inlineStr">
        <is>
          <t>STANDBY</t>
        </is>
      </c>
      <c r="G26949" s="8" t="n">
        <v>0</v>
      </c>
      <c r="H26949" s="8" t="inlineStr">
        <is>
          <t>CLOSED</t>
        </is>
      </c>
    </row>
    <row r="26950">
      <c r="A26950" s="8" t="inlineStr">
        <is>
          <t>2026-08-05</t>
        </is>
      </c>
      <c r="B26950" s="8" t="n">
        <v>21</v>
      </c>
      <c r="C26950" s="8" t="n">
        <v>1</v>
      </c>
      <c r="D26950" s="8" t="inlineStr">
        <is>
          <t>Disneyland Park</t>
        </is>
      </c>
      <c r="E26950" s="8" t="inlineStr">
        <is>
          <t>Disneyland Railroad Main Street Station</t>
        </is>
      </c>
      <c r="F26950" s="8" t="inlineStr">
        <is>
          <t>STANDBY</t>
        </is>
      </c>
      <c r="G26950" s="8" t="n">
        <v>0</v>
      </c>
      <c r="H26950" s="8" t="inlineStr">
        <is>
          <t>CLOSED</t>
        </is>
      </c>
    </row>
    <row r="26951">
      <c r="A26951" s="8" t="inlineStr">
        <is>
          <t>2026-08-05</t>
        </is>
      </c>
      <c r="B26951" s="8" t="n">
        <v>21</v>
      </c>
      <c r="C26951" s="8" t="n">
        <v>1</v>
      </c>
      <c r="D26951" s="8" t="inlineStr">
        <is>
          <t>Disneyland Park</t>
        </is>
      </c>
      <c r="E26951" s="8" t="inlineStr">
        <is>
          <t>Main Street Vehicles</t>
        </is>
      </c>
      <c r="F26951" s="8" t="inlineStr">
        <is>
          <t>STANDBY</t>
        </is>
      </c>
      <c r="G26951" s="8" t="n">
        <v>0</v>
      </c>
      <c r="H26951" s="8" t="inlineStr">
        <is>
          <t>CLOSED</t>
        </is>
      </c>
    </row>
    <row r="26952">
      <c r="A26952" s="8" t="inlineStr">
        <is>
          <t>2026-08-05</t>
        </is>
      </c>
      <c r="B26952" s="8" t="n">
        <v>21</v>
      </c>
      <c r="C26952" s="8" t="n">
        <v>1</v>
      </c>
      <c r="D26952" s="8" t="inlineStr">
        <is>
          <t>Disney Adventure World</t>
        </is>
      </c>
      <c r="E26952" s="8" t="inlineStr">
        <is>
          <t>Avengers Assemble: Flight Force</t>
        </is>
      </c>
      <c r="F26952" s="8" t="inlineStr">
        <is>
          <t>STANDBY</t>
        </is>
      </c>
      <c r="G26952" s="8" t="n">
        <v>10</v>
      </c>
      <c r="H26952" s="8" t="inlineStr">
        <is>
          <t>OPERATING</t>
        </is>
      </c>
    </row>
    <row r="26953">
      <c r="A26953" s="8" t="inlineStr">
        <is>
          <t>2026-08-05</t>
        </is>
      </c>
      <c r="B26953" s="8" t="n">
        <v>21</v>
      </c>
      <c r="C26953" s="8" t="n">
        <v>1</v>
      </c>
      <c r="D26953" s="8" t="inlineStr">
        <is>
          <t>Disney Adventure World</t>
        </is>
      </c>
      <c r="E26953" s="8" t="inlineStr">
        <is>
          <t>Avengers Assemble: Flight Force Single Rider</t>
        </is>
      </c>
      <c r="F26953" s="8" t="inlineStr">
        <is>
          <t>STANDBY</t>
        </is>
      </c>
      <c r="G26953" s="8" t="n">
        <v>5</v>
      </c>
      <c r="H26953" s="8" t="inlineStr">
        <is>
          <t>OPERATING</t>
        </is>
      </c>
    </row>
    <row r="26954">
      <c r="A26954" s="8" t="inlineStr">
        <is>
          <t>2026-08-05</t>
        </is>
      </c>
      <c r="B26954" s="8" t="n">
        <v>21</v>
      </c>
      <c r="C26954" s="8" t="n">
        <v>1</v>
      </c>
      <c r="D26954" s="8" t="inlineStr">
        <is>
          <t>Disney Adventure World</t>
        </is>
      </c>
      <c r="E26954" s="8" t="inlineStr">
        <is>
          <t>Spider-Man W.E.B. Adventure</t>
        </is>
      </c>
      <c r="F26954" s="8" t="inlineStr">
        <is>
          <t>STANDBY</t>
        </is>
      </c>
      <c r="G26954" s="8" t="n">
        <v>0</v>
      </c>
      <c r="H26954" s="8" t="inlineStr">
        <is>
          <t>CLOSED</t>
        </is>
      </c>
    </row>
    <row r="26955">
      <c r="A26955" s="8" t="inlineStr">
        <is>
          <t>2026-08-05</t>
        </is>
      </c>
      <c r="B26955" s="8" t="n">
        <v>21</v>
      </c>
      <c r="C26955" s="8" t="n">
        <v>1</v>
      </c>
      <c r="D26955" s="8" t="inlineStr">
        <is>
          <t>Disney Adventure World</t>
        </is>
      </c>
      <c r="E26955" s="8" t="inlineStr">
        <is>
          <t>Spider-Man W.E.B. Adventure Single Rider</t>
        </is>
      </c>
      <c r="F26955" s="8" t="inlineStr">
        <is>
          <t>STANDBY</t>
        </is>
      </c>
      <c r="G26955" s="8" t="n">
        <v>0</v>
      </c>
      <c r="H26955" s="8" t="inlineStr">
        <is>
          <t>CLOSED</t>
        </is>
      </c>
    </row>
    <row r="26956">
      <c r="A26956" s="8" t="inlineStr">
        <is>
          <t>2026-08-05</t>
        </is>
      </c>
      <c r="B26956" s="8" t="n">
        <v>21</v>
      </c>
      <c r="C26956" s="8" t="n">
        <v>1</v>
      </c>
      <c r="D26956" s="8" t="inlineStr">
        <is>
          <t>Disney Adventure World</t>
        </is>
      </c>
      <c r="E26956" s="8" t="inlineStr">
        <is>
          <t>The Twilight Zone Tower of Terror</t>
        </is>
      </c>
      <c r="F26956" s="8" t="inlineStr">
        <is>
          <t>STANDBY</t>
        </is>
      </c>
      <c r="G26956" s="8" t="n">
        <v>45</v>
      </c>
      <c r="H26956" s="8" t="inlineStr">
        <is>
          <t>OPERATING</t>
        </is>
      </c>
    </row>
    <row r="26957">
      <c r="A26957" s="8" t="inlineStr">
        <is>
          <t>2026-08-05</t>
        </is>
      </c>
      <c r="B26957" s="8" t="n">
        <v>21</v>
      </c>
      <c r="C26957" s="8" t="n">
        <v>1</v>
      </c>
      <c r="D26957" s="8" t="inlineStr">
        <is>
          <t>Disney Adventure World</t>
        </is>
      </c>
      <c r="E26957" s="8" t="inlineStr">
        <is>
          <t>Cars Quatre Roues Rallye</t>
        </is>
      </c>
      <c r="F26957" s="8" t="inlineStr">
        <is>
          <t>STANDBY</t>
        </is>
      </c>
      <c r="G26957" s="8" t="n">
        <v>5</v>
      </c>
      <c r="H26957" s="8" t="inlineStr">
        <is>
          <t>OPERATING</t>
        </is>
      </c>
    </row>
    <row r="26958">
      <c r="A26958" s="8" t="inlineStr">
        <is>
          <t>2026-08-05</t>
        </is>
      </c>
      <c r="B26958" s="8" t="n">
        <v>21</v>
      </c>
      <c r="C26958" s="8" t="n">
        <v>1</v>
      </c>
      <c r="D26958" s="8" t="inlineStr">
        <is>
          <t>Disney Adventure World</t>
        </is>
      </c>
      <c r="E26958" s="8" t="inlineStr">
        <is>
          <t>Cars ROAD TRIP</t>
        </is>
      </c>
      <c r="F26958" s="8" t="inlineStr">
        <is>
          <t>STANDBY</t>
        </is>
      </c>
      <c r="G26958" s="8" t="n">
        <v>5</v>
      </c>
      <c r="H26958" s="8" t="inlineStr">
        <is>
          <t>OPERATING</t>
        </is>
      </c>
    </row>
    <row r="26959">
      <c r="A26959" s="8" t="inlineStr">
        <is>
          <t>2026-08-05</t>
        </is>
      </c>
      <c r="B26959" s="8" t="n">
        <v>21</v>
      </c>
      <c r="C26959" s="8" t="n">
        <v>1</v>
      </c>
      <c r="D26959" s="8" t="inlineStr">
        <is>
          <t>Disney Adventure World</t>
        </is>
      </c>
      <c r="E26959" s="8" t="inlineStr">
        <is>
          <t>Crush's Coaster</t>
        </is>
      </c>
      <c r="F26959" s="8" t="inlineStr">
        <is>
          <t>STANDBY</t>
        </is>
      </c>
      <c r="G26959" s="8" t="n">
        <v>70</v>
      </c>
      <c r="H26959" s="8" t="inlineStr">
        <is>
          <t>OPERATING</t>
        </is>
      </c>
    </row>
    <row r="26960">
      <c r="A26960" s="8" t="inlineStr">
        <is>
          <t>2026-08-05</t>
        </is>
      </c>
      <c r="B26960" s="8" t="n">
        <v>21</v>
      </c>
      <c r="C26960" s="8" t="n">
        <v>1</v>
      </c>
      <c r="D26960" s="8" t="inlineStr">
        <is>
          <t>Disney Adventure World</t>
        </is>
      </c>
      <c r="E26960" s="8" t="inlineStr">
        <is>
          <t>Crush's Coaster Single Rider</t>
        </is>
      </c>
      <c r="F26960" s="8" t="inlineStr">
        <is>
          <t>STANDBY</t>
        </is>
      </c>
      <c r="G26960" s="8" t="n">
        <v>30</v>
      </c>
      <c r="H26960" s="8" t="inlineStr">
        <is>
          <t>OPERATING</t>
        </is>
      </c>
    </row>
    <row r="26961">
      <c r="A26961" s="8" t="inlineStr">
        <is>
          <t>2026-08-05</t>
        </is>
      </c>
      <c r="B26961" s="8" t="n">
        <v>21</v>
      </c>
      <c r="C26961" s="8" t="n">
        <v>1</v>
      </c>
      <c r="D26961" s="8" t="inlineStr">
        <is>
          <t>Disney Adventure World</t>
        </is>
      </c>
      <c r="E26961" s="8" t="inlineStr">
        <is>
          <t>Les Tapis Volants - Flying Carpets Over Agrabah®</t>
        </is>
      </c>
      <c r="F26961" s="8" t="inlineStr">
        <is>
          <t>STANDBY</t>
        </is>
      </c>
      <c r="G26961" s="8" t="n">
        <v>5</v>
      </c>
      <c r="H26961" s="8" t="inlineStr">
        <is>
          <t>OPERATING</t>
        </is>
      </c>
    </row>
    <row r="26962">
      <c r="A26962" s="8" t="inlineStr">
        <is>
          <t>2026-08-05</t>
        </is>
      </c>
      <c r="B26962" s="8" t="n">
        <v>21</v>
      </c>
      <c r="C26962" s="8" t="n">
        <v>1</v>
      </c>
      <c r="D26962" s="8" t="inlineStr">
        <is>
          <t>Disney Adventure World</t>
        </is>
      </c>
      <c r="E26962" s="8" t="inlineStr">
        <is>
          <t>Ratatouille : L’Aventure Totalement Toquée de Rémy​</t>
        </is>
      </c>
      <c r="F26962" s="8" t="inlineStr">
        <is>
          <t>STANDBY</t>
        </is>
      </c>
      <c r="G26962" s="8" t="n">
        <v>45</v>
      </c>
      <c r="H26962" s="8" t="inlineStr">
        <is>
          <t>OPERATING</t>
        </is>
      </c>
    </row>
    <row r="26963">
      <c r="A26963" s="8" t="inlineStr">
        <is>
          <t>2026-08-05</t>
        </is>
      </c>
      <c r="B26963" s="8" t="n">
        <v>21</v>
      </c>
      <c r="C26963" s="8" t="n">
        <v>1</v>
      </c>
      <c r="D26963" s="8" t="inlineStr">
        <is>
          <t>Disney Adventure World</t>
        </is>
      </c>
      <c r="E26963" s="8" t="inlineStr">
        <is>
          <t>Ratatouille: The Adventure Single Rider</t>
        </is>
      </c>
      <c r="F26963" s="8" t="inlineStr">
        <is>
          <t>STANDBY</t>
        </is>
      </c>
      <c r="G26963" s="8" t="n">
        <v>5</v>
      </c>
      <c r="H26963" s="8" t="inlineStr">
        <is>
          <t>OPERATING</t>
        </is>
      </c>
    </row>
    <row r="26964">
      <c r="A26964" s="8" t="inlineStr">
        <is>
          <t>2026-08-05</t>
        </is>
      </c>
      <c r="B26964" s="8" t="n">
        <v>21</v>
      </c>
      <c r="C26964" s="8" t="n">
        <v>1</v>
      </c>
      <c r="D26964" s="8" t="inlineStr">
        <is>
          <t>Disney Adventure World</t>
        </is>
      </c>
      <c r="E26964" s="8" t="inlineStr">
        <is>
          <t>RC Racer</t>
        </is>
      </c>
      <c r="F26964" s="8" t="inlineStr">
        <is>
          <t>STANDBY</t>
        </is>
      </c>
      <c r="G26964" s="8" t="n">
        <v>40</v>
      </c>
      <c r="H26964" s="8" t="inlineStr">
        <is>
          <t>OPERATING</t>
        </is>
      </c>
    </row>
    <row r="26965">
      <c r="A26965" s="8" t="inlineStr">
        <is>
          <t>2026-08-05</t>
        </is>
      </c>
      <c r="B26965" s="8" t="n">
        <v>21</v>
      </c>
      <c r="C26965" s="8" t="n">
        <v>1</v>
      </c>
      <c r="D26965" s="8" t="inlineStr">
        <is>
          <t>Disney Adventure World</t>
        </is>
      </c>
      <c r="E26965" s="8" t="inlineStr">
        <is>
          <t>RC Racer Single Rider</t>
        </is>
      </c>
      <c r="F26965" s="8" t="inlineStr">
        <is>
          <t>STANDBY</t>
        </is>
      </c>
      <c r="G26965" s="8" t="n">
        <v>20</v>
      </c>
      <c r="H26965" s="8" t="inlineStr">
        <is>
          <t>OPERATING</t>
        </is>
      </c>
    </row>
    <row r="26966">
      <c r="A26966" s="8" t="inlineStr">
        <is>
          <t>2026-08-05</t>
        </is>
      </c>
      <c r="B26966" s="8" t="n">
        <v>21</v>
      </c>
      <c r="C26966" s="8" t="n">
        <v>1</v>
      </c>
      <c r="D26966" s="8" t="inlineStr">
        <is>
          <t>Disney Adventure World</t>
        </is>
      </c>
      <c r="E26966" s="8" t="inlineStr">
        <is>
          <t>Slinky® Dog Zigzag Spin</t>
        </is>
      </c>
      <c r="F26966" s="8" t="inlineStr">
        <is>
          <t>STANDBY</t>
        </is>
      </c>
      <c r="G26966" s="8" t="n">
        <v>5</v>
      </c>
      <c r="H26966" s="8" t="inlineStr">
        <is>
          <t>OPERATING</t>
        </is>
      </c>
    </row>
    <row r="26967">
      <c r="A26967" s="8" t="inlineStr">
        <is>
          <t>2026-08-05</t>
        </is>
      </c>
      <c r="B26967" s="8" t="n">
        <v>21</v>
      </c>
      <c r="C26967" s="8" t="n">
        <v>1</v>
      </c>
      <c r="D26967" s="8" t="inlineStr">
        <is>
          <t>Disney Adventure World</t>
        </is>
      </c>
      <c r="E26967" s="8" t="inlineStr">
        <is>
          <t>Toy Soldiers Parachute Drop</t>
        </is>
      </c>
      <c r="F26967" s="8" t="inlineStr">
        <is>
          <t>STANDBY</t>
        </is>
      </c>
      <c r="G26967" s="8" t="n">
        <v>40</v>
      </c>
      <c r="H26967" s="8" t="inlineStr">
        <is>
          <t>OPERATING</t>
        </is>
      </c>
    </row>
    <row r="26968">
      <c r="A26968" s="8" t="inlineStr">
        <is>
          <t>2026-08-05</t>
        </is>
      </c>
      <c r="B26968" s="8" t="n">
        <v>21</v>
      </c>
      <c r="C26968" s="8" t="n">
        <v>1</v>
      </c>
      <c r="D26968" s="8" t="inlineStr">
        <is>
          <t>Disney Adventure World</t>
        </is>
      </c>
      <c r="E26968" s="8" t="inlineStr">
        <is>
          <t>Toy Soldiers Parachute Drop Single Rider</t>
        </is>
      </c>
      <c r="F26968" s="8" t="inlineStr">
        <is>
          <t>STANDBY</t>
        </is>
      </c>
      <c r="G26968" s="8" t="n">
        <v>15</v>
      </c>
      <c r="H26968" s="8" t="inlineStr">
        <is>
          <t>OPERATING</t>
        </is>
      </c>
    </row>
    <row r="26969">
      <c r="A26969" s="8" t="inlineStr">
        <is>
          <t>2026-08-05</t>
        </is>
      </c>
      <c r="B26969" s="8" t="n">
        <v>21</v>
      </c>
      <c r="C26969" s="8" t="n">
        <v>1</v>
      </c>
      <c r="D26969" s="8" t="inlineStr">
        <is>
          <t>Disney Adventure World</t>
        </is>
      </c>
      <c r="E26969" s="8" t="inlineStr">
        <is>
          <t>Entry to World of Frozen</t>
        </is>
      </c>
      <c r="F26969" s="8" t="inlineStr">
        <is>
          <t>STANDBY</t>
        </is>
      </c>
      <c r="G26969" s="8" t="n">
        <v>0</v>
      </c>
      <c r="H26969" s="8" t="inlineStr">
        <is>
          <t>OPERATING</t>
        </is>
      </c>
    </row>
    <row r="26970">
      <c r="A26970" s="8" t="inlineStr">
        <is>
          <t>2026-08-05</t>
        </is>
      </c>
      <c r="B26970" s="8" t="n">
        <v>21</v>
      </c>
      <c r="C26970" s="8" t="n">
        <v>1</v>
      </c>
      <c r="D26970" s="8" t="inlineStr">
        <is>
          <t>Disney Adventure World</t>
        </is>
      </c>
      <c r="E26970" s="8" t="inlineStr">
        <is>
          <t>Frozen Ever After</t>
        </is>
      </c>
      <c r="F26970" s="8" t="inlineStr">
        <is>
          <t>STANDBY</t>
        </is>
      </c>
      <c r="G26970" s="8" t="n">
        <v>45</v>
      </c>
      <c r="H26970" s="8" t="inlineStr">
        <is>
          <t>OPERATING</t>
        </is>
      </c>
    </row>
    <row r="26971">
      <c r="A26971" s="8" t="inlineStr">
        <is>
          <t>2026-08-05</t>
        </is>
      </c>
      <c r="B26971" s="8" t="n">
        <v>21</v>
      </c>
      <c r="C26971" s="8" t="n">
        <v>1</v>
      </c>
      <c r="D26971" s="8" t="inlineStr">
        <is>
          <t>Disney Adventure World</t>
        </is>
      </c>
      <c r="E26971" s="8" t="inlineStr">
        <is>
          <t>Raiponce Tangled Spin</t>
        </is>
      </c>
      <c r="F26971" s="8" t="inlineStr">
        <is>
          <t>STANDBY</t>
        </is>
      </c>
      <c r="G26971" s="8" t="n">
        <v>5</v>
      </c>
      <c r="H26971" s="8" t="inlineStr">
        <is>
          <t>OPERATING</t>
        </is>
      </c>
    </row>
    <row r="26972">
      <c r="A26972" s="8" t="inlineStr">
        <is>
          <t>2026-08-05</t>
        </is>
      </c>
      <c r="B26972" s="8" t="n">
        <v>21</v>
      </c>
      <c r="C26972" s="8" t="n">
        <v>15</v>
      </c>
      <c r="D26972" s="8" t="inlineStr">
        <is>
          <t>Disneyland Park</t>
        </is>
      </c>
      <c r="E26972" s="8" t="inlineStr">
        <is>
          <t>Adventure Isle</t>
        </is>
      </c>
      <c r="F26972" s="8" t="inlineStr">
        <is>
          <t>STANDBY</t>
        </is>
      </c>
      <c r="G26972" s="8" t="n">
        <v>0</v>
      </c>
      <c r="H26972" s="8" t="inlineStr">
        <is>
          <t>OPERATING</t>
        </is>
      </c>
    </row>
    <row r="26973">
      <c r="A26973" s="8" t="inlineStr">
        <is>
          <t>2026-08-05</t>
        </is>
      </c>
      <c r="B26973" s="8" t="n">
        <v>21</v>
      </c>
      <c r="C26973" s="8" t="n">
        <v>15</v>
      </c>
      <c r="D26973" s="8" t="inlineStr">
        <is>
          <t>Disneyland Park</t>
        </is>
      </c>
      <c r="E26973" s="8" t="inlineStr">
        <is>
          <t>Indiana Jones and the Temple of Peril Single Rider</t>
        </is>
      </c>
      <c r="F26973" s="8" t="inlineStr">
        <is>
          <t>STANDBY</t>
        </is>
      </c>
      <c r="G26973" s="8" t="n">
        <v>5</v>
      </c>
      <c r="H26973" s="8" t="inlineStr">
        <is>
          <t>OPERATING</t>
        </is>
      </c>
    </row>
    <row r="26974">
      <c r="A26974" s="8" t="inlineStr">
        <is>
          <t>2026-08-05</t>
        </is>
      </c>
      <c r="B26974" s="8" t="n">
        <v>21</v>
      </c>
      <c r="C26974" s="8" t="n">
        <v>15</v>
      </c>
      <c r="D26974" s="8" t="inlineStr">
        <is>
          <t>Disneyland Park</t>
        </is>
      </c>
      <c r="E26974" s="8" t="inlineStr">
        <is>
          <t>Indiana Jones™ and the Temple of Peril</t>
        </is>
      </c>
      <c r="F26974" s="8" t="inlineStr">
        <is>
          <t>STANDBY</t>
        </is>
      </c>
      <c r="G26974" s="8" t="n">
        <v>20</v>
      </c>
      <c r="H26974" s="8" t="inlineStr">
        <is>
          <t>OPERATING</t>
        </is>
      </c>
    </row>
    <row r="26975">
      <c r="A26975" s="8" t="inlineStr">
        <is>
          <t>2026-08-05</t>
        </is>
      </c>
      <c r="B26975" s="8" t="n">
        <v>21</v>
      </c>
      <c r="C26975" s="8" t="n">
        <v>15</v>
      </c>
      <c r="D26975" s="8" t="inlineStr">
        <is>
          <t>Disneyland Park</t>
        </is>
      </c>
      <c r="E26975" s="8" t="inlineStr">
        <is>
          <t>La Cabane des Robinson</t>
        </is>
      </c>
      <c r="F26975" s="8" t="inlineStr">
        <is>
          <t>STANDBY</t>
        </is>
      </c>
      <c r="G26975" s="8" t="n">
        <v>5</v>
      </c>
      <c r="H26975" s="8" t="inlineStr">
        <is>
          <t>OPERATING</t>
        </is>
      </c>
    </row>
    <row r="26976">
      <c r="A26976" s="8" t="inlineStr">
        <is>
          <t>2026-08-05</t>
        </is>
      </c>
      <c r="B26976" s="8" t="n">
        <v>21</v>
      </c>
      <c r="C26976" s="8" t="n">
        <v>15</v>
      </c>
      <c r="D26976" s="8" t="inlineStr">
        <is>
          <t>Disneyland Park</t>
        </is>
      </c>
      <c r="E26976" s="8" t="inlineStr">
        <is>
          <t>Le Passage Enchanté d'Aladdin</t>
        </is>
      </c>
      <c r="F26976" s="8" t="inlineStr">
        <is>
          <t>STANDBY</t>
        </is>
      </c>
      <c r="G26976" s="8" t="n">
        <v>0</v>
      </c>
      <c r="H26976" s="8" t="inlineStr">
        <is>
          <t>OPERATING</t>
        </is>
      </c>
    </row>
    <row r="26977">
      <c r="A26977" s="8" t="inlineStr">
        <is>
          <t>2026-08-05</t>
        </is>
      </c>
      <c r="B26977" s="8" t="n">
        <v>21</v>
      </c>
      <c r="C26977" s="8" t="n">
        <v>15</v>
      </c>
      <c r="D26977" s="8" t="inlineStr">
        <is>
          <t>Disneyland Park</t>
        </is>
      </c>
      <c r="E26977" s="8" t="inlineStr">
        <is>
          <t>Pirate Galleon</t>
        </is>
      </c>
      <c r="F26977" s="8" t="inlineStr">
        <is>
          <t>STANDBY</t>
        </is>
      </c>
      <c r="G26977" s="8" t="n">
        <v>0</v>
      </c>
      <c r="H26977" s="8" t="inlineStr">
        <is>
          <t>CLOSED</t>
        </is>
      </c>
    </row>
    <row r="26978">
      <c r="A26978" s="8" t="inlineStr">
        <is>
          <t>2026-08-05</t>
        </is>
      </c>
      <c r="B26978" s="8" t="n">
        <v>21</v>
      </c>
      <c r="C26978" s="8" t="n">
        <v>15</v>
      </c>
      <c r="D26978" s="8" t="inlineStr">
        <is>
          <t>Disneyland Park</t>
        </is>
      </c>
      <c r="E26978" s="8" t="inlineStr">
        <is>
          <t>Pirates of the Caribbean</t>
        </is>
      </c>
      <c r="F26978" s="8" t="inlineStr">
        <is>
          <t>STANDBY</t>
        </is>
      </c>
      <c r="G26978" s="8" t="n">
        <v>25</v>
      </c>
      <c r="H26978" s="8" t="inlineStr">
        <is>
          <t>OPERATING</t>
        </is>
      </c>
    </row>
    <row r="26979">
      <c r="A26979" s="8" t="inlineStr">
        <is>
          <t>2026-08-05</t>
        </is>
      </c>
      <c r="B26979" s="8" t="n">
        <v>21</v>
      </c>
      <c r="C26979" s="8" t="n">
        <v>15</v>
      </c>
      <c r="D26979" s="8" t="inlineStr">
        <is>
          <t>Disneyland Park</t>
        </is>
      </c>
      <c r="E26979" s="8" t="inlineStr">
        <is>
          <t>Pirates' Beach</t>
        </is>
      </c>
      <c r="F26979" s="8" t="inlineStr">
        <is>
          <t>STANDBY</t>
        </is>
      </c>
      <c r="G26979" s="8" t="n">
        <v>0</v>
      </c>
      <c r="H26979" s="8" t="inlineStr">
        <is>
          <t>OPERATING</t>
        </is>
      </c>
    </row>
    <row r="26980">
      <c r="A26980" s="8" t="inlineStr">
        <is>
          <t>2026-08-05</t>
        </is>
      </c>
      <c r="B26980" s="8" t="n">
        <v>21</v>
      </c>
      <c r="C26980" s="8" t="n">
        <v>15</v>
      </c>
      <c r="D26980" s="8" t="inlineStr">
        <is>
          <t>Disneyland Park</t>
        </is>
      </c>
      <c r="E26980" s="8" t="inlineStr">
        <is>
          <t>Autopia, presented by Avis</t>
        </is>
      </c>
      <c r="F26980" s="8" t="inlineStr">
        <is>
          <t>STANDBY</t>
        </is>
      </c>
      <c r="G26980" s="8" t="n">
        <v>50</v>
      </c>
      <c r="H26980" s="8" t="inlineStr">
        <is>
          <t>OPERATING</t>
        </is>
      </c>
    </row>
    <row r="26981">
      <c r="A26981" s="8" t="inlineStr">
        <is>
          <t>2026-08-05</t>
        </is>
      </c>
      <c r="B26981" s="8" t="n">
        <v>21</v>
      </c>
      <c r="C26981" s="8" t="n">
        <v>15</v>
      </c>
      <c r="D26981" s="8" t="inlineStr">
        <is>
          <t>Disneyland Park</t>
        </is>
      </c>
      <c r="E26981" s="8" t="inlineStr">
        <is>
          <t>Buzz Lightyear Laser Blast</t>
        </is>
      </c>
      <c r="F26981" s="8" t="inlineStr">
        <is>
          <t>STANDBY</t>
        </is>
      </c>
      <c r="G26981" s="8" t="n">
        <v>30</v>
      </c>
      <c r="H26981" s="8" t="inlineStr">
        <is>
          <t>OPERATING</t>
        </is>
      </c>
    </row>
    <row r="26982">
      <c r="A26982" s="8" t="inlineStr">
        <is>
          <t>2026-08-05</t>
        </is>
      </c>
      <c r="B26982" s="8" t="n">
        <v>21</v>
      </c>
      <c r="C26982" s="8" t="n">
        <v>15</v>
      </c>
      <c r="D26982" s="8" t="inlineStr">
        <is>
          <t>Disneyland Park</t>
        </is>
      </c>
      <c r="E26982" s="8" t="inlineStr">
        <is>
          <t>Disneyland Railroad Discoveryland Station</t>
        </is>
      </c>
      <c r="F26982" s="8" t="inlineStr">
        <is>
          <t>STANDBY</t>
        </is>
      </c>
      <c r="G26982" s="8" t="n">
        <v>0</v>
      </c>
      <c r="H26982" s="8" t="inlineStr">
        <is>
          <t>CLOSED</t>
        </is>
      </c>
    </row>
    <row r="26983">
      <c r="A26983" s="8" t="inlineStr">
        <is>
          <t>2026-08-05</t>
        </is>
      </c>
      <c r="B26983" s="8" t="n">
        <v>21</v>
      </c>
      <c r="C26983" s="8" t="n">
        <v>15</v>
      </c>
      <c r="D26983" s="8" t="inlineStr">
        <is>
          <t>Disneyland Park</t>
        </is>
      </c>
      <c r="E26983" s="8" t="inlineStr">
        <is>
          <t>Les Mystères du Nautilus</t>
        </is>
      </c>
      <c r="F26983" s="8" t="inlineStr">
        <is>
          <t>STANDBY</t>
        </is>
      </c>
      <c r="G26983" s="8" t="n">
        <v>5</v>
      </c>
      <c r="H26983" s="8" t="inlineStr">
        <is>
          <t>OPERATING</t>
        </is>
      </c>
    </row>
    <row r="26984">
      <c r="A26984" s="8" t="inlineStr">
        <is>
          <t>2026-08-05</t>
        </is>
      </c>
      <c r="B26984" s="8" t="n">
        <v>21</v>
      </c>
      <c r="C26984" s="8" t="n">
        <v>15</v>
      </c>
      <c r="D26984" s="8" t="inlineStr">
        <is>
          <t>Disneyland Park</t>
        </is>
      </c>
      <c r="E26984" s="8" t="inlineStr">
        <is>
          <t>Mickey’s PhilharMagic</t>
        </is>
      </c>
      <c r="F26984" s="8" t="inlineStr">
        <is>
          <t>STANDBY</t>
        </is>
      </c>
      <c r="G26984" s="8" t="n">
        <v>0</v>
      </c>
      <c r="H26984" s="8" t="inlineStr">
        <is>
          <t>CLOSED</t>
        </is>
      </c>
    </row>
    <row r="26985">
      <c r="A26985" s="8" t="inlineStr">
        <is>
          <t>2026-08-05</t>
        </is>
      </c>
      <c r="B26985" s="8" t="n">
        <v>21</v>
      </c>
      <c r="C26985" s="8" t="n">
        <v>15</v>
      </c>
      <c r="D26985" s="8" t="inlineStr">
        <is>
          <t>Disneyland Park</t>
        </is>
      </c>
      <c r="E26985" s="8" t="inlineStr">
        <is>
          <t>Orbitron®</t>
        </is>
      </c>
      <c r="F26985" s="8" t="inlineStr">
        <is>
          <t>STANDBY</t>
        </is>
      </c>
      <c r="G26985" s="8" t="n">
        <v>45</v>
      </c>
      <c r="H26985" s="8" t="inlineStr">
        <is>
          <t>OPERATING</t>
        </is>
      </c>
    </row>
    <row r="26986">
      <c r="A26986" s="8" t="inlineStr">
        <is>
          <t>2026-08-05</t>
        </is>
      </c>
      <c r="B26986" s="8" t="n">
        <v>21</v>
      </c>
      <c r="C26986" s="8" t="n">
        <v>15</v>
      </c>
      <c r="D26986" s="8" t="inlineStr">
        <is>
          <t>Disneyland Park</t>
        </is>
      </c>
      <c r="E26986" s="8" t="inlineStr">
        <is>
          <t>Star Tours: The Adventures Continue*</t>
        </is>
      </c>
      <c r="F26986" s="8" t="inlineStr">
        <is>
          <t>STANDBY</t>
        </is>
      </c>
      <c r="G26986" s="8" t="n">
        <v>5</v>
      </c>
      <c r="H26986" s="8" t="inlineStr">
        <is>
          <t>OPERATING</t>
        </is>
      </c>
    </row>
    <row r="26987">
      <c r="A26987" s="8" t="inlineStr">
        <is>
          <t>2026-08-05</t>
        </is>
      </c>
      <c r="B26987" s="8" t="n">
        <v>21</v>
      </c>
      <c r="C26987" s="8" t="n">
        <v>15</v>
      </c>
      <c r="D26987" s="8" t="inlineStr">
        <is>
          <t>Disneyland Park</t>
        </is>
      </c>
      <c r="E26987" s="8" t="inlineStr">
        <is>
          <t>Star Wars Hyperspace Mountain</t>
        </is>
      </c>
      <c r="F26987" s="8" t="inlineStr">
        <is>
          <t>STANDBY</t>
        </is>
      </c>
      <c r="G26987" s="8" t="n">
        <v>25</v>
      </c>
      <c r="H26987" s="8" t="inlineStr">
        <is>
          <t>OPERATING</t>
        </is>
      </c>
    </row>
    <row r="26988">
      <c r="A26988" s="8" t="inlineStr">
        <is>
          <t>2026-08-05</t>
        </is>
      </c>
      <c r="B26988" s="8" t="n">
        <v>21</v>
      </c>
      <c r="C26988" s="8" t="n">
        <v>15</v>
      </c>
      <c r="D26988" s="8" t="inlineStr">
        <is>
          <t>Disneyland Park</t>
        </is>
      </c>
      <c r="E26988" s="8" t="inlineStr">
        <is>
          <t>Star Wars Hyperspace Mountain Single Rider</t>
        </is>
      </c>
      <c r="F26988" s="8" t="inlineStr">
        <is>
          <t>STANDBY</t>
        </is>
      </c>
      <c r="G26988" s="8" t="n">
        <v>0</v>
      </c>
      <c r="H26988" s="8" t="inlineStr">
        <is>
          <t>OPERATING</t>
        </is>
      </c>
    </row>
    <row r="26989">
      <c r="A26989" s="8" t="inlineStr">
        <is>
          <t>2026-08-05</t>
        </is>
      </c>
      <c r="B26989" s="8" t="n">
        <v>21</v>
      </c>
      <c r="C26989" s="8" t="n">
        <v>15</v>
      </c>
      <c r="D26989" s="8" t="inlineStr">
        <is>
          <t>Disneyland Park</t>
        </is>
      </c>
      <c r="E26989" s="8" t="inlineStr">
        <is>
          <t>Welcome to Starport: A Star Wars Encounter</t>
        </is>
      </c>
      <c r="F26989" s="8" t="inlineStr">
        <is>
          <t>STANDBY</t>
        </is>
      </c>
      <c r="G26989" s="8" t="n">
        <v>0</v>
      </c>
      <c r="H26989" s="8" t="inlineStr">
        <is>
          <t>CLOSED</t>
        </is>
      </c>
    </row>
    <row r="26990">
      <c r="A26990" s="8" t="inlineStr">
        <is>
          <t>2026-08-05</t>
        </is>
      </c>
      <c r="B26990" s="8" t="n">
        <v>21</v>
      </c>
      <c r="C26990" s="8" t="n">
        <v>15</v>
      </c>
      <c r="D26990" s="8" t="inlineStr">
        <is>
          <t>Disneyland Park</t>
        </is>
      </c>
      <c r="E26990" s="8" t="inlineStr">
        <is>
          <t>"it's a small world"</t>
        </is>
      </c>
      <c r="F26990" s="8" t="inlineStr">
        <is>
          <t>STANDBY</t>
        </is>
      </c>
      <c r="G26990" s="8" t="n">
        <v>5</v>
      </c>
      <c r="H26990" s="8" t="inlineStr">
        <is>
          <t>OPERATING</t>
        </is>
      </c>
    </row>
    <row r="26991">
      <c r="A26991" s="8" t="inlineStr">
        <is>
          <t>2026-08-05</t>
        </is>
      </c>
      <c r="B26991" s="8" t="n">
        <v>21</v>
      </c>
      <c r="C26991" s="8" t="n">
        <v>15</v>
      </c>
      <c r="D26991" s="8" t="inlineStr">
        <is>
          <t>Disneyland Park</t>
        </is>
      </c>
      <c r="E26991" s="8" t="inlineStr">
        <is>
          <t>Alice's Curious Labyrinth</t>
        </is>
      </c>
      <c r="F26991" s="8" t="inlineStr">
        <is>
          <t>STANDBY</t>
        </is>
      </c>
      <c r="G26991" s="8" t="n">
        <v>0</v>
      </c>
      <c r="H26991" s="8" t="inlineStr">
        <is>
          <t>CLOSED</t>
        </is>
      </c>
    </row>
    <row r="26992">
      <c r="A26992" s="8" t="inlineStr">
        <is>
          <t>2026-08-05</t>
        </is>
      </c>
      <c r="B26992" s="8" t="n">
        <v>21</v>
      </c>
      <c r="C26992" s="8" t="n">
        <v>15</v>
      </c>
      <c r="D26992" s="8" t="inlineStr">
        <is>
          <t>Disneyland Park</t>
        </is>
      </c>
      <c r="E26992" s="8" t="inlineStr">
        <is>
          <t>Blanche-Neige et les Sept Nains®</t>
        </is>
      </c>
      <c r="F26992" s="8" t="inlineStr">
        <is>
          <t>STANDBY</t>
        </is>
      </c>
      <c r="G26992" s="8" t="n">
        <v>10</v>
      </c>
      <c r="H26992" s="8" t="inlineStr">
        <is>
          <t>OPERATING</t>
        </is>
      </c>
    </row>
    <row r="26993">
      <c r="A26993" s="8" t="inlineStr">
        <is>
          <t>2026-08-05</t>
        </is>
      </c>
      <c r="B26993" s="8" t="n">
        <v>21</v>
      </c>
      <c r="C26993" s="8" t="n">
        <v>15</v>
      </c>
      <c r="D26993" s="8" t="inlineStr">
        <is>
          <t>Disneyland Park</t>
        </is>
      </c>
      <c r="E26993" s="8" t="inlineStr">
        <is>
          <t>Casey Jr. – le Petit Train du Cirque</t>
        </is>
      </c>
      <c r="F26993" s="8" t="inlineStr">
        <is>
          <t>STANDBY</t>
        </is>
      </c>
      <c r="G26993" s="8" t="n">
        <v>0</v>
      </c>
      <c r="H26993" s="8" t="inlineStr">
        <is>
          <t>CLOSED</t>
        </is>
      </c>
    </row>
    <row r="26994">
      <c r="A26994" s="8" t="inlineStr">
        <is>
          <t>2026-08-05</t>
        </is>
      </c>
      <c r="B26994" s="8" t="n">
        <v>21</v>
      </c>
      <c r="C26994" s="8" t="n">
        <v>15</v>
      </c>
      <c r="D26994" s="8" t="inlineStr">
        <is>
          <t>Disneyland Park</t>
        </is>
      </c>
      <c r="E26994" s="8" t="inlineStr">
        <is>
          <t>Disneyland Railroad Fantasyland Station</t>
        </is>
      </c>
      <c r="F26994" s="8" t="inlineStr">
        <is>
          <t>STANDBY</t>
        </is>
      </c>
      <c r="G26994" s="8" t="n">
        <v>0</v>
      </c>
      <c r="H26994" s="8" t="inlineStr">
        <is>
          <t>CLOSED</t>
        </is>
      </c>
    </row>
    <row r="26995">
      <c r="A26995" s="8" t="inlineStr">
        <is>
          <t>2026-08-05</t>
        </is>
      </c>
      <c r="B26995" s="8" t="n">
        <v>21</v>
      </c>
      <c r="C26995" s="8" t="n">
        <v>15</v>
      </c>
      <c r="D26995" s="8" t="inlineStr">
        <is>
          <t>Disneyland Park</t>
        </is>
      </c>
      <c r="E26995" s="8" t="inlineStr">
        <is>
          <t>Disneyland Railroad Main Street Station</t>
        </is>
      </c>
      <c r="F26995" s="8" t="inlineStr">
        <is>
          <t>STANDBY</t>
        </is>
      </c>
      <c r="G26995" s="8" t="n">
        <v>0</v>
      </c>
      <c r="H26995" s="8" t="inlineStr">
        <is>
          <t>CLOSED</t>
        </is>
      </c>
    </row>
    <row r="26996">
      <c r="A26996" s="8" t="inlineStr">
        <is>
          <t>2026-08-05</t>
        </is>
      </c>
      <c r="B26996" s="8" t="n">
        <v>21</v>
      </c>
      <c r="C26996" s="8" t="n">
        <v>15</v>
      </c>
      <c r="D26996" s="8" t="inlineStr">
        <is>
          <t>Disneyland Park</t>
        </is>
      </c>
      <c r="E26996" s="8" t="inlineStr">
        <is>
          <t>Dumbo the Flying Elephant</t>
        </is>
      </c>
      <c r="F26996" s="8" t="inlineStr">
        <is>
          <t>STANDBY</t>
        </is>
      </c>
      <c r="G26996" s="8" t="n">
        <v>20</v>
      </c>
      <c r="H26996" s="8" t="inlineStr">
        <is>
          <t>OPERATING</t>
        </is>
      </c>
    </row>
    <row r="26997">
      <c r="A26997" s="8" t="inlineStr">
        <is>
          <t>2026-08-05</t>
        </is>
      </c>
      <c r="B26997" s="8" t="n">
        <v>21</v>
      </c>
      <c r="C26997" s="8" t="n">
        <v>15</v>
      </c>
      <c r="D26997" s="8" t="inlineStr">
        <is>
          <t>Disneyland Park</t>
        </is>
      </c>
      <c r="E26997" s="8" t="inlineStr">
        <is>
          <t>La Tanière du Dragon</t>
        </is>
      </c>
      <c r="F26997" s="8" t="inlineStr">
        <is>
          <t>STANDBY</t>
        </is>
      </c>
      <c r="G26997" s="8" t="n">
        <v>0</v>
      </c>
      <c r="H26997" s="8" t="inlineStr">
        <is>
          <t>CLOSED</t>
        </is>
      </c>
    </row>
    <row r="26998">
      <c r="A26998" s="8" t="inlineStr">
        <is>
          <t>2026-08-05</t>
        </is>
      </c>
      <c r="B26998" s="8" t="n">
        <v>21</v>
      </c>
      <c r="C26998" s="8" t="n">
        <v>15</v>
      </c>
      <c r="D26998" s="8" t="inlineStr">
        <is>
          <t>Disneyland Park</t>
        </is>
      </c>
      <c r="E26998" s="8" t="inlineStr">
        <is>
          <t>Le Carrousel de Lancelot</t>
        </is>
      </c>
      <c r="F26998" s="8" t="inlineStr">
        <is>
          <t>STANDBY</t>
        </is>
      </c>
      <c r="G26998" s="8" t="n">
        <v>15</v>
      </c>
      <c r="H26998" s="8" t="inlineStr">
        <is>
          <t>OPERATING</t>
        </is>
      </c>
    </row>
    <row r="26999">
      <c r="A26999" s="8" t="inlineStr">
        <is>
          <t>2026-08-05</t>
        </is>
      </c>
      <c r="B26999" s="8" t="n">
        <v>21</v>
      </c>
      <c r="C26999" s="8" t="n">
        <v>15</v>
      </c>
      <c r="D26999" s="8" t="inlineStr">
        <is>
          <t>Disneyland Park</t>
        </is>
      </c>
      <c r="E26999" s="8" t="inlineStr">
        <is>
          <t>Le Pays des Contes de Fées, presented by Vittel</t>
        </is>
      </c>
      <c r="F26999" s="8" t="inlineStr">
        <is>
          <t>STANDBY</t>
        </is>
      </c>
      <c r="G26999" s="8" t="n">
        <v>0</v>
      </c>
      <c r="H26999" s="8" t="inlineStr">
        <is>
          <t>CLOSED</t>
        </is>
      </c>
    </row>
    <row r="27000">
      <c r="A27000" s="8" t="inlineStr">
        <is>
          <t>2026-08-05</t>
        </is>
      </c>
      <c r="B27000" s="8" t="n">
        <v>21</v>
      </c>
      <c r="C27000" s="8" t="n">
        <v>15</v>
      </c>
      <c r="D27000" s="8" t="inlineStr">
        <is>
          <t>Disneyland Park</t>
        </is>
      </c>
      <c r="E27000" s="8" t="inlineStr">
        <is>
          <t>Les Voyages de Pinocchio</t>
        </is>
      </c>
      <c r="F27000" s="8" t="inlineStr">
        <is>
          <t>STANDBY</t>
        </is>
      </c>
      <c r="G27000" s="8" t="n">
        <v>15</v>
      </c>
      <c r="H27000" s="8" t="inlineStr">
        <is>
          <t>OPERATING</t>
        </is>
      </c>
    </row>
    <row r="27001">
      <c r="A27001" s="8" t="inlineStr">
        <is>
          <t>2026-08-05</t>
        </is>
      </c>
      <c r="B27001" s="8" t="n">
        <v>21</v>
      </c>
      <c r="C27001" s="8" t="n">
        <v>15</v>
      </c>
      <c r="D27001" s="8" t="inlineStr">
        <is>
          <t>Disneyland Park</t>
        </is>
      </c>
      <c r="E27001" s="8" t="inlineStr">
        <is>
          <t>Mad Hatter's Tea Cups</t>
        </is>
      </c>
      <c r="F27001" s="8" t="inlineStr">
        <is>
          <t>STANDBY</t>
        </is>
      </c>
      <c r="G27001" s="8" t="n">
        <v>5</v>
      </c>
      <c r="H27001" s="8" t="inlineStr">
        <is>
          <t>OPERATING</t>
        </is>
      </c>
    </row>
    <row r="27002">
      <c r="A27002" s="8" t="inlineStr">
        <is>
          <t>2026-08-05</t>
        </is>
      </c>
      <c r="B27002" s="8" t="n">
        <v>21</v>
      </c>
      <c r="C27002" s="8" t="n">
        <v>15</v>
      </c>
      <c r="D27002" s="8" t="inlineStr">
        <is>
          <t>Disneyland Park</t>
        </is>
      </c>
      <c r="E27002" s="8" t="inlineStr">
        <is>
          <t>Meet Mickey Mouse</t>
        </is>
      </c>
      <c r="F27002" s="8" t="inlineStr">
        <is>
          <t>STANDBY</t>
        </is>
      </c>
      <c r="G27002" s="8" t="n">
        <v>0</v>
      </c>
      <c r="H27002" s="8" t="inlineStr">
        <is>
          <t>CLOSED</t>
        </is>
      </c>
    </row>
    <row r="27003">
      <c r="A27003" s="8" t="inlineStr">
        <is>
          <t>2026-08-05</t>
        </is>
      </c>
      <c r="B27003" s="8" t="n">
        <v>21</v>
      </c>
      <c r="C27003" s="8" t="n">
        <v>15</v>
      </c>
      <c r="D27003" s="8" t="inlineStr">
        <is>
          <t>Disneyland Park</t>
        </is>
      </c>
      <c r="E27003" s="8" t="inlineStr">
        <is>
          <t>Peter Pan's Flight</t>
        </is>
      </c>
      <c r="F27003" s="8" t="inlineStr">
        <is>
          <t>STANDBY</t>
        </is>
      </c>
      <c r="G27003" s="8" t="n">
        <v>45</v>
      </c>
      <c r="H27003" s="8" t="inlineStr">
        <is>
          <t>OPERATING</t>
        </is>
      </c>
    </row>
    <row r="27004">
      <c r="A27004" s="8" t="inlineStr">
        <is>
          <t>2026-08-05</t>
        </is>
      </c>
      <c r="B27004" s="8" t="n">
        <v>21</v>
      </c>
      <c r="C27004" s="8" t="n">
        <v>15</v>
      </c>
      <c r="D27004" s="8" t="inlineStr">
        <is>
          <t>Disneyland Park</t>
        </is>
      </c>
      <c r="E27004" s="8" t="inlineStr">
        <is>
          <t>Princess Pavilion</t>
        </is>
      </c>
      <c r="F27004" s="8" t="inlineStr">
        <is>
          <t>STANDBY</t>
        </is>
      </c>
      <c r="G27004" s="8" t="n">
        <v>0</v>
      </c>
      <c r="H27004" s="8" t="inlineStr">
        <is>
          <t>CLOSED</t>
        </is>
      </c>
    </row>
    <row r="27005">
      <c r="A27005" s="8" t="inlineStr">
        <is>
          <t>2026-08-05</t>
        </is>
      </c>
      <c r="B27005" s="8" t="n">
        <v>21</v>
      </c>
      <c r="C27005" s="8" t="n">
        <v>15</v>
      </c>
      <c r="D27005" s="8" t="inlineStr">
        <is>
          <t>Disneyland Park</t>
        </is>
      </c>
      <c r="E27005" s="8" t="inlineStr">
        <is>
          <t>Big Thunder Mountain</t>
        </is>
      </c>
      <c r="F27005" s="8" t="inlineStr">
        <is>
          <t>STANDBY</t>
        </is>
      </c>
      <c r="G27005" s="8" t="n">
        <v>55</v>
      </c>
      <c r="H27005" s="8" t="inlineStr">
        <is>
          <t>OPERATING</t>
        </is>
      </c>
    </row>
    <row r="27006">
      <c r="A27006" s="8" t="inlineStr">
        <is>
          <t>2026-08-05</t>
        </is>
      </c>
      <c r="B27006" s="8" t="n">
        <v>21</v>
      </c>
      <c r="C27006" s="8" t="n">
        <v>15</v>
      </c>
      <c r="D27006" s="8" t="inlineStr">
        <is>
          <t>Disneyland Park</t>
        </is>
      </c>
      <c r="E27006" s="8" t="inlineStr">
        <is>
          <t>Disneyland Railroad Frontierland Depot</t>
        </is>
      </c>
      <c r="F27006" s="8" t="inlineStr">
        <is>
          <t>STANDBY</t>
        </is>
      </c>
      <c r="G27006" s="8" t="n">
        <v>0</v>
      </c>
      <c r="H27006" s="8" t="inlineStr">
        <is>
          <t>CLOSED</t>
        </is>
      </c>
    </row>
    <row r="27007">
      <c r="A27007" s="8" t="inlineStr">
        <is>
          <t>2026-08-05</t>
        </is>
      </c>
      <c r="B27007" s="8" t="n">
        <v>21</v>
      </c>
      <c r="C27007" s="8" t="n">
        <v>15</v>
      </c>
      <c r="D27007" s="8" t="inlineStr">
        <is>
          <t>Disneyland Park</t>
        </is>
      </c>
      <c r="E27007" s="8" t="inlineStr">
        <is>
          <t>Frontierland Playground</t>
        </is>
      </c>
      <c r="F27007" s="8" t="inlineStr">
        <is>
          <t>STANDBY</t>
        </is>
      </c>
      <c r="G27007" s="8" t="n">
        <v>0</v>
      </c>
      <c r="H27007" s="8" t="inlineStr">
        <is>
          <t>CLOSED</t>
        </is>
      </c>
    </row>
    <row r="27008">
      <c r="A27008" s="8" t="inlineStr">
        <is>
          <t>2026-08-05</t>
        </is>
      </c>
      <c r="B27008" s="8" t="n">
        <v>21</v>
      </c>
      <c r="C27008" s="8" t="n">
        <v>15</v>
      </c>
      <c r="D27008" s="8" t="inlineStr">
        <is>
          <t>Disneyland Park</t>
        </is>
      </c>
      <c r="E27008" s="8" t="inlineStr">
        <is>
          <t>Phantom Manor</t>
        </is>
      </c>
      <c r="F27008" s="8" t="inlineStr">
        <is>
          <t>STANDBY</t>
        </is>
      </c>
      <c r="G27008" s="8" t="n">
        <v>5</v>
      </c>
      <c r="H27008" s="8" t="inlineStr">
        <is>
          <t>OPERATING</t>
        </is>
      </c>
    </row>
    <row r="27009">
      <c r="A27009" s="8" t="inlineStr">
        <is>
          <t>2026-08-05</t>
        </is>
      </c>
      <c r="B27009" s="8" t="n">
        <v>21</v>
      </c>
      <c r="C27009" s="8" t="n">
        <v>15</v>
      </c>
      <c r="D27009" s="8" t="inlineStr">
        <is>
          <t>Disneyland Park</t>
        </is>
      </c>
      <c r="E27009" s="8" t="inlineStr">
        <is>
          <t>River Rogue Keelboats</t>
        </is>
      </c>
      <c r="F27009" s="8" t="inlineStr">
        <is>
          <t>STANDBY</t>
        </is>
      </c>
      <c r="G27009" s="8" t="n">
        <v>0</v>
      </c>
      <c r="H27009" s="8" t="inlineStr">
        <is>
          <t>CLOSED</t>
        </is>
      </c>
    </row>
    <row r="27010">
      <c r="A27010" s="8" t="inlineStr">
        <is>
          <t>2026-08-05</t>
        </is>
      </c>
      <c r="B27010" s="8" t="n">
        <v>21</v>
      </c>
      <c r="C27010" s="8" t="n">
        <v>15</v>
      </c>
      <c r="D27010" s="8" t="inlineStr">
        <is>
          <t>Disneyland Park</t>
        </is>
      </c>
      <c r="E27010" s="8" t="inlineStr">
        <is>
          <t>Rustler Roundup Shootin' Gallery</t>
        </is>
      </c>
      <c r="F27010" s="8" t="inlineStr">
        <is>
          <t>STANDBY</t>
        </is>
      </c>
      <c r="G27010" s="8" t="n">
        <v>0</v>
      </c>
      <c r="H27010" s="8" t="inlineStr">
        <is>
          <t>OPERATING</t>
        </is>
      </c>
    </row>
    <row r="27011">
      <c r="A27011" s="8" t="inlineStr">
        <is>
          <t>2026-08-05</t>
        </is>
      </c>
      <c r="B27011" s="8" t="n">
        <v>21</v>
      </c>
      <c r="C27011" s="8" t="n">
        <v>15</v>
      </c>
      <c r="D27011" s="8" t="inlineStr">
        <is>
          <t>Disneyland Park</t>
        </is>
      </c>
      <c r="E27011" s="8" t="inlineStr">
        <is>
          <t>Thunder Mesa Riverboat Landing</t>
        </is>
      </c>
      <c r="F27011" s="8" t="inlineStr">
        <is>
          <t>STANDBY</t>
        </is>
      </c>
      <c r="G27011" s="8" t="n">
        <v>0</v>
      </c>
      <c r="H27011" s="8" t="inlineStr">
        <is>
          <t>CLOSED</t>
        </is>
      </c>
    </row>
    <row r="27012">
      <c r="A27012" s="8" t="inlineStr">
        <is>
          <t>2026-08-05</t>
        </is>
      </c>
      <c r="B27012" s="8" t="n">
        <v>21</v>
      </c>
      <c r="C27012" s="8" t="n">
        <v>15</v>
      </c>
      <c r="D27012" s="8" t="inlineStr">
        <is>
          <t>Disneyland Park</t>
        </is>
      </c>
      <c r="E27012" s="8" t="inlineStr">
        <is>
          <t>Disneyland Railroad Main Street Station</t>
        </is>
      </c>
      <c r="F27012" s="8" t="inlineStr">
        <is>
          <t>STANDBY</t>
        </is>
      </c>
      <c r="G27012" s="8" t="n">
        <v>0</v>
      </c>
      <c r="H27012" s="8" t="inlineStr">
        <is>
          <t>CLOSED</t>
        </is>
      </c>
    </row>
    <row r="27013">
      <c r="A27013" s="8" t="inlineStr">
        <is>
          <t>2026-08-05</t>
        </is>
      </c>
      <c r="B27013" s="8" t="n">
        <v>21</v>
      </c>
      <c r="C27013" s="8" t="n">
        <v>15</v>
      </c>
      <c r="D27013" s="8" t="inlineStr">
        <is>
          <t>Disneyland Park</t>
        </is>
      </c>
      <c r="E27013" s="8" t="inlineStr">
        <is>
          <t>Main Street Vehicles</t>
        </is>
      </c>
      <c r="F27013" s="8" t="inlineStr">
        <is>
          <t>STANDBY</t>
        </is>
      </c>
      <c r="G27013" s="8" t="n">
        <v>0</v>
      </c>
      <c r="H27013" s="8" t="inlineStr">
        <is>
          <t>CLOSED</t>
        </is>
      </c>
    </row>
    <row r="27014">
      <c r="A27014" s="8" t="inlineStr">
        <is>
          <t>2026-08-05</t>
        </is>
      </c>
      <c r="B27014" s="8" t="n">
        <v>21</v>
      </c>
      <c r="C27014" s="8" t="n">
        <v>15</v>
      </c>
      <c r="D27014" s="8" t="inlineStr">
        <is>
          <t>Disney Adventure World</t>
        </is>
      </c>
      <c r="E27014" s="8" t="inlineStr">
        <is>
          <t>Avengers Assemble: Flight Force</t>
        </is>
      </c>
      <c r="F27014" s="8" t="inlineStr">
        <is>
          <t>STANDBY</t>
        </is>
      </c>
      <c r="G27014" s="8" t="n">
        <v>15</v>
      </c>
      <c r="H27014" s="8" t="inlineStr">
        <is>
          <t>OPERATING</t>
        </is>
      </c>
    </row>
    <row r="27015">
      <c r="A27015" s="8" t="inlineStr">
        <is>
          <t>2026-08-05</t>
        </is>
      </c>
      <c r="B27015" s="8" t="n">
        <v>21</v>
      </c>
      <c r="C27015" s="8" t="n">
        <v>15</v>
      </c>
      <c r="D27015" s="8" t="inlineStr">
        <is>
          <t>Disney Adventure World</t>
        </is>
      </c>
      <c r="E27015" s="8" t="inlineStr">
        <is>
          <t>Avengers Assemble: Flight Force Single Rider</t>
        </is>
      </c>
      <c r="F27015" s="8" t="inlineStr">
        <is>
          <t>STANDBY</t>
        </is>
      </c>
      <c r="G27015" s="8" t="n">
        <v>10</v>
      </c>
      <c r="H27015" s="8" t="inlineStr">
        <is>
          <t>OPERATING</t>
        </is>
      </c>
    </row>
    <row r="27016">
      <c r="A27016" s="8" t="inlineStr">
        <is>
          <t>2026-08-05</t>
        </is>
      </c>
      <c r="B27016" s="8" t="n">
        <v>21</v>
      </c>
      <c r="C27016" s="8" t="n">
        <v>15</v>
      </c>
      <c r="D27016" s="8" t="inlineStr">
        <is>
          <t>Disney Adventure World</t>
        </is>
      </c>
      <c r="E27016" s="8" t="inlineStr">
        <is>
          <t>Spider-Man W.E.B. Adventure</t>
        </is>
      </c>
      <c r="F27016" s="8" t="inlineStr">
        <is>
          <t>STANDBY</t>
        </is>
      </c>
      <c r="G27016" s="8" t="n">
        <v>35</v>
      </c>
      <c r="H27016" s="8" t="inlineStr">
        <is>
          <t>OPERATING</t>
        </is>
      </c>
    </row>
    <row r="27017">
      <c r="A27017" s="8" t="inlineStr">
        <is>
          <t>2026-08-05</t>
        </is>
      </c>
      <c r="B27017" s="8" t="n">
        <v>21</v>
      </c>
      <c r="C27017" s="8" t="n">
        <v>15</v>
      </c>
      <c r="D27017" s="8" t="inlineStr">
        <is>
          <t>Disney Adventure World</t>
        </is>
      </c>
      <c r="E27017" s="8" t="inlineStr">
        <is>
          <t>Spider-Man W.E.B. Adventure Single Rider</t>
        </is>
      </c>
      <c r="F27017" s="8" t="inlineStr">
        <is>
          <t>STANDBY</t>
        </is>
      </c>
      <c r="G27017" s="8" t="n">
        <v>5</v>
      </c>
      <c r="H27017" s="8" t="inlineStr">
        <is>
          <t>OPERATING</t>
        </is>
      </c>
    </row>
    <row r="27018">
      <c r="A27018" s="8" t="inlineStr">
        <is>
          <t>2026-08-05</t>
        </is>
      </c>
      <c r="B27018" s="8" t="n">
        <v>21</v>
      </c>
      <c r="C27018" s="8" t="n">
        <v>15</v>
      </c>
      <c r="D27018" s="8" t="inlineStr">
        <is>
          <t>Disney Adventure World</t>
        </is>
      </c>
      <c r="E27018" s="8" t="inlineStr">
        <is>
          <t>The Twilight Zone Tower of Terror</t>
        </is>
      </c>
      <c r="F27018" s="8" t="inlineStr">
        <is>
          <t>STANDBY</t>
        </is>
      </c>
      <c r="G27018" s="8" t="n">
        <v>20</v>
      </c>
      <c r="H27018" s="8" t="inlineStr">
        <is>
          <t>OPERATING</t>
        </is>
      </c>
    </row>
    <row r="27019">
      <c r="A27019" s="8" t="inlineStr">
        <is>
          <t>2026-08-05</t>
        </is>
      </c>
      <c r="B27019" s="8" t="n">
        <v>21</v>
      </c>
      <c r="C27019" s="8" t="n">
        <v>15</v>
      </c>
      <c r="D27019" s="8" t="inlineStr">
        <is>
          <t>Disney Adventure World</t>
        </is>
      </c>
      <c r="E27019" s="8" t="inlineStr">
        <is>
          <t>Cars Quatre Roues Rallye</t>
        </is>
      </c>
      <c r="F27019" s="8" t="inlineStr">
        <is>
          <t>STANDBY</t>
        </is>
      </c>
      <c r="G27019" s="8" t="n">
        <v>15</v>
      </c>
      <c r="H27019" s="8" t="inlineStr">
        <is>
          <t>OPERATING</t>
        </is>
      </c>
    </row>
    <row r="27020">
      <c r="A27020" s="8" t="inlineStr">
        <is>
          <t>2026-08-05</t>
        </is>
      </c>
      <c r="B27020" s="8" t="n">
        <v>21</v>
      </c>
      <c r="C27020" s="8" t="n">
        <v>15</v>
      </c>
      <c r="D27020" s="8" t="inlineStr">
        <is>
          <t>Disney Adventure World</t>
        </is>
      </c>
      <c r="E27020" s="8" t="inlineStr">
        <is>
          <t>Cars ROAD TRIP</t>
        </is>
      </c>
      <c r="F27020" s="8" t="inlineStr">
        <is>
          <t>STANDBY</t>
        </is>
      </c>
      <c r="G27020" s="8" t="n">
        <v>0</v>
      </c>
      <c r="H27020" s="8" t="inlineStr">
        <is>
          <t>CLOSED</t>
        </is>
      </c>
    </row>
    <row r="27021">
      <c r="A27021" s="8" t="inlineStr">
        <is>
          <t>2026-08-05</t>
        </is>
      </c>
      <c r="B27021" s="8" t="n">
        <v>21</v>
      </c>
      <c r="C27021" s="8" t="n">
        <v>15</v>
      </c>
      <c r="D27021" s="8" t="inlineStr">
        <is>
          <t>Disney Adventure World</t>
        </is>
      </c>
      <c r="E27021" s="8" t="inlineStr">
        <is>
          <t>Crush's Coaster</t>
        </is>
      </c>
      <c r="F27021" s="8" t="inlineStr">
        <is>
          <t>STANDBY</t>
        </is>
      </c>
      <c r="G27021" s="8" t="n">
        <v>60</v>
      </c>
      <c r="H27021" s="8" t="inlineStr">
        <is>
          <t>OPERATING</t>
        </is>
      </c>
    </row>
    <row r="27022">
      <c r="A27022" s="8" t="inlineStr">
        <is>
          <t>2026-08-05</t>
        </is>
      </c>
      <c r="B27022" s="8" t="n">
        <v>21</v>
      </c>
      <c r="C27022" s="8" t="n">
        <v>15</v>
      </c>
      <c r="D27022" s="8" t="inlineStr">
        <is>
          <t>Disney Adventure World</t>
        </is>
      </c>
      <c r="E27022" s="8" t="inlineStr">
        <is>
          <t>Crush's Coaster Single Rider</t>
        </is>
      </c>
      <c r="F27022" s="8" t="inlineStr">
        <is>
          <t>STANDBY</t>
        </is>
      </c>
      <c r="G27022" s="8" t="n">
        <v>45</v>
      </c>
      <c r="H27022" s="8" t="inlineStr">
        <is>
          <t>OPERATING</t>
        </is>
      </c>
    </row>
    <row r="27023">
      <c r="A27023" s="8" t="inlineStr">
        <is>
          <t>2026-08-05</t>
        </is>
      </c>
      <c r="B27023" s="8" t="n">
        <v>21</v>
      </c>
      <c r="C27023" s="8" t="n">
        <v>15</v>
      </c>
      <c r="D27023" s="8" t="inlineStr">
        <is>
          <t>Disney Adventure World</t>
        </is>
      </c>
      <c r="E27023" s="8" t="inlineStr">
        <is>
          <t>Les Tapis Volants - Flying Carpets Over Agrabah®</t>
        </is>
      </c>
      <c r="F27023" s="8" t="inlineStr">
        <is>
          <t>STANDBY</t>
        </is>
      </c>
      <c r="G27023" s="8" t="n">
        <v>5</v>
      </c>
      <c r="H27023" s="8" t="inlineStr">
        <is>
          <t>OPERATING</t>
        </is>
      </c>
    </row>
    <row r="27024">
      <c r="A27024" s="8" t="inlineStr">
        <is>
          <t>2026-08-05</t>
        </is>
      </c>
      <c r="B27024" s="8" t="n">
        <v>21</v>
      </c>
      <c r="C27024" s="8" t="n">
        <v>15</v>
      </c>
      <c r="D27024" s="8" t="inlineStr">
        <is>
          <t>Disney Adventure World</t>
        </is>
      </c>
      <c r="E27024" s="8" t="inlineStr">
        <is>
          <t>Ratatouille : L’Aventure Totalement Toquée de Rémy​</t>
        </is>
      </c>
      <c r="F27024" s="8" t="inlineStr">
        <is>
          <t>STANDBY</t>
        </is>
      </c>
      <c r="G27024" s="8" t="n">
        <v>35</v>
      </c>
      <c r="H27024" s="8" t="inlineStr">
        <is>
          <t>OPERATING</t>
        </is>
      </c>
    </row>
    <row r="27025">
      <c r="A27025" s="8" t="inlineStr">
        <is>
          <t>2026-08-05</t>
        </is>
      </c>
      <c r="B27025" s="8" t="n">
        <v>21</v>
      </c>
      <c r="C27025" s="8" t="n">
        <v>15</v>
      </c>
      <c r="D27025" s="8" t="inlineStr">
        <is>
          <t>Disney Adventure World</t>
        </is>
      </c>
      <c r="E27025" s="8" t="inlineStr">
        <is>
          <t>Ratatouille: The Adventure Single Rider</t>
        </is>
      </c>
      <c r="F27025" s="8" t="inlineStr">
        <is>
          <t>STANDBY</t>
        </is>
      </c>
      <c r="G27025" s="8" t="n">
        <v>15</v>
      </c>
      <c r="H27025" s="8" t="inlineStr">
        <is>
          <t>OPERATING</t>
        </is>
      </c>
    </row>
    <row r="27026">
      <c r="A27026" s="8" t="inlineStr">
        <is>
          <t>2026-08-05</t>
        </is>
      </c>
      <c r="B27026" s="8" t="n">
        <v>21</v>
      </c>
      <c r="C27026" s="8" t="n">
        <v>15</v>
      </c>
      <c r="D27026" s="8" t="inlineStr">
        <is>
          <t>Disney Adventure World</t>
        </is>
      </c>
      <c r="E27026" s="8" t="inlineStr">
        <is>
          <t>RC Racer</t>
        </is>
      </c>
      <c r="F27026" s="8" t="inlineStr">
        <is>
          <t>STANDBY</t>
        </is>
      </c>
      <c r="G27026" s="8" t="n">
        <v>35</v>
      </c>
      <c r="H27026" s="8" t="inlineStr">
        <is>
          <t>OPERATING</t>
        </is>
      </c>
    </row>
    <row r="27027">
      <c r="A27027" s="8" t="inlineStr">
        <is>
          <t>2026-08-05</t>
        </is>
      </c>
      <c r="B27027" s="8" t="n">
        <v>21</v>
      </c>
      <c r="C27027" s="8" t="n">
        <v>15</v>
      </c>
      <c r="D27027" s="8" t="inlineStr">
        <is>
          <t>Disney Adventure World</t>
        </is>
      </c>
      <c r="E27027" s="8" t="inlineStr">
        <is>
          <t>RC Racer Single Rider</t>
        </is>
      </c>
      <c r="F27027" s="8" t="inlineStr">
        <is>
          <t>STANDBY</t>
        </is>
      </c>
      <c r="G27027" s="8" t="n">
        <v>30</v>
      </c>
      <c r="H27027" s="8" t="inlineStr">
        <is>
          <t>OPERATING</t>
        </is>
      </c>
    </row>
    <row r="27028">
      <c r="A27028" s="8" t="inlineStr">
        <is>
          <t>2026-08-05</t>
        </is>
      </c>
      <c r="B27028" s="8" t="n">
        <v>21</v>
      </c>
      <c r="C27028" s="8" t="n">
        <v>15</v>
      </c>
      <c r="D27028" s="8" t="inlineStr">
        <is>
          <t>Disney Adventure World</t>
        </is>
      </c>
      <c r="E27028" s="8" t="inlineStr">
        <is>
          <t>Slinky® Dog Zigzag Spin</t>
        </is>
      </c>
      <c r="F27028" s="8" t="inlineStr">
        <is>
          <t>STANDBY</t>
        </is>
      </c>
      <c r="G27028" s="8" t="n">
        <v>5</v>
      </c>
      <c r="H27028" s="8" t="inlineStr">
        <is>
          <t>OPERATING</t>
        </is>
      </c>
    </row>
    <row r="27029">
      <c r="A27029" s="8" t="inlineStr">
        <is>
          <t>2026-08-05</t>
        </is>
      </c>
      <c r="B27029" s="8" t="n">
        <v>21</v>
      </c>
      <c r="C27029" s="8" t="n">
        <v>15</v>
      </c>
      <c r="D27029" s="8" t="inlineStr">
        <is>
          <t>Disney Adventure World</t>
        </is>
      </c>
      <c r="E27029" s="8" t="inlineStr">
        <is>
          <t>Toy Soldiers Parachute Drop</t>
        </is>
      </c>
      <c r="F27029" s="8" t="inlineStr">
        <is>
          <t>STANDBY</t>
        </is>
      </c>
      <c r="G27029" s="8" t="n">
        <v>40</v>
      </c>
      <c r="H27029" s="8" t="inlineStr">
        <is>
          <t>OPERATING</t>
        </is>
      </c>
    </row>
    <row r="27030">
      <c r="A27030" s="8" t="inlineStr">
        <is>
          <t>2026-08-05</t>
        </is>
      </c>
      <c r="B27030" s="8" t="n">
        <v>21</v>
      </c>
      <c r="C27030" s="8" t="n">
        <v>15</v>
      </c>
      <c r="D27030" s="8" t="inlineStr">
        <is>
          <t>Disney Adventure World</t>
        </is>
      </c>
      <c r="E27030" s="8" t="inlineStr">
        <is>
          <t>Toy Soldiers Parachute Drop Single Rider</t>
        </is>
      </c>
      <c r="F27030" s="8" t="inlineStr">
        <is>
          <t>STANDBY</t>
        </is>
      </c>
      <c r="G27030" s="8" t="n">
        <v>15</v>
      </c>
      <c r="H27030" s="8" t="inlineStr">
        <is>
          <t>OPERATING</t>
        </is>
      </c>
    </row>
    <row r="27031">
      <c r="A27031" s="8" t="inlineStr">
        <is>
          <t>2026-08-05</t>
        </is>
      </c>
      <c r="B27031" s="8" t="n">
        <v>21</v>
      </c>
      <c r="C27031" s="8" t="n">
        <v>15</v>
      </c>
      <c r="D27031" s="8" t="inlineStr">
        <is>
          <t>Disney Adventure World</t>
        </is>
      </c>
      <c r="E27031" s="8" t="inlineStr">
        <is>
          <t>Entry to World of Frozen</t>
        </is>
      </c>
      <c r="F27031" s="8" t="inlineStr">
        <is>
          <t>STANDBY</t>
        </is>
      </c>
      <c r="G27031" s="8" t="n">
        <v>0</v>
      </c>
      <c r="H27031" s="8" t="inlineStr">
        <is>
          <t>OPERATING</t>
        </is>
      </c>
    </row>
    <row r="27032">
      <c r="A27032" s="8" t="inlineStr">
        <is>
          <t>2026-08-05</t>
        </is>
      </c>
      <c r="B27032" s="8" t="n">
        <v>21</v>
      </c>
      <c r="C27032" s="8" t="n">
        <v>15</v>
      </c>
      <c r="D27032" s="8" t="inlineStr">
        <is>
          <t>Disney Adventure World</t>
        </is>
      </c>
      <c r="E27032" s="8" t="inlineStr">
        <is>
          <t>Frozen Ever After</t>
        </is>
      </c>
      <c r="F27032" s="8" t="inlineStr">
        <is>
          <t>STANDBY</t>
        </is>
      </c>
      <c r="G27032" s="8" t="n">
        <v>40</v>
      </c>
      <c r="H27032" s="8" t="inlineStr">
        <is>
          <t>OPERATING</t>
        </is>
      </c>
    </row>
    <row r="27033">
      <c r="A27033" s="8" t="inlineStr">
        <is>
          <t>2026-08-05</t>
        </is>
      </c>
      <c r="B27033" s="8" t="n">
        <v>21</v>
      </c>
      <c r="C27033" s="8" t="n">
        <v>15</v>
      </c>
      <c r="D27033" s="8" t="inlineStr">
        <is>
          <t>Disney Adventure World</t>
        </is>
      </c>
      <c r="E27033" s="8" t="inlineStr">
        <is>
          <t>Raiponce Tangled Spin</t>
        </is>
      </c>
      <c r="F27033" s="8" t="inlineStr">
        <is>
          <t>STANDBY</t>
        </is>
      </c>
      <c r="G27033" s="8" t="n">
        <v>5</v>
      </c>
      <c r="H27033" s="8" t="inlineStr">
        <is>
          <t>OPERATING</t>
        </is>
      </c>
    </row>
    <row r="27034">
      <c r="A27034" s="8" t="inlineStr">
        <is>
          <t>2026-08-05</t>
        </is>
      </c>
      <c r="B27034" s="8" t="n">
        <v>21</v>
      </c>
      <c r="C27034" s="8" t="n">
        <v>31</v>
      </c>
      <c r="D27034" s="8" t="inlineStr">
        <is>
          <t>Disneyland Park</t>
        </is>
      </c>
      <c r="E27034" s="8" t="inlineStr">
        <is>
          <t>Adventure Isle</t>
        </is>
      </c>
      <c r="F27034" s="8" t="inlineStr">
        <is>
          <t>STANDBY</t>
        </is>
      </c>
      <c r="G27034" s="8" t="n">
        <v>0</v>
      </c>
      <c r="H27034" s="8" t="inlineStr">
        <is>
          <t>OPERATING</t>
        </is>
      </c>
    </row>
    <row r="27035">
      <c r="A27035" s="8" t="inlineStr">
        <is>
          <t>2026-08-05</t>
        </is>
      </c>
      <c r="B27035" s="8" t="n">
        <v>21</v>
      </c>
      <c r="C27035" s="8" t="n">
        <v>31</v>
      </c>
      <c r="D27035" s="8" t="inlineStr">
        <is>
          <t>Disneyland Park</t>
        </is>
      </c>
      <c r="E27035" s="8" t="inlineStr">
        <is>
          <t>Indiana Jones and the Temple of Peril Single Rider</t>
        </is>
      </c>
      <c r="F27035" s="8" t="inlineStr">
        <is>
          <t>STANDBY</t>
        </is>
      </c>
      <c r="G27035" s="8" t="n">
        <v>5</v>
      </c>
      <c r="H27035" s="8" t="inlineStr">
        <is>
          <t>OPERATING</t>
        </is>
      </c>
    </row>
    <row r="27036">
      <c r="A27036" s="8" t="inlineStr">
        <is>
          <t>2026-08-05</t>
        </is>
      </c>
      <c r="B27036" s="8" t="n">
        <v>21</v>
      </c>
      <c r="C27036" s="8" t="n">
        <v>31</v>
      </c>
      <c r="D27036" s="8" t="inlineStr">
        <is>
          <t>Disneyland Park</t>
        </is>
      </c>
      <c r="E27036" s="8" t="inlineStr">
        <is>
          <t>Indiana Jones™ and the Temple of Peril</t>
        </is>
      </c>
      <c r="F27036" s="8" t="inlineStr">
        <is>
          <t>STANDBY</t>
        </is>
      </c>
      <c r="G27036" s="8" t="n">
        <v>10</v>
      </c>
      <c r="H27036" s="8" t="inlineStr">
        <is>
          <t>OPERATING</t>
        </is>
      </c>
    </row>
    <row r="27037">
      <c r="A27037" s="8" t="inlineStr">
        <is>
          <t>2026-08-05</t>
        </is>
      </c>
      <c r="B27037" s="8" t="n">
        <v>21</v>
      </c>
      <c r="C27037" s="8" t="n">
        <v>31</v>
      </c>
      <c r="D27037" s="8" t="inlineStr">
        <is>
          <t>Disneyland Park</t>
        </is>
      </c>
      <c r="E27037" s="8" t="inlineStr">
        <is>
          <t>La Cabane des Robinson</t>
        </is>
      </c>
      <c r="F27037" s="8" t="inlineStr">
        <is>
          <t>STANDBY</t>
        </is>
      </c>
      <c r="G27037" s="8" t="n">
        <v>5</v>
      </c>
      <c r="H27037" s="8" t="inlineStr">
        <is>
          <t>OPERATING</t>
        </is>
      </c>
    </row>
    <row r="27038">
      <c r="A27038" s="8" t="inlineStr">
        <is>
          <t>2026-08-05</t>
        </is>
      </c>
      <c r="B27038" s="8" t="n">
        <v>21</v>
      </c>
      <c r="C27038" s="8" t="n">
        <v>31</v>
      </c>
      <c r="D27038" s="8" t="inlineStr">
        <is>
          <t>Disneyland Park</t>
        </is>
      </c>
      <c r="E27038" s="8" t="inlineStr">
        <is>
          <t>Le Passage Enchanté d'Aladdin</t>
        </is>
      </c>
      <c r="F27038" s="8" t="inlineStr">
        <is>
          <t>STANDBY</t>
        </is>
      </c>
      <c r="G27038" s="8" t="n">
        <v>0</v>
      </c>
      <c r="H27038" s="8" t="inlineStr">
        <is>
          <t>OPERATING</t>
        </is>
      </c>
    </row>
    <row r="27039">
      <c r="A27039" s="8" t="inlineStr">
        <is>
          <t>2026-08-05</t>
        </is>
      </c>
      <c r="B27039" s="8" t="n">
        <v>21</v>
      </c>
      <c r="C27039" s="8" t="n">
        <v>31</v>
      </c>
      <c r="D27039" s="8" t="inlineStr">
        <is>
          <t>Disneyland Park</t>
        </is>
      </c>
      <c r="E27039" s="8" t="inlineStr">
        <is>
          <t>Pirate Galleon</t>
        </is>
      </c>
      <c r="F27039" s="8" t="inlineStr">
        <is>
          <t>STANDBY</t>
        </is>
      </c>
      <c r="G27039" s="8" t="n">
        <v>0</v>
      </c>
      <c r="H27039" s="8" t="inlineStr">
        <is>
          <t>CLOSED</t>
        </is>
      </c>
    </row>
    <row r="27040">
      <c r="A27040" s="8" t="inlineStr">
        <is>
          <t>2026-08-05</t>
        </is>
      </c>
      <c r="B27040" s="8" t="n">
        <v>21</v>
      </c>
      <c r="C27040" s="8" t="n">
        <v>31</v>
      </c>
      <c r="D27040" s="8" t="inlineStr">
        <is>
          <t>Disneyland Park</t>
        </is>
      </c>
      <c r="E27040" s="8" t="inlineStr">
        <is>
          <t>Pirates of the Caribbean</t>
        </is>
      </c>
      <c r="F27040" s="8" t="inlineStr">
        <is>
          <t>STANDBY</t>
        </is>
      </c>
      <c r="G27040" s="8" t="n">
        <v>20</v>
      </c>
      <c r="H27040" s="8" t="inlineStr">
        <is>
          <t>OPERATING</t>
        </is>
      </c>
    </row>
    <row r="27041">
      <c r="A27041" s="8" t="inlineStr">
        <is>
          <t>2026-08-05</t>
        </is>
      </c>
      <c r="B27041" s="8" t="n">
        <v>21</v>
      </c>
      <c r="C27041" s="8" t="n">
        <v>31</v>
      </c>
      <c r="D27041" s="8" t="inlineStr">
        <is>
          <t>Disneyland Park</t>
        </is>
      </c>
      <c r="E27041" s="8" t="inlineStr">
        <is>
          <t>Pirates' Beach</t>
        </is>
      </c>
      <c r="F27041" s="8" t="inlineStr">
        <is>
          <t>STANDBY</t>
        </is>
      </c>
      <c r="G27041" s="8" t="n">
        <v>0</v>
      </c>
      <c r="H27041" s="8" t="inlineStr">
        <is>
          <t>OPERATING</t>
        </is>
      </c>
    </row>
    <row r="27042">
      <c r="A27042" s="8" t="inlineStr">
        <is>
          <t>2026-08-05</t>
        </is>
      </c>
      <c r="B27042" s="8" t="n">
        <v>21</v>
      </c>
      <c r="C27042" s="8" t="n">
        <v>31</v>
      </c>
      <c r="D27042" s="8" t="inlineStr">
        <is>
          <t>Disneyland Park</t>
        </is>
      </c>
      <c r="E27042" s="8" t="inlineStr">
        <is>
          <t>Autopia, presented by Avis</t>
        </is>
      </c>
      <c r="F27042" s="8" t="inlineStr">
        <is>
          <t>STANDBY</t>
        </is>
      </c>
      <c r="G27042" s="8" t="n">
        <v>40</v>
      </c>
      <c r="H27042" s="8" t="inlineStr">
        <is>
          <t>OPERATING</t>
        </is>
      </c>
    </row>
    <row r="27043">
      <c r="A27043" s="8" t="inlineStr">
        <is>
          <t>2026-08-05</t>
        </is>
      </c>
      <c r="B27043" s="8" t="n">
        <v>21</v>
      </c>
      <c r="C27043" s="8" t="n">
        <v>31</v>
      </c>
      <c r="D27043" s="8" t="inlineStr">
        <is>
          <t>Disneyland Park</t>
        </is>
      </c>
      <c r="E27043" s="8" t="inlineStr">
        <is>
          <t>Buzz Lightyear Laser Blast</t>
        </is>
      </c>
      <c r="F27043" s="8" t="inlineStr">
        <is>
          <t>STANDBY</t>
        </is>
      </c>
      <c r="G27043" s="8" t="n">
        <v>25</v>
      </c>
      <c r="H27043" s="8" t="inlineStr">
        <is>
          <t>OPERATING</t>
        </is>
      </c>
    </row>
    <row r="27044">
      <c r="A27044" s="8" t="inlineStr">
        <is>
          <t>2026-08-05</t>
        </is>
      </c>
      <c r="B27044" s="8" t="n">
        <v>21</v>
      </c>
      <c r="C27044" s="8" t="n">
        <v>31</v>
      </c>
      <c r="D27044" s="8" t="inlineStr">
        <is>
          <t>Disneyland Park</t>
        </is>
      </c>
      <c r="E27044" s="8" t="inlineStr">
        <is>
          <t>Disneyland Railroad Discoveryland Station</t>
        </is>
      </c>
      <c r="F27044" s="8" t="inlineStr">
        <is>
          <t>STANDBY</t>
        </is>
      </c>
      <c r="G27044" s="8" t="n">
        <v>0</v>
      </c>
      <c r="H27044" s="8" t="inlineStr">
        <is>
          <t>CLOSED</t>
        </is>
      </c>
    </row>
    <row r="27045">
      <c r="A27045" s="8" t="inlineStr">
        <is>
          <t>2026-08-05</t>
        </is>
      </c>
      <c r="B27045" s="8" t="n">
        <v>21</v>
      </c>
      <c r="C27045" s="8" t="n">
        <v>31</v>
      </c>
      <c r="D27045" s="8" t="inlineStr">
        <is>
          <t>Disneyland Park</t>
        </is>
      </c>
      <c r="E27045" s="8" t="inlineStr">
        <is>
          <t>Les Mystères du Nautilus</t>
        </is>
      </c>
      <c r="F27045" s="8" t="inlineStr">
        <is>
          <t>STANDBY</t>
        </is>
      </c>
      <c r="G27045" s="8" t="n">
        <v>5</v>
      </c>
      <c r="H27045" s="8" t="inlineStr">
        <is>
          <t>OPERATING</t>
        </is>
      </c>
    </row>
    <row r="27046">
      <c r="A27046" s="8" t="inlineStr">
        <is>
          <t>2026-08-05</t>
        </is>
      </c>
      <c r="B27046" s="8" t="n">
        <v>21</v>
      </c>
      <c r="C27046" s="8" t="n">
        <v>31</v>
      </c>
      <c r="D27046" s="8" t="inlineStr">
        <is>
          <t>Disneyland Park</t>
        </is>
      </c>
      <c r="E27046" s="8" t="inlineStr">
        <is>
          <t>Mickey’s PhilharMagic</t>
        </is>
      </c>
      <c r="F27046" s="8" t="inlineStr">
        <is>
          <t>STANDBY</t>
        </is>
      </c>
      <c r="G27046" s="8" t="n">
        <v>0</v>
      </c>
      <c r="H27046" s="8" t="inlineStr">
        <is>
          <t>CLOSED</t>
        </is>
      </c>
    </row>
    <row r="27047">
      <c r="A27047" s="8" t="inlineStr">
        <is>
          <t>2026-08-05</t>
        </is>
      </c>
      <c r="B27047" s="8" t="n">
        <v>21</v>
      </c>
      <c r="C27047" s="8" t="n">
        <v>31</v>
      </c>
      <c r="D27047" s="8" t="inlineStr">
        <is>
          <t>Disneyland Park</t>
        </is>
      </c>
      <c r="E27047" s="8" t="inlineStr">
        <is>
          <t>Orbitron®</t>
        </is>
      </c>
      <c r="F27047" s="8" t="inlineStr">
        <is>
          <t>STANDBY</t>
        </is>
      </c>
      <c r="G27047" s="8" t="n">
        <v>40</v>
      </c>
      <c r="H27047" s="8" t="inlineStr">
        <is>
          <t>OPERATING</t>
        </is>
      </c>
    </row>
    <row r="27048">
      <c r="A27048" s="8" t="inlineStr">
        <is>
          <t>2026-08-05</t>
        </is>
      </c>
      <c r="B27048" s="8" t="n">
        <v>21</v>
      </c>
      <c r="C27048" s="8" t="n">
        <v>31</v>
      </c>
      <c r="D27048" s="8" t="inlineStr">
        <is>
          <t>Disneyland Park</t>
        </is>
      </c>
      <c r="E27048" s="8" t="inlineStr">
        <is>
          <t>Star Tours: The Adventures Continue*</t>
        </is>
      </c>
      <c r="F27048" s="8" t="inlineStr">
        <is>
          <t>STANDBY</t>
        </is>
      </c>
      <c r="G27048" s="8" t="n">
        <v>10</v>
      </c>
      <c r="H27048" s="8" t="inlineStr">
        <is>
          <t>OPERATING</t>
        </is>
      </c>
    </row>
    <row r="27049">
      <c r="A27049" s="8" t="inlineStr">
        <is>
          <t>2026-08-05</t>
        </is>
      </c>
      <c r="B27049" s="8" t="n">
        <v>21</v>
      </c>
      <c r="C27049" s="8" t="n">
        <v>31</v>
      </c>
      <c r="D27049" s="8" t="inlineStr">
        <is>
          <t>Disneyland Park</t>
        </is>
      </c>
      <c r="E27049" s="8" t="inlineStr">
        <is>
          <t>Star Wars Hyperspace Mountain</t>
        </is>
      </c>
      <c r="F27049" s="8" t="inlineStr">
        <is>
          <t>STANDBY</t>
        </is>
      </c>
      <c r="G27049" s="8" t="n">
        <v>20</v>
      </c>
      <c r="H27049" s="8" t="inlineStr">
        <is>
          <t>OPERATING</t>
        </is>
      </c>
    </row>
    <row r="27050">
      <c r="A27050" s="8" t="inlineStr">
        <is>
          <t>2026-08-05</t>
        </is>
      </c>
      <c r="B27050" s="8" t="n">
        <v>21</v>
      </c>
      <c r="C27050" s="8" t="n">
        <v>31</v>
      </c>
      <c r="D27050" s="8" t="inlineStr">
        <is>
          <t>Disneyland Park</t>
        </is>
      </c>
      <c r="E27050" s="8" t="inlineStr">
        <is>
          <t>Star Wars Hyperspace Mountain Single Rider</t>
        </is>
      </c>
      <c r="F27050" s="8" t="inlineStr">
        <is>
          <t>STANDBY</t>
        </is>
      </c>
      <c r="G27050" s="8" t="n">
        <v>0</v>
      </c>
      <c r="H27050" s="8" t="inlineStr">
        <is>
          <t>OPERATING</t>
        </is>
      </c>
    </row>
    <row r="27051">
      <c r="A27051" s="8" t="inlineStr">
        <is>
          <t>2026-08-05</t>
        </is>
      </c>
      <c r="B27051" s="8" t="n">
        <v>21</v>
      </c>
      <c r="C27051" s="8" t="n">
        <v>31</v>
      </c>
      <c r="D27051" s="8" t="inlineStr">
        <is>
          <t>Disneyland Park</t>
        </is>
      </c>
      <c r="E27051" s="8" t="inlineStr">
        <is>
          <t>Welcome to Starport: A Star Wars Encounter</t>
        </is>
      </c>
      <c r="F27051" s="8" t="inlineStr">
        <is>
          <t>STANDBY</t>
        </is>
      </c>
      <c r="G27051" s="8" t="n">
        <v>0</v>
      </c>
      <c r="H27051" s="8" t="inlineStr">
        <is>
          <t>CLOSED</t>
        </is>
      </c>
    </row>
    <row r="27052">
      <c r="A27052" s="8" t="inlineStr">
        <is>
          <t>2026-08-05</t>
        </is>
      </c>
      <c r="B27052" s="8" t="n">
        <v>21</v>
      </c>
      <c r="C27052" s="8" t="n">
        <v>31</v>
      </c>
      <c r="D27052" s="8" t="inlineStr">
        <is>
          <t>Disneyland Park</t>
        </is>
      </c>
      <c r="E27052" s="8" t="inlineStr">
        <is>
          <t>"it's a small world"</t>
        </is>
      </c>
      <c r="F27052" s="8" t="inlineStr">
        <is>
          <t>STANDBY</t>
        </is>
      </c>
      <c r="G27052" s="8" t="n">
        <v>5</v>
      </c>
      <c r="H27052" s="8" t="inlineStr">
        <is>
          <t>OPERATING</t>
        </is>
      </c>
    </row>
    <row r="27053">
      <c r="A27053" s="8" t="inlineStr">
        <is>
          <t>2026-08-05</t>
        </is>
      </c>
      <c r="B27053" s="8" t="n">
        <v>21</v>
      </c>
      <c r="C27053" s="8" t="n">
        <v>31</v>
      </c>
      <c r="D27053" s="8" t="inlineStr">
        <is>
          <t>Disneyland Park</t>
        </is>
      </c>
      <c r="E27053" s="8" t="inlineStr">
        <is>
          <t>Alice's Curious Labyrinth</t>
        </is>
      </c>
      <c r="F27053" s="8" t="inlineStr">
        <is>
          <t>STANDBY</t>
        </is>
      </c>
      <c r="G27053" s="8" t="n">
        <v>0</v>
      </c>
      <c r="H27053" s="8" t="inlineStr">
        <is>
          <t>CLOSED</t>
        </is>
      </c>
    </row>
    <row r="27054">
      <c r="A27054" s="8" t="inlineStr">
        <is>
          <t>2026-08-05</t>
        </is>
      </c>
      <c r="B27054" s="8" t="n">
        <v>21</v>
      </c>
      <c r="C27054" s="8" t="n">
        <v>31</v>
      </c>
      <c r="D27054" s="8" t="inlineStr">
        <is>
          <t>Disneyland Park</t>
        </is>
      </c>
      <c r="E27054" s="8" t="inlineStr">
        <is>
          <t>Blanche-Neige et les Sept Nains®</t>
        </is>
      </c>
      <c r="F27054" s="8" t="inlineStr">
        <is>
          <t>STANDBY</t>
        </is>
      </c>
      <c r="G27054" s="8" t="n">
        <v>0</v>
      </c>
      <c r="H27054" s="8" t="inlineStr">
        <is>
          <t>CLOSED</t>
        </is>
      </c>
    </row>
    <row r="27055">
      <c r="A27055" s="8" t="inlineStr">
        <is>
          <t>2026-08-05</t>
        </is>
      </c>
      <c r="B27055" s="8" t="n">
        <v>21</v>
      </c>
      <c r="C27055" s="8" t="n">
        <v>31</v>
      </c>
      <c r="D27055" s="8" t="inlineStr">
        <is>
          <t>Disneyland Park</t>
        </is>
      </c>
      <c r="E27055" s="8" t="inlineStr">
        <is>
          <t>Casey Jr. – le Petit Train du Cirque</t>
        </is>
      </c>
      <c r="F27055" s="8" t="inlineStr">
        <is>
          <t>STANDBY</t>
        </is>
      </c>
      <c r="G27055" s="8" t="n">
        <v>0</v>
      </c>
      <c r="H27055" s="8" t="inlineStr">
        <is>
          <t>CLOSED</t>
        </is>
      </c>
    </row>
    <row r="27056">
      <c r="A27056" s="8" t="inlineStr">
        <is>
          <t>2026-08-05</t>
        </is>
      </c>
      <c r="B27056" s="8" t="n">
        <v>21</v>
      </c>
      <c r="C27056" s="8" t="n">
        <v>31</v>
      </c>
      <c r="D27056" s="8" t="inlineStr">
        <is>
          <t>Disneyland Park</t>
        </is>
      </c>
      <c r="E27056" s="8" t="inlineStr">
        <is>
          <t>Disneyland Railroad Fantasyland Station</t>
        </is>
      </c>
      <c r="F27056" s="8" t="inlineStr">
        <is>
          <t>STANDBY</t>
        </is>
      </c>
      <c r="G27056" s="8" t="n">
        <v>0</v>
      </c>
      <c r="H27056" s="8" t="inlineStr">
        <is>
          <t>CLOSED</t>
        </is>
      </c>
    </row>
    <row r="27057">
      <c r="A27057" s="8" t="inlineStr">
        <is>
          <t>2026-08-05</t>
        </is>
      </c>
      <c r="B27057" s="8" t="n">
        <v>21</v>
      </c>
      <c r="C27057" s="8" t="n">
        <v>31</v>
      </c>
      <c r="D27057" s="8" t="inlineStr">
        <is>
          <t>Disneyland Park</t>
        </is>
      </c>
      <c r="E27057" s="8" t="inlineStr">
        <is>
          <t>Disneyland Railroad Main Street Station</t>
        </is>
      </c>
      <c r="F27057" s="8" t="inlineStr">
        <is>
          <t>STANDBY</t>
        </is>
      </c>
      <c r="G27057" s="8" t="n">
        <v>0</v>
      </c>
      <c r="H27057" s="8" t="inlineStr">
        <is>
          <t>CLOSED</t>
        </is>
      </c>
    </row>
    <row r="27058">
      <c r="A27058" s="8" t="inlineStr">
        <is>
          <t>2026-08-05</t>
        </is>
      </c>
      <c r="B27058" s="8" t="n">
        <v>21</v>
      </c>
      <c r="C27058" s="8" t="n">
        <v>31</v>
      </c>
      <c r="D27058" s="8" t="inlineStr">
        <is>
          <t>Disneyland Park</t>
        </is>
      </c>
      <c r="E27058" s="8" t="inlineStr">
        <is>
          <t>Dumbo the Flying Elephant</t>
        </is>
      </c>
      <c r="F27058" s="8" t="inlineStr">
        <is>
          <t>STANDBY</t>
        </is>
      </c>
      <c r="G27058" s="8" t="n">
        <v>20</v>
      </c>
      <c r="H27058" s="8" t="inlineStr">
        <is>
          <t>OPERATING</t>
        </is>
      </c>
    </row>
    <row r="27059">
      <c r="A27059" s="8" t="inlineStr">
        <is>
          <t>2026-08-05</t>
        </is>
      </c>
      <c r="B27059" s="8" t="n">
        <v>21</v>
      </c>
      <c r="C27059" s="8" t="n">
        <v>31</v>
      </c>
      <c r="D27059" s="8" t="inlineStr">
        <is>
          <t>Disneyland Park</t>
        </is>
      </c>
      <c r="E27059" s="8" t="inlineStr">
        <is>
          <t>La Tanière du Dragon</t>
        </is>
      </c>
      <c r="F27059" s="8" t="inlineStr">
        <is>
          <t>STANDBY</t>
        </is>
      </c>
      <c r="G27059" s="8" t="n">
        <v>0</v>
      </c>
      <c r="H27059" s="8" t="inlineStr">
        <is>
          <t>CLOSED</t>
        </is>
      </c>
    </row>
    <row r="27060">
      <c r="A27060" s="8" t="inlineStr">
        <is>
          <t>2026-08-05</t>
        </is>
      </c>
      <c r="B27060" s="8" t="n">
        <v>21</v>
      </c>
      <c r="C27060" s="8" t="n">
        <v>31</v>
      </c>
      <c r="D27060" s="8" t="inlineStr">
        <is>
          <t>Disneyland Park</t>
        </is>
      </c>
      <c r="E27060" s="8" t="inlineStr">
        <is>
          <t>Le Carrousel de Lancelot</t>
        </is>
      </c>
      <c r="F27060" s="8" t="inlineStr">
        <is>
          <t>STANDBY</t>
        </is>
      </c>
      <c r="G27060" s="8" t="n">
        <v>15</v>
      </c>
      <c r="H27060" s="8" t="inlineStr">
        <is>
          <t>OPERATING</t>
        </is>
      </c>
    </row>
    <row r="27061">
      <c r="A27061" s="8" t="inlineStr">
        <is>
          <t>2026-08-05</t>
        </is>
      </c>
      <c r="B27061" s="8" t="n">
        <v>21</v>
      </c>
      <c r="C27061" s="8" t="n">
        <v>31</v>
      </c>
      <c r="D27061" s="8" t="inlineStr">
        <is>
          <t>Disneyland Park</t>
        </is>
      </c>
      <c r="E27061" s="8" t="inlineStr">
        <is>
          <t>Le Pays des Contes de Fées, presented by Vittel</t>
        </is>
      </c>
      <c r="F27061" s="8" t="inlineStr">
        <is>
          <t>STANDBY</t>
        </is>
      </c>
      <c r="G27061" s="8" t="n">
        <v>0</v>
      </c>
      <c r="H27061" s="8" t="inlineStr">
        <is>
          <t>CLOSED</t>
        </is>
      </c>
    </row>
    <row r="27062">
      <c r="A27062" s="8" t="inlineStr">
        <is>
          <t>2026-08-05</t>
        </is>
      </c>
      <c r="B27062" s="8" t="n">
        <v>21</v>
      </c>
      <c r="C27062" s="8" t="n">
        <v>31</v>
      </c>
      <c r="D27062" s="8" t="inlineStr">
        <is>
          <t>Disneyland Park</t>
        </is>
      </c>
      <c r="E27062" s="8" t="inlineStr">
        <is>
          <t>Les Voyages de Pinocchio</t>
        </is>
      </c>
      <c r="F27062" s="8" t="inlineStr">
        <is>
          <t>STANDBY</t>
        </is>
      </c>
      <c r="G27062" s="8" t="n">
        <v>15</v>
      </c>
      <c r="H27062" s="8" t="inlineStr">
        <is>
          <t>OPERATING</t>
        </is>
      </c>
    </row>
    <row r="27063">
      <c r="A27063" s="8" t="inlineStr">
        <is>
          <t>2026-08-05</t>
        </is>
      </c>
      <c r="B27063" s="8" t="n">
        <v>21</v>
      </c>
      <c r="C27063" s="8" t="n">
        <v>31</v>
      </c>
      <c r="D27063" s="8" t="inlineStr">
        <is>
          <t>Disneyland Park</t>
        </is>
      </c>
      <c r="E27063" s="8" t="inlineStr">
        <is>
          <t>Mad Hatter's Tea Cups</t>
        </is>
      </c>
      <c r="F27063" s="8" t="inlineStr">
        <is>
          <t>STANDBY</t>
        </is>
      </c>
      <c r="G27063" s="8" t="n">
        <v>5</v>
      </c>
      <c r="H27063" s="8" t="inlineStr">
        <is>
          <t>OPERATING</t>
        </is>
      </c>
    </row>
    <row r="27064">
      <c r="A27064" s="8" t="inlineStr">
        <is>
          <t>2026-08-05</t>
        </is>
      </c>
      <c r="B27064" s="8" t="n">
        <v>21</v>
      </c>
      <c r="C27064" s="8" t="n">
        <v>31</v>
      </c>
      <c r="D27064" s="8" t="inlineStr">
        <is>
          <t>Disneyland Park</t>
        </is>
      </c>
      <c r="E27064" s="8" t="inlineStr">
        <is>
          <t>Meet Mickey Mouse</t>
        </is>
      </c>
      <c r="F27064" s="8" t="inlineStr">
        <is>
          <t>STANDBY</t>
        </is>
      </c>
      <c r="G27064" s="8" t="n">
        <v>0</v>
      </c>
      <c r="H27064" s="8" t="inlineStr">
        <is>
          <t>CLOSED</t>
        </is>
      </c>
    </row>
    <row r="27065">
      <c r="A27065" s="8" t="inlineStr">
        <is>
          <t>2026-08-05</t>
        </is>
      </c>
      <c r="B27065" s="8" t="n">
        <v>21</v>
      </c>
      <c r="C27065" s="8" t="n">
        <v>31</v>
      </c>
      <c r="D27065" s="8" t="inlineStr">
        <is>
          <t>Disneyland Park</t>
        </is>
      </c>
      <c r="E27065" s="8" t="inlineStr">
        <is>
          <t>Peter Pan's Flight</t>
        </is>
      </c>
      <c r="F27065" s="8" t="inlineStr">
        <is>
          <t>STANDBY</t>
        </is>
      </c>
      <c r="G27065" s="8" t="n">
        <v>55</v>
      </c>
      <c r="H27065" s="8" t="inlineStr">
        <is>
          <t>OPERATING</t>
        </is>
      </c>
    </row>
    <row r="27066">
      <c r="A27066" s="8" t="inlineStr">
        <is>
          <t>2026-08-05</t>
        </is>
      </c>
      <c r="B27066" s="8" t="n">
        <v>21</v>
      </c>
      <c r="C27066" s="8" t="n">
        <v>31</v>
      </c>
      <c r="D27066" s="8" t="inlineStr">
        <is>
          <t>Disneyland Park</t>
        </is>
      </c>
      <c r="E27066" s="8" t="inlineStr">
        <is>
          <t>Princess Pavilion</t>
        </is>
      </c>
      <c r="F27066" s="8" t="inlineStr">
        <is>
          <t>STANDBY</t>
        </is>
      </c>
      <c r="G27066" s="8" t="n">
        <v>0</v>
      </c>
      <c r="H27066" s="8" t="inlineStr">
        <is>
          <t>CLOSED</t>
        </is>
      </c>
    </row>
    <row r="27067">
      <c r="A27067" s="8" t="inlineStr">
        <is>
          <t>2026-08-05</t>
        </is>
      </c>
      <c r="B27067" s="8" t="n">
        <v>21</v>
      </c>
      <c r="C27067" s="8" t="n">
        <v>31</v>
      </c>
      <c r="D27067" s="8" t="inlineStr">
        <is>
          <t>Disneyland Park</t>
        </is>
      </c>
      <c r="E27067" s="8" t="inlineStr">
        <is>
          <t>Big Thunder Mountain</t>
        </is>
      </c>
      <c r="F27067" s="8" t="inlineStr">
        <is>
          <t>STANDBY</t>
        </is>
      </c>
      <c r="G27067" s="8" t="n">
        <v>55</v>
      </c>
      <c r="H27067" s="8" t="inlineStr">
        <is>
          <t>OPERATING</t>
        </is>
      </c>
    </row>
    <row r="27068">
      <c r="A27068" s="8" t="inlineStr">
        <is>
          <t>2026-08-05</t>
        </is>
      </c>
      <c r="B27068" s="8" t="n">
        <v>21</v>
      </c>
      <c r="C27068" s="8" t="n">
        <v>31</v>
      </c>
      <c r="D27068" s="8" t="inlineStr">
        <is>
          <t>Disneyland Park</t>
        </is>
      </c>
      <c r="E27068" s="8" t="inlineStr">
        <is>
          <t>Disneyland Railroad Frontierland Depot</t>
        </is>
      </c>
      <c r="F27068" s="8" t="inlineStr">
        <is>
          <t>STANDBY</t>
        </is>
      </c>
      <c r="G27068" s="8" t="n">
        <v>0</v>
      </c>
      <c r="H27068" s="8" t="inlineStr">
        <is>
          <t>CLOSED</t>
        </is>
      </c>
    </row>
    <row r="27069">
      <c r="A27069" s="8" t="inlineStr">
        <is>
          <t>2026-08-05</t>
        </is>
      </c>
      <c r="B27069" s="8" t="n">
        <v>21</v>
      </c>
      <c r="C27069" s="8" t="n">
        <v>31</v>
      </c>
      <c r="D27069" s="8" t="inlineStr">
        <is>
          <t>Disneyland Park</t>
        </is>
      </c>
      <c r="E27069" s="8" t="inlineStr">
        <is>
          <t>Frontierland Playground</t>
        </is>
      </c>
      <c r="F27069" s="8" t="inlineStr">
        <is>
          <t>STANDBY</t>
        </is>
      </c>
      <c r="G27069" s="8" t="n">
        <v>0</v>
      </c>
      <c r="H27069" s="8" t="inlineStr">
        <is>
          <t>CLOSED</t>
        </is>
      </c>
    </row>
    <row r="27070">
      <c r="A27070" s="8" t="inlineStr">
        <is>
          <t>2026-08-05</t>
        </is>
      </c>
      <c r="B27070" s="8" t="n">
        <v>21</v>
      </c>
      <c r="C27070" s="8" t="n">
        <v>31</v>
      </c>
      <c r="D27070" s="8" t="inlineStr">
        <is>
          <t>Disneyland Park</t>
        </is>
      </c>
      <c r="E27070" s="8" t="inlineStr">
        <is>
          <t>Phantom Manor</t>
        </is>
      </c>
      <c r="F27070" s="8" t="inlineStr">
        <is>
          <t>STANDBY</t>
        </is>
      </c>
      <c r="G27070" s="8" t="n">
        <v>5</v>
      </c>
      <c r="H27070" s="8" t="inlineStr">
        <is>
          <t>OPERATING</t>
        </is>
      </c>
    </row>
    <row r="27071">
      <c r="A27071" s="8" t="inlineStr">
        <is>
          <t>2026-08-05</t>
        </is>
      </c>
      <c r="B27071" s="8" t="n">
        <v>21</v>
      </c>
      <c r="C27071" s="8" t="n">
        <v>31</v>
      </c>
      <c r="D27071" s="8" t="inlineStr">
        <is>
          <t>Disneyland Park</t>
        </is>
      </c>
      <c r="E27071" s="8" t="inlineStr">
        <is>
          <t>River Rogue Keelboats</t>
        </is>
      </c>
      <c r="F27071" s="8" t="inlineStr">
        <is>
          <t>STANDBY</t>
        </is>
      </c>
      <c r="G27071" s="8" t="n">
        <v>0</v>
      </c>
      <c r="H27071" s="8" t="inlineStr">
        <is>
          <t>CLOSED</t>
        </is>
      </c>
    </row>
    <row r="27072">
      <c r="A27072" s="8" t="inlineStr">
        <is>
          <t>2026-08-05</t>
        </is>
      </c>
      <c r="B27072" s="8" t="n">
        <v>21</v>
      </c>
      <c r="C27072" s="8" t="n">
        <v>31</v>
      </c>
      <c r="D27072" s="8" t="inlineStr">
        <is>
          <t>Disneyland Park</t>
        </is>
      </c>
      <c r="E27072" s="8" t="inlineStr">
        <is>
          <t>Rustler Roundup Shootin' Gallery</t>
        </is>
      </c>
      <c r="F27072" s="8" t="inlineStr">
        <is>
          <t>STANDBY</t>
        </is>
      </c>
      <c r="G27072" s="8" t="n">
        <v>0</v>
      </c>
      <c r="H27072" s="8" t="inlineStr">
        <is>
          <t>OPERATING</t>
        </is>
      </c>
    </row>
    <row r="27073">
      <c r="A27073" s="8" t="inlineStr">
        <is>
          <t>2026-08-05</t>
        </is>
      </c>
      <c r="B27073" s="8" t="n">
        <v>21</v>
      </c>
      <c r="C27073" s="8" t="n">
        <v>31</v>
      </c>
      <c r="D27073" s="8" t="inlineStr">
        <is>
          <t>Disneyland Park</t>
        </is>
      </c>
      <c r="E27073" s="8" t="inlineStr">
        <is>
          <t>Thunder Mesa Riverboat Landing</t>
        </is>
      </c>
      <c r="F27073" s="8" t="inlineStr">
        <is>
          <t>STANDBY</t>
        </is>
      </c>
      <c r="G27073" s="8" t="n">
        <v>0</v>
      </c>
      <c r="H27073" s="8" t="inlineStr">
        <is>
          <t>CLOSED</t>
        </is>
      </c>
    </row>
    <row r="27074">
      <c r="A27074" s="8" t="inlineStr">
        <is>
          <t>2026-08-05</t>
        </is>
      </c>
      <c r="B27074" s="8" t="n">
        <v>21</v>
      </c>
      <c r="C27074" s="8" t="n">
        <v>31</v>
      </c>
      <c r="D27074" s="8" t="inlineStr">
        <is>
          <t>Disneyland Park</t>
        </is>
      </c>
      <c r="E27074" s="8" t="inlineStr">
        <is>
          <t>Disneyland Railroad Main Street Station</t>
        </is>
      </c>
      <c r="F27074" s="8" t="inlineStr">
        <is>
          <t>STANDBY</t>
        </is>
      </c>
      <c r="G27074" s="8" t="n">
        <v>0</v>
      </c>
      <c r="H27074" s="8" t="inlineStr">
        <is>
          <t>CLOSED</t>
        </is>
      </c>
    </row>
    <row r="27075">
      <c r="A27075" s="8" t="inlineStr">
        <is>
          <t>2026-08-05</t>
        </is>
      </c>
      <c r="B27075" s="8" t="n">
        <v>21</v>
      </c>
      <c r="C27075" s="8" t="n">
        <v>31</v>
      </c>
      <c r="D27075" s="8" t="inlineStr">
        <is>
          <t>Disneyland Park</t>
        </is>
      </c>
      <c r="E27075" s="8" t="inlineStr">
        <is>
          <t>Main Street Vehicles</t>
        </is>
      </c>
      <c r="F27075" s="8" t="inlineStr">
        <is>
          <t>STANDBY</t>
        </is>
      </c>
      <c r="G27075" s="8" t="n">
        <v>0</v>
      </c>
      <c r="H27075" s="8" t="inlineStr">
        <is>
          <t>CLOSED</t>
        </is>
      </c>
    </row>
    <row r="27076">
      <c r="A27076" s="8" t="inlineStr">
        <is>
          <t>2026-08-05</t>
        </is>
      </c>
      <c r="B27076" s="8" t="n">
        <v>21</v>
      </c>
      <c r="C27076" s="8" t="n">
        <v>31</v>
      </c>
      <c r="D27076" s="8" t="inlineStr">
        <is>
          <t>Disney Adventure World</t>
        </is>
      </c>
      <c r="E27076" s="8" t="inlineStr">
        <is>
          <t>Avengers Assemble: Flight Force</t>
        </is>
      </c>
      <c r="F27076" s="8" t="inlineStr">
        <is>
          <t>STANDBY</t>
        </is>
      </c>
      <c r="G27076" s="8" t="n">
        <v>5</v>
      </c>
      <c r="H27076" s="8" t="inlineStr">
        <is>
          <t>OPERATING</t>
        </is>
      </c>
    </row>
    <row r="27077">
      <c r="A27077" s="8" t="inlineStr">
        <is>
          <t>2026-08-05</t>
        </is>
      </c>
      <c r="B27077" s="8" t="n">
        <v>21</v>
      </c>
      <c r="C27077" s="8" t="n">
        <v>31</v>
      </c>
      <c r="D27077" s="8" t="inlineStr">
        <is>
          <t>Disney Adventure World</t>
        </is>
      </c>
      <c r="E27077" s="8" t="inlineStr">
        <is>
          <t>Avengers Assemble: Flight Force Single Rider</t>
        </is>
      </c>
      <c r="F27077" s="8" t="inlineStr">
        <is>
          <t>STANDBY</t>
        </is>
      </c>
      <c r="G27077" s="8" t="n">
        <v>5</v>
      </c>
      <c r="H27077" s="8" t="inlineStr">
        <is>
          <t>OPERATING</t>
        </is>
      </c>
    </row>
    <row r="27078">
      <c r="A27078" s="8" t="inlineStr">
        <is>
          <t>2026-08-05</t>
        </is>
      </c>
      <c r="B27078" s="8" t="n">
        <v>21</v>
      </c>
      <c r="C27078" s="8" t="n">
        <v>31</v>
      </c>
      <c r="D27078" s="8" t="inlineStr">
        <is>
          <t>Disney Adventure World</t>
        </is>
      </c>
      <c r="E27078" s="8" t="inlineStr">
        <is>
          <t>Spider-Man W.E.B. Adventure</t>
        </is>
      </c>
      <c r="F27078" s="8" t="inlineStr">
        <is>
          <t>STANDBY</t>
        </is>
      </c>
      <c r="G27078" s="8" t="n">
        <v>20</v>
      </c>
      <c r="H27078" s="8" t="inlineStr">
        <is>
          <t>OPERATING</t>
        </is>
      </c>
    </row>
    <row r="27079">
      <c r="A27079" s="8" t="inlineStr">
        <is>
          <t>2026-08-05</t>
        </is>
      </c>
      <c r="B27079" s="8" t="n">
        <v>21</v>
      </c>
      <c r="C27079" s="8" t="n">
        <v>31</v>
      </c>
      <c r="D27079" s="8" t="inlineStr">
        <is>
          <t>Disney Adventure World</t>
        </is>
      </c>
      <c r="E27079" s="8" t="inlineStr">
        <is>
          <t>Spider-Man W.E.B. Adventure Single Rider</t>
        </is>
      </c>
      <c r="F27079" s="8" t="inlineStr">
        <is>
          <t>STANDBY</t>
        </is>
      </c>
      <c r="G27079" s="8" t="n">
        <v>5</v>
      </c>
      <c r="H27079" s="8" t="inlineStr">
        <is>
          <t>OPERATING</t>
        </is>
      </c>
    </row>
    <row r="27080">
      <c r="A27080" s="8" t="inlineStr">
        <is>
          <t>2026-08-05</t>
        </is>
      </c>
      <c r="B27080" s="8" t="n">
        <v>21</v>
      </c>
      <c r="C27080" s="8" t="n">
        <v>31</v>
      </c>
      <c r="D27080" s="8" t="inlineStr">
        <is>
          <t>Disney Adventure World</t>
        </is>
      </c>
      <c r="E27080" s="8" t="inlineStr">
        <is>
          <t>The Twilight Zone Tower of Terror</t>
        </is>
      </c>
      <c r="F27080" s="8" t="inlineStr">
        <is>
          <t>STANDBY</t>
        </is>
      </c>
      <c r="G27080" s="8" t="n">
        <v>20</v>
      </c>
      <c r="H27080" s="8" t="inlineStr">
        <is>
          <t>OPERATING</t>
        </is>
      </c>
    </row>
    <row r="27081">
      <c r="A27081" s="8" t="inlineStr">
        <is>
          <t>2026-08-05</t>
        </is>
      </c>
      <c r="B27081" s="8" t="n">
        <v>21</v>
      </c>
      <c r="C27081" s="8" t="n">
        <v>31</v>
      </c>
      <c r="D27081" s="8" t="inlineStr">
        <is>
          <t>Disney Adventure World</t>
        </is>
      </c>
      <c r="E27081" s="8" t="inlineStr">
        <is>
          <t>Cars Quatre Roues Rallye</t>
        </is>
      </c>
      <c r="F27081" s="8" t="inlineStr">
        <is>
          <t>STANDBY</t>
        </is>
      </c>
      <c r="G27081" s="8" t="n">
        <v>10</v>
      </c>
      <c r="H27081" s="8" t="inlineStr">
        <is>
          <t>OPERATING</t>
        </is>
      </c>
    </row>
    <row r="27082">
      <c r="A27082" s="8" t="inlineStr">
        <is>
          <t>2026-08-05</t>
        </is>
      </c>
      <c r="B27082" s="8" t="n">
        <v>21</v>
      </c>
      <c r="C27082" s="8" t="n">
        <v>31</v>
      </c>
      <c r="D27082" s="8" t="inlineStr">
        <is>
          <t>Disney Adventure World</t>
        </is>
      </c>
      <c r="E27082" s="8" t="inlineStr">
        <is>
          <t>Cars ROAD TRIP</t>
        </is>
      </c>
      <c r="F27082" s="8" t="inlineStr">
        <is>
          <t>STANDBY</t>
        </is>
      </c>
      <c r="G27082" s="8" t="n">
        <v>0</v>
      </c>
      <c r="H27082" s="8" t="inlineStr">
        <is>
          <t>CLOSED</t>
        </is>
      </c>
    </row>
    <row r="27083">
      <c r="A27083" s="8" t="inlineStr">
        <is>
          <t>2026-08-05</t>
        </is>
      </c>
      <c r="B27083" s="8" t="n">
        <v>21</v>
      </c>
      <c r="C27083" s="8" t="n">
        <v>31</v>
      </c>
      <c r="D27083" s="8" t="inlineStr">
        <is>
          <t>Disney Adventure World</t>
        </is>
      </c>
      <c r="E27083" s="8" t="inlineStr">
        <is>
          <t>Crush's Coaster</t>
        </is>
      </c>
      <c r="F27083" s="8" t="inlineStr">
        <is>
          <t>STANDBY</t>
        </is>
      </c>
      <c r="G27083" s="8" t="n">
        <v>0</v>
      </c>
      <c r="H27083" s="8" t="inlineStr">
        <is>
          <t>CLOSED</t>
        </is>
      </c>
    </row>
    <row r="27084">
      <c r="A27084" s="8" t="inlineStr">
        <is>
          <t>2026-08-05</t>
        </is>
      </c>
      <c r="B27084" s="8" t="n">
        <v>21</v>
      </c>
      <c r="C27084" s="8" t="n">
        <v>31</v>
      </c>
      <c r="D27084" s="8" t="inlineStr">
        <is>
          <t>Disney Adventure World</t>
        </is>
      </c>
      <c r="E27084" s="8" t="inlineStr">
        <is>
          <t>Crush's Coaster Single Rider</t>
        </is>
      </c>
      <c r="F27084" s="8" t="inlineStr">
        <is>
          <t>STANDBY</t>
        </is>
      </c>
      <c r="G27084" s="8" t="n">
        <v>0</v>
      </c>
      <c r="H27084" s="8" t="inlineStr">
        <is>
          <t>CLOSED</t>
        </is>
      </c>
    </row>
    <row r="27085">
      <c r="A27085" s="8" t="inlineStr">
        <is>
          <t>2026-08-05</t>
        </is>
      </c>
      <c r="B27085" s="8" t="n">
        <v>21</v>
      </c>
      <c r="C27085" s="8" t="n">
        <v>31</v>
      </c>
      <c r="D27085" s="8" t="inlineStr">
        <is>
          <t>Disney Adventure World</t>
        </is>
      </c>
      <c r="E27085" s="8" t="inlineStr">
        <is>
          <t>Les Tapis Volants - Flying Carpets Over Agrabah®</t>
        </is>
      </c>
      <c r="F27085" s="8" t="inlineStr">
        <is>
          <t>STANDBY</t>
        </is>
      </c>
      <c r="G27085" s="8" t="n">
        <v>5</v>
      </c>
      <c r="H27085" s="8" t="inlineStr">
        <is>
          <t>OPERATING</t>
        </is>
      </c>
    </row>
    <row r="27086">
      <c r="A27086" s="8" t="inlineStr">
        <is>
          <t>2026-08-05</t>
        </is>
      </c>
      <c r="B27086" s="8" t="n">
        <v>21</v>
      </c>
      <c r="C27086" s="8" t="n">
        <v>31</v>
      </c>
      <c r="D27086" s="8" t="inlineStr">
        <is>
          <t>Disney Adventure World</t>
        </is>
      </c>
      <c r="E27086" s="8" t="inlineStr">
        <is>
          <t>Ratatouille : L’Aventure Totalement Toquée de Rémy​</t>
        </is>
      </c>
      <c r="F27086" s="8" t="inlineStr">
        <is>
          <t>STANDBY</t>
        </is>
      </c>
      <c r="G27086" s="8" t="n">
        <v>35</v>
      </c>
      <c r="H27086" s="8" t="inlineStr">
        <is>
          <t>OPERATING</t>
        </is>
      </c>
    </row>
    <row r="27087">
      <c r="A27087" s="8" t="inlineStr">
        <is>
          <t>2026-08-05</t>
        </is>
      </c>
      <c r="B27087" s="8" t="n">
        <v>21</v>
      </c>
      <c r="C27087" s="8" t="n">
        <v>31</v>
      </c>
      <c r="D27087" s="8" t="inlineStr">
        <is>
          <t>Disney Adventure World</t>
        </is>
      </c>
      <c r="E27087" s="8" t="inlineStr">
        <is>
          <t>Ratatouille: The Adventure Single Rider</t>
        </is>
      </c>
      <c r="F27087" s="8" t="inlineStr">
        <is>
          <t>STANDBY</t>
        </is>
      </c>
      <c r="G27087" s="8" t="n">
        <v>10</v>
      </c>
      <c r="H27087" s="8" t="inlineStr">
        <is>
          <t>OPERATING</t>
        </is>
      </c>
    </row>
    <row r="27088">
      <c r="A27088" s="8" t="inlineStr">
        <is>
          <t>2026-08-05</t>
        </is>
      </c>
      <c r="B27088" s="8" t="n">
        <v>21</v>
      </c>
      <c r="C27088" s="8" t="n">
        <v>31</v>
      </c>
      <c r="D27088" s="8" t="inlineStr">
        <is>
          <t>Disney Adventure World</t>
        </is>
      </c>
      <c r="E27088" s="8" t="inlineStr">
        <is>
          <t>RC Racer</t>
        </is>
      </c>
      <c r="F27088" s="8" t="inlineStr">
        <is>
          <t>STANDBY</t>
        </is>
      </c>
      <c r="G27088" s="8" t="n">
        <v>30</v>
      </c>
      <c r="H27088" s="8" t="inlineStr">
        <is>
          <t>OPERATING</t>
        </is>
      </c>
    </row>
    <row r="27089">
      <c r="A27089" s="8" t="inlineStr">
        <is>
          <t>2026-08-05</t>
        </is>
      </c>
      <c r="B27089" s="8" t="n">
        <v>21</v>
      </c>
      <c r="C27089" s="8" t="n">
        <v>31</v>
      </c>
      <c r="D27089" s="8" t="inlineStr">
        <is>
          <t>Disney Adventure World</t>
        </is>
      </c>
      <c r="E27089" s="8" t="inlineStr">
        <is>
          <t>RC Racer Single Rider</t>
        </is>
      </c>
      <c r="F27089" s="8" t="inlineStr">
        <is>
          <t>STANDBY</t>
        </is>
      </c>
      <c r="G27089" s="8" t="n">
        <v>25</v>
      </c>
      <c r="H27089" s="8" t="inlineStr">
        <is>
          <t>OPERATING</t>
        </is>
      </c>
    </row>
    <row r="27090">
      <c r="A27090" s="8" t="inlineStr">
        <is>
          <t>2026-08-05</t>
        </is>
      </c>
      <c r="B27090" s="8" t="n">
        <v>21</v>
      </c>
      <c r="C27090" s="8" t="n">
        <v>31</v>
      </c>
      <c r="D27090" s="8" t="inlineStr">
        <is>
          <t>Disney Adventure World</t>
        </is>
      </c>
      <c r="E27090" s="8" t="inlineStr">
        <is>
          <t>Slinky® Dog Zigzag Spin</t>
        </is>
      </c>
      <c r="F27090" s="8" t="inlineStr">
        <is>
          <t>STANDBY</t>
        </is>
      </c>
      <c r="G27090" s="8" t="n">
        <v>5</v>
      </c>
      <c r="H27090" s="8" t="inlineStr">
        <is>
          <t>OPERATING</t>
        </is>
      </c>
    </row>
    <row r="27091">
      <c r="A27091" s="8" t="inlineStr">
        <is>
          <t>2026-08-05</t>
        </is>
      </c>
      <c r="B27091" s="8" t="n">
        <v>21</v>
      </c>
      <c r="C27091" s="8" t="n">
        <v>31</v>
      </c>
      <c r="D27091" s="8" t="inlineStr">
        <is>
          <t>Disney Adventure World</t>
        </is>
      </c>
      <c r="E27091" s="8" t="inlineStr">
        <is>
          <t>Toy Soldiers Parachute Drop</t>
        </is>
      </c>
      <c r="F27091" s="8" t="inlineStr">
        <is>
          <t>STANDBY</t>
        </is>
      </c>
      <c r="G27091" s="8" t="n">
        <v>40</v>
      </c>
      <c r="H27091" s="8" t="inlineStr">
        <is>
          <t>OPERATING</t>
        </is>
      </c>
    </row>
    <row r="27092">
      <c r="A27092" s="8" t="inlineStr">
        <is>
          <t>2026-08-05</t>
        </is>
      </c>
      <c r="B27092" s="8" t="n">
        <v>21</v>
      </c>
      <c r="C27092" s="8" t="n">
        <v>31</v>
      </c>
      <c r="D27092" s="8" t="inlineStr">
        <is>
          <t>Disney Adventure World</t>
        </is>
      </c>
      <c r="E27092" s="8" t="inlineStr">
        <is>
          <t>Toy Soldiers Parachute Drop Single Rider</t>
        </is>
      </c>
      <c r="F27092" s="8" t="inlineStr">
        <is>
          <t>STANDBY</t>
        </is>
      </c>
      <c r="G27092" s="8" t="n">
        <v>30</v>
      </c>
      <c r="H27092" s="8" t="inlineStr">
        <is>
          <t>OPERATING</t>
        </is>
      </c>
    </row>
    <row r="27093">
      <c r="A27093" s="8" t="inlineStr">
        <is>
          <t>2026-08-05</t>
        </is>
      </c>
      <c r="B27093" s="8" t="n">
        <v>21</v>
      </c>
      <c r="C27093" s="8" t="n">
        <v>31</v>
      </c>
      <c r="D27093" s="8" t="inlineStr">
        <is>
          <t>Disney Adventure World</t>
        </is>
      </c>
      <c r="E27093" s="8" t="inlineStr">
        <is>
          <t>Entry to World of Frozen</t>
        </is>
      </c>
      <c r="F27093" s="8" t="inlineStr">
        <is>
          <t>STANDBY</t>
        </is>
      </c>
      <c r="G27093" s="8" t="n">
        <v>0</v>
      </c>
      <c r="H27093" s="8" t="inlineStr">
        <is>
          <t>OPERATING</t>
        </is>
      </c>
    </row>
    <row r="27094">
      <c r="A27094" s="8" t="inlineStr">
        <is>
          <t>2026-08-05</t>
        </is>
      </c>
      <c r="B27094" s="8" t="n">
        <v>21</v>
      </c>
      <c r="C27094" s="8" t="n">
        <v>31</v>
      </c>
      <c r="D27094" s="8" t="inlineStr">
        <is>
          <t>Disney Adventure World</t>
        </is>
      </c>
      <c r="E27094" s="8" t="inlineStr">
        <is>
          <t>Frozen Ever After</t>
        </is>
      </c>
      <c r="F27094" s="8" t="inlineStr">
        <is>
          <t>STANDBY</t>
        </is>
      </c>
      <c r="G27094" s="8" t="n">
        <v>45</v>
      </c>
      <c r="H27094" s="8" t="inlineStr">
        <is>
          <t>OPERATING</t>
        </is>
      </c>
    </row>
    <row r="27095">
      <c r="A27095" s="8" t="inlineStr">
        <is>
          <t>2026-08-05</t>
        </is>
      </c>
      <c r="B27095" s="8" t="n">
        <v>21</v>
      </c>
      <c r="C27095" s="8" t="n">
        <v>31</v>
      </c>
      <c r="D27095" s="8" t="inlineStr">
        <is>
          <t>Disney Adventure World</t>
        </is>
      </c>
      <c r="E27095" s="8" t="inlineStr">
        <is>
          <t>Raiponce Tangled Spin</t>
        </is>
      </c>
      <c r="F27095" s="8" t="inlineStr">
        <is>
          <t>STANDBY</t>
        </is>
      </c>
      <c r="G27095" s="8" t="n">
        <v>5</v>
      </c>
      <c r="H27095" s="8" t="inlineStr">
        <is>
          <t>OPERATING</t>
        </is>
      </c>
    </row>
    <row r="27096">
      <c r="A27096" s="8" t="inlineStr">
        <is>
          <t>2026-08-05</t>
        </is>
      </c>
      <c r="B27096" s="8" t="n">
        <v>21</v>
      </c>
      <c r="C27096" s="8" t="n">
        <v>45</v>
      </c>
      <c r="D27096" s="8" t="inlineStr">
        <is>
          <t>Disneyland Park</t>
        </is>
      </c>
      <c r="E27096" s="8" t="inlineStr">
        <is>
          <t>Adventure Isle</t>
        </is>
      </c>
      <c r="F27096" s="8" t="inlineStr">
        <is>
          <t>STANDBY</t>
        </is>
      </c>
      <c r="G27096" s="8" t="n">
        <v>0</v>
      </c>
      <c r="H27096" s="8" t="inlineStr">
        <is>
          <t>OPERATING</t>
        </is>
      </c>
    </row>
    <row r="27097">
      <c r="A27097" s="8" t="inlineStr">
        <is>
          <t>2026-08-05</t>
        </is>
      </c>
      <c r="B27097" s="8" t="n">
        <v>21</v>
      </c>
      <c r="C27097" s="8" t="n">
        <v>45</v>
      </c>
      <c r="D27097" s="8" t="inlineStr">
        <is>
          <t>Disneyland Park</t>
        </is>
      </c>
      <c r="E27097" s="8" t="inlineStr">
        <is>
          <t>Indiana Jones and the Temple of Peril Single Rider</t>
        </is>
      </c>
      <c r="F27097" s="8" t="inlineStr">
        <is>
          <t>STANDBY</t>
        </is>
      </c>
      <c r="G27097" s="8" t="n">
        <v>5</v>
      </c>
      <c r="H27097" s="8" t="inlineStr">
        <is>
          <t>OPERATING</t>
        </is>
      </c>
    </row>
    <row r="27098">
      <c r="A27098" s="8" t="inlineStr">
        <is>
          <t>2026-08-05</t>
        </is>
      </c>
      <c r="B27098" s="8" t="n">
        <v>21</v>
      </c>
      <c r="C27098" s="8" t="n">
        <v>45</v>
      </c>
      <c r="D27098" s="8" t="inlineStr">
        <is>
          <t>Disneyland Park</t>
        </is>
      </c>
      <c r="E27098" s="8" t="inlineStr">
        <is>
          <t>Indiana Jones™ and the Temple of Peril</t>
        </is>
      </c>
      <c r="F27098" s="8" t="inlineStr">
        <is>
          <t>STANDBY</t>
        </is>
      </c>
      <c r="G27098" s="8" t="n">
        <v>10</v>
      </c>
      <c r="H27098" s="8" t="inlineStr">
        <is>
          <t>OPERATING</t>
        </is>
      </c>
    </row>
    <row r="27099">
      <c r="A27099" s="8" t="inlineStr">
        <is>
          <t>2026-08-05</t>
        </is>
      </c>
      <c r="B27099" s="8" t="n">
        <v>21</v>
      </c>
      <c r="C27099" s="8" t="n">
        <v>45</v>
      </c>
      <c r="D27099" s="8" t="inlineStr">
        <is>
          <t>Disneyland Park</t>
        </is>
      </c>
      <c r="E27099" s="8" t="inlineStr">
        <is>
          <t>La Cabane des Robinson</t>
        </is>
      </c>
      <c r="F27099" s="8" t="inlineStr">
        <is>
          <t>STANDBY</t>
        </is>
      </c>
      <c r="G27099" s="8" t="n">
        <v>5</v>
      </c>
      <c r="H27099" s="8" t="inlineStr">
        <is>
          <t>OPERATING</t>
        </is>
      </c>
    </row>
    <row r="27100">
      <c r="A27100" s="8" t="inlineStr">
        <is>
          <t>2026-08-05</t>
        </is>
      </c>
      <c r="B27100" s="8" t="n">
        <v>21</v>
      </c>
      <c r="C27100" s="8" t="n">
        <v>45</v>
      </c>
      <c r="D27100" s="8" t="inlineStr">
        <is>
          <t>Disneyland Park</t>
        </is>
      </c>
      <c r="E27100" s="8" t="inlineStr">
        <is>
          <t>Le Passage Enchanté d'Aladdin</t>
        </is>
      </c>
      <c r="F27100" s="8" t="inlineStr">
        <is>
          <t>STANDBY</t>
        </is>
      </c>
      <c r="G27100" s="8" t="n">
        <v>0</v>
      </c>
      <c r="H27100" s="8" t="inlineStr">
        <is>
          <t>OPERATING</t>
        </is>
      </c>
    </row>
    <row r="27101">
      <c r="A27101" s="8" t="inlineStr">
        <is>
          <t>2026-08-05</t>
        </is>
      </c>
      <c r="B27101" s="8" t="n">
        <v>21</v>
      </c>
      <c r="C27101" s="8" t="n">
        <v>45</v>
      </c>
      <c r="D27101" s="8" t="inlineStr">
        <is>
          <t>Disneyland Park</t>
        </is>
      </c>
      <c r="E27101" s="8" t="inlineStr">
        <is>
          <t>Pirate Galleon</t>
        </is>
      </c>
      <c r="F27101" s="8" t="inlineStr">
        <is>
          <t>STANDBY</t>
        </is>
      </c>
      <c r="G27101" s="8" t="n">
        <v>0</v>
      </c>
      <c r="H27101" s="8" t="inlineStr">
        <is>
          <t>CLOSED</t>
        </is>
      </c>
    </row>
    <row r="27102">
      <c r="A27102" s="8" t="inlineStr">
        <is>
          <t>2026-08-05</t>
        </is>
      </c>
      <c r="B27102" s="8" t="n">
        <v>21</v>
      </c>
      <c r="C27102" s="8" t="n">
        <v>45</v>
      </c>
      <c r="D27102" s="8" t="inlineStr">
        <is>
          <t>Disneyland Park</t>
        </is>
      </c>
      <c r="E27102" s="8" t="inlineStr">
        <is>
          <t>Pirates of the Caribbean</t>
        </is>
      </c>
      <c r="F27102" s="8" t="inlineStr">
        <is>
          <t>STANDBY</t>
        </is>
      </c>
      <c r="G27102" s="8" t="n">
        <v>10</v>
      </c>
      <c r="H27102" s="8" t="inlineStr">
        <is>
          <t>OPERATING</t>
        </is>
      </c>
    </row>
    <row r="27103">
      <c r="A27103" s="8" t="inlineStr">
        <is>
          <t>2026-08-05</t>
        </is>
      </c>
      <c r="B27103" s="8" t="n">
        <v>21</v>
      </c>
      <c r="C27103" s="8" t="n">
        <v>45</v>
      </c>
      <c r="D27103" s="8" t="inlineStr">
        <is>
          <t>Disneyland Park</t>
        </is>
      </c>
      <c r="E27103" s="8" t="inlineStr">
        <is>
          <t>Pirates' Beach</t>
        </is>
      </c>
      <c r="F27103" s="8" t="inlineStr">
        <is>
          <t>STANDBY</t>
        </is>
      </c>
      <c r="G27103" s="8" t="n">
        <v>0</v>
      </c>
      <c r="H27103" s="8" t="inlineStr">
        <is>
          <t>OPERATING</t>
        </is>
      </c>
    </row>
    <row r="27104">
      <c r="A27104" s="8" t="inlineStr">
        <is>
          <t>2026-08-05</t>
        </is>
      </c>
      <c r="B27104" s="8" t="n">
        <v>21</v>
      </c>
      <c r="C27104" s="8" t="n">
        <v>45</v>
      </c>
      <c r="D27104" s="8" t="inlineStr">
        <is>
          <t>Disneyland Park</t>
        </is>
      </c>
      <c r="E27104" s="8" t="inlineStr">
        <is>
          <t>Autopia, presented by Avis</t>
        </is>
      </c>
      <c r="F27104" s="8" t="inlineStr">
        <is>
          <t>STANDBY</t>
        </is>
      </c>
      <c r="G27104" s="8" t="n">
        <v>40</v>
      </c>
      <c r="H27104" s="8" t="inlineStr">
        <is>
          <t>OPERATING</t>
        </is>
      </c>
    </row>
    <row r="27105">
      <c r="A27105" s="8" t="inlineStr">
        <is>
          <t>2026-08-05</t>
        </is>
      </c>
      <c r="B27105" s="8" t="n">
        <v>21</v>
      </c>
      <c r="C27105" s="8" t="n">
        <v>45</v>
      </c>
      <c r="D27105" s="8" t="inlineStr">
        <is>
          <t>Disneyland Park</t>
        </is>
      </c>
      <c r="E27105" s="8" t="inlineStr">
        <is>
          <t>Buzz Lightyear Laser Blast</t>
        </is>
      </c>
      <c r="F27105" s="8" t="inlineStr">
        <is>
          <t>STANDBY</t>
        </is>
      </c>
      <c r="G27105" s="8" t="n">
        <v>25</v>
      </c>
      <c r="H27105" s="8" t="inlineStr">
        <is>
          <t>OPERATING</t>
        </is>
      </c>
    </row>
    <row r="27106">
      <c r="A27106" s="8" t="inlineStr">
        <is>
          <t>2026-08-05</t>
        </is>
      </c>
      <c r="B27106" s="8" t="n">
        <v>21</v>
      </c>
      <c r="C27106" s="8" t="n">
        <v>45</v>
      </c>
      <c r="D27106" s="8" t="inlineStr">
        <is>
          <t>Disneyland Park</t>
        </is>
      </c>
      <c r="E27106" s="8" t="inlineStr">
        <is>
          <t>Disneyland Railroad Discoveryland Station</t>
        </is>
      </c>
      <c r="F27106" s="8" t="inlineStr">
        <is>
          <t>STANDBY</t>
        </is>
      </c>
      <c r="G27106" s="8" t="n">
        <v>0</v>
      </c>
      <c r="H27106" s="8" t="inlineStr">
        <is>
          <t>CLOSED</t>
        </is>
      </c>
    </row>
    <row r="27107">
      <c r="A27107" s="8" t="inlineStr">
        <is>
          <t>2026-08-05</t>
        </is>
      </c>
      <c r="B27107" s="8" t="n">
        <v>21</v>
      </c>
      <c r="C27107" s="8" t="n">
        <v>45</v>
      </c>
      <c r="D27107" s="8" t="inlineStr">
        <is>
          <t>Disneyland Park</t>
        </is>
      </c>
      <c r="E27107" s="8" t="inlineStr">
        <is>
          <t>Les Mystères du Nautilus</t>
        </is>
      </c>
      <c r="F27107" s="8" t="inlineStr">
        <is>
          <t>STANDBY</t>
        </is>
      </c>
      <c r="G27107" s="8" t="n">
        <v>5</v>
      </c>
      <c r="H27107" s="8" t="inlineStr">
        <is>
          <t>OPERATING</t>
        </is>
      </c>
    </row>
    <row r="27108">
      <c r="A27108" s="8" t="inlineStr">
        <is>
          <t>2026-08-05</t>
        </is>
      </c>
      <c r="B27108" s="8" t="n">
        <v>21</v>
      </c>
      <c r="C27108" s="8" t="n">
        <v>45</v>
      </c>
      <c r="D27108" s="8" t="inlineStr">
        <is>
          <t>Disneyland Park</t>
        </is>
      </c>
      <c r="E27108" s="8" t="inlineStr">
        <is>
          <t>Mickey’s PhilharMagic</t>
        </is>
      </c>
      <c r="F27108" s="8" t="inlineStr">
        <is>
          <t>STANDBY</t>
        </is>
      </c>
      <c r="G27108" s="8" t="n">
        <v>0</v>
      </c>
      <c r="H27108" s="8" t="inlineStr">
        <is>
          <t>CLOSED</t>
        </is>
      </c>
    </row>
    <row r="27109">
      <c r="A27109" s="8" t="inlineStr">
        <is>
          <t>2026-08-05</t>
        </is>
      </c>
      <c r="B27109" s="8" t="n">
        <v>21</v>
      </c>
      <c r="C27109" s="8" t="n">
        <v>45</v>
      </c>
      <c r="D27109" s="8" t="inlineStr">
        <is>
          <t>Disneyland Park</t>
        </is>
      </c>
      <c r="E27109" s="8" t="inlineStr">
        <is>
          <t>Orbitron®</t>
        </is>
      </c>
      <c r="F27109" s="8" t="inlineStr">
        <is>
          <t>STANDBY</t>
        </is>
      </c>
      <c r="G27109" s="8" t="n">
        <v>40</v>
      </c>
      <c r="H27109" s="8" t="inlineStr">
        <is>
          <t>OPERATING</t>
        </is>
      </c>
    </row>
    <row r="27110">
      <c r="A27110" s="8" t="inlineStr">
        <is>
          <t>2026-08-05</t>
        </is>
      </c>
      <c r="B27110" s="8" t="n">
        <v>21</v>
      </c>
      <c r="C27110" s="8" t="n">
        <v>45</v>
      </c>
      <c r="D27110" s="8" t="inlineStr">
        <is>
          <t>Disneyland Park</t>
        </is>
      </c>
      <c r="E27110" s="8" t="inlineStr">
        <is>
          <t>Star Tours: The Adventures Continue*</t>
        </is>
      </c>
      <c r="F27110" s="8" t="inlineStr">
        <is>
          <t>STANDBY</t>
        </is>
      </c>
      <c r="G27110" s="8" t="n">
        <v>5</v>
      </c>
      <c r="H27110" s="8" t="inlineStr">
        <is>
          <t>OPERATING</t>
        </is>
      </c>
    </row>
    <row r="27111">
      <c r="A27111" s="8" t="inlineStr">
        <is>
          <t>2026-08-05</t>
        </is>
      </c>
      <c r="B27111" s="8" t="n">
        <v>21</v>
      </c>
      <c r="C27111" s="8" t="n">
        <v>45</v>
      </c>
      <c r="D27111" s="8" t="inlineStr">
        <is>
          <t>Disneyland Park</t>
        </is>
      </c>
      <c r="E27111" s="8" t="inlineStr">
        <is>
          <t>Star Wars Hyperspace Mountain</t>
        </is>
      </c>
      <c r="F27111" s="8" t="inlineStr">
        <is>
          <t>STANDBY</t>
        </is>
      </c>
      <c r="G27111" s="8" t="n">
        <v>20</v>
      </c>
      <c r="H27111" s="8" t="inlineStr">
        <is>
          <t>OPERATING</t>
        </is>
      </c>
    </row>
    <row r="27112">
      <c r="A27112" s="8" t="inlineStr">
        <is>
          <t>2026-08-05</t>
        </is>
      </c>
      <c r="B27112" s="8" t="n">
        <v>21</v>
      </c>
      <c r="C27112" s="8" t="n">
        <v>45</v>
      </c>
      <c r="D27112" s="8" t="inlineStr">
        <is>
          <t>Disneyland Park</t>
        </is>
      </c>
      <c r="E27112" s="8" t="inlineStr">
        <is>
          <t>Star Wars Hyperspace Mountain Single Rider</t>
        </is>
      </c>
      <c r="F27112" s="8" t="inlineStr">
        <is>
          <t>STANDBY</t>
        </is>
      </c>
      <c r="G27112" s="8" t="n">
        <v>0</v>
      </c>
      <c r="H27112" s="8" t="inlineStr">
        <is>
          <t>OPERATING</t>
        </is>
      </c>
    </row>
    <row r="27113">
      <c r="A27113" s="8" t="inlineStr">
        <is>
          <t>2026-08-05</t>
        </is>
      </c>
      <c r="B27113" s="8" t="n">
        <v>21</v>
      </c>
      <c r="C27113" s="8" t="n">
        <v>45</v>
      </c>
      <c r="D27113" s="8" t="inlineStr">
        <is>
          <t>Disneyland Park</t>
        </is>
      </c>
      <c r="E27113" s="8" t="inlineStr">
        <is>
          <t>Welcome to Starport: A Star Wars Encounter</t>
        </is>
      </c>
      <c r="F27113" s="8" t="inlineStr">
        <is>
          <t>STANDBY</t>
        </is>
      </c>
      <c r="G27113" s="8" t="n">
        <v>0</v>
      </c>
      <c r="H27113" s="8" t="inlineStr">
        <is>
          <t>CLOSED</t>
        </is>
      </c>
    </row>
    <row r="27114">
      <c r="A27114" s="8" t="inlineStr">
        <is>
          <t>2026-08-05</t>
        </is>
      </c>
      <c r="B27114" s="8" t="n">
        <v>21</v>
      </c>
      <c r="C27114" s="8" t="n">
        <v>45</v>
      </c>
      <c r="D27114" s="8" t="inlineStr">
        <is>
          <t>Disneyland Park</t>
        </is>
      </c>
      <c r="E27114" s="8" t="inlineStr">
        <is>
          <t>"it's a small world"</t>
        </is>
      </c>
      <c r="F27114" s="8" t="inlineStr">
        <is>
          <t>STANDBY</t>
        </is>
      </c>
      <c r="G27114" s="8" t="n">
        <v>5</v>
      </c>
      <c r="H27114" s="8" t="inlineStr">
        <is>
          <t>OPERATING</t>
        </is>
      </c>
    </row>
    <row r="27115">
      <c r="A27115" s="8" t="inlineStr">
        <is>
          <t>2026-08-05</t>
        </is>
      </c>
      <c r="B27115" s="8" t="n">
        <v>21</v>
      </c>
      <c r="C27115" s="8" t="n">
        <v>45</v>
      </c>
      <c r="D27115" s="8" t="inlineStr">
        <is>
          <t>Disneyland Park</t>
        </is>
      </c>
      <c r="E27115" s="8" t="inlineStr">
        <is>
          <t>Alice's Curious Labyrinth</t>
        </is>
      </c>
      <c r="F27115" s="8" t="inlineStr">
        <is>
          <t>STANDBY</t>
        </is>
      </c>
      <c r="G27115" s="8" t="n">
        <v>0</v>
      </c>
      <c r="H27115" s="8" t="inlineStr">
        <is>
          <t>CLOSED</t>
        </is>
      </c>
    </row>
    <row r="27116">
      <c r="A27116" s="8" t="inlineStr">
        <is>
          <t>2026-08-05</t>
        </is>
      </c>
      <c r="B27116" s="8" t="n">
        <v>21</v>
      </c>
      <c r="C27116" s="8" t="n">
        <v>45</v>
      </c>
      <c r="D27116" s="8" t="inlineStr">
        <is>
          <t>Disneyland Park</t>
        </is>
      </c>
      <c r="E27116" s="8" t="inlineStr">
        <is>
          <t>Blanche-Neige et les Sept Nains®</t>
        </is>
      </c>
      <c r="F27116" s="8" t="inlineStr">
        <is>
          <t>STANDBY</t>
        </is>
      </c>
      <c r="G27116" s="8" t="n">
        <v>0</v>
      </c>
      <c r="H27116" s="8" t="inlineStr">
        <is>
          <t>CLOSED</t>
        </is>
      </c>
    </row>
    <row r="27117">
      <c r="A27117" s="8" t="inlineStr">
        <is>
          <t>2026-08-05</t>
        </is>
      </c>
      <c r="B27117" s="8" t="n">
        <v>21</v>
      </c>
      <c r="C27117" s="8" t="n">
        <v>45</v>
      </c>
      <c r="D27117" s="8" t="inlineStr">
        <is>
          <t>Disneyland Park</t>
        </is>
      </c>
      <c r="E27117" s="8" t="inlineStr">
        <is>
          <t>Casey Jr. – le Petit Train du Cirque</t>
        </is>
      </c>
      <c r="F27117" s="8" t="inlineStr">
        <is>
          <t>STANDBY</t>
        </is>
      </c>
      <c r="G27117" s="8" t="n">
        <v>0</v>
      </c>
      <c r="H27117" s="8" t="inlineStr">
        <is>
          <t>CLOSED</t>
        </is>
      </c>
    </row>
    <row r="27118">
      <c r="A27118" s="8" t="inlineStr">
        <is>
          <t>2026-08-05</t>
        </is>
      </c>
      <c r="B27118" s="8" t="n">
        <v>21</v>
      </c>
      <c r="C27118" s="8" t="n">
        <v>45</v>
      </c>
      <c r="D27118" s="8" t="inlineStr">
        <is>
          <t>Disneyland Park</t>
        </is>
      </c>
      <c r="E27118" s="8" t="inlineStr">
        <is>
          <t>Disneyland Railroad Fantasyland Station</t>
        </is>
      </c>
      <c r="F27118" s="8" t="inlineStr">
        <is>
          <t>STANDBY</t>
        </is>
      </c>
      <c r="G27118" s="8" t="n">
        <v>0</v>
      </c>
      <c r="H27118" s="8" t="inlineStr">
        <is>
          <t>CLOSED</t>
        </is>
      </c>
    </row>
    <row r="27119">
      <c r="A27119" s="8" t="inlineStr">
        <is>
          <t>2026-08-05</t>
        </is>
      </c>
      <c r="B27119" s="8" t="n">
        <v>21</v>
      </c>
      <c r="C27119" s="8" t="n">
        <v>45</v>
      </c>
      <c r="D27119" s="8" t="inlineStr">
        <is>
          <t>Disneyland Park</t>
        </is>
      </c>
      <c r="E27119" s="8" t="inlineStr">
        <is>
          <t>Disneyland Railroad Main Street Station</t>
        </is>
      </c>
      <c r="F27119" s="8" t="inlineStr">
        <is>
          <t>STANDBY</t>
        </is>
      </c>
      <c r="G27119" s="8" t="n">
        <v>0</v>
      </c>
      <c r="H27119" s="8" t="inlineStr">
        <is>
          <t>CLOSED</t>
        </is>
      </c>
    </row>
    <row r="27120">
      <c r="A27120" s="8" t="inlineStr">
        <is>
          <t>2026-08-05</t>
        </is>
      </c>
      <c r="B27120" s="8" t="n">
        <v>21</v>
      </c>
      <c r="C27120" s="8" t="n">
        <v>45</v>
      </c>
      <c r="D27120" s="8" t="inlineStr">
        <is>
          <t>Disneyland Park</t>
        </is>
      </c>
      <c r="E27120" s="8" t="inlineStr">
        <is>
          <t>Dumbo the Flying Elephant</t>
        </is>
      </c>
      <c r="F27120" s="8" t="inlineStr">
        <is>
          <t>STANDBY</t>
        </is>
      </c>
      <c r="G27120" s="8" t="n">
        <v>0</v>
      </c>
      <c r="H27120" s="8" t="inlineStr">
        <is>
          <t>CLOSED</t>
        </is>
      </c>
    </row>
    <row r="27121">
      <c r="A27121" s="8" t="inlineStr">
        <is>
          <t>2026-08-05</t>
        </is>
      </c>
      <c r="B27121" s="8" t="n">
        <v>21</v>
      </c>
      <c r="C27121" s="8" t="n">
        <v>45</v>
      </c>
      <c r="D27121" s="8" t="inlineStr">
        <is>
          <t>Disneyland Park</t>
        </is>
      </c>
      <c r="E27121" s="8" t="inlineStr">
        <is>
          <t>La Tanière du Dragon</t>
        </is>
      </c>
      <c r="F27121" s="8" t="inlineStr">
        <is>
          <t>STANDBY</t>
        </is>
      </c>
      <c r="G27121" s="8" t="n">
        <v>0</v>
      </c>
      <c r="H27121" s="8" t="inlineStr">
        <is>
          <t>CLOSED</t>
        </is>
      </c>
    </row>
    <row r="27122">
      <c r="A27122" s="8" t="inlineStr">
        <is>
          <t>2026-08-05</t>
        </is>
      </c>
      <c r="B27122" s="8" t="n">
        <v>21</v>
      </c>
      <c r="C27122" s="8" t="n">
        <v>45</v>
      </c>
      <c r="D27122" s="8" t="inlineStr">
        <is>
          <t>Disneyland Park</t>
        </is>
      </c>
      <c r="E27122" s="8" t="inlineStr">
        <is>
          <t>Le Carrousel de Lancelot</t>
        </is>
      </c>
      <c r="F27122" s="8" t="inlineStr">
        <is>
          <t>STANDBY</t>
        </is>
      </c>
      <c r="G27122" s="8" t="n">
        <v>0</v>
      </c>
      <c r="H27122" s="8" t="inlineStr">
        <is>
          <t>CLOSED</t>
        </is>
      </c>
    </row>
    <row r="27123">
      <c r="A27123" s="8" t="inlineStr">
        <is>
          <t>2026-08-05</t>
        </is>
      </c>
      <c r="B27123" s="8" t="n">
        <v>21</v>
      </c>
      <c r="C27123" s="8" t="n">
        <v>45</v>
      </c>
      <c r="D27123" s="8" t="inlineStr">
        <is>
          <t>Disneyland Park</t>
        </is>
      </c>
      <c r="E27123" s="8" t="inlineStr">
        <is>
          <t>Le Pays des Contes de Fées, presented by Vittel</t>
        </is>
      </c>
      <c r="F27123" s="8" t="inlineStr">
        <is>
          <t>STANDBY</t>
        </is>
      </c>
      <c r="G27123" s="8" t="n">
        <v>0</v>
      </c>
      <c r="H27123" s="8" t="inlineStr">
        <is>
          <t>CLOSED</t>
        </is>
      </c>
    </row>
    <row r="27124">
      <c r="A27124" s="8" t="inlineStr">
        <is>
          <t>2026-08-05</t>
        </is>
      </c>
      <c r="B27124" s="8" t="n">
        <v>21</v>
      </c>
      <c r="C27124" s="8" t="n">
        <v>45</v>
      </c>
      <c r="D27124" s="8" t="inlineStr">
        <is>
          <t>Disneyland Park</t>
        </is>
      </c>
      <c r="E27124" s="8" t="inlineStr">
        <is>
          <t>Les Voyages de Pinocchio</t>
        </is>
      </c>
      <c r="F27124" s="8" t="inlineStr">
        <is>
          <t>STANDBY</t>
        </is>
      </c>
      <c r="G27124" s="8" t="n">
        <v>0</v>
      </c>
      <c r="H27124" s="8" t="inlineStr">
        <is>
          <t>CLOSED</t>
        </is>
      </c>
    </row>
    <row r="27125">
      <c r="A27125" s="8" t="inlineStr">
        <is>
          <t>2026-08-05</t>
        </is>
      </c>
      <c r="B27125" s="8" t="n">
        <v>21</v>
      </c>
      <c r="C27125" s="8" t="n">
        <v>45</v>
      </c>
      <c r="D27125" s="8" t="inlineStr">
        <is>
          <t>Disneyland Park</t>
        </is>
      </c>
      <c r="E27125" s="8" t="inlineStr">
        <is>
          <t>Mad Hatter's Tea Cups</t>
        </is>
      </c>
      <c r="F27125" s="8" t="inlineStr">
        <is>
          <t>STANDBY</t>
        </is>
      </c>
      <c r="G27125" s="8" t="n">
        <v>0</v>
      </c>
      <c r="H27125" s="8" t="inlineStr">
        <is>
          <t>CLOSED</t>
        </is>
      </c>
    </row>
    <row r="27126">
      <c r="A27126" s="8" t="inlineStr">
        <is>
          <t>2026-08-05</t>
        </is>
      </c>
      <c r="B27126" s="8" t="n">
        <v>21</v>
      </c>
      <c r="C27126" s="8" t="n">
        <v>45</v>
      </c>
      <c r="D27126" s="8" t="inlineStr">
        <is>
          <t>Disneyland Park</t>
        </is>
      </c>
      <c r="E27126" s="8" t="inlineStr">
        <is>
          <t>Meet Mickey Mouse</t>
        </is>
      </c>
      <c r="F27126" s="8" t="inlineStr">
        <is>
          <t>STANDBY</t>
        </is>
      </c>
      <c r="G27126" s="8" t="n">
        <v>0</v>
      </c>
      <c r="H27126" s="8" t="inlineStr">
        <is>
          <t>CLOSED</t>
        </is>
      </c>
    </row>
    <row r="27127">
      <c r="A27127" s="8" t="inlineStr">
        <is>
          <t>2026-08-05</t>
        </is>
      </c>
      <c r="B27127" s="8" t="n">
        <v>21</v>
      </c>
      <c r="C27127" s="8" t="n">
        <v>45</v>
      </c>
      <c r="D27127" s="8" t="inlineStr">
        <is>
          <t>Disneyland Park</t>
        </is>
      </c>
      <c r="E27127" s="8" t="inlineStr">
        <is>
          <t>Peter Pan's Flight</t>
        </is>
      </c>
      <c r="F27127" s="8" t="inlineStr">
        <is>
          <t>STANDBY</t>
        </is>
      </c>
      <c r="G27127" s="8" t="n">
        <v>55</v>
      </c>
      <c r="H27127" s="8" t="inlineStr">
        <is>
          <t>OPERATING</t>
        </is>
      </c>
    </row>
    <row r="27128">
      <c r="A27128" s="8" t="inlineStr">
        <is>
          <t>2026-08-05</t>
        </is>
      </c>
      <c r="B27128" s="8" t="n">
        <v>21</v>
      </c>
      <c r="C27128" s="8" t="n">
        <v>45</v>
      </c>
      <c r="D27128" s="8" t="inlineStr">
        <is>
          <t>Disneyland Park</t>
        </is>
      </c>
      <c r="E27128" s="8" t="inlineStr">
        <is>
          <t>Princess Pavilion</t>
        </is>
      </c>
      <c r="F27128" s="8" t="inlineStr">
        <is>
          <t>STANDBY</t>
        </is>
      </c>
      <c r="G27128" s="8" t="n">
        <v>0</v>
      </c>
      <c r="H27128" s="8" t="inlineStr">
        <is>
          <t>CLOSED</t>
        </is>
      </c>
    </row>
    <row r="27129">
      <c r="A27129" s="8" t="inlineStr">
        <is>
          <t>2026-08-05</t>
        </is>
      </c>
      <c r="B27129" s="8" t="n">
        <v>21</v>
      </c>
      <c r="C27129" s="8" t="n">
        <v>45</v>
      </c>
      <c r="D27129" s="8" t="inlineStr">
        <is>
          <t>Disneyland Park</t>
        </is>
      </c>
      <c r="E27129" s="8" t="inlineStr">
        <is>
          <t>Big Thunder Mountain</t>
        </is>
      </c>
      <c r="F27129" s="8" t="inlineStr">
        <is>
          <t>STANDBY</t>
        </is>
      </c>
      <c r="G27129" s="8" t="n">
        <v>55</v>
      </c>
      <c r="H27129" s="8" t="inlineStr">
        <is>
          <t>OPERATING</t>
        </is>
      </c>
    </row>
    <row r="27130">
      <c r="A27130" s="8" t="inlineStr">
        <is>
          <t>2026-08-05</t>
        </is>
      </c>
      <c r="B27130" s="8" t="n">
        <v>21</v>
      </c>
      <c r="C27130" s="8" t="n">
        <v>45</v>
      </c>
      <c r="D27130" s="8" t="inlineStr">
        <is>
          <t>Disneyland Park</t>
        </is>
      </c>
      <c r="E27130" s="8" t="inlineStr">
        <is>
          <t>Disneyland Railroad Frontierland Depot</t>
        </is>
      </c>
      <c r="F27130" s="8" t="inlineStr">
        <is>
          <t>STANDBY</t>
        </is>
      </c>
      <c r="G27130" s="8" t="n">
        <v>0</v>
      </c>
      <c r="H27130" s="8" t="inlineStr">
        <is>
          <t>CLOSED</t>
        </is>
      </c>
    </row>
    <row r="27131">
      <c r="A27131" s="8" t="inlineStr">
        <is>
          <t>2026-08-05</t>
        </is>
      </c>
      <c r="B27131" s="8" t="n">
        <v>21</v>
      </c>
      <c r="C27131" s="8" t="n">
        <v>45</v>
      </c>
      <c r="D27131" s="8" t="inlineStr">
        <is>
          <t>Disneyland Park</t>
        </is>
      </c>
      <c r="E27131" s="8" t="inlineStr">
        <is>
          <t>Frontierland Playground</t>
        </is>
      </c>
      <c r="F27131" s="8" t="inlineStr">
        <is>
          <t>STANDBY</t>
        </is>
      </c>
      <c r="G27131" s="8" t="n">
        <v>0</v>
      </c>
      <c r="H27131" s="8" t="inlineStr">
        <is>
          <t>CLOSED</t>
        </is>
      </c>
    </row>
    <row r="27132">
      <c r="A27132" s="8" t="inlineStr">
        <is>
          <t>2026-08-05</t>
        </is>
      </c>
      <c r="B27132" s="8" t="n">
        <v>21</v>
      </c>
      <c r="C27132" s="8" t="n">
        <v>45</v>
      </c>
      <c r="D27132" s="8" t="inlineStr">
        <is>
          <t>Disneyland Park</t>
        </is>
      </c>
      <c r="E27132" s="8" t="inlineStr">
        <is>
          <t>Phantom Manor</t>
        </is>
      </c>
      <c r="F27132" s="8" t="inlineStr">
        <is>
          <t>STANDBY</t>
        </is>
      </c>
      <c r="G27132" s="8" t="n">
        <v>5</v>
      </c>
      <c r="H27132" s="8" t="inlineStr">
        <is>
          <t>OPERATING</t>
        </is>
      </c>
    </row>
    <row r="27133">
      <c r="A27133" s="8" t="inlineStr">
        <is>
          <t>2026-08-05</t>
        </is>
      </c>
      <c r="B27133" s="8" t="n">
        <v>21</v>
      </c>
      <c r="C27133" s="8" t="n">
        <v>45</v>
      </c>
      <c r="D27133" s="8" t="inlineStr">
        <is>
          <t>Disneyland Park</t>
        </is>
      </c>
      <c r="E27133" s="8" t="inlineStr">
        <is>
          <t>River Rogue Keelboats</t>
        </is>
      </c>
      <c r="F27133" s="8" t="inlineStr">
        <is>
          <t>STANDBY</t>
        </is>
      </c>
      <c r="G27133" s="8" t="n">
        <v>0</v>
      </c>
      <c r="H27133" s="8" t="inlineStr">
        <is>
          <t>CLOSED</t>
        </is>
      </c>
    </row>
    <row r="27134">
      <c r="A27134" s="8" t="inlineStr">
        <is>
          <t>2026-08-05</t>
        </is>
      </c>
      <c r="B27134" s="8" t="n">
        <v>21</v>
      </c>
      <c r="C27134" s="8" t="n">
        <v>45</v>
      </c>
      <c r="D27134" s="8" t="inlineStr">
        <is>
          <t>Disneyland Park</t>
        </is>
      </c>
      <c r="E27134" s="8" t="inlineStr">
        <is>
          <t>Rustler Roundup Shootin' Gallery</t>
        </is>
      </c>
      <c r="F27134" s="8" t="inlineStr">
        <is>
          <t>STANDBY</t>
        </is>
      </c>
      <c r="G27134" s="8" t="n">
        <v>0</v>
      </c>
      <c r="H27134" s="8" t="inlineStr">
        <is>
          <t>CLOSED</t>
        </is>
      </c>
    </row>
    <row r="27135">
      <c r="A27135" s="8" t="inlineStr">
        <is>
          <t>2026-08-05</t>
        </is>
      </c>
      <c r="B27135" s="8" t="n">
        <v>21</v>
      </c>
      <c r="C27135" s="8" t="n">
        <v>45</v>
      </c>
      <c r="D27135" s="8" t="inlineStr">
        <is>
          <t>Disneyland Park</t>
        </is>
      </c>
      <c r="E27135" s="8" t="inlineStr">
        <is>
          <t>Thunder Mesa Riverboat Landing</t>
        </is>
      </c>
      <c r="F27135" s="8" t="inlineStr">
        <is>
          <t>STANDBY</t>
        </is>
      </c>
      <c r="G27135" s="8" t="n">
        <v>0</v>
      </c>
      <c r="H27135" s="8" t="inlineStr">
        <is>
          <t>CLOSED</t>
        </is>
      </c>
    </row>
    <row r="27136">
      <c r="A27136" s="8" t="inlineStr">
        <is>
          <t>2026-08-05</t>
        </is>
      </c>
      <c r="B27136" s="8" t="n">
        <v>21</v>
      </c>
      <c r="C27136" s="8" t="n">
        <v>45</v>
      </c>
      <c r="D27136" s="8" t="inlineStr">
        <is>
          <t>Disneyland Park</t>
        </is>
      </c>
      <c r="E27136" s="8" t="inlineStr">
        <is>
          <t>Disneyland Railroad Main Street Station</t>
        </is>
      </c>
      <c r="F27136" s="8" t="inlineStr">
        <is>
          <t>STANDBY</t>
        </is>
      </c>
      <c r="G27136" s="8" t="n">
        <v>0</v>
      </c>
      <c r="H27136" s="8" t="inlineStr">
        <is>
          <t>CLOSED</t>
        </is>
      </c>
    </row>
    <row r="27137">
      <c r="A27137" s="8" t="inlineStr">
        <is>
          <t>2026-08-05</t>
        </is>
      </c>
      <c r="B27137" s="8" t="n">
        <v>21</v>
      </c>
      <c r="C27137" s="8" t="n">
        <v>45</v>
      </c>
      <c r="D27137" s="8" t="inlineStr">
        <is>
          <t>Disneyland Park</t>
        </is>
      </c>
      <c r="E27137" s="8" t="inlineStr">
        <is>
          <t>Main Street Vehicles</t>
        </is>
      </c>
      <c r="F27137" s="8" t="inlineStr">
        <is>
          <t>STANDBY</t>
        </is>
      </c>
      <c r="G27137" s="8" t="n">
        <v>0</v>
      </c>
      <c r="H27137" s="8" t="inlineStr">
        <is>
          <t>CLOSED</t>
        </is>
      </c>
    </row>
    <row r="27138">
      <c r="A27138" s="8" t="inlineStr">
        <is>
          <t>2026-08-05</t>
        </is>
      </c>
      <c r="B27138" s="8" t="n">
        <v>21</v>
      </c>
      <c r="C27138" s="8" t="n">
        <v>45</v>
      </c>
      <c r="D27138" s="8" t="inlineStr">
        <is>
          <t>Disney Adventure World</t>
        </is>
      </c>
      <c r="E27138" s="8" t="inlineStr">
        <is>
          <t>Avengers Assemble: Flight Force</t>
        </is>
      </c>
      <c r="F27138" s="8" t="inlineStr">
        <is>
          <t>STANDBY</t>
        </is>
      </c>
      <c r="G27138" s="8" t="n">
        <v>0</v>
      </c>
      <c r="H27138" s="8" t="inlineStr">
        <is>
          <t>CLOSED</t>
        </is>
      </c>
    </row>
    <row r="27139">
      <c r="A27139" s="8" t="inlineStr">
        <is>
          <t>2026-08-05</t>
        </is>
      </c>
      <c r="B27139" s="8" t="n">
        <v>21</v>
      </c>
      <c r="C27139" s="8" t="n">
        <v>45</v>
      </c>
      <c r="D27139" s="8" t="inlineStr">
        <is>
          <t>Disney Adventure World</t>
        </is>
      </c>
      <c r="E27139" s="8" t="inlineStr">
        <is>
          <t>Avengers Assemble: Flight Force Single Rider</t>
        </is>
      </c>
      <c r="F27139" s="8" t="inlineStr">
        <is>
          <t>STANDBY</t>
        </is>
      </c>
      <c r="G27139" s="8" t="n">
        <v>0</v>
      </c>
      <c r="H27139" s="8" t="inlineStr">
        <is>
          <t>CLOSED</t>
        </is>
      </c>
    </row>
    <row r="27140">
      <c r="A27140" s="8" t="inlineStr">
        <is>
          <t>2026-08-05</t>
        </is>
      </c>
      <c r="B27140" s="8" t="n">
        <v>21</v>
      </c>
      <c r="C27140" s="8" t="n">
        <v>45</v>
      </c>
      <c r="D27140" s="8" t="inlineStr">
        <is>
          <t>Disney Adventure World</t>
        </is>
      </c>
      <c r="E27140" s="8" t="inlineStr">
        <is>
          <t>Spider-Man W.E.B. Adventure</t>
        </is>
      </c>
      <c r="F27140" s="8" t="inlineStr">
        <is>
          <t>STANDBY</t>
        </is>
      </c>
      <c r="G27140" s="8" t="n">
        <v>30</v>
      </c>
      <c r="H27140" s="8" t="inlineStr">
        <is>
          <t>OPERATING</t>
        </is>
      </c>
    </row>
    <row r="27141">
      <c r="A27141" s="8" t="inlineStr">
        <is>
          <t>2026-08-05</t>
        </is>
      </c>
      <c r="B27141" s="8" t="n">
        <v>21</v>
      </c>
      <c r="C27141" s="8" t="n">
        <v>45</v>
      </c>
      <c r="D27141" s="8" t="inlineStr">
        <is>
          <t>Disney Adventure World</t>
        </is>
      </c>
      <c r="E27141" s="8" t="inlineStr">
        <is>
          <t>Spider-Man W.E.B. Adventure Single Rider</t>
        </is>
      </c>
      <c r="F27141" s="8" t="inlineStr">
        <is>
          <t>STANDBY</t>
        </is>
      </c>
      <c r="G27141" s="8" t="n">
        <v>15</v>
      </c>
      <c r="H27141" s="8" t="inlineStr">
        <is>
          <t>OPERATING</t>
        </is>
      </c>
    </row>
    <row r="27142">
      <c r="A27142" s="8" t="inlineStr">
        <is>
          <t>2026-08-05</t>
        </is>
      </c>
      <c r="B27142" s="8" t="n">
        <v>21</v>
      </c>
      <c r="C27142" s="8" t="n">
        <v>45</v>
      </c>
      <c r="D27142" s="8" t="inlineStr">
        <is>
          <t>Disney Adventure World</t>
        </is>
      </c>
      <c r="E27142" s="8" t="inlineStr">
        <is>
          <t>The Twilight Zone Tower of Terror</t>
        </is>
      </c>
      <c r="F27142" s="8" t="inlineStr">
        <is>
          <t>STANDBY</t>
        </is>
      </c>
      <c r="G27142" s="8" t="n">
        <v>20</v>
      </c>
      <c r="H27142" s="8" t="inlineStr">
        <is>
          <t>OPERATING</t>
        </is>
      </c>
    </row>
    <row r="27143">
      <c r="A27143" s="8" t="inlineStr">
        <is>
          <t>2026-08-05</t>
        </is>
      </c>
      <c r="B27143" s="8" t="n">
        <v>21</v>
      </c>
      <c r="C27143" s="8" t="n">
        <v>45</v>
      </c>
      <c r="D27143" s="8" t="inlineStr">
        <is>
          <t>Disney Adventure World</t>
        </is>
      </c>
      <c r="E27143" s="8" t="inlineStr">
        <is>
          <t>Cars Quatre Roues Rallye</t>
        </is>
      </c>
      <c r="F27143" s="8" t="inlineStr">
        <is>
          <t>STANDBY</t>
        </is>
      </c>
      <c r="G27143" s="8" t="n">
        <v>10</v>
      </c>
      <c r="H27143" s="8" t="inlineStr">
        <is>
          <t>OPERATING</t>
        </is>
      </c>
    </row>
    <row r="27144">
      <c r="A27144" s="8" t="inlineStr">
        <is>
          <t>2026-08-05</t>
        </is>
      </c>
      <c r="B27144" s="8" t="n">
        <v>21</v>
      </c>
      <c r="C27144" s="8" t="n">
        <v>45</v>
      </c>
      <c r="D27144" s="8" t="inlineStr">
        <is>
          <t>Disney Adventure World</t>
        </is>
      </c>
      <c r="E27144" s="8" t="inlineStr">
        <is>
          <t>Cars ROAD TRIP</t>
        </is>
      </c>
      <c r="F27144" s="8" t="inlineStr">
        <is>
          <t>STANDBY</t>
        </is>
      </c>
      <c r="G27144" s="8" t="n">
        <v>0</v>
      </c>
      <c r="H27144" s="8" t="inlineStr">
        <is>
          <t>CLOSED</t>
        </is>
      </c>
    </row>
    <row r="27145">
      <c r="A27145" s="8" t="inlineStr">
        <is>
          <t>2026-08-05</t>
        </is>
      </c>
      <c r="B27145" s="8" t="n">
        <v>21</v>
      </c>
      <c r="C27145" s="8" t="n">
        <v>45</v>
      </c>
      <c r="D27145" s="8" t="inlineStr">
        <is>
          <t>Disney Adventure World</t>
        </is>
      </c>
      <c r="E27145" s="8" t="inlineStr">
        <is>
          <t>Crush's Coaster</t>
        </is>
      </c>
      <c r="F27145" s="8" t="inlineStr">
        <is>
          <t>STANDBY</t>
        </is>
      </c>
      <c r="G27145" s="8" t="n">
        <v>0</v>
      </c>
      <c r="H27145" s="8" t="inlineStr">
        <is>
          <t>CLOSED</t>
        </is>
      </c>
    </row>
    <row r="27146">
      <c r="A27146" s="8" t="inlineStr">
        <is>
          <t>2026-08-05</t>
        </is>
      </c>
      <c r="B27146" s="8" t="n">
        <v>21</v>
      </c>
      <c r="C27146" s="8" t="n">
        <v>45</v>
      </c>
      <c r="D27146" s="8" t="inlineStr">
        <is>
          <t>Disney Adventure World</t>
        </is>
      </c>
      <c r="E27146" s="8" t="inlineStr">
        <is>
          <t>Crush's Coaster Single Rider</t>
        </is>
      </c>
      <c r="F27146" s="8" t="inlineStr">
        <is>
          <t>STANDBY</t>
        </is>
      </c>
      <c r="G27146" s="8" t="n">
        <v>0</v>
      </c>
      <c r="H27146" s="8" t="inlineStr">
        <is>
          <t>CLOSED</t>
        </is>
      </c>
    </row>
    <row r="27147">
      <c r="A27147" s="8" t="inlineStr">
        <is>
          <t>2026-08-05</t>
        </is>
      </c>
      <c r="B27147" s="8" t="n">
        <v>21</v>
      </c>
      <c r="C27147" s="8" t="n">
        <v>45</v>
      </c>
      <c r="D27147" s="8" t="inlineStr">
        <is>
          <t>Disney Adventure World</t>
        </is>
      </c>
      <c r="E27147" s="8" t="inlineStr">
        <is>
          <t>Les Tapis Volants - Flying Carpets Over Agrabah®</t>
        </is>
      </c>
      <c r="F27147" s="8" t="inlineStr">
        <is>
          <t>STANDBY</t>
        </is>
      </c>
      <c r="G27147" s="8" t="n">
        <v>5</v>
      </c>
      <c r="H27147" s="8" t="inlineStr">
        <is>
          <t>OPERATING</t>
        </is>
      </c>
    </row>
    <row r="27148">
      <c r="A27148" s="8" t="inlineStr">
        <is>
          <t>2026-08-05</t>
        </is>
      </c>
      <c r="B27148" s="8" t="n">
        <v>21</v>
      </c>
      <c r="C27148" s="8" t="n">
        <v>45</v>
      </c>
      <c r="D27148" s="8" t="inlineStr">
        <is>
          <t>Disney Adventure World</t>
        </is>
      </c>
      <c r="E27148" s="8" t="inlineStr">
        <is>
          <t>Ratatouille : L’Aventure Totalement Toquée de Rémy​</t>
        </is>
      </c>
      <c r="F27148" s="8" t="inlineStr">
        <is>
          <t>STANDBY</t>
        </is>
      </c>
      <c r="G27148" s="8" t="n">
        <v>35</v>
      </c>
      <c r="H27148" s="8" t="inlineStr">
        <is>
          <t>OPERATING</t>
        </is>
      </c>
    </row>
    <row r="27149">
      <c r="A27149" s="8" t="inlineStr">
        <is>
          <t>2026-08-05</t>
        </is>
      </c>
      <c r="B27149" s="8" t="n">
        <v>21</v>
      </c>
      <c r="C27149" s="8" t="n">
        <v>45</v>
      </c>
      <c r="D27149" s="8" t="inlineStr">
        <is>
          <t>Disney Adventure World</t>
        </is>
      </c>
      <c r="E27149" s="8" t="inlineStr">
        <is>
          <t>Ratatouille: The Adventure Single Rider</t>
        </is>
      </c>
      <c r="F27149" s="8" t="inlineStr">
        <is>
          <t>STANDBY</t>
        </is>
      </c>
      <c r="G27149" s="8" t="n">
        <v>10</v>
      </c>
      <c r="H27149" s="8" t="inlineStr">
        <is>
          <t>OPERATING</t>
        </is>
      </c>
    </row>
    <row r="27150">
      <c r="A27150" s="8" t="inlineStr">
        <is>
          <t>2026-08-05</t>
        </is>
      </c>
      <c r="B27150" s="8" t="n">
        <v>21</v>
      </c>
      <c r="C27150" s="8" t="n">
        <v>45</v>
      </c>
      <c r="D27150" s="8" t="inlineStr">
        <is>
          <t>Disney Adventure World</t>
        </is>
      </c>
      <c r="E27150" s="8" t="inlineStr">
        <is>
          <t>RC Racer</t>
        </is>
      </c>
      <c r="F27150" s="8" t="inlineStr">
        <is>
          <t>STANDBY</t>
        </is>
      </c>
      <c r="G27150" s="8" t="n">
        <v>20</v>
      </c>
      <c r="H27150" s="8" t="inlineStr">
        <is>
          <t>OPERATING</t>
        </is>
      </c>
    </row>
    <row r="27151">
      <c r="A27151" s="8" t="inlineStr">
        <is>
          <t>2026-08-05</t>
        </is>
      </c>
      <c r="B27151" s="8" t="n">
        <v>21</v>
      </c>
      <c r="C27151" s="8" t="n">
        <v>45</v>
      </c>
      <c r="D27151" s="8" t="inlineStr">
        <is>
          <t>Disney Adventure World</t>
        </is>
      </c>
      <c r="E27151" s="8" t="inlineStr">
        <is>
          <t>RC Racer Single Rider</t>
        </is>
      </c>
      <c r="F27151" s="8" t="inlineStr">
        <is>
          <t>STANDBY</t>
        </is>
      </c>
      <c r="G27151" s="8" t="n">
        <v>10</v>
      </c>
      <c r="H27151" s="8" t="inlineStr">
        <is>
          <t>OPERATING</t>
        </is>
      </c>
    </row>
    <row r="27152">
      <c r="A27152" s="8" t="inlineStr">
        <is>
          <t>2026-08-05</t>
        </is>
      </c>
      <c r="B27152" s="8" t="n">
        <v>21</v>
      </c>
      <c r="C27152" s="8" t="n">
        <v>45</v>
      </c>
      <c r="D27152" s="8" t="inlineStr">
        <is>
          <t>Disney Adventure World</t>
        </is>
      </c>
      <c r="E27152" s="8" t="inlineStr">
        <is>
          <t>Slinky® Dog Zigzag Spin</t>
        </is>
      </c>
      <c r="F27152" s="8" t="inlineStr">
        <is>
          <t>STANDBY</t>
        </is>
      </c>
      <c r="G27152" s="8" t="n">
        <v>5</v>
      </c>
      <c r="H27152" s="8" t="inlineStr">
        <is>
          <t>OPERATING</t>
        </is>
      </c>
    </row>
    <row r="27153">
      <c r="A27153" s="8" t="inlineStr">
        <is>
          <t>2026-08-05</t>
        </is>
      </c>
      <c r="B27153" s="8" t="n">
        <v>21</v>
      </c>
      <c r="C27153" s="8" t="n">
        <v>45</v>
      </c>
      <c r="D27153" s="8" t="inlineStr">
        <is>
          <t>Disney Adventure World</t>
        </is>
      </c>
      <c r="E27153" s="8" t="inlineStr">
        <is>
          <t>Toy Soldiers Parachute Drop</t>
        </is>
      </c>
      <c r="F27153" s="8" t="inlineStr">
        <is>
          <t>STANDBY</t>
        </is>
      </c>
      <c r="G27153" s="8" t="n">
        <v>30</v>
      </c>
      <c r="H27153" s="8" t="inlineStr">
        <is>
          <t>OPERATING</t>
        </is>
      </c>
    </row>
    <row r="27154">
      <c r="A27154" s="8" t="inlineStr">
        <is>
          <t>2026-08-05</t>
        </is>
      </c>
      <c r="B27154" s="8" t="n">
        <v>21</v>
      </c>
      <c r="C27154" s="8" t="n">
        <v>45</v>
      </c>
      <c r="D27154" s="8" t="inlineStr">
        <is>
          <t>Disney Adventure World</t>
        </is>
      </c>
      <c r="E27154" s="8" t="inlineStr">
        <is>
          <t>Toy Soldiers Parachute Drop Single Rider</t>
        </is>
      </c>
      <c r="F27154" s="8" t="inlineStr">
        <is>
          <t>STANDBY</t>
        </is>
      </c>
      <c r="G27154" s="8" t="n">
        <v>15</v>
      </c>
      <c r="H27154" s="8" t="inlineStr">
        <is>
          <t>OPERATING</t>
        </is>
      </c>
    </row>
    <row r="27155">
      <c r="A27155" s="8" t="inlineStr">
        <is>
          <t>2026-08-05</t>
        </is>
      </c>
      <c r="B27155" s="8" t="n">
        <v>21</v>
      </c>
      <c r="C27155" s="8" t="n">
        <v>45</v>
      </c>
      <c r="D27155" s="8" t="inlineStr">
        <is>
          <t>Disney Adventure World</t>
        </is>
      </c>
      <c r="E27155" s="8" t="inlineStr">
        <is>
          <t>Entry to World of Frozen</t>
        </is>
      </c>
      <c r="F27155" s="8" t="inlineStr">
        <is>
          <t>STANDBY</t>
        </is>
      </c>
      <c r="G27155" s="8" t="n">
        <v>0</v>
      </c>
      <c r="H27155" s="8" t="inlineStr">
        <is>
          <t>OPERATING</t>
        </is>
      </c>
    </row>
    <row r="27156">
      <c r="A27156" s="8" t="inlineStr">
        <is>
          <t>2026-08-05</t>
        </is>
      </c>
      <c r="B27156" s="8" t="n">
        <v>21</v>
      </c>
      <c r="C27156" s="8" t="n">
        <v>45</v>
      </c>
      <c r="D27156" s="8" t="inlineStr">
        <is>
          <t>Disney Adventure World</t>
        </is>
      </c>
      <c r="E27156" s="8" t="inlineStr">
        <is>
          <t>Frozen Ever After</t>
        </is>
      </c>
      <c r="F27156" s="8" t="inlineStr">
        <is>
          <t>STANDBY</t>
        </is>
      </c>
      <c r="G27156" s="8" t="n">
        <v>40</v>
      </c>
      <c r="H27156" s="8" t="inlineStr">
        <is>
          <t>OPERATING</t>
        </is>
      </c>
    </row>
    <row r="27157">
      <c r="A27157" s="8" t="inlineStr">
        <is>
          <t>2026-08-05</t>
        </is>
      </c>
      <c r="B27157" s="8" t="n">
        <v>21</v>
      </c>
      <c r="C27157" s="8" t="n">
        <v>45</v>
      </c>
      <c r="D27157" s="8" t="inlineStr">
        <is>
          <t>Disney Adventure World</t>
        </is>
      </c>
      <c r="E27157" s="8" t="inlineStr">
        <is>
          <t>Raiponce Tangled Spin</t>
        </is>
      </c>
      <c r="F27157" s="8" t="inlineStr">
        <is>
          <t>STANDBY</t>
        </is>
      </c>
      <c r="G27157" s="8" t="n">
        <v>5</v>
      </c>
      <c r="H27157" s="8" t="inlineStr">
        <is>
          <t>OPERATING</t>
        </is>
      </c>
    </row>
    <row r="27158">
      <c r="A27158" s="8" t="inlineStr">
        <is>
          <t>2026-08-05</t>
        </is>
      </c>
      <c r="B27158" s="8" t="n">
        <v>22</v>
      </c>
      <c r="C27158" s="8" t="n">
        <v>1</v>
      </c>
      <c r="D27158" s="8" t="inlineStr">
        <is>
          <t>Disneyland Park</t>
        </is>
      </c>
      <c r="E27158" s="8" t="inlineStr">
        <is>
          <t>Adventure Isle</t>
        </is>
      </c>
      <c r="F27158" s="8" t="inlineStr">
        <is>
          <t>STANDBY</t>
        </is>
      </c>
      <c r="G27158" s="8" t="n">
        <v>0</v>
      </c>
      <c r="H27158" s="8" t="inlineStr">
        <is>
          <t>OPERATING</t>
        </is>
      </c>
    </row>
    <row r="27159">
      <c r="A27159" s="8" t="inlineStr">
        <is>
          <t>2026-08-05</t>
        </is>
      </c>
      <c r="B27159" s="8" t="n">
        <v>22</v>
      </c>
      <c r="C27159" s="8" t="n">
        <v>1</v>
      </c>
      <c r="D27159" s="8" t="inlineStr">
        <is>
          <t>Disneyland Park</t>
        </is>
      </c>
      <c r="E27159" s="8" t="inlineStr">
        <is>
          <t>Indiana Jones and the Temple of Peril Single Rider</t>
        </is>
      </c>
      <c r="F27159" s="8" t="inlineStr">
        <is>
          <t>STANDBY</t>
        </is>
      </c>
      <c r="G27159" s="8" t="n">
        <v>5</v>
      </c>
      <c r="H27159" s="8" t="inlineStr">
        <is>
          <t>OPERATING</t>
        </is>
      </c>
    </row>
    <row r="27160">
      <c r="A27160" s="8" t="inlineStr">
        <is>
          <t>2026-08-05</t>
        </is>
      </c>
      <c r="B27160" s="8" t="n">
        <v>22</v>
      </c>
      <c r="C27160" s="8" t="n">
        <v>1</v>
      </c>
      <c r="D27160" s="8" t="inlineStr">
        <is>
          <t>Disneyland Park</t>
        </is>
      </c>
      <c r="E27160" s="8" t="inlineStr">
        <is>
          <t>Indiana Jones™ and the Temple of Peril</t>
        </is>
      </c>
      <c r="F27160" s="8" t="inlineStr">
        <is>
          <t>STANDBY</t>
        </is>
      </c>
      <c r="G27160" s="8" t="n">
        <v>10</v>
      </c>
      <c r="H27160" s="8" t="inlineStr">
        <is>
          <t>OPERATING</t>
        </is>
      </c>
    </row>
    <row r="27161">
      <c r="A27161" s="8" t="inlineStr">
        <is>
          <t>2026-08-05</t>
        </is>
      </c>
      <c r="B27161" s="8" t="n">
        <v>22</v>
      </c>
      <c r="C27161" s="8" t="n">
        <v>1</v>
      </c>
      <c r="D27161" s="8" t="inlineStr">
        <is>
          <t>Disneyland Park</t>
        </is>
      </c>
      <c r="E27161" s="8" t="inlineStr">
        <is>
          <t>La Cabane des Robinson</t>
        </is>
      </c>
      <c r="F27161" s="8" t="inlineStr">
        <is>
          <t>STANDBY</t>
        </is>
      </c>
      <c r="G27161" s="8" t="n">
        <v>5</v>
      </c>
      <c r="H27161" s="8" t="inlineStr">
        <is>
          <t>OPERATING</t>
        </is>
      </c>
    </row>
    <row r="27162">
      <c r="A27162" s="8" t="inlineStr">
        <is>
          <t>2026-08-05</t>
        </is>
      </c>
      <c r="B27162" s="8" t="n">
        <v>22</v>
      </c>
      <c r="C27162" s="8" t="n">
        <v>1</v>
      </c>
      <c r="D27162" s="8" t="inlineStr">
        <is>
          <t>Disneyland Park</t>
        </is>
      </c>
      <c r="E27162" s="8" t="inlineStr">
        <is>
          <t>Le Passage Enchanté d'Aladdin</t>
        </is>
      </c>
      <c r="F27162" s="8" t="inlineStr">
        <is>
          <t>STANDBY</t>
        </is>
      </c>
      <c r="G27162" s="8" t="n">
        <v>0</v>
      </c>
      <c r="H27162" s="8" t="inlineStr">
        <is>
          <t>OPERATING</t>
        </is>
      </c>
    </row>
    <row r="27163">
      <c r="A27163" s="8" t="inlineStr">
        <is>
          <t>2026-08-05</t>
        </is>
      </c>
      <c r="B27163" s="8" t="n">
        <v>22</v>
      </c>
      <c r="C27163" s="8" t="n">
        <v>1</v>
      </c>
      <c r="D27163" s="8" t="inlineStr">
        <is>
          <t>Disneyland Park</t>
        </is>
      </c>
      <c r="E27163" s="8" t="inlineStr">
        <is>
          <t>Pirate Galleon</t>
        </is>
      </c>
      <c r="F27163" s="8" t="inlineStr">
        <is>
          <t>STANDBY</t>
        </is>
      </c>
      <c r="G27163" s="8" t="n">
        <v>0</v>
      </c>
      <c r="H27163" s="8" t="inlineStr">
        <is>
          <t>CLOSED</t>
        </is>
      </c>
    </row>
    <row r="27164">
      <c r="A27164" s="8" t="inlineStr">
        <is>
          <t>2026-08-05</t>
        </is>
      </c>
      <c r="B27164" s="8" t="n">
        <v>22</v>
      </c>
      <c r="C27164" s="8" t="n">
        <v>1</v>
      </c>
      <c r="D27164" s="8" t="inlineStr">
        <is>
          <t>Disneyland Park</t>
        </is>
      </c>
      <c r="E27164" s="8" t="inlineStr">
        <is>
          <t>Pirates of the Caribbean</t>
        </is>
      </c>
      <c r="F27164" s="8" t="inlineStr">
        <is>
          <t>STANDBY</t>
        </is>
      </c>
      <c r="G27164" s="8" t="n">
        <v>5</v>
      </c>
      <c r="H27164" s="8" t="inlineStr">
        <is>
          <t>OPERATING</t>
        </is>
      </c>
    </row>
    <row r="27165">
      <c r="A27165" s="8" t="inlineStr">
        <is>
          <t>2026-08-05</t>
        </is>
      </c>
      <c r="B27165" s="8" t="n">
        <v>22</v>
      </c>
      <c r="C27165" s="8" t="n">
        <v>1</v>
      </c>
      <c r="D27165" s="8" t="inlineStr">
        <is>
          <t>Disneyland Park</t>
        </is>
      </c>
      <c r="E27165" s="8" t="inlineStr">
        <is>
          <t>Pirates' Beach</t>
        </is>
      </c>
      <c r="F27165" s="8" t="inlineStr">
        <is>
          <t>STANDBY</t>
        </is>
      </c>
      <c r="G27165" s="8" t="n">
        <v>0</v>
      </c>
      <c r="H27165" s="8" t="inlineStr">
        <is>
          <t>OPERATING</t>
        </is>
      </c>
    </row>
    <row r="27166">
      <c r="A27166" s="8" t="inlineStr">
        <is>
          <t>2026-08-05</t>
        </is>
      </c>
      <c r="B27166" s="8" t="n">
        <v>22</v>
      </c>
      <c r="C27166" s="8" t="n">
        <v>1</v>
      </c>
      <c r="D27166" s="8" t="inlineStr">
        <is>
          <t>Disneyland Park</t>
        </is>
      </c>
      <c r="E27166" s="8" t="inlineStr">
        <is>
          <t>Autopia, presented by Avis</t>
        </is>
      </c>
      <c r="F27166" s="8" t="inlineStr">
        <is>
          <t>STANDBY</t>
        </is>
      </c>
      <c r="G27166" s="8" t="n">
        <v>50</v>
      </c>
      <c r="H27166" s="8" t="inlineStr">
        <is>
          <t>OPERATING</t>
        </is>
      </c>
    </row>
    <row r="27167">
      <c r="A27167" s="8" t="inlineStr">
        <is>
          <t>2026-08-05</t>
        </is>
      </c>
      <c r="B27167" s="8" t="n">
        <v>22</v>
      </c>
      <c r="C27167" s="8" t="n">
        <v>1</v>
      </c>
      <c r="D27167" s="8" t="inlineStr">
        <is>
          <t>Disneyland Park</t>
        </is>
      </c>
      <c r="E27167" s="8" t="inlineStr">
        <is>
          <t>Buzz Lightyear Laser Blast</t>
        </is>
      </c>
      <c r="F27167" s="8" t="inlineStr">
        <is>
          <t>STANDBY</t>
        </is>
      </c>
      <c r="G27167" s="8" t="n">
        <v>20</v>
      </c>
      <c r="H27167" s="8" t="inlineStr">
        <is>
          <t>OPERATING</t>
        </is>
      </c>
    </row>
    <row r="27168">
      <c r="A27168" s="8" t="inlineStr">
        <is>
          <t>2026-08-05</t>
        </is>
      </c>
      <c r="B27168" s="8" t="n">
        <v>22</v>
      </c>
      <c r="C27168" s="8" t="n">
        <v>1</v>
      </c>
      <c r="D27168" s="8" t="inlineStr">
        <is>
          <t>Disneyland Park</t>
        </is>
      </c>
      <c r="E27168" s="8" t="inlineStr">
        <is>
          <t>Disneyland Railroad Discoveryland Station</t>
        </is>
      </c>
      <c r="F27168" s="8" t="inlineStr">
        <is>
          <t>STANDBY</t>
        </is>
      </c>
      <c r="G27168" s="8" t="n">
        <v>0</v>
      </c>
      <c r="H27168" s="8" t="inlineStr">
        <is>
          <t>CLOSED</t>
        </is>
      </c>
    </row>
    <row r="27169">
      <c r="A27169" s="8" t="inlineStr">
        <is>
          <t>2026-08-05</t>
        </is>
      </c>
      <c r="B27169" s="8" t="n">
        <v>22</v>
      </c>
      <c r="C27169" s="8" t="n">
        <v>1</v>
      </c>
      <c r="D27169" s="8" t="inlineStr">
        <is>
          <t>Disneyland Park</t>
        </is>
      </c>
      <c r="E27169" s="8" t="inlineStr">
        <is>
          <t>Les Mystères du Nautilus</t>
        </is>
      </c>
      <c r="F27169" s="8" t="inlineStr">
        <is>
          <t>STANDBY</t>
        </is>
      </c>
      <c r="G27169" s="8" t="n">
        <v>5</v>
      </c>
      <c r="H27169" s="8" t="inlineStr">
        <is>
          <t>OPERATING</t>
        </is>
      </c>
    </row>
    <row r="27170">
      <c r="A27170" s="8" t="inlineStr">
        <is>
          <t>2026-08-05</t>
        </is>
      </c>
      <c r="B27170" s="8" t="n">
        <v>22</v>
      </c>
      <c r="C27170" s="8" t="n">
        <v>1</v>
      </c>
      <c r="D27170" s="8" t="inlineStr">
        <is>
          <t>Disneyland Park</t>
        </is>
      </c>
      <c r="E27170" s="8" t="inlineStr">
        <is>
          <t>Mickey’s PhilharMagic</t>
        </is>
      </c>
      <c r="F27170" s="8" t="inlineStr">
        <is>
          <t>STANDBY</t>
        </is>
      </c>
      <c r="G27170" s="8" t="n">
        <v>0</v>
      </c>
      <c r="H27170" s="8" t="inlineStr">
        <is>
          <t>CLOSED</t>
        </is>
      </c>
    </row>
    <row r="27171">
      <c r="A27171" s="8" t="inlineStr">
        <is>
          <t>2026-08-05</t>
        </is>
      </c>
      <c r="B27171" s="8" t="n">
        <v>22</v>
      </c>
      <c r="C27171" s="8" t="n">
        <v>1</v>
      </c>
      <c r="D27171" s="8" t="inlineStr">
        <is>
          <t>Disneyland Park</t>
        </is>
      </c>
      <c r="E27171" s="8" t="inlineStr">
        <is>
          <t>Orbitron®</t>
        </is>
      </c>
      <c r="F27171" s="8" t="inlineStr">
        <is>
          <t>STANDBY</t>
        </is>
      </c>
      <c r="G27171" s="8" t="n">
        <v>30</v>
      </c>
      <c r="H27171" s="8" t="inlineStr">
        <is>
          <t>OPERATING</t>
        </is>
      </c>
    </row>
    <row r="27172">
      <c r="A27172" s="8" t="inlineStr">
        <is>
          <t>2026-08-05</t>
        </is>
      </c>
      <c r="B27172" s="8" t="n">
        <v>22</v>
      </c>
      <c r="C27172" s="8" t="n">
        <v>1</v>
      </c>
      <c r="D27172" s="8" t="inlineStr">
        <is>
          <t>Disneyland Park</t>
        </is>
      </c>
      <c r="E27172" s="8" t="inlineStr">
        <is>
          <t>Star Tours: The Adventures Continue*</t>
        </is>
      </c>
      <c r="F27172" s="8" t="inlineStr">
        <is>
          <t>STANDBY</t>
        </is>
      </c>
      <c r="G27172" s="8" t="n">
        <v>5</v>
      </c>
      <c r="H27172" s="8" t="inlineStr">
        <is>
          <t>OPERATING</t>
        </is>
      </c>
    </row>
    <row r="27173">
      <c r="A27173" s="8" t="inlineStr">
        <is>
          <t>2026-08-05</t>
        </is>
      </c>
      <c r="B27173" s="8" t="n">
        <v>22</v>
      </c>
      <c r="C27173" s="8" t="n">
        <v>1</v>
      </c>
      <c r="D27173" s="8" t="inlineStr">
        <is>
          <t>Disneyland Park</t>
        </is>
      </c>
      <c r="E27173" s="8" t="inlineStr">
        <is>
          <t>Star Wars Hyperspace Mountain</t>
        </is>
      </c>
      <c r="F27173" s="8" t="inlineStr">
        <is>
          <t>STANDBY</t>
        </is>
      </c>
      <c r="G27173" s="8" t="n">
        <v>20</v>
      </c>
      <c r="H27173" s="8" t="inlineStr">
        <is>
          <t>OPERATING</t>
        </is>
      </c>
    </row>
    <row r="27174">
      <c r="A27174" s="8" t="inlineStr">
        <is>
          <t>2026-08-05</t>
        </is>
      </c>
      <c r="B27174" s="8" t="n">
        <v>22</v>
      </c>
      <c r="C27174" s="8" t="n">
        <v>1</v>
      </c>
      <c r="D27174" s="8" t="inlineStr">
        <is>
          <t>Disneyland Park</t>
        </is>
      </c>
      <c r="E27174" s="8" t="inlineStr">
        <is>
          <t>Star Wars Hyperspace Mountain Single Rider</t>
        </is>
      </c>
      <c r="F27174" s="8" t="inlineStr">
        <is>
          <t>STANDBY</t>
        </is>
      </c>
      <c r="G27174" s="8" t="n">
        <v>0</v>
      </c>
      <c r="H27174" s="8" t="inlineStr">
        <is>
          <t>OPERATING</t>
        </is>
      </c>
    </row>
    <row r="27175">
      <c r="A27175" s="8" t="inlineStr">
        <is>
          <t>2026-08-05</t>
        </is>
      </c>
      <c r="B27175" s="8" t="n">
        <v>22</v>
      </c>
      <c r="C27175" s="8" t="n">
        <v>1</v>
      </c>
      <c r="D27175" s="8" t="inlineStr">
        <is>
          <t>Disneyland Park</t>
        </is>
      </c>
      <c r="E27175" s="8" t="inlineStr">
        <is>
          <t>Welcome to Starport: A Star Wars Encounter</t>
        </is>
      </c>
      <c r="F27175" s="8" t="inlineStr">
        <is>
          <t>STANDBY</t>
        </is>
      </c>
      <c r="G27175" s="8" t="n">
        <v>0</v>
      </c>
      <c r="H27175" s="8" t="inlineStr">
        <is>
          <t>CLOSED</t>
        </is>
      </c>
    </row>
    <row r="27176">
      <c r="A27176" s="8" t="inlineStr">
        <is>
          <t>2026-08-05</t>
        </is>
      </c>
      <c r="B27176" s="8" t="n">
        <v>22</v>
      </c>
      <c r="C27176" s="8" t="n">
        <v>1</v>
      </c>
      <c r="D27176" s="8" t="inlineStr">
        <is>
          <t>Disneyland Park</t>
        </is>
      </c>
      <c r="E27176" s="8" t="inlineStr">
        <is>
          <t>"it's a small world"</t>
        </is>
      </c>
      <c r="F27176" s="8" t="inlineStr">
        <is>
          <t>STANDBY</t>
        </is>
      </c>
      <c r="G27176" s="8" t="n">
        <v>5</v>
      </c>
      <c r="H27176" s="8" t="inlineStr">
        <is>
          <t>OPERATING</t>
        </is>
      </c>
    </row>
    <row r="27177">
      <c r="A27177" s="8" t="inlineStr">
        <is>
          <t>2026-08-05</t>
        </is>
      </c>
      <c r="B27177" s="8" t="n">
        <v>22</v>
      </c>
      <c r="C27177" s="8" t="n">
        <v>1</v>
      </c>
      <c r="D27177" s="8" t="inlineStr">
        <is>
          <t>Disneyland Park</t>
        </is>
      </c>
      <c r="E27177" s="8" t="inlineStr">
        <is>
          <t>Alice's Curious Labyrinth</t>
        </is>
      </c>
      <c r="F27177" s="8" t="inlineStr">
        <is>
          <t>STANDBY</t>
        </is>
      </c>
      <c r="G27177" s="8" t="n">
        <v>0</v>
      </c>
      <c r="H27177" s="8" t="inlineStr">
        <is>
          <t>CLOSED</t>
        </is>
      </c>
    </row>
    <row r="27178">
      <c r="A27178" s="8" t="inlineStr">
        <is>
          <t>2026-08-05</t>
        </is>
      </c>
      <c r="B27178" s="8" t="n">
        <v>22</v>
      </c>
      <c r="C27178" s="8" t="n">
        <v>1</v>
      </c>
      <c r="D27178" s="8" t="inlineStr">
        <is>
          <t>Disneyland Park</t>
        </is>
      </c>
      <c r="E27178" s="8" t="inlineStr">
        <is>
          <t>Blanche-Neige et les Sept Nains®</t>
        </is>
      </c>
      <c r="F27178" s="8" t="inlineStr">
        <is>
          <t>STANDBY</t>
        </is>
      </c>
      <c r="G27178" s="8" t="n">
        <v>0</v>
      </c>
      <c r="H27178" s="8" t="inlineStr">
        <is>
          <t>CLOSED</t>
        </is>
      </c>
    </row>
    <row r="27179">
      <c r="A27179" s="8" t="inlineStr">
        <is>
          <t>2026-08-05</t>
        </is>
      </c>
      <c r="B27179" s="8" t="n">
        <v>22</v>
      </c>
      <c r="C27179" s="8" t="n">
        <v>1</v>
      </c>
      <c r="D27179" s="8" t="inlineStr">
        <is>
          <t>Disneyland Park</t>
        </is>
      </c>
      <c r="E27179" s="8" t="inlineStr">
        <is>
          <t>Casey Jr. – le Petit Train du Cirque</t>
        </is>
      </c>
      <c r="F27179" s="8" t="inlineStr">
        <is>
          <t>STANDBY</t>
        </is>
      </c>
      <c r="G27179" s="8" t="n">
        <v>0</v>
      </c>
      <c r="H27179" s="8" t="inlineStr">
        <is>
          <t>CLOSED</t>
        </is>
      </c>
    </row>
    <row r="27180">
      <c r="A27180" s="8" t="inlineStr">
        <is>
          <t>2026-08-05</t>
        </is>
      </c>
      <c r="B27180" s="8" t="n">
        <v>22</v>
      </c>
      <c r="C27180" s="8" t="n">
        <v>1</v>
      </c>
      <c r="D27180" s="8" t="inlineStr">
        <is>
          <t>Disneyland Park</t>
        </is>
      </c>
      <c r="E27180" s="8" t="inlineStr">
        <is>
          <t>Disneyland Railroad Fantasyland Station</t>
        </is>
      </c>
      <c r="F27180" s="8" t="inlineStr">
        <is>
          <t>STANDBY</t>
        </is>
      </c>
      <c r="G27180" s="8" t="n">
        <v>0</v>
      </c>
      <c r="H27180" s="8" t="inlineStr">
        <is>
          <t>CLOSED</t>
        </is>
      </c>
    </row>
    <row r="27181">
      <c r="A27181" s="8" t="inlineStr">
        <is>
          <t>2026-08-05</t>
        </is>
      </c>
      <c r="B27181" s="8" t="n">
        <v>22</v>
      </c>
      <c r="C27181" s="8" t="n">
        <v>1</v>
      </c>
      <c r="D27181" s="8" t="inlineStr">
        <is>
          <t>Disneyland Park</t>
        </is>
      </c>
      <c r="E27181" s="8" t="inlineStr">
        <is>
          <t>Disneyland Railroad Main Street Station</t>
        </is>
      </c>
      <c r="F27181" s="8" t="inlineStr">
        <is>
          <t>STANDBY</t>
        </is>
      </c>
      <c r="G27181" s="8" t="n">
        <v>0</v>
      </c>
      <c r="H27181" s="8" t="inlineStr">
        <is>
          <t>CLOSED</t>
        </is>
      </c>
    </row>
    <row r="27182">
      <c r="A27182" s="8" t="inlineStr">
        <is>
          <t>2026-08-05</t>
        </is>
      </c>
      <c r="B27182" s="8" t="n">
        <v>22</v>
      </c>
      <c r="C27182" s="8" t="n">
        <v>1</v>
      </c>
      <c r="D27182" s="8" t="inlineStr">
        <is>
          <t>Disneyland Park</t>
        </is>
      </c>
      <c r="E27182" s="8" t="inlineStr">
        <is>
          <t>Dumbo the Flying Elephant</t>
        </is>
      </c>
      <c r="F27182" s="8" t="inlineStr">
        <is>
          <t>STANDBY</t>
        </is>
      </c>
      <c r="G27182" s="8" t="n">
        <v>0</v>
      </c>
      <c r="H27182" s="8" t="inlineStr">
        <is>
          <t>CLOSED</t>
        </is>
      </c>
    </row>
    <row r="27183">
      <c r="A27183" s="8" t="inlineStr">
        <is>
          <t>2026-08-05</t>
        </is>
      </c>
      <c r="B27183" s="8" t="n">
        <v>22</v>
      </c>
      <c r="C27183" s="8" t="n">
        <v>1</v>
      </c>
      <c r="D27183" s="8" t="inlineStr">
        <is>
          <t>Disneyland Park</t>
        </is>
      </c>
      <c r="E27183" s="8" t="inlineStr">
        <is>
          <t>La Tanière du Dragon</t>
        </is>
      </c>
      <c r="F27183" s="8" t="inlineStr">
        <is>
          <t>STANDBY</t>
        </is>
      </c>
      <c r="G27183" s="8" t="n">
        <v>0</v>
      </c>
      <c r="H27183" s="8" t="inlineStr">
        <is>
          <t>CLOSED</t>
        </is>
      </c>
    </row>
    <row r="27184">
      <c r="A27184" s="8" t="inlineStr">
        <is>
          <t>2026-08-05</t>
        </is>
      </c>
      <c r="B27184" s="8" t="n">
        <v>22</v>
      </c>
      <c r="C27184" s="8" t="n">
        <v>1</v>
      </c>
      <c r="D27184" s="8" t="inlineStr">
        <is>
          <t>Disneyland Park</t>
        </is>
      </c>
      <c r="E27184" s="8" t="inlineStr">
        <is>
          <t>Le Carrousel de Lancelot</t>
        </is>
      </c>
      <c r="F27184" s="8" t="inlineStr">
        <is>
          <t>STANDBY</t>
        </is>
      </c>
      <c r="G27184" s="8" t="n">
        <v>0</v>
      </c>
      <c r="H27184" s="8" t="inlineStr">
        <is>
          <t>CLOSED</t>
        </is>
      </c>
    </row>
    <row r="27185">
      <c r="A27185" s="8" t="inlineStr">
        <is>
          <t>2026-08-05</t>
        </is>
      </c>
      <c r="B27185" s="8" t="n">
        <v>22</v>
      </c>
      <c r="C27185" s="8" t="n">
        <v>1</v>
      </c>
      <c r="D27185" s="8" t="inlineStr">
        <is>
          <t>Disneyland Park</t>
        </is>
      </c>
      <c r="E27185" s="8" t="inlineStr">
        <is>
          <t>Le Pays des Contes de Fées, presented by Vittel</t>
        </is>
      </c>
      <c r="F27185" s="8" t="inlineStr">
        <is>
          <t>STANDBY</t>
        </is>
      </c>
      <c r="G27185" s="8" t="n">
        <v>0</v>
      </c>
      <c r="H27185" s="8" t="inlineStr">
        <is>
          <t>CLOSED</t>
        </is>
      </c>
    </row>
    <row r="27186">
      <c r="A27186" s="8" t="inlineStr">
        <is>
          <t>2026-08-05</t>
        </is>
      </c>
      <c r="B27186" s="8" t="n">
        <v>22</v>
      </c>
      <c r="C27186" s="8" t="n">
        <v>1</v>
      </c>
      <c r="D27186" s="8" t="inlineStr">
        <is>
          <t>Disneyland Park</t>
        </is>
      </c>
      <c r="E27186" s="8" t="inlineStr">
        <is>
          <t>Les Voyages de Pinocchio</t>
        </is>
      </c>
      <c r="F27186" s="8" t="inlineStr">
        <is>
          <t>STANDBY</t>
        </is>
      </c>
      <c r="G27186" s="8" t="n">
        <v>0</v>
      </c>
      <c r="H27186" s="8" t="inlineStr">
        <is>
          <t>CLOSED</t>
        </is>
      </c>
    </row>
    <row r="27187">
      <c r="A27187" s="8" t="inlineStr">
        <is>
          <t>2026-08-05</t>
        </is>
      </c>
      <c r="B27187" s="8" t="n">
        <v>22</v>
      </c>
      <c r="C27187" s="8" t="n">
        <v>1</v>
      </c>
      <c r="D27187" s="8" t="inlineStr">
        <is>
          <t>Disneyland Park</t>
        </is>
      </c>
      <c r="E27187" s="8" t="inlineStr">
        <is>
          <t>Mad Hatter's Tea Cups</t>
        </is>
      </c>
      <c r="F27187" s="8" t="inlineStr">
        <is>
          <t>STANDBY</t>
        </is>
      </c>
      <c r="G27187" s="8" t="n">
        <v>0</v>
      </c>
      <c r="H27187" s="8" t="inlineStr">
        <is>
          <t>CLOSED</t>
        </is>
      </c>
    </row>
    <row r="27188">
      <c r="A27188" s="8" t="inlineStr">
        <is>
          <t>2026-08-05</t>
        </is>
      </c>
      <c r="B27188" s="8" t="n">
        <v>22</v>
      </c>
      <c r="C27188" s="8" t="n">
        <v>1</v>
      </c>
      <c r="D27188" s="8" t="inlineStr">
        <is>
          <t>Disneyland Park</t>
        </is>
      </c>
      <c r="E27188" s="8" t="inlineStr">
        <is>
          <t>Meet Mickey Mouse</t>
        </is>
      </c>
      <c r="F27188" s="8" t="inlineStr">
        <is>
          <t>STANDBY</t>
        </is>
      </c>
      <c r="G27188" s="8" t="n">
        <v>0</v>
      </c>
      <c r="H27188" s="8" t="inlineStr">
        <is>
          <t>CLOSED</t>
        </is>
      </c>
    </row>
    <row r="27189">
      <c r="A27189" s="8" t="inlineStr">
        <is>
          <t>2026-08-05</t>
        </is>
      </c>
      <c r="B27189" s="8" t="n">
        <v>22</v>
      </c>
      <c r="C27189" s="8" t="n">
        <v>1</v>
      </c>
      <c r="D27189" s="8" t="inlineStr">
        <is>
          <t>Disneyland Park</t>
        </is>
      </c>
      <c r="E27189" s="8" t="inlineStr">
        <is>
          <t>Peter Pan's Flight</t>
        </is>
      </c>
      <c r="F27189" s="8" t="inlineStr">
        <is>
          <t>STANDBY</t>
        </is>
      </c>
      <c r="G27189" s="8" t="n">
        <v>35</v>
      </c>
      <c r="H27189" s="8" t="inlineStr">
        <is>
          <t>OPERATING</t>
        </is>
      </c>
    </row>
    <row r="27190">
      <c r="A27190" s="8" t="inlineStr">
        <is>
          <t>2026-08-05</t>
        </is>
      </c>
      <c r="B27190" s="8" t="n">
        <v>22</v>
      </c>
      <c r="C27190" s="8" t="n">
        <v>1</v>
      </c>
      <c r="D27190" s="8" t="inlineStr">
        <is>
          <t>Disneyland Park</t>
        </is>
      </c>
      <c r="E27190" s="8" t="inlineStr">
        <is>
          <t>Princess Pavilion</t>
        </is>
      </c>
      <c r="F27190" s="8" t="inlineStr">
        <is>
          <t>STANDBY</t>
        </is>
      </c>
      <c r="G27190" s="8" t="n">
        <v>0</v>
      </c>
      <c r="H27190" s="8" t="inlineStr">
        <is>
          <t>CLOSED</t>
        </is>
      </c>
    </row>
    <row r="27191">
      <c r="A27191" s="8" t="inlineStr">
        <is>
          <t>2026-08-05</t>
        </is>
      </c>
      <c r="B27191" s="8" t="n">
        <v>22</v>
      </c>
      <c r="C27191" s="8" t="n">
        <v>1</v>
      </c>
      <c r="D27191" s="8" t="inlineStr">
        <is>
          <t>Disneyland Park</t>
        </is>
      </c>
      <c r="E27191" s="8" t="inlineStr">
        <is>
          <t>Big Thunder Mountain</t>
        </is>
      </c>
      <c r="F27191" s="8" t="inlineStr">
        <is>
          <t>STANDBY</t>
        </is>
      </c>
      <c r="G27191" s="8" t="n">
        <v>50</v>
      </c>
      <c r="H27191" s="8" t="inlineStr">
        <is>
          <t>OPERATING</t>
        </is>
      </c>
    </row>
    <row r="27192">
      <c r="A27192" s="8" t="inlineStr">
        <is>
          <t>2026-08-05</t>
        </is>
      </c>
      <c r="B27192" s="8" t="n">
        <v>22</v>
      </c>
      <c r="C27192" s="8" t="n">
        <v>1</v>
      </c>
      <c r="D27192" s="8" t="inlineStr">
        <is>
          <t>Disneyland Park</t>
        </is>
      </c>
      <c r="E27192" s="8" t="inlineStr">
        <is>
          <t>Disneyland Railroad Frontierland Depot</t>
        </is>
      </c>
      <c r="F27192" s="8" t="inlineStr">
        <is>
          <t>STANDBY</t>
        </is>
      </c>
      <c r="G27192" s="8" t="n">
        <v>0</v>
      </c>
      <c r="H27192" s="8" t="inlineStr">
        <is>
          <t>CLOSED</t>
        </is>
      </c>
    </row>
    <row r="27193">
      <c r="A27193" s="8" t="inlineStr">
        <is>
          <t>2026-08-05</t>
        </is>
      </c>
      <c r="B27193" s="8" t="n">
        <v>22</v>
      </c>
      <c r="C27193" s="8" t="n">
        <v>1</v>
      </c>
      <c r="D27193" s="8" t="inlineStr">
        <is>
          <t>Disneyland Park</t>
        </is>
      </c>
      <c r="E27193" s="8" t="inlineStr">
        <is>
          <t>Frontierland Playground</t>
        </is>
      </c>
      <c r="F27193" s="8" t="inlineStr">
        <is>
          <t>STANDBY</t>
        </is>
      </c>
      <c r="G27193" s="8" t="n">
        <v>0</v>
      </c>
      <c r="H27193" s="8" t="inlineStr">
        <is>
          <t>CLOSED</t>
        </is>
      </c>
    </row>
    <row r="27194">
      <c r="A27194" s="8" t="inlineStr">
        <is>
          <t>2026-08-05</t>
        </is>
      </c>
      <c r="B27194" s="8" t="n">
        <v>22</v>
      </c>
      <c r="C27194" s="8" t="n">
        <v>1</v>
      </c>
      <c r="D27194" s="8" t="inlineStr">
        <is>
          <t>Disneyland Park</t>
        </is>
      </c>
      <c r="E27194" s="8" t="inlineStr">
        <is>
          <t>Phantom Manor</t>
        </is>
      </c>
      <c r="F27194" s="8" t="inlineStr">
        <is>
          <t>STANDBY</t>
        </is>
      </c>
      <c r="G27194" s="8" t="n">
        <v>5</v>
      </c>
      <c r="H27194" s="8" t="inlineStr">
        <is>
          <t>OPERATING</t>
        </is>
      </c>
    </row>
    <row r="27195">
      <c r="A27195" s="8" t="inlineStr">
        <is>
          <t>2026-08-05</t>
        </is>
      </c>
      <c r="B27195" s="8" t="n">
        <v>22</v>
      </c>
      <c r="C27195" s="8" t="n">
        <v>1</v>
      </c>
      <c r="D27195" s="8" t="inlineStr">
        <is>
          <t>Disneyland Park</t>
        </is>
      </c>
      <c r="E27195" s="8" t="inlineStr">
        <is>
          <t>River Rogue Keelboats</t>
        </is>
      </c>
      <c r="F27195" s="8" t="inlineStr">
        <is>
          <t>STANDBY</t>
        </is>
      </c>
      <c r="G27195" s="8" t="n">
        <v>0</v>
      </c>
      <c r="H27195" s="8" t="inlineStr">
        <is>
          <t>CLOSED</t>
        </is>
      </c>
    </row>
    <row r="27196">
      <c r="A27196" s="8" t="inlineStr">
        <is>
          <t>2026-08-05</t>
        </is>
      </c>
      <c r="B27196" s="8" t="n">
        <v>22</v>
      </c>
      <c r="C27196" s="8" t="n">
        <v>1</v>
      </c>
      <c r="D27196" s="8" t="inlineStr">
        <is>
          <t>Disneyland Park</t>
        </is>
      </c>
      <c r="E27196" s="8" t="inlineStr">
        <is>
          <t>Rustler Roundup Shootin' Gallery</t>
        </is>
      </c>
      <c r="F27196" s="8" t="inlineStr">
        <is>
          <t>STANDBY</t>
        </is>
      </c>
      <c r="G27196" s="8" t="n">
        <v>0</v>
      </c>
      <c r="H27196" s="8" t="inlineStr">
        <is>
          <t>CLOSED</t>
        </is>
      </c>
    </row>
    <row r="27197">
      <c r="A27197" s="8" t="inlineStr">
        <is>
          <t>2026-08-05</t>
        </is>
      </c>
      <c r="B27197" s="8" t="n">
        <v>22</v>
      </c>
      <c r="C27197" s="8" t="n">
        <v>1</v>
      </c>
      <c r="D27197" s="8" t="inlineStr">
        <is>
          <t>Disneyland Park</t>
        </is>
      </c>
      <c r="E27197" s="8" t="inlineStr">
        <is>
          <t>Thunder Mesa Riverboat Landing</t>
        </is>
      </c>
      <c r="F27197" s="8" t="inlineStr">
        <is>
          <t>STANDBY</t>
        </is>
      </c>
      <c r="G27197" s="8" t="n">
        <v>0</v>
      </c>
      <c r="H27197" s="8" t="inlineStr">
        <is>
          <t>CLOSED</t>
        </is>
      </c>
    </row>
    <row r="27198">
      <c r="A27198" s="8" t="inlineStr">
        <is>
          <t>2026-08-05</t>
        </is>
      </c>
      <c r="B27198" s="8" t="n">
        <v>22</v>
      </c>
      <c r="C27198" s="8" t="n">
        <v>1</v>
      </c>
      <c r="D27198" s="8" t="inlineStr">
        <is>
          <t>Disneyland Park</t>
        </is>
      </c>
      <c r="E27198" s="8" t="inlineStr">
        <is>
          <t>Disneyland Railroad Main Street Station</t>
        </is>
      </c>
      <c r="F27198" s="8" t="inlineStr">
        <is>
          <t>STANDBY</t>
        </is>
      </c>
      <c r="G27198" s="8" t="n">
        <v>0</v>
      </c>
      <c r="H27198" s="8" t="inlineStr">
        <is>
          <t>CLOSED</t>
        </is>
      </c>
    </row>
    <row r="27199">
      <c r="A27199" s="8" t="inlineStr">
        <is>
          <t>2026-08-05</t>
        </is>
      </c>
      <c r="B27199" s="8" t="n">
        <v>22</v>
      </c>
      <c r="C27199" s="8" t="n">
        <v>1</v>
      </c>
      <c r="D27199" s="8" t="inlineStr">
        <is>
          <t>Disneyland Park</t>
        </is>
      </c>
      <c r="E27199" s="8" t="inlineStr">
        <is>
          <t>Main Street Vehicles</t>
        </is>
      </c>
      <c r="F27199" s="8" t="inlineStr">
        <is>
          <t>STANDBY</t>
        </is>
      </c>
      <c r="G27199" s="8" t="n">
        <v>0</v>
      </c>
      <c r="H27199" s="8" t="inlineStr">
        <is>
          <t>CLOSED</t>
        </is>
      </c>
    </row>
    <row r="27200">
      <c r="A27200" s="8" t="inlineStr">
        <is>
          <t>2026-08-05</t>
        </is>
      </c>
      <c r="B27200" s="8" t="n">
        <v>22</v>
      </c>
      <c r="C27200" s="8" t="n">
        <v>1</v>
      </c>
      <c r="D27200" s="8" t="inlineStr">
        <is>
          <t>Disney Adventure World</t>
        </is>
      </c>
      <c r="E27200" s="8" t="inlineStr">
        <is>
          <t>Avengers Assemble: Flight Force</t>
        </is>
      </c>
      <c r="F27200" s="8" t="inlineStr">
        <is>
          <t>STANDBY</t>
        </is>
      </c>
      <c r="G27200" s="8" t="n">
        <v>5</v>
      </c>
      <c r="H27200" s="8" t="inlineStr">
        <is>
          <t>OPERATING</t>
        </is>
      </c>
    </row>
    <row r="27201">
      <c r="A27201" s="8" t="inlineStr">
        <is>
          <t>2026-08-05</t>
        </is>
      </c>
      <c r="B27201" s="8" t="n">
        <v>22</v>
      </c>
      <c r="C27201" s="8" t="n">
        <v>1</v>
      </c>
      <c r="D27201" s="8" t="inlineStr">
        <is>
          <t>Disney Adventure World</t>
        </is>
      </c>
      <c r="E27201" s="8" t="inlineStr">
        <is>
          <t>Avengers Assemble: Flight Force Single Rider</t>
        </is>
      </c>
      <c r="F27201" s="8" t="inlineStr">
        <is>
          <t>STANDBY</t>
        </is>
      </c>
      <c r="G27201" s="8" t="n">
        <v>5</v>
      </c>
      <c r="H27201" s="8" t="inlineStr">
        <is>
          <t>OPERATING</t>
        </is>
      </c>
    </row>
    <row r="27202">
      <c r="A27202" s="8" t="inlineStr">
        <is>
          <t>2026-08-05</t>
        </is>
      </c>
      <c r="B27202" s="8" t="n">
        <v>22</v>
      </c>
      <c r="C27202" s="8" t="n">
        <v>1</v>
      </c>
      <c r="D27202" s="8" t="inlineStr">
        <is>
          <t>Disney Adventure World</t>
        </is>
      </c>
      <c r="E27202" s="8" t="inlineStr">
        <is>
          <t>Spider-Man W.E.B. Adventure</t>
        </is>
      </c>
      <c r="F27202" s="8" t="inlineStr">
        <is>
          <t>STANDBY</t>
        </is>
      </c>
      <c r="G27202" s="8" t="n">
        <v>30</v>
      </c>
      <c r="H27202" s="8" t="inlineStr">
        <is>
          <t>OPERATING</t>
        </is>
      </c>
    </row>
    <row r="27203">
      <c r="A27203" s="8" t="inlineStr">
        <is>
          <t>2026-08-05</t>
        </is>
      </c>
      <c r="B27203" s="8" t="n">
        <v>22</v>
      </c>
      <c r="C27203" s="8" t="n">
        <v>1</v>
      </c>
      <c r="D27203" s="8" t="inlineStr">
        <is>
          <t>Disney Adventure World</t>
        </is>
      </c>
      <c r="E27203" s="8" t="inlineStr">
        <is>
          <t>Spider-Man W.E.B. Adventure Single Rider</t>
        </is>
      </c>
      <c r="F27203" s="8" t="inlineStr">
        <is>
          <t>STANDBY</t>
        </is>
      </c>
      <c r="G27203" s="8" t="n">
        <v>5</v>
      </c>
      <c r="H27203" s="8" t="inlineStr">
        <is>
          <t>OPERATING</t>
        </is>
      </c>
    </row>
    <row r="27204">
      <c r="A27204" s="8" t="inlineStr">
        <is>
          <t>2026-08-05</t>
        </is>
      </c>
      <c r="B27204" s="8" t="n">
        <v>22</v>
      </c>
      <c r="C27204" s="8" t="n">
        <v>1</v>
      </c>
      <c r="D27204" s="8" t="inlineStr">
        <is>
          <t>Disney Adventure World</t>
        </is>
      </c>
      <c r="E27204" s="8" t="inlineStr">
        <is>
          <t>The Twilight Zone Tower of Terror</t>
        </is>
      </c>
      <c r="F27204" s="8" t="inlineStr">
        <is>
          <t>STANDBY</t>
        </is>
      </c>
      <c r="G27204" s="8" t="n">
        <v>5</v>
      </c>
      <c r="H27204" s="8" t="inlineStr">
        <is>
          <t>OPERATING</t>
        </is>
      </c>
    </row>
    <row r="27205">
      <c r="A27205" s="8" t="inlineStr">
        <is>
          <t>2026-08-05</t>
        </is>
      </c>
      <c r="B27205" s="8" t="n">
        <v>22</v>
      </c>
      <c r="C27205" s="8" t="n">
        <v>1</v>
      </c>
      <c r="D27205" s="8" t="inlineStr">
        <is>
          <t>Disney Adventure World</t>
        </is>
      </c>
      <c r="E27205" s="8" t="inlineStr">
        <is>
          <t>Cars Quatre Roues Rallye</t>
        </is>
      </c>
      <c r="F27205" s="8" t="inlineStr">
        <is>
          <t>STANDBY</t>
        </is>
      </c>
      <c r="G27205" s="8" t="n">
        <v>10</v>
      </c>
      <c r="H27205" s="8" t="inlineStr">
        <is>
          <t>OPERATING</t>
        </is>
      </c>
    </row>
    <row r="27206">
      <c r="A27206" s="8" t="inlineStr">
        <is>
          <t>2026-08-05</t>
        </is>
      </c>
      <c r="B27206" s="8" t="n">
        <v>22</v>
      </c>
      <c r="C27206" s="8" t="n">
        <v>1</v>
      </c>
      <c r="D27206" s="8" t="inlineStr">
        <is>
          <t>Disney Adventure World</t>
        </is>
      </c>
      <c r="E27206" s="8" t="inlineStr">
        <is>
          <t>Cars ROAD TRIP</t>
        </is>
      </c>
      <c r="F27206" s="8" t="inlineStr">
        <is>
          <t>STANDBY</t>
        </is>
      </c>
      <c r="G27206" s="8" t="n">
        <v>0</v>
      </c>
      <c r="H27206" s="8" t="inlineStr">
        <is>
          <t>CLOSED</t>
        </is>
      </c>
    </row>
    <row r="27207">
      <c r="A27207" s="8" t="inlineStr">
        <is>
          <t>2026-08-05</t>
        </is>
      </c>
      <c r="B27207" s="8" t="n">
        <v>22</v>
      </c>
      <c r="C27207" s="8" t="n">
        <v>1</v>
      </c>
      <c r="D27207" s="8" t="inlineStr">
        <is>
          <t>Disney Adventure World</t>
        </is>
      </c>
      <c r="E27207" s="8" t="inlineStr">
        <is>
          <t>Crush's Coaster</t>
        </is>
      </c>
      <c r="F27207" s="8" t="inlineStr">
        <is>
          <t>STANDBY</t>
        </is>
      </c>
      <c r="G27207" s="8" t="n">
        <v>65</v>
      </c>
      <c r="H27207" s="8" t="inlineStr">
        <is>
          <t>OPERATING</t>
        </is>
      </c>
    </row>
    <row r="27208">
      <c r="A27208" s="8" t="inlineStr">
        <is>
          <t>2026-08-05</t>
        </is>
      </c>
      <c r="B27208" s="8" t="n">
        <v>22</v>
      </c>
      <c r="C27208" s="8" t="n">
        <v>1</v>
      </c>
      <c r="D27208" s="8" t="inlineStr">
        <is>
          <t>Disney Adventure World</t>
        </is>
      </c>
      <c r="E27208" s="8" t="inlineStr">
        <is>
          <t>Crush's Coaster Single Rider</t>
        </is>
      </c>
      <c r="F27208" s="8" t="inlineStr">
        <is>
          <t>STANDBY</t>
        </is>
      </c>
      <c r="G27208" s="8" t="n">
        <v>45</v>
      </c>
      <c r="H27208" s="8" t="inlineStr">
        <is>
          <t>OPERATING</t>
        </is>
      </c>
    </row>
    <row r="27209">
      <c r="A27209" s="8" t="inlineStr">
        <is>
          <t>2026-08-05</t>
        </is>
      </c>
      <c r="B27209" s="8" t="n">
        <v>22</v>
      </c>
      <c r="C27209" s="8" t="n">
        <v>1</v>
      </c>
      <c r="D27209" s="8" t="inlineStr">
        <is>
          <t>Disney Adventure World</t>
        </is>
      </c>
      <c r="E27209" s="8" t="inlineStr">
        <is>
          <t>Les Tapis Volants - Flying Carpets Over Agrabah®</t>
        </is>
      </c>
      <c r="F27209" s="8" t="inlineStr">
        <is>
          <t>STANDBY</t>
        </is>
      </c>
      <c r="G27209" s="8" t="n">
        <v>5</v>
      </c>
      <c r="H27209" s="8" t="inlineStr">
        <is>
          <t>OPERATING</t>
        </is>
      </c>
    </row>
    <row r="27210">
      <c r="A27210" s="8" t="inlineStr">
        <is>
          <t>2026-08-05</t>
        </is>
      </c>
      <c r="B27210" s="8" t="n">
        <v>22</v>
      </c>
      <c r="C27210" s="8" t="n">
        <v>1</v>
      </c>
      <c r="D27210" s="8" t="inlineStr">
        <is>
          <t>Disney Adventure World</t>
        </is>
      </c>
      <c r="E27210" s="8" t="inlineStr">
        <is>
          <t>Ratatouille : L’Aventure Totalement Toquée de Rémy​</t>
        </is>
      </c>
      <c r="F27210" s="8" t="inlineStr">
        <is>
          <t>STANDBY</t>
        </is>
      </c>
      <c r="G27210" s="8" t="n">
        <v>35</v>
      </c>
      <c r="H27210" s="8" t="inlineStr">
        <is>
          <t>OPERATING</t>
        </is>
      </c>
    </row>
    <row r="27211">
      <c r="A27211" s="8" t="inlineStr">
        <is>
          <t>2026-08-05</t>
        </is>
      </c>
      <c r="B27211" s="8" t="n">
        <v>22</v>
      </c>
      <c r="C27211" s="8" t="n">
        <v>1</v>
      </c>
      <c r="D27211" s="8" t="inlineStr">
        <is>
          <t>Disney Adventure World</t>
        </is>
      </c>
      <c r="E27211" s="8" t="inlineStr">
        <is>
          <t>Ratatouille: The Adventure Single Rider</t>
        </is>
      </c>
      <c r="F27211" s="8" t="inlineStr">
        <is>
          <t>STANDBY</t>
        </is>
      </c>
      <c r="G27211" s="8" t="n">
        <v>5</v>
      </c>
      <c r="H27211" s="8" t="inlineStr">
        <is>
          <t>OPERATING</t>
        </is>
      </c>
    </row>
    <row r="27212">
      <c r="A27212" s="8" t="inlineStr">
        <is>
          <t>2026-08-05</t>
        </is>
      </c>
      <c r="B27212" s="8" t="n">
        <v>22</v>
      </c>
      <c r="C27212" s="8" t="n">
        <v>1</v>
      </c>
      <c r="D27212" s="8" t="inlineStr">
        <is>
          <t>Disney Adventure World</t>
        </is>
      </c>
      <c r="E27212" s="8" t="inlineStr">
        <is>
          <t>RC Racer</t>
        </is>
      </c>
      <c r="F27212" s="8" t="inlineStr">
        <is>
          <t>STANDBY</t>
        </is>
      </c>
      <c r="G27212" s="8" t="n">
        <v>30</v>
      </c>
      <c r="H27212" s="8" t="inlineStr">
        <is>
          <t>OPERATING</t>
        </is>
      </c>
    </row>
    <row r="27213">
      <c r="A27213" s="8" t="inlineStr">
        <is>
          <t>2026-08-05</t>
        </is>
      </c>
      <c r="B27213" s="8" t="n">
        <v>22</v>
      </c>
      <c r="C27213" s="8" t="n">
        <v>1</v>
      </c>
      <c r="D27213" s="8" t="inlineStr">
        <is>
          <t>Disney Adventure World</t>
        </is>
      </c>
      <c r="E27213" s="8" t="inlineStr">
        <is>
          <t>RC Racer Single Rider</t>
        </is>
      </c>
      <c r="F27213" s="8" t="inlineStr">
        <is>
          <t>STANDBY</t>
        </is>
      </c>
      <c r="G27213" s="8" t="n">
        <v>25</v>
      </c>
      <c r="H27213" s="8" t="inlineStr">
        <is>
          <t>OPERATING</t>
        </is>
      </c>
    </row>
    <row r="27214">
      <c r="A27214" s="8" t="inlineStr">
        <is>
          <t>2026-08-05</t>
        </is>
      </c>
      <c r="B27214" s="8" t="n">
        <v>22</v>
      </c>
      <c r="C27214" s="8" t="n">
        <v>1</v>
      </c>
      <c r="D27214" s="8" t="inlineStr">
        <is>
          <t>Disney Adventure World</t>
        </is>
      </c>
      <c r="E27214" s="8" t="inlineStr">
        <is>
          <t>Slinky® Dog Zigzag Spin</t>
        </is>
      </c>
      <c r="F27214" s="8" t="inlineStr">
        <is>
          <t>STANDBY</t>
        </is>
      </c>
      <c r="G27214" s="8" t="n">
        <v>10</v>
      </c>
      <c r="H27214" s="8" t="inlineStr">
        <is>
          <t>OPERATING</t>
        </is>
      </c>
    </row>
    <row r="27215">
      <c r="A27215" s="8" t="inlineStr">
        <is>
          <t>2026-08-05</t>
        </is>
      </c>
      <c r="B27215" s="8" t="n">
        <v>22</v>
      </c>
      <c r="C27215" s="8" t="n">
        <v>1</v>
      </c>
      <c r="D27215" s="8" t="inlineStr">
        <is>
          <t>Disney Adventure World</t>
        </is>
      </c>
      <c r="E27215" s="8" t="inlineStr">
        <is>
          <t>Toy Soldiers Parachute Drop</t>
        </is>
      </c>
      <c r="F27215" s="8" t="inlineStr">
        <is>
          <t>STANDBY</t>
        </is>
      </c>
      <c r="G27215" s="8" t="n">
        <v>25</v>
      </c>
      <c r="H27215" s="8" t="inlineStr">
        <is>
          <t>OPERATING</t>
        </is>
      </c>
    </row>
    <row r="27216">
      <c r="A27216" s="8" t="inlineStr">
        <is>
          <t>2026-08-05</t>
        </is>
      </c>
      <c r="B27216" s="8" t="n">
        <v>22</v>
      </c>
      <c r="C27216" s="8" t="n">
        <v>1</v>
      </c>
      <c r="D27216" s="8" t="inlineStr">
        <is>
          <t>Disney Adventure World</t>
        </is>
      </c>
      <c r="E27216" s="8" t="inlineStr">
        <is>
          <t>Toy Soldiers Parachute Drop Single Rider</t>
        </is>
      </c>
      <c r="F27216" s="8" t="inlineStr">
        <is>
          <t>STANDBY</t>
        </is>
      </c>
      <c r="G27216" s="8" t="n">
        <v>5</v>
      </c>
      <c r="H27216" s="8" t="inlineStr">
        <is>
          <t>OPERATING</t>
        </is>
      </c>
    </row>
    <row r="27217">
      <c r="A27217" s="8" t="inlineStr">
        <is>
          <t>2026-08-05</t>
        </is>
      </c>
      <c r="B27217" s="8" t="n">
        <v>22</v>
      </c>
      <c r="C27217" s="8" t="n">
        <v>1</v>
      </c>
      <c r="D27217" s="8" t="inlineStr">
        <is>
          <t>Disney Adventure World</t>
        </is>
      </c>
      <c r="E27217" s="8" t="inlineStr">
        <is>
          <t>Entry to World of Frozen</t>
        </is>
      </c>
      <c r="F27217" s="8" t="inlineStr">
        <is>
          <t>STANDBY</t>
        </is>
      </c>
      <c r="G27217" s="8" t="n">
        <v>0</v>
      </c>
      <c r="H27217" s="8" t="inlineStr">
        <is>
          <t>OPERATING</t>
        </is>
      </c>
    </row>
    <row r="27218">
      <c r="A27218" s="8" t="inlineStr">
        <is>
          <t>2026-08-05</t>
        </is>
      </c>
      <c r="B27218" s="8" t="n">
        <v>22</v>
      </c>
      <c r="C27218" s="8" t="n">
        <v>1</v>
      </c>
      <c r="D27218" s="8" t="inlineStr">
        <is>
          <t>Disney Adventure World</t>
        </is>
      </c>
      <c r="E27218" s="8" t="inlineStr">
        <is>
          <t>Frozen Ever After</t>
        </is>
      </c>
      <c r="F27218" s="8" t="inlineStr">
        <is>
          <t>STANDBY</t>
        </is>
      </c>
      <c r="G27218" s="8" t="n">
        <v>40</v>
      </c>
      <c r="H27218" s="8" t="inlineStr">
        <is>
          <t>OPERATING</t>
        </is>
      </c>
    </row>
    <row r="27219">
      <c r="A27219" s="8" t="inlineStr">
        <is>
          <t>2026-08-05</t>
        </is>
      </c>
      <c r="B27219" s="8" t="n">
        <v>22</v>
      </c>
      <c r="C27219" s="8" t="n">
        <v>1</v>
      </c>
      <c r="D27219" s="8" t="inlineStr">
        <is>
          <t>Disney Adventure World</t>
        </is>
      </c>
      <c r="E27219" s="8" t="inlineStr">
        <is>
          <t>Raiponce Tangled Spin</t>
        </is>
      </c>
      <c r="F27219" s="8" t="inlineStr">
        <is>
          <t>STANDBY</t>
        </is>
      </c>
      <c r="G27219" s="8" t="n">
        <v>5</v>
      </c>
      <c r="H27219" s="8" t="inlineStr">
        <is>
          <t>OPERATING</t>
        </is>
      </c>
    </row>
    <row r="27220">
      <c r="A27220" s="8" t="inlineStr">
        <is>
          <t>2026-08-05</t>
        </is>
      </c>
      <c r="B27220" s="8" t="n">
        <v>22</v>
      </c>
      <c r="C27220" s="8" t="n">
        <v>15</v>
      </c>
      <c r="D27220" s="8" t="inlineStr">
        <is>
          <t>Disneyland Park</t>
        </is>
      </c>
      <c r="E27220" s="8" t="inlineStr">
        <is>
          <t>Adventure Isle</t>
        </is>
      </c>
      <c r="F27220" s="8" t="inlineStr">
        <is>
          <t>STANDBY</t>
        </is>
      </c>
      <c r="G27220" s="8" t="n">
        <v>0</v>
      </c>
      <c r="H27220" s="8" t="inlineStr">
        <is>
          <t>OPERATING</t>
        </is>
      </c>
    </row>
    <row r="27221">
      <c r="A27221" s="8" t="inlineStr">
        <is>
          <t>2026-08-05</t>
        </is>
      </c>
      <c r="B27221" s="8" t="n">
        <v>22</v>
      </c>
      <c r="C27221" s="8" t="n">
        <v>15</v>
      </c>
      <c r="D27221" s="8" t="inlineStr">
        <is>
          <t>Disneyland Park</t>
        </is>
      </c>
      <c r="E27221" s="8" t="inlineStr">
        <is>
          <t>Indiana Jones and the Temple of Peril Single Rider</t>
        </is>
      </c>
      <c r="F27221" s="8" t="inlineStr">
        <is>
          <t>STANDBY</t>
        </is>
      </c>
      <c r="G27221" s="8" t="n">
        <v>5</v>
      </c>
      <c r="H27221" s="8" t="inlineStr">
        <is>
          <t>OPERATING</t>
        </is>
      </c>
    </row>
    <row r="27222">
      <c r="A27222" s="8" t="inlineStr">
        <is>
          <t>2026-08-05</t>
        </is>
      </c>
      <c r="B27222" s="8" t="n">
        <v>22</v>
      </c>
      <c r="C27222" s="8" t="n">
        <v>15</v>
      </c>
      <c r="D27222" s="8" t="inlineStr">
        <is>
          <t>Disneyland Park</t>
        </is>
      </c>
      <c r="E27222" s="8" t="inlineStr">
        <is>
          <t>Indiana Jones™ and the Temple of Peril</t>
        </is>
      </c>
      <c r="F27222" s="8" t="inlineStr">
        <is>
          <t>STANDBY</t>
        </is>
      </c>
      <c r="G27222" s="8" t="n">
        <v>5</v>
      </c>
      <c r="H27222" s="8" t="inlineStr">
        <is>
          <t>OPERATING</t>
        </is>
      </c>
    </row>
    <row r="27223">
      <c r="A27223" s="8" t="inlineStr">
        <is>
          <t>2026-08-05</t>
        </is>
      </c>
      <c r="B27223" s="8" t="n">
        <v>22</v>
      </c>
      <c r="C27223" s="8" t="n">
        <v>15</v>
      </c>
      <c r="D27223" s="8" t="inlineStr">
        <is>
          <t>Disneyland Park</t>
        </is>
      </c>
      <c r="E27223" s="8" t="inlineStr">
        <is>
          <t>La Cabane des Robinson</t>
        </is>
      </c>
      <c r="F27223" s="8" t="inlineStr">
        <is>
          <t>STANDBY</t>
        </is>
      </c>
      <c r="G27223" s="8" t="n">
        <v>5</v>
      </c>
      <c r="H27223" s="8" t="inlineStr">
        <is>
          <t>OPERATING</t>
        </is>
      </c>
    </row>
    <row r="27224">
      <c r="A27224" s="8" t="inlineStr">
        <is>
          <t>2026-08-05</t>
        </is>
      </c>
      <c r="B27224" s="8" t="n">
        <v>22</v>
      </c>
      <c r="C27224" s="8" t="n">
        <v>15</v>
      </c>
      <c r="D27224" s="8" t="inlineStr">
        <is>
          <t>Disneyland Park</t>
        </is>
      </c>
      <c r="E27224" s="8" t="inlineStr">
        <is>
          <t>Le Passage Enchanté d'Aladdin</t>
        </is>
      </c>
      <c r="F27224" s="8" t="inlineStr">
        <is>
          <t>STANDBY</t>
        </is>
      </c>
      <c r="G27224" s="8" t="n">
        <v>0</v>
      </c>
      <c r="H27224" s="8" t="inlineStr">
        <is>
          <t>OPERATING</t>
        </is>
      </c>
    </row>
    <row r="27225">
      <c r="A27225" s="8" t="inlineStr">
        <is>
          <t>2026-08-05</t>
        </is>
      </c>
      <c r="B27225" s="8" t="n">
        <v>22</v>
      </c>
      <c r="C27225" s="8" t="n">
        <v>15</v>
      </c>
      <c r="D27225" s="8" t="inlineStr">
        <is>
          <t>Disneyland Park</t>
        </is>
      </c>
      <c r="E27225" s="8" t="inlineStr">
        <is>
          <t>Pirate Galleon</t>
        </is>
      </c>
      <c r="F27225" s="8" t="inlineStr">
        <is>
          <t>STANDBY</t>
        </is>
      </c>
      <c r="G27225" s="8" t="n">
        <v>0</v>
      </c>
      <c r="H27225" s="8" t="inlineStr">
        <is>
          <t>CLOSED</t>
        </is>
      </c>
    </row>
    <row r="27226">
      <c r="A27226" s="8" t="inlineStr">
        <is>
          <t>2026-08-05</t>
        </is>
      </c>
      <c r="B27226" s="8" t="n">
        <v>22</v>
      </c>
      <c r="C27226" s="8" t="n">
        <v>15</v>
      </c>
      <c r="D27226" s="8" t="inlineStr">
        <is>
          <t>Disneyland Park</t>
        </is>
      </c>
      <c r="E27226" s="8" t="inlineStr">
        <is>
          <t>Pirates of the Caribbean</t>
        </is>
      </c>
      <c r="F27226" s="8" t="inlineStr">
        <is>
          <t>STANDBY</t>
        </is>
      </c>
      <c r="G27226" s="8" t="n">
        <v>5</v>
      </c>
      <c r="H27226" s="8" t="inlineStr">
        <is>
          <t>OPERATING</t>
        </is>
      </c>
    </row>
    <row r="27227">
      <c r="A27227" s="8" t="inlineStr">
        <is>
          <t>2026-08-05</t>
        </is>
      </c>
      <c r="B27227" s="8" t="n">
        <v>22</v>
      </c>
      <c r="C27227" s="8" t="n">
        <v>15</v>
      </c>
      <c r="D27227" s="8" t="inlineStr">
        <is>
          <t>Disneyland Park</t>
        </is>
      </c>
      <c r="E27227" s="8" t="inlineStr">
        <is>
          <t>Pirates' Beach</t>
        </is>
      </c>
      <c r="F27227" s="8" t="inlineStr">
        <is>
          <t>STANDBY</t>
        </is>
      </c>
      <c r="G27227" s="8" t="n">
        <v>0</v>
      </c>
      <c r="H27227" s="8" t="inlineStr">
        <is>
          <t>OPERATING</t>
        </is>
      </c>
    </row>
    <row r="27228">
      <c r="A27228" s="8" t="inlineStr">
        <is>
          <t>2026-08-05</t>
        </is>
      </c>
      <c r="B27228" s="8" t="n">
        <v>22</v>
      </c>
      <c r="C27228" s="8" t="n">
        <v>15</v>
      </c>
      <c r="D27228" s="8" t="inlineStr">
        <is>
          <t>Disneyland Park</t>
        </is>
      </c>
      <c r="E27228" s="8" t="inlineStr">
        <is>
          <t>Autopia, presented by Avis</t>
        </is>
      </c>
      <c r="F27228" s="8" t="inlineStr">
        <is>
          <t>STANDBY</t>
        </is>
      </c>
      <c r="G27228" s="8" t="n">
        <v>35</v>
      </c>
      <c r="H27228" s="8" t="inlineStr">
        <is>
          <t>OPERATING</t>
        </is>
      </c>
    </row>
    <row r="27229">
      <c r="A27229" s="8" t="inlineStr">
        <is>
          <t>2026-08-05</t>
        </is>
      </c>
      <c r="B27229" s="8" t="n">
        <v>22</v>
      </c>
      <c r="C27229" s="8" t="n">
        <v>15</v>
      </c>
      <c r="D27229" s="8" t="inlineStr">
        <is>
          <t>Disneyland Park</t>
        </is>
      </c>
      <c r="E27229" s="8" t="inlineStr">
        <is>
          <t>Buzz Lightyear Laser Blast</t>
        </is>
      </c>
      <c r="F27229" s="8" t="inlineStr">
        <is>
          <t>STANDBY</t>
        </is>
      </c>
      <c r="G27229" s="8" t="n">
        <v>20</v>
      </c>
      <c r="H27229" s="8" t="inlineStr">
        <is>
          <t>OPERATING</t>
        </is>
      </c>
    </row>
    <row r="27230">
      <c r="A27230" s="8" t="inlineStr">
        <is>
          <t>2026-08-05</t>
        </is>
      </c>
      <c r="B27230" s="8" t="n">
        <v>22</v>
      </c>
      <c r="C27230" s="8" t="n">
        <v>15</v>
      </c>
      <c r="D27230" s="8" t="inlineStr">
        <is>
          <t>Disneyland Park</t>
        </is>
      </c>
      <c r="E27230" s="8" t="inlineStr">
        <is>
          <t>Disneyland Railroad Discoveryland Station</t>
        </is>
      </c>
      <c r="F27230" s="8" t="inlineStr">
        <is>
          <t>STANDBY</t>
        </is>
      </c>
      <c r="G27230" s="8" t="n">
        <v>0</v>
      </c>
      <c r="H27230" s="8" t="inlineStr">
        <is>
          <t>CLOSED</t>
        </is>
      </c>
    </row>
    <row r="27231">
      <c r="A27231" s="8" t="inlineStr">
        <is>
          <t>2026-08-05</t>
        </is>
      </c>
      <c r="B27231" s="8" t="n">
        <v>22</v>
      </c>
      <c r="C27231" s="8" t="n">
        <v>15</v>
      </c>
      <c r="D27231" s="8" t="inlineStr">
        <is>
          <t>Disneyland Park</t>
        </is>
      </c>
      <c r="E27231" s="8" t="inlineStr">
        <is>
          <t>Les Mystères du Nautilus</t>
        </is>
      </c>
      <c r="F27231" s="8" t="inlineStr">
        <is>
          <t>STANDBY</t>
        </is>
      </c>
      <c r="G27231" s="8" t="n">
        <v>5</v>
      </c>
      <c r="H27231" s="8" t="inlineStr">
        <is>
          <t>OPERATING</t>
        </is>
      </c>
    </row>
    <row r="27232">
      <c r="A27232" s="8" t="inlineStr">
        <is>
          <t>2026-08-05</t>
        </is>
      </c>
      <c r="B27232" s="8" t="n">
        <v>22</v>
      </c>
      <c r="C27232" s="8" t="n">
        <v>15</v>
      </c>
      <c r="D27232" s="8" t="inlineStr">
        <is>
          <t>Disneyland Park</t>
        </is>
      </c>
      <c r="E27232" s="8" t="inlineStr">
        <is>
          <t>Mickey’s PhilharMagic</t>
        </is>
      </c>
      <c r="F27232" s="8" t="inlineStr">
        <is>
          <t>STANDBY</t>
        </is>
      </c>
      <c r="G27232" s="8" t="n">
        <v>0</v>
      </c>
      <c r="H27232" s="8" t="inlineStr">
        <is>
          <t>CLOSED</t>
        </is>
      </c>
    </row>
    <row r="27233">
      <c r="A27233" s="8" t="inlineStr">
        <is>
          <t>2026-08-05</t>
        </is>
      </c>
      <c r="B27233" s="8" t="n">
        <v>22</v>
      </c>
      <c r="C27233" s="8" t="n">
        <v>15</v>
      </c>
      <c r="D27233" s="8" t="inlineStr">
        <is>
          <t>Disneyland Park</t>
        </is>
      </c>
      <c r="E27233" s="8" t="inlineStr">
        <is>
          <t>Orbitron®</t>
        </is>
      </c>
      <c r="F27233" s="8" t="inlineStr">
        <is>
          <t>STANDBY</t>
        </is>
      </c>
      <c r="G27233" s="8" t="n">
        <v>30</v>
      </c>
      <c r="H27233" s="8" t="inlineStr">
        <is>
          <t>OPERATING</t>
        </is>
      </c>
    </row>
    <row r="27234">
      <c r="A27234" s="8" t="inlineStr">
        <is>
          <t>2026-08-05</t>
        </is>
      </c>
      <c r="B27234" s="8" t="n">
        <v>22</v>
      </c>
      <c r="C27234" s="8" t="n">
        <v>15</v>
      </c>
      <c r="D27234" s="8" t="inlineStr">
        <is>
          <t>Disneyland Park</t>
        </is>
      </c>
      <c r="E27234" s="8" t="inlineStr">
        <is>
          <t>Star Tours: The Adventures Continue*</t>
        </is>
      </c>
      <c r="F27234" s="8" t="inlineStr">
        <is>
          <t>STANDBY</t>
        </is>
      </c>
      <c r="G27234" s="8" t="n">
        <v>5</v>
      </c>
      <c r="H27234" s="8" t="inlineStr">
        <is>
          <t>OPERATING</t>
        </is>
      </c>
    </row>
    <row r="27235">
      <c r="A27235" s="8" t="inlineStr">
        <is>
          <t>2026-08-05</t>
        </is>
      </c>
      <c r="B27235" s="8" t="n">
        <v>22</v>
      </c>
      <c r="C27235" s="8" t="n">
        <v>15</v>
      </c>
      <c r="D27235" s="8" t="inlineStr">
        <is>
          <t>Disneyland Park</t>
        </is>
      </c>
      <c r="E27235" s="8" t="inlineStr">
        <is>
          <t>Star Wars Hyperspace Mountain</t>
        </is>
      </c>
      <c r="F27235" s="8" t="inlineStr">
        <is>
          <t>STANDBY</t>
        </is>
      </c>
      <c r="G27235" s="8" t="n">
        <v>15</v>
      </c>
      <c r="H27235" s="8" t="inlineStr">
        <is>
          <t>OPERATING</t>
        </is>
      </c>
    </row>
    <row r="27236">
      <c r="A27236" s="8" t="inlineStr">
        <is>
          <t>2026-08-05</t>
        </is>
      </c>
      <c r="B27236" s="8" t="n">
        <v>22</v>
      </c>
      <c r="C27236" s="8" t="n">
        <v>15</v>
      </c>
      <c r="D27236" s="8" t="inlineStr">
        <is>
          <t>Disneyland Park</t>
        </is>
      </c>
      <c r="E27236" s="8" t="inlineStr">
        <is>
          <t>Star Wars Hyperspace Mountain Single Rider</t>
        </is>
      </c>
      <c r="F27236" s="8" t="inlineStr">
        <is>
          <t>STANDBY</t>
        </is>
      </c>
      <c r="G27236" s="8" t="n">
        <v>0</v>
      </c>
      <c r="H27236" s="8" t="inlineStr">
        <is>
          <t>OPERATING</t>
        </is>
      </c>
    </row>
    <row r="27237">
      <c r="A27237" s="8" t="inlineStr">
        <is>
          <t>2026-08-05</t>
        </is>
      </c>
      <c r="B27237" s="8" t="n">
        <v>22</v>
      </c>
      <c r="C27237" s="8" t="n">
        <v>15</v>
      </c>
      <c r="D27237" s="8" t="inlineStr">
        <is>
          <t>Disneyland Park</t>
        </is>
      </c>
      <c r="E27237" s="8" t="inlineStr">
        <is>
          <t>Welcome to Starport: A Star Wars Encounter</t>
        </is>
      </c>
      <c r="F27237" s="8" t="inlineStr">
        <is>
          <t>STANDBY</t>
        </is>
      </c>
      <c r="G27237" s="8" t="n">
        <v>0</v>
      </c>
      <c r="H27237" s="8" t="inlineStr">
        <is>
          <t>CLOSED</t>
        </is>
      </c>
    </row>
    <row r="27238">
      <c r="A27238" s="8" t="inlineStr">
        <is>
          <t>2026-08-05</t>
        </is>
      </c>
      <c r="B27238" s="8" t="n">
        <v>22</v>
      </c>
      <c r="C27238" s="8" t="n">
        <v>15</v>
      </c>
      <c r="D27238" s="8" t="inlineStr">
        <is>
          <t>Disneyland Park</t>
        </is>
      </c>
      <c r="E27238" s="8" t="inlineStr">
        <is>
          <t>"it's a small world"</t>
        </is>
      </c>
      <c r="F27238" s="8" t="inlineStr">
        <is>
          <t>STANDBY</t>
        </is>
      </c>
      <c r="G27238" s="8" t="n">
        <v>5</v>
      </c>
      <c r="H27238" s="8" t="inlineStr">
        <is>
          <t>OPERATING</t>
        </is>
      </c>
    </row>
    <row r="27239">
      <c r="A27239" s="8" t="inlineStr">
        <is>
          <t>2026-08-05</t>
        </is>
      </c>
      <c r="B27239" s="8" t="n">
        <v>22</v>
      </c>
      <c r="C27239" s="8" t="n">
        <v>15</v>
      </c>
      <c r="D27239" s="8" t="inlineStr">
        <is>
          <t>Disneyland Park</t>
        </is>
      </c>
      <c r="E27239" s="8" t="inlineStr">
        <is>
          <t>Alice's Curious Labyrinth</t>
        </is>
      </c>
      <c r="F27239" s="8" t="inlineStr">
        <is>
          <t>STANDBY</t>
        </is>
      </c>
      <c r="G27239" s="8" t="n">
        <v>0</v>
      </c>
      <c r="H27239" s="8" t="inlineStr">
        <is>
          <t>CLOSED</t>
        </is>
      </c>
    </row>
    <row r="27240">
      <c r="A27240" s="8" t="inlineStr">
        <is>
          <t>2026-08-05</t>
        </is>
      </c>
      <c r="B27240" s="8" t="n">
        <v>22</v>
      </c>
      <c r="C27240" s="8" t="n">
        <v>15</v>
      </c>
      <c r="D27240" s="8" t="inlineStr">
        <is>
          <t>Disneyland Park</t>
        </is>
      </c>
      <c r="E27240" s="8" t="inlineStr">
        <is>
          <t>Blanche-Neige et les Sept Nains®</t>
        </is>
      </c>
      <c r="F27240" s="8" t="inlineStr">
        <is>
          <t>STANDBY</t>
        </is>
      </c>
      <c r="G27240" s="8" t="n">
        <v>0</v>
      </c>
      <c r="H27240" s="8" t="inlineStr">
        <is>
          <t>CLOSED</t>
        </is>
      </c>
    </row>
    <row r="27241">
      <c r="A27241" s="8" t="inlineStr">
        <is>
          <t>2026-08-05</t>
        </is>
      </c>
      <c r="B27241" s="8" t="n">
        <v>22</v>
      </c>
      <c r="C27241" s="8" t="n">
        <v>15</v>
      </c>
      <c r="D27241" s="8" t="inlineStr">
        <is>
          <t>Disneyland Park</t>
        </is>
      </c>
      <c r="E27241" s="8" t="inlineStr">
        <is>
          <t>Casey Jr. – le Petit Train du Cirque</t>
        </is>
      </c>
      <c r="F27241" s="8" t="inlineStr">
        <is>
          <t>STANDBY</t>
        </is>
      </c>
      <c r="G27241" s="8" t="n">
        <v>0</v>
      </c>
      <c r="H27241" s="8" t="inlineStr">
        <is>
          <t>CLOSED</t>
        </is>
      </c>
    </row>
    <row r="27242">
      <c r="A27242" s="8" t="inlineStr">
        <is>
          <t>2026-08-05</t>
        </is>
      </c>
      <c r="B27242" s="8" t="n">
        <v>22</v>
      </c>
      <c r="C27242" s="8" t="n">
        <v>15</v>
      </c>
      <c r="D27242" s="8" t="inlineStr">
        <is>
          <t>Disneyland Park</t>
        </is>
      </c>
      <c r="E27242" s="8" t="inlineStr">
        <is>
          <t>Disneyland Railroad Fantasyland Station</t>
        </is>
      </c>
      <c r="F27242" s="8" t="inlineStr">
        <is>
          <t>STANDBY</t>
        </is>
      </c>
      <c r="G27242" s="8" t="n">
        <v>0</v>
      </c>
      <c r="H27242" s="8" t="inlineStr">
        <is>
          <t>CLOSED</t>
        </is>
      </c>
    </row>
    <row r="27243">
      <c r="A27243" s="8" t="inlineStr">
        <is>
          <t>2026-08-05</t>
        </is>
      </c>
      <c r="B27243" s="8" t="n">
        <v>22</v>
      </c>
      <c r="C27243" s="8" t="n">
        <v>15</v>
      </c>
      <c r="D27243" s="8" t="inlineStr">
        <is>
          <t>Disneyland Park</t>
        </is>
      </c>
      <c r="E27243" s="8" t="inlineStr">
        <is>
          <t>Disneyland Railroad Main Street Station</t>
        </is>
      </c>
      <c r="F27243" s="8" t="inlineStr">
        <is>
          <t>STANDBY</t>
        </is>
      </c>
      <c r="G27243" s="8" t="n">
        <v>0</v>
      </c>
      <c r="H27243" s="8" t="inlineStr">
        <is>
          <t>CLOSED</t>
        </is>
      </c>
    </row>
    <row r="27244">
      <c r="A27244" s="8" t="inlineStr">
        <is>
          <t>2026-08-05</t>
        </is>
      </c>
      <c r="B27244" s="8" t="n">
        <v>22</v>
      </c>
      <c r="C27244" s="8" t="n">
        <v>15</v>
      </c>
      <c r="D27244" s="8" t="inlineStr">
        <is>
          <t>Disneyland Park</t>
        </is>
      </c>
      <c r="E27244" s="8" t="inlineStr">
        <is>
          <t>Dumbo the Flying Elephant</t>
        </is>
      </c>
      <c r="F27244" s="8" t="inlineStr">
        <is>
          <t>STANDBY</t>
        </is>
      </c>
      <c r="G27244" s="8" t="n">
        <v>0</v>
      </c>
      <c r="H27244" s="8" t="inlineStr">
        <is>
          <t>CLOSED</t>
        </is>
      </c>
    </row>
    <row r="27245">
      <c r="A27245" s="8" t="inlineStr">
        <is>
          <t>2026-08-05</t>
        </is>
      </c>
      <c r="B27245" s="8" t="n">
        <v>22</v>
      </c>
      <c r="C27245" s="8" t="n">
        <v>15</v>
      </c>
      <c r="D27245" s="8" t="inlineStr">
        <is>
          <t>Disneyland Park</t>
        </is>
      </c>
      <c r="E27245" s="8" t="inlineStr">
        <is>
          <t>La Tanière du Dragon</t>
        </is>
      </c>
      <c r="F27245" s="8" t="inlineStr">
        <is>
          <t>STANDBY</t>
        </is>
      </c>
      <c r="G27245" s="8" t="n">
        <v>0</v>
      </c>
      <c r="H27245" s="8" t="inlineStr">
        <is>
          <t>CLOSED</t>
        </is>
      </c>
    </row>
    <row r="27246">
      <c r="A27246" s="8" t="inlineStr">
        <is>
          <t>2026-08-05</t>
        </is>
      </c>
      <c r="B27246" s="8" t="n">
        <v>22</v>
      </c>
      <c r="C27246" s="8" t="n">
        <v>15</v>
      </c>
      <c r="D27246" s="8" t="inlineStr">
        <is>
          <t>Disneyland Park</t>
        </is>
      </c>
      <c r="E27246" s="8" t="inlineStr">
        <is>
          <t>Le Carrousel de Lancelot</t>
        </is>
      </c>
      <c r="F27246" s="8" t="inlineStr">
        <is>
          <t>STANDBY</t>
        </is>
      </c>
      <c r="G27246" s="8" t="n">
        <v>0</v>
      </c>
      <c r="H27246" s="8" t="inlineStr">
        <is>
          <t>CLOSED</t>
        </is>
      </c>
    </row>
    <row r="27247">
      <c r="A27247" s="8" t="inlineStr">
        <is>
          <t>2026-08-05</t>
        </is>
      </c>
      <c r="B27247" s="8" t="n">
        <v>22</v>
      </c>
      <c r="C27247" s="8" t="n">
        <v>15</v>
      </c>
      <c r="D27247" s="8" t="inlineStr">
        <is>
          <t>Disneyland Park</t>
        </is>
      </c>
      <c r="E27247" s="8" t="inlineStr">
        <is>
          <t>Le Pays des Contes de Fées, presented by Vittel</t>
        </is>
      </c>
      <c r="F27247" s="8" t="inlineStr">
        <is>
          <t>STANDBY</t>
        </is>
      </c>
      <c r="G27247" s="8" t="n">
        <v>0</v>
      </c>
      <c r="H27247" s="8" t="inlineStr">
        <is>
          <t>CLOSED</t>
        </is>
      </c>
    </row>
    <row r="27248">
      <c r="A27248" s="8" t="inlineStr">
        <is>
          <t>2026-08-05</t>
        </is>
      </c>
      <c r="B27248" s="8" t="n">
        <v>22</v>
      </c>
      <c r="C27248" s="8" t="n">
        <v>15</v>
      </c>
      <c r="D27248" s="8" t="inlineStr">
        <is>
          <t>Disneyland Park</t>
        </is>
      </c>
      <c r="E27248" s="8" t="inlineStr">
        <is>
          <t>Les Voyages de Pinocchio</t>
        </is>
      </c>
      <c r="F27248" s="8" t="inlineStr">
        <is>
          <t>STANDBY</t>
        </is>
      </c>
      <c r="G27248" s="8" t="n">
        <v>0</v>
      </c>
      <c r="H27248" s="8" t="inlineStr">
        <is>
          <t>CLOSED</t>
        </is>
      </c>
    </row>
    <row r="27249">
      <c r="A27249" s="8" t="inlineStr">
        <is>
          <t>2026-08-05</t>
        </is>
      </c>
      <c r="B27249" s="8" t="n">
        <v>22</v>
      </c>
      <c r="C27249" s="8" t="n">
        <v>15</v>
      </c>
      <c r="D27249" s="8" t="inlineStr">
        <is>
          <t>Disneyland Park</t>
        </is>
      </c>
      <c r="E27249" s="8" t="inlineStr">
        <is>
          <t>Mad Hatter's Tea Cups</t>
        </is>
      </c>
      <c r="F27249" s="8" t="inlineStr">
        <is>
          <t>STANDBY</t>
        </is>
      </c>
      <c r="G27249" s="8" t="n">
        <v>0</v>
      </c>
      <c r="H27249" s="8" t="inlineStr">
        <is>
          <t>CLOSED</t>
        </is>
      </c>
    </row>
    <row r="27250">
      <c r="A27250" s="8" t="inlineStr">
        <is>
          <t>2026-08-05</t>
        </is>
      </c>
      <c r="B27250" s="8" t="n">
        <v>22</v>
      </c>
      <c r="C27250" s="8" t="n">
        <v>15</v>
      </c>
      <c r="D27250" s="8" t="inlineStr">
        <is>
          <t>Disneyland Park</t>
        </is>
      </c>
      <c r="E27250" s="8" t="inlineStr">
        <is>
          <t>Meet Mickey Mouse</t>
        </is>
      </c>
      <c r="F27250" s="8" t="inlineStr">
        <is>
          <t>STANDBY</t>
        </is>
      </c>
      <c r="G27250" s="8" t="n">
        <v>0</v>
      </c>
      <c r="H27250" s="8" t="inlineStr">
        <is>
          <t>CLOSED</t>
        </is>
      </c>
    </row>
    <row r="27251">
      <c r="A27251" s="8" t="inlineStr">
        <is>
          <t>2026-08-05</t>
        </is>
      </c>
      <c r="B27251" s="8" t="n">
        <v>22</v>
      </c>
      <c r="C27251" s="8" t="n">
        <v>15</v>
      </c>
      <c r="D27251" s="8" t="inlineStr">
        <is>
          <t>Disneyland Park</t>
        </is>
      </c>
      <c r="E27251" s="8" t="inlineStr">
        <is>
          <t>Peter Pan's Flight</t>
        </is>
      </c>
      <c r="F27251" s="8" t="inlineStr">
        <is>
          <t>STANDBY</t>
        </is>
      </c>
      <c r="G27251" s="8" t="n">
        <v>25</v>
      </c>
      <c r="H27251" s="8" t="inlineStr">
        <is>
          <t>OPERATING</t>
        </is>
      </c>
    </row>
    <row r="27252">
      <c r="A27252" s="8" t="inlineStr">
        <is>
          <t>2026-08-05</t>
        </is>
      </c>
      <c r="B27252" s="8" t="n">
        <v>22</v>
      </c>
      <c r="C27252" s="8" t="n">
        <v>15</v>
      </c>
      <c r="D27252" s="8" t="inlineStr">
        <is>
          <t>Disneyland Park</t>
        </is>
      </c>
      <c r="E27252" s="8" t="inlineStr">
        <is>
          <t>Princess Pavilion</t>
        </is>
      </c>
      <c r="F27252" s="8" t="inlineStr">
        <is>
          <t>STANDBY</t>
        </is>
      </c>
      <c r="G27252" s="8" t="n">
        <v>0</v>
      </c>
      <c r="H27252" s="8" t="inlineStr">
        <is>
          <t>CLOSED</t>
        </is>
      </c>
    </row>
    <row r="27253">
      <c r="A27253" s="8" t="inlineStr">
        <is>
          <t>2026-08-05</t>
        </is>
      </c>
      <c r="B27253" s="8" t="n">
        <v>22</v>
      </c>
      <c r="C27253" s="8" t="n">
        <v>15</v>
      </c>
      <c r="D27253" s="8" t="inlineStr">
        <is>
          <t>Disneyland Park</t>
        </is>
      </c>
      <c r="E27253" s="8" t="inlineStr">
        <is>
          <t>Big Thunder Mountain</t>
        </is>
      </c>
      <c r="F27253" s="8" t="inlineStr">
        <is>
          <t>STANDBY</t>
        </is>
      </c>
      <c r="G27253" s="8" t="n">
        <v>45</v>
      </c>
      <c r="H27253" s="8" t="inlineStr">
        <is>
          <t>OPERATING</t>
        </is>
      </c>
    </row>
    <row r="27254">
      <c r="A27254" s="8" t="inlineStr">
        <is>
          <t>2026-08-05</t>
        </is>
      </c>
      <c r="B27254" s="8" t="n">
        <v>22</v>
      </c>
      <c r="C27254" s="8" t="n">
        <v>15</v>
      </c>
      <c r="D27254" s="8" t="inlineStr">
        <is>
          <t>Disneyland Park</t>
        </is>
      </c>
      <c r="E27254" s="8" t="inlineStr">
        <is>
          <t>Disneyland Railroad Frontierland Depot</t>
        </is>
      </c>
      <c r="F27254" s="8" t="inlineStr">
        <is>
          <t>STANDBY</t>
        </is>
      </c>
      <c r="G27254" s="8" t="n">
        <v>0</v>
      </c>
      <c r="H27254" s="8" t="inlineStr">
        <is>
          <t>CLOSED</t>
        </is>
      </c>
    </row>
    <row r="27255">
      <c r="A27255" s="8" t="inlineStr">
        <is>
          <t>2026-08-05</t>
        </is>
      </c>
      <c r="B27255" s="8" t="n">
        <v>22</v>
      </c>
      <c r="C27255" s="8" t="n">
        <v>15</v>
      </c>
      <c r="D27255" s="8" t="inlineStr">
        <is>
          <t>Disneyland Park</t>
        </is>
      </c>
      <c r="E27255" s="8" t="inlineStr">
        <is>
          <t>Frontierland Playground</t>
        </is>
      </c>
      <c r="F27255" s="8" t="inlineStr">
        <is>
          <t>STANDBY</t>
        </is>
      </c>
      <c r="G27255" s="8" t="n">
        <v>0</v>
      </c>
      <c r="H27255" s="8" t="inlineStr">
        <is>
          <t>CLOSED</t>
        </is>
      </c>
    </row>
    <row r="27256">
      <c r="A27256" s="8" t="inlineStr">
        <is>
          <t>2026-08-05</t>
        </is>
      </c>
      <c r="B27256" s="8" t="n">
        <v>22</v>
      </c>
      <c r="C27256" s="8" t="n">
        <v>15</v>
      </c>
      <c r="D27256" s="8" t="inlineStr">
        <is>
          <t>Disneyland Park</t>
        </is>
      </c>
      <c r="E27256" s="8" t="inlineStr">
        <is>
          <t>Phantom Manor</t>
        </is>
      </c>
      <c r="F27256" s="8" t="inlineStr">
        <is>
          <t>STANDBY</t>
        </is>
      </c>
      <c r="G27256" s="8" t="n">
        <v>5</v>
      </c>
      <c r="H27256" s="8" t="inlineStr">
        <is>
          <t>OPERATING</t>
        </is>
      </c>
    </row>
    <row r="27257">
      <c r="A27257" s="8" t="inlineStr">
        <is>
          <t>2026-08-05</t>
        </is>
      </c>
      <c r="B27257" s="8" t="n">
        <v>22</v>
      </c>
      <c r="C27257" s="8" t="n">
        <v>15</v>
      </c>
      <c r="D27257" s="8" t="inlineStr">
        <is>
          <t>Disneyland Park</t>
        </is>
      </c>
      <c r="E27257" s="8" t="inlineStr">
        <is>
          <t>River Rogue Keelboats</t>
        </is>
      </c>
      <c r="F27257" s="8" t="inlineStr">
        <is>
          <t>STANDBY</t>
        </is>
      </c>
      <c r="G27257" s="8" t="n">
        <v>0</v>
      </c>
      <c r="H27257" s="8" t="inlineStr">
        <is>
          <t>CLOSED</t>
        </is>
      </c>
    </row>
    <row r="27258">
      <c r="A27258" s="8" t="inlineStr">
        <is>
          <t>2026-08-05</t>
        </is>
      </c>
      <c r="B27258" s="8" t="n">
        <v>22</v>
      </c>
      <c r="C27258" s="8" t="n">
        <v>15</v>
      </c>
      <c r="D27258" s="8" t="inlineStr">
        <is>
          <t>Disneyland Park</t>
        </is>
      </c>
      <c r="E27258" s="8" t="inlineStr">
        <is>
          <t>Rustler Roundup Shootin' Gallery</t>
        </is>
      </c>
      <c r="F27258" s="8" t="inlineStr">
        <is>
          <t>STANDBY</t>
        </is>
      </c>
      <c r="G27258" s="8" t="n">
        <v>0</v>
      </c>
      <c r="H27258" s="8" t="inlineStr">
        <is>
          <t>CLOSED</t>
        </is>
      </c>
    </row>
    <row r="27259">
      <c r="A27259" s="8" t="inlineStr">
        <is>
          <t>2026-08-05</t>
        </is>
      </c>
      <c r="B27259" s="8" t="n">
        <v>22</v>
      </c>
      <c r="C27259" s="8" t="n">
        <v>15</v>
      </c>
      <c r="D27259" s="8" t="inlineStr">
        <is>
          <t>Disneyland Park</t>
        </is>
      </c>
      <c r="E27259" s="8" t="inlineStr">
        <is>
          <t>Thunder Mesa Riverboat Landing</t>
        </is>
      </c>
      <c r="F27259" s="8" t="inlineStr">
        <is>
          <t>STANDBY</t>
        </is>
      </c>
      <c r="G27259" s="8" t="n">
        <v>0</v>
      </c>
      <c r="H27259" s="8" t="inlineStr">
        <is>
          <t>CLOSED</t>
        </is>
      </c>
    </row>
    <row r="27260">
      <c r="A27260" s="8" t="inlineStr">
        <is>
          <t>2026-08-05</t>
        </is>
      </c>
      <c r="B27260" s="8" t="n">
        <v>22</v>
      </c>
      <c r="C27260" s="8" t="n">
        <v>15</v>
      </c>
      <c r="D27260" s="8" t="inlineStr">
        <is>
          <t>Disneyland Park</t>
        </is>
      </c>
      <c r="E27260" s="8" t="inlineStr">
        <is>
          <t>Disneyland Railroad Main Street Station</t>
        </is>
      </c>
      <c r="F27260" s="8" t="inlineStr">
        <is>
          <t>STANDBY</t>
        </is>
      </c>
      <c r="G27260" s="8" t="n">
        <v>0</v>
      </c>
      <c r="H27260" s="8" t="inlineStr">
        <is>
          <t>CLOSED</t>
        </is>
      </c>
    </row>
    <row r="27261">
      <c r="A27261" s="8" t="inlineStr">
        <is>
          <t>2026-08-05</t>
        </is>
      </c>
      <c r="B27261" s="8" t="n">
        <v>22</v>
      </c>
      <c r="C27261" s="8" t="n">
        <v>15</v>
      </c>
      <c r="D27261" s="8" t="inlineStr">
        <is>
          <t>Disneyland Park</t>
        </is>
      </c>
      <c r="E27261" s="8" t="inlineStr">
        <is>
          <t>Main Street Vehicles</t>
        </is>
      </c>
      <c r="F27261" s="8" t="inlineStr">
        <is>
          <t>STANDBY</t>
        </is>
      </c>
      <c r="G27261" s="8" t="n">
        <v>0</v>
      </c>
      <c r="H27261" s="8" t="inlineStr">
        <is>
          <t>CLOSED</t>
        </is>
      </c>
    </row>
    <row r="27262">
      <c r="A27262" s="8" t="inlineStr">
        <is>
          <t>2026-08-05</t>
        </is>
      </c>
      <c r="B27262" s="8" t="n">
        <v>22</v>
      </c>
      <c r="C27262" s="8" t="n">
        <v>15</v>
      </c>
      <c r="D27262" s="8" t="inlineStr">
        <is>
          <t>Disney Adventure World</t>
        </is>
      </c>
      <c r="E27262" s="8" t="inlineStr">
        <is>
          <t>Avengers Assemble: Flight Force</t>
        </is>
      </c>
      <c r="F27262" s="8" t="inlineStr">
        <is>
          <t>STANDBY</t>
        </is>
      </c>
      <c r="G27262" s="8" t="n">
        <v>5</v>
      </c>
      <c r="H27262" s="8" t="inlineStr">
        <is>
          <t>OPERATING</t>
        </is>
      </c>
    </row>
    <row r="27263">
      <c r="A27263" s="8" t="inlineStr">
        <is>
          <t>2026-08-05</t>
        </is>
      </c>
      <c r="B27263" s="8" t="n">
        <v>22</v>
      </c>
      <c r="C27263" s="8" t="n">
        <v>15</v>
      </c>
      <c r="D27263" s="8" t="inlineStr">
        <is>
          <t>Disney Adventure World</t>
        </is>
      </c>
      <c r="E27263" s="8" t="inlineStr">
        <is>
          <t>Avengers Assemble: Flight Force Single Rider</t>
        </is>
      </c>
      <c r="F27263" s="8" t="inlineStr">
        <is>
          <t>STANDBY</t>
        </is>
      </c>
      <c r="G27263" s="8" t="n">
        <v>5</v>
      </c>
      <c r="H27263" s="8" t="inlineStr">
        <is>
          <t>OPERATING</t>
        </is>
      </c>
    </row>
    <row r="27264">
      <c r="A27264" s="8" t="inlineStr">
        <is>
          <t>2026-08-05</t>
        </is>
      </c>
      <c r="B27264" s="8" t="n">
        <v>22</v>
      </c>
      <c r="C27264" s="8" t="n">
        <v>15</v>
      </c>
      <c r="D27264" s="8" t="inlineStr">
        <is>
          <t>Disney Adventure World</t>
        </is>
      </c>
      <c r="E27264" s="8" t="inlineStr">
        <is>
          <t>Spider-Man W.E.B. Adventure</t>
        </is>
      </c>
      <c r="F27264" s="8" t="inlineStr">
        <is>
          <t>STANDBY</t>
        </is>
      </c>
      <c r="G27264" s="8" t="n">
        <v>20</v>
      </c>
      <c r="H27264" s="8" t="inlineStr">
        <is>
          <t>OPERATING</t>
        </is>
      </c>
    </row>
    <row r="27265">
      <c r="A27265" s="8" t="inlineStr">
        <is>
          <t>2026-08-05</t>
        </is>
      </c>
      <c r="B27265" s="8" t="n">
        <v>22</v>
      </c>
      <c r="C27265" s="8" t="n">
        <v>15</v>
      </c>
      <c r="D27265" s="8" t="inlineStr">
        <is>
          <t>Disney Adventure World</t>
        </is>
      </c>
      <c r="E27265" s="8" t="inlineStr">
        <is>
          <t>Spider-Man W.E.B. Adventure Single Rider</t>
        </is>
      </c>
      <c r="F27265" s="8" t="inlineStr">
        <is>
          <t>STANDBY</t>
        </is>
      </c>
      <c r="G27265" s="8" t="n">
        <v>5</v>
      </c>
      <c r="H27265" s="8" t="inlineStr">
        <is>
          <t>OPERATING</t>
        </is>
      </c>
    </row>
    <row r="27266">
      <c r="A27266" s="8" t="inlineStr">
        <is>
          <t>2026-08-05</t>
        </is>
      </c>
      <c r="B27266" s="8" t="n">
        <v>22</v>
      </c>
      <c r="C27266" s="8" t="n">
        <v>15</v>
      </c>
      <c r="D27266" s="8" t="inlineStr">
        <is>
          <t>Disney Adventure World</t>
        </is>
      </c>
      <c r="E27266" s="8" t="inlineStr">
        <is>
          <t>The Twilight Zone Tower of Terror</t>
        </is>
      </c>
      <c r="F27266" s="8" t="inlineStr">
        <is>
          <t>STANDBY</t>
        </is>
      </c>
      <c r="G27266" s="8" t="n">
        <v>5</v>
      </c>
      <c r="H27266" s="8" t="inlineStr">
        <is>
          <t>OPERATING</t>
        </is>
      </c>
    </row>
    <row r="27267">
      <c r="A27267" s="8" t="inlineStr">
        <is>
          <t>2026-08-05</t>
        </is>
      </c>
      <c r="B27267" s="8" t="n">
        <v>22</v>
      </c>
      <c r="C27267" s="8" t="n">
        <v>15</v>
      </c>
      <c r="D27267" s="8" t="inlineStr">
        <is>
          <t>Disney Adventure World</t>
        </is>
      </c>
      <c r="E27267" s="8" t="inlineStr">
        <is>
          <t>Cars Quatre Roues Rallye</t>
        </is>
      </c>
      <c r="F27267" s="8" t="inlineStr">
        <is>
          <t>STANDBY</t>
        </is>
      </c>
      <c r="G27267" s="8" t="n">
        <v>5</v>
      </c>
      <c r="H27267" s="8" t="inlineStr">
        <is>
          <t>OPERATING</t>
        </is>
      </c>
    </row>
    <row r="27268">
      <c r="A27268" s="8" t="inlineStr">
        <is>
          <t>2026-08-05</t>
        </is>
      </c>
      <c r="B27268" s="8" t="n">
        <v>22</v>
      </c>
      <c r="C27268" s="8" t="n">
        <v>15</v>
      </c>
      <c r="D27268" s="8" t="inlineStr">
        <is>
          <t>Disney Adventure World</t>
        </is>
      </c>
      <c r="E27268" s="8" t="inlineStr">
        <is>
          <t>Cars ROAD TRIP</t>
        </is>
      </c>
      <c r="F27268" s="8" t="inlineStr">
        <is>
          <t>STANDBY</t>
        </is>
      </c>
      <c r="G27268" s="8" t="n">
        <v>0</v>
      </c>
      <c r="H27268" s="8" t="inlineStr">
        <is>
          <t>CLOSED</t>
        </is>
      </c>
    </row>
    <row r="27269">
      <c r="A27269" s="8" t="inlineStr">
        <is>
          <t>2026-08-05</t>
        </is>
      </c>
      <c r="B27269" s="8" t="n">
        <v>22</v>
      </c>
      <c r="C27269" s="8" t="n">
        <v>15</v>
      </c>
      <c r="D27269" s="8" t="inlineStr">
        <is>
          <t>Disney Adventure World</t>
        </is>
      </c>
      <c r="E27269" s="8" t="inlineStr">
        <is>
          <t>Crush's Coaster</t>
        </is>
      </c>
      <c r="F27269" s="8" t="inlineStr">
        <is>
          <t>STANDBY</t>
        </is>
      </c>
      <c r="G27269" s="8" t="n">
        <v>55</v>
      </c>
      <c r="H27269" s="8" t="inlineStr">
        <is>
          <t>OPERATING</t>
        </is>
      </c>
    </row>
    <row r="27270">
      <c r="A27270" s="8" t="inlineStr">
        <is>
          <t>2026-08-05</t>
        </is>
      </c>
      <c r="B27270" s="8" t="n">
        <v>22</v>
      </c>
      <c r="C27270" s="8" t="n">
        <v>15</v>
      </c>
      <c r="D27270" s="8" t="inlineStr">
        <is>
          <t>Disney Adventure World</t>
        </is>
      </c>
      <c r="E27270" s="8" t="inlineStr">
        <is>
          <t>Crush's Coaster Single Rider</t>
        </is>
      </c>
      <c r="F27270" s="8" t="inlineStr">
        <is>
          <t>STANDBY</t>
        </is>
      </c>
      <c r="G27270" s="8" t="n">
        <v>45</v>
      </c>
      <c r="H27270" s="8" t="inlineStr">
        <is>
          <t>OPERATING</t>
        </is>
      </c>
    </row>
    <row r="27271">
      <c r="A27271" s="8" t="inlineStr">
        <is>
          <t>2026-08-05</t>
        </is>
      </c>
      <c r="B27271" s="8" t="n">
        <v>22</v>
      </c>
      <c r="C27271" s="8" t="n">
        <v>15</v>
      </c>
      <c r="D27271" s="8" t="inlineStr">
        <is>
          <t>Disney Adventure World</t>
        </is>
      </c>
      <c r="E27271" s="8" t="inlineStr">
        <is>
          <t>Les Tapis Volants - Flying Carpets Over Agrabah®</t>
        </is>
      </c>
      <c r="F27271" s="8" t="inlineStr">
        <is>
          <t>STANDBY</t>
        </is>
      </c>
      <c r="G27271" s="8" t="n">
        <v>5</v>
      </c>
      <c r="H27271" s="8" t="inlineStr">
        <is>
          <t>OPERATING</t>
        </is>
      </c>
    </row>
    <row r="27272">
      <c r="A27272" s="8" t="inlineStr">
        <is>
          <t>2026-08-05</t>
        </is>
      </c>
      <c r="B27272" s="8" t="n">
        <v>22</v>
      </c>
      <c r="C27272" s="8" t="n">
        <v>15</v>
      </c>
      <c r="D27272" s="8" t="inlineStr">
        <is>
          <t>Disney Adventure World</t>
        </is>
      </c>
      <c r="E27272" s="8" t="inlineStr">
        <is>
          <t>Ratatouille : L’Aventure Totalement Toquée de Rémy​</t>
        </is>
      </c>
      <c r="F27272" s="8" t="inlineStr">
        <is>
          <t>STANDBY</t>
        </is>
      </c>
      <c r="G27272" s="8" t="n">
        <v>15</v>
      </c>
      <c r="H27272" s="8" t="inlineStr">
        <is>
          <t>OPERATING</t>
        </is>
      </c>
    </row>
    <row r="27273">
      <c r="A27273" s="8" t="inlineStr">
        <is>
          <t>2026-08-05</t>
        </is>
      </c>
      <c r="B27273" s="8" t="n">
        <v>22</v>
      </c>
      <c r="C27273" s="8" t="n">
        <v>15</v>
      </c>
      <c r="D27273" s="8" t="inlineStr">
        <is>
          <t>Disney Adventure World</t>
        </is>
      </c>
      <c r="E27273" s="8" t="inlineStr">
        <is>
          <t>Ratatouille: The Adventure Single Rider</t>
        </is>
      </c>
      <c r="F27273" s="8" t="inlineStr">
        <is>
          <t>STANDBY</t>
        </is>
      </c>
      <c r="G27273" s="8" t="n">
        <v>5</v>
      </c>
      <c r="H27273" s="8" t="inlineStr">
        <is>
          <t>OPERATING</t>
        </is>
      </c>
    </row>
    <row r="27274">
      <c r="A27274" s="8" t="inlineStr">
        <is>
          <t>2026-08-05</t>
        </is>
      </c>
      <c r="B27274" s="8" t="n">
        <v>22</v>
      </c>
      <c r="C27274" s="8" t="n">
        <v>15</v>
      </c>
      <c r="D27274" s="8" t="inlineStr">
        <is>
          <t>Disney Adventure World</t>
        </is>
      </c>
      <c r="E27274" s="8" t="inlineStr">
        <is>
          <t>RC Racer</t>
        </is>
      </c>
      <c r="F27274" s="8" t="inlineStr">
        <is>
          <t>STANDBY</t>
        </is>
      </c>
      <c r="G27274" s="8" t="n">
        <v>30</v>
      </c>
      <c r="H27274" s="8" t="inlineStr">
        <is>
          <t>OPERATING</t>
        </is>
      </c>
    </row>
    <row r="27275">
      <c r="A27275" s="8" t="inlineStr">
        <is>
          <t>2026-08-05</t>
        </is>
      </c>
      <c r="B27275" s="8" t="n">
        <v>22</v>
      </c>
      <c r="C27275" s="8" t="n">
        <v>15</v>
      </c>
      <c r="D27275" s="8" t="inlineStr">
        <is>
          <t>Disney Adventure World</t>
        </is>
      </c>
      <c r="E27275" s="8" t="inlineStr">
        <is>
          <t>RC Racer Single Rider</t>
        </is>
      </c>
      <c r="F27275" s="8" t="inlineStr">
        <is>
          <t>STANDBY</t>
        </is>
      </c>
      <c r="G27275" s="8" t="n">
        <v>20</v>
      </c>
      <c r="H27275" s="8" t="inlineStr">
        <is>
          <t>OPERATING</t>
        </is>
      </c>
    </row>
    <row r="27276">
      <c r="A27276" s="8" t="inlineStr">
        <is>
          <t>2026-08-05</t>
        </is>
      </c>
      <c r="B27276" s="8" t="n">
        <v>22</v>
      </c>
      <c r="C27276" s="8" t="n">
        <v>15</v>
      </c>
      <c r="D27276" s="8" t="inlineStr">
        <is>
          <t>Disney Adventure World</t>
        </is>
      </c>
      <c r="E27276" s="8" t="inlineStr">
        <is>
          <t>Slinky® Dog Zigzag Spin</t>
        </is>
      </c>
      <c r="F27276" s="8" t="inlineStr">
        <is>
          <t>STANDBY</t>
        </is>
      </c>
      <c r="G27276" s="8" t="n">
        <v>5</v>
      </c>
      <c r="H27276" s="8" t="inlineStr">
        <is>
          <t>OPERATING</t>
        </is>
      </c>
    </row>
    <row r="27277">
      <c r="A27277" s="8" t="inlineStr">
        <is>
          <t>2026-08-05</t>
        </is>
      </c>
      <c r="B27277" s="8" t="n">
        <v>22</v>
      </c>
      <c r="C27277" s="8" t="n">
        <v>15</v>
      </c>
      <c r="D27277" s="8" t="inlineStr">
        <is>
          <t>Disney Adventure World</t>
        </is>
      </c>
      <c r="E27277" s="8" t="inlineStr">
        <is>
          <t>Toy Soldiers Parachute Drop</t>
        </is>
      </c>
      <c r="F27277" s="8" t="inlineStr">
        <is>
          <t>STANDBY</t>
        </is>
      </c>
      <c r="G27277" s="8" t="n">
        <v>25</v>
      </c>
      <c r="H27277" s="8" t="inlineStr">
        <is>
          <t>OPERATING</t>
        </is>
      </c>
    </row>
    <row r="27278">
      <c r="A27278" s="8" t="inlineStr">
        <is>
          <t>2026-08-05</t>
        </is>
      </c>
      <c r="B27278" s="8" t="n">
        <v>22</v>
      </c>
      <c r="C27278" s="8" t="n">
        <v>15</v>
      </c>
      <c r="D27278" s="8" t="inlineStr">
        <is>
          <t>Disney Adventure World</t>
        </is>
      </c>
      <c r="E27278" s="8" t="inlineStr">
        <is>
          <t>Toy Soldiers Parachute Drop Single Rider</t>
        </is>
      </c>
      <c r="F27278" s="8" t="inlineStr">
        <is>
          <t>STANDBY</t>
        </is>
      </c>
      <c r="G27278" s="8" t="n">
        <v>5</v>
      </c>
      <c r="H27278" s="8" t="inlineStr">
        <is>
          <t>OPERATING</t>
        </is>
      </c>
    </row>
    <row r="27279">
      <c r="A27279" s="8" t="inlineStr">
        <is>
          <t>2026-08-05</t>
        </is>
      </c>
      <c r="B27279" s="8" t="n">
        <v>22</v>
      </c>
      <c r="C27279" s="8" t="n">
        <v>15</v>
      </c>
      <c r="D27279" s="8" t="inlineStr">
        <is>
          <t>Disney Adventure World</t>
        </is>
      </c>
      <c r="E27279" s="8" t="inlineStr">
        <is>
          <t>Entry to World of Frozen</t>
        </is>
      </c>
      <c r="F27279" s="8" t="inlineStr">
        <is>
          <t>STANDBY</t>
        </is>
      </c>
      <c r="G27279" s="8" t="n">
        <v>0</v>
      </c>
      <c r="H27279" s="8" t="inlineStr">
        <is>
          <t>OPERATING</t>
        </is>
      </c>
    </row>
    <row r="27280">
      <c r="A27280" s="8" t="inlineStr">
        <is>
          <t>2026-08-05</t>
        </is>
      </c>
      <c r="B27280" s="8" t="n">
        <v>22</v>
      </c>
      <c r="C27280" s="8" t="n">
        <v>15</v>
      </c>
      <c r="D27280" s="8" t="inlineStr">
        <is>
          <t>Disney Adventure World</t>
        </is>
      </c>
      <c r="E27280" s="8" t="inlineStr">
        <is>
          <t>Frozen Ever After</t>
        </is>
      </c>
      <c r="F27280" s="8" t="inlineStr">
        <is>
          <t>STANDBY</t>
        </is>
      </c>
      <c r="G27280" s="8" t="n">
        <v>20</v>
      </c>
      <c r="H27280" s="8" t="inlineStr">
        <is>
          <t>OPERATING</t>
        </is>
      </c>
    </row>
    <row r="27281">
      <c r="A27281" s="8" t="inlineStr">
        <is>
          <t>2026-08-05</t>
        </is>
      </c>
      <c r="B27281" s="8" t="n">
        <v>22</v>
      </c>
      <c r="C27281" s="8" t="n">
        <v>15</v>
      </c>
      <c r="D27281" s="8" t="inlineStr">
        <is>
          <t>Disney Adventure World</t>
        </is>
      </c>
      <c r="E27281" s="8" t="inlineStr">
        <is>
          <t>Raiponce Tangled Spin</t>
        </is>
      </c>
      <c r="F27281" s="8" t="inlineStr">
        <is>
          <t>STANDBY</t>
        </is>
      </c>
      <c r="G27281" s="8" t="n">
        <v>5</v>
      </c>
      <c r="H27281" s="8" t="inlineStr">
        <is>
          <t>OPERATING</t>
        </is>
      </c>
    </row>
    <row r="27282">
      <c r="A27282" s="8" t="inlineStr">
        <is>
          <t>2026-08-05</t>
        </is>
      </c>
      <c r="B27282" s="8" t="n">
        <v>22</v>
      </c>
      <c r="C27282" s="8" t="n">
        <v>17</v>
      </c>
      <c r="D27282" s="8" t="inlineStr">
        <is>
          <t>Disneyland Park</t>
        </is>
      </c>
      <c r="E27282" s="8" t="inlineStr">
        <is>
          <t>Adventure Isle</t>
        </is>
      </c>
      <c r="F27282" s="8" t="inlineStr">
        <is>
          <t>STANDBY</t>
        </is>
      </c>
      <c r="G27282" s="8" t="n">
        <v>0</v>
      </c>
      <c r="H27282" s="8" t="inlineStr">
        <is>
          <t>OPERATING</t>
        </is>
      </c>
    </row>
    <row r="27283">
      <c r="A27283" s="8" t="inlineStr">
        <is>
          <t>2026-08-05</t>
        </is>
      </c>
      <c r="B27283" s="8" t="n">
        <v>22</v>
      </c>
      <c r="C27283" s="8" t="n">
        <v>17</v>
      </c>
      <c r="D27283" s="8" t="inlineStr">
        <is>
          <t>Disneyland Park</t>
        </is>
      </c>
      <c r="E27283" s="8" t="inlineStr">
        <is>
          <t>Indiana Jones and the Temple of Peril Single Rider</t>
        </is>
      </c>
      <c r="F27283" s="8" t="inlineStr">
        <is>
          <t>STANDBY</t>
        </is>
      </c>
      <c r="G27283" s="8" t="n">
        <v>5</v>
      </c>
      <c r="H27283" s="8" t="inlineStr">
        <is>
          <t>OPERATING</t>
        </is>
      </c>
    </row>
    <row r="27284">
      <c r="A27284" s="8" t="inlineStr">
        <is>
          <t>2026-08-05</t>
        </is>
      </c>
      <c r="B27284" s="8" t="n">
        <v>22</v>
      </c>
      <c r="C27284" s="8" t="n">
        <v>17</v>
      </c>
      <c r="D27284" s="8" t="inlineStr">
        <is>
          <t>Disneyland Park</t>
        </is>
      </c>
      <c r="E27284" s="8" t="inlineStr">
        <is>
          <t>Indiana Jones™ and the Temple of Peril</t>
        </is>
      </c>
      <c r="F27284" s="8" t="inlineStr">
        <is>
          <t>STANDBY</t>
        </is>
      </c>
      <c r="G27284" s="8" t="n">
        <v>5</v>
      </c>
      <c r="H27284" s="8" t="inlineStr">
        <is>
          <t>OPERATING</t>
        </is>
      </c>
    </row>
    <row r="27285">
      <c r="A27285" s="8" t="inlineStr">
        <is>
          <t>2026-08-05</t>
        </is>
      </c>
      <c r="B27285" s="8" t="n">
        <v>22</v>
      </c>
      <c r="C27285" s="8" t="n">
        <v>17</v>
      </c>
      <c r="D27285" s="8" t="inlineStr">
        <is>
          <t>Disneyland Park</t>
        </is>
      </c>
      <c r="E27285" s="8" t="inlineStr">
        <is>
          <t>La Cabane des Robinson</t>
        </is>
      </c>
      <c r="F27285" s="8" t="inlineStr">
        <is>
          <t>STANDBY</t>
        </is>
      </c>
      <c r="G27285" s="8" t="n">
        <v>5</v>
      </c>
      <c r="H27285" s="8" t="inlineStr">
        <is>
          <t>OPERATING</t>
        </is>
      </c>
    </row>
    <row r="27286">
      <c r="A27286" s="8" t="inlineStr">
        <is>
          <t>2026-08-05</t>
        </is>
      </c>
      <c r="B27286" s="8" t="n">
        <v>22</v>
      </c>
      <c r="C27286" s="8" t="n">
        <v>17</v>
      </c>
      <c r="D27286" s="8" t="inlineStr">
        <is>
          <t>Disneyland Park</t>
        </is>
      </c>
      <c r="E27286" s="8" t="inlineStr">
        <is>
          <t>Le Passage Enchanté d'Aladdin</t>
        </is>
      </c>
      <c r="F27286" s="8" t="inlineStr">
        <is>
          <t>STANDBY</t>
        </is>
      </c>
      <c r="G27286" s="8" t="n">
        <v>0</v>
      </c>
      <c r="H27286" s="8" t="inlineStr">
        <is>
          <t>OPERATING</t>
        </is>
      </c>
    </row>
    <row r="27287">
      <c r="A27287" s="8" t="inlineStr">
        <is>
          <t>2026-08-05</t>
        </is>
      </c>
      <c r="B27287" s="8" t="n">
        <v>22</v>
      </c>
      <c r="C27287" s="8" t="n">
        <v>17</v>
      </c>
      <c r="D27287" s="8" t="inlineStr">
        <is>
          <t>Disneyland Park</t>
        </is>
      </c>
      <c r="E27287" s="8" t="inlineStr">
        <is>
          <t>Pirate Galleon</t>
        </is>
      </c>
      <c r="F27287" s="8" t="inlineStr">
        <is>
          <t>STANDBY</t>
        </is>
      </c>
      <c r="G27287" s="8" t="n">
        <v>0</v>
      </c>
      <c r="H27287" s="8" t="inlineStr">
        <is>
          <t>CLOSED</t>
        </is>
      </c>
    </row>
    <row r="27288">
      <c r="A27288" s="8" t="inlineStr">
        <is>
          <t>2026-08-05</t>
        </is>
      </c>
      <c r="B27288" s="8" t="n">
        <v>22</v>
      </c>
      <c r="C27288" s="8" t="n">
        <v>17</v>
      </c>
      <c r="D27288" s="8" t="inlineStr">
        <is>
          <t>Disneyland Park</t>
        </is>
      </c>
      <c r="E27288" s="8" t="inlineStr">
        <is>
          <t>Pirates of the Caribbean</t>
        </is>
      </c>
      <c r="F27288" s="8" t="inlineStr">
        <is>
          <t>STANDBY</t>
        </is>
      </c>
      <c r="G27288" s="8" t="n">
        <v>5</v>
      </c>
      <c r="H27288" s="8" t="inlineStr">
        <is>
          <t>OPERATING</t>
        </is>
      </c>
    </row>
    <row r="27289">
      <c r="A27289" s="8" t="inlineStr">
        <is>
          <t>2026-08-05</t>
        </is>
      </c>
      <c r="B27289" s="8" t="n">
        <v>22</v>
      </c>
      <c r="C27289" s="8" t="n">
        <v>17</v>
      </c>
      <c r="D27289" s="8" t="inlineStr">
        <is>
          <t>Disneyland Park</t>
        </is>
      </c>
      <c r="E27289" s="8" t="inlineStr">
        <is>
          <t>Pirates' Beach</t>
        </is>
      </c>
      <c r="F27289" s="8" t="inlineStr">
        <is>
          <t>STANDBY</t>
        </is>
      </c>
      <c r="G27289" s="8" t="n">
        <v>0</v>
      </c>
      <c r="H27289" s="8" t="inlineStr">
        <is>
          <t>OPERATING</t>
        </is>
      </c>
    </row>
    <row r="27290">
      <c r="A27290" s="8" t="inlineStr">
        <is>
          <t>2026-08-05</t>
        </is>
      </c>
      <c r="B27290" s="8" t="n">
        <v>22</v>
      </c>
      <c r="C27290" s="8" t="n">
        <v>17</v>
      </c>
      <c r="D27290" s="8" t="inlineStr">
        <is>
          <t>Disneyland Park</t>
        </is>
      </c>
      <c r="E27290" s="8" t="inlineStr">
        <is>
          <t>Autopia, presented by Avis</t>
        </is>
      </c>
      <c r="F27290" s="8" t="inlineStr">
        <is>
          <t>STANDBY</t>
        </is>
      </c>
      <c r="G27290" s="8" t="n">
        <v>35</v>
      </c>
      <c r="H27290" s="8" t="inlineStr">
        <is>
          <t>OPERATING</t>
        </is>
      </c>
    </row>
    <row r="27291">
      <c r="A27291" s="8" t="inlineStr">
        <is>
          <t>2026-08-05</t>
        </is>
      </c>
      <c r="B27291" s="8" t="n">
        <v>22</v>
      </c>
      <c r="C27291" s="8" t="n">
        <v>17</v>
      </c>
      <c r="D27291" s="8" t="inlineStr">
        <is>
          <t>Disneyland Park</t>
        </is>
      </c>
      <c r="E27291" s="8" t="inlineStr">
        <is>
          <t>Buzz Lightyear Laser Blast</t>
        </is>
      </c>
      <c r="F27291" s="8" t="inlineStr">
        <is>
          <t>STANDBY</t>
        </is>
      </c>
      <c r="G27291" s="8" t="n">
        <v>20</v>
      </c>
      <c r="H27291" s="8" t="inlineStr">
        <is>
          <t>OPERATING</t>
        </is>
      </c>
    </row>
    <row r="27292">
      <c r="A27292" s="8" t="inlineStr">
        <is>
          <t>2026-08-05</t>
        </is>
      </c>
      <c r="B27292" s="8" t="n">
        <v>22</v>
      </c>
      <c r="C27292" s="8" t="n">
        <v>17</v>
      </c>
      <c r="D27292" s="8" t="inlineStr">
        <is>
          <t>Disneyland Park</t>
        </is>
      </c>
      <c r="E27292" s="8" t="inlineStr">
        <is>
          <t>Disneyland Railroad Discoveryland Station</t>
        </is>
      </c>
      <c r="F27292" s="8" t="inlineStr">
        <is>
          <t>STANDBY</t>
        </is>
      </c>
      <c r="G27292" s="8" t="n">
        <v>0</v>
      </c>
      <c r="H27292" s="8" t="inlineStr">
        <is>
          <t>CLOSED</t>
        </is>
      </c>
    </row>
    <row r="27293">
      <c r="A27293" s="8" t="inlineStr">
        <is>
          <t>2026-08-05</t>
        </is>
      </c>
      <c r="B27293" s="8" t="n">
        <v>22</v>
      </c>
      <c r="C27293" s="8" t="n">
        <v>17</v>
      </c>
      <c r="D27293" s="8" t="inlineStr">
        <is>
          <t>Disneyland Park</t>
        </is>
      </c>
      <c r="E27293" s="8" t="inlineStr">
        <is>
          <t>Les Mystères du Nautilus</t>
        </is>
      </c>
      <c r="F27293" s="8" t="inlineStr">
        <is>
          <t>STANDBY</t>
        </is>
      </c>
      <c r="G27293" s="8" t="n">
        <v>5</v>
      </c>
      <c r="H27293" s="8" t="inlineStr">
        <is>
          <t>OPERATING</t>
        </is>
      </c>
    </row>
    <row r="27294">
      <c r="A27294" s="8" t="inlineStr">
        <is>
          <t>2026-08-05</t>
        </is>
      </c>
      <c r="B27294" s="8" t="n">
        <v>22</v>
      </c>
      <c r="C27294" s="8" t="n">
        <v>17</v>
      </c>
      <c r="D27294" s="8" t="inlineStr">
        <is>
          <t>Disneyland Park</t>
        </is>
      </c>
      <c r="E27294" s="8" t="inlineStr">
        <is>
          <t>Mickey’s PhilharMagic</t>
        </is>
      </c>
      <c r="F27294" s="8" t="inlineStr">
        <is>
          <t>STANDBY</t>
        </is>
      </c>
      <c r="G27294" s="8" t="n">
        <v>0</v>
      </c>
      <c r="H27294" s="8" t="inlineStr">
        <is>
          <t>CLOSED</t>
        </is>
      </c>
    </row>
    <row r="27295">
      <c r="A27295" s="8" t="inlineStr">
        <is>
          <t>2026-08-05</t>
        </is>
      </c>
      <c r="B27295" s="8" t="n">
        <v>22</v>
      </c>
      <c r="C27295" s="8" t="n">
        <v>17</v>
      </c>
      <c r="D27295" s="8" t="inlineStr">
        <is>
          <t>Disneyland Park</t>
        </is>
      </c>
      <c r="E27295" s="8" t="inlineStr">
        <is>
          <t>Orbitron®</t>
        </is>
      </c>
      <c r="F27295" s="8" t="inlineStr">
        <is>
          <t>STANDBY</t>
        </is>
      </c>
      <c r="G27295" s="8" t="n">
        <v>30</v>
      </c>
      <c r="H27295" s="8" t="inlineStr">
        <is>
          <t>OPERATING</t>
        </is>
      </c>
    </row>
    <row r="27296">
      <c r="A27296" s="8" t="inlineStr">
        <is>
          <t>2026-08-05</t>
        </is>
      </c>
      <c r="B27296" s="8" t="n">
        <v>22</v>
      </c>
      <c r="C27296" s="8" t="n">
        <v>17</v>
      </c>
      <c r="D27296" s="8" t="inlineStr">
        <is>
          <t>Disneyland Park</t>
        </is>
      </c>
      <c r="E27296" s="8" t="inlineStr">
        <is>
          <t>Star Tours: The Adventures Continue*</t>
        </is>
      </c>
      <c r="F27296" s="8" t="inlineStr">
        <is>
          <t>STANDBY</t>
        </is>
      </c>
      <c r="G27296" s="8" t="n">
        <v>5</v>
      </c>
      <c r="H27296" s="8" t="inlineStr">
        <is>
          <t>OPERATING</t>
        </is>
      </c>
    </row>
    <row r="27297">
      <c r="A27297" s="8" t="inlineStr">
        <is>
          <t>2026-08-05</t>
        </is>
      </c>
      <c r="B27297" s="8" t="n">
        <v>22</v>
      </c>
      <c r="C27297" s="8" t="n">
        <v>17</v>
      </c>
      <c r="D27297" s="8" t="inlineStr">
        <is>
          <t>Disneyland Park</t>
        </is>
      </c>
      <c r="E27297" s="8" t="inlineStr">
        <is>
          <t>Star Wars Hyperspace Mountain</t>
        </is>
      </c>
      <c r="F27297" s="8" t="inlineStr">
        <is>
          <t>STANDBY</t>
        </is>
      </c>
      <c r="G27297" s="8" t="n">
        <v>10</v>
      </c>
      <c r="H27297" s="8" t="inlineStr">
        <is>
          <t>OPERATING</t>
        </is>
      </c>
    </row>
    <row r="27298">
      <c r="A27298" s="8" t="inlineStr">
        <is>
          <t>2026-08-05</t>
        </is>
      </c>
      <c r="B27298" s="8" t="n">
        <v>22</v>
      </c>
      <c r="C27298" s="8" t="n">
        <v>17</v>
      </c>
      <c r="D27298" s="8" t="inlineStr">
        <is>
          <t>Disneyland Park</t>
        </is>
      </c>
      <c r="E27298" s="8" t="inlineStr">
        <is>
          <t>Star Wars Hyperspace Mountain Single Rider</t>
        </is>
      </c>
      <c r="F27298" s="8" t="inlineStr">
        <is>
          <t>STANDBY</t>
        </is>
      </c>
      <c r="G27298" s="8" t="n">
        <v>0</v>
      </c>
      <c r="H27298" s="8" t="inlineStr">
        <is>
          <t>OPERATING</t>
        </is>
      </c>
    </row>
    <row r="27299">
      <c r="A27299" s="8" t="inlineStr">
        <is>
          <t>2026-08-05</t>
        </is>
      </c>
      <c r="B27299" s="8" t="n">
        <v>22</v>
      </c>
      <c r="C27299" s="8" t="n">
        <v>17</v>
      </c>
      <c r="D27299" s="8" t="inlineStr">
        <is>
          <t>Disneyland Park</t>
        </is>
      </c>
      <c r="E27299" s="8" t="inlineStr">
        <is>
          <t>Welcome to Starport: A Star Wars Encounter</t>
        </is>
      </c>
      <c r="F27299" s="8" t="inlineStr">
        <is>
          <t>STANDBY</t>
        </is>
      </c>
      <c r="G27299" s="8" t="n">
        <v>0</v>
      </c>
      <c r="H27299" s="8" t="inlineStr">
        <is>
          <t>CLOSED</t>
        </is>
      </c>
    </row>
    <row r="27300">
      <c r="A27300" s="8" t="inlineStr">
        <is>
          <t>2026-08-05</t>
        </is>
      </c>
      <c r="B27300" s="8" t="n">
        <v>22</v>
      </c>
      <c r="C27300" s="8" t="n">
        <v>17</v>
      </c>
      <c r="D27300" s="8" t="inlineStr">
        <is>
          <t>Disneyland Park</t>
        </is>
      </c>
      <c r="E27300" s="8" t="inlineStr">
        <is>
          <t>"it's a small world"</t>
        </is>
      </c>
      <c r="F27300" s="8" t="inlineStr">
        <is>
          <t>STANDBY</t>
        </is>
      </c>
      <c r="G27300" s="8" t="n">
        <v>5</v>
      </c>
      <c r="H27300" s="8" t="inlineStr">
        <is>
          <t>OPERATING</t>
        </is>
      </c>
    </row>
    <row r="27301">
      <c r="A27301" s="8" t="inlineStr">
        <is>
          <t>2026-08-05</t>
        </is>
      </c>
      <c r="B27301" s="8" t="n">
        <v>22</v>
      </c>
      <c r="C27301" s="8" t="n">
        <v>17</v>
      </c>
      <c r="D27301" s="8" t="inlineStr">
        <is>
          <t>Disneyland Park</t>
        </is>
      </c>
      <c r="E27301" s="8" t="inlineStr">
        <is>
          <t>Alice's Curious Labyrinth</t>
        </is>
      </c>
      <c r="F27301" s="8" t="inlineStr">
        <is>
          <t>STANDBY</t>
        </is>
      </c>
      <c r="G27301" s="8" t="n">
        <v>0</v>
      </c>
      <c r="H27301" s="8" t="inlineStr">
        <is>
          <t>CLOSED</t>
        </is>
      </c>
    </row>
    <row r="27302">
      <c r="A27302" s="8" t="inlineStr">
        <is>
          <t>2026-08-05</t>
        </is>
      </c>
      <c r="B27302" s="8" t="n">
        <v>22</v>
      </c>
      <c r="C27302" s="8" t="n">
        <v>17</v>
      </c>
      <c r="D27302" s="8" t="inlineStr">
        <is>
          <t>Disneyland Park</t>
        </is>
      </c>
      <c r="E27302" s="8" t="inlineStr">
        <is>
          <t>Blanche-Neige et les Sept Nains®</t>
        </is>
      </c>
      <c r="F27302" s="8" t="inlineStr">
        <is>
          <t>STANDBY</t>
        </is>
      </c>
      <c r="G27302" s="8" t="n">
        <v>0</v>
      </c>
      <c r="H27302" s="8" t="inlineStr">
        <is>
          <t>CLOSED</t>
        </is>
      </c>
    </row>
    <row r="27303">
      <c r="A27303" s="8" t="inlineStr">
        <is>
          <t>2026-08-05</t>
        </is>
      </c>
      <c r="B27303" s="8" t="n">
        <v>22</v>
      </c>
      <c r="C27303" s="8" t="n">
        <v>17</v>
      </c>
      <c r="D27303" s="8" t="inlineStr">
        <is>
          <t>Disneyland Park</t>
        </is>
      </c>
      <c r="E27303" s="8" t="inlineStr">
        <is>
          <t>Casey Jr. – le Petit Train du Cirque</t>
        </is>
      </c>
      <c r="F27303" s="8" t="inlineStr">
        <is>
          <t>STANDBY</t>
        </is>
      </c>
      <c r="G27303" s="8" t="n">
        <v>0</v>
      </c>
      <c r="H27303" s="8" t="inlineStr">
        <is>
          <t>CLOSED</t>
        </is>
      </c>
    </row>
    <row r="27304">
      <c r="A27304" s="8" t="inlineStr">
        <is>
          <t>2026-08-05</t>
        </is>
      </c>
      <c r="B27304" s="8" t="n">
        <v>22</v>
      </c>
      <c r="C27304" s="8" t="n">
        <v>17</v>
      </c>
      <c r="D27304" s="8" t="inlineStr">
        <is>
          <t>Disneyland Park</t>
        </is>
      </c>
      <c r="E27304" s="8" t="inlineStr">
        <is>
          <t>Disneyland Railroad Fantasyland Station</t>
        </is>
      </c>
      <c r="F27304" s="8" t="inlineStr">
        <is>
          <t>STANDBY</t>
        </is>
      </c>
      <c r="G27304" s="8" t="n">
        <v>0</v>
      </c>
      <c r="H27304" s="8" t="inlineStr">
        <is>
          <t>CLOSED</t>
        </is>
      </c>
    </row>
    <row r="27305">
      <c r="A27305" s="8" t="inlineStr">
        <is>
          <t>2026-08-05</t>
        </is>
      </c>
      <c r="B27305" s="8" t="n">
        <v>22</v>
      </c>
      <c r="C27305" s="8" t="n">
        <v>17</v>
      </c>
      <c r="D27305" s="8" t="inlineStr">
        <is>
          <t>Disneyland Park</t>
        </is>
      </c>
      <c r="E27305" s="8" t="inlineStr">
        <is>
          <t>Disneyland Railroad Main Street Station</t>
        </is>
      </c>
      <c r="F27305" s="8" t="inlineStr">
        <is>
          <t>STANDBY</t>
        </is>
      </c>
      <c r="G27305" s="8" t="n">
        <v>0</v>
      </c>
      <c r="H27305" s="8" t="inlineStr">
        <is>
          <t>CLOSED</t>
        </is>
      </c>
    </row>
    <row r="27306">
      <c r="A27306" s="8" t="inlineStr">
        <is>
          <t>2026-08-05</t>
        </is>
      </c>
      <c r="B27306" s="8" t="n">
        <v>22</v>
      </c>
      <c r="C27306" s="8" t="n">
        <v>17</v>
      </c>
      <c r="D27306" s="8" t="inlineStr">
        <is>
          <t>Disneyland Park</t>
        </is>
      </c>
      <c r="E27306" s="8" t="inlineStr">
        <is>
          <t>Dumbo the Flying Elephant</t>
        </is>
      </c>
      <c r="F27306" s="8" t="inlineStr">
        <is>
          <t>STANDBY</t>
        </is>
      </c>
      <c r="G27306" s="8" t="n">
        <v>0</v>
      </c>
      <c r="H27306" s="8" t="inlineStr">
        <is>
          <t>CLOSED</t>
        </is>
      </c>
    </row>
    <row r="27307">
      <c r="A27307" s="8" t="inlineStr">
        <is>
          <t>2026-08-05</t>
        </is>
      </c>
      <c r="B27307" s="8" t="n">
        <v>22</v>
      </c>
      <c r="C27307" s="8" t="n">
        <v>17</v>
      </c>
      <c r="D27307" s="8" t="inlineStr">
        <is>
          <t>Disneyland Park</t>
        </is>
      </c>
      <c r="E27307" s="8" t="inlineStr">
        <is>
          <t>La Tanière du Dragon</t>
        </is>
      </c>
      <c r="F27307" s="8" t="inlineStr">
        <is>
          <t>STANDBY</t>
        </is>
      </c>
      <c r="G27307" s="8" t="n">
        <v>0</v>
      </c>
      <c r="H27307" s="8" t="inlineStr">
        <is>
          <t>CLOSED</t>
        </is>
      </c>
    </row>
    <row r="27308">
      <c r="A27308" s="8" t="inlineStr">
        <is>
          <t>2026-08-05</t>
        </is>
      </c>
      <c r="B27308" s="8" t="n">
        <v>22</v>
      </c>
      <c r="C27308" s="8" t="n">
        <v>17</v>
      </c>
      <c r="D27308" s="8" t="inlineStr">
        <is>
          <t>Disneyland Park</t>
        </is>
      </c>
      <c r="E27308" s="8" t="inlineStr">
        <is>
          <t>Le Carrousel de Lancelot</t>
        </is>
      </c>
      <c r="F27308" s="8" t="inlineStr">
        <is>
          <t>STANDBY</t>
        </is>
      </c>
      <c r="G27308" s="8" t="n">
        <v>0</v>
      </c>
      <c r="H27308" s="8" t="inlineStr">
        <is>
          <t>CLOSED</t>
        </is>
      </c>
    </row>
    <row r="27309">
      <c r="A27309" s="8" t="inlineStr">
        <is>
          <t>2026-08-05</t>
        </is>
      </c>
      <c r="B27309" s="8" t="n">
        <v>22</v>
      </c>
      <c r="C27309" s="8" t="n">
        <v>17</v>
      </c>
      <c r="D27309" s="8" t="inlineStr">
        <is>
          <t>Disneyland Park</t>
        </is>
      </c>
      <c r="E27309" s="8" t="inlineStr">
        <is>
          <t>Le Pays des Contes de Fées, presented by Vittel</t>
        </is>
      </c>
      <c r="F27309" s="8" t="inlineStr">
        <is>
          <t>STANDBY</t>
        </is>
      </c>
      <c r="G27309" s="8" t="n">
        <v>0</v>
      </c>
      <c r="H27309" s="8" t="inlineStr">
        <is>
          <t>CLOSED</t>
        </is>
      </c>
    </row>
    <row r="27310">
      <c r="A27310" s="8" t="inlineStr">
        <is>
          <t>2026-08-05</t>
        </is>
      </c>
      <c r="B27310" s="8" t="n">
        <v>22</v>
      </c>
      <c r="C27310" s="8" t="n">
        <v>17</v>
      </c>
      <c r="D27310" s="8" t="inlineStr">
        <is>
          <t>Disneyland Park</t>
        </is>
      </c>
      <c r="E27310" s="8" t="inlineStr">
        <is>
          <t>Les Voyages de Pinocchio</t>
        </is>
      </c>
      <c r="F27310" s="8" t="inlineStr">
        <is>
          <t>STANDBY</t>
        </is>
      </c>
      <c r="G27310" s="8" t="n">
        <v>0</v>
      </c>
      <c r="H27310" s="8" t="inlineStr">
        <is>
          <t>CLOSED</t>
        </is>
      </c>
    </row>
    <row r="27311">
      <c r="A27311" s="8" t="inlineStr">
        <is>
          <t>2026-08-05</t>
        </is>
      </c>
      <c r="B27311" s="8" t="n">
        <v>22</v>
      </c>
      <c r="C27311" s="8" t="n">
        <v>17</v>
      </c>
      <c r="D27311" s="8" t="inlineStr">
        <is>
          <t>Disneyland Park</t>
        </is>
      </c>
      <c r="E27311" s="8" t="inlineStr">
        <is>
          <t>Mad Hatter's Tea Cups</t>
        </is>
      </c>
      <c r="F27311" s="8" t="inlineStr">
        <is>
          <t>STANDBY</t>
        </is>
      </c>
      <c r="G27311" s="8" t="n">
        <v>0</v>
      </c>
      <c r="H27311" s="8" t="inlineStr">
        <is>
          <t>CLOSED</t>
        </is>
      </c>
    </row>
    <row r="27312">
      <c r="A27312" s="8" t="inlineStr">
        <is>
          <t>2026-08-05</t>
        </is>
      </c>
      <c r="B27312" s="8" t="n">
        <v>22</v>
      </c>
      <c r="C27312" s="8" t="n">
        <v>17</v>
      </c>
      <c r="D27312" s="8" t="inlineStr">
        <is>
          <t>Disneyland Park</t>
        </is>
      </c>
      <c r="E27312" s="8" t="inlineStr">
        <is>
          <t>Meet Mickey Mouse</t>
        </is>
      </c>
      <c r="F27312" s="8" t="inlineStr">
        <is>
          <t>STANDBY</t>
        </is>
      </c>
      <c r="G27312" s="8" t="n">
        <v>0</v>
      </c>
      <c r="H27312" s="8" t="inlineStr">
        <is>
          <t>CLOSED</t>
        </is>
      </c>
    </row>
    <row r="27313">
      <c r="A27313" s="8" t="inlineStr">
        <is>
          <t>2026-08-05</t>
        </is>
      </c>
      <c r="B27313" s="8" t="n">
        <v>22</v>
      </c>
      <c r="C27313" s="8" t="n">
        <v>17</v>
      </c>
      <c r="D27313" s="8" t="inlineStr">
        <is>
          <t>Disneyland Park</t>
        </is>
      </c>
      <c r="E27313" s="8" t="inlineStr">
        <is>
          <t>Peter Pan's Flight</t>
        </is>
      </c>
      <c r="F27313" s="8" t="inlineStr">
        <is>
          <t>STANDBY</t>
        </is>
      </c>
      <c r="G27313" s="8" t="n">
        <v>15</v>
      </c>
      <c r="H27313" s="8" t="inlineStr">
        <is>
          <t>OPERATING</t>
        </is>
      </c>
    </row>
    <row r="27314">
      <c r="A27314" s="8" t="inlineStr">
        <is>
          <t>2026-08-05</t>
        </is>
      </c>
      <c r="B27314" s="8" t="n">
        <v>22</v>
      </c>
      <c r="C27314" s="8" t="n">
        <v>17</v>
      </c>
      <c r="D27314" s="8" t="inlineStr">
        <is>
          <t>Disneyland Park</t>
        </is>
      </c>
      <c r="E27314" s="8" t="inlineStr">
        <is>
          <t>Princess Pavilion</t>
        </is>
      </c>
      <c r="F27314" s="8" t="inlineStr">
        <is>
          <t>STANDBY</t>
        </is>
      </c>
      <c r="G27314" s="8" t="n">
        <v>0</v>
      </c>
      <c r="H27314" s="8" t="inlineStr">
        <is>
          <t>CLOSED</t>
        </is>
      </c>
    </row>
    <row r="27315">
      <c r="A27315" s="8" t="inlineStr">
        <is>
          <t>2026-08-05</t>
        </is>
      </c>
      <c r="B27315" s="8" t="n">
        <v>22</v>
      </c>
      <c r="C27315" s="8" t="n">
        <v>17</v>
      </c>
      <c r="D27315" s="8" t="inlineStr">
        <is>
          <t>Disneyland Park</t>
        </is>
      </c>
      <c r="E27315" s="8" t="inlineStr">
        <is>
          <t>Big Thunder Mountain</t>
        </is>
      </c>
      <c r="F27315" s="8" t="inlineStr">
        <is>
          <t>STANDBY</t>
        </is>
      </c>
      <c r="G27315" s="8" t="n">
        <v>45</v>
      </c>
      <c r="H27315" s="8" t="inlineStr">
        <is>
          <t>OPERATING</t>
        </is>
      </c>
    </row>
    <row r="27316">
      <c r="A27316" s="8" t="inlineStr">
        <is>
          <t>2026-08-05</t>
        </is>
      </c>
      <c r="B27316" s="8" t="n">
        <v>22</v>
      </c>
      <c r="C27316" s="8" t="n">
        <v>17</v>
      </c>
      <c r="D27316" s="8" t="inlineStr">
        <is>
          <t>Disneyland Park</t>
        </is>
      </c>
      <c r="E27316" s="8" t="inlineStr">
        <is>
          <t>Disneyland Railroad Frontierland Depot</t>
        </is>
      </c>
      <c r="F27316" s="8" t="inlineStr">
        <is>
          <t>STANDBY</t>
        </is>
      </c>
      <c r="G27316" s="8" t="n">
        <v>0</v>
      </c>
      <c r="H27316" s="8" t="inlineStr">
        <is>
          <t>CLOSED</t>
        </is>
      </c>
    </row>
    <row r="27317">
      <c r="A27317" s="8" t="inlineStr">
        <is>
          <t>2026-08-05</t>
        </is>
      </c>
      <c r="B27317" s="8" t="n">
        <v>22</v>
      </c>
      <c r="C27317" s="8" t="n">
        <v>17</v>
      </c>
      <c r="D27317" s="8" t="inlineStr">
        <is>
          <t>Disneyland Park</t>
        </is>
      </c>
      <c r="E27317" s="8" t="inlineStr">
        <is>
          <t>Frontierland Playground</t>
        </is>
      </c>
      <c r="F27317" s="8" t="inlineStr">
        <is>
          <t>STANDBY</t>
        </is>
      </c>
      <c r="G27317" s="8" t="n">
        <v>0</v>
      </c>
      <c r="H27317" s="8" t="inlineStr">
        <is>
          <t>CLOSED</t>
        </is>
      </c>
    </row>
    <row r="27318">
      <c r="A27318" s="8" t="inlineStr">
        <is>
          <t>2026-08-05</t>
        </is>
      </c>
      <c r="B27318" s="8" t="n">
        <v>22</v>
      </c>
      <c r="C27318" s="8" t="n">
        <v>17</v>
      </c>
      <c r="D27318" s="8" t="inlineStr">
        <is>
          <t>Disneyland Park</t>
        </is>
      </c>
      <c r="E27318" s="8" t="inlineStr">
        <is>
          <t>Phantom Manor</t>
        </is>
      </c>
      <c r="F27318" s="8" t="inlineStr">
        <is>
          <t>STANDBY</t>
        </is>
      </c>
      <c r="G27318" s="8" t="n">
        <v>5</v>
      </c>
      <c r="H27318" s="8" t="inlineStr">
        <is>
          <t>OPERATING</t>
        </is>
      </c>
    </row>
    <row r="27319">
      <c r="A27319" s="8" t="inlineStr">
        <is>
          <t>2026-08-05</t>
        </is>
      </c>
      <c r="B27319" s="8" t="n">
        <v>22</v>
      </c>
      <c r="C27319" s="8" t="n">
        <v>17</v>
      </c>
      <c r="D27319" s="8" t="inlineStr">
        <is>
          <t>Disneyland Park</t>
        </is>
      </c>
      <c r="E27319" s="8" t="inlineStr">
        <is>
          <t>River Rogue Keelboats</t>
        </is>
      </c>
      <c r="F27319" s="8" t="inlineStr">
        <is>
          <t>STANDBY</t>
        </is>
      </c>
      <c r="G27319" s="8" t="n">
        <v>0</v>
      </c>
      <c r="H27319" s="8" t="inlineStr">
        <is>
          <t>CLOSED</t>
        </is>
      </c>
    </row>
    <row r="27320">
      <c r="A27320" s="8" t="inlineStr">
        <is>
          <t>2026-08-05</t>
        </is>
      </c>
      <c r="B27320" s="8" t="n">
        <v>22</v>
      </c>
      <c r="C27320" s="8" t="n">
        <v>17</v>
      </c>
      <c r="D27320" s="8" t="inlineStr">
        <is>
          <t>Disneyland Park</t>
        </is>
      </c>
      <c r="E27320" s="8" t="inlineStr">
        <is>
          <t>Rustler Roundup Shootin' Gallery</t>
        </is>
      </c>
      <c r="F27320" s="8" t="inlineStr">
        <is>
          <t>STANDBY</t>
        </is>
      </c>
      <c r="G27320" s="8" t="n">
        <v>0</v>
      </c>
      <c r="H27320" s="8" t="inlineStr">
        <is>
          <t>CLOSED</t>
        </is>
      </c>
    </row>
    <row r="27321">
      <c r="A27321" s="8" t="inlineStr">
        <is>
          <t>2026-08-05</t>
        </is>
      </c>
      <c r="B27321" s="8" t="n">
        <v>22</v>
      </c>
      <c r="C27321" s="8" t="n">
        <v>17</v>
      </c>
      <c r="D27321" s="8" t="inlineStr">
        <is>
          <t>Disneyland Park</t>
        </is>
      </c>
      <c r="E27321" s="8" t="inlineStr">
        <is>
          <t>Thunder Mesa Riverboat Landing</t>
        </is>
      </c>
      <c r="F27321" s="8" t="inlineStr">
        <is>
          <t>STANDBY</t>
        </is>
      </c>
      <c r="G27321" s="8" t="n">
        <v>0</v>
      </c>
      <c r="H27321" s="8" t="inlineStr">
        <is>
          <t>CLOSED</t>
        </is>
      </c>
    </row>
    <row r="27322">
      <c r="A27322" s="8" t="inlineStr">
        <is>
          <t>2026-08-05</t>
        </is>
      </c>
      <c r="B27322" s="8" t="n">
        <v>22</v>
      </c>
      <c r="C27322" s="8" t="n">
        <v>17</v>
      </c>
      <c r="D27322" s="8" t="inlineStr">
        <is>
          <t>Disneyland Park</t>
        </is>
      </c>
      <c r="E27322" s="8" t="inlineStr">
        <is>
          <t>Disneyland Railroad Main Street Station</t>
        </is>
      </c>
      <c r="F27322" s="8" t="inlineStr">
        <is>
          <t>STANDBY</t>
        </is>
      </c>
      <c r="G27322" s="8" t="n">
        <v>0</v>
      </c>
      <c r="H27322" s="8" t="inlineStr">
        <is>
          <t>CLOSED</t>
        </is>
      </c>
    </row>
    <row r="27323">
      <c r="A27323" s="8" t="inlineStr">
        <is>
          <t>2026-08-05</t>
        </is>
      </c>
      <c r="B27323" s="8" t="n">
        <v>22</v>
      </c>
      <c r="C27323" s="8" t="n">
        <v>17</v>
      </c>
      <c r="D27323" s="8" t="inlineStr">
        <is>
          <t>Disneyland Park</t>
        </is>
      </c>
      <c r="E27323" s="8" t="inlineStr">
        <is>
          <t>Main Street Vehicles</t>
        </is>
      </c>
      <c r="F27323" s="8" t="inlineStr">
        <is>
          <t>STANDBY</t>
        </is>
      </c>
      <c r="G27323" s="8" t="n">
        <v>0</v>
      </c>
      <c r="H27323" s="8" t="inlineStr">
        <is>
          <t>CLOSED</t>
        </is>
      </c>
    </row>
    <row r="27324">
      <c r="A27324" s="8" t="inlineStr">
        <is>
          <t>2026-08-05</t>
        </is>
      </c>
      <c r="B27324" s="8" t="n">
        <v>22</v>
      </c>
      <c r="C27324" s="8" t="n">
        <v>17</v>
      </c>
      <c r="D27324" s="8" t="inlineStr">
        <is>
          <t>Disney Adventure World</t>
        </is>
      </c>
      <c r="E27324" s="8" t="inlineStr">
        <is>
          <t>Avengers Assemble: Flight Force</t>
        </is>
      </c>
      <c r="F27324" s="8" t="inlineStr">
        <is>
          <t>STANDBY</t>
        </is>
      </c>
      <c r="G27324" s="8" t="n">
        <v>5</v>
      </c>
      <c r="H27324" s="8" t="inlineStr">
        <is>
          <t>OPERATING</t>
        </is>
      </c>
    </row>
    <row r="27325">
      <c r="A27325" s="8" t="inlineStr">
        <is>
          <t>2026-08-05</t>
        </is>
      </c>
      <c r="B27325" s="8" t="n">
        <v>22</v>
      </c>
      <c r="C27325" s="8" t="n">
        <v>17</v>
      </c>
      <c r="D27325" s="8" t="inlineStr">
        <is>
          <t>Disney Adventure World</t>
        </is>
      </c>
      <c r="E27325" s="8" t="inlineStr">
        <is>
          <t>Avengers Assemble: Flight Force Single Rider</t>
        </is>
      </c>
      <c r="F27325" s="8" t="inlineStr">
        <is>
          <t>STANDBY</t>
        </is>
      </c>
      <c r="G27325" s="8" t="n">
        <v>5</v>
      </c>
      <c r="H27325" s="8" t="inlineStr">
        <is>
          <t>OPERATING</t>
        </is>
      </c>
    </row>
    <row r="27326">
      <c r="A27326" s="8" t="inlineStr">
        <is>
          <t>2026-08-05</t>
        </is>
      </c>
      <c r="B27326" s="8" t="n">
        <v>22</v>
      </c>
      <c r="C27326" s="8" t="n">
        <v>17</v>
      </c>
      <c r="D27326" s="8" t="inlineStr">
        <is>
          <t>Disney Adventure World</t>
        </is>
      </c>
      <c r="E27326" s="8" t="inlineStr">
        <is>
          <t>Spider-Man W.E.B. Adventure</t>
        </is>
      </c>
      <c r="F27326" s="8" t="inlineStr">
        <is>
          <t>STANDBY</t>
        </is>
      </c>
      <c r="G27326" s="8" t="n">
        <v>15</v>
      </c>
      <c r="H27326" s="8" t="inlineStr">
        <is>
          <t>OPERATING</t>
        </is>
      </c>
    </row>
    <row r="27327">
      <c r="A27327" s="8" t="inlineStr">
        <is>
          <t>2026-08-05</t>
        </is>
      </c>
      <c r="B27327" s="8" t="n">
        <v>22</v>
      </c>
      <c r="C27327" s="8" t="n">
        <v>17</v>
      </c>
      <c r="D27327" s="8" t="inlineStr">
        <is>
          <t>Disney Adventure World</t>
        </is>
      </c>
      <c r="E27327" s="8" t="inlineStr">
        <is>
          <t>Spider-Man W.E.B. Adventure Single Rider</t>
        </is>
      </c>
      <c r="F27327" s="8" t="inlineStr">
        <is>
          <t>STANDBY</t>
        </is>
      </c>
      <c r="G27327" s="8" t="n">
        <v>5</v>
      </c>
      <c r="H27327" s="8" t="inlineStr">
        <is>
          <t>OPERATING</t>
        </is>
      </c>
    </row>
    <row r="27328">
      <c r="A27328" s="8" t="inlineStr">
        <is>
          <t>2026-08-05</t>
        </is>
      </c>
      <c r="B27328" s="8" t="n">
        <v>22</v>
      </c>
      <c r="C27328" s="8" t="n">
        <v>17</v>
      </c>
      <c r="D27328" s="8" t="inlineStr">
        <is>
          <t>Disney Adventure World</t>
        </is>
      </c>
      <c r="E27328" s="8" t="inlineStr">
        <is>
          <t>The Twilight Zone Tower of Terror</t>
        </is>
      </c>
      <c r="F27328" s="8" t="inlineStr">
        <is>
          <t>STANDBY</t>
        </is>
      </c>
      <c r="G27328" s="8" t="n">
        <v>5</v>
      </c>
      <c r="H27328" s="8" t="inlineStr">
        <is>
          <t>OPERATING</t>
        </is>
      </c>
    </row>
    <row r="27329">
      <c r="A27329" s="8" t="inlineStr">
        <is>
          <t>2026-08-05</t>
        </is>
      </c>
      <c r="B27329" s="8" t="n">
        <v>22</v>
      </c>
      <c r="C27329" s="8" t="n">
        <v>17</v>
      </c>
      <c r="D27329" s="8" t="inlineStr">
        <is>
          <t>Disney Adventure World</t>
        </is>
      </c>
      <c r="E27329" s="8" t="inlineStr">
        <is>
          <t>Cars Quatre Roues Rallye</t>
        </is>
      </c>
      <c r="F27329" s="8" t="inlineStr">
        <is>
          <t>STANDBY</t>
        </is>
      </c>
      <c r="G27329" s="8" t="n">
        <v>5</v>
      </c>
      <c r="H27329" s="8" t="inlineStr">
        <is>
          <t>OPERATING</t>
        </is>
      </c>
    </row>
    <row r="27330">
      <c r="A27330" s="8" t="inlineStr">
        <is>
          <t>2026-08-05</t>
        </is>
      </c>
      <c r="B27330" s="8" t="n">
        <v>22</v>
      </c>
      <c r="C27330" s="8" t="n">
        <v>17</v>
      </c>
      <c r="D27330" s="8" t="inlineStr">
        <is>
          <t>Disney Adventure World</t>
        </is>
      </c>
      <c r="E27330" s="8" t="inlineStr">
        <is>
          <t>Cars ROAD TRIP</t>
        </is>
      </c>
      <c r="F27330" s="8" t="inlineStr">
        <is>
          <t>STANDBY</t>
        </is>
      </c>
      <c r="G27330" s="8" t="n">
        <v>0</v>
      </c>
      <c r="H27330" s="8" t="inlineStr">
        <is>
          <t>CLOSED</t>
        </is>
      </c>
    </row>
    <row r="27331">
      <c r="A27331" s="8" t="inlineStr">
        <is>
          <t>2026-08-05</t>
        </is>
      </c>
      <c r="B27331" s="8" t="n">
        <v>22</v>
      </c>
      <c r="C27331" s="8" t="n">
        <v>17</v>
      </c>
      <c r="D27331" s="8" t="inlineStr">
        <is>
          <t>Disney Adventure World</t>
        </is>
      </c>
      <c r="E27331" s="8" t="inlineStr">
        <is>
          <t>Crush's Coaster</t>
        </is>
      </c>
      <c r="F27331" s="8" t="inlineStr">
        <is>
          <t>STANDBY</t>
        </is>
      </c>
      <c r="G27331" s="8" t="n">
        <v>45</v>
      </c>
      <c r="H27331" s="8" t="inlineStr">
        <is>
          <t>OPERATING</t>
        </is>
      </c>
    </row>
    <row r="27332">
      <c r="A27332" s="8" t="inlineStr">
        <is>
          <t>2026-08-05</t>
        </is>
      </c>
      <c r="B27332" s="8" t="n">
        <v>22</v>
      </c>
      <c r="C27332" s="8" t="n">
        <v>17</v>
      </c>
      <c r="D27332" s="8" t="inlineStr">
        <is>
          <t>Disney Adventure World</t>
        </is>
      </c>
      <c r="E27332" s="8" t="inlineStr">
        <is>
          <t>Crush's Coaster Single Rider</t>
        </is>
      </c>
      <c r="F27332" s="8" t="inlineStr">
        <is>
          <t>STANDBY</t>
        </is>
      </c>
      <c r="G27332" s="8" t="n">
        <v>40</v>
      </c>
      <c r="H27332" s="8" t="inlineStr">
        <is>
          <t>OPERATING</t>
        </is>
      </c>
    </row>
    <row r="27333">
      <c r="A27333" s="8" t="inlineStr">
        <is>
          <t>2026-08-05</t>
        </is>
      </c>
      <c r="B27333" s="8" t="n">
        <v>22</v>
      </c>
      <c r="C27333" s="8" t="n">
        <v>17</v>
      </c>
      <c r="D27333" s="8" t="inlineStr">
        <is>
          <t>Disney Adventure World</t>
        </is>
      </c>
      <c r="E27333" s="8" t="inlineStr">
        <is>
          <t>Les Tapis Volants - Flying Carpets Over Agrabah®</t>
        </is>
      </c>
      <c r="F27333" s="8" t="inlineStr">
        <is>
          <t>STANDBY</t>
        </is>
      </c>
      <c r="G27333" s="8" t="n">
        <v>5</v>
      </c>
      <c r="H27333" s="8" t="inlineStr">
        <is>
          <t>OPERATING</t>
        </is>
      </c>
    </row>
    <row r="27334">
      <c r="A27334" s="8" t="inlineStr">
        <is>
          <t>2026-08-05</t>
        </is>
      </c>
      <c r="B27334" s="8" t="n">
        <v>22</v>
      </c>
      <c r="C27334" s="8" t="n">
        <v>17</v>
      </c>
      <c r="D27334" s="8" t="inlineStr">
        <is>
          <t>Disney Adventure World</t>
        </is>
      </c>
      <c r="E27334" s="8" t="inlineStr">
        <is>
          <t>Ratatouille : L’Aventure Totalement Toquée de Rémy​</t>
        </is>
      </c>
      <c r="F27334" s="8" t="inlineStr">
        <is>
          <t>STANDBY</t>
        </is>
      </c>
      <c r="G27334" s="8" t="n">
        <v>5</v>
      </c>
      <c r="H27334" s="8" t="inlineStr">
        <is>
          <t>OPERATING</t>
        </is>
      </c>
    </row>
    <row r="27335">
      <c r="A27335" s="8" t="inlineStr">
        <is>
          <t>2026-08-05</t>
        </is>
      </c>
      <c r="B27335" s="8" t="n">
        <v>22</v>
      </c>
      <c r="C27335" s="8" t="n">
        <v>17</v>
      </c>
      <c r="D27335" s="8" t="inlineStr">
        <is>
          <t>Disney Adventure World</t>
        </is>
      </c>
      <c r="E27335" s="8" t="inlineStr">
        <is>
          <t>Ratatouille: The Adventure Single Rider</t>
        </is>
      </c>
      <c r="F27335" s="8" t="inlineStr">
        <is>
          <t>STANDBY</t>
        </is>
      </c>
      <c r="G27335" s="8" t="n">
        <v>5</v>
      </c>
      <c r="H27335" s="8" t="inlineStr">
        <is>
          <t>OPERATING</t>
        </is>
      </c>
    </row>
    <row r="27336">
      <c r="A27336" s="8" t="inlineStr">
        <is>
          <t>2026-08-05</t>
        </is>
      </c>
      <c r="B27336" s="8" t="n">
        <v>22</v>
      </c>
      <c r="C27336" s="8" t="n">
        <v>17</v>
      </c>
      <c r="D27336" s="8" t="inlineStr">
        <is>
          <t>Disney Adventure World</t>
        </is>
      </c>
      <c r="E27336" s="8" t="inlineStr">
        <is>
          <t>RC Racer</t>
        </is>
      </c>
      <c r="F27336" s="8" t="inlineStr">
        <is>
          <t>STANDBY</t>
        </is>
      </c>
      <c r="G27336" s="8" t="n">
        <v>25</v>
      </c>
      <c r="H27336" s="8" t="inlineStr">
        <is>
          <t>OPERATING</t>
        </is>
      </c>
    </row>
    <row r="27337">
      <c r="A27337" s="8" t="inlineStr">
        <is>
          <t>2026-08-05</t>
        </is>
      </c>
      <c r="B27337" s="8" t="n">
        <v>22</v>
      </c>
      <c r="C27337" s="8" t="n">
        <v>17</v>
      </c>
      <c r="D27337" s="8" t="inlineStr">
        <is>
          <t>Disney Adventure World</t>
        </is>
      </c>
      <c r="E27337" s="8" t="inlineStr">
        <is>
          <t>RC Racer Single Rider</t>
        </is>
      </c>
      <c r="F27337" s="8" t="inlineStr">
        <is>
          <t>STANDBY</t>
        </is>
      </c>
      <c r="G27337" s="8" t="n">
        <v>10</v>
      </c>
      <c r="H27337" s="8" t="inlineStr">
        <is>
          <t>OPERATING</t>
        </is>
      </c>
    </row>
    <row r="27338">
      <c r="A27338" s="8" t="inlineStr">
        <is>
          <t>2026-08-05</t>
        </is>
      </c>
      <c r="B27338" s="8" t="n">
        <v>22</v>
      </c>
      <c r="C27338" s="8" t="n">
        <v>17</v>
      </c>
      <c r="D27338" s="8" t="inlineStr">
        <is>
          <t>Disney Adventure World</t>
        </is>
      </c>
      <c r="E27338" s="8" t="inlineStr">
        <is>
          <t>Slinky® Dog Zigzag Spin</t>
        </is>
      </c>
      <c r="F27338" s="8" t="inlineStr">
        <is>
          <t>STANDBY</t>
        </is>
      </c>
      <c r="G27338" s="8" t="n">
        <v>5</v>
      </c>
      <c r="H27338" s="8" t="inlineStr">
        <is>
          <t>OPERATING</t>
        </is>
      </c>
    </row>
    <row r="27339">
      <c r="A27339" s="8" t="inlineStr">
        <is>
          <t>2026-08-05</t>
        </is>
      </c>
      <c r="B27339" s="8" t="n">
        <v>22</v>
      </c>
      <c r="C27339" s="8" t="n">
        <v>17</v>
      </c>
      <c r="D27339" s="8" t="inlineStr">
        <is>
          <t>Disney Adventure World</t>
        </is>
      </c>
      <c r="E27339" s="8" t="inlineStr">
        <is>
          <t>Toy Soldiers Parachute Drop</t>
        </is>
      </c>
      <c r="F27339" s="8" t="inlineStr">
        <is>
          <t>STANDBY</t>
        </is>
      </c>
      <c r="G27339" s="8" t="n">
        <v>25</v>
      </c>
      <c r="H27339" s="8" t="inlineStr">
        <is>
          <t>OPERATING</t>
        </is>
      </c>
    </row>
    <row r="27340">
      <c r="A27340" s="8" t="inlineStr">
        <is>
          <t>2026-08-05</t>
        </is>
      </c>
      <c r="B27340" s="8" t="n">
        <v>22</v>
      </c>
      <c r="C27340" s="8" t="n">
        <v>17</v>
      </c>
      <c r="D27340" s="8" t="inlineStr">
        <is>
          <t>Disney Adventure World</t>
        </is>
      </c>
      <c r="E27340" s="8" t="inlineStr">
        <is>
          <t>Toy Soldiers Parachute Drop Single Rider</t>
        </is>
      </c>
      <c r="F27340" s="8" t="inlineStr">
        <is>
          <t>STANDBY</t>
        </is>
      </c>
      <c r="G27340" s="8" t="n">
        <v>5</v>
      </c>
      <c r="H27340" s="8" t="inlineStr">
        <is>
          <t>OPERATING</t>
        </is>
      </c>
    </row>
    <row r="27341">
      <c r="A27341" s="8" t="inlineStr">
        <is>
          <t>2026-08-05</t>
        </is>
      </c>
      <c r="B27341" s="8" t="n">
        <v>22</v>
      </c>
      <c r="C27341" s="8" t="n">
        <v>17</v>
      </c>
      <c r="D27341" s="8" t="inlineStr">
        <is>
          <t>Disney Adventure World</t>
        </is>
      </c>
      <c r="E27341" s="8" t="inlineStr">
        <is>
          <t>Entry to World of Frozen</t>
        </is>
      </c>
      <c r="F27341" s="8" t="inlineStr">
        <is>
          <t>STANDBY</t>
        </is>
      </c>
      <c r="G27341" s="8" t="n">
        <v>0</v>
      </c>
      <c r="H27341" s="8" t="inlineStr">
        <is>
          <t>OPERATING</t>
        </is>
      </c>
    </row>
    <row r="27342">
      <c r="A27342" s="8" t="inlineStr">
        <is>
          <t>2026-08-05</t>
        </is>
      </c>
      <c r="B27342" s="8" t="n">
        <v>22</v>
      </c>
      <c r="C27342" s="8" t="n">
        <v>17</v>
      </c>
      <c r="D27342" s="8" t="inlineStr">
        <is>
          <t>Disney Adventure World</t>
        </is>
      </c>
      <c r="E27342" s="8" t="inlineStr">
        <is>
          <t>Frozen Ever After</t>
        </is>
      </c>
      <c r="F27342" s="8" t="inlineStr">
        <is>
          <t>STANDBY</t>
        </is>
      </c>
      <c r="G27342" s="8" t="n">
        <v>20</v>
      </c>
      <c r="H27342" s="8" t="inlineStr">
        <is>
          <t>OPERATING</t>
        </is>
      </c>
    </row>
    <row r="27343">
      <c r="A27343" s="8" t="inlineStr">
        <is>
          <t>2026-08-05</t>
        </is>
      </c>
      <c r="B27343" s="8" t="n">
        <v>22</v>
      </c>
      <c r="C27343" s="8" t="n">
        <v>17</v>
      </c>
      <c r="D27343" s="8" t="inlineStr">
        <is>
          <t>Disney Adventure World</t>
        </is>
      </c>
      <c r="E27343" s="8" t="inlineStr">
        <is>
          <t>Raiponce Tangled Spin</t>
        </is>
      </c>
      <c r="F27343" s="8" t="inlineStr">
        <is>
          <t>STANDBY</t>
        </is>
      </c>
      <c r="G27343" s="8" t="n">
        <v>5</v>
      </c>
      <c r="H27343" s="8" t="inlineStr">
        <is>
          <t>OPERATING</t>
        </is>
      </c>
    </row>
    <row r="27344">
      <c r="A27344" s="8" t="inlineStr">
        <is>
          <t>2026-08-05</t>
        </is>
      </c>
      <c r="B27344" s="8" t="n">
        <v>22</v>
      </c>
      <c r="C27344" s="8" t="n">
        <v>31</v>
      </c>
      <c r="D27344" s="8" t="inlineStr">
        <is>
          <t>Disneyland Park</t>
        </is>
      </c>
      <c r="E27344" s="8" t="inlineStr">
        <is>
          <t>Adventure Isle</t>
        </is>
      </c>
      <c r="F27344" s="8" t="inlineStr">
        <is>
          <t>STANDBY</t>
        </is>
      </c>
      <c r="G27344" s="8" t="n">
        <v>0</v>
      </c>
      <c r="H27344" s="8" t="inlineStr">
        <is>
          <t>OPERATING</t>
        </is>
      </c>
    </row>
    <row r="27345">
      <c r="A27345" s="8" t="inlineStr">
        <is>
          <t>2026-08-05</t>
        </is>
      </c>
      <c r="B27345" s="8" t="n">
        <v>22</v>
      </c>
      <c r="C27345" s="8" t="n">
        <v>31</v>
      </c>
      <c r="D27345" s="8" t="inlineStr">
        <is>
          <t>Disneyland Park</t>
        </is>
      </c>
      <c r="E27345" s="8" t="inlineStr">
        <is>
          <t>Indiana Jones and the Temple of Peril Single Rider</t>
        </is>
      </c>
      <c r="F27345" s="8" t="inlineStr">
        <is>
          <t>STANDBY</t>
        </is>
      </c>
      <c r="G27345" s="8" t="n">
        <v>0</v>
      </c>
      <c r="H27345" s="8" t="inlineStr">
        <is>
          <t>CLOSED</t>
        </is>
      </c>
    </row>
    <row r="27346">
      <c r="A27346" s="8" t="inlineStr">
        <is>
          <t>2026-08-05</t>
        </is>
      </c>
      <c r="B27346" s="8" t="n">
        <v>22</v>
      </c>
      <c r="C27346" s="8" t="n">
        <v>31</v>
      </c>
      <c r="D27346" s="8" t="inlineStr">
        <is>
          <t>Disneyland Park</t>
        </is>
      </c>
      <c r="E27346" s="8" t="inlineStr">
        <is>
          <t>Indiana Jones™ and the Temple of Peril</t>
        </is>
      </c>
      <c r="F27346" s="8" t="inlineStr">
        <is>
          <t>STANDBY</t>
        </is>
      </c>
      <c r="G27346" s="8" t="n">
        <v>0</v>
      </c>
      <c r="H27346" s="8" t="inlineStr">
        <is>
          <t>CLOSED</t>
        </is>
      </c>
    </row>
    <row r="27347">
      <c r="A27347" s="8" t="inlineStr">
        <is>
          <t>2026-08-05</t>
        </is>
      </c>
      <c r="B27347" s="8" t="n">
        <v>22</v>
      </c>
      <c r="C27347" s="8" t="n">
        <v>31</v>
      </c>
      <c r="D27347" s="8" t="inlineStr">
        <is>
          <t>Disneyland Park</t>
        </is>
      </c>
      <c r="E27347" s="8" t="inlineStr">
        <is>
          <t>La Cabane des Robinson</t>
        </is>
      </c>
      <c r="F27347" s="8" t="inlineStr">
        <is>
          <t>STANDBY</t>
        </is>
      </c>
      <c r="G27347" s="8" t="n">
        <v>5</v>
      </c>
      <c r="H27347" s="8" t="inlineStr">
        <is>
          <t>OPERATING</t>
        </is>
      </c>
    </row>
    <row r="27348">
      <c r="A27348" s="8" t="inlineStr">
        <is>
          <t>2026-08-05</t>
        </is>
      </c>
      <c r="B27348" s="8" t="n">
        <v>22</v>
      </c>
      <c r="C27348" s="8" t="n">
        <v>31</v>
      </c>
      <c r="D27348" s="8" t="inlineStr">
        <is>
          <t>Disneyland Park</t>
        </is>
      </c>
      <c r="E27348" s="8" t="inlineStr">
        <is>
          <t>Le Passage Enchanté d'Aladdin</t>
        </is>
      </c>
      <c r="F27348" s="8" t="inlineStr">
        <is>
          <t>STANDBY</t>
        </is>
      </c>
      <c r="G27348" s="8" t="n">
        <v>0</v>
      </c>
      <c r="H27348" s="8" t="inlineStr">
        <is>
          <t>CLOSED</t>
        </is>
      </c>
    </row>
    <row r="27349">
      <c r="A27349" s="8" t="inlineStr">
        <is>
          <t>2026-08-05</t>
        </is>
      </c>
      <c r="B27349" s="8" t="n">
        <v>22</v>
      </c>
      <c r="C27349" s="8" t="n">
        <v>31</v>
      </c>
      <c r="D27349" s="8" t="inlineStr">
        <is>
          <t>Disneyland Park</t>
        </is>
      </c>
      <c r="E27349" s="8" t="inlineStr">
        <is>
          <t>Pirate Galleon</t>
        </is>
      </c>
      <c r="F27349" s="8" t="inlineStr">
        <is>
          <t>STANDBY</t>
        </is>
      </c>
      <c r="G27349" s="8" t="n">
        <v>0</v>
      </c>
      <c r="H27349" s="8" t="inlineStr">
        <is>
          <t>CLOSED</t>
        </is>
      </c>
    </row>
    <row r="27350">
      <c r="A27350" s="8" t="inlineStr">
        <is>
          <t>2026-08-05</t>
        </is>
      </c>
      <c r="B27350" s="8" t="n">
        <v>22</v>
      </c>
      <c r="C27350" s="8" t="n">
        <v>31</v>
      </c>
      <c r="D27350" s="8" t="inlineStr">
        <is>
          <t>Disneyland Park</t>
        </is>
      </c>
      <c r="E27350" s="8" t="inlineStr">
        <is>
          <t>Pirates of the Caribbean</t>
        </is>
      </c>
      <c r="F27350" s="8" t="inlineStr">
        <is>
          <t>STANDBY</t>
        </is>
      </c>
      <c r="G27350" s="8" t="n">
        <v>5</v>
      </c>
      <c r="H27350" s="8" t="inlineStr">
        <is>
          <t>OPERATING</t>
        </is>
      </c>
    </row>
    <row r="27351">
      <c r="A27351" s="8" t="inlineStr">
        <is>
          <t>2026-08-05</t>
        </is>
      </c>
      <c r="B27351" s="8" t="n">
        <v>22</v>
      </c>
      <c r="C27351" s="8" t="n">
        <v>31</v>
      </c>
      <c r="D27351" s="8" t="inlineStr">
        <is>
          <t>Disneyland Park</t>
        </is>
      </c>
      <c r="E27351" s="8" t="inlineStr">
        <is>
          <t>Pirates' Beach</t>
        </is>
      </c>
      <c r="F27351" s="8" t="inlineStr">
        <is>
          <t>STANDBY</t>
        </is>
      </c>
      <c r="G27351" s="8" t="n">
        <v>0</v>
      </c>
      <c r="H27351" s="8" t="inlineStr">
        <is>
          <t>CLOSED</t>
        </is>
      </c>
    </row>
    <row r="27352">
      <c r="A27352" s="8" t="inlineStr">
        <is>
          <t>2026-08-05</t>
        </is>
      </c>
      <c r="B27352" s="8" t="n">
        <v>22</v>
      </c>
      <c r="C27352" s="8" t="n">
        <v>31</v>
      </c>
      <c r="D27352" s="8" t="inlineStr">
        <is>
          <t>Disneyland Park</t>
        </is>
      </c>
      <c r="E27352" s="8" t="inlineStr">
        <is>
          <t>Autopia, presented by Avis</t>
        </is>
      </c>
      <c r="F27352" s="8" t="inlineStr">
        <is>
          <t>STANDBY</t>
        </is>
      </c>
      <c r="G27352" s="8" t="n">
        <v>20</v>
      </c>
      <c r="H27352" s="8" t="inlineStr">
        <is>
          <t>OPERATING</t>
        </is>
      </c>
    </row>
    <row r="27353">
      <c r="A27353" s="8" t="inlineStr">
        <is>
          <t>2026-08-05</t>
        </is>
      </c>
      <c r="B27353" s="8" t="n">
        <v>22</v>
      </c>
      <c r="C27353" s="8" t="n">
        <v>31</v>
      </c>
      <c r="D27353" s="8" t="inlineStr">
        <is>
          <t>Disneyland Park</t>
        </is>
      </c>
      <c r="E27353" s="8" t="inlineStr">
        <is>
          <t>Buzz Lightyear Laser Blast</t>
        </is>
      </c>
      <c r="F27353" s="8" t="inlineStr">
        <is>
          <t>STANDBY</t>
        </is>
      </c>
      <c r="G27353" s="8" t="n">
        <v>5</v>
      </c>
      <c r="H27353" s="8" t="inlineStr">
        <is>
          <t>OPERATING</t>
        </is>
      </c>
    </row>
    <row r="27354">
      <c r="A27354" s="8" t="inlineStr">
        <is>
          <t>2026-08-05</t>
        </is>
      </c>
      <c r="B27354" s="8" t="n">
        <v>22</v>
      </c>
      <c r="C27354" s="8" t="n">
        <v>31</v>
      </c>
      <c r="D27354" s="8" t="inlineStr">
        <is>
          <t>Disneyland Park</t>
        </is>
      </c>
      <c r="E27354" s="8" t="inlineStr">
        <is>
          <t>Disneyland Railroad Discoveryland Station</t>
        </is>
      </c>
      <c r="F27354" s="8" t="inlineStr">
        <is>
          <t>STANDBY</t>
        </is>
      </c>
      <c r="G27354" s="8" t="n">
        <v>0</v>
      </c>
      <c r="H27354" s="8" t="inlineStr">
        <is>
          <t>CLOSED</t>
        </is>
      </c>
    </row>
    <row r="27355">
      <c r="A27355" s="8" t="inlineStr">
        <is>
          <t>2026-08-05</t>
        </is>
      </c>
      <c r="B27355" s="8" t="n">
        <v>22</v>
      </c>
      <c r="C27355" s="8" t="n">
        <v>31</v>
      </c>
      <c r="D27355" s="8" t="inlineStr">
        <is>
          <t>Disneyland Park</t>
        </is>
      </c>
      <c r="E27355" s="8" t="inlineStr">
        <is>
          <t>Les Mystères du Nautilus</t>
        </is>
      </c>
      <c r="F27355" s="8" t="inlineStr">
        <is>
          <t>STANDBY</t>
        </is>
      </c>
      <c r="G27355" s="8" t="n">
        <v>5</v>
      </c>
      <c r="H27355" s="8" t="inlineStr">
        <is>
          <t>OPERATING</t>
        </is>
      </c>
    </row>
    <row r="27356">
      <c r="A27356" s="8" t="inlineStr">
        <is>
          <t>2026-08-05</t>
        </is>
      </c>
      <c r="B27356" s="8" t="n">
        <v>22</v>
      </c>
      <c r="C27356" s="8" t="n">
        <v>31</v>
      </c>
      <c r="D27356" s="8" t="inlineStr">
        <is>
          <t>Disneyland Park</t>
        </is>
      </c>
      <c r="E27356" s="8" t="inlineStr">
        <is>
          <t>Mickey’s PhilharMagic</t>
        </is>
      </c>
      <c r="F27356" s="8" t="inlineStr">
        <is>
          <t>STANDBY</t>
        </is>
      </c>
      <c r="G27356" s="8" t="n">
        <v>0</v>
      </c>
      <c r="H27356" s="8" t="inlineStr">
        <is>
          <t>CLOSED</t>
        </is>
      </c>
    </row>
    <row r="27357">
      <c r="A27357" s="8" t="inlineStr">
        <is>
          <t>2026-08-05</t>
        </is>
      </c>
      <c r="B27357" s="8" t="n">
        <v>22</v>
      </c>
      <c r="C27357" s="8" t="n">
        <v>31</v>
      </c>
      <c r="D27357" s="8" t="inlineStr">
        <is>
          <t>Disneyland Park</t>
        </is>
      </c>
      <c r="E27357" s="8" t="inlineStr">
        <is>
          <t>Orbitron®</t>
        </is>
      </c>
      <c r="F27357" s="8" t="inlineStr">
        <is>
          <t>STANDBY</t>
        </is>
      </c>
      <c r="G27357" s="8" t="n">
        <v>30</v>
      </c>
      <c r="H27357" s="8" t="inlineStr">
        <is>
          <t>OPERATING</t>
        </is>
      </c>
    </row>
    <row r="27358">
      <c r="A27358" s="8" t="inlineStr">
        <is>
          <t>2026-08-05</t>
        </is>
      </c>
      <c r="B27358" s="8" t="n">
        <v>22</v>
      </c>
      <c r="C27358" s="8" t="n">
        <v>31</v>
      </c>
      <c r="D27358" s="8" t="inlineStr">
        <is>
          <t>Disneyland Park</t>
        </is>
      </c>
      <c r="E27358" s="8" t="inlineStr">
        <is>
          <t>Star Tours: The Adventures Continue*</t>
        </is>
      </c>
      <c r="F27358" s="8" t="inlineStr">
        <is>
          <t>STANDBY</t>
        </is>
      </c>
      <c r="G27358" s="8" t="n">
        <v>5</v>
      </c>
      <c r="H27358" s="8" t="inlineStr">
        <is>
          <t>OPERATING</t>
        </is>
      </c>
    </row>
    <row r="27359">
      <c r="A27359" s="8" t="inlineStr">
        <is>
          <t>2026-08-05</t>
        </is>
      </c>
      <c r="B27359" s="8" t="n">
        <v>22</v>
      </c>
      <c r="C27359" s="8" t="n">
        <v>31</v>
      </c>
      <c r="D27359" s="8" t="inlineStr">
        <is>
          <t>Disneyland Park</t>
        </is>
      </c>
      <c r="E27359" s="8" t="inlineStr">
        <is>
          <t>Star Wars Hyperspace Mountain</t>
        </is>
      </c>
      <c r="F27359" s="8" t="inlineStr">
        <is>
          <t>STANDBY</t>
        </is>
      </c>
      <c r="G27359" s="8" t="n">
        <v>5</v>
      </c>
      <c r="H27359" s="8" t="inlineStr">
        <is>
          <t>OPERATING</t>
        </is>
      </c>
    </row>
    <row r="27360">
      <c r="A27360" s="8" t="inlineStr">
        <is>
          <t>2026-08-05</t>
        </is>
      </c>
      <c r="B27360" s="8" t="n">
        <v>22</v>
      </c>
      <c r="C27360" s="8" t="n">
        <v>31</v>
      </c>
      <c r="D27360" s="8" t="inlineStr">
        <is>
          <t>Disneyland Park</t>
        </is>
      </c>
      <c r="E27360" s="8" t="inlineStr">
        <is>
          <t>Star Wars Hyperspace Mountain Single Rider</t>
        </is>
      </c>
      <c r="F27360" s="8" t="inlineStr">
        <is>
          <t>STANDBY</t>
        </is>
      </c>
      <c r="G27360" s="8" t="n">
        <v>0</v>
      </c>
      <c r="H27360" s="8" t="inlineStr">
        <is>
          <t>OPERATING</t>
        </is>
      </c>
    </row>
    <row r="27361">
      <c r="A27361" s="8" t="inlineStr">
        <is>
          <t>2026-08-05</t>
        </is>
      </c>
      <c r="B27361" s="8" t="n">
        <v>22</v>
      </c>
      <c r="C27361" s="8" t="n">
        <v>31</v>
      </c>
      <c r="D27361" s="8" t="inlineStr">
        <is>
          <t>Disneyland Park</t>
        </is>
      </c>
      <c r="E27361" s="8" t="inlineStr">
        <is>
          <t>Welcome to Starport: A Star Wars Encounter</t>
        </is>
      </c>
      <c r="F27361" s="8" t="inlineStr">
        <is>
          <t>STANDBY</t>
        </is>
      </c>
      <c r="G27361" s="8" t="n">
        <v>0</v>
      </c>
      <c r="H27361" s="8" t="inlineStr">
        <is>
          <t>CLOSED</t>
        </is>
      </c>
    </row>
    <row r="27362">
      <c r="A27362" s="8" t="inlineStr">
        <is>
          <t>2026-08-05</t>
        </is>
      </c>
      <c r="B27362" s="8" t="n">
        <v>22</v>
      </c>
      <c r="C27362" s="8" t="n">
        <v>31</v>
      </c>
      <c r="D27362" s="8" t="inlineStr">
        <is>
          <t>Disneyland Park</t>
        </is>
      </c>
      <c r="E27362" s="8" t="inlineStr">
        <is>
          <t>"it's a small world"</t>
        </is>
      </c>
      <c r="F27362" s="8" t="inlineStr">
        <is>
          <t>STANDBY</t>
        </is>
      </c>
      <c r="G27362" s="8" t="n">
        <v>5</v>
      </c>
      <c r="H27362" s="8" t="inlineStr">
        <is>
          <t>OPERATING</t>
        </is>
      </c>
    </row>
    <row r="27363">
      <c r="A27363" s="8" t="inlineStr">
        <is>
          <t>2026-08-05</t>
        </is>
      </c>
      <c r="B27363" s="8" t="n">
        <v>22</v>
      </c>
      <c r="C27363" s="8" t="n">
        <v>31</v>
      </c>
      <c r="D27363" s="8" t="inlineStr">
        <is>
          <t>Disneyland Park</t>
        </is>
      </c>
      <c r="E27363" s="8" t="inlineStr">
        <is>
          <t>Alice's Curious Labyrinth</t>
        </is>
      </c>
      <c r="F27363" s="8" t="inlineStr">
        <is>
          <t>STANDBY</t>
        </is>
      </c>
      <c r="G27363" s="8" t="n">
        <v>0</v>
      </c>
      <c r="H27363" s="8" t="inlineStr">
        <is>
          <t>CLOSED</t>
        </is>
      </c>
    </row>
    <row r="27364">
      <c r="A27364" s="8" t="inlineStr">
        <is>
          <t>2026-08-05</t>
        </is>
      </c>
      <c r="B27364" s="8" t="n">
        <v>22</v>
      </c>
      <c r="C27364" s="8" t="n">
        <v>31</v>
      </c>
      <c r="D27364" s="8" t="inlineStr">
        <is>
          <t>Disneyland Park</t>
        </is>
      </c>
      <c r="E27364" s="8" t="inlineStr">
        <is>
          <t>Blanche-Neige et les Sept Nains®</t>
        </is>
      </c>
      <c r="F27364" s="8" t="inlineStr">
        <is>
          <t>STANDBY</t>
        </is>
      </c>
      <c r="G27364" s="8" t="n">
        <v>0</v>
      </c>
      <c r="H27364" s="8" t="inlineStr">
        <is>
          <t>CLOSED</t>
        </is>
      </c>
    </row>
    <row r="27365">
      <c r="A27365" s="8" t="inlineStr">
        <is>
          <t>2026-08-05</t>
        </is>
      </c>
      <c r="B27365" s="8" t="n">
        <v>22</v>
      </c>
      <c r="C27365" s="8" t="n">
        <v>31</v>
      </c>
      <c r="D27365" s="8" t="inlineStr">
        <is>
          <t>Disneyland Park</t>
        </is>
      </c>
      <c r="E27365" s="8" t="inlineStr">
        <is>
          <t>Casey Jr. – le Petit Train du Cirque</t>
        </is>
      </c>
      <c r="F27365" s="8" t="inlineStr">
        <is>
          <t>STANDBY</t>
        </is>
      </c>
      <c r="G27365" s="8" t="n">
        <v>0</v>
      </c>
      <c r="H27365" s="8" t="inlineStr">
        <is>
          <t>CLOSED</t>
        </is>
      </c>
    </row>
    <row r="27366">
      <c r="A27366" s="8" t="inlineStr">
        <is>
          <t>2026-08-05</t>
        </is>
      </c>
      <c r="B27366" s="8" t="n">
        <v>22</v>
      </c>
      <c r="C27366" s="8" t="n">
        <v>31</v>
      </c>
      <c r="D27366" s="8" t="inlineStr">
        <is>
          <t>Disneyland Park</t>
        </is>
      </c>
      <c r="E27366" s="8" t="inlineStr">
        <is>
          <t>Disneyland Railroad Fantasyland Station</t>
        </is>
      </c>
      <c r="F27366" s="8" t="inlineStr">
        <is>
          <t>STANDBY</t>
        </is>
      </c>
      <c r="G27366" s="8" t="n">
        <v>0</v>
      </c>
      <c r="H27366" s="8" t="inlineStr">
        <is>
          <t>CLOSED</t>
        </is>
      </c>
    </row>
    <row r="27367">
      <c r="A27367" s="8" t="inlineStr">
        <is>
          <t>2026-08-05</t>
        </is>
      </c>
      <c r="B27367" s="8" t="n">
        <v>22</v>
      </c>
      <c r="C27367" s="8" t="n">
        <v>31</v>
      </c>
      <c r="D27367" s="8" t="inlineStr">
        <is>
          <t>Disneyland Park</t>
        </is>
      </c>
      <c r="E27367" s="8" t="inlineStr">
        <is>
          <t>Disneyland Railroad Main Street Station</t>
        </is>
      </c>
      <c r="F27367" s="8" t="inlineStr">
        <is>
          <t>STANDBY</t>
        </is>
      </c>
      <c r="G27367" s="8" t="n">
        <v>0</v>
      </c>
      <c r="H27367" s="8" t="inlineStr">
        <is>
          <t>CLOSED</t>
        </is>
      </c>
    </row>
    <row r="27368">
      <c r="A27368" s="8" t="inlineStr">
        <is>
          <t>2026-08-05</t>
        </is>
      </c>
      <c r="B27368" s="8" t="n">
        <v>22</v>
      </c>
      <c r="C27368" s="8" t="n">
        <v>31</v>
      </c>
      <c r="D27368" s="8" t="inlineStr">
        <is>
          <t>Disneyland Park</t>
        </is>
      </c>
      <c r="E27368" s="8" t="inlineStr">
        <is>
          <t>Dumbo the Flying Elephant</t>
        </is>
      </c>
      <c r="F27368" s="8" t="inlineStr">
        <is>
          <t>STANDBY</t>
        </is>
      </c>
      <c r="G27368" s="8" t="n">
        <v>0</v>
      </c>
      <c r="H27368" s="8" t="inlineStr">
        <is>
          <t>CLOSED</t>
        </is>
      </c>
    </row>
    <row r="27369">
      <c r="A27369" s="8" t="inlineStr">
        <is>
          <t>2026-08-05</t>
        </is>
      </c>
      <c r="B27369" s="8" t="n">
        <v>22</v>
      </c>
      <c r="C27369" s="8" t="n">
        <v>31</v>
      </c>
      <c r="D27369" s="8" t="inlineStr">
        <is>
          <t>Disneyland Park</t>
        </is>
      </c>
      <c r="E27369" s="8" t="inlineStr">
        <is>
          <t>La Tanière du Dragon</t>
        </is>
      </c>
      <c r="F27369" s="8" t="inlineStr">
        <is>
          <t>STANDBY</t>
        </is>
      </c>
      <c r="G27369" s="8" t="n">
        <v>0</v>
      </c>
      <c r="H27369" s="8" t="inlineStr">
        <is>
          <t>CLOSED</t>
        </is>
      </c>
    </row>
    <row r="27370">
      <c r="A27370" s="8" t="inlineStr">
        <is>
          <t>2026-08-05</t>
        </is>
      </c>
      <c r="B27370" s="8" t="n">
        <v>22</v>
      </c>
      <c r="C27370" s="8" t="n">
        <v>31</v>
      </c>
      <c r="D27370" s="8" t="inlineStr">
        <is>
          <t>Disneyland Park</t>
        </is>
      </c>
      <c r="E27370" s="8" t="inlineStr">
        <is>
          <t>Le Carrousel de Lancelot</t>
        </is>
      </c>
      <c r="F27370" s="8" t="inlineStr">
        <is>
          <t>STANDBY</t>
        </is>
      </c>
      <c r="G27370" s="8" t="n">
        <v>0</v>
      </c>
      <c r="H27370" s="8" t="inlineStr">
        <is>
          <t>CLOSED</t>
        </is>
      </c>
    </row>
    <row r="27371">
      <c r="A27371" s="8" t="inlineStr">
        <is>
          <t>2026-08-05</t>
        </is>
      </c>
      <c r="B27371" s="8" t="n">
        <v>22</v>
      </c>
      <c r="C27371" s="8" t="n">
        <v>31</v>
      </c>
      <c r="D27371" s="8" t="inlineStr">
        <is>
          <t>Disneyland Park</t>
        </is>
      </c>
      <c r="E27371" s="8" t="inlineStr">
        <is>
          <t>Le Pays des Contes de Fées, presented by Vittel</t>
        </is>
      </c>
      <c r="F27371" s="8" t="inlineStr">
        <is>
          <t>STANDBY</t>
        </is>
      </c>
      <c r="G27371" s="8" t="n">
        <v>0</v>
      </c>
      <c r="H27371" s="8" t="inlineStr">
        <is>
          <t>CLOSED</t>
        </is>
      </c>
    </row>
    <row r="27372">
      <c r="A27372" s="8" t="inlineStr">
        <is>
          <t>2026-08-05</t>
        </is>
      </c>
      <c r="B27372" s="8" t="n">
        <v>22</v>
      </c>
      <c r="C27372" s="8" t="n">
        <v>31</v>
      </c>
      <c r="D27372" s="8" t="inlineStr">
        <is>
          <t>Disneyland Park</t>
        </is>
      </c>
      <c r="E27372" s="8" t="inlineStr">
        <is>
          <t>Les Voyages de Pinocchio</t>
        </is>
      </c>
      <c r="F27372" s="8" t="inlineStr">
        <is>
          <t>STANDBY</t>
        </is>
      </c>
      <c r="G27372" s="8" t="n">
        <v>0</v>
      </c>
      <c r="H27372" s="8" t="inlineStr">
        <is>
          <t>CLOSED</t>
        </is>
      </c>
    </row>
    <row r="27373">
      <c r="A27373" s="8" t="inlineStr">
        <is>
          <t>2026-08-05</t>
        </is>
      </c>
      <c r="B27373" s="8" t="n">
        <v>22</v>
      </c>
      <c r="C27373" s="8" t="n">
        <v>31</v>
      </c>
      <c r="D27373" s="8" t="inlineStr">
        <is>
          <t>Disneyland Park</t>
        </is>
      </c>
      <c r="E27373" s="8" t="inlineStr">
        <is>
          <t>Mad Hatter's Tea Cups</t>
        </is>
      </c>
      <c r="F27373" s="8" t="inlineStr">
        <is>
          <t>STANDBY</t>
        </is>
      </c>
      <c r="G27373" s="8" t="n">
        <v>0</v>
      </c>
      <c r="H27373" s="8" t="inlineStr">
        <is>
          <t>CLOSED</t>
        </is>
      </c>
    </row>
    <row r="27374">
      <c r="A27374" s="8" t="inlineStr">
        <is>
          <t>2026-08-05</t>
        </is>
      </c>
      <c r="B27374" s="8" t="n">
        <v>22</v>
      </c>
      <c r="C27374" s="8" t="n">
        <v>31</v>
      </c>
      <c r="D27374" s="8" t="inlineStr">
        <is>
          <t>Disneyland Park</t>
        </is>
      </c>
      <c r="E27374" s="8" t="inlineStr">
        <is>
          <t>Meet Mickey Mouse</t>
        </is>
      </c>
      <c r="F27374" s="8" t="inlineStr">
        <is>
          <t>STANDBY</t>
        </is>
      </c>
      <c r="G27374" s="8" t="n">
        <v>0</v>
      </c>
      <c r="H27374" s="8" t="inlineStr">
        <is>
          <t>CLOSED</t>
        </is>
      </c>
    </row>
    <row r="27375">
      <c r="A27375" s="8" t="inlineStr">
        <is>
          <t>2026-08-05</t>
        </is>
      </c>
      <c r="B27375" s="8" t="n">
        <v>22</v>
      </c>
      <c r="C27375" s="8" t="n">
        <v>31</v>
      </c>
      <c r="D27375" s="8" t="inlineStr">
        <is>
          <t>Disneyland Park</t>
        </is>
      </c>
      <c r="E27375" s="8" t="inlineStr">
        <is>
          <t>Peter Pan's Flight</t>
        </is>
      </c>
      <c r="F27375" s="8" t="inlineStr">
        <is>
          <t>STANDBY</t>
        </is>
      </c>
      <c r="G27375" s="8" t="n">
        <v>5</v>
      </c>
      <c r="H27375" s="8" t="inlineStr">
        <is>
          <t>OPERATING</t>
        </is>
      </c>
    </row>
    <row r="27376">
      <c r="A27376" s="8" t="inlineStr">
        <is>
          <t>2026-08-05</t>
        </is>
      </c>
      <c r="B27376" s="8" t="n">
        <v>22</v>
      </c>
      <c r="C27376" s="8" t="n">
        <v>31</v>
      </c>
      <c r="D27376" s="8" t="inlineStr">
        <is>
          <t>Disneyland Park</t>
        </is>
      </c>
      <c r="E27376" s="8" t="inlineStr">
        <is>
          <t>Princess Pavilion</t>
        </is>
      </c>
      <c r="F27376" s="8" t="inlineStr">
        <is>
          <t>STANDBY</t>
        </is>
      </c>
      <c r="G27376" s="8" t="n">
        <v>0</v>
      </c>
      <c r="H27376" s="8" t="inlineStr">
        <is>
          <t>CLOSED</t>
        </is>
      </c>
    </row>
    <row r="27377">
      <c r="A27377" s="8" t="inlineStr">
        <is>
          <t>2026-08-05</t>
        </is>
      </c>
      <c r="B27377" s="8" t="n">
        <v>22</v>
      </c>
      <c r="C27377" s="8" t="n">
        <v>31</v>
      </c>
      <c r="D27377" s="8" t="inlineStr">
        <is>
          <t>Disneyland Park</t>
        </is>
      </c>
      <c r="E27377" s="8" t="inlineStr">
        <is>
          <t>Big Thunder Mountain</t>
        </is>
      </c>
      <c r="F27377" s="8" t="inlineStr">
        <is>
          <t>STANDBY</t>
        </is>
      </c>
      <c r="G27377" s="8" t="n">
        <v>0</v>
      </c>
      <c r="H27377" s="8" t="inlineStr">
        <is>
          <t>CLOSED</t>
        </is>
      </c>
    </row>
    <row r="27378">
      <c r="A27378" s="8" t="inlineStr">
        <is>
          <t>2026-08-05</t>
        </is>
      </c>
      <c r="B27378" s="8" t="n">
        <v>22</v>
      </c>
      <c r="C27378" s="8" t="n">
        <v>31</v>
      </c>
      <c r="D27378" s="8" t="inlineStr">
        <is>
          <t>Disneyland Park</t>
        </is>
      </c>
      <c r="E27378" s="8" t="inlineStr">
        <is>
          <t>Disneyland Railroad Frontierland Depot</t>
        </is>
      </c>
      <c r="F27378" s="8" t="inlineStr">
        <is>
          <t>STANDBY</t>
        </is>
      </c>
      <c r="G27378" s="8" t="n">
        <v>0</v>
      </c>
      <c r="H27378" s="8" t="inlineStr">
        <is>
          <t>CLOSED</t>
        </is>
      </c>
    </row>
    <row r="27379">
      <c r="A27379" s="8" t="inlineStr">
        <is>
          <t>2026-08-05</t>
        </is>
      </c>
      <c r="B27379" s="8" t="n">
        <v>22</v>
      </c>
      <c r="C27379" s="8" t="n">
        <v>31</v>
      </c>
      <c r="D27379" s="8" t="inlineStr">
        <is>
          <t>Disneyland Park</t>
        </is>
      </c>
      <c r="E27379" s="8" t="inlineStr">
        <is>
          <t>Frontierland Playground</t>
        </is>
      </c>
      <c r="F27379" s="8" t="inlineStr">
        <is>
          <t>STANDBY</t>
        </is>
      </c>
      <c r="G27379" s="8" t="n">
        <v>0</v>
      </c>
      <c r="H27379" s="8" t="inlineStr">
        <is>
          <t>CLOSED</t>
        </is>
      </c>
    </row>
    <row r="27380">
      <c r="A27380" s="8" t="inlineStr">
        <is>
          <t>2026-08-05</t>
        </is>
      </c>
      <c r="B27380" s="8" t="n">
        <v>22</v>
      </c>
      <c r="C27380" s="8" t="n">
        <v>31</v>
      </c>
      <c r="D27380" s="8" t="inlineStr">
        <is>
          <t>Disneyland Park</t>
        </is>
      </c>
      <c r="E27380" s="8" t="inlineStr">
        <is>
          <t>Phantom Manor</t>
        </is>
      </c>
      <c r="F27380" s="8" t="inlineStr">
        <is>
          <t>STANDBY</t>
        </is>
      </c>
      <c r="G27380" s="8" t="n">
        <v>5</v>
      </c>
      <c r="H27380" s="8" t="inlineStr">
        <is>
          <t>OPERATING</t>
        </is>
      </c>
    </row>
    <row r="27381">
      <c r="A27381" s="8" t="inlineStr">
        <is>
          <t>2026-08-05</t>
        </is>
      </c>
      <c r="B27381" s="8" t="n">
        <v>22</v>
      </c>
      <c r="C27381" s="8" t="n">
        <v>31</v>
      </c>
      <c r="D27381" s="8" t="inlineStr">
        <is>
          <t>Disneyland Park</t>
        </is>
      </c>
      <c r="E27381" s="8" t="inlineStr">
        <is>
          <t>River Rogue Keelboats</t>
        </is>
      </c>
      <c r="F27381" s="8" t="inlineStr">
        <is>
          <t>STANDBY</t>
        </is>
      </c>
      <c r="G27381" s="8" t="n">
        <v>0</v>
      </c>
      <c r="H27381" s="8" t="inlineStr">
        <is>
          <t>CLOSED</t>
        </is>
      </c>
    </row>
    <row r="27382">
      <c r="A27382" s="8" t="inlineStr">
        <is>
          <t>2026-08-05</t>
        </is>
      </c>
      <c r="B27382" s="8" t="n">
        <v>22</v>
      </c>
      <c r="C27382" s="8" t="n">
        <v>31</v>
      </c>
      <c r="D27382" s="8" t="inlineStr">
        <is>
          <t>Disneyland Park</t>
        </is>
      </c>
      <c r="E27382" s="8" t="inlineStr">
        <is>
          <t>Rustler Roundup Shootin' Gallery</t>
        </is>
      </c>
      <c r="F27382" s="8" t="inlineStr">
        <is>
          <t>STANDBY</t>
        </is>
      </c>
      <c r="G27382" s="8" t="n">
        <v>0</v>
      </c>
      <c r="H27382" s="8" t="inlineStr">
        <is>
          <t>CLOSED</t>
        </is>
      </c>
    </row>
    <row r="27383">
      <c r="A27383" s="8" t="inlineStr">
        <is>
          <t>2026-08-05</t>
        </is>
      </c>
      <c r="B27383" s="8" t="n">
        <v>22</v>
      </c>
      <c r="C27383" s="8" t="n">
        <v>31</v>
      </c>
      <c r="D27383" s="8" t="inlineStr">
        <is>
          <t>Disneyland Park</t>
        </is>
      </c>
      <c r="E27383" s="8" t="inlineStr">
        <is>
          <t>Thunder Mesa Riverboat Landing</t>
        </is>
      </c>
      <c r="F27383" s="8" t="inlineStr">
        <is>
          <t>STANDBY</t>
        </is>
      </c>
      <c r="G27383" s="8" t="n">
        <v>0</v>
      </c>
      <c r="H27383" s="8" t="inlineStr">
        <is>
          <t>CLOSED</t>
        </is>
      </c>
    </row>
    <row r="27384">
      <c r="A27384" s="8" t="inlineStr">
        <is>
          <t>2026-08-05</t>
        </is>
      </c>
      <c r="B27384" s="8" t="n">
        <v>22</v>
      </c>
      <c r="C27384" s="8" t="n">
        <v>31</v>
      </c>
      <c r="D27384" s="8" t="inlineStr">
        <is>
          <t>Disneyland Park</t>
        </is>
      </c>
      <c r="E27384" s="8" t="inlineStr">
        <is>
          <t>Disneyland Railroad Main Street Station</t>
        </is>
      </c>
      <c r="F27384" s="8" t="inlineStr">
        <is>
          <t>STANDBY</t>
        </is>
      </c>
      <c r="G27384" s="8" t="n">
        <v>0</v>
      </c>
      <c r="H27384" s="8" t="inlineStr">
        <is>
          <t>CLOSED</t>
        </is>
      </c>
    </row>
    <row r="27385">
      <c r="A27385" s="8" t="inlineStr">
        <is>
          <t>2026-08-05</t>
        </is>
      </c>
      <c r="B27385" s="8" t="n">
        <v>22</v>
      </c>
      <c r="C27385" s="8" t="n">
        <v>31</v>
      </c>
      <c r="D27385" s="8" t="inlineStr">
        <is>
          <t>Disneyland Park</t>
        </is>
      </c>
      <c r="E27385" s="8" t="inlineStr">
        <is>
          <t>Main Street Vehicles</t>
        </is>
      </c>
      <c r="F27385" s="8" t="inlineStr">
        <is>
          <t>STANDBY</t>
        </is>
      </c>
      <c r="G27385" s="8" t="n">
        <v>0</v>
      </c>
      <c r="H27385" s="8" t="inlineStr">
        <is>
          <t>CLOSED</t>
        </is>
      </c>
    </row>
    <row r="27386">
      <c r="A27386" s="8" t="inlineStr">
        <is>
          <t>2026-08-05</t>
        </is>
      </c>
      <c r="B27386" s="8" t="n">
        <v>22</v>
      </c>
      <c r="C27386" s="8" t="n">
        <v>31</v>
      </c>
      <c r="D27386" s="8" t="inlineStr">
        <is>
          <t>Disney Adventure World</t>
        </is>
      </c>
      <c r="E27386" s="8" t="inlineStr">
        <is>
          <t>Avengers Assemble: Flight Force</t>
        </is>
      </c>
      <c r="F27386" s="8" t="inlineStr">
        <is>
          <t>STANDBY</t>
        </is>
      </c>
      <c r="G27386" s="8" t="n">
        <v>5</v>
      </c>
      <c r="H27386" s="8" t="inlineStr">
        <is>
          <t>OPERATING</t>
        </is>
      </c>
    </row>
    <row r="27387">
      <c r="A27387" s="8" t="inlineStr">
        <is>
          <t>2026-08-05</t>
        </is>
      </c>
      <c r="B27387" s="8" t="n">
        <v>22</v>
      </c>
      <c r="C27387" s="8" t="n">
        <v>31</v>
      </c>
      <c r="D27387" s="8" t="inlineStr">
        <is>
          <t>Disney Adventure World</t>
        </is>
      </c>
      <c r="E27387" s="8" t="inlineStr">
        <is>
          <t>Avengers Assemble: Flight Force Single Rider</t>
        </is>
      </c>
      <c r="F27387" s="8" t="inlineStr">
        <is>
          <t>STANDBY</t>
        </is>
      </c>
      <c r="G27387" s="8" t="n">
        <v>5</v>
      </c>
      <c r="H27387" s="8" t="inlineStr">
        <is>
          <t>OPERATING</t>
        </is>
      </c>
    </row>
    <row r="27388">
      <c r="A27388" s="8" t="inlineStr">
        <is>
          <t>2026-08-05</t>
        </is>
      </c>
      <c r="B27388" s="8" t="n">
        <v>22</v>
      </c>
      <c r="C27388" s="8" t="n">
        <v>31</v>
      </c>
      <c r="D27388" s="8" t="inlineStr">
        <is>
          <t>Disney Adventure World</t>
        </is>
      </c>
      <c r="E27388" s="8" t="inlineStr">
        <is>
          <t>Spider-Man W.E.B. Adventure</t>
        </is>
      </c>
      <c r="F27388" s="8" t="inlineStr">
        <is>
          <t>STANDBY</t>
        </is>
      </c>
      <c r="G27388" s="8" t="n">
        <v>5</v>
      </c>
      <c r="H27388" s="8" t="inlineStr">
        <is>
          <t>OPERATING</t>
        </is>
      </c>
    </row>
    <row r="27389">
      <c r="A27389" s="8" t="inlineStr">
        <is>
          <t>2026-08-05</t>
        </is>
      </c>
      <c r="B27389" s="8" t="n">
        <v>22</v>
      </c>
      <c r="C27389" s="8" t="n">
        <v>31</v>
      </c>
      <c r="D27389" s="8" t="inlineStr">
        <is>
          <t>Disney Adventure World</t>
        </is>
      </c>
      <c r="E27389" s="8" t="inlineStr">
        <is>
          <t>Spider-Man W.E.B. Adventure Single Rider</t>
        </is>
      </c>
      <c r="F27389" s="8" t="inlineStr">
        <is>
          <t>STANDBY</t>
        </is>
      </c>
      <c r="G27389" s="8" t="n">
        <v>5</v>
      </c>
      <c r="H27389" s="8" t="inlineStr">
        <is>
          <t>OPERATING</t>
        </is>
      </c>
    </row>
    <row r="27390">
      <c r="A27390" s="8" t="inlineStr">
        <is>
          <t>2026-08-05</t>
        </is>
      </c>
      <c r="B27390" s="8" t="n">
        <v>22</v>
      </c>
      <c r="C27390" s="8" t="n">
        <v>31</v>
      </c>
      <c r="D27390" s="8" t="inlineStr">
        <is>
          <t>Disney Adventure World</t>
        </is>
      </c>
      <c r="E27390" s="8" t="inlineStr">
        <is>
          <t>The Twilight Zone Tower of Terror</t>
        </is>
      </c>
      <c r="F27390" s="8" t="inlineStr">
        <is>
          <t>STANDBY</t>
        </is>
      </c>
      <c r="G27390" s="8" t="n">
        <v>5</v>
      </c>
      <c r="H27390" s="8" t="inlineStr">
        <is>
          <t>OPERATING</t>
        </is>
      </c>
    </row>
    <row r="27391">
      <c r="A27391" s="8" t="inlineStr">
        <is>
          <t>2026-08-05</t>
        </is>
      </c>
      <c r="B27391" s="8" t="n">
        <v>22</v>
      </c>
      <c r="C27391" s="8" t="n">
        <v>31</v>
      </c>
      <c r="D27391" s="8" t="inlineStr">
        <is>
          <t>Disney Adventure World</t>
        </is>
      </c>
      <c r="E27391" s="8" t="inlineStr">
        <is>
          <t>Cars Quatre Roues Rallye</t>
        </is>
      </c>
      <c r="F27391" s="8" t="inlineStr">
        <is>
          <t>STANDBY</t>
        </is>
      </c>
      <c r="G27391" s="8" t="n">
        <v>5</v>
      </c>
      <c r="H27391" s="8" t="inlineStr">
        <is>
          <t>OPERATING</t>
        </is>
      </c>
    </row>
    <row r="27392">
      <c r="A27392" s="8" t="inlineStr">
        <is>
          <t>2026-08-05</t>
        </is>
      </c>
      <c r="B27392" s="8" t="n">
        <v>22</v>
      </c>
      <c r="C27392" s="8" t="n">
        <v>31</v>
      </c>
      <c r="D27392" s="8" t="inlineStr">
        <is>
          <t>Disney Adventure World</t>
        </is>
      </c>
      <c r="E27392" s="8" t="inlineStr">
        <is>
          <t>Cars ROAD TRIP</t>
        </is>
      </c>
      <c r="F27392" s="8" t="inlineStr">
        <is>
          <t>STANDBY</t>
        </is>
      </c>
      <c r="G27392" s="8" t="n">
        <v>0</v>
      </c>
      <c r="H27392" s="8" t="inlineStr">
        <is>
          <t>CLOSED</t>
        </is>
      </c>
    </row>
    <row r="27393">
      <c r="A27393" s="8" t="inlineStr">
        <is>
          <t>2026-08-05</t>
        </is>
      </c>
      <c r="B27393" s="8" t="n">
        <v>22</v>
      </c>
      <c r="C27393" s="8" t="n">
        <v>31</v>
      </c>
      <c r="D27393" s="8" t="inlineStr">
        <is>
          <t>Disney Adventure World</t>
        </is>
      </c>
      <c r="E27393" s="8" t="inlineStr">
        <is>
          <t>Crush's Coaster</t>
        </is>
      </c>
      <c r="F27393" s="8" t="inlineStr">
        <is>
          <t>STANDBY</t>
        </is>
      </c>
      <c r="G27393" s="8" t="n">
        <v>25</v>
      </c>
      <c r="H27393" s="8" t="inlineStr">
        <is>
          <t>OPERATING</t>
        </is>
      </c>
    </row>
    <row r="27394">
      <c r="A27394" s="8" t="inlineStr">
        <is>
          <t>2026-08-05</t>
        </is>
      </c>
      <c r="B27394" s="8" t="n">
        <v>22</v>
      </c>
      <c r="C27394" s="8" t="n">
        <v>31</v>
      </c>
      <c r="D27394" s="8" t="inlineStr">
        <is>
          <t>Disney Adventure World</t>
        </is>
      </c>
      <c r="E27394" s="8" t="inlineStr">
        <is>
          <t>Crush's Coaster Single Rider</t>
        </is>
      </c>
      <c r="F27394" s="8" t="inlineStr">
        <is>
          <t>STANDBY</t>
        </is>
      </c>
      <c r="G27394" s="8" t="n">
        <v>15</v>
      </c>
      <c r="H27394" s="8" t="inlineStr">
        <is>
          <t>OPERATING</t>
        </is>
      </c>
    </row>
    <row r="27395">
      <c r="A27395" s="8" t="inlineStr">
        <is>
          <t>2026-08-05</t>
        </is>
      </c>
      <c r="B27395" s="8" t="n">
        <v>22</v>
      </c>
      <c r="C27395" s="8" t="n">
        <v>31</v>
      </c>
      <c r="D27395" s="8" t="inlineStr">
        <is>
          <t>Disney Adventure World</t>
        </is>
      </c>
      <c r="E27395" s="8" t="inlineStr">
        <is>
          <t>Les Tapis Volants - Flying Carpets Over Agrabah®</t>
        </is>
      </c>
      <c r="F27395" s="8" t="inlineStr">
        <is>
          <t>STANDBY</t>
        </is>
      </c>
      <c r="G27395" s="8" t="n">
        <v>5</v>
      </c>
      <c r="H27395" s="8" t="inlineStr">
        <is>
          <t>OPERATING</t>
        </is>
      </c>
    </row>
    <row r="27396">
      <c r="A27396" s="8" t="inlineStr">
        <is>
          <t>2026-08-05</t>
        </is>
      </c>
      <c r="B27396" s="8" t="n">
        <v>22</v>
      </c>
      <c r="C27396" s="8" t="n">
        <v>31</v>
      </c>
      <c r="D27396" s="8" t="inlineStr">
        <is>
          <t>Disney Adventure World</t>
        </is>
      </c>
      <c r="E27396" s="8" t="inlineStr">
        <is>
          <t>Ratatouille : L’Aventure Totalement Toquée de Rémy​</t>
        </is>
      </c>
      <c r="F27396" s="8" t="inlineStr">
        <is>
          <t>STANDBY</t>
        </is>
      </c>
      <c r="G27396" s="8" t="n">
        <v>5</v>
      </c>
      <c r="H27396" s="8" t="inlineStr">
        <is>
          <t>OPERATING</t>
        </is>
      </c>
    </row>
    <row r="27397">
      <c r="A27397" s="8" t="inlineStr">
        <is>
          <t>2026-08-05</t>
        </is>
      </c>
      <c r="B27397" s="8" t="n">
        <v>22</v>
      </c>
      <c r="C27397" s="8" t="n">
        <v>31</v>
      </c>
      <c r="D27397" s="8" t="inlineStr">
        <is>
          <t>Disney Adventure World</t>
        </is>
      </c>
      <c r="E27397" s="8" t="inlineStr">
        <is>
          <t>Ratatouille: The Adventure Single Rider</t>
        </is>
      </c>
      <c r="F27397" s="8" t="inlineStr">
        <is>
          <t>STANDBY</t>
        </is>
      </c>
      <c r="G27397" s="8" t="n">
        <v>5</v>
      </c>
      <c r="H27397" s="8" t="inlineStr">
        <is>
          <t>OPERATING</t>
        </is>
      </c>
    </row>
    <row r="27398">
      <c r="A27398" s="8" t="inlineStr">
        <is>
          <t>2026-08-05</t>
        </is>
      </c>
      <c r="B27398" s="8" t="n">
        <v>22</v>
      </c>
      <c r="C27398" s="8" t="n">
        <v>31</v>
      </c>
      <c r="D27398" s="8" t="inlineStr">
        <is>
          <t>Disney Adventure World</t>
        </is>
      </c>
      <c r="E27398" s="8" t="inlineStr">
        <is>
          <t>RC Racer</t>
        </is>
      </c>
      <c r="F27398" s="8" t="inlineStr">
        <is>
          <t>STANDBY</t>
        </is>
      </c>
      <c r="G27398" s="8" t="n">
        <v>10</v>
      </c>
      <c r="H27398" s="8" t="inlineStr">
        <is>
          <t>OPERATING</t>
        </is>
      </c>
    </row>
    <row r="27399">
      <c r="A27399" s="8" t="inlineStr">
        <is>
          <t>2026-08-05</t>
        </is>
      </c>
      <c r="B27399" s="8" t="n">
        <v>22</v>
      </c>
      <c r="C27399" s="8" t="n">
        <v>31</v>
      </c>
      <c r="D27399" s="8" t="inlineStr">
        <is>
          <t>Disney Adventure World</t>
        </is>
      </c>
      <c r="E27399" s="8" t="inlineStr">
        <is>
          <t>RC Racer Single Rider</t>
        </is>
      </c>
      <c r="F27399" s="8" t="inlineStr">
        <is>
          <t>STANDBY</t>
        </is>
      </c>
      <c r="G27399" s="8" t="n">
        <v>5</v>
      </c>
      <c r="H27399" s="8" t="inlineStr">
        <is>
          <t>OPERATING</t>
        </is>
      </c>
    </row>
    <row r="27400">
      <c r="A27400" s="8" t="inlineStr">
        <is>
          <t>2026-08-05</t>
        </is>
      </c>
      <c r="B27400" s="8" t="n">
        <v>22</v>
      </c>
      <c r="C27400" s="8" t="n">
        <v>31</v>
      </c>
      <c r="D27400" s="8" t="inlineStr">
        <is>
          <t>Disney Adventure World</t>
        </is>
      </c>
      <c r="E27400" s="8" t="inlineStr">
        <is>
          <t>Slinky® Dog Zigzag Spin</t>
        </is>
      </c>
      <c r="F27400" s="8" t="inlineStr">
        <is>
          <t>STANDBY</t>
        </is>
      </c>
      <c r="G27400" s="8" t="n">
        <v>5</v>
      </c>
      <c r="H27400" s="8" t="inlineStr">
        <is>
          <t>OPERATING</t>
        </is>
      </c>
    </row>
    <row r="27401">
      <c r="A27401" s="8" t="inlineStr">
        <is>
          <t>2026-08-05</t>
        </is>
      </c>
      <c r="B27401" s="8" t="n">
        <v>22</v>
      </c>
      <c r="C27401" s="8" t="n">
        <v>31</v>
      </c>
      <c r="D27401" s="8" t="inlineStr">
        <is>
          <t>Disney Adventure World</t>
        </is>
      </c>
      <c r="E27401" s="8" t="inlineStr">
        <is>
          <t>Toy Soldiers Parachute Drop</t>
        </is>
      </c>
      <c r="F27401" s="8" t="inlineStr">
        <is>
          <t>STANDBY</t>
        </is>
      </c>
      <c r="G27401" s="8" t="n">
        <v>25</v>
      </c>
      <c r="H27401" s="8" t="inlineStr">
        <is>
          <t>OPERATING</t>
        </is>
      </c>
    </row>
    <row r="27402">
      <c r="A27402" s="8" t="inlineStr">
        <is>
          <t>2026-08-05</t>
        </is>
      </c>
      <c r="B27402" s="8" t="n">
        <v>22</v>
      </c>
      <c r="C27402" s="8" t="n">
        <v>31</v>
      </c>
      <c r="D27402" s="8" t="inlineStr">
        <is>
          <t>Disney Adventure World</t>
        </is>
      </c>
      <c r="E27402" s="8" t="inlineStr">
        <is>
          <t>Toy Soldiers Parachute Drop Single Rider</t>
        </is>
      </c>
      <c r="F27402" s="8" t="inlineStr">
        <is>
          <t>STANDBY</t>
        </is>
      </c>
      <c r="G27402" s="8" t="n">
        <v>5</v>
      </c>
      <c r="H27402" s="8" t="inlineStr">
        <is>
          <t>OPERATING</t>
        </is>
      </c>
    </row>
    <row r="27403">
      <c r="A27403" s="8" t="inlineStr">
        <is>
          <t>2026-08-05</t>
        </is>
      </c>
      <c r="B27403" s="8" t="n">
        <v>22</v>
      </c>
      <c r="C27403" s="8" t="n">
        <v>31</v>
      </c>
      <c r="D27403" s="8" t="inlineStr">
        <is>
          <t>Disney Adventure World</t>
        </is>
      </c>
      <c r="E27403" s="8" t="inlineStr">
        <is>
          <t>Entry to World of Frozen</t>
        </is>
      </c>
      <c r="F27403" s="8" t="inlineStr">
        <is>
          <t>STANDBY</t>
        </is>
      </c>
      <c r="G27403" s="8" t="n">
        <v>0</v>
      </c>
      <c r="H27403" s="8" t="inlineStr">
        <is>
          <t>OPERATING</t>
        </is>
      </c>
    </row>
    <row r="27404">
      <c r="A27404" s="8" t="inlineStr">
        <is>
          <t>2026-08-05</t>
        </is>
      </c>
      <c r="B27404" s="8" t="n">
        <v>22</v>
      </c>
      <c r="C27404" s="8" t="n">
        <v>31</v>
      </c>
      <c r="D27404" s="8" t="inlineStr">
        <is>
          <t>Disney Adventure World</t>
        </is>
      </c>
      <c r="E27404" s="8" t="inlineStr">
        <is>
          <t>Frozen Ever After</t>
        </is>
      </c>
      <c r="F27404" s="8" t="inlineStr">
        <is>
          <t>STANDBY</t>
        </is>
      </c>
      <c r="G27404" s="8" t="n">
        <v>15</v>
      </c>
      <c r="H27404" s="8" t="inlineStr">
        <is>
          <t>OPERATING</t>
        </is>
      </c>
    </row>
    <row r="27405">
      <c r="A27405" s="8" t="inlineStr">
        <is>
          <t>2026-08-05</t>
        </is>
      </c>
      <c r="B27405" s="8" t="n">
        <v>22</v>
      </c>
      <c r="C27405" s="8" t="n">
        <v>31</v>
      </c>
      <c r="D27405" s="8" t="inlineStr">
        <is>
          <t>Disney Adventure World</t>
        </is>
      </c>
      <c r="E27405" s="8" t="inlineStr">
        <is>
          <t>Raiponce Tangled Spin</t>
        </is>
      </c>
      <c r="F27405" s="8" t="inlineStr">
        <is>
          <t>STANDBY</t>
        </is>
      </c>
      <c r="G27405" s="8" t="n">
        <v>5</v>
      </c>
      <c r="H27405" s="8" t="inlineStr">
        <is>
          <t>OPERATING</t>
        </is>
      </c>
    </row>
    <row r="27406">
      <c r="A27406" s="8" t="inlineStr">
        <is>
          <t>2026-08-05</t>
        </is>
      </c>
      <c r="B27406" s="8" t="n">
        <v>22</v>
      </c>
      <c r="C27406" s="8" t="n">
        <v>45</v>
      </c>
      <c r="D27406" s="8" t="inlineStr">
        <is>
          <t>Disneyland Park</t>
        </is>
      </c>
      <c r="E27406" s="8" t="inlineStr">
        <is>
          <t>Adventure Isle</t>
        </is>
      </c>
      <c r="F27406" s="8" t="inlineStr">
        <is>
          <t>STANDBY</t>
        </is>
      </c>
      <c r="G27406" s="8" t="n">
        <v>0</v>
      </c>
      <c r="H27406" s="8" t="inlineStr">
        <is>
          <t>CLOSED</t>
        </is>
      </c>
    </row>
    <row r="27407">
      <c r="A27407" s="8" t="inlineStr">
        <is>
          <t>2026-08-05</t>
        </is>
      </c>
      <c r="B27407" s="8" t="n">
        <v>22</v>
      </c>
      <c r="C27407" s="8" t="n">
        <v>45</v>
      </c>
      <c r="D27407" s="8" t="inlineStr">
        <is>
          <t>Disneyland Park</t>
        </is>
      </c>
      <c r="E27407" s="8" t="inlineStr">
        <is>
          <t>Indiana Jones and the Temple of Peril Single Rider</t>
        </is>
      </c>
      <c r="F27407" s="8" t="inlineStr">
        <is>
          <t>STANDBY</t>
        </is>
      </c>
      <c r="G27407" s="8" t="n">
        <v>0</v>
      </c>
      <c r="H27407" s="8" t="inlineStr">
        <is>
          <t>CLOSED</t>
        </is>
      </c>
    </row>
    <row r="27408">
      <c r="A27408" s="8" t="inlineStr">
        <is>
          <t>2026-08-05</t>
        </is>
      </c>
      <c r="B27408" s="8" t="n">
        <v>22</v>
      </c>
      <c r="C27408" s="8" t="n">
        <v>45</v>
      </c>
      <c r="D27408" s="8" t="inlineStr">
        <is>
          <t>Disneyland Park</t>
        </is>
      </c>
      <c r="E27408" s="8" t="inlineStr">
        <is>
          <t>Indiana Jones™ and the Temple of Peril</t>
        </is>
      </c>
      <c r="F27408" s="8" t="inlineStr">
        <is>
          <t>STANDBY</t>
        </is>
      </c>
      <c r="G27408" s="8" t="n">
        <v>0</v>
      </c>
      <c r="H27408" s="8" t="inlineStr">
        <is>
          <t>CLOSED</t>
        </is>
      </c>
    </row>
    <row r="27409">
      <c r="A27409" s="8" t="inlineStr">
        <is>
          <t>2026-08-05</t>
        </is>
      </c>
      <c r="B27409" s="8" t="n">
        <v>22</v>
      </c>
      <c r="C27409" s="8" t="n">
        <v>45</v>
      </c>
      <c r="D27409" s="8" t="inlineStr">
        <is>
          <t>Disneyland Park</t>
        </is>
      </c>
      <c r="E27409" s="8" t="inlineStr">
        <is>
          <t>La Cabane des Robinson</t>
        </is>
      </c>
      <c r="F27409" s="8" t="inlineStr">
        <is>
          <t>STANDBY</t>
        </is>
      </c>
      <c r="G27409" s="8" t="n">
        <v>0</v>
      </c>
      <c r="H27409" s="8" t="inlineStr">
        <is>
          <t>CLOSED</t>
        </is>
      </c>
    </row>
    <row r="27410">
      <c r="A27410" s="8" t="inlineStr">
        <is>
          <t>2026-08-05</t>
        </is>
      </c>
      <c r="B27410" s="8" t="n">
        <v>22</v>
      </c>
      <c r="C27410" s="8" t="n">
        <v>45</v>
      </c>
      <c r="D27410" s="8" t="inlineStr">
        <is>
          <t>Disneyland Park</t>
        </is>
      </c>
      <c r="E27410" s="8" t="inlineStr">
        <is>
          <t>Le Passage Enchanté d'Aladdin</t>
        </is>
      </c>
      <c r="F27410" s="8" t="inlineStr">
        <is>
          <t>STANDBY</t>
        </is>
      </c>
      <c r="G27410" s="8" t="n">
        <v>0</v>
      </c>
      <c r="H27410" s="8" t="inlineStr">
        <is>
          <t>CLOSED</t>
        </is>
      </c>
    </row>
    <row r="27411">
      <c r="A27411" s="8" t="inlineStr">
        <is>
          <t>2026-08-05</t>
        </is>
      </c>
      <c r="B27411" s="8" t="n">
        <v>22</v>
      </c>
      <c r="C27411" s="8" t="n">
        <v>45</v>
      </c>
      <c r="D27411" s="8" t="inlineStr">
        <is>
          <t>Disneyland Park</t>
        </is>
      </c>
      <c r="E27411" s="8" t="inlineStr">
        <is>
          <t>Pirate Galleon</t>
        </is>
      </c>
      <c r="F27411" s="8" t="inlineStr">
        <is>
          <t>STANDBY</t>
        </is>
      </c>
      <c r="G27411" s="8" t="n">
        <v>0</v>
      </c>
      <c r="H27411" s="8" t="inlineStr">
        <is>
          <t>CLOSED</t>
        </is>
      </c>
    </row>
    <row r="27412">
      <c r="A27412" s="8" t="inlineStr">
        <is>
          <t>2026-08-05</t>
        </is>
      </c>
      <c r="B27412" s="8" t="n">
        <v>22</v>
      </c>
      <c r="C27412" s="8" t="n">
        <v>45</v>
      </c>
      <c r="D27412" s="8" t="inlineStr">
        <is>
          <t>Disneyland Park</t>
        </is>
      </c>
      <c r="E27412" s="8" t="inlineStr">
        <is>
          <t>Pirates of the Caribbean</t>
        </is>
      </c>
      <c r="F27412" s="8" t="inlineStr">
        <is>
          <t>STANDBY</t>
        </is>
      </c>
      <c r="G27412" s="8" t="n">
        <v>0</v>
      </c>
      <c r="H27412" s="8" t="inlineStr">
        <is>
          <t>CLOSED</t>
        </is>
      </c>
    </row>
    <row r="27413">
      <c r="A27413" s="8" t="inlineStr">
        <is>
          <t>2026-08-05</t>
        </is>
      </c>
      <c r="B27413" s="8" t="n">
        <v>22</v>
      </c>
      <c r="C27413" s="8" t="n">
        <v>45</v>
      </c>
      <c r="D27413" s="8" t="inlineStr">
        <is>
          <t>Disneyland Park</t>
        </is>
      </c>
      <c r="E27413" s="8" t="inlineStr">
        <is>
          <t>Pirates' Beach</t>
        </is>
      </c>
      <c r="F27413" s="8" t="inlineStr">
        <is>
          <t>STANDBY</t>
        </is>
      </c>
      <c r="G27413" s="8" t="n">
        <v>0</v>
      </c>
      <c r="H27413" s="8" t="inlineStr">
        <is>
          <t>CLOSED</t>
        </is>
      </c>
    </row>
    <row r="27414">
      <c r="A27414" s="8" t="inlineStr">
        <is>
          <t>2026-08-05</t>
        </is>
      </c>
      <c r="B27414" s="8" t="n">
        <v>22</v>
      </c>
      <c r="C27414" s="8" t="n">
        <v>45</v>
      </c>
      <c r="D27414" s="8" t="inlineStr">
        <is>
          <t>Disneyland Park</t>
        </is>
      </c>
      <c r="E27414" s="8" t="inlineStr">
        <is>
          <t>Autopia, presented by Avis</t>
        </is>
      </c>
      <c r="F27414" s="8" t="inlineStr">
        <is>
          <t>STANDBY</t>
        </is>
      </c>
      <c r="G27414" s="8" t="n">
        <v>0</v>
      </c>
      <c r="H27414" s="8" t="inlineStr">
        <is>
          <t>CLOSED</t>
        </is>
      </c>
    </row>
    <row r="27415">
      <c r="A27415" s="8" t="inlineStr">
        <is>
          <t>2026-08-05</t>
        </is>
      </c>
      <c r="B27415" s="8" t="n">
        <v>22</v>
      </c>
      <c r="C27415" s="8" t="n">
        <v>45</v>
      </c>
      <c r="D27415" s="8" t="inlineStr">
        <is>
          <t>Disneyland Park</t>
        </is>
      </c>
      <c r="E27415" s="8" t="inlineStr">
        <is>
          <t>Buzz Lightyear Laser Blast</t>
        </is>
      </c>
      <c r="F27415" s="8" t="inlineStr">
        <is>
          <t>STANDBY</t>
        </is>
      </c>
      <c r="G27415" s="8" t="n">
        <v>0</v>
      </c>
      <c r="H27415" s="8" t="inlineStr">
        <is>
          <t>CLOSED</t>
        </is>
      </c>
    </row>
    <row r="27416">
      <c r="A27416" s="8" t="inlineStr">
        <is>
          <t>2026-08-05</t>
        </is>
      </c>
      <c r="B27416" s="8" t="n">
        <v>22</v>
      </c>
      <c r="C27416" s="8" t="n">
        <v>45</v>
      </c>
      <c r="D27416" s="8" t="inlineStr">
        <is>
          <t>Disneyland Park</t>
        </is>
      </c>
      <c r="E27416" s="8" t="inlineStr">
        <is>
          <t>Disneyland Railroad Discoveryland Station</t>
        </is>
      </c>
      <c r="F27416" s="8" t="inlineStr">
        <is>
          <t>STANDBY</t>
        </is>
      </c>
      <c r="G27416" s="8" t="n">
        <v>0</v>
      </c>
      <c r="H27416" s="8" t="inlineStr">
        <is>
          <t>CLOSED</t>
        </is>
      </c>
    </row>
    <row r="27417">
      <c r="A27417" s="8" t="inlineStr">
        <is>
          <t>2026-08-05</t>
        </is>
      </c>
      <c r="B27417" s="8" t="n">
        <v>22</v>
      </c>
      <c r="C27417" s="8" t="n">
        <v>45</v>
      </c>
      <c r="D27417" s="8" t="inlineStr">
        <is>
          <t>Disneyland Park</t>
        </is>
      </c>
      <c r="E27417" s="8" t="inlineStr">
        <is>
          <t>Les Mystères du Nautilus</t>
        </is>
      </c>
      <c r="F27417" s="8" t="inlineStr">
        <is>
          <t>STANDBY</t>
        </is>
      </c>
      <c r="G27417" s="8" t="n">
        <v>0</v>
      </c>
      <c r="H27417" s="8" t="inlineStr">
        <is>
          <t>CLOSED</t>
        </is>
      </c>
    </row>
    <row r="27418">
      <c r="A27418" s="8" t="inlineStr">
        <is>
          <t>2026-08-05</t>
        </is>
      </c>
      <c r="B27418" s="8" t="n">
        <v>22</v>
      </c>
      <c r="C27418" s="8" t="n">
        <v>45</v>
      </c>
      <c r="D27418" s="8" t="inlineStr">
        <is>
          <t>Disneyland Park</t>
        </is>
      </c>
      <c r="E27418" s="8" t="inlineStr">
        <is>
          <t>Mickey’s PhilharMagic</t>
        </is>
      </c>
      <c r="F27418" s="8" t="inlineStr">
        <is>
          <t>STANDBY</t>
        </is>
      </c>
      <c r="G27418" s="8" t="n">
        <v>0</v>
      </c>
      <c r="H27418" s="8" t="inlineStr">
        <is>
          <t>CLOSED</t>
        </is>
      </c>
    </row>
    <row r="27419">
      <c r="A27419" s="8" t="inlineStr">
        <is>
          <t>2026-08-05</t>
        </is>
      </c>
      <c r="B27419" s="8" t="n">
        <v>22</v>
      </c>
      <c r="C27419" s="8" t="n">
        <v>45</v>
      </c>
      <c r="D27419" s="8" t="inlineStr">
        <is>
          <t>Disneyland Park</t>
        </is>
      </c>
      <c r="E27419" s="8" t="inlineStr">
        <is>
          <t>Orbitron®</t>
        </is>
      </c>
      <c r="F27419" s="8" t="inlineStr">
        <is>
          <t>STANDBY</t>
        </is>
      </c>
      <c r="G27419" s="8" t="n">
        <v>0</v>
      </c>
      <c r="H27419" s="8" t="inlineStr">
        <is>
          <t>CLOSED</t>
        </is>
      </c>
    </row>
    <row r="27420">
      <c r="A27420" s="8" t="inlineStr">
        <is>
          <t>2026-08-05</t>
        </is>
      </c>
      <c r="B27420" s="8" t="n">
        <v>22</v>
      </c>
      <c r="C27420" s="8" t="n">
        <v>45</v>
      </c>
      <c r="D27420" s="8" t="inlineStr">
        <is>
          <t>Disneyland Park</t>
        </is>
      </c>
      <c r="E27420" s="8" t="inlineStr">
        <is>
          <t>Star Tours: The Adventures Continue*</t>
        </is>
      </c>
      <c r="F27420" s="8" t="inlineStr">
        <is>
          <t>STANDBY</t>
        </is>
      </c>
      <c r="G27420" s="8" t="n">
        <v>0</v>
      </c>
      <c r="H27420" s="8" t="inlineStr">
        <is>
          <t>CLOSED</t>
        </is>
      </c>
    </row>
    <row r="27421">
      <c r="A27421" s="8" t="inlineStr">
        <is>
          <t>2026-08-05</t>
        </is>
      </c>
      <c r="B27421" s="8" t="n">
        <v>22</v>
      </c>
      <c r="C27421" s="8" t="n">
        <v>45</v>
      </c>
      <c r="D27421" s="8" t="inlineStr">
        <is>
          <t>Disneyland Park</t>
        </is>
      </c>
      <c r="E27421" s="8" t="inlineStr">
        <is>
          <t>Star Wars Hyperspace Mountain</t>
        </is>
      </c>
      <c r="F27421" s="8" t="inlineStr">
        <is>
          <t>STANDBY</t>
        </is>
      </c>
      <c r="G27421" s="8" t="n">
        <v>0</v>
      </c>
      <c r="H27421" s="8" t="inlineStr">
        <is>
          <t>CLOSED</t>
        </is>
      </c>
    </row>
    <row r="27422">
      <c r="A27422" s="8" t="inlineStr">
        <is>
          <t>2026-08-05</t>
        </is>
      </c>
      <c r="B27422" s="8" t="n">
        <v>22</v>
      </c>
      <c r="C27422" s="8" t="n">
        <v>45</v>
      </c>
      <c r="D27422" s="8" t="inlineStr">
        <is>
          <t>Disneyland Park</t>
        </is>
      </c>
      <c r="E27422" s="8" t="inlineStr">
        <is>
          <t>Star Wars Hyperspace Mountain Single Rider</t>
        </is>
      </c>
      <c r="F27422" s="8" t="inlineStr">
        <is>
          <t>STANDBY</t>
        </is>
      </c>
      <c r="G27422" s="8" t="n">
        <v>0</v>
      </c>
      <c r="H27422" s="8" t="inlineStr">
        <is>
          <t>CLOSED</t>
        </is>
      </c>
    </row>
    <row r="27423">
      <c r="A27423" s="8" t="inlineStr">
        <is>
          <t>2026-08-05</t>
        </is>
      </c>
      <c r="B27423" s="8" t="n">
        <v>22</v>
      </c>
      <c r="C27423" s="8" t="n">
        <v>45</v>
      </c>
      <c r="D27423" s="8" t="inlineStr">
        <is>
          <t>Disneyland Park</t>
        </is>
      </c>
      <c r="E27423" s="8" t="inlineStr">
        <is>
          <t>Welcome to Starport: A Star Wars Encounter</t>
        </is>
      </c>
      <c r="F27423" s="8" t="inlineStr">
        <is>
          <t>STANDBY</t>
        </is>
      </c>
      <c r="G27423" s="8" t="n">
        <v>0</v>
      </c>
      <c r="H27423" s="8" t="inlineStr">
        <is>
          <t>CLOSED</t>
        </is>
      </c>
    </row>
    <row r="27424">
      <c r="A27424" s="8" t="inlineStr">
        <is>
          <t>2026-08-05</t>
        </is>
      </c>
      <c r="B27424" s="8" t="n">
        <v>22</v>
      </c>
      <c r="C27424" s="8" t="n">
        <v>45</v>
      </c>
      <c r="D27424" s="8" t="inlineStr">
        <is>
          <t>Disneyland Park</t>
        </is>
      </c>
      <c r="E27424" s="8" t="inlineStr">
        <is>
          <t>"it's a small world"</t>
        </is>
      </c>
      <c r="F27424" s="8" t="inlineStr">
        <is>
          <t>STANDBY</t>
        </is>
      </c>
      <c r="G27424" s="8" t="n">
        <v>0</v>
      </c>
      <c r="H27424" s="8" t="inlineStr">
        <is>
          <t>CLOSED</t>
        </is>
      </c>
    </row>
    <row r="27425">
      <c r="A27425" s="8" t="inlineStr">
        <is>
          <t>2026-08-05</t>
        </is>
      </c>
      <c r="B27425" s="8" t="n">
        <v>22</v>
      </c>
      <c r="C27425" s="8" t="n">
        <v>45</v>
      </c>
      <c r="D27425" s="8" t="inlineStr">
        <is>
          <t>Disneyland Park</t>
        </is>
      </c>
      <c r="E27425" s="8" t="inlineStr">
        <is>
          <t>Alice's Curious Labyrinth</t>
        </is>
      </c>
      <c r="F27425" s="8" t="inlineStr">
        <is>
          <t>STANDBY</t>
        </is>
      </c>
      <c r="G27425" s="8" t="n">
        <v>0</v>
      </c>
      <c r="H27425" s="8" t="inlineStr">
        <is>
          <t>CLOSED</t>
        </is>
      </c>
    </row>
    <row r="27426">
      <c r="A27426" s="8" t="inlineStr">
        <is>
          <t>2026-08-05</t>
        </is>
      </c>
      <c r="B27426" s="8" t="n">
        <v>22</v>
      </c>
      <c r="C27426" s="8" t="n">
        <v>45</v>
      </c>
      <c r="D27426" s="8" t="inlineStr">
        <is>
          <t>Disneyland Park</t>
        </is>
      </c>
      <c r="E27426" s="8" t="inlineStr">
        <is>
          <t>Blanche-Neige et les Sept Nains®</t>
        </is>
      </c>
      <c r="F27426" s="8" t="inlineStr">
        <is>
          <t>STANDBY</t>
        </is>
      </c>
      <c r="G27426" s="8" t="n">
        <v>0</v>
      </c>
      <c r="H27426" s="8" t="inlineStr">
        <is>
          <t>CLOSED</t>
        </is>
      </c>
    </row>
    <row r="27427">
      <c r="A27427" s="8" t="inlineStr">
        <is>
          <t>2026-08-05</t>
        </is>
      </c>
      <c r="B27427" s="8" t="n">
        <v>22</v>
      </c>
      <c r="C27427" s="8" t="n">
        <v>45</v>
      </c>
      <c r="D27427" s="8" t="inlineStr">
        <is>
          <t>Disneyland Park</t>
        </is>
      </c>
      <c r="E27427" s="8" t="inlineStr">
        <is>
          <t>Casey Jr. – le Petit Train du Cirque</t>
        </is>
      </c>
      <c r="F27427" s="8" t="inlineStr">
        <is>
          <t>STANDBY</t>
        </is>
      </c>
      <c r="G27427" s="8" t="n">
        <v>0</v>
      </c>
      <c r="H27427" s="8" t="inlineStr">
        <is>
          <t>CLOSED</t>
        </is>
      </c>
    </row>
    <row r="27428">
      <c r="A27428" s="8" t="inlineStr">
        <is>
          <t>2026-08-05</t>
        </is>
      </c>
      <c r="B27428" s="8" t="n">
        <v>22</v>
      </c>
      <c r="C27428" s="8" t="n">
        <v>45</v>
      </c>
      <c r="D27428" s="8" t="inlineStr">
        <is>
          <t>Disneyland Park</t>
        </is>
      </c>
      <c r="E27428" s="8" t="inlineStr">
        <is>
          <t>Disneyland Railroad Fantasyland Station</t>
        </is>
      </c>
      <c r="F27428" s="8" t="inlineStr">
        <is>
          <t>STANDBY</t>
        </is>
      </c>
      <c r="G27428" s="8" t="n">
        <v>0</v>
      </c>
      <c r="H27428" s="8" t="inlineStr">
        <is>
          <t>CLOSED</t>
        </is>
      </c>
    </row>
    <row r="27429">
      <c r="A27429" s="8" t="inlineStr">
        <is>
          <t>2026-08-05</t>
        </is>
      </c>
      <c r="B27429" s="8" t="n">
        <v>22</v>
      </c>
      <c r="C27429" s="8" t="n">
        <v>45</v>
      </c>
      <c r="D27429" s="8" t="inlineStr">
        <is>
          <t>Disneyland Park</t>
        </is>
      </c>
      <c r="E27429" s="8" t="inlineStr">
        <is>
          <t>Disneyland Railroad Main Street Station</t>
        </is>
      </c>
      <c r="F27429" s="8" t="inlineStr">
        <is>
          <t>STANDBY</t>
        </is>
      </c>
      <c r="G27429" s="8" t="n">
        <v>0</v>
      </c>
      <c r="H27429" s="8" t="inlineStr">
        <is>
          <t>CLOSED</t>
        </is>
      </c>
    </row>
    <row r="27430">
      <c r="A27430" s="8" t="inlineStr">
        <is>
          <t>2026-08-05</t>
        </is>
      </c>
      <c r="B27430" s="8" t="n">
        <v>22</v>
      </c>
      <c r="C27430" s="8" t="n">
        <v>45</v>
      </c>
      <c r="D27430" s="8" t="inlineStr">
        <is>
          <t>Disneyland Park</t>
        </is>
      </c>
      <c r="E27430" s="8" t="inlineStr">
        <is>
          <t>Dumbo the Flying Elephant</t>
        </is>
      </c>
      <c r="F27430" s="8" t="inlineStr">
        <is>
          <t>STANDBY</t>
        </is>
      </c>
      <c r="G27430" s="8" t="n">
        <v>0</v>
      </c>
      <c r="H27430" s="8" t="inlineStr">
        <is>
          <t>CLOSED</t>
        </is>
      </c>
    </row>
    <row r="27431">
      <c r="A27431" s="8" t="inlineStr">
        <is>
          <t>2026-08-05</t>
        </is>
      </c>
      <c r="B27431" s="8" t="n">
        <v>22</v>
      </c>
      <c r="C27431" s="8" t="n">
        <v>45</v>
      </c>
      <c r="D27431" s="8" t="inlineStr">
        <is>
          <t>Disneyland Park</t>
        </is>
      </c>
      <c r="E27431" s="8" t="inlineStr">
        <is>
          <t>La Tanière du Dragon</t>
        </is>
      </c>
      <c r="F27431" s="8" t="inlineStr">
        <is>
          <t>STANDBY</t>
        </is>
      </c>
      <c r="G27431" s="8" t="n">
        <v>0</v>
      </c>
      <c r="H27431" s="8" t="inlineStr">
        <is>
          <t>CLOSED</t>
        </is>
      </c>
    </row>
    <row r="27432">
      <c r="A27432" s="8" t="inlineStr">
        <is>
          <t>2026-08-05</t>
        </is>
      </c>
      <c r="B27432" s="8" t="n">
        <v>22</v>
      </c>
      <c r="C27432" s="8" t="n">
        <v>45</v>
      </c>
      <c r="D27432" s="8" t="inlineStr">
        <is>
          <t>Disneyland Park</t>
        </is>
      </c>
      <c r="E27432" s="8" t="inlineStr">
        <is>
          <t>Le Carrousel de Lancelot</t>
        </is>
      </c>
      <c r="F27432" s="8" t="inlineStr">
        <is>
          <t>STANDBY</t>
        </is>
      </c>
      <c r="G27432" s="8" t="n">
        <v>0</v>
      </c>
      <c r="H27432" s="8" t="inlineStr">
        <is>
          <t>CLOSED</t>
        </is>
      </c>
    </row>
    <row r="27433">
      <c r="A27433" s="8" t="inlineStr">
        <is>
          <t>2026-08-05</t>
        </is>
      </c>
      <c r="B27433" s="8" t="n">
        <v>22</v>
      </c>
      <c r="C27433" s="8" t="n">
        <v>45</v>
      </c>
      <c r="D27433" s="8" t="inlineStr">
        <is>
          <t>Disneyland Park</t>
        </is>
      </c>
      <c r="E27433" s="8" t="inlineStr">
        <is>
          <t>Le Pays des Contes de Fées, presented by Vittel</t>
        </is>
      </c>
      <c r="F27433" s="8" t="inlineStr">
        <is>
          <t>STANDBY</t>
        </is>
      </c>
      <c r="G27433" s="8" t="n">
        <v>0</v>
      </c>
      <c r="H27433" s="8" t="inlineStr">
        <is>
          <t>CLOSED</t>
        </is>
      </c>
    </row>
    <row r="27434">
      <c r="A27434" s="8" t="inlineStr">
        <is>
          <t>2026-08-05</t>
        </is>
      </c>
      <c r="B27434" s="8" t="n">
        <v>22</v>
      </c>
      <c r="C27434" s="8" t="n">
        <v>45</v>
      </c>
      <c r="D27434" s="8" t="inlineStr">
        <is>
          <t>Disneyland Park</t>
        </is>
      </c>
      <c r="E27434" s="8" t="inlineStr">
        <is>
          <t>Les Voyages de Pinocchio</t>
        </is>
      </c>
      <c r="F27434" s="8" t="inlineStr">
        <is>
          <t>STANDBY</t>
        </is>
      </c>
      <c r="G27434" s="8" t="n">
        <v>0</v>
      </c>
      <c r="H27434" s="8" t="inlineStr">
        <is>
          <t>CLOSED</t>
        </is>
      </c>
    </row>
    <row r="27435">
      <c r="A27435" s="8" t="inlineStr">
        <is>
          <t>2026-08-05</t>
        </is>
      </c>
      <c r="B27435" s="8" t="n">
        <v>22</v>
      </c>
      <c r="C27435" s="8" t="n">
        <v>45</v>
      </c>
      <c r="D27435" s="8" t="inlineStr">
        <is>
          <t>Disneyland Park</t>
        </is>
      </c>
      <c r="E27435" s="8" t="inlineStr">
        <is>
          <t>Mad Hatter's Tea Cups</t>
        </is>
      </c>
      <c r="F27435" s="8" t="inlineStr">
        <is>
          <t>STANDBY</t>
        </is>
      </c>
      <c r="G27435" s="8" t="n">
        <v>0</v>
      </c>
      <c r="H27435" s="8" t="inlineStr">
        <is>
          <t>CLOSED</t>
        </is>
      </c>
    </row>
    <row r="27436">
      <c r="A27436" s="8" t="inlineStr">
        <is>
          <t>2026-08-05</t>
        </is>
      </c>
      <c r="B27436" s="8" t="n">
        <v>22</v>
      </c>
      <c r="C27436" s="8" t="n">
        <v>45</v>
      </c>
      <c r="D27436" s="8" t="inlineStr">
        <is>
          <t>Disneyland Park</t>
        </is>
      </c>
      <c r="E27436" s="8" t="inlineStr">
        <is>
          <t>Meet Mickey Mouse</t>
        </is>
      </c>
      <c r="F27436" s="8" t="inlineStr">
        <is>
          <t>STANDBY</t>
        </is>
      </c>
      <c r="G27436" s="8" t="n">
        <v>0</v>
      </c>
      <c r="H27436" s="8" t="inlineStr">
        <is>
          <t>CLOSED</t>
        </is>
      </c>
    </row>
    <row r="27437">
      <c r="A27437" s="8" t="inlineStr">
        <is>
          <t>2026-08-05</t>
        </is>
      </c>
      <c r="B27437" s="8" t="n">
        <v>22</v>
      </c>
      <c r="C27437" s="8" t="n">
        <v>45</v>
      </c>
      <c r="D27437" s="8" t="inlineStr">
        <is>
          <t>Disneyland Park</t>
        </is>
      </c>
      <c r="E27437" s="8" t="inlineStr">
        <is>
          <t>Peter Pan's Flight</t>
        </is>
      </c>
      <c r="F27437" s="8" t="inlineStr">
        <is>
          <t>STANDBY</t>
        </is>
      </c>
      <c r="G27437" s="8" t="n">
        <v>0</v>
      </c>
      <c r="H27437" s="8" t="inlineStr">
        <is>
          <t>CLOSED</t>
        </is>
      </c>
    </row>
    <row r="27438">
      <c r="A27438" s="8" t="inlineStr">
        <is>
          <t>2026-08-05</t>
        </is>
      </c>
      <c r="B27438" s="8" t="n">
        <v>22</v>
      </c>
      <c r="C27438" s="8" t="n">
        <v>45</v>
      </c>
      <c r="D27438" s="8" t="inlineStr">
        <is>
          <t>Disneyland Park</t>
        </is>
      </c>
      <c r="E27438" s="8" t="inlineStr">
        <is>
          <t>Princess Pavilion</t>
        </is>
      </c>
      <c r="F27438" s="8" t="inlineStr">
        <is>
          <t>STANDBY</t>
        </is>
      </c>
      <c r="G27438" s="8" t="n">
        <v>0</v>
      </c>
      <c r="H27438" s="8" t="inlineStr">
        <is>
          <t>CLOSED</t>
        </is>
      </c>
    </row>
    <row r="27439">
      <c r="A27439" s="8" t="inlineStr">
        <is>
          <t>2026-08-05</t>
        </is>
      </c>
      <c r="B27439" s="8" t="n">
        <v>22</v>
      </c>
      <c r="C27439" s="8" t="n">
        <v>45</v>
      </c>
      <c r="D27439" s="8" t="inlineStr">
        <is>
          <t>Disneyland Park</t>
        </is>
      </c>
      <c r="E27439" s="8" t="inlineStr">
        <is>
          <t>Big Thunder Mountain</t>
        </is>
      </c>
      <c r="F27439" s="8" t="inlineStr">
        <is>
          <t>STANDBY</t>
        </is>
      </c>
      <c r="G27439" s="8" t="n">
        <v>0</v>
      </c>
      <c r="H27439" s="8" t="inlineStr">
        <is>
          <t>CLOSED</t>
        </is>
      </c>
    </row>
    <row r="27440">
      <c r="A27440" s="8" t="inlineStr">
        <is>
          <t>2026-08-05</t>
        </is>
      </c>
      <c r="B27440" s="8" t="n">
        <v>22</v>
      </c>
      <c r="C27440" s="8" t="n">
        <v>45</v>
      </c>
      <c r="D27440" s="8" t="inlineStr">
        <is>
          <t>Disneyland Park</t>
        </is>
      </c>
      <c r="E27440" s="8" t="inlineStr">
        <is>
          <t>Disneyland Railroad Frontierland Depot</t>
        </is>
      </c>
      <c r="F27440" s="8" t="inlineStr">
        <is>
          <t>STANDBY</t>
        </is>
      </c>
      <c r="G27440" s="8" t="n">
        <v>0</v>
      </c>
      <c r="H27440" s="8" t="inlineStr">
        <is>
          <t>CLOSED</t>
        </is>
      </c>
    </row>
    <row r="27441">
      <c r="A27441" s="8" t="inlineStr">
        <is>
          <t>2026-08-05</t>
        </is>
      </c>
      <c r="B27441" s="8" t="n">
        <v>22</v>
      </c>
      <c r="C27441" s="8" t="n">
        <v>45</v>
      </c>
      <c r="D27441" s="8" t="inlineStr">
        <is>
          <t>Disneyland Park</t>
        </is>
      </c>
      <c r="E27441" s="8" t="inlineStr">
        <is>
          <t>Frontierland Playground</t>
        </is>
      </c>
      <c r="F27441" s="8" t="inlineStr">
        <is>
          <t>STANDBY</t>
        </is>
      </c>
      <c r="G27441" s="8" t="n">
        <v>0</v>
      </c>
      <c r="H27441" s="8" t="inlineStr">
        <is>
          <t>CLOSED</t>
        </is>
      </c>
    </row>
    <row r="27442">
      <c r="A27442" s="8" t="inlineStr">
        <is>
          <t>2026-08-05</t>
        </is>
      </c>
      <c r="B27442" s="8" t="n">
        <v>22</v>
      </c>
      <c r="C27442" s="8" t="n">
        <v>45</v>
      </c>
      <c r="D27442" s="8" t="inlineStr">
        <is>
          <t>Disneyland Park</t>
        </is>
      </c>
      <c r="E27442" s="8" t="inlineStr">
        <is>
          <t>Phantom Manor</t>
        </is>
      </c>
      <c r="F27442" s="8" t="inlineStr">
        <is>
          <t>STANDBY</t>
        </is>
      </c>
      <c r="G27442" s="8" t="n">
        <v>0</v>
      </c>
      <c r="H27442" s="8" t="inlineStr">
        <is>
          <t>CLOSED</t>
        </is>
      </c>
    </row>
    <row r="27443">
      <c r="A27443" s="8" t="inlineStr">
        <is>
          <t>2026-08-05</t>
        </is>
      </c>
      <c r="B27443" s="8" t="n">
        <v>22</v>
      </c>
      <c r="C27443" s="8" t="n">
        <v>45</v>
      </c>
      <c r="D27443" s="8" t="inlineStr">
        <is>
          <t>Disneyland Park</t>
        </is>
      </c>
      <c r="E27443" s="8" t="inlineStr">
        <is>
          <t>River Rogue Keelboats</t>
        </is>
      </c>
      <c r="F27443" s="8" t="inlineStr">
        <is>
          <t>STANDBY</t>
        </is>
      </c>
      <c r="G27443" s="8" t="n">
        <v>0</v>
      </c>
      <c r="H27443" s="8" t="inlineStr">
        <is>
          <t>CLOSED</t>
        </is>
      </c>
    </row>
    <row r="27444">
      <c r="A27444" s="8" t="inlineStr">
        <is>
          <t>2026-08-05</t>
        </is>
      </c>
      <c r="B27444" s="8" t="n">
        <v>22</v>
      </c>
      <c r="C27444" s="8" t="n">
        <v>45</v>
      </c>
      <c r="D27444" s="8" t="inlineStr">
        <is>
          <t>Disneyland Park</t>
        </is>
      </c>
      <c r="E27444" s="8" t="inlineStr">
        <is>
          <t>Rustler Roundup Shootin' Gallery</t>
        </is>
      </c>
      <c r="F27444" s="8" t="inlineStr">
        <is>
          <t>STANDBY</t>
        </is>
      </c>
      <c r="G27444" s="8" t="n">
        <v>0</v>
      </c>
      <c r="H27444" s="8" t="inlineStr">
        <is>
          <t>CLOSED</t>
        </is>
      </c>
    </row>
    <row r="27445">
      <c r="A27445" s="8" t="inlineStr">
        <is>
          <t>2026-08-05</t>
        </is>
      </c>
      <c r="B27445" s="8" t="n">
        <v>22</v>
      </c>
      <c r="C27445" s="8" t="n">
        <v>45</v>
      </c>
      <c r="D27445" s="8" t="inlineStr">
        <is>
          <t>Disneyland Park</t>
        </is>
      </c>
      <c r="E27445" s="8" t="inlineStr">
        <is>
          <t>Thunder Mesa Riverboat Landing</t>
        </is>
      </c>
      <c r="F27445" s="8" t="inlineStr">
        <is>
          <t>STANDBY</t>
        </is>
      </c>
      <c r="G27445" s="8" t="n">
        <v>0</v>
      </c>
      <c r="H27445" s="8" t="inlineStr">
        <is>
          <t>CLOSED</t>
        </is>
      </c>
    </row>
    <row r="27446">
      <c r="A27446" s="8" t="inlineStr">
        <is>
          <t>2026-08-05</t>
        </is>
      </c>
      <c r="B27446" s="8" t="n">
        <v>22</v>
      </c>
      <c r="C27446" s="8" t="n">
        <v>45</v>
      </c>
      <c r="D27446" s="8" t="inlineStr">
        <is>
          <t>Disneyland Park</t>
        </is>
      </c>
      <c r="E27446" s="8" t="inlineStr">
        <is>
          <t>Disneyland Railroad Main Street Station</t>
        </is>
      </c>
      <c r="F27446" s="8" t="inlineStr">
        <is>
          <t>STANDBY</t>
        </is>
      </c>
      <c r="G27446" s="8" t="n">
        <v>0</v>
      </c>
      <c r="H27446" s="8" t="inlineStr">
        <is>
          <t>CLOSED</t>
        </is>
      </c>
    </row>
    <row r="27447">
      <c r="A27447" s="8" t="inlineStr">
        <is>
          <t>2026-08-05</t>
        </is>
      </c>
      <c r="B27447" s="8" t="n">
        <v>22</v>
      </c>
      <c r="C27447" s="8" t="n">
        <v>45</v>
      </c>
      <c r="D27447" s="8" t="inlineStr">
        <is>
          <t>Disneyland Park</t>
        </is>
      </c>
      <c r="E27447" s="8" t="inlineStr">
        <is>
          <t>Main Street Vehicles</t>
        </is>
      </c>
      <c r="F27447" s="8" t="inlineStr">
        <is>
          <t>STANDBY</t>
        </is>
      </c>
      <c r="G27447" s="8" t="n">
        <v>0</v>
      </c>
      <c r="H27447" s="8" t="inlineStr">
        <is>
          <t>CLOSED</t>
        </is>
      </c>
    </row>
    <row r="27448">
      <c r="A27448" s="8" t="inlineStr">
        <is>
          <t>2026-08-05</t>
        </is>
      </c>
      <c r="B27448" s="8" t="n">
        <v>22</v>
      </c>
      <c r="C27448" s="8" t="n">
        <v>45</v>
      </c>
      <c r="D27448" s="8" t="inlineStr">
        <is>
          <t>Disney Adventure World</t>
        </is>
      </c>
      <c r="E27448" s="8" t="inlineStr">
        <is>
          <t>Avengers Assemble: Flight Force</t>
        </is>
      </c>
      <c r="F27448" s="8" t="inlineStr">
        <is>
          <t>STANDBY</t>
        </is>
      </c>
      <c r="G27448" s="8" t="n">
        <v>0</v>
      </c>
      <c r="H27448" s="8" t="inlineStr">
        <is>
          <t>CLOSED</t>
        </is>
      </c>
    </row>
    <row r="27449">
      <c r="A27449" s="8" t="inlineStr">
        <is>
          <t>2026-08-05</t>
        </is>
      </c>
      <c r="B27449" s="8" t="n">
        <v>22</v>
      </c>
      <c r="C27449" s="8" t="n">
        <v>45</v>
      </c>
      <c r="D27449" s="8" t="inlineStr">
        <is>
          <t>Disney Adventure World</t>
        </is>
      </c>
      <c r="E27449" s="8" t="inlineStr">
        <is>
          <t>Avengers Assemble: Flight Force Single Rider</t>
        </is>
      </c>
      <c r="F27449" s="8" t="inlineStr">
        <is>
          <t>STANDBY</t>
        </is>
      </c>
      <c r="G27449" s="8" t="n">
        <v>0</v>
      </c>
      <c r="H27449" s="8" t="inlineStr">
        <is>
          <t>CLOSED</t>
        </is>
      </c>
    </row>
    <row r="27450">
      <c r="A27450" s="8" t="inlineStr">
        <is>
          <t>2026-08-05</t>
        </is>
      </c>
      <c r="B27450" s="8" t="n">
        <v>22</v>
      </c>
      <c r="C27450" s="8" t="n">
        <v>45</v>
      </c>
      <c r="D27450" s="8" t="inlineStr">
        <is>
          <t>Disney Adventure World</t>
        </is>
      </c>
      <c r="E27450" s="8" t="inlineStr">
        <is>
          <t>Spider-Man W.E.B. Adventure</t>
        </is>
      </c>
      <c r="F27450" s="8" t="inlineStr">
        <is>
          <t>STANDBY</t>
        </is>
      </c>
      <c r="G27450" s="8" t="n">
        <v>0</v>
      </c>
      <c r="H27450" s="8" t="inlineStr">
        <is>
          <t>CLOSED</t>
        </is>
      </c>
    </row>
    <row r="27451">
      <c r="A27451" s="8" t="inlineStr">
        <is>
          <t>2026-08-05</t>
        </is>
      </c>
      <c r="B27451" s="8" t="n">
        <v>22</v>
      </c>
      <c r="C27451" s="8" t="n">
        <v>45</v>
      </c>
      <c r="D27451" s="8" t="inlineStr">
        <is>
          <t>Disney Adventure World</t>
        </is>
      </c>
      <c r="E27451" s="8" t="inlineStr">
        <is>
          <t>Spider-Man W.E.B. Adventure Single Rider</t>
        </is>
      </c>
      <c r="F27451" s="8" t="inlineStr">
        <is>
          <t>STANDBY</t>
        </is>
      </c>
      <c r="G27451" s="8" t="n">
        <v>0</v>
      </c>
      <c r="H27451" s="8" t="inlineStr">
        <is>
          <t>CLOSED</t>
        </is>
      </c>
    </row>
    <row r="27452">
      <c r="A27452" s="8" t="inlineStr">
        <is>
          <t>2026-08-05</t>
        </is>
      </c>
      <c r="B27452" s="8" t="n">
        <v>22</v>
      </c>
      <c r="C27452" s="8" t="n">
        <v>45</v>
      </c>
      <c r="D27452" s="8" t="inlineStr">
        <is>
          <t>Disney Adventure World</t>
        </is>
      </c>
      <c r="E27452" s="8" t="inlineStr">
        <is>
          <t>The Twilight Zone Tower of Terror</t>
        </is>
      </c>
      <c r="F27452" s="8" t="inlineStr">
        <is>
          <t>STANDBY</t>
        </is>
      </c>
      <c r="G27452" s="8" t="n">
        <v>0</v>
      </c>
      <c r="H27452" s="8" t="inlineStr">
        <is>
          <t>CLOSED</t>
        </is>
      </c>
    </row>
    <row r="27453">
      <c r="A27453" s="8" t="inlineStr">
        <is>
          <t>2026-08-05</t>
        </is>
      </c>
      <c r="B27453" s="8" t="n">
        <v>22</v>
      </c>
      <c r="C27453" s="8" t="n">
        <v>45</v>
      </c>
      <c r="D27453" s="8" t="inlineStr">
        <is>
          <t>Disney Adventure World</t>
        </is>
      </c>
      <c r="E27453" s="8" t="inlineStr">
        <is>
          <t>Cars Quatre Roues Rallye</t>
        </is>
      </c>
      <c r="F27453" s="8" t="inlineStr">
        <is>
          <t>STANDBY</t>
        </is>
      </c>
      <c r="G27453" s="8" t="n">
        <v>0</v>
      </c>
      <c r="H27453" s="8" t="inlineStr">
        <is>
          <t>CLOSED</t>
        </is>
      </c>
    </row>
    <row r="27454">
      <c r="A27454" s="8" t="inlineStr">
        <is>
          <t>2026-08-05</t>
        </is>
      </c>
      <c r="B27454" s="8" t="n">
        <v>22</v>
      </c>
      <c r="C27454" s="8" t="n">
        <v>45</v>
      </c>
      <c r="D27454" s="8" t="inlineStr">
        <is>
          <t>Disney Adventure World</t>
        </is>
      </c>
      <c r="E27454" s="8" t="inlineStr">
        <is>
          <t>Cars ROAD TRIP</t>
        </is>
      </c>
      <c r="F27454" s="8" t="inlineStr">
        <is>
          <t>STANDBY</t>
        </is>
      </c>
      <c r="G27454" s="8" t="n">
        <v>0</v>
      </c>
      <c r="H27454" s="8" t="inlineStr">
        <is>
          <t>CLOSED</t>
        </is>
      </c>
    </row>
    <row r="27455">
      <c r="A27455" s="8" t="inlineStr">
        <is>
          <t>2026-08-05</t>
        </is>
      </c>
      <c r="B27455" s="8" t="n">
        <v>22</v>
      </c>
      <c r="C27455" s="8" t="n">
        <v>45</v>
      </c>
      <c r="D27455" s="8" t="inlineStr">
        <is>
          <t>Disney Adventure World</t>
        </is>
      </c>
      <c r="E27455" s="8" t="inlineStr">
        <is>
          <t>Crush's Coaster</t>
        </is>
      </c>
      <c r="F27455" s="8" t="inlineStr">
        <is>
          <t>STANDBY</t>
        </is>
      </c>
      <c r="G27455" s="8" t="n">
        <v>0</v>
      </c>
      <c r="H27455" s="8" t="inlineStr">
        <is>
          <t>CLOSED</t>
        </is>
      </c>
    </row>
    <row r="27456">
      <c r="A27456" s="8" t="inlineStr">
        <is>
          <t>2026-08-05</t>
        </is>
      </c>
      <c r="B27456" s="8" t="n">
        <v>22</v>
      </c>
      <c r="C27456" s="8" t="n">
        <v>45</v>
      </c>
      <c r="D27456" s="8" t="inlineStr">
        <is>
          <t>Disney Adventure World</t>
        </is>
      </c>
      <c r="E27456" s="8" t="inlineStr">
        <is>
          <t>Crush's Coaster Single Rider</t>
        </is>
      </c>
      <c r="F27456" s="8" t="inlineStr">
        <is>
          <t>STANDBY</t>
        </is>
      </c>
      <c r="G27456" s="8" t="n">
        <v>0</v>
      </c>
      <c r="H27456" s="8" t="inlineStr">
        <is>
          <t>CLOSED</t>
        </is>
      </c>
    </row>
    <row r="27457">
      <c r="A27457" s="8" t="inlineStr">
        <is>
          <t>2026-08-05</t>
        </is>
      </c>
      <c r="B27457" s="8" t="n">
        <v>22</v>
      </c>
      <c r="C27457" s="8" t="n">
        <v>45</v>
      </c>
      <c r="D27457" s="8" t="inlineStr">
        <is>
          <t>Disney Adventure World</t>
        </is>
      </c>
      <c r="E27457" s="8" t="inlineStr">
        <is>
          <t>Les Tapis Volants - Flying Carpets Over Agrabah®</t>
        </is>
      </c>
      <c r="F27457" s="8" t="inlineStr">
        <is>
          <t>STANDBY</t>
        </is>
      </c>
      <c r="G27457" s="8" t="n">
        <v>0</v>
      </c>
      <c r="H27457" s="8" t="inlineStr">
        <is>
          <t>CLOSED</t>
        </is>
      </c>
    </row>
    <row r="27458">
      <c r="A27458" s="8" t="inlineStr">
        <is>
          <t>2026-08-05</t>
        </is>
      </c>
      <c r="B27458" s="8" t="n">
        <v>22</v>
      </c>
      <c r="C27458" s="8" t="n">
        <v>45</v>
      </c>
      <c r="D27458" s="8" t="inlineStr">
        <is>
          <t>Disney Adventure World</t>
        </is>
      </c>
      <c r="E27458" s="8" t="inlineStr">
        <is>
          <t>Ratatouille : L’Aventure Totalement Toquée de Rémy​</t>
        </is>
      </c>
      <c r="F27458" s="8" t="inlineStr">
        <is>
          <t>STANDBY</t>
        </is>
      </c>
      <c r="G27458" s="8" t="n">
        <v>0</v>
      </c>
      <c r="H27458" s="8" t="inlineStr">
        <is>
          <t>CLOSED</t>
        </is>
      </c>
    </row>
    <row r="27459">
      <c r="A27459" s="8" t="inlineStr">
        <is>
          <t>2026-08-05</t>
        </is>
      </c>
      <c r="B27459" s="8" t="n">
        <v>22</v>
      </c>
      <c r="C27459" s="8" t="n">
        <v>45</v>
      </c>
      <c r="D27459" s="8" t="inlineStr">
        <is>
          <t>Disney Adventure World</t>
        </is>
      </c>
      <c r="E27459" s="8" t="inlineStr">
        <is>
          <t>Ratatouille: The Adventure Single Rider</t>
        </is>
      </c>
      <c r="F27459" s="8" t="inlineStr">
        <is>
          <t>STANDBY</t>
        </is>
      </c>
      <c r="G27459" s="8" t="n">
        <v>0</v>
      </c>
      <c r="H27459" s="8" t="inlineStr">
        <is>
          <t>CLOSED</t>
        </is>
      </c>
    </row>
    <row r="27460">
      <c r="A27460" s="8" t="inlineStr">
        <is>
          <t>2026-08-05</t>
        </is>
      </c>
      <c r="B27460" s="8" t="n">
        <v>22</v>
      </c>
      <c r="C27460" s="8" t="n">
        <v>45</v>
      </c>
      <c r="D27460" s="8" t="inlineStr">
        <is>
          <t>Disney Adventure World</t>
        </is>
      </c>
      <c r="E27460" s="8" t="inlineStr">
        <is>
          <t>RC Racer</t>
        </is>
      </c>
      <c r="F27460" s="8" t="inlineStr">
        <is>
          <t>STANDBY</t>
        </is>
      </c>
      <c r="G27460" s="8" t="n">
        <v>0</v>
      </c>
      <c r="H27460" s="8" t="inlineStr">
        <is>
          <t>CLOSED</t>
        </is>
      </c>
    </row>
    <row r="27461">
      <c r="A27461" s="8" t="inlineStr">
        <is>
          <t>2026-08-05</t>
        </is>
      </c>
      <c r="B27461" s="8" t="n">
        <v>22</v>
      </c>
      <c r="C27461" s="8" t="n">
        <v>45</v>
      </c>
      <c r="D27461" s="8" t="inlineStr">
        <is>
          <t>Disney Adventure World</t>
        </is>
      </c>
      <c r="E27461" s="8" t="inlineStr">
        <is>
          <t>RC Racer Single Rider</t>
        </is>
      </c>
      <c r="F27461" s="8" t="inlineStr">
        <is>
          <t>STANDBY</t>
        </is>
      </c>
      <c r="G27461" s="8" t="n">
        <v>0</v>
      </c>
      <c r="H27461" s="8" t="inlineStr">
        <is>
          <t>CLOSED</t>
        </is>
      </c>
    </row>
    <row r="27462">
      <c r="A27462" s="8" t="inlineStr">
        <is>
          <t>2026-08-05</t>
        </is>
      </c>
      <c r="B27462" s="8" t="n">
        <v>22</v>
      </c>
      <c r="C27462" s="8" t="n">
        <v>45</v>
      </c>
      <c r="D27462" s="8" t="inlineStr">
        <is>
          <t>Disney Adventure World</t>
        </is>
      </c>
      <c r="E27462" s="8" t="inlineStr">
        <is>
          <t>Slinky® Dog Zigzag Spin</t>
        </is>
      </c>
      <c r="F27462" s="8" t="inlineStr">
        <is>
          <t>STANDBY</t>
        </is>
      </c>
      <c r="G27462" s="8" t="n">
        <v>0</v>
      </c>
      <c r="H27462" s="8" t="inlineStr">
        <is>
          <t>CLOSED</t>
        </is>
      </c>
    </row>
    <row r="27463">
      <c r="A27463" s="8" t="inlineStr">
        <is>
          <t>2026-08-05</t>
        </is>
      </c>
      <c r="B27463" s="8" t="n">
        <v>22</v>
      </c>
      <c r="C27463" s="8" t="n">
        <v>45</v>
      </c>
      <c r="D27463" s="8" t="inlineStr">
        <is>
          <t>Disney Adventure World</t>
        </is>
      </c>
      <c r="E27463" s="8" t="inlineStr">
        <is>
          <t>Toy Soldiers Parachute Drop</t>
        </is>
      </c>
      <c r="F27463" s="8" t="inlineStr">
        <is>
          <t>STANDBY</t>
        </is>
      </c>
      <c r="G27463" s="8" t="n">
        <v>0</v>
      </c>
      <c r="H27463" s="8" t="inlineStr">
        <is>
          <t>CLOSED</t>
        </is>
      </c>
    </row>
    <row r="27464">
      <c r="A27464" s="8" t="inlineStr">
        <is>
          <t>2026-08-05</t>
        </is>
      </c>
      <c r="B27464" s="8" t="n">
        <v>22</v>
      </c>
      <c r="C27464" s="8" t="n">
        <v>45</v>
      </c>
      <c r="D27464" s="8" t="inlineStr">
        <is>
          <t>Disney Adventure World</t>
        </is>
      </c>
      <c r="E27464" s="8" t="inlineStr">
        <is>
          <t>Toy Soldiers Parachute Drop Single Rider</t>
        </is>
      </c>
      <c r="F27464" s="8" t="inlineStr">
        <is>
          <t>STANDBY</t>
        </is>
      </c>
      <c r="G27464" s="8" t="n">
        <v>0</v>
      </c>
      <c r="H27464" s="8" t="inlineStr">
        <is>
          <t>CLOSED</t>
        </is>
      </c>
    </row>
    <row r="27465">
      <c r="A27465" s="8" t="inlineStr">
        <is>
          <t>2026-08-05</t>
        </is>
      </c>
      <c r="B27465" s="8" t="n">
        <v>22</v>
      </c>
      <c r="C27465" s="8" t="n">
        <v>45</v>
      </c>
      <c r="D27465" s="8" t="inlineStr">
        <is>
          <t>Disney Adventure World</t>
        </is>
      </c>
      <c r="E27465" s="8" t="inlineStr">
        <is>
          <t>Entry to World of Frozen</t>
        </is>
      </c>
      <c r="F27465" s="8" t="inlineStr">
        <is>
          <t>STANDBY</t>
        </is>
      </c>
      <c r="G27465" s="8" t="n">
        <v>0</v>
      </c>
      <c r="H27465" s="8" t="inlineStr">
        <is>
          <t>CLOSED</t>
        </is>
      </c>
    </row>
    <row r="27466">
      <c r="A27466" s="8" t="inlineStr">
        <is>
          <t>2026-08-05</t>
        </is>
      </c>
      <c r="B27466" s="8" t="n">
        <v>22</v>
      </c>
      <c r="C27466" s="8" t="n">
        <v>45</v>
      </c>
      <c r="D27466" s="8" t="inlineStr">
        <is>
          <t>Disney Adventure World</t>
        </is>
      </c>
      <c r="E27466" s="8" t="inlineStr">
        <is>
          <t>Frozen Ever After</t>
        </is>
      </c>
      <c r="F27466" s="8" t="inlineStr">
        <is>
          <t>STANDBY</t>
        </is>
      </c>
      <c r="G27466" s="8" t="n">
        <v>0</v>
      </c>
      <c r="H27466" s="8" t="inlineStr">
        <is>
          <t>CLOSED</t>
        </is>
      </c>
    </row>
    <row r="27467">
      <c r="A27467" s="8" t="inlineStr">
        <is>
          <t>2026-08-05</t>
        </is>
      </c>
      <c r="B27467" s="8" t="n">
        <v>22</v>
      </c>
      <c r="C27467" s="8" t="n">
        <v>45</v>
      </c>
      <c r="D27467" s="8" t="inlineStr">
        <is>
          <t>Disney Adventure World</t>
        </is>
      </c>
      <c r="E27467" s="8" t="inlineStr">
        <is>
          <t>Raiponce Tangled Spin</t>
        </is>
      </c>
      <c r="F27467" s="8" t="inlineStr">
        <is>
          <t>STANDBY</t>
        </is>
      </c>
      <c r="G27467" s="8" t="n">
        <v>0</v>
      </c>
      <c r="H27467" s="8" t="inlineStr">
        <is>
          <t>CLOSED</t>
        </is>
      </c>
    </row>
    <row r="27468">
      <c r="A27468" s="8" t="inlineStr">
        <is>
          <t>2026-08-05</t>
        </is>
      </c>
      <c r="B27468" s="8" t="n">
        <v>23</v>
      </c>
      <c r="C27468" s="8" t="n">
        <v>1</v>
      </c>
      <c r="D27468" s="8" t="inlineStr">
        <is>
          <t>Disneyland Park</t>
        </is>
      </c>
      <c r="E27468" s="8" t="inlineStr">
        <is>
          <t>Adventure Isle</t>
        </is>
      </c>
      <c r="F27468" s="8" t="inlineStr">
        <is>
          <t>STANDBY</t>
        </is>
      </c>
      <c r="G27468" s="8" t="n">
        <v>0</v>
      </c>
      <c r="H27468" s="8" t="inlineStr">
        <is>
          <t>CLOSED</t>
        </is>
      </c>
    </row>
    <row r="27469">
      <c r="A27469" s="8" t="inlineStr">
        <is>
          <t>2026-08-05</t>
        </is>
      </c>
      <c r="B27469" s="8" t="n">
        <v>23</v>
      </c>
      <c r="C27469" s="8" t="n">
        <v>1</v>
      </c>
      <c r="D27469" s="8" t="inlineStr">
        <is>
          <t>Disneyland Park</t>
        </is>
      </c>
      <c r="E27469" s="8" t="inlineStr">
        <is>
          <t>Indiana Jones and the Temple of Peril Single Rider</t>
        </is>
      </c>
      <c r="F27469" s="8" t="inlineStr">
        <is>
          <t>STANDBY</t>
        </is>
      </c>
      <c r="G27469" s="8" t="n">
        <v>0</v>
      </c>
      <c r="H27469" s="8" t="inlineStr">
        <is>
          <t>CLOSED</t>
        </is>
      </c>
    </row>
    <row r="27470">
      <c r="A27470" s="8" t="inlineStr">
        <is>
          <t>2026-08-05</t>
        </is>
      </c>
      <c r="B27470" s="8" t="n">
        <v>23</v>
      </c>
      <c r="C27470" s="8" t="n">
        <v>1</v>
      </c>
      <c r="D27470" s="8" t="inlineStr">
        <is>
          <t>Disneyland Park</t>
        </is>
      </c>
      <c r="E27470" s="8" t="inlineStr">
        <is>
          <t>Indiana Jones™ and the Temple of Peril</t>
        </is>
      </c>
      <c r="F27470" s="8" t="inlineStr">
        <is>
          <t>STANDBY</t>
        </is>
      </c>
      <c r="G27470" s="8" t="n">
        <v>0</v>
      </c>
      <c r="H27470" s="8" t="inlineStr">
        <is>
          <t>CLOSED</t>
        </is>
      </c>
    </row>
    <row r="27471">
      <c r="A27471" s="8" t="inlineStr">
        <is>
          <t>2026-08-05</t>
        </is>
      </c>
      <c r="B27471" s="8" t="n">
        <v>23</v>
      </c>
      <c r="C27471" s="8" t="n">
        <v>1</v>
      </c>
      <c r="D27471" s="8" t="inlineStr">
        <is>
          <t>Disneyland Park</t>
        </is>
      </c>
      <c r="E27471" s="8" t="inlineStr">
        <is>
          <t>La Cabane des Robinson</t>
        </is>
      </c>
      <c r="F27471" s="8" t="inlineStr">
        <is>
          <t>STANDBY</t>
        </is>
      </c>
      <c r="G27471" s="8" t="n">
        <v>0</v>
      </c>
      <c r="H27471" s="8" t="inlineStr">
        <is>
          <t>CLOSED</t>
        </is>
      </c>
    </row>
    <row r="27472">
      <c r="A27472" s="8" t="inlineStr">
        <is>
          <t>2026-08-05</t>
        </is>
      </c>
      <c r="B27472" s="8" t="n">
        <v>23</v>
      </c>
      <c r="C27472" s="8" t="n">
        <v>1</v>
      </c>
      <c r="D27472" s="8" t="inlineStr">
        <is>
          <t>Disneyland Park</t>
        </is>
      </c>
      <c r="E27472" s="8" t="inlineStr">
        <is>
          <t>Le Passage Enchanté d'Aladdin</t>
        </is>
      </c>
      <c r="F27472" s="8" t="inlineStr">
        <is>
          <t>STANDBY</t>
        </is>
      </c>
      <c r="G27472" s="8" t="n">
        <v>0</v>
      </c>
      <c r="H27472" s="8" t="inlineStr">
        <is>
          <t>CLOSED</t>
        </is>
      </c>
    </row>
    <row r="27473">
      <c r="A27473" s="8" t="inlineStr">
        <is>
          <t>2026-08-05</t>
        </is>
      </c>
      <c r="B27473" s="8" t="n">
        <v>23</v>
      </c>
      <c r="C27473" s="8" t="n">
        <v>1</v>
      </c>
      <c r="D27473" s="8" t="inlineStr">
        <is>
          <t>Disneyland Park</t>
        </is>
      </c>
      <c r="E27473" s="8" t="inlineStr">
        <is>
          <t>Pirate Galleon</t>
        </is>
      </c>
      <c r="F27473" s="8" t="inlineStr">
        <is>
          <t>STANDBY</t>
        </is>
      </c>
      <c r="G27473" s="8" t="n">
        <v>0</v>
      </c>
      <c r="H27473" s="8" t="inlineStr">
        <is>
          <t>CLOSED</t>
        </is>
      </c>
    </row>
    <row r="27474">
      <c r="A27474" s="8" t="inlineStr">
        <is>
          <t>2026-08-05</t>
        </is>
      </c>
      <c r="B27474" s="8" t="n">
        <v>23</v>
      </c>
      <c r="C27474" s="8" t="n">
        <v>1</v>
      </c>
      <c r="D27474" s="8" t="inlineStr">
        <is>
          <t>Disneyland Park</t>
        </is>
      </c>
      <c r="E27474" s="8" t="inlineStr">
        <is>
          <t>Pirates of the Caribbean</t>
        </is>
      </c>
      <c r="F27474" s="8" t="inlineStr">
        <is>
          <t>STANDBY</t>
        </is>
      </c>
      <c r="G27474" s="8" t="n">
        <v>0</v>
      </c>
      <c r="H27474" s="8" t="inlineStr">
        <is>
          <t>CLOSED</t>
        </is>
      </c>
    </row>
    <row r="27475">
      <c r="A27475" s="8" t="inlineStr">
        <is>
          <t>2026-08-05</t>
        </is>
      </c>
      <c r="B27475" s="8" t="n">
        <v>23</v>
      </c>
      <c r="C27475" s="8" t="n">
        <v>1</v>
      </c>
      <c r="D27475" s="8" t="inlineStr">
        <is>
          <t>Disneyland Park</t>
        </is>
      </c>
      <c r="E27475" s="8" t="inlineStr">
        <is>
          <t>Pirates' Beach</t>
        </is>
      </c>
      <c r="F27475" s="8" t="inlineStr">
        <is>
          <t>STANDBY</t>
        </is>
      </c>
      <c r="G27475" s="8" t="n">
        <v>0</v>
      </c>
      <c r="H27475" s="8" t="inlineStr">
        <is>
          <t>CLOSED</t>
        </is>
      </c>
    </row>
    <row r="27476">
      <c r="A27476" s="8" t="inlineStr">
        <is>
          <t>2026-08-05</t>
        </is>
      </c>
      <c r="B27476" s="8" t="n">
        <v>23</v>
      </c>
      <c r="C27476" s="8" t="n">
        <v>1</v>
      </c>
      <c r="D27476" s="8" t="inlineStr">
        <is>
          <t>Disneyland Park</t>
        </is>
      </c>
      <c r="E27476" s="8" t="inlineStr">
        <is>
          <t>Autopia, presented by Avis</t>
        </is>
      </c>
      <c r="F27476" s="8" t="inlineStr">
        <is>
          <t>STANDBY</t>
        </is>
      </c>
      <c r="G27476" s="8" t="n">
        <v>0</v>
      </c>
      <c r="H27476" s="8" t="inlineStr">
        <is>
          <t>CLOSED</t>
        </is>
      </c>
    </row>
    <row r="27477">
      <c r="A27477" s="8" t="inlineStr">
        <is>
          <t>2026-08-05</t>
        </is>
      </c>
      <c r="B27477" s="8" t="n">
        <v>23</v>
      </c>
      <c r="C27477" s="8" t="n">
        <v>1</v>
      </c>
      <c r="D27477" s="8" t="inlineStr">
        <is>
          <t>Disneyland Park</t>
        </is>
      </c>
      <c r="E27477" s="8" t="inlineStr">
        <is>
          <t>Buzz Lightyear Laser Blast</t>
        </is>
      </c>
      <c r="F27477" s="8" t="inlineStr">
        <is>
          <t>STANDBY</t>
        </is>
      </c>
      <c r="G27477" s="8" t="n">
        <v>0</v>
      </c>
      <c r="H27477" s="8" t="inlineStr">
        <is>
          <t>CLOSED</t>
        </is>
      </c>
    </row>
    <row r="27478">
      <c r="A27478" s="8" t="inlineStr">
        <is>
          <t>2026-08-05</t>
        </is>
      </c>
      <c r="B27478" s="8" t="n">
        <v>23</v>
      </c>
      <c r="C27478" s="8" t="n">
        <v>1</v>
      </c>
      <c r="D27478" s="8" t="inlineStr">
        <is>
          <t>Disneyland Park</t>
        </is>
      </c>
      <c r="E27478" s="8" t="inlineStr">
        <is>
          <t>Disneyland Railroad Discoveryland Station</t>
        </is>
      </c>
      <c r="F27478" s="8" t="inlineStr">
        <is>
          <t>STANDBY</t>
        </is>
      </c>
      <c r="G27478" s="8" t="n">
        <v>0</v>
      </c>
      <c r="H27478" s="8" t="inlineStr">
        <is>
          <t>CLOSED</t>
        </is>
      </c>
    </row>
    <row r="27479">
      <c r="A27479" s="8" t="inlineStr">
        <is>
          <t>2026-08-05</t>
        </is>
      </c>
      <c r="B27479" s="8" t="n">
        <v>23</v>
      </c>
      <c r="C27479" s="8" t="n">
        <v>1</v>
      </c>
      <c r="D27479" s="8" t="inlineStr">
        <is>
          <t>Disneyland Park</t>
        </is>
      </c>
      <c r="E27479" s="8" t="inlineStr">
        <is>
          <t>Les Mystères du Nautilus</t>
        </is>
      </c>
      <c r="F27479" s="8" t="inlineStr">
        <is>
          <t>STANDBY</t>
        </is>
      </c>
      <c r="G27479" s="8" t="n">
        <v>0</v>
      </c>
      <c r="H27479" s="8" t="inlineStr">
        <is>
          <t>CLOSED</t>
        </is>
      </c>
    </row>
    <row r="27480">
      <c r="A27480" s="8" t="inlineStr">
        <is>
          <t>2026-08-05</t>
        </is>
      </c>
      <c r="B27480" s="8" t="n">
        <v>23</v>
      </c>
      <c r="C27480" s="8" t="n">
        <v>1</v>
      </c>
      <c r="D27480" s="8" t="inlineStr">
        <is>
          <t>Disneyland Park</t>
        </is>
      </c>
      <c r="E27480" s="8" t="inlineStr">
        <is>
          <t>Mickey’s PhilharMagic</t>
        </is>
      </c>
      <c r="F27480" s="8" t="inlineStr">
        <is>
          <t>STANDBY</t>
        </is>
      </c>
      <c r="G27480" s="8" t="n">
        <v>0</v>
      </c>
      <c r="H27480" s="8" t="inlineStr">
        <is>
          <t>CLOSED</t>
        </is>
      </c>
    </row>
    <row r="27481">
      <c r="A27481" s="8" t="inlineStr">
        <is>
          <t>2026-08-05</t>
        </is>
      </c>
      <c r="B27481" s="8" t="n">
        <v>23</v>
      </c>
      <c r="C27481" s="8" t="n">
        <v>1</v>
      </c>
      <c r="D27481" s="8" t="inlineStr">
        <is>
          <t>Disneyland Park</t>
        </is>
      </c>
      <c r="E27481" s="8" t="inlineStr">
        <is>
          <t>Orbitron®</t>
        </is>
      </c>
      <c r="F27481" s="8" t="inlineStr">
        <is>
          <t>STANDBY</t>
        </is>
      </c>
      <c r="G27481" s="8" t="n">
        <v>0</v>
      </c>
      <c r="H27481" s="8" t="inlineStr">
        <is>
          <t>CLOSED</t>
        </is>
      </c>
    </row>
    <row r="27482">
      <c r="A27482" s="8" t="inlineStr">
        <is>
          <t>2026-08-05</t>
        </is>
      </c>
      <c r="B27482" s="8" t="n">
        <v>23</v>
      </c>
      <c r="C27482" s="8" t="n">
        <v>1</v>
      </c>
      <c r="D27482" s="8" t="inlineStr">
        <is>
          <t>Disneyland Park</t>
        </is>
      </c>
      <c r="E27482" s="8" t="inlineStr">
        <is>
          <t>Star Tours: The Adventures Continue*</t>
        </is>
      </c>
      <c r="F27482" s="8" t="inlineStr">
        <is>
          <t>STANDBY</t>
        </is>
      </c>
      <c r="G27482" s="8" t="n">
        <v>0</v>
      </c>
      <c r="H27482" s="8" t="inlineStr">
        <is>
          <t>CLOSED</t>
        </is>
      </c>
    </row>
    <row r="27483">
      <c r="A27483" s="8" t="inlineStr">
        <is>
          <t>2026-08-05</t>
        </is>
      </c>
      <c r="B27483" s="8" t="n">
        <v>23</v>
      </c>
      <c r="C27483" s="8" t="n">
        <v>1</v>
      </c>
      <c r="D27483" s="8" t="inlineStr">
        <is>
          <t>Disneyland Park</t>
        </is>
      </c>
      <c r="E27483" s="8" t="inlineStr">
        <is>
          <t>Star Wars Hyperspace Mountain</t>
        </is>
      </c>
      <c r="F27483" s="8" t="inlineStr">
        <is>
          <t>STANDBY</t>
        </is>
      </c>
      <c r="G27483" s="8" t="n">
        <v>0</v>
      </c>
      <c r="H27483" s="8" t="inlineStr">
        <is>
          <t>CLOSED</t>
        </is>
      </c>
    </row>
    <row r="27484">
      <c r="A27484" s="8" t="inlineStr">
        <is>
          <t>2026-08-05</t>
        </is>
      </c>
      <c r="B27484" s="8" t="n">
        <v>23</v>
      </c>
      <c r="C27484" s="8" t="n">
        <v>1</v>
      </c>
      <c r="D27484" s="8" t="inlineStr">
        <is>
          <t>Disneyland Park</t>
        </is>
      </c>
      <c r="E27484" s="8" t="inlineStr">
        <is>
          <t>Star Wars Hyperspace Mountain Single Rider</t>
        </is>
      </c>
      <c r="F27484" s="8" t="inlineStr">
        <is>
          <t>STANDBY</t>
        </is>
      </c>
      <c r="G27484" s="8" t="n">
        <v>0</v>
      </c>
      <c r="H27484" s="8" t="inlineStr">
        <is>
          <t>CLOSED</t>
        </is>
      </c>
    </row>
    <row r="27485">
      <c r="A27485" s="8" t="inlineStr">
        <is>
          <t>2026-08-05</t>
        </is>
      </c>
      <c r="B27485" s="8" t="n">
        <v>23</v>
      </c>
      <c r="C27485" s="8" t="n">
        <v>1</v>
      </c>
      <c r="D27485" s="8" t="inlineStr">
        <is>
          <t>Disneyland Park</t>
        </is>
      </c>
      <c r="E27485" s="8" t="inlineStr">
        <is>
          <t>Welcome to Starport: A Star Wars Encounter</t>
        </is>
      </c>
      <c r="F27485" s="8" t="inlineStr">
        <is>
          <t>STANDBY</t>
        </is>
      </c>
      <c r="G27485" s="8" t="n">
        <v>0</v>
      </c>
      <c r="H27485" s="8" t="inlineStr">
        <is>
          <t>CLOSED</t>
        </is>
      </c>
    </row>
    <row r="27486">
      <c r="A27486" s="8" t="inlineStr">
        <is>
          <t>2026-08-05</t>
        </is>
      </c>
      <c r="B27486" s="8" t="n">
        <v>23</v>
      </c>
      <c r="C27486" s="8" t="n">
        <v>1</v>
      </c>
      <c r="D27486" s="8" t="inlineStr">
        <is>
          <t>Disneyland Park</t>
        </is>
      </c>
      <c r="E27486" s="8" t="inlineStr">
        <is>
          <t>"it's a small world"</t>
        </is>
      </c>
      <c r="F27486" s="8" t="inlineStr">
        <is>
          <t>STANDBY</t>
        </is>
      </c>
      <c r="G27486" s="8" t="n">
        <v>0</v>
      </c>
      <c r="H27486" s="8" t="inlineStr">
        <is>
          <t>CLOSED</t>
        </is>
      </c>
    </row>
    <row r="27487">
      <c r="A27487" s="8" t="inlineStr">
        <is>
          <t>2026-08-05</t>
        </is>
      </c>
      <c r="B27487" s="8" t="n">
        <v>23</v>
      </c>
      <c r="C27487" s="8" t="n">
        <v>1</v>
      </c>
      <c r="D27487" s="8" t="inlineStr">
        <is>
          <t>Disneyland Park</t>
        </is>
      </c>
      <c r="E27487" s="8" t="inlineStr">
        <is>
          <t>Alice's Curious Labyrinth</t>
        </is>
      </c>
      <c r="F27487" s="8" t="inlineStr">
        <is>
          <t>STANDBY</t>
        </is>
      </c>
      <c r="G27487" s="8" t="n">
        <v>0</v>
      </c>
      <c r="H27487" s="8" t="inlineStr">
        <is>
          <t>CLOSED</t>
        </is>
      </c>
    </row>
    <row r="27488">
      <c r="A27488" s="8" t="inlineStr">
        <is>
          <t>2026-08-05</t>
        </is>
      </c>
      <c r="B27488" s="8" t="n">
        <v>23</v>
      </c>
      <c r="C27488" s="8" t="n">
        <v>1</v>
      </c>
      <c r="D27488" s="8" t="inlineStr">
        <is>
          <t>Disneyland Park</t>
        </is>
      </c>
      <c r="E27488" s="8" t="inlineStr">
        <is>
          <t>Blanche-Neige et les Sept Nains®</t>
        </is>
      </c>
      <c r="F27488" s="8" t="inlineStr">
        <is>
          <t>STANDBY</t>
        </is>
      </c>
      <c r="G27488" s="8" t="n">
        <v>0</v>
      </c>
      <c r="H27488" s="8" t="inlineStr">
        <is>
          <t>CLOSED</t>
        </is>
      </c>
    </row>
    <row r="27489">
      <c r="A27489" s="8" t="inlineStr">
        <is>
          <t>2026-08-05</t>
        </is>
      </c>
      <c r="B27489" s="8" t="n">
        <v>23</v>
      </c>
      <c r="C27489" s="8" t="n">
        <v>1</v>
      </c>
      <c r="D27489" s="8" t="inlineStr">
        <is>
          <t>Disneyland Park</t>
        </is>
      </c>
      <c r="E27489" s="8" t="inlineStr">
        <is>
          <t>Casey Jr. – le Petit Train du Cirque</t>
        </is>
      </c>
      <c r="F27489" s="8" t="inlineStr">
        <is>
          <t>STANDBY</t>
        </is>
      </c>
      <c r="G27489" s="8" t="n">
        <v>0</v>
      </c>
      <c r="H27489" s="8" t="inlineStr">
        <is>
          <t>CLOSED</t>
        </is>
      </c>
    </row>
    <row r="27490">
      <c r="A27490" s="8" t="inlineStr">
        <is>
          <t>2026-08-05</t>
        </is>
      </c>
      <c r="B27490" s="8" t="n">
        <v>23</v>
      </c>
      <c r="C27490" s="8" t="n">
        <v>1</v>
      </c>
      <c r="D27490" s="8" t="inlineStr">
        <is>
          <t>Disneyland Park</t>
        </is>
      </c>
      <c r="E27490" s="8" t="inlineStr">
        <is>
          <t>Disneyland Railroad Fantasyland Station</t>
        </is>
      </c>
      <c r="F27490" s="8" t="inlineStr">
        <is>
          <t>STANDBY</t>
        </is>
      </c>
      <c r="G27490" s="8" t="n">
        <v>0</v>
      </c>
      <c r="H27490" s="8" t="inlineStr">
        <is>
          <t>CLOSED</t>
        </is>
      </c>
    </row>
    <row r="27491">
      <c r="A27491" s="8" t="inlineStr">
        <is>
          <t>2026-08-05</t>
        </is>
      </c>
      <c r="B27491" s="8" t="n">
        <v>23</v>
      </c>
      <c r="C27491" s="8" t="n">
        <v>1</v>
      </c>
      <c r="D27491" s="8" t="inlineStr">
        <is>
          <t>Disneyland Park</t>
        </is>
      </c>
      <c r="E27491" s="8" t="inlineStr">
        <is>
          <t>Disneyland Railroad Main Street Station</t>
        </is>
      </c>
      <c r="F27491" s="8" t="inlineStr">
        <is>
          <t>STANDBY</t>
        </is>
      </c>
      <c r="G27491" s="8" t="n">
        <v>0</v>
      </c>
      <c r="H27491" s="8" t="inlineStr">
        <is>
          <t>CLOSED</t>
        </is>
      </c>
    </row>
    <row r="27492">
      <c r="A27492" s="8" t="inlineStr">
        <is>
          <t>2026-08-05</t>
        </is>
      </c>
      <c r="B27492" s="8" t="n">
        <v>23</v>
      </c>
      <c r="C27492" s="8" t="n">
        <v>1</v>
      </c>
      <c r="D27492" s="8" t="inlineStr">
        <is>
          <t>Disneyland Park</t>
        </is>
      </c>
      <c r="E27492" s="8" t="inlineStr">
        <is>
          <t>Dumbo the Flying Elephant</t>
        </is>
      </c>
      <c r="F27492" s="8" t="inlineStr">
        <is>
          <t>STANDBY</t>
        </is>
      </c>
      <c r="G27492" s="8" t="n">
        <v>0</v>
      </c>
      <c r="H27492" s="8" t="inlineStr">
        <is>
          <t>CLOSED</t>
        </is>
      </c>
    </row>
    <row r="27493">
      <c r="A27493" s="8" t="inlineStr">
        <is>
          <t>2026-08-05</t>
        </is>
      </c>
      <c r="B27493" s="8" t="n">
        <v>23</v>
      </c>
      <c r="C27493" s="8" t="n">
        <v>1</v>
      </c>
      <c r="D27493" s="8" t="inlineStr">
        <is>
          <t>Disneyland Park</t>
        </is>
      </c>
      <c r="E27493" s="8" t="inlineStr">
        <is>
          <t>La Tanière du Dragon</t>
        </is>
      </c>
      <c r="F27493" s="8" t="inlineStr">
        <is>
          <t>STANDBY</t>
        </is>
      </c>
      <c r="G27493" s="8" t="n">
        <v>0</v>
      </c>
      <c r="H27493" s="8" t="inlineStr">
        <is>
          <t>CLOSED</t>
        </is>
      </c>
    </row>
    <row r="27494">
      <c r="A27494" s="8" t="inlineStr">
        <is>
          <t>2026-08-05</t>
        </is>
      </c>
      <c r="B27494" s="8" t="n">
        <v>23</v>
      </c>
      <c r="C27494" s="8" t="n">
        <v>1</v>
      </c>
      <c r="D27494" s="8" t="inlineStr">
        <is>
          <t>Disneyland Park</t>
        </is>
      </c>
      <c r="E27494" s="8" t="inlineStr">
        <is>
          <t>Le Carrousel de Lancelot</t>
        </is>
      </c>
      <c r="F27494" s="8" t="inlineStr">
        <is>
          <t>STANDBY</t>
        </is>
      </c>
      <c r="G27494" s="8" t="n">
        <v>0</v>
      </c>
      <c r="H27494" s="8" t="inlineStr">
        <is>
          <t>CLOSED</t>
        </is>
      </c>
    </row>
    <row r="27495">
      <c r="A27495" s="8" t="inlineStr">
        <is>
          <t>2026-08-05</t>
        </is>
      </c>
      <c r="B27495" s="8" t="n">
        <v>23</v>
      </c>
      <c r="C27495" s="8" t="n">
        <v>1</v>
      </c>
      <c r="D27495" s="8" t="inlineStr">
        <is>
          <t>Disneyland Park</t>
        </is>
      </c>
      <c r="E27495" s="8" t="inlineStr">
        <is>
          <t>Le Pays des Contes de Fées, presented by Vittel</t>
        </is>
      </c>
      <c r="F27495" s="8" t="inlineStr">
        <is>
          <t>STANDBY</t>
        </is>
      </c>
      <c r="G27495" s="8" t="n">
        <v>0</v>
      </c>
      <c r="H27495" s="8" t="inlineStr">
        <is>
          <t>CLOSED</t>
        </is>
      </c>
    </row>
    <row r="27496">
      <c r="A27496" s="8" t="inlineStr">
        <is>
          <t>2026-08-05</t>
        </is>
      </c>
      <c r="B27496" s="8" t="n">
        <v>23</v>
      </c>
      <c r="C27496" s="8" t="n">
        <v>1</v>
      </c>
      <c r="D27496" s="8" t="inlineStr">
        <is>
          <t>Disneyland Park</t>
        </is>
      </c>
      <c r="E27496" s="8" t="inlineStr">
        <is>
          <t>Les Voyages de Pinocchio</t>
        </is>
      </c>
      <c r="F27496" s="8" t="inlineStr">
        <is>
          <t>STANDBY</t>
        </is>
      </c>
      <c r="G27496" s="8" t="n">
        <v>0</v>
      </c>
      <c r="H27496" s="8" t="inlineStr">
        <is>
          <t>CLOSED</t>
        </is>
      </c>
    </row>
    <row r="27497">
      <c r="A27497" s="8" t="inlineStr">
        <is>
          <t>2026-08-05</t>
        </is>
      </c>
      <c r="B27497" s="8" t="n">
        <v>23</v>
      </c>
      <c r="C27497" s="8" t="n">
        <v>1</v>
      </c>
      <c r="D27497" s="8" t="inlineStr">
        <is>
          <t>Disneyland Park</t>
        </is>
      </c>
      <c r="E27497" s="8" t="inlineStr">
        <is>
          <t>Mad Hatter's Tea Cups</t>
        </is>
      </c>
      <c r="F27497" s="8" t="inlineStr">
        <is>
          <t>STANDBY</t>
        </is>
      </c>
      <c r="G27497" s="8" t="n">
        <v>0</v>
      </c>
      <c r="H27497" s="8" t="inlineStr">
        <is>
          <t>CLOSED</t>
        </is>
      </c>
    </row>
    <row r="27498">
      <c r="A27498" s="8" t="inlineStr">
        <is>
          <t>2026-08-05</t>
        </is>
      </c>
      <c r="B27498" s="8" t="n">
        <v>23</v>
      </c>
      <c r="C27498" s="8" t="n">
        <v>1</v>
      </c>
      <c r="D27498" s="8" t="inlineStr">
        <is>
          <t>Disneyland Park</t>
        </is>
      </c>
      <c r="E27498" s="8" t="inlineStr">
        <is>
          <t>Meet Mickey Mouse</t>
        </is>
      </c>
      <c r="F27498" s="8" t="inlineStr">
        <is>
          <t>STANDBY</t>
        </is>
      </c>
      <c r="G27498" s="8" t="n">
        <v>0</v>
      </c>
      <c r="H27498" s="8" t="inlineStr">
        <is>
          <t>CLOSED</t>
        </is>
      </c>
    </row>
    <row r="27499">
      <c r="A27499" s="8" t="inlineStr">
        <is>
          <t>2026-08-05</t>
        </is>
      </c>
      <c r="B27499" s="8" t="n">
        <v>23</v>
      </c>
      <c r="C27499" s="8" t="n">
        <v>1</v>
      </c>
      <c r="D27499" s="8" t="inlineStr">
        <is>
          <t>Disneyland Park</t>
        </is>
      </c>
      <c r="E27499" s="8" t="inlineStr">
        <is>
          <t>Peter Pan's Flight</t>
        </is>
      </c>
      <c r="F27499" s="8" t="inlineStr">
        <is>
          <t>STANDBY</t>
        </is>
      </c>
      <c r="G27499" s="8" t="n">
        <v>0</v>
      </c>
      <c r="H27499" s="8" t="inlineStr">
        <is>
          <t>CLOSED</t>
        </is>
      </c>
    </row>
    <row r="27500">
      <c r="A27500" s="8" t="inlineStr">
        <is>
          <t>2026-08-05</t>
        </is>
      </c>
      <c r="B27500" s="8" t="n">
        <v>23</v>
      </c>
      <c r="C27500" s="8" t="n">
        <v>1</v>
      </c>
      <c r="D27500" s="8" t="inlineStr">
        <is>
          <t>Disneyland Park</t>
        </is>
      </c>
      <c r="E27500" s="8" t="inlineStr">
        <is>
          <t>Princess Pavilion</t>
        </is>
      </c>
      <c r="F27500" s="8" t="inlineStr">
        <is>
          <t>STANDBY</t>
        </is>
      </c>
      <c r="G27500" s="8" t="n">
        <v>0</v>
      </c>
      <c r="H27500" s="8" t="inlineStr">
        <is>
          <t>CLOSED</t>
        </is>
      </c>
    </row>
    <row r="27501">
      <c r="A27501" s="8" t="inlineStr">
        <is>
          <t>2026-08-05</t>
        </is>
      </c>
      <c r="B27501" s="8" t="n">
        <v>23</v>
      </c>
      <c r="C27501" s="8" t="n">
        <v>1</v>
      </c>
      <c r="D27501" s="8" t="inlineStr">
        <is>
          <t>Disneyland Park</t>
        </is>
      </c>
      <c r="E27501" s="8" t="inlineStr">
        <is>
          <t>Big Thunder Mountain</t>
        </is>
      </c>
      <c r="F27501" s="8" t="inlineStr">
        <is>
          <t>STANDBY</t>
        </is>
      </c>
      <c r="G27501" s="8" t="n">
        <v>0</v>
      </c>
      <c r="H27501" s="8" t="inlineStr">
        <is>
          <t>CLOSED</t>
        </is>
      </c>
    </row>
    <row r="27502">
      <c r="A27502" s="8" t="inlineStr">
        <is>
          <t>2026-08-05</t>
        </is>
      </c>
      <c r="B27502" s="8" t="n">
        <v>23</v>
      </c>
      <c r="C27502" s="8" t="n">
        <v>1</v>
      </c>
      <c r="D27502" s="8" t="inlineStr">
        <is>
          <t>Disneyland Park</t>
        </is>
      </c>
      <c r="E27502" s="8" t="inlineStr">
        <is>
          <t>Disneyland Railroad Frontierland Depot</t>
        </is>
      </c>
      <c r="F27502" s="8" t="inlineStr">
        <is>
          <t>STANDBY</t>
        </is>
      </c>
      <c r="G27502" s="8" t="n">
        <v>0</v>
      </c>
      <c r="H27502" s="8" t="inlineStr">
        <is>
          <t>CLOSED</t>
        </is>
      </c>
    </row>
    <row r="27503">
      <c r="A27503" s="8" t="inlineStr">
        <is>
          <t>2026-08-05</t>
        </is>
      </c>
      <c r="B27503" s="8" t="n">
        <v>23</v>
      </c>
      <c r="C27503" s="8" t="n">
        <v>1</v>
      </c>
      <c r="D27503" s="8" t="inlineStr">
        <is>
          <t>Disneyland Park</t>
        </is>
      </c>
      <c r="E27503" s="8" t="inlineStr">
        <is>
          <t>Frontierland Playground</t>
        </is>
      </c>
      <c r="F27503" s="8" t="inlineStr">
        <is>
          <t>STANDBY</t>
        </is>
      </c>
      <c r="G27503" s="8" t="n">
        <v>0</v>
      </c>
      <c r="H27503" s="8" t="inlineStr">
        <is>
          <t>CLOSED</t>
        </is>
      </c>
    </row>
    <row r="27504">
      <c r="A27504" s="8" t="inlineStr">
        <is>
          <t>2026-08-05</t>
        </is>
      </c>
      <c r="B27504" s="8" t="n">
        <v>23</v>
      </c>
      <c r="C27504" s="8" t="n">
        <v>1</v>
      </c>
      <c r="D27504" s="8" t="inlineStr">
        <is>
          <t>Disneyland Park</t>
        </is>
      </c>
      <c r="E27504" s="8" t="inlineStr">
        <is>
          <t>Phantom Manor</t>
        </is>
      </c>
      <c r="F27504" s="8" t="inlineStr">
        <is>
          <t>STANDBY</t>
        </is>
      </c>
      <c r="G27504" s="8" t="n">
        <v>0</v>
      </c>
      <c r="H27504" s="8" t="inlineStr">
        <is>
          <t>CLOSED</t>
        </is>
      </c>
    </row>
    <row r="27505">
      <c r="A27505" s="8" t="inlineStr">
        <is>
          <t>2026-08-05</t>
        </is>
      </c>
      <c r="B27505" s="8" t="n">
        <v>23</v>
      </c>
      <c r="C27505" s="8" t="n">
        <v>1</v>
      </c>
      <c r="D27505" s="8" t="inlineStr">
        <is>
          <t>Disneyland Park</t>
        </is>
      </c>
      <c r="E27505" s="8" t="inlineStr">
        <is>
          <t>River Rogue Keelboats</t>
        </is>
      </c>
      <c r="F27505" s="8" t="inlineStr">
        <is>
          <t>STANDBY</t>
        </is>
      </c>
      <c r="G27505" s="8" t="n">
        <v>0</v>
      </c>
      <c r="H27505" s="8" t="inlineStr">
        <is>
          <t>CLOSED</t>
        </is>
      </c>
    </row>
    <row r="27506">
      <c r="A27506" s="8" t="inlineStr">
        <is>
          <t>2026-08-05</t>
        </is>
      </c>
      <c r="B27506" s="8" t="n">
        <v>23</v>
      </c>
      <c r="C27506" s="8" t="n">
        <v>1</v>
      </c>
      <c r="D27506" s="8" t="inlineStr">
        <is>
          <t>Disneyland Park</t>
        </is>
      </c>
      <c r="E27506" s="8" t="inlineStr">
        <is>
          <t>Rustler Roundup Shootin' Gallery</t>
        </is>
      </c>
      <c r="F27506" s="8" t="inlineStr">
        <is>
          <t>STANDBY</t>
        </is>
      </c>
      <c r="G27506" s="8" t="n">
        <v>0</v>
      </c>
      <c r="H27506" s="8" t="inlineStr">
        <is>
          <t>CLOSED</t>
        </is>
      </c>
    </row>
    <row r="27507">
      <c r="A27507" s="8" t="inlineStr">
        <is>
          <t>2026-08-05</t>
        </is>
      </c>
      <c r="B27507" s="8" t="n">
        <v>23</v>
      </c>
      <c r="C27507" s="8" t="n">
        <v>1</v>
      </c>
      <c r="D27507" s="8" t="inlineStr">
        <is>
          <t>Disneyland Park</t>
        </is>
      </c>
      <c r="E27507" s="8" t="inlineStr">
        <is>
          <t>Thunder Mesa Riverboat Landing</t>
        </is>
      </c>
      <c r="F27507" s="8" t="inlineStr">
        <is>
          <t>STANDBY</t>
        </is>
      </c>
      <c r="G27507" s="8" t="n">
        <v>0</v>
      </c>
      <c r="H27507" s="8" t="inlineStr">
        <is>
          <t>CLOSED</t>
        </is>
      </c>
    </row>
    <row r="27508">
      <c r="A27508" s="8" t="inlineStr">
        <is>
          <t>2026-08-05</t>
        </is>
      </c>
      <c r="B27508" s="8" t="n">
        <v>23</v>
      </c>
      <c r="C27508" s="8" t="n">
        <v>1</v>
      </c>
      <c r="D27508" s="8" t="inlineStr">
        <is>
          <t>Disneyland Park</t>
        </is>
      </c>
      <c r="E27508" s="8" t="inlineStr">
        <is>
          <t>Disneyland Railroad Main Street Station</t>
        </is>
      </c>
      <c r="F27508" s="8" t="inlineStr">
        <is>
          <t>STANDBY</t>
        </is>
      </c>
      <c r="G27508" s="8" t="n">
        <v>0</v>
      </c>
      <c r="H27508" s="8" t="inlineStr">
        <is>
          <t>CLOSED</t>
        </is>
      </c>
    </row>
    <row r="27509">
      <c r="A27509" s="8" t="inlineStr">
        <is>
          <t>2026-08-05</t>
        </is>
      </c>
      <c r="B27509" s="8" t="n">
        <v>23</v>
      </c>
      <c r="C27509" s="8" t="n">
        <v>1</v>
      </c>
      <c r="D27509" s="8" t="inlineStr">
        <is>
          <t>Disneyland Park</t>
        </is>
      </c>
      <c r="E27509" s="8" t="inlineStr">
        <is>
          <t>Main Street Vehicles</t>
        </is>
      </c>
      <c r="F27509" s="8" t="inlineStr">
        <is>
          <t>STANDBY</t>
        </is>
      </c>
      <c r="G27509" s="8" t="n">
        <v>0</v>
      </c>
      <c r="H27509" s="8" t="inlineStr">
        <is>
          <t>CLOSED</t>
        </is>
      </c>
    </row>
    <row r="27510">
      <c r="A27510" s="8" t="inlineStr">
        <is>
          <t>2026-08-05</t>
        </is>
      </c>
      <c r="B27510" s="8" t="n">
        <v>23</v>
      </c>
      <c r="C27510" s="8" t="n">
        <v>1</v>
      </c>
      <c r="D27510" s="8" t="inlineStr">
        <is>
          <t>Disney Adventure World</t>
        </is>
      </c>
      <c r="E27510" s="8" t="inlineStr">
        <is>
          <t>Avengers Assemble: Flight Force</t>
        </is>
      </c>
      <c r="F27510" s="8" t="inlineStr">
        <is>
          <t>STANDBY</t>
        </is>
      </c>
      <c r="G27510" s="8" t="n">
        <v>0</v>
      </c>
      <c r="H27510" s="8" t="inlineStr">
        <is>
          <t>CLOSED</t>
        </is>
      </c>
    </row>
    <row r="27511">
      <c r="A27511" s="8" t="inlineStr">
        <is>
          <t>2026-08-05</t>
        </is>
      </c>
      <c r="B27511" s="8" t="n">
        <v>23</v>
      </c>
      <c r="C27511" s="8" t="n">
        <v>1</v>
      </c>
      <c r="D27511" s="8" t="inlineStr">
        <is>
          <t>Disney Adventure World</t>
        </is>
      </c>
      <c r="E27511" s="8" t="inlineStr">
        <is>
          <t>Avengers Assemble: Flight Force Single Rider</t>
        </is>
      </c>
      <c r="F27511" s="8" t="inlineStr">
        <is>
          <t>STANDBY</t>
        </is>
      </c>
      <c r="G27511" s="8" t="n">
        <v>0</v>
      </c>
      <c r="H27511" s="8" t="inlineStr">
        <is>
          <t>CLOSED</t>
        </is>
      </c>
    </row>
    <row r="27512">
      <c r="A27512" s="8" t="inlineStr">
        <is>
          <t>2026-08-05</t>
        </is>
      </c>
      <c r="B27512" s="8" t="n">
        <v>23</v>
      </c>
      <c r="C27512" s="8" t="n">
        <v>1</v>
      </c>
      <c r="D27512" s="8" t="inlineStr">
        <is>
          <t>Disney Adventure World</t>
        </is>
      </c>
      <c r="E27512" s="8" t="inlineStr">
        <is>
          <t>Spider-Man W.E.B. Adventure</t>
        </is>
      </c>
      <c r="F27512" s="8" t="inlineStr">
        <is>
          <t>STANDBY</t>
        </is>
      </c>
      <c r="G27512" s="8" t="n">
        <v>0</v>
      </c>
      <c r="H27512" s="8" t="inlineStr">
        <is>
          <t>CLOSED</t>
        </is>
      </c>
    </row>
    <row r="27513">
      <c r="A27513" s="8" t="inlineStr">
        <is>
          <t>2026-08-05</t>
        </is>
      </c>
      <c r="B27513" s="8" t="n">
        <v>23</v>
      </c>
      <c r="C27513" s="8" t="n">
        <v>1</v>
      </c>
      <c r="D27513" s="8" t="inlineStr">
        <is>
          <t>Disney Adventure World</t>
        </is>
      </c>
      <c r="E27513" s="8" t="inlineStr">
        <is>
          <t>Spider-Man W.E.B. Adventure Single Rider</t>
        </is>
      </c>
      <c r="F27513" s="8" t="inlineStr">
        <is>
          <t>STANDBY</t>
        </is>
      </c>
      <c r="G27513" s="8" t="n">
        <v>0</v>
      </c>
      <c r="H27513" s="8" t="inlineStr">
        <is>
          <t>CLOSED</t>
        </is>
      </c>
    </row>
    <row r="27514">
      <c r="A27514" s="8" t="inlineStr">
        <is>
          <t>2026-08-05</t>
        </is>
      </c>
      <c r="B27514" s="8" t="n">
        <v>23</v>
      </c>
      <c r="C27514" s="8" t="n">
        <v>1</v>
      </c>
      <c r="D27514" s="8" t="inlineStr">
        <is>
          <t>Disney Adventure World</t>
        </is>
      </c>
      <c r="E27514" s="8" t="inlineStr">
        <is>
          <t>The Twilight Zone Tower of Terror</t>
        </is>
      </c>
      <c r="F27514" s="8" t="inlineStr">
        <is>
          <t>STANDBY</t>
        </is>
      </c>
      <c r="G27514" s="8" t="n">
        <v>0</v>
      </c>
      <c r="H27514" s="8" t="inlineStr">
        <is>
          <t>CLOSED</t>
        </is>
      </c>
    </row>
    <row r="27515">
      <c r="A27515" s="8" t="inlineStr">
        <is>
          <t>2026-08-05</t>
        </is>
      </c>
      <c r="B27515" s="8" t="n">
        <v>23</v>
      </c>
      <c r="C27515" s="8" t="n">
        <v>1</v>
      </c>
      <c r="D27515" s="8" t="inlineStr">
        <is>
          <t>Disney Adventure World</t>
        </is>
      </c>
      <c r="E27515" s="8" t="inlineStr">
        <is>
          <t>Cars Quatre Roues Rallye</t>
        </is>
      </c>
      <c r="F27515" s="8" t="inlineStr">
        <is>
          <t>STANDBY</t>
        </is>
      </c>
      <c r="G27515" s="8" t="n">
        <v>0</v>
      </c>
      <c r="H27515" s="8" t="inlineStr">
        <is>
          <t>CLOSED</t>
        </is>
      </c>
    </row>
    <row r="27516">
      <c r="A27516" s="8" t="inlineStr">
        <is>
          <t>2026-08-05</t>
        </is>
      </c>
      <c r="B27516" s="8" t="n">
        <v>23</v>
      </c>
      <c r="C27516" s="8" t="n">
        <v>1</v>
      </c>
      <c r="D27516" s="8" t="inlineStr">
        <is>
          <t>Disney Adventure World</t>
        </is>
      </c>
      <c r="E27516" s="8" t="inlineStr">
        <is>
          <t>Cars ROAD TRIP</t>
        </is>
      </c>
      <c r="F27516" s="8" t="inlineStr">
        <is>
          <t>STANDBY</t>
        </is>
      </c>
      <c r="G27516" s="8" t="n">
        <v>0</v>
      </c>
      <c r="H27516" s="8" t="inlineStr">
        <is>
          <t>CLOSED</t>
        </is>
      </c>
    </row>
    <row r="27517">
      <c r="A27517" s="8" t="inlineStr">
        <is>
          <t>2026-08-05</t>
        </is>
      </c>
      <c r="B27517" s="8" t="n">
        <v>23</v>
      </c>
      <c r="C27517" s="8" t="n">
        <v>1</v>
      </c>
      <c r="D27517" s="8" t="inlineStr">
        <is>
          <t>Disney Adventure World</t>
        </is>
      </c>
      <c r="E27517" s="8" t="inlineStr">
        <is>
          <t>Crush's Coaster</t>
        </is>
      </c>
      <c r="F27517" s="8" t="inlineStr">
        <is>
          <t>STANDBY</t>
        </is>
      </c>
      <c r="G27517" s="8" t="n">
        <v>0</v>
      </c>
      <c r="H27517" s="8" t="inlineStr">
        <is>
          <t>CLOSED</t>
        </is>
      </c>
    </row>
    <row r="27518">
      <c r="A27518" s="8" t="inlineStr">
        <is>
          <t>2026-08-05</t>
        </is>
      </c>
      <c r="B27518" s="8" t="n">
        <v>23</v>
      </c>
      <c r="C27518" s="8" t="n">
        <v>1</v>
      </c>
      <c r="D27518" s="8" t="inlineStr">
        <is>
          <t>Disney Adventure World</t>
        </is>
      </c>
      <c r="E27518" s="8" t="inlineStr">
        <is>
          <t>Crush's Coaster Single Rider</t>
        </is>
      </c>
      <c r="F27518" s="8" t="inlineStr">
        <is>
          <t>STANDBY</t>
        </is>
      </c>
      <c r="G27518" s="8" t="n">
        <v>0</v>
      </c>
      <c r="H27518" s="8" t="inlineStr">
        <is>
          <t>CLOSED</t>
        </is>
      </c>
    </row>
    <row r="27519">
      <c r="A27519" s="8" t="inlineStr">
        <is>
          <t>2026-08-05</t>
        </is>
      </c>
      <c r="B27519" s="8" t="n">
        <v>23</v>
      </c>
      <c r="C27519" s="8" t="n">
        <v>1</v>
      </c>
      <c r="D27519" s="8" t="inlineStr">
        <is>
          <t>Disney Adventure World</t>
        </is>
      </c>
      <c r="E27519" s="8" t="inlineStr">
        <is>
          <t>Les Tapis Volants - Flying Carpets Over Agrabah®</t>
        </is>
      </c>
      <c r="F27519" s="8" t="inlineStr">
        <is>
          <t>STANDBY</t>
        </is>
      </c>
      <c r="G27519" s="8" t="n">
        <v>0</v>
      </c>
      <c r="H27519" s="8" t="inlineStr">
        <is>
          <t>CLOSED</t>
        </is>
      </c>
    </row>
    <row r="27520">
      <c r="A27520" s="8" t="inlineStr">
        <is>
          <t>2026-08-05</t>
        </is>
      </c>
      <c r="B27520" s="8" t="n">
        <v>23</v>
      </c>
      <c r="C27520" s="8" t="n">
        <v>1</v>
      </c>
      <c r="D27520" s="8" t="inlineStr">
        <is>
          <t>Disney Adventure World</t>
        </is>
      </c>
      <c r="E27520" s="8" t="inlineStr">
        <is>
          <t>Ratatouille : L’Aventure Totalement Toquée de Rémy​</t>
        </is>
      </c>
      <c r="F27520" s="8" t="inlineStr">
        <is>
          <t>STANDBY</t>
        </is>
      </c>
      <c r="G27520" s="8" t="n">
        <v>0</v>
      </c>
      <c r="H27520" s="8" t="inlineStr">
        <is>
          <t>CLOSED</t>
        </is>
      </c>
    </row>
    <row r="27521">
      <c r="A27521" s="8" t="inlineStr">
        <is>
          <t>2026-08-05</t>
        </is>
      </c>
      <c r="B27521" s="8" t="n">
        <v>23</v>
      </c>
      <c r="C27521" s="8" t="n">
        <v>1</v>
      </c>
      <c r="D27521" s="8" t="inlineStr">
        <is>
          <t>Disney Adventure World</t>
        </is>
      </c>
      <c r="E27521" s="8" t="inlineStr">
        <is>
          <t>Ratatouille: The Adventure Single Rider</t>
        </is>
      </c>
      <c r="F27521" s="8" t="inlineStr">
        <is>
          <t>STANDBY</t>
        </is>
      </c>
      <c r="G27521" s="8" t="n">
        <v>0</v>
      </c>
      <c r="H27521" s="8" t="inlineStr">
        <is>
          <t>CLOSED</t>
        </is>
      </c>
    </row>
    <row r="27522">
      <c r="A27522" s="8" t="inlineStr">
        <is>
          <t>2026-08-05</t>
        </is>
      </c>
      <c r="B27522" s="8" t="n">
        <v>23</v>
      </c>
      <c r="C27522" s="8" t="n">
        <v>1</v>
      </c>
      <c r="D27522" s="8" t="inlineStr">
        <is>
          <t>Disney Adventure World</t>
        </is>
      </c>
      <c r="E27522" s="8" t="inlineStr">
        <is>
          <t>RC Racer</t>
        </is>
      </c>
      <c r="F27522" s="8" t="inlineStr">
        <is>
          <t>STANDBY</t>
        </is>
      </c>
      <c r="G27522" s="8" t="n">
        <v>0</v>
      </c>
      <c r="H27522" s="8" t="inlineStr">
        <is>
          <t>CLOSED</t>
        </is>
      </c>
    </row>
    <row r="27523">
      <c r="A27523" s="8" t="inlineStr">
        <is>
          <t>2026-08-05</t>
        </is>
      </c>
      <c r="B27523" s="8" t="n">
        <v>23</v>
      </c>
      <c r="C27523" s="8" t="n">
        <v>1</v>
      </c>
      <c r="D27523" s="8" t="inlineStr">
        <is>
          <t>Disney Adventure World</t>
        </is>
      </c>
      <c r="E27523" s="8" t="inlineStr">
        <is>
          <t>RC Racer Single Rider</t>
        </is>
      </c>
      <c r="F27523" s="8" t="inlineStr">
        <is>
          <t>STANDBY</t>
        </is>
      </c>
      <c r="G27523" s="8" t="n">
        <v>0</v>
      </c>
      <c r="H27523" s="8" t="inlineStr">
        <is>
          <t>CLOSED</t>
        </is>
      </c>
    </row>
    <row r="27524">
      <c r="A27524" s="8" t="inlineStr">
        <is>
          <t>2026-08-05</t>
        </is>
      </c>
      <c r="B27524" s="8" t="n">
        <v>23</v>
      </c>
      <c r="C27524" s="8" t="n">
        <v>1</v>
      </c>
      <c r="D27524" s="8" t="inlineStr">
        <is>
          <t>Disney Adventure World</t>
        </is>
      </c>
      <c r="E27524" s="8" t="inlineStr">
        <is>
          <t>Slinky® Dog Zigzag Spin</t>
        </is>
      </c>
      <c r="F27524" s="8" t="inlineStr">
        <is>
          <t>STANDBY</t>
        </is>
      </c>
      <c r="G27524" s="8" t="n">
        <v>0</v>
      </c>
      <c r="H27524" s="8" t="inlineStr">
        <is>
          <t>CLOSED</t>
        </is>
      </c>
    </row>
    <row r="27525">
      <c r="A27525" s="8" t="inlineStr">
        <is>
          <t>2026-08-05</t>
        </is>
      </c>
      <c r="B27525" s="8" t="n">
        <v>23</v>
      </c>
      <c r="C27525" s="8" t="n">
        <v>1</v>
      </c>
      <c r="D27525" s="8" t="inlineStr">
        <is>
          <t>Disney Adventure World</t>
        </is>
      </c>
      <c r="E27525" s="8" t="inlineStr">
        <is>
          <t>Toy Soldiers Parachute Drop</t>
        </is>
      </c>
      <c r="F27525" s="8" t="inlineStr">
        <is>
          <t>STANDBY</t>
        </is>
      </c>
      <c r="G27525" s="8" t="n">
        <v>0</v>
      </c>
      <c r="H27525" s="8" t="inlineStr">
        <is>
          <t>CLOSED</t>
        </is>
      </c>
    </row>
    <row r="27526">
      <c r="A27526" s="8" t="inlineStr">
        <is>
          <t>2026-08-05</t>
        </is>
      </c>
      <c r="B27526" s="8" t="n">
        <v>23</v>
      </c>
      <c r="C27526" s="8" t="n">
        <v>1</v>
      </c>
      <c r="D27526" s="8" t="inlineStr">
        <is>
          <t>Disney Adventure World</t>
        </is>
      </c>
      <c r="E27526" s="8" t="inlineStr">
        <is>
          <t>Toy Soldiers Parachute Drop Single Rider</t>
        </is>
      </c>
      <c r="F27526" s="8" t="inlineStr">
        <is>
          <t>STANDBY</t>
        </is>
      </c>
      <c r="G27526" s="8" t="n">
        <v>0</v>
      </c>
      <c r="H27526" s="8" t="inlineStr">
        <is>
          <t>CLOSED</t>
        </is>
      </c>
    </row>
    <row r="27527">
      <c r="A27527" s="8" t="inlineStr">
        <is>
          <t>2026-08-05</t>
        </is>
      </c>
      <c r="B27527" s="8" t="n">
        <v>23</v>
      </c>
      <c r="C27527" s="8" t="n">
        <v>1</v>
      </c>
      <c r="D27527" s="8" t="inlineStr">
        <is>
          <t>Disney Adventure World</t>
        </is>
      </c>
      <c r="E27527" s="8" t="inlineStr">
        <is>
          <t>Entry to World of Frozen</t>
        </is>
      </c>
      <c r="F27527" s="8" t="inlineStr">
        <is>
          <t>STANDBY</t>
        </is>
      </c>
      <c r="G27527" s="8" t="n">
        <v>0</v>
      </c>
      <c r="H27527" s="8" t="inlineStr">
        <is>
          <t>CLOSED</t>
        </is>
      </c>
    </row>
    <row r="27528">
      <c r="A27528" s="8" t="inlineStr">
        <is>
          <t>2026-08-05</t>
        </is>
      </c>
      <c r="B27528" s="8" t="n">
        <v>23</v>
      </c>
      <c r="C27528" s="8" t="n">
        <v>1</v>
      </c>
      <c r="D27528" s="8" t="inlineStr">
        <is>
          <t>Disney Adventure World</t>
        </is>
      </c>
      <c r="E27528" s="8" t="inlineStr">
        <is>
          <t>Frozen Ever After</t>
        </is>
      </c>
      <c r="F27528" s="8" t="inlineStr">
        <is>
          <t>STANDBY</t>
        </is>
      </c>
      <c r="G27528" s="8" t="n">
        <v>0</v>
      </c>
      <c r="H27528" s="8" t="inlineStr">
        <is>
          <t>CLOSED</t>
        </is>
      </c>
    </row>
    <row r="27529">
      <c r="A27529" s="8" t="inlineStr">
        <is>
          <t>2026-08-05</t>
        </is>
      </c>
      <c r="B27529" s="8" t="n">
        <v>23</v>
      </c>
      <c r="C27529" s="8" t="n">
        <v>1</v>
      </c>
      <c r="D27529" s="8" t="inlineStr">
        <is>
          <t>Disney Adventure World</t>
        </is>
      </c>
      <c r="E27529" s="8" t="inlineStr">
        <is>
          <t>Raiponce Tangled Spin</t>
        </is>
      </c>
      <c r="F27529" s="8" t="inlineStr">
        <is>
          <t>STANDBY</t>
        </is>
      </c>
      <c r="G27529" s="8" t="n">
        <v>0</v>
      </c>
      <c r="H27529" s="8" t="inlineStr">
        <is>
          <t>CLOSED</t>
        </is>
      </c>
    </row>
    <row r="27530">
      <c r="A27530" s="8" t="inlineStr">
        <is>
          <t>2026-08-05</t>
        </is>
      </c>
      <c r="B27530" s="8" t="n">
        <v>23</v>
      </c>
      <c r="C27530" s="8" t="n">
        <v>15</v>
      </c>
      <c r="D27530" s="8" t="inlineStr">
        <is>
          <t>Disneyland Park</t>
        </is>
      </c>
      <c r="E27530" s="8" t="inlineStr">
        <is>
          <t>Adventure Isle</t>
        </is>
      </c>
      <c r="F27530" s="8" t="inlineStr">
        <is>
          <t>STANDBY</t>
        </is>
      </c>
      <c r="G27530" s="8" t="n">
        <v>0</v>
      </c>
      <c r="H27530" s="8" t="inlineStr">
        <is>
          <t>CLOSED</t>
        </is>
      </c>
    </row>
    <row r="27531">
      <c r="A27531" s="8" t="inlineStr">
        <is>
          <t>2026-08-05</t>
        </is>
      </c>
      <c r="B27531" s="8" t="n">
        <v>23</v>
      </c>
      <c r="C27531" s="8" t="n">
        <v>15</v>
      </c>
      <c r="D27531" s="8" t="inlineStr">
        <is>
          <t>Disneyland Park</t>
        </is>
      </c>
      <c r="E27531" s="8" t="inlineStr">
        <is>
          <t>Indiana Jones and the Temple of Peril Single Rider</t>
        </is>
      </c>
      <c r="F27531" s="8" t="inlineStr">
        <is>
          <t>STANDBY</t>
        </is>
      </c>
      <c r="G27531" s="8" t="n">
        <v>0</v>
      </c>
      <c r="H27531" s="8" t="inlineStr">
        <is>
          <t>CLOSED</t>
        </is>
      </c>
    </row>
    <row r="27532">
      <c r="A27532" s="8" t="inlineStr">
        <is>
          <t>2026-08-05</t>
        </is>
      </c>
      <c r="B27532" s="8" t="n">
        <v>23</v>
      </c>
      <c r="C27532" s="8" t="n">
        <v>15</v>
      </c>
      <c r="D27532" s="8" t="inlineStr">
        <is>
          <t>Disneyland Park</t>
        </is>
      </c>
      <c r="E27532" s="8" t="inlineStr">
        <is>
          <t>Indiana Jones™ and the Temple of Peril</t>
        </is>
      </c>
      <c r="F27532" s="8" t="inlineStr">
        <is>
          <t>STANDBY</t>
        </is>
      </c>
      <c r="G27532" s="8" t="n">
        <v>0</v>
      </c>
      <c r="H27532" s="8" t="inlineStr">
        <is>
          <t>CLOSED</t>
        </is>
      </c>
    </row>
    <row r="27533">
      <c r="A27533" s="8" t="inlineStr">
        <is>
          <t>2026-08-05</t>
        </is>
      </c>
      <c r="B27533" s="8" t="n">
        <v>23</v>
      </c>
      <c r="C27533" s="8" t="n">
        <v>15</v>
      </c>
      <c r="D27533" s="8" t="inlineStr">
        <is>
          <t>Disneyland Park</t>
        </is>
      </c>
      <c r="E27533" s="8" t="inlineStr">
        <is>
          <t>La Cabane des Robinson</t>
        </is>
      </c>
      <c r="F27533" s="8" t="inlineStr">
        <is>
          <t>STANDBY</t>
        </is>
      </c>
      <c r="G27533" s="8" t="n">
        <v>0</v>
      </c>
      <c r="H27533" s="8" t="inlineStr">
        <is>
          <t>CLOSED</t>
        </is>
      </c>
    </row>
    <row r="27534">
      <c r="A27534" s="8" t="inlineStr">
        <is>
          <t>2026-08-05</t>
        </is>
      </c>
      <c r="B27534" s="8" t="n">
        <v>23</v>
      </c>
      <c r="C27534" s="8" t="n">
        <v>15</v>
      </c>
      <c r="D27534" s="8" t="inlineStr">
        <is>
          <t>Disneyland Park</t>
        </is>
      </c>
      <c r="E27534" s="8" t="inlineStr">
        <is>
          <t>Le Passage Enchanté d'Aladdin</t>
        </is>
      </c>
      <c r="F27534" s="8" t="inlineStr">
        <is>
          <t>STANDBY</t>
        </is>
      </c>
      <c r="G27534" s="8" t="n">
        <v>0</v>
      </c>
      <c r="H27534" s="8" t="inlineStr">
        <is>
          <t>CLOSED</t>
        </is>
      </c>
    </row>
    <row r="27535">
      <c r="A27535" s="8" t="inlineStr">
        <is>
          <t>2026-08-05</t>
        </is>
      </c>
      <c r="B27535" s="8" t="n">
        <v>23</v>
      </c>
      <c r="C27535" s="8" t="n">
        <v>15</v>
      </c>
      <c r="D27535" s="8" t="inlineStr">
        <is>
          <t>Disneyland Park</t>
        </is>
      </c>
      <c r="E27535" s="8" t="inlineStr">
        <is>
          <t>Pirate Galleon</t>
        </is>
      </c>
      <c r="F27535" s="8" t="inlineStr">
        <is>
          <t>STANDBY</t>
        </is>
      </c>
      <c r="G27535" s="8" t="n">
        <v>0</v>
      </c>
      <c r="H27535" s="8" t="inlineStr">
        <is>
          <t>CLOSED</t>
        </is>
      </c>
    </row>
    <row r="27536">
      <c r="A27536" s="8" t="inlineStr">
        <is>
          <t>2026-08-05</t>
        </is>
      </c>
      <c r="B27536" s="8" t="n">
        <v>23</v>
      </c>
      <c r="C27536" s="8" t="n">
        <v>15</v>
      </c>
      <c r="D27536" s="8" t="inlineStr">
        <is>
          <t>Disneyland Park</t>
        </is>
      </c>
      <c r="E27536" s="8" t="inlineStr">
        <is>
          <t>Pirates of the Caribbean</t>
        </is>
      </c>
      <c r="F27536" s="8" t="inlineStr">
        <is>
          <t>STANDBY</t>
        </is>
      </c>
      <c r="G27536" s="8" t="n">
        <v>0</v>
      </c>
      <c r="H27536" s="8" t="inlineStr">
        <is>
          <t>CLOSED</t>
        </is>
      </c>
    </row>
    <row r="27537">
      <c r="A27537" s="8" t="inlineStr">
        <is>
          <t>2026-08-05</t>
        </is>
      </c>
      <c r="B27537" s="8" t="n">
        <v>23</v>
      </c>
      <c r="C27537" s="8" t="n">
        <v>15</v>
      </c>
      <c r="D27537" s="8" t="inlineStr">
        <is>
          <t>Disneyland Park</t>
        </is>
      </c>
      <c r="E27537" s="8" t="inlineStr">
        <is>
          <t>Pirates' Beach</t>
        </is>
      </c>
      <c r="F27537" s="8" t="inlineStr">
        <is>
          <t>STANDBY</t>
        </is>
      </c>
      <c r="G27537" s="8" t="n">
        <v>0</v>
      </c>
      <c r="H27537" s="8" t="inlineStr">
        <is>
          <t>CLOSED</t>
        </is>
      </c>
    </row>
    <row r="27538">
      <c r="A27538" s="8" t="inlineStr">
        <is>
          <t>2026-08-05</t>
        </is>
      </c>
      <c r="B27538" s="8" t="n">
        <v>23</v>
      </c>
      <c r="C27538" s="8" t="n">
        <v>15</v>
      </c>
      <c r="D27538" s="8" t="inlineStr">
        <is>
          <t>Disneyland Park</t>
        </is>
      </c>
      <c r="E27538" s="8" t="inlineStr">
        <is>
          <t>Autopia, presented by Avis</t>
        </is>
      </c>
      <c r="F27538" s="8" t="inlineStr">
        <is>
          <t>STANDBY</t>
        </is>
      </c>
      <c r="G27538" s="8" t="n">
        <v>0</v>
      </c>
      <c r="H27538" s="8" t="inlineStr">
        <is>
          <t>CLOSED</t>
        </is>
      </c>
    </row>
    <row r="27539">
      <c r="A27539" s="8" t="inlineStr">
        <is>
          <t>2026-08-05</t>
        </is>
      </c>
      <c r="B27539" s="8" t="n">
        <v>23</v>
      </c>
      <c r="C27539" s="8" t="n">
        <v>15</v>
      </c>
      <c r="D27539" s="8" t="inlineStr">
        <is>
          <t>Disneyland Park</t>
        </is>
      </c>
      <c r="E27539" s="8" t="inlineStr">
        <is>
          <t>Buzz Lightyear Laser Blast</t>
        </is>
      </c>
      <c r="F27539" s="8" t="inlineStr">
        <is>
          <t>STANDBY</t>
        </is>
      </c>
      <c r="G27539" s="8" t="n">
        <v>0</v>
      </c>
      <c r="H27539" s="8" t="inlineStr">
        <is>
          <t>CLOSED</t>
        </is>
      </c>
    </row>
    <row r="27540">
      <c r="A27540" s="8" t="inlineStr">
        <is>
          <t>2026-08-05</t>
        </is>
      </c>
      <c r="B27540" s="8" t="n">
        <v>23</v>
      </c>
      <c r="C27540" s="8" t="n">
        <v>15</v>
      </c>
      <c r="D27540" s="8" t="inlineStr">
        <is>
          <t>Disneyland Park</t>
        </is>
      </c>
      <c r="E27540" s="8" t="inlineStr">
        <is>
          <t>Disneyland Railroad Discoveryland Station</t>
        </is>
      </c>
      <c r="F27540" s="8" t="inlineStr">
        <is>
          <t>STANDBY</t>
        </is>
      </c>
      <c r="G27540" s="8" t="n">
        <v>0</v>
      </c>
      <c r="H27540" s="8" t="inlineStr">
        <is>
          <t>CLOSED</t>
        </is>
      </c>
    </row>
    <row r="27541">
      <c r="A27541" s="8" t="inlineStr">
        <is>
          <t>2026-08-05</t>
        </is>
      </c>
      <c r="B27541" s="8" t="n">
        <v>23</v>
      </c>
      <c r="C27541" s="8" t="n">
        <v>15</v>
      </c>
      <c r="D27541" s="8" t="inlineStr">
        <is>
          <t>Disneyland Park</t>
        </is>
      </c>
      <c r="E27541" s="8" t="inlineStr">
        <is>
          <t>Les Mystères du Nautilus</t>
        </is>
      </c>
      <c r="F27541" s="8" t="inlineStr">
        <is>
          <t>STANDBY</t>
        </is>
      </c>
      <c r="G27541" s="8" t="n">
        <v>0</v>
      </c>
      <c r="H27541" s="8" t="inlineStr">
        <is>
          <t>CLOSED</t>
        </is>
      </c>
    </row>
    <row r="27542">
      <c r="A27542" s="8" t="inlineStr">
        <is>
          <t>2026-08-05</t>
        </is>
      </c>
      <c r="B27542" s="8" t="n">
        <v>23</v>
      </c>
      <c r="C27542" s="8" t="n">
        <v>15</v>
      </c>
      <c r="D27542" s="8" t="inlineStr">
        <is>
          <t>Disneyland Park</t>
        </is>
      </c>
      <c r="E27542" s="8" t="inlineStr">
        <is>
          <t>Mickey’s PhilharMagic</t>
        </is>
      </c>
      <c r="F27542" s="8" t="inlineStr">
        <is>
          <t>STANDBY</t>
        </is>
      </c>
      <c r="G27542" s="8" t="n">
        <v>0</v>
      </c>
      <c r="H27542" s="8" t="inlineStr">
        <is>
          <t>CLOSED</t>
        </is>
      </c>
    </row>
    <row r="27543">
      <c r="A27543" s="8" t="inlineStr">
        <is>
          <t>2026-08-05</t>
        </is>
      </c>
      <c r="B27543" s="8" t="n">
        <v>23</v>
      </c>
      <c r="C27543" s="8" t="n">
        <v>15</v>
      </c>
      <c r="D27543" s="8" t="inlineStr">
        <is>
          <t>Disneyland Park</t>
        </is>
      </c>
      <c r="E27543" s="8" t="inlineStr">
        <is>
          <t>Orbitron®</t>
        </is>
      </c>
      <c r="F27543" s="8" t="inlineStr">
        <is>
          <t>STANDBY</t>
        </is>
      </c>
      <c r="G27543" s="8" t="n">
        <v>0</v>
      </c>
      <c r="H27543" s="8" t="inlineStr">
        <is>
          <t>CLOSED</t>
        </is>
      </c>
    </row>
    <row r="27544">
      <c r="A27544" s="8" t="inlineStr">
        <is>
          <t>2026-08-05</t>
        </is>
      </c>
      <c r="B27544" s="8" t="n">
        <v>23</v>
      </c>
      <c r="C27544" s="8" t="n">
        <v>15</v>
      </c>
      <c r="D27544" s="8" t="inlineStr">
        <is>
          <t>Disneyland Park</t>
        </is>
      </c>
      <c r="E27544" s="8" t="inlineStr">
        <is>
          <t>Star Tours: The Adventures Continue*</t>
        </is>
      </c>
      <c r="F27544" s="8" t="inlineStr">
        <is>
          <t>STANDBY</t>
        </is>
      </c>
      <c r="G27544" s="8" t="n">
        <v>0</v>
      </c>
      <c r="H27544" s="8" t="inlineStr">
        <is>
          <t>CLOSED</t>
        </is>
      </c>
    </row>
    <row r="27545">
      <c r="A27545" s="8" t="inlineStr">
        <is>
          <t>2026-08-05</t>
        </is>
      </c>
      <c r="B27545" s="8" t="n">
        <v>23</v>
      </c>
      <c r="C27545" s="8" t="n">
        <v>15</v>
      </c>
      <c r="D27545" s="8" t="inlineStr">
        <is>
          <t>Disneyland Park</t>
        </is>
      </c>
      <c r="E27545" s="8" t="inlineStr">
        <is>
          <t>Star Wars Hyperspace Mountain</t>
        </is>
      </c>
      <c r="F27545" s="8" t="inlineStr">
        <is>
          <t>STANDBY</t>
        </is>
      </c>
      <c r="G27545" s="8" t="n">
        <v>0</v>
      </c>
      <c r="H27545" s="8" t="inlineStr">
        <is>
          <t>CLOSED</t>
        </is>
      </c>
    </row>
    <row r="27546">
      <c r="A27546" s="8" t="inlineStr">
        <is>
          <t>2026-08-05</t>
        </is>
      </c>
      <c r="B27546" s="8" t="n">
        <v>23</v>
      </c>
      <c r="C27546" s="8" t="n">
        <v>15</v>
      </c>
      <c r="D27546" s="8" t="inlineStr">
        <is>
          <t>Disneyland Park</t>
        </is>
      </c>
      <c r="E27546" s="8" t="inlineStr">
        <is>
          <t>Star Wars Hyperspace Mountain Single Rider</t>
        </is>
      </c>
      <c r="F27546" s="8" t="inlineStr">
        <is>
          <t>STANDBY</t>
        </is>
      </c>
      <c r="G27546" s="8" t="n">
        <v>0</v>
      </c>
      <c r="H27546" s="8" t="inlineStr">
        <is>
          <t>CLOSED</t>
        </is>
      </c>
    </row>
    <row r="27547">
      <c r="A27547" s="8" t="inlineStr">
        <is>
          <t>2026-08-05</t>
        </is>
      </c>
      <c r="B27547" s="8" t="n">
        <v>23</v>
      </c>
      <c r="C27547" s="8" t="n">
        <v>15</v>
      </c>
      <c r="D27547" s="8" t="inlineStr">
        <is>
          <t>Disneyland Park</t>
        </is>
      </c>
      <c r="E27547" s="8" t="inlineStr">
        <is>
          <t>Welcome to Starport: A Star Wars Encounter</t>
        </is>
      </c>
      <c r="F27547" s="8" t="inlineStr">
        <is>
          <t>STANDBY</t>
        </is>
      </c>
      <c r="G27547" s="8" t="n">
        <v>0</v>
      </c>
      <c r="H27547" s="8" t="inlineStr">
        <is>
          <t>CLOSED</t>
        </is>
      </c>
    </row>
    <row r="27548">
      <c r="A27548" s="8" t="inlineStr">
        <is>
          <t>2026-08-05</t>
        </is>
      </c>
      <c r="B27548" s="8" t="n">
        <v>23</v>
      </c>
      <c r="C27548" s="8" t="n">
        <v>15</v>
      </c>
      <c r="D27548" s="8" t="inlineStr">
        <is>
          <t>Disneyland Park</t>
        </is>
      </c>
      <c r="E27548" s="8" t="inlineStr">
        <is>
          <t>"it's a small world"</t>
        </is>
      </c>
      <c r="F27548" s="8" t="inlineStr">
        <is>
          <t>STANDBY</t>
        </is>
      </c>
      <c r="G27548" s="8" t="n">
        <v>0</v>
      </c>
      <c r="H27548" s="8" t="inlineStr">
        <is>
          <t>CLOSED</t>
        </is>
      </c>
    </row>
    <row r="27549">
      <c r="A27549" s="8" t="inlineStr">
        <is>
          <t>2026-08-05</t>
        </is>
      </c>
      <c r="B27549" s="8" t="n">
        <v>23</v>
      </c>
      <c r="C27549" s="8" t="n">
        <v>15</v>
      </c>
      <c r="D27549" s="8" t="inlineStr">
        <is>
          <t>Disneyland Park</t>
        </is>
      </c>
      <c r="E27549" s="8" t="inlineStr">
        <is>
          <t>Alice's Curious Labyrinth</t>
        </is>
      </c>
      <c r="F27549" s="8" t="inlineStr">
        <is>
          <t>STANDBY</t>
        </is>
      </c>
      <c r="G27549" s="8" t="n">
        <v>0</v>
      </c>
      <c r="H27549" s="8" t="inlineStr">
        <is>
          <t>CLOSED</t>
        </is>
      </c>
    </row>
    <row r="27550">
      <c r="A27550" s="8" t="inlineStr">
        <is>
          <t>2026-08-05</t>
        </is>
      </c>
      <c r="B27550" s="8" t="n">
        <v>23</v>
      </c>
      <c r="C27550" s="8" t="n">
        <v>15</v>
      </c>
      <c r="D27550" s="8" t="inlineStr">
        <is>
          <t>Disneyland Park</t>
        </is>
      </c>
      <c r="E27550" s="8" t="inlineStr">
        <is>
          <t>Blanche-Neige et les Sept Nains®</t>
        </is>
      </c>
      <c r="F27550" s="8" t="inlineStr">
        <is>
          <t>STANDBY</t>
        </is>
      </c>
      <c r="G27550" s="8" t="n">
        <v>0</v>
      </c>
      <c r="H27550" s="8" t="inlineStr">
        <is>
          <t>CLOSED</t>
        </is>
      </c>
    </row>
    <row r="27551">
      <c r="A27551" s="8" t="inlineStr">
        <is>
          <t>2026-08-05</t>
        </is>
      </c>
      <c r="B27551" s="8" t="n">
        <v>23</v>
      </c>
      <c r="C27551" s="8" t="n">
        <v>15</v>
      </c>
      <c r="D27551" s="8" t="inlineStr">
        <is>
          <t>Disneyland Park</t>
        </is>
      </c>
      <c r="E27551" s="8" t="inlineStr">
        <is>
          <t>Casey Jr. – le Petit Train du Cirque</t>
        </is>
      </c>
      <c r="F27551" s="8" t="inlineStr">
        <is>
          <t>STANDBY</t>
        </is>
      </c>
      <c r="G27551" s="8" t="n">
        <v>0</v>
      </c>
      <c r="H27551" s="8" t="inlineStr">
        <is>
          <t>CLOSED</t>
        </is>
      </c>
    </row>
    <row r="27552">
      <c r="A27552" s="8" t="inlineStr">
        <is>
          <t>2026-08-05</t>
        </is>
      </c>
      <c r="B27552" s="8" t="n">
        <v>23</v>
      </c>
      <c r="C27552" s="8" t="n">
        <v>15</v>
      </c>
      <c r="D27552" s="8" t="inlineStr">
        <is>
          <t>Disneyland Park</t>
        </is>
      </c>
      <c r="E27552" s="8" t="inlineStr">
        <is>
          <t>Disneyland Railroad Fantasyland Station</t>
        </is>
      </c>
      <c r="F27552" s="8" t="inlineStr">
        <is>
          <t>STANDBY</t>
        </is>
      </c>
      <c r="G27552" s="8" t="n">
        <v>0</v>
      </c>
      <c r="H27552" s="8" t="inlineStr">
        <is>
          <t>CLOSED</t>
        </is>
      </c>
    </row>
    <row r="27553">
      <c r="A27553" s="8" t="inlineStr">
        <is>
          <t>2026-08-05</t>
        </is>
      </c>
      <c r="B27553" s="8" t="n">
        <v>23</v>
      </c>
      <c r="C27553" s="8" t="n">
        <v>15</v>
      </c>
      <c r="D27553" s="8" t="inlineStr">
        <is>
          <t>Disneyland Park</t>
        </is>
      </c>
      <c r="E27553" s="8" t="inlineStr">
        <is>
          <t>Disneyland Railroad Main Street Station</t>
        </is>
      </c>
      <c r="F27553" s="8" t="inlineStr">
        <is>
          <t>STANDBY</t>
        </is>
      </c>
      <c r="G27553" s="8" t="n">
        <v>0</v>
      </c>
      <c r="H27553" s="8" t="inlineStr">
        <is>
          <t>CLOSED</t>
        </is>
      </c>
    </row>
    <row r="27554">
      <c r="A27554" s="8" t="inlineStr">
        <is>
          <t>2026-08-05</t>
        </is>
      </c>
      <c r="B27554" s="8" t="n">
        <v>23</v>
      </c>
      <c r="C27554" s="8" t="n">
        <v>15</v>
      </c>
      <c r="D27554" s="8" t="inlineStr">
        <is>
          <t>Disneyland Park</t>
        </is>
      </c>
      <c r="E27554" s="8" t="inlineStr">
        <is>
          <t>Dumbo the Flying Elephant</t>
        </is>
      </c>
      <c r="F27554" s="8" t="inlineStr">
        <is>
          <t>STANDBY</t>
        </is>
      </c>
      <c r="G27554" s="8" t="n">
        <v>0</v>
      </c>
      <c r="H27554" s="8" t="inlineStr">
        <is>
          <t>CLOSED</t>
        </is>
      </c>
    </row>
    <row r="27555">
      <c r="A27555" s="8" t="inlineStr">
        <is>
          <t>2026-08-05</t>
        </is>
      </c>
      <c r="B27555" s="8" t="n">
        <v>23</v>
      </c>
      <c r="C27555" s="8" t="n">
        <v>15</v>
      </c>
      <c r="D27555" s="8" t="inlineStr">
        <is>
          <t>Disneyland Park</t>
        </is>
      </c>
      <c r="E27555" s="8" t="inlineStr">
        <is>
          <t>La Tanière du Dragon</t>
        </is>
      </c>
      <c r="F27555" s="8" t="inlineStr">
        <is>
          <t>STANDBY</t>
        </is>
      </c>
      <c r="G27555" s="8" t="n">
        <v>0</v>
      </c>
      <c r="H27555" s="8" t="inlineStr">
        <is>
          <t>CLOSED</t>
        </is>
      </c>
    </row>
    <row r="27556">
      <c r="A27556" s="8" t="inlineStr">
        <is>
          <t>2026-08-05</t>
        </is>
      </c>
      <c r="B27556" s="8" t="n">
        <v>23</v>
      </c>
      <c r="C27556" s="8" t="n">
        <v>15</v>
      </c>
      <c r="D27556" s="8" t="inlineStr">
        <is>
          <t>Disneyland Park</t>
        </is>
      </c>
      <c r="E27556" s="8" t="inlineStr">
        <is>
          <t>Le Carrousel de Lancelot</t>
        </is>
      </c>
      <c r="F27556" s="8" t="inlineStr">
        <is>
          <t>STANDBY</t>
        </is>
      </c>
      <c r="G27556" s="8" t="n">
        <v>0</v>
      </c>
      <c r="H27556" s="8" t="inlineStr">
        <is>
          <t>CLOSED</t>
        </is>
      </c>
    </row>
    <row r="27557">
      <c r="A27557" s="8" t="inlineStr">
        <is>
          <t>2026-08-05</t>
        </is>
      </c>
      <c r="B27557" s="8" t="n">
        <v>23</v>
      </c>
      <c r="C27557" s="8" t="n">
        <v>15</v>
      </c>
      <c r="D27557" s="8" t="inlineStr">
        <is>
          <t>Disneyland Park</t>
        </is>
      </c>
      <c r="E27557" s="8" t="inlineStr">
        <is>
          <t>Le Pays des Contes de Fées, presented by Vittel</t>
        </is>
      </c>
      <c r="F27557" s="8" t="inlineStr">
        <is>
          <t>STANDBY</t>
        </is>
      </c>
      <c r="G27557" s="8" t="n">
        <v>0</v>
      </c>
      <c r="H27557" s="8" t="inlineStr">
        <is>
          <t>CLOSED</t>
        </is>
      </c>
    </row>
    <row r="27558">
      <c r="A27558" s="8" t="inlineStr">
        <is>
          <t>2026-08-05</t>
        </is>
      </c>
      <c r="B27558" s="8" t="n">
        <v>23</v>
      </c>
      <c r="C27558" s="8" t="n">
        <v>15</v>
      </c>
      <c r="D27558" s="8" t="inlineStr">
        <is>
          <t>Disneyland Park</t>
        </is>
      </c>
      <c r="E27558" s="8" t="inlineStr">
        <is>
          <t>Les Voyages de Pinocchio</t>
        </is>
      </c>
      <c r="F27558" s="8" t="inlineStr">
        <is>
          <t>STANDBY</t>
        </is>
      </c>
      <c r="G27558" s="8" t="n">
        <v>0</v>
      </c>
      <c r="H27558" s="8" t="inlineStr">
        <is>
          <t>CLOSED</t>
        </is>
      </c>
    </row>
    <row r="27559">
      <c r="A27559" s="8" t="inlineStr">
        <is>
          <t>2026-08-05</t>
        </is>
      </c>
      <c r="B27559" s="8" t="n">
        <v>23</v>
      </c>
      <c r="C27559" s="8" t="n">
        <v>15</v>
      </c>
      <c r="D27559" s="8" t="inlineStr">
        <is>
          <t>Disneyland Park</t>
        </is>
      </c>
      <c r="E27559" s="8" t="inlineStr">
        <is>
          <t>Mad Hatter's Tea Cups</t>
        </is>
      </c>
      <c r="F27559" s="8" t="inlineStr">
        <is>
          <t>STANDBY</t>
        </is>
      </c>
      <c r="G27559" s="8" t="n">
        <v>0</v>
      </c>
      <c r="H27559" s="8" t="inlineStr">
        <is>
          <t>CLOSED</t>
        </is>
      </c>
    </row>
    <row r="27560">
      <c r="A27560" s="8" t="inlineStr">
        <is>
          <t>2026-08-05</t>
        </is>
      </c>
      <c r="B27560" s="8" t="n">
        <v>23</v>
      </c>
      <c r="C27560" s="8" t="n">
        <v>15</v>
      </c>
      <c r="D27560" s="8" t="inlineStr">
        <is>
          <t>Disneyland Park</t>
        </is>
      </c>
      <c r="E27560" s="8" t="inlineStr">
        <is>
          <t>Meet Mickey Mouse</t>
        </is>
      </c>
      <c r="F27560" s="8" t="inlineStr">
        <is>
          <t>STANDBY</t>
        </is>
      </c>
      <c r="G27560" s="8" t="n">
        <v>0</v>
      </c>
      <c r="H27560" s="8" t="inlineStr">
        <is>
          <t>CLOSED</t>
        </is>
      </c>
    </row>
    <row r="27561">
      <c r="A27561" s="8" t="inlineStr">
        <is>
          <t>2026-08-05</t>
        </is>
      </c>
      <c r="B27561" s="8" t="n">
        <v>23</v>
      </c>
      <c r="C27561" s="8" t="n">
        <v>15</v>
      </c>
      <c r="D27561" s="8" t="inlineStr">
        <is>
          <t>Disneyland Park</t>
        </is>
      </c>
      <c r="E27561" s="8" t="inlineStr">
        <is>
          <t>Peter Pan's Flight</t>
        </is>
      </c>
      <c r="F27561" s="8" t="inlineStr">
        <is>
          <t>STANDBY</t>
        </is>
      </c>
      <c r="G27561" s="8" t="n">
        <v>0</v>
      </c>
      <c r="H27561" s="8" t="inlineStr">
        <is>
          <t>CLOSED</t>
        </is>
      </c>
    </row>
    <row r="27562">
      <c r="A27562" s="8" t="inlineStr">
        <is>
          <t>2026-08-05</t>
        </is>
      </c>
      <c r="B27562" s="8" t="n">
        <v>23</v>
      </c>
      <c r="C27562" s="8" t="n">
        <v>15</v>
      </c>
      <c r="D27562" s="8" t="inlineStr">
        <is>
          <t>Disneyland Park</t>
        </is>
      </c>
      <c r="E27562" s="8" t="inlineStr">
        <is>
          <t>Princess Pavilion</t>
        </is>
      </c>
      <c r="F27562" s="8" t="inlineStr">
        <is>
          <t>STANDBY</t>
        </is>
      </c>
      <c r="G27562" s="8" t="n">
        <v>0</v>
      </c>
      <c r="H27562" s="8" t="inlineStr">
        <is>
          <t>CLOSED</t>
        </is>
      </c>
    </row>
    <row r="27563">
      <c r="A27563" s="8" t="inlineStr">
        <is>
          <t>2026-08-05</t>
        </is>
      </c>
      <c r="B27563" s="8" t="n">
        <v>23</v>
      </c>
      <c r="C27563" s="8" t="n">
        <v>15</v>
      </c>
      <c r="D27563" s="8" t="inlineStr">
        <is>
          <t>Disneyland Park</t>
        </is>
      </c>
      <c r="E27563" s="8" t="inlineStr">
        <is>
          <t>Big Thunder Mountain</t>
        </is>
      </c>
      <c r="F27563" s="8" t="inlineStr">
        <is>
          <t>STANDBY</t>
        </is>
      </c>
      <c r="G27563" s="8" t="n">
        <v>0</v>
      </c>
      <c r="H27563" s="8" t="inlineStr">
        <is>
          <t>CLOSED</t>
        </is>
      </c>
    </row>
    <row r="27564">
      <c r="A27564" s="8" t="inlineStr">
        <is>
          <t>2026-08-05</t>
        </is>
      </c>
      <c r="B27564" s="8" t="n">
        <v>23</v>
      </c>
      <c r="C27564" s="8" t="n">
        <v>15</v>
      </c>
      <c r="D27564" s="8" t="inlineStr">
        <is>
          <t>Disneyland Park</t>
        </is>
      </c>
      <c r="E27564" s="8" t="inlineStr">
        <is>
          <t>Disneyland Railroad Frontierland Depot</t>
        </is>
      </c>
      <c r="F27564" s="8" t="inlineStr">
        <is>
          <t>STANDBY</t>
        </is>
      </c>
      <c r="G27564" s="8" t="n">
        <v>0</v>
      </c>
      <c r="H27564" s="8" t="inlineStr">
        <is>
          <t>CLOSED</t>
        </is>
      </c>
    </row>
    <row r="27565">
      <c r="A27565" s="8" t="inlineStr">
        <is>
          <t>2026-08-05</t>
        </is>
      </c>
      <c r="B27565" s="8" t="n">
        <v>23</v>
      </c>
      <c r="C27565" s="8" t="n">
        <v>15</v>
      </c>
      <c r="D27565" s="8" t="inlineStr">
        <is>
          <t>Disneyland Park</t>
        </is>
      </c>
      <c r="E27565" s="8" t="inlineStr">
        <is>
          <t>Frontierland Playground</t>
        </is>
      </c>
      <c r="F27565" s="8" t="inlineStr">
        <is>
          <t>STANDBY</t>
        </is>
      </c>
      <c r="G27565" s="8" t="n">
        <v>0</v>
      </c>
      <c r="H27565" s="8" t="inlineStr">
        <is>
          <t>CLOSED</t>
        </is>
      </c>
    </row>
    <row r="27566">
      <c r="A27566" s="8" t="inlineStr">
        <is>
          <t>2026-08-05</t>
        </is>
      </c>
      <c r="B27566" s="8" t="n">
        <v>23</v>
      </c>
      <c r="C27566" s="8" t="n">
        <v>15</v>
      </c>
      <c r="D27566" s="8" t="inlineStr">
        <is>
          <t>Disneyland Park</t>
        </is>
      </c>
      <c r="E27566" s="8" t="inlineStr">
        <is>
          <t>Phantom Manor</t>
        </is>
      </c>
      <c r="F27566" s="8" t="inlineStr">
        <is>
          <t>STANDBY</t>
        </is>
      </c>
      <c r="G27566" s="8" t="n">
        <v>0</v>
      </c>
      <c r="H27566" s="8" t="inlineStr">
        <is>
          <t>CLOSED</t>
        </is>
      </c>
    </row>
    <row r="27567">
      <c r="A27567" s="8" t="inlineStr">
        <is>
          <t>2026-08-05</t>
        </is>
      </c>
      <c r="B27567" s="8" t="n">
        <v>23</v>
      </c>
      <c r="C27567" s="8" t="n">
        <v>15</v>
      </c>
      <c r="D27567" s="8" t="inlineStr">
        <is>
          <t>Disneyland Park</t>
        </is>
      </c>
      <c r="E27567" s="8" t="inlineStr">
        <is>
          <t>River Rogue Keelboats</t>
        </is>
      </c>
      <c r="F27567" s="8" t="inlineStr">
        <is>
          <t>STANDBY</t>
        </is>
      </c>
      <c r="G27567" s="8" t="n">
        <v>0</v>
      </c>
      <c r="H27567" s="8" t="inlineStr">
        <is>
          <t>CLOSED</t>
        </is>
      </c>
    </row>
    <row r="27568">
      <c r="A27568" s="8" t="inlineStr">
        <is>
          <t>2026-08-05</t>
        </is>
      </c>
      <c r="B27568" s="8" t="n">
        <v>23</v>
      </c>
      <c r="C27568" s="8" t="n">
        <v>15</v>
      </c>
      <c r="D27568" s="8" t="inlineStr">
        <is>
          <t>Disneyland Park</t>
        </is>
      </c>
      <c r="E27568" s="8" t="inlineStr">
        <is>
          <t>Rustler Roundup Shootin' Gallery</t>
        </is>
      </c>
      <c r="F27568" s="8" t="inlineStr">
        <is>
          <t>STANDBY</t>
        </is>
      </c>
      <c r="G27568" s="8" t="n">
        <v>0</v>
      </c>
      <c r="H27568" s="8" t="inlineStr">
        <is>
          <t>CLOSED</t>
        </is>
      </c>
    </row>
    <row r="27569">
      <c r="A27569" s="8" t="inlineStr">
        <is>
          <t>2026-08-05</t>
        </is>
      </c>
      <c r="B27569" s="8" t="n">
        <v>23</v>
      </c>
      <c r="C27569" s="8" t="n">
        <v>15</v>
      </c>
      <c r="D27569" s="8" t="inlineStr">
        <is>
          <t>Disneyland Park</t>
        </is>
      </c>
      <c r="E27569" s="8" t="inlineStr">
        <is>
          <t>Thunder Mesa Riverboat Landing</t>
        </is>
      </c>
      <c r="F27569" s="8" t="inlineStr">
        <is>
          <t>STANDBY</t>
        </is>
      </c>
      <c r="G27569" s="8" t="n">
        <v>0</v>
      </c>
      <c r="H27569" s="8" t="inlineStr">
        <is>
          <t>CLOSED</t>
        </is>
      </c>
    </row>
    <row r="27570">
      <c r="A27570" s="8" t="inlineStr">
        <is>
          <t>2026-08-05</t>
        </is>
      </c>
      <c r="B27570" s="8" t="n">
        <v>23</v>
      </c>
      <c r="C27570" s="8" t="n">
        <v>15</v>
      </c>
      <c r="D27570" s="8" t="inlineStr">
        <is>
          <t>Disneyland Park</t>
        </is>
      </c>
      <c r="E27570" s="8" t="inlineStr">
        <is>
          <t>Disneyland Railroad Main Street Station</t>
        </is>
      </c>
      <c r="F27570" s="8" t="inlineStr">
        <is>
          <t>STANDBY</t>
        </is>
      </c>
      <c r="G27570" s="8" t="n">
        <v>0</v>
      </c>
      <c r="H27570" s="8" t="inlineStr">
        <is>
          <t>CLOSED</t>
        </is>
      </c>
    </row>
    <row r="27571">
      <c r="A27571" s="8" t="inlineStr">
        <is>
          <t>2026-08-05</t>
        </is>
      </c>
      <c r="B27571" s="8" t="n">
        <v>23</v>
      </c>
      <c r="C27571" s="8" t="n">
        <v>15</v>
      </c>
      <c r="D27571" s="8" t="inlineStr">
        <is>
          <t>Disneyland Park</t>
        </is>
      </c>
      <c r="E27571" s="8" t="inlineStr">
        <is>
          <t>Main Street Vehicles</t>
        </is>
      </c>
      <c r="F27571" s="8" t="inlineStr">
        <is>
          <t>STANDBY</t>
        </is>
      </c>
      <c r="G27571" s="8" t="n">
        <v>0</v>
      </c>
      <c r="H27571" s="8" t="inlineStr">
        <is>
          <t>CLOSED</t>
        </is>
      </c>
    </row>
    <row r="27572">
      <c r="A27572" s="8" t="inlineStr">
        <is>
          <t>2026-08-05</t>
        </is>
      </c>
      <c r="B27572" s="8" t="n">
        <v>23</v>
      </c>
      <c r="C27572" s="8" t="n">
        <v>15</v>
      </c>
      <c r="D27572" s="8" t="inlineStr">
        <is>
          <t>Disney Adventure World</t>
        </is>
      </c>
      <c r="E27572" s="8" t="inlineStr">
        <is>
          <t>Avengers Assemble: Flight Force</t>
        </is>
      </c>
      <c r="F27572" s="8" t="inlineStr">
        <is>
          <t>STANDBY</t>
        </is>
      </c>
      <c r="G27572" s="8" t="n">
        <v>0</v>
      </c>
      <c r="H27572" s="8" t="inlineStr">
        <is>
          <t>CLOSED</t>
        </is>
      </c>
    </row>
    <row r="27573">
      <c r="A27573" s="8" t="inlineStr">
        <is>
          <t>2026-08-05</t>
        </is>
      </c>
      <c r="B27573" s="8" t="n">
        <v>23</v>
      </c>
      <c r="C27573" s="8" t="n">
        <v>15</v>
      </c>
      <c r="D27573" s="8" t="inlineStr">
        <is>
          <t>Disney Adventure World</t>
        </is>
      </c>
      <c r="E27573" s="8" t="inlineStr">
        <is>
          <t>Avengers Assemble: Flight Force Single Rider</t>
        </is>
      </c>
      <c r="F27573" s="8" t="inlineStr">
        <is>
          <t>STANDBY</t>
        </is>
      </c>
      <c r="G27573" s="8" t="n">
        <v>0</v>
      </c>
      <c r="H27573" s="8" t="inlineStr">
        <is>
          <t>CLOSED</t>
        </is>
      </c>
    </row>
    <row r="27574">
      <c r="A27574" s="8" t="inlineStr">
        <is>
          <t>2026-08-05</t>
        </is>
      </c>
      <c r="B27574" s="8" t="n">
        <v>23</v>
      </c>
      <c r="C27574" s="8" t="n">
        <v>15</v>
      </c>
      <c r="D27574" s="8" t="inlineStr">
        <is>
          <t>Disney Adventure World</t>
        </is>
      </c>
      <c r="E27574" s="8" t="inlineStr">
        <is>
          <t>Spider-Man W.E.B. Adventure</t>
        </is>
      </c>
      <c r="F27574" s="8" t="inlineStr">
        <is>
          <t>STANDBY</t>
        </is>
      </c>
      <c r="G27574" s="8" t="n">
        <v>0</v>
      </c>
      <c r="H27574" s="8" t="inlineStr">
        <is>
          <t>CLOSED</t>
        </is>
      </c>
    </row>
    <row r="27575">
      <c r="A27575" s="8" t="inlineStr">
        <is>
          <t>2026-08-05</t>
        </is>
      </c>
      <c r="B27575" s="8" t="n">
        <v>23</v>
      </c>
      <c r="C27575" s="8" t="n">
        <v>15</v>
      </c>
      <c r="D27575" s="8" t="inlineStr">
        <is>
          <t>Disney Adventure World</t>
        </is>
      </c>
      <c r="E27575" s="8" t="inlineStr">
        <is>
          <t>Spider-Man W.E.B. Adventure Single Rider</t>
        </is>
      </c>
      <c r="F27575" s="8" t="inlineStr">
        <is>
          <t>STANDBY</t>
        </is>
      </c>
      <c r="G27575" s="8" t="n">
        <v>0</v>
      </c>
      <c r="H27575" s="8" t="inlineStr">
        <is>
          <t>CLOSED</t>
        </is>
      </c>
    </row>
    <row r="27576">
      <c r="A27576" s="8" t="inlineStr">
        <is>
          <t>2026-08-05</t>
        </is>
      </c>
      <c r="B27576" s="8" t="n">
        <v>23</v>
      </c>
      <c r="C27576" s="8" t="n">
        <v>15</v>
      </c>
      <c r="D27576" s="8" t="inlineStr">
        <is>
          <t>Disney Adventure World</t>
        </is>
      </c>
      <c r="E27576" s="8" t="inlineStr">
        <is>
          <t>The Twilight Zone Tower of Terror</t>
        </is>
      </c>
      <c r="F27576" s="8" t="inlineStr">
        <is>
          <t>STANDBY</t>
        </is>
      </c>
      <c r="G27576" s="8" t="n">
        <v>0</v>
      </c>
      <c r="H27576" s="8" t="inlineStr">
        <is>
          <t>CLOSED</t>
        </is>
      </c>
    </row>
    <row r="27577">
      <c r="A27577" s="8" t="inlineStr">
        <is>
          <t>2026-08-05</t>
        </is>
      </c>
      <c r="B27577" s="8" t="n">
        <v>23</v>
      </c>
      <c r="C27577" s="8" t="n">
        <v>15</v>
      </c>
      <c r="D27577" s="8" t="inlineStr">
        <is>
          <t>Disney Adventure World</t>
        </is>
      </c>
      <c r="E27577" s="8" t="inlineStr">
        <is>
          <t>Cars Quatre Roues Rallye</t>
        </is>
      </c>
      <c r="F27577" s="8" t="inlineStr">
        <is>
          <t>STANDBY</t>
        </is>
      </c>
      <c r="G27577" s="8" t="n">
        <v>0</v>
      </c>
      <c r="H27577" s="8" t="inlineStr">
        <is>
          <t>CLOSED</t>
        </is>
      </c>
    </row>
    <row r="27578">
      <c r="A27578" s="8" t="inlineStr">
        <is>
          <t>2026-08-05</t>
        </is>
      </c>
      <c r="B27578" s="8" t="n">
        <v>23</v>
      </c>
      <c r="C27578" s="8" t="n">
        <v>15</v>
      </c>
      <c r="D27578" s="8" t="inlineStr">
        <is>
          <t>Disney Adventure World</t>
        </is>
      </c>
      <c r="E27578" s="8" t="inlineStr">
        <is>
          <t>Cars ROAD TRIP</t>
        </is>
      </c>
      <c r="F27578" s="8" t="inlineStr">
        <is>
          <t>STANDBY</t>
        </is>
      </c>
      <c r="G27578" s="8" t="n">
        <v>0</v>
      </c>
      <c r="H27578" s="8" t="inlineStr">
        <is>
          <t>CLOSED</t>
        </is>
      </c>
    </row>
    <row r="27579">
      <c r="A27579" s="8" t="inlineStr">
        <is>
          <t>2026-08-05</t>
        </is>
      </c>
      <c r="B27579" s="8" t="n">
        <v>23</v>
      </c>
      <c r="C27579" s="8" t="n">
        <v>15</v>
      </c>
      <c r="D27579" s="8" t="inlineStr">
        <is>
          <t>Disney Adventure World</t>
        </is>
      </c>
      <c r="E27579" s="8" t="inlineStr">
        <is>
          <t>Crush's Coaster</t>
        </is>
      </c>
      <c r="F27579" s="8" t="inlineStr">
        <is>
          <t>STANDBY</t>
        </is>
      </c>
      <c r="G27579" s="8" t="n">
        <v>0</v>
      </c>
      <c r="H27579" s="8" t="inlineStr">
        <is>
          <t>CLOSED</t>
        </is>
      </c>
    </row>
    <row r="27580">
      <c r="A27580" s="8" t="inlineStr">
        <is>
          <t>2026-08-05</t>
        </is>
      </c>
      <c r="B27580" s="8" t="n">
        <v>23</v>
      </c>
      <c r="C27580" s="8" t="n">
        <v>15</v>
      </c>
      <c r="D27580" s="8" t="inlineStr">
        <is>
          <t>Disney Adventure World</t>
        </is>
      </c>
      <c r="E27580" s="8" t="inlineStr">
        <is>
          <t>Crush's Coaster Single Rider</t>
        </is>
      </c>
      <c r="F27580" s="8" t="inlineStr">
        <is>
          <t>STANDBY</t>
        </is>
      </c>
      <c r="G27580" s="8" t="n">
        <v>0</v>
      </c>
      <c r="H27580" s="8" t="inlineStr">
        <is>
          <t>CLOSED</t>
        </is>
      </c>
    </row>
    <row r="27581">
      <c r="A27581" s="8" t="inlineStr">
        <is>
          <t>2026-08-05</t>
        </is>
      </c>
      <c r="B27581" s="8" t="n">
        <v>23</v>
      </c>
      <c r="C27581" s="8" t="n">
        <v>15</v>
      </c>
      <c r="D27581" s="8" t="inlineStr">
        <is>
          <t>Disney Adventure World</t>
        </is>
      </c>
      <c r="E27581" s="8" t="inlineStr">
        <is>
          <t>Les Tapis Volants - Flying Carpets Over Agrabah®</t>
        </is>
      </c>
      <c r="F27581" s="8" t="inlineStr">
        <is>
          <t>STANDBY</t>
        </is>
      </c>
      <c r="G27581" s="8" t="n">
        <v>0</v>
      </c>
      <c r="H27581" s="8" t="inlineStr">
        <is>
          <t>CLOSED</t>
        </is>
      </c>
    </row>
    <row r="27582">
      <c r="A27582" s="8" t="inlineStr">
        <is>
          <t>2026-08-05</t>
        </is>
      </c>
      <c r="B27582" s="8" t="n">
        <v>23</v>
      </c>
      <c r="C27582" s="8" t="n">
        <v>15</v>
      </c>
      <c r="D27582" s="8" t="inlineStr">
        <is>
          <t>Disney Adventure World</t>
        </is>
      </c>
      <c r="E27582" s="8" t="inlineStr">
        <is>
          <t>Ratatouille : L’Aventure Totalement Toquée de Rémy​</t>
        </is>
      </c>
      <c r="F27582" s="8" t="inlineStr">
        <is>
          <t>STANDBY</t>
        </is>
      </c>
      <c r="G27582" s="8" t="n">
        <v>0</v>
      </c>
      <c r="H27582" s="8" t="inlineStr">
        <is>
          <t>CLOSED</t>
        </is>
      </c>
    </row>
    <row r="27583">
      <c r="A27583" s="8" t="inlineStr">
        <is>
          <t>2026-08-05</t>
        </is>
      </c>
      <c r="B27583" s="8" t="n">
        <v>23</v>
      </c>
      <c r="C27583" s="8" t="n">
        <v>15</v>
      </c>
      <c r="D27583" s="8" t="inlineStr">
        <is>
          <t>Disney Adventure World</t>
        </is>
      </c>
      <c r="E27583" s="8" t="inlineStr">
        <is>
          <t>Ratatouille: The Adventure Single Rider</t>
        </is>
      </c>
      <c r="F27583" s="8" t="inlineStr">
        <is>
          <t>STANDBY</t>
        </is>
      </c>
      <c r="G27583" s="8" t="n">
        <v>0</v>
      </c>
      <c r="H27583" s="8" t="inlineStr">
        <is>
          <t>CLOSED</t>
        </is>
      </c>
    </row>
    <row r="27584">
      <c r="A27584" s="8" t="inlineStr">
        <is>
          <t>2026-08-05</t>
        </is>
      </c>
      <c r="B27584" s="8" t="n">
        <v>23</v>
      </c>
      <c r="C27584" s="8" t="n">
        <v>15</v>
      </c>
      <c r="D27584" s="8" t="inlineStr">
        <is>
          <t>Disney Adventure World</t>
        </is>
      </c>
      <c r="E27584" s="8" t="inlineStr">
        <is>
          <t>RC Racer</t>
        </is>
      </c>
      <c r="F27584" s="8" t="inlineStr">
        <is>
          <t>STANDBY</t>
        </is>
      </c>
      <c r="G27584" s="8" t="n">
        <v>0</v>
      </c>
      <c r="H27584" s="8" t="inlineStr">
        <is>
          <t>CLOSED</t>
        </is>
      </c>
    </row>
    <row r="27585">
      <c r="A27585" s="8" t="inlineStr">
        <is>
          <t>2026-08-05</t>
        </is>
      </c>
      <c r="B27585" s="8" t="n">
        <v>23</v>
      </c>
      <c r="C27585" s="8" t="n">
        <v>15</v>
      </c>
      <c r="D27585" s="8" t="inlineStr">
        <is>
          <t>Disney Adventure World</t>
        </is>
      </c>
      <c r="E27585" s="8" t="inlineStr">
        <is>
          <t>RC Racer Single Rider</t>
        </is>
      </c>
      <c r="F27585" s="8" t="inlineStr">
        <is>
          <t>STANDBY</t>
        </is>
      </c>
      <c r="G27585" s="8" t="n">
        <v>0</v>
      </c>
      <c r="H27585" s="8" t="inlineStr">
        <is>
          <t>CLOSED</t>
        </is>
      </c>
    </row>
    <row r="27586">
      <c r="A27586" s="8" t="inlineStr">
        <is>
          <t>2026-08-05</t>
        </is>
      </c>
      <c r="B27586" s="8" t="n">
        <v>23</v>
      </c>
      <c r="C27586" s="8" t="n">
        <v>15</v>
      </c>
      <c r="D27586" s="8" t="inlineStr">
        <is>
          <t>Disney Adventure World</t>
        </is>
      </c>
      <c r="E27586" s="8" t="inlineStr">
        <is>
          <t>Slinky® Dog Zigzag Spin</t>
        </is>
      </c>
      <c r="F27586" s="8" t="inlineStr">
        <is>
          <t>STANDBY</t>
        </is>
      </c>
      <c r="G27586" s="8" t="n">
        <v>0</v>
      </c>
      <c r="H27586" s="8" t="inlineStr">
        <is>
          <t>CLOSED</t>
        </is>
      </c>
    </row>
    <row r="27587">
      <c r="A27587" s="8" t="inlineStr">
        <is>
          <t>2026-08-05</t>
        </is>
      </c>
      <c r="B27587" s="8" t="n">
        <v>23</v>
      </c>
      <c r="C27587" s="8" t="n">
        <v>15</v>
      </c>
      <c r="D27587" s="8" t="inlineStr">
        <is>
          <t>Disney Adventure World</t>
        </is>
      </c>
      <c r="E27587" s="8" t="inlineStr">
        <is>
          <t>Toy Soldiers Parachute Drop</t>
        </is>
      </c>
      <c r="F27587" s="8" t="inlineStr">
        <is>
          <t>STANDBY</t>
        </is>
      </c>
      <c r="G27587" s="8" t="n">
        <v>0</v>
      </c>
      <c r="H27587" s="8" t="inlineStr">
        <is>
          <t>CLOSED</t>
        </is>
      </c>
    </row>
    <row r="27588">
      <c r="A27588" s="8" t="inlineStr">
        <is>
          <t>2026-08-05</t>
        </is>
      </c>
      <c r="B27588" s="8" t="n">
        <v>23</v>
      </c>
      <c r="C27588" s="8" t="n">
        <v>15</v>
      </c>
      <c r="D27588" s="8" t="inlineStr">
        <is>
          <t>Disney Adventure World</t>
        </is>
      </c>
      <c r="E27588" s="8" t="inlineStr">
        <is>
          <t>Toy Soldiers Parachute Drop Single Rider</t>
        </is>
      </c>
      <c r="F27588" s="8" t="inlineStr">
        <is>
          <t>STANDBY</t>
        </is>
      </c>
      <c r="G27588" s="8" t="n">
        <v>0</v>
      </c>
      <c r="H27588" s="8" t="inlineStr">
        <is>
          <t>CLOSED</t>
        </is>
      </c>
    </row>
    <row r="27589">
      <c r="A27589" s="8" t="inlineStr">
        <is>
          <t>2026-08-05</t>
        </is>
      </c>
      <c r="B27589" s="8" t="n">
        <v>23</v>
      </c>
      <c r="C27589" s="8" t="n">
        <v>15</v>
      </c>
      <c r="D27589" s="8" t="inlineStr">
        <is>
          <t>Disney Adventure World</t>
        </is>
      </c>
      <c r="E27589" s="8" t="inlineStr">
        <is>
          <t>Entry to World of Frozen</t>
        </is>
      </c>
      <c r="F27589" s="8" t="inlineStr">
        <is>
          <t>STANDBY</t>
        </is>
      </c>
      <c r="G27589" s="8" t="n">
        <v>0</v>
      </c>
      <c r="H27589" s="8" t="inlineStr">
        <is>
          <t>CLOSED</t>
        </is>
      </c>
    </row>
    <row r="27590">
      <c r="A27590" s="8" t="inlineStr">
        <is>
          <t>2026-08-05</t>
        </is>
      </c>
      <c r="B27590" s="8" t="n">
        <v>23</v>
      </c>
      <c r="C27590" s="8" t="n">
        <v>15</v>
      </c>
      <c r="D27590" s="8" t="inlineStr">
        <is>
          <t>Disney Adventure World</t>
        </is>
      </c>
      <c r="E27590" s="8" t="inlineStr">
        <is>
          <t>Frozen Ever After</t>
        </is>
      </c>
      <c r="F27590" s="8" t="inlineStr">
        <is>
          <t>STANDBY</t>
        </is>
      </c>
      <c r="G27590" s="8" t="n">
        <v>0</v>
      </c>
      <c r="H27590" s="8" t="inlineStr">
        <is>
          <t>CLOSED</t>
        </is>
      </c>
    </row>
    <row r="27591">
      <c r="A27591" s="8" t="inlineStr">
        <is>
          <t>2026-08-05</t>
        </is>
      </c>
      <c r="B27591" s="8" t="n">
        <v>23</v>
      </c>
      <c r="C27591" s="8" t="n">
        <v>15</v>
      </c>
      <c r="D27591" s="8" t="inlineStr">
        <is>
          <t>Disney Adventure World</t>
        </is>
      </c>
      <c r="E27591" s="8" t="inlineStr">
        <is>
          <t>Raiponce Tangled Spin</t>
        </is>
      </c>
      <c r="F27591" s="8" t="inlineStr">
        <is>
          <t>STANDBY</t>
        </is>
      </c>
      <c r="G27591" s="8" t="n">
        <v>0</v>
      </c>
      <c r="H27591" s="8" t="inlineStr">
        <is>
          <t>CLOSED</t>
        </is>
      </c>
    </row>
    <row r="27592">
      <c r="A27592" s="8" t="inlineStr">
        <is>
          <t>2026-08-05</t>
        </is>
      </c>
      <c r="B27592" s="8" t="n">
        <v>23</v>
      </c>
      <c r="C27592" s="8" t="n">
        <v>31</v>
      </c>
      <c r="D27592" s="8" t="inlineStr">
        <is>
          <t>Disneyland Park</t>
        </is>
      </c>
      <c r="E27592" s="8" t="inlineStr">
        <is>
          <t>Adventure Isle</t>
        </is>
      </c>
      <c r="F27592" s="8" t="inlineStr">
        <is>
          <t>STANDBY</t>
        </is>
      </c>
      <c r="G27592" s="8" t="n">
        <v>0</v>
      </c>
      <c r="H27592" s="8" t="inlineStr">
        <is>
          <t>CLOSED</t>
        </is>
      </c>
    </row>
    <row r="27593">
      <c r="A27593" s="8" t="inlineStr">
        <is>
          <t>2026-08-05</t>
        </is>
      </c>
      <c r="B27593" s="8" t="n">
        <v>23</v>
      </c>
      <c r="C27593" s="8" t="n">
        <v>31</v>
      </c>
      <c r="D27593" s="8" t="inlineStr">
        <is>
          <t>Disneyland Park</t>
        </is>
      </c>
      <c r="E27593" s="8" t="inlineStr">
        <is>
          <t>Indiana Jones and the Temple of Peril Single Rider</t>
        </is>
      </c>
      <c r="F27593" s="8" t="inlineStr">
        <is>
          <t>STANDBY</t>
        </is>
      </c>
      <c r="G27593" s="8" t="n">
        <v>0</v>
      </c>
      <c r="H27593" s="8" t="inlineStr">
        <is>
          <t>CLOSED</t>
        </is>
      </c>
    </row>
    <row r="27594">
      <c r="A27594" s="8" t="inlineStr">
        <is>
          <t>2026-08-05</t>
        </is>
      </c>
      <c r="B27594" s="8" t="n">
        <v>23</v>
      </c>
      <c r="C27594" s="8" t="n">
        <v>31</v>
      </c>
      <c r="D27594" s="8" t="inlineStr">
        <is>
          <t>Disneyland Park</t>
        </is>
      </c>
      <c r="E27594" s="8" t="inlineStr">
        <is>
          <t>Indiana Jones™ and the Temple of Peril</t>
        </is>
      </c>
      <c r="F27594" s="8" t="inlineStr">
        <is>
          <t>STANDBY</t>
        </is>
      </c>
      <c r="G27594" s="8" t="n">
        <v>0</v>
      </c>
      <c r="H27594" s="8" t="inlineStr">
        <is>
          <t>CLOSED</t>
        </is>
      </c>
    </row>
    <row r="27595">
      <c r="A27595" s="8" t="inlineStr">
        <is>
          <t>2026-08-05</t>
        </is>
      </c>
      <c r="B27595" s="8" t="n">
        <v>23</v>
      </c>
      <c r="C27595" s="8" t="n">
        <v>31</v>
      </c>
      <c r="D27595" s="8" t="inlineStr">
        <is>
          <t>Disneyland Park</t>
        </is>
      </c>
      <c r="E27595" s="8" t="inlineStr">
        <is>
          <t>La Cabane des Robinson</t>
        </is>
      </c>
      <c r="F27595" s="8" t="inlineStr">
        <is>
          <t>STANDBY</t>
        </is>
      </c>
      <c r="G27595" s="8" t="n">
        <v>0</v>
      </c>
      <c r="H27595" s="8" t="inlineStr">
        <is>
          <t>CLOSED</t>
        </is>
      </c>
    </row>
    <row r="27596">
      <c r="A27596" s="8" t="inlineStr">
        <is>
          <t>2026-08-05</t>
        </is>
      </c>
      <c r="B27596" s="8" t="n">
        <v>23</v>
      </c>
      <c r="C27596" s="8" t="n">
        <v>31</v>
      </c>
      <c r="D27596" s="8" t="inlineStr">
        <is>
          <t>Disneyland Park</t>
        </is>
      </c>
      <c r="E27596" s="8" t="inlineStr">
        <is>
          <t>Le Passage Enchanté d'Aladdin</t>
        </is>
      </c>
      <c r="F27596" s="8" t="inlineStr">
        <is>
          <t>STANDBY</t>
        </is>
      </c>
      <c r="G27596" s="8" t="n">
        <v>0</v>
      </c>
      <c r="H27596" s="8" t="inlineStr">
        <is>
          <t>CLOSED</t>
        </is>
      </c>
    </row>
    <row r="27597">
      <c r="A27597" s="8" t="inlineStr">
        <is>
          <t>2026-08-05</t>
        </is>
      </c>
      <c r="B27597" s="8" t="n">
        <v>23</v>
      </c>
      <c r="C27597" s="8" t="n">
        <v>31</v>
      </c>
      <c r="D27597" s="8" t="inlineStr">
        <is>
          <t>Disneyland Park</t>
        </is>
      </c>
      <c r="E27597" s="8" t="inlineStr">
        <is>
          <t>Pirate Galleon</t>
        </is>
      </c>
      <c r="F27597" s="8" t="inlineStr">
        <is>
          <t>STANDBY</t>
        </is>
      </c>
      <c r="G27597" s="8" t="n">
        <v>0</v>
      </c>
      <c r="H27597" s="8" t="inlineStr">
        <is>
          <t>CLOSED</t>
        </is>
      </c>
    </row>
    <row r="27598">
      <c r="A27598" s="8" t="inlineStr">
        <is>
          <t>2026-08-05</t>
        </is>
      </c>
      <c r="B27598" s="8" t="n">
        <v>23</v>
      </c>
      <c r="C27598" s="8" t="n">
        <v>31</v>
      </c>
      <c r="D27598" s="8" t="inlineStr">
        <is>
          <t>Disneyland Park</t>
        </is>
      </c>
      <c r="E27598" s="8" t="inlineStr">
        <is>
          <t>Pirates of the Caribbean</t>
        </is>
      </c>
      <c r="F27598" s="8" t="inlineStr">
        <is>
          <t>STANDBY</t>
        </is>
      </c>
      <c r="G27598" s="8" t="n">
        <v>0</v>
      </c>
      <c r="H27598" s="8" t="inlineStr">
        <is>
          <t>CLOSED</t>
        </is>
      </c>
    </row>
    <row r="27599">
      <c r="A27599" s="8" t="inlineStr">
        <is>
          <t>2026-08-05</t>
        </is>
      </c>
      <c r="B27599" s="8" t="n">
        <v>23</v>
      </c>
      <c r="C27599" s="8" t="n">
        <v>31</v>
      </c>
      <c r="D27599" s="8" t="inlineStr">
        <is>
          <t>Disneyland Park</t>
        </is>
      </c>
      <c r="E27599" s="8" t="inlineStr">
        <is>
          <t>Pirates' Beach</t>
        </is>
      </c>
      <c r="F27599" s="8" t="inlineStr">
        <is>
          <t>STANDBY</t>
        </is>
      </c>
      <c r="G27599" s="8" t="n">
        <v>0</v>
      </c>
      <c r="H27599" s="8" t="inlineStr">
        <is>
          <t>CLOSED</t>
        </is>
      </c>
    </row>
    <row r="27600">
      <c r="A27600" s="8" t="inlineStr">
        <is>
          <t>2026-08-05</t>
        </is>
      </c>
      <c r="B27600" s="8" t="n">
        <v>23</v>
      </c>
      <c r="C27600" s="8" t="n">
        <v>31</v>
      </c>
      <c r="D27600" s="8" t="inlineStr">
        <is>
          <t>Disneyland Park</t>
        </is>
      </c>
      <c r="E27600" s="8" t="inlineStr">
        <is>
          <t>Autopia, presented by Avis</t>
        </is>
      </c>
      <c r="F27600" s="8" t="inlineStr">
        <is>
          <t>STANDBY</t>
        </is>
      </c>
      <c r="G27600" s="8" t="n">
        <v>0</v>
      </c>
      <c r="H27600" s="8" t="inlineStr">
        <is>
          <t>CLOSED</t>
        </is>
      </c>
    </row>
    <row r="27601">
      <c r="A27601" s="8" t="inlineStr">
        <is>
          <t>2026-08-05</t>
        </is>
      </c>
      <c r="B27601" s="8" t="n">
        <v>23</v>
      </c>
      <c r="C27601" s="8" t="n">
        <v>31</v>
      </c>
      <c r="D27601" s="8" t="inlineStr">
        <is>
          <t>Disneyland Park</t>
        </is>
      </c>
      <c r="E27601" s="8" t="inlineStr">
        <is>
          <t>Buzz Lightyear Laser Blast</t>
        </is>
      </c>
      <c r="F27601" s="8" t="inlineStr">
        <is>
          <t>STANDBY</t>
        </is>
      </c>
      <c r="G27601" s="8" t="n">
        <v>0</v>
      </c>
      <c r="H27601" s="8" t="inlineStr">
        <is>
          <t>CLOSED</t>
        </is>
      </c>
    </row>
    <row r="27602">
      <c r="A27602" s="8" t="inlineStr">
        <is>
          <t>2026-08-05</t>
        </is>
      </c>
      <c r="B27602" s="8" t="n">
        <v>23</v>
      </c>
      <c r="C27602" s="8" t="n">
        <v>31</v>
      </c>
      <c r="D27602" s="8" t="inlineStr">
        <is>
          <t>Disneyland Park</t>
        </is>
      </c>
      <c r="E27602" s="8" t="inlineStr">
        <is>
          <t>Disneyland Railroad Discoveryland Station</t>
        </is>
      </c>
      <c r="F27602" s="8" t="inlineStr">
        <is>
          <t>STANDBY</t>
        </is>
      </c>
      <c r="G27602" s="8" t="n">
        <v>0</v>
      </c>
      <c r="H27602" s="8" t="inlineStr">
        <is>
          <t>CLOSED</t>
        </is>
      </c>
    </row>
    <row r="27603">
      <c r="A27603" s="8" t="inlineStr">
        <is>
          <t>2026-08-05</t>
        </is>
      </c>
      <c r="B27603" s="8" t="n">
        <v>23</v>
      </c>
      <c r="C27603" s="8" t="n">
        <v>31</v>
      </c>
      <c r="D27603" s="8" t="inlineStr">
        <is>
          <t>Disneyland Park</t>
        </is>
      </c>
      <c r="E27603" s="8" t="inlineStr">
        <is>
          <t>Les Mystères du Nautilus</t>
        </is>
      </c>
      <c r="F27603" s="8" t="inlineStr">
        <is>
          <t>STANDBY</t>
        </is>
      </c>
      <c r="G27603" s="8" t="n">
        <v>0</v>
      </c>
      <c r="H27603" s="8" t="inlineStr">
        <is>
          <t>CLOSED</t>
        </is>
      </c>
    </row>
    <row r="27604">
      <c r="A27604" s="8" t="inlineStr">
        <is>
          <t>2026-08-05</t>
        </is>
      </c>
      <c r="B27604" s="8" t="n">
        <v>23</v>
      </c>
      <c r="C27604" s="8" t="n">
        <v>31</v>
      </c>
      <c r="D27604" s="8" t="inlineStr">
        <is>
          <t>Disneyland Park</t>
        </is>
      </c>
      <c r="E27604" s="8" t="inlineStr">
        <is>
          <t>Mickey’s PhilharMagic</t>
        </is>
      </c>
      <c r="F27604" s="8" t="inlineStr">
        <is>
          <t>STANDBY</t>
        </is>
      </c>
      <c r="G27604" s="8" t="n">
        <v>0</v>
      </c>
      <c r="H27604" s="8" t="inlineStr">
        <is>
          <t>CLOSED</t>
        </is>
      </c>
    </row>
    <row r="27605">
      <c r="A27605" s="8" t="inlineStr">
        <is>
          <t>2026-08-05</t>
        </is>
      </c>
      <c r="B27605" s="8" t="n">
        <v>23</v>
      </c>
      <c r="C27605" s="8" t="n">
        <v>31</v>
      </c>
      <c r="D27605" s="8" t="inlineStr">
        <is>
          <t>Disneyland Park</t>
        </is>
      </c>
      <c r="E27605" s="8" t="inlineStr">
        <is>
          <t>Orbitron®</t>
        </is>
      </c>
      <c r="F27605" s="8" t="inlineStr">
        <is>
          <t>STANDBY</t>
        </is>
      </c>
      <c r="G27605" s="8" t="n">
        <v>0</v>
      </c>
      <c r="H27605" s="8" t="inlineStr">
        <is>
          <t>CLOSED</t>
        </is>
      </c>
    </row>
    <row r="27606">
      <c r="A27606" s="8" t="inlineStr">
        <is>
          <t>2026-08-05</t>
        </is>
      </c>
      <c r="B27606" s="8" t="n">
        <v>23</v>
      </c>
      <c r="C27606" s="8" t="n">
        <v>31</v>
      </c>
      <c r="D27606" s="8" t="inlineStr">
        <is>
          <t>Disneyland Park</t>
        </is>
      </c>
      <c r="E27606" s="8" t="inlineStr">
        <is>
          <t>Star Tours: The Adventures Continue*</t>
        </is>
      </c>
      <c r="F27606" s="8" t="inlineStr">
        <is>
          <t>STANDBY</t>
        </is>
      </c>
      <c r="G27606" s="8" t="n">
        <v>0</v>
      </c>
      <c r="H27606" s="8" t="inlineStr">
        <is>
          <t>CLOSED</t>
        </is>
      </c>
    </row>
    <row r="27607">
      <c r="A27607" s="8" t="inlineStr">
        <is>
          <t>2026-08-05</t>
        </is>
      </c>
      <c r="B27607" s="8" t="n">
        <v>23</v>
      </c>
      <c r="C27607" s="8" t="n">
        <v>31</v>
      </c>
      <c r="D27607" s="8" t="inlineStr">
        <is>
          <t>Disneyland Park</t>
        </is>
      </c>
      <c r="E27607" s="8" t="inlineStr">
        <is>
          <t>Star Wars Hyperspace Mountain</t>
        </is>
      </c>
      <c r="F27607" s="8" t="inlineStr">
        <is>
          <t>STANDBY</t>
        </is>
      </c>
      <c r="G27607" s="8" t="n">
        <v>0</v>
      </c>
      <c r="H27607" s="8" t="inlineStr">
        <is>
          <t>CLOSED</t>
        </is>
      </c>
    </row>
    <row r="27608">
      <c r="A27608" s="8" t="inlineStr">
        <is>
          <t>2026-08-05</t>
        </is>
      </c>
      <c r="B27608" s="8" t="n">
        <v>23</v>
      </c>
      <c r="C27608" s="8" t="n">
        <v>31</v>
      </c>
      <c r="D27608" s="8" t="inlineStr">
        <is>
          <t>Disneyland Park</t>
        </is>
      </c>
      <c r="E27608" s="8" t="inlineStr">
        <is>
          <t>Star Wars Hyperspace Mountain Single Rider</t>
        </is>
      </c>
      <c r="F27608" s="8" t="inlineStr">
        <is>
          <t>STANDBY</t>
        </is>
      </c>
      <c r="G27608" s="8" t="n">
        <v>0</v>
      </c>
      <c r="H27608" s="8" t="inlineStr">
        <is>
          <t>CLOSED</t>
        </is>
      </c>
    </row>
    <row r="27609">
      <c r="A27609" s="8" t="inlineStr">
        <is>
          <t>2026-08-05</t>
        </is>
      </c>
      <c r="B27609" s="8" t="n">
        <v>23</v>
      </c>
      <c r="C27609" s="8" t="n">
        <v>31</v>
      </c>
      <c r="D27609" s="8" t="inlineStr">
        <is>
          <t>Disneyland Park</t>
        </is>
      </c>
      <c r="E27609" s="8" t="inlineStr">
        <is>
          <t>Welcome to Starport: A Star Wars Encounter</t>
        </is>
      </c>
      <c r="F27609" s="8" t="inlineStr">
        <is>
          <t>STANDBY</t>
        </is>
      </c>
      <c r="G27609" s="8" t="n">
        <v>0</v>
      </c>
      <c r="H27609" s="8" t="inlineStr">
        <is>
          <t>CLOSED</t>
        </is>
      </c>
    </row>
    <row r="27610">
      <c r="A27610" s="8" t="inlineStr">
        <is>
          <t>2026-08-05</t>
        </is>
      </c>
      <c r="B27610" s="8" t="n">
        <v>23</v>
      </c>
      <c r="C27610" s="8" t="n">
        <v>31</v>
      </c>
      <c r="D27610" s="8" t="inlineStr">
        <is>
          <t>Disneyland Park</t>
        </is>
      </c>
      <c r="E27610" s="8" t="inlineStr">
        <is>
          <t>"it's a small world"</t>
        </is>
      </c>
      <c r="F27610" s="8" t="inlineStr">
        <is>
          <t>STANDBY</t>
        </is>
      </c>
      <c r="G27610" s="8" t="n">
        <v>0</v>
      </c>
      <c r="H27610" s="8" t="inlineStr">
        <is>
          <t>CLOSED</t>
        </is>
      </c>
    </row>
    <row r="27611">
      <c r="A27611" s="8" t="inlineStr">
        <is>
          <t>2026-08-05</t>
        </is>
      </c>
      <c r="B27611" s="8" t="n">
        <v>23</v>
      </c>
      <c r="C27611" s="8" t="n">
        <v>31</v>
      </c>
      <c r="D27611" s="8" t="inlineStr">
        <is>
          <t>Disneyland Park</t>
        </is>
      </c>
      <c r="E27611" s="8" t="inlineStr">
        <is>
          <t>Alice's Curious Labyrinth</t>
        </is>
      </c>
      <c r="F27611" s="8" t="inlineStr">
        <is>
          <t>STANDBY</t>
        </is>
      </c>
      <c r="G27611" s="8" t="n">
        <v>0</v>
      </c>
      <c r="H27611" s="8" t="inlineStr">
        <is>
          <t>CLOSED</t>
        </is>
      </c>
    </row>
    <row r="27612">
      <c r="A27612" s="8" t="inlineStr">
        <is>
          <t>2026-08-05</t>
        </is>
      </c>
      <c r="B27612" s="8" t="n">
        <v>23</v>
      </c>
      <c r="C27612" s="8" t="n">
        <v>31</v>
      </c>
      <c r="D27612" s="8" t="inlineStr">
        <is>
          <t>Disneyland Park</t>
        </is>
      </c>
      <c r="E27612" s="8" t="inlineStr">
        <is>
          <t>Blanche-Neige et les Sept Nains®</t>
        </is>
      </c>
      <c r="F27612" s="8" t="inlineStr">
        <is>
          <t>STANDBY</t>
        </is>
      </c>
      <c r="G27612" s="8" t="n">
        <v>0</v>
      </c>
      <c r="H27612" s="8" t="inlineStr">
        <is>
          <t>CLOSED</t>
        </is>
      </c>
    </row>
    <row r="27613">
      <c r="A27613" s="8" t="inlineStr">
        <is>
          <t>2026-08-05</t>
        </is>
      </c>
      <c r="B27613" s="8" t="n">
        <v>23</v>
      </c>
      <c r="C27613" s="8" t="n">
        <v>31</v>
      </c>
      <c r="D27613" s="8" t="inlineStr">
        <is>
          <t>Disneyland Park</t>
        </is>
      </c>
      <c r="E27613" s="8" t="inlineStr">
        <is>
          <t>Casey Jr. – le Petit Train du Cirque</t>
        </is>
      </c>
      <c r="F27613" s="8" t="inlineStr">
        <is>
          <t>STANDBY</t>
        </is>
      </c>
      <c r="G27613" s="8" t="n">
        <v>0</v>
      </c>
      <c r="H27613" s="8" t="inlineStr">
        <is>
          <t>CLOSED</t>
        </is>
      </c>
    </row>
    <row r="27614">
      <c r="A27614" s="8" t="inlineStr">
        <is>
          <t>2026-08-05</t>
        </is>
      </c>
      <c r="B27614" s="8" t="n">
        <v>23</v>
      </c>
      <c r="C27614" s="8" t="n">
        <v>31</v>
      </c>
      <c r="D27614" s="8" t="inlineStr">
        <is>
          <t>Disneyland Park</t>
        </is>
      </c>
      <c r="E27614" s="8" t="inlineStr">
        <is>
          <t>Disneyland Railroad Fantasyland Station</t>
        </is>
      </c>
      <c r="F27614" s="8" t="inlineStr">
        <is>
          <t>STANDBY</t>
        </is>
      </c>
      <c r="G27614" s="8" t="n">
        <v>0</v>
      </c>
      <c r="H27614" s="8" t="inlineStr">
        <is>
          <t>CLOSED</t>
        </is>
      </c>
    </row>
    <row r="27615">
      <c r="A27615" s="8" t="inlineStr">
        <is>
          <t>2026-08-05</t>
        </is>
      </c>
      <c r="B27615" s="8" t="n">
        <v>23</v>
      </c>
      <c r="C27615" s="8" t="n">
        <v>31</v>
      </c>
      <c r="D27615" s="8" t="inlineStr">
        <is>
          <t>Disneyland Park</t>
        </is>
      </c>
      <c r="E27615" s="8" t="inlineStr">
        <is>
          <t>Disneyland Railroad Main Street Station</t>
        </is>
      </c>
      <c r="F27615" s="8" t="inlineStr">
        <is>
          <t>STANDBY</t>
        </is>
      </c>
      <c r="G27615" s="8" t="n">
        <v>0</v>
      </c>
      <c r="H27615" s="8" t="inlineStr">
        <is>
          <t>CLOSED</t>
        </is>
      </c>
    </row>
    <row r="27616">
      <c r="A27616" s="8" t="inlineStr">
        <is>
          <t>2026-08-05</t>
        </is>
      </c>
      <c r="B27616" s="8" t="n">
        <v>23</v>
      </c>
      <c r="C27616" s="8" t="n">
        <v>31</v>
      </c>
      <c r="D27616" s="8" t="inlineStr">
        <is>
          <t>Disneyland Park</t>
        </is>
      </c>
      <c r="E27616" s="8" t="inlineStr">
        <is>
          <t>Dumbo the Flying Elephant</t>
        </is>
      </c>
      <c r="F27616" s="8" t="inlineStr">
        <is>
          <t>STANDBY</t>
        </is>
      </c>
      <c r="G27616" s="8" t="n">
        <v>0</v>
      </c>
      <c r="H27616" s="8" t="inlineStr">
        <is>
          <t>CLOSED</t>
        </is>
      </c>
    </row>
    <row r="27617">
      <c r="A27617" s="8" t="inlineStr">
        <is>
          <t>2026-08-05</t>
        </is>
      </c>
      <c r="B27617" s="8" t="n">
        <v>23</v>
      </c>
      <c r="C27617" s="8" t="n">
        <v>31</v>
      </c>
      <c r="D27617" s="8" t="inlineStr">
        <is>
          <t>Disneyland Park</t>
        </is>
      </c>
      <c r="E27617" s="8" t="inlineStr">
        <is>
          <t>La Tanière du Dragon</t>
        </is>
      </c>
      <c r="F27617" s="8" t="inlineStr">
        <is>
          <t>STANDBY</t>
        </is>
      </c>
      <c r="G27617" s="8" t="n">
        <v>0</v>
      </c>
      <c r="H27617" s="8" t="inlineStr">
        <is>
          <t>CLOSED</t>
        </is>
      </c>
    </row>
    <row r="27618">
      <c r="A27618" s="8" t="inlineStr">
        <is>
          <t>2026-08-05</t>
        </is>
      </c>
      <c r="B27618" s="8" t="n">
        <v>23</v>
      </c>
      <c r="C27618" s="8" t="n">
        <v>31</v>
      </c>
      <c r="D27618" s="8" t="inlineStr">
        <is>
          <t>Disneyland Park</t>
        </is>
      </c>
      <c r="E27618" s="8" t="inlineStr">
        <is>
          <t>Le Carrousel de Lancelot</t>
        </is>
      </c>
      <c r="F27618" s="8" t="inlineStr">
        <is>
          <t>STANDBY</t>
        </is>
      </c>
      <c r="G27618" s="8" t="n">
        <v>0</v>
      </c>
      <c r="H27618" s="8" t="inlineStr">
        <is>
          <t>CLOSED</t>
        </is>
      </c>
    </row>
    <row r="27619">
      <c r="A27619" s="8" t="inlineStr">
        <is>
          <t>2026-08-05</t>
        </is>
      </c>
      <c r="B27619" s="8" t="n">
        <v>23</v>
      </c>
      <c r="C27619" s="8" t="n">
        <v>31</v>
      </c>
      <c r="D27619" s="8" t="inlineStr">
        <is>
          <t>Disneyland Park</t>
        </is>
      </c>
      <c r="E27619" s="8" t="inlineStr">
        <is>
          <t>Le Pays des Contes de Fées, presented by Vittel</t>
        </is>
      </c>
      <c r="F27619" s="8" t="inlineStr">
        <is>
          <t>STANDBY</t>
        </is>
      </c>
      <c r="G27619" s="8" t="n">
        <v>0</v>
      </c>
      <c r="H27619" s="8" t="inlineStr">
        <is>
          <t>CLOSED</t>
        </is>
      </c>
    </row>
    <row r="27620">
      <c r="A27620" s="8" t="inlineStr">
        <is>
          <t>2026-08-05</t>
        </is>
      </c>
      <c r="B27620" s="8" t="n">
        <v>23</v>
      </c>
      <c r="C27620" s="8" t="n">
        <v>31</v>
      </c>
      <c r="D27620" s="8" t="inlineStr">
        <is>
          <t>Disneyland Park</t>
        </is>
      </c>
      <c r="E27620" s="8" t="inlineStr">
        <is>
          <t>Les Voyages de Pinocchio</t>
        </is>
      </c>
      <c r="F27620" s="8" t="inlineStr">
        <is>
          <t>STANDBY</t>
        </is>
      </c>
      <c r="G27620" s="8" t="n">
        <v>0</v>
      </c>
      <c r="H27620" s="8" t="inlineStr">
        <is>
          <t>CLOSED</t>
        </is>
      </c>
    </row>
    <row r="27621">
      <c r="A27621" s="8" t="inlineStr">
        <is>
          <t>2026-08-05</t>
        </is>
      </c>
      <c r="B27621" s="8" t="n">
        <v>23</v>
      </c>
      <c r="C27621" s="8" t="n">
        <v>31</v>
      </c>
      <c r="D27621" s="8" t="inlineStr">
        <is>
          <t>Disneyland Park</t>
        </is>
      </c>
      <c r="E27621" s="8" t="inlineStr">
        <is>
          <t>Mad Hatter's Tea Cups</t>
        </is>
      </c>
      <c r="F27621" s="8" t="inlineStr">
        <is>
          <t>STANDBY</t>
        </is>
      </c>
      <c r="G27621" s="8" t="n">
        <v>0</v>
      </c>
      <c r="H27621" s="8" t="inlineStr">
        <is>
          <t>CLOSED</t>
        </is>
      </c>
    </row>
    <row r="27622">
      <c r="A27622" s="8" t="inlineStr">
        <is>
          <t>2026-08-05</t>
        </is>
      </c>
      <c r="B27622" s="8" t="n">
        <v>23</v>
      </c>
      <c r="C27622" s="8" t="n">
        <v>31</v>
      </c>
      <c r="D27622" s="8" t="inlineStr">
        <is>
          <t>Disneyland Park</t>
        </is>
      </c>
      <c r="E27622" s="8" t="inlineStr">
        <is>
          <t>Meet Mickey Mouse</t>
        </is>
      </c>
      <c r="F27622" s="8" t="inlineStr">
        <is>
          <t>STANDBY</t>
        </is>
      </c>
      <c r="G27622" s="8" t="n">
        <v>0</v>
      </c>
      <c r="H27622" s="8" t="inlineStr">
        <is>
          <t>CLOSED</t>
        </is>
      </c>
    </row>
    <row r="27623">
      <c r="A27623" s="8" t="inlineStr">
        <is>
          <t>2026-08-05</t>
        </is>
      </c>
      <c r="B27623" s="8" t="n">
        <v>23</v>
      </c>
      <c r="C27623" s="8" t="n">
        <v>31</v>
      </c>
      <c r="D27623" s="8" t="inlineStr">
        <is>
          <t>Disneyland Park</t>
        </is>
      </c>
      <c r="E27623" s="8" t="inlineStr">
        <is>
          <t>Peter Pan's Flight</t>
        </is>
      </c>
      <c r="F27623" s="8" t="inlineStr">
        <is>
          <t>STANDBY</t>
        </is>
      </c>
      <c r="G27623" s="8" t="n">
        <v>0</v>
      </c>
      <c r="H27623" s="8" t="inlineStr">
        <is>
          <t>CLOSED</t>
        </is>
      </c>
    </row>
    <row r="27624">
      <c r="A27624" s="8" t="inlineStr">
        <is>
          <t>2026-08-05</t>
        </is>
      </c>
      <c r="B27624" s="8" t="n">
        <v>23</v>
      </c>
      <c r="C27624" s="8" t="n">
        <v>31</v>
      </c>
      <c r="D27624" s="8" t="inlineStr">
        <is>
          <t>Disneyland Park</t>
        </is>
      </c>
      <c r="E27624" s="8" t="inlineStr">
        <is>
          <t>Princess Pavilion</t>
        </is>
      </c>
      <c r="F27624" s="8" t="inlineStr">
        <is>
          <t>STANDBY</t>
        </is>
      </c>
      <c r="G27624" s="8" t="n">
        <v>0</v>
      </c>
      <c r="H27624" s="8" t="inlineStr">
        <is>
          <t>CLOSED</t>
        </is>
      </c>
    </row>
    <row r="27625">
      <c r="A27625" s="8" t="inlineStr">
        <is>
          <t>2026-08-05</t>
        </is>
      </c>
      <c r="B27625" s="8" t="n">
        <v>23</v>
      </c>
      <c r="C27625" s="8" t="n">
        <v>31</v>
      </c>
      <c r="D27625" s="8" t="inlineStr">
        <is>
          <t>Disneyland Park</t>
        </is>
      </c>
      <c r="E27625" s="8" t="inlineStr">
        <is>
          <t>Big Thunder Mountain</t>
        </is>
      </c>
      <c r="F27625" s="8" t="inlineStr">
        <is>
          <t>STANDBY</t>
        </is>
      </c>
      <c r="G27625" s="8" t="n">
        <v>0</v>
      </c>
      <c r="H27625" s="8" t="inlineStr">
        <is>
          <t>CLOSED</t>
        </is>
      </c>
    </row>
    <row r="27626">
      <c r="A27626" s="8" t="inlineStr">
        <is>
          <t>2026-08-05</t>
        </is>
      </c>
      <c r="B27626" s="8" t="n">
        <v>23</v>
      </c>
      <c r="C27626" s="8" t="n">
        <v>31</v>
      </c>
      <c r="D27626" s="8" t="inlineStr">
        <is>
          <t>Disneyland Park</t>
        </is>
      </c>
      <c r="E27626" s="8" t="inlineStr">
        <is>
          <t>Disneyland Railroad Frontierland Depot</t>
        </is>
      </c>
      <c r="F27626" s="8" t="inlineStr">
        <is>
          <t>STANDBY</t>
        </is>
      </c>
      <c r="G27626" s="8" t="n">
        <v>0</v>
      </c>
      <c r="H27626" s="8" t="inlineStr">
        <is>
          <t>CLOSED</t>
        </is>
      </c>
    </row>
    <row r="27627">
      <c r="A27627" s="8" t="inlineStr">
        <is>
          <t>2026-08-05</t>
        </is>
      </c>
      <c r="B27627" s="8" t="n">
        <v>23</v>
      </c>
      <c r="C27627" s="8" t="n">
        <v>31</v>
      </c>
      <c r="D27627" s="8" t="inlineStr">
        <is>
          <t>Disneyland Park</t>
        </is>
      </c>
      <c r="E27627" s="8" t="inlineStr">
        <is>
          <t>Frontierland Playground</t>
        </is>
      </c>
      <c r="F27627" s="8" t="inlineStr">
        <is>
          <t>STANDBY</t>
        </is>
      </c>
      <c r="G27627" s="8" t="n">
        <v>0</v>
      </c>
      <c r="H27627" s="8" t="inlineStr">
        <is>
          <t>CLOSED</t>
        </is>
      </c>
    </row>
    <row r="27628">
      <c r="A27628" s="8" t="inlineStr">
        <is>
          <t>2026-08-05</t>
        </is>
      </c>
      <c r="B27628" s="8" t="n">
        <v>23</v>
      </c>
      <c r="C27628" s="8" t="n">
        <v>31</v>
      </c>
      <c r="D27628" s="8" t="inlineStr">
        <is>
          <t>Disneyland Park</t>
        </is>
      </c>
      <c r="E27628" s="8" t="inlineStr">
        <is>
          <t>Phantom Manor</t>
        </is>
      </c>
      <c r="F27628" s="8" t="inlineStr">
        <is>
          <t>STANDBY</t>
        </is>
      </c>
      <c r="G27628" s="8" t="n">
        <v>0</v>
      </c>
      <c r="H27628" s="8" t="inlineStr">
        <is>
          <t>CLOSED</t>
        </is>
      </c>
    </row>
    <row r="27629">
      <c r="A27629" s="8" t="inlineStr">
        <is>
          <t>2026-08-05</t>
        </is>
      </c>
      <c r="B27629" s="8" t="n">
        <v>23</v>
      </c>
      <c r="C27629" s="8" t="n">
        <v>31</v>
      </c>
      <c r="D27629" s="8" t="inlineStr">
        <is>
          <t>Disneyland Park</t>
        </is>
      </c>
      <c r="E27629" s="8" t="inlineStr">
        <is>
          <t>River Rogue Keelboats</t>
        </is>
      </c>
      <c r="F27629" s="8" t="inlineStr">
        <is>
          <t>STANDBY</t>
        </is>
      </c>
      <c r="G27629" s="8" t="n">
        <v>0</v>
      </c>
      <c r="H27629" s="8" t="inlineStr">
        <is>
          <t>CLOSED</t>
        </is>
      </c>
    </row>
    <row r="27630">
      <c r="A27630" s="8" t="inlineStr">
        <is>
          <t>2026-08-05</t>
        </is>
      </c>
      <c r="B27630" s="8" t="n">
        <v>23</v>
      </c>
      <c r="C27630" s="8" t="n">
        <v>31</v>
      </c>
      <c r="D27630" s="8" t="inlineStr">
        <is>
          <t>Disneyland Park</t>
        </is>
      </c>
      <c r="E27630" s="8" t="inlineStr">
        <is>
          <t>Rustler Roundup Shootin' Gallery</t>
        </is>
      </c>
      <c r="F27630" s="8" t="inlineStr">
        <is>
          <t>STANDBY</t>
        </is>
      </c>
      <c r="G27630" s="8" t="n">
        <v>0</v>
      </c>
      <c r="H27630" s="8" t="inlineStr">
        <is>
          <t>CLOSED</t>
        </is>
      </c>
    </row>
    <row r="27631">
      <c r="A27631" s="8" t="inlineStr">
        <is>
          <t>2026-08-05</t>
        </is>
      </c>
      <c r="B27631" s="8" t="n">
        <v>23</v>
      </c>
      <c r="C27631" s="8" t="n">
        <v>31</v>
      </c>
      <c r="D27631" s="8" t="inlineStr">
        <is>
          <t>Disneyland Park</t>
        </is>
      </c>
      <c r="E27631" s="8" t="inlineStr">
        <is>
          <t>Thunder Mesa Riverboat Landing</t>
        </is>
      </c>
      <c r="F27631" s="8" t="inlineStr">
        <is>
          <t>STANDBY</t>
        </is>
      </c>
      <c r="G27631" s="8" t="n">
        <v>0</v>
      </c>
      <c r="H27631" s="8" t="inlineStr">
        <is>
          <t>CLOSED</t>
        </is>
      </c>
    </row>
    <row r="27632">
      <c r="A27632" s="8" t="inlineStr">
        <is>
          <t>2026-08-05</t>
        </is>
      </c>
      <c r="B27632" s="8" t="n">
        <v>23</v>
      </c>
      <c r="C27632" s="8" t="n">
        <v>31</v>
      </c>
      <c r="D27632" s="8" t="inlineStr">
        <is>
          <t>Disneyland Park</t>
        </is>
      </c>
      <c r="E27632" s="8" t="inlineStr">
        <is>
          <t>Disneyland Railroad Main Street Station</t>
        </is>
      </c>
      <c r="F27632" s="8" t="inlineStr">
        <is>
          <t>STANDBY</t>
        </is>
      </c>
      <c r="G27632" s="8" t="n">
        <v>0</v>
      </c>
      <c r="H27632" s="8" t="inlineStr">
        <is>
          <t>CLOSED</t>
        </is>
      </c>
    </row>
    <row r="27633">
      <c r="A27633" s="8" t="inlineStr">
        <is>
          <t>2026-08-05</t>
        </is>
      </c>
      <c r="B27633" s="8" t="n">
        <v>23</v>
      </c>
      <c r="C27633" s="8" t="n">
        <v>31</v>
      </c>
      <c r="D27633" s="8" t="inlineStr">
        <is>
          <t>Disneyland Park</t>
        </is>
      </c>
      <c r="E27633" s="8" t="inlineStr">
        <is>
          <t>Main Street Vehicles</t>
        </is>
      </c>
      <c r="F27633" s="8" t="inlineStr">
        <is>
          <t>STANDBY</t>
        </is>
      </c>
      <c r="G27633" s="8" t="n">
        <v>0</v>
      </c>
      <c r="H27633" s="8" t="inlineStr">
        <is>
          <t>CLOSED</t>
        </is>
      </c>
    </row>
    <row r="27634">
      <c r="A27634" s="8" t="inlineStr">
        <is>
          <t>2026-08-05</t>
        </is>
      </c>
      <c r="B27634" s="8" t="n">
        <v>23</v>
      </c>
      <c r="C27634" s="8" t="n">
        <v>31</v>
      </c>
      <c r="D27634" s="8" t="inlineStr">
        <is>
          <t>Disney Adventure World</t>
        </is>
      </c>
      <c r="E27634" s="8" t="inlineStr">
        <is>
          <t>Avengers Assemble: Flight Force</t>
        </is>
      </c>
      <c r="F27634" s="8" t="inlineStr">
        <is>
          <t>STANDBY</t>
        </is>
      </c>
      <c r="G27634" s="8" t="n">
        <v>0</v>
      </c>
      <c r="H27634" s="8" t="inlineStr">
        <is>
          <t>CLOSED</t>
        </is>
      </c>
    </row>
    <row r="27635">
      <c r="A27635" s="8" t="inlineStr">
        <is>
          <t>2026-08-05</t>
        </is>
      </c>
      <c r="B27635" s="8" t="n">
        <v>23</v>
      </c>
      <c r="C27635" s="8" t="n">
        <v>31</v>
      </c>
      <c r="D27635" s="8" t="inlineStr">
        <is>
          <t>Disney Adventure World</t>
        </is>
      </c>
      <c r="E27635" s="8" t="inlineStr">
        <is>
          <t>Avengers Assemble: Flight Force Single Rider</t>
        </is>
      </c>
      <c r="F27635" s="8" t="inlineStr">
        <is>
          <t>STANDBY</t>
        </is>
      </c>
      <c r="G27635" s="8" t="n">
        <v>0</v>
      </c>
      <c r="H27635" s="8" t="inlineStr">
        <is>
          <t>CLOSED</t>
        </is>
      </c>
    </row>
    <row r="27636">
      <c r="A27636" s="8" t="inlineStr">
        <is>
          <t>2026-08-05</t>
        </is>
      </c>
      <c r="B27636" s="8" t="n">
        <v>23</v>
      </c>
      <c r="C27636" s="8" t="n">
        <v>31</v>
      </c>
      <c r="D27636" s="8" t="inlineStr">
        <is>
          <t>Disney Adventure World</t>
        </is>
      </c>
      <c r="E27636" s="8" t="inlineStr">
        <is>
          <t>Spider-Man W.E.B. Adventure</t>
        </is>
      </c>
      <c r="F27636" s="8" t="inlineStr">
        <is>
          <t>STANDBY</t>
        </is>
      </c>
      <c r="G27636" s="8" t="n">
        <v>0</v>
      </c>
      <c r="H27636" s="8" t="inlineStr">
        <is>
          <t>CLOSED</t>
        </is>
      </c>
    </row>
    <row r="27637">
      <c r="A27637" s="8" t="inlineStr">
        <is>
          <t>2026-08-05</t>
        </is>
      </c>
      <c r="B27637" s="8" t="n">
        <v>23</v>
      </c>
      <c r="C27637" s="8" t="n">
        <v>31</v>
      </c>
      <c r="D27637" s="8" t="inlineStr">
        <is>
          <t>Disney Adventure World</t>
        </is>
      </c>
      <c r="E27637" s="8" t="inlineStr">
        <is>
          <t>Spider-Man W.E.B. Adventure Single Rider</t>
        </is>
      </c>
      <c r="F27637" s="8" t="inlineStr">
        <is>
          <t>STANDBY</t>
        </is>
      </c>
      <c r="G27637" s="8" t="n">
        <v>0</v>
      </c>
      <c r="H27637" s="8" t="inlineStr">
        <is>
          <t>CLOSED</t>
        </is>
      </c>
    </row>
    <row r="27638">
      <c r="A27638" s="8" t="inlineStr">
        <is>
          <t>2026-08-05</t>
        </is>
      </c>
      <c r="B27638" s="8" t="n">
        <v>23</v>
      </c>
      <c r="C27638" s="8" t="n">
        <v>31</v>
      </c>
      <c r="D27638" s="8" t="inlineStr">
        <is>
          <t>Disney Adventure World</t>
        </is>
      </c>
      <c r="E27638" s="8" t="inlineStr">
        <is>
          <t>The Twilight Zone Tower of Terror</t>
        </is>
      </c>
      <c r="F27638" s="8" t="inlineStr">
        <is>
          <t>STANDBY</t>
        </is>
      </c>
      <c r="G27638" s="8" t="n">
        <v>0</v>
      </c>
      <c r="H27638" s="8" t="inlineStr">
        <is>
          <t>CLOSED</t>
        </is>
      </c>
    </row>
    <row r="27639">
      <c r="A27639" s="8" t="inlineStr">
        <is>
          <t>2026-08-05</t>
        </is>
      </c>
      <c r="B27639" s="8" t="n">
        <v>23</v>
      </c>
      <c r="C27639" s="8" t="n">
        <v>31</v>
      </c>
      <c r="D27639" s="8" t="inlineStr">
        <is>
          <t>Disney Adventure World</t>
        </is>
      </c>
      <c r="E27639" s="8" t="inlineStr">
        <is>
          <t>Cars Quatre Roues Rallye</t>
        </is>
      </c>
      <c r="F27639" s="8" t="inlineStr">
        <is>
          <t>STANDBY</t>
        </is>
      </c>
      <c r="G27639" s="8" t="n">
        <v>0</v>
      </c>
      <c r="H27639" s="8" t="inlineStr">
        <is>
          <t>CLOSED</t>
        </is>
      </c>
    </row>
    <row r="27640">
      <c r="A27640" s="8" t="inlineStr">
        <is>
          <t>2026-08-05</t>
        </is>
      </c>
      <c r="B27640" s="8" t="n">
        <v>23</v>
      </c>
      <c r="C27640" s="8" t="n">
        <v>31</v>
      </c>
      <c r="D27640" s="8" t="inlineStr">
        <is>
          <t>Disney Adventure World</t>
        </is>
      </c>
      <c r="E27640" s="8" t="inlineStr">
        <is>
          <t>Cars ROAD TRIP</t>
        </is>
      </c>
      <c r="F27640" s="8" t="inlineStr">
        <is>
          <t>STANDBY</t>
        </is>
      </c>
      <c r="G27640" s="8" t="n">
        <v>0</v>
      </c>
      <c r="H27640" s="8" t="inlineStr">
        <is>
          <t>CLOSED</t>
        </is>
      </c>
    </row>
    <row r="27641">
      <c r="A27641" s="8" t="inlineStr">
        <is>
          <t>2026-08-05</t>
        </is>
      </c>
      <c r="B27641" s="8" t="n">
        <v>23</v>
      </c>
      <c r="C27641" s="8" t="n">
        <v>31</v>
      </c>
      <c r="D27641" s="8" t="inlineStr">
        <is>
          <t>Disney Adventure World</t>
        </is>
      </c>
      <c r="E27641" s="8" t="inlineStr">
        <is>
          <t>Crush's Coaster</t>
        </is>
      </c>
      <c r="F27641" s="8" t="inlineStr">
        <is>
          <t>STANDBY</t>
        </is>
      </c>
      <c r="G27641" s="8" t="n">
        <v>0</v>
      </c>
      <c r="H27641" s="8" t="inlineStr">
        <is>
          <t>CLOSED</t>
        </is>
      </c>
    </row>
    <row r="27642">
      <c r="A27642" s="8" t="inlineStr">
        <is>
          <t>2026-08-05</t>
        </is>
      </c>
      <c r="B27642" s="8" t="n">
        <v>23</v>
      </c>
      <c r="C27642" s="8" t="n">
        <v>31</v>
      </c>
      <c r="D27642" s="8" t="inlineStr">
        <is>
          <t>Disney Adventure World</t>
        </is>
      </c>
      <c r="E27642" s="8" t="inlineStr">
        <is>
          <t>Crush's Coaster Single Rider</t>
        </is>
      </c>
      <c r="F27642" s="8" t="inlineStr">
        <is>
          <t>STANDBY</t>
        </is>
      </c>
      <c r="G27642" s="8" t="n">
        <v>0</v>
      </c>
      <c r="H27642" s="8" t="inlineStr">
        <is>
          <t>CLOSED</t>
        </is>
      </c>
    </row>
    <row r="27643">
      <c r="A27643" s="8" t="inlineStr">
        <is>
          <t>2026-08-05</t>
        </is>
      </c>
      <c r="B27643" s="8" t="n">
        <v>23</v>
      </c>
      <c r="C27643" s="8" t="n">
        <v>31</v>
      </c>
      <c r="D27643" s="8" t="inlineStr">
        <is>
          <t>Disney Adventure World</t>
        </is>
      </c>
      <c r="E27643" s="8" t="inlineStr">
        <is>
          <t>Les Tapis Volants - Flying Carpets Over Agrabah®</t>
        </is>
      </c>
      <c r="F27643" s="8" t="inlineStr">
        <is>
          <t>STANDBY</t>
        </is>
      </c>
      <c r="G27643" s="8" t="n">
        <v>0</v>
      </c>
      <c r="H27643" s="8" t="inlineStr">
        <is>
          <t>CLOSED</t>
        </is>
      </c>
    </row>
    <row r="27644">
      <c r="A27644" s="8" t="inlineStr">
        <is>
          <t>2026-08-05</t>
        </is>
      </c>
      <c r="B27644" s="8" t="n">
        <v>23</v>
      </c>
      <c r="C27644" s="8" t="n">
        <v>31</v>
      </c>
      <c r="D27644" s="8" t="inlineStr">
        <is>
          <t>Disney Adventure World</t>
        </is>
      </c>
      <c r="E27644" s="8" t="inlineStr">
        <is>
          <t>Ratatouille : L’Aventure Totalement Toquée de Rémy​</t>
        </is>
      </c>
      <c r="F27644" s="8" t="inlineStr">
        <is>
          <t>STANDBY</t>
        </is>
      </c>
      <c r="G27644" s="8" t="n">
        <v>0</v>
      </c>
      <c r="H27644" s="8" t="inlineStr">
        <is>
          <t>CLOSED</t>
        </is>
      </c>
    </row>
    <row r="27645">
      <c r="A27645" s="8" t="inlineStr">
        <is>
          <t>2026-08-05</t>
        </is>
      </c>
      <c r="B27645" s="8" t="n">
        <v>23</v>
      </c>
      <c r="C27645" s="8" t="n">
        <v>31</v>
      </c>
      <c r="D27645" s="8" t="inlineStr">
        <is>
          <t>Disney Adventure World</t>
        </is>
      </c>
      <c r="E27645" s="8" t="inlineStr">
        <is>
          <t>Ratatouille: The Adventure Single Rider</t>
        </is>
      </c>
      <c r="F27645" s="8" t="inlineStr">
        <is>
          <t>STANDBY</t>
        </is>
      </c>
      <c r="G27645" s="8" t="n">
        <v>0</v>
      </c>
      <c r="H27645" s="8" t="inlineStr">
        <is>
          <t>CLOSED</t>
        </is>
      </c>
    </row>
    <row r="27646">
      <c r="A27646" s="8" t="inlineStr">
        <is>
          <t>2026-08-05</t>
        </is>
      </c>
      <c r="B27646" s="8" t="n">
        <v>23</v>
      </c>
      <c r="C27646" s="8" t="n">
        <v>31</v>
      </c>
      <c r="D27646" s="8" t="inlineStr">
        <is>
          <t>Disney Adventure World</t>
        </is>
      </c>
      <c r="E27646" s="8" t="inlineStr">
        <is>
          <t>RC Racer</t>
        </is>
      </c>
      <c r="F27646" s="8" t="inlineStr">
        <is>
          <t>STANDBY</t>
        </is>
      </c>
      <c r="G27646" s="8" t="n">
        <v>0</v>
      </c>
      <c r="H27646" s="8" t="inlineStr">
        <is>
          <t>CLOSED</t>
        </is>
      </c>
    </row>
    <row r="27647">
      <c r="A27647" s="8" t="inlineStr">
        <is>
          <t>2026-08-05</t>
        </is>
      </c>
      <c r="B27647" s="8" t="n">
        <v>23</v>
      </c>
      <c r="C27647" s="8" t="n">
        <v>31</v>
      </c>
      <c r="D27647" s="8" t="inlineStr">
        <is>
          <t>Disney Adventure World</t>
        </is>
      </c>
      <c r="E27647" s="8" t="inlineStr">
        <is>
          <t>RC Racer Single Rider</t>
        </is>
      </c>
      <c r="F27647" s="8" t="inlineStr">
        <is>
          <t>STANDBY</t>
        </is>
      </c>
      <c r="G27647" s="8" t="n">
        <v>0</v>
      </c>
      <c r="H27647" s="8" t="inlineStr">
        <is>
          <t>CLOSED</t>
        </is>
      </c>
    </row>
    <row r="27648">
      <c r="A27648" s="8" t="inlineStr">
        <is>
          <t>2026-08-05</t>
        </is>
      </c>
      <c r="B27648" s="8" t="n">
        <v>23</v>
      </c>
      <c r="C27648" s="8" t="n">
        <v>31</v>
      </c>
      <c r="D27648" s="8" t="inlineStr">
        <is>
          <t>Disney Adventure World</t>
        </is>
      </c>
      <c r="E27648" s="8" t="inlineStr">
        <is>
          <t>Slinky® Dog Zigzag Spin</t>
        </is>
      </c>
      <c r="F27648" s="8" t="inlineStr">
        <is>
          <t>STANDBY</t>
        </is>
      </c>
      <c r="G27648" s="8" t="n">
        <v>0</v>
      </c>
      <c r="H27648" s="8" t="inlineStr">
        <is>
          <t>CLOSED</t>
        </is>
      </c>
    </row>
    <row r="27649">
      <c r="A27649" s="8" t="inlineStr">
        <is>
          <t>2026-08-05</t>
        </is>
      </c>
      <c r="B27649" s="8" t="n">
        <v>23</v>
      </c>
      <c r="C27649" s="8" t="n">
        <v>31</v>
      </c>
      <c r="D27649" s="8" t="inlineStr">
        <is>
          <t>Disney Adventure World</t>
        </is>
      </c>
      <c r="E27649" s="8" t="inlineStr">
        <is>
          <t>Toy Soldiers Parachute Drop</t>
        </is>
      </c>
      <c r="F27649" s="8" t="inlineStr">
        <is>
          <t>STANDBY</t>
        </is>
      </c>
      <c r="G27649" s="8" t="n">
        <v>0</v>
      </c>
      <c r="H27649" s="8" t="inlineStr">
        <is>
          <t>CLOSED</t>
        </is>
      </c>
    </row>
    <row r="27650">
      <c r="A27650" s="8" t="inlineStr">
        <is>
          <t>2026-08-05</t>
        </is>
      </c>
      <c r="B27650" s="8" t="n">
        <v>23</v>
      </c>
      <c r="C27650" s="8" t="n">
        <v>31</v>
      </c>
      <c r="D27650" s="8" t="inlineStr">
        <is>
          <t>Disney Adventure World</t>
        </is>
      </c>
      <c r="E27650" s="8" t="inlineStr">
        <is>
          <t>Toy Soldiers Parachute Drop Single Rider</t>
        </is>
      </c>
      <c r="F27650" s="8" t="inlineStr">
        <is>
          <t>STANDBY</t>
        </is>
      </c>
      <c r="G27650" s="8" t="n">
        <v>0</v>
      </c>
      <c r="H27650" s="8" t="inlineStr">
        <is>
          <t>CLOSED</t>
        </is>
      </c>
    </row>
    <row r="27651">
      <c r="A27651" s="8" t="inlineStr">
        <is>
          <t>2026-08-05</t>
        </is>
      </c>
      <c r="B27651" s="8" t="n">
        <v>23</v>
      </c>
      <c r="C27651" s="8" t="n">
        <v>31</v>
      </c>
      <c r="D27651" s="8" t="inlineStr">
        <is>
          <t>Disney Adventure World</t>
        </is>
      </c>
      <c r="E27651" s="8" t="inlineStr">
        <is>
          <t>Entry to World of Frozen</t>
        </is>
      </c>
      <c r="F27651" s="8" t="inlineStr">
        <is>
          <t>STANDBY</t>
        </is>
      </c>
      <c r="G27651" s="8" t="n">
        <v>0</v>
      </c>
      <c r="H27651" s="8" t="inlineStr">
        <is>
          <t>CLOSED</t>
        </is>
      </c>
    </row>
    <row r="27652">
      <c r="A27652" s="8" t="inlineStr">
        <is>
          <t>2026-08-05</t>
        </is>
      </c>
      <c r="B27652" s="8" t="n">
        <v>23</v>
      </c>
      <c r="C27652" s="8" t="n">
        <v>31</v>
      </c>
      <c r="D27652" s="8" t="inlineStr">
        <is>
          <t>Disney Adventure World</t>
        </is>
      </c>
      <c r="E27652" s="8" t="inlineStr">
        <is>
          <t>Frozen Ever After</t>
        </is>
      </c>
      <c r="F27652" s="8" t="inlineStr">
        <is>
          <t>STANDBY</t>
        </is>
      </c>
      <c r="G27652" s="8" t="n">
        <v>0</v>
      </c>
      <c r="H27652" s="8" t="inlineStr">
        <is>
          <t>CLOSED</t>
        </is>
      </c>
    </row>
    <row r="27653">
      <c r="A27653" s="8" t="inlineStr">
        <is>
          <t>2026-08-05</t>
        </is>
      </c>
      <c r="B27653" s="8" t="n">
        <v>23</v>
      </c>
      <c r="C27653" s="8" t="n">
        <v>31</v>
      </c>
      <c r="D27653" s="8" t="inlineStr">
        <is>
          <t>Disney Adventure World</t>
        </is>
      </c>
      <c r="E27653" s="8" t="inlineStr">
        <is>
          <t>Raiponce Tangled Spin</t>
        </is>
      </c>
      <c r="F27653" s="8" t="inlineStr">
        <is>
          <t>STANDBY</t>
        </is>
      </c>
      <c r="G27653" s="8" t="n">
        <v>0</v>
      </c>
      <c r="H27653" s="8" t="inlineStr">
        <is>
          <t>CLOSED</t>
        </is>
      </c>
    </row>
    <row r="27654">
      <c r="A27654" s="8" t="inlineStr">
        <is>
          <t>2026-08-05</t>
        </is>
      </c>
      <c r="B27654" s="8" t="n">
        <v>23</v>
      </c>
      <c r="C27654" s="8" t="n">
        <v>38</v>
      </c>
      <c r="D27654" s="8" t="inlineStr">
        <is>
          <t>Disneyland Park</t>
        </is>
      </c>
      <c r="E27654" s="8" t="inlineStr">
        <is>
          <t>Adventure Isle</t>
        </is>
      </c>
      <c r="F27654" s="8" t="inlineStr">
        <is>
          <t>STANDBY</t>
        </is>
      </c>
      <c r="G27654" s="8" t="n">
        <v>0</v>
      </c>
      <c r="H27654" s="8" t="inlineStr">
        <is>
          <t>CLOSED</t>
        </is>
      </c>
    </row>
    <row r="27655">
      <c r="A27655" s="8" t="inlineStr">
        <is>
          <t>2026-08-05</t>
        </is>
      </c>
      <c r="B27655" s="8" t="n">
        <v>23</v>
      </c>
      <c r="C27655" s="8" t="n">
        <v>38</v>
      </c>
      <c r="D27655" s="8" t="inlineStr">
        <is>
          <t>Disneyland Park</t>
        </is>
      </c>
      <c r="E27655" s="8" t="inlineStr">
        <is>
          <t>Indiana Jones and the Temple of Peril Single Rider</t>
        </is>
      </c>
      <c r="F27655" s="8" t="inlineStr">
        <is>
          <t>STANDBY</t>
        </is>
      </c>
      <c r="G27655" s="8" t="n">
        <v>0</v>
      </c>
      <c r="H27655" s="8" t="inlineStr">
        <is>
          <t>CLOSED</t>
        </is>
      </c>
    </row>
    <row r="27656">
      <c r="A27656" s="8" t="inlineStr">
        <is>
          <t>2026-08-05</t>
        </is>
      </c>
      <c r="B27656" s="8" t="n">
        <v>23</v>
      </c>
      <c r="C27656" s="8" t="n">
        <v>38</v>
      </c>
      <c r="D27656" s="8" t="inlineStr">
        <is>
          <t>Disneyland Park</t>
        </is>
      </c>
      <c r="E27656" s="8" t="inlineStr">
        <is>
          <t>Indiana Jones™ and the Temple of Peril</t>
        </is>
      </c>
      <c r="F27656" s="8" t="inlineStr">
        <is>
          <t>STANDBY</t>
        </is>
      </c>
      <c r="G27656" s="8" t="n">
        <v>0</v>
      </c>
      <c r="H27656" s="8" t="inlineStr">
        <is>
          <t>CLOSED</t>
        </is>
      </c>
    </row>
    <row r="27657">
      <c r="A27657" s="8" t="inlineStr">
        <is>
          <t>2026-08-05</t>
        </is>
      </c>
      <c r="B27657" s="8" t="n">
        <v>23</v>
      </c>
      <c r="C27657" s="8" t="n">
        <v>38</v>
      </c>
      <c r="D27657" s="8" t="inlineStr">
        <is>
          <t>Disneyland Park</t>
        </is>
      </c>
      <c r="E27657" s="8" t="inlineStr">
        <is>
          <t>La Cabane des Robinson</t>
        </is>
      </c>
      <c r="F27657" s="8" t="inlineStr">
        <is>
          <t>STANDBY</t>
        </is>
      </c>
      <c r="G27657" s="8" t="n">
        <v>0</v>
      </c>
      <c r="H27657" s="8" t="inlineStr">
        <is>
          <t>CLOSED</t>
        </is>
      </c>
    </row>
    <row r="27658">
      <c r="A27658" s="8" t="inlineStr">
        <is>
          <t>2026-08-05</t>
        </is>
      </c>
      <c r="B27658" s="8" t="n">
        <v>23</v>
      </c>
      <c r="C27658" s="8" t="n">
        <v>38</v>
      </c>
      <c r="D27658" s="8" t="inlineStr">
        <is>
          <t>Disneyland Park</t>
        </is>
      </c>
      <c r="E27658" s="8" t="inlineStr">
        <is>
          <t>Le Passage Enchanté d'Aladdin</t>
        </is>
      </c>
      <c r="F27658" s="8" t="inlineStr">
        <is>
          <t>STANDBY</t>
        </is>
      </c>
      <c r="G27658" s="8" t="n">
        <v>0</v>
      </c>
      <c r="H27658" s="8" t="inlineStr">
        <is>
          <t>CLOSED</t>
        </is>
      </c>
    </row>
    <row r="27659">
      <c r="A27659" s="8" t="inlineStr">
        <is>
          <t>2026-08-05</t>
        </is>
      </c>
      <c r="B27659" s="8" t="n">
        <v>23</v>
      </c>
      <c r="C27659" s="8" t="n">
        <v>38</v>
      </c>
      <c r="D27659" s="8" t="inlineStr">
        <is>
          <t>Disneyland Park</t>
        </is>
      </c>
      <c r="E27659" s="8" t="inlineStr">
        <is>
          <t>Pirate Galleon</t>
        </is>
      </c>
      <c r="F27659" s="8" t="inlineStr">
        <is>
          <t>STANDBY</t>
        </is>
      </c>
      <c r="G27659" s="8" t="n">
        <v>0</v>
      </c>
      <c r="H27659" s="8" t="inlineStr">
        <is>
          <t>CLOSED</t>
        </is>
      </c>
    </row>
    <row r="27660">
      <c r="A27660" s="8" t="inlineStr">
        <is>
          <t>2026-08-05</t>
        </is>
      </c>
      <c r="B27660" s="8" t="n">
        <v>23</v>
      </c>
      <c r="C27660" s="8" t="n">
        <v>38</v>
      </c>
      <c r="D27660" s="8" t="inlineStr">
        <is>
          <t>Disneyland Park</t>
        </is>
      </c>
      <c r="E27660" s="8" t="inlineStr">
        <is>
          <t>Pirates of the Caribbean</t>
        </is>
      </c>
      <c r="F27660" s="8" t="inlineStr">
        <is>
          <t>STANDBY</t>
        </is>
      </c>
      <c r="G27660" s="8" t="n">
        <v>0</v>
      </c>
      <c r="H27660" s="8" t="inlineStr">
        <is>
          <t>CLOSED</t>
        </is>
      </c>
    </row>
    <row r="27661">
      <c r="A27661" s="8" t="inlineStr">
        <is>
          <t>2026-08-05</t>
        </is>
      </c>
      <c r="B27661" s="8" t="n">
        <v>23</v>
      </c>
      <c r="C27661" s="8" t="n">
        <v>38</v>
      </c>
      <c r="D27661" s="8" t="inlineStr">
        <is>
          <t>Disneyland Park</t>
        </is>
      </c>
      <c r="E27661" s="8" t="inlineStr">
        <is>
          <t>Pirates' Beach</t>
        </is>
      </c>
      <c r="F27661" s="8" t="inlineStr">
        <is>
          <t>STANDBY</t>
        </is>
      </c>
      <c r="G27661" s="8" t="n">
        <v>0</v>
      </c>
      <c r="H27661" s="8" t="inlineStr">
        <is>
          <t>CLOSED</t>
        </is>
      </c>
    </row>
    <row r="27662">
      <c r="A27662" s="8" t="inlineStr">
        <is>
          <t>2026-08-05</t>
        </is>
      </c>
      <c r="B27662" s="8" t="n">
        <v>23</v>
      </c>
      <c r="C27662" s="8" t="n">
        <v>38</v>
      </c>
      <c r="D27662" s="8" t="inlineStr">
        <is>
          <t>Disneyland Park</t>
        </is>
      </c>
      <c r="E27662" s="8" t="inlineStr">
        <is>
          <t>Autopia, presented by Avis</t>
        </is>
      </c>
      <c r="F27662" s="8" t="inlineStr">
        <is>
          <t>STANDBY</t>
        </is>
      </c>
      <c r="G27662" s="8" t="n">
        <v>0</v>
      </c>
      <c r="H27662" s="8" t="inlineStr">
        <is>
          <t>CLOSED</t>
        </is>
      </c>
    </row>
    <row r="27663">
      <c r="A27663" s="8" t="inlineStr">
        <is>
          <t>2026-08-05</t>
        </is>
      </c>
      <c r="B27663" s="8" t="n">
        <v>23</v>
      </c>
      <c r="C27663" s="8" t="n">
        <v>38</v>
      </c>
      <c r="D27663" s="8" t="inlineStr">
        <is>
          <t>Disneyland Park</t>
        </is>
      </c>
      <c r="E27663" s="8" t="inlineStr">
        <is>
          <t>Buzz Lightyear Laser Blast</t>
        </is>
      </c>
      <c r="F27663" s="8" t="inlineStr">
        <is>
          <t>STANDBY</t>
        </is>
      </c>
      <c r="G27663" s="8" t="n">
        <v>0</v>
      </c>
      <c r="H27663" s="8" t="inlineStr">
        <is>
          <t>CLOSED</t>
        </is>
      </c>
    </row>
    <row r="27664">
      <c r="A27664" s="8" t="inlineStr">
        <is>
          <t>2026-08-05</t>
        </is>
      </c>
      <c r="B27664" s="8" t="n">
        <v>23</v>
      </c>
      <c r="C27664" s="8" t="n">
        <v>38</v>
      </c>
      <c r="D27664" s="8" t="inlineStr">
        <is>
          <t>Disneyland Park</t>
        </is>
      </c>
      <c r="E27664" s="8" t="inlineStr">
        <is>
          <t>Disneyland Railroad Discoveryland Station</t>
        </is>
      </c>
      <c r="F27664" s="8" t="inlineStr">
        <is>
          <t>STANDBY</t>
        </is>
      </c>
      <c r="G27664" s="8" t="n">
        <v>0</v>
      </c>
      <c r="H27664" s="8" t="inlineStr">
        <is>
          <t>CLOSED</t>
        </is>
      </c>
    </row>
    <row r="27665">
      <c r="A27665" s="8" t="inlineStr">
        <is>
          <t>2026-08-05</t>
        </is>
      </c>
      <c r="B27665" s="8" t="n">
        <v>23</v>
      </c>
      <c r="C27665" s="8" t="n">
        <v>38</v>
      </c>
      <c r="D27665" s="8" t="inlineStr">
        <is>
          <t>Disneyland Park</t>
        </is>
      </c>
      <c r="E27665" s="8" t="inlineStr">
        <is>
          <t>Les Mystères du Nautilus</t>
        </is>
      </c>
      <c r="F27665" s="8" t="inlineStr">
        <is>
          <t>STANDBY</t>
        </is>
      </c>
      <c r="G27665" s="8" t="n">
        <v>0</v>
      </c>
      <c r="H27665" s="8" t="inlineStr">
        <is>
          <t>CLOSED</t>
        </is>
      </c>
    </row>
    <row r="27666">
      <c r="A27666" s="8" t="inlineStr">
        <is>
          <t>2026-08-05</t>
        </is>
      </c>
      <c r="B27666" s="8" t="n">
        <v>23</v>
      </c>
      <c r="C27666" s="8" t="n">
        <v>38</v>
      </c>
      <c r="D27666" s="8" t="inlineStr">
        <is>
          <t>Disneyland Park</t>
        </is>
      </c>
      <c r="E27666" s="8" t="inlineStr">
        <is>
          <t>Mickey’s PhilharMagic</t>
        </is>
      </c>
      <c r="F27666" s="8" t="inlineStr">
        <is>
          <t>STANDBY</t>
        </is>
      </c>
      <c r="G27666" s="8" t="n">
        <v>0</v>
      </c>
      <c r="H27666" s="8" t="inlineStr">
        <is>
          <t>CLOSED</t>
        </is>
      </c>
    </row>
    <row r="27667">
      <c r="A27667" s="8" t="inlineStr">
        <is>
          <t>2026-08-05</t>
        </is>
      </c>
      <c r="B27667" s="8" t="n">
        <v>23</v>
      </c>
      <c r="C27667" s="8" t="n">
        <v>38</v>
      </c>
      <c r="D27667" s="8" t="inlineStr">
        <is>
          <t>Disneyland Park</t>
        </is>
      </c>
      <c r="E27667" s="8" t="inlineStr">
        <is>
          <t>Orbitron®</t>
        </is>
      </c>
      <c r="F27667" s="8" t="inlineStr">
        <is>
          <t>STANDBY</t>
        </is>
      </c>
      <c r="G27667" s="8" t="n">
        <v>0</v>
      </c>
      <c r="H27667" s="8" t="inlineStr">
        <is>
          <t>CLOSED</t>
        </is>
      </c>
    </row>
    <row r="27668">
      <c r="A27668" s="8" t="inlineStr">
        <is>
          <t>2026-08-05</t>
        </is>
      </c>
      <c r="B27668" s="8" t="n">
        <v>23</v>
      </c>
      <c r="C27668" s="8" t="n">
        <v>38</v>
      </c>
      <c r="D27668" s="8" t="inlineStr">
        <is>
          <t>Disneyland Park</t>
        </is>
      </c>
      <c r="E27668" s="8" t="inlineStr">
        <is>
          <t>Star Tours: The Adventures Continue*</t>
        </is>
      </c>
      <c r="F27668" s="8" t="inlineStr">
        <is>
          <t>STANDBY</t>
        </is>
      </c>
      <c r="G27668" s="8" t="n">
        <v>0</v>
      </c>
      <c r="H27668" s="8" t="inlineStr">
        <is>
          <t>CLOSED</t>
        </is>
      </c>
    </row>
    <row r="27669">
      <c r="A27669" s="8" t="inlineStr">
        <is>
          <t>2026-08-05</t>
        </is>
      </c>
      <c r="B27669" s="8" t="n">
        <v>23</v>
      </c>
      <c r="C27669" s="8" t="n">
        <v>38</v>
      </c>
      <c r="D27669" s="8" t="inlineStr">
        <is>
          <t>Disneyland Park</t>
        </is>
      </c>
      <c r="E27669" s="8" t="inlineStr">
        <is>
          <t>Star Wars Hyperspace Mountain</t>
        </is>
      </c>
      <c r="F27669" s="8" t="inlineStr">
        <is>
          <t>STANDBY</t>
        </is>
      </c>
      <c r="G27669" s="8" t="n">
        <v>0</v>
      </c>
      <c r="H27669" s="8" t="inlineStr">
        <is>
          <t>CLOSED</t>
        </is>
      </c>
    </row>
    <row r="27670">
      <c r="A27670" s="8" t="inlineStr">
        <is>
          <t>2026-08-05</t>
        </is>
      </c>
      <c r="B27670" s="8" t="n">
        <v>23</v>
      </c>
      <c r="C27670" s="8" t="n">
        <v>38</v>
      </c>
      <c r="D27670" s="8" t="inlineStr">
        <is>
          <t>Disneyland Park</t>
        </is>
      </c>
      <c r="E27670" s="8" t="inlineStr">
        <is>
          <t>Star Wars Hyperspace Mountain Single Rider</t>
        </is>
      </c>
      <c r="F27670" s="8" t="inlineStr">
        <is>
          <t>STANDBY</t>
        </is>
      </c>
      <c r="G27670" s="8" t="n">
        <v>0</v>
      </c>
      <c r="H27670" s="8" t="inlineStr">
        <is>
          <t>CLOSED</t>
        </is>
      </c>
    </row>
    <row r="27671">
      <c r="A27671" s="8" t="inlineStr">
        <is>
          <t>2026-08-05</t>
        </is>
      </c>
      <c r="B27671" s="8" t="n">
        <v>23</v>
      </c>
      <c r="C27671" s="8" t="n">
        <v>38</v>
      </c>
      <c r="D27671" s="8" t="inlineStr">
        <is>
          <t>Disneyland Park</t>
        </is>
      </c>
      <c r="E27671" s="8" t="inlineStr">
        <is>
          <t>Welcome to Starport: A Star Wars Encounter</t>
        </is>
      </c>
      <c r="F27671" s="8" t="inlineStr">
        <is>
          <t>STANDBY</t>
        </is>
      </c>
      <c r="G27671" s="8" t="n">
        <v>0</v>
      </c>
      <c r="H27671" s="8" t="inlineStr">
        <is>
          <t>CLOSED</t>
        </is>
      </c>
    </row>
    <row r="27672">
      <c r="A27672" s="8" t="inlineStr">
        <is>
          <t>2026-08-05</t>
        </is>
      </c>
      <c r="B27672" s="8" t="n">
        <v>23</v>
      </c>
      <c r="C27672" s="8" t="n">
        <v>38</v>
      </c>
      <c r="D27672" s="8" t="inlineStr">
        <is>
          <t>Disneyland Park</t>
        </is>
      </c>
      <c r="E27672" s="8" t="inlineStr">
        <is>
          <t>"it's a small world"</t>
        </is>
      </c>
      <c r="F27672" s="8" t="inlineStr">
        <is>
          <t>STANDBY</t>
        </is>
      </c>
      <c r="G27672" s="8" t="n">
        <v>0</v>
      </c>
      <c r="H27672" s="8" t="inlineStr">
        <is>
          <t>CLOSED</t>
        </is>
      </c>
    </row>
    <row r="27673">
      <c r="A27673" s="8" t="inlineStr">
        <is>
          <t>2026-08-05</t>
        </is>
      </c>
      <c r="B27673" s="8" t="n">
        <v>23</v>
      </c>
      <c r="C27673" s="8" t="n">
        <v>38</v>
      </c>
      <c r="D27673" s="8" t="inlineStr">
        <is>
          <t>Disneyland Park</t>
        </is>
      </c>
      <c r="E27673" s="8" t="inlineStr">
        <is>
          <t>Alice's Curious Labyrinth</t>
        </is>
      </c>
      <c r="F27673" s="8" t="inlineStr">
        <is>
          <t>STANDBY</t>
        </is>
      </c>
      <c r="G27673" s="8" t="n">
        <v>0</v>
      </c>
      <c r="H27673" s="8" t="inlineStr">
        <is>
          <t>CLOSED</t>
        </is>
      </c>
    </row>
    <row r="27674">
      <c r="A27674" s="8" t="inlineStr">
        <is>
          <t>2026-08-05</t>
        </is>
      </c>
      <c r="B27674" s="8" t="n">
        <v>23</v>
      </c>
      <c r="C27674" s="8" t="n">
        <v>38</v>
      </c>
      <c r="D27674" s="8" t="inlineStr">
        <is>
          <t>Disneyland Park</t>
        </is>
      </c>
      <c r="E27674" s="8" t="inlineStr">
        <is>
          <t>Blanche-Neige et les Sept Nains®</t>
        </is>
      </c>
      <c r="F27674" s="8" t="inlineStr">
        <is>
          <t>STANDBY</t>
        </is>
      </c>
      <c r="G27674" s="8" t="n">
        <v>0</v>
      </c>
      <c r="H27674" s="8" t="inlineStr">
        <is>
          <t>CLOSED</t>
        </is>
      </c>
    </row>
    <row r="27675">
      <c r="A27675" s="8" t="inlineStr">
        <is>
          <t>2026-08-05</t>
        </is>
      </c>
      <c r="B27675" s="8" t="n">
        <v>23</v>
      </c>
      <c r="C27675" s="8" t="n">
        <v>38</v>
      </c>
      <c r="D27675" s="8" t="inlineStr">
        <is>
          <t>Disneyland Park</t>
        </is>
      </c>
      <c r="E27675" s="8" t="inlineStr">
        <is>
          <t>Casey Jr. – le Petit Train du Cirque</t>
        </is>
      </c>
      <c r="F27675" s="8" t="inlineStr">
        <is>
          <t>STANDBY</t>
        </is>
      </c>
      <c r="G27675" s="8" t="n">
        <v>0</v>
      </c>
      <c r="H27675" s="8" t="inlineStr">
        <is>
          <t>CLOSED</t>
        </is>
      </c>
    </row>
    <row r="27676">
      <c r="A27676" s="8" t="inlineStr">
        <is>
          <t>2026-08-05</t>
        </is>
      </c>
      <c r="B27676" s="8" t="n">
        <v>23</v>
      </c>
      <c r="C27676" s="8" t="n">
        <v>38</v>
      </c>
      <c r="D27676" s="8" t="inlineStr">
        <is>
          <t>Disneyland Park</t>
        </is>
      </c>
      <c r="E27676" s="8" t="inlineStr">
        <is>
          <t>Disneyland Railroad Fantasyland Station</t>
        </is>
      </c>
      <c r="F27676" s="8" t="inlineStr">
        <is>
          <t>STANDBY</t>
        </is>
      </c>
      <c r="G27676" s="8" t="n">
        <v>0</v>
      </c>
      <c r="H27676" s="8" t="inlineStr">
        <is>
          <t>CLOSED</t>
        </is>
      </c>
    </row>
    <row r="27677">
      <c r="A27677" s="8" t="inlineStr">
        <is>
          <t>2026-08-05</t>
        </is>
      </c>
      <c r="B27677" s="8" t="n">
        <v>23</v>
      </c>
      <c r="C27677" s="8" t="n">
        <v>38</v>
      </c>
      <c r="D27677" s="8" t="inlineStr">
        <is>
          <t>Disneyland Park</t>
        </is>
      </c>
      <c r="E27677" s="8" t="inlineStr">
        <is>
          <t>Disneyland Railroad Main Street Station</t>
        </is>
      </c>
      <c r="F27677" s="8" t="inlineStr">
        <is>
          <t>STANDBY</t>
        </is>
      </c>
      <c r="G27677" s="8" t="n">
        <v>0</v>
      </c>
      <c r="H27677" s="8" t="inlineStr">
        <is>
          <t>CLOSED</t>
        </is>
      </c>
    </row>
    <row r="27678">
      <c r="A27678" s="8" t="inlineStr">
        <is>
          <t>2026-08-05</t>
        </is>
      </c>
      <c r="B27678" s="8" t="n">
        <v>23</v>
      </c>
      <c r="C27678" s="8" t="n">
        <v>38</v>
      </c>
      <c r="D27678" s="8" t="inlineStr">
        <is>
          <t>Disneyland Park</t>
        </is>
      </c>
      <c r="E27678" s="8" t="inlineStr">
        <is>
          <t>Dumbo the Flying Elephant</t>
        </is>
      </c>
      <c r="F27678" s="8" t="inlineStr">
        <is>
          <t>STANDBY</t>
        </is>
      </c>
      <c r="G27678" s="8" t="n">
        <v>0</v>
      </c>
      <c r="H27678" s="8" t="inlineStr">
        <is>
          <t>CLOSED</t>
        </is>
      </c>
    </row>
    <row r="27679">
      <c r="A27679" s="8" t="inlineStr">
        <is>
          <t>2026-08-05</t>
        </is>
      </c>
      <c r="B27679" s="8" t="n">
        <v>23</v>
      </c>
      <c r="C27679" s="8" t="n">
        <v>38</v>
      </c>
      <c r="D27679" s="8" t="inlineStr">
        <is>
          <t>Disneyland Park</t>
        </is>
      </c>
      <c r="E27679" s="8" t="inlineStr">
        <is>
          <t>La Tanière du Dragon</t>
        </is>
      </c>
      <c r="F27679" s="8" t="inlineStr">
        <is>
          <t>STANDBY</t>
        </is>
      </c>
      <c r="G27679" s="8" t="n">
        <v>0</v>
      </c>
      <c r="H27679" s="8" t="inlineStr">
        <is>
          <t>CLOSED</t>
        </is>
      </c>
    </row>
    <row r="27680">
      <c r="A27680" s="8" t="inlineStr">
        <is>
          <t>2026-08-05</t>
        </is>
      </c>
      <c r="B27680" s="8" t="n">
        <v>23</v>
      </c>
      <c r="C27680" s="8" t="n">
        <v>38</v>
      </c>
      <c r="D27680" s="8" t="inlineStr">
        <is>
          <t>Disneyland Park</t>
        </is>
      </c>
      <c r="E27680" s="8" t="inlineStr">
        <is>
          <t>Le Carrousel de Lancelot</t>
        </is>
      </c>
      <c r="F27680" s="8" t="inlineStr">
        <is>
          <t>STANDBY</t>
        </is>
      </c>
      <c r="G27680" s="8" t="n">
        <v>0</v>
      </c>
      <c r="H27680" s="8" t="inlineStr">
        <is>
          <t>CLOSED</t>
        </is>
      </c>
    </row>
    <row r="27681">
      <c r="A27681" s="8" t="inlineStr">
        <is>
          <t>2026-08-05</t>
        </is>
      </c>
      <c r="B27681" s="8" t="n">
        <v>23</v>
      </c>
      <c r="C27681" s="8" t="n">
        <v>38</v>
      </c>
      <c r="D27681" s="8" t="inlineStr">
        <is>
          <t>Disneyland Park</t>
        </is>
      </c>
      <c r="E27681" s="8" t="inlineStr">
        <is>
          <t>Le Pays des Contes de Fées, presented by Vittel</t>
        </is>
      </c>
      <c r="F27681" s="8" t="inlineStr">
        <is>
          <t>STANDBY</t>
        </is>
      </c>
      <c r="G27681" s="8" t="n">
        <v>0</v>
      </c>
      <c r="H27681" s="8" t="inlineStr">
        <is>
          <t>CLOSED</t>
        </is>
      </c>
    </row>
    <row r="27682">
      <c r="A27682" s="8" t="inlineStr">
        <is>
          <t>2026-08-05</t>
        </is>
      </c>
      <c r="B27682" s="8" t="n">
        <v>23</v>
      </c>
      <c r="C27682" s="8" t="n">
        <v>38</v>
      </c>
      <c r="D27682" s="8" t="inlineStr">
        <is>
          <t>Disneyland Park</t>
        </is>
      </c>
      <c r="E27682" s="8" t="inlineStr">
        <is>
          <t>Les Voyages de Pinocchio</t>
        </is>
      </c>
      <c r="F27682" s="8" t="inlineStr">
        <is>
          <t>STANDBY</t>
        </is>
      </c>
      <c r="G27682" s="8" t="n">
        <v>0</v>
      </c>
      <c r="H27682" s="8" t="inlineStr">
        <is>
          <t>CLOSED</t>
        </is>
      </c>
    </row>
    <row r="27683">
      <c r="A27683" s="8" t="inlineStr">
        <is>
          <t>2026-08-05</t>
        </is>
      </c>
      <c r="B27683" s="8" t="n">
        <v>23</v>
      </c>
      <c r="C27683" s="8" t="n">
        <v>38</v>
      </c>
      <c r="D27683" s="8" t="inlineStr">
        <is>
          <t>Disneyland Park</t>
        </is>
      </c>
      <c r="E27683" s="8" t="inlineStr">
        <is>
          <t>Mad Hatter's Tea Cups</t>
        </is>
      </c>
      <c r="F27683" s="8" t="inlineStr">
        <is>
          <t>STANDBY</t>
        </is>
      </c>
      <c r="G27683" s="8" t="n">
        <v>0</v>
      </c>
      <c r="H27683" s="8" t="inlineStr">
        <is>
          <t>CLOSED</t>
        </is>
      </c>
    </row>
    <row r="27684">
      <c r="A27684" s="8" t="inlineStr">
        <is>
          <t>2026-08-05</t>
        </is>
      </c>
      <c r="B27684" s="8" t="n">
        <v>23</v>
      </c>
      <c r="C27684" s="8" t="n">
        <v>38</v>
      </c>
      <c r="D27684" s="8" t="inlineStr">
        <is>
          <t>Disneyland Park</t>
        </is>
      </c>
      <c r="E27684" s="8" t="inlineStr">
        <is>
          <t>Meet Mickey Mouse</t>
        </is>
      </c>
      <c r="F27684" s="8" t="inlineStr">
        <is>
          <t>STANDBY</t>
        </is>
      </c>
      <c r="G27684" s="8" t="n">
        <v>0</v>
      </c>
      <c r="H27684" s="8" t="inlineStr">
        <is>
          <t>CLOSED</t>
        </is>
      </c>
    </row>
    <row r="27685">
      <c r="A27685" s="8" t="inlineStr">
        <is>
          <t>2026-08-05</t>
        </is>
      </c>
      <c r="B27685" s="8" t="n">
        <v>23</v>
      </c>
      <c r="C27685" s="8" t="n">
        <v>38</v>
      </c>
      <c r="D27685" s="8" t="inlineStr">
        <is>
          <t>Disneyland Park</t>
        </is>
      </c>
      <c r="E27685" s="8" t="inlineStr">
        <is>
          <t>Peter Pan's Flight</t>
        </is>
      </c>
      <c r="F27685" s="8" t="inlineStr">
        <is>
          <t>STANDBY</t>
        </is>
      </c>
      <c r="G27685" s="8" t="n">
        <v>0</v>
      </c>
      <c r="H27685" s="8" t="inlineStr">
        <is>
          <t>CLOSED</t>
        </is>
      </c>
    </row>
    <row r="27686">
      <c r="A27686" s="8" t="inlineStr">
        <is>
          <t>2026-08-05</t>
        </is>
      </c>
      <c r="B27686" s="8" t="n">
        <v>23</v>
      </c>
      <c r="C27686" s="8" t="n">
        <v>38</v>
      </c>
      <c r="D27686" s="8" t="inlineStr">
        <is>
          <t>Disneyland Park</t>
        </is>
      </c>
      <c r="E27686" s="8" t="inlineStr">
        <is>
          <t>Princess Pavilion</t>
        </is>
      </c>
      <c r="F27686" s="8" t="inlineStr">
        <is>
          <t>STANDBY</t>
        </is>
      </c>
      <c r="G27686" s="8" t="n">
        <v>0</v>
      </c>
      <c r="H27686" s="8" t="inlineStr">
        <is>
          <t>CLOSED</t>
        </is>
      </c>
    </row>
    <row r="27687">
      <c r="A27687" s="8" t="inlineStr">
        <is>
          <t>2026-08-05</t>
        </is>
      </c>
      <c r="B27687" s="8" t="n">
        <v>23</v>
      </c>
      <c r="C27687" s="8" t="n">
        <v>38</v>
      </c>
      <c r="D27687" s="8" t="inlineStr">
        <is>
          <t>Disneyland Park</t>
        </is>
      </c>
      <c r="E27687" s="8" t="inlineStr">
        <is>
          <t>Big Thunder Mountain</t>
        </is>
      </c>
      <c r="F27687" s="8" t="inlineStr">
        <is>
          <t>STANDBY</t>
        </is>
      </c>
      <c r="G27687" s="8" t="n">
        <v>0</v>
      </c>
      <c r="H27687" s="8" t="inlineStr">
        <is>
          <t>CLOSED</t>
        </is>
      </c>
    </row>
    <row r="27688">
      <c r="A27688" s="8" t="inlineStr">
        <is>
          <t>2026-08-05</t>
        </is>
      </c>
      <c r="B27688" s="8" t="n">
        <v>23</v>
      </c>
      <c r="C27688" s="8" t="n">
        <v>38</v>
      </c>
      <c r="D27688" s="8" t="inlineStr">
        <is>
          <t>Disneyland Park</t>
        </is>
      </c>
      <c r="E27688" s="8" t="inlineStr">
        <is>
          <t>Disneyland Railroad Frontierland Depot</t>
        </is>
      </c>
      <c r="F27688" s="8" t="inlineStr">
        <is>
          <t>STANDBY</t>
        </is>
      </c>
      <c r="G27688" s="8" t="n">
        <v>0</v>
      </c>
      <c r="H27688" s="8" t="inlineStr">
        <is>
          <t>CLOSED</t>
        </is>
      </c>
    </row>
    <row r="27689">
      <c r="A27689" s="8" t="inlineStr">
        <is>
          <t>2026-08-05</t>
        </is>
      </c>
      <c r="B27689" s="8" t="n">
        <v>23</v>
      </c>
      <c r="C27689" s="8" t="n">
        <v>38</v>
      </c>
      <c r="D27689" s="8" t="inlineStr">
        <is>
          <t>Disneyland Park</t>
        </is>
      </c>
      <c r="E27689" s="8" t="inlineStr">
        <is>
          <t>Frontierland Playground</t>
        </is>
      </c>
      <c r="F27689" s="8" t="inlineStr">
        <is>
          <t>STANDBY</t>
        </is>
      </c>
      <c r="G27689" s="8" t="n">
        <v>0</v>
      </c>
      <c r="H27689" s="8" t="inlineStr">
        <is>
          <t>CLOSED</t>
        </is>
      </c>
    </row>
    <row r="27690">
      <c r="A27690" s="8" t="inlineStr">
        <is>
          <t>2026-08-05</t>
        </is>
      </c>
      <c r="B27690" s="8" t="n">
        <v>23</v>
      </c>
      <c r="C27690" s="8" t="n">
        <v>38</v>
      </c>
      <c r="D27690" s="8" t="inlineStr">
        <is>
          <t>Disneyland Park</t>
        </is>
      </c>
      <c r="E27690" s="8" t="inlineStr">
        <is>
          <t>Phantom Manor</t>
        </is>
      </c>
      <c r="F27690" s="8" t="inlineStr">
        <is>
          <t>STANDBY</t>
        </is>
      </c>
      <c r="G27690" s="8" t="n">
        <v>0</v>
      </c>
      <c r="H27690" s="8" t="inlineStr">
        <is>
          <t>CLOSED</t>
        </is>
      </c>
    </row>
    <row r="27691">
      <c r="A27691" s="8" t="inlineStr">
        <is>
          <t>2026-08-05</t>
        </is>
      </c>
      <c r="B27691" s="8" t="n">
        <v>23</v>
      </c>
      <c r="C27691" s="8" t="n">
        <v>38</v>
      </c>
      <c r="D27691" s="8" t="inlineStr">
        <is>
          <t>Disneyland Park</t>
        </is>
      </c>
      <c r="E27691" s="8" t="inlineStr">
        <is>
          <t>River Rogue Keelboats</t>
        </is>
      </c>
      <c r="F27691" s="8" t="inlineStr">
        <is>
          <t>STANDBY</t>
        </is>
      </c>
      <c r="G27691" s="8" t="n">
        <v>0</v>
      </c>
      <c r="H27691" s="8" t="inlineStr">
        <is>
          <t>CLOSED</t>
        </is>
      </c>
    </row>
    <row r="27692">
      <c r="A27692" s="8" t="inlineStr">
        <is>
          <t>2026-08-05</t>
        </is>
      </c>
      <c r="B27692" s="8" t="n">
        <v>23</v>
      </c>
      <c r="C27692" s="8" t="n">
        <v>38</v>
      </c>
      <c r="D27692" s="8" t="inlineStr">
        <is>
          <t>Disneyland Park</t>
        </is>
      </c>
      <c r="E27692" s="8" t="inlineStr">
        <is>
          <t>Rustler Roundup Shootin' Gallery</t>
        </is>
      </c>
      <c r="F27692" s="8" t="inlineStr">
        <is>
          <t>STANDBY</t>
        </is>
      </c>
      <c r="G27692" s="8" t="n">
        <v>0</v>
      </c>
      <c r="H27692" s="8" t="inlineStr">
        <is>
          <t>CLOSED</t>
        </is>
      </c>
    </row>
    <row r="27693">
      <c r="A27693" s="8" t="inlineStr">
        <is>
          <t>2026-08-05</t>
        </is>
      </c>
      <c r="B27693" s="8" t="n">
        <v>23</v>
      </c>
      <c r="C27693" s="8" t="n">
        <v>38</v>
      </c>
      <c r="D27693" s="8" t="inlineStr">
        <is>
          <t>Disneyland Park</t>
        </is>
      </c>
      <c r="E27693" s="8" t="inlineStr">
        <is>
          <t>Thunder Mesa Riverboat Landing</t>
        </is>
      </c>
      <c r="F27693" s="8" t="inlineStr">
        <is>
          <t>STANDBY</t>
        </is>
      </c>
      <c r="G27693" s="8" t="n">
        <v>0</v>
      </c>
      <c r="H27693" s="8" t="inlineStr">
        <is>
          <t>CLOSED</t>
        </is>
      </c>
    </row>
    <row r="27694">
      <c r="A27694" s="8" t="inlineStr">
        <is>
          <t>2026-08-05</t>
        </is>
      </c>
      <c r="B27694" s="8" t="n">
        <v>23</v>
      </c>
      <c r="C27694" s="8" t="n">
        <v>38</v>
      </c>
      <c r="D27694" s="8" t="inlineStr">
        <is>
          <t>Disneyland Park</t>
        </is>
      </c>
      <c r="E27694" s="8" t="inlineStr">
        <is>
          <t>Disneyland Railroad Main Street Station</t>
        </is>
      </c>
      <c r="F27694" s="8" t="inlineStr">
        <is>
          <t>STANDBY</t>
        </is>
      </c>
      <c r="G27694" s="8" t="n">
        <v>0</v>
      </c>
      <c r="H27694" s="8" t="inlineStr">
        <is>
          <t>CLOSED</t>
        </is>
      </c>
    </row>
    <row r="27695">
      <c r="A27695" s="8" t="inlineStr">
        <is>
          <t>2026-08-05</t>
        </is>
      </c>
      <c r="B27695" s="8" t="n">
        <v>23</v>
      </c>
      <c r="C27695" s="8" t="n">
        <v>38</v>
      </c>
      <c r="D27695" s="8" t="inlineStr">
        <is>
          <t>Disneyland Park</t>
        </is>
      </c>
      <c r="E27695" s="8" t="inlineStr">
        <is>
          <t>Main Street Vehicles</t>
        </is>
      </c>
      <c r="F27695" s="8" t="inlineStr">
        <is>
          <t>STANDBY</t>
        </is>
      </c>
      <c r="G27695" s="8" t="n">
        <v>0</v>
      </c>
      <c r="H27695" s="8" t="inlineStr">
        <is>
          <t>CLOSED</t>
        </is>
      </c>
    </row>
    <row r="27696">
      <c r="A27696" s="8" t="inlineStr">
        <is>
          <t>2026-08-05</t>
        </is>
      </c>
      <c r="B27696" s="8" t="n">
        <v>23</v>
      </c>
      <c r="C27696" s="8" t="n">
        <v>38</v>
      </c>
      <c r="D27696" s="8" t="inlineStr">
        <is>
          <t>Disney Adventure World</t>
        </is>
      </c>
      <c r="E27696" s="8" t="inlineStr">
        <is>
          <t>Avengers Assemble: Flight Force</t>
        </is>
      </c>
      <c r="F27696" s="8" t="inlineStr">
        <is>
          <t>STANDBY</t>
        </is>
      </c>
      <c r="G27696" s="8" t="n">
        <v>0</v>
      </c>
      <c r="H27696" s="8" t="inlineStr">
        <is>
          <t>CLOSED</t>
        </is>
      </c>
    </row>
    <row r="27697">
      <c r="A27697" s="8" t="inlineStr">
        <is>
          <t>2026-08-05</t>
        </is>
      </c>
      <c r="B27697" s="8" t="n">
        <v>23</v>
      </c>
      <c r="C27697" s="8" t="n">
        <v>38</v>
      </c>
      <c r="D27697" s="8" t="inlineStr">
        <is>
          <t>Disney Adventure World</t>
        </is>
      </c>
      <c r="E27697" s="8" t="inlineStr">
        <is>
          <t>Avengers Assemble: Flight Force Single Rider</t>
        </is>
      </c>
      <c r="F27697" s="8" t="inlineStr">
        <is>
          <t>STANDBY</t>
        </is>
      </c>
      <c r="G27697" s="8" t="n">
        <v>0</v>
      </c>
      <c r="H27697" s="8" t="inlineStr">
        <is>
          <t>CLOSED</t>
        </is>
      </c>
    </row>
    <row r="27698">
      <c r="A27698" s="8" t="inlineStr">
        <is>
          <t>2026-08-05</t>
        </is>
      </c>
      <c r="B27698" s="8" t="n">
        <v>23</v>
      </c>
      <c r="C27698" s="8" t="n">
        <v>38</v>
      </c>
      <c r="D27698" s="8" t="inlineStr">
        <is>
          <t>Disney Adventure World</t>
        </is>
      </c>
      <c r="E27698" s="8" t="inlineStr">
        <is>
          <t>Spider-Man W.E.B. Adventure</t>
        </is>
      </c>
      <c r="F27698" s="8" t="inlineStr">
        <is>
          <t>STANDBY</t>
        </is>
      </c>
      <c r="G27698" s="8" t="n">
        <v>0</v>
      </c>
      <c r="H27698" s="8" t="inlineStr">
        <is>
          <t>CLOSED</t>
        </is>
      </c>
    </row>
    <row r="27699">
      <c r="A27699" s="8" t="inlineStr">
        <is>
          <t>2026-08-05</t>
        </is>
      </c>
      <c r="B27699" s="8" t="n">
        <v>23</v>
      </c>
      <c r="C27699" s="8" t="n">
        <v>38</v>
      </c>
      <c r="D27699" s="8" t="inlineStr">
        <is>
          <t>Disney Adventure World</t>
        </is>
      </c>
      <c r="E27699" s="8" t="inlineStr">
        <is>
          <t>Spider-Man W.E.B. Adventure Single Rider</t>
        </is>
      </c>
      <c r="F27699" s="8" t="inlineStr">
        <is>
          <t>STANDBY</t>
        </is>
      </c>
      <c r="G27699" s="8" t="n">
        <v>0</v>
      </c>
      <c r="H27699" s="8" t="inlineStr">
        <is>
          <t>CLOSED</t>
        </is>
      </c>
    </row>
    <row r="27700">
      <c r="A27700" s="8" t="inlineStr">
        <is>
          <t>2026-08-05</t>
        </is>
      </c>
      <c r="B27700" s="8" t="n">
        <v>23</v>
      </c>
      <c r="C27700" s="8" t="n">
        <v>38</v>
      </c>
      <c r="D27700" s="8" t="inlineStr">
        <is>
          <t>Disney Adventure World</t>
        </is>
      </c>
      <c r="E27700" s="8" t="inlineStr">
        <is>
          <t>The Twilight Zone Tower of Terror</t>
        </is>
      </c>
      <c r="F27700" s="8" t="inlineStr">
        <is>
          <t>STANDBY</t>
        </is>
      </c>
      <c r="G27700" s="8" t="n">
        <v>0</v>
      </c>
      <c r="H27700" s="8" t="inlineStr">
        <is>
          <t>CLOSED</t>
        </is>
      </c>
    </row>
    <row r="27701">
      <c r="A27701" s="8" t="inlineStr">
        <is>
          <t>2026-08-05</t>
        </is>
      </c>
      <c r="B27701" s="8" t="n">
        <v>23</v>
      </c>
      <c r="C27701" s="8" t="n">
        <v>38</v>
      </c>
      <c r="D27701" s="8" t="inlineStr">
        <is>
          <t>Disney Adventure World</t>
        </is>
      </c>
      <c r="E27701" s="8" t="inlineStr">
        <is>
          <t>Cars Quatre Roues Rallye</t>
        </is>
      </c>
      <c r="F27701" s="8" t="inlineStr">
        <is>
          <t>STANDBY</t>
        </is>
      </c>
      <c r="G27701" s="8" t="n">
        <v>0</v>
      </c>
      <c r="H27701" s="8" t="inlineStr">
        <is>
          <t>CLOSED</t>
        </is>
      </c>
    </row>
    <row r="27702">
      <c r="A27702" s="8" t="inlineStr">
        <is>
          <t>2026-08-05</t>
        </is>
      </c>
      <c r="B27702" s="8" t="n">
        <v>23</v>
      </c>
      <c r="C27702" s="8" t="n">
        <v>38</v>
      </c>
      <c r="D27702" s="8" t="inlineStr">
        <is>
          <t>Disney Adventure World</t>
        </is>
      </c>
      <c r="E27702" s="8" t="inlineStr">
        <is>
          <t>Cars ROAD TRIP</t>
        </is>
      </c>
      <c r="F27702" s="8" t="inlineStr">
        <is>
          <t>STANDBY</t>
        </is>
      </c>
      <c r="G27702" s="8" t="n">
        <v>0</v>
      </c>
      <c r="H27702" s="8" t="inlineStr">
        <is>
          <t>CLOSED</t>
        </is>
      </c>
    </row>
    <row r="27703">
      <c r="A27703" s="8" t="inlineStr">
        <is>
          <t>2026-08-05</t>
        </is>
      </c>
      <c r="B27703" s="8" t="n">
        <v>23</v>
      </c>
      <c r="C27703" s="8" t="n">
        <v>38</v>
      </c>
      <c r="D27703" s="8" t="inlineStr">
        <is>
          <t>Disney Adventure World</t>
        </is>
      </c>
      <c r="E27703" s="8" t="inlineStr">
        <is>
          <t>Crush's Coaster</t>
        </is>
      </c>
      <c r="F27703" s="8" t="inlineStr">
        <is>
          <t>STANDBY</t>
        </is>
      </c>
      <c r="G27703" s="8" t="n">
        <v>0</v>
      </c>
      <c r="H27703" s="8" t="inlineStr">
        <is>
          <t>CLOSED</t>
        </is>
      </c>
    </row>
    <row r="27704">
      <c r="A27704" s="8" t="inlineStr">
        <is>
          <t>2026-08-05</t>
        </is>
      </c>
      <c r="B27704" s="8" t="n">
        <v>23</v>
      </c>
      <c r="C27704" s="8" t="n">
        <v>38</v>
      </c>
      <c r="D27704" s="8" t="inlineStr">
        <is>
          <t>Disney Adventure World</t>
        </is>
      </c>
      <c r="E27704" s="8" t="inlineStr">
        <is>
          <t>Crush's Coaster Single Rider</t>
        </is>
      </c>
      <c r="F27704" s="8" t="inlineStr">
        <is>
          <t>STANDBY</t>
        </is>
      </c>
      <c r="G27704" s="8" t="n">
        <v>0</v>
      </c>
      <c r="H27704" s="8" t="inlineStr">
        <is>
          <t>CLOSED</t>
        </is>
      </c>
    </row>
    <row r="27705">
      <c r="A27705" s="8" t="inlineStr">
        <is>
          <t>2026-08-05</t>
        </is>
      </c>
      <c r="B27705" s="8" t="n">
        <v>23</v>
      </c>
      <c r="C27705" s="8" t="n">
        <v>38</v>
      </c>
      <c r="D27705" s="8" t="inlineStr">
        <is>
          <t>Disney Adventure World</t>
        </is>
      </c>
      <c r="E27705" s="8" t="inlineStr">
        <is>
          <t>Les Tapis Volants - Flying Carpets Over Agrabah®</t>
        </is>
      </c>
      <c r="F27705" s="8" t="inlineStr">
        <is>
          <t>STANDBY</t>
        </is>
      </c>
      <c r="G27705" s="8" t="n">
        <v>0</v>
      </c>
      <c r="H27705" s="8" t="inlineStr">
        <is>
          <t>CLOSED</t>
        </is>
      </c>
    </row>
    <row r="27706">
      <c r="A27706" s="8" t="inlineStr">
        <is>
          <t>2026-08-05</t>
        </is>
      </c>
      <c r="B27706" s="8" t="n">
        <v>23</v>
      </c>
      <c r="C27706" s="8" t="n">
        <v>38</v>
      </c>
      <c r="D27706" s="8" t="inlineStr">
        <is>
          <t>Disney Adventure World</t>
        </is>
      </c>
      <c r="E27706" s="8" t="inlineStr">
        <is>
          <t>Ratatouille : L’Aventure Totalement Toquée de Rémy​</t>
        </is>
      </c>
      <c r="F27706" s="8" t="inlineStr">
        <is>
          <t>STANDBY</t>
        </is>
      </c>
      <c r="G27706" s="8" t="n">
        <v>0</v>
      </c>
      <c r="H27706" s="8" t="inlineStr">
        <is>
          <t>CLOSED</t>
        </is>
      </c>
    </row>
    <row r="27707">
      <c r="A27707" s="8" t="inlineStr">
        <is>
          <t>2026-08-05</t>
        </is>
      </c>
      <c r="B27707" s="8" t="n">
        <v>23</v>
      </c>
      <c r="C27707" s="8" t="n">
        <v>38</v>
      </c>
      <c r="D27707" s="8" t="inlineStr">
        <is>
          <t>Disney Adventure World</t>
        </is>
      </c>
      <c r="E27707" s="8" t="inlineStr">
        <is>
          <t>Ratatouille: The Adventure Single Rider</t>
        </is>
      </c>
      <c r="F27707" s="8" t="inlineStr">
        <is>
          <t>STANDBY</t>
        </is>
      </c>
      <c r="G27707" s="8" t="n">
        <v>0</v>
      </c>
      <c r="H27707" s="8" t="inlineStr">
        <is>
          <t>CLOSED</t>
        </is>
      </c>
    </row>
    <row r="27708">
      <c r="A27708" s="8" t="inlineStr">
        <is>
          <t>2026-08-05</t>
        </is>
      </c>
      <c r="B27708" s="8" t="n">
        <v>23</v>
      </c>
      <c r="C27708" s="8" t="n">
        <v>38</v>
      </c>
      <c r="D27708" s="8" t="inlineStr">
        <is>
          <t>Disney Adventure World</t>
        </is>
      </c>
      <c r="E27708" s="8" t="inlineStr">
        <is>
          <t>RC Racer</t>
        </is>
      </c>
      <c r="F27708" s="8" t="inlineStr">
        <is>
          <t>STANDBY</t>
        </is>
      </c>
      <c r="G27708" s="8" t="n">
        <v>0</v>
      </c>
      <c r="H27708" s="8" t="inlineStr">
        <is>
          <t>CLOSED</t>
        </is>
      </c>
    </row>
    <row r="27709">
      <c r="A27709" s="8" t="inlineStr">
        <is>
          <t>2026-08-05</t>
        </is>
      </c>
      <c r="B27709" s="8" t="n">
        <v>23</v>
      </c>
      <c r="C27709" s="8" t="n">
        <v>38</v>
      </c>
      <c r="D27709" s="8" t="inlineStr">
        <is>
          <t>Disney Adventure World</t>
        </is>
      </c>
      <c r="E27709" s="8" t="inlineStr">
        <is>
          <t>RC Racer Single Rider</t>
        </is>
      </c>
      <c r="F27709" s="8" t="inlineStr">
        <is>
          <t>STANDBY</t>
        </is>
      </c>
      <c r="G27709" s="8" t="n">
        <v>0</v>
      </c>
      <c r="H27709" s="8" t="inlineStr">
        <is>
          <t>CLOSED</t>
        </is>
      </c>
    </row>
    <row r="27710">
      <c r="A27710" s="8" t="inlineStr">
        <is>
          <t>2026-08-05</t>
        </is>
      </c>
      <c r="B27710" s="8" t="n">
        <v>23</v>
      </c>
      <c r="C27710" s="8" t="n">
        <v>38</v>
      </c>
      <c r="D27710" s="8" t="inlineStr">
        <is>
          <t>Disney Adventure World</t>
        </is>
      </c>
      <c r="E27710" s="8" t="inlineStr">
        <is>
          <t>Slinky® Dog Zigzag Spin</t>
        </is>
      </c>
      <c r="F27710" s="8" t="inlineStr">
        <is>
          <t>STANDBY</t>
        </is>
      </c>
      <c r="G27710" s="8" t="n">
        <v>0</v>
      </c>
      <c r="H27710" s="8" t="inlineStr">
        <is>
          <t>CLOSED</t>
        </is>
      </c>
    </row>
    <row r="27711">
      <c r="A27711" s="8" t="inlineStr">
        <is>
          <t>2026-08-05</t>
        </is>
      </c>
      <c r="B27711" s="8" t="n">
        <v>23</v>
      </c>
      <c r="C27711" s="8" t="n">
        <v>38</v>
      </c>
      <c r="D27711" s="8" t="inlineStr">
        <is>
          <t>Disney Adventure World</t>
        </is>
      </c>
      <c r="E27711" s="8" t="inlineStr">
        <is>
          <t>Toy Soldiers Parachute Drop</t>
        </is>
      </c>
      <c r="F27711" s="8" t="inlineStr">
        <is>
          <t>STANDBY</t>
        </is>
      </c>
      <c r="G27711" s="8" t="n">
        <v>0</v>
      </c>
      <c r="H27711" s="8" t="inlineStr">
        <is>
          <t>CLOSED</t>
        </is>
      </c>
    </row>
    <row r="27712">
      <c r="A27712" s="8" t="inlineStr">
        <is>
          <t>2026-08-05</t>
        </is>
      </c>
      <c r="B27712" s="8" t="n">
        <v>23</v>
      </c>
      <c r="C27712" s="8" t="n">
        <v>38</v>
      </c>
      <c r="D27712" s="8" t="inlineStr">
        <is>
          <t>Disney Adventure World</t>
        </is>
      </c>
      <c r="E27712" s="8" t="inlineStr">
        <is>
          <t>Toy Soldiers Parachute Drop Single Rider</t>
        </is>
      </c>
      <c r="F27712" s="8" t="inlineStr">
        <is>
          <t>STANDBY</t>
        </is>
      </c>
      <c r="G27712" s="8" t="n">
        <v>0</v>
      </c>
      <c r="H27712" s="8" t="inlineStr">
        <is>
          <t>CLOSED</t>
        </is>
      </c>
    </row>
    <row r="27713">
      <c r="A27713" s="8" t="inlineStr">
        <is>
          <t>2026-08-05</t>
        </is>
      </c>
      <c r="B27713" s="8" t="n">
        <v>23</v>
      </c>
      <c r="C27713" s="8" t="n">
        <v>38</v>
      </c>
      <c r="D27713" s="8" t="inlineStr">
        <is>
          <t>Disney Adventure World</t>
        </is>
      </c>
      <c r="E27713" s="8" t="inlineStr">
        <is>
          <t>Entry to World of Frozen</t>
        </is>
      </c>
      <c r="F27713" s="8" t="inlineStr">
        <is>
          <t>STANDBY</t>
        </is>
      </c>
      <c r="G27713" s="8" t="n">
        <v>0</v>
      </c>
      <c r="H27713" s="8" t="inlineStr">
        <is>
          <t>CLOSED</t>
        </is>
      </c>
    </row>
    <row r="27714">
      <c r="A27714" s="8" t="inlineStr">
        <is>
          <t>2026-08-05</t>
        </is>
      </c>
      <c r="B27714" s="8" t="n">
        <v>23</v>
      </c>
      <c r="C27714" s="8" t="n">
        <v>38</v>
      </c>
      <c r="D27714" s="8" t="inlineStr">
        <is>
          <t>Disney Adventure World</t>
        </is>
      </c>
      <c r="E27714" s="8" t="inlineStr">
        <is>
          <t>Frozen Ever After</t>
        </is>
      </c>
      <c r="F27714" s="8" t="inlineStr">
        <is>
          <t>STANDBY</t>
        </is>
      </c>
      <c r="G27714" s="8" t="n">
        <v>0</v>
      </c>
      <c r="H27714" s="8" t="inlineStr">
        <is>
          <t>CLOSED</t>
        </is>
      </c>
    </row>
    <row r="27715">
      <c r="A27715" s="8" t="inlineStr">
        <is>
          <t>2026-08-05</t>
        </is>
      </c>
      <c r="B27715" s="8" t="n">
        <v>23</v>
      </c>
      <c r="C27715" s="8" t="n">
        <v>38</v>
      </c>
      <c r="D27715" s="8" t="inlineStr">
        <is>
          <t>Disney Adventure World</t>
        </is>
      </c>
      <c r="E27715" s="8" t="inlineStr">
        <is>
          <t>Raiponce Tangled Spin</t>
        </is>
      </c>
      <c r="F27715" s="8" t="inlineStr">
        <is>
          <t>STANDBY</t>
        </is>
      </c>
      <c r="G27715" s="8" t="n">
        <v>0</v>
      </c>
      <c r="H27715" s="8" t="inlineStr">
        <is>
          <t>CLOSED</t>
        </is>
      </c>
    </row>
    <row r="27716">
      <c r="A27716" s="8" t="inlineStr">
        <is>
          <t>2026-08-05</t>
        </is>
      </c>
      <c r="B27716" s="8" t="n">
        <v>23</v>
      </c>
      <c r="C27716" s="8" t="n">
        <v>45</v>
      </c>
      <c r="D27716" s="8" t="inlineStr">
        <is>
          <t>Disneyland Park</t>
        </is>
      </c>
      <c r="E27716" s="8" t="inlineStr">
        <is>
          <t>Adventure Isle</t>
        </is>
      </c>
      <c r="F27716" s="8" t="inlineStr">
        <is>
          <t>STANDBY</t>
        </is>
      </c>
      <c r="G27716" s="8" t="n">
        <v>0</v>
      </c>
      <c r="H27716" s="8" t="inlineStr">
        <is>
          <t>CLOSED</t>
        </is>
      </c>
    </row>
    <row r="27717">
      <c r="A27717" s="8" t="inlineStr">
        <is>
          <t>2026-08-05</t>
        </is>
      </c>
      <c r="B27717" s="8" t="n">
        <v>23</v>
      </c>
      <c r="C27717" s="8" t="n">
        <v>45</v>
      </c>
      <c r="D27717" s="8" t="inlineStr">
        <is>
          <t>Disneyland Park</t>
        </is>
      </c>
      <c r="E27717" s="8" t="inlineStr">
        <is>
          <t>Indiana Jones and the Temple of Peril Single Rider</t>
        </is>
      </c>
      <c r="F27717" s="8" t="inlineStr">
        <is>
          <t>STANDBY</t>
        </is>
      </c>
      <c r="G27717" s="8" t="n">
        <v>0</v>
      </c>
      <c r="H27717" s="8" t="inlineStr">
        <is>
          <t>CLOSED</t>
        </is>
      </c>
    </row>
    <row r="27718">
      <c r="A27718" s="8" t="inlineStr">
        <is>
          <t>2026-08-05</t>
        </is>
      </c>
      <c r="B27718" s="8" t="n">
        <v>23</v>
      </c>
      <c r="C27718" s="8" t="n">
        <v>45</v>
      </c>
      <c r="D27718" s="8" t="inlineStr">
        <is>
          <t>Disneyland Park</t>
        </is>
      </c>
      <c r="E27718" s="8" t="inlineStr">
        <is>
          <t>Indiana Jones™ and the Temple of Peril</t>
        </is>
      </c>
      <c r="F27718" s="8" t="inlineStr">
        <is>
          <t>STANDBY</t>
        </is>
      </c>
      <c r="G27718" s="8" t="n">
        <v>0</v>
      </c>
      <c r="H27718" s="8" t="inlineStr">
        <is>
          <t>CLOSED</t>
        </is>
      </c>
    </row>
    <row r="27719">
      <c r="A27719" s="8" t="inlineStr">
        <is>
          <t>2026-08-05</t>
        </is>
      </c>
      <c r="B27719" s="8" t="n">
        <v>23</v>
      </c>
      <c r="C27719" s="8" t="n">
        <v>45</v>
      </c>
      <c r="D27719" s="8" t="inlineStr">
        <is>
          <t>Disneyland Park</t>
        </is>
      </c>
      <c r="E27719" s="8" t="inlineStr">
        <is>
          <t>La Cabane des Robinson</t>
        </is>
      </c>
      <c r="F27719" s="8" t="inlineStr">
        <is>
          <t>STANDBY</t>
        </is>
      </c>
      <c r="G27719" s="8" t="n">
        <v>0</v>
      </c>
      <c r="H27719" s="8" t="inlineStr">
        <is>
          <t>CLOSED</t>
        </is>
      </c>
    </row>
    <row r="27720">
      <c r="A27720" s="8" t="inlineStr">
        <is>
          <t>2026-08-05</t>
        </is>
      </c>
      <c r="B27720" s="8" t="n">
        <v>23</v>
      </c>
      <c r="C27720" s="8" t="n">
        <v>45</v>
      </c>
      <c r="D27720" s="8" t="inlineStr">
        <is>
          <t>Disneyland Park</t>
        </is>
      </c>
      <c r="E27720" s="8" t="inlineStr">
        <is>
          <t>Le Passage Enchanté d'Aladdin</t>
        </is>
      </c>
      <c r="F27720" s="8" t="inlineStr">
        <is>
          <t>STANDBY</t>
        </is>
      </c>
      <c r="G27720" s="8" t="n">
        <v>0</v>
      </c>
      <c r="H27720" s="8" t="inlineStr">
        <is>
          <t>CLOSED</t>
        </is>
      </c>
    </row>
    <row r="27721">
      <c r="A27721" s="8" t="inlineStr">
        <is>
          <t>2026-08-05</t>
        </is>
      </c>
      <c r="B27721" s="8" t="n">
        <v>23</v>
      </c>
      <c r="C27721" s="8" t="n">
        <v>45</v>
      </c>
      <c r="D27721" s="8" t="inlineStr">
        <is>
          <t>Disneyland Park</t>
        </is>
      </c>
      <c r="E27721" s="8" t="inlineStr">
        <is>
          <t>Pirate Galleon</t>
        </is>
      </c>
      <c r="F27721" s="8" t="inlineStr">
        <is>
          <t>STANDBY</t>
        </is>
      </c>
      <c r="G27721" s="8" t="n">
        <v>0</v>
      </c>
      <c r="H27721" s="8" t="inlineStr">
        <is>
          <t>CLOSED</t>
        </is>
      </c>
    </row>
    <row r="27722">
      <c r="A27722" s="8" t="inlineStr">
        <is>
          <t>2026-08-05</t>
        </is>
      </c>
      <c r="B27722" s="8" t="n">
        <v>23</v>
      </c>
      <c r="C27722" s="8" t="n">
        <v>45</v>
      </c>
      <c r="D27722" s="8" t="inlineStr">
        <is>
          <t>Disneyland Park</t>
        </is>
      </c>
      <c r="E27722" s="8" t="inlineStr">
        <is>
          <t>Pirates of the Caribbean</t>
        </is>
      </c>
      <c r="F27722" s="8" t="inlineStr">
        <is>
          <t>STANDBY</t>
        </is>
      </c>
      <c r="G27722" s="8" t="n">
        <v>0</v>
      </c>
      <c r="H27722" s="8" t="inlineStr">
        <is>
          <t>CLOSED</t>
        </is>
      </c>
    </row>
    <row r="27723">
      <c r="A27723" s="8" t="inlineStr">
        <is>
          <t>2026-08-05</t>
        </is>
      </c>
      <c r="B27723" s="8" t="n">
        <v>23</v>
      </c>
      <c r="C27723" s="8" t="n">
        <v>45</v>
      </c>
      <c r="D27723" s="8" t="inlineStr">
        <is>
          <t>Disneyland Park</t>
        </is>
      </c>
      <c r="E27723" s="8" t="inlineStr">
        <is>
          <t>Pirates' Beach</t>
        </is>
      </c>
      <c r="F27723" s="8" t="inlineStr">
        <is>
          <t>STANDBY</t>
        </is>
      </c>
      <c r="G27723" s="8" t="n">
        <v>0</v>
      </c>
      <c r="H27723" s="8" t="inlineStr">
        <is>
          <t>CLOSED</t>
        </is>
      </c>
    </row>
    <row r="27724">
      <c r="A27724" s="8" t="inlineStr">
        <is>
          <t>2026-08-05</t>
        </is>
      </c>
      <c r="B27724" s="8" t="n">
        <v>23</v>
      </c>
      <c r="C27724" s="8" t="n">
        <v>45</v>
      </c>
      <c r="D27724" s="8" t="inlineStr">
        <is>
          <t>Disneyland Park</t>
        </is>
      </c>
      <c r="E27724" s="8" t="inlineStr">
        <is>
          <t>Autopia, presented by Avis</t>
        </is>
      </c>
      <c r="F27724" s="8" t="inlineStr">
        <is>
          <t>STANDBY</t>
        </is>
      </c>
      <c r="G27724" s="8" t="n">
        <v>0</v>
      </c>
      <c r="H27724" s="8" t="inlineStr">
        <is>
          <t>CLOSED</t>
        </is>
      </c>
    </row>
    <row r="27725">
      <c r="A27725" s="8" t="inlineStr">
        <is>
          <t>2026-08-05</t>
        </is>
      </c>
      <c r="B27725" s="8" t="n">
        <v>23</v>
      </c>
      <c r="C27725" s="8" t="n">
        <v>45</v>
      </c>
      <c r="D27725" s="8" t="inlineStr">
        <is>
          <t>Disneyland Park</t>
        </is>
      </c>
      <c r="E27725" s="8" t="inlineStr">
        <is>
          <t>Buzz Lightyear Laser Blast</t>
        </is>
      </c>
      <c r="F27725" s="8" t="inlineStr">
        <is>
          <t>STANDBY</t>
        </is>
      </c>
      <c r="G27725" s="8" t="n">
        <v>0</v>
      </c>
      <c r="H27725" s="8" t="inlineStr">
        <is>
          <t>CLOSED</t>
        </is>
      </c>
    </row>
    <row r="27726">
      <c r="A27726" s="8" t="inlineStr">
        <is>
          <t>2026-08-05</t>
        </is>
      </c>
      <c r="B27726" s="8" t="n">
        <v>23</v>
      </c>
      <c r="C27726" s="8" t="n">
        <v>45</v>
      </c>
      <c r="D27726" s="8" t="inlineStr">
        <is>
          <t>Disneyland Park</t>
        </is>
      </c>
      <c r="E27726" s="8" t="inlineStr">
        <is>
          <t>Disneyland Railroad Discoveryland Station</t>
        </is>
      </c>
      <c r="F27726" s="8" t="inlineStr">
        <is>
          <t>STANDBY</t>
        </is>
      </c>
      <c r="G27726" s="8" t="n">
        <v>0</v>
      </c>
      <c r="H27726" s="8" t="inlineStr">
        <is>
          <t>CLOSED</t>
        </is>
      </c>
    </row>
    <row r="27727">
      <c r="A27727" s="8" t="inlineStr">
        <is>
          <t>2026-08-05</t>
        </is>
      </c>
      <c r="B27727" s="8" t="n">
        <v>23</v>
      </c>
      <c r="C27727" s="8" t="n">
        <v>45</v>
      </c>
      <c r="D27727" s="8" t="inlineStr">
        <is>
          <t>Disneyland Park</t>
        </is>
      </c>
      <c r="E27727" s="8" t="inlineStr">
        <is>
          <t>Les Mystères du Nautilus</t>
        </is>
      </c>
      <c r="F27727" s="8" t="inlineStr">
        <is>
          <t>STANDBY</t>
        </is>
      </c>
      <c r="G27727" s="8" t="n">
        <v>0</v>
      </c>
      <c r="H27727" s="8" t="inlineStr">
        <is>
          <t>CLOSED</t>
        </is>
      </c>
    </row>
    <row r="27728">
      <c r="A27728" s="8" t="inlineStr">
        <is>
          <t>2026-08-05</t>
        </is>
      </c>
      <c r="B27728" s="8" t="n">
        <v>23</v>
      </c>
      <c r="C27728" s="8" t="n">
        <v>45</v>
      </c>
      <c r="D27728" s="8" t="inlineStr">
        <is>
          <t>Disneyland Park</t>
        </is>
      </c>
      <c r="E27728" s="8" t="inlineStr">
        <is>
          <t>Mickey’s PhilharMagic</t>
        </is>
      </c>
      <c r="F27728" s="8" t="inlineStr">
        <is>
          <t>STANDBY</t>
        </is>
      </c>
      <c r="G27728" s="8" t="n">
        <v>0</v>
      </c>
      <c r="H27728" s="8" t="inlineStr">
        <is>
          <t>CLOSED</t>
        </is>
      </c>
    </row>
    <row r="27729">
      <c r="A27729" s="8" t="inlineStr">
        <is>
          <t>2026-08-05</t>
        </is>
      </c>
      <c r="B27729" s="8" t="n">
        <v>23</v>
      </c>
      <c r="C27729" s="8" t="n">
        <v>45</v>
      </c>
      <c r="D27729" s="8" t="inlineStr">
        <is>
          <t>Disneyland Park</t>
        </is>
      </c>
      <c r="E27729" s="8" t="inlineStr">
        <is>
          <t>Orbitron®</t>
        </is>
      </c>
      <c r="F27729" s="8" t="inlineStr">
        <is>
          <t>STANDBY</t>
        </is>
      </c>
      <c r="G27729" s="8" t="n">
        <v>0</v>
      </c>
      <c r="H27729" s="8" t="inlineStr">
        <is>
          <t>CLOSED</t>
        </is>
      </c>
    </row>
    <row r="27730">
      <c r="A27730" s="8" t="inlineStr">
        <is>
          <t>2026-08-05</t>
        </is>
      </c>
      <c r="B27730" s="8" t="n">
        <v>23</v>
      </c>
      <c r="C27730" s="8" t="n">
        <v>45</v>
      </c>
      <c r="D27730" s="8" t="inlineStr">
        <is>
          <t>Disneyland Park</t>
        </is>
      </c>
      <c r="E27730" s="8" t="inlineStr">
        <is>
          <t>Star Tours: The Adventures Continue*</t>
        </is>
      </c>
      <c r="F27730" s="8" t="inlineStr">
        <is>
          <t>STANDBY</t>
        </is>
      </c>
      <c r="G27730" s="8" t="n">
        <v>0</v>
      </c>
      <c r="H27730" s="8" t="inlineStr">
        <is>
          <t>CLOSED</t>
        </is>
      </c>
    </row>
    <row r="27731">
      <c r="A27731" s="8" t="inlineStr">
        <is>
          <t>2026-08-05</t>
        </is>
      </c>
      <c r="B27731" s="8" t="n">
        <v>23</v>
      </c>
      <c r="C27731" s="8" t="n">
        <v>45</v>
      </c>
      <c r="D27731" s="8" t="inlineStr">
        <is>
          <t>Disneyland Park</t>
        </is>
      </c>
      <c r="E27731" s="8" t="inlineStr">
        <is>
          <t>Star Wars Hyperspace Mountain</t>
        </is>
      </c>
      <c r="F27731" s="8" t="inlineStr">
        <is>
          <t>STANDBY</t>
        </is>
      </c>
      <c r="G27731" s="8" t="n">
        <v>0</v>
      </c>
      <c r="H27731" s="8" t="inlineStr">
        <is>
          <t>CLOSED</t>
        </is>
      </c>
    </row>
    <row r="27732">
      <c r="A27732" s="8" t="inlineStr">
        <is>
          <t>2026-08-05</t>
        </is>
      </c>
      <c r="B27732" s="8" t="n">
        <v>23</v>
      </c>
      <c r="C27732" s="8" t="n">
        <v>45</v>
      </c>
      <c r="D27732" s="8" t="inlineStr">
        <is>
          <t>Disneyland Park</t>
        </is>
      </c>
      <c r="E27732" s="8" t="inlineStr">
        <is>
          <t>Star Wars Hyperspace Mountain Single Rider</t>
        </is>
      </c>
      <c r="F27732" s="8" t="inlineStr">
        <is>
          <t>STANDBY</t>
        </is>
      </c>
      <c r="G27732" s="8" t="n">
        <v>0</v>
      </c>
      <c r="H27732" s="8" t="inlineStr">
        <is>
          <t>CLOSED</t>
        </is>
      </c>
    </row>
    <row r="27733">
      <c r="A27733" s="8" t="inlineStr">
        <is>
          <t>2026-08-05</t>
        </is>
      </c>
      <c r="B27733" s="8" t="n">
        <v>23</v>
      </c>
      <c r="C27733" s="8" t="n">
        <v>45</v>
      </c>
      <c r="D27733" s="8" t="inlineStr">
        <is>
          <t>Disneyland Park</t>
        </is>
      </c>
      <c r="E27733" s="8" t="inlineStr">
        <is>
          <t>Welcome to Starport: A Star Wars Encounter</t>
        </is>
      </c>
      <c r="F27733" s="8" t="inlineStr">
        <is>
          <t>STANDBY</t>
        </is>
      </c>
      <c r="G27733" s="8" t="n">
        <v>0</v>
      </c>
      <c r="H27733" s="8" t="inlineStr">
        <is>
          <t>CLOSED</t>
        </is>
      </c>
    </row>
    <row r="27734">
      <c r="A27734" s="8" t="inlineStr">
        <is>
          <t>2026-08-05</t>
        </is>
      </c>
      <c r="B27734" s="8" t="n">
        <v>23</v>
      </c>
      <c r="C27734" s="8" t="n">
        <v>45</v>
      </c>
      <c r="D27734" s="8" t="inlineStr">
        <is>
          <t>Disneyland Park</t>
        </is>
      </c>
      <c r="E27734" s="8" t="inlineStr">
        <is>
          <t>"it's a small world"</t>
        </is>
      </c>
      <c r="F27734" s="8" t="inlineStr">
        <is>
          <t>STANDBY</t>
        </is>
      </c>
      <c r="G27734" s="8" t="n">
        <v>0</v>
      </c>
      <c r="H27734" s="8" t="inlineStr">
        <is>
          <t>CLOSED</t>
        </is>
      </c>
    </row>
    <row r="27735">
      <c r="A27735" s="8" t="inlineStr">
        <is>
          <t>2026-08-05</t>
        </is>
      </c>
      <c r="B27735" s="8" t="n">
        <v>23</v>
      </c>
      <c r="C27735" s="8" t="n">
        <v>45</v>
      </c>
      <c r="D27735" s="8" t="inlineStr">
        <is>
          <t>Disneyland Park</t>
        </is>
      </c>
      <c r="E27735" s="8" t="inlineStr">
        <is>
          <t>Alice's Curious Labyrinth</t>
        </is>
      </c>
      <c r="F27735" s="8" t="inlineStr">
        <is>
          <t>STANDBY</t>
        </is>
      </c>
      <c r="G27735" s="8" t="n">
        <v>0</v>
      </c>
      <c r="H27735" s="8" t="inlineStr">
        <is>
          <t>CLOSED</t>
        </is>
      </c>
    </row>
    <row r="27736">
      <c r="A27736" s="8" t="inlineStr">
        <is>
          <t>2026-08-05</t>
        </is>
      </c>
      <c r="B27736" s="8" t="n">
        <v>23</v>
      </c>
      <c r="C27736" s="8" t="n">
        <v>45</v>
      </c>
      <c r="D27736" s="8" t="inlineStr">
        <is>
          <t>Disneyland Park</t>
        </is>
      </c>
      <c r="E27736" s="8" t="inlineStr">
        <is>
          <t>Blanche-Neige et les Sept Nains®</t>
        </is>
      </c>
      <c r="F27736" s="8" t="inlineStr">
        <is>
          <t>STANDBY</t>
        </is>
      </c>
      <c r="G27736" s="8" t="n">
        <v>0</v>
      </c>
      <c r="H27736" s="8" t="inlineStr">
        <is>
          <t>CLOSED</t>
        </is>
      </c>
    </row>
    <row r="27737">
      <c r="A27737" s="8" t="inlineStr">
        <is>
          <t>2026-08-05</t>
        </is>
      </c>
      <c r="B27737" s="8" t="n">
        <v>23</v>
      </c>
      <c r="C27737" s="8" t="n">
        <v>45</v>
      </c>
      <c r="D27737" s="8" t="inlineStr">
        <is>
          <t>Disneyland Park</t>
        </is>
      </c>
      <c r="E27737" s="8" t="inlineStr">
        <is>
          <t>Casey Jr. – le Petit Train du Cirque</t>
        </is>
      </c>
      <c r="F27737" s="8" t="inlineStr">
        <is>
          <t>STANDBY</t>
        </is>
      </c>
      <c r="G27737" s="8" t="n">
        <v>0</v>
      </c>
      <c r="H27737" s="8" t="inlineStr">
        <is>
          <t>CLOSED</t>
        </is>
      </c>
    </row>
    <row r="27738">
      <c r="A27738" s="8" t="inlineStr">
        <is>
          <t>2026-08-05</t>
        </is>
      </c>
      <c r="B27738" s="8" t="n">
        <v>23</v>
      </c>
      <c r="C27738" s="8" t="n">
        <v>45</v>
      </c>
      <c r="D27738" s="8" t="inlineStr">
        <is>
          <t>Disneyland Park</t>
        </is>
      </c>
      <c r="E27738" s="8" t="inlineStr">
        <is>
          <t>Disneyland Railroad Fantasyland Station</t>
        </is>
      </c>
      <c r="F27738" s="8" t="inlineStr">
        <is>
          <t>STANDBY</t>
        </is>
      </c>
      <c r="G27738" s="8" t="n">
        <v>0</v>
      </c>
      <c r="H27738" s="8" t="inlineStr">
        <is>
          <t>CLOSED</t>
        </is>
      </c>
    </row>
    <row r="27739">
      <c r="A27739" s="8" t="inlineStr">
        <is>
          <t>2026-08-05</t>
        </is>
      </c>
      <c r="B27739" s="8" t="n">
        <v>23</v>
      </c>
      <c r="C27739" s="8" t="n">
        <v>45</v>
      </c>
      <c r="D27739" s="8" t="inlineStr">
        <is>
          <t>Disneyland Park</t>
        </is>
      </c>
      <c r="E27739" s="8" t="inlineStr">
        <is>
          <t>Disneyland Railroad Main Street Station</t>
        </is>
      </c>
      <c r="F27739" s="8" t="inlineStr">
        <is>
          <t>STANDBY</t>
        </is>
      </c>
      <c r="G27739" s="8" t="n">
        <v>0</v>
      </c>
      <c r="H27739" s="8" t="inlineStr">
        <is>
          <t>CLOSED</t>
        </is>
      </c>
    </row>
    <row r="27740">
      <c r="A27740" s="8" t="inlineStr">
        <is>
          <t>2026-08-05</t>
        </is>
      </c>
      <c r="B27740" s="8" t="n">
        <v>23</v>
      </c>
      <c r="C27740" s="8" t="n">
        <v>45</v>
      </c>
      <c r="D27740" s="8" t="inlineStr">
        <is>
          <t>Disneyland Park</t>
        </is>
      </c>
      <c r="E27740" s="8" t="inlineStr">
        <is>
          <t>Dumbo the Flying Elephant</t>
        </is>
      </c>
      <c r="F27740" s="8" t="inlineStr">
        <is>
          <t>STANDBY</t>
        </is>
      </c>
      <c r="G27740" s="8" t="n">
        <v>0</v>
      </c>
      <c r="H27740" s="8" t="inlineStr">
        <is>
          <t>CLOSED</t>
        </is>
      </c>
    </row>
    <row r="27741">
      <c r="A27741" s="8" t="inlineStr">
        <is>
          <t>2026-08-05</t>
        </is>
      </c>
      <c r="B27741" s="8" t="n">
        <v>23</v>
      </c>
      <c r="C27741" s="8" t="n">
        <v>45</v>
      </c>
      <c r="D27741" s="8" t="inlineStr">
        <is>
          <t>Disneyland Park</t>
        </is>
      </c>
      <c r="E27741" s="8" t="inlineStr">
        <is>
          <t>La Tanière du Dragon</t>
        </is>
      </c>
      <c r="F27741" s="8" t="inlineStr">
        <is>
          <t>STANDBY</t>
        </is>
      </c>
      <c r="G27741" s="8" t="n">
        <v>0</v>
      </c>
      <c r="H27741" s="8" t="inlineStr">
        <is>
          <t>CLOSED</t>
        </is>
      </c>
    </row>
    <row r="27742">
      <c r="A27742" s="8" t="inlineStr">
        <is>
          <t>2026-08-05</t>
        </is>
      </c>
      <c r="B27742" s="8" t="n">
        <v>23</v>
      </c>
      <c r="C27742" s="8" t="n">
        <v>45</v>
      </c>
      <c r="D27742" s="8" t="inlineStr">
        <is>
          <t>Disneyland Park</t>
        </is>
      </c>
      <c r="E27742" s="8" t="inlineStr">
        <is>
          <t>Le Carrousel de Lancelot</t>
        </is>
      </c>
      <c r="F27742" s="8" t="inlineStr">
        <is>
          <t>STANDBY</t>
        </is>
      </c>
      <c r="G27742" s="8" t="n">
        <v>0</v>
      </c>
      <c r="H27742" s="8" t="inlineStr">
        <is>
          <t>CLOSED</t>
        </is>
      </c>
    </row>
    <row r="27743">
      <c r="A27743" s="8" t="inlineStr">
        <is>
          <t>2026-08-05</t>
        </is>
      </c>
      <c r="B27743" s="8" t="n">
        <v>23</v>
      </c>
      <c r="C27743" s="8" t="n">
        <v>45</v>
      </c>
      <c r="D27743" s="8" t="inlineStr">
        <is>
          <t>Disneyland Park</t>
        </is>
      </c>
      <c r="E27743" s="8" t="inlineStr">
        <is>
          <t>Le Pays des Contes de Fées, presented by Vittel</t>
        </is>
      </c>
      <c r="F27743" s="8" t="inlineStr">
        <is>
          <t>STANDBY</t>
        </is>
      </c>
      <c r="G27743" s="8" t="n">
        <v>0</v>
      </c>
      <c r="H27743" s="8" t="inlineStr">
        <is>
          <t>CLOSED</t>
        </is>
      </c>
    </row>
    <row r="27744">
      <c r="A27744" s="8" t="inlineStr">
        <is>
          <t>2026-08-05</t>
        </is>
      </c>
      <c r="B27744" s="8" t="n">
        <v>23</v>
      </c>
      <c r="C27744" s="8" t="n">
        <v>45</v>
      </c>
      <c r="D27744" s="8" t="inlineStr">
        <is>
          <t>Disneyland Park</t>
        </is>
      </c>
      <c r="E27744" s="8" t="inlineStr">
        <is>
          <t>Les Voyages de Pinocchio</t>
        </is>
      </c>
      <c r="F27744" s="8" t="inlineStr">
        <is>
          <t>STANDBY</t>
        </is>
      </c>
      <c r="G27744" s="8" t="n">
        <v>0</v>
      </c>
      <c r="H27744" s="8" t="inlineStr">
        <is>
          <t>CLOSED</t>
        </is>
      </c>
    </row>
    <row r="27745">
      <c r="A27745" s="8" t="inlineStr">
        <is>
          <t>2026-08-05</t>
        </is>
      </c>
      <c r="B27745" s="8" t="n">
        <v>23</v>
      </c>
      <c r="C27745" s="8" t="n">
        <v>45</v>
      </c>
      <c r="D27745" s="8" t="inlineStr">
        <is>
          <t>Disneyland Park</t>
        </is>
      </c>
      <c r="E27745" s="8" t="inlineStr">
        <is>
          <t>Mad Hatter's Tea Cups</t>
        </is>
      </c>
      <c r="F27745" s="8" t="inlineStr">
        <is>
          <t>STANDBY</t>
        </is>
      </c>
      <c r="G27745" s="8" t="n">
        <v>0</v>
      </c>
      <c r="H27745" s="8" t="inlineStr">
        <is>
          <t>CLOSED</t>
        </is>
      </c>
    </row>
    <row r="27746">
      <c r="A27746" s="8" t="inlineStr">
        <is>
          <t>2026-08-05</t>
        </is>
      </c>
      <c r="B27746" s="8" t="n">
        <v>23</v>
      </c>
      <c r="C27746" s="8" t="n">
        <v>45</v>
      </c>
      <c r="D27746" s="8" t="inlineStr">
        <is>
          <t>Disneyland Park</t>
        </is>
      </c>
      <c r="E27746" s="8" t="inlineStr">
        <is>
          <t>Meet Mickey Mouse</t>
        </is>
      </c>
      <c r="F27746" s="8" t="inlineStr">
        <is>
          <t>STANDBY</t>
        </is>
      </c>
      <c r="G27746" s="8" t="n">
        <v>0</v>
      </c>
      <c r="H27746" s="8" t="inlineStr">
        <is>
          <t>CLOSED</t>
        </is>
      </c>
    </row>
    <row r="27747">
      <c r="A27747" s="8" t="inlineStr">
        <is>
          <t>2026-08-05</t>
        </is>
      </c>
      <c r="B27747" s="8" t="n">
        <v>23</v>
      </c>
      <c r="C27747" s="8" t="n">
        <v>45</v>
      </c>
      <c r="D27747" s="8" t="inlineStr">
        <is>
          <t>Disneyland Park</t>
        </is>
      </c>
      <c r="E27747" s="8" t="inlineStr">
        <is>
          <t>Peter Pan's Flight</t>
        </is>
      </c>
      <c r="F27747" s="8" t="inlineStr">
        <is>
          <t>STANDBY</t>
        </is>
      </c>
      <c r="G27747" s="8" t="n">
        <v>0</v>
      </c>
      <c r="H27747" s="8" t="inlineStr">
        <is>
          <t>CLOSED</t>
        </is>
      </c>
    </row>
    <row r="27748">
      <c r="A27748" s="8" t="inlineStr">
        <is>
          <t>2026-08-05</t>
        </is>
      </c>
      <c r="B27748" s="8" t="n">
        <v>23</v>
      </c>
      <c r="C27748" s="8" t="n">
        <v>45</v>
      </c>
      <c r="D27748" s="8" t="inlineStr">
        <is>
          <t>Disneyland Park</t>
        </is>
      </c>
      <c r="E27748" s="8" t="inlineStr">
        <is>
          <t>Princess Pavilion</t>
        </is>
      </c>
      <c r="F27748" s="8" t="inlineStr">
        <is>
          <t>STANDBY</t>
        </is>
      </c>
      <c r="G27748" s="8" t="n">
        <v>0</v>
      </c>
      <c r="H27748" s="8" t="inlineStr">
        <is>
          <t>CLOSED</t>
        </is>
      </c>
    </row>
    <row r="27749">
      <c r="A27749" s="8" t="inlineStr">
        <is>
          <t>2026-08-05</t>
        </is>
      </c>
      <c r="B27749" s="8" t="n">
        <v>23</v>
      </c>
      <c r="C27749" s="8" t="n">
        <v>45</v>
      </c>
      <c r="D27749" s="8" t="inlineStr">
        <is>
          <t>Disneyland Park</t>
        </is>
      </c>
      <c r="E27749" s="8" t="inlineStr">
        <is>
          <t>Big Thunder Mountain</t>
        </is>
      </c>
      <c r="F27749" s="8" t="inlineStr">
        <is>
          <t>STANDBY</t>
        </is>
      </c>
      <c r="G27749" s="8" t="n">
        <v>0</v>
      </c>
      <c r="H27749" s="8" t="inlineStr">
        <is>
          <t>CLOSED</t>
        </is>
      </c>
    </row>
    <row r="27750">
      <c r="A27750" s="8" t="inlineStr">
        <is>
          <t>2026-08-05</t>
        </is>
      </c>
      <c r="B27750" s="8" t="n">
        <v>23</v>
      </c>
      <c r="C27750" s="8" t="n">
        <v>45</v>
      </c>
      <c r="D27750" s="8" t="inlineStr">
        <is>
          <t>Disneyland Park</t>
        </is>
      </c>
      <c r="E27750" s="8" t="inlineStr">
        <is>
          <t>Disneyland Railroad Frontierland Depot</t>
        </is>
      </c>
      <c r="F27750" s="8" t="inlineStr">
        <is>
          <t>STANDBY</t>
        </is>
      </c>
      <c r="G27750" s="8" t="n">
        <v>0</v>
      </c>
      <c r="H27750" s="8" t="inlineStr">
        <is>
          <t>CLOSED</t>
        </is>
      </c>
    </row>
    <row r="27751">
      <c r="A27751" s="8" t="inlineStr">
        <is>
          <t>2026-08-05</t>
        </is>
      </c>
      <c r="B27751" s="8" t="n">
        <v>23</v>
      </c>
      <c r="C27751" s="8" t="n">
        <v>45</v>
      </c>
      <c r="D27751" s="8" t="inlineStr">
        <is>
          <t>Disneyland Park</t>
        </is>
      </c>
      <c r="E27751" s="8" t="inlineStr">
        <is>
          <t>Frontierland Playground</t>
        </is>
      </c>
      <c r="F27751" s="8" t="inlineStr">
        <is>
          <t>STANDBY</t>
        </is>
      </c>
      <c r="G27751" s="8" t="n">
        <v>0</v>
      </c>
      <c r="H27751" s="8" t="inlineStr">
        <is>
          <t>CLOSED</t>
        </is>
      </c>
    </row>
    <row r="27752">
      <c r="A27752" s="8" t="inlineStr">
        <is>
          <t>2026-08-05</t>
        </is>
      </c>
      <c r="B27752" s="8" t="n">
        <v>23</v>
      </c>
      <c r="C27752" s="8" t="n">
        <v>45</v>
      </c>
      <c r="D27752" s="8" t="inlineStr">
        <is>
          <t>Disneyland Park</t>
        </is>
      </c>
      <c r="E27752" s="8" t="inlineStr">
        <is>
          <t>Phantom Manor</t>
        </is>
      </c>
      <c r="F27752" s="8" t="inlineStr">
        <is>
          <t>STANDBY</t>
        </is>
      </c>
      <c r="G27752" s="8" t="n">
        <v>0</v>
      </c>
      <c r="H27752" s="8" t="inlineStr">
        <is>
          <t>CLOSED</t>
        </is>
      </c>
    </row>
    <row r="27753">
      <c r="A27753" s="8" t="inlineStr">
        <is>
          <t>2026-08-05</t>
        </is>
      </c>
      <c r="B27753" s="8" t="n">
        <v>23</v>
      </c>
      <c r="C27753" s="8" t="n">
        <v>45</v>
      </c>
      <c r="D27753" s="8" t="inlineStr">
        <is>
          <t>Disneyland Park</t>
        </is>
      </c>
      <c r="E27753" s="8" t="inlineStr">
        <is>
          <t>River Rogue Keelboats</t>
        </is>
      </c>
      <c r="F27753" s="8" t="inlineStr">
        <is>
          <t>STANDBY</t>
        </is>
      </c>
      <c r="G27753" s="8" t="n">
        <v>0</v>
      </c>
      <c r="H27753" s="8" t="inlineStr">
        <is>
          <t>CLOSED</t>
        </is>
      </c>
    </row>
    <row r="27754">
      <c r="A27754" s="8" t="inlineStr">
        <is>
          <t>2026-08-05</t>
        </is>
      </c>
      <c r="B27754" s="8" t="n">
        <v>23</v>
      </c>
      <c r="C27754" s="8" t="n">
        <v>45</v>
      </c>
      <c r="D27754" s="8" t="inlineStr">
        <is>
          <t>Disneyland Park</t>
        </is>
      </c>
      <c r="E27754" s="8" t="inlineStr">
        <is>
          <t>Rustler Roundup Shootin' Gallery</t>
        </is>
      </c>
      <c r="F27754" s="8" t="inlineStr">
        <is>
          <t>STANDBY</t>
        </is>
      </c>
      <c r="G27754" s="8" t="n">
        <v>0</v>
      </c>
      <c r="H27754" s="8" t="inlineStr">
        <is>
          <t>CLOSED</t>
        </is>
      </c>
    </row>
    <row r="27755">
      <c r="A27755" s="8" t="inlineStr">
        <is>
          <t>2026-08-05</t>
        </is>
      </c>
      <c r="B27755" s="8" t="n">
        <v>23</v>
      </c>
      <c r="C27755" s="8" t="n">
        <v>45</v>
      </c>
      <c r="D27755" s="8" t="inlineStr">
        <is>
          <t>Disneyland Park</t>
        </is>
      </c>
      <c r="E27755" s="8" t="inlineStr">
        <is>
          <t>Thunder Mesa Riverboat Landing</t>
        </is>
      </c>
      <c r="F27755" s="8" t="inlineStr">
        <is>
          <t>STANDBY</t>
        </is>
      </c>
      <c r="G27755" s="8" t="n">
        <v>0</v>
      </c>
      <c r="H27755" s="8" t="inlineStr">
        <is>
          <t>CLOSED</t>
        </is>
      </c>
    </row>
    <row r="27756">
      <c r="A27756" s="8" t="inlineStr">
        <is>
          <t>2026-08-05</t>
        </is>
      </c>
      <c r="B27756" s="8" t="n">
        <v>23</v>
      </c>
      <c r="C27756" s="8" t="n">
        <v>45</v>
      </c>
      <c r="D27756" s="8" t="inlineStr">
        <is>
          <t>Disneyland Park</t>
        </is>
      </c>
      <c r="E27756" s="8" t="inlineStr">
        <is>
          <t>Disneyland Railroad Main Street Station</t>
        </is>
      </c>
      <c r="F27756" s="8" t="inlineStr">
        <is>
          <t>STANDBY</t>
        </is>
      </c>
      <c r="G27756" s="8" t="n">
        <v>0</v>
      </c>
      <c r="H27756" s="8" t="inlineStr">
        <is>
          <t>CLOSED</t>
        </is>
      </c>
    </row>
    <row r="27757">
      <c r="A27757" s="8" t="inlineStr">
        <is>
          <t>2026-08-05</t>
        </is>
      </c>
      <c r="B27757" s="8" t="n">
        <v>23</v>
      </c>
      <c r="C27757" s="8" t="n">
        <v>45</v>
      </c>
      <c r="D27757" s="8" t="inlineStr">
        <is>
          <t>Disneyland Park</t>
        </is>
      </c>
      <c r="E27757" s="8" t="inlineStr">
        <is>
          <t>Main Street Vehicles</t>
        </is>
      </c>
      <c r="F27757" s="8" t="inlineStr">
        <is>
          <t>STANDBY</t>
        </is>
      </c>
      <c r="G27757" s="8" t="n">
        <v>0</v>
      </c>
      <c r="H27757" s="8" t="inlineStr">
        <is>
          <t>CLOSED</t>
        </is>
      </c>
    </row>
    <row r="27758">
      <c r="A27758" s="8" t="inlineStr">
        <is>
          <t>2026-08-05</t>
        </is>
      </c>
      <c r="B27758" s="8" t="n">
        <v>23</v>
      </c>
      <c r="C27758" s="8" t="n">
        <v>45</v>
      </c>
      <c r="D27758" s="8" t="inlineStr">
        <is>
          <t>Disney Adventure World</t>
        </is>
      </c>
      <c r="E27758" s="8" t="inlineStr">
        <is>
          <t>Avengers Assemble: Flight Force</t>
        </is>
      </c>
      <c r="F27758" s="8" t="inlineStr">
        <is>
          <t>STANDBY</t>
        </is>
      </c>
      <c r="G27758" s="8" t="n">
        <v>0</v>
      </c>
      <c r="H27758" s="8" t="inlineStr">
        <is>
          <t>CLOSED</t>
        </is>
      </c>
    </row>
    <row r="27759">
      <c r="A27759" s="8" t="inlineStr">
        <is>
          <t>2026-08-05</t>
        </is>
      </c>
      <c r="B27759" s="8" t="n">
        <v>23</v>
      </c>
      <c r="C27759" s="8" t="n">
        <v>45</v>
      </c>
      <c r="D27759" s="8" t="inlineStr">
        <is>
          <t>Disney Adventure World</t>
        </is>
      </c>
      <c r="E27759" s="8" t="inlineStr">
        <is>
          <t>Avengers Assemble: Flight Force Single Rider</t>
        </is>
      </c>
      <c r="F27759" s="8" t="inlineStr">
        <is>
          <t>STANDBY</t>
        </is>
      </c>
      <c r="G27759" s="8" t="n">
        <v>0</v>
      </c>
      <c r="H27759" s="8" t="inlineStr">
        <is>
          <t>CLOSED</t>
        </is>
      </c>
    </row>
    <row r="27760">
      <c r="A27760" s="8" t="inlineStr">
        <is>
          <t>2026-08-05</t>
        </is>
      </c>
      <c r="B27760" s="8" t="n">
        <v>23</v>
      </c>
      <c r="C27760" s="8" t="n">
        <v>45</v>
      </c>
      <c r="D27760" s="8" t="inlineStr">
        <is>
          <t>Disney Adventure World</t>
        </is>
      </c>
      <c r="E27760" s="8" t="inlineStr">
        <is>
          <t>Spider-Man W.E.B. Adventure</t>
        </is>
      </c>
      <c r="F27760" s="8" t="inlineStr">
        <is>
          <t>STANDBY</t>
        </is>
      </c>
      <c r="G27760" s="8" t="n">
        <v>0</v>
      </c>
      <c r="H27760" s="8" t="inlineStr">
        <is>
          <t>CLOSED</t>
        </is>
      </c>
    </row>
    <row r="27761">
      <c r="A27761" s="8" t="inlineStr">
        <is>
          <t>2026-08-05</t>
        </is>
      </c>
      <c r="B27761" s="8" t="n">
        <v>23</v>
      </c>
      <c r="C27761" s="8" t="n">
        <v>45</v>
      </c>
      <c r="D27761" s="8" t="inlineStr">
        <is>
          <t>Disney Adventure World</t>
        </is>
      </c>
      <c r="E27761" s="8" t="inlineStr">
        <is>
          <t>Spider-Man W.E.B. Adventure Single Rider</t>
        </is>
      </c>
      <c r="F27761" s="8" t="inlineStr">
        <is>
          <t>STANDBY</t>
        </is>
      </c>
      <c r="G27761" s="8" t="n">
        <v>0</v>
      </c>
      <c r="H27761" s="8" t="inlineStr">
        <is>
          <t>CLOSED</t>
        </is>
      </c>
    </row>
    <row r="27762">
      <c r="A27762" s="8" t="inlineStr">
        <is>
          <t>2026-08-05</t>
        </is>
      </c>
      <c r="B27762" s="8" t="n">
        <v>23</v>
      </c>
      <c r="C27762" s="8" t="n">
        <v>45</v>
      </c>
      <c r="D27762" s="8" t="inlineStr">
        <is>
          <t>Disney Adventure World</t>
        </is>
      </c>
      <c r="E27762" s="8" t="inlineStr">
        <is>
          <t>The Twilight Zone Tower of Terror</t>
        </is>
      </c>
      <c r="F27762" s="8" t="inlineStr">
        <is>
          <t>STANDBY</t>
        </is>
      </c>
      <c r="G27762" s="8" t="n">
        <v>0</v>
      </c>
      <c r="H27762" s="8" t="inlineStr">
        <is>
          <t>CLOSED</t>
        </is>
      </c>
    </row>
    <row r="27763">
      <c r="A27763" s="8" t="inlineStr">
        <is>
          <t>2026-08-05</t>
        </is>
      </c>
      <c r="B27763" s="8" t="n">
        <v>23</v>
      </c>
      <c r="C27763" s="8" t="n">
        <v>45</v>
      </c>
      <c r="D27763" s="8" t="inlineStr">
        <is>
          <t>Disney Adventure World</t>
        </is>
      </c>
      <c r="E27763" s="8" t="inlineStr">
        <is>
          <t>Cars Quatre Roues Rallye</t>
        </is>
      </c>
      <c r="F27763" s="8" t="inlineStr">
        <is>
          <t>STANDBY</t>
        </is>
      </c>
      <c r="G27763" s="8" t="n">
        <v>0</v>
      </c>
      <c r="H27763" s="8" t="inlineStr">
        <is>
          <t>CLOSED</t>
        </is>
      </c>
    </row>
    <row r="27764">
      <c r="A27764" s="8" t="inlineStr">
        <is>
          <t>2026-08-05</t>
        </is>
      </c>
      <c r="B27764" s="8" t="n">
        <v>23</v>
      </c>
      <c r="C27764" s="8" t="n">
        <v>45</v>
      </c>
      <c r="D27764" s="8" t="inlineStr">
        <is>
          <t>Disney Adventure World</t>
        </is>
      </c>
      <c r="E27764" s="8" t="inlineStr">
        <is>
          <t>Cars ROAD TRIP</t>
        </is>
      </c>
      <c r="F27764" s="8" t="inlineStr">
        <is>
          <t>STANDBY</t>
        </is>
      </c>
      <c r="G27764" s="8" t="n">
        <v>0</v>
      </c>
      <c r="H27764" s="8" t="inlineStr">
        <is>
          <t>CLOSED</t>
        </is>
      </c>
    </row>
    <row r="27765">
      <c r="A27765" s="8" t="inlineStr">
        <is>
          <t>2026-08-05</t>
        </is>
      </c>
      <c r="B27765" s="8" t="n">
        <v>23</v>
      </c>
      <c r="C27765" s="8" t="n">
        <v>45</v>
      </c>
      <c r="D27765" s="8" t="inlineStr">
        <is>
          <t>Disney Adventure World</t>
        </is>
      </c>
      <c r="E27765" s="8" t="inlineStr">
        <is>
          <t>Crush's Coaster</t>
        </is>
      </c>
      <c r="F27765" s="8" t="inlineStr">
        <is>
          <t>STANDBY</t>
        </is>
      </c>
      <c r="G27765" s="8" t="n">
        <v>0</v>
      </c>
      <c r="H27765" s="8" t="inlineStr">
        <is>
          <t>CLOSED</t>
        </is>
      </c>
    </row>
    <row r="27766">
      <c r="A27766" s="8" t="inlineStr">
        <is>
          <t>2026-08-05</t>
        </is>
      </c>
      <c r="B27766" s="8" t="n">
        <v>23</v>
      </c>
      <c r="C27766" s="8" t="n">
        <v>45</v>
      </c>
      <c r="D27766" s="8" t="inlineStr">
        <is>
          <t>Disney Adventure World</t>
        </is>
      </c>
      <c r="E27766" s="8" t="inlineStr">
        <is>
          <t>Crush's Coaster Single Rider</t>
        </is>
      </c>
      <c r="F27766" s="8" t="inlineStr">
        <is>
          <t>STANDBY</t>
        </is>
      </c>
      <c r="G27766" s="8" t="n">
        <v>0</v>
      </c>
      <c r="H27766" s="8" t="inlineStr">
        <is>
          <t>CLOSED</t>
        </is>
      </c>
    </row>
    <row r="27767">
      <c r="A27767" s="8" t="inlineStr">
        <is>
          <t>2026-08-05</t>
        </is>
      </c>
      <c r="B27767" s="8" t="n">
        <v>23</v>
      </c>
      <c r="C27767" s="8" t="n">
        <v>45</v>
      </c>
      <c r="D27767" s="8" t="inlineStr">
        <is>
          <t>Disney Adventure World</t>
        </is>
      </c>
      <c r="E27767" s="8" t="inlineStr">
        <is>
          <t>Les Tapis Volants - Flying Carpets Over Agrabah®</t>
        </is>
      </c>
      <c r="F27767" s="8" t="inlineStr">
        <is>
          <t>STANDBY</t>
        </is>
      </c>
      <c r="G27767" s="8" t="n">
        <v>0</v>
      </c>
      <c r="H27767" s="8" t="inlineStr">
        <is>
          <t>CLOSED</t>
        </is>
      </c>
    </row>
    <row r="27768">
      <c r="A27768" s="8" t="inlineStr">
        <is>
          <t>2026-08-05</t>
        </is>
      </c>
      <c r="B27768" s="8" t="n">
        <v>23</v>
      </c>
      <c r="C27768" s="8" t="n">
        <v>45</v>
      </c>
      <c r="D27768" s="8" t="inlineStr">
        <is>
          <t>Disney Adventure World</t>
        </is>
      </c>
      <c r="E27768" s="8" t="inlineStr">
        <is>
          <t>Ratatouille : L’Aventure Totalement Toquée de Rémy​</t>
        </is>
      </c>
      <c r="F27768" s="8" t="inlineStr">
        <is>
          <t>STANDBY</t>
        </is>
      </c>
      <c r="G27768" s="8" t="n">
        <v>0</v>
      </c>
      <c r="H27768" s="8" t="inlineStr">
        <is>
          <t>CLOSED</t>
        </is>
      </c>
    </row>
    <row r="27769">
      <c r="A27769" s="8" t="inlineStr">
        <is>
          <t>2026-08-05</t>
        </is>
      </c>
      <c r="B27769" s="8" t="n">
        <v>23</v>
      </c>
      <c r="C27769" s="8" t="n">
        <v>45</v>
      </c>
      <c r="D27769" s="8" t="inlineStr">
        <is>
          <t>Disney Adventure World</t>
        </is>
      </c>
      <c r="E27769" s="8" t="inlineStr">
        <is>
          <t>Ratatouille: The Adventure Single Rider</t>
        </is>
      </c>
      <c r="F27769" s="8" t="inlineStr">
        <is>
          <t>STANDBY</t>
        </is>
      </c>
      <c r="G27769" s="8" t="n">
        <v>0</v>
      </c>
      <c r="H27769" s="8" t="inlineStr">
        <is>
          <t>CLOSED</t>
        </is>
      </c>
    </row>
    <row r="27770">
      <c r="A27770" s="8" t="inlineStr">
        <is>
          <t>2026-08-05</t>
        </is>
      </c>
      <c r="B27770" s="8" t="n">
        <v>23</v>
      </c>
      <c r="C27770" s="8" t="n">
        <v>45</v>
      </c>
      <c r="D27770" s="8" t="inlineStr">
        <is>
          <t>Disney Adventure World</t>
        </is>
      </c>
      <c r="E27770" s="8" t="inlineStr">
        <is>
          <t>RC Racer</t>
        </is>
      </c>
      <c r="F27770" s="8" t="inlineStr">
        <is>
          <t>STANDBY</t>
        </is>
      </c>
      <c r="G27770" s="8" t="n">
        <v>0</v>
      </c>
      <c r="H27770" s="8" t="inlineStr">
        <is>
          <t>CLOSED</t>
        </is>
      </c>
    </row>
    <row r="27771">
      <c r="A27771" s="8" t="inlineStr">
        <is>
          <t>2026-08-05</t>
        </is>
      </c>
      <c r="B27771" s="8" t="n">
        <v>23</v>
      </c>
      <c r="C27771" s="8" t="n">
        <v>45</v>
      </c>
      <c r="D27771" s="8" t="inlineStr">
        <is>
          <t>Disney Adventure World</t>
        </is>
      </c>
      <c r="E27771" s="8" t="inlineStr">
        <is>
          <t>RC Racer Single Rider</t>
        </is>
      </c>
      <c r="F27771" s="8" t="inlineStr">
        <is>
          <t>STANDBY</t>
        </is>
      </c>
      <c r="G27771" s="8" t="n">
        <v>0</v>
      </c>
      <c r="H27771" s="8" t="inlineStr">
        <is>
          <t>CLOSED</t>
        </is>
      </c>
    </row>
    <row r="27772">
      <c r="A27772" s="8" t="inlineStr">
        <is>
          <t>2026-08-05</t>
        </is>
      </c>
      <c r="B27772" s="8" t="n">
        <v>23</v>
      </c>
      <c r="C27772" s="8" t="n">
        <v>45</v>
      </c>
      <c r="D27772" s="8" t="inlineStr">
        <is>
          <t>Disney Adventure World</t>
        </is>
      </c>
      <c r="E27772" s="8" t="inlineStr">
        <is>
          <t>Slinky® Dog Zigzag Spin</t>
        </is>
      </c>
      <c r="F27772" s="8" t="inlineStr">
        <is>
          <t>STANDBY</t>
        </is>
      </c>
      <c r="G27772" s="8" t="n">
        <v>0</v>
      </c>
      <c r="H27772" s="8" t="inlineStr">
        <is>
          <t>CLOSED</t>
        </is>
      </c>
    </row>
    <row r="27773">
      <c r="A27773" s="8" t="inlineStr">
        <is>
          <t>2026-08-05</t>
        </is>
      </c>
      <c r="B27773" s="8" t="n">
        <v>23</v>
      </c>
      <c r="C27773" s="8" t="n">
        <v>45</v>
      </c>
      <c r="D27773" s="8" t="inlineStr">
        <is>
          <t>Disney Adventure World</t>
        </is>
      </c>
      <c r="E27773" s="8" t="inlineStr">
        <is>
          <t>Toy Soldiers Parachute Drop</t>
        </is>
      </c>
      <c r="F27773" s="8" t="inlineStr">
        <is>
          <t>STANDBY</t>
        </is>
      </c>
      <c r="G27773" s="8" t="n">
        <v>0</v>
      </c>
      <c r="H27773" s="8" t="inlineStr">
        <is>
          <t>CLOSED</t>
        </is>
      </c>
    </row>
    <row r="27774">
      <c r="A27774" s="8" t="inlineStr">
        <is>
          <t>2026-08-05</t>
        </is>
      </c>
      <c r="B27774" s="8" t="n">
        <v>23</v>
      </c>
      <c r="C27774" s="8" t="n">
        <v>45</v>
      </c>
      <c r="D27774" s="8" t="inlineStr">
        <is>
          <t>Disney Adventure World</t>
        </is>
      </c>
      <c r="E27774" s="8" t="inlineStr">
        <is>
          <t>Toy Soldiers Parachute Drop Single Rider</t>
        </is>
      </c>
      <c r="F27774" s="8" t="inlineStr">
        <is>
          <t>STANDBY</t>
        </is>
      </c>
      <c r="G27774" s="8" t="n">
        <v>0</v>
      </c>
      <c r="H27774" s="8" t="inlineStr">
        <is>
          <t>CLOSED</t>
        </is>
      </c>
    </row>
    <row r="27775">
      <c r="A27775" s="8" t="inlineStr">
        <is>
          <t>2026-08-05</t>
        </is>
      </c>
      <c r="B27775" s="8" t="n">
        <v>23</v>
      </c>
      <c r="C27775" s="8" t="n">
        <v>45</v>
      </c>
      <c r="D27775" s="8" t="inlineStr">
        <is>
          <t>Disney Adventure World</t>
        </is>
      </c>
      <c r="E27775" s="8" t="inlineStr">
        <is>
          <t>Entry to World of Frozen</t>
        </is>
      </c>
      <c r="F27775" s="8" t="inlineStr">
        <is>
          <t>STANDBY</t>
        </is>
      </c>
      <c r="G27775" s="8" t="n">
        <v>0</v>
      </c>
      <c r="H27775" s="8" t="inlineStr">
        <is>
          <t>CLOSED</t>
        </is>
      </c>
    </row>
    <row r="27776">
      <c r="A27776" s="8" t="inlineStr">
        <is>
          <t>2026-08-05</t>
        </is>
      </c>
      <c r="B27776" s="8" t="n">
        <v>23</v>
      </c>
      <c r="C27776" s="8" t="n">
        <v>45</v>
      </c>
      <c r="D27776" s="8" t="inlineStr">
        <is>
          <t>Disney Adventure World</t>
        </is>
      </c>
      <c r="E27776" s="8" t="inlineStr">
        <is>
          <t>Frozen Ever After</t>
        </is>
      </c>
      <c r="F27776" s="8" t="inlineStr">
        <is>
          <t>STANDBY</t>
        </is>
      </c>
      <c r="G27776" s="8" t="n">
        <v>0</v>
      </c>
      <c r="H27776" s="8" t="inlineStr">
        <is>
          <t>CLOSED</t>
        </is>
      </c>
    </row>
    <row r="27777">
      <c r="A27777" s="8" t="inlineStr">
        <is>
          <t>2026-08-05</t>
        </is>
      </c>
      <c r="B27777" s="8" t="n">
        <v>23</v>
      </c>
      <c r="C27777" s="8" t="n">
        <v>45</v>
      </c>
      <c r="D27777" s="8" t="inlineStr">
        <is>
          <t>Disney Adventure World</t>
        </is>
      </c>
      <c r="E27777" s="8" t="inlineStr">
        <is>
          <t>Raiponce Tangled Spin</t>
        </is>
      </c>
      <c r="F27777" s="8" t="inlineStr">
        <is>
          <t>STANDBY</t>
        </is>
      </c>
      <c r="G27777" s="8" t="n">
        <v>0</v>
      </c>
      <c r="H27777" s="8" t="inlineStr">
        <is>
          <t>CLOSED</t>
        </is>
      </c>
    </row>
    <row r="27778">
      <c r="A27778" s="8" t="inlineStr">
        <is>
          <t>2026-08-06</t>
        </is>
      </c>
      <c r="B27778" s="8" t="n">
        <v>0</v>
      </c>
      <c r="C27778" s="8" t="n">
        <v>1</v>
      </c>
      <c r="D27778" s="8" t="inlineStr">
        <is>
          <t>Disneyland Park</t>
        </is>
      </c>
      <c r="E27778" s="8" t="inlineStr">
        <is>
          <t>Adventure Isle</t>
        </is>
      </c>
      <c r="F27778" s="8" t="inlineStr">
        <is>
          <t>STANDBY</t>
        </is>
      </c>
      <c r="G27778" s="8" t="n">
        <v>0</v>
      </c>
      <c r="H27778" s="8" t="inlineStr">
        <is>
          <t>CLOSED</t>
        </is>
      </c>
    </row>
    <row r="27779">
      <c r="A27779" s="8" t="inlineStr">
        <is>
          <t>2026-08-06</t>
        </is>
      </c>
      <c r="B27779" s="8" t="n">
        <v>0</v>
      </c>
      <c r="C27779" s="8" t="n">
        <v>1</v>
      </c>
      <c r="D27779" s="8" t="inlineStr">
        <is>
          <t>Disneyland Park</t>
        </is>
      </c>
      <c r="E27779" s="8" t="inlineStr">
        <is>
          <t>Indiana Jones and the Temple of Peril Single Rider</t>
        </is>
      </c>
      <c r="F27779" s="8" t="inlineStr">
        <is>
          <t>STANDBY</t>
        </is>
      </c>
      <c r="G27779" s="8" t="n">
        <v>0</v>
      </c>
      <c r="H27779" s="8" t="inlineStr">
        <is>
          <t>CLOSED</t>
        </is>
      </c>
    </row>
    <row r="27780">
      <c r="A27780" s="8" t="inlineStr">
        <is>
          <t>2026-08-06</t>
        </is>
      </c>
      <c r="B27780" s="8" t="n">
        <v>0</v>
      </c>
      <c r="C27780" s="8" t="n">
        <v>1</v>
      </c>
      <c r="D27780" s="8" t="inlineStr">
        <is>
          <t>Disneyland Park</t>
        </is>
      </c>
      <c r="E27780" s="8" t="inlineStr">
        <is>
          <t>Indiana Jones™ and the Temple of Peril</t>
        </is>
      </c>
      <c r="F27780" s="8" t="inlineStr">
        <is>
          <t>STANDBY</t>
        </is>
      </c>
      <c r="G27780" s="8" t="n">
        <v>0</v>
      </c>
      <c r="H27780" s="8" t="inlineStr">
        <is>
          <t>CLOSED</t>
        </is>
      </c>
    </row>
    <row r="27781">
      <c r="A27781" s="8" t="inlineStr">
        <is>
          <t>2026-08-06</t>
        </is>
      </c>
      <c r="B27781" s="8" t="n">
        <v>0</v>
      </c>
      <c r="C27781" s="8" t="n">
        <v>1</v>
      </c>
      <c r="D27781" s="8" t="inlineStr">
        <is>
          <t>Disneyland Park</t>
        </is>
      </c>
      <c r="E27781" s="8" t="inlineStr">
        <is>
          <t>La Cabane des Robinson</t>
        </is>
      </c>
      <c r="F27781" s="8" t="inlineStr">
        <is>
          <t>STANDBY</t>
        </is>
      </c>
      <c r="G27781" s="8" t="n">
        <v>0</v>
      </c>
      <c r="H27781" s="8" t="inlineStr">
        <is>
          <t>CLOSED</t>
        </is>
      </c>
    </row>
    <row r="27782">
      <c r="A27782" s="8" t="inlineStr">
        <is>
          <t>2026-08-06</t>
        </is>
      </c>
      <c r="B27782" s="8" t="n">
        <v>0</v>
      </c>
      <c r="C27782" s="8" t="n">
        <v>1</v>
      </c>
      <c r="D27782" s="8" t="inlineStr">
        <is>
          <t>Disneyland Park</t>
        </is>
      </c>
      <c r="E27782" s="8" t="inlineStr">
        <is>
          <t>Le Passage Enchanté d'Aladdin</t>
        </is>
      </c>
      <c r="F27782" s="8" t="inlineStr">
        <is>
          <t>STANDBY</t>
        </is>
      </c>
      <c r="G27782" s="8" t="n">
        <v>0</v>
      </c>
      <c r="H27782" s="8" t="inlineStr">
        <is>
          <t>CLOSED</t>
        </is>
      </c>
    </row>
    <row r="27783">
      <c r="A27783" s="8" t="inlineStr">
        <is>
          <t>2026-08-06</t>
        </is>
      </c>
      <c r="B27783" s="8" t="n">
        <v>0</v>
      </c>
      <c r="C27783" s="8" t="n">
        <v>1</v>
      </c>
      <c r="D27783" s="8" t="inlineStr">
        <is>
          <t>Disneyland Park</t>
        </is>
      </c>
      <c r="E27783" s="8" t="inlineStr">
        <is>
          <t>Pirate Galleon</t>
        </is>
      </c>
      <c r="F27783" s="8" t="inlineStr">
        <is>
          <t>STANDBY</t>
        </is>
      </c>
      <c r="G27783" s="8" t="n">
        <v>0</v>
      </c>
      <c r="H27783" s="8" t="inlineStr">
        <is>
          <t>CLOSED</t>
        </is>
      </c>
    </row>
    <row r="27784">
      <c r="A27784" s="8" t="inlineStr">
        <is>
          <t>2026-08-06</t>
        </is>
      </c>
      <c r="B27784" s="8" t="n">
        <v>0</v>
      </c>
      <c r="C27784" s="8" t="n">
        <v>1</v>
      </c>
      <c r="D27784" s="8" t="inlineStr">
        <is>
          <t>Disneyland Park</t>
        </is>
      </c>
      <c r="E27784" s="8" t="inlineStr">
        <is>
          <t>Pirates of the Caribbean</t>
        </is>
      </c>
      <c r="F27784" s="8" t="inlineStr">
        <is>
          <t>STANDBY</t>
        </is>
      </c>
      <c r="G27784" s="8" t="n">
        <v>0</v>
      </c>
      <c r="H27784" s="8" t="inlineStr">
        <is>
          <t>CLOSED</t>
        </is>
      </c>
    </row>
    <row r="27785">
      <c r="A27785" s="8" t="inlineStr">
        <is>
          <t>2026-08-06</t>
        </is>
      </c>
      <c r="B27785" s="8" t="n">
        <v>0</v>
      </c>
      <c r="C27785" s="8" t="n">
        <v>1</v>
      </c>
      <c r="D27785" s="8" t="inlineStr">
        <is>
          <t>Disneyland Park</t>
        </is>
      </c>
      <c r="E27785" s="8" t="inlineStr">
        <is>
          <t>Pirates' Beach</t>
        </is>
      </c>
      <c r="F27785" s="8" t="inlineStr">
        <is>
          <t>STANDBY</t>
        </is>
      </c>
      <c r="G27785" s="8" t="n">
        <v>0</v>
      </c>
      <c r="H27785" s="8" t="inlineStr">
        <is>
          <t>CLOSED</t>
        </is>
      </c>
    </row>
    <row r="27786">
      <c r="A27786" s="8" t="inlineStr">
        <is>
          <t>2026-08-06</t>
        </is>
      </c>
      <c r="B27786" s="8" t="n">
        <v>0</v>
      </c>
      <c r="C27786" s="8" t="n">
        <v>1</v>
      </c>
      <c r="D27786" s="8" t="inlineStr">
        <is>
          <t>Disneyland Park</t>
        </is>
      </c>
      <c r="E27786" s="8" t="inlineStr">
        <is>
          <t>Autopia, presented by Avis</t>
        </is>
      </c>
      <c r="F27786" s="8" t="inlineStr">
        <is>
          <t>STANDBY</t>
        </is>
      </c>
      <c r="G27786" s="8" t="n">
        <v>0</v>
      </c>
      <c r="H27786" s="8" t="inlineStr">
        <is>
          <t>CLOSED</t>
        </is>
      </c>
    </row>
    <row r="27787">
      <c r="A27787" s="8" t="inlineStr">
        <is>
          <t>2026-08-06</t>
        </is>
      </c>
      <c r="B27787" s="8" t="n">
        <v>0</v>
      </c>
      <c r="C27787" s="8" t="n">
        <v>1</v>
      </c>
      <c r="D27787" s="8" t="inlineStr">
        <is>
          <t>Disneyland Park</t>
        </is>
      </c>
      <c r="E27787" s="8" t="inlineStr">
        <is>
          <t>Buzz Lightyear Laser Blast</t>
        </is>
      </c>
      <c r="F27787" s="8" t="inlineStr">
        <is>
          <t>STANDBY</t>
        </is>
      </c>
      <c r="G27787" s="8" t="n">
        <v>0</v>
      </c>
      <c r="H27787" s="8" t="inlineStr">
        <is>
          <t>CLOSED</t>
        </is>
      </c>
    </row>
    <row r="27788">
      <c r="A27788" s="8" t="inlineStr">
        <is>
          <t>2026-08-06</t>
        </is>
      </c>
      <c r="B27788" s="8" t="n">
        <v>0</v>
      </c>
      <c r="C27788" s="8" t="n">
        <v>1</v>
      </c>
      <c r="D27788" s="8" t="inlineStr">
        <is>
          <t>Disneyland Park</t>
        </is>
      </c>
      <c r="E27788" s="8" t="inlineStr">
        <is>
          <t>Disneyland Railroad Discoveryland Station</t>
        </is>
      </c>
      <c r="F27788" s="8" t="inlineStr">
        <is>
          <t>STANDBY</t>
        </is>
      </c>
      <c r="G27788" s="8" t="n">
        <v>0</v>
      </c>
      <c r="H27788" s="8" t="inlineStr">
        <is>
          <t>CLOSED</t>
        </is>
      </c>
    </row>
    <row r="27789">
      <c r="A27789" s="8" t="inlineStr">
        <is>
          <t>2026-08-06</t>
        </is>
      </c>
      <c r="B27789" s="8" t="n">
        <v>0</v>
      </c>
      <c r="C27789" s="8" t="n">
        <v>1</v>
      </c>
      <c r="D27789" s="8" t="inlineStr">
        <is>
          <t>Disneyland Park</t>
        </is>
      </c>
      <c r="E27789" s="8" t="inlineStr">
        <is>
          <t>Les Mystères du Nautilus</t>
        </is>
      </c>
      <c r="F27789" s="8" t="inlineStr">
        <is>
          <t>STANDBY</t>
        </is>
      </c>
      <c r="G27789" s="8" t="n">
        <v>0</v>
      </c>
      <c r="H27789" s="8" t="inlineStr">
        <is>
          <t>CLOSED</t>
        </is>
      </c>
    </row>
    <row r="27790">
      <c r="A27790" s="8" t="inlineStr">
        <is>
          <t>2026-08-06</t>
        </is>
      </c>
      <c r="B27790" s="8" t="n">
        <v>0</v>
      </c>
      <c r="C27790" s="8" t="n">
        <v>1</v>
      </c>
      <c r="D27790" s="8" t="inlineStr">
        <is>
          <t>Disneyland Park</t>
        </is>
      </c>
      <c r="E27790" s="8" t="inlineStr">
        <is>
          <t>Mickey’s PhilharMagic</t>
        </is>
      </c>
      <c r="F27790" s="8" t="inlineStr">
        <is>
          <t>STANDBY</t>
        </is>
      </c>
      <c r="G27790" s="8" t="n">
        <v>0</v>
      </c>
      <c r="H27790" s="8" t="inlineStr">
        <is>
          <t>CLOSED</t>
        </is>
      </c>
    </row>
    <row r="27791">
      <c r="A27791" s="8" t="inlineStr">
        <is>
          <t>2026-08-06</t>
        </is>
      </c>
      <c r="B27791" s="8" t="n">
        <v>0</v>
      </c>
      <c r="C27791" s="8" t="n">
        <v>1</v>
      </c>
      <c r="D27791" s="8" t="inlineStr">
        <is>
          <t>Disneyland Park</t>
        </is>
      </c>
      <c r="E27791" s="8" t="inlineStr">
        <is>
          <t>Orbitron®</t>
        </is>
      </c>
      <c r="F27791" s="8" t="inlineStr">
        <is>
          <t>STANDBY</t>
        </is>
      </c>
      <c r="G27791" s="8" t="n">
        <v>0</v>
      </c>
      <c r="H27791" s="8" t="inlineStr">
        <is>
          <t>CLOSED</t>
        </is>
      </c>
    </row>
    <row r="27792">
      <c r="A27792" s="8" t="inlineStr">
        <is>
          <t>2026-08-06</t>
        </is>
      </c>
      <c r="B27792" s="8" t="n">
        <v>0</v>
      </c>
      <c r="C27792" s="8" t="n">
        <v>1</v>
      </c>
      <c r="D27792" s="8" t="inlineStr">
        <is>
          <t>Disneyland Park</t>
        </is>
      </c>
      <c r="E27792" s="8" t="inlineStr">
        <is>
          <t>Star Tours: The Adventures Continue*</t>
        </is>
      </c>
      <c r="F27792" s="8" t="inlineStr">
        <is>
          <t>STANDBY</t>
        </is>
      </c>
      <c r="G27792" s="8" t="n">
        <v>0</v>
      </c>
      <c r="H27792" s="8" t="inlineStr">
        <is>
          <t>CLOSED</t>
        </is>
      </c>
    </row>
    <row r="27793">
      <c r="A27793" s="8" t="inlineStr">
        <is>
          <t>2026-08-06</t>
        </is>
      </c>
      <c r="B27793" s="8" t="n">
        <v>0</v>
      </c>
      <c r="C27793" s="8" t="n">
        <v>1</v>
      </c>
      <c r="D27793" s="8" t="inlineStr">
        <is>
          <t>Disneyland Park</t>
        </is>
      </c>
      <c r="E27793" s="8" t="inlineStr">
        <is>
          <t>Star Wars Hyperspace Mountain</t>
        </is>
      </c>
      <c r="F27793" s="8" t="inlineStr">
        <is>
          <t>STANDBY</t>
        </is>
      </c>
      <c r="G27793" s="8" t="n">
        <v>0</v>
      </c>
      <c r="H27793" s="8" t="inlineStr">
        <is>
          <t>CLOSED</t>
        </is>
      </c>
    </row>
    <row r="27794">
      <c r="A27794" s="8" t="inlineStr">
        <is>
          <t>2026-08-06</t>
        </is>
      </c>
      <c r="B27794" s="8" t="n">
        <v>0</v>
      </c>
      <c r="C27794" s="8" t="n">
        <v>1</v>
      </c>
      <c r="D27794" s="8" t="inlineStr">
        <is>
          <t>Disneyland Park</t>
        </is>
      </c>
      <c r="E27794" s="8" t="inlineStr">
        <is>
          <t>Star Wars Hyperspace Mountain Single Rider</t>
        </is>
      </c>
      <c r="F27794" s="8" t="inlineStr">
        <is>
          <t>STANDBY</t>
        </is>
      </c>
      <c r="G27794" s="8" t="n">
        <v>0</v>
      </c>
      <c r="H27794" s="8" t="inlineStr">
        <is>
          <t>CLOSED</t>
        </is>
      </c>
    </row>
    <row r="27795">
      <c r="A27795" s="8" t="inlineStr">
        <is>
          <t>2026-08-06</t>
        </is>
      </c>
      <c r="B27795" s="8" t="n">
        <v>0</v>
      </c>
      <c r="C27795" s="8" t="n">
        <v>1</v>
      </c>
      <c r="D27795" s="8" t="inlineStr">
        <is>
          <t>Disneyland Park</t>
        </is>
      </c>
      <c r="E27795" s="8" t="inlineStr">
        <is>
          <t>Welcome to Starport: A Star Wars Encounter</t>
        </is>
      </c>
      <c r="F27795" s="8" t="inlineStr">
        <is>
          <t>STANDBY</t>
        </is>
      </c>
      <c r="G27795" s="8" t="n">
        <v>0</v>
      </c>
      <c r="H27795" s="8" t="inlineStr">
        <is>
          <t>CLOSED</t>
        </is>
      </c>
    </row>
    <row r="27796">
      <c r="A27796" s="8" t="inlineStr">
        <is>
          <t>2026-08-06</t>
        </is>
      </c>
      <c r="B27796" s="8" t="n">
        <v>0</v>
      </c>
      <c r="C27796" s="8" t="n">
        <v>1</v>
      </c>
      <c r="D27796" s="8" t="inlineStr">
        <is>
          <t>Disneyland Park</t>
        </is>
      </c>
      <c r="E27796" s="8" t="inlineStr">
        <is>
          <t>"it's a small world"</t>
        </is>
      </c>
      <c r="F27796" s="8" t="inlineStr">
        <is>
          <t>STANDBY</t>
        </is>
      </c>
      <c r="G27796" s="8" t="n">
        <v>0</v>
      </c>
      <c r="H27796" s="8" t="inlineStr">
        <is>
          <t>CLOSED</t>
        </is>
      </c>
    </row>
    <row r="27797">
      <c r="A27797" s="8" t="inlineStr">
        <is>
          <t>2026-08-06</t>
        </is>
      </c>
      <c r="B27797" s="8" t="n">
        <v>0</v>
      </c>
      <c r="C27797" s="8" t="n">
        <v>1</v>
      </c>
      <c r="D27797" s="8" t="inlineStr">
        <is>
          <t>Disneyland Park</t>
        </is>
      </c>
      <c r="E27797" s="8" t="inlineStr">
        <is>
          <t>Alice's Curious Labyrinth</t>
        </is>
      </c>
      <c r="F27797" s="8" t="inlineStr">
        <is>
          <t>STANDBY</t>
        </is>
      </c>
      <c r="G27797" s="8" t="n">
        <v>0</v>
      </c>
      <c r="H27797" s="8" t="inlineStr">
        <is>
          <t>CLOSED</t>
        </is>
      </c>
    </row>
    <row r="27798">
      <c r="A27798" s="8" t="inlineStr">
        <is>
          <t>2026-08-06</t>
        </is>
      </c>
      <c r="B27798" s="8" t="n">
        <v>0</v>
      </c>
      <c r="C27798" s="8" t="n">
        <v>1</v>
      </c>
      <c r="D27798" s="8" t="inlineStr">
        <is>
          <t>Disneyland Park</t>
        </is>
      </c>
      <c r="E27798" s="8" t="inlineStr">
        <is>
          <t>Blanche-Neige et les Sept Nains®</t>
        </is>
      </c>
      <c r="F27798" s="8" t="inlineStr">
        <is>
          <t>STANDBY</t>
        </is>
      </c>
      <c r="G27798" s="8" t="n">
        <v>0</v>
      </c>
      <c r="H27798" s="8" t="inlineStr">
        <is>
          <t>CLOSED</t>
        </is>
      </c>
    </row>
    <row r="27799">
      <c r="A27799" s="8" t="inlineStr">
        <is>
          <t>2026-08-06</t>
        </is>
      </c>
      <c r="B27799" s="8" t="n">
        <v>0</v>
      </c>
      <c r="C27799" s="8" t="n">
        <v>1</v>
      </c>
      <c r="D27799" s="8" t="inlineStr">
        <is>
          <t>Disneyland Park</t>
        </is>
      </c>
      <c r="E27799" s="8" t="inlineStr">
        <is>
          <t>Casey Jr. – le Petit Train du Cirque</t>
        </is>
      </c>
      <c r="F27799" s="8" t="inlineStr">
        <is>
          <t>STANDBY</t>
        </is>
      </c>
      <c r="G27799" s="8" t="n">
        <v>0</v>
      </c>
      <c r="H27799" s="8" t="inlineStr">
        <is>
          <t>CLOSED</t>
        </is>
      </c>
    </row>
    <row r="27800">
      <c r="A27800" s="8" t="inlineStr">
        <is>
          <t>2026-08-06</t>
        </is>
      </c>
      <c r="B27800" s="8" t="n">
        <v>0</v>
      </c>
      <c r="C27800" s="8" t="n">
        <v>1</v>
      </c>
      <c r="D27800" s="8" t="inlineStr">
        <is>
          <t>Disneyland Park</t>
        </is>
      </c>
      <c r="E27800" s="8" t="inlineStr">
        <is>
          <t>Disneyland Railroad Fantasyland Station</t>
        </is>
      </c>
      <c r="F27800" s="8" t="inlineStr">
        <is>
          <t>STANDBY</t>
        </is>
      </c>
      <c r="G27800" s="8" t="n">
        <v>0</v>
      </c>
      <c r="H27800" s="8" t="inlineStr">
        <is>
          <t>CLOSED</t>
        </is>
      </c>
    </row>
    <row r="27801">
      <c r="A27801" s="8" t="inlineStr">
        <is>
          <t>2026-08-06</t>
        </is>
      </c>
      <c r="B27801" s="8" t="n">
        <v>0</v>
      </c>
      <c r="C27801" s="8" t="n">
        <v>1</v>
      </c>
      <c r="D27801" s="8" t="inlineStr">
        <is>
          <t>Disneyland Park</t>
        </is>
      </c>
      <c r="E27801" s="8" t="inlineStr">
        <is>
          <t>Disneyland Railroad Main Street Station</t>
        </is>
      </c>
      <c r="F27801" s="8" t="inlineStr">
        <is>
          <t>STANDBY</t>
        </is>
      </c>
      <c r="G27801" s="8" t="n">
        <v>0</v>
      </c>
      <c r="H27801" s="8" t="inlineStr">
        <is>
          <t>CLOSED</t>
        </is>
      </c>
    </row>
    <row r="27802">
      <c r="A27802" s="8" t="inlineStr">
        <is>
          <t>2026-08-06</t>
        </is>
      </c>
      <c r="B27802" s="8" t="n">
        <v>0</v>
      </c>
      <c r="C27802" s="8" t="n">
        <v>1</v>
      </c>
      <c r="D27802" s="8" t="inlineStr">
        <is>
          <t>Disneyland Park</t>
        </is>
      </c>
      <c r="E27802" s="8" t="inlineStr">
        <is>
          <t>Dumbo the Flying Elephant</t>
        </is>
      </c>
      <c r="F27802" s="8" t="inlineStr">
        <is>
          <t>STANDBY</t>
        </is>
      </c>
      <c r="G27802" s="8" t="n">
        <v>0</v>
      </c>
      <c r="H27802" s="8" t="inlineStr">
        <is>
          <t>CLOSED</t>
        </is>
      </c>
    </row>
    <row r="27803">
      <c r="A27803" s="8" t="inlineStr">
        <is>
          <t>2026-08-06</t>
        </is>
      </c>
      <c r="B27803" s="8" t="n">
        <v>0</v>
      </c>
      <c r="C27803" s="8" t="n">
        <v>1</v>
      </c>
      <c r="D27803" s="8" t="inlineStr">
        <is>
          <t>Disneyland Park</t>
        </is>
      </c>
      <c r="E27803" s="8" t="inlineStr">
        <is>
          <t>La Tanière du Dragon</t>
        </is>
      </c>
      <c r="F27803" s="8" t="inlineStr">
        <is>
          <t>STANDBY</t>
        </is>
      </c>
      <c r="G27803" s="8" t="n">
        <v>0</v>
      </c>
      <c r="H27803" s="8" t="inlineStr">
        <is>
          <t>CLOSED</t>
        </is>
      </c>
    </row>
    <row r="27804">
      <c r="A27804" s="8" t="inlineStr">
        <is>
          <t>2026-08-06</t>
        </is>
      </c>
      <c r="B27804" s="8" t="n">
        <v>0</v>
      </c>
      <c r="C27804" s="8" t="n">
        <v>1</v>
      </c>
      <c r="D27804" s="8" t="inlineStr">
        <is>
          <t>Disneyland Park</t>
        </is>
      </c>
      <c r="E27804" s="8" t="inlineStr">
        <is>
          <t>Le Carrousel de Lancelot</t>
        </is>
      </c>
      <c r="F27804" s="8" t="inlineStr">
        <is>
          <t>STANDBY</t>
        </is>
      </c>
      <c r="G27804" s="8" t="n">
        <v>0</v>
      </c>
      <c r="H27804" s="8" t="inlineStr">
        <is>
          <t>CLOSED</t>
        </is>
      </c>
    </row>
    <row r="27805">
      <c r="A27805" s="8" t="inlineStr">
        <is>
          <t>2026-08-06</t>
        </is>
      </c>
      <c r="B27805" s="8" t="n">
        <v>0</v>
      </c>
      <c r="C27805" s="8" t="n">
        <v>1</v>
      </c>
      <c r="D27805" s="8" t="inlineStr">
        <is>
          <t>Disneyland Park</t>
        </is>
      </c>
      <c r="E27805" s="8" t="inlineStr">
        <is>
          <t>Le Pays des Contes de Fées, presented by Vittel</t>
        </is>
      </c>
      <c r="F27805" s="8" t="inlineStr">
        <is>
          <t>STANDBY</t>
        </is>
      </c>
      <c r="G27805" s="8" t="n">
        <v>0</v>
      </c>
      <c r="H27805" s="8" t="inlineStr">
        <is>
          <t>CLOSED</t>
        </is>
      </c>
    </row>
    <row r="27806">
      <c r="A27806" s="8" t="inlineStr">
        <is>
          <t>2026-08-06</t>
        </is>
      </c>
      <c r="B27806" s="8" t="n">
        <v>0</v>
      </c>
      <c r="C27806" s="8" t="n">
        <v>1</v>
      </c>
      <c r="D27806" s="8" t="inlineStr">
        <is>
          <t>Disneyland Park</t>
        </is>
      </c>
      <c r="E27806" s="8" t="inlineStr">
        <is>
          <t>Les Voyages de Pinocchio</t>
        </is>
      </c>
      <c r="F27806" s="8" t="inlineStr">
        <is>
          <t>STANDBY</t>
        </is>
      </c>
      <c r="G27806" s="8" t="n">
        <v>0</v>
      </c>
      <c r="H27806" s="8" t="inlineStr">
        <is>
          <t>CLOSED</t>
        </is>
      </c>
    </row>
    <row r="27807">
      <c r="A27807" s="8" t="inlineStr">
        <is>
          <t>2026-08-06</t>
        </is>
      </c>
      <c r="B27807" s="8" t="n">
        <v>0</v>
      </c>
      <c r="C27807" s="8" t="n">
        <v>1</v>
      </c>
      <c r="D27807" s="8" t="inlineStr">
        <is>
          <t>Disneyland Park</t>
        </is>
      </c>
      <c r="E27807" s="8" t="inlineStr">
        <is>
          <t>Mad Hatter's Tea Cups</t>
        </is>
      </c>
      <c r="F27807" s="8" t="inlineStr">
        <is>
          <t>STANDBY</t>
        </is>
      </c>
      <c r="G27807" s="8" t="n">
        <v>0</v>
      </c>
      <c r="H27807" s="8" t="inlineStr">
        <is>
          <t>CLOSED</t>
        </is>
      </c>
    </row>
    <row r="27808">
      <c r="A27808" s="8" t="inlineStr">
        <is>
          <t>2026-08-06</t>
        </is>
      </c>
      <c r="B27808" s="8" t="n">
        <v>0</v>
      </c>
      <c r="C27808" s="8" t="n">
        <v>1</v>
      </c>
      <c r="D27808" s="8" t="inlineStr">
        <is>
          <t>Disneyland Park</t>
        </is>
      </c>
      <c r="E27808" s="8" t="inlineStr">
        <is>
          <t>Meet Mickey Mouse</t>
        </is>
      </c>
      <c r="F27808" s="8" t="inlineStr">
        <is>
          <t>STANDBY</t>
        </is>
      </c>
      <c r="G27808" s="8" t="n">
        <v>0</v>
      </c>
      <c r="H27808" s="8" t="inlineStr">
        <is>
          <t>CLOSED</t>
        </is>
      </c>
    </row>
    <row r="27809">
      <c r="A27809" s="8" t="inlineStr">
        <is>
          <t>2026-08-06</t>
        </is>
      </c>
      <c r="B27809" s="8" t="n">
        <v>0</v>
      </c>
      <c r="C27809" s="8" t="n">
        <v>1</v>
      </c>
      <c r="D27809" s="8" t="inlineStr">
        <is>
          <t>Disneyland Park</t>
        </is>
      </c>
      <c r="E27809" s="8" t="inlineStr">
        <is>
          <t>Peter Pan's Flight</t>
        </is>
      </c>
      <c r="F27809" s="8" t="inlineStr">
        <is>
          <t>STANDBY</t>
        </is>
      </c>
      <c r="G27809" s="8" t="n">
        <v>0</v>
      </c>
      <c r="H27809" s="8" t="inlineStr">
        <is>
          <t>CLOSED</t>
        </is>
      </c>
    </row>
    <row r="27810">
      <c r="A27810" s="8" t="inlineStr">
        <is>
          <t>2026-08-06</t>
        </is>
      </c>
      <c r="B27810" s="8" t="n">
        <v>0</v>
      </c>
      <c r="C27810" s="8" t="n">
        <v>1</v>
      </c>
      <c r="D27810" s="8" t="inlineStr">
        <is>
          <t>Disneyland Park</t>
        </is>
      </c>
      <c r="E27810" s="8" t="inlineStr">
        <is>
          <t>Princess Pavilion</t>
        </is>
      </c>
      <c r="F27810" s="8" t="inlineStr">
        <is>
          <t>STANDBY</t>
        </is>
      </c>
      <c r="G27810" s="8" t="n">
        <v>0</v>
      </c>
      <c r="H27810" s="8" t="inlineStr">
        <is>
          <t>CLOSED</t>
        </is>
      </c>
    </row>
    <row r="27811">
      <c r="A27811" s="8" t="inlineStr">
        <is>
          <t>2026-08-06</t>
        </is>
      </c>
      <c r="B27811" s="8" t="n">
        <v>0</v>
      </c>
      <c r="C27811" s="8" t="n">
        <v>1</v>
      </c>
      <c r="D27811" s="8" t="inlineStr">
        <is>
          <t>Disneyland Park</t>
        </is>
      </c>
      <c r="E27811" s="8" t="inlineStr">
        <is>
          <t>Big Thunder Mountain</t>
        </is>
      </c>
      <c r="F27811" s="8" t="inlineStr">
        <is>
          <t>STANDBY</t>
        </is>
      </c>
      <c r="G27811" s="8" t="n">
        <v>0</v>
      </c>
      <c r="H27811" s="8" t="inlineStr">
        <is>
          <t>CLOSED</t>
        </is>
      </c>
    </row>
    <row r="27812">
      <c r="A27812" s="8" t="inlineStr">
        <is>
          <t>2026-08-06</t>
        </is>
      </c>
      <c r="B27812" s="8" t="n">
        <v>0</v>
      </c>
      <c r="C27812" s="8" t="n">
        <v>1</v>
      </c>
      <c r="D27812" s="8" t="inlineStr">
        <is>
          <t>Disneyland Park</t>
        </is>
      </c>
      <c r="E27812" s="8" t="inlineStr">
        <is>
          <t>Disneyland Railroad Frontierland Depot</t>
        </is>
      </c>
      <c r="F27812" s="8" t="inlineStr">
        <is>
          <t>STANDBY</t>
        </is>
      </c>
      <c r="G27812" s="8" t="n">
        <v>0</v>
      </c>
      <c r="H27812" s="8" t="inlineStr">
        <is>
          <t>CLOSED</t>
        </is>
      </c>
    </row>
    <row r="27813">
      <c r="A27813" s="8" t="inlineStr">
        <is>
          <t>2026-08-06</t>
        </is>
      </c>
      <c r="B27813" s="8" t="n">
        <v>0</v>
      </c>
      <c r="C27813" s="8" t="n">
        <v>1</v>
      </c>
      <c r="D27813" s="8" t="inlineStr">
        <is>
          <t>Disneyland Park</t>
        </is>
      </c>
      <c r="E27813" s="8" t="inlineStr">
        <is>
          <t>Frontierland Playground</t>
        </is>
      </c>
      <c r="F27813" s="8" t="inlineStr">
        <is>
          <t>STANDBY</t>
        </is>
      </c>
      <c r="G27813" s="8" t="n">
        <v>0</v>
      </c>
      <c r="H27813" s="8" t="inlineStr">
        <is>
          <t>CLOSED</t>
        </is>
      </c>
    </row>
    <row r="27814">
      <c r="A27814" s="8" t="inlineStr">
        <is>
          <t>2026-08-06</t>
        </is>
      </c>
      <c r="B27814" s="8" t="n">
        <v>0</v>
      </c>
      <c r="C27814" s="8" t="n">
        <v>1</v>
      </c>
      <c r="D27814" s="8" t="inlineStr">
        <is>
          <t>Disneyland Park</t>
        </is>
      </c>
      <c r="E27814" s="8" t="inlineStr">
        <is>
          <t>Phantom Manor</t>
        </is>
      </c>
      <c r="F27814" s="8" t="inlineStr">
        <is>
          <t>STANDBY</t>
        </is>
      </c>
      <c r="G27814" s="8" t="n">
        <v>0</v>
      </c>
      <c r="H27814" s="8" t="inlineStr">
        <is>
          <t>CLOSED</t>
        </is>
      </c>
    </row>
    <row r="27815">
      <c r="A27815" s="8" t="inlineStr">
        <is>
          <t>2026-08-06</t>
        </is>
      </c>
      <c r="B27815" s="8" t="n">
        <v>0</v>
      </c>
      <c r="C27815" s="8" t="n">
        <v>1</v>
      </c>
      <c r="D27815" s="8" t="inlineStr">
        <is>
          <t>Disneyland Park</t>
        </is>
      </c>
      <c r="E27815" s="8" t="inlineStr">
        <is>
          <t>River Rogue Keelboats</t>
        </is>
      </c>
      <c r="F27815" s="8" t="inlineStr">
        <is>
          <t>STANDBY</t>
        </is>
      </c>
      <c r="G27815" s="8" t="n">
        <v>0</v>
      </c>
      <c r="H27815" s="8" t="inlineStr">
        <is>
          <t>CLOSED</t>
        </is>
      </c>
    </row>
    <row r="27816">
      <c r="A27816" s="8" t="inlineStr">
        <is>
          <t>2026-08-06</t>
        </is>
      </c>
      <c r="B27816" s="8" t="n">
        <v>0</v>
      </c>
      <c r="C27816" s="8" t="n">
        <v>1</v>
      </c>
      <c r="D27816" s="8" t="inlineStr">
        <is>
          <t>Disneyland Park</t>
        </is>
      </c>
      <c r="E27816" s="8" t="inlineStr">
        <is>
          <t>Rustler Roundup Shootin' Gallery</t>
        </is>
      </c>
      <c r="F27816" s="8" t="inlineStr">
        <is>
          <t>STANDBY</t>
        </is>
      </c>
      <c r="G27816" s="8" t="n">
        <v>0</v>
      </c>
      <c r="H27816" s="8" t="inlineStr">
        <is>
          <t>CLOSED</t>
        </is>
      </c>
    </row>
    <row r="27817">
      <c r="A27817" s="8" t="inlineStr">
        <is>
          <t>2026-08-06</t>
        </is>
      </c>
      <c r="B27817" s="8" t="n">
        <v>0</v>
      </c>
      <c r="C27817" s="8" t="n">
        <v>1</v>
      </c>
      <c r="D27817" s="8" t="inlineStr">
        <is>
          <t>Disneyland Park</t>
        </is>
      </c>
      <c r="E27817" s="8" t="inlineStr">
        <is>
          <t>Thunder Mesa Riverboat Landing</t>
        </is>
      </c>
      <c r="F27817" s="8" t="inlineStr">
        <is>
          <t>STANDBY</t>
        </is>
      </c>
      <c r="G27817" s="8" t="n">
        <v>0</v>
      </c>
      <c r="H27817" s="8" t="inlineStr">
        <is>
          <t>CLOSED</t>
        </is>
      </c>
    </row>
    <row r="27818">
      <c r="A27818" s="8" t="inlineStr">
        <is>
          <t>2026-08-06</t>
        </is>
      </c>
      <c r="B27818" s="8" t="n">
        <v>0</v>
      </c>
      <c r="C27818" s="8" t="n">
        <v>1</v>
      </c>
      <c r="D27818" s="8" t="inlineStr">
        <is>
          <t>Disneyland Park</t>
        </is>
      </c>
      <c r="E27818" s="8" t="inlineStr">
        <is>
          <t>Disneyland Railroad Main Street Station</t>
        </is>
      </c>
      <c r="F27818" s="8" t="inlineStr">
        <is>
          <t>STANDBY</t>
        </is>
      </c>
      <c r="G27818" s="8" t="n">
        <v>0</v>
      </c>
      <c r="H27818" s="8" t="inlineStr">
        <is>
          <t>CLOSED</t>
        </is>
      </c>
    </row>
    <row r="27819">
      <c r="A27819" s="8" t="inlineStr">
        <is>
          <t>2026-08-06</t>
        </is>
      </c>
      <c r="B27819" s="8" t="n">
        <v>0</v>
      </c>
      <c r="C27819" s="8" t="n">
        <v>1</v>
      </c>
      <c r="D27819" s="8" t="inlineStr">
        <is>
          <t>Disneyland Park</t>
        </is>
      </c>
      <c r="E27819" s="8" t="inlineStr">
        <is>
          <t>Main Street Vehicles</t>
        </is>
      </c>
      <c r="F27819" s="8" t="inlineStr">
        <is>
          <t>STANDBY</t>
        </is>
      </c>
      <c r="G27819" s="8" t="n">
        <v>0</v>
      </c>
      <c r="H27819" s="8" t="inlineStr">
        <is>
          <t>CLOSED</t>
        </is>
      </c>
    </row>
    <row r="27820">
      <c r="A27820" s="8" t="inlineStr">
        <is>
          <t>2026-08-06</t>
        </is>
      </c>
      <c r="B27820" s="8" t="n">
        <v>0</v>
      </c>
      <c r="C27820" s="8" t="n">
        <v>1</v>
      </c>
      <c r="D27820" s="8" t="inlineStr">
        <is>
          <t>Disney Adventure World</t>
        </is>
      </c>
      <c r="E27820" s="8" t="inlineStr">
        <is>
          <t>Avengers Assemble: Flight Force</t>
        </is>
      </c>
      <c r="F27820" s="8" t="inlineStr">
        <is>
          <t>STANDBY</t>
        </is>
      </c>
      <c r="G27820" s="8" t="n">
        <v>0</v>
      </c>
      <c r="H27820" s="8" t="inlineStr">
        <is>
          <t>CLOSED</t>
        </is>
      </c>
    </row>
    <row r="27821">
      <c r="A27821" s="8" t="inlineStr">
        <is>
          <t>2026-08-06</t>
        </is>
      </c>
      <c r="B27821" s="8" t="n">
        <v>0</v>
      </c>
      <c r="C27821" s="8" t="n">
        <v>1</v>
      </c>
      <c r="D27821" s="8" t="inlineStr">
        <is>
          <t>Disney Adventure World</t>
        </is>
      </c>
      <c r="E27821" s="8" t="inlineStr">
        <is>
          <t>Avengers Assemble: Flight Force Single Rider</t>
        </is>
      </c>
      <c r="F27821" s="8" t="inlineStr">
        <is>
          <t>STANDBY</t>
        </is>
      </c>
      <c r="G27821" s="8" t="n">
        <v>0</v>
      </c>
      <c r="H27821" s="8" t="inlineStr">
        <is>
          <t>CLOSED</t>
        </is>
      </c>
    </row>
    <row r="27822">
      <c r="A27822" s="8" t="inlineStr">
        <is>
          <t>2026-08-06</t>
        </is>
      </c>
      <c r="B27822" s="8" t="n">
        <v>0</v>
      </c>
      <c r="C27822" s="8" t="n">
        <v>1</v>
      </c>
      <c r="D27822" s="8" t="inlineStr">
        <is>
          <t>Disney Adventure World</t>
        </is>
      </c>
      <c r="E27822" s="8" t="inlineStr">
        <is>
          <t>Spider-Man W.E.B. Adventure</t>
        </is>
      </c>
      <c r="F27822" s="8" t="inlineStr">
        <is>
          <t>STANDBY</t>
        </is>
      </c>
      <c r="G27822" s="8" t="n">
        <v>0</v>
      </c>
      <c r="H27822" s="8" t="inlineStr">
        <is>
          <t>CLOSED</t>
        </is>
      </c>
    </row>
    <row r="27823">
      <c r="A27823" s="8" t="inlineStr">
        <is>
          <t>2026-08-06</t>
        </is>
      </c>
      <c r="B27823" s="8" t="n">
        <v>0</v>
      </c>
      <c r="C27823" s="8" t="n">
        <v>1</v>
      </c>
      <c r="D27823" s="8" t="inlineStr">
        <is>
          <t>Disney Adventure World</t>
        </is>
      </c>
      <c r="E27823" s="8" t="inlineStr">
        <is>
          <t>Spider-Man W.E.B. Adventure Single Rider</t>
        </is>
      </c>
      <c r="F27823" s="8" t="inlineStr">
        <is>
          <t>STANDBY</t>
        </is>
      </c>
      <c r="G27823" s="8" t="n">
        <v>0</v>
      </c>
      <c r="H27823" s="8" t="inlineStr">
        <is>
          <t>CLOSED</t>
        </is>
      </c>
    </row>
    <row r="27824">
      <c r="A27824" s="8" t="inlineStr">
        <is>
          <t>2026-08-06</t>
        </is>
      </c>
      <c r="B27824" s="8" t="n">
        <v>0</v>
      </c>
      <c r="C27824" s="8" t="n">
        <v>1</v>
      </c>
      <c r="D27824" s="8" t="inlineStr">
        <is>
          <t>Disney Adventure World</t>
        </is>
      </c>
      <c r="E27824" s="8" t="inlineStr">
        <is>
          <t>The Twilight Zone Tower of Terror</t>
        </is>
      </c>
      <c r="F27824" s="8" t="inlineStr">
        <is>
          <t>STANDBY</t>
        </is>
      </c>
      <c r="G27824" s="8" t="n">
        <v>0</v>
      </c>
      <c r="H27824" s="8" t="inlineStr">
        <is>
          <t>CLOSED</t>
        </is>
      </c>
    </row>
    <row r="27825">
      <c r="A27825" s="8" t="inlineStr">
        <is>
          <t>2026-08-06</t>
        </is>
      </c>
      <c r="B27825" s="8" t="n">
        <v>0</v>
      </c>
      <c r="C27825" s="8" t="n">
        <v>1</v>
      </c>
      <c r="D27825" s="8" t="inlineStr">
        <is>
          <t>Disney Adventure World</t>
        </is>
      </c>
      <c r="E27825" s="8" t="inlineStr">
        <is>
          <t>Cars Quatre Roues Rallye</t>
        </is>
      </c>
      <c r="F27825" s="8" t="inlineStr">
        <is>
          <t>STANDBY</t>
        </is>
      </c>
      <c r="G27825" s="8" t="n">
        <v>0</v>
      </c>
      <c r="H27825" s="8" t="inlineStr">
        <is>
          <t>CLOSED</t>
        </is>
      </c>
    </row>
    <row r="27826">
      <c r="A27826" s="8" t="inlineStr">
        <is>
          <t>2026-08-06</t>
        </is>
      </c>
      <c r="B27826" s="8" t="n">
        <v>0</v>
      </c>
      <c r="C27826" s="8" t="n">
        <v>1</v>
      </c>
      <c r="D27826" s="8" t="inlineStr">
        <is>
          <t>Disney Adventure World</t>
        </is>
      </c>
      <c r="E27826" s="8" t="inlineStr">
        <is>
          <t>Cars ROAD TRIP</t>
        </is>
      </c>
      <c r="F27826" s="8" t="inlineStr">
        <is>
          <t>STANDBY</t>
        </is>
      </c>
      <c r="G27826" s="8" t="n">
        <v>0</v>
      </c>
      <c r="H27826" s="8" t="inlineStr">
        <is>
          <t>CLOSED</t>
        </is>
      </c>
    </row>
    <row r="27827">
      <c r="A27827" s="8" t="inlineStr">
        <is>
          <t>2026-08-06</t>
        </is>
      </c>
      <c r="B27827" s="8" t="n">
        <v>0</v>
      </c>
      <c r="C27827" s="8" t="n">
        <v>1</v>
      </c>
      <c r="D27827" s="8" t="inlineStr">
        <is>
          <t>Disney Adventure World</t>
        </is>
      </c>
      <c r="E27827" s="8" t="inlineStr">
        <is>
          <t>Crush's Coaster</t>
        </is>
      </c>
      <c r="F27827" s="8" t="inlineStr">
        <is>
          <t>STANDBY</t>
        </is>
      </c>
      <c r="G27827" s="8" t="n">
        <v>0</v>
      </c>
      <c r="H27827" s="8" t="inlineStr">
        <is>
          <t>CLOSED</t>
        </is>
      </c>
    </row>
    <row r="27828">
      <c r="A27828" s="8" t="inlineStr">
        <is>
          <t>2026-08-06</t>
        </is>
      </c>
      <c r="B27828" s="8" t="n">
        <v>0</v>
      </c>
      <c r="C27828" s="8" t="n">
        <v>1</v>
      </c>
      <c r="D27828" s="8" t="inlineStr">
        <is>
          <t>Disney Adventure World</t>
        </is>
      </c>
      <c r="E27828" s="8" t="inlineStr">
        <is>
          <t>Crush's Coaster Single Rider</t>
        </is>
      </c>
      <c r="F27828" s="8" t="inlineStr">
        <is>
          <t>STANDBY</t>
        </is>
      </c>
      <c r="G27828" s="8" t="n">
        <v>0</v>
      </c>
      <c r="H27828" s="8" t="inlineStr">
        <is>
          <t>CLOSED</t>
        </is>
      </c>
    </row>
    <row r="27829">
      <c r="A27829" s="8" t="inlineStr">
        <is>
          <t>2026-08-06</t>
        </is>
      </c>
      <c r="B27829" s="8" t="n">
        <v>0</v>
      </c>
      <c r="C27829" s="8" t="n">
        <v>1</v>
      </c>
      <c r="D27829" s="8" t="inlineStr">
        <is>
          <t>Disney Adventure World</t>
        </is>
      </c>
      <c r="E27829" s="8" t="inlineStr">
        <is>
          <t>Les Tapis Volants - Flying Carpets Over Agrabah®</t>
        </is>
      </c>
      <c r="F27829" s="8" t="inlineStr">
        <is>
          <t>STANDBY</t>
        </is>
      </c>
      <c r="G27829" s="8" t="n">
        <v>0</v>
      </c>
      <c r="H27829" s="8" t="inlineStr">
        <is>
          <t>CLOSED</t>
        </is>
      </c>
    </row>
    <row r="27830">
      <c r="A27830" s="8" t="inlineStr">
        <is>
          <t>2026-08-06</t>
        </is>
      </c>
      <c r="B27830" s="8" t="n">
        <v>0</v>
      </c>
      <c r="C27830" s="8" t="n">
        <v>1</v>
      </c>
      <c r="D27830" s="8" t="inlineStr">
        <is>
          <t>Disney Adventure World</t>
        </is>
      </c>
      <c r="E27830" s="8" t="inlineStr">
        <is>
          <t>Ratatouille : L’Aventure Totalement Toquée de Rémy​</t>
        </is>
      </c>
      <c r="F27830" s="8" t="inlineStr">
        <is>
          <t>STANDBY</t>
        </is>
      </c>
      <c r="G27830" s="8" t="n">
        <v>0</v>
      </c>
      <c r="H27830" s="8" t="inlineStr">
        <is>
          <t>CLOSED</t>
        </is>
      </c>
    </row>
    <row r="27831">
      <c r="A27831" s="8" t="inlineStr">
        <is>
          <t>2026-08-06</t>
        </is>
      </c>
      <c r="B27831" s="8" t="n">
        <v>0</v>
      </c>
      <c r="C27831" s="8" t="n">
        <v>1</v>
      </c>
      <c r="D27831" s="8" t="inlineStr">
        <is>
          <t>Disney Adventure World</t>
        </is>
      </c>
      <c r="E27831" s="8" t="inlineStr">
        <is>
          <t>Ratatouille: The Adventure Single Rider</t>
        </is>
      </c>
      <c r="F27831" s="8" t="inlineStr">
        <is>
          <t>STANDBY</t>
        </is>
      </c>
      <c r="G27831" s="8" t="n">
        <v>0</v>
      </c>
      <c r="H27831" s="8" t="inlineStr">
        <is>
          <t>CLOSED</t>
        </is>
      </c>
    </row>
    <row r="27832">
      <c r="A27832" s="8" t="inlineStr">
        <is>
          <t>2026-08-06</t>
        </is>
      </c>
      <c r="B27832" s="8" t="n">
        <v>0</v>
      </c>
      <c r="C27832" s="8" t="n">
        <v>1</v>
      </c>
      <c r="D27832" s="8" t="inlineStr">
        <is>
          <t>Disney Adventure World</t>
        </is>
      </c>
      <c r="E27832" s="8" t="inlineStr">
        <is>
          <t>RC Racer</t>
        </is>
      </c>
      <c r="F27832" s="8" t="inlineStr">
        <is>
          <t>STANDBY</t>
        </is>
      </c>
      <c r="G27832" s="8" t="n">
        <v>0</v>
      </c>
      <c r="H27832" s="8" t="inlineStr">
        <is>
          <t>CLOSED</t>
        </is>
      </c>
    </row>
    <row r="27833">
      <c r="A27833" s="8" t="inlineStr">
        <is>
          <t>2026-08-06</t>
        </is>
      </c>
      <c r="B27833" s="8" t="n">
        <v>0</v>
      </c>
      <c r="C27833" s="8" t="n">
        <v>1</v>
      </c>
      <c r="D27833" s="8" t="inlineStr">
        <is>
          <t>Disney Adventure World</t>
        </is>
      </c>
      <c r="E27833" s="8" t="inlineStr">
        <is>
          <t>RC Racer Single Rider</t>
        </is>
      </c>
      <c r="F27833" s="8" t="inlineStr">
        <is>
          <t>STANDBY</t>
        </is>
      </c>
      <c r="G27833" s="8" t="n">
        <v>0</v>
      </c>
      <c r="H27833" s="8" t="inlineStr">
        <is>
          <t>CLOSED</t>
        </is>
      </c>
    </row>
    <row r="27834">
      <c r="A27834" s="8" t="inlineStr">
        <is>
          <t>2026-08-06</t>
        </is>
      </c>
      <c r="B27834" s="8" t="n">
        <v>0</v>
      </c>
      <c r="C27834" s="8" t="n">
        <v>1</v>
      </c>
      <c r="D27834" s="8" t="inlineStr">
        <is>
          <t>Disney Adventure World</t>
        </is>
      </c>
      <c r="E27834" s="8" t="inlineStr">
        <is>
          <t>Slinky® Dog Zigzag Spin</t>
        </is>
      </c>
      <c r="F27834" s="8" t="inlineStr">
        <is>
          <t>STANDBY</t>
        </is>
      </c>
      <c r="G27834" s="8" t="n">
        <v>0</v>
      </c>
      <c r="H27834" s="8" t="inlineStr">
        <is>
          <t>CLOSED</t>
        </is>
      </c>
    </row>
    <row r="27835">
      <c r="A27835" s="8" t="inlineStr">
        <is>
          <t>2026-08-06</t>
        </is>
      </c>
      <c r="B27835" s="8" t="n">
        <v>0</v>
      </c>
      <c r="C27835" s="8" t="n">
        <v>1</v>
      </c>
      <c r="D27835" s="8" t="inlineStr">
        <is>
          <t>Disney Adventure World</t>
        </is>
      </c>
      <c r="E27835" s="8" t="inlineStr">
        <is>
          <t>Toy Soldiers Parachute Drop</t>
        </is>
      </c>
      <c r="F27835" s="8" t="inlineStr">
        <is>
          <t>STANDBY</t>
        </is>
      </c>
      <c r="G27835" s="8" t="n">
        <v>0</v>
      </c>
      <c r="H27835" s="8" t="inlineStr">
        <is>
          <t>CLOSED</t>
        </is>
      </c>
    </row>
    <row r="27836">
      <c r="A27836" s="8" t="inlineStr">
        <is>
          <t>2026-08-06</t>
        </is>
      </c>
      <c r="B27836" s="8" t="n">
        <v>0</v>
      </c>
      <c r="C27836" s="8" t="n">
        <v>1</v>
      </c>
      <c r="D27836" s="8" t="inlineStr">
        <is>
          <t>Disney Adventure World</t>
        </is>
      </c>
      <c r="E27836" s="8" t="inlineStr">
        <is>
          <t>Toy Soldiers Parachute Drop Single Rider</t>
        </is>
      </c>
      <c r="F27836" s="8" t="inlineStr">
        <is>
          <t>STANDBY</t>
        </is>
      </c>
      <c r="G27836" s="8" t="n">
        <v>0</v>
      </c>
      <c r="H27836" s="8" t="inlineStr">
        <is>
          <t>CLOSED</t>
        </is>
      </c>
    </row>
    <row r="27837">
      <c r="A27837" s="8" t="inlineStr">
        <is>
          <t>2026-08-06</t>
        </is>
      </c>
      <c r="B27837" s="8" t="n">
        <v>0</v>
      </c>
      <c r="C27837" s="8" t="n">
        <v>1</v>
      </c>
      <c r="D27837" s="8" t="inlineStr">
        <is>
          <t>Disney Adventure World</t>
        </is>
      </c>
      <c r="E27837" s="8" t="inlineStr">
        <is>
          <t>Entry to World of Frozen</t>
        </is>
      </c>
      <c r="F27837" s="8" t="inlineStr">
        <is>
          <t>STANDBY</t>
        </is>
      </c>
      <c r="G27837" s="8" t="n">
        <v>0</v>
      </c>
      <c r="H27837" s="8" t="inlineStr">
        <is>
          <t>CLOSED</t>
        </is>
      </c>
    </row>
    <row r="27838">
      <c r="A27838" s="8" t="inlineStr">
        <is>
          <t>2026-08-06</t>
        </is>
      </c>
      <c r="B27838" s="8" t="n">
        <v>0</v>
      </c>
      <c r="C27838" s="8" t="n">
        <v>1</v>
      </c>
      <c r="D27838" s="8" t="inlineStr">
        <is>
          <t>Disney Adventure World</t>
        </is>
      </c>
      <c r="E27838" s="8" t="inlineStr">
        <is>
          <t>Frozen Ever After</t>
        </is>
      </c>
      <c r="F27838" s="8" t="inlineStr">
        <is>
          <t>STANDBY</t>
        </is>
      </c>
      <c r="G27838" s="8" t="n">
        <v>0</v>
      </c>
      <c r="H27838" s="8" t="inlineStr">
        <is>
          <t>CLOSED</t>
        </is>
      </c>
    </row>
    <row r="27839">
      <c r="A27839" s="8" t="inlineStr">
        <is>
          <t>2026-08-06</t>
        </is>
      </c>
      <c r="B27839" s="8" t="n">
        <v>0</v>
      </c>
      <c r="C27839" s="8" t="n">
        <v>1</v>
      </c>
      <c r="D27839" s="8" t="inlineStr">
        <is>
          <t>Disney Adventure World</t>
        </is>
      </c>
      <c r="E27839" s="8" t="inlineStr">
        <is>
          <t>Raiponce Tangled Spin</t>
        </is>
      </c>
      <c r="F27839" s="8" t="inlineStr">
        <is>
          <t>STANDBY</t>
        </is>
      </c>
      <c r="G27839" s="8" t="n">
        <v>0</v>
      </c>
      <c r="H27839" s="8" t="inlineStr">
        <is>
          <t>CLOSED</t>
        </is>
      </c>
    </row>
    <row r="27840">
      <c r="A27840" s="8" t="inlineStr">
        <is>
          <t>2026-08-06</t>
        </is>
      </c>
      <c r="B27840" s="8" t="n">
        <v>0</v>
      </c>
      <c r="C27840" s="8" t="n">
        <v>15</v>
      </c>
      <c r="D27840" s="8" t="inlineStr">
        <is>
          <t>Disneyland Park</t>
        </is>
      </c>
      <c r="E27840" s="8" t="inlineStr">
        <is>
          <t>Adventure Isle</t>
        </is>
      </c>
      <c r="F27840" s="8" t="inlineStr">
        <is>
          <t>STANDBY</t>
        </is>
      </c>
      <c r="G27840" s="8" t="n">
        <v>0</v>
      </c>
      <c r="H27840" s="8" t="inlineStr">
        <is>
          <t>CLOSED</t>
        </is>
      </c>
    </row>
    <row r="27841">
      <c r="A27841" s="8" t="inlineStr">
        <is>
          <t>2026-08-06</t>
        </is>
      </c>
      <c r="B27841" s="8" t="n">
        <v>0</v>
      </c>
      <c r="C27841" s="8" t="n">
        <v>15</v>
      </c>
      <c r="D27841" s="8" t="inlineStr">
        <is>
          <t>Disneyland Park</t>
        </is>
      </c>
      <c r="E27841" s="8" t="inlineStr">
        <is>
          <t>Indiana Jones and the Temple of Peril Single Rider</t>
        </is>
      </c>
      <c r="F27841" s="8" t="inlineStr">
        <is>
          <t>STANDBY</t>
        </is>
      </c>
      <c r="G27841" s="8" t="n">
        <v>0</v>
      </c>
      <c r="H27841" s="8" t="inlineStr">
        <is>
          <t>CLOSED</t>
        </is>
      </c>
    </row>
    <row r="27842">
      <c r="A27842" s="8" t="inlineStr">
        <is>
          <t>2026-08-06</t>
        </is>
      </c>
      <c r="B27842" s="8" t="n">
        <v>0</v>
      </c>
      <c r="C27842" s="8" t="n">
        <v>15</v>
      </c>
      <c r="D27842" s="8" t="inlineStr">
        <is>
          <t>Disneyland Park</t>
        </is>
      </c>
      <c r="E27842" s="8" t="inlineStr">
        <is>
          <t>Indiana Jones™ and the Temple of Peril</t>
        </is>
      </c>
      <c r="F27842" s="8" t="inlineStr">
        <is>
          <t>STANDBY</t>
        </is>
      </c>
      <c r="G27842" s="8" t="n">
        <v>0</v>
      </c>
      <c r="H27842" s="8" t="inlineStr">
        <is>
          <t>CLOSED</t>
        </is>
      </c>
    </row>
    <row r="27843">
      <c r="A27843" s="8" t="inlineStr">
        <is>
          <t>2026-08-06</t>
        </is>
      </c>
      <c r="B27843" s="8" t="n">
        <v>0</v>
      </c>
      <c r="C27843" s="8" t="n">
        <v>15</v>
      </c>
      <c r="D27843" s="8" t="inlineStr">
        <is>
          <t>Disneyland Park</t>
        </is>
      </c>
      <c r="E27843" s="8" t="inlineStr">
        <is>
          <t>La Cabane des Robinson</t>
        </is>
      </c>
      <c r="F27843" s="8" t="inlineStr">
        <is>
          <t>STANDBY</t>
        </is>
      </c>
      <c r="G27843" s="8" t="n">
        <v>0</v>
      </c>
      <c r="H27843" s="8" t="inlineStr">
        <is>
          <t>CLOSED</t>
        </is>
      </c>
    </row>
    <row r="27844">
      <c r="A27844" s="8" t="inlineStr">
        <is>
          <t>2026-08-06</t>
        </is>
      </c>
      <c r="B27844" s="8" t="n">
        <v>0</v>
      </c>
      <c r="C27844" s="8" t="n">
        <v>15</v>
      </c>
      <c r="D27844" s="8" t="inlineStr">
        <is>
          <t>Disneyland Park</t>
        </is>
      </c>
      <c r="E27844" s="8" t="inlineStr">
        <is>
          <t>Le Passage Enchanté d'Aladdin</t>
        </is>
      </c>
      <c r="F27844" s="8" t="inlineStr">
        <is>
          <t>STANDBY</t>
        </is>
      </c>
      <c r="G27844" s="8" t="n">
        <v>0</v>
      </c>
      <c r="H27844" s="8" t="inlineStr">
        <is>
          <t>CLOSED</t>
        </is>
      </c>
    </row>
    <row r="27845">
      <c r="A27845" s="8" t="inlineStr">
        <is>
          <t>2026-08-06</t>
        </is>
      </c>
      <c r="B27845" s="8" t="n">
        <v>0</v>
      </c>
      <c r="C27845" s="8" t="n">
        <v>15</v>
      </c>
      <c r="D27845" s="8" t="inlineStr">
        <is>
          <t>Disneyland Park</t>
        </is>
      </c>
      <c r="E27845" s="8" t="inlineStr">
        <is>
          <t>Pirate Galleon</t>
        </is>
      </c>
      <c r="F27845" s="8" t="inlineStr">
        <is>
          <t>STANDBY</t>
        </is>
      </c>
      <c r="G27845" s="8" t="n">
        <v>0</v>
      </c>
      <c r="H27845" s="8" t="inlineStr">
        <is>
          <t>CLOSED</t>
        </is>
      </c>
    </row>
    <row r="27846">
      <c r="A27846" s="8" t="inlineStr">
        <is>
          <t>2026-08-06</t>
        </is>
      </c>
      <c r="B27846" s="8" t="n">
        <v>0</v>
      </c>
      <c r="C27846" s="8" t="n">
        <v>15</v>
      </c>
      <c r="D27846" s="8" t="inlineStr">
        <is>
          <t>Disneyland Park</t>
        </is>
      </c>
      <c r="E27846" s="8" t="inlineStr">
        <is>
          <t>Pirates of the Caribbean</t>
        </is>
      </c>
      <c r="F27846" s="8" t="inlineStr">
        <is>
          <t>STANDBY</t>
        </is>
      </c>
      <c r="G27846" s="8" t="n">
        <v>0</v>
      </c>
      <c r="H27846" s="8" t="inlineStr">
        <is>
          <t>CLOSED</t>
        </is>
      </c>
    </row>
    <row r="27847">
      <c r="A27847" s="8" t="inlineStr">
        <is>
          <t>2026-08-06</t>
        </is>
      </c>
      <c r="B27847" s="8" t="n">
        <v>0</v>
      </c>
      <c r="C27847" s="8" t="n">
        <v>15</v>
      </c>
      <c r="D27847" s="8" t="inlineStr">
        <is>
          <t>Disneyland Park</t>
        </is>
      </c>
      <c r="E27847" s="8" t="inlineStr">
        <is>
          <t>Pirates' Beach</t>
        </is>
      </c>
      <c r="F27847" s="8" t="inlineStr">
        <is>
          <t>STANDBY</t>
        </is>
      </c>
      <c r="G27847" s="8" t="n">
        <v>0</v>
      </c>
      <c r="H27847" s="8" t="inlineStr">
        <is>
          <t>CLOSED</t>
        </is>
      </c>
    </row>
    <row r="27848">
      <c r="A27848" s="8" t="inlineStr">
        <is>
          <t>2026-08-06</t>
        </is>
      </c>
      <c r="B27848" s="8" t="n">
        <v>0</v>
      </c>
      <c r="C27848" s="8" t="n">
        <v>15</v>
      </c>
      <c r="D27848" s="8" t="inlineStr">
        <is>
          <t>Disneyland Park</t>
        </is>
      </c>
      <c r="E27848" s="8" t="inlineStr">
        <is>
          <t>Autopia, presented by Avis</t>
        </is>
      </c>
      <c r="F27848" s="8" t="inlineStr">
        <is>
          <t>STANDBY</t>
        </is>
      </c>
      <c r="G27848" s="8" t="n">
        <v>0</v>
      </c>
      <c r="H27848" s="8" t="inlineStr">
        <is>
          <t>CLOSED</t>
        </is>
      </c>
    </row>
    <row r="27849">
      <c r="A27849" s="8" t="inlineStr">
        <is>
          <t>2026-08-06</t>
        </is>
      </c>
      <c r="B27849" s="8" t="n">
        <v>0</v>
      </c>
      <c r="C27849" s="8" t="n">
        <v>15</v>
      </c>
      <c r="D27849" s="8" t="inlineStr">
        <is>
          <t>Disneyland Park</t>
        </is>
      </c>
      <c r="E27849" s="8" t="inlineStr">
        <is>
          <t>Buzz Lightyear Laser Blast</t>
        </is>
      </c>
      <c r="F27849" s="8" t="inlineStr">
        <is>
          <t>STANDBY</t>
        </is>
      </c>
      <c r="G27849" s="8" t="n">
        <v>0</v>
      </c>
      <c r="H27849" s="8" t="inlineStr">
        <is>
          <t>CLOSED</t>
        </is>
      </c>
    </row>
    <row r="27850">
      <c r="A27850" s="8" t="inlineStr">
        <is>
          <t>2026-08-06</t>
        </is>
      </c>
      <c r="B27850" s="8" t="n">
        <v>0</v>
      </c>
      <c r="C27850" s="8" t="n">
        <v>15</v>
      </c>
      <c r="D27850" s="8" t="inlineStr">
        <is>
          <t>Disneyland Park</t>
        </is>
      </c>
      <c r="E27850" s="8" t="inlineStr">
        <is>
          <t>Disneyland Railroad Discoveryland Station</t>
        </is>
      </c>
      <c r="F27850" s="8" t="inlineStr">
        <is>
          <t>STANDBY</t>
        </is>
      </c>
      <c r="G27850" s="8" t="n">
        <v>0</v>
      </c>
      <c r="H27850" s="8" t="inlineStr">
        <is>
          <t>CLOSED</t>
        </is>
      </c>
    </row>
    <row r="27851">
      <c r="A27851" s="8" t="inlineStr">
        <is>
          <t>2026-08-06</t>
        </is>
      </c>
      <c r="B27851" s="8" t="n">
        <v>0</v>
      </c>
      <c r="C27851" s="8" t="n">
        <v>15</v>
      </c>
      <c r="D27851" s="8" t="inlineStr">
        <is>
          <t>Disneyland Park</t>
        </is>
      </c>
      <c r="E27851" s="8" t="inlineStr">
        <is>
          <t>Les Mystères du Nautilus</t>
        </is>
      </c>
      <c r="F27851" s="8" t="inlineStr">
        <is>
          <t>STANDBY</t>
        </is>
      </c>
      <c r="G27851" s="8" t="n">
        <v>0</v>
      </c>
      <c r="H27851" s="8" t="inlineStr">
        <is>
          <t>CLOSED</t>
        </is>
      </c>
    </row>
    <row r="27852">
      <c r="A27852" s="8" t="inlineStr">
        <is>
          <t>2026-08-06</t>
        </is>
      </c>
      <c r="B27852" s="8" t="n">
        <v>0</v>
      </c>
      <c r="C27852" s="8" t="n">
        <v>15</v>
      </c>
      <c r="D27852" s="8" t="inlineStr">
        <is>
          <t>Disneyland Park</t>
        </is>
      </c>
      <c r="E27852" s="8" t="inlineStr">
        <is>
          <t>Mickey’s PhilharMagic</t>
        </is>
      </c>
      <c r="F27852" s="8" t="inlineStr">
        <is>
          <t>STANDBY</t>
        </is>
      </c>
      <c r="G27852" s="8" t="n">
        <v>0</v>
      </c>
      <c r="H27852" s="8" t="inlineStr">
        <is>
          <t>CLOSED</t>
        </is>
      </c>
    </row>
    <row r="27853">
      <c r="A27853" s="8" t="inlineStr">
        <is>
          <t>2026-08-06</t>
        </is>
      </c>
      <c r="B27853" s="8" t="n">
        <v>0</v>
      </c>
      <c r="C27853" s="8" t="n">
        <v>15</v>
      </c>
      <c r="D27853" s="8" t="inlineStr">
        <is>
          <t>Disneyland Park</t>
        </is>
      </c>
      <c r="E27853" s="8" t="inlineStr">
        <is>
          <t>Orbitron®</t>
        </is>
      </c>
      <c r="F27853" s="8" t="inlineStr">
        <is>
          <t>STANDBY</t>
        </is>
      </c>
      <c r="G27853" s="8" t="n">
        <v>0</v>
      </c>
      <c r="H27853" s="8" t="inlineStr">
        <is>
          <t>CLOSED</t>
        </is>
      </c>
    </row>
    <row r="27854">
      <c r="A27854" s="8" t="inlineStr">
        <is>
          <t>2026-08-06</t>
        </is>
      </c>
      <c r="B27854" s="8" t="n">
        <v>0</v>
      </c>
      <c r="C27854" s="8" t="n">
        <v>15</v>
      </c>
      <c r="D27854" s="8" t="inlineStr">
        <is>
          <t>Disneyland Park</t>
        </is>
      </c>
      <c r="E27854" s="8" t="inlineStr">
        <is>
          <t>Star Tours: The Adventures Continue*</t>
        </is>
      </c>
      <c r="F27854" s="8" t="inlineStr">
        <is>
          <t>STANDBY</t>
        </is>
      </c>
      <c r="G27854" s="8" t="n">
        <v>0</v>
      </c>
      <c r="H27854" s="8" t="inlineStr">
        <is>
          <t>CLOSED</t>
        </is>
      </c>
    </row>
    <row r="27855">
      <c r="A27855" s="8" t="inlineStr">
        <is>
          <t>2026-08-06</t>
        </is>
      </c>
      <c r="B27855" s="8" t="n">
        <v>0</v>
      </c>
      <c r="C27855" s="8" t="n">
        <v>15</v>
      </c>
      <c r="D27855" s="8" t="inlineStr">
        <is>
          <t>Disneyland Park</t>
        </is>
      </c>
      <c r="E27855" s="8" t="inlineStr">
        <is>
          <t>Star Wars Hyperspace Mountain</t>
        </is>
      </c>
      <c r="F27855" s="8" t="inlineStr">
        <is>
          <t>STANDBY</t>
        </is>
      </c>
      <c r="G27855" s="8" t="n">
        <v>0</v>
      </c>
      <c r="H27855" s="8" t="inlineStr">
        <is>
          <t>CLOSED</t>
        </is>
      </c>
    </row>
    <row r="27856">
      <c r="A27856" s="8" t="inlineStr">
        <is>
          <t>2026-08-06</t>
        </is>
      </c>
      <c r="B27856" s="8" t="n">
        <v>0</v>
      </c>
      <c r="C27856" s="8" t="n">
        <v>15</v>
      </c>
      <c r="D27856" s="8" t="inlineStr">
        <is>
          <t>Disneyland Park</t>
        </is>
      </c>
      <c r="E27856" s="8" t="inlineStr">
        <is>
          <t>Star Wars Hyperspace Mountain Single Rider</t>
        </is>
      </c>
      <c r="F27856" s="8" t="inlineStr">
        <is>
          <t>STANDBY</t>
        </is>
      </c>
      <c r="G27856" s="8" t="n">
        <v>0</v>
      </c>
      <c r="H27856" s="8" t="inlineStr">
        <is>
          <t>CLOSED</t>
        </is>
      </c>
    </row>
    <row r="27857">
      <c r="A27857" s="8" t="inlineStr">
        <is>
          <t>2026-08-06</t>
        </is>
      </c>
      <c r="B27857" s="8" t="n">
        <v>0</v>
      </c>
      <c r="C27857" s="8" t="n">
        <v>15</v>
      </c>
      <c r="D27857" s="8" t="inlineStr">
        <is>
          <t>Disneyland Park</t>
        </is>
      </c>
      <c r="E27857" s="8" t="inlineStr">
        <is>
          <t>Welcome to Starport: A Star Wars Encounter</t>
        </is>
      </c>
      <c r="F27857" s="8" t="inlineStr">
        <is>
          <t>STANDBY</t>
        </is>
      </c>
      <c r="G27857" s="8" t="n">
        <v>0</v>
      </c>
      <c r="H27857" s="8" t="inlineStr">
        <is>
          <t>CLOSED</t>
        </is>
      </c>
    </row>
    <row r="27858">
      <c r="A27858" s="8" t="inlineStr">
        <is>
          <t>2026-08-06</t>
        </is>
      </c>
      <c r="B27858" s="8" t="n">
        <v>0</v>
      </c>
      <c r="C27858" s="8" t="n">
        <v>15</v>
      </c>
      <c r="D27858" s="8" t="inlineStr">
        <is>
          <t>Disneyland Park</t>
        </is>
      </c>
      <c r="E27858" s="8" t="inlineStr">
        <is>
          <t>"it's a small world"</t>
        </is>
      </c>
      <c r="F27858" s="8" t="inlineStr">
        <is>
          <t>STANDBY</t>
        </is>
      </c>
      <c r="G27858" s="8" t="n">
        <v>0</v>
      </c>
      <c r="H27858" s="8" t="inlineStr">
        <is>
          <t>CLOSED</t>
        </is>
      </c>
    </row>
    <row r="27859">
      <c r="A27859" s="8" t="inlineStr">
        <is>
          <t>2026-08-06</t>
        </is>
      </c>
      <c r="B27859" s="8" t="n">
        <v>0</v>
      </c>
      <c r="C27859" s="8" t="n">
        <v>15</v>
      </c>
      <c r="D27859" s="8" t="inlineStr">
        <is>
          <t>Disneyland Park</t>
        </is>
      </c>
      <c r="E27859" s="8" t="inlineStr">
        <is>
          <t>Alice's Curious Labyrinth</t>
        </is>
      </c>
      <c r="F27859" s="8" t="inlineStr">
        <is>
          <t>STANDBY</t>
        </is>
      </c>
      <c r="G27859" s="8" t="n">
        <v>0</v>
      </c>
      <c r="H27859" s="8" t="inlineStr">
        <is>
          <t>CLOSED</t>
        </is>
      </c>
    </row>
    <row r="27860">
      <c r="A27860" s="8" t="inlineStr">
        <is>
          <t>2026-08-06</t>
        </is>
      </c>
      <c r="B27860" s="8" t="n">
        <v>0</v>
      </c>
      <c r="C27860" s="8" t="n">
        <v>15</v>
      </c>
      <c r="D27860" s="8" t="inlineStr">
        <is>
          <t>Disneyland Park</t>
        </is>
      </c>
      <c r="E27860" s="8" t="inlineStr">
        <is>
          <t>Blanche-Neige et les Sept Nains®</t>
        </is>
      </c>
      <c r="F27860" s="8" t="inlineStr">
        <is>
          <t>STANDBY</t>
        </is>
      </c>
      <c r="G27860" s="8" t="n">
        <v>0</v>
      </c>
      <c r="H27860" s="8" t="inlineStr">
        <is>
          <t>CLOSED</t>
        </is>
      </c>
    </row>
    <row r="27861">
      <c r="A27861" s="8" t="inlineStr">
        <is>
          <t>2026-08-06</t>
        </is>
      </c>
      <c r="B27861" s="8" t="n">
        <v>0</v>
      </c>
      <c r="C27861" s="8" t="n">
        <v>15</v>
      </c>
      <c r="D27861" s="8" t="inlineStr">
        <is>
          <t>Disneyland Park</t>
        </is>
      </c>
      <c r="E27861" s="8" t="inlineStr">
        <is>
          <t>Casey Jr. – le Petit Train du Cirque</t>
        </is>
      </c>
      <c r="F27861" s="8" t="inlineStr">
        <is>
          <t>STANDBY</t>
        </is>
      </c>
      <c r="G27861" s="8" t="n">
        <v>0</v>
      </c>
      <c r="H27861" s="8" t="inlineStr">
        <is>
          <t>CLOSED</t>
        </is>
      </c>
    </row>
    <row r="27862">
      <c r="A27862" s="8" t="inlineStr">
        <is>
          <t>2026-08-06</t>
        </is>
      </c>
      <c r="B27862" s="8" t="n">
        <v>0</v>
      </c>
      <c r="C27862" s="8" t="n">
        <v>15</v>
      </c>
      <c r="D27862" s="8" t="inlineStr">
        <is>
          <t>Disneyland Park</t>
        </is>
      </c>
      <c r="E27862" s="8" t="inlineStr">
        <is>
          <t>Disneyland Railroad Fantasyland Station</t>
        </is>
      </c>
      <c r="F27862" s="8" t="inlineStr">
        <is>
          <t>STANDBY</t>
        </is>
      </c>
      <c r="G27862" s="8" t="n">
        <v>0</v>
      </c>
      <c r="H27862" s="8" t="inlineStr">
        <is>
          <t>CLOSED</t>
        </is>
      </c>
    </row>
    <row r="27863">
      <c r="A27863" s="8" t="inlineStr">
        <is>
          <t>2026-08-06</t>
        </is>
      </c>
      <c r="B27863" s="8" t="n">
        <v>0</v>
      </c>
      <c r="C27863" s="8" t="n">
        <v>15</v>
      </c>
      <c r="D27863" s="8" t="inlineStr">
        <is>
          <t>Disneyland Park</t>
        </is>
      </c>
      <c r="E27863" s="8" t="inlineStr">
        <is>
          <t>Disneyland Railroad Main Street Station</t>
        </is>
      </c>
      <c r="F27863" s="8" t="inlineStr">
        <is>
          <t>STANDBY</t>
        </is>
      </c>
      <c r="G27863" s="8" t="n">
        <v>0</v>
      </c>
      <c r="H27863" s="8" t="inlineStr">
        <is>
          <t>CLOSED</t>
        </is>
      </c>
    </row>
    <row r="27864">
      <c r="A27864" s="8" t="inlineStr">
        <is>
          <t>2026-08-06</t>
        </is>
      </c>
      <c r="B27864" s="8" t="n">
        <v>0</v>
      </c>
      <c r="C27864" s="8" t="n">
        <v>15</v>
      </c>
      <c r="D27864" s="8" t="inlineStr">
        <is>
          <t>Disneyland Park</t>
        </is>
      </c>
      <c r="E27864" s="8" t="inlineStr">
        <is>
          <t>Dumbo the Flying Elephant</t>
        </is>
      </c>
      <c r="F27864" s="8" t="inlineStr">
        <is>
          <t>STANDBY</t>
        </is>
      </c>
      <c r="G27864" s="8" t="n">
        <v>0</v>
      </c>
      <c r="H27864" s="8" t="inlineStr">
        <is>
          <t>CLOSED</t>
        </is>
      </c>
    </row>
    <row r="27865">
      <c r="A27865" s="8" t="inlineStr">
        <is>
          <t>2026-08-06</t>
        </is>
      </c>
      <c r="B27865" s="8" t="n">
        <v>0</v>
      </c>
      <c r="C27865" s="8" t="n">
        <v>15</v>
      </c>
      <c r="D27865" s="8" t="inlineStr">
        <is>
          <t>Disneyland Park</t>
        </is>
      </c>
      <c r="E27865" s="8" t="inlineStr">
        <is>
          <t>La Tanière du Dragon</t>
        </is>
      </c>
      <c r="F27865" s="8" t="inlineStr">
        <is>
          <t>STANDBY</t>
        </is>
      </c>
      <c r="G27865" s="8" t="n">
        <v>0</v>
      </c>
      <c r="H27865" s="8" t="inlineStr">
        <is>
          <t>CLOSED</t>
        </is>
      </c>
    </row>
    <row r="27866">
      <c r="A27866" s="8" t="inlineStr">
        <is>
          <t>2026-08-06</t>
        </is>
      </c>
      <c r="B27866" s="8" t="n">
        <v>0</v>
      </c>
      <c r="C27866" s="8" t="n">
        <v>15</v>
      </c>
      <c r="D27866" s="8" t="inlineStr">
        <is>
          <t>Disneyland Park</t>
        </is>
      </c>
      <c r="E27866" s="8" t="inlineStr">
        <is>
          <t>Le Carrousel de Lancelot</t>
        </is>
      </c>
      <c r="F27866" s="8" t="inlineStr">
        <is>
          <t>STANDBY</t>
        </is>
      </c>
      <c r="G27866" s="8" t="n">
        <v>0</v>
      </c>
      <c r="H27866" s="8" t="inlineStr">
        <is>
          <t>CLOSED</t>
        </is>
      </c>
    </row>
    <row r="27867">
      <c r="A27867" s="8" t="inlineStr">
        <is>
          <t>2026-08-06</t>
        </is>
      </c>
      <c r="B27867" s="8" t="n">
        <v>0</v>
      </c>
      <c r="C27867" s="8" t="n">
        <v>15</v>
      </c>
      <c r="D27867" s="8" t="inlineStr">
        <is>
          <t>Disneyland Park</t>
        </is>
      </c>
      <c r="E27867" s="8" t="inlineStr">
        <is>
          <t>Le Pays des Contes de Fées, presented by Vittel</t>
        </is>
      </c>
      <c r="F27867" s="8" t="inlineStr">
        <is>
          <t>STANDBY</t>
        </is>
      </c>
      <c r="G27867" s="8" t="n">
        <v>0</v>
      </c>
      <c r="H27867" s="8" t="inlineStr">
        <is>
          <t>CLOSED</t>
        </is>
      </c>
    </row>
    <row r="27868">
      <c r="A27868" s="8" t="inlineStr">
        <is>
          <t>2026-08-06</t>
        </is>
      </c>
      <c r="B27868" s="8" t="n">
        <v>0</v>
      </c>
      <c r="C27868" s="8" t="n">
        <v>15</v>
      </c>
      <c r="D27868" s="8" t="inlineStr">
        <is>
          <t>Disneyland Park</t>
        </is>
      </c>
      <c r="E27868" s="8" t="inlineStr">
        <is>
          <t>Les Voyages de Pinocchio</t>
        </is>
      </c>
      <c r="F27868" s="8" t="inlineStr">
        <is>
          <t>STANDBY</t>
        </is>
      </c>
      <c r="G27868" s="8" t="n">
        <v>0</v>
      </c>
      <c r="H27868" s="8" t="inlineStr">
        <is>
          <t>CLOSED</t>
        </is>
      </c>
    </row>
    <row r="27869">
      <c r="A27869" s="8" t="inlineStr">
        <is>
          <t>2026-08-06</t>
        </is>
      </c>
      <c r="B27869" s="8" t="n">
        <v>0</v>
      </c>
      <c r="C27869" s="8" t="n">
        <v>15</v>
      </c>
      <c r="D27869" s="8" t="inlineStr">
        <is>
          <t>Disneyland Park</t>
        </is>
      </c>
      <c r="E27869" s="8" t="inlineStr">
        <is>
          <t>Mad Hatter's Tea Cups</t>
        </is>
      </c>
      <c r="F27869" s="8" t="inlineStr">
        <is>
          <t>STANDBY</t>
        </is>
      </c>
      <c r="G27869" s="8" t="n">
        <v>0</v>
      </c>
      <c r="H27869" s="8" t="inlineStr">
        <is>
          <t>CLOSED</t>
        </is>
      </c>
    </row>
    <row r="27870">
      <c r="A27870" s="8" t="inlineStr">
        <is>
          <t>2026-08-06</t>
        </is>
      </c>
      <c r="B27870" s="8" t="n">
        <v>0</v>
      </c>
      <c r="C27870" s="8" t="n">
        <v>15</v>
      </c>
      <c r="D27870" s="8" t="inlineStr">
        <is>
          <t>Disneyland Park</t>
        </is>
      </c>
      <c r="E27870" s="8" t="inlineStr">
        <is>
          <t>Meet Mickey Mouse</t>
        </is>
      </c>
      <c r="F27870" s="8" t="inlineStr">
        <is>
          <t>STANDBY</t>
        </is>
      </c>
      <c r="G27870" s="8" t="n">
        <v>0</v>
      </c>
      <c r="H27870" s="8" t="inlineStr">
        <is>
          <t>CLOSED</t>
        </is>
      </c>
    </row>
    <row r="27871">
      <c r="A27871" s="8" t="inlineStr">
        <is>
          <t>2026-08-06</t>
        </is>
      </c>
      <c r="B27871" s="8" t="n">
        <v>0</v>
      </c>
      <c r="C27871" s="8" t="n">
        <v>15</v>
      </c>
      <c r="D27871" s="8" t="inlineStr">
        <is>
          <t>Disneyland Park</t>
        </is>
      </c>
      <c r="E27871" s="8" t="inlineStr">
        <is>
          <t>Peter Pan's Flight</t>
        </is>
      </c>
      <c r="F27871" s="8" t="inlineStr">
        <is>
          <t>STANDBY</t>
        </is>
      </c>
      <c r="G27871" s="8" t="n">
        <v>0</v>
      </c>
      <c r="H27871" s="8" t="inlineStr">
        <is>
          <t>CLOSED</t>
        </is>
      </c>
    </row>
    <row r="27872">
      <c r="A27872" s="8" t="inlineStr">
        <is>
          <t>2026-08-06</t>
        </is>
      </c>
      <c r="B27872" s="8" t="n">
        <v>0</v>
      </c>
      <c r="C27872" s="8" t="n">
        <v>15</v>
      </c>
      <c r="D27872" s="8" t="inlineStr">
        <is>
          <t>Disneyland Park</t>
        </is>
      </c>
      <c r="E27872" s="8" t="inlineStr">
        <is>
          <t>Princess Pavilion</t>
        </is>
      </c>
      <c r="F27872" s="8" t="inlineStr">
        <is>
          <t>STANDBY</t>
        </is>
      </c>
      <c r="G27872" s="8" t="n">
        <v>0</v>
      </c>
      <c r="H27872" s="8" t="inlineStr">
        <is>
          <t>CLOSED</t>
        </is>
      </c>
    </row>
    <row r="27873">
      <c r="A27873" s="8" t="inlineStr">
        <is>
          <t>2026-08-06</t>
        </is>
      </c>
      <c r="B27873" s="8" t="n">
        <v>0</v>
      </c>
      <c r="C27873" s="8" t="n">
        <v>15</v>
      </c>
      <c r="D27873" s="8" t="inlineStr">
        <is>
          <t>Disneyland Park</t>
        </is>
      </c>
      <c r="E27873" s="8" t="inlineStr">
        <is>
          <t>Big Thunder Mountain</t>
        </is>
      </c>
      <c r="F27873" s="8" t="inlineStr">
        <is>
          <t>STANDBY</t>
        </is>
      </c>
      <c r="G27873" s="8" t="n">
        <v>0</v>
      </c>
      <c r="H27873" s="8" t="inlineStr">
        <is>
          <t>CLOSED</t>
        </is>
      </c>
    </row>
    <row r="27874">
      <c r="A27874" s="8" t="inlineStr">
        <is>
          <t>2026-08-06</t>
        </is>
      </c>
      <c r="B27874" s="8" t="n">
        <v>0</v>
      </c>
      <c r="C27874" s="8" t="n">
        <v>15</v>
      </c>
      <c r="D27874" s="8" t="inlineStr">
        <is>
          <t>Disneyland Park</t>
        </is>
      </c>
      <c r="E27874" s="8" t="inlineStr">
        <is>
          <t>Disneyland Railroad Frontierland Depot</t>
        </is>
      </c>
      <c r="F27874" s="8" t="inlineStr">
        <is>
          <t>STANDBY</t>
        </is>
      </c>
      <c r="G27874" s="8" t="n">
        <v>0</v>
      </c>
      <c r="H27874" s="8" t="inlineStr">
        <is>
          <t>CLOSED</t>
        </is>
      </c>
    </row>
    <row r="27875">
      <c r="A27875" s="8" t="inlineStr">
        <is>
          <t>2026-08-06</t>
        </is>
      </c>
      <c r="B27875" s="8" t="n">
        <v>0</v>
      </c>
      <c r="C27875" s="8" t="n">
        <v>15</v>
      </c>
      <c r="D27875" s="8" t="inlineStr">
        <is>
          <t>Disneyland Park</t>
        </is>
      </c>
      <c r="E27875" s="8" t="inlineStr">
        <is>
          <t>Frontierland Playground</t>
        </is>
      </c>
      <c r="F27875" s="8" t="inlineStr">
        <is>
          <t>STANDBY</t>
        </is>
      </c>
      <c r="G27875" s="8" t="n">
        <v>0</v>
      </c>
      <c r="H27875" s="8" t="inlineStr">
        <is>
          <t>CLOSED</t>
        </is>
      </c>
    </row>
    <row r="27876">
      <c r="A27876" s="8" t="inlineStr">
        <is>
          <t>2026-08-06</t>
        </is>
      </c>
      <c r="B27876" s="8" t="n">
        <v>0</v>
      </c>
      <c r="C27876" s="8" t="n">
        <v>15</v>
      </c>
      <c r="D27876" s="8" t="inlineStr">
        <is>
          <t>Disneyland Park</t>
        </is>
      </c>
      <c r="E27876" s="8" t="inlineStr">
        <is>
          <t>Phantom Manor</t>
        </is>
      </c>
      <c r="F27876" s="8" t="inlineStr">
        <is>
          <t>STANDBY</t>
        </is>
      </c>
      <c r="G27876" s="8" t="n">
        <v>0</v>
      </c>
      <c r="H27876" s="8" t="inlineStr">
        <is>
          <t>CLOSED</t>
        </is>
      </c>
    </row>
    <row r="27877">
      <c r="A27877" s="8" t="inlineStr">
        <is>
          <t>2026-08-06</t>
        </is>
      </c>
      <c r="B27877" s="8" t="n">
        <v>0</v>
      </c>
      <c r="C27877" s="8" t="n">
        <v>15</v>
      </c>
      <c r="D27877" s="8" t="inlineStr">
        <is>
          <t>Disneyland Park</t>
        </is>
      </c>
      <c r="E27877" s="8" t="inlineStr">
        <is>
          <t>River Rogue Keelboats</t>
        </is>
      </c>
      <c r="F27877" s="8" t="inlineStr">
        <is>
          <t>STANDBY</t>
        </is>
      </c>
      <c r="G27877" s="8" t="n">
        <v>0</v>
      </c>
      <c r="H27877" s="8" t="inlineStr">
        <is>
          <t>CLOSED</t>
        </is>
      </c>
    </row>
    <row r="27878">
      <c r="A27878" s="8" t="inlineStr">
        <is>
          <t>2026-08-06</t>
        </is>
      </c>
      <c r="B27878" s="8" t="n">
        <v>0</v>
      </c>
      <c r="C27878" s="8" t="n">
        <v>15</v>
      </c>
      <c r="D27878" s="8" t="inlineStr">
        <is>
          <t>Disneyland Park</t>
        </is>
      </c>
      <c r="E27878" s="8" t="inlineStr">
        <is>
          <t>Rustler Roundup Shootin' Gallery</t>
        </is>
      </c>
      <c r="F27878" s="8" t="inlineStr">
        <is>
          <t>STANDBY</t>
        </is>
      </c>
      <c r="G27878" s="8" t="n">
        <v>0</v>
      </c>
      <c r="H27878" s="8" t="inlineStr">
        <is>
          <t>CLOSED</t>
        </is>
      </c>
    </row>
    <row r="27879">
      <c r="A27879" s="8" t="inlineStr">
        <is>
          <t>2026-08-06</t>
        </is>
      </c>
      <c r="B27879" s="8" t="n">
        <v>0</v>
      </c>
      <c r="C27879" s="8" t="n">
        <v>15</v>
      </c>
      <c r="D27879" s="8" t="inlineStr">
        <is>
          <t>Disneyland Park</t>
        </is>
      </c>
      <c r="E27879" s="8" t="inlineStr">
        <is>
          <t>Thunder Mesa Riverboat Landing</t>
        </is>
      </c>
      <c r="F27879" s="8" t="inlineStr">
        <is>
          <t>STANDBY</t>
        </is>
      </c>
      <c r="G27879" s="8" t="n">
        <v>0</v>
      </c>
      <c r="H27879" s="8" t="inlineStr">
        <is>
          <t>CLOSED</t>
        </is>
      </c>
    </row>
    <row r="27880">
      <c r="A27880" s="8" t="inlineStr">
        <is>
          <t>2026-08-06</t>
        </is>
      </c>
      <c r="B27880" s="8" t="n">
        <v>0</v>
      </c>
      <c r="C27880" s="8" t="n">
        <v>15</v>
      </c>
      <c r="D27880" s="8" t="inlineStr">
        <is>
          <t>Disneyland Park</t>
        </is>
      </c>
      <c r="E27880" s="8" t="inlineStr">
        <is>
          <t>Disneyland Railroad Main Street Station</t>
        </is>
      </c>
      <c r="F27880" s="8" t="inlineStr">
        <is>
          <t>STANDBY</t>
        </is>
      </c>
      <c r="G27880" s="8" t="n">
        <v>0</v>
      </c>
      <c r="H27880" s="8" t="inlineStr">
        <is>
          <t>CLOSED</t>
        </is>
      </c>
    </row>
    <row r="27881">
      <c r="A27881" s="8" t="inlineStr">
        <is>
          <t>2026-08-06</t>
        </is>
      </c>
      <c r="B27881" s="8" t="n">
        <v>0</v>
      </c>
      <c r="C27881" s="8" t="n">
        <v>15</v>
      </c>
      <c r="D27881" s="8" t="inlineStr">
        <is>
          <t>Disneyland Park</t>
        </is>
      </c>
      <c r="E27881" s="8" t="inlineStr">
        <is>
          <t>Main Street Vehicles</t>
        </is>
      </c>
      <c r="F27881" s="8" t="inlineStr">
        <is>
          <t>STANDBY</t>
        </is>
      </c>
      <c r="G27881" s="8" t="n">
        <v>0</v>
      </c>
      <c r="H27881" s="8" t="inlineStr">
        <is>
          <t>CLOSED</t>
        </is>
      </c>
    </row>
    <row r="27882">
      <c r="A27882" s="8" t="inlineStr">
        <is>
          <t>2026-08-06</t>
        </is>
      </c>
      <c r="B27882" s="8" t="n">
        <v>0</v>
      </c>
      <c r="C27882" s="8" t="n">
        <v>15</v>
      </c>
      <c r="D27882" s="8" t="inlineStr">
        <is>
          <t>Disney Adventure World</t>
        </is>
      </c>
      <c r="E27882" s="8" t="inlineStr">
        <is>
          <t>Avengers Assemble: Flight Force</t>
        </is>
      </c>
      <c r="F27882" s="8" t="inlineStr">
        <is>
          <t>STANDBY</t>
        </is>
      </c>
      <c r="G27882" s="8" t="n">
        <v>0</v>
      </c>
      <c r="H27882" s="8" t="inlineStr">
        <is>
          <t>CLOSED</t>
        </is>
      </c>
    </row>
    <row r="27883">
      <c r="A27883" s="8" t="inlineStr">
        <is>
          <t>2026-08-06</t>
        </is>
      </c>
      <c r="B27883" s="8" t="n">
        <v>0</v>
      </c>
      <c r="C27883" s="8" t="n">
        <v>15</v>
      </c>
      <c r="D27883" s="8" t="inlineStr">
        <is>
          <t>Disney Adventure World</t>
        </is>
      </c>
      <c r="E27883" s="8" t="inlineStr">
        <is>
          <t>Avengers Assemble: Flight Force Single Rider</t>
        </is>
      </c>
      <c r="F27883" s="8" t="inlineStr">
        <is>
          <t>STANDBY</t>
        </is>
      </c>
      <c r="G27883" s="8" t="n">
        <v>0</v>
      </c>
      <c r="H27883" s="8" t="inlineStr">
        <is>
          <t>CLOSED</t>
        </is>
      </c>
    </row>
    <row r="27884">
      <c r="A27884" s="8" t="inlineStr">
        <is>
          <t>2026-08-06</t>
        </is>
      </c>
      <c r="B27884" s="8" t="n">
        <v>0</v>
      </c>
      <c r="C27884" s="8" t="n">
        <v>15</v>
      </c>
      <c r="D27884" s="8" t="inlineStr">
        <is>
          <t>Disney Adventure World</t>
        </is>
      </c>
      <c r="E27884" s="8" t="inlineStr">
        <is>
          <t>Spider-Man W.E.B. Adventure</t>
        </is>
      </c>
      <c r="F27884" s="8" t="inlineStr">
        <is>
          <t>STANDBY</t>
        </is>
      </c>
      <c r="G27884" s="8" t="n">
        <v>0</v>
      </c>
      <c r="H27884" s="8" t="inlineStr">
        <is>
          <t>CLOSED</t>
        </is>
      </c>
    </row>
    <row r="27885">
      <c r="A27885" s="8" t="inlineStr">
        <is>
          <t>2026-08-06</t>
        </is>
      </c>
      <c r="B27885" s="8" t="n">
        <v>0</v>
      </c>
      <c r="C27885" s="8" t="n">
        <v>15</v>
      </c>
      <c r="D27885" s="8" t="inlineStr">
        <is>
          <t>Disney Adventure World</t>
        </is>
      </c>
      <c r="E27885" s="8" t="inlineStr">
        <is>
          <t>Spider-Man W.E.B. Adventure Single Rider</t>
        </is>
      </c>
      <c r="F27885" s="8" t="inlineStr">
        <is>
          <t>STANDBY</t>
        </is>
      </c>
      <c r="G27885" s="8" t="n">
        <v>0</v>
      </c>
      <c r="H27885" s="8" t="inlineStr">
        <is>
          <t>CLOSED</t>
        </is>
      </c>
    </row>
    <row r="27886">
      <c r="A27886" s="8" t="inlineStr">
        <is>
          <t>2026-08-06</t>
        </is>
      </c>
      <c r="B27886" s="8" t="n">
        <v>0</v>
      </c>
      <c r="C27886" s="8" t="n">
        <v>15</v>
      </c>
      <c r="D27886" s="8" t="inlineStr">
        <is>
          <t>Disney Adventure World</t>
        </is>
      </c>
      <c r="E27886" s="8" t="inlineStr">
        <is>
          <t>The Twilight Zone Tower of Terror</t>
        </is>
      </c>
      <c r="F27886" s="8" t="inlineStr">
        <is>
          <t>STANDBY</t>
        </is>
      </c>
      <c r="G27886" s="8" t="n">
        <v>0</v>
      </c>
      <c r="H27886" s="8" t="inlineStr">
        <is>
          <t>CLOSED</t>
        </is>
      </c>
    </row>
    <row r="27887">
      <c r="A27887" s="8" t="inlineStr">
        <is>
          <t>2026-08-06</t>
        </is>
      </c>
      <c r="B27887" s="8" t="n">
        <v>0</v>
      </c>
      <c r="C27887" s="8" t="n">
        <v>15</v>
      </c>
      <c r="D27887" s="8" t="inlineStr">
        <is>
          <t>Disney Adventure World</t>
        </is>
      </c>
      <c r="E27887" s="8" t="inlineStr">
        <is>
          <t>Cars Quatre Roues Rallye</t>
        </is>
      </c>
      <c r="F27887" s="8" t="inlineStr">
        <is>
          <t>STANDBY</t>
        </is>
      </c>
      <c r="G27887" s="8" t="n">
        <v>0</v>
      </c>
      <c r="H27887" s="8" t="inlineStr">
        <is>
          <t>CLOSED</t>
        </is>
      </c>
    </row>
    <row r="27888">
      <c r="A27888" s="8" t="inlineStr">
        <is>
          <t>2026-08-06</t>
        </is>
      </c>
      <c r="B27888" s="8" t="n">
        <v>0</v>
      </c>
      <c r="C27888" s="8" t="n">
        <v>15</v>
      </c>
      <c r="D27888" s="8" t="inlineStr">
        <is>
          <t>Disney Adventure World</t>
        </is>
      </c>
      <c r="E27888" s="8" t="inlineStr">
        <is>
          <t>Cars ROAD TRIP</t>
        </is>
      </c>
      <c r="F27888" s="8" t="inlineStr">
        <is>
          <t>STANDBY</t>
        </is>
      </c>
      <c r="G27888" s="8" t="n">
        <v>0</v>
      </c>
      <c r="H27888" s="8" t="inlineStr">
        <is>
          <t>CLOSED</t>
        </is>
      </c>
    </row>
    <row r="27889">
      <c r="A27889" s="8" t="inlineStr">
        <is>
          <t>2026-08-06</t>
        </is>
      </c>
      <c r="B27889" s="8" t="n">
        <v>0</v>
      </c>
      <c r="C27889" s="8" t="n">
        <v>15</v>
      </c>
      <c r="D27889" s="8" t="inlineStr">
        <is>
          <t>Disney Adventure World</t>
        </is>
      </c>
      <c r="E27889" s="8" t="inlineStr">
        <is>
          <t>Crush's Coaster</t>
        </is>
      </c>
      <c r="F27889" s="8" t="inlineStr">
        <is>
          <t>STANDBY</t>
        </is>
      </c>
      <c r="G27889" s="8" t="n">
        <v>0</v>
      </c>
      <c r="H27889" s="8" t="inlineStr">
        <is>
          <t>CLOSED</t>
        </is>
      </c>
    </row>
    <row r="27890">
      <c r="A27890" s="8" t="inlineStr">
        <is>
          <t>2026-08-06</t>
        </is>
      </c>
      <c r="B27890" s="8" t="n">
        <v>0</v>
      </c>
      <c r="C27890" s="8" t="n">
        <v>15</v>
      </c>
      <c r="D27890" s="8" t="inlineStr">
        <is>
          <t>Disney Adventure World</t>
        </is>
      </c>
      <c r="E27890" s="8" t="inlineStr">
        <is>
          <t>Crush's Coaster Single Rider</t>
        </is>
      </c>
      <c r="F27890" s="8" t="inlineStr">
        <is>
          <t>STANDBY</t>
        </is>
      </c>
      <c r="G27890" s="8" t="n">
        <v>0</v>
      </c>
      <c r="H27890" s="8" t="inlineStr">
        <is>
          <t>CLOSED</t>
        </is>
      </c>
    </row>
    <row r="27891">
      <c r="A27891" s="8" t="inlineStr">
        <is>
          <t>2026-08-06</t>
        </is>
      </c>
      <c r="B27891" s="8" t="n">
        <v>0</v>
      </c>
      <c r="C27891" s="8" t="n">
        <v>15</v>
      </c>
      <c r="D27891" s="8" t="inlineStr">
        <is>
          <t>Disney Adventure World</t>
        </is>
      </c>
      <c r="E27891" s="8" t="inlineStr">
        <is>
          <t>Les Tapis Volants - Flying Carpets Over Agrabah®</t>
        </is>
      </c>
      <c r="F27891" s="8" t="inlineStr">
        <is>
          <t>STANDBY</t>
        </is>
      </c>
      <c r="G27891" s="8" t="n">
        <v>0</v>
      </c>
      <c r="H27891" s="8" t="inlineStr">
        <is>
          <t>CLOSED</t>
        </is>
      </c>
    </row>
    <row r="27892">
      <c r="A27892" s="8" t="inlineStr">
        <is>
          <t>2026-08-06</t>
        </is>
      </c>
      <c r="B27892" s="8" t="n">
        <v>0</v>
      </c>
      <c r="C27892" s="8" t="n">
        <v>15</v>
      </c>
      <c r="D27892" s="8" t="inlineStr">
        <is>
          <t>Disney Adventure World</t>
        </is>
      </c>
      <c r="E27892" s="8" t="inlineStr">
        <is>
          <t>Ratatouille : L’Aventure Totalement Toquée de Rémy​</t>
        </is>
      </c>
      <c r="F27892" s="8" t="inlineStr">
        <is>
          <t>STANDBY</t>
        </is>
      </c>
      <c r="G27892" s="8" t="n">
        <v>0</v>
      </c>
      <c r="H27892" s="8" t="inlineStr">
        <is>
          <t>CLOSED</t>
        </is>
      </c>
    </row>
    <row r="27893">
      <c r="A27893" s="8" t="inlineStr">
        <is>
          <t>2026-08-06</t>
        </is>
      </c>
      <c r="B27893" s="8" t="n">
        <v>0</v>
      </c>
      <c r="C27893" s="8" t="n">
        <v>15</v>
      </c>
      <c r="D27893" s="8" t="inlineStr">
        <is>
          <t>Disney Adventure World</t>
        </is>
      </c>
      <c r="E27893" s="8" t="inlineStr">
        <is>
          <t>Ratatouille: The Adventure Single Rider</t>
        </is>
      </c>
      <c r="F27893" s="8" t="inlineStr">
        <is>
          <t>STANDBY</t>
        </is>
      </c>
      <c r="G27893" s="8" t="n">
        <v>0</v>
      </c>
      <c r="H27893" s="8" t="inlineStr">
        <is>
          <t>CLOSED</t>
        </is>
      </c>
    </row>
    <row r="27894">
      <c r="A27894" s="8" t="inlineStr">
        <is>
          <t>2026-08-06</t>
        </is>
      </c>
      <c r="B27894" s="8" t="n">
        <v>0</v>
      </c>
      <c r="C27894" s="8" t="n">
        <v>15</v>
      </c>
      <c r="D27894" s="8" t="inlineStr">
        <is>
          <t>Disney Adventure World</t>
        </is>
      </c>
      <c r="E27894" s="8" t="inlineStr">
        <is>
          <t>RC Racer</t>
        </is>
      </c>
      <c r="F27894" s="8" t="inlineStr">
        <is>
          <t>STANDBY</t>
        </is>
      </c>
      <c r="G27894" s="8" t="n">
        <v>0</v>
      </c>
      <c r="H27894" s="8" t="inlineStr">
        <is>
          <t>CLOSED</t>
        </is>
      </c>
    </row>
    <row r="27895">
      <c r="A27895" s="8" t="inlineStr">
        <is>
          <t>2026-08-06</t>
        </is>
      </c>
      <c r="B27895" s="8" t="n">
        <v>0</v>
      </c>
      <c r="C27895" s="8" t="n">
        <v>15</v>
      </c>
      <c r="D27895" s="8" t="inlineStr">
        <is>
          <t>Disney Adventure World</t>
        </is>
      </c>
      <c r="E27895" s="8" t="inlineStr">
        <is>
          <t>RC Racer Single Rider</t>
        </is>
      </c>
      <c r="F27895" s="8" t="inlineStr">
        <is>
          <t>STANDBY</t>
        </is>
      </c>
      <c r="G27895" s="8" t="n">
        <v>0</v>
      </c>
      <c r="H27895" s="8" t="inlineStr">
        <is>
          <t>CLOSED</t>
        </is>
      </c>
    </row>
    <row r="27896">
      <c r="A27896" s="8" t="inlineStr">
        <is>
          <t>2026-08-06</t>
        </is>
      </c>
      <c r="B27896" s="8" t="n">
        <v>0</v>
      </c>
      <c r="C27896" s="8" t="n">
        <v>15</v>
      </c>
      <c r="D27896" s="8" t="inlineStr">
        <is>
          <t>Disney Adventure World</t>
        </is>
      </c>
      <c r="E27896" s="8" t="inlineStr">
        <is>
          <t>Slinky® Dog Zigzag Spin</t>
        </is>
      </c>
      <c r="F27896" s="8" t="inlineStr">
        <is>
          <t>STANDBY</t>
        </is>
      </c>
      <c r="G27896" s="8" t="n">
        <v>0</v>
      </c>
      <c r="H27896" s="8" t="inlineStr">
        <is>
          <t>CLOSED</t>
        </is>
      </c>
    </row>
    <row r="27897">
      <c r="A27897" s="8" t="inlineStr">
        <is>
          <t>2026-08-06</t>
        </is>
      </c>
      <c r="B27897" s="8" t="n">
        <v>0</v>
      </c>
      <c r="C27897" s="8" t="n">
        <v>15</v>
      </c>
      <c r="D27897" s="8" t="inlineStr">
        <is>
          <t>Disney Adventure World</t>
        </is>
      </c>
      <c r="E27897" s="8" t="inlineStr">
        <is>
          <t>Toy Soldiers Parachute Drop</t>
        </is>
      </c>
      <c r="F27897" s="8" t="inlineStr">
        <is>
          <t>STANDBY</t>
        </is>
      </c>
      <c r="G27897" s="8" t="n">
        <v>0</v>
      </c>
      <c r="H27897" s="8" t="inlineStr">
        <is>
          <t>CLOSED</t>
        </is>
      </c>
    </row>
    <row r="27898">
      <c r="A27898" s="8" t="inlineStr">
        <is>
          <t>2026-08-06</t>
        </is>
      </c>
      <c r="B27898" s="8" t="n">
        <v>0</v>
      </c>
      <c r="C27898" s="8" t="n">
        <v>15</v>
      </c>
      <c r="D27898" s="8" t="inlineStr">
        <is>
          <t>Disney Adventure World</t>
        </is>
      </c>
      <c r="E27898" s="8" t="inlineStr">
        <is>
          <t>Toy Soldiers Parachute Drop Single Rider</t>
        </is>
      </c>
      <c r="F27898" s="8" t="inlineStr">
        <is>
          <t>STANDBY</t>
        </is>
      </c>
      <c r="G27898" s="8" t="n">
        <v>0</v>
      </c>
      <c r="H27898" s="8" t="inlineStr">
        <is>
          <t>CLOSED</t>
        </is>
      </c>
    </row>
    <row r="27899">
      <c r="A27899" s="8" t="inlineStr">
        <is>
          <t>2026-08-06</t>
        </is>
      </c>
      <c r="B27899" s="8" t="n">
        <v>0</v>
      </c>
      <c r="C27899" s="8" t="n">
        <v>15</v>
      </c>
      <c r="D27899" s="8" t="inlineStr">
        <is>
          <t>Disney Adventure World</t>
        </is>
      </c>
      <c r="E27899" s="8" t="inlineStr">
        <is>
          <t>Entry to World of Frozen</t>
        </is>
      </c>
      <c r="F27899" s="8" t="inlineStr">
        <is>
          <t>STANDBY</t>
        </is>
      </c>
      <c r="G27899" s="8" t="n">
        <v>0</v>
      </c>
      <c r="H27899" s="8" t="inlineStr">
        <is>
          <t>CLOSED</t>
        </is>
      </c>
    </row>
    <row r="27900">
      <c r="A27900" s="8" t="inlineStr">
        <is>
          <t>2026-08-06</t>
        </is>
      </c>
      <c r="B27900" s="8" t="n">
        <v>0</v>
      </c>
      <c r="C27900" s="8" t="n">
        <v>15</v>
      </c>
      <c r="D27900" s="8" t="inlineStr">
        <is>
          <t>Disney Adventure World</t>
        </is>
      </c>
      <c r="E27900" s="8" t="inlineStr">
        <is>
          <t>Frozen Ever After</t>
        </is>
      </c>
      <c r="F27900" s="8" t="inlineStr">
        <is>
          <t>STANDBY</t>
        </is>
      </c>
      <c r="G27900" s="8" t="n">
        <v>0</v>
      </c>
      <c r="H27900" s="8" t="inlineStr">
        <is>
          <t>CLOSED</t>
        </is>
      </c>
    </row>
    <row r="27901">
      <c r="A27901" s="8" t="inlineStr">
        <is>
          <t>2026-08-06</t>
        </is>
      </c>
      <c r="B27901" s="8" t="n">
        <v>0</v>
      </c>
      <c r="C27901" s="8" t="n">
        <v>15</v>
      </c>
      <c r="D27901" s="8" t="inlineStr">
        <is>
          <t>Disney Adventure World</t>
        </is>
      </c>
      <c r="E27901" s="8" t="inlineStr">
        <is>
          <t>Raiponce Tangled Spin</t>
        </is>
      </c>
      <c r="F27901" s="8" t="inlineStr">
        <is>
          <t>STANDBY</t>
        </is>
      </c>
      <c r="G27901" s="8" t="n">
        <v>0</v>
      </c>
      <c r="H27901" s="8" t="inlineStr">
        <is>
          <t>CLOSED</t>
        </is>
      </c>
    </row>
    <row r="27902">
      <c r="A27902" s="8" t="inlineStr">
        <is>
          <t>2026-08-06</t>
        </is>
      </c>
      <c r="B27902" s="8" t="n">
        <v>0</v>
      </c>
      <c r="C27902" s="8" t="n">
        <v>31</v>
      </c>
      <c r="D27902" s="8" t="inlineStr">
        <is>
          <t>Disneyland Park</t>
        </is>
      </c>
      <c r="E27902" s="8" t="inlineStr">
        <is>
          <t>Adventure Isle</t>
        </is>
      </c>
      <c r="F27902" s="8" t="inlineStr">
        <is>
          <t>STANDBY</t>
        </is>
      </c>
      <c r="G27902" s="8" t="n">
        <v>0</v>
      </c>
      <c r="H27902" s="8" t="inlineStr">
        <is>
          <t>CLOSED</t>
        </is>
      </c>
    </row>
    <row r="27903">
      <c r="A27903" s="8" t="inlineStr">
        <is>
          <t>2026-08-06</t>
        </is>
      </c>
      <c r="B27903" s="8" t="n">
        <v>0</v>
      </c>
      <c r="C27903" s="8" t="n">
        <v>31</v>
      </c>
      <c r="D27903" s="8" t="inlineStr">
        <is>
          <t>Disneyland Park</t>
        </is>
      </c>
      <c r="E27903" s="8" t="inlineStr">
        <is>
          <t>Indiana Jones and the Temple of Peril Single Rider</t>
        </is>
      </c>
      <c r="F27903" s="8" t="inlineStr">
        <is>
          <t>STANDBY</t>
        </is>
      </c>
      <c r="G27903" s="8" t="n">
        <v>0</v>
      </c>
      <c r="H27903" s="8" t="inlineStr">
        <is>
          <t>CLOSED</t>
        </is>
      </c>
    </row>
    <row r="27904">
      <c r="A27904" s="8" t="inlineStr">
        <is>
          <t>2026-08-06</t>
        </is>
      </c>
      <c r="B27904" s="8" t="n">
        <v>0</v>
      </c>
      <c r="C27904" s="8" t="n">
        <v>31</v>
      </c>
      <c r="D27904" s="8" t="inlineStr">
        <is>
          <t>Disneyland Park</t>
        </is>
      </c>
      <c r="E27904" s="8" t="inlineStr">
        <is>
          <t>Indiana Jones™ and the Temple of Peril</t>
        </is>
      </c>
      <c r="F27904" s="8" t="inlineStr">
        <is>
          <t>STANDBY</t>
        </is>
      </c>
      <c r="G27904" s="8" t="n">
        <v>0</v>
      </c>
      <c r="H27904" s="8" t="inlineStr">
        <is>
          <t>CLOSED</t>
        </is>
      </c>
    </row>
    <row r="27905">
      <c r="A27905" s="8" t="inlineStr">
        <is>
          <t>2026-08-06</t>
        </is>
      </c>
      <c r="B27905" s="8" t="n">
        <v>0</v>
      </c>
      <c r="C27905" s="8" t="n">
        <v>31</v>
      </c>
      <c r="D27905" s="8" t="inlineStr">
        <is>
          <t>Disneyland Park</t>
        </is>
      </c>
      <c r="E27905" s="8" t="inlineStr">
        <is>
          <t>La Cabane des Robinson</t>
        </is>
      </c>
      <c r="F27905" s="8" t="inlineStr">
        <is>
          <t>STANDBY</t>
        </is>
      </c>
      <c r="G27905" s="8" t="n">
        <v>0</v>
      </c>
      <c r="H27905" s="8" t="inlineStr">
        <is>
          <t>CLOSED</t>
        </is>
      </c>
    </row>
    <row r="27906">
      <c r="A27906" s="8" t="inlineStr">
        <is>
          <t>2026-08-06</t>
        </is>
      </c>
      <c r="B27906" s="8" t="n">
        <v>0</v>
      </c>
      <c r="C27906" s="8" t="n">
        <v>31</v>
      </c>
      <c r="D27906" s="8" t="inlineStr">
        <is>
          <t>Disneyland Park</t>
        </is>
      </c>
      <c r="E27906" s="8" t="inlineStr">
        <is>
          <t>Le Passage Enchanté d'Aladdin</t>
        </is>
      </c>
      <c r="F27906" s="8" t="inlineStr">
        <is>
          <t>STANDBY</t>
        </is>
      </c>
      <c r="G27906" s="8" t="n">
        <v>0</v>
      </c>
      <c r="H27906" s="8" t="inlineStr">
        <is>
          <t>CLOSED</t>
        </is>
      </c>
    </row>
    <row r="27907">
      <c r="A27907" s="8" t="inlineStr">
        <is>
          <t>2026-08-06</t>
        </is>
      </c>
      <c r="B27907" s="8" t="n">
        <v>0</v>
      </c>
      <c r="C27907" s="8" t="n">
        <v>31</v>
      </c>
      <c r="D27907" s="8" t="inlineStr">
        <is>
          <t>Disneyland Park</t>
        </is>
      </c>
      <c r="E27907" s="8" t="inlineStr">
        <is>
          <t>Pirate Galleon</t>
        </is>
      </c>
      <c r="F27907" s="8" t="inlineStr">
        <is>
          <t>STANDBY</t>
        </is>
      </c>
      <c r="G27907" s="8" t="n">
        <v>0</v>
      </c>
      <c r="H27907" s="8" t="inlineStr">
        <is>
          <t>CLOSED</t>
        </is>
      </c>
    </row>
    <row r="27908">
      <c r="A27908" s="8" t="inlineStr">
        <is>
          <t>2026-08-06</t>
        </is>
      </c>
      <c r="B27908" s="8" t="n">
        <v>0</v>
      </c>
      <c r="C27908" s="8" t="n">
        <v>31</v>
      </c>
      <c r="D27908" s="8" t="inlineStr">
        <is>
          <t>Disneyland Park</t>
        </is>
      </c>
      <c r="E27908" s="8" t="inlineStr">
        <is>
          <t>Pirates of the Caribbean</t>
        </is>
      </c>
      <c r="F27908" s="8" t="inlineStr">
        <is>
          <t>STANDBY</t>
        </is>
      </c>
      <c r="G27908" s="8" t="n">
        <v>0</v>
      </c>
      <c r="H27908" s="8" t="inlineStr">
        <is>
          <t>CLOSED</t>
        </is>
      </c>
    </row>
    <row r="27909">
      <c r="A27909" s="8" t="inlineStr">
        <is>
          <t>2026-08-06</t>
        </is>
      </c>
      <c r="B27909" s="8" t="n">
        <v>0</v>
      </c>
      <c r="C27909" s="8" t="n">
        <v>31</v>
      </c>
      <c r="D27909" s="8" t="inlineStr">
        <is>
          <t>Disneyland Park</t>
        </is>
      </c>
      <c r="E27909" s="8" t="inlineStr">
        <is>
          <t>Pirates' Beach</t>
        </is>
      </c>
      <c r="F27909" s="8" t="inlineStr">
        <is>
          <t>STANDBY</t>
        </is>
      </c>
      <c r="G27909" s="8" t="n">
        <v>0</v>
      </c>
      <c r="H27909" s="8" t="inlineStr">
        <is>
          <t>CLOSED</t>
        </is>
      </c>
    </row>
    <row r="27910">
      <c r="A27910" s="8" t="inlineStr">
        <is>
          <t>2026-08-06</t>
        </is>
      </c>
      <c r="B27910" s="8" t="n">
        <v>0</v>
      </c>
      <c r="C27910" s="8" t="n">
        <v>31</v>
      </c>
      <c r="D27910" s="8" t="inlineStr">
        <is>
          <t>Disneyland Park</t>
        </is>
      </c>
      <c r="E27910" s="8" t="inlineStr">
        <is>
          <t>Autopia, presented by Avis</t>
        </is>
      </c>
      <c r="F27910" s="8" t="inlineStr">
        <is>
          <t>STANDBY</t>
        </is>
      </c>
      <c r="G27910" s="8" t="n">
        <v>0</v>
      </c>
      <c r="H27910" s="8" t="inlineStr">
        <is>
          <t>CLOSED</t>
        </is>
      </c>
    </row>
    <row r="27911">
      <c r="A27911" s="8" t="inlineStr">
        <is>
          <t>2026-08-06</t>
        </is>
      </c>
      <c r="B27911" s="8" t="n">
        <v>0</v>
      </c>
      <c r="C27911" s="8" t="n">
        <v>31</v>
      </c>
      <c r="D27911" s="8" t="inlineStr">
        <is>
          <t>Disneyland Park</t>
        </is>
      </c>
      <c r="E27911" s="8" t="inlineStr">
        <is>
          <t>Buzz Lightyear Laser Blast</t>
        </is>
      </c>
      <c r="F27911" s="8" t="inlineStr">
        <is>
          <t>STANDBY</t>
        </is>
      </c>
      <c r="G27911" s="8" t="n">
        <v>0</v>
      </c>
      <c r="H27911" s="8" t="inlineStr">
        <is>
          <t>CLOSED</t>
        </is>
      </c>
    </row>
    <row r="27912">
      <c r="A27912" s="8" t="inlineStr">
        <is>
          <t>2026-08-06</t>
        </is>
      </c>
      <c r="B27912" s="8" t="n">
        <v>0</v>
      </c>
      <c r="C27912" s="8" t="n">
        <v>31</v>
      </c>
      <c r="D27912" s="8" t="inlineStr">
        <is>
          <t>Disneyland Park</t>
        </is>
      </c>
      <c r="E27912" s="8" t="inlineStr">
        <is>
          <t>Disneyland Railroad Discoveryland Station</t>
        </is>
      </c>
      <c r="F27912" s="8" t="inlineStr">
        <is>
          <t>STANDBY</t>
        </is>
      </c>
      <c r="G27912" s="8" t="n">
        <v>0</v>
      </c>
      <c r="H27912" s="8" t="inlineStr">
        <is>
          <t>CLOSED</t>
        </is>
      </c>
    </row>
    <row r="27913">
      <c r="A27913" s="8" t="inlineStr">
        <is>
          <t>2026-08-06</t>
        </is>
      </c>
      <c r="B27913" s="8" t="n">
        <v>0</v>
      </c>
      <c r="C27913" s="8" t="n">
        <v>31</v>
      </c>
      <c r="D27913" s="8" t="inlineStr">
        <is>
          <t>Disneyland Park</t>
        </is>
      </c>
      <c r="E27913" s="8" t="inlineStr">
        <is>
          <t>Les Mystères du Nautilus</t>
        </is>
      </c>
      <c r="F27913" s="8" t="inlineStr">
        <is>
          <t>STANDBY</t>
        </is>
      </c>
      <c r="G27913" s="8" t="n">
        <v>0</v>
      </c>
      <c r="H27913" s="8" t="inlineStr">
        <is>
          <t>CLOSED</t>
        </is>
      </c>
    </row>
    <row r="27914">
      <c r="A27914" s="8" t="inlineStr">
        <is>
          <t>2026-08-06</t>
        </is>
      </c>
      <c r="B27914" s="8" t="n">
        <v>0</v>
      </c>
      <c r="C27914" s="8" t="n">
        <v>31</v>
      </c>
      <c r="D27914" s="8" t="inlineStr">
        <is>
          <t>Disneyland Park</t>
        </is>
      </c>
      <c r="E27914" s="8" t="inlineStr">
        <is>
          <t>Mickey’s PhilharMagic</t>
        </is>
      </c>
      <c r="F27914" s="8" t="inlineStr">
        <is>
          <t>STANDBY</t>
        </is>
      </c>
      <c r="G27914" s="8" t="n">
        <v>0</v>
      </c>
      <c r="H27914" s="8" t="inlineStr">
        <is>
          <t>CLOSED</t>
        </is>
      </c>
    </row>
    <row r="27915">
      <c r="A27915" s="8" t="inlineStr">
        <is>
          <t>2026-08-06</t>
        </is>
      </c>
      <c r="B27915" s="8" t="n">
        <v>0</v>
      </c>
      <c r="C27915" s="8" t="n">
        <v>31</v>
      </c>
      <c r="D27915" s="8" t="inlineStr">
        <is>
          <t>Disneyland Park</t>
        </is>
      </c>
      <c r="E27915" s="8" t="inlineStr">
        <is>
          <t>Orbitron®</t>
        </is>
      </c>
      <c r="F27915" s="8" t="inlineStr">
        <is>
          <t>STANDBY</t>
        </is>
      </c>
      <c r="G27915" s="8" t="n">
        <v>0</v>
      </c>
      <c r="H27915" s="8" t="inlineStr">
        <is>
          <t>CLOSED</t>
        </is>
      </c>
    </row>
    <row r="27916">
      <c r="A27916" s="8" t="inlineStr">
        <is>
          <t>2026-08-06</t>
        </is>
      </c>
      <c r="B27916" s="8" t="n">
        <v>0</v>
      </c>
      <c r="C27916" s="8" t="n">
        <v>31</v>
      </c>
      <c r="D27916" s="8" t="inlineStr">
        <is>
          <t>Disneyland Park</t>
        </is>
      </c>
      <c r="E27916" s="8" t="inlineStr">
        <is>
          <t>Star Tours: The Adventures Continue*</t>
        </is>
      </c>
      <c r="F27916" s="8" t="inlineStr">
        <is>
          <t>STANDBY</t>
        </is>
      </c>
      <c r="G27916" s="8" t="n">
        <v>0</v>
      </c>
      <c r="H27916" s="8" t="inlineStr">
        <is>
          <t>CLOSED</t>
        </is>
      </c>
    </row>
    <row r="27917">
      <c r="A27917" s="8" t="inlineStr">
        <is>
          <t>2026-08-06</t>
        </is>
      </c>
      <c r="B27917" s="8" t="n">
        <v>0</v>
      </c>
      <c r="C27917" s="8" t="n">
        <v>31</v>
      </c>
      <c r="D27917" s="8" t="inlineStr">
        <is>
          <t>Disneyland Park</t>
        </is>
      </c>
      <c r="E27917" s="8" t="inlineStr">
        <is>
          <t>Star Wars Hyperspace Mountain</t>
        </is>
      </c>
      <c r="F27917" s="8" t="inlineStr">
        <is>
          <t>STANDBY</t>
        </is>
      </c>
      <c r="G27917" s="8" t="n">
        <v>0</v>
      </c>
      <c r="H27917" s="8" t="inlineStr">
        <is>
          <t>CLOSED</t>
        </is>
      </c>
    </row>
    <row r="27918">
      <c r="A27918" s="8" t="inlineStr">
        <is>
          <t>2026-08-06</t>
        </is>
      </c>
      <c r="B27918" s="8" t="n">
        <v>0</v>
      </c>
      <c r="C27918" s="8" t="n">
        <v>31</v>
      </c>
      <c r="D27918" s="8" t="inlineStr">
        <is>
          <t>Disneyland Park</t>
        </is>
      </c>
      <c r="E27918" s="8" t="inlineStr">
        <is>
          <t>Star Wars Hyperspace Mountain Single Rider</t>
        </is>
      </c>
      <c r="F27918" s="8" t="inlineStr">
        <is>
          <t>STANDBY</t>
        </is>
      </c>
      <c r="G27918" s="8" t="n">
        <v>0</v>
      </c>
      <c r="H27918" s="8" t="inlineStr">
        <is>
          <t>CLOSED</t>
        </is>
      </c>
    </row>
    <row r="27919">
      <c r="A27919" s="8" t="inlineStr">
        <is>
          <t>2026-08-06</t>
        </is>
      </c>
      <c r="B27919" s="8" t="n">
        <v>0</v>
      </c>
      <c r="C27919" s="8" t="n">
        <v>31</v>
      </c>
      <c r="D27919" s="8" t="inlineStr">
        <is>
          <t>Disneyland Park</t>
        </is>
      </c>
      <c r="E27919" s="8" t="inlineStr">
        <is>
          <t>Welcome to Starport: A Star Wars Encounter</t>
        </is>
      </c>
      <c r="F27919" s="8" t="inlineStr">
        <is>
          <t>STANDBY</t>
        </is>
      </c>
      <c r="G27919" s="8" t="n">
        <v>0</v>
      </c>
      <c r="H27919" s="8" t="inlineStr">
        <is>
          <t>CLOSED</t>
        </is>
      </c>
    </row>
    <row r="27920">
      <c r="A27920" s="8" t="inlineStr">
        <is>
          <t>2026-08-06</t>
        </is>
      </c>
      <c r="B27920" s="8" t="n">
        <v>0</v>
      </c>
      <c r="C27920" s="8" t="n">
        <v>31</v>
      </c>
      <c r="D27920" s="8" t="inlineStr">
        <is>
          <t>Disneyland Park</t>
        </is>
      </c>
      <c r="E27920" s="8" t="inlineStr">
        <is>
          <t>"it's a small world"</t>
        </is>
      </c>
      <c r="F27920" s="8" t="inlineStr">
        <is>
          <t>STANDBY</t>
        </is>
      </c>
      <c r="G27920" s="8" t="n">
        <v>0</v>
      </c>
      <c r="H27920" s="8" t="inlineStr">
        <is>
          <t>CLOSED</t>
        </is>
      </c>
    </row>
    <row r="27921">
      <c r="A27921" s="8" t="inlineStr">
        <is>
          <t>2026-08-06</t>
        </is>
      </c>
      <c r="B27921" s="8" t="n">
        <v>0</v>
      </c>
      <c r="C27921" s="8" t="n">
        <v>31</v>
      </c>
      <c r="D27921" s="8" t="inlineStr">
        <is>
          <t>Disneyland Park</t>
        </is>
      </c>
      <c r="E27921" s="8" t="inlineStr">
        <is>
          <t>Alice's Curious Labyrinth</t>
        </is>
      </c>
      <c r="F27921" s="8" t="inlineStr">
        <is>
          <t>STANDBY</t>
        </is>
      </c>
      <c r="G27921" s="8" t="n">
        <v>0</v>
      </c>
      <c r="H27921" s="8" t="inlineStr">
        <is>
          <t>CLOSED</t>
        </is>
      </c>
    </row>
    <row r="27922">
      <c r="A27922" s="8" t="inlineStr">
        <is>
          <t>2026-08-06</t>
        </is>
      </c>
      <c r="B27922" s="8" t="n">
        <v>0</v>
      </c>
      <c r="C27922" s="8" t="n">
        <v>31</v>
      </c>
      <c r="D27922" s="8" t="inlineStr">
        <is>
          <t>Disneyland Park</t>
        </is>
      </c>
      <c r="E27922" s="8" t="inlineStr">
        <is>
          <t>Blanche-Neige et les Sept Nains®</t>
        </is>
      </c>
      <c r="F27922" s="8" t="inlineStr">
        <is>
          <t>STANDBY</t>
        </is>
      </c>
      <c r="G27922" s="8" t="n">
        <v>0</v>
      </c>
      <c r="H27922" s="8" t="inlineStr">
        <is>
          <t>CLOSED</t>
        </is>
      </c>
    </row>
    <row r="27923">
      <c r="A27923" s="8" t="inlineStr">
        <is>
          <t>2026-08-06</t>
        </is>
      </c>
      <c r="B27923" s="8" t="n">
        <v>0</v>
      </c>
      <c r="C27923" s="8" t="n">
        <v>31</v>
      </c>
      <c r="D27923" s="8" t="inlineStr">
        <is>
          <t>Disneyland Park</t>
        </is>
      </c>
      <c r="E27923" s="8" t="inlineStr">
        <is>
          <t>Casey Jr. – le Petit Train du Cirque</t>
        </is>
      </c>
      <c r="F27923" s="8" t="inlineStr">
        <is>
          <t>STANDBY</t>
        </is>
      </c>
      <c r="G27923" s="8" t="n">
        <v>0</v>
      </c>
      <c r="H27923" s="8" t="inlineStr">
        <is>
          <t>CLOSED</t>
        </is>
      </c>
    </row>
    <row r="27924">
      <c r="A27924" s="8" t="inlineStr">
        <is>
          <t>2026-08-06</t>
        </is>
      </c>
      <c r="B27924" s="8" t="n">
        <v>0</v>
      </c>
      <c r="C27924" s="8" t="n">
        <v>31</v>
      </c>
      <c r="D27924" s="8" t="inlineStr">
        <is>
          <t>Disneyland Park</t>
        </is>
      </c>
      <c r="E27924" s="8" t="inlineStr">
        <is>
          <t>Disneyland Railroad Fantasyland Station</t>
        </is>
      </c>
      <c r="F27924" s="8" t="inlineStr">
        <is>
          <t>STANDBY</t>
        </is>
      </c>
      <c r="G27924" s="8" t="n">
        <v>0</v>
      </c>
      <c r="H27924" s="8" t="inlineStr">
        <is>
          <t>CLOSED</t>
        </is>
      </c>
    </row>
    <row r="27925">
      <c r="A27925" s="8" t="inlineStr">
        <is>
          <t>2026-08-06</t>
        </is>
      </c>
      <c r="B27925" s="8" t="n">
        <v>0</v>
      </c>
      <c r="C27925" s="8" t="n">
        <v>31</v>
      </c>
      <c r="D27925" s="8" t="inlineStr">
        <is>
          <t>Disneyland Park</t>
        </is>
      </c>
      <c r="E27925" s="8" t="inlineStr">
        <is>
          <t>Disneyland Railroad Main Street Station</t>
        </is>
      </c>
      <c r="F27925" s="8" t="inlineStr">
        <is>
          <t>STANDBY</t>
        </is>
      </c>
      <c r="G27925" s="8" t="n">
        <v>0</v>
      </c>
      <c r="H27925" s="8" t="inlineStr">
        <is>
          <t>CLOSED</t>
        </is>
      </c>
    </row>
    <row r="27926">
      <c r="A27926" s="8" t="inlineStr">
        <is>
          <t>2026-08-06</t>
        </is>
      </c>
      <c r="B27926" s="8" t="n">
        <v>0</v>
      </c>
      <c r="C27926" s="8" t="n">
        <v>31</v>
      </c>
      <c r="D27926" s="8" t="inlineStr">
        <is>
          <t>Disneyland Park</t>
        </is>
      </c>
      <c r="E27926" s="8" t="inlineStr">
        <is>
          <t>Dumbo the Flying Elephant</t>
        </is>
      </c>
      <c r="F27926" s="8" t="inlineStr">
        <is>
          <t>STANDBY</t>
        </is>
      </c>
      <c r="G27926" s="8" t="n">
        <v>0</v>
      </c>
      <c r="H27926" s="8" t="inlineStr">
        <is>
          <t>CLOSED</t>
        </is>
      </c>
    </row>
    <row r="27927">
      <c r="A27927" s="8" t="inlineStr">
        <is>
          <t>2026-08-06</t>
        </is>
      </c>
      <c r="B27927" s="8" t="n">
        <v>0</v>
      </c>
      <c r="C27927" s="8" t="n">
        <v>31</v>
      </c>
      <c r="D27927" s="8" t="inlineStr">
        <is>
          <t>Disneyland Park</t>
        </is>
      </c>
      <c r="E27927" s="8" t="inlineStr">
        <is>
          <t>La Tanière du Dragon</t>
        </is>
      </c>
      <c r="F27927" s="8" t="inlineStr">
        <is>
          <t>STANDBY</t>
        </is>
      </c>
      <c r="G27927" s="8" t="n">
        <v>0</v>
      </c>
      <c r="H27927" s="8" t="inlineStr">
        <is>
          <t>CLOSED</t>
        </is>
      </c>
    </row>
    <row r="27928">
      <c r="A27928" s="8" t="inlineStr">
        <is>
          <t>2026-08-06</t>
        </is>
      </c>
      <c r="B27928" s="8" t="n">
        <v>0</v>
      </c>
      <c r="C27928" s="8" t="n">
        <v>31</v>
      </c>
      <c r="D27928" s="8" t="inlineStr">
        <is>
          <t>Disneyland Park</t>
        </is>
      </c>
      <c r="E27928" s="8" t="inlineStr">
        <is>
          <t>Le Carrousel de Lancelot</t>
        </is>
      </c>
      <c r="F27928" s="8" t="inlineStr">
        <is>
          <t>STANDBY</t>
        </is>
      </c>
      <c r="G27928" s="8" t="n">
        <v>0</v>
      </c>
      <c r="H27928" s="8" t="inlineStr">
        <is>
          <t>CLOSED</t>
        </is>
      </c>
    </row>
    <row r="27929">
      <c r="A27929" s="8" t="inlineStr">
        <is>
          <t>2026-08-06</t>
        </is>
      </c>
      <c r="B27929" s="8" t="n">
        <v>0</v>
      </c>
      <c r="C27929" s="8" t="n">
        <v>31</v>
      </c>
      <c r="D27929" s="8" t="inlineStr">
        <is>
          <t>Disneyland Park</t>
        </is>
      </c>
      <c r="E27929" s="8" t="inlineStr">
        <is>
          <t>Le Pays des Contes de Fées, presented by Vittel</t>
        </is>
      </c>
      <c r="F27929" s="8" t="inlineStr">
        <is>
          <t>STANDBY</t>
        </is>
      </c>
      <c r="G27929" s="8" t="n">
        <v>0</v>
      </c>
      <c r="H27929" s="8" t="inlineStr">
        <is>
          <t>CLOSED</t>
        </is>
      </c>
    </row>
    <row r="27930">
      <c r="A27930" s="8" t="inlineStr">
        <is>
          <t>2026-08-06</t>
        </is>
      </c>
      <c r="B27930" s="8" t="n">
        <v>0</v>
      </c>
      <c r="C27930" s="8" t="n">
        <v>31</v>
      </c>
      <c r="D27930" s="8" t="inlineStr">
        <is>
          <t>Disneyland Park</t>
        </is>
      </c>
      <c r="E27930" s="8" t="inlineStr">
        <is>
          <t>Les Voyages de Pinocchio</t>
        </is>
      </c>
      <c r="F27930" s="8" t="inlineStr">
        <is>
          <t>STANDBY</t>
        </is>
      </c>
      <c r="G27930" s="8" t="n">
        <v>0</v>
      </c>
      <c r="H27930" s="8" t="inlineStr">
        <is>
          <t>CLOSED</t>
        </is>
      </c>
    </row>
    <row r="27931">
      <c r="A27931" s="8" t="inlineStr">
        <is>
          <t>2026-08-06</t>
        </is>
      </c>
      <c r="B27931" s="8" t="n">
        <v>0</v>
      </c>
      <c r="C27931" s="8" t="n">
        <v>31</v>
      </c>
      <c r="D27931" s="8" t="inlineStr">
        <is>
          <t>Disneyland Park</t>
        </is>
      </c>
      <c r="E27931" s="8" t="inlineStr">
        <is>
          <t>Mad Hatter's Tea Cups</t>
        </is>
      </c>
      <c r="F27931" s="8" t="inlineStr">
        <is>
          <t>STANDBY</t>
        </is>
      </c>
      <c r="G27931" s="8" t="n">
        <v>0</v>
      </c>
      <c r="H27931" s="8" t="inlineStr">
        <is>
          <t>CLOSED</t>
        </is>
      </c>
    </row>
    <row r="27932">
      <c r="A27932" s="8" t="inlineStr">
        <is>
          <t>2026-08-06</t>
        </is>
      </c>
      <c r="B27932" s="8" t="n">
        <v>0</v>
      </c>
      <c r="C27932" s="8" t="n">
        <v>31</v>
      </c>
      <c r="D27932" s="8" t="inlineStr">
        <is>
          <t>Disneyland Park</t>
        </is>
      </c>
      <c r="E27932" s="8" t="inlineStr">
        <is>
          <t>Meet Mickey Mouse</t>
        </is>
      </c>
      <c r="F27932" s="8" t="inlineStr">
        <is>
          <t>STANDBY</t>
        </is>
      </c>
      <c r="G27932" s="8" t="n">
        <v>0</v>
      </c>
      <c r="H27932" s="8" t="inlineStr">
        <is>
          <t>CLOSED</t>
        </is>
      </c>
    </row>
    <row r="27933">
      <c r="A27933" s="8" t="inlineStr">
        <is>
          <t>2026-08-06</t>
        </is>
      </c>
      <c r="B27933" s="8" t="n">
        <v>0</v>
      </c>
      <c r="C27933" s="8" t="n">
        <v>31</v>
      </c>
      <c r="D27933" s="8" t="inlineStr">
        <is>
          <t>Disneyland Park</t>
        </is>
      </c>
      <c r="E27933" s="8" t="inlineStr">
        <is>
          <t>Peter Pan's Flight</t>
        </is>
      </c>
      <c r="F27933" s="8" t="inlineStr">
        <is>
          <t>STANDBY</t>
        </is>
      </c>
      <c r="G27933" s="8" t="n">
        <v>0</v>
      </c>
      <c r="H27933" s="8" t="inlineStr">
        <is>
          <t>CLOSED</t>
        </is>
      </c>
    </row>
    <row r="27934">
      <c r="A27934" s="8" t="inlineStr">
        <is>
          <t>2026-08-06</t>
        </is>
      </c>
      <c r="B27934" s="8" t="n">
        <v>0</v>
      </c>
      <c r="C27934" s="8" t="n">
        <v>31</v>
      </c>
      <c r="D27934" s="8" t="inlineStr">
        <is>
          <t>Disneyland Park</t>
        </is>
      </c>
      <c r="E27934" s="8" t="inlineStr">
        <is>
          <t>Princess Pavilion</t>
        </is>
      </c>
      <c r="F27934" s="8" t="inlineStr">
        <is>
          <t>STANDBY</t>
        </is>
      </c>
      <c r="G27934" s="8" t="n">
        <v>0</v>
      </c>
      <c r="H27934" s="8" t="inlineStr">
        <is>
          <t>CLOSED</t>
        </is>
      </c>
    </row>
    <row r="27935">
      <c r="A27935" s="8" t="inlineStr">
        <is>
          <t>2026-08-06</t>
        </is>
      </c>
      <c r="B27935" s="8" t="n">
        <v>0</v>
      </c>
      <c r="C27935" s="8" t="n">
        <v>31</v>
      </c>
      <c r="D27935" s="8" t="inlineStr">
        <is>
          <t>Disneyland Park</t>
        </is>
      </c>
      <c r="E27935" s="8" t="inlineStr">
        <is>
          <t>Big Thunder Mountain</t>
        </is>
      </c>
      <c r="F27935" s="8" t="inlineStr">
        <is>
          <t>STANDBY</t>
        </is>
      </c>
      <c r="G27935" s="8" t="n">
        <v>0</v>
      </c>
      <c r="H27935" s="8" t="inlineStr">
        <is>
          <t>CLOSED</t>
        </is>
      </c>
    </row>
    <row r="27936">
      <c r="A27936" s="8" t="inlineStr">
        <is>
          <t>2026-08-06</t>
        </is>
      </c>
      <c r="B27936" s="8" t="n">
        <v>0</v>
      </c>
      <c r="C27936" s="8" t="n">
        <v>31</v>
      </c>
      <c r="D27936" s="8" t="inlineStr">
        <is>
          <t>Disneyland Park</t>
        </is>
      </c>
      <c r="E27936" s="8" t="inlineStr">
        <is>
          <t>Disneyland Railroad Frontierland Depot</t>
        </is>
      </c>
      <c r="F27936" s="8" t="inlineStr">
        <is>
          <t>STANDBY</t>
        </is>
      </c>
      <c r="G27936" s="8" t="n">
        <v>0</v>
      </c>
      <c r="H27936" s="8" t="inlineStr">
        <is>
          <t>CLOSED</t>
        </is>
      </c>
    </row>
    <row r="27937">
      <c r="A27937" s="8" t="inlineStr">
        <is>
          <t>2026-08-06</t>
        </is>
      </c>
      <c r="B27937" s="8" t="n">
        <v>0</v>
      </c>
      <c r="C27937" s="8" t="n">
        <v>31</v>
      </c>
      <c r="D27937" s="8" t="inlineStr">
        <is>
          <t>Disneyland Park</t>
        </is>
      </c>
      <c r="E27937" s="8" t="inlineStr">
        <is>
          <t>Frontierland Playground</t>
        </is>
      </c>
      <c r="F27937" s="8" t="inlineStr">
        <is>
          <t>STANDBY</t>
        </is>
      </c>
      <c r="G27937" s="8" t="n">
        <v>0</v>
      </c>
      <c r="H27937" s="8" t="inlineStr">
        <is>
          <t>CLOSED</t>
        </is>
      </c>
    </row>
    <row r="27938">
      <c r="A27938" s="8" t="inlineStr">
        <is>
          <t>2026-08-06</t>
        </is>
      </c>
      <c r="B27938" s="8" t="n">
        <v>0</v>
      </c>
      <c r="C27938" s="8" t="n">
        <v>31</v>
      </c>
      <c r="D27938" s="8" t="inlineStr">
        <is>
          <t>Disneyland Park</t>
        </is>
      </c>
      <c r="E27938" s="8" t="inlineStr">
        <is>
          <t>Phantom Manor</t>
        </is>
      </c>
      <c r="F27938" s="8" t="inlineStr">
        <is>
          <t>STANDBY</t>
        </is>
      </c>
      <c r="G27938" s="8" t="n">
        <v>0</v>
      </c>
      <c r="H27938" s="8" t="inlineStr">
        <is>
          <t>CLOSED</t>
        </is>
      </c>
    </row>
    <row r="27939">
      <c r="A27939" s="8" t="inlineStr">
        <is>
          <t>2026-08-06</t>
        </is>
      </c>
      <c r="B27939" s="8" t="n">
        <v>0</v>
      </c>
      <c r="C27939" s="8" t="n">
        <v>31</v>
      </c>
      <c r="D27939" s="8" t="inlineStr">
        <is>
          <t>Disneyland Park</t>
        </is>
      </c>
      <c r="E27939" s="8" t="inlineStr">
        <is>
          <t>River Rogue Keelboats</t>
        </is>
      </c>
      <c r="F27939" s="8" t="inlineStr">
        <is>
          <t>STANDBY</t>
        </is>
      </c>
      <c r="G27939" s="8" t="n">
        <v>0</v>
      </c>
      <c r="H27939" s="8" t="inlineStr">
        <is>
          <t>CLOSED</t>
        </is>
      </c>
    </row>
    <row r="27940">
      <c r="A27940" s="8" t="inlineStr">
        <is>
          <t>2026-08-06</t>
        </is>
      </c>
      <c r="B27940" s="8" t="n">
        <v>0</v>
      </c>
      <c r="C27940" s="8" t="n">
        <v>31</v>
      </c>
      <c r="D27940" s="8" t="inlineStr">
        <is>
          <t>Disneyland Park</t>
        </is>
      </c>
      <c r="E27940" s="8" t="inlineStr">
        <is>
          <t>Rustler Roundup Shootin' Gallery</t>
        </is>
      </c>
      <c r="F27940" s="8" t="inlineStr">
        <is>
          <t>STANDBY</t>
        </is>
      </c>
      <c r="G27940" s="8" t="n">
        <v>0</v>
      </c>
      <c r="H27940" s="8" t="inlineStr">
        <is>
          <t>CLOSED</t>
        </is>
      </c>
    </row>
    <row r="27941">
      <c r="A27941" s="8" t="inlineStr">
        <is>
          <t>2026-08-06</t>
        </is>
      </c>
      <c r="B27941" s="8" t="n">
        <v>0</v>
      </c>
      <c r="C27941" s="8" t="n">
        <v>31</v>
      </c>
      <c r="D27941" s="8" t="inlineStr">
        <is>
          <t>Disneyland Park</t>
        </is>
      </c>
      <c r="E27941" s="8" t="inlineStr">
        <is>
          <t>Thunder Mesa Riverboat Landing</t>
        </is>
      </c>
      <c r="F27941" s="8" t="inlineStr">
        <is>
          <t>STANDBY</t>
        </is>
      </c>
      <c r="G27941" s="8" t="n">
        <v>0</v>
      </c>
      <c r="H27941" s="8" t="inlineStr">
        <is>
          <t>CLOSED</t>
        </is>
      </c>
    </row>
    <row r="27942">
      <c r="A27942" s="8" t="inlineStr">
        <is>
          <t>2026-08-06</t>
        </is>
      </c>
      <c r="B27942" s="8" t="n">
        <v>0</v>
      </c>
      <c r="C27942" s="8" t="n">
        <v>31</v>
      </c>
      <c r="D27942" s="8" t="inlineStr">
        <is>
          <t>Disneyland Park</t>
        </is>
      </c>
      <c r="E27942" s="8" t="inlineStr">
        <is>
          <t>Disneyland Railroad Main Street Station</t>
        </is>
      </c>
      <c r="F27942" s="8" t="inlineStr">
        <is>
          <t>STANDBY</t>
        </is>
      </c>
      <c r="G27942" s="8" t="n">
        <v>0</v>
      </c>
      <c r="H27942" s="8" t="inlineStr">
        <is>
          <t>CLOSED</t>
        </is>
      </c>
    </row>
    <row r="27943">
      <c r="A27943" s="8" t="inlineStr">
        <is>
          <t>2026-08-06</t>
        </is>
      </c>
      <c r="B27943" s="8" t="n">
        <v>0</v>
      </c>
      <c r="C27943" s="8" t="n">
        <v>31</v>
      </c>
      <c r="D27943" s="8" t="inlineStr">
        <is>
          <t>Disneyland Park</t>
        </is>
      </c>
      <c r="E27943" s="8" t="inlineStr">
        <is>
          <t>Main Street Vehicles</t>
        </is>
      </c>
      <c r="F27943" s="8" t="inlineStr">
        <is>
          <t>STANDBY</t>
        </is>
      </c>
      <c r="G27943" s="8" t="n">
        <v>0</v>
      </c>
      <c r="H27943" s="8" t="inlineStr">
        <is>
          <t>CLOSED</t>
        </is>
      </c>
    </row>
    <row r="27944">
      <c r="A27944" s="8" t="inlineStr">
        <is>
          <t>2026-08-06</t>
        </is>
      </c>
      <c r="B27944" s="8" t="n">
        <v>0</v>
      </c>
      <c r="C27944" s="8" t="n">
        <v>31</v>
      </c>
      <c r="D27944" s="8" t="inlineStr">
        <is>
          <t>Disney Adventure World</t>
        </is>
      </c>
      <c r="E27944" s="8" t="inlineStr">
        <is>
          <t>Avengers Assemble: Flight Force</t>
        </is>
      </c>
      <c r="F27944" s="8" t="inlineStr">
        <is>
          <t>STANDBY</t>
        </is>
      </c>
      <c r="G27944" s="8" t="n">
        <v>0</v>
      </c>
      <c r="H27944" s="8" t="inlineStr">
        <is>
          <t>CLOSED</t>
        </is>
      </c>
    </row>
    <row r="27945">
      <c r="A27945" s="8" t="inlineStr">
        <is>
          <t>2026-08-06</t>
        </is>
      </c>
      <c r="B27945" s="8" t="n">
        <v>0</v>
      </c>
      <c r="C27945" s="8" t="n">
        <v>31</v>
      </c>
      <c r="D27945" s="8" t="inlineStr">
        <is>
          <t>Disney Adventure World</t>
        </is>
      </c>
      <c r="E27945" s="8" t="inlineStr">
        <is>
          <t>Avengers Assemble: Flight Force Single Rider</t>
        </is>
      </c>
      <c r="F27945" s="8" t="inlineStr">
        <is>
          <t>STANDBY</t>
        </is>
      </c>
      <c r="G27945" s="8" t="n">
        <v>0</v>
      </c>
      <c r="H27945" s="8" t="inlineStr">
        <is>
          <t>CLOSED</t>
        </is>
      </c>
    </row>
    <row r="27946">
      <c r="A27946" s="8" t="inlineStr">
        <is>
          <t>2026-08-06</t>
        </is>
      </c>
      <c r="B27946" s="8" t="n">
        <v>0</v>
      </c>
      <c r="C27946" s="8" t="n">
        <v>31</v>
      </c>
      <c r="D27946" s="8" t="inlineStr">
        <is>
          <t>Disney Adventure World</t>
        </is>
      </c>
      <c r="E27946" s="8" t="inlineStr">
        <is>
          <t>Spider-Man W.E.B. Adventure</t>
        </is>
      </c>
      <c r="F27946" s="8" t="inlineStr">
        <is>
          <t>STANDBY</t>
        </is>
      </c>
      <c r="G27946" s="8" t="n">
        <v>0</v>
      </c>
      <c r="H27946" s="8" t="inlineStr">
        <is>
          <t>CLOSED</t>
        </is>
      </c>
    </row>
    <row r="27947">
      <c r="A27947" s="8" t="inlineStr">
        <is>
          <t>2026-08-06</t>
        </is>
      </c>
      <c r="B27947" s="8" t="n">
        <v>0</v>
      </c>
      <c r="C27947" s="8" t="n">
        <v>31</v>
      </c>
      <c r="D27947" s="8" t="inlineStr">
        <is>
          <t>Disney Adventure World</t>
        </is>
      </c>
      <c r="E27947" s="8" t="inlineStr">
        <is>
          <t>Spider-Man W.E.B. Adventure Single Rider</t>
        </is>
      </c>
      <c r="F27947" s="8" t="inlineStr">
        <is>
          <t>STANDBY</t>
        </is>
      </c>
      <c r="G27947" s="8" t="n">
        <v>0</v>
      </c>
      <c r="H27947" s="8" t="inlineStr">
        <is>
          <t>CLOSED</t>
        </is>
      </c>
    </row>
    <row r="27948">
      <c r="A27948" s="8" t="inlineStr">
        <is>
          <t>2026-08-06</t>
        </is>
      </c>
      <c r="B27948" s="8" t="n">
        <v>0</v>
      </c>
      <c r="C27948" s="8" t="n">
        <v>31</v>
      </c>
      <c r="D27948" s="8" t="inlineStr">
        <is>
          <t>Disney Adventure World</t>
        </is>
      </c>
      <c r="E27948" s="8" t="inlineStr">
        <is>
          <t>The Twilight Zone Tower of Terror</t>
        </is>
      </c>
      <c r="F27948" s="8" t="inlineStr">
        <is>
          <t>STANDBY</t>
        </is>
      </c>
      <c r="G27948" s="8" t="n">
        <v>0</v>
      </c>
      <c r="H27948" s="8" t="inlineStr">
        <is>
          <t>CLOSED</t>
        </is>
      </c>
    </row>
    <row r="27949">
      <c r="A27949" s="8" t="inlineStr">
        <is>
          <t>2026-08-06</t>
        </is>
      </c>
      <c r="B27949" s="8" t="n">
        <v>0</v>
      </c>
      <c r="C27949" s="8" t="n">
        <v>31</v>
      </c>
      <c r="D27949" s="8" t="inlineStr">
        <is>
          <t>Disney Adventure World</t>
        </is>
      </c>
      <c r="E27949" s="8" t="inlineStr">
        <is>
          <t>Cars Quatre Roues Rallye</t>
        </is>
      </c>
      <c r="F27949" s="8" t="inlineStr">
        <is>
          <t>STANDBY</t>
        </is>
      </c>
      <c r="G27949" s="8" t="n">
        <v>0</v>
      </c>
      <c r="H27949" s="8" t="inlineStr">
        <is>
          <t>CLOSED</t>
        </is>
      </c>
    </row>
    <row r="27950">
      <c r="A27950" s="8" t="inlineStr">
        <is>
          <t>2026-08-06</t>
        </is>
      </c>
      <c r="B27950" s="8" t="n">
        <v>0</v>
      </c>
      <c r="C27950" s="8" t="n">
        <v>31</v>
      </c>
      <c r="D27950" s="8" t="inlineStr">
        <is>
          <t>Disney Adventure World</t>
        </is>
      </c>
      <c r="E27950" s="8" t="inlineStr">
        <is>
          <t>Cars ROAD TRIP</t>
        </is>
      </c>
      <c r="F27950" s="8" t="inlineStr">
        <is>
          <t>STANDBY</t>
        </is>
      </c>
      <c r="G27950" s="8" t="n">
        <v>0</v>
      </c>
      <c r="H27950" s="8" t="inlineStr">
        <is>
          <t>CLOSED</t>
        </is>
      </c>
    </row>
    <row r="27951">
      <c r="A27951" s="8" t="inlineStr">
        <is>
          <t>2026-08-06</t>
        </is>
      </c>
      <c r="B27951" s="8" t="n">
        <v>0</v>
      </c>
      <c r="C27951" s="8" t="n">
        <v>31</v>
      </c>
      <c r="D27951" s="8" t="inlineStr">
        <is>
          <t>Disney Adventure World</t>
        </is>
      </c>
      <c r="E27951" s="8" t="inlineStr">
        <is>
          <t>Crush's Coaster</t>
        </is>
      </c>
      <c r="F27951" s="8" t="inlineStr">
        <is>
          <t>STANDBY</t>
        </is>
      </c>
      <c r="G27951" s="8" t="n">
        <v>0</v>
      </c>
      <c r="H27951" s="8" t="inlineStr">
        <is>
          <t>CLOSED</t>
        </is>
      </c>
    </row>
    <row r="27952">
      <c r="A27952" s="8" t="inlineStr">
        <is>
          <t>2026-08-06</t>
        </is>
      </c>
      <c r="B27952" s="8" t="n">
        <v>0</v>
      </c>
      <c r="C27952" s="8" t="n">
        <v>31</v>
      </c>
      <c r="D27952" s="8" t="inlineStr">
        <is>
          <t>Disney Adventure World</t>
        </is>
      </c>
      <c r="E27952" s="8" t="inlineStr">
        <is>
          <t>Crush's Coaster Single Rider</t>
        </is>
      </c>
      <c r="F27952" s="8" t="inlineStr">
        <is>
          <t>STANDBY</t>
        </is>
      </c>
      <c r="G27952" s="8" t="n">
        <v>0</v>
      </c>
      <c r="H27952" s="8" t="inlineStr">
        <is>
          <t>CLOSED</t>
        </is>
      </c>
    </row>
    <row r="27953">
      <c r="A27953" s="8" t="inlineStr">
        <is>
          <t>2026-08-06</t>
        </is>
      </c>
      <c r="B27953" s="8" t="n">
        <v>0</v>
      </c>
      <c r="C27953" s="8" t="n">
        <v>31</v>
      </c>
      <c r="D27953" s="8" t="inlineStr">
        <is>
          <t>Disney Adventure World</t>
        </is>
      </c>
      <c r="E27953" s="8" t="inlineStr">
        <is>
          <t>Les Tapis Volants - Flying Carpets Over Agrabah®</t>
        </is>
      </c>
      <c r="F27953" s="8" t="inlineStr">
        <is>
          <t>STANDBY</t>
        </is>
      </c>
      <c r="G27953" s="8" t="n">
        <v>0</v>
      </c>
      <c r="H27953" s="8" t="inlineStr">
        <is>
          <t>CLOSED</t>
        </is>
      </c>
    </row>
    <row r="27954">
      <c r="A27954" s="8" t="inlineStr">
        <is>
          <t>2026-08-06</t>
        </is>
      </c>
      <c r="B27954" s="8" t="n">
        <v>0</v>
      </c>
      <c r="C27954" s="8" t="n">
        <v>31</v>
      </c>
      <c r="D27954" s="8" t="inlineStr">
        <is>
          <t>Disney Adventure World</t>
        </is>
      </c>
      <c r="E27954" s="8" t="inlineStr">
        <is>
          <t>Ratatouille : L’Aventure Totalement Toquée de Rémy​</t>
        </is>
      </c>
      <c r="F27954" s="8" t="inlineStr">
        <is>
          <t>STANDBY</t>
        </is>
      </c>
      <c r="G27954" s="8" t="n">
        <v>0</v>
      </c>
      <c r="H27954" s="8" t="inlineStr">
        <is>
          <t>CLOSED</t>
        </is>
      </c>
    </row>
    <row r="27955">
      <c r="A27955" s="8" t="inlineStr">
        <is>
          <t>2026-08-06</t>
        </is>
      </c>
      <c r="B27955" s="8" t="n">
        <v>0</v>
      </c>
      <c r="C27955" s="8" t="n">
        <v>31</v>
      </c>
      <c r="D27955" s="8" t="inlineStr">
        <is>
          <t>Disney Adventure World</t>
        </is>
      </c>
      <c r="E27955" s="8" t="inlineStr">
        <is>
          <t>Ratatouille: The Adventure Single Rider</t>
        </is>
      </c>
      <c r="F27955" s="8" t="inlineStr">
        <is>
          <t>STANDBY</t>
        </is>
      </c>
      <c r="G27955" s="8" t="n">
        <v>0</v>
      </c>
      <c r="H27955" s="8" t="inlineStr">
        <is>
          <t>CLOSED</t>
        </is>
      </c>
    </row>
    <row r="27956">
      <c r="A27956" s="8" t="inlineStr">
        <is>
          <t>2026-08-06</t>
        </is>
      </c>
      <c r="B27956" s="8" t="n">
        <v>0</v>
      </c>
      <c r="C27956" s="8" t="n">
        <v>31</v>
      </c>
      <c r="D27956" s="8" t="inlineStr">
        <is>
          <t>Disney Adventure World</t>
        </is>
      </c>
      <c r="E27956" s="8" t="inlineStr">
        <is>
          <t>RC Racer</t>
        </is>
      </c>
      <c r="F27956" s="8" t="inlineStr">
        <is>
          <t>STANDBY</t>
        </is>
      </c>
      <c r="G27956" s="8" t="n">
        <v>0</v>
      </c>
      <c r="H27956" s="8" t="inlineStr">
        <is>
          <t>CLOSED</t>
        </is>
      </c>
    </row>
    <row r="27957">
      <c r="A27957" s="8" t="inlineStr">
        <is>
          <t>2026-08-06</t>
        </is>
      </c>
      <c r="B27957" s="8" t="n">
        <v>0</v>
      </c>
      <c r="C27957" s="8" t="n">
        <v>31</v>
      </c>
      <c r="D27957" s="8" t="inlineStr">
        <is>
          <t>Disney Adventure World</t>
        </is>
      </c>
      <c r="E27957" s="8" t="inlineStr">
        <is>
          <t>RC Racer Single Rider</t>
        </is>
      </c>
      <c r="F27957" s="8" t="inlineStr">
        <is>
          <t>STANDBY</t>
        </is>
      </c>
      <c r="G27957" s="8" t="n">
        <v>0</v>
      </c>
      <c r="H27957" s="8" t="inlineStr">
        <is>
          <t>CLOSED</t>
        </is>
      </c>
    </row>
    <row r="27958">
      <c r="A27958" s="8" t="inlineStr">
        <is>
          <t>2026-08-06</t>
        </is>
      </c>
      <c r="B27958" s="8" t="n">
        <v>0</v>
      </c>
      <c r="C27958" s="8" t="n">
        <v>31</v>
      </c>
      <c r="D27958" s="8" t="inlineStr">
        <is>
          <t>Disney Adventure World</t>
        </is>
      </c>
      <c r="E27958" s="8" t="inlineStr">
        <is>
          <t>Slinky® Dog Zigzag Spin</t>
        </is>
      </c>
      <c r="F27958" s="8" t="inlineStr">
        <is>
          <t>STANDBY</t>
        </is>
      </c>
      <c r="G27958" s="8" t="n">
        <v>0</v>
      </c>
      <c r="H27958" s="8" t="inlineStr">
        <is>
          <t>CLOSED</t>
        </is>
      </c>
    </row>
    <row r="27959">
      <c r="A27959" s="8" t="inlineStr">
        <is>
          <t>2026-08-06</t>
        </is>
      </c>
      <c r="B27959" s="8" t="n">
        <v>0</v>
      </c>
      <c r="C27959" s="8" t="n">
        <v>31</v>
      </c>
      <c r="D27959" s="8" t="inlineStr">
        <is>
          <t>Disney Adventure World</t>
        </is>
      </c>
      <c r="E27959" s="8" t="inlineStr">
        <is>
          <t>Toy Soldiers Parachute Drop</t>
        </is>
      </c>
      <c r="F27959" s="8" t="inlineStr">
        <is>
          <t>STANDBY</t>
        </is>
      </c>
      <c r="G27959" s="8" t="n">
        <v>0</v>
      </c>
      <c r="H27959" s="8" t="inlineStr">
        <is>
          <t>CLOSED</t>
        </is>
      </c>
    </row>
    <row r="27960">
      <c r="A27960" s="8" t="inlineStr">
        <is>
          <t>2026-08-06</t>
        </is>
      </c>
      <c r="B27960" s="8" t="n">
        <v>0</v>
      </c>
      <c r="C27960" s="8" t="n">
        <v>31</v>
      </c>
      <c r="D27960" s="8" t="inlineStr">
        <is>
          <t>Disney Adventure World</t>
        </is>
      </c>
      <c r="E27960" s="8" t="inlineStr">
        <is>
          <t>Toy Soldiers Parachute Drop Single Rider</t>
        </is>
      </c>
      <c r="F27960" s="8" t="inlineStr">
        <is>
          <t>STANDBY</t>
        </is>
      </c>
      <c r="G27960" s="8" t="n">
        <v>0</v>
      </c>
      <c r="H27960" s="8" t="inlineStr">
        <is>
          <t>CLOSED</t>
        </is>
      </c>
    </row>
    <row r="27961">
      <c r="A27961" s="8" t="inlineStr">
        <is>
          <t>2026-08-06</t>
        </is>
      </c>
      <c r="B27961" s="8" t="n">
        <v>0</v>
      </c>
      <c r="C27961" s="8" t="n">
        <v>31</v>
      </c>
      <c r="D27961" s="8" t="inlineStr">
        <is>
          <t>Disney Adventure World</t>
        </is>
      </c>
      <c r="E27961" s="8" t="inlineStr">
        <is>
          <t>Entry to World of Frozen</t>
        </is>
      </c>
      <c r="F27961" s="8" t="inlineStr">
        <is>
          <t>STANDBY</t>
        </is>
      </c>
      <c r="G27961" s="8" t="n">
        <v>0</v>
      </c>
      <c r="H27961" s="8" t="inlineStr">
        <is>
          <t>CLOSED</t>
        </is>
      </c>
    </row>
    <row r="27962">
      <c r="A27962" s="8" t="inlineStr">
        <is>
          <t>2026-08-06</t>
        </is>
      </c>
      <c r="B27962" s="8" t="n">
        <v>0</v>
      </c>
      <c r="C27962" s="8" t="n">
        <v>31</v>
      </c>
      <c r="D27962" s="8" t="inlineStr">
        <is>
          <t>Disney Adventure World</t>
        </is>
      </c>
      <c r="E27962" s="8" t="inlineStr">
        <is>
          <t>Frozen Ever After</t>
        </is>
      </c>
      <c r="F27962" s="8" t="inlineStr">
        <is>
          <t>STANDBY</t>
        </is>
      </c>
      <c r="G27962" s="8" t="n">
        <v>0</v>
      </c>
      <c r="H27962" s="8" t="inlineStr">
        <is>
          <t>CLOSED</t>
        </is>
      </c>
    </row>
    <row r="27963">
      <c r="A27963" s="8" t="inlineStr">
        <is>
          <t>2026-08-06</t>
        </is>
      </c>
      <c r="B27963" s="8" t="n">
        <v>0</v>
      </c>
      <c r="C27963" s="8" t="n">
        <v>31</v>
      </c>
      <c r="D27963" s="8" t="inlineStr">
        <is>
          <t>Disney Adventure World</t>
        </is>
      </c>
      <c r="E27963" s="8" t="inlineStr">
        <is>
          <t>Raiponce Tangled Spin</t>
        </is>
      </c>
      <c r="F27963" s="8" t="inlineStr">
        <is>
          <t>STANDBY</t>
        </is>
      </c>
      <c r="G27963" s="8" t="n">
        <v>0</v>
      </c>
      <c r="H27963" s="8" t="inlineStr">
        <is>
          <t>CLOSED</t>
        </is>
      </c>
    </row>
    <row r="27964">
      <c r="A27964" s="8" t="inlineStr">
        <is>
          <t>2026-08-06</t>
        </is>
      </c>
      <c r="B27964" s="8" t="n">
        <v>0</v>
      </c>
      <c r="C27964" s="8" t="n">
        <v>44</v>
      </c>
      <c r="D27964" s="8" t="inlineStr">
        <is>
          <t>Disneyland Park</t>
        </is>
      </c>
      <c r="E27964" s="8" t="inlineStr">
        <is>
          <t>Adventure Isle</t>
        </is>
      </c>
      <c r="F27964" s="8" t="inlineStr">
        <is>
          <t>STANDBY</t>
        </is>
      </c>
      <c r="G27964" s="8" t="n">
        <v>0</v>
      </c>
      <c r="H27964" s="8" t="inlineStr">
        <is>
          <t>CLOSED</t>
        </is>
      </c>
    </row>
    <row r="27965">
      <c r="A27965" s="8" t="inlineStr">
        <is>
          <t>2026-08-06</t>
        </is>
      </c>
      <c r="B27965" s="8" t="n">
        <v>0</v>
      </c>
      <c r="C27965" s="8" t="n">
        <v>44</v>
      </c>
      <c r="D27965" s="8" t="inlineStr">
        <is>
          <t>Disneyland Park</t>
        </is>
      </c>
      <c r="E27965" s="8" t="inlineStr">
        <is>
          <t>Indiana Jones and the Temple of Peril Single Rider</t>
        </is>
      </c>
      <c r="F27965" s="8" t="inlineStr">
        <is>
          <t>STANDBY</t>
        </is>
      </c>
      <c r="G27965" s="8" t="n">
        <v>0</v>
      </c>
      <c r="H27965" s="8" t="inlineStr">
        <is>
          <t>CLOSED</t>
        </is>
      </c>
    </row>
    <row r="27966">
      <c r="A27966" s="8" t="inlineStr">
        <is>
          <t>2026-08-06</t>
        </is>
      </c>
      <c r="B27966" s="8" t="n">
        <v>0</v>
      </c>
      <c r="C27966" s="8" t="n">
        <v>44</v>
      </c>
      <c r="D27966" s="8" t="inlineStr">
        <is>
          <t>Disneyland Park</t>
        </is>
      </c>
      <c r="E27966" s="8" t="inlineStr">
        <is>
          <t>Indiana Jones™ and the Temple of Peril</t>
        </is>
      </c>
      <c r="F27966" s="8" t="inlineStr">
        <is>
          <t>STANDBY</t>
        </is>
      </c>
      <c r="G27966" s="8" t="n">
        <v>0</v>
      </c>
      <c r="H27966" s="8" t="inlineStr">
        <is>
          <t>CLOSED</t>
        </is>
      </c>
    </row>
    <row r="27967">
      <c r="A27967" s="8" t="inlineStr">
        <is>
          <t>2026-08-06</t>
        </is>
      </c>
      <c r="B27967" s="8" t="n">
        <v>0</v>
      </c>
      <c r="C27967" s="8" t="n">
        <v>44</v>
      </c>
      <c r="D27967" s="8" t="inlineStr">
        <is>
          <t>Disneyland Park</t>
        </is>
      </c>
      <c r="E27967" s="8" t="inlineStr">
        <is>
          <t>La Cabane des Robinson</t>
        </is>
      </c>
      <c r="F27967" s="8" t="inlineStr">
        <is>
          <t>STANDBY</t>
        </is>
      </c>
      <c r="G27967" s="8" t="n">
        <v>0</v>
      </c>
      <c r="H27967" s="8" t="inlineStr">
        <is>
          <t>CLOSED</t>
        </is>
      </c>
    </row>
    <row r="27968">
      <c r="A27968" s="8" t="inlineStr">
        <is>
          <t>2026-08-06</t>
        </is>
      </c>
      <c r="B27968" s="8" t="n">
        <v>0</v>
      </c>
      <c r="C27968" s="8" t="n">
        <v>44</v>
      </c>
      <c r="D27968" s="8" t="inlineStr">
        <is>
          <t>Disneyland Park</t>
        </is>
      </c>
      <c r="E27968" s="8" t="inlineStr">
        <is>
          <t>Le Passage Enchanté d'Aladdin</t>
        </is>
      </c>
      <c r="F27968" s="8" t="inlineStr">
        <is>
          <t>STANDBY</t>
        </is>
      </c>
      <c r="G27968" s="8" t="n">
        <v>0</v>
      </c>
      <c r="H27968" s="8" t="inlineStr">
        <is>
          <t>CLOSED</t>
        </is>
      </c>
    </row>
    <row r="27969">
      <c r="A27969" s="8" t="inlineStr">
        <is>
          <t>2026-08-06</t>
        </is>
      </c>
      <c r="B27969" s="8" t="n">
        <v>0</v>
      </c>
      <c r="C27969" s="8" t="n">
        <v>44</v>
      </c>
      <c r="D27969" s="8" t="inlineStr">
        <is>
          <t>Disneyland Park</t>
        </is>
      </c>
      <c r="E27969" s="8" t="inlineStr">
        <is>
          <t>Pirate Galleon</t>
        </is>
      </c>
      <c r="F27969" s="8" t="inlineStr">
        <is>
          <t>STANDBY</t>
        </is>
      </c>
      <c r="G27969" s="8" t="n">
        <v>0</v>
      </c>
      <c r="H27969" s="8" t="inlineStr">
        <is>
          <t>CLOSED</t>
        </is>
      </c>
    </row>
    <row r="27970">
      <c r="A27970" s="8" t="inlineStr">
        <is>
          <t>2026-08-06</t>
        </is>
      </c>
      <c r="B27970" s="8" t="n">
        <v>0</v>
      </c>
      <c r="C27970" s="8" t="n">
        <v>44</v>
      </c>
      <c r="D27970" s="8" t="inlineStr">
        <is>
          <t>Disneyland Park</t>
        </is>
      </c>
      <c r="E27970" s="8" t="inlineStr">
        <is>
          <t>Pirates of the Caribbean</t>
        </is>
      </c>
      <c r="F27970" s="8" t="inlineStr">
        <is>
          <t>STANDBY</t>
        </is>
      </c>
      <c r="G27970" s="8" t="n">
        <v>0</v>
      </c>
      <c r="H27970" s="8" t="inlineStr">
        <is>
          <t>CLOSED</t>
        </is>
      </c>
    </row>
    <row r="27971">
      <c r="A27971" s="8" t="inlineStr">
        <is>
          <t>2026-08-06</t>
        </is>
      </c>
      <c r="B27971" s="8" t="n">
        <v>0</v>
      </c>
      <c r="C27971" s="8" t="n">
        <v>44</v>
      </c>
      <c r="D27971" s="8" t="inlineStr">
        <is>
          <t>Disneyland Park</t>
        </is>
      </c>
      <c r="E27971" s="8" t="inlineStr">
        <is>
          <t>Pirates' Beach</t>
        </is>
      </c>
      <c r="F27971" s="8" t="inlineStr">
        <is>
          <t>STANDBY</t>
        </is>
      </c>
      <c r="G27971" s="8" t="n">
        <v>0</v>
      </c>
      <c r="H27971" s="8" t="inlineStr">
        <is>
          <t>CLOSED</t>
        </is>
      </c>
    </row>
    <row r="27972">
      <c r="A27972" s="8" t="inlineStr">
        <is>
          <t>2026-08-06</t>
        </is>
      </c>
      <c r="B27972" s="8" t="n">
        <v>0</v>
      </c>
      <c r="C27972" s="8" t="n">
        <v>44</v>
      </c>
      <c r="D27972" s="8" t="inlineStr">
        <is>
          <t>Disneyland Park</t>
        </is>
      </c>
      <c r="E27972" s="8" t="inlineStr">
        <is>
          <t>Autopia, presented by Avis</t>
        </is>
      </c>
      <c r="F27972" s="8" t="inlineStr">
        <is>
          <t>STANDBY</t>
        </is>
      </c>
      <c r="G27972" s="8" t="n">
        <v>0</v>
      </c>
      <c r="H27972" s="8" t="inlineStr">
        <is>
          <t>CLOSED</t>
        </is>
      </c>
    </row>
    <row r="27973">
      <c r="A27973" s="8" t="inlineStr">
        <is>
          <t>2026-08-06</t>
        </is>
      </c>
      <c r="B27973" s="8" t="n">
        <v>0</v>
      </c>
      <c r="C27973" s="8" t="n">
        <v>44</v>
      </c>
      <c r="D27973" s="8" t="inlineStr">
        <is>
          <t>Disneyland Park</t>
        </is>
      </c>
      <c r="E27973" s="8" t="inlineStr">
        <is>
          <t>Buzz Lightyear Laser Blast</t>
        </is>
      </c>
      <c r="F27973" s="8" t="inlineStr">
        <is>
          <t>STANDBY</t>
        </is>
      </c>
      <c r="G27973" s="8" t="n">
        <v>0</v>
      </c>
      <c r="H27973" s="8" t="inlineStr">
        <is>
          <t>CLOSED</t>
        </is>
      </c>
    </row>
    <row r="27974">
      <c r="A27974" s="8" t="inlineStr">
        <is>
          <t>2026-08-06</t>
        </is>
      </c>
      <c r="B27974" s="8" t="n">
        <v>0</v>
      </c>
      <c r="C27974" s="8" t="n">
        <v>44</v>
      </c>
      <c r="D27974" s="8" t="inlineStr">
        <is>
          <t>Disneyland Park</t>
        </is>
      </c>
      <c r="E27974" s="8" t="inlineStr">
        <is>
          <t>Disneyland Railroad Discoveryland Station</t>
        </is>
      </c>
      <c r="F27974" s="8" t="inlineStr">
        <is>
          <t>STANDBY</t>
        </is>
      </c>
      <c r="G27974" s="8" t="n">
        <v>0</v>
      </c>
      <c r="H27974" s="8" t="inlineStr">
        <is>
          <t>CLOSED</t>
        </is>
      </c>
    </row>
    <row r="27975">
      <c r="A27975" s="8" t="inlineStr">
        <is>
          <t>2026-08-06</t>
        </is>
      </c>
      <c r="B27975" s="8" t="n">
        <v>0</v>
      </c>
      <c r="C27975" s="8" t="n">
        <v>44</v>
      </c>
      <c r="D27975" s="8" t="inlineStr">
        <is>
          <t>Disneyland Park</t>
        </is>
      </c>
      <c r="E27975" s="8" t="inlineStr">
        <is>
          <t>Les Mystères du Nautilus</t>
        </is>
      </c>
      <c r="F27975" s="8" t="inlineStr">
        <is>
          <t>STANDBY</t>
        </is>
      </c>
      <c r="G27975" s="8" t="n">
        <v>0</v>
      </c>
      <c r="H27975" s="8" t="inlineStr">
        <is>
          <t>CLOSED</t>
        </is>
      </c>
    </row>
    <row r="27976">
      <c r="A27976" s="8" t="inlineStr">
        <is>
          <t>2026-08-06</t>
        </is>
      </c>
      <c r="B27976" s="8" t="n">
        <v>0</v>
      </c>
      <c r="C27976" s="8" t="n">
        <v>44</v>
      </c>
      <c r="D27976" s="8" t="inlineStr">
        <is>
          <t>Disneyland Park</t>
        </is>
      </c>
      <c r="E27976" s="8" t="inlineStr">
        <is>
          <t>Mickey’s PhilharMagic</t>
        </is>
      </c>
      <c r="F27976" s="8" t="inlineStr">
        <is>
          <t>STANDBY</t>
        </is>
      </c>
      <c r="G27976" s="8" t="n">
        <v>0</v>
      </c>
      <c r="H27976" s="8" t="inlineStr">
        <is>
          <t>CLOSED</t>
        </is>
      </c>
    </row>
    <row r="27977">
      <c r="A27977" s="8" t="inlineStr">
        <is>
          <t>2026-08-06</t>
        </is>
      </c>
      <c r="B27977" s="8" t="n">
        <v>0</v>
      </c>
      <c r="C27977" s="8" t="n">
        <v>44</v>
      </c>
      <c r="D27977" s="8" t="inlineStr">
        <is>
          <t>Disneyland Park</t>
        </is>
      </c>
      <c r="E27977" s="8" t="inlineStr">
        <is>
          <t>Orbitron®</t>
        </is>
      </c>
      <c r="F27977" s="8" t="inlineStr">
        <is>
          <t>STANDBY</t>
        </is>
      </c>
      <c r="G27977" s="8" t="n">
        <v>0</v>
      </c>
      <c r="H27977" s="8" t="inlineStr">
        <is>
          <t>CLOSED</t>
        </is>
      </c>
    </row>
    <row r="27978">
      <c r="A27978" s="8" t="inlineStr">
        <is>
          <t>2026-08-06</t>
        </is>
      </c>
      <c r="B27978" s="8" t="n">
        <v>0</v>
      </c>
      <c r="C27978" s="8" t="n">
        <v>44</v>
      </c>
      <c r="D27978" s="8" t="inlineStr">
        <is>
          <t>Disneyland Park</t>
        </is>
      </c>
      <c r="E27978" s="8" t="inlineStr">
        <is>
          <t>Star Tours: The Adventures Continue*</t>
        </is>
      </c>
      <c r="F27978" s="8" t="inlineStr">
        <is>
          <t>STANDBY</t>
        </is>
      </c>
      <c r="G27978" s="8" t="n">
        <v>0</v>
      </c>
      <c r="H27978" s="8" t="inlineStr">
        <is>
          <t>CLOSED</t>
        </is>
      </c>
    </row>
    <row r="27979">
      <c r="A27979" s="8" t="inlineStr">
        <is>
          <t>2026-08-06</t>
        </is>
      </c>
      <c r="B27979" s="8" t="n">
        <v>0</v>
      </c>
      <c r="C27979" s="8" t="n">
        <v>44</v>
      </c>
      <c r="D27979" s="8" t="inlineStr">
        <is>
          <t>Disneyland Park</t>
        </is>
      </c>
      <c r="E27979" s="8" t="inlineStr">
        <is>
          <t>Star Wars Hyperspace Mountain</t>
        </is>
      </c>
      <c r="F27979" s="8" t="inlineStr">
        <is>
          <t>STANDBY</t>
        </is>
      </c>
      <c r="G27979" s="8" t="n">
        <v>0</v>
      </c>
      <c r="H27979" s="8" t="inlineStr">
        <is>
          <t>CLOSED</t>
        </is>
      </c>
    </row>
    <row r="27980">
      <c r="A27980" s="8" t="inlineStr">
        <is>
          <t>2026-08-06</t>
        </is>
      </c>
      <c r="B27980" s="8" t="n">
        <v>0</v>
      </c>
      <c r="C27980" s="8" t="n">
        <v>44</v>
      </c>
      <c r="D27980" s="8" t="inlineStr">
        <is>
          <t>Disneyland Park</t>
        </is>
      </c>
      <c r="E27980" s="8" t="inlineStr">
        <is>
          <t>Star Wars Hyperspace Mountain Single Rider</t>
        </is>
      </c>
      <c r="F27980" s="8" t="inlineStr">
        <is>
          <t>STANDBY</t>
        </is>
      </c>
      <c r="G27980" s="8" t="n">
        <v>0</v>
      </c>
      <c r="H27980" s="8" t="inlineStr">
        <is>
          <t>CLOSED</t>
        </is>
      </c>
    </row>
    <row r="27981">
      <c r="A27981" s="8" t="inlineStr">
        <is>
          <t>2026-08-06</t>
        </is>
      </c>
      <c r="B27981" s="8" t="n">
        <v>0</v>
      </c>
      <c r="C27981" s="8" t="n">
        <v>44</v>
      </c>
      <c r="D27981" s="8" t="inlineStr">
        <is>
          <t>Disneyland Park</t>
        </is>
      </c>
      <c r="E27981" s="8" t="inlineStr">
        <is>
          <t>Welcome to Starport: A Star Wars Encounter</t>
        </is>
      </c>
      <c r="F27981" s="8" t="inlineStr">
        <is>
          <t>STANDBY</t>
        </is>
      </c>
      <c r="G27981" s="8" t="n">
        <v>0</v>
      </c>
      <c r="H27981" s="8" t="inlineStr">
        <is>
          <t>CLOSED</t>
        </is>
      </c>
    </row>
    <row r="27982">
      <c r="A27982" s="8" t="inlineStr">
        <is>
          <t>2026-08-06</t>
        </is>
      </c>
      <c r="B27982" s="8" t="n">
        <v>0</v>
      </c>
      <c r="C27982" s="8" t="n">
        <v>44</v>
      </c>
      <c r="D27982" s="8" t="inlineStr">
        <is>
          <t>Disneyland Park</t>
        </is>
      </c>
      <c r="E27982" s="8" t="inlineStr">
        <is>
          <t>"it's a small world"</t>
        </is>
      </c>
      <c r="F27982" s="8" t="inlineStr">
        <is>
          <t>STANDBY</t>
        </is>
      </c>
      <c r="G27982" s="8" t="n">
        <v>0</v>
      </c>
      <c r="H27982" s="8" t="inlineStr">
        <is>
          <t>CLOSED</t>
        </is>
      </c>
    </row>
    <row r="27983">
      <c r="A27983" s="8" t="inlineStr">
        <is>
          <t>2026-08-06</t>
        </is>
      </c>
      <c r="B27983" s="8" t="n">
        <v>0</v>
      </c>
      <c r="C27983" s="8" t="n">
        <v>44</v>
      </c>
      <c r="D27983" s="8" t="inlineStr">
        <is>
          <t>Disneyland Park</t>
        </is>
      </c>
      <c r="E27983" s="8" t="inlineStr">
        <is>
          <t>Alice's Curious Labyrinth</t>
        </is>
      </c>
      <c r="F27983" s="8" t="inlineStr">
        <is>
          <t>STANDBY</t>
        </is>
      </c>
      <c r="G27983" s="8" t="n">
        <v>0</v>
      </c>
      <c r="H27983" s="8" t="inlineStr">
        <is>
          <t>CLOSED</t>
        </is>
      </c>
    </row>
    <row r="27984">
      <c r="A27984" s="8" t="inlineStr">
        <is>
          <t>2026-08-06</t>
        </is>
      </c>
      <c r="B27984" s="8" t="n">
        <v>0</v>
      </c>
      <c r="C27984" s="8" t="n">
        <v>44</v>
      </c>
      <c r="D27984" s="8" t="inlineStr">
        <is>
          <t>Disneyland Park</t>
        </is>
      </c>
      <c r="E27984" s="8" t="inlineStr">
        <is>
          <t>Blanche-Neige et les Sept Nains®</t>
        </is>
      </c>
      <c r="F27984" s="8" t="inlineStr">
        <is>
          <t>STANDBY</t>
        </is>
      </c>
      <c r="G27984" s="8" t="n">
        <v>0</v>
      </c>
      <c r="H27984" s="8" t="inlineStr">
        <is>
          <t>CLOSED</t>
        </is>
      </c>
    </row>
    <row r="27985">
      <c r="A27985" s="8" t="inlineStr">
        <is>
          <t>2026-08-06</t>
        </is>
      </c>
      <c r="B27985" s="8" t="n">
        <v>0</v>
      </c>
      <c r="C27985" s="8" t="n">
        <v>44</v>
      </c>
      <c r="D27985" s="8" t="inlineStr">
        <is>
          <t>Disneyland Park</t>
        </is>
      </c>
      <c r="E27985" s="8" t="inlineStr">
        <is>
          <t>Casey Jr. – le Petit Train du Cirque</t>
        </is>
      </c>
      <c r="F27985" s="8" t="inlineStr">
        <is>
          <t>STANDBY</t>
        </is>
      </c>
      <c r="G27985" s="8" t="n">
        <v>0</v>
      </c>
      <c r="H27985" s="8" t="inlineStr">
        <is>
          <t>CLOSED</t>
        </is>
      </c>
    </row>
    <row r="27986">
      <c r="A27986" s="8" t="inlineStr">
        <is>
          <t>2026-08-06</t>
        </is>
      </c>
      <c r="B27986" s="8" t="n">
        <v>0</v>
      </c>
      <c r="C27986" s="8" t="n">
        <v>44</v>
      </c>
      <c r="D27986" s="8" t="inlineStr">
        <is>
          <t>Disneyland Park</t>
        </is>
      </c>
      <c r="E27986" s="8" t="inlineStr">
        <is>
          <t>Disneyland Railroad Fantasyland Station</t>
        </is>
      </c>
      <c r="F27986" s="8" t="inlineStr">
        <is>
          <t>STANDBY</t>
        </is>
      </c>
      <c r="G27986" s="8" t="n">
        <v>0</v>
      </c>
      <c r="H27986" s="8" t="inlineStr">
        <is>
          <t>CLOSED</t>
        </is>
      </c>
    </row>
    <row r="27987">
      <c r="A27987" s="8" t="inlineStr">
        <is>
          <t>2026-08-06</t>
        </is>
      </c>
      <c r="B27987" s="8" t="n">
        <v>0</v>
      </c>
      <c r="C27987" s="8" t="n">
        <v>44</v>
      </c>
      <c r="D27987" s="8" t="inlineStr">
        <is>
          <t>Disneyland Park</t>
        </is>
      </c>
      <c r="E27987" s="8" t="inlineStr">
        <is>
          <t>Disneyland Railroad Main Street Station</t>
        </is>
      </c>
      <c r="F27987" s="8" t="inlineStr">
        <is>
          <t>STANDBY</t>
        </is>
      </c>
      <c r="G27987" s="8" t="n">
        <v>0</v>
      </c>
      <c r="H27987" s="8" t="inlineStr">
        <is>
          <t>CLOSED</t>
        </is>
      </c>
    </row>
    <row r="27988">
      <c r="A27988" s="8" t="inlineStr">
        <is>
          <t>2026-08-06</t>
        </is>
      </c>
      <c r="B27988" s="8" t="n">
        <v>0</v>
      </c>
      <c r="C27988" s="8" t="n">
        <v>44</v>
      </c>
      <c r="D27988" s="8" t="inlineStr">
        <is>
          <t>Disneyland Park</t>
        </is>
      </c>
      <c r="E27988" s="8" t="inlineStr">
        <is>
          <t>Dumbo the Flying Elephant</t>
        </is>
      </c>
      <c r="F27988" s="8" t="inlineStr">
        <is>
          <t>STANDBY</t>
        </is>
      </c>
      <c r="G27988" s="8" t="n">
        <v>0</v>
      </c>
      <c r="H27988" s="8" t="inlineStr">
        <is>
          <t>CLOSED</t>
        </is>
      </c>
    </row>
    <row r="27989">
      <c r="A27989" s="8" t="inlineStr">
        <is>
          <t>2026-08-06</t>
        </is>
      </c>
      <c r="B27989" s="8" t="n">
        <v>0</v>
      </c>
      <c r="C27989" s="8" t="n">
        <v>44</v>
      </c>
      <c r="D27989" s="8" t="inlineStr">
        <is>
          <t>Disneyland Park</t>
        </is>
      </c>
      <c r="E27989" s="8" t="inlineStr">
        <is>
          <t>La Tanière du Dragon</t>
        </is>
      </c>
      <c r="F27989" s="8" t="inlineStr">
        <is>
          <t>STANDBY</t>
        </is>
      </c>
      <c r="G27989" s="8" t="n">
        <v>0</v>
      </c>
      <c r="H27989" s="8" t="inlineStr">
        <is>
          <t>CLOSED</t>
        </is>
      </c>
    </row>
    <row r="27990">
      <c r="A27990" s="8" t="inlineStr">
        <is>
          <t>2026-08-06</t>
        </is>
      </c>
      <c r="B27990" s="8" t="n">
        <v>0</v>
      </c>
      <c r="C27990" s="8" t="n">
        <v>44</v>
      </c>
      <c r="D27990" s="8" t="inlineStr">
        <is>
          <t>Disneyland Park</t>
        </is>
      </c>
      <c r="E27990" s="8" t="inlineStr">
        <is>
          <t>Le Carrousel de Lancelot</t>
        </is>
      </c>
      <c r="F27990" s="8" t="inlineStr">
        <is>
          <t>STANDBY</t>
        </is>
      </c>
      <c r="G27990" s="8" t="n">
        <v>0</v>
      </c>
      <c r="H27990" s="8" t="inlineStr">
        <is>
          <t>CLOSED</t>
        </is>
      </c>
    </row>
    <row r="27991">
      <c r="A27991" s="8" t="inlineStr">
        <is>
          <t>2026-08-06</t>
        </is>
      </c>
      <c r="B27991" s="8" t="n">
        <v>0</v>
      </c>
      <c r="C27991" s="8" t="n">
        <v>44</v>
      </c>
      <c r="D27991" s="8" t="inlineStr">
        <is>
          <t>Disneyland Park</t>
        </is>
      </c>
      <c r="E27991" s="8" t="inlineStr">
        <is>
          <t>Le Pays des Contes de Fées, presented by Vittel</t>
        </is>
      </c>
      <c r="F27991" s="8" t="inlineStr">
        <is>
          <t>STANDBY</t>
        </is>
      </c>
      <c r="G27991" s="8" t="n">
        <v>0</v>
      </c>
      <c r="H27991" s="8" t="inlineStr">
        <is>
          <t>CLOSED</t>
        </is>
      </c>
    </row>
    <row r="27992">
      <c r="A27992" s="8" t="inlineStr">
        <is>
          <t>2026-08-06</t>
        </is>
      </c>
      <c r="B27992" s="8" t="n">
        <v>0</v>
      </c>
      <c r="C27992" s="8" t="n">
        <v>44</v>
      </c>
      <c r="D27992" s="8" t="inlineStr">
        <is>
          <t>Disneyland Park</t>
        </is>
      </c>
      <c r="E27992" s="8" t="inlineStr">
        <is>
          <t>Les Voyages de Pinocchio</t>
        </is>
      </c>
      <c r="F27992" s="8" t="inlineStr">
        <is>
          <t>STANDBY</t>
        </is>
      </c>
      <c r="G27992" s="8" t="n">
        <v>0</v>
      </c>
      <c r="H27992" s="8" t="inlineStr">
        <is>
          <t>CLOSED</t>
        </is>
      </c>
    </row>
    <row r="27993">
      <c r="A27993" s="8" t="inlineStr">
        <is>
          <t>2026-08-06</t>
        </is>
      </c>
      <c r="B27993" s="8" t="n">
        <v>0</v>
      </c>
      <c r="C27993" s="8" t="n">
        <v>44</v>
      </c>
      <c r="D27993" s="8" t="inlineStr">
        <is>
          <t>Disneyland Park</t>
        </is>
      </c>
      <c r="E27993" s="8" t="inlineStr">
        <is>
          <t>Mad Hatter's Tea Cups</t>
        </is>
      </c>
      <c r="F27993" s="8" t="inlineStr">
        <is>
          <t>STANDBY</t>
        </is>
      </c>
      <c r="G27993" s="8" t="n">
        <v>0</v>
      </c>
      <c r="H27993" s="8" t="inlineStr">
        <is>
          <t>CLOSED</t>
        </is>
      </c>
    </row>
    <row r="27994">
      <c r="A27994" s="8" t="inlineStr">
        <is>
          <t>2026-08-06</t>
        </is>
      </c>
      <c r="B27994" s="8" t="n">
        <v>0</v>
      </c>
      <c r="C27994" s="8" t="n">
        <v>44</v>
      </c>
      <c r="D27994" s="8" t="inlineStr">
        <is>
          <t>Disneyland Park</t>
        </is>
      </c>
      <c r="E27994" s="8" t="inlineStr">
        <is>
          <t>Meet Mickey Mouse</t>
        </is>
      </c>
      <c r="F27994" s="8" t="inlineStr">
        <is>
          <t>STANDBY</t>
        </is>
      </c>
      <c r="G27994" s="8" t="n">
        <v>0</v>
      </c>
      <c r="H27994" s="8" t="inlineStr">
        <is>
          <t>CLOSED</t>
        </is>
      </c>
    </row>
    <row r="27995">
      <c r="A27995" s="8" t="inlineStr">
        <is>
          <t>2026-08-06</t>
        </is>
      </c>
      <c r="B27995" s="8" t="n">
        <v>0</v>
      </c>
      <c r="C27995" s="8" t="n">
        <v>44</v>
      </c>
      <c r="D27995" s="8" t="inlineStr">
        <is>
          <t>Disneyland Park</t>
        </is>
      </c>
      <c r="E27995" s="8" t="inlineStr">
        <is>
          <t>Peter Pan's Flight</t>
        </is>
      </c>
      <c r="F27995" s="8" t="inlineStr">
        <is>
          <t>STANDBY</t>
        </is>
      </c>
      <c r="G27995" s="8" t="n">
        <v>0</v>
      </c>
      <c r="H27995" s="8" t="inlineStr">
        <is>
          <t>CLOSED</t>
        </is>
      </c>
    </row>
    <row r="27996">
      <c r="A27996" s="8" t="inlineStr">
        <is>
          <t>2026-08-06</t>
        </is>
      </c>
      <c r="B27996" s="8" t="n">
        <v>0</v>
      </c>
      <c r="C27996" s="8" t="n">
        <v>44</v>
      </c>
      <c r="D27996" s="8" t="inlineStr">
        <is>
          <t>Disneyland Park</t>
        </is>
      </c>
      <c r="E27996" s="8" t="inlineStr">
        <is>
          <t>Princess Pavilion</t>
        </is>
      </c>
      <c r="F27996" s="8" t="inlineStr">
        <is>
          <t>STANDBY</t>
        </is>
      </c>
      <c r="G27996" s="8" t="n">
        <v>0</v>
      </c>
      <c r="H27996" s="8" t="inlineStr">
        <is>
          <t>CLOSED</t>
        </is>
      </c>
    </row>
    <row r="27997">
      <c r="A27997" s="8" t="inlineStr">
        <is>
          <t>2026-08-06</t>
        </is>
      </c>
      <c r="B27997" s="8" t="n">
        <v>0</v>
      </c>
      <c r="C27997" s="8" t="n">
        <v>44</v>
      </c>
      <c r="D27997" s="8" t="inlineStr">
        <is>
          <t>Disneyland Park</t>
        </is>
      </c>
      <c r="E27997" s="8" t="inlineStr">
        <is>
          <t>Big Thunder Mountain</t>
        </is>
      </c>
      <c r="F27997" s="8" t="inlineStr">
        <is>
          <t>STANDBY</t>
        </is>
      </c>
      <c r="G27997" s="8" t="n">
        <v>0</v>
      </c>
      <c r="H27997" s="8" t="inlineStr">
        <is>
          <t>CLOSED</t>
        </is>
      </c>
    </row>
    <row r="27998">
      <c r="A27998" s="8" t="inlineStr">
        <is>
          <t>2026-08-06</t>
        </is>
      </c>
      <c r="B27998" s="8" t="n">
        <v>0</v>
      </c>
      <c r="C27998" s="8" t="n">
        <v>44</v>
      </c>
      <c r="D27998" s="8" t="inlineStr">
        <is>
          <t>Disneyland Park</t>
        </is>
      </c>
      <c r="E27998" s="8" t="inlineStr">
        <is>
          <t>Disneyland Railroad Frontierland Depot</t>
        </is>
      </c>
      <c r="F27998" s="8" t="inlineStr">
        <is>
          <t>STANDBY</t>
        </is>
      </c>
      <c r="G27998" s="8" t="n">
        <v>0</v>
      </c>
      <c r="H27998" s="8" t="inlineStr">
        <is>
          <t>CLOSED</t>
        </is>
      </c>
    </row>
    <row r="27999">
      <c r="A27999" s="8" t="inlineStr">
        <is>
          <t>2026-08-06</t>
        </is>
      </c>
      <c r="B27999" s="8" t="n">
        <v>0</v>
      </c>
      <c r="C27999" s="8" t="n">
        <v>44</v>
      </c>
      <c r="D27999" s="8" t="inlineStr">
        <is>
          <t>Disneyland Park</t>
        </is>
      </c>
      <c r="E27999" s="8" t="inlineStr">
        <is>
          <t>Frontierland Playground</t>
        </is>
      </c>
      <c r="F27999" s="8" t="inlineStr">
        <is>
          <t>STANDBY</t>
        </is>
      </c>
      <c r="G27999" s="8" t="n">
        <v>0</v>
      </c>
      <c r="H27999" s="8" t="inlineStr">
        <is>
          <t>CLOSED</t>
        </is>
      </c>
    </row>
    <row r="28000">
      <c r="A28000" s="8" t="inlineStr">
        <is>
          <t>2026-08-06</t>
        </is>
      </c>
      <c r="B28000" s="8" t="n">
        <v>0</v>
      </c>
      <c r="C28000" s="8" t="n">
        <v>44</v>
      </c>
      <c r="D28000" s="8" t="inlineStr">
        <is>
          <t>Disneyland Park</t>
        </is>
      </c>
      <c r="E28000" s="8" t="inlineStr">
        <is>
          <t>Phantom Manor</t>
        </is>
      </c>
      <c r="F28000" s="8" t="inlineStr">
        <is>
          <t>STANDBY</t>
        </is>
      </c>
      <c r="G28000" s="8" t="n">
        <v>0</v>
      </c>
      <c r="H28000" s="8" t="inlineStr">
        <is>
          <t>CLOSED</t>
        </is>
      </c>
    </row>
    <row r="28001">
      <c r="A28001" s="8" t="inlineStr">
        <is>
          <t>2026-08-06</t>
        </is>
      </c>
      <c r="B28001" s="8" t="n">
        <v>0</v>
      </c>
      <c r="C28001" s="8" t="n">
        <v>44</v>
      </c>
      <c r="D28001" s="8" t="inlineStr">
        <is>
          <t>Disneyland Park</t>
        </is>
      </c>
      <c r="E28001" s="8" t="inlineStr">
        <is>
          <t>River Rogue Keelboats</t>
        </is>
      </c>
      <c r="F28001" s="8" t="inlineStr">
        <is>
          <t>STANDBY</t>
        </is>
      </c>
      <c r="G28001" s="8" t="n">
        <v>0</v>
      </c>
      <c r="H28001" s="8" t="inlineStr">
        <is>
          <t>CLOSED</t>
        </is>
      </c>
    </row>
    <row r="28002">
      <c r="A28002" s="8" t="inlineStr">
        <is>
          <t>2026-08-06</t>
        </is>
      </c>
      <c r="B28002" s="8" t="n">
        <v>0</v>
      </c>
      <c r="C28002" s="8" t="n">
        <v>44</v>
      </c>
      <c r="D28002" s="8" t="inlineStr">
        <is>
          <t>Disneyland Park</t>
        </is>
      </c>
      <c r="E28002" s="8" t="inlineStr">
        <is>
          <t>Rustler Roundup Shootin' Gallery</t>
        </is>
      </c>
      <c r="F28002" s="8" t="inlineStr">
        <is>
          <t>STANDBY</t>
        </is>
      </c>
      <c r="G28002" s="8" t="n">
        <v>0</v>
      </c>
      <c r="H28002" s="8" t="inlineStr">
        <is>
          <t>CLOSED</t>
        </is>
      </c>
    </row>
    <row r="28003">
      <c r="A28003" s="8" t="inlineStr">
        <is>
          <t>2026-08-06</t>
        </is>
      </c>
      <c r="B28003" s="8" t="n">
        <v>0</v>
      </c>
      <c r="C28003" s="8" t="n">
        <v>44</v>
      </c>
      <c r="D28003" s="8" t="inlineStr">
        <is>
          <t>Disneyland Park</t>
        </is>
      </c>
      <c r="E28003" s="8" t="inlineStr">
        <is>
          <t>Thunder Mesa Riverboat Landing</t>
        </is>
      </c>
      <c r="F28003" s="8" t="inlineStr">
        <is>
          <t>STANDBY</t>
        </is>
      </c>
      <c r="G28003" s="8" t="n">
        <v>0</v>
      </c>
      <c r="H28003" s="8" t="inlineStr">
        <is>
          <t>CLOSED</t>
        </is>
      </c>
    </row>
    <row r="28004">
      <c r="A28004" s="8" t="inlineStr">
        <is>
          <t>2026-08-06</t>
        </is>
      </c>
      <c r="B28004" s="8" t="n">
        <v>0</v>
      </c>
      <c r="C28004" s="8" t="n">
        <v>44</v>
      </c>
      <c r="D28004" s="8" t="inlineStr">
        <is>
          <t>Disneyland Park</t>
        </is>
      </c>
      <c r="E28004" s="8" t="inlineStr">
        <is>
          <t>Disneyland Railroad Main Street Station</t>
        </is>
      </c>
      <c r="F28004" s="8" t="inlineStr">
        <is>
          <t>STANDBY</t>
        </is>
      </c>
      <c r="G28004" s="8" t="n">
        <v>0</v>
      </c>
      <c r="H28004" s="8" t="inlineStr">
        <is>
          <t>CLOSED</t>
        </is>
      </c>
    </row>
    <row r="28005">
      <c r="A28005" s="8" t="inlineStr">
        <is>
          <t>2026-08-06</t>
        </is>
      </c>
      <c r="B28005" s="8" t="n">
        <v>0</v>
      </c>
      <c r="C28005" s="8" t="n">
        <v>44</v>
      </c>
      <c r="D28005" s="8" t="inlineStr">
        <is>
          <t>Disneyland Park</t>
        </is>
      </c>
      <c r="E28005" s="8" t="inlineStr">
        <is>
          <t>Main Street Vehicles</t>
        </is>
      </c>
      <c r="F28005" s="8" t="inlineStr">
        <is>
          <t>STANDBY</t>
        </is>
      </c>
      <c r="G28005" s="8" t="n">
        <v>0</v>
      </c>
      <c r="H28005" s="8" t="inlineStr">
        <is>
          <t>CLOSED</t>
        </is>
      </c>
    </row>
    <row r="28006">
      <c r="A28006" s="8" t="inlineStr">
        <is>
          <t>2026-08-06</t>
        </is>
      </c>
      <c r="B28006" s="8" t="n">
        <v>0</v>
      </c>
      <c r="C28006" s="8" t="n">
        <v>44</v>
      </c>
      <c r="D28006" s="8" t="inlineStr">
        <is>
          <t>Disney Adventure World</t>
        </is>
      </c>
      <c r="E28006" s="8" t="inlineStr">
        <is>
          <t>Avengers Assemble: Flight Force</t>
        </is>
      </c>
      <c r="F28006" s="8" t="inlineStr">
        <is>
          <t>STANDBY</t>
        </is>
      </c>
      <c r="G28006" s="8" t="n">
        <v>0</v>
      </c>
      <c r="H28006" s="8" t="inlineStr">
        <is>
          <t>CLOSED</t>
        </is>
      </c>
    </row>
    <row r="28007">
      <c r="A28007" s="8" t="inlineStr">
        <is>
          <t>2026-08-06</t>
        </is>
      </c>
      <c r="B28007" s="8" t="n">
        <v>0</v>
      </c>
      <c r="C28007" s="8" t="n">
        <v>44</v>
      </c>
      <c r="D28007" s="8" t="inlineStr">
        <is>
          <t>Disney Adventure World</t>
        </is>
      </c>
      <c r="E28007" s="8" t="inlineStr">
        <is>
          <t>Avengers Assemble: Flight Force Single Rider</t>
        </is>
      </c>
      <c r="F28007" s="8" t="inlineStr">
        <is>
          <t>STANDBY</t>
        </is>
      </c>
      <c r="G28007" s="8" t="n">
        <v>0</v>
      </c>
      <c r="H28007" s="8" t="inlineStr">
        <is>
          <t>CLOSED</t>
        </is>
      </c>
    </row>
    <row r="28008">
      <c r="A28008" s="8" t="inlineStr">
        <is>
          <t>2026-08-06</t>
        </is>
      </c>
      <c r="B28008" s="8" t="n">
        <v>0</v>
      </c>
      <c r="C28008" s="8" t="n">
        <v>44</v>
      </c>
      <c r="D28008" s="8" t="inlineStr">
        <is>
          <t>Disney Adventure World</t>
        </is>
      </c>
      <c r="E28008" s="8" t="inlineStr">
        <is>
          <t>Spider-Man W.E.B. Adventure</t>
        </is>
      </c>
      <c r="F28008" s="8" t="inlineStr">
        <is>
          <t>STANDBY</t>
        </is>
      </c>
      <c r="G28008" s="8" t="n">
        <v>0</v>
      </c>
      <c r="H28008" s="8" t="inlineStr">
        <is>
          <t>CLOSED</t>
        </is>
      </c>
    </row>
    <row r="28009">
      <c r="A28009" s="8" t="inlineStr">
        <is>
          <t>2026-08-06</t>
        </is>
      </c>
      <c r="B28009" s="8" t="n">
        <v>0</v>
      </c>
      <c r="C28009" s="8" t="n">
        <v>44</v>
      </c>
      <c r="D28009" s="8" t="inlineStr">
        <is>
          <t>Disney Adventure World</t>
        </is>
      </c>
      <c r="E28009" s="8" t="inlineStr">
        <is>
          <t>Spider-Man W.E.B. Adventure Single Rider</t>
        </is>
      </c>
      <c r="F28009" s="8" t="inlineStr">
        <is>
          <t>STANDBY</t>
        </is>
      </c>
      <c r="G28009" s="8" t="n">
        <v>0</v>
      </c>
      <c r="H28009" s="8" t="inlineStr">
        <is>
          <t>CLOSED</t>
        </is>
      </c>
    </row>
    <row r="28010">
      <c r="A28010" s="8" t="inlineStr">
        <is>
          <t>2026-08-06</t>
        </is>
      </c>
      <c r="B28010" s="8" t="n">
        <v>0</v>
      </c>
      <c r="C28010" s="8" t="n">
        <v>44</v>
      </c>
      <c r="D28010" s="8" t="inlineStr">
        <is>
          <t>Disney Adventure World</t>
        </is>
      </c>
      <c r="E28010" s="8" t="inlineStr">
        <is>
          <t>The Twilight Zone Tower of Terror</t>
        </is>
      </c>
      <c r="F28010" s="8" t="inlineStr">
        <is>
          <t>STANDBY</t>
        </is>
      </c>
      <c r="G28010" s="8" t="n">
        <v>0</v>
      </c>
      <c r="H28010" s="8" t="inlineStr">
        <is>
          <t>CLOSED</t>
        </is>
      </c>
    </row>
    <row r="28011">
      <c r="A28011" s="8" t="inlineStr">
        <is>
          <t>2026-08-06</t>
        </is>
      </c>
      <c r="B28011" s="8" t="n">
        <v>0</v>
      </c>
      <c r="C28011" s="8" t="n">
        <v>44</v>
      </c>
      <c r="D28011" s="8" t="inlineStr">
        <is>
          <t>Disney Adventure World</t>
        </is>
      </c>
      <c r="E28011" s="8" t="inlineStr">
        <is>
          <t>Cars Quatre Roues Rallye</t>
        </is>
      </c>
      <c r="F28011" s="8" t="inlineStr">
        <is>
          <t>STANDBY</t>
        </is>
      </c>
      <c r="G28011" s="8" t="n">
        <v>0</v>
      </c>
      <c r="H28011" s="8" t="inlineStr">
        <is>
          <t>CLOSED</t>
        </is>
      </c>
    </row>
    <row r="28012">
      <c r="A28012" s="8" t="inlineStr">
        <is>
          <t>2026-08-06</t>
        </is>
      </c>
      <c r="B28012" s="8" t="n">
        <v>0</v>
      </c>
      <c r="C28012" s="8" t="n">
        <v>44</v>
      </c>
      <c r="D28012" s="8" t="inlineStr">
        <is>
          <t>Disney Adventure World</t>
        </is>
      </c>
      <c r="E28012" s="8" t="inlineStr">
        <is>
          <t>Cars ROAD TRIP</t>
        </is>
      </c>
      <c r="F28012" s="8" t="inlineStr">
        <is>
          <t>STANDBY</t>
        </is>
      </c>
      <c r="G28012" s="8" t="n">
        <v>0</v>
      </c>
      <c r="H28012" s="8" t="inlineStr">
        <is>
          <t>CLOSED</t>
        </is>
      </c>
    </row>
    <row r="28013">
      <c r="A28013" s="8" t="inlineStr">
        <is>
          <t>2026-08-06</t>
        </is>
      </c>
      <c r="B28013" s="8" t="n">
        <v>0</v>
      </c>
      <c r="C28013" s="8" t="n">
        <v>44</v>
      </c>
      <c r="D28013" s="8" t="inlineStr">
        <is>
          <t>Disney Adventure World</t>
        </is>
      </c>
      <c r="E28013" s="8" t="inlineStr">
        <is>
          <t>Crush's Coaster</t>
        </is>
      </c>
      <c r="F28013" s="8" t="inlineStr">
        <is>
          <t>STANDBY</t>
        </is>
      </c>
      <c r="G28013" s="8" t="n">
        <v>0</v>
      </c>
      <c r="H28013" s="8" t="inlineStr">
        <is>
          <t>CLOSED</t>
        </is>
      </c>
    </row>
    <row r="28014">
      <c r="A28014" s="8" t="inlineStr">
        <is>
          <t>2026-08-06</t>
        </is>
      </c>
      <c r="B28014" s="8" t="n">
        <v>0</v>
      </c>
      <c r="C28014" s="8" t="n">
        <v>44</v>
      </c>
      <c r="D28014" s="8" t="inlineStr">
        <is>
          <t>Disney Adventure World</t>
        </is>
      </c>
      <c r="E28014" s="8" t="inlineStr">
        <is>
          <t>Crush's Coaster Single Rider</t>
        </is>
      </c>
      <c r="F28014" s="8" t="inlineStr">
        <is>
          <t>STANDBY</t>
        </is>
      </c>
      <c r="G28014" s="8" t="n">
        <v>0</v>
      </c>
      <c r="H28014" s="8" t="inlineStr">
        <is>
          <t>CLOSED</t>
        </is>
      </c>
    </row>
    <row r="28015">
      <c r="A28015" s="8" t="inlineStr">
        <is>
          <t>2026-08-06</t>
        </is>
      </c>
      <c r="B28015" s="8" t="n">
        <v>0</v>
      </c>
      <c r="C28015" s="8" t="n">
        <v>44</v>
      </c>
      <c r="D28015" s="8" t="inlineStr">
        <is>
          <t>Disney Adventure World</t>
        </is>
      </c>
      <c r="E28015" s="8" t="inlineStr">
        <is>
          <t>Les Tapis Volants - Flying Carpets Over Agrabah®</t>
        </is>
      </c>
      <c r="F28015" s="8" t="inlineStr">
        <is>
          <t>STANDBY</t>
        </is>
      </c>
      <c r="G28015" s="8" t="n">
        <v>0</v>
      </c>
      <c r="H28015" s="8" t="inlineStr">
        <is>
          <t>CLOSED</t>
        </is>
      </c>
    </row>
    <row r="28016">
      <c r="A28016" s="8" t="inlineStr">
        <is>
          <t>2026-08-06</t>
        </is>
      </c>
      <c r="B28016" s="8" t="n">
        <v>0</v>
      </c>
      <c r="C28016" s="8" t="n">
        <v>44</v>
      </c>
      <c r="D28016" s="8" t="inlineStr">
        <is>
          <t>Disney Adventure World</t>
        </is>
      </c>
      <c r="E28016" s="8" t="inlineStr">
        <is>
          <t>Ratatouille : L’Aventure Totalement Toquée de Rémy​</t>
        </is>
      </c>
      <c r="F28016" s="8" t="inlineStr">
        <is>
          <t>STANDBY</t>
        </is>
      </c>
      <c r="G28016" s="8" t="n">
        <v>0</v>
      </c>
      <c r="H28016" s="8" t="inlineStr">
        <is>
          <t>CLOSED</t>
        </is>
      </c>
    </row>
    <row r="28017">
      <c r="A28017" s="8" t="inlineStr">
        <is>
          <t>2026-08-06</t>
        </is>
      </c>
      <c r="B28017" s="8" t="n">
        <v>0</v>
      </c>
      <c r="C28017" s="8" t="n">
        <v>44</v>
      </c>
      <c r="D28017" s="8" t="inlineStr">
        <is>
          <t>Disney Adventure World</t>
        </is>
      </c>
      <c r="E28017" s="8" t="inlineStr">
        <is>
          <t>Ratatouille: The Adventure Single Rider</t>
        </is>
      </c>
      <c r="F28017" s="8" t="inlineStr">
        <is>
          <t>STANDBY</t>
        </is>
      </c>
      <c r="G28017" s="8" t="n">
        <v>0</v>
      </c>
      <c r="H28017" s="8" t="inlineStr">
        <is>
          <t>CLOSED</t>
        </is>
      </c>
    </row>
    <row r="28018">
      <c r="A28018" s="8" t="inlineStr">
        <is>
          <t>2026-08-06</t>
        </is>
      </c>
      <c r="B28018" s="8" t="n">
        <v>0</v>
      </c>
      <c r="C28018" s="8" t="n">
        <v>44</v>
      </c>
      <c r="D28018" s="8" t="inlineStr">
        <is>
          <t>Disney Adventure World</t>
        </is>
      </c>
      <c r="E28018" s="8" t="inlineStr">
        <is>
          <t>RC Racer</t>
        </is>
      </c>
      <c r="F28018" s="8" t="inlineStr">
        <is>
          <t>STANDBY</t>
        </is>
      </c>
      <c r="G28018" s="8" t="n">
        <v>0</v>
      </c>
      <c r="H28018" s="8" t="inlineStr">
        <is>
          <t>CLOSED</t>
        </is>
      </c>
    </row>
    <row r="28019">
      <c r="A28019" s="8" t="inlineStr">
        <is>
          <t>2026-08-06</t>
        </is>
      </c>
      <c r="B28019" s="8" t="n">
        <v>0</v>
      </c>
      <c r="C28019" s="8" t="n">
        <v>44</v>
      </c>
      <c r="D28019" s="8" t="inlineStr">
        <is>
          <t>Disney Adventure World</t>
        </is>
      </c>
      <c r="E28019" s="8" t="inlineStr">
        <is>
          <t>RC Racer Single Rider</t>
        </is>
      </c>
      <c r="F28019" s="8" t="inlineStr">
        <is>
          <t>STANDBY</t>
        </is>
      </c>
      <c r="G28019" s="8" t="n">
        <v>0</v>
      </c>
      <c r="H28019" s="8" t="inlineStr">
        <is>
          <t>CLOSED</t>
        </is>
      </c>
    </row>
    <row r="28020">
      <c r="A28020" s="8" t="inlineStr">
        <is>
          <t>2026-08-06</t>
        </is>
      </c>
      <c r="B28020" s="8" t="n">
        <v>0</v>
      </c>
      <c r="C28020" s="8" t="n">
        <v>44</v>
      </c>
      <c r="D28020" s="8" t="inlineStr">
        <is>
          <t>Disney Adventure World</t>
        </is>
      </c>
      <c r="E28020" s="8" t="inlineStr">
        <is>
          <t>Slinky® Dog Zigzag Spin</t>
        </is>
      </c>
      <c r="F28020" s="8" t="inlineStr">
        <is>
          <t>STANDBY</t>
        </is>
      </c>
      <c r="G28020" s="8" t="n">
        <v>0</v>
      </c>
      <c r="H28020" s="8" t="inlineStr">
        <is>
          <t>CLOSED</t>
        </is>
      </c>
    </row>
    <row r="28021">
      <c r="A28021" s="8" t="inlineStr">
        <is>
          <t>2026-08-06</t>
        </is>
      </c>
      <c r="B28021" s="8" t="n">
        <v>0</v>
      </c>
      <c r="C28021" s="8" t="n">
        <v>44</v>
      </c>
      <c r="D28021" s="8" t="inlineStr">
        <is>
          <t>Disney Adventure World</t>
        </is>
      </c>
      <c r="E28021" s="8" t="inlineStr">
        <is>
          <t>Toy Soldiers Parachute Drop</t>
        </is>
      </c>
      <c r="F28021" s="8" t="inlineStr">
        <is>
          <t>STANDBY</t>
        </is>
      </c>
      <c r="G28021" s="8" t="n">
        <v>0</v>
      </c>
      <c r="H28021" s="8" t="inlineStr">
        <is>
          <t>CLOSED</t>
        </is>
      </c>
    </row>
    <row r="28022">
      <c r="A28022" s="8" t="inlineStr">
        <is>
          <t>2026-08-06</t>
        </is>
      </c>
      <c r="B28022" s="8" t="n">
        <v>0</v>
      </c>
      <c r="C28022" s="8" t="n">
        <v>44</v>
      </c>
      <c r="D28022" s="8" t="inlineStr">
        <is>
          <t>Disney Adventure World</t>
        </is>
      </c>
      <c r="E28022" s="8" t="inlineStr">
        <is>
          <t>Toy Soldiers Parachute Drop Single Rider</t>
        </is>
      </c>
      <c r="F28022" s="8" t="inlineStr">
        <is>
          <t>STANDBY</t>
        </is>
      </c>
      <c r="G28022" s="8" t="n">
        <v>0</v>
      </c>
      <c r="H28022" s="8" t="inlineStr">
        <is>
          <t>CLOSED</t>
        </is>
      </c>
    </row>
    <row r="28023">
      <c r="A28023" s="8" t="inlineStr">
        <is>
          <t>2026-08-06</t>
        </is>
      </c>
      <c r="B28023" s="8" t="n">
        <v>0</v>
      </c>
      <c r="C28023" s="8" t="n">
        <v>44</v>
      </c>
      <c r="D28023" s="8" t="inlineStr">
        <is>
          <t>Disney Adventure World</t>
        </is>
      </c>
      <c r="E28023" s="8" t="inlineStr">
        <is>
          <t>Entry to World of Frozen</t>
        </is>
      </c>
      <c r="F28023" s="8" t="inlineStr">
        <is>
          <t>STANDBY</t>
        </is>
      </c>
      <c r="G28023" s="8" t="n">
        <v>0</v>
      </c>
      <c r="H28023" s="8" t="inlineStr">
        <is>
          <t>CLOSED</t>
        </is>
      </c>
    </row>
    <row r="28024">
      <c r="A28024" s="8" t="inlineStr">
        <is>
          <t>2026-08-06</t>
        </is>
      </c>
      <c r="B28024" s="8" t="n">
        <v>0</v>
      </c>
      <c r="C28024" s="8" t="n">
        <v>44</v>
      </c>
      <c r="D28024" s="8" t="inlineStr">
        <is>
          <t>Disney Adventure World</t>
        </is>
      </c>
      <c r="E28024" s="8" t="inlineStr">
        <is>
          <t>Frozen Ever After</t>
        </is>
      </c>
      <c r="F28024" s="8" t="inlineStr">
        <is>
          <t>STANDBY</t>
        </is>
      </c>
      <c r="G28024" s="8" t="n">
        <v>0</v>
      </c>
      <c r="H28024" s="8" t="inlineStr">
        <is>
          <t>CLOSED</t>
        </is>
      </c>
    </row>
    <row r="28025">
      <c r="A28025" s="8" t="inlineStr">
        <is>
          <t>2026-08-06</t>
        </is>
      </c>
      <c r="B28025" s="8" t="n">
        <v>0</v>
      </c>
      <c r="C28025" s="8" t="n">
        <v>44</v>
      </c>
      <c r="D28025" s="8" t="inlineStr">
        <is>
          <t>Disney Adventure World</t>
        </is>
      </c>
      <c r="E28025" s="8" t="inlineStr">
        <is>
          <t>Raiponce Tangled Spin</t>
        </is>
      </c>
      <c r="F28025" s="8" t="inlineStr">
        <is>
          <t>STANDBY</t>
        </is>
      </c>
      <c r="G28025" s="8" t="n">
        <v>0</v>
      </c>
      <c r="H28025" s="8" t="inlineStr">
        <is>
          <t>CLOSED</t>
        </is>
      </c>
    </row>
    <row r="28026">
      <c r="A28026" s="8" t="inlineStr">
        <is>
          <t>2026-08-06</t>
        </is>
      </c>
      <c r="B28026" s="8" t="n">
        <v>0</v>
      </c>
      <c r="C28026" s="8" t="n">
        <v>45</v>
      </c>
      <c r="D28026" s="8" t="inlineStr">
        <is>
          <t>Disneyland Park</t>
        </is>
      </c>
      <c r="E28026" s="8" t="inlineStr">
        <is>
          <t>Adventure Isle</t>
        </is>
      </c>
      <c r="F28026" s="8" t="inlineStr">
        <is>
          <t>STANDBY</t>
        </is>
      </c>
      <c r="G28026" s="8" t="n">
        <v>0</v>
      </c>
      <c r="H28026" s="8" t="inlineStr">
        <is>
          <t>CLOSED</t>
        </is>
      </c>
    </row>
    <row r="28027">
      <c r="A28027" s="8" t="inlineStr">
        <is>
          <t>2026-08-06</t>
        </is>
      </c>
      <c r="B28027" s="8" t="n">
        <v>0</v>
      </c>
      <c r="C28027" s="8" t="n">
        <v>45</v>
      </c>
      <c r="D28027" s="8" t="inlineStr">
        <is>
          <t>Disneyland Park</t>
        </is>
      </c>
      <c r="E28027" s="8" t="inlineStr">
        <is>
          <t>Indiana Jones and the Temple of Peril Single Rider</t>
        </is>
      </c>
      <c r="F28027" s="8" t="inlineStr">
        <is>
          <t>STANDBY</t>
        </is>
      </c>
      <c r="G28027" s="8" t="n">
        <v>0</v>
      </c>
      <c r="H28027" s="8" t="inlineStr">
        <is>
          <t>CLOSED</t>
        </is>
      </c>
    </row>
    <row r="28028">
      <c r="A28028" s="8" t="inlineStr">
        <is>
          <t>2026-08-06</t>
        </is>
      </c>
      <c r="B28028" s="8" t="n">
        <v>0</v>
      </c>
      <c r="C28028" s="8" t="n">
        <v>45</v>
      </c>
      <c r="D28028" s="8" t="inlineStr">
        <is>
          <t>Disneyland Park</t>
        </is>
      </c>
      <c r="E28028" s="8" t="inlineStr">
        <is>
          <t>Indiana Jones™ and the Temple of Peril</t>
        </is>
      </c>
      <c r="F28028" s="8" t="inlineStr">
        <is>
          <t>STANDBY</t>
        </is>
      </c>
      <c r="G28028" s="8" t="n">
        <v>0</v>
      </c>
      <c r="H28028" s="8" t="inlineStr">
        <is>
          <t>CLOSED</t>
        </is>
      </c>
    </row>
    <row r="28029">
      <c r="A28029" s="8" t="inlineStr">
        <is>
          <t>2026-08-06</t>
        </is>
      </c>
      <c r="B28029" s="8" t="n">
        <v>0</v>
      </c>
      <c r="C28029" s="8" t="n">
        <v>45</v>
      </c>
      <c r="D28029" s="8" t="inlineStr">
        <is>
          <t>Disneyland Park</t>
        </is>
      </c>
      <c r="E28029" s="8" t="inlineStr">
        <is>
          <t>La Cabane des Robinson</t>
        </is>
      </c>
      <c r="F28029" s="8" t="inlineStr">
        <is>
          <t>STANDBY</t>
        </is>
      </c>
      <c r="G28029" s="8" t="n">
        <v>0</v>
      </c>
      <c r="H28029" s="8" t="inlineStr">
        <is>
          <t>CLOSED</t>
        </is>
      </c>
    </row>
    <row r="28030">
      <c r="A28030" s="8" t="inlineStr">
        <is>
          <t>2026-08-06</t>
        </is>
      </c>
      <c r="B28030" s="8" t="n">
        <v>0</v>
      </c>
      <c r="C28030" s="8" t="n">
        <v>45</v>
      </c>
      <c r="D28030" s="8" t="inlineStr">
        <is>
          <t>Disneyland Park</t>
        </is>
      </c>
      <c r="E28030" s="8" t="inlineStr">
        <is>
          <t>Le Passage Enchanté d'Aladdin</t>
        </is>
      </c>
      <c r="F28030" s="8" t="inlineStr">
        <is>
          <t>STANDBY</t>
        </is>
      </c>
      <c r="G28030" s="8" t="n">
        <v>0</v>
      </c>
      <c r="H28030" s="8" t="inlineStr">
        <is>
          <t>CLOSED</t>
        </is>
      </c>
    </row>
    <row r="28031">
      <c r="A28031" s="8" t="inlineStr">
        <is>
          <t>2026-08-06</t>
        </is>
      </c>
      <c r="B28031" s="8" t="n">
        <v>0</v>
      </c>
      <c r="C28031" s="8" t="n">
        <v>45</v>
      </c>
      <c r="D28031" s="8" t="inlineStr">
        <is>
          <t>Disneyland Park</t>
        </is>
      </c>
      <c r="E28031" s="8" t="inlineStr">
        <is>
          <t>Pirate Galleon</t>
        </is>
      </c>
      <c r="F28031" s="8" t="inlineStr">
        <is>
          <t>STANDBY</t>
        </is>
      </c>
      <c r="G28031" s="8" t="n">
        <v>0</v>
      </c>
      <c r="H28031" s="8" t="inlineStr">
        <is>
          <t>CLOSED</t>
        </is>
      </c>
    </row>
    <row r="28032">
      <c r="A28032" s="8" t="inlineStr">
        <is>
          <t>2026-08-06</t>
        </is>
      </c>
      <c r="B28032" s="8" t="n">
        <v>0</v>
      </c>
      <c r="C28032" s="8" t="n">
        <v>45</v>
      </c>
      <c r="D28032" s="8" t="inlineStr">
        <is>
          <t>Disneyland Park</t>
        </is>
      </c>
      <c r="E28032" s="8" t="inlineStr">
        <is>
          <t>Pirates of the Caribbean</t>
        </is>
      </c>
      <c r="F28032" s="8" t="inlineStr">
        <is>
          <t>STANDBY</t>
        </is>
      </c>
      <c r="G28032" s="8" t="n">
        <v>0</v>
      </c>
      <c r="H28032" s="8" t="inlineStr">
        <is>
          <t>CLOSED</t>
        </is>
      </c>
    </row>
    <row r="28033">
      <c r="A28033" s="8" t="inlineStr">
        <is>
          <t>2026-08-06</t>
        </is>
      </c>
      <c r="B28033" s="8" t="n">
        <v>0</v>
      </c>
      <c r="C28033" s="8" t="n">
        <v>45</v>
      </c>
      <c r="D28033" s="8" t="inlineStr">
        <is>
          <t>Disneyland Park</t>
        </is>
      </c>
      <c r="E28033" s="8" t="inlineStr">
        <is>
          <t>Pirates' Beach</t>
        </is>
      </c>
      <c r="F28033" s="8" t="inlineStr">
        <is>
          <t>STANDBY</t>
        </is>
      </c>
      <c r="G28033" s="8" t="n">
        <v>0</v>
      </c>
      <c r="H28033" s="8" t="inlineStr">
        <is>
          <t>CLOSED</t>
        </is>
      </c>
    </row>
    <row r="28034">
      <c r="A28034" s="8" t="inlineStr">
        <is>
          <t>2026-08-06</t>
        </is>
      </c>
      <c r="B28034" s="8" t="n">
        <v>0</v>
      </c>
      <c r="C28034" s="8" t="n">
        <v>45</v>
      </c>
      <c r="D28034" s="8" t="inlineStr">
        <is>
          <t>Disneyland Park</t>
        </is>
      </c>
      <c r="E28034" s="8" t="inlineStr">
        <is>
          <t>Autopia, presented by Avis</t>
        </is>
      </c>
      <c r="F28034" s="8" t="inlineStr">
        <is>
          <t>STANDBY</t>
        </is>
      </c>
      <c r="G28034" s="8" t="n">
        <v>0</v>
      </c>
      <c r="H28034" s="8" t="inlineStr">
        <is>
          <t>CLOSED</t>
        </is>
      </c>
    </row>
    <row r="28035">
      <c r="A28035" s="8" t="inlineStr">
        <is>
          <t>2026-08-06</t>
        </is>
      </c>
      <c r="B28035" s="8" t="n">
        <v>0</v>
      </c>
      <c r="C28035" s="8" t="n">
        <v>45</v>
      </c>
      <c r="D28035" s="8" t="inlineStr">
        <is>
          <t>Disneyland Park</t>
        </is>
      </c>
      <c r="E28035" s="8" t="inlineStr">
        <is>
          <t>Buzz Lightyear Laser Blast</t>
        </is>
      </c>
      <c r="F28035" s="8" t="inlineStr">
        <is>
          <t>STANDBY</t>
        </is>
      </c>
      <c r="G28035" s="8" t="n">
        <v>0</v>
      </c>
      <c r="H28035" s="8" t="inlineStr">
        <is>
          <t>CLOSED</t>
        </is>
      </c>
    </row>
    <row r="28036">
      <c r="A28036" s="8" t="inlineStr">
        <is>
          <t>2026-08-06</t>
        </is>
      </c>
      <c r="B28036" s="8" t="n">
        <v>0</v>
      </c>
      <c r="C28036" s="8" t="n">
        <v>45</v>
      </c>
      <c r="D28036" s="8" t="inlineStr">
        <is>
          <t>Disneyland Park</t>
        </is>
      </c>
      <c r="E28036" s="8" t="inlineStr">
        <is>
          <t>Disneyland Railroad Discoveryland Station</t>
        </is>
      </c>
      <c r="F28036" s="8" t="inlineStr">
        <is>
          <t>STANDBY</t>
        </is>
      </c>
      <c r="G28036" s="8" t="n">
        <v>0</v>
      </c>
      <c r="H28036" s="8" t="inlineStr">
        <is>
          <t>CLOSED</t>
        </is>
      </c>
    </row>
    <row r="28037">
      <c r="A28037" s="8" t="inlineStr">
        <is>
          <t>2026-08-06</t>
        </is>
      </c>
      <c r="B28037" s="8" t="n">
        <v>0</v>
      </c>
      <c r="C28037" s="8" t="n">
        <v>45</v>
      </c>
      <c r="D28037" s="8" t="inlineStr">
        <is>
          <t>Disneyland Park</t>
        </is>
      </c>
      <c r="E28037" s="8" t="inlineStr">
        <is>
          <t>Les Mystères du Nautilus</t>
        </is>
      </c>
      <c r="F28037" s="8" t="inlineStr">
        <is>
          <t>STANDBY</t>
        </is>
      </c>
      <c r="G28037" s="8" t="n">
        <v>0</v>
      </c>
      <c r="H28037" s="8" t="inlineStr">
        <is>
          <t>CLOSED</t>
        </is>
      </c>
    </row>
    <row r="28038">
      <c r="A28038" s="8" t="inlineStr">
        <is>
          <t>2026-08-06</t>
        </is>
      </c>
      <c r="B28038" s="8" t="n">
        <v>0</v>
      </c>
      <c r="C28038" s="8" t="n">
        <v>45</v>
      </c>
      <c r="D28038" s="8" t="inlineStr">
        <is>
          <t>Disneyland Park</t>
        </is>
      </c>
      <c r="E28038" s="8" t="inlineStr">
        <is>
          <t>Mickey’s PhilharMagic</t>
        </is>
      </c>
      <c r="F28038" s="8" t="inlineStr">
        <is>
          <t>STANDBY</t>
        </is>
      </c>
      <c r="G28038" s="8" t="n">
        <v>0</v>
      </c>
      <c r="H28038" s="8" t="inlineStr">
        <is>
          <t>CLOSED</t>
        </is>
      </c>
    </row>
    <row r="28039">
      <c r="A28039" s="8" t="inlineStr">
        <is>
          <t>2026-08-06</t>
        </is>
      </c>
      <c r="B28039" s="8" t="n">
        <v>0</v>
      </c>
      <c r="C28039" s="8" t="n">
        <v>45</v>
      </c>
      <c r="D28039" s="8" t="inlineStr">
        <is>
          <t>Disneyland Park</t>
        </is>
      </c>
      <c r="E28039" s="8" t="inlineStr">
        <is>
          <t>Orbitron®</t>
        </is>
      </c>
      <c r="F28039" s="8" t="inlineStr">
        <is>
          <t>STANDBY</t>
        </is>
      </c>
      <c r="G28039" s="8" t="n">
        <v>0</v>
      </c>
      <c r="H28039" s="8" t="inlineStr">
        <is>
          <t>CLOSED</t>
        </is>
      </c>
    </row>
    <row r="28040">
      <c r="A28040" s="8" t="inlineStr">
        <is>
          <t>2026-08-06</t>
        </is>
      </c>
      <c r="B28040" s="8" t="n">
        <v>0</v>
      </c>
      <c r="C28040" s="8" t="n">
        <v>45</v>
      </c>
      <c r="D28040" s="8" t="inlineStr">
        <is>
          <t>Disneyland Park</t>
        </is>
      </c>
      <c r="E28040" s="8" t="inlineStr">
        <is>
          <t>Star Tours: The Adventures Continue*</t>
        </is>
      </c>
      <c r="F28040" s="8" t="inlineStr">
        <is>
          <t>STANDBY</t>
        </is>
      </c>
      <c r="G28040" s="8" t="n">
        <v>0</v>
      </c>
      <c r="H28040" s="8" t="inlineStr">
        <is>
          <t>CLOSED</t>
        </is>
      </c>
    </row>
    <row r="28041">
      <c r="A28041" s="8" t="inlineStr">
        <is>
          <t>2026-08-06</t>
        </is>
      </c>
      <c r="B28041" s="8" t="n">
        <v>0</v>
      </c>
      <c r="C28041" s="8" t="n">
        <v>45</v>
      </c>
      <c r="D28041" s="8" t="inlineStr">
        <is>
          <t>Disneyland Park</t>
        </is>
      </c>
      <c r="E28041" s="8" t="inlineStr">
        <is>
          <t>Star Wars Hyperspace Mountain</t>
        </is>
      </c>
      <c r="F28041" s="8" t="inlineStr">
        <is>
          <t>STANDBY</t>
        </is>
      </c>
      <c r="G28041" s="8" t="n">
        <v>0</v>
      </c>
      <c r="H28041" s="8" t="inlineStr">
        <is>
          <t>CLOSED</t>
        </is>
      </c>
    </row>
    <row r="28042">
      <c r="A28042" s="8" t="inlineStr">
        <is>
          <t>2026-08-06</t>
        </is>
      </c>
      <c r="B28042" s="8" t="n">
        <v>0</v>
      </c>
      <c r="C28042" s="8" t="n">
        <v>45</v>
      </c>
      <c r="D28042" s="8" t="inlineStr">
        <is>
          <t>Disneyland Park</t>
        </is>
      </c>
      <c r="E28042" s="8" t="inlineStr">
        <is>
          <t>Star Wars Hyperspace Mountain Single Rider</t>
        </is>
      </c>
      <c r="F28042" s="8" t="inlineStr">
        <is>
          <t>STANDBY</t>
        </is>
      </c>
      <c r="G28042" s="8" t="n">
        <v>0</v>
      </c>
      <c r="H28042" s="8" t="inlineStr">
        <is>
          <t>CLOSED</t>
        </is>
      </c>
    </row>
    <row r="28043">
      <c r="A28043" s="8" t="inlineStr">
        <is>
          <t>2026-08-06</t>
        </is>
      </c>
      <c r="B28043" s="8" t="n">
        <v>0</v>
      </c>
      <c r="C28043" s="8" t="n">
        <v>45</v>
      </c>
      <c r="D28043" s="8" t="inlineStr">
        <is>
          <t>Disneyland Park</t>
        </is>
      </c>
      <c r="E28043" s="8" t="inlineStr">
        <is>
          <t>Welcome to Starport: A Star Wars Encounter</t>
        </is>
      </c>
      <c r="F28043" s="8" t="inlineStr">
        <is>
          <t>STANDBY</t>
        </is>
      </c>
      <c r="G28043" s="8" t="n">
        <v>0</v>
      </c>
      <c r="H28043" s="8" t="inlineStr">
        <is>
          <t>CLOSED</t>
        </is>
      </c>
    </row>
    <row r="28044">
      <c r="A28044" s="8" t="inlineStr">
        <is>
          <t>2026-08-06</t>
        </is>
      </c>
      <c r="B28044" s="8" t="n">
        <v>0</v>
      </c>
      <c r="C28044" s="8" t="n">
        <v>45</v>
      </c>
      <c r="D28044" s="8" t="inlineStr">
        <is>
          <t>Disneyland Park</t>
        </is>
      </c>
      <c r="E28044" s="8" t="inlineStr">
        <is>
          <t>"it's a small world"</t>
        </is>
      </c>
      <c r="F28044" s="8" t="inlineStr">
        <is>
          <t>STANDBY</t>
        </is>
      </c>
      <c r="G28044" s="8" t="n">
        <v>0</v>
      </c>
      <c r="H28044" s="8" t="inlineStr">
        <is>
          <t>CLOSED</t>
        </is>
      </c>
    </row>
    <row r="28045">
      <c r="A28045" s="8" t="inlineStr">
        <is>
          <t>2026-08-06</t>
        </is>
      </c>
      <c r="B28045" s="8" t="n">
        <v>0</v>
      </c>
      <c r="C28045" s="8" t="n">
        <v>45</v>
      </c>
      <c r="D28045" s="8" t="inlineStr">
        <is>
          <t>Disneyland Park</t>
        </is>
      </c>
      <c r="E28045" s="8" t="inlineStr">
        <is>
          <t>Alice's Curious Labyrinth</t>
        </is>
      </c>
      <c r="F28045" s="8" t="inlineStr">
        <is>
          <t>STANDBY</t>
        </is>
      </c>
      <c r="G28045" s="8" t="n">
        <v>0</v>
      </c>
      <c r="H28045" s="8" t="inlineStr">
        <is>
          <t>CLOSED</t>
        </is>
      </c>
    </row>
    <row r="28046">
      <c r="A28046" s="8" t="inlineStr">
        <is>
          <t>2026-08-06</t>
        </is>
      </c>
      <c r="B28046" s="8" t="n">
        <v>0</v>
      </c>
      <c r="C28046" s="8" t="n">
        <v>45</v>
      </c>
      <c r="D28046" s="8" t="inlineStr">
        <is>
          <t>Disneyland Park</t>
        </is>
      </c>
      <c r="E28046" s="8" t="inlineStr">
        <is>
          <t>Blanche-Neige et les Sept Nains®</t>
        </is>
      </c>
      <c r="F28046" s="8" t="inlineStr">
        <is>
          <t>STANDBY</t>
        </is>
      </c>
      <c r="G28046" s="8" t="n">
        <v>0</v>
      </c>
      <c r="H28046" s="8" t="inlineStr">
        <is>
          <t>CLOSED</t>
        </is>
      </c>
    </row>
    <row r="28047">
      <c r="A28047" s="8" t="inlineStr">
        <is>
          <t>2026-08-06</t>
        </is>
      </c>
      <c r="B28047" s="8" t="n">
        <v>0</v>
      </c>
      <c r="C28047" s="8" t="n">
        <v>45</v>
      </c>
      <c r="D28047" s="8" t="inlineStr">
        <is>
          <t>Disneyland Park</t>
        </is>
      </c>
      <c r="E28047" s="8" t="inlineStr">
        <is>
          <t>Casey Jr. – le Petit Train du Cirque</t>
        </is>
      </c>
      <c r="F28047" s="8" t="inlineStr">
        <is>
          <t>STANDBY</t>
        </is>
      </c>
      <c r="G28047" s="8" t="n">
        <v>0</v>
      </c>
      <c r="H28047" s="8" t="inlineStr">
        <is>
          <t>CLOSED</t>
        </is>
      </c>
    </row>
    <row r="28048">
      <c r="A28048" s="8" t="inlineStr">
        <is>
          <t>2026-08-06</t>
        </is>
      </c>
      <c r="B28048" s="8" t="n">
        <v>0</v>
      </c>
      <c r="C28048" s="8" t="n">
        <v>45</v>
      </c>
      <c r="D28048" s="8" t="inlineStr">
        <is>
          <t>Disneyland Park</t>
        </is>
      </c>
      <c r="E28048" s="8" t="inlineStr">
        <is>
          <t>Disneyland Railroad Fantasyland Station</t>
        </is>
      </c>
      <c r="F28048" s="8" t="inlineStr">
        <is>
          <t>STANDBY</t>
        </is>
      </c>
      <c r="G28048" s="8" t="n">
        <v>0</v>
      </c>
      <c r="H28048" s="8" t="inlineStr">
        <is>
          <t>CLOSED</t>
        </is>
      </c>
    </row>
    <row r="28049">
      <c r="A28049" s="8" t="inlineStr">
        <is>
          <t>2026-08-06</t>
        </is>
      </c>
      <c r="B28049" s="8" t="n">
        <v>0</v>
      </c>
      <c r="C28049" s="8" t="n">
        <v>45</v>
      </c>
      <c r="D28049" s="8" t="inlineStr">
        <is>
          <t>Disneyland Park</t>
        </is>
      </c>
      <c r="E28049" s="8" t="inlineStr">
        <is>
          <t>Disneyland Railroad Main Street Station</t>
        </is>
      </c>
      <c r="F28049" s="8" t="inlineStr">
        <is>
          <t>STANDBY</t>
        </is>
      </c>
      <c r="G28049" s="8" t="n">
        <v>0</v>
      </c>
      <c r="H28049" s="8" t="inlineStr">
        <is>
          <t>CLOSED</t>
        </is>
      </c>
    </row>
    <row r="28050">
      <c r="A28050" s="8" t="inlineStr">
        <is>
          <t>2026-08-06</t>
        </is>
      </c>
      <c r="B28050" s="8" t="n">
        <v>0</v>
      </c>
      <c r="C28050" s="8" t="n">
        <v>45</v>
      </c>
      <c r="D28050" s="8" t="inlineStr">
        <is>
          <t>Disneyland Park</t>
        </is>
      </c>
      <c r="E28050" s="8" t="inlineStr">
        <is>
          <t>Dumbo the Flying Elephant</t>
        </is>
      </c>
      <c r="F28050" s="8" t="inlineStr">
        <is>
          <t>STANDBY</t>
        </is>
      </c>
      <c r="G28050" s="8" t="n">
        <v>0</v>
      </c>
      <c r="H28050" s="8" t="inlineStr">
        <is>
          <t>CLOSED</t>
        </is>
      </c>
    </row>
    <row r="28051">
      <c r="A28051" s="8" t="inlineStr">
        <is>
          <t>2026-08-06</t>
        </is>
      </c>
      <c r="B28051" s="8" t="n">
        <v>0</v>
      </c>
      <c r="C28051" s="8" t="n">
        <v>45</v>
      </c>
      <c r="D28051" s="8" t="inlineStr">
        <is>
          <t>Disneyland Park</t>
        </is>
      </c>
      <c r="E28051" s="8" t="inlineStr">
        <is>
          <t>La Tanière du Dragon</t>
        </is>
      </c>
      <c r="F28051" s="8" t="inlineStr">
        <is>
          <t>STANDBY</t>
        </is>
      </c>
      <c r="G28051" s="8" t="n">
        <v>0</v>
      </c>
      <c r="H28051" s="8" t="inlineStr">
        <is>
          <t>CLOSED</t>
        </is>
      </c>
    </row>
    <row r="28052">
      <c r="A28052" s="8" t="inlineStr">
        <is>
          <t>2026-08-06</t>
        </is>
      </c>
      <c r="B28052" s="8" t="n">
        <v>0</v>
      </c>
      <c r="C28052" s="8" t="n">
        <v>45</v>
      </c>
      <c r="D28052" s="8" t="inlineStr">
        <is>
          <t>Disneyland Park</t>
        </is>
      </c>
      <c r="E28052" s="8" t="inlineStr">
        <is>
          <t>Le Carrousel de Lancelot</t>
        </is>
      </c>
      <c r="F28052" s="8" t="inlineStr">
        <is>
          <t>STANDBY</t>
        </is>
      </c>
      <c r="G28052" s="8" t="n">
        <v>0</v>
      </c>
      <c r="H28052" s="8" t="inlineStr">
        <is>
          <t>CLOSED</t>
        </is>
      </c>
    </row>
    <row r="28053">
      <c r="A28053" s="8" t="inlineStr">
        <is>
          <t>2026-08-06</t>
        </is>
      </c>
      <c r="B28053" s="8" t="n">
        <v>0</v>
      </c>
      <c r="C28053" s="8" t="n">
        <v>45</v>
      </c>
      <c r="D28053" s="8" t="inlineStr">
        <is>
          <t>Disneyland Park</t>
        </is>
      </c>
      <c r="E28053" s="8" t="inlineStr">
        <is>
          <t>Le Pays des Contes de Fées, presented by Vittel</t>
        </is>
      </c>
      <c r="F28053" s="8" t="inlineStr">
        <is>
          <t>STANDBY</t>
        </is>
      </c>
      <c r="G28053" s="8" t="n">
        <v>0</v>
      </c>
      <c r="H28053" s="8" t="inlineStr">
        <is>
          <t>CLOSED</t>
        </is>
      </c>
    </row>
    <row r="28054">
      <c r="A28054" s="8" t="inlineStr">
        <is>
          <t>2026-08-06</t>
        </is>
      </c>
      <c r="B28054" s="8" t="n">
        <v>0</v>
      </c>
      <c r="C28054" s="8" t="n">
        <v>45</v>
      </c>
      <c r="D28054" s="8" t="inlineStr">
        <is>
          <t>Disneyland Park</t>
        </is>
      </c>
      <c r="E28054" s="8" t="inlineStr">
        <is>
          <t>Les Voyages de Pinocchio</t>
        </is>
      </c>
      <c r="F28054" s="8" t="inlineStr">
        <is>
          <t>STANDBY</t>
        </is>
      </c>
      <c r="G28054" s="8" t="n">
        <v>0</v>
      </c>
      <c r="H28054" s="8" t="inlineStr">
        <is>
          <t>CLOSED</t>
        </is>
      </c>
    </row>
    <row r="28055">
      <c r="A28055" s="8" t="inlineStr">
        <is>
          <t>2026-08-06</t>
        </is>
      </c>
      <c r="B28055" s="8" t="n">
        <v>0</v>
      </c>
      <c r="C28055" s="8" t="n">
        <v>45</v>
      </c>
      <c r="D28055" s="8" t="inlineStr">
        <is>
          <t>Disneyland Park</t>
        </is>
      </c>
      <c r="E28055" s="8" t="inlineStr">
        <is>
          <t>Mad Hatter's Tea Cups</t>
        </is>
      </c>
      <c r="F28055" s="8" t="inlineStr">
        <is>
          <t>STANDBY</t>
        </is>
      </c>
      <c r="G28055" s="8" t="n">
        <v>0</v>
      </c>
      <c r="H28055" s="8" t="inlineStr">
        <is>
          <t>CLOSED</t>
        </is>
      </c>
    </row>
    <row r="28056">
      <c r="A28056" s="8" t="inlineStr">
        <is>
          <t>2026-08-06</t>
        </is>
      </c>
      <c r="B28056" s="8" t="n">
        <v>0</v>
      </c>
      <c r="C28056" s="8" t="n">
        <v>45</v>
      </c>
      <c r="D28056" s="8" t="inlineStr">
        <is>
          <t>Disneyland Park</t>
        </is>
      </c>
      <c r="E28056" s="8" t="inlineStr">
        <is>
          <t>Meet Mickey Mouse</t>
        </is>
      </c>
      <c r="F28056" s="8" t="inlineStr">
        <is>
          <t>STANDBY</t>
        </is>
      </c>
      <c r="G28056" s="8" t="n">
        <v>0</v>
      </c>
      <c r="H28056" s="8" t="inlineStr">
        <is>
          <t>CLOSED</t>
        </is>
      </c>
    </row>
    <row r="28057">
      <c r="A28057" s="8" t="inlineStr">
        <is>
          <t>2026-08-06</t>
        </is>
      </c>
      <c r="B28057" s="8" t="n">
        <v>0</v>
      </c>
      <c r="C28057" s="8" t="n">
        <v>45</v>
      </c>
      <c r="D28057" s="8" t="inlineStr">
        <is>
          <t>Disneyland Park</t>
        </is>
      </c>
      <c r="E28057" s="8" t="inlineStr">
        <is>
          <t>Peter Pan's Flight</t>
        </is>
      </c>
      <c r="F28057" s="8" t="inlineStr">
        <is>
          <t>STANDBY</t>
        </is>
      </c>
      <c r="G28057" s="8" t="n">
        <v>0</v>
      </c>
      <c r="H28057" s="8" t="inlineStr">
        <is>
          <t>CLOSED</t>
        </is>
      </c>
    </row>
    <row r="28058">
      <c r="A28058" s="8" t="inlineStr">
        <is>
          <t>2026-08-06</t>
        </is>
      </c>
      <c r="B28058" s="8" t="n">
        <v>0</v>
      </c>
      <c r="C28058" s="8" t="n">
        <v>45</v>
      </c>
      <c r="D28058" s="8" t="inlineStr">
        <is>
          <t>Disneyland Park</t>
        </is>
      </c>
      <c r="E28058" s="8" t="inlineStr">
        <is>
          <t>Princess Pavilion</t>
        </is>
      </c>
      <c r="F28058" s="8" t="inlineStr">
        <is>
          <t>STANDBY</t>
        </is>
      </c>
      <c r="G28058" s="8" t="n">
        <v>0</v>
      </c>
      <c r="H28058" s="8" t="inlineStr">
        <is>
          <t>CLOSED</t>
        </is>
      </c>
    </row>
    <row r="28059">
      <c r="A28059" s="8" t="inlineStr">
        <is>
          <t>2026-08-06</t>
        </is>
      </c>
      <c r="B28059" s="8" t="n">
        <v>0</v>
      </c>
      <c r="C28059" s="8" t="n">
        <v>45</v>
      </c>
      <c r="D28059" s="8" t="inlineStr">
        <is>
          <t>Disneyland Park</t>
        </is>
      </c>
      <c r="E28059" s="8" t="inlineStr">
        <is>
          <t>Big Thunder Mountain</t>
        </is>
      </c>
      <c r="F28059" s="8" t="inlineStr">
        <is>
          <t>STANDBY</t>
        </is>
      </c>
      <c r="G28059" s="8" t="n">
        <v>0</v>
      </c>
      <c r="H28059" s="8" t="inlineStr">
        <is>
          <t>CLOSED</t>
        </is>
      </c>
    </row>
    <row r="28060">
      <c r="A28060" s="8" t="inlineStr">
        <is>
          <t>2026-08-06</t>
        </is>
      </c>
      <c r="B28060" s="8" t="n">
        <v>0</v>
      </c>
      <c r="C28060" s="8" t="n">
        <v>45</v>
      </c>
      <c r="D28060" s="8" t="inlineStr">
        <is>
          <t>Disneyland Park</t>
        </is>
      </c>
      <c r="E28060" s="8" t="inlineStr">
        <is>
          <t>Disneyland Railroad Frontierland Depot</t>
        </is>
      </c>
      <c r="F28060" s="8" t="inlineStr">
        <is>
          <t>STANDBY</t>
        </is>
      </c>
      <c r="G28060" s="8" t="n">
        <v>0</v>
      </c>
      <c r="H28060" s="8" t="inlineStr">
        <is>
          <t>CLOSED</t>
        </is>
      </c>
    </row>
    <row r="28061">
      <c r="A28061" s="8" t="inlineStr">
        <is>
          <t>2026-08-06</t>
        </is>
      </c>
      <c r="B28061" s="8" t="n">
        <v>0</v>
      </c>
      <c r="C28061" s="8" t="n">
        <v>45</v>
      </c>
      <c r="D28061" s="8" t="inlineStr">
        <is>
          <t>Disneyland Park</t>
        </is>
      </c>
      <c r="E28061" s="8" t="inlineStr">
        <is>
          <t>Frontierland Playground</t>
        </is>
      </c>
      <c r="F28061" s="8" t="inlineStr">
        <is>
          <t>STANDBY</t>
        </is>
      </c>
      <c r="G28061" s="8" t="n">
        <v>0</v>
      </c>
      <c r="H28061" s="8" t="inlineStr">
        <is>
          <t>CLOSED</t>
        </is>
      </c>
    </row>
    <row r="28062">
      <c r="A28062" s="8" t="inlineStr">
        <is>
          <t>2026-08-06</t>
        </is>
      </c>
      <c r="B28062" s="8" t="n">
        <v>0</v>
      </c>
      <c r="C28062" s="8" t="n">
        <v>45</v>
      </c>
      <c r="D28062" s="8" t="inlineStr">
        <is>
          <t>Disneyland Park</t>
        </is>
      </c>
      <c r="E28062" s="8" t="inlineStr">
        <is>
          <t>Phantom Manor</t>
        </is>
      </c>
      <c r="F28062" s="8" t="inlineStr">
        <is>
          <t>STANDBY</t>
        </is>
      </c>
      <c r="G28062" s="8" t="n">
        <v>0</v>
      </c>
      <c r="H28062" s="8" t="inlineStr">
        <is>
          <t>CLOSED</t>
        </is>
      </c>
    </row>
    <row r="28063">
      <c r="A28063" s="8" t="inlineStr">
        <is>
          <t>2026-08-06</t>
        </is>
      </c>
      <c r="B28063" s="8" t="n">
        <v>0</v>
      </c>
      <c r="C28063" s="8" t="n">
        <v>45</v>
      </c>
      <c r="D28063" s="8" t="inlineStr">
        <is>
          <t>Disneyland Park</t>
        </is>
      </c>
      <c r="E28063" s="8" t="inlineStr">
        <is>
          <t>River Rogue Keelboats</t>
        </is>
      </c>
      <c r="F28063" s="8" t="inlineStr">
        <is>
          <t>STANDBY</t>
        </is>
      </c>
      <c r="G28063" s="8" t="n">
        <v>0</v>
      </c>
      <c r="H28063" s="8" t="inlineStr">
        <is>
          <t>CLOSED</t>
        </is>
      </c>
    </row>
    <row r="28064">
      <c r="A28064" s="8" t="inlineStr">
        <is>
          <t>2026-08-06</t>
        </is>
      </c>
      <c r="B28064" s="8" t="n">
        <v>0</v>
      </c>
      <c r="C28064" s="8" t="n">
        <v>45</v>
      </c>
      <c r="D28064" s="8" t="inlineStr">
        <is>
          <t>Disneyland Park</t>
        </is>
      </c>
      <c r="E28064" s="8" t="inlineStr">
        <is>
          <t>Rustler Roundup Shootin' Gallery</t>
        </is>
      </c>
      <c r="F28064" s="8" t="inlineStr">
        <is>
          <t>STANDBY</t>
        </is>
      </c>
      <c r="G28064" s="8" t="n">
        <v>0</v>
      </c>
      <c r="H28064" s="8" t="inlineStr">
        <is>
          <t>CLOSED</t>
        </is>
      </c>
    </row>
    <row r="28065">
      <c r="A28065" s="8" t="inlineStr">
        <is>
          <t>2026-08-06</t>
        </is>
      </c>
      <c r="B28065" s="8" t="n">
        <v>0</v>
      </c>
      <c r="C28065" s="8" t="n">
        <v>45</v>
      </c>
      <c r="D28065" s="8" t="inlineStr">
        <is>
          <t>Disneyland Park</t>
        </is>
      </c>
      <c r="E28065" s="8" t="inlineStr">
        <is>
          <t>Thunder Mesa Riverboat Landing</t>
        </is>
      </c>
      <c r="F28065" s="8" t="inlineStr">
        <is>
          <t>STANDBY</t>
        </is>
      </c>
      <c r="G28065" s="8" t="n">
        <v>0</v>
      </c>
      <c r="H28065" s="8" t="inlineStr">
        <is>
          <t>CLOSED</t>
        </is>
      </c>
    </row>
    <row r="28066">
      <c r="A28066" s="8" t="inlineStr">
        <is>
          <t>2026-08-06</t>
        </is>
      </c>
      <c r="B28066" s="8" t="n">
        <v>0</v>
      </c>
      <c r="C28066" s="8" t="n">
        <v>45</v>
      </c>
      <c r="D28066" s="8" t="inlineStr">
        <is>
          <t>Disneyland Park</t>
        </is>
      </c>
      <c r="E28066" s="8" t="inlineStr">
        <is>
          <t>Disneyland Railroad Main Street Station</t>
        </is>
      </c>
      <c r="F28066" s="8" t="inlineStr">
        <is>
          <t>STANDBY</t>
        </is>
      </c>
      <c r="G28066" s="8" t="n">
        <v>0</v>
      </c>
      <c r="H28066" s="8" t="inlineStr">
        <is>
          <t>CLOSED</t>
        </is>
      </c>
    </row>
    <row r="28067">
      <c r="A28067" s="8" t="inlineStr">
        <is>
          <t>2026-08-06</t>
        </is>
      </c>
      <c r="B28067" s="8" t="n">
        <v>0</v>
      </c>
      <c r="C28067" s="8" t="n">
        <v>45</v>
      </c>
      <c r="D28067" s="8" t="inlineStr">
        <is>
          <t>Disneyland Park</t>
        </is>
      </c>
      <c r="E28067" s="8" t="inlineStr">
        <is>
          <t>Main Street Vehicles</t>
        </is>
      </c>
      <c r="F28067" s="8" t="inlineStr">
        <is>
          <t>STANDBY</t>
        </is>
      </c>
      <c r="G28067" s="8" t="n">
        <v>0</v>
      </c>
      <c r="H28067" s="8" t="inlineStr">
        <is>
          <t>CLOSED</t>
        </is>
      </c>
    </row>
    <row r="28068">
      <c r="A28068" s="8" t="inlineStr">
        <is>
          <t>2026-08-06</t>
        </is>
      </c>
      <c r="B28068" s="8" t="n">
        <v>0</v>
      </c>
      <c r="C28068" s="8" t="n">
        <v>45</v>
      </c>
      <c r="D28068" s="8" t="inlineStr">
        <is>
          <t>Disney Adventure World</t>
        </is>
      </c>
      <c r="E28068" s="8" t="inlineStr">
        <is>
          <t>Avengers Assemble: Flight Force</t>
        </is>
      </c>
      <c r="F28068" s="8" t="inlineStr">
        <is>
          <t>STANDBY</t>
        </is>
      </c>
      <c r="G28068" s="8" t="n">
        <v>0</v>
      </c>
      <c r="H28068" s="8" t="inlineStr">
        <is>
          <t>CLOSED</t>
        </is>
      </c>
    </row>
    <row r="28069">
      <c r="A28069" s="8" t="inlineStr">
        <is>
          <t>2026-08-06</t>
        </is>
      </c>
      <c r="B28069" s="8" t="n">
        <v>0</v>
      </c>
      <c r="C28069" s="8" t="n">
        <v>45</v>
      </c>
      <c r="D28069" s="8" t="inlineStr">
        <is>
          <t>Disney Adventure World</t>
        </is>
      </c>
      <c r="E28069" s="8" t="inlineStr">
        <is>
          <t>Avengers Assemble: Flight Force Single Rider</t>
        </is>
      </c>
      <c r="F28069" s="8" t="inlineStr">
        <is>
          <t>STANDBY</t>
        </is>
      </c>
      <c r="G28069" s="8" t="n">
        <v>0</v>
      </c>
      <c r="H28069" s="8" t="inlineStr">
        <is>
          <t>CLOSED</t>
        </is>
      </c>
    </row>
    <row r="28070">
      <c r="A28070" s="8" t="inlineStr">
        <is>
          <t>2026-08-06</t>
        </is>
      </c>
      <c r="B28070" s="8" t="n">
        <v>0</v>
      </c>
      <c r="C28070" s="8" t="n">
        <v>45</v>
      </c>
      <c r="D28070" s="8" t="inlineStr">
        <is>
          <t>Disney Adventure World</t>
        </is>
      </c>
      <c r="E28070" s="8" t="inlineStr">
        <is>
          <t>Spider-Man W.E.B. Adventure</t>
        </is>
      </c>
      <c r="F28070" s="8" t="inlineStr">
        <is>
          <t>STANDBY</t>
        </is>
      </c>
      <c r="G28070" s="8" t="n">
        <v>0</v>
      </c>
      <c r="H28070" s="8" t="inlineStr">
        <is>
          <t>CLOSED</t>
        </is>
      </c>
    </row>
    <row r="28071">
      <c r="A28071" s="8" t="inlineStr">
        <is>
          <t>2026-08-06</t>
        </is>
      </c>
      <c r="B28071" s="8" t="n">
        <v>0</v>
      </c>
      <c r="C28071" s="8" t="n">
        <v>45</v>
      </c>
      <c r="D28071" s="8" t="inlineStr">
        <is>
          <t>Disney Adventure World</t>
        </is>
      </c>
      <c r="E28071" s="8" t="inlineStr">
        <is>
          <t>Spider-Man W.E.B. Adventure Single Rider</t>
        </is>
      </c>
      <c r="F28071" s="8" t="inlineStr">
        <is>
          <t>STANDBY</t>
        </is>
      </c>
      <c r="G28071" s="8" t="n">
        <v>0</v>
      </c>
      <c r="H28071" s="8" t="inlineStr">
        <is>
          <t>CLOSED</t>
        </is>
      </c>
    </row>
    <row r="28072">
      <c r="A28072" s="8" t="inlineStr">
        <is>
          <t>2026-08-06</t>
        </is>
      </c>
      <c r="B28072" s="8" t="n">
        <v>0</v>
      </c>
      <c r="C28072" s="8" t="n">
        <v>45</v>
      </c>
      <c r="D28072" s="8" t="inlineStr">
        <is>
          <t>Disney Adventure World</t>
        </is>
      </c>
      <c r="E28072" s="8" t="inlineStr">
        <is>
          <t>The Twilight Zone Tower of Terror</t>
        </is>
      </c>
      <c r="F28072" s="8" t="inlineStr">
        <is>
          <t>STANDBY</t>
        </is>
      </c>
      <c r="G28072" s="8" t="n">
        <v>0</v>
      </c>
      <c r="H28072" s="8" t="inlineStr">
        <is>
          <t>CLOSED</t>
        </is>
      </c>
    </row>
    <row r="28073">
      <c r="A28073" s="8" t="inlineStr">
        <is>
          <t>2026-08-06</t>
        </is>
      </c>
      <c r="B28073" s="8" t="n">
        <v>0</v>
      </c>
      <c r="C28073" s="8" t="n">
        <v>45</v>
      </c>
      <c r="D28073" s="8" t="inlineStr">
        <is>
          <t>Disney Adventure World</t>
        </is>
      </c>
      <c r="E28073" s="8" t="inlineStr">
        <is>
          <t>Cars Quatre Roues Rallye</t>
        </is>
      </c>
      <c r="F28073" s="8" t="inlineStr">
        <is>
          <t>STANDBY</t>
        </is>
      </c>
      <c r="G28073" s="8" t="n">
        <v>0</v>
      </c>
      <c r="H28073" s="8" t="inlineStr">
        <is>
          <t>CLOSED</t>
        </is>
      </c>
    </row>
    <row r="28074">
      <c r="A28074" s="8" t="inlineStr">
        <is>
          <t>2026-08-06</t>
        </is>
      </c>
      <c r="B28074" s="8" t="n">
        <v>0</v>
      </c>
      <c r="C28074" s="8" t="n">
        <v>45</v>
      </c>
      <c r="D28074" s="8" t="inlineStr">
        <is>
          <t>Disney Adventure World</t>
        </is>
      </c>
      <c r="E28074" s="8" t="inlineStr">
        <is>
          <t>Cars ROAD TRIP</t>
        </is>
      </c>
      <c r="F28074" s="8" t="inlineStr">
        <is>
          <t>STANDBY</t>
        </is>
      </c>
      <c r="G28074" s="8" t="n">
        <v>0</v>
      </c>
      <c r="H28074" s="8" t="inlineStr">
        <is>
          <t>CLOSED</t>
        </is>
      </c>
    </row>
    <row r="28075">
      <c r="A28075" s="8" t="inlineStr">
        <is>
          <t>2026-08-06</t>
        </is>
      </c>
      <c r="B28075" s="8" t="n">
        <v>0</v>
      </c>
      <c r="C28075" s="8" t="n">
        <v>45</v>
      </c>
      <c r="D28075" s="8" t="inlineStr">
        <is>
          <t>Disney Adventure World</t>
        </is>
      </c>
      <c r="E28075" s="8" t="inlineStr">
        <is>
          <t>Crush's Coaster</t>
        </is>
      </c>
      <c r="F28075" s="8" t="inlineStr">
        <is>
          <t>STANDBY</t>
        </is>
      </c>
      <c r="G28075" s="8" t="n">
        <v>0</v>
      </c>
      <c r="H28075" s="8" t="inlineStr">
        <is>
          <t>CLOSED</t>
        </is>
      </c>
    </row>
    <row r="28076">
      <c r="A28076" s="8" t="inlineStr">
        <is>
          <t>2026-08-06</t>
        </is>
      </c>
      <c r="B28076" s="8" t="n">
        <v>0</v>
      </c>
      <c r="C28076" s="8" t="n">
        <v>45</v>
      </c>
      <c r="D28076" s="8" t="inlineStr">
        <is>
          <t>Disney Adventure World</t>
        </is>
      </c>
      <c r="E28076" s="8" t="inlineStr">
        <is>
          <t>Crush's Coaster Single Rider</t>
        </is>
      </c>
      <c r="F28076" s="8" t="inlineStr">
        <is>
          <t>STANDBY</t>
        </is>
      </c>
      <c r="G28076" s="8" t="n">
        <v>0</v>
      </c>
      <c r="H28076" s="8" t="inlineStr">
        <is>
          <t>CLOSED</t>
        </is>
      </c>
    </row>
    <row r="28077">
      <c r="A28077" s="8" t="inlineStr">
        <is>
          <t>2026-08-06</t>
        </is>
      </c>
      <c r="B28077" s="8" t="n">
        <v>0</v>
      </c>
      <c r="C28077" s="8" t="n">
        <v>45</v>
      </c>
      <c r="D28077" s="8" t="inlineStr">
        <is>
          <t>Disney Adventure World</t>
        </is>
      </c>
      <c r="E28077" s="8" t="inlineStr">
        <is>
          <t>Les Tapis Volants - Flying Carpets Over Agrabah®</t>
        </is>
      </c>
      <c r="F28077" s="8" t="inlineStr">
        <is>
          <t>STANDBY</t>
        </is>
      </c>
      <c r="G28077" s="8" t="n">
        <v>0</v>
      </c>
      <c r="H28077" s="8" t="inlineStr">
        <is>
          <t>CLOSED</t>
        </is>
      </c>
    </row>
    <row r="28078">
      <c r="A28078" s="8" t="inlineStr">
        <is>
          <t>2026-08-06</t>
        </is>
      </c>
      <c r="B28078" s="8" t="n">
        <v>0</v>
      </c>
      <c r="C28078" s="8" t="n">
        <v>45</v>
      </c>
      <c r="D28078" s="8" t="inlineStr">
        <is>
          <t>Disney Adventure World</t>
        </is>
      </c>
      <c r="E28078" s="8" t="inlineStr">
        <is>
          <t>Ratatouille : L’Aventure Totalement Toquée de Rémy​</t>
        </is>
      </c>
      <c r="F28078" s="8" t="inlineStr">
        <is>
          <t>STANDBY</t>
        </is>
      </c>
      <c r="G28078" s="8" t="n">
        <v>0</v>
      </c>
      <c r="H28078" s="8" t="inlineStr">
        <is>
          <t>CLOSED</t>
        </is>
      </c>
    </row>
    <row r="28079">
      <c r="A28079" s="8" t="inlineStr">
        <is>
          <t>2026-08-06</t>
        </is>
      </c>
      <c r="B28079" s="8" t="n">
        <v>0</v>
      </c>
      <c r="C28079" s="8" t="n">
        <v>45</v>
      </c>
      <c r="D28079" s="8" t="inlineStr">
        <is>
          <t>Disney Adventure World</t>
        </is>
      </c>
      <c r="E28079" s="8" t="inlineStr">
        <is>
          <t>Ratatouille: The Adventure Single Rider</t>
        </is>
      </c>
      <c r="F28079" s="8" t="inlineStr">
        <is>
          <t>STANDBY</t>
        </is>
      </c>
      <c r="G28079" s="8" t="n">
        <v>0</v>
      </c>
      <c r="H28079" s="8" t="inlineStr">
        <is>
          <t>CLOSED</t>
        </is>
      </c>
    </row>
    <row r="28080">
      <c r="A28080" s="8" t="inlineStr">
        <is>
          <t>2026-08-06</t>
        </is>
      </c>
      <c r="B28080" s="8" t="n">
        <v>0</v>
      </c>
      <c r="C28080" s="8" t="n">
        <v>45</v>
      </c>
      <c r="D28080" s="8" t="inlineStr">
        <is>
          <t>Disney Adventure World</t>
        </is>
      </c>
      <c r="E28080" s="8" t="inlineStr">
        <is>
          <t>RC Racer</t>
        </is>
      </c>
      <c r="F28080" s="8" t="inlineStr">
        <is>
          <t>STANDBY</t>
        </is>
      </c>
      <c r="G28080" s="8" t="n">
        <v>0</v>
      </c>
      <c r="H28080" s="8" t="inlineStr">
        <is>
          <t>CLOSED</t>
        </is>
      </c>
    </row>
    <row r="28081">
      <c r="A28081" s="8" t="inlineStr">
        <is>
          <t>2026-08-06</t>
        </is>
      </c>
      <c r="B28081" s="8" t="n">
        <v>0</v>
      </c>
      <c r="C28081" s="8" t="n">
        <v>45</v>
      </c>
      <c r="D28081" s="8" t="inlineStr">
        <is>
          <t>Disney Adventure World</t>
        </is>
      </c>
      <c r="E28081" s="8" t="inlineStr">
        <is>
          <t>RC Racer Single Rider</t>
        </is>
      </c>
      <c r="F28081" s="8" t="inlineStr">
        <is>
          <t>STANDBY</t>
        </is>
      </c>
      <c r="G28081" s="8" t="n">
        <v>0</v>
      </c>
      <c r="H28081" s="8" t="inlineStr">
        <is>
          <t>CLOSED</t>
        </is>
      </c>
    </row>
    <row r="28082">
      <c r="A28082" s="8" t="inlineStr">
        <is>
          <t>2026-08-06</t>
        </is>
      </c>
      <c r="B28082" s="8" t="n">
        <v>0</v>
      </c>
      <c r="C28082" s="8" t="n">
        <v>45</v>
      </c>
      <c r="D28082" s="8" t="inlineStr">
        <is>
          <t>Disney Adventure World</t>
        </is>
      </c>
      <c r="E28082" s="8" t="inlineStr">
        <is>
          <t>Slinky® Dog Zigzag Spin</t>
        </is>
      </c>
      <c r="F28082" s="8" t="inlineStr">
        <is>
          <t>STANDBY</t>
        </is>
      </c>
      <c r="G28082" s="8" t="n">
        <v>0</v>
      </c>
      <c r="H28082" s="8" t="inlineStr">
        <is>
          <t>CLOSED</t>
        </is>
      </c>
    </row>
    <row r="28083">
      <c r="A28083" s="8" t="inlineStr">
        <is>
          <t>2026-08-06</t>
        </is>
      </c>
      <c r="B28083" s="8" t="n">
        <v>0</v>
      </c>
      <c r="C28083" s="8" t="n">
        <v>45</v>
      </c>
      <c r="D28083" s="8" t="inlineStr">
        <is>
          <t>Disney Adventure World</t>
        </is>
      </c>
      <c r="E28083" s="8" t="inlineStr">
        <is>
          <t>Toy Soldiers Parachute Drop</t>
        </is>
      </c>
      <c r="F28083" s="8" t="inlineStr">
        <is>
          <t>STANDBY</t>
        </is>
      </c>
      <c r="G28083" s="8" t="n">
        <v>0</v>
      </c>
      <c r="H28083" s="8" t="inlineStr">
        <is>
          <t>CLOSED</t>
        </is>
      </c>
    </row>
    <row r="28084">
      <c r="A28084" s="8" t="inlineStr">
        <is>
          <t>2026-08-06</t>
        </is>
      </c>
      <c r="B28084" s="8" t="n">
        <v>0</v>
      </c>
      <c r="C28084" s="8" t="n">
        <v>45</v>
      </c>
      <c r="D28084" s="8" t="inlineStr">
        <is>
          <t>Disney Adventure World</t>
        </is>
      </c>
      <c r="E28084" s="8" t="inlineStr">
        <is>
          <t>Toy Soldiers Parachute Drop Single Rider</t>
        </is>
      </c>
      <c r="F28084" s="8" t="inlineStr">
        <is>
          <t>STANDBY</t>
        </is>
      </c>
      <c r="G28084" s="8" t="n">
        <v>0</v>
      </c>
      <c r="H28084" s="8" t="inlineStr">
        <is>
          <t>CLOSED</t>
        </is>
      </c>
    </row>
    <row r="28085">
      <c r="A28085" s="8" t="inlineStr">
        <is>
          <t>2026-08-06</t>
        </is>
      </c>
      <c r="B28085" s="8" t="n">
        <v>0</v>
      </c>
      <c r="C28085" s="8" t="n">
        <v>45</v>
      </c>
      <c r="D28085" s="8" t="inlineStr">
        <is>
          <t>Disney Adventure World</t>
        </is>
      </c>
      <c r="E28085" s="8" t="inlineStr">
        <is>
          <t>Entry to World of Frozen</t>
        </is>
      </c>
      <c r="F28085" s="8" t="inlineStr">
        <is>
          <t>STANDBY</t>
        </is>
      </c>
      <c r="G28085" s="8" t="n">
        <v>0</v>
      </c>
      <c r="H28085" s="8" t="inlineStr">
        <is>
          <t>CLOSED</t>
        </is>
      </c>
    </row>
    <row r="28086">
      <c r="A28086" s="8" t="inlineStr">
        <is>
          <t>2026-08-06</t>
        </is>
      </c>
      <c r="B28086" s="8" t="n">
        <v>0</v>
      </c>
      <c r="C28086" s="8" t="n">
        <v>45</v>
      </c>
      <c r="D28086" s="8" t="inlineStr">
        <is>
          <t>Disney Adventure World</t>
        </is>
      </c>
      <c r="E28086" s="8" t="inlineStr">
        <is>
          <t>Frozen Ever After</t>
        </is>
      </c>
      <c r="F28086" s="8" t="inlineStr">
        <is>
          <t>STANDBY</t>
        </is>
      </c>
      <c r="G28086" s="8" t="n">
        <v>0</v>
      </c>
      <c r="H28086" s="8" t="inlineStr">
        <is>
          <t>CLOSED</t>
        </is>
      </c>
    </row>
    <row r="28087">
      <c r="A28087" s="8" t="inlineStr">
        <is>
          <t>2026-08-06</t>
        </is>
      </c>
      <c r="B28087" s="8" t="n">
        <v>0</v>
      </c>
      <c r="C28087" s="8" t="n">
        <v>45</v>
      </c>
      <c r="D28087" s="8" t="inlineStr">
        <is>
          <t>Disney Adventure World</t>
        </is>
      </c>
      <c r="E28087" s="8" t="inlineStr">
        <is>
          <t>Raiponce Tangled Spin</t>
        </is>
      </c>
      <c r="F28087" s="8" t="inlineStr">
        <is>
          <t>STANDBY</t>
        </is>
      </c>
      <c r="G28087" s="8" t="n">
        <v>0</v>
      </c>
      <c r="H28087" s="8" t="inlineStr">
        <is>
          <t>CLOSED</t>
        </is>
      </c>
    </row>
    <row r="28088">
      <c r="A28088" s="8" t="inlineStr">
        <is>
          <t>2026-08-06</t>
        </is>
      </c>
      <c r="B28088" s="8" t="n">
        <v>1</v>
      </c>
      <c r="C28088" s="8" t="n">
        <v>1</v>
      </c>
      <c r="D28088" s="8" t="inlineStr">
        <is>
          <t>Disneyland Park</t>
        </is>
      </c>
      <c r="E28088" s="8" t="inlineStr">
        <is>
          <t>Adventure Isle</t>
        </is>
      </c>
      <c r="F28088" s="8" t="inlineStr">
        <is>
          <t>STANDBY</t>
        </is>
      </c>
      <c r="G28088" s="8" t="n">
        <v>0</v>
      </c>
      <c r="H28088" s="8" t="inlineStr">
        <is>
          <t>CLOSED</t>
        </is>
      </c>
    </row>
    <row r="28089">
      <c r="A28089" s="8" t="inlineStr">
        <is>
          <t>2026-08-06</t>
        </is>
      </c>
      <c r="B28089" s="8" t="n">
        <v>1</v>
      </c>
      <c r="C28089" s="8" t="n">
        <v>1</v>
      </c>
      <c r="D28089" s="8" t="inlineStr">
        <is>
          <t>Disneyland Park</t>
        </is>
      </c>
      <c r="E28089" s="8" t="inlineStr">
        <is>
          <t>Indiana Jones and the Temple of Peril Single Rider</t>
        </is>
      </c>
      <c r="F28089" s="8" t="inlineStr">
        <is>
          <t>STANDBY</t>
        </is>
      </c>
      <c r="G28089" s="8" t="n">
        <v>0</v>
      </c>
      <c r="H28089" s="8" t="inlineStr">
        <is>
          <t>CLOSED</t>
        </is>
      </c>
    </row>
    <row r="28090">
      <c r="A28090" s="8" t="inlineStr">
        <is>
          <t>2026-08-06</t>
        </is>
      </c>
      <c r="B28090" s="8" t="n">
        <v>1</v>
      </c>
      <c r="C28090" s="8" t="n">
        <v>1</v>
      </c>
      <c r="D28090" s="8" t="inlineStr">
        <is>
          <t>Disneyland Park</t>
        </is>
      </c>
      <c r="E28090" s="8" t="inlineStr">
        <is>
          <t>Indiana Jones™ and the Temple of Peril</t>
        </is>
      </c>
      <c r="F28090" s="8" t="inlineStr">
        <is>
          <t>STANDBY</t>
        </is>
      </c>
      <c r="G28090" s="8" t="n">
        <v>0</v>
      </c>
      <c r="H28090" s="8" t="inlineStr">
        <is>
          <t>CLOSED</t>
        </is>
      </c>
    </row>
    <row r="28091">
      <c r="A28091" s="8" t="inlineStr">
        <is>
          <t>2026-08-06</t>
        </is>
      </c>
      <c r="B28091" s="8" t="n">
        <v>1</v>
      </c>
      <c r="C28091" s="8" t="n">
        <v>1</v>
      </c>
      <c r="D28091" s="8" t="inlineStr">
        <is>
          <t>Disneyland Park</t>
        </is>
      </c>
      <c r="E28091" s="8" t="inlineStr">
        <is>
          <t>La Cabane des Robinson</t>
        </is>
      </c>
      <c r="F28091" s="8" t="inlineStr">
        <is>
          <t>STANDBY</t>
        </is>
      </c>
      <c r="G28091" s="8" t="n">
        <v>0</v>
      </c>
      <c r="H28091" s="8" t="inlineStr">
        <is>
          <t>CLOSED</t>
        </is>
      </c>
    </row>
    <row r="28092">
      <c r="A28092" s="8" t="inlineStr">
        <is>
          <t>2026-08-06</t>
        </is>
      </c>
      <c r="B28092" s="8" t="n">
        <v>1</v>
      </c>
      <c r="C28092" s="8" t="n">
        <v>1</v>
      </c>
      <c r="D28092" s="8" t="inlineStr">
        <is>
          <t>Disneyland Park</t>
        </is>
      </c>
      <c r="E28092" s="8" t="inlineStr">
        <is>
          <t>Le Passage Enchanté d'Aladdin</t>
        </is>
      </c>
      <c r="F28092" s="8" t="inlineStr">
        <is>
          <t>STANDBY</t>
        </is>
      </c>
      <c r="G28092" s="8" t="n">
        <v>0</v>
      </c>
      <c r="H28092" s="8" t="inlineStr">
        <is>
          <t>CLOSED</t>
        </is>
      </c>
    </row>
    <row r="28093">
      <c r="A28093" s="8" t="inlineStr">
        <is>
          <t>2026-08-06</t>
        </is>
      </c>
      <c r="B28093" s="8" t="n">
        <v>1</v>
      </c>
      <c r="C28093" s="8" t="n">
        <v>1</v>
      </c>
      <c r="D28093" s="8" t="inlineStr">
        <is>
          <t>Disneyland Park</t>
        </is>
      </c>
      <c r="E28093" s="8" t="inlineStr">
        <is>
          <t>Pirate Galleon</t>
        </is>
      </c>
      <c r="F28093" s="8" t="inlineStr">
        <is>
          <t>STANDBY</t>
        </is>
      </c>
      <c r="G28093" s="8" t="n">
        <v>0</v>
      </c>
      <c r="H28093" s="8" t="inlineStr">
        <is>
          <t>CLOSED</t>
        </is>
      </c>
    </row>
    <row r="28094">
      <c r="A28094" s="8" t="inlineStr">
        <is>
          <t>2026-08-06</t>
        </is>
      </c>
      <c r="B28094" s="8" t="n">
        <v>1</v>
      </c>
      <c r="C28094" s="8" t="n">
        <v>1</v>
      </c>
      <c r="D28094" s="8" t="inlineStr">
        <is>
          <t>Disneyland Park</t>
        </is>
      </c>
      <c r="E28094" s="8" t="inlineStr">
        <is>
          <t>Pirates of the Caribbean</t>
        </is>
      </c>
      <c r="F28094" s="8" t="inlineStr">
        <is>
          <t>STANDBY</t>
        </is>
      </c>
      <c r="G28094" s="8" t="n">
        <v>0</v>
      </c>
      <c r="H28094" s="8" t="inlineStr">
        <is>
          <t>CLOSED</t>
        </is>
      </c>
    </row>
    <row r="28095">
      <c r="A28095" s="8" t="inlineStr">
        <is>
          <t>2026-08-06</t>
        </is>
      </c>
      <c r="B28095" s="8" t="n">
        <v>1</v>
      </c>
      <c r="C28095" s="8" t="n">
        <v>1</v>
      </c>
      <c r="D28095" s="8" t="inlineStr">
        <is>
          <t>Disneyland Park</t>
        </is>
      </c>
      <c r="E28095" s="8" t="inlineStr">
        <is>
          <t>Pirates' Beach</t>
        </is>
      </c>
      <c r="F28095" s="8" t="inlineStr">
        <is>
          <t>STANDBY</t>
        </is>
      </c>
      <c r="G28095" s="8" t="n">
        <v>0</v>
      </c>
      <c r="H28095" s="8" t="inlineStr">
        <is>
          <t>CLOSED</t>
        </is>
      </c>
    </row>
    <row r="28096">
      <c r="A28096" s="8" t="inlineStr">
        <is>
          <t>2026-08-06</t>
        </is>
      </c>
      <c r="B28096" s="8" t="n">
        <v>1</v>
      </c>
      <c r="C28096" s="8" t="n">
        <v>1</v>
      </c>
      <c r="D28096" s="8" t="inlineStr">
        <is>
          <t>Disneyland Park</t>
        </is>
      </c>
      <c r="E28096" s="8" t="inlineStr">
        <is>
          <t>Autopia, presented by Avis</t>
        </is>
      </c>
      <c r="F28096" s="8" t="inlineStr">
        <is>
          <t>STANDBY</t>
        </is>
      </c>
      <c r="G28096" s="8" t="n">
        <v>0</v>
      </c>
      <c r="H28096" s="8" t="inlineStr">
        <is>
          <t>CLOSED</t>
        </is>
      </c>
    </row>
    <row r="28097">
      <c r="A28097" s="8" t="inlineStr">
        <is>
          <t>2026-08-06</t>
        </is>
      </c>
      <c r="B28097" s="8" t="n">
        <v>1</v>
      </c>
      <c r="C28097" s="8" t="n">
        <v>1</v>
      </c>
      <c r="D28097" s="8" t="inlineStr">
        <is>
          <t>Disneyland Park</t>
        </is>
      </c>
      <c r="E28097" s="8" t="inlineStr">
        <is>
          <t>Buzz Lightyear Laser Blast</t>
        </is>
      </c>
      <c r="F28097" s="8" t="inlineStr">
        <is>
          <t>STANDBY</t>
        </is>
      </c>
      <c r="G28097" s="8" t="n">
        <v>0</v>
      </c>
      <c r="H28097" s="8" t="inlineStr">
        <is>
          <t>CLOSED</t>
        </is>
      </c>
    </row>
    <row r="28098">
      <c r="A28098" s="8" t="inlineStr">
        <is>
          <t>2026-08-06</t>
        </is>
      </c>
      <c r="B28098" s="8" t="n">
        <v>1</v>
      </c>
      <c r="C28098" s="8" t="n">
        <v>1</v>
      </c>
      <c r="D28098" s="8" t="inlineStr">
        <is>
          <t>Disneyland Park</t>
        </is>
      </c>
      <c r="E28098" s="8" t="inlineStr">
        <is>
          <t>Disneyland Railroad Discoveryland Station</t>
        </is>
      </c>
      <c r="F28098" s="8" t="inlineStr">
        <is>
          <t>STANDBY</t>
        </is>
      </c>
      <c r="G28098" s="8" t="n">
        <v>0</v>
      </c>
      <c r="H28098" s="8" t="inlineStr">
        <is>
          <t>CLOSED</t>
        </is>
      </c>
    </row>
    <row r="28099">
      <c r="A28099" s="8" t="inlineStr">
        <is>
          <t>2026-08-06</t>
        </is>
      </c>
      <c r="B28099" s="8" t="n">
        <v>1</v>
      </c>
      <c r="C28099" s="8" t="n">
        <v>1</v>
      </c>
      <c r="D28099" s="8" t="inlineStr">
        <is>
          <t>Disneyland Park</t>
        </is>
      </c>
      <c r="E28099" s="8" t="inlineStr">
        <is>
          <t>Les Mystères du Nautilus</t>
        </is>
      </c>
      <c r="F28099" s="8" t="inlineStr">
        <is>
          <t>STANDBY</t>
        </is>
      </c>
      <c r="G28099" s="8" t="n">
        <v>0</v>
      </c>
      <c r="H28099" s="8" t="inlineStr">
        <is>
          <t>CLOSED</t>
        </is>
      </c>
    </row>
    <row r="28100">
      <c r="A28100" s="8" t="inlineStr">
        <is>
          <t>2026-08-06</t>
        </is>
      </c>
      <c r="B28100" s="8" t="n">
        <v>1</v>
      </c>
      <c r="C28100" s="8" t="n">
        <v>1</v>
      </c>
      <c r="D28100" s="8" t="inlineStr">
        <is>
          <t>Disneyland Park</t>
        </is>
      </c>
      <c r="E28100" s="8" t="inlineStr">
        <is>
          <t>Mickey’s PhilharMagic</t>
        </is>
      </c>
      <c r="F28100" s="8" t="inlineStr">
        <is>
          <t>STANDBY</t>
        </is>
      </c>
      <c r="G28100" s="8" t="n">
        <v>0</v>
      </c>
      <c r="H28100" s="8" t="inlineStr">
        <is>
          <t>CLOSED</t>
        </is>
      </c>
    </row>
    <row r="28101">
      <c r="A28101" s="8" t="inlineStr">
        <is>
          <t>2026-08-06</t>
        </is>
      </c>
      <c r="B28101" s="8" t="n">
        <v>1</v>
      </c>
      <c r="C28101" s="8" t="n">
        <v>1</v>
      </c>
      <c r="D28101" s="8" t="inlineStr">
        <is>
          <t>Disneyland Park</t>
        </is>
      </c>
      <c r="E28101" s="8" t="inlineStr">
        <is>
          <t>Orbitron®</t>
        </is>
      </c>
      <c r="F28101" s="8" t="inlineStr">
        <is>
          <t>STANDBY</t>
        </is>
      </c>
      <c r="G28101" s="8" t="n">
        <v>0</v>
      </c>
      <c r="H28101" s="8" t="inlineStr">
        <is>
          <t>CLOSED</t>
        </is>
      </c>
    </row>
    <row r="28102">
      <c r="A28102" s="8" t="inlineStr">
        <is>
          <t>2026-08-06</t>
        </is>
      </c>
      <c r="B28102" s="8" t="n">
        <v>1</v>
      </c>
      <c r="C28102" s="8" t="n">
        <v>1</v>
      </c>
      <c r="D28102" s="8" t="inlineStr">
        <is>
          <t>Disneyland Park</t>
        </is>
      </c>
      <c r="E28102" s="8" t="inlineStr">
        <is>
          <t>Star Tours: The Adventures Continue*</t>
        </is>
      </c>
      <c r="F28102" s="8" t="inlineStr">
        <is>
          <t>STANDBY</t>
        </is>
      </c>
      <c r="G28102" s="8" t="n">
        <v>0</v>
      </c>
      <c r="H28102" s="8" t="inlineStr">
        <is>
          <t>CLOSED</t>
        </is>
      </c>
    </row>
    <row r="28103">
      <c r="A28103" s="8" t="inlineStr">
        <is>
          <t>2026-08-06</t>
        </is>
      </c>
      <c r="B28103" s="8" t="n">
        <v>1</v>
      </c>
      <c r="C28103" s="8" t="n">
        <v>1</v>
      </c>
      <c r="D28103" s="8" t="inlineStr">
        <is>
          <t>Disneyland Park</t>
        </is>
      </c>
      <c r="E28103" s="8" t="inlineStr">
        <is>
          <t>Star Wars Hyperspace Mountain</t>
        </is>
      </c>
      <c r="F28103" s="8" t="inlineStr">
        <is>
          <t>STANDBY</t>
        </is>
      </c>
      <c r="G28103" s="8" t="n">
        <v>0</v>
      </c>
      <c r="H28103" s="8" t="inlineStr">
        <is>
          <t>CLOSED</t>
        </is>
      </c>
    </row>
    <row r="28104">
      <c r="A28104" s="8" t="inlineStr">
        <is>
          <t>2026-08-06</t>
        </is>
      </c>
      <c r="B28104" s="8" t="n">
        <v>1</v>
      </c>
      <c r="C28104" s="8" t="n">
        <v>1</v>
      </c>
      <c r="D28104" s="8" t="inlineStr">
        <is>
          <t>Disneyland Park</t>
        </is>
      </c>
      <c r="E28104" s="8" t="inlineStr">
        <is>
          <t>Star Wars Hyperspace Mountain Single Rider</t>
        </is>
      </c>
      <c r="F28104" s="8" t="inlineStr">
        <is>
          <t>STANDBY</t>
        </is>
      </c>
      <c r="G28104" s="8" t="n">
        <v>0</v>
      </c>
      <c r="H28104" s="8" t="inlineStr">
        <is>
          <t>CLOSED</t>
        </is>
      </c>
    </row>
    <row r="28105">
      <c r="A28105" s="8" t="inlineStr">
        <is>
          <t>2026-08-06</t>
        </is>
      </c>
      <c r="B28105" s="8" t="n">
        <v>1</v>
      </c>
      <c r="C28105" s="8" t="n">
        <v>1</v>
      </c>
      <c r="D28105" s="8" t="inlineStr">
        <is>
          <t>Disneyland Park</t>
        </is>
      </c>
      <c r="E28105" s="8" t="inlineStr">
        <is>
          <t>Welcome to Starport: A Star Wars Encounter</t>
        </is>
      </c>
      <c r="F28105" s="8" t="inlineStr">
        <is>
          <t>STANDBY</t>
        </is>
      </c>
      <c r="G28105" s="8" t="n">
        <v>0</v>
      </c>
      <c r="H28105" s="8" t="inlineStr">
        <is>
          <t>CLOSED</t>
        </is>
      </c>
    </row>
    <row r="28106">
      <c r="A28106" s="8" t="inlineStr">
        <is>
          <t>2026-08-06</t>
        </is>
      </c>
      <c r="B28106" s="8" t="n">
        <v>1</v>
      </c>
      <c r="C28106" s="8" t="n">
        <v>1</v>
      </c>
      <c r="D28106" s="8" t="inlineStr">
        <is>
          <t>Disneyland Park</t>
        </is>
      </c>
      <c r="E28106" s="8" t="inlineStr">
        <is>
          <t>"it's a small world"</t>
        </is>
      </c>
      <c r="F28106" s="8" t="inlineStr">
        <is>
          <t>STANDBY</t>
        </is>
      </c>
      <c r="G28106" s="8" t="n">
        <v>0</v>
      </c>
      <c r="H28106" s="8" t="inlineStr">
        <is>
          <t>CLOSED</t>
        </is>
      </c>
    </row>
    <row r="28107">
      <c r="A28107" s="8" t="inlineStr">
        <is>
          <t>2026-08-06</t>
        </is>
      </c>
      <c r="B28107" s="8" t="n">
        <v>1</v>
      </c>
      <c r="C28107" s="8" t="n">
        <v>1</v>
      </c>
      <c r="D28107" s="8" t="inlineStr">
        <is>
          <t>Disneyland Park</t>
        </is>
      </c>
      <c r="E28107" s="8" t="inlineStr">
        <is>
          <t>Alice's Curious Labyrinth</t>
        </is>
      </c>
      <c r="F28107" s="8" t="inlineStr">
        <is>
          <t>STANDBY</t>
        </is>
      </c>
      <c r="G28107" s="8" t="n">
        <v>0</v>
      </c>
      <c r="H28107" s="8" t="inlineStr">
        <is>
          <t>CLOSED</t>
        </is>
      </c>
    </row>
    <row r="28108">
      <c r="A28108" s="8" t="inlineStr">
        <is>
          <t>2026-08-06</t>
        </is>
      </c>
      <c r="B28108" s="8" t="n">
        <v>1</v>
      </c>
      <c r="C28108" s="8" t="n">
        <v>1</v>
      </c>
      <c r="D28108" s="8" t="inlineStr">
        <is>
          <t>Disneyland Park</t>
        </is>
      </c>
      <c r="E28108" s="8" t="inlineStr">
        <is>
          <t>Blanche-Neige et les Sept Nains®</t>
        </is>
      </c>
      <c r="F28108" s="8" t="inlineStr">
        <is>
          <t>STANDBY</t>
        </is>
      </c>
      <c r="G28108" s="8" t="n">
        <v>0</v>
      </c>
      <c r="H28108" s="8" t="inlineStr">
        <is>
          <t>CLOSED</t>
        </is>
      </c>
    </row>
    <row r="28109">
      <c r="A28109" s="8" t="inlineStr">
        <is>
          <t>2026-08-06</t>
        </is>
      </c>
      <c r="B28109" s="8" t="n">
        <v>1</v>
      </c>
      <c r="C28109" s="8" t="n">
        <v>1</v>
      </c>
      <c r="D28109" s="8" t="inlineStr">
        <is>
          <t>Disneyland Park</t>
        </is>
      </c>
      <c r="E28109" s="8" t="inlineStr">
        <is>
          <t>Casey Jr. – le Petit Train du Cirque</t>
        </is>
      </c>
      <c r="F28109" s="8" t="inlineStr">
        <is>
          <t>STANDBY</t>
        </is>
      </c>
      <c r="G28109" s="8" t="n">
        <v>0</v>
      </c>
      <c r="H28109" s="8" t="inlineStr">
        <is>
          <t>CLOSED</t>
        </is>
      </c>
    </row>
    <row r="28110">
      <c r="A28110" s="8" t="inlineStr">
        <is>
          <t>2026-08-06</t>
        </is>
      </c>
      <c r="B28110" s="8" t="n">
        <v>1</v>
      </c>
      <c r="C28110" s="8" t="n">
        <v>1</v>
      </c>
      <c r="D28110" s="8" t="inlineStr">
        <is>
          <t>Disneyland Park</t>
        </is>
      </c>
      <c r="E28110" s="8" t="inlineStr">
        <is>
          <t>Disneyland Railroad Fantasyland Station</t>
        </is>
      </c>
      <c r="F28110" s="8" t="inlineStr">
        <is>
          <t>STANDBY</t>
        </is>
      </c>
      <c r="G28110" s="8" t="n">
        <v>0</v>
      </c>
      <c r="H28110" s="8" t="inlineStr">
        <is>
          <t>CLOSED</t>
        </is>
      </c>
    </row>
    <row r="28111">
      <c r="A28111" s="8" t="inlineStr">
        <is>
          <t>2026-08-06</t>
        </is>
      </c>
      <c r="B28111" s="8" t="n">
        <v>1</v>
      </c>
      <c r="C28111" s="8" t="n">
        <v>1</v>
      </c>
      <c r="D28111" s="8" t="inlineStr">
        <is>
          <t>Disneyland Park</t>
        </is>
      </c>
      <c r="E28111" s="8" t="inlineStr">
        <is>
          <t>Disneyland Railroad Main Street Station</t>
        </is>
      </c>
      <c r="F28111" s="8" t="inlineStr">
        <is>
          <t>STANDBY</t>
        </is>
      </c>
      <c r="G28111" s="8" t="n">
        <v>0</v>
      </c>
      <c r="H28111" s="8" t="inlineStr">
        <is>
          <t>CLOSED</t>
        </is>
      </c>
    </row>
    <row r="28112">
      <c r="A28112" s="8" t="inlineStr">
        <is>
          <t>2026-08-06</t>
        </is>
      </c>
      <c r="B28112" s="8" t="n">
        <v>1</v>
      </c>
      <c r="C28112" s="8" t="n">
        <v>1</v>
      </c>
      <c r="D28112" s="8" t="inlineStr">
        <is>
          <t>Disneyland Park</t>
        </is>
      </c>
      <c r="E28112" s="8" t="inlineStr">
        <is>
          <t>Dumbo the Flying Elephant</t>
        </is>
      </c>
      <c r="F28112" s="8" t="inlineStr">
        <is>
          <t>STANDBY</t>
        </is>
      </c>
      <c r="G28112" s="8" t="n">
        <v>0</v>
      </c>
      <c r="H28112" s="8" t="inlineStr">
        <is>
          <t>CLOSED</t>
        </is>
      </c>
    </row>
    <row r="28113">
      <c r="A28113" s="8" t="inlineStr">
        <is>
          <t>2026-08-06</t>
        </is>
      </c>
      <c r="B28113" s="8" t="n">
        <v>1</v>
      </c>
      <c r="C28113" s="8" t="n">
        <v>1</v>
      </c>
      <c r="D28113" s="8" t="inlineStr">
        <is>
          <t>Disneyland Park</t>
        </is>
      </c>
      <c r="E28113" s="8" t="inlineStr">
        <is>
          <t>La Tanière du Dragon</t>
        </is>
      </c>
      <c r="F28113" s="8" t="inlineStr">
        <is>
          <t>STANDBY</t>
        </is>
      </c>
      <c r="G28113" s="8" t="n">
        <v>0</v>
      </c>
      <c r="H28113" s="8" t="inlineStr">
        <is>
          <t>CLOSED</t>
        </is>
      </c>
    </row>
    <row r="28114">
      <c r="A28114" s="8" t="inlineStr">
        <is>
          <t>2026-08-06</t>
        </is>
      </c>
      <c r="B28114" s="8" t="n">
        <v>1</v>
      </c>
      <c r="C28114" s="8" t="n">
        <v>1</v>
      </c>
      <c r="D28114" s="8" t="inlineStr">
        <is>
          <t>Disneyland Park</t>
        </is>
      </c>
      <c r="E28114" s="8" t="inlineStr">
        <is>
          <t>Le Carrousel de Lancelot</t>
        </is>
      </c>
      <c r="F28114" s="8" t="inlineStr">
        <is>
          <t>STANDBY</t>
        </is>
      </c>
      <c r="G28114" s="8" t="n">
        <v>0</v>
      </c>
      <c r="H28114" s="8" t="inlineStr">
        <is>
          <t>CLOSED</t>
        </is>
      </c>
    </row>
    <row r="28115">
      <c r="A28115" s="8" t="inlineStr">
        <is>
          <t>2026-08-06</t>
        </is>
      </c>
      <c r="B28115" s="8" t="n">
        <v>1</v>
      </c>
      <c r="C28115" s="8" t="n">
        <v>1</v>
      </c>
      <c r="D28115" s="8" t="inlineStr">
        <is>
          <t>Disneyland Park</t>
        </is>
      </c>
      <c r="E28115" s="8" t="inlineStr">
        <is>
          <t>Le Pays des Contes de Fées, presented by Vittel</t>
        </is>
      </c>
      <c r="F28115" s="8" t="inlineStr">
        <is>
          <t>STANDBY</t>
        </is>
      </c>
      <c r="G28115" s="8" t="n">
        <v>0</v>
      </c>
      <c r="H28115" s="8" t="inlineStr">
        <is>
          <t>CLOSED</t>
        </is>
      </c>
    </row>
    <row r="28116">
      <c r="A28116" s="8" t="inlineStr">
        <is>
          <t>2026-08-06</t>
        </is>
      </c>
      <c r="B28116" s="8" t="n">
        <v>1</v>
      </c>
      <c r="C28116" s="8" t="n">
        <v>1</v>
      </c>
      <c r="D28116" s="8" t="inlineStr">
        <is>
          <t>Disneyland Park</t>
        </is>
      </c>
      <c r="E28116" s="8" t="inlineStr">
        <is>
          <t>Les Voyages de Pinocchio</t>
        </is>
      </c>
      <c r="F28116" s="8" t="inlineStr">
        <is>
          <t>STANDBY</t>
        </is>
      </c>
      <c r="G28116" s="8" t="n">
        <v>0</v>
      </c>
      <c r="H28116" s="8" t="inlineStr">
        <is>
          <t>CLOSED</t>
        </is>
      </c>
    </row>
    <row r="28117">
      <c r="A28117" s="8" t="inlineStr">
        <is>
          <t>2026-08-06</t>
        </is>
      </c>
      <c r="B28117" s="8" t="n">
        <v>1</v>
      </c>
      <c r="C28117" s="8" t="n">
        <v>1</v>
      </c>
      <c r="D28117" s="8" t="inlineStr">
        <is>
          <t>Disneyland Park</t>
        </is>
      </c>
      <c r="E28117" s="8" t="inlineStr">
        <is>
          <t>Mad Hatter's Tea Cups</t>
        </is>
      </c>
      <c r="F28117" s="8" t="inlineStr">
        <is>
          <t>STANDBY</t>
        </is>
      </c>
      <c r="G28117" s="8" t="n">
        <v>0</v>
      </c>
      <c r="H28117" s="8" t="inlineStr">
        <is>
          <t>CLOSED</t>
        </is>
      </c>
    </row>
    <row r="28118">
      <c r="A28118" s="8" t="inlineStr">
        <is>
          <t>2026-08-06</t>
        </is>
      </c>
      <c r="B28118" s="8" t="n">
        <v>1</v>
      </c>
      <c r="C28118" s="8" t="n">
        <v>1</v>
      </c>
      <c r="D28118" s="8" t="inlineStr">
        <is>
          <t>Disneyland Park</t>
        </is>
      </c>
      <c r="E28118" s="8" t="inlineStr">
        <is>
          <t>Meet Mickey Mouse</t>
        </is>
      </c>
      <c r="F28118" s="8" t="inlineStr">
        <is>
          <t>STANDBY</t>
        </is>
      </c>
      <c r="G28118" s="8" t="n">
        <v>0</v>
      </c>
      <c r="H28118" s="8" t="inlineStr">
        <is>
          <t>CLOSED</t>
        </is>
      </c>
    </row>
    <row r="28119">
      <c r="A28119" s="8" t="inlineStr">
        <is>
          <t>2026-08-06</t>
        </is>
      </c>
      <c r="B28119" s="8" t="n">
        <v>1</v>
      </c>
      <c r="C28119" s="8" t="n">
        <v>1</v>
      </c>
      <c r="D28119" s="8" t="inlineStr">
        <is>
          <t>Disneyland Park</t>
        </is>
      </c>
      <c r="E28119" s="8" t="inlineStr">
        <is>
          <t>Peter Pan's Flight</t>
        </is>
      </c>
      <c r="F28119" s="8" t="inlineStr">
        <is>
          <t>STANDBY</t>
        </is>
      </c>
      <c r="G28119" s="8" t="n">
        <v>0</v>
      </c>
      <c r="H28119" s="8" t="inlineStr">
        <is>
          <t>CLOSED</t>
        </is>
      </c>
    </row>
    <row r="28120">
      <c r="A28120" s="8" t="inlineStr">
        <is>
          <t>2026-08-06</t>
        </is>
      </c>
      <c r="B28120" s="8" t="n">
        <v>1</v>
      </c>
      <c r="C28120" s="8" t="n">
        <v>1</v>
      </c>
      <c r="D28120" s="8" t="inlineStr">
        <is>
          <t>Disneyland Park</t>
        </is>
      </c>
      <c r="E28120" s="8" t="inlineStr">
        <is>
          <t>Princess Pavilion</t>
        </is>
      </c>
      <c r="F28120" s="8" t="inlineStr">
        <is>
          <t>STANDBY</t>
        </is>
      </c>
      <c r="G28120" s="8" t="n">
        <v>0</v>
      </c>
      <c r="H28120" s="8" t="inlineStr">
        <is>
          <t>CLOSED</t>
        </is>
      </c>
    </row>
    <row r="28121">
      <c r="A28121" s="8" t="inlineStr">
        <is>
          <t>2026-08-06</t>
        </is>
      </c>
      <c r="B28121" s="8" t="n">
        <v>1</v>
      </c>
      <c r="C28121" s="8" t="n">
        <v>1</v>
      </c>
      <c r="D28121" s="8" t="inlineStr">
        <is>
          <t>Disneyland Park</t>
        </is>
      </c>
      <c r="E28121" s="8" t="inlineStr">
        <is>
          <t>Big Thunder Mountain</t>
        </is>
      </c>
      <c r="F28121" s="8" t="inlineStr">
        <is>
          <t>STANDBY</t>
        </is>
      </c>
      <c r="G28121" s="8" t="n">
        <v>0</v>
      </c>
      <c r="H28121" s="8" t="inlineStr">
        <is>
          <t>CLOSED</t>
        </is>
      </c>
    </row>
    <row r="28122">
      <c r="A28122" s="8" t="inlineStr">
        <is>
          <t>2026-08-06</t>
        </is>
      </c>
      <c r="B28122" s="8" t="n">
        <v>1</v>
      </c>
      <c r="C28122" s="8" t="n">
        <v>1</v>
      </c>
      <c r="D28122" s="8" t="inlineStr">
        <is>
          <t>Disneyland Park</t>
        </is>
      </c>
      <c r="E28122" s="8" t="inlineStr">
        <is>
          <t>Disneyland Railroad Frontierland Depot</t>
        </is>
      </c>
      <c r="F28122" s="8" t="inlineStr">
        <is>
          <t>STANDBY</t>
        </is>
      </c>
      <c r="G28122" s="8" t="n">
        <v>0</v>
      </c>
      <c r="H28122" s="8" t="inlineStr">
        <is>
          <t>CLOSED</t>
        </is>
      </c>
    </row>
    <row r="28123">
      <c r="A28123" s="8" t="inlineStr">
        <is>
          <t>2026-08-06</t>
        </is>
      </c>
      <c r="B28123" s="8" t="n">
        <v>1</v>
      </c>
      <c r="C28123" s="8" t="n">
        <v>1</v>
      </c>
      <c r="D28123" s="8" t="inlineStr">
        <is>
          <t>Disneyland Park</t>
        </is>
      </c>
      <c r="E28123" s="8" t="inlineStr">
        <is>
          <t>Frontierland Playground</t>
        </is>
      </c>
      <c r="F28123" s="8" t="inlineStr">
        <is>
          <t>STANDBY</t>
        </is>
      </c>
      <c r="G28123" s="8" t="n">
        <v>0</v>
      </c>
      <c r="H28123" s="8" t="inlineStr">
        <is>
          <t>CLOSED</t>
        </is>
      </c>
    </row>
    <row r="28124">
      <c r="A28124" s="8" t="inlineStr">
        <is>
          <t>2026-08-06</t>
        </is>
      </c>
      <c r="B28124" s="8" t="n">
        <v>1</v>
      </c>
      <c r="C28124" s="8" t="n">
        <v>1</v>
      </c>
      <c r="D28124" s="8" t="inlineStr">
        <is>
          <t>Disneyland Park</t>
        </is>
      </c>
      <c r="E28124" s="8" t="inlineStr">
        <is>
          <t>Phantom Manor</t>
        </is>
      </c>
      <c r="F28124" s="8" t="inlineStr">
        <is>
          <t>STANDBY</t>
        </is>
      </c>
      <c r="G28124" s="8" t="n">
        <v>0</v>
      </c>
      <c r="H28124" s="8" t="inlineStr">
        <is>
          <t>CLOSED</t>
        </is>
      </c>
    </row>
    <row r="28125">
      <c r="A28125" s="8" t="inlineStr">
        <is>
          <t>2026-08-06</t>
        </is>
      </c>
      <c r="B28125" s="8" t="n">
        <v>1</v>
      </c>
      <c r="C28125" s="8" t="n">
        <v>1</v>
      </c>
      <c r="D28125" s="8" t="inlineStr">
        <is>
          <t>Disneyland Park</t>
        </is>
      </c>
      <c r="E28125" s="8" t="inlineStr">
        <is>
          <t>River Rogue Keelboats</t>
        </is>
      </c>
      <c r="F28125" s="8" t="inlineStr">
        <is>
          <t>STANDBY</t>
        </is>
      </c>
      <c r="G28125" s="8" t="n">
        <v>0</v>
      </c>
      <c r="H28125" s="8" t="inlineStr">
        <is>
          <t>CLOSED</t>
        </is>
      </c>
    </row>
    <row r="28126">
      <c r="A28126" s="8" t="inlineStr">
        <is>
          <t>2026-08-06</t>
        </is>
      </c>
      <c r="B28126" s="8" t="n">
        <v>1</v>
      </c>
      <c r="C28126" s="8" t="n">
        <v>1</v>
      </c>
      <c r="D28126" s="8" t="inlineStr">
        <is>
          <t>Disneyland Park</t>
        </is>
      </c>
      <c r="E28126" s="8" t="inlineStr">
        <is>
          <t>Rustler Roundup Shootin' Gallery</t>
        </is>
      </c>
      <c r="F28126" s="8" t="inlineStr">
        <is>
          <t>STANDBY</t>
        </is>
      </c>
      <c r="G28126" s="8" t="n">
        <v>0</v>
      </c>
      <c r="H28126" s="8" t="inlineStr">
        <is>
          <t>CLOSED</t>
        </is>
      </c>
    </row>
    <row r="28127">
      <c r="A28127" s="8" t="inlineStr">
        <is>
          <t>2026-08-06</t>
        </is>
      </c>
      <c r="B28127" s="8" t="n">
        <v>1</v>
      </c>
      <c r="C28127" s="8" t="n">
        <v>1</v>
      </c>
      <c r="D28127" s="8" t="inlineStr">
        <is>
          <t>Disneyland Park</t>
        </is>
      </c>
      <c r="E28127" s="8" t="inlineStr">
        <is>
          <t>Thunder Mesa Riverboat Landing</t>
        </is>
      </c>
      <c r="F28127" s="8" t="inlineStr">
        <is>
          <t>STANDBY</t>
        </is>
      </c>
      <c r="G28127" s="8" t="n">
        <v>0</v>
      </c>
      <c r="H28127" s="8" t="inlineStr">
        <is>
          <t>CLOSED</t>
        </is>
      </c>
    </row>
    <row r="28128">
      <c r="A28128" s="8" t="inlineStr">
        <is>
          <t>2026-08-06</t>
        </is>
      </c>
      <c r="B28128" s="8" t="n">
        <v>1</v>
      </c>
      <c r="C28128" s="8" t="n">
        <v>1</v>
      </c>
      <c r="D28128" s="8" t="inlineStr">
        <is>
          <t>Disneyland Park</t>
        </is>
      </c>
      <c r="E28128" s="8" t="inlineStr">
        <is>
          <t>Disneyland Railroad Main Street Station</t>
        </is>
      </c>
      <c r="F28128" s="8" t="inlineStr">
        <is>
          <t>STANDBY</t>
        </is>
      </c>
      <c r="G28128" s="8" t="n">
        <v>0</v>
      </c>
      <c r="H28128" s="8" t="inlineStr">
        <is>
          <t>CLOSED</t>
        </is>
      </c>
    </row>
    <row r="28129">
      <c r="A28129" s="8" t="inlineStr">
        <is>
          <t>2026-08-06</t>
        </is>
      </c>
      <c r="B28129" s="8" t="n">
        <v>1</v>
      </c>
      <c r="C28129" s="8" t="n">
        <v>1</v>
      </c>
      <c r="D28129" s="8" t="inlineStr">
        <is>
          <t>Disneyland Park</t>
        </is>
      </c>
      <c r="E28129" s="8" t="inlineStr">
        <is>
          <t>Main Street Vehicles</t>
        </is>
      </c>
      <c r="F28129" s="8" t="inlineStr">
        <is>
          <t>STANDBY</t>
        </is>
      </c>
      <c r="G28129" s="8" t="n">
        <v>0</v>
      </c>
      <c r="H28129" s="8" t="inlineStr">
        <is>
          <t>CLOSED</t>
        </is>
      </c>
    </row>
    <row r="28130">
      <c r="A28130" s="8" t="inlineStr">
        <is>
          <t>2026-08-06</t>
        </is>
      </c>
      <c r="B28130" s="8" t="n">
        <v>1</v>
      </c>
      <c r="C28130" s="8" t="n">
        <v>1</v>
      </c>
      <c r="D28130" s="8" t="inlineStr">
        <is>
          <t>Disney Adventure World</t>
        </is>
      </c>
      <c r="E28130" s="8" t="inlineStr">
        <is>
          <t>Avengers Assemble: Flight Force</t>
        </is>
      </c>
      <c r="F28130" s="8" t="inlineStr">
        <is>
          <t>STANDBY</t>
        </is>
      </c>
      <c r="G28130" s="8" t="n">
        <v>0</v>
      </c>
      <c r="H28130" s="8" t="inlineStr">
        <is>
          <t>CLOSED</t>
        </is>
      </c>
    </row>
    <row r="28131">
      <c r="A28131" s="8" t="inlineStr">
        <is>
          <t>2026-08-06</t>
        </is>
      </c>
      <c r="B28131" s="8" t="n">
        <v>1</v>
      </c>
      <c r="C28131" s="8" t="n">
        <v>1</v>
      </c>
      <c r="D28131" s="8" t="inlineStr">
        <is>
          <t>Disney Adventure World</t>
        </is>
      </c>
      <c r="E28131" s="8" t="inlineStr">
        <is>
          <t>Avengers Assemble: Flight Force Single Rider</t>
        </is>
      </c>
      <c r="F28131" s="8" t="inlineStr">
        <is>
          <t>STANDBY</t>
        </is>
      </c>
      <c r="G28131" s="8" t="n">
        <v>0</v>
      </c>
      <c r="H28131" s="8" t="inlineStr">
        <is>
          <t>CLOSED</t>
        </is>
      </c>
    </row>
    <row r="28132">
      <c r="A28132" s="8" t="inlineStr">
        <is>
          <t>2026-08-06</t>
        </is>
      </c>
      <c r="B28132" s="8" t="n">
        <v>1</v>
      </c>
      <c r="C28132" s="8" t="n">
        <v>1</v>
      </c>
      <c r="D28132" s="8" t="inlineStr">
        <is>
          <t>Disney Adventure World</t>
        </is>
      </c>
      <c r="E28132" s="8" t="inlineStr">
        <is>
          <t>Spider-Man W.E.B. Adventure</t>
        </is>
      </c>
      <c r="F28132" s="8" t="inlineStr">
        <is>
          <t>STANDBY</t>
        </is>
      </c>
      <c r="G28132" s="8" t="n">
        <v>0</v>
      </c>
      <c r="H28132" s="8" t="inlineStr">
        <is>
          <t>CLOSED</t>
        </is>
      </c>
    </row>
    <row r="28133">
      <c r="A28133" s="8" t="inlineStr">
        <is>
          <t>2026-08-06</t>
        </is>
      </c>
      <c r="B28133" s="8" t="n">
        <v>1</v>
      </c>
      <c r="C28133" s="8" t="n">
        <v>1</v>
      </c>
      <c r="D28133" s="8" t="inlineStr">
        <is>
          <t>Disney Adventure World</t>
        </is>
      </c>
      <c r="E28133" s="8" t="inlineStr">
        <is>
          <t>Spider-Man W.E.B. Adventure Single Rider</t>
        </is>
      </c>
      <c r="F28133" s="8" t="inlineStr">
        <is>
          <t>STANDBY</t>
        </is>
      </c>
      <c r="G28133" s="8" t="n">
        <v>0</v>
      </c>
      <c r="H28133" s="8" t="inlineStr">
        <is>
          <t>CLOSED</t>
        </is>
      </c>
    </row>
    <row r="28134">
      <c r="A28134" s="8" t="inlineStr">
        <is>
          <t>2026-08-06</t>
        </is>
      </c>
      <c r="B28134" s="8" t="n">
        <v>1</v>
      </c>
      <c r="C28134" s="8" t="n">
        <v>1</v>
      </c>
      <c r="D28134" s="8" t="inlineStr">
        <is>
          <t>Disney Adventure World</t>
        </is>
      </c>
      <c r="E28134" s="8" t="inlineStr">
        <is>
          <t>The Twilight Zone Tower of Terror</t>
        </is>
      </c>
      <c r="F28134" s="8" t="inlineStr">
        <is>
          <t>STANDBY</t>
        </is>
      </c>
      <c r="G28134" s="8" t="n">
        <v>0</v>
      </c>
      <c r="H28134" s="8" t="inlineStr">
        <is>
          <t>CLOSED</t>
        </is>
      </c>
    </row>
    <row r="28135">
      <c r="A28135" s="8" t="inlineStr">
        <is>
          <t>2026-08-06</t>
        </is>
      </c>
      <c r="B28135" s="8" t="n">
        <v>1</v>
      </c>
      <c r="C28135" s="8" t="n">
        <v>1</v>
      </c>
      <c r="D28135" s="8" t="inlineStr">
        <is>
          <t>Disney Adventure World</t>
        </is>
      </c>
      <c r="E28135" s="8" t="inlineStr">
        <is>
          <t>Cars Quatre Roues Rallye</t>
        </is>
      </c>
      <c r="F28135" s="8" t="inlineStr">
        <is>
          <t>STANDBY</t>
        </is>
      </c>
      <c r="G28135" s="8" t="n">
        <v>0</v>
      </c>
      <c r="H28135" s="8" t="inlineStr">
        <is>
          <t>CLOSED</t>
        </is>
      </c>
    </row>
    <row r="28136">
      <c r="A28136" s="8" t="inlineStr">
        <is>
          <t>2026-08-06</t>
        </is>
      </c>
      <c r="B28136" s="8" t="n">
        <v>1</v>
      </c>
      <c r="C28136" s="8" t="n">
        <v>1</v>
      </c>
      <c r="D28136" s="8" t="inlineStr">
        <is>
          <t>Disney Adventure World</t>
        </is>
      </c>
      <c r="E28136" s="8" t="inlineStr">
        <is>
          <t>Cars ROAD TRIP</t>
        </is>
      </c>
      <c r="F28136" s="8" t="inlineStr">
        <is>
          <t>STANDBY</t>
        </is>
      </c>
      <c r="G28136" s="8" t="n">
        <v>0</v>
      </c>
      <c r="H28136" s="8" t="inlineStr">
        <is>
          <t>CLOSED</t>
        </is>
      </c>
    </row>
    <row r="28137">
      <c r="A28137" s="8" t="inlineStr">
        <is>
          <t>2026-08-06</t>
        </is>
      </c>
      <c r="B28137" s="8" t="n">
        <v>1</v>
      </c>
      <c r="C28137" s="8" t="n">
        <v>1</v>
      </c>
      <c r="D28137" s="8" t="inlineStr">
        <is>
          <t>Disney Adventure World</t>
        </is>
      </c>
      <c r="E28137" s="8" t="inlineStr">
        <is>
          <t>Crush's Coaster</t>
        </is>
      </c>
      <c r="F28137" s="8" t="inlineStr">
        <is>
          <t>STANDBY</t>
        </is>
      </c>
      <c r="G28137" s="8" t="n">
        <v>0</v>
      </c>
      <c r="H28137" s="8" t="inlineStr">
        <is>
          <t>CLOSED</t>
        </is>
      </c>
    </row>
    <row r="28138">
      <c r="A28138" s="8" t="inlineStr">
        <is>
          <t>2026-08-06</t>
        </is>
      </c>
      <c r="B28138" s="8" t="n">
        <v>1</v>
      </c>
      <c r="C28138" s="8" t="n">
        <v>1</v>
      </c>
      <c r="D28138" s="8" t="inlineStr">
        <is>
          <t>Disney Adventure World</t>
        </is>
      </c>
      <c r="E28138" s="8" t="inlineStr">
        <is>
          <t>Crush's Coaster Single Rider</t>
        </is>
      </c>
      <c r="F28138" s="8" t="inlineStr">
        <is>
          <t>STANDBY</t>
        </is>
      </c>
      <c r="G28138" s="8" t="n">
        <v>0</v>
      </c>
      <c r="H28138" s="8" t="inlineStr">
        <is>
          <t>CLOSED</t>
        </is>
      </c>
    </row>
    <row r="28139">
      <c r="A28139" s="8" t="inlineStr">
        <is>
          <t>2026-08-06</t>
        </is>
      </c>
      <c r="B28139" s="8" t="n">
        <v>1</v>
      </c>
      <c r="C28139" s="8" t="n">
        <v>1</v>
      </c>
      <c r="D28139" s="8" t="inlineStr">
        <is>
          <t>Disney Adventure World</t>
        </is>
      </c>
      <c r="E28139" s="8" t="inlineStr">
        <is>
          <t>Les Tapis Volants - Flying Carpets Over Agrabah®</t>
        </is>
      </c>
      <c r="F28139" s="8" t="inlineStr">
        <is>
          <t>STANDBY</t>
        </is>
      </c>
      <c r="G28139" s="8" t="n">
        <v>0</v>
      </c>
      <c r="H28139" s="8" t="inlineStr">
        <is>
          <t>CLOSED</t>
        </is>
      </c>
    </row>
    <row r="28140">
      <c r="A28140" s="8" t="inlineStr">
        <is>
          <t>2026-08-06</t>
        </is>
      </c>
      <c r="B28140" s="8" t="n">
        <v>1</v>
      </c>
      <c r="C28140" s="8" t="n">
        <v>1</v>
      </c>
      <c r="D28140" s="8" t="inlineStr">
        <is>
          <t>Disney Adventure World</t>
        </is>
      </c>
      <c r="E28140" s="8" t="inlineStr">
        <is>
          <t>Ratatouille : L’Aventure Totalement Toquée de Rémy​</t>
        </is>
      </c>
      <c r="F28140" s="8" t="inlineStr">
        <is>
          <t>STANDBY</t>
        </is>
      </c>
      <c r="G28140" s="8" t="n">
        <v>0</v>
      </c>
      <c r="H28140" s="8" t="inlineStr">
        <is>
          <t>CLOSED</t>
        </is>
      </c>
    </row>
    <row r="28141">
      <c r="A28141" s="8" t="inlineStr">
        <is>
          <t>2026-08-06</t>
        </is>
      </c>
      <c r="B28141" s="8" t="n">
        <v>1</v>
      </c>
      <c r="C28141" s="8" t="n">
        <v>1</v>
      </c>
      <c r="D28141" s="8" t="inlineStr">
        <is>
          <t>Disney Adventure World</t>
        </is>
      </c>
      <c r="E28141" s="8" t="inlineStr">
        <is>
          <t>Ratatouille: The Adventure Single Rider</t>
        </is>
      </c>
      <c r="F28141" s="8" t="inlineStr">
        <is>
          <t>STANDBY</t>
        </is>
      </c>
      <c r="G28141" s="8" t="n">
        <v>0</v>
      </c>
      <c r="H28141" s="8" t="inlineStr">
        <is>
          <t>CLOSED</t>
        </is>
      </c>
    </row>
    <row r="28142">
      <c r="A28142" s="8" t="inlineStr">
        <is>
          <t>2026-08-06</t>
        </is>
      </c>
      <c r="B28142" s="8" t="n">
        <v>1</v>
      </c>
      <c r="C28142" s="8" t="n">
        <v>1</v>
      </c>
      <c r="D28142" s="8" t="inlineStr">
        <is>
          <t>Disney Adventure World</t>
        </is>
      </c>
      <c r="E28142" s="8" t="inlineStr">
        <is>
          <t>RC Racer</t>
        </is>
      </c>
      <c r="F28142" s="8" t="inlineStr">
        <is>
          <t>STANDBY</t>
        </is>
      </c>
      <c r="G28142" s="8" t="n">
        <v>0</v>
      </c>
      <c r="H28142" s="8" t="inlineStr">
        <is>
          <t>CLOSED</t>
        </is>
      </c>
    </row>
    <row r="28143">
      <c r="A28143" s="8" t="inlineStr">
        <is>
          <t>2026-08-06</t>
        </is>
      </c>
      <c r="B28143" s="8" t="n">
        <v>1</v>
      </c>
      <c r="C28143" s="8" t="n">
        <v>1</v>
      </c>
      <c r="D28143" s="8" t="inlineStr">
        <is>
          <t>Disney Adventure World</t>
        </is>
      </c>
      <c r="E28143" s="8" t="inlineStr">
        <is>
          <t>RC Racer Single Rider</t>
        </is>
      </c>
      <c r="F28143" s="8" t="inlineStr">
        <is>
          <t>STANDBY</t>
        </is>
      </c>
      <c r="G28143" s="8" t="n">
        <v>0</v>
      </c>
      <c r="H28143" s="8" t="inlineStr">
        <is>
          <t>CLOSED</t>
        </is>
      </c>
    </row>
    <row r="28144">
      <c r="A28144" s="8" t="inlineStr">
        <is>
          <t>2026-08-06</t>
        </is>
      </c>
      <c r="B28144" s="8" t="n">
        <v>1</v>
      </c>
      <c r="C28144" s="8" t="n">
        <v>1</v>
      </c>
      <c r="D28144" s="8" t="inlineStr">
        <is>
          <t>Disney Adventure World</t>
        </is>
      </c>
      <c r="E28144" s="8" t="inlineStr">
        <is>
          <t>Slinky® Dog Zigzag Spin</t>
        </is>
      </c>
      <c r="F28144" s="8" t="inlineStr">
        <is>
          <t>STANDBY</t>
        </is>
      </c>
      <c r="G28144" s="8" t="n">
        <v>0</v>
      </c>
      <c r="H28144" s="8" t="inlineStr">
        <is>
          <t>CLOSED</t>
        </is>
      </c>
    </row>
    <row r="28145">
      <c r="A28145" s="8" t="inlineStr">
        <is>
          <t>2026-08-06</t>
        </is>
      </c>
      <c r="B28145" s="8" t="n">
        <v>1</v>
      </c>
      <c r="C28145" s="8" t="n">
        <v>1</v>
      </c>
      <c r="D28145" s="8" t="inlineStr">
        <is>
          <t>Disney Adventure World</t>
        </is>
      </c>
      <c r="E28145" s="8" t="inlineStr">
        <is>
          <t>Toy Soldiers Parachute Drop</t>
        </is>
      </c>
      <c r="F28145" s="8" t="inlineStr">
        <is>
          <t>STANDBY</t>
        </is>
      </c>
      <c r="G28145" s="8" t="n">
        <v>0</v>
      </c>
      <c r="H28145" s="8" t="inlineStr">
        <is>
          <t>CLOSED</t>
        </is>
      </c>
    </row>
    <row r="28146">
      <c r="A28146" s="8" t="inlineStr">
        <is>
          <t>2026-08-06</t>
        </is>
      </c>
      <c r="B28146" s="8" t="n">
        <v>1</v>
      </c>
      <c r="C28146" s="8" t="n">
        <v>1</v>
      </c>
      <c r="D28146" s="8" t="inlineStr">
        <is>
          <t>Disney Adventure World</t>
        </is>
      </c>
      <c r="E28146" s="8" t="inlineStr">
        <is>
          <t>Toy Soldiers Parachute Drop Single Rider</t>
        </is>
      </c>
      <c r="F28146" s="8" t="inlineStr">
        <is>
          <t>STANDBY</t>
        </is>
      </c>
      <c r="G28146" s="8" t="n">
        <v>0</v>
      </c>
      <c r="H28146" s="8" t="inlineStr">
        <is>
          <t>CLOSED</t>
        </is>
      </c>
    </row>
    <row r="28147">
      <c r="A28147" s="8" t="inlineStr">
        <is>
          <t>2026-08-06</t>
        </is>
      </c>
      <c r="B28147" s="8" t="n">
        <v>1</v>
      </c>
      <c r="C28147" s="8" t="n">
        <v>1</v>
      </c>
      <c r="D28147" s="8" t="inlineStr">
        <is>
          <t>Disney Adventure World</t>
        </is>
      </c>
      <c r="E28147" s="8" t="inlineStr">
        <is>
          <t>Entry to World of Frozen</t>
        </is>
      </c>
      <c r="F28147" s="8" t="inlineStr">
        <is>
          <t>STANDBY</t>
        </is>
      </c>
      <c r="G28147" s="8" t="n">
        <v>0</v>
      </c>
      <c r="H28147" s="8" t="inlineStr">
        <is>
          <t>CLOSED</t>
        </is>
      </c>
    </row>
    <row r="28148">
      <c r="A28148" s="8" t="inlineStr">
        <is>
          <t>2026-08-06</t>
        </is>
      </c>
      <c r="B28148" s="8" t="n">
        <v>1</v>
      </c>
      <c r="C28148" s="8" t="n">
        <v>1</v>
      </c>
      <c r="D28148" s="8" t="inlineStr">
        <is>
          <t>Disney Adventure World</t>
        </is>
      </c>
      <c r="E28148" s="8" t="inlineStr">
        <is>
          <t>Frozen Ever After</t>
        </is>
      </c>
      <c r="F28148" s="8" t="inlineStr">
        <is>
          <t>STANDBY</t>
        </is>
      </c>
      <c r="G28148" s="8" t="n">
        <v>0</v>
      </c>
      <c r="H28148" s="8" t="inlineStr">
        <is>
          <t>CLOSED</t>
        </is>
      </c>
    </row>
    <row r="28149">
      <c r="A28149" s="8" t="inlineStr">
        <is>
          <t>2026-08-06</t>
        </is>
      </c>
      <c r="B28149" s="8" t="n">
        <v>1</v>
      </c>
      <c r="C28149" s="8" t="n">
        <v>1</v>
      </c>
      <c r="D28149" s="8" t="inlineStr">
        <is>
          <t>Disney Adventure World</t>
        </is>
      </c>
      <c r="E28149" s="8" t="inlineStr">
        <is>
          <t>Raiponce Tangled Spin</t>
        </is>
      </c>
      <c r="F28149" s="8" t="inlineStr">
        <is>
          <t>STANDBY</t>
        </is>
      </c>
      <c r="G28149" s="8" t="n">
        <v>0</v>
      </c>
      <c r="H28149" s="8" t="inlineStr">
        <is>
          <t>CLOSED</t>
        </is>
      </c>
    </row>
    <row r="28150">
      <c r="A28150" s="8" t="inlineStr">
        <is>
          <t>2026-08-06</t>
        </is>
      </c>
      <c r="B28150" s="8" t="n">
        <v>1</v>
      </c>
      <c r="C28150" s="8" t="n">
        <v>15</v>
      </c>
      <c r="D28150" s="8" t="inlineStr">
        <is>
          <t>Disneyland Park</t>
        </is>
      </c>
      <c r="E28150" s="8" t="inlineStr">
        <is>
          <t>Adventure Isle</t>
        </is>
      </c>
      <c r="F28150" s="8" t="inlineStr">
        <is>
          <t>STANDBY</t>
        </is>
      </c>
      <c r="G28150" s="8" t="n">
        <v>0</v>
      </c>
      <c r="H28150" s="8" t="inlineStr">
        <is>
          <t>CLOSED</t>
        </is>
      </c>
    </row>
    <row r="28151">
      <c r="A28151" s="8" t="inlineStr">
        <is>
          <t>2026-08-06</t>
        </is>
      </c>
      <c r="B28151" s="8" t="n">
        <v>1</v>
      </c>
      <c r="C28151" s="8" t="n">
        <v>15</v>
      </c>
      <c r="D28151" s="8" t="inlineStr">
        <is>
          <t>Disneyland Park</t>
        </is>
      </c>
      <c r="E28151" s="8" t="inlineStr">
        <is>
          <t>Indiana Jones and the Temple of Peril Single Rider</t>
        </is>
      </c>
      <c r="F28151" s="8" t="inlineStr">
        <is>
          <t>STANDBY</t>
        </is>
      </c>
      <c r="G28151" s="8" t="n">
        <v>0</v>
      </c>
      <c r="H28151" s="8" t="inlineStr">
        <is>
          <t>CLOSED</t>
        </is>
      </c>
    </row>
    <row r="28152">
      <c r="A28152" s="8" t="inlineStr">
        <is>
          <t>2026-08-06</t>
        </is>
      </c>
      <c r="B28152" s="8" t="n">
        <v>1</v>
      </c>
      <c r="C28152" s="8" t="n">
        <v>15</v>
      </c>
      <c r="D28152" s="8" t="inlineStr">
        <is>
          <t>Disneyland Park</t>
        </is>
      </c>
      <c r="E28152" s="8" t="inlineStr">
        <is>
          <t>Indiana Jones™ and the Temple of Peril</t>
        </is>
      </c>
      <c r="F28152" s="8" t="inlineStr">
        <is>
          <t>STANDBY</t>
        </is>
      </c>
      <c r="G28152" s="8" t="n">
        <v>0</v>
      </c>
      <c r="H28152" s="8" t="inlineStr">
        <is>
          <t>CLOSED</t>
        </is>
      </c>
    </row>
    <row r="28153">
      <c r="A28153" s="8" t="inlineStr">
        <is>
          <t>2026-08-06</t>
        </is>
      </c>
      <c r="B28153" s="8" t="n">
        <v>1</v>
      </c>
      <c r="C28153" s="8" t="n">
        <v>15</v>
      </c>
      <c r="D28153" s="8" t="inlineStr">
        <is>
          <t>Disneyland Park</t>
        </is>
      </c>
      <c r="E28153" s="8" t="inlineStr">
        <is>
          <t>La Cabane des Robinson</t>
        </is>
      </c>
      <c r="F28153" s="8" t="inlineStr">
        <is>
          <t>STANDBY</t>
        </is>
      </c>
      <c r="G28153" s="8" t="n">
        <v>0</v>
      </c>
      <c r="H28153" s="8" t="inlineStr">
        <is>
          <t>CLOSED</t>
        </is>
      </c>
    </row>
    <row r="28154">
      <c r="A28154" s="8" t="inlineStr">
        <is>
          <t>2026-08-06</t>
        </is>
      </c>
      <c r="B28154" s="8" t="n">
        <v>1</v>
      </c>
      <c r="C28154" s="8" t="n">
        <v>15</v>
      </c>
      <c r="D28154" s="8" t="inlineStr">
        <is>
          <t>Disneyland Park</t>
        </is>
      </c>
      <c r="E28154" s="8" t="inlineStr">
        <is>
          <t>Le Passage Enchanté d'Aladdin</t>
        </is>
      </c>
      <c r="F28154" s="8" t="inlineStr">
        <is>
          <t>STANDBY</t>
        </is>
      </c>
      <c r="G28154" s="8" t="n">
        <v>0</v>
      </c>
      <c r="H28154" s="8" t="inlineStr">
        <is>
          <t>CLOSED</t>
        </is>
      </c>
    </row>
    <row r="28155">
      <c r="A28155" s="8" t="inlineStr">
        <is>
          <t>2026-08-06</t>
        </is>
      </c>
      <c r="B28155" s="8" t="n">
        <v>1</v>
      </c>
      <c r="C28155" s="8" t="n">
        <v>15</v>
      </c>
      <c r="D28155" s="8" t="inlineStr">
        <is>
          <t>Disneyland Park</t>
        </is>
      </c>
      <c r="E28155" s="8" t="inlineStr">
        <is>
          <t>Pirate Galleon</t>
        </is>
      </c>
      <c r="F28155" s="8" t="inlineStr">
        <is>
          <t>STANDBY</t>
        </is>
      </c>
      <c r="G28155" s="8" t="n">
        <v>0</v>
      </c>
      <c r="H28155" s="8" t="inlineStr">
        <is>
          <t>CLOSED</t>
        </is>
      </c>
    </row>
    <row r="28156">
      <c r="A28156" s="8" t="inlineStr">
        <is>
          <t>2026-08-06</t>
        </is>
      </c>
      <c r="B28156" s="8" t="n">
        <v>1</v>
      </c>
      <c r="C28156" s="8" t="n">
        <v>15</v>
      </c>
      <c r="D28156" s="8" t="inlineStr">
        <is>
          <t>Disneyland Park</t>
        </is>
      </c>
      <c r="E28156" s="8" t="inlineStr">
        <is>
          <t>Pirates of the Caribbean</t>
        </is>
      </c>
      <c r="F28156" s="8" t="inlineStr">
        <is>
          <t>STANDBY</t>
        </is>
      </c>
      <c r="G28156" s="8" t="n">
        <v>0</v>
      </c>
      <c r="H28156" s="8" t="inlineStr">
        <is>
          <t>CLOSED</t>
        </is>
      </c>
    </row>
    <row r="28157">
      <c r="A28157" s="8" t="inlineStr">
        <is>
          <t>2026-08-06</t>
        </is>
      </c>
      <c r="B28157" s="8" t="n">
        <v>1</v>
      </c>
      <c r="C28157" s="8" t="n">
        <v>15</v>
      </c>
      <c r="D28157" s="8" t="inlineStr">
        <is>
          <t>Disneyland Park</t>
        </is>
      </c>
      <c r="E28157" s="8" t="inlineStr">
        <is>
          <t>Pirates' Beach</t>
        </is>
      </c>
      <c r="F28157" s="8" t="inlineStr">
        <is>
          <t>STANDBY</t>
        </is>
      </c>
      <c r="G28157" s="8" t="n">
        <v>0</v>
      </c>
      <c r="H28157" s="8" t="inlineStr">
        <is>
          <t>CLOSED</t>
        </is>
      </c>
    </row>
    <row r="28158">
      <c r="A28158" s="8" t="inlineStr">
        <is>
          <t>2026-08-06</t>
        </is>
      </c>
      <c r="B28158" s="8" t="n">
        <v>1</v>
      </c>
      <c r="C28158" s="8" t="n">
        <v>15</v>
      </c>
      <c r="D28158" s="8" t="inlineStr">
        <is>
          <t>Disneyland Park</t>
        </is>
      </c>
      <c r="E28158" s="8" t="inlineStr">
        <is>
          <t>Autopia, presented by Avis</t>
        </is>
      </c>
      <c r="F28158" s="8" t="inlineStr">
        <is>
          <t>STANDBY</t>
        </is>
      </c>
      <c r="G28158" s="8" t="n">
        <v>0</v>
      </c>
      <c r="H28158" s="8" t="inlineStr">
        <is>
          <t>CLOSED</t>
        </is>
      </c>
    </row>
    <row r="28159">
      <c r="A28159" s="8" t="inlineStr">
        <is>
          <t>2026-08-06</t>
        </is>
      </c>
      <c r="B28159" s="8" t="n">
        <v>1</v>
      </c>
      <c r="C28159" s="8" t="n">
        <v>15</v>
      </c>
      <c r="D28159" s="8" t="inlineStr">
        <is>
          <t>Disneyland Park</t>
        </is>
      </c>
      <c r="E28159" s="8" t="inlineStr">
        <is>
          <t>Buzz Lightyear Laser Blast</t>
        </is>
      </c>
      <c r="F28159" s="8" t="inlineStr">
        <is>
          <t>STANDBY</t>
        </is>
      </c>
      <c r="G28159" s="8" t="n">
        <v>0</v>
      </c>
      <c r="H28159" s="8" t="inlineStr">
        <is>
          <t>CLOSED</t>
        </is>
      </c>
    </row>
    <row r="28160">
      <c r="A28160" s="8" t="inlineStr">
        <is>
          <t>2026-08-06</t>
        </is>
      </c>
      <c r="B28160" s="8" t="n">
        <v>1</v>
      </c>
      <c r="C28160" s="8" t="n">
        <v>15</v>
      </c>
      <c r="D28160" s="8" t="inlineStr">
        <is>
          <t>Disneyland Park</t>
        </is>
      </c>
      <c r="E28160" s="8" t="inlineStr">
        <is>
          <t>Disneyland Railroad Discoveryland Station</t>
        </is>
      </c>
      <c r="F28160" s="8" t="inlineStr">
        <is>
          <t>STANDBY</t>
        </is>
      </c>
      <c r="G28160" s="8" t="n">
        <v>0</v>
      </c>
      <c r="H28160" s="8" t="inlineStr">
        <is>
          <t>CLOSED</t>
        </is>
      </c>
    </row>
    <row r="28161">
      <c r="A28161" s="8" t="inlineStr">
        <is>
          <t>2026-08-06</t>
        </is>
      </c>
      <c r="B28161" s="8" t="n">
        <v>1</v>
      </c>
      <c r="C28161" s="8" t="n">
        <v>15</v>
      </c>
      <c r="D28161" s="8" t="inlineStr">
        <is>
          <t>Disneyland Park</t>
        </is>
      </c>
      <c r="E28161" s="8" t="inlineStr">
        <is>
          <t>Les Mystères du Nautilus</t>
        </is>
      </c>
      <c r="F28161" s="8" t="inlineStr">
        <is>
          <t>STANDBY</t>
        </is>
      </c>
      <c r="G28161" s="8" t="n">
        <v>0</v>
      </c>
      <c r="H28161" s="8" t="inlineStr">
        <is>
          <t>CLOSED</t>
        </is>
      </c>
    </row>
    <row r="28162">
      <c r="A28162" s="8" t="inlineStr">
        <is>
          <t>2026-08-06</t>
        </is>
      </c>
      <c r="B28162" s="8" t="n">
        <v>1</v>
      </c>
      <c r="C28162" s="8" t="n">
        <v>15</v>
      </c>
      <c r="D28162" s="8" t="inlineStr">
        <is>
          <t>Disneyland Park</t>
        </is>
      </c>
      <c r="E28162" s="8" t="inlineStr">
        <is>
          <t>Mickey’s PhilharMagic</t>
        </is>
      </c>
      <c r="F28162" s="8" t="inlineStr">
        <is>
          <t>STANDBY</t>
        </is>
      </c>
      <c r="G28162" s="8" t="n">
        <v>0</v>
      </c>
      <c r="H28162" s="8" t="inlineStr">
        <is>
          <t>CLOSED</t>
        </is>
      </c>
    </row>
    <row r="28163">
      <c r="A28163" s="8" t="inlineStr">
        <is>
          <t>2026-08-06</t>
        </is>
      </c>
      <c r="B28163" s="8" t="n">
        <v>1</v>
      </c>
      <c r="C28163" s="8" t="n">
        <v>15</v>
      </c>
      <c r="D28163" s="8" t="inlineStr">
        <is>
          <t>Disneyland Park</t>
        </is>
      </c>
      <c r="E28163" s="8" t="inlineStr">
        <is>
          <t>Orbitron®</t>
        </is>
      </c>
      <c r="F28163" s="8" t="inlineStr">
        <is>
          <t>STANDBY</t>
        </is>
      </c>
      <c r="G28163" s="8" t="n">
        <v>0</v>
      </c>
      <c r="H28163" s="8" t="inlineStr">
        <is>
          <t>CLOSED</t>
        </is>
      </c>
    </row>
    <row r="28164">
      <c r="A28164" s="8" t="inlineStr">
        <is>
          <t>2026-08-06</t>
        </is>
      </c>
      <c r="B28164" s="8" t="n">
        <v>1</v>
      </c>
      <c r="C28164" s="8" t="n">
        <v>15</v>
      </c>
      <c r="D28164" s="8" t="inlineStr">
        <is>
          <t>Disneyland Park</t>
        </is>
      </c>
      <c r="E28164" s="8" t="inlineStr">
        <is>
          <t>Star Tours: The Adventures Continue*</t>
        </is>
      </c>
      <c r="F28164" s="8" t="inlineStr">
        <is>
          <t>STANDBY</t>
        </is>
      </c>
      <c r="G28164" s="8" t="n">
        <v>0</v>
      </c>
      <c r="H28164" s="8" t="inlineStr">
        <is>
          <t>CLOSED</t>
        </is>
      </c>
    </row>
    <row r="28165">
      <c r="A28165" s="8" t="inlineStr">
        <is>
          <t>2026-08-06</t>
        </is>
      </c>
      <c r="B28165" s="8" t="n">
        <v>1</v>
      </c>
      <c r="C28165" s="8" t="n">
        <v>15</v>
      </c>
      <c r="D28165" s="8" t="inlineStr">
        <is>
          <t>Disneyland Park</t>
        </is>
      </c>
      <c r="E28165" s="8" t="inlineStr">
        <is>
          <t>Star Wars Hyperspace Mountain</t>
        </is>
      </c>
      <c r="F28165" s="8" t="inlineStr">
        <is>
          <t>STANDBY</t>
        </is>
      </c>
      <c r="G28165" s="8" t="n">
        <v>0</v>
      </c>
      <c r="H28165" s="8" t="inlineStr">
        <is>
          <t>CLOSED</t>
        </is>
      </c>
    </row>
    <row r="28166">
      <c r="A28166" s="8" t="inlineStr">
        <is>
          <t>2026-08-06</t>
        </is>
      </c>
      <c r="B28166" s="8" t="n">
        <v>1</v>
      </c>
      <c r="C28166" s="8" t="n">
        <v>15</v>
      </c>
      <c r="D28166" s="8" t="inlineStr">
        <is>
          <t>Disneyland Park</t>
        </is>
      </c>
      <c r="E28166" s="8" t="inlineStr">
        <is>
          <t>Star Wars Hyperspace Mountain Single Rider</t>
        </is>
      </c>
      <c r="F28166" s="8" t="inlineStr">
        <is>
          <t>STANDBY</t>
        </is>
      </c>
      <c r="G28166" s="8" t="n">
        <v>0</v>
      </c>
      <c r="H28166" s="8" t="inlineStr">
        <is>
          <t>CLOSED</t>
        </is>
      </c>
    </row>
    <row r="28167">
      <c r="A28167" s="8" t="inlineStr">
        <is>
          <t>2026-08-06</t>
        </is>
      </c>
      <c r="B28167" s="8" t="n">
        <v>1</v>
      </c>
      <c r="C28167" s="8" t="n">
        <v>15</v>
      </c>
      <c r="D28167" s="8" t="inlineStr">
        <is>
          <t>Disneyland Park</t>
        </is>
      </c>
      <c r="E28167" s="8" t="inlineStr">
        <is>
          <t>Welcome to Starport: A Star Wars Encounter</t>
        </is>
      </c>
      <c r="F28167" s="8" t="inlineStr">
        <is>
          <t>STANDBY</t>
        </is>
      </c>
      <c r="G28167" s="8" t="n">
        <v>0</v>
      </c>
      <c r="H28167" s="8" t="inlineStr">
        <is>
          <t>CLOSED</t>
        </is>
      </c>
    </row>
    <row r="28168">
      <c r="A28168" s="8" t="inlineStr">
        <is>
          <t>2026-08-06</t>
        </is>
      </c>
      <c r="B28168" s="8" t="n">
        <v>1</v>
      </c>
      <c r="C28168" s="8" t="n">
        <v>15</v>
      </c>
      <c r="D28168" s="8" t="inlineStr">
        <is>
          <t>Disneyland Park</t>
        </is>
      </c>
      <c r="E28168" s="8" t="inlineStr">
        <is>
          <t>"it's a small world"</t>
        </is>
      </c>
      <c r="F28168" s="8" t="inlineStr">
        <is>
          <t>STANDBY</t>
        </is>
      </c>
      <c r="G28168" s="8" t="n">
        <v>0</v>
      </c>
      <c r="H28168" s="8" t="inlineStr">
        <is>
          <t>CLOSED</t>
        </is>
      </c>
    </row>
    <row r="28169">
      <c r="A28169" s="8" t="inlineStr">
        <is>
          <t>2026-08-06</t>
        </is>
      </c>
      <c r="B28169" s="8" t="n">
        <v>1</v>
      </c>
      <c r="C28169" s="8" t="n">
        <v>15</v>
      </c>
      <c r="D28169" s="8" t="inlineStr">
        <is>
          <t>Disneyland Park</t>
        </is>
      </c>
      <c r="E28169" s="8" t="inlineStr">
        <is>
          <t>Alice's Curious Labyrinth</t>
        </is>
      </c>
      <c r="F28169" s="8" t="inlineStr">
        <is>
          <t>STANDBY</t>
        </is>
      </c>
      <c r="G28169" s="8" t="n">
        <v>0</v>
      </c>
      <c r="H28169" s="8" t="inlineStr">
        <is>
          <t>CLOSED</t>
        </is>
      </c>
    </row>
    <row r="28170">
      <c r="A28170" s="8" t="inlineStr">
        <is>
          <t>2026-08-06</t>
        </is>
      </c>
      <c r="B28170" s="8" t="n">
        <v>1</v>
      </c>
      <c r="C28170" s="8" t="n">
        <v>15</v>
      </c>
      <c r="D28170" s="8" t="inlineStr">
        <is>
          <t>Disneyland Park</t>
        </is>
      </c>
      <c r="E28170" s="8" t="inlineStr">
        <is>
          <t>Blanche-Neige et les Sept Nains®</t>
        </is>
      </c>
      <c r="F28170" s="8" t="inlineStr">
        <is>
          <t>STANDBY</t>
        </is>
      </c>
      <c r="G28170" s="8" t="n">
        <v>0</v>
      </c>
      <c r="H28170" s="8" t="inlineStr">
        <is>
          <t>CLOSED</t>
        </is>
      </c>
    </row>
    <row r="28171">
      <c r="A28171" s="8" t="inlineStr">
        <is>
          <t>2026-08-06</t>
        </is>
      </c>
      <c r="B28171" s="8" t="n">
        <v>1</v>
      </c>
      <c r="C28171" s="8" t="n">
        <v>15</v>
      </c>
      <c r="D28171" s="8" t="inlineStr">
        <is>
          <t>Disneyland Park</t>
        </is>
      </c>
      <c r="E28171" s="8" t="inlineStr">
        <is>
          <t>Casey Jr. – le Petit Train du Cirque</t>
        </is>
      </c>
      <c r="F28171" s="8" t="inlineStr">
        <is>
          <t>STANDBY</t>
        </is>
      </c>
      <c r="G28171" s="8" t="n">
        <v>0</v>
      </c>
      <c r="H28171" s="8" t="inlineStr">
        <is>
          <t>CLOSED</t>
        </is>
      </c>
    </row>
    <row r="28172">
      <c r="A28172" s="8" t="inlineStr">
        <is>
          <t>2026-08-06</t>
        </is>
      </c>
      <c r="B28172" s="8" t="n">
        <v>1</v>
      </c>
      <c r="C28172" s="8" t="n">
        <v>15</v>
      </c>
      <c r="D28172" s="8" t="inlineStr">
        <is>
          <t>Disneyland Park</t>
        </is>
      </c>
      <c r="E28172" s="8" t="inlineStr">
        <is>
          <t>Disneyland Railroad Fantasyland Station</t>
        </is>
      </c>
      <c r="F28172" s="8" t="inlineStr">
        <is>
          <t>STANDBY</t>
        </is>
      </c>
      <c r="G28172" s="8" t="n">
        <v>0</v>
      </c>
      <c r="H28172" s="8" t="inlineStr">
        <is>
          <t>CLOSED</t>
        </is>
      </c>
    </row>
    <row r="28173">
      <c r="A28173" s="8" t="inlineStr">
        <is>
          <t>2026-08-06</t>
        </is>
      </c>
      <c r="B28173" s="8" t="n">
        <v>1</v>
      </c>
      <c r="C28173" s="8" t="n">
        <v>15</v>
      </c>
      <c r="D28173" s="8" t="inlineStr">
        <is>
          <t>Disneyland Park</t>
        </is>
      </c>
      <c r="E28173" s="8" t="inlineStr">
        <is>
          <t>Disneyland Railroad Main Street Station</t>
        </is>
      </c>
      <c r="F28173" s="8" t="inlineStr">
        <is>
          <t>STANDBY</t>
        </is>
      </c>
      <c r="G28173" s="8" t="n">
        <v>0</v>
      </c>
      <c r="H28173" s="8" t="inlineStr">
        <is>
          <t>CLOSED</t>
        </is>
      </c>
    </row>
    <row r="28174">
      <c r="A28174" s="8" t="inlineStr">
        <is>
          <t>2026-08-06</t>
        </is>
      </c>
      <c r="B28174" s="8" t="n">
        <v>1</v>
      </c>
      <c r="C28174" s="8" t="n">
        <v>15</v>
      </c>
      <c r="D28174" s="8" t="inlineStr">
        <is>
          <t>Disneyland Park</t>
        </is>
      </c>
      <c r="E28174" s="8" t="inlineStr">
        <is>
          <t>Dumbo the Flying Elephant</t>
        </is>
      </c>
      <c r="F28174" s="8" t="inlineStr">
        <is>
          <t>STANDBY</t>
        </is>
      </c>
      <c r="G28174" s="8" t="n">
        <v>0</v>
      </c>
      <c r="H28174" s="8" t="inlineStr">
        <is>
          <t>CLOSED</t>
        </is>
      </c>
    </row>
    <row r="28175">
      <c r="A28175" s="8" t="inlineStr">
        <is>
          <t>2026-08-06</t>
        </is>
      </c>
      <c r="B28175" s="8" t="n">
        <v>1</v>
      </c>
      <c r="C28175" s="8" t="n">
        <v>15</v>
      </c>
      <c r="D28175" s="8" t="inlineStr">
        <is>
          <t>Disneyland Park</t>
        </is>
      </c>
      <c r="E28175" s="8" t="inlineStr">
        <is>
          <t>La Tanière du Dragon</t>
        </is>
      </c>
      <c r="F28175" s="8" t="inlineStr">
        <is>
          <t>STANDBY</t>
        </is>
      </c>
      <c r="G28175" s="8" t="n">
        <v>0</v>
      </c>
      <c r="H28175" s="8" t="inlineStr">
        <is>
          <t>CLOSED</t>
        </is>
      </c>
    </row>
    <row r="28176">
      <c r="A28176" s="8" t="inlineStr">
        <is>
          <t>2026-08-06</t>
        </is>
      </c>
      <c r="B28176" s="8" t="n">
        <v>1</v>
      </c>
      <c r="C28176" s="8" t="n">
        <v>15</v>
      </c>
      <c r="D28176" s="8" t="inlineStr">
        <is>
          <t>Disneyland Park</t>
        </is>
      </c>
      <c r="E28176" s="8" t="inlineStr">
        <is>
          <t>Le Carrousel de Lancelot</t>
        </is>
      </c>
      <c r="F28176" s="8" t="inlineStr">
        <is>
          <t>STANDBY</t>
        </is>
      </c>
      <c r="G28176" s="8" t="n">
        <v>0</v>
      </c>
      <c r="H28176" s="8" t="inlineStr">
        <is>
          <t>CLOSED</t>
        </is>
      </c>
    </row>
    <row r="28177">
      <c r="A28177" s="8" t="inlineStr">
        <is>
          <t>2026-08-06</t>
        </is>
      </c>
      <c r="B28177" s="8" t="n">
        <v>1</v>
      </c>
      <c r="C28177" s="8" t="n">
        <v>15</v>
      </c>
      <c r="D28177" s="8" t="inlineStr">
        <is>
          <t>Disneyland Park</t>
        </is>
      </c>
      <c r="E28177" s="8" t="inlineStr">
        <is>
          <t>Le Pays des Contes de Fées, presented by Vittel</t>
        </is>
      </c>
      <c r="F28177" s="8" t="inlineStr">
        <is>
          <t>STANDBY</t>
        </is>
      </c>
      <c r="G28177" s="8" t="n">
        <v>0</v>
      </c>
      <c r="H28177" s="8" t="inlineStr">
        <is>
          <t>CLOSED</t>
        </is>
      </c>
    </row>
    <row r="28178">
      <c r="A28178" s="8" t="inlineStr">
        <is>
          <t>2026-08-06</t>
        </is>
      </c>
      <c r="B28178" s="8" t="n">
        <v>1</v>
      </c>
      <c r="C28178" s="8" t="n">
        <v>15</v>
      </c>
      <c r="D28178" s="8" t="inlineStr">
        <is>
          <t>Disneyland Park</t>
        </is>
      </c>
      <c r="E28178" s="8" t="inlineStr">
        <is>
          <t>Les Voyages de Pinocchio</t>
        </is>
      </c>
      <c r="F28178" s="8" t="inlineStr">
        <is>
          <t>STANDBY</t>
        </is>
      </c>
      <c r="G28178" s="8" t="n">
        <v>0</v>
      </c>
      <c r="H28178" s="8" t="inlineStr">
        <is>
          <t>CLOSED</t>
        </is>
      </c>
    </row>
    <row r="28179">
      <c r="A28179" s="8" t="inlineStr">
        <is>
          <t>2026-08-06</t>
        </is>
      </c>
      <c r="B28179" s="8" t="n">
        <v>1</v>
      </c>
      <c r="C28179" s="8" t="n">
        <v>15</v>
      </c>
      <c r="D28179" s="8" t="inlineStr">
        <is>
          <t>Disneyland Park</t>
        </is>
      </c>
      <c r="E28179" s="8" t="inlineStr">
        <is>
          <t>Mad Hatter's Tea Cups</t>
        </is>
      </c>
      <c r="F28179" s="8" t="inlineStr">
        <is>
          <t>STANDBY</t>
        </is>
      </c>
      <c r="G28179" s="8" t="n">
        <v>0</v>
      </c>
      <c r="H28179" s="8" t="inlineStr">
        <is>
          <t>CLOSED</t>
        </is>
      </c>
    </row>
    <row r="28180">
      <c r="A28180" s="8" t="inlineStr">
        <is>
          <t>2026-08-06</t>
        </is>
      </c>
      <c r="B28180" s="8" t="n">
        <v>1</v>
      </c>
      <c r="C28180" s="8" t="n">
        <v>15</v>
      </c>
      <c r="D28180" s="8" t="inlineStr">
        <is>
          <t>Disneyland Park</t>
        </is>
      </c>
      <c r="E28180" s="8" t="inlineStr">
        <is>
          <t>Meet Mickey Mouse</t>
        </is>
      </c>
      <c r="F28180" s="8" t="inlineStr">
        <is>
          <t>STANDBY</t>
        </is>
      </c>
      <c r="G28180" s="8" t="n">
        <v>0</v>
      </c>
      <c r="H28180" s="8" t="inlineStr">
        <is>
          <t>CLOSED</t>
        </is>
      </c>
    </row>
    <row r="28181">
      <c r="A28181" s="8" t="inlineStr">
        <is>
          <t>2026-08-06</t>
        </is>
      </c>
      <c r="B28181" s="8" t="n">
        <v>1</v>
      </c>
      <c r="C28181" s="8" t="n">
        <v>15</v>
      </c>
      <c r="D28181" s="8" t="inlineStr">
        <is>
          <t>Disneyland Park</t>
        </is>
      </c>
      <c r="E28181" s="8" t="inlineStr">
        <is>
          <t>Peter Pan's Flight</t>
        </is>
      </c>
      <c r="F28181" s="8" t="inlineStr">
        <is>
          <t>STANDBY</t>
        </is>
      </c>
      <c r="G28181" s="8" t="n">
        <v>0</v>
      </c>
      <c r="H28181" s="8" t="inlineStr">
        <is>
          <t>CLOSED</t>
        </is>
      </c>
    </row>
    <row r="28182">
      <c r="A28182" s="8" t="inlineStr">
        <is>
          <t>2026-08-06</t>
        </is>
      </c>
      <c r="B28182" s="8" t="n">
        <v>1</v>
      </c>
      <c r="C28182" s="8" t="n">
        <v>15</v>
      </c>
      <c r="D28182" s="8" t="inlineStr">
        <is>
          <t>Disneyland Park</t>
        </is>
      </c>
      <c r="E28182" s="8" t="inlineStr">
        <is>
          <t>Princess Pavilion</t>
        </is>
      </c>
      <c r="F28182" s="8" t="inlineStr">
        <is>
          <t>STANDBY</t>
        </is>
      </c>
      <c r="G28182" s="8" t="n">
        <v>0</v>
      </c>
      <c r="H28182" s="8" t="inlineStr">
        <is>
          <t>CLOSED</t>
        </is>
      </c>
    </row>
    <row r="28183">
      <c r="A28183" s="8" t="inlineStr">
        <is>
          <t>2026-08-06</t>
        </is>
      </c>
      <c r="B28183" s="8" t="n">
        <v>1</v>
      </c>
      <c r="C28183" s="8" t="n">
        <v>15</v>
      </c>
      <c r="D28183" s="8" t="inlineStr">
        <is>
          <t>Disneyland Park</t>
        </is>
      </c>
      <c r="E28183" s="8" t="inlineStr">
        <is>
          <t>Big Thunder Mountain</t>
        </is>
      </c>
      <c r="F28183" s="8" t="inlineStr">
        <is>
          <t>STANDBY</t>
        </is>
      </c>
      <c r="G28183" s="8" t="n">
        <v>0</v>
      </c>
      <c r="H28183" s="8" t="inlineStr">
        <is>
          <t>CLOSED</t>
        </is>
      </c>
    </row>
    <row r="28184">
      <c r="A28184" s="8" t="inlineStr">
        <is>
          <t>2026-08-06</t>
        </is>
      </c>
      <c r="B28184" s="8" t="n">
        <v>1</v>
      </c>
      <c r="C28184" s="8" t="n">
        <v>15</v>
      </c>
      <c r="D28184" s="8" t="inlineStr">
        <is>
          <t>Disneyland Park</t>
        </is>
      </c>
      <c r="E28184" s="8" t="inlineStr">
        <is>
          <t>Disneyland Railroad Frontierland Depot</t>
        </is>
      </c>
      <c r="F28184" s="8" t="inlineStr">
        <is>
          <t>STANDBY</t>
        </is>
      </c>
      <c r="G28184" s="8" t="n">
        <v>0</v>
      </c>
      <c r="H28184" s="8" t="inlineStr">
        <is>
          <t>CLOSED</t>
        </is>
      </c>
    </row>
    <row r="28185">
      <c r="A28185" s="8" t="inlineStr">
        <is>
          <t>2026-08-06</t>
        </is>
      </c>
      <c r="B28185" s="8" t="n">
        <v>1</v>
      </c>
      <c r="C28185" s="8" t="n">
        <v>15</v>
      </c>
      <c r="D28185" s="8" t="inlineStr">
        <is>
          <t>Disneyland Park</t>
        </is>
      </c>
      <c r="E28185" s="8" t="inlineStr">
        <is>
          <t>Frontierland Playground</t>
        </is>
      </c>
      <c r="F28185" s="8" t="inlineStr">
        <is>
          <t>STANDBY</t>
        </is>
      </c>
      <c r="G28185" s="8" t="n">
        <v>0</v>
      </c>
      <c r="H28185" s="8" t="inlineStr">
        <is>
          <t>CLOSED</t>
        </is>
      </c>
    </row>
    <row r="28186">
      <c r="A28186" s="8" t="inlineStr">
        <is>
          <t>2026-08-06</t>
        </is>
      </c>
      <c r="B28186" s="8" t="n">
        <v>1</v>
      </c>
      <c r="C28186" s="8" t="n">
        <v>15</v>
      </c>
      <c r="D28186" s="8" t="inlineStr">
        <is>
          <t>Disneyland Park</t>
        </is>
      </c>
      <c r="E28186" s="8" t="inlineStr">
        <is>
          <t>Phantom Manor</t>
        </is>
      </c>
      <c r="F28186" s="8" t="inlineStr">
        <is>
          <t>STANDBY</t>
        </is>
      </c>
      <c r="G28186" s="8" t="n">
        <v>0</v>
      </c>
      <c r="H28186" s="8" t="inlineStr">
        <is>
          <t>CLOSED</t>
        </is>
      </c>
    </row>
    <row r="28187">
      <c r="A28187" s="8" t="inlineStr">
        <is>
          <t>2026-08-06</t>
        </is>
      </c>
      <c r="B28187" s="8" t="n">
        <v>1</v>
      </c>
      <c r="C28187" s="8" t="n">
        <v>15</v>
      </c>
      <c r="D28187" s="8" t="inlineStr">
        <is>
          <t>Disneyland Park</t>
        </is>
      </c>
      <c r="E28187" s="8" t="inlineStr">
        <is>
          <t>River Rogue Keelboats</t>
        </is>
      </c>
      <c r="F28187" s="8" t="inlineStr">
        <is>
          <t>STANDBY</t>
        </is>
      </c>
      <c r="G28187" s="8" t="n">
        <v>0</v>
      </c>
      <c r="H28187" s="8" t="inlineStr">
        <is>
          <t>CLOSED</t>
        </is>
      </c>
    </row>
    <row r="28188">
      <c r="A28188" s="8" t="inlineStr">
        <is>
          <t>2026-08-06</t>
        </is>
      </c>
      <c r="B28188" s="8" t="n">
        <v>1</v>
      </c>
      <c r="C28188" s="8" t="n">
        <v>15</v>
      </c>
      <c r="D28188" s="8" t="inlineStr">
        <is>
          <t>Disneyland Park</t>
        </is>
      </c>
      <c r="E28188" s="8" t="inlineStr">
        <is>
          <t>Rustler Roundup Shootin' Gallery</t>
        </is>
      </c>
      <c r="F28188" s="8" t="inlineStr">
        <is>
          <t>STANDBY</t>
        </is>
      </c>
      <c r="G28188" s="8" t="n">
        <v>0</v>
      </c>
      <c r="H28188" s="8" t="inlineStr">
        <is>
          <t>CLOSED</t>
        </is>
      </c>
    </row>
    <row r="28189">
      <c r="A28189" s="8" t="inlineStr">
        <is>
          <t>2026-08-06</t>
        </is>
      </c>
      <c r="B28189" s="8" t="n">
        <v>1</v>
      </c>
      <c r="C28189" s="8" t="n">
        <v>15</v>
      </c>
      <c r="D28189" s="8" t="inlineStr">
        <is>
          <t>Disneyland Park</t>
        </is>
      </c>
      <c r="E28189" s="8" t="inlineStr">
        <is>
          <t>Thunder Mesa Riverboat Landing</t>
        </is>
      </c>
      <c r="F28189" s="8" t="inlineStr">
        <is>
          <t>STANDBY</t>
        </is>
      </c>
      <c r="G28189" s="8" t="n">
        <v>0</v>
      </c>
      <c r="H28189" s="8" t="inlineStr">
        <is>
          <t>CLOSED</t>
        </is>
      </c>
    </row>
    <row r="28190">
      <c r="A28190" s="8" t="inlineStr">
        <is>
          <t>2026-08-06</t>
        </is>
      </c>
      <c r="B28190" s="8" t="n">
        <v>1</v>
      </c>
      <c r="C28190" s="8" t="n">
        <v>15</v>
      </c>
      <c r="D28190" s="8" t="inlineStr">
        <is>
          <t>Disneyland Park</t>
        </is>
      </c>
      <c r="E28190" s="8" t="inlineStr">
        <is>
          <t>Disneyland Railroad Main Street Station</t>
        </is>
      </c>
      <c r="F28190" s="8" t="inlineStr">
        <is>
          <t>STANDBY</t>
        </is>
      </c>
      <c r="G28190" s="8" t="n">
        <v>0</v>
      </c>
      <c r="H28190" s="8" t="inlineStr">
        <is>
          <t>CLOSED</t>
        </is>
      </c>
    </row>
    <row r="28191">
      <c r="A28191" s="8" t="inlineStr">
        <is>
          <t>2026-08-06</t>
        </is>
      </c>
      <c r="B28191" s="8" t="n">
        <v>1</v>
      </c>
      <c r="C28191" s="8" t="n">
        <v>15</v>
      </c>
      <c r="D28191" s="8" t="inlineStr">
        <is>
          <t>Disneyland Park</t>
        </is>
      </c>
      <c r="E28191" s="8" t="inlineStr">
        <is>
          <t>Main Street Vehicles</t>
        </is>
      </c>
      <c r="F28191" s="8" t="inlineStr">
        <is>
          <t>STANDBY</t>
        </is>
      </c>
      <c r="G28191" s="8" t="n">
        <v>0</v>
      </c>
      <c r="H28191" s="8" t="inlineStr">
        <is>
          <t>CLOSED</t>
        </is>
      </c>
    </row>
    <row r="28192">
      <c r="A28192" s="8" t="inlineStr">
        <is>
          <t>2026-08-06</t>
        </is>
      </c>
      <c r="B28192" s="8" t="n">
        <v>1</v>
      </c>
      <c r="C28192" s="8" t="n">
        <v>15</v>
      </c>
      <c r="D28192" s="8" t="inlineStr">
        <is>
          <t>Disney Adventure World</t>
        </is>
      </c>
      <c r="E28192" s="8" t="inlineStr">
        <is>
          <t>Avengers Assemble: Flight Force</t>
        </is>
      </c>
      <c r="F28192" s="8" t="inlineStr">
        <is>
          <t>STANDBY</t>
        </is>
      </c>
      <c r="G28192" s="8" t="n">
        <v>0</v>
      </c>
      <c r="H28192" s="8" t="inlineStr">
        <is>
          <t>CLOSED</t>
        </is>
      </c>
    </row>
    <row r="28193">
      <c r="A28193" s="8" t="inlineStr">
        <is>
          <t>2026-08-06</t>
        </is>
      </c>
      <c r="B28193" s="8" t="n">
        <v>1</v>
      </c>
      <c r="C28193" s="8" t="n">
        <v>15</v>
      </c>
      <c r="D28193" s="8" t="inlineStr">
        <is>
          <t>Disney Adventure World</t>
        </is>
      </c>
      <c r="E28193" s="8" t="inlineStr">
        <is>
          <t>Avengers Assemble: Flight Force Single Rider</t>
        </is>
      </c>
      <c r="F28193" s="8" t="inlineStr">
        <is>
          <t>STANDBY</t>
        </is>
      </c>
      <c r="G28193" s="8" t="n">
        <v>0</v>
      </c>
      <c r="H28193" s="8" t="inlineStr">
        <is>
          <t>CLOSED</t>
        </is>
      </c>
    </row>
    <row r="28194">
      <c r="A28194" s="8" t="inlineStr">
        <is>
          <t>2026-08-06</t>
        </is>
      </c>
      <c r="B28194" s="8" t="n">
        <v>1</v>
      </c>
      <c r="C28194" s="8" t="n">
        <v>15</v>
      </c>
      <c r="D28194" s="8" t="inlineStr">
        <is>
          <t>Disney Adventure World</t>
        </is>
      </c>
      <c r="E28194" s="8" t="inlineStr">
        <is>
          <t>Spider-Man W.E.B. Adventure</t>
        </is>
      </c>
      <c r="F28194" s="8" t="inlineStr">
        <is>
          <t>STANDBY</t>
        </is>
      </c>
      <c r="G28194" s="8" t="n">
        <v>0</v>
      </c>
      <c r="H28194" s="8" t="inlineStr">
        <is>
          <t>CLOSED</t>
        </is>
      </c>
    </row>
    <row r="28195">
      <c r="A28195" s="8" t="inlineStr">
        <is>
          <t>2026-08-06</t>
        </is>
      </c>
      <c r="B28195" s="8" t="n">
        <v>1</v>
      </c>
      <c r="C28195" s="8" t="n">
        <v>15</v>
      </c>
      <c r="D28195" s="8" t="inlineStr">
        <is>
          <t>Disney Adventure World</t>
        </is>
      </c>
      <c r="E28195" s="8" t="inlineStr">
        <is>
          <t>Spider-Man W.E.B. Adventure Single Rider</t>
        </is>
      </c>
      <c r="F28195" s="8" t="inlineStr">
        <is>
          <t>STANDBY</t>
        </is>
      </c>
      <c r="G28195" s="8" t="n">
        <v>0</v>
      </c>
      <c r="H28195" s="8" t="inlineStr">
        <is>
          <t>CLOSED</t>
        </is>
      </c>
    </row>
    <row r="28196">
      <c r="A28196" s="8" t="inlineStr">
        <is>
          <t>2026-08-06</t>
        </is>
      </c>
      <c r="B28196" s="8" t="n">
        <v>1</v>
      </c>
      <c r="C28196" s="8" t="n">
        <v>15</v>
      </c>
      <c r="D28196" s="8" t="inlineStr">
        <is>
          <t>Disney Adventure World</t>
        </is>
      </c>
      <c r="E28196" s="8" t="inlineStr">
        <is>
          <t>The Twilight Zone Tower of Terror</t>
        </is>
      </c>
      <c r="F28196" s="8" t="inlineStr">
        <is>
          <t>STANDBY</t>
        </is>
      </c>
      <c r="G28196" s="8" t="n">
        <v>0</v>
      </c>
      <c r="H28196" s="8" t="inlineStr">
        <is>
          <t>CLOSED</t>
        </is>
      </c>
    </row>
    <row r="28197">
      <c r="A28197" s="8" t="inlineStr">
        <is>
          <t>2026-08-06</t>
        </is>
      </c>
      <c r="B28197" s="8" t="n">
        <v>1</v>
      </c>
      <c r="C28197" s="8" t="n">
        <v>15</v>
      </c>
      <c r="D28197" s="8" t="inlineStr">
        <is>
          <t>Disney Adventure World</t>
        </is>
      </c>
      <c r="E28197" s="8" t="inlineStr">
        <is>
          <t>Cars Quatre Roues Rallye</t>
        </is>
      </c>
      <c r="F28197" s="8" t="inlineStr">
        <is>
          <t>STANDBY</t>
        </is>
      </c>
      <c r="G28197" s="8" t="n">
        <v>0</v>
      </c>
      <c r="H28197" s="8" t="inlineStr">
        <is>
          <t>CLOSED</t>
        </is>
      </c>
    </row>
    <row r="28198">
      <c r="A28198" s="8" t="inlineStr">
        <is>
          <t>2026-08-06</t>
        </is>
      </c>
      <c r="B28198" s="8" t="n">
        <v>1</v>
      </c>
      <c r="C28198" s="8" t="n">
        <v>15</v>
      </c>
      <c r="D28198" s="8" t="inlineStr">
        <is>
          <t>Disney Adventure World</t>
        </is>
      </c>
      <c r="E28198" s="8" t="inlineStr">
        <is>
          <t>Cars ROAD TRIP</t>
        </is>
      </c>
      <c r="F28198" s="8" t="inlineStr">
        <is>
          <t>STANDBY</t>
        </is>
      </c>
      <c r="G28198" s="8" t="n">
        <v>0</v>
      </c>
      <c r="H28198" s="8" t="inlineStr">
        <is>
          <t>CLOSED</t>
        </is>
      </c>
    </row>
    <row r="28199">
      <c r="A28199" s="8" t="inlineStr">
        <is>
          <t>2026-08-06</t>
        </is>
      </c>
      <c r="B28199" s="8" t="n">
        <v>1</v>
      </c>
      <c r="C28199" s="8" t="n">
        <v>15</v>
      </c>
      <c r="D28199" s="8" t="inlineStr">
        <is>
          <t>Disney Adventure World</t>
        </is>
      </c>
      <c r="E28199" s="8" t="inlineStr">
        <is>
          <t>Crush's Coaster</t>
        </is>
      </c>
      <c r="F28199" s="8" t="inlineStr">
        <is>
          <t>STANDBY</t>
        </is>
      </c>
      <c r="G28199" s="8" t="n">
        <v>0</v>
      </c>
      <c r="H28199" s="8" t="inlineStr">
        <is>
          <t>CLOSED</t>
        </is>
      </c>
    </row>
    <row r="28200">
      <c r="A28200" s="8" t="inlineStr">
        <is>
          <t>2026-08-06</t>
        </is>
      </c>
      <c r="B28200" s="8" t="n">
        <v>1</v>
      </c>
      <c r="C28200" s="8" t="n">
        <v>15</v>
      </c>
      <c r="D28200" s="8" t="inlineStr">
        <is>
          <t>Disney Adventure World</t>
        </is>
      </c>
      <c r="E28200" s="8" t="inlineStr">
        <is>
          <t>Crush's Coaster Single Rider</t>
        </is>
      </c>
      <c r="F28200" s="8" t="inlineStr">
        <is>
          <t>STANDBY</t>
        </is>
      </c>
      <c r="G28200" s="8" t="n">
        <v>0</v>
      </c>
      <c r="H28200" s="8" t="inlineStr">
        <is>
          <t>CLOSED</t>
        </is>
      </c>
    </row>
    <row r="28201">
      <c r="A28201" s="8" t="inlineStr">
        <is>
          <t>2026-08-06</t>
        </is>
      </c>
      <c r="B28201" s="8" t="n">
        <v>1</v>
      </c>
      <c r="C28201" s="8" t="n">
        <v>15</v>
      </c>
      <c r="D28201" s="8" t="inlineStr">
        <is>
          <t>Disney Adventure World</t>
        </is>
      </c>
      <c r="E28201" s="8" t="inlineStr">
        <is>
          <t>Les Tapis Volants - Flying Carpets Over Agrabah®</t>
        </is>
      </c>
      <c r="F28201" s="8" t="inlineStr">
        <is>
          <t>STANDBY</t>
        </is>
      </c>
      <c r="G28201" s="8" t="n">
        <v>0</v>
      </c>
      <c r="H28201" s="8" t="inlineStr">
        <is>
          <t>CLOSED</t>
        </is>
      </c>
    </row>
    <row r="28202">
      <c r="A28202" s="8" t="inlineStr">
        <is>
          <t>2026-08-06</t>
        </is>
      </c>
      <c r="B28202" s="8" t="n">
        <v>1</v>
      </c>
      <c r="C28202" s="8" t="n">
        <v>15</v>
      </c>
      <c r="D28202" s="8" t="inlineStr">
        <is>
          <t>Disney Adventure World</t>
        </is>
      </c>
      <c r="E28202" s="8" t="inlineStr">
        <is>
          <t>Ratatouille : L’Aventure Totalement Toquée de Rémy​</t>
        </is>
      </c>
      <c r="F28202" s="8" t="inlineStr">
        <is>
          <t>STANDBY</t>
        </is>
      </c>
      <c r="G28202" s="8" t="n">
        <v>0</v>
      </c>
      <c r="H28202" s="8" t="inlineStr">
        <is>
          <t>CLOSED</t>
        </is>
      </c>
    </row>
    <row r="28203">
      <c r="A28203" s="8" t="inlineStr">
        <is>
          <t>2026-08-06</t>
        </is>
      </c>
      <c r="B28203" s="8" t="n">
        <v>1</v>
      </c>
      <c r="C28203" s="8" t="n">
        <v>15</v>
      </c>
      <c r="D28203" s="8" t="inlineStr">
        <is>
          <t>Disney Adventure World</t>
        </is>
      </c>
      <c r="E28203" s="8" t="inlineStr">
        <is>
          <t>Ratatouille: The Adventure Single Rider</t>
        </is>
      </c>
      <c r="F28203" s="8" t="inlineStr">
        <is>
          <t>STANDBY</t>
        </is>
      </c>
      <c r="G28203" s="8" t="n">
        <v>0</v>
      </c>
      <c r="H28203" s="8" t="inlineStr">
        <is>
          <t>CLOSED</t>
        </is>
      </c>
    </row>
    <row r="28204">
      <c r="A28204" s="8" t="inlineStr">
        <is>
          <t>2026-08-06</t>
        </is>
      </c>
      <c r="B28204" s="8" t="n">
        <v>1</v>
      </c>
      <c r="C28204" s="8" t="n">
        <v>15</v>
      </c>
      <c r="D28204" s="8" t="inlineStr">
        <is>
          <t>Disney Adventure World</t>
        </is>
      </c>
      <c r="E28204" s="8" t="inlineStr">
        <is>
          <t>RC Racer</t>
        </is>
      </c>
      <c r="F28204" s="8" t="inlineStr">
        <is>
          <t>STANDBY</t>
        </is>
      </c>
      <c r="G28204" s="8" t="n">
        <v>0</v>
      </c>
      <c r="H28204" s="8" t="inlineStr">
        <is>
          <t>CLOSED</t>
        </is>
      </c>
    </row>
    <row r="28205">
      <c r="A28205" s="8" t="inlineStr">
        <is>
          <t>2026-08-06</t>
        </is>
      </c>
      <c r="B28205" s="8" t="n">
        <v>1</v>
      </c>
      <c r="C28205" s="8" t="n">
        <v>15</v>
      </c>
      <c r="D28205" s="8" t="inlineStr">
        <is>
          <t>Disney Adventure World</t>
        </is>
      </c>
      <c r="E28205" s="8" t="inlineStr">
        <is>
          <t>RC Racer Single Rider</t>
        </is>
      </c>
      <c r="F28205" s="8" t="inlineStr">
        <is>
          <t>STANDBY</t>
        </is>
      </c>
      <c r="G28205" s="8" t="n">
        <v>0</v>
      </c>
      <c r="H28205" s="8" t="inlineStr">
        <is>
          <t>CLOSED</t>
        </is>
      </c>
    </row>
    <row r="28206">
      <c r="A28206" s="8" t="inlineStr">
        <is>
          <t>2026-08-06</t>
        </is>
      </c>
      <c r="B28206" s="8" t="n">
        <v>1</v>
      </c>
      <c r="C28206" s="8" t="n">
        <v>15</v>
      </c>
      <c r="D28206" s="8" t="inlineStr">
        <is>
          <t>Disney Adventure World</t>
        </is>
      </c>
      <c r="E28206" s="8" t="inlineStr">
        <is>
          <t>Slinky® Dog Zigzag Spin</t>
        </is>
      </c>
      <c r="F28206" s="8" t="inlineStr">
        <is>
          <t>STANDBY</t>
        </is>
      </c>
      <c r="G28206" s="8" t="n">
        <v>0</v>
      </c>
      <c r="H28206" s="8" t="inlineStr">
        <is>
          <t>CLOSED</t>
        </is>
      </c>
    </row>
    <row r="28207">
      <c r="A28207" s="8" t="inlineStr">
        <is>
          <t>2026-08-06</t>
        </is>
      </c>
      <c r="B28207" s="8" t="n">
        <v>1</v>
      </c>
      <c r="C28207" s="8" t="n">
        <v>15</v>
      </c>
      <c r="D28207" s="8" t="inlineStr">
        <is>
          <t>Disney Adventure World</t>
        </is>
      </c>
      <c r="E28207" s="8" t="inlineStr">
        <is>
          <t>Toy Soldiers Parachute Drop</t>
        </is>
      </c>
      <c r="F28207" s="8" t="inlineStr">
        <is>
          <t>STANDBY</t>
        </is>
      </c>
      <c r="G28207" s="8" t="n">
        <v>0</v>
      </c>
      <c r="H28207" s="8" t="inlineStr">
        <is>
          <t>CLOSED</t>
        </is>
      </c>
    </row>
    <row r="28208">
      <c r="A28208" s="8" t="inlineStr">
        <is>
          <t>2026-08-06</t>
        </is>
      </c>
      <c r="B28208" s="8" t="n">
        <v>1</v>
      </c>
      <c r="C28208" s="8" t="n">
        <v>15</v>
      </c>
      <c r="D28208" s="8" t="inlineStr">
        <is>
          <t>Disney Adventure World</t>
        </is>
      </c>
      <c r="E28208" s="8" t="inlineStr">
        <is>
          <t>Toy Soldiers Parachute Drop Single Rider</t>
        </is>
      </c>
      <c r="F28208" s="8" t="inlineStr">
        <is>
          <t>STANDBY</t>
        </is>
      </c>
      <c r="G28208" s="8" t="n">
        <v>0</v>
      </c>
      <c r="H28208" s="8" t="inlineStr">
        <is>
          <t>CLOSED</t>
        </is>
      </c>
    </row>
    <row r="28209">
      <c r="A28209" s="8" t="inlineStr">
        <is>
          <t>2026-08-06</t>
        </is>
      </c>
      <c r="B28209" s="8" t="n">
        <v>1</v>
      </c>
      <c r="C28209" s="8" t="n">
        <v>15</v>
      </c>
      <c r="D28209" s="8" t="inlineStr">
        <is>
          <t>Disney Adventure World</t>
        </is>
      </c>
      <c r="E28209" s="8" t="inlineStr">
        <is>
          <t>Entry to World of Frozen</t>
        </is>
      </c>
      <c r="F28209" s="8" t="inlineStr">
        <is>
          <t>STANDBY</t>
        </is>
      </c>
      <c r="G28209" s="8" t="n">
        <v>0</v>
      </c>
      <c r="H28209" s="8" t="inlineStr">
        <is>
          <t>CLOSED</t>
        </is>
      </c>
    </row>
    <row r="28210">
      <c r="A28210" s="8" t="inlineStr">
        <is>
          <t>2026-08-06</t>
        </is>
      </c>
      <c r="B28210" s="8" t="n">
        <v>1</v>
      </c>
      <c r="C28210" s="8" t="n">
        <v>15</v>
      </c>
      <c r="D28210" s="8" t="inlineStr">
        <is>
          <t>Disney Adventure World</t>
        </is>
      </c>
      <c r="E28210" s="8" t="inlineStr">
        <is>
          <t>Frozen Ever After</t>
        </is>
      </c>
      <c r="F28210" s="8" t="inlineStr">
        <is>
          <t>STANDBY</t>
        </is>
      </c>
      <c r="G28210" s="8" t="n">
        <v>0</v>
      </c>
      <c r="H28210" s="8" t="inlineStr">
        <is>
          <t>CLOSED</t>
        </is>
      </c>
    </row>
    <row r="28211">
      <c r="A28211" s="8" t="inlineStr">
        <is>
          <t>2026-08-06</t>
        </is>
      </c>
      <c r="B28211" s="8" t="n">
        <v>1</v>
      </c>
      <c r="C28211" s="8" t="n">
        <v>15</v>
      </c>
      <c r="D28211" s="8" t="inlineStr">
        <is>
          <t>Disney Adventure World</t>
        </is>
      </c>
      <c r="E28211" s="8" t="inlineStr">
        <is>
          <t>Raiponce Tangled Spin</t>
        </is>
      </c>
      <c r="F28211" s="8" t="inlineStr">
        <is>
          <t>STANDBY</t>
        </is>
      </c>
      <c r="G28211" s="8" t="n">
        <v>0</v>
      </c>
      <c r="H28211" s="8" t="inlineStr">
        <is>
          <t>CLOSED</t>
        </is>
      </c>
    </row>
    <row r="28212">
      <c r="A28212" s="8" t="inlineStr">
        <is>
          <t>2026-08-06</t>
        </is>
      </c>
      <c r="B28212" s="8" t="n">
        <v>1</v>
      </c>
      <c r="C28212" s="8" t="n">
        <v>31</v>
      </c>
      <c r="D28212" s="8" t="inlineStr">
        <is>
          <t>Disneyland Park</t>
        </is>
      </c>
      <c r="E28212" s="8" t="inlineStr">
        <is>
          <t>Adventure Isle</t>
        </is>
      </c>
      <c r="F28212" s="8" t="inlineStr">
        <is>
          <t>STANDBY</t>
        </is>
      </c>
      <c r="G28212" s="8" t="n">
        <v>0</v>
      </c>
      <c r="H28212" s="8" t="inlineStr">
        <is>
          <t>CLOSED</t>
        </is>
      </c>
    </row>
    <row r="28213">
      <c r="A28213" s="8" t="inlineStr">
        <is>
          <t>2026-08-06</t>
        </is>
      </c>
      <c r="B28213" s="8" t="n">
        <v>1</v>
      </c>
      <c r="C28213" s="8" t="n">
        <v>31</v>
      </c>
      <c r="D28213" s="8" t="inlineStr">
        <is>
          <t>Disneyland Park</t>
        </is>
      </c>
      <c r="E28213" s="8" t="inlineStr">
        <is>
          <t>Indiana Jones and the Temple of Peril Single Rider</t>
        </is>
      </c>
      <c r="F28213" s="8" t="inlineStr">
        <is>
          <t>STANDBY</t>
        </is>
      </c>
      <c r="G28213" s="8" t="n">
        <v>0</v>
      </c>
      <c r="H28213" s="8" t="inlineStr">
        <is>
          <t>CLOSED</t>
        </is>
      </c>
    </row>
    <row r="28214">
      <c r="A28214" s="8" t="inlineStr">
        <is>
          <t>2026-08-06</t>
        </is>
      </c>
      <c r="B28214" s="8" t="n">
        <v>1</v>
      </c>
      <c r="C28214" s="8" t="n">
        <v>31</v>
      </c>
      <c r="D28214" s="8" t="inlineStr">
        <is>
          <t>Disneyland Park</t>
        </is>
      </c>
      <c r="E28214" s="8" t="inlineStr">
        <is>
          <t>Indiana Jones™ and the Temple of Peril</t>
        </is>
      </c>
      <c r="F28214" s="8" t="inlineStr">
        <is>
          <t>STANDBY</t>
        </is>
      </c>
      <c r="G28214" s="8" t="n">
        <v>0</v>
      </c>
      <c r="H28214" s="8" t="inlineStr">
        <is>
          <t>CLOSED</t>
        </is>
      </c>
    </row>
    <row r="28215">
      <c r="A28215" s="8" t="inlineStr">
        <is>
          <t>2026-08-06</t>
        </is>
      </c>
      <c r="B28215" s="8" t="n">
        <v>1</v>
      </c>
      <c r="C28215" s="8" t="n">
        <v>31</v>
      </c>
      <c r="D28215" s="8" t="inlineStr">
        <is>
          <t>Disneyland Park</t>
        </is>
      </c>
      <c r="E28215" s="8" t="inlineStr">
        <is>
          <t>La Cabane des Robinson</t>
        </is>
      </c>
      <c r="F28215" s="8" t="inlineStr">
        <is>
          <t>STANDBY</t>
        </is>
      </c>
      <c r="G28215" s="8" t="n">
        <v>0</v>
      </c>
      <c r="H28215" s="8" t="inlineStr">
        <is>
          <t>CLOSED</t>
        </is>
      </c>
    </row>
    <row r="28216">
      <c r="A28216" s="8" t="inlineStr">
        <is>
          <t>2026-08-06</t>
        </is>
      </c>
      <c r="B28216" s="8" t="n">
        <v>1</v>
      </c>
      <c r="C28216" s="8" t="n">
        <v>31</v>
      </c>
      <c r="D28216" s="8" t="inlineStr">
        <is>
          <t>Disneyland Park</t>
        </is>
      </c>
      <c r="E28216" s="8" t="inlineStr">
        <is>
          <t>Le Passage Enchanté d'Aladdin</t>
        </is>
      </c>
      <c r="F28216" s="8" t="inlineStr">
        <is>
          <t>STANDBY</t>
        </is>
      </c>
      <c r="G28216" s="8" t="n">
        <v>0</v>
      </c>
      <c r="H28216" s="8" t="inlineStr">
        <is>
          <t>CLOSED</t>
        </is>
      </c>
    </row>
    <row r="28217">
      <c r="A28217" s="8" t="inlineStr">
        <is>
          <t>2026-08-06</t>
        </is>
      </c>
      <c r="B28217" s="8" t="n">
        <v>1</v>
      </c>
      <c r="C28217" s="8" t="n">
        <v>31</v>
      </c>
      <c r="D28217" s="8" t="inlineStr">
        <is>
          <t>Disneyland Park</t>
        </is>
      </c>
      <c r="E28217" s="8" t="inlineStr">
        <is>
          <t>Pirate Galleon</t>
        </is>
      </c>
      <c r="F28217" s="8" t="inlineStr">
        <is>
          <t>STANDBY</t>
        </is>
      </c>
      <c r="G28217" s="8" t="n">
        <v>0</v>
      </c>
      <c r="H28217" s="8" t="inlineStr">
        <is>
          <t>CLOSED</t>
        </is>
      </c>
    </row>
    <row r="28218">
      <c r="A28218" s="8" t="inlineStr">
        <is>
          <t>2026-08-06</t>
        </is>
      </c>
      <c r="B28218" s="8" t="n">
        <v>1</v>
      </c>
      <c r="C28218" s="8" t="n">
        <v>31</v>
      </c>
      <c r="D28218" s="8" t="inlineStr">
        <is>
          <t>Disneyland Park</t>
        </is>
      </c>
      <c r="E28218" s="8" t="inlineStr">
        <is>
          <t>Pirates of the Caribbean</t>
        </is>
      </c>
      <c r="F28218" s="8" t="inlineStr">
        <is>
          <t>STANDBY</t>
        </is>
      </c>
      <c r="G28218" s="8" t="n">
        <v>0</v>
      </c>
      <c r="H28218" s="8" t="inlineStr">
        <is>
          <t>CLOSED</t>
        </is>
      </c>
    </row>
    <row r="28219">
      <c r="A28219" s="8" t="inlineStr">
        <is>
          <t>2026-08-06</t>
        </is>
      </c>
      <c r="B28219" s="8" t="n">
        <v>1</v>
      </c>
      <c r="C28219" s="8" t="n">
        <v>31</v>
      </c>
      <c r="D28219" s="8" t="inlineStr">
        <is>
          <t>Disneyland Park</t>
        </is>
      </c>
      <c r="E28219" s="8" t="inlineStr">
        <is>
          <t>Pirates' Beach</t>
        </is>
      </c>
      <c r="F28219" s="8" t="inlineStr">
        <is>
          <t>STANDBY</t>
        </is>
      </c>
      <c r="G28219" s="8" t="n">
        <v>0</v>
      </c>
      <c r="H28219" s="8" t="inlineStr">
        <is>
          <t>CLOSED</t>
        </is>
      </c>
    </row>
    <row r="28220">
      <c r="A28220" s="8" t="inlineStr">
        <is>
          <t>2026-08-06</t>
        </is>
      </c>
      <c r="B28220" s="8" t="n">
        <v>1</v>
      </c>
      <c r="C28220" s="8" t="n">
        <v>31</v>
      </c>
      <c r="D28220" s="8" t="inlineStr">
        <is>
          <t>Disneyland Park</t>
        </is>
      </c>
      <c r="E28220" s="8" t="inlineStr">
        <is>
          <t>Autopia, presented by Avis</t>
        </is>
      </c>
      <c r="F28220" s="8" t="inlineStr">
        <is>
          <t>STANDBY</t>
        </is>
      </c>
      <c r="G28220" s="8" t="n">
        <v>0</v>
      </c>
      <c r="H28220" s="8" t="inlineStr">
        <is>
          <t>CLOSED</t>
        </is>
      </c>
    </row>
    <row r="28221">
      <c r="A28221" s="8" t="inlineStr">
        <is>
          <t>2026-08-06</t>
        </is>
      </c>
      <c r="B28221" s="8" t="n">
        <v>1</v>
      </c>
      <c r="C28221" s="8" t="n">
        <v>31</v>
      </c>
      <c r="D28221" s="8" t="inlineStr">
        <is>
          <t>Disneyland Park</t>
        </is>
      </c>
      <c r="E28221" s="8" t="inlineStr">
        <is>
          <t>Buzz Lightyear Laser Blast</t>
        </is>
      </c>
      <c r="F28221" s="8" t="inlineStr">
        <is>
          <t>STANDBY</t>
        </is>
      </c>
      <c r="G28221" s="8" t="n">
        <v>0</v>
      </c>
      <c r="H28221" s="8" t="inlineStr">
        <is>
          <t>CLOSED</t>
        </is>
      </c>
    </row>
    <row r="28222">
      <c r="A28222" s="8" t="inlineStr">
        <is>
          <t>2026-08-06</t>
        </is>
      </c>
      <c r="B28222" s="8" t="n">
        <v>1</v>
      </c>
      <c r="C28222" s="8" t="n">
        <v>31</v>
      </c>
      <c r="D28222" s="8" t="inlineStr">
        <is>
          <t>Disneyland Park</t>
        </is>
      </c>
      <c r="E28222" s="8" t="inlineStr">
        <is>
          <t>Disneyland Railroad Discoveryland Station</t>
        </is>
      </c>
      <c r="F28222" s="8" t="inlineStr">
        <is>
          <t>STANDBY</t>
        </is>
      </c>
      <c r="G28222" s="8" t="n">
        <v>0</v>
      </c>
      <c r="H28222" s="8" t="inlineStr">
        <is>
          <t>CLOSED</t>
        </is>
      </c>
    </row>
    <row r="28223">
      <c r="A28223" s="8" t="inlineStr">
        <is>
          <t>2026-08-06</t>
        </is>
      </c>
      <c r="B28223" s="8" t="n">
        <v>1</v>
      </c>
      <c r="C28223" s="8" t="n">
        <v>31</v>
      </c>
      <c r="D28223" s="8" t="inlineStr">
        <is>
          <t>Disneyland Park</t>
        </is>
      </c>
      <c r="E28223" s="8" t="inlineStr">
        <is>
          <t>Les Mystères du Nautilus</t>
        </is>
      </c>
      <c r="F28223" s="8" t="inlineStr">
        <is>
          <t>STANDBY</t>
        </is>
      </c>
      <c r="G28223" s="8" t="n">
        <v>0</v>
      </c>
      <c r="H28223" s="8" t="inlineStr">
        <is>
          <t>CLOSED</t>
        </is>
      </c>
    </row>
    <row r="28224">
      <c r="A28224" s="8" t="inlineStr">
        <is>
          <t>2026-08-06</t>
        </is>
      </c>
      <c r="B28224" s="8" t="n">
        <v>1</v>
      </c>
      <c r="C28224" s="8" t="n">
        <v>31</v>
      </c>
      <c r="D28224" s="8" t="inlineStr">
        <is>
          <t>Disneyland Park</t>
        </is>
      </c>
      <c r="E28224" s="8" t="inlineStr">
        <is>
          <t>Mickey’s PhilharMagic</t>
        </is>
      </c>
      <c r="F28224" s="8" t="inlineStr">
        <is>
          <t>STANDBY</t>
        </is>
      </c>
      <c r="G28224" s="8" t="n">
        <v>0</v>
      </c>
      <c r="H28224" s="8" t="inlineStr">
        <is>
          <t>CLOSED</t>
        </is>
      </c>
    </row>
    <row r="28225">
      <c r="A28225" s="8" t="inlineStr">
        <is>
          <t>2026-08-06</t>
        </is>
      </c>
      <c r="B28225" s="8" t="n">
        <v>1</v>
      </c>
      <c r="C28225" s="8" t="n">
        <v>31</v>
      </c>
      <c r="D28225" s="8" t="inlineStr">
        <is>
          <t>Disneyland Park</t>
        </is>
      </c>
      <c r="E28225" s="8" t="inlineStr">
        <is>
          <t>Orbitron®</t>
        </is>
      </c>
      <c r="F28225" s="8" t="inlineStr">
        <is>
          <t>STANDBY</t>
        </is>
      </c>
      <c r="G28225" s="8" t="n">
        <v>0</v>
      </c>
      <c r="H28225" s="8" t="inlineStr">
        <is>
          <t>CLOSED</t>
        </is>
      </c>
    </row>
    <row r="28226">
      <c r="A28226" s="8" t="inlineStr">
        <is>
          <t>2026-08-06</t>
        </is>
      </c>
      <c r="B28226" s="8" t="n">
        <v>1</v>
      </c>
      <c r="C28226" s="8" t="n">
        <v>31</v>
      </c>
      <c r="D28226" s="8" t="inlineStr">
        <is>
          <t>Disneyland Park</t>
        </is>
      </c>
      <c r="E28226" s="8" t="inlineStr">
        <is>
          <t>Star Tours: The Adventures Continue*</t>
        </is>
      </c>
      <c r="F28226" s="8" t="inlineStr">
        <is>
          <t>STANDBY</t>
        </is>
      </c>
      <c r="G28226" s="8" t="n">
        <v>0</v>
      </c>
      <c r="H28226" s="8" t="inlineStr">
        <is>
          <t>CLOSED</t>
        </is>
      </c>
    </row>
    <row r="28227">
      <c r="A28227" s="8" t="inlineStr">
        <is>
          <t>2026-08-06</t>
        </is>
      </c>
      <c r="B28227" s="8" t="n">
        <v>1</v>
      </c>
      <c r="C28227" s="8" t="n">
        <v>31</v>
      </c>
      <c r="D28227" s="8" t="inlineStr">
        <is>
          <t>Disneyland Park</t>
        </is>
      </c>
      <c r="E28227" s="8" t="inlineStr">
        <is>
          <t>Star Wars Hyperspace Mountain</t>
        </is>
      </c>
      <c r="F28227" s="8" t="inlineStr">
        <is>
          <t>STANDBY</t>
        </is>
      </c>
      <c r="G28227" s="8" t="n">
        <v>0</v>
      </c>
      <c r="H28227" s="8" t="inlineStr">
        <is>
          <t>CLOSED</t>
        </is>
      </c>
    </row>
    <row r="28228">
      <c r="A28228" s="8" t="inlineStr">
        <is>
          <t>2026-08-06</t>
        </is>
      </c>
      <c r="B28228" s="8" t="n">
        <v>1</v>
      </c>
      <c r="C28228" s="8" t="n">
        <v>31</v>
      </c>
      <c r="D28228" s="8" t="inlineStr">
        <is>
          <t>Disneyland Park</t>
        </is>
      </c>
      <c r="E28228" s="8" t="inlineStr">
        <is>
          <t>Star Wars Hyperspace Mountain Single Rider</t>
        </is>
      </c>
      <c r="F28228" s="8" t="inlineStr">
        <is>
          <t>STANDBY</t>
        </is>
      </c>
      <c r="G28228" s="8" t="n">
        <v>0</v>
      </c>
      <c r="H28228" s="8" t="inlineStr">
        <is>
          <t>CLOSED</t>
        </is>
      </c>
    </row>
    <row r="28229">
      <c r="A28229" s="8" t="inlineStr">
        <is>
          <t>2026-08-06</t>
        </is>
      </c>
      <c r="B28229" s="8" t="n">
        <v>1</v>
      </c>
      <c r="C28229" s="8" t="n">
        <v>31</v>
      </c>
      <c r="D28229" s="8" t="inlineStr">
        <is>
          <t>Disneyland Park</t>
        </is>
      </c>
      <c r="E28229" s="8" t="inlineStr">
        <is>
          <t>Welcome to Starport: A Star Wars Encounter</t>
        </is>
      </c>
      <c r="F28229" s="8" t="inlineStr">
        <is>
          <t>STANDBY</t>
        </is>
      </c>
      <c r="G28229" s="8" t="n">
        <v>0</v>
      </c>
      <c r="H28229" s="8" t="inlineStr">
        <is>
          <t>CLOSED</t>
        </is>
      </c>
    </row>
    <row r="28230">
      <c r="A28230" s="8" t="inlineStr">
        <is>
          <t>2026-08-06</t>
        </is>
      </c>
      <c r="B28230" s="8" t="n">
        <v>1</v>
      </c>
      <c r="C28230" s="8" t="n">
        <v>31</v>
      </c>
      <c r="D28230" s="8" t="inlineStr">
        <is>
          <t>Disneyland Park</t>
        </is>
      </c>
      <c r="E28230" s="8" t="inlineStr">
        <is>
          <t>"it's a small world"</t>
        </is>
      </c>
      <c r="F28230" s="8" t="inlineStr">
        <is>
          <t>STANDBY</t>
        </is>
      </c>
      <c r="G28230" s="8" t="n">
        <v>0</v>
      </c>
      <c r="H28230" s="8" t="inlineStr">
        <is>
          <t>CLOSED</t>
        </is>
      </c>
    </row>
    <row r="28231">
      <c r="A28231" s="8" t="inlineStr">
        <is>
          <t>2026-08-06</t>
        </is>
      </c>
      <c r="B28231" s="8" t="n">
        <v>1</v>
      </c>
      <c r="C28231" s="8" t="n">
        <v>31</v>
      </c>
      <c r="D28231" s="8" t="inlineStr">
        <is>
          <t>Disneyland Park</t>
        </is>
      </c>
      <c r="E28231" s="8" t="inlineStr">
        <is>
          <t>Alice's Curious Labyrinth</t>
        </is>
      </c>
      <c r="F28231" s="8" t="inlineStr">
        <is>
          <t>STANDBY</t>
        </is>
      </c>
      <c r="G28231" s="8" t="n">
        <v>0</v>
      </c>
      <c r="H28231" s="8" t="inlineStr">
        <is>
          <t>CLOSED</t>
        </is>
      </c>
    </row>
    <row r="28232">
      <c r="A28232" s="8" t="inlineStr">
        <is>
          <t>2026-08-06</t>
        </is>
      </c>
      <c r="B28232" s="8" t="n">
        <v>1</v>
      </c>
      <c r="C28232" s="8" t="n">
        <v>31</v>
      </c>
      <c r="D28232" s="8" t="inlineStr">
        <is>
          <t>Disneyland Park</t>
        </is>
      </c>
      <c r="E28232" s="8" t="inlineStr">
        <is>
          <t>Blanche-Neige et les Sept Nains®</t>
        </is>
      </c>
      <c r="F28232" s="8" t="inlineStr">
        <is>
          <t>STANDBY</t>
        </is>
      </c>
      <c r="G28232" s="8" t="n">
        <v>0</v>
      </c>
      <c r="H28232" s="8" t="inlineStr">
        <is>
          <t>CLOSED</t>
        </is>
      </c>
    </row>
    <row r="28233">
      <c r="A28233" s="8" t="inlineStr">
        <is>
          <t>2026-08-06</t>
        </is>
      </c>
      <c r="B28233" s="8" t="n">
        <v>1</v>
      </c>
      <c r="C28233" s="8" t="n">
        <v>31</v>
      </c>
      <c r="D28233" s="8" t="inlineStr">
        <is>
          <t>Disneyland Park</t>
        </is>
      </c>
      <c r="E28233" s="8" t="inlineStr">
        <is>
          <t>Casey Jr. – le Petit Train du Cirque</t>
        </is>
      </c>
      <c r="F28233" s="8" t="inlineStr">
        <is>
          <t>STANDBY</t>
        </is>
      </c>
      <c r="G28233" s="8" t="n">
        <v>0</v>
      </c>
      <c r="H28233" s="8" t="inlineStr">
        <is>
          <t>CLOSED</t>
        </is>
      </c>
    </row>
    <row r="28234">
      <c r="A28234" s="8" t="inlineStr">
        <is>
          <t>2026-08-06</t>
        </is>
      </c>
      <c r="B28234" s="8" t="n">
        <v>1</v>
      </c>
      <c r="C28234" s="8" t="n">
        <v>31</v>
      </c>
      <c r="D28234" s="8" t="inlineStr">
        <is>
          <t>Disneyland Park</t>
        </is>
      </c>
      <c r="E28234" s="8" t="inlineStr">
        <is>
          <t>Disneyland Railroad Fantasyland Station</t>
        </is>
      </c>
      <c r="F28234" s="8" t="inlineStr">
        <is>
          <t>STANDBY</t>
        </is>
      </c>
      <c r="G28234" s="8" t="n">
        <v>0</v>
      </c>
      <c r="H28234" s="8" t="inlineStr">
        <is>
          <t>CLOSED</t>
        </is>
      </c>
    </row>
    <row r="28235">
      <c r="A28235" s="8" t="inlineStr">
        <is>
          <t>2026-08-06</t>
        </is>
      </c>
      <c r="B28235" s="8" t="n">
        <v>1</v>
      </c>
      <c r="C28235" s="8" t="n">
        <v>31</v>
      </c>
      <c r="D28235" s="8" t="inlineStr">
        <is>
          <t>Disneyland Park</t>
        </is>
      </c>
      <c r="E28235" s="8" t="inlineStr">
        <is>
          <t>Disneyland Railroad Main Street Station</t>
        </is>
      </c>
      <c r="F28235" s="8" t="inlineStr">
        <is>
          <t>STANDBY</t>
        </is>
      </c>
      <c r="G28235" s="8" t="n">
        <v>0</v>
      </c>
      <c r="H28235" s="8" t="inlineStr">
        <is>
          <t>CLOSED</t>
        </is>
      </c>
    </row>
    <row r="28236">
      <c r="A28236" s="8" t="inlineStr">
        <is>
          <t>2026-08-06</t>
        </is>
      </c>
      <c r="B28236" s="8" t="n">
        <v>1</v>
      </c>
      <c r="C28236" s="8" t="n">
        <v>31</v>
      </c>
      <c r="D28236" s="8" t="inlineStr">
        <is>
          <t>Disneyland Park</t>
        </is>
      </c>
      <c r="E28236" s="8" t="inlineStr">
        <is>
          <t>Dumbo the Flying Elephant</t>
        </is>
      </c>
      <c r="F28236" s="8" t="inlineStr">
        <is>
          <t>STANDBY</t>
        </is>
      </c>
      <c r="G28236" s="8" t="n">
        <v>0</v>
      </c>
      <c r="H28236" s="8" t="inlineStr">
        <is>
          <t>CLOSED</t>
        </is>
      </c>
    </row>
    <row r="28237">
      <c r="A28237" s="8" t="inlineStr">
        <is>
          <t>2026-08-06</t>
        </is>
      </c>
      <c r="B28237" s="8" t="n">
        <v>1</v>
      </c>
      <c r="C28237" s="8" t="n">
        <v>31</v>
      </c>
      <c r="D28237" s="8" t="inlineStr">
        <is>
          <t>Disneyland Park</t>
        </is>
      </c>
      <c r="E28237" s="8" t="inlineStr">
        <is>
          <t>La Tanière du Dragon</t>
        </is>
      </c>
      <c r="F28237" s="8" t="inlineStr">
        <is>
          <t>STANDBY</t>
        </is>
      </c>
      <c r="G28237" s="8" t="n">
        <v>0</v>
      </c>
      <c r="H28237" s="8" t="inlineStr">
        <is>
          <t>CLOSED</t>
        </is>
      </c>
    </row>
    <row r="28238">
      <c r="A28238" s="8" t="inlineStr">
        <is>
          <t>2026-08-06</t>
        </is>
      </c>
      <c r="B28238" s="8" t="n">
        <v>1</v>
      </c>
      <c r="C28238" s="8" t="n">
        <v>31</v>
      </c>
      <c r="D28238" s="8" t="inlineStr">
        <is>
          <t>Disneyland Park</t>
        </is>
      </c>
      <c r="E28238" s="8" t="inlineStr">
        <is>
          <t>Le Carrousel de Lancelot</t>
        </is>
      </c>
      <c r="F28238" s="8" t="inlineStr">
        <is>
          <t>STANDBY</t>
        </is>
      </c>
      <c r="G28238" s="8" t="n">
        <v>0</v>
      </c>
      <c r="H28238" s="8" t="inlineStr">
        <is>
          <t>CLOSED</t>
        </is>
      </c>
    </row>
    <row r="28239">
      <c r="A28239" s="8" t="inlineStr">
        <is>
          <t>2026-08-06</t>
        </is>
      </c>
      <c r="B28239" s="8" t="n">
        <v>1</v>
      </c>
      <c r="C28239" s="8" t="n">
        <v>31</v>
      </c>
      <c r="D28239" s="8" t="inlineStr">
        <is>
          <t>Disneyland Park</t>
        </is>
      </c>
      <c r="E28239" s="8" t="inlineStr">
        <is>
          <t>Le Pays des Contes de Fées, presented by Vittel</t>
        </is>
      </c>
      <c r="F28239" s="8" t="inlineStr">
        <is>
          <t>STANDBY</t>
        </is>
      </c>
      <c r="G28239" s="8" t="n">
        <v>0</v>
      </c>
      <c r="H28239" s="8" t="inlineStr">
        <is>
          <t>CLOSED</t>
        </is>
      </c>
    </row>
    <row r="28240">
      <c r="A28240" s="8" t="inlineStr">
        <is>
          <t>2026-08-06</t>
        </is>
      </c>
      <c r="B28240" s="8" t="n">
        <v>1</v>
      </c>
      <c r="C28240" s="8" t="n">
        <v>31</v>
      </c>
      <c r="D28240" s="8" t="inlineStr">
        <is>
          <t>Disneyland Park</t>
        </is>
      </c>
      <c r="E28240" s="8" t="inlineStr">
        <is>
          <t>Les Voyages de Pinocchio</t>
        </is>
      </c>
      <c r="F28240" s="8" t="inlineStr">
        <is>
          <t>STANDBY</t>
        </is>
      </c>
      <c r="G28240" s="8" t="n">
        <v>0</v>
      </c>
      <c r="H28240" s="8" t="inlineStr">
        <is>
          <t>CLOSED</t>
        </is>
      </c>
    </row>
    <row r="28241">
      <c r="A28241" s="8" t="inlineStr">
        <is>
          <t>2026-08-06</t>
        </is>
      </c>
      <c r="B28241" s="8" t="n">
        <v>1</v>
      </c>
      <c r="C28241" s="8" t="n">
        <v>31</v>
      </c>
      <c r="D28241" s="8" t="inlineStr">
        <is>
          <t>Disneyland Park</t>
        </is>
      </c>
      <c r="E28241" s="8" t="inlineStr">
        <is>
          <t>Mad Hatter's Tea Cups</t>
        </is>
      </c>
      <c r="F28241" s="8" t="inlineStr">
        <is>
          <t>STANDBY</t>
        </is>
      </c>
      <c r="G28241" s="8" t="n">
        <v>0</v>
      </c>
      <c r="H28241" s="8" t="inlineStr">
        <is>
          <t>CLOSED</t>
        </is>
      </c>
    </row>
    <row r="28242">
      <c r="A28242" s="8" t="inlineStr">
        <is>
          <t>2026-08-06</t>
        </is>
      </c>
      <c r="B28242" s="8" t="n">
        <v>1</v>
      </c>
      <c r="C28242" s="8" t="n">
        <v>31</v>
      </c>
      <c r="D28242" s="8" t="inlineStr">
        <is>
          <t>Disneyland Park</t>
        </is>
      </c>
      <c r="E28242" s="8" t="inlineStr">
        <is>
          <t>Meet Mickey Mouse</t>
        </is>
      </c>
      <c r="F28242" s="8" t="inlineStr">
        <is>
          <t>STANDBY</t>
        </is>
      </c>
      <c r="G28242" s="8" t="n">
        <v>0</v>
      </c>
      <c r="H28242" s="8" t="inlineStr">
        <is>
          <t>CLOSED</t>
        </is>
      </c>
    </row>
    <row r="28243">
      <c r="A28243" s="8" t="inlineStr">
        <is>
          <t>2026-08-06</t>
        </is>
      </c>
      <c r="B28243" s="8" t="n">
        <v>1</v>
      </c>
      <c r="C28243" s="8" t="n">
        <v>31</v>
      </c>
      <c r="D28243" s="8" t="inlineStr">
        <is>
          <t>Disneyland Park</t>
        </is>
      </c>
      <c r="E28243" s="8" t="inlineStr">
        <is>
          <t>Peter Pan's Flight</t>
        </is>
      </c>
      <c r="F28243" s="8" t="inlineStr">
        <is>
          <t>STANDBY</t>
        </is>
      </c>
      <c r="G28243" s="8" t="n">
        <v>0</v>
      </c>
      <c r="H28243" s="8" t="inlineStr">
        <is>
          <t>CLOSED</t>
        </is>
      </c>
    </row>
    <row r="28244">
      <c r="A28244" s="8" t="inlineStr">
        <is>
          <t>2026-08-06</t>
        </is>
      </c>
      <c r="B28244" s="8" t="n">
        <v>1</v>
      </c>
      <c r="C28244" s="8" t="n">
        <v>31</v>
      </c>
      <c r="D28244" s="8" t="inlineStr">
        <is>
          <t>Disneyland Park</t>
        </is>
      </c>
      <c r="E28244" s="8" t="inlineStr">
        <is>
          <t>Princess Pavilion</t>
        </is>
      </c>
      <c r="F28244" s="8" t="inlineStr">
        <is>
          <t>STANDBY</t>
        </is>
      </c>
      <c r="G28244" s="8" t="n">
        <v>0</v>
      </c>
      <c r="H28244" s="8" t="inlineStr">
        <is>
          <t>CLOSED</t>
        </is>
      </c>
    </row>
    <row r="28245">
      <c r="A28245" s="8" t="inlineStr">
        <is>
          <t>2026-08-06</t>
        </is>
      </c>
      <c r="B28245" s="8" t="n">
        <v>1</v>
      </c>
      <c r="C28245" s="8" t="n">
        <v>31</v>
      </c>
      <c r="D28245" s="8" t="inlineStr">
        <is>
          <t>Disneyland Park</t>
        </is>
      </c>
      <c r="E28245" s="8" t="inlineStr">
        <is>
          <t>Big Thunder Mountain</t>
        </is>
      </c>
      <c r="F28245" s="8" t="inlineStr">
        <is>
          <t>STANDBY</t>
        </is>
      </c>
      <c r="G28245" s="8" t="n">
        <v>0</v>
      </c>
      <c r="H28245" s="8" t="inlineStr">
        <is>
          <t>CLOSED</t>
        </is>
      </c>
    </row>
    <row r="28246">
      <c r="A28246" s="8" t="inlineStr">
        <is>
          <t>2026-08-06</t>
        </is>
      </c>
      <c r="B28246" s="8" t="n">
        <v>1</v>
      </c>
      <c r="C28246" s="8" t="n">
        <v>31</v>
      </c>
      <c r="D28246" s="8" t="inlineStr">
        <is>
          <t>Disneyland Park</t>
        </is>
      </c>
      <c r="E28246" s="8" t="inlineStr">
        <is>
          <t>Disneyland Railroad Frontierland Depot</t>
        </is>
      </c>
      <c r="F28246" s="8" t="inlineStr">
        <is>
          <t>STANDBY</t>
        </is>
      </c>
      <c r="G28246" s="8" t="n">
        <v>0</v>
      </c>
      <c r="H28246" s="8" t="inlineStr">
        <is>
          <t>CLOSED</t>
        </is>
      </c>
    </row>
    <row r="28247">
      <c r="A28247" s="8" t="inlineStr">
        <is>
          <t>2026-08-06</t>
        </is>
      </c>
      <c r="B28247" s="8" t="n">
        <v>1</v>
      </c>
      <c r="C28247" s="8" t="n">
        <v>31</v>
      </c>
      <c r="D28247" s="8" t="inlineStr">
        <is>
          <t>Disneyland Park</t>
        </is>
      </c>
      <c r="E28247" s="8" t="inlineStr">
        <is>
          <t>Frontierland Playground</t>
        </is>
      </c>
      <c r="F28247" s="8" t="inlineStr">
        <is>
          <t>STANDBY</t>
        </is>
      </c>
      <c r="G28247" s="8" t="n">
        <v>0</v>
      </c>
      <c r="H28247" s="8" t="inlineStr">
        <is>
          <t>CLOSED</t>
        </is>
      </c>
    </row>
    <row r="28248">
      <c r="A28248" s="8" t="inlineStr">
        <is>
          <t>2026-08-06</t>
        </is>
      </c>
      <c r="B28248" s="8" t="n">
        <v>1</v>
      </c>
      <c r="C28248" s="8" t="n">
        <v>31</v>
      </c>
      <c r="D28248" s="8" t="inlineStr">
        <is>
          <t>Disneyland Park</t>
        </is>
      </c>
      <c r="E28248" s="8" t="inlineStr">
        <is>
          <t>Phantom Manor</t>
        </is>
      </c>
      <c r="F28248" s="8" t="inlineStr">
        <is>
          <t>STANDBY</t>
        </is>
      </c>
      <c r="G28248" s="8" t="n">
        <v>0</v>
      </c>
      <c r="H28248" s="8" t="inlineStr">
        <is>
          <t>CLOSED</t>
        </is>
      </c>
    </row>
    <row r="28249">
      <c r="A28249" s="8" t="inlineStr">
        <is>
          <t>2026-08-06</t>
        </is>
      </c>
      <c r="B28249" s="8" t="n">
        <v>1</v>
      </c>
      <c r="C28249" s="8" t="n">
        <v>31</v>
      </c>
      <c r="D28249" s="8" t="inlineStr">
        <is>
          <t>Disneyland Park</t>
        </is>
      </c>
      <c r="E28249" s="8" t="inlineStr">
        <is>
          <t>River Rogue Keelboats</t>
        </is>
      </c>
      <c r="F28249" s="8" t="inlineStr">
        <is>
          <t>STANDBY</t>
        </is>
      </c>
      <c r="G28249" s="8" t="n">
        <v>0</v>
      </c>
      <c r="H28249" s="8" t="inlineStr">
        <is>
          <t>CLOSED</t>
        </is>
      </c>
    </row>
    <row r="28250">
      <c r="A28250" s="8" t="inlineStr">
        <is>
          <t>2026-08-06</t>
        </is>
      </c>
      <c r="B28250" s="8" t="n">
        <v>1</v>
      </c>
      <c r="C28250" s="8" t="n">
        <v>31</v>
      </c>
      <c r="D28250" s="8" t="inlineStr">
        <is>
          <t>Disneyland Park</t>
        </is>
      </c>
      <c r="E28250" s="8" t="inlineStr">
        <is>
          <t>Rustler Roundup Shootin' Gallery</t>
        </is>
      </c>
      <c r="F28250" s="8" t="inlineStr">
        <is>
          <t>STANDBY</t>
        </is>
      </c>
      <c r="G28250" s="8" t="n">
        <v>0</v>
      </c>
      <c r="H28250" s="8" t="inlineStr">
        <is>
          <t>CLOSED</t>
        </is>
      </c>
    </row>
    <row r="28251">
      <c r="A28251" s="8" t="inlineStr">
        <is>
          <t>2026-08-06</t>
        </is>
      </c>
      <c r="B28251" s="8" t="n">
        <v>1</v>
      </c>
      <c r="C28251" s="8" t="n">
        <v>31</v>
      </c>
      <c r="D28251" s="8" t="inlineStr">
        <is>
          <t>Disneyland Park</t>
        </is>
      </c>
      <c r="E28251" s="8" t="inlineStr">
        <is>
          <t>Thunder Mesa Riverboat Landing</t>
        </is>
      </c>
      <c r="F28251" s="8" t="inlineStr">
        <is>
          <t>STANDBY</t>
        </is>
      </c>
      <c r="G28251" s="8" t="n">
        <v>0</v>
      </c>
      <c r="H28251" s="8" t="inlineStr">
        <is>
          <t>CLOSED</t>
        </is>
      </c>
    </row>
    <row r="28252">
      <c r="A28252" s="8" t="inlineStr">
        <is>
          <t>2026-08-06</t>
        </is>
      </c>
      <c r="B28252" s="8" t="n">
        <v>1</v>
      </c>
      <c r="C28252" s="8" t="n">
        <v>31</v>
      </c>
      <c r="D28252" s="8" t="inlineStr">
        <is>
          <t>Disneyland Park</t>
        </is>
      </c>
      <c r="E28252" s="8" t="inlineStr">
        <is>
          <t>Disneyland Railroad Main Street Station</t>
        </is>
      </c>
      <c r="F28252" s="8" t="inlineStr">
        <is>
          <t>STANDBY</t>
        </is>
      </c>
      <c r="G28252" s="8" t="n">
        <v>0</v>
      </c>
      <c r="H28252" s="8" t="inlineStr">
        <is>
          <t>CLOSED</t>
        </is>
      </c>
    </row>
    <row r="28253">
      <c r="A28253" s="8" t="inlineStr">
        <is>
          <t>2026-08-06</t>
        </is>
      </c>
      <c r="B28253" s="8" t="n">
        <v>1</v>
      </c>
      <c r="C28253" s="8" t="n">
        <v>31</v>
      </c>
      <c r="D28253" s="8" t="inlineStr">
        <is>
          <t>Disneyland Park</t>
        </is>
      </c>
      <c r="E28253" s="8" t="inlineStr">
        <is>
          <t>Main Street Vehicles</t>
        </is>
      </c>
      <c r="F28253" s="8" t="inlineStr">
        <is>
          <t>STANDBY</t>
        </is>
      </c>
      <c r="G28253" s="8" t="n">
        <v>0</v>
      </c>
      <c r="H28253" s="8" t="inlineStr">
        <is>
          <t>CLOSED</t>
        </is>
      </c>
    </row>
    <row r="28254">
      <c r="A28254" s="8" t="inlineStr">
        <is>
          <t>2026-08-06</t>
        </is>
      </c>
      <c r="B28254" s="8" t="n">
        <v>1</v>
      </c>
      <c r="C28254" s="8" t="n">
        <v>31</v>
      </c>
      <c r="D28254" s="8" t="inlineStr">
        <is>
          <t>Disney Adventure World</t>
        </is>
      </c>
      <c r="E28254" s="8" t="inlineStr">
        <is>
          <t>Avengers Assemble: Flight Force</t>
        </is>
      </c>
      <c r="F28254" s="8" t="inlineStr">
        <is>
          <t>STANDBY</t>
        </is>
      </c>
      <c r="G28254" s="8" t="n">
        <v>0</v>
      </c>
      <c r="H28254" s="8" t="inlineStr">
        <is>
          <t>CLOSED</t>
        </is>
      </c>
    </row>
    <row r="28255">
      <c r="A28255" s="8" t="inlineStr">
        <is>
          <t>2026-08-06</t>
        </is>
      </c>
      <c r="B28255" s="8" t="n">
        <v>1</v>
      </c>
      <c r="C28255" s="8" t="n">
        <v>31</v>
      </c>
      <c r="D28255" s="8" t="inlineStr">
        <is>
          <t>Disney Adventure World</t>
        </is>
      </c>
      <c r="E28255" s="8" t="inlineStr">
        <is>
          <t>Avengers Assemble: Flight Force Single Rider</t>
        </is>
      </c>
      <c r="F28255" s="8" t="inlineStr">
        <is>
          <t>STANDBY</t>
        </is>
      </c>
      <c r="G28255" s="8" t="n">
        <v>0</v>
      </c>
      <c r="H28255" s="8" t="inlineStr">
        <is>
          <t>CLOSED</t>
        </is>
      </c>
    </row>
    <row r="28256">
      <c r="A28256" s="8" t="inlineStr">
        <is>
          <t>2026-08-06</t>
        </is>
      </c>
      <c r="B28256" s="8" t="n">
        <v>1</v>
      </c>
      <c r="C28256" s="8" t="n">
        <v>31</v>
      </c>
      <c r="D28256" s="8" t="inlineStr">
        <is>
          <t>Disney Adventure World</t>
        </is>
      </c>
      <c r="E28256" s="8" t="inlineStr">
        <is>
          <t>Spider-Man W.E.B. Adventure</t>
        </is>
      </c>
      <c r="F28256" s="8" t="inlineStr">
        <is>
          <t>STANDBY</t>
        </is>
      </c>
      <c r="G28256" s="8" t="n">
        <v>0</v>
      </c>
      <c r="H28256" s="8" t="inlineStr">
        <is>
          <t>CLOSED</t>
        </is>
      </c>
    </row>
    <row r="28257">
      <c r="A28257" s="8" t="inlineStr">
        <is>
          <t>2026-08-06</t>
        </is>
      </c>
      <c r="B28257" s="8" t="n">
        <v>1</v>
      </c>
      <c r="C28257" s="8" t="n">
        <v>31</v>
      </c>
      <c r="D28257" s="8" t="inlineStr">
        <is>
          <t>Disney Adventure World</t>
        </is>
      </c>
      <c r="E28257" s="8" t="inlineStr">
        <is>
          <t>Spider-Man W.E.B. Adventure Single Rider</t>
        </is>
      </c>
      <c r="F28257" s="8" t="inlineStr">
        <is>
          <t>STANDBY</t>
        </is>
      </c>
      <c r="G28257" s="8" t="n">
        <v>0</v>
      </c>
      <c r="H28257" s="8" t="inlineStr">
        <is>
          <t>CLOSED</t>
        </is>
      </c>
    </row>
    <row r="28258">
      <c r="A28258" s="8" t="inlineStr">
        <is>
          <t>2026-08-06</t>
        </is>
      </c>
      <c r="B28258" s="8" t="n">
        <v>1</v>
      </c>
      <c r="C28258" s="8" t="n">
        <v>31</v>
      </c>
      <c r="D28258" s="8" t="inlineStr">
        <is>
          <t>Disney Adventure World</t>
        </is>
      </c>
      <c r="E28258" s="8" t="inlineStr">
        <is>
          <t>The Twilight Zone Tower of Terror</t>
        </is>
      </c>
      <c r="F28258" s="8" t="inlineStr">
        <is>
          <t>STANDBY</t>
        </is>
      </c>
      <c r="G28258" s="8" t="n">
        <v>0</v>
      </c>
      <c r="H28258" s="8" t="inlineStr">
        <is>
          <t>CLOSED</t>
        </is>
      </c>
    </row>
    <row r="28259">
      <c r="A28259" s="8" t="inlineStr">
        <is>
          <t>2026-08-06</t>
        </is>
      </c>
      <c r="B28259" s="8" t="n">
        <v>1</v>
      </c>
      <c r="C28259" s="8" t="n">
        <v>31</v>
      </c>
      <c r="D28259" s="8" t="inlineStr">
        <is>
          <t>Disney Adventure World</t>
        </is>
      </c>
      <c r="E28259" s="8" t="inlineStr">
        <is>
          <t>Cars Quatre Roues Rallye</t>
        </is>
      </c>
      <c r="F28259" s="8" t="inlineStr">
        <is>
          <t>STANDBY</t>
        </is>
      </c>
      <c r="G28259" s="8" t="n">
        <v>0</v>
      </c>
      <c r="H28259" s="8" t="inlineStr">
        <is>
          <t>CLOSED</t>
        </is>
      </c>
    </row>
    <row r="28260">
      <c r="A28260" s="8" t="inlineStr">
        <is>
          <t>2026-08-06</t>
        </is>
      </c>
      <c r="B28260" s="8" t="n">
        <v>1</v>
      </c>
      <c r="C28260" s="8" t="n">
        <v>31</v>
      </c>
      <c r="D28260" s="8" t="inlineStr">
        <is>
          <t>Disney Adventure World</t>
        </is>
      </c>
      <c r="E28260" s="8" t="inlineStr">
        <is>
          <t>Cars ROAD TRIP</t>
        </is>
      </c>
      <c r="F28260" s="8" t="inlineStr">
        <is>
          <t>STANDBY</t>
        </is>
      </c>
      <c r="G28260" s="8" t="n">
        <v>0</v>
      </c>
      <c r="H28260" s="8" t="inlineStr">
        <is>
          <t>CLOSED</t>
        </is>
      </c>
    </row>
    <row r="28261">
      <c r="A28261" s="8" t="inlineStr">
        <is>
          <t>2026-08-06</t>
        </is>
      </c>
      <c r="B28261" s="8" t="n">
        <v>1</v>
      </c>
      <c r="C28261" s="8" t="n">
        <v>31</v>
      </c>
      <c r="D28261" s="8" t="inlineStr">
        <is>
          <t>Disney Adventure World</t>
        </is>
      </c>
      <c r="E28261" s="8" t="inlineStr">
        <is>
          <t>Crush's Coaster</t>
        </is>
      </c>
      <c r="F28261" s="8" t="inlineStr">
        <is>
          <t>STANDBY</t>
        </is>
      </c>
      <c r="G28261" s="8" t="n">
        <v>0</v>
      </c>
      <c r="H28261" s="8" t="inlineStr">
        <is>
          <t>CLOSED</t>
        </is>
      </c>
    </row>
    <row r="28262">
      <c r="A28262" s="8" t="inlineStr">
        <is>
          <t>2026-08-06</t>
        </is>
      </c>
      <c r="B28262" s="8" t="n">
        <v>1</v>
      </c>
      <c r="C28262" s="8" t="n">
        <v>31</v>
      </c>
      <c r="D28262" s="8" t="inlineStr">
        <is>
          <t>Disney Adventure World</t>
        </is>
      </c>
      <c r="E28262" s="8" t="inlineStr">
        <is>
          <t>Crush's Coaster Single Rider</t>
        </is>
      </c>
      <c r="F28262" s="8" t="inlineStr">
        <is>
          <t>STANDBY</t>
        </is>
      </c>
      <c r="G28262" s="8" t="n">
        <v>0</v>
      </c>
      <c r="H28262" s="8" t="inlineStr">
        <is>
          <t>CLOSED</t>
        </is>
      </c>
    </row>
    <row r="28263">
      <c r="A28263" s="8" t="inlineStr">
        <is>
          <t>2026-08-06</t>
        </is>
      </c>
      <c r="B28263" s="8" t="n">
        <v>1</v>
      </c>
      <c r="C28263" s="8" t="n">
        <v>31</v>
      </c>
      <c r="D28263" s="8" t="inlineStr">
        <is>
          <t>Disney Adventure World</t>
        </is>
      </c>
      <c r="E28263" s="8" t="inlineStr">
        <is>
          <t>Les Tapis Volants - Flying Carpets Over Agrabah®</t>
        </is>
      </c>
      <c r="F28263" s="8" t="inlineStr">
        <is>
          <t>STANDBY</t>
        </is>
      </c>
      <c r="G28263" s="8" t="n">
        <v>0</v>
      </c>
      <c r="H28263" s="8" t="inlineStr">
        <is>
          <t>CLOSED</t>
        </is>
      </c>
    </row>
    <row r="28264">
      <c r="A28264" s="8" t="inlineStr">
        <is>
          <t>2026-08-06</t>
        </is>
      </c>
      <c r="B28264" s="8" t="n">
        <v>1</v>
      </c>
      <c r="C28264" s="8" t="n">
        <v>31</v>
      </c>
      <c r="D28264" s="8" t="inlineStr">
        <is>
          <t>Disney Adventure World</t>
        </is>
      </c>
      <c r="E28264" s="8" t="inlineStr">
        <is>
          <t>Ratatouille : L’Aventure Totalement Toquée de Rémy​</t>
        </is>
      </c>
      <c r="F28264" s="8" t="inlineStr">
        <is>
          <t>STANDBY</t>
        </is>
      </c>
      <c r="G28264" s="8" t="n">
        <v>0</v>
      </c>
      <c r="H28264" s="8" t="inlineStr">
        <is>
          <t>CLOSED</t>
        </is>
      </c>
    </row>
    <row r="28265">
      <c r="A28265" s="8" t="inlineStr">
        <is>
          <t>2026-08-06</t>
        </is>
      </c>
      <c r="B28265" s="8" t="n">
        <v>1</v>
      </c>
      <c r="C28265" s="8" t="n">
        <v>31</v>
      </c>
      <c r="D28265" s="8" t="inlineStr">
        <is>
          <t>Disney Adventure World</t>
        </is>
      </c>
      <c r="E28265" s="8" t="inlineStr">
        <is>
          <t>Ratatouille: The Adventure Single Rider</t>
        </is>
      </c>
      <c r="F28265" s="8" t="inlineStr">
        <is>
          <t>STANDBY</t>
        </is>
      </c>
      <c r="G28265" s="8" t="n">
        <v>0</v>
      </c>
      <c r="H28265" s="8" t="inlineStr">
        <is>
          <t>CLOSED</t>
        </is>
      </c>
    </row>
    <row r="28266">
      <c r="A28266" s="8" t="inlineStr">
        <is>
          <t>2026-08-06</t>
        </is>
      </c>
      <c r="B28266" s="8" t="n">
        <v>1</v>
      </c>
      <c r="C28266" s="8" t="n">
        <v>31</v>
      </c>
      <c r="D28266" s="8" t="inlineStr">
        <is>
          <t>Disney Adventure World</t>
        </is>
      </c>
      <c r="E28266" s="8" t="inlineStr">
        <is>
          <t>RC Racer</t>
        </is>
      </c>
      <c r="F28266" s="8" t="inlineStr">
        <is>
          <t>STANDBY</t>
        </is>
      </c>
      <c r="G28266" s="8" t="n">
        <v>0</v>
      </c>
      <c r="H28266" s="8" t="inlineStr">
        <is>
          <t>CLOSED</t>
        </is>
      </c>
    </row>
    <row r="28267">
      <c r="A28267" s="8" t="inlineStr">
        <is>
          <t>2026-08-06</t>
        </is>
      </c>
      <c r="B28267" s="8" t="n">
        <v>1</v>
      </c>
      <c r="C28267" s="8" t="n">
        <v>31</v>
      </c>
      <c r="D28267" s="8" t="inlineStr">
        <is>
          <t>Disney Adventure World</t>
        </is>
      </c>
      <c r="E28267" s="8" t="inlineStr">
        <is>
          <t>RC Racer Single Rider</t>
        </is>
      </c>
      <c r="F28267" s="8" t="inlineStr">
        <is>
          <t>STANDBY</t>
        </is>
      </c>
      <c r="G28267" s="8" t="n">
        <v>0</v>
      </c>
      <c r="H28267" s="8" t="inlineStr">
        <is>
          <t>CLOSED</t>
        </is>
      </c>
    </row>
    <row r="28268">
      <c r="A28268" s="8" t="inlineStr">
        <is>
          <t>2026-08-06</t>
        </is>
      </c>
      <c r="B28268" s="8" t="n">
        <v>1</v>
      </c>
      <c r="C28268" s="8" t="n">
        <v>31</v>
      </c>
      <c r="D28268" s="8" t="inlineStr">
        <is>
          <t>Disney Adventure World</t>
        </is>
      </c>
      <c r="E28268" s="8" t="inlineStr">
        <is>
          <t>Slinky® Dog Zigzag Spin</t>
        </is>
      </c>
      <c r="F28268" s="8" t="inlineStr">
        <is>
          <t>STANDBY</t>
        </is>
      </c>
      <c r="G28268" s="8" t="n">
        <v>0</v>
      </c>
      <c r="H28268" s="8" t="inlineStr">
        <is>
          <t>CLOSED</t>
        </is>
      </c>
    </row>
    <row r="28269">
      <c r="A28269" s="8" t="inlineStr">
        <is>
          <t>2026-08-06</t>
        </is>
      </c>
      <c r="B28269" s="8" t="n">
        <v>1</v>
      </c>
      <c r="C28269" s="8" t="n">
        <v>31</v>
      </c>
      <c r="D28269" s="8" t="inlineStr">
        <is>
          <t>Disney Adventure World</t>
        </is>
      </c>
      <c r="E28269" s="8" t="inlineStr">
        <is>
          <t>Toy Soldiers Parachute Drop</t>
        </is>
      </c>
      <c r="F28269" s="8" t="inlineStr">
        <is>
          <t>STANDBY</t>
        </is>
      </c>
      <c r="G28269" s="8" t="n">
        <v>0</v>
      </c>
      <c r="H28269" s="8" t="inlineStr">
        <is>
          <t>CLOSED</t>
        </is>
      </c>
    </row>
    <row r="28270">
      <c r="A28270" s="8" t="inlineStr">
        <is>
          <t>2026-08-06</t>
        </is>
      </c>
      <c r="B28270" s="8" t="n">
        <v>1</v>
      </c>
      <c r="C28270" s="8" t="n">
        <v>31</v>
      </c>
      <c r="D28270" s="8" t="inlineStr">
        <is>
          <t>Disney Adventure World</t>
        </is>
      </c>
      <c r="E28270" s="8" t="inlineStr">
        <is>
          <t>Toy Soldiers Parachute Drop Single Rider</t>
        </is>
      </c>
      <c r="F28270" s="8" t="inlineStr">
        <is>
          <t>STANDBY</t>
        </is>
      </c>
      <c r="G28270" s="8" t="n">
        <v>0</v>
      </c>
      <c r="H28270" s="8" t="inlineStr">
        <is>
          <t>CLOSED</t>
        </is>
      </c>
    </row>
    <row r="28271">
      <c r="A28271" s="8" t="inlineStr">
        <is>
          <t>2026-08-06</t>
        </is>
      </c>
      <c r="B28271" s="8" t="n">
        <v>1</v>
      </c>
      <c r="C28271" s="8" t="n">
        <v>31</v>
      </c>
      <c r="D28271" s="8" t="inlineStr">
        <is>
          <t>Disney Adventure World</t>
        </is>
      </c>
      <c r="E28271" s="8" t="inlineStr">
        <is>
          <t>Entry to World of Frozen</t>
        </is>
      </c>
      <c r="F28271" s="8" t="inlineStr">
        <is>
          <t>STANDBY</t>
        </is>
      </c>
      <c r="G28271" s="8" t="n">
        <v>0</v>
      </c>
      <c r="H28271" s="8" t="inlineStr">
        <is>
          <t>CLOSED</t>
        </is>
      </c>
    </row>
    <row r="28272">
      <c r="A28272" s="8" t="inlineStr">
        <is>
          <t>2026-08-06</t>
        </is>
      </c>
      <c r="B28272" s="8" t="n">
        <v>1</v>
      </c>
      <c r="C28272" s="8" t="n">
        <v>31</v>
      </c>
      <c r="D28272" s="8" t="inlineStr">
        <is>
          <t>Disney Adventure World</t>
        </is>
      </c>
      <c r="E28272" s="8" t="inlineStr">
        <is>
          <t>Frozen Ever After</t>
        </is>
      </c>
      <c r="F28272" s="8" t="inlineStr">
        <is>
          <t>STANDBY</t>
        </is>
      </c>
      <c r="G28272" s="8" t="n">
        <v>0</v>
      </c>
      <c r="H28272" s="8" t="inlineStr">
        <is>
          <t>CLOSED</t>
        </is>
      </c>
    </row>
    <row r="28273">
      <c r="A28273" s="8" t="inlineStr">
        <is>
          <t>2026-08-06</t>
        </is>
      </c>
      <c r="B28273" s="8" t="n">
        <v>1</v>
      </c>
      <c r="C28273" s="8" t="n">
        <v>31</v>
      </c>
      <c r="D28273" s="8" t="inlineStr">
        <is>
          <t>Disney Adventure World</t>
        </is>
      </c>
      <c r="E28273" s="8" t="inlineStr">
        <is>
          <t>Raiponce Tangled Spin</t>
        </is>
      </c>
      <c r="F28273" s="8" t="inlineStr">
        <is>
          <t>STANDBY</t>
        </is>
      </c>
      <c r="G28273" s="8" t="n">
        <v>0</v>
      </c>
      <c r="H28273" s="8" t="inlineStr">
        <is>
          <t>CLOSED</t>
        </is>
      </c>
    </row>
    <row r="28274">
      <c r="A28274" s="8" t="inlineStr">
        <is>
          <t>2026-08-06</t>
        </is>
      </c>
      <c r="B28274" s="8" t="n">
        <v>1</v>
      </c>
      <c r="C28274" s="8" t="n">
        <v>42</v>
      </c>
      <c r="D28274" s="8" t="inlineStr">
        <is>
          <t>Disneyland Park</t>
        </is>
      </c>
      <c r="E28274" s="8" t="inlineStr">
        <is>
          <t>Adventure Isle</t>
        </is>
      </c>
      <c r="F28274" s="8" t="inlineStr">
        <is>
          <t>STANDBY</t>
        </is>
      </c>
      <c r="G28274" s="8" t="n">
        <v>0</v>
      </c>
      <c r="H28274" s="8" t="inlineStr">
        <is>
          <t>CLOSED</t>
        </is>
      </c>
    </row>
    <row r="28275">
      <c r="A28275" s="8" t="inlineStr">
        <is>
          <t>2026-08-06</t>
        </is>
      </c>
      <c r="B28275" s="8" t="n">
        <v>1</v>
      </c>
      <c r="C28275" s="8" t="n">
        <v>42</v>
      </c>
      <c r="D28275" s="8" t="inlineStr">
        <is>
          <t>Disneyland Park</t>
        </is>
      </c>
      <c r="E28275" s="8" t="inlineStr">
        <is>
          <t>Indiana Jones and the Temple of Peril Single Rider</t>
        </is>
      </c>
      <c r="F28275" s="8" t="inlineStr">
        <is>
          <t>STANDBY</t>
        </is>
      </c>
      <c r="G28275" s="8" t="n">
        <v>0</v>
      </c>
      <c r="H28275" s="8" t="inlineStr">
        <is>
          <t>CLOSED</t>
        </is>
      </c>
    </row>
    <row r="28276">
      <c r="A28276" s="8" t="inlineStr">
        <is>
          <t>2026-08-06</t>
        </is>
      </c>
      <c r="B28276" s="8" t="n">
        <v>1</v>
      </c>
      <c r="C28276" s="8" t="n">
        <v>42</v>
      </c>
      <c r="D28276" s="8" t="inlineStr">
        <is>
          <t>Disneyland Park</t>
        </is>
      </c>
      <c r="E28276" s="8" t="inlineStr">
        <is>
          <t>Indiana Jones™ and the Temple of Peril</t>
        </is>
      </c>
      <c r="F28276" s="8" t="inlineStr">
        <is>
          <t>STANDBY</t>
        </is>
      </c>
      <c r="G28276" s="8" t="n">
        <v>0</v>
      </c>
      <c r="H28276" s="8" t="inlineStr">
        <is>
          <t>CLOSED</t>
        </is>
      </c>
    </row>
    <row r="28277">
      <c r="A28277" s="8" t="inlineStr">
        <is>
          <t>2026-08-06</t>
        </is>
      </c>
      <c r="B28277" s="8" t="n">
        <v>1</v>
      </c>
      <c r="C28277" s="8" t="n">
        <v>42</v>
      </c>
      <c r="D28277" s="8" t="inlineStr">
        <is>
          <t>Disneyland Park</t>
        </is>
      </c>
      <c r="E28277" s="8" t="inlineStr">
        <is>
          <t>La Cabane des Robinson</t>
        </is>
      </c>
      <c r="F28277" s="8" t="inlineStr">
        <is>
          <t>STANDBY</t>
        </is>
      </c>
      <c r="G28277" s="8" t="n">
        <v>0</v>
      </c>
      <c r="H28277" s="8" t="inlineStr">
        <is>
          <t>CLOSED</t>
        </is>
      </c>
    </row>
    <row r="28278">
      <c r="A28278" s="8" t="inlineStr">
        <is>
          <t>2026-08-06</t>
        </is>
      </c>
      <c r="B28278" s="8" t="n">
        <v>1</v>
      </c>
      <c r="C28278" s="8" t="n">
        <v>42</v>
      </c>
      <c r="D28278" s="8" t="inlineStr">
        <is>
          <t>Disneyland Park</t>
        </is>
      </c>
      <c r="E28278" s="8" t="inlineStr">
        <is>
          <t>Le Passage Enchanté d'Aladdin</t>
        </is>
      </c>
      <c r="F28278" s="8" t="inlineStr">
        <is>
          <t>STANDBY</t>
        </is>
      </c>
      <c r="G28278" s="8" t="n">
        <v>0</v>
      </c>
      <c r="H28278" s="8" t="inlineStr">
        <is>
          <t>CLOSED</t>
        </is>
      </c>
    </row>
    <row r="28279">
      <c r="A28279" s="8" t="inlineStr">
        <is>
          <t>2026-08-06</t>
        </is>
      </c>
      <c r="B28279" s="8" t="n">
        <v>1</v>
      </c>
      <c r="C28279" s="8" t="n">
        <v>42</v>
      </c>
      <c r="D28279" s="8" t="inlineStr">
        <is>
          <t>Disneyland Park</t>
        </is>
      </c>
      <c r="E28279" s="8" t="inlineStr">
        <is>
          <t>Pirate Galleon</t>
        </is>
      </c>
      <c r="F28279" s="8" t="inlineStr">
        <is>
          <t>STANDBY</t>
        </is>
      </c>
      <c r="G28279" s="8" t="n">
        <v>0</v>
      </c>
      <c r="H28279" s="8" t="inlineStr">
        <is>
          <t>CLOSED</t>
        </is>
      </c>
    </row>
    <row r="28280">
      <c r="A28280" s="8" t="inlineStr">
        <is>
          <t>2026-08-06</t>
        </is>
      </c>
      <c r="B28280" s="8" t="n">
        <v>1</v>
      </c>
      <c r="C28280" s="8" t="n">
        <v>42</v>
      </c>
      <c r="D28280" s="8" t="inlineStr">
        <is>
          <t>Disneyland Park</t>
        </is>
      </c>
      <c r="E28280" s="8" t="inlineStr">
        <is>
          <t>Pirates of the Caribbean</t>
        </is>
      </c>
      <c r="F28280" s="8" t="inlineStr">
        <is>
          <t>STANDBY</t>
        </is>
      </c>
      <c r="G28280" s="8" t="n">
        <v>0</v>
      </c>
      <c r="H28280" s="8" t="inlineStr">
        <is>
          <t>CLOSED</t>
        </is>
      </c>
    </row>
    <row r="28281">
      <c r="A28281" s="8" t="inlineStr">
        <is>
          <t>2026-08-06</t>
        </is>
      </c>
      <c r="B28281" s="8" t="n">
        <v>1</v>
      </c>
      <c r="C28281" s="8" t="n">
        <v>42</v>
      </c>
      <c r="D28281" s="8" t="inlineStr">
        <is>
          <t>Disneyland Park</t>
        </is>
      </c>
      <c r="E28281" s="8" t="inlineStr">
        <is>
          <t>Pirates' Beach</t>
        </is>
      </c>
      <c r="F28281" s="8" t="inlineStr">
        <is>
          <t>STANDBY</t>
        </is>
      </c>
      <c r="G28281" s="8" t="n">
        <v>0</v>
      </c>
      <c r="H28281" s="8" t="inlineStr">
        <is>
          <t>CLOSED</t>
        </is>
      </c>
    </row>
    <row r="28282">
      <c r="A28282" s="8" t="inlineStr">
        <is>
          <t>2026-08-06</t>
        </is>
      </c>
      <c r="B28282" s="8" t="n">
        <v>1</v>
      </c>
      <c r="C28282" s="8" t="n">
        <v>42</v>
      </c>
      <c r="D28282" s="8" t="inlineStr">
        <is>
          <t>Disneyland Park</t>
        </is>
      </c>
      <c r="E28282" s="8" t="inlineStr">
        <is>
          <t>Autopia, presented by Avis</t>
        </is>
      </c>
      <c r="F28282" s="8" t="inlineStr">
        <is>
          <t>STANDBY</t>
        </is>
      </c>
      <c r="G28282" s="8" t="n">
        <v>0</v>
      </c>
      <c r="H28282" s="8" t="inlineStr">
        <is>
          <t>CLOSED</t>
        </is>
      </c>
    </row>
    <row r="28283">
      <c r="A28283" s="8" t="inlineStr">
        <is>
          <t>2026-08-06</t>
        </is>
      </c>
      <c r="B28283" s="8" t="n">
        <v>1</v>
      </c>
      <c r="C28283" s="8" t="n">
        <v>42</v>
      </c>
      <c r="D28283" s="8" t="inlineStr">
        <is>
          <t>Disneyland Park</t>
        </is>
      </c>
      <c r="E28283" s="8" t="inlineStr">
        <is>
          <t>Buzz Lightyear Laser Blast</t>
        </is>
      </c>
      <c r="F28283" s="8" t="inlineStr">
        <is>
          <t>STANDBY</t>
        </is>
      </c>
      <c r="G28283" s="8" t="n">
        <v>0</v>
      </c>
      <c r="H28283" s="8" t="inlineStr">
        <is>
          <t>CLOSED</t>
        </is>
      </c>
    </row>
    <row r="28284">
      <c r="A28284" s="8" t="inlineStr">
        <is>
          <t>2026-08-06</t>
        </is>
      </c>
      <c r="B28284" s="8" t="n">
        <v>1</v>
      </c>
      <c r="C28284" s="8" t="n">
        <v>42</v>
      </c>
      <c r="D28284" s="8" t="inlineStr">
        <is>
          <t>Disneyland Park</t>
        </is>
      </c>
      <c r="E28284" s="8" t="inlineStr">
        <is>
          <t>Disneyland Railroad Discoveryland Station</t>
        </is>
      </c>
      <c r="F28284" s="8" t="inlineStr">
        <is>
          <t>STANDBY</t>
        </is>
      </c>
      <c r="G28284" s="8" t="n">
        <v>0</v>
      </c>
      <c r="H28284" s="8" t="inlineStr">
        <is>
          <t>CLOSED</t>
        </is>
      </c>
    </row>
    <row r="28285">
      <c r="A28285" s="8" t="inlineStr">
        <is>
          <t>2026-08-06</t>
        </is>
      </c>
      <c r="B28285" s="8" t="n">
        <v>1</v>
      </c>
      <c r="C28285" s="8" t="n">
        <v>42</v>
      </c>
      <c r="D28285" s="8" t="inlineStr">
        <is>
          <t>Disneyland Park</t>
        </is>
      </c>
      <c r="E28285" s="8" t="inlineStr">
        <is>
          <t>Les Mystères du Nautilus</t>
        </is>
      </c>
      <c r="F28285" s="8" t="inlineStr">
        <is>
          <t>STANDBY</t>
        </is>
      </c>
      <c r="G28285" s="8" t="n">
        <v>0</v>
      </c>
      <c r="H28285" s="8" t="inlineStr">
        <is>
          <t>CLOSED</t>
        </is>
      </c>
    </row>
    <row r="28286">
      <c r="A28286" s="8" t="inlineStr">
        <is>
          <t>2026-08-06</t>
        </is>
      </c>
      <c r="B28286" s="8" t="n">
        <v>1</v>
      </c>
      <c r="C28286" s="8" t="n">
        <v>42</v>
      </c>
      <c r="D28286" s="8" t="inlineStr">
        <is>
          <t>Disneyland Park</t>
        </is>
      </c>
      <c r="E28286" s="8" t="inlineStr">
        <is>
          <t>Mickey’s PhilharMagic</t>
        </is>
      </c>
      <c r="F28286" s="8" t="inlineStr">
        <is>
          <t>STANDBY</t>
        </is>
      </c>
      <c r="G28286" s="8" t="n">
        <v>0</v>
      </c>
      <c r="H28286" s="8" t="inlineStr">
        <is>
          <t>CLOSED</t>
        </is>
      </c>
    </row>
    <row r="28287">
      <c r="A28287" s="8" t="inlineStr">
        <is>
          <t>2026-08-06</t>
        </is>
      </c>
      <c r="B28287" s="8" t="n">
        <v>1</v>
      </c>
      <c r="C28287" s="8" t="n">
        <v>42</v>
      </c>
      <c r="D28287" s="8" t="inlineStr">
        <is>
          <t>Disneyland Park</t>
        </is>
      </c>
      <c r="E28287" s="8" t="inlineStr">
        <is>
          <t>Orbitron®</t>
        </is>
      </c>
      <c r="F28287" s="8" t="inlineStr">
        <is>
          <t>STANDBY</t>
        </is>
      </c>
      <c r="G28287" s="8" t="n">
        <v>0</v>
      </c>
      <c r="H28287" s="8" t="inlineStr">
        <is>
          <t>CLOSED</t>
        </is>
      </c>
    </row>
    <row r="28288">
      <c r="A28288" s="8" t="inlineStr">
        <is>
          <t>2026-08-06</t>
        </is>
      </c>
      <c r="B28288" s="8" t="n">
        <v>1</v>
      </c>
      <c r="C28288" s="8" t="n">
        <v>42</v>
      </c>
      <c r="D28288" s="8" t="inlineStr">
        <is>
          <t>Disneyland Park</t>
        </is>
      </c>
      <c r="E28288" s="8" t="inlineStr">
        <is>
          <t>Star Tours: The Adventures Continue*</t>
        </is>
      </c>
      <c r="F28288" s="8" t="inlineStr">
        <is>
          <t>STANDBY</t>
        </is>
      </c>
      <c r="G28288" s="8" t="n">
        <v>0</v>
      </c>
      <c r="H28288" s="8" t="inlineStr">
        <is>
          <t>CLOSED</t>
        </is>
      </c>
    </row>
    <row r="28289">
      <c r="A28289" s="8" t="inlineStr">
        <is>
          <t>2026-08-06</t>
        </is>
      </c>
      <c r="B28289" s="8" t="n">
        <v>1</v>
      </c>
      <c r="C28289" s="8" t="n">
        <v>42</v>
      </c>
      <c r="D28289" s="8" t="inlineStr">
        <is>
          <t>Disneyland Park</t>
        </is>
      </c>
      <c r="E28289" s="8" t="inlineStr">
        <is>
          <t>Star Wars Hyperspace Mountain</t>
        </is>
      </c>
      <c r="F28289" s="8" t="inlineStr">
        <is>
          <t>STANDBY</t>
        </is>
      </c>
      <c r="G28289" s="8" t="n">
        <v>0</v>
      </c>
      <c r="H28289" s="8" t="inlineStr">
        <is>
          <t>CLOSED</t>
        </is>
      </c>
    </row>
    <row r="28290">
      <c r="A28290" s="8" t="inlineStr">
        <is>
          <t>2026-08-06</t>
        </is>
      </c>
      <c r="B28290" s="8" t="n">
        <v>1</v>
      </c>
      <c r="C28290" s="8" t="n">
        <v>42</v>
      </c>
      <c r="D28290" s="8" t="inlineStr">
        <is>
          <t>Disneyland Park</t>
        </is>
      </c>
      <c r="E28290" s="8" t="inlineStr">
        <is>
          <t>Star Wars Hyperspace Mountain Single Rider</t>
        </is>
      </c>
      <c r="F28290" s="8" t="inlineStr">
        <is>
          <t>STANDBY</t>
        </is>
      </c>
      <c r="G28290" s="8" t="n">
        <v>0</v>
      </c>
      <c r="H28290" s="8" t="inlineStr">
        <is>
          <t>CLOSED</t>
        </is>
      </c>
    </row>
    <row r="28291">
      <c r="A28291" s="8" t="inlineStr">
        <is>
          <t>2026-08-06</t>
        </is>
      </c>
      <c r="B28291" s="8" t="n">
        <v>1</v>
      </c>
      <c r="C28291" s="8" t="n">
        <v>42</v>
      </c>
      <c r="D28291" s="8" t="inlineStr">
        <is>
          <t>Disneyland Park</t>
        </is>
      </c>
      <c r="E28291" s="8" t="inlineStr">
        <is>
          <t>Welcome to Starport: A Star Wars Encounter</t>
        </is>
      </c>
      <c r="F28291" s="8" t="inlineStr">
        <is>
          <t>STANDBY</t>
        </is>
      </c>
      <c r="G28291" s="8" t="n">
        <v>0</v>
      </c>
      <c r="H28291" s="8" t="inlineStr">
        <is>
          <t>CLOSED</t>
        </is>
      </c>
    </row>
    <row r="28292">
      <c r="A28292" s="8" t="inlineStr">
        <is>
          <t>2026-08-06</t>
        </is>
      </c>
      <c r="B28292" s="8" t="n">
        <v>1</v>
      </c>
      <c r="C28292" s="8" t="n">
        <v>42</v>
      </c>
      <c r="D28292" s="8" t="inlineStr">
        <is>
          <t>Disneyland Park</t>
        </is>
      </c>
      <c r="E28292" s="8" t="inlineStr">
        <is>
          <t>"it's a small world"</t>
        </is>
      </c>
      <c r="F28292" s="8" t="inlineStr">
        <is>
          <t>STANDBY</t>
        </is>
      </c>
      <c r="G28292" s="8" t="n">
        <v>0</v>
      </c>
      <c r="H28292" s="8" t="inlineStr">
        <is>
          <t>CLOSED</t>
        </is>
      </c>
    </row>
    <row r="28293">
      <c r="A28293" s="8" t="inlineStr">
        <is>
          <t>2026-08-06</t>
        </is>
      </c>
      <c r="B28293" s="8" t="n">
        <v>1</v>
      </c>
      <c r="C28293" s="8" t="n">
        <v>42</v>
      </c>
      <c r="D28293" s="8" t="inlineStr">
        <is>
          <t>Disneyland Park</t>
        </is>
      </c>
      <c r="E28293" s="8" t="inlineStr">
        <is>
          <t>Alice's Curious Labyrinth</t>
        </is>
      </c>
      <c r="F28293" s="8" t="inlineStr">
        <is>
          <t>STANDBY</t>
        </is>
      </c>
      <c r="G28293" s="8" t="n">
        <v>0</v>
      </c>
      <c r="H28293" s="8" t="inlineStr">
        <is>
          <t>CLOSED</t>
        </is>
      </c>
    </row>
    <row r="28294">
      <c r="A28294" s="8" t="inlineStr">
        <is>
          <t>2026-08-06</t>
        </is>
      </c>
      <c r="B28294" s="8" t="n">
        <v>1</v>
      </c>
      <c r="C28294" s="8" t="n">
        <v>42</v>
      </c>
      <c r="D28294" s="8" t="inlineStr">
        <is>
          <t>Disneyland Park</t>
        </is>
      </c>
      <c r="E28294" s="8" t="inlineStr">
        <is>
          <t>Blanche-Neige et les Sept Nains®</t>
        </is>
      </c>
      <c r="F28294" s="8" t="inlineStr">
        <is>
          <t>STANDBY</t>
        </is>
      </c>
      <c r="G28294" s="8" t="n">
        <v>0</v>
      </c>
      <c r="H28294" s="8" t="inlineStr">
        <is>
          <t>CLOSED</t>
        </is>
      </c>
    </row>
    <row r="28295">
      <c r="A28295" s="8" t="inlineStr">
        <is>
          <t>2026-08-06</t>
        </is>
      </c>
      <c r="B28295" s="8" t="n">
        <v>1</v>
      </c>
      <c r="C28295" s="8" t="n">
        <v>42</v>
      </c>
      <c r="D28295" s="8" t="inlineStr">
        <is>
          <t>Disneyland Park</t>
        </is>
      </c>
      <c r="E28295" s="8" t="inlineStr">
        <is>
          <t>Casey Jr. – le Petit Train du Cirque</t>
        </is>
      </c>
      <c r="F28295" s="8" t="inlineStr">
        <is>
          <t>STANDBY</t>
        </is>
      </c>
      <c r="G28295" s="8" t="n">
        <v>0</v>
      </c>
      <c r="H28295" s="8" t="inlineStr">
        <is>
          <t>CLOSED</t>
        </is>
      </c>
    </row>
    <row r="28296">
      <c r="A28296" s="8" t="inlineStr">
        <is>
          <t>2026-08-06</t>
        </is>
      </c>
      <c r="B28296" s="8" t="n">
        <v>1</v>
      </c>
      <c r="C28296" s="8" t="n">
        <v>42</v>
      </c>
      <c r="D28296" s="8" t="inlineStr">
        <is>
          <t>Disneyland Park</t>
        </is>
      </c>
      <c r="E28296" s="8" t="inlineStr">
        <is>
          <t>Disneyland Railroad Fantasyland Station</t>
        </is>
      </c>
      <c r="F28296" s="8" t="inlineStr">
        <is>
          <t>STANDBY</t>
        </is>
      </c>
      <c r="G28296" s="8" t="n">
        <v>0</v>
      </c>
      <c r="H28296" s="8" t="inlineStr">
        <is>
          <t>CLOSED</t>
        </is>
      </c>
    </row>
    <row r="28297">
      <c r="A28297" s="8" t="inlineStr">
        <is>
          <t>2026-08-06</t>
        </is>
      </c>
      <c r="B28297" s="8" t="n">
        <v>1</v>
      </c>
      <c r="C28297" s="8" t="n">
        <v>42</v>
      </c>
      <c r="D28297" s="8" t="inlineStr">
        <is>
          <t>Disneyland Park</t>
        </is>
      </c>
      <c r="E28297" s="8" t="inlineStr">
        <is>
          <t>Disneyland Railroad Main Street Station</t>
        </is>
      </c>
      <c r="F28297" s="8" t="inlineStr">
        <is>
          <t>STANDBY</t>
        </is>
      </c>
      <c r="G28297" s="8" t="n">
        <v>0</v>
      </c>
      <c r="H28297" s="8" t="inlineStr">
        <is>
          <t>CLOSED</t>
        </is>
      </c>
    </row>
    <row r="28298">
      <c r="A28298" s="8" t="inlineStr">
        <is>
          <t>2026-08-06</t>
        </is>
      </c>
      <c r="B28298" s="8" t="n">
        <v>1</v>
      </c>
      <c r="C28298" s="8" t="n">
        <v>42</v>
      </c>
      <c r="D28298" s="8" t="inlineStr">
        <is>
          <t>Disneyland Park</t>
        </is>
      </c>
      <c r="E28298" s="8" t="inlineStr">
        <is>
          <t>Dumbo the Flying Elephant</t>
        </is>
      </c>
      <c r="F28298" s="8" t="inlineStr">
        <is>
          <t>STANDBY</t>
        </is>
      </c>
      <c r="G28298" s="8" t="n">
        <v>0</v>
      </c>
      <c r="H28298" s="8" t="inlineStr">
        <is>
          <t>CLOSED</t>
        </is>
      </c>
    </row>
    <row r="28299">
      <c r="A28299" s="8" t="inlineStr">
        <is>
          <t>2026-08-06</t>
        </is>
      </c>
      <c r="B28299" s="8" t="n">
        <v>1</v>
      </c>
      <c r="C28299" s="8" t="n">
        <v>42</v>
      </c>
      <c r="D28299" s="8" t="inlineStr">
        <is>
          <t>Disneyland Park</t>
        </is>
      </c>
      <c r="E28299" s="8" t="inlineStr">
        <is>
          <t>La Tanière du Dragon</t>
        </is>
      </c>
      <c r="F28299" s="8" t="inlineStr">
        <is>
          <t>STANDBY</t>
        </is>
      </c>
      <c r="G28299" s="8" t="n">
        <v>0</v>
      </c>
      <c r="H28299" s="8" t="inlineStr">
        <is>
          <t>CLOSED</t>
        </is>
      </c>
    </row>
    <row r="28300">
      <c r="A28300" s="8" t="inlineStr">
        <is>
          <t>2026-08-06</t>
        </is>
      </c>
      <c r="B28300" s="8" t="n">
        <v>1</v>
      </c>
      <c r="C28300" s="8" t="n">
        <v>42</v>
      </c>
      <c r="D28300" s="8" t="inlineStr">
        <is>
          <t>Disneyland Park</t>
        </is>
      </c>
      <c r="E28300" s="8" t="inlineStr">
        <is>
          <t>Le Carrousel de Lancelot</t>
        </is>
      </c>
      <c r="F28300" s="8" t="inlineStr">
        <is>
          <t>STANDBY</t>
        </is>
      </c>
      <c r="G28300" s="8" t="n">
        <v>0</v>
      </c>
      <c r="H28300" s="8" t="inlineStr">
        <is>
          <t>CLOSED</t>
        </is>
      </c>
    </row>
    <row r="28301">
      <c r="A28301" s="8" t="inlineStr">
        <is>
          <t>2026-08-06</t>
        </is>
      </c>
      <c r="B28301" s="8" t="n">
        <v>1</v>
      </c>
      <c r="C28301" s="8" t="n">
        <v>42</v>
      </c>
      <c r="D28301" s="8" t="inlineStr">
        <is>
          <t>Disneyland Park</t>
        </is>
      </c>
      <c r="E28301" s="8" t="inlineStr">
        <is>
          <t>Le Pays des Contes de Fées, presented by Vittel</t>
        </is>
      </c>
      <c r="F28301" s="8" t="inlineStr">
        <is>
          <t>STANDBY</t>
        </is>
      </c>
      <c r="G28301" s="8" t="n">
        <v>0</v>
      </c>
      <c r="H28301" s="8" t="inlineStr">
        <is>
          <t>CLOSED</t>
        </is>
      </c>
    </row>
    <row r="28302">
      <c r="A28302" s="8" t="inlineStr">
        <is>
          <t>2026-08-06</t>
        </is>
      </c>
      <c r="B28302" s="8" t="n">
        <v>1</v>
      </c>
      <c r="C28302" s="8" t="n">
        <v>42</v>
      </c>
      <c r="D28302" s="8" t="inlineStr">
        <is>
          <t>Disneyland Park</t>
        </is>
      </c>
      <c r="E28302" s="8" t="inlineStr">
        <is>
          <t>Les Voyages de Pinocchio</t>
        </is>
      </c>
      <c r="F28302" s="8" t="inlineStr">
        <is>
          <t>STANDBY</t>
        </is>
      </c>
      <c r="G28302" s="8" t="n">
        <v>0</v>
      </c>
      <c r="H28302" s="8" t="inlineStr">
        <is>
          <t>CLOSED</t>
        </is>
      </c>
    </row>
    <row r="28303">
      <c r="A28303" s="8" t="inlineStr">
        <is>
          <t>2026-08-06</t>
        </is>
      </c>
      <c r="B28303" s="8" t="n">
        <v>1</v>
      </c>
      <c r="C28303" s="8" t="n">
        <v>42</v>
      </c>
      <c r="D28303" s="8" t="inlineStr">
        <is>
          <t>Disneyland Park</t>
        </is>
      </c>
      <c r="E28303" s="8" t="inlineStr">
        <is>
          <t>Mad Hatter's Tea Cups</t>
        </is>
      </c>
      <c r="F28303" s="8" t="inlineStr">
        <is>
          <t>STANDBY</t>
        </is>
      </c>
      <c r="G28303" s="8" t="n">
        <v>0</v>
      </c>
      <c r="H28303" s="8" t="inlineStr">
        <is>
          <t>CLOSED</t>
        </is>
      </c>
    </row>
    <row r="28304">
      <c r="A28304" s="8" t="inlineStr">
        <is>
          <t>2026-08-06</t>
        </is>
      </c>
      <c r="B28304" s="8" t="n">
        <v>1</v>
      </c>
      <c r="C28304" s="8" t="n">
        <v>42</v>
      </c>
      <c r="D28304" s="8" t="inlineStr">
        <is>
          <t>Disneyland Park</t>
        </is>
      </c>
      <c r="E28304" s="8" t="inlineStr">
        <is>
          <t>Meet Mickey Mouse</t>
        </is>
      </c>
      <c r="F28304" s="8" t="inlineStr">
        <is>
          <t>STANDBY</t>
        </is>
      </c>
      <c r="G28304" s="8" t="n">
        <v>0</v>
      </c>
      <c r="H28304" s="8" t="inlineStr">
        <is>
          <t>CLOSED</t>
        </is>
      </c>
    </row>
    <row r="28305">
      <c r="A28305" s="8" t="inlineStr">
        <is>
          <t>2026-08-06</t>
        </is>
      </c>
      <c r="B28305" s="8" t="n">
        <v>1</v>
      </c>
      <c r="C28305" s="8" t="n">
        <v>42</v>
      </c>
      <c r="D28305" s="8" t="inlineStr">
        <is>
          <t>Disneyland Park</t>
        </is>
      </c>
      <c r="E28305" s="8" t="inlineStr">
        <is>
          <t>Peter Pan's Flight</t>
        </is>
      </c>
      <c r="F28305" s="8" t="inlineStr">
        <is>
          <t>STANDBY</t>
        </is>
      </c>
      <c r="G28305" s="8" t="n">
        <v>0</v>
      </c>
      <c r="H28305" s="8" t="inlineStr">
        <is>
          <t>CLOSED</t>
        </is>
      </c>
    </row>
    <row r="28306">
      <c r="A28306" s="8" t="inlineStr">
        <is>
          <t>2026-08-06</t>
        </is>
      </c>
      <c r="B28306" s="8" t="n">
        <v>1</v>
      </c>
      <c r="C28306" s="8" t="n">
        <v>42</v>
      </c>
      <c r="D28306" s="8" t="inlineStr">
        <is>
          <t>Disneyland Park</t>
        </is>
      </c>
      <c r="E28306" s="8" t="inlineStr">
        <is>
          <t>Princess Pavilion</t>
        </is>
      </c>
      <c r="F28306" s="8" t="inlineStr">
        <is>
          <t>STANDBY</t>
        </is>
      </c>
      <c r="G28306" s="8" t="n">
        <v>0</v>
      </c>
      <c r="H28306" s="8" t="inlineStr">
        <is>
          <t>CLOSED</t>
        </is>
      </c>
    </row>
    <row r="28307">
      <c r="A28307" s="8" t="inlineStr">
        <is>
          <t>2026-08-06</t>
        </is>
      </c>
      <c r="B28307" s="8" t="n">
        <v>1</v>
      </c>
      <c r="C28307" s="8" t="n">
        <v>42</v>
      </c>
      <c r="D28307" s="8" t="inlineStr">
        <is>
          <t>Disneyland Park</t>
        </is>
      </c>
      <c r="E28307" s="8" t="inlineStr">
        <is>
          <t>Big Thunder Mountain</t>
        </is>
      </c>
      <c r="F28307" s="8" t="inlineStr">
        <is>
          <t>STANDBY</t>
        </is>
      </c>
      <c r="G28307" s="8" t="n">
        <v>0</v>
      </c>
      <c r="H28307" s="8" t="inlineStr">
        <is>
          <t>CLOSED</t>
        </is>
      </c>
    </row>
    <row r="28308">
      <c r="A28308" s="8" t="inlineStr">
        <is>
          <t>2026-08-06</t>
        </is>
      </c>
      <c r="B28308" s="8" t="n">
        <v>1</v>
      </c>
      <c r="C28308" s="8" t="n">
        <v>42</v>
      </c>
      <c r="D28308" s="8" t="inlineStr">
        <is>
          <t>Disneyland Park</t>
        </is>
      </c>
      <c r="E28308" s="8" t="inlineStr">
        <is>
          <t>Disneyland Railroad Frontierland Depot</t>
        </is>
      </c>
      <c r="F28308" s="8" t="inlineStr">
        <is>
          <t>STANDBY</t>
        </is>
      </c>
      <c r="G28308" s="8" t="n">
        <v>0</v>
      </c>
      <c r="H28308" s="8" t="inlineStr">
        <is>
          <t>CLOSED</t>
        </is>
      </c>
    </row>
    <row r="28309">
      <c r="A28309" s="8" t="inlineStr">
        <is>
          <t>2026-08-06</t>
        </is>
      </c>
      <c r="B28309" s="8" t="n">
        <v>1</v>
      </c>
      <c r="C28309" s="8" t="n">
        <v>42</v>
      </c>
      <c r="D28309" s="8" t="inlineStr">
        <is>
          <t>Disneyland Park</t>
        </is>
      </c>
      <c r="E28309" s="8" t="inlineStr">
        <is>
          <t>Frontierland Playground</t>
        </is>
      </c>
      <c r="F28309" s="8" t="inlineStr">
        <is>
          <t>STANDBY</t>
        </is>
      </c>
      <c r="G28309" s="8" t="n">
        <v>0</v>
      </c>
      <c r="H28309" s="8" t="inlineStr">
        <is>
          <t>CLOSED</t>
        </is>
      </c>
    </row>
    <row r="28310">
      <c r="A28310" s="8" t="inlineStr">
        <is>
          <t>2026-08-06</t>
        </is>
      </c>
      <c r="B28310" s="8" t="n">
        <v>1</v>
      </c>
      <c r="C28310" s="8" t="n">
        <v>42</v>
      </c>
      <c r="D28310" s="8" t="inlineStr">
        <is>
          <t>Disneyland Park</t>
        </is>
      </c>
      <c r="E28310" s="8" t="inlineStr">
        <is>
          <t>Phantom Manor</t>
        </is>
      </c>
      <c r="F28310" s="8" t="inlineStr">
        <is>
          <t>STANDBY</t>
        </is>
      </c>
      <c r="G28310" s="8" t="n">
        <v>0</v>
      </c>
      <c r="H28310" s="8" t="inlineStr">
        <is>
          <t>CLOSED</t>
        </is>
      </c>
    </row>
    <row r="28311">
      <c r="A28311" s="8" t="inlineStr">
        <is>
          <t>2026-08-06</t>
        </is>
      </c>
      <c r="B28311" s="8" t="n">
        <v>1</v>
      </c>
      <c r="C28311" s="8" t="n">
        <v>42</v>
      </c>
      <c r="D28311" s="8" t="inlineStr">
        <is>
          <t>Disneyland Park</t>
        </is>
      </c>
      <c r="E28311" s="8" t="inlineStr">
        <is>
          <t>River Rogue Keelboats</t>
        </is>
      </c>
      <c r="F28311" s="8" t="inlineStr">
        <is>
          <t>STANDBY</t>
        </is>
      </c>
      <c r="G28311" s="8" t="n">
        <v>0</v>
      </c>
      <c r="H28311" s="8" t="inlineStr">
        <is>
          <t>CLOSED</t>
        </is>
      </c>
    </row>
    <row r="28312">
      <c r="A28312" s="8" t="inlineStr">
        <is>
          <t>2026-08-06</t>
        </is>
      </c>
      <c r="B28312" s="8" t="n">
        <v>1</v>
      </c>
      <c r="C28312" s="8" t="n">
        <v>42</v>
      </c>
      <c r="D28312" s="8" t="inlineStr">
        <is>
          <t>Disneyland Park</t>
        </is>
      </c>
      <c r="E28312" s="8" t="inlineStr">
        <is>
          <t>Rustler Roundup Shootin' Gallery</t>
        </is>
      </c>
      <c r="F28312" s="8" t="inlineStr">
        <is>
          <t>STANDBY</t>
        </is>
      </c>
      <c r="G28312" s="8" t="n">
        <v>0</v>
      </c>
      <c r="H28312" s="8" t="inlineStr">
        <is>
          <t>CLOSED</t>
        </is>
      </c>
    </row>
    <row r="28313">
      <c r="A28313" s="8" t="inlineStr">
        <is>
          <t>2026-08-06</t>
        </is>
      </c>
      <c r="B28313" s="8" t="n">
        <v>1</v>
      </c>
      <c r="C28313" s="8" t="n">
        <v>42</v>
      </c>
      <c r="D28313" s="8" t="inlineStr">
        <is>
          <t>Disneyland Park</t>
        </is>
      </c>
      <c r="E28313" s="8" t="inlineStr">
        <is>
          <t>Thunder Mesa Riverboat Landing</t>
        </is>
      </c>
      <c r="F28313" s="8" t="inlineStr">
        <is>
          <t>STANDBY</t>
        </is>
      </c>
      <c r="G28313" s="8" t="n">
        <v>0</v>
      </c>
      <c r="H28313" s="8" t="inlineStr">
        <is>
          <t>CLOSED</t>
        </is>
      </c>
    </row>
    <row r="28314">
      <c r="A28314" s="8" t="inlineStr">
        <is>
          <t>2026-08-06</t>
        </is>
      </c>
      <c r="B28314" s="8" t="n">
        <v>1</v>
      </c>
      <c r="C28314" s="8" t="n">
        <v>42</v>
      </c>
      <c r="D28314" s="8" t="inlineStr">
        <is>
          <t>Disneyland Park</t>
        </is>
      </c>
      <c r="E28314" s="8" t="inlineStr">
        <is>
          <t>Disneyland Railroad Main Street Station</t>
        </is>
      </c>
      <c r="F28314" s="8" t="inlineStr">
        <is>
          <t>STANDBY</t>
        </is>
      </c>
      <c r="G28314" s="8" t="n">
        <v>0</v>
      </c>
      <c r="H28314" s="8" t="inlineStr">
        <is>
          <t>CLOSED</t>
        </is>
      </c>
    </row>
    <row r="28315">
      <c r="A28315" s="8" t="inlineStr">
        <is>
          <t>2026-08-06</t>
        </is>
      </c>
      <c r="B28315" s="8" t="n">
        <v>1</v>
      </c>
      <c r="C28315" s="8" t="n">
        <v>42</v>
      </c>
      <c r="D28315" s="8" t="inlineStr">
        <is>
          <t>Disneyland Park</t>
        </is>
      </c>
      <c r="E28315" s="8" t="inlineStr">
        <is>
          <t>Main Street Vehicles</t>
        </is>
      </c>
      <c r="F28315" s="8" t="inlineStr">
        <is>
          <t>STANDBY</t>
        </is>
      </c>
      <c r="G28315" s="8" t="n">
        <v>0</v>
      </c>
      <c r="H28315" s="8" t="inlineStr">
        <is>
          <t>CLOSED</t>
        </is>
      </c>
    </row>
    <row r="28316">
      <c r="A28316" s="8" t="inlineStr">
        <is>
          <t>2026-08-06</t>
        </is>
      </c>
      <c r="B28316" s="8" t="n">
        <v>1</v>
      </c>
      <c r="C28316" s="8" t="n">
        <v>42</v>
      </c>
      <c r="D28316" s="8" t="inlineStr">
        <is>
          <t>Disney Adventure World</t>
        </is>
      </c>
      <c r="E28316" s="8" t="inlineStr">
        <is>
          <t>Avengers Assemble: Flight Force</t>
        </is>
      </c>
      <c r="F28316" s="8" t="inlineStr">
        <is>
          <t>STANDBY</t>
        </is>
      </c>
      <c r="G28316" s="8" t="n">
        <v>0</v>
      </c>
      <c r="H28316" s="8" t="inlineStr">
        <is>
          <t>CLOSED</t>
        </is>
      </c>
    </row>
    <row r="28317">
      <c r="A28317" s="8" t="inlineStr">
        <is>
          <t>2026-08-06</t>
        </is>
      </c>
      <c r="B28317" s="8" t="n">
        <v>1</v>
      </c>
      <c r="C28317" s="8" t="n">
        <v>42</v>
      </c>
      <c r="D28317" s="8" t="inlineStr">
        <is>
          <t>Disney Adventure World</t>
        </is>
      </c>
      <c r="E28317" s="8" t="inlineStr">
        <is>
          <t>Avengers Assemble: Flight Force Single Rider</t>
        </is>
      </c>
      <c r="F28317" s="8" t="inlineStr">
        <is>
          <t>STANDBY</t>
        </is>
      </c>
      <c r="G28317" s="8" t="n">
        <v>0</v>
      </c>
      <c r="H28317" s="8" t="inlineStr">
        <is>
          <t>CLOSED</t>
        </is>
      </c>
    </row>
    <row r="28318">
      <c r="A28318" s="8" t="inlineStr">
        <is>
          <t>2026-08-06</t>
        </is>
      </c>
      <c r="B28318" s="8" t="n">
        <v>1</v>
      </c>
      <c r="C28318" s="8" t="n">
        <v>42</v>
      </c>
      <c r="D28318" s="8" t="inlineStr">
        <is>
          <t>Disney Adventure World</t>
        </is>
      </c>
      <c r="E28318" s="8" t="inlineStr">
        <is>
          <t>Spider-Man W.E.B. Adventure</t>
        </is>
      </c>
      <c r="F28318" s="8" t="inlineStr">
        <is>
          <t>STANDBY</t>
        </is>
      </c>
      <c r="G28318" s="8" t="n">
        <v>0</v>
      </c>
      <c r="H28318" s="8" t="inlineStr">
        <is>
          <t>CLOSED</t>
        </is>
      </c>
    </row>
    <row r="28319">
      <c r="A28319" s="8" t="inlineStr">
        <is>
          <t>2026-08-06</t>
        </is>
      </c>
      <c r="B28319" s="8" t="n">
        <v>1</v>
      </c>
      <c r="C28319" s="8" t="n">
        <v>42</v>
      </c>
      <c r="D28319" s="8" t="inlineStr">
        <is>
          <t>Disney Adventure World</t>
        </is>
      </c>
      <c r="E28319" s="8" t="inlineStr">
        <is>
          <t>Spider-Man W.E.B. Adventure Single Rider</t>
        </is>
      </c>
      <c r="F28319" s="8" t="inlineStr">
        <is>
          <t>STANDBY</t>
        </is>
      </c>
      <c r="G28319" s="8" t="n">
        <v>0</v>
      </c>
      <c r="H28319" s="8" t="inlineStr">
        <is>
          <t>CLOSED</t>
        </is>
      </c>
    </row>
    <row r="28320">
      <c r="A28320" s="8" t="inlineStr">
        <is>
          <t>2026-08-06</t>
        </is>
      </c>
      <c r="B28320" s="8" t="n">
        <v>1</v>
      </c>
      <c r="C28320" s="8" t="n">
        <v>42</v>
      </c>
      <c r="D28320" s="8" t="inlineStr">
        <is>
          <t>Disney Adventure World</t>
        </is>
      </c>
      <c r="E28320" s="8" t="inlineStr">
        <is>
          <t>The Twilight Zone Tower of Terror</t>
        </is>
      </c>
      <c r="F28320" s="8" t="inlineStr">
        <is>
          <t>STANDBY</t>
        </is>
      </c>
      <c r="G28320" s="8" t="n">
        <v>0</v>
      </c>
      <c r="H28320" s="8" t="inlineStr">
        <is>
          <t>CLOSED</t>
        </is>
      </c>
    </row>
    <row r="28321">
      <c r="A28321" s="8" t="inlineStr">
        <is>
          <t>2026-08-06</t>
        </is>
      </c>
      <c r="B28321" s="8" t="n">
        <v>1</v>
      </c>
      <c r="C28321" s="8" t="n">
        <v>42</v>
      </c>
      <c r="D28321" s="8" t="inlineStr">
        <is>
          <t>Disney Adventure World</t>
        </is>
      </c>
      <c r="E28321" s="8" t="inlineStr">
        <is>
          <t>Cars Quatre Roues Rallye</t>
        </is>
      </c>
      <c r="F28321" s="8" t="inlineStr">
        <is>
          <t>STANDBY</t>
        </is>
      </c>
      <c r="G28321" s="8" t="n">
        <v>0</v>
      </c>
      <c r="H28321" s="8" t="inlineStr">
        <is>
          <t>CLOSED</t>
        </is>
      </c>
    </row>
    <row r="28322">
      <c r="A28322" s="8" t="inlineStr">
        <is>
          <t>2026-08-06</t>
        </is>
      </c>
      <c r="B28322" s="8" t="n">
        <v>1</v>
      </c>
      <c r="C28322" s="8" t="n">
        <v>42</v>
      </c>
      <c r="D28322" s="8" t="inlineStr">
        <is>
          <t>Disney Adventure World</t>
        </is>
      </c>
      <c r="E28322" s="8" t="inlineStr">
        <is>
          <t>Cars ROAD TRIP</t>
        </is>
      </c>
      <c r="F28322" s="8" t="inlineStr">
        <is>
          <t>STANDBY</t>
        </is>
      </c>
      <c r="G28322" s="8" t="n">
        <v>0</v>
      </c>
      <c r="H28322" s="8" t="inlineStr">
        <is>
          <t>CLOSED</t>
        </is>
      </c>
    </row>
    <row r="28323">
      <c r="A28323" s="8" t="inlineStr">
        <is>
          <t>2026-08-06</t>
        </is>
      </c>
      <c r="B28323" s="8" t="n">
        <v>1</v>
      </c>
      <c r="C28323" s="8" t="n">
        <v>42</v>
      </c>
      <c r="D28323" s="8" t="inlineStr">
        <is>
          <t>Disney Adventure World</t>
        </is>
      </c>
      <c r="E28323" s="8" t="inlineStr">
        <is>
          <t>Crush's Coaster</t>
        </is>
      </c>
      <c r="F28323" s="8" t="inlineStr">
        <is>
          <t>STANDBY</t>
        </is>
      </c>
      <c r="G28323" s="8" t="n">
        <v>0</v>
      </c>
      <c r="H28323" s="8" t="inlineStr">
        <is>
          <t>CLOSED</t>
        </is>
      </c>
    </row>
    <row r="28324">
      <c r="A28324" s="8" t="inlineStr">
        <is>
          <t>2026-08-06</t>
        </is>
      </c>
      <c r="B28324" s="8" t="n">
        <v>1</v>
      </c>
      <c r="C28324" s="8" t="n">
        <v>42</v>
      </c>
      <c r="D28324" s="8" t="inlineStr">
        <is>
          <t>Disney Adventure World</t>
        </is>
      </c>
      <c r="E28324" s="8" t="inlineStr">
        <is>
          <t>Crush's Coaster Single Rider</t>
        </is>
      </c>
      <c r="F28324" s="8" t="inlineStr">
        <is>
          <t>STANDBY</t>
        </is>
      </c>
      <c r="G28324" s="8" t="n">
        <v>0</v>
      </c>
      <c r="H28324" s="8" t="inlineStr">
        <is>
          <t>CLOSED</t>
        </is>
      </c>
    </row>
    <row r="28325">
      <c r="A28325" s="8" t="inlineStr">
        <is>
          <t>2026-08-06</t>
        </is>
      </c>
      <c r="B28325" s="8" t="n">
        <v>1</v>
      </c>
      <c r="C28325" s="8" t="n">
        <v>42</v>
      </c>
      <c r="D28325" s="8" t="inlineStr">
        <is>
          <t>Disney Adventure World</t>
        </is>
      </c>
      <c r="E28325" s="8" t="inlineStr">
        <is>
          <t>Les Tapis Volants - Flying Carpets Over Agrabah®</t>
        </is>
      </c>
      <c r="F28325" s="8" t="inlineStr">
        <is>
          <t>STANDBY</t>
        </is>
      </c>
      <c r="G28325" s="8" t="n">
        <v>0</v>
      </c>
      <c r="H28325" s="8" t="inlineStr">
        <is>
          <t>CLOSED</t>
        </is>
      </c>
    </row>
    <row r="28326">
      <c r="A28326" s="8" t="inlineStr">
        <is>
          <t>2026-08-06</t>
        </is>
      </c>
      <c r="B28326" s="8" t="n">
        <v>1</v>
      </c>
      <c r="C28326" s="8" t="n">
        <v>42</v>
      </c>
      <c r="D28326" s="8" t="inlineStr">
        <is>
          <t>Disney Adventure World</t>
        </is>
      </c>
      <c r="E28326" s="8" t="inlineStr">
        <is>
          <t>Ratatouille : L’Aventure Totalement Toquée de Rémy​</t>
        </is>
      </c>
      <c r="F28326" s="8" t="inlineStr">
        <is>
          <t>STANDBY</t>
        </is>
      </c>
      <c r="G28326" s="8" t="n">
        <v>0</v>
      </c>
      <c r="H28326" s="8" t="inlineStr">
        <is>
          <t>CLOSED</t>
        </is>
      </c>
    </row>
    <row r="28327">
      <c r="A28327" s="8" t="inlineStr">
        <is>
          <t>2026-08-06</t>
        </is>
      </c>
      <c r="B28327" s="8" t="n">
        <v>1</v>
      </c>
      <c r="C28327" s="8" t="n">
        <v>42</v>
      </c>
      <c r="D28327" s="8" t="inlineStr">
        <is>
          <t>Disney Adventure World</t>
        </is>
      </c>
      <c r="E28327" s="8" t="inlineStr">
        <is>
          <t>Ratatouille: The Adventure Single Rider</t>
        </is>
      </c>
      <c r="F28327" s="8" t="inlineStr">
        <is>
          <t>STANDBY</t>
        </is>
      </c>
      <c r="G28327" s="8" t="n">
        <v>0</v>
      </c>
      <c r="H28327" s="8" t="inlineStr">
        <is>
          <t>CLOSED</t>
        </is>
      </c>
    </row>
    <row r="28328">
      <c r="A28328" s="8" t="inlineStr">
        <is>
          <t>2026-08-06</t>
        </is>
      </c>
      <c r="B28328" s="8" t="n">
        <v>1</v>
      </c>
      <c r="C28328" s="8" t="n">
        <v>42</v>
      </c>
      <c r="D28328" s="8" t="inlineStr">
        <is>
          <t>Disney Adventure World</t>
        </is>
      </c>
      <c r="E28328" s="8" t="inlineStr">
        <is>
          <t>RC Racer</t>
        </is>
      </c>
      <c r="F28328" s="8" t="inlineStr">
        <is>
          <t>STANDBY</t>
        </is>
      </c>
      <c r="G28328" s="8" t="n">
        <v>0</v>
      </c>
      <c r="H28328" s="8" t="inlineStr">
        <is>
          <t>CLOSED</t>
        </is>
      </c>
    </row>
    <row r="28329">
      <c r="A28329" s="8" t="inlineStr">
        <is>
          <t>2026-08-06</t>
        </is>
      </c>
      <c r="B28329" s="8" t="n">
        <v>1</v>
      </c>
      <c r="C28329" s="8" t="n">
        <v>42</v>
      </c>
      <c r="D28329" s="8" t="inlineStr">
        <is>
          <t>Disney Adventure World</t>
        </is>
      </c>
      <c r="E28329" s="8" t="inlineStr">
        <is>
          <t>RC Racer Single Rider</t>
        </is>
      </c>
      <c r="F28329" s="8" t="inlineStr">
        <is>
          <t>STANDBY</t>
        </is>
      </c>
      <c r="G28329" s="8" t="n">
        <v>0</v>
      </c>
      <c r="H28329" s="8" t="inlineStr">
        <is>
          <t>CLOSED</t>
        </is>
      </c>
    </row>
    <row r="28330">
      <c r="A28330" s="8" t="inlineStr">
        <is>
          <t>2026-08-06</t>
        </is>
      </c>
      <c r="B28330" s="8" t="n">
        <v>1</v>
      </c>
      <c r="C28330" s="8" t="n">
        <v>42</v>
      </c>
      <c r="D28330" s="8" t="inlineStr">
        <is>
          <t>Disney Adventure World</t>
        </is>
      </c>
      <c r="E28330" s="8" t="inlineStr">
        <is>
          <t>Slinky® Dog Zigzag Spin</t>
        </is>
      </c>
      <c r="F28330" s="8" t="inlineStr">
        <is>
          <t>STANDBY</t>
        </is>
      </c>
      <c r="G28330" s="8" t="n">
        <v>0</v>
      </c>
      <c r="H28330" s="8" t="inlineStr">
        <is>
          <t>CLOSED</t>
        </is>
      </c>
    </row>
    <row r="28331">
      <c r="A28331" s="8" t="inlineStr">
        <is>
          <t>2026-08-06</t>
        </is>
      </c>
      <c r="B28331" s="8" t="n">
        <v>1</v>
      </c>
      <c r="C28331" s="8" t="n">
        <v>42</v>
      </c>
      <c r="D28331" s="8" t="inlineStr">
        <is>
          <t>Disney Adventure World</t>
        </is>
      </c>
      <c r="E28331" s="8" t="inlineStr">
        <is>
          <t>Toy Soldiers Parachute Drop</t>
        </is>
      </c>
      <c r="F28331" s="8" t="inlineStr">
        <is>
          <t>STANDBY</t>
        </is>
      </c>
      <c r="G28331" s="8" t="n">
        <v>0</v>
      </c>
      <c r="H28331" s="8" t="inlineStr">
        <is>
          <t>CLOSED</t>
        </is>
      </c>
    </row>
    <row r="28332">
      <c r="A28332" s="8" t="inlineStr">
        <is>
          <t>2026-08-06</t>
        </is>
      </c>
      <c r="B28332" s="8" t="n">
        <v>1</v>
      </c>
      <c r="C28332" s="8" t="n">
        <v>42</v>
      </c>
      <c r="D28332" s="8" t="inlineStr">
        <is>
          <t>Disney Adventure World</t>
        </is>
      </c>
      <c r="E28332" s="8" t="inlineStr">
        <is>
          <t>Toy Soldiers Parachute Drop Single Rider</t>
        </is>
      </c>
      <c r="F28332" s="8" t="inlineStr">
        <is>
          <t>STANDBY</t>
        </is>
      </c>
      <c r="G28332" s="8" t="n">
        <v>0</v>
      </c>
      <c r="H28332" s="8" t="inlineStr">
        <is>
          <t>CLOSED</t>
        </is>
      </c>
    </row>
    <row r="28333">
      <c r="A28333" s="8" t="inlineStr">
        <is>
          <t>2026-08-06</t>
        </is>
      </c>
      <c r="B28333" s="8" t="n">
        <v>1</v>
      </c>
      <c r="C28333" s="8" t="n">
        <v>42</v>
      </c>
      <c r="D28333" s="8" t="inlineStr">
        <is>
          <t>Disney Adventure World</t>
        </is>
      </c>
      <c r="E28333" s="8" t="inlineStr">
        <is>
          <t>Entry to World of Frozen</t>
        </is>
      </c>
      <c r="F28333" s="8" t="inlineStr">
        <is>
          <t>STANDBY</t>
        </is>
      </c>
      <c r="G28333" s="8" t="n">
        <v>0</v>
      </c>
      <c r="H28333" s="8" t="inlineStr">
        <is>
          <t>CLOSED</t>
        </is>
      </c>
    </row>
    <row r="28334">
      <c r="A28334" s="8" t="inlineStr">
        <is>
          <t>2026-08-06</t>
        </is>
      </c>
      <c r="B28334" s="8" t="n">
        <v>1</v>
      </c>
      <c r="C28334" s="8" t="n">
        <v>42</v>
      </c>
      <c r="D28334" s="8" t="inlineStr">
        <is>
          <t>Disney Adventure World</t>
        </is>
      </c>
      <c r="E28334" s="8" t="inlineStr">
        <is>
          <t>Frozen Ever After</t>
        </is>
      </c>
      <c r="F28334" s="8" t="inlineStr">
        <is>
          <t>STANDBY</t>
        </is>
      </c>
      <c r="G28334" s="8" t="n">
        <v>0</v>
      </c>
      <c r="H28334" s="8" t="inlineStr">
        <is>
          <t>CLOSED</t>
        </is>
      </c>
    </row>
    <row r="28335">
      <c r="A28335" s="8" t="inlineStr">
        <is>
          <t>2026-08-06</t>
        </is>
      </c>
      <c r="B28335" s="8" t="n">
        <v>1</v>
      </c>
      <c r="C28335" s="8" t="n">
        <v>42</v>
      </c>
      <c r="D28335" s="8" t="inlineStr">
        <is>
          <t>Disney Adventure World</t>
        </is>
      </c>
      <c r="E28335" s="8" t="inlineStr">
        <is>
          <t>Raiponce Tangled Spin</t>
        </is>
      </c>
      <c r="F28335" s="8" t="inlineStr">
        <is>
          <t>STANDBY</t>
        </is>
      </c>
      <c r="G28335" s="8" t="n">
        <v>0</v>
      </c>
      <c r="H28335" s="8" t="inlineStr">
        <is>
          <t>CLOSED</t>
        </is>
      </c>
    </row>
    <row r="28336">
      <c r="A28336" s="8" t="inlineStr">
        <is>
          <t>2026-08-06</t>
        </is>
      </c>
      <c r="B28336" s="8" t="n">
        <v>1</v>
      </c>
      <c r="C28336" s="8" t="n">
        <v>45</v>
      </c>
      <c r="D28336" s="8" t="inlineStr">
        <is>
          <t>Disneyland Park</t>
        </is>
      </c>
      <c r="E28336" s="8" t="inlineStr">
        <is>
          <t>Adventure Isle</t>
        </is>
      </c>
      <c r="F28336" s="8" t="inlineStr">
        <is>
          <t>STANDBY</t>
        </is>
      </c>
      <c r="G28336" s="8" t="n">
        <v>0</v>
      </c>
      <c r="H28336" s="8" t="inlineStr">
        <is>
          <t>CLOSED</t>
        </is>
      </c>
    </row>
    <row r="28337">
      <c r="A28337" s="8" t="inlineStr">
        <is>
          <t>2026-08-06</t>
        </is>
      </c>
      <c r="B28337" s="8" t="n">
        <v>1</v>
      </c>
      <c r="C28337" s="8" t="n">
        <v>45</v>
      </c>
      <c r="D28337" s="8" t="inlineStr">
        <is>
          <t>Disneyland Park</t>
        </is>
      </c>
      <c r="E28337" s="8" t="inlineStr">
        <is>
          <t>Indiana Jones and the Temple of Peril Single Rider</t>
        </is>
      </c>
      <c r="F28337" s="8" t="inlineStr">
        <is>
          <t>STANDBY</t>
        </is>
      </c>
      <c r="G28337" s="8" t="n">
        <v>0</v>
      </c>
      <c r="H28337" s="8" t="inlineStr">
        <is>
          <t>CLOSED</t>
        </is>
      </c>
    </row>
    <row r="28338">
      <c r="A28338" s="8" t="inlineStr">
        <is>
          <t>2026-08-06</t>
        </is>
      </c>
      <c r="B28338" s="8" t="n">
        <v>1</v>
      </c>
      <c r="C28338" s="8" t="n">
        <v>45</v>
      </c>
      <c r="D28338" s="8" t="inlineStr">
        <is>
          <t>Disneyland Park</t>
        </is>
      </c>
      <c r="E28338" s="8" t="inlineStr">
        <is>
          <t>Indiana Jones™ and the Temple of Peril</t>
        </is>
      </c>
      <c r="F28338" s="8" t="inlineStr">
        <is>
          <t>STANDBY</t>
        </is>
      </c>
      <c r="G28338" s="8" t="n">
        <v>0</v>
      </c>
      <c r="H28338" s="8" t="inlineStr">
        <is>
          <t>CLOSED</t>
        </is>
      </c>
    </row>
    <row r="28339">
      <c r="A28339" s="8" t="inlineStr">
        <is>
          <t>2026-08-06</t>
        </is>
      </c>
      <c r="B28339" s="8" t="n">
        <v>1</v>
      </c>
      <c r="C28339" s="8" t="n">
        <v>45</v>
      </c>
      <c r="D28339" s="8" t="inlineStr">
        <is>
          <t>Disneyland Park</t>
        </is>
      </c>
      <c r="E28339" s="8" t="inlineStr">
        <is>
          <t>La Cabane des Robinson</t>
        </is>
      </c>
      <c r="F28339" s="8" t="inlineStr">
        <is>
          <t>STANDBY</t>
        </is>
      </c>
      <c r="G28339" s="8" t="n">
        <v>0</v>
      </c>
      <c r="H28339" s="8" t="inlineStr">
        <is>
          <t>CLOSED</t>
        </is>
      </c>
    </row>
    <row r="28340">
      <c r="A28340" s="8" t="inlineStr">
        <is>
          <t>2026-08-06</t>
        </is>
      </c>
      <c r="B28340" s="8" t="n">
        <v>1</v>
      </c>
      <c r="C28340" s="8" t="n">
        <v>45</v>
      </c>
      <c r="D28340" s="8" t="inlineStr">
        <is>
          <t>Disneyland Park</t>
        </is>
      </c>
      <c r="E28340" s="8" t="inlineStr">
        <is>
          <t>Le Passage Enchanté d'Aladdin</t>
        </is>
      </c>
      <c r="F28340" s="8" t="inlineStr">
        <is>
          <t>STANDBY</t>
        </is>
      </c>
      <c r="G28340" s="8" t="n">
        <v>0</v>
      </c>
      <c r="H28340" s="8" t="inlineStr">
        <is>
          <t>CLOSED</t>
        </is>
      </c>
    </row>
    <row r="28341">
      <c r="A28341" s="8" t="inlineStr">
        <is>
          <t>2026-08-06</t>
        </is>
      </c>
      <c r="B28341" s="8" t="n">
        <v>1</v>
      </c>
      <c r="C28341" s="8" t="n">
        <v>45</v>
      </c>
      <c r="D28341" s="8" t="inlineStr">
        <is>
          <t>Disneyland Park</t>
        </is>
      </c>
      <c r="E28341" s="8" t="inlineStr">
        <is>
          <t>Pirate Galleon</t>
        </is>
      </c>
      <c r="F28341" s="8" t="inlineStr">
        <is>
          <t>STANDBY</t>
        </is>
      </c>
      <c r="G28341" s="8" t="n">
        <v>0</v>
      </c>
      <c r="H28341" s="8" t="inlineStr">
        <is>
          <t>CLOSED</t>
        </is>
      </c>
    </row>
    <row r="28342">
      <c r="A28342" s="8" t="inlineStr">
        <is>
          <t>2026-08-06</t>
        </is>
      </c>
      <c r="B28342" s="8" t="n">
        <v>1</v>
      </c>
      <c r="C28342" s="8" t="n">
        <v>45</v>
      </c>
      <c r="D28342" s="8" t="inlineStr">
        <is>
          <t>Disneyland Park</t>
        </is>
      </c>
      <c r="E28342" s="8" t="inlineStr">
        <is>
          <t>Pirates of the Caribbean</t>
        </is>
      </c>
      <c r="F28342" s="8" t="inlineStr">
        <is>
          <t>STANDBY</t>
        </is>
      </c>
      <c r="G28342" s="8" t="n">
        <v>0</v>
      </c>
      <c r="H28342" s="8" t="inlineStr">
        <is>
          <t>CLOSED</t>
        </is>
      </c>
    </row>
    <row r="28343">
      <c r="A28343" s="8" t="inlineStr">
        <is>
          <t>2026-08-06</t>
        </is>
      </c>
      <c r="B28343" s="8" t="n">
        <v>1</v>
      </c>
      <c r="C28343" s="8" t="n">
        <v>45</v>
      </c>
      <c r="D28343" s="8" t="inlineStr">
        <is>
          <t>Disneyland Park</t>
        </is>
      </c>
      <c r="E28343" s="8" t="inlineStr">
        <is>
          <t>Pirates' Beach</t>
        </is>
      </c>
      <c r="F28343" s="8" t="inlineStr">
        <is>
          <t>STANDBY</t>
        </is>
      </c>
      <c r="G28343" s="8" t="n">
        <v>0</v>
      </c>
      <c r="H28343" s="8" t="inlineStr">
        <is>
          <t>CLOSED</t>
        </is>
      </c>
    </row>
    <row r="28344">
      <c r="A28344" s="8" t="inlineStr">
        <is>
          <t>2026-08-06</t>
        </is>
      </c>
      <c r="B28344" s="8" t="n">
        <v>1</v>
      </c>
      <c r="C28344" s="8" t="n">
        <v>45</v>
      </c>
      <c r="D28344" s="8" t="inlineStr">
        <is>
          <t>Disneyland Park</t>
        </is>
      </c>
      <c r="E28344" s="8" t="inlineStr">
        <is>
          <t>Autopia, presented by Avis</t>
        </is>
      </c>
      <c r="F28344" s="8" t="inlineStr">
        <is>
          <t>STANDBY</t>
        </is>
      </c>
      <c r="G28344" s="8" t="n">
        <v>0</v>
      </c>
      <c r="H28344" s="8" t="inlineStr">
        <is>
          <t>CLOSED</t>
        </is>
      </c>
    </row>
    <row r="28345">
      <c r="A28345" s="8" t="inlineStr">
        <is>
          <t>2026-08-06</t>
        </is>
      </c>
      <c r="B28345" s="8" t="n">
        <v>1</v>
      </c>
      <c r="C28345" s="8" t="n">
        <v>45</v>
      </c>
      <c r="D28345" s="8" t="inlineStr">
        <is>
          <t>Disneyland Park</t>
        </is>
      </c>
      <c r="E28345" s="8" t="inlineStr">
        <is>
          <t>Buzz Lightyear Laser Blast</t>
        </is>
      </c>
      <c r="F28345" s="8" t="inlineStr">
        <is>
          <t>STANDBY</t>
        </is>
      </c>
      <c r="G28345" s="8" t="n">
        <v>0</v>
      </c>
      <c r="H28345" s="8" t="inlineStr">
        <is>
          <t>CLOSED</t>
        </is>
      </c>
    </row>
    <row r="28346">
      <c r="A28346" s="8" t="inlineStr">
        <is>
          <t>2026-08-06</t>
        </is>
      </c>
      <c r="B28346" s="8" t="n">
        <v>1</v>
      </c>
      <c r="C28346" s="8" t="n">
        <v>45</v>
      </c>
      <c r="D28346" s="8" t="inlineStr">
        <is>
          <t>Disneyland Park</t>
        </is>
      </c>
      <c r="E28346" s="8" t="inlineStr">
        <is>
          <t>Disneyland Railroad Discoveryland Station</t>
        </is>
      </c>
      <c r="F28346" s="8" t="inlineStr">
        <is>
          <t>STANDBY</t>
        </is>
      </c>
      <c r="G28346" s="8" t="n">
        <v>0</v>
      </c>
      <c r="H28346" s="8" t="inlineStr">
        <is>
          <t>CLOSED</t>
        </is>
      </c>
    </row>
    <row r="28347">
      <c r="A28347" s="8" t="inlineStr">
        <is>
          <t>2026-08-06</t>
        </is>
      </c>
      <c r="B28347" s="8" t="n">
        <v>1</v>
      </c>
      <c r="C28347" s="8" t="n">
        <v>45</v>
      </c>
      <c r="D28347" s="8" t="inlineStr">
        <is>
          <t>Disneyland Park</t>
        </is>
      </c>
      <c r="E28347" s="8" t="inlineStr">
        <is>
          <t>Les Mystères du Nautilus</t>
        </is>
      </c>
      <c r="F28347" s="8" t="inlineStr">
        <is>
          <t>STANDBY</t>
        </is>
      </c>
      <c r="G28347" s="8" t="n">
        <v>0</v>
      </c>
      <c r="H28347" s="8" t="inlineStr">
        <is>
          <t>CLOSED</t>
        </is>
      </c>
    </row>
    <row r="28348">
      <c r="A28348" s="8" t="inlineStr">
        <is>
          <t>2026-08-06</t>
        </is>
      </c>
      <c r="B28348" s="8" t="n">
        <v>1</v>
      </c>
      <c r="C28348" s="8" t="n">
        <v>45</v>
      </c>
      <c r="D28348" s="8" t="inlineStr">
        <is>
          <t>Disneyland Park</t>
        </is>
      </c>
      <c r="E28348" s="8" t="inlineStr">
        <is>
          <t>Mickey’s PhilharMagic</t>
        </is>
      </c>
      <c r="F28348" s="8" t="inlineStr">
        <is>
          <t>STANDBY</t>
        </is>
      </c>
      <c r="G28348" s="8" t="n">
        <v>0</v>
      </c>
      <c r="H28348" s="8" t="inlineStr">
        <is>
          <t>CLOSED</t>
        </is>
      </c>
    </row>
    <row r="28349">
      <c r="A28349" s="8" t="inlineStr">
        <is>
          <t>2026-08-06</t>
        </is>
      </c>
      <c r="B28349" s="8" t="n">
        <v>1</v>
      </c>
      <c r="C28349" s="8" t="n">
        <v>45</v>
      </c>
      <c r="D28349" s="8" t="inlineStr">
        <is>
          <t>Disneyland Park</t>
        </is>
      </c>
      <c r="E28349" s="8" t="inlineStr">
        <is>
          <t>Orbitron®</t>
        </is>
      </c>
      <c r="F28349" s="8" t="inlineStr">
        <is>
          <t>STANDBY</t>
        </is>
      </c>
      <c r="G28349" s="8" t="n">
        <v>0</v>
      </c>
      <c r="H28349" s="8" t="inlineStr">
        <is>
          <t>CLOSED</t>
        </is>
      </c>
    </row>
    <row r="28350">
      <c r="A28350" s="8" t="inlineStr">
        <is>
          <t>2026-08-06</t>
        </is>
      </c>
      <c r="B28350" s="8" t="n">
        <v>1</v>
      </c>
      <c r="C28350" s="8" t="n">
        <v>45</v>
      </c>
      <c r="D28350" s="8" t="inlineStr">
        <is>
          <t>Disneyland Park</t>
        </is>
      </c>
      <c r="E28350" s="8" t="inlineStr">
        <is>
          <t>Star Tours: The Adventures Continue*</t>
        </is>
      </c>
      <c r="F28350" s="8" t="inlineStr">
        <is>
          <t>STANDBY</t>
        </is>
      </c>
      <c r="G28350" s="8" t="n">
        <v>0</v>
      </c>
      <c r="H28350" s="8" t="inlineStr">
        <is>
          <t>CLOSED</t>
        </is>
      </c>
    </row>
    <row r="28351">
      <c r="A28351" s="8" t="inlineStr">
        <is>
          <t>2026-08-06</t>
        </is>
      </c>
      <c r="B28351" s="8" t="n">
        <v>1</v>
      </c>
      <c r="C28351" s="8" t="n">
        <v>45</v>
      </c>
      <c r="D28351" s="8" t="inlineStr">
        <is>
          <t>Disneyland Park</t>
        </is>
      </c>
      <c r="E28351" s="8" t="inlineStr">
        <is>
          <t>Star Wars Hyperspace Mountain</t>
        </is>
      </c>
      <c r="F28351" s="8" t="inlineStr">
        <is>
          <t>STANDBY</t>
        </is>
      </c>
      <c r="G28351" s="8" t="n">
        <v>0</v>
      </c>
      <c r="H28351" s="8" t="inlineStr">
        <is>
          <t>CLOSED</t>
        </is>
      </c>
    </row>
    <row r="28352">
      <c r="A28352" s="8" t="inlineStr">
        <is>
          <t>2026-08-06</t>
        </is>
      </c>
      <c r="B28352" s="8" t="n">
        <v>1</v>
      </c>
      <c r="C28352" s="8" t="n">
        <v>45</v>
      </c>
      <c r="D28352" s="8" t="inlineStr">
        <is>
          <t>Disneyland Park</t>
        </is>
      </c>
      <c r="E28352" s="8" t="inlineStr">
        <is>
          <t>Star Wars Hyperspace Mountain Single Rider</t>
        </is>
      </c>
      <c r="F28352" s="8" t="inlineStr">
        <is>
          <t>STANDBY</t>
        </is>
      </c>
      <c r="G28352" s="8" t="n">
        <v>0</v>
      </c>
      <c r="H28352" s="8" t="inlineStr">
        <is>
          <t>CLOSED</t>
        </is>
      </c>
    </row>
    <row r="28353">
      <c r="A28353" s="8" t="inlineStr">
        <is>
          <t>2026-08-06</t>
        </is>
      </c>
      <c r="B28353" s="8" t="n">
        <v>1</v>
      </c>
      <c r="C28353" s="8" t="n">
        <v>45</v>
      </c>
      <c r="D28353" s="8" t="inlineStr">
        <is>
          <t>Disneyland Park</t>
        </is>
      </c>
      <c r="E28353" s="8" t="inlineStr">
        <is>
          <t>Welcome to Starport: A Star Wars Encounter</t>
        </is>
      </c>
      <c r="F28353" s="8" t="inlineStr">
        <is>
          <t>STANDBY</t>
        </is>
      </c>
      <c r="G28353" s="8" t="n">
        <v>0</v>
      </c>
      <c r="H28353" s="8" t="inlineStr">
        <is>
          <t>CLOSED</t>
        </is>
      </c>
    </row>
    <row r="28354">
      <c r="A28354" s="8" t="inlineStr">
        <is>
          <t>2026-08-06</t>
        </is>
      </c>
      <c r="B28354" s="8" t="n">
        <v>1</v>
      </c>
      <c r="C28354" s="8" t="n">
        <v>45</v>
      </c>
      <c r="D28354" s="8" t="inlineStr">
        <is>
          <t>Disneyland Park</t>
        </is>
      </c>
      <c r="E28354" s="8" t="inlineStr">
        <is>
          <t>"it's a small world"</t>
        </is>
      </c>
      <c r="F28354" s="8" t="inlineStr">
        <is>
          <t>STANDBY</t>
        </is>
      </c>
      <c r="G28354" s="8" t="n">
        <v>0</v>
      </c>
      <c r="H28354" s="8" t="inlineStr">
        <is>
          <t>CLOSED</t>
        </is>
      </c>
    </row>
    <row r="28355">
      <c r="A28355" s="8" t="inlineStr">
        <is>
          <t>2026-08-06</t>
        </is>
      </c>
      <c r="B28355" s="8" t="n">
        <v>1</v>
      </c>
      <c r="C28355" s="8" t="n">
        <v>45</v>
      </c>
      <c r="D28355" s="8" t="inlineStr">
        <is>
          <t>Disneyland Park</t>
        </is>
      </c>
      <c r="E28355" s="8" t="inlineStr">
        <is>
          <t>Alice's Curious Labyrinth</t>
        </is>
      </c>
      <c r="F28355" s="8" t="inlineStr">
        <is>
          <t>STANDBY</t>
        </is>
      </c>
      <c r="G28355" s="8" t="n">
        <v>0</v>
      </c>
      <c r="H28355" s="8" t="inlineStr">
        <is>
          <t>CLOSED</t>
        </is>
      </c>
    </row>
    <row r="28356">
      <c r="A28356" s="8" t="inlineStr">
        <is>
          <t>2026-08-06</t>
        </is>
      </c>
      <c r="B28356" s="8" t="n">
        <v>1</v>
      </c>
      <c r="C28356" s="8" t="n">
        <v>45</v>
      </c>
      <c r="D28356" s="8" t="inlineStr">
        <is>
          <t>Disneyland Park</t>
        </is>
      </c>
      <c r="E28356" s="8" t="inlineStr">
        <is>
          <t>Blanche-Neige et les Sept Nains®</t>
        </is>
      </c>
      <c r="F28356" s="8" t="inlineStr">
        <is>
          <t>STANDBY</t>
        </is>
      </c>
      <c r="G28356" s="8" t="n">
        <v>0</v>
      </c>
      <c r="H28356" s="8" t="inlineStr">
        <is>
          <t>CLOSED</t>
        </is>
      </c>
    </row>
    <row r="28357">
      <c r="A28357" s="8" t="inlineStr">
        <is>
          <t>2026-08-06</t>
        </is>
      </c>
      <c r="B28357" s="8" t="n">
        <v>1</v>
      </c>
      <c r="C28357" s="8" t="n">
        <v>45</v>
      </c>
      <c r="D28357" s="8" t="inlineStr">
        <is>
          <t>Disneyland Park</t>
        </is>
      </c>
      <c r="E28357" s="8" t="inlineStr">
        <is>
          <t>Casey Jr. – le Petit Train du Cirque</t>
        </is>
      </c>
      <c r="F28357" s="8" t="inlineStr">
        <is>
          <t>STANDBY</t>
        </is>
      </c>
      <c r="G28357" s="8" t="n">
        <v>0</v>
      </c>
      <c r="H28357" s="8" t="inlineStr">
        <is>
          <t>CLOSED</t>
        </is>
      </c>
    </row>
    <row r="28358">
      <c r="A28358" s="8" t="inlineStr">
        <is>
          <t>2026-08-06</t>
        </is>
      </c>
      <c r="B28358" s="8" t="n">
        <v>1</v>
      </c>
      <c r="C28358" s="8" t="n">
        <v>45</v>
      </c>
      <c r="D28358" s="8" t="inlineStr">
        <is>
          <t>Disneyland Park</t>
        </is>
      </c>
      <c r="E28358" s="8" t="inlineStr">
        <is>
          <t>Disneyland Railroad Fantasyland Station</t>
        </is>
      </c>
      <c r="F28358" s="8" t="inlineStr">
        <is>
          <t>STANDBY</t>
        </is>
      </c>
      <c r="G28358" s="8" t="n">
        <v>0</v>
      </c>
      <c r="H28358" s="8" t="inlineStr">
        <is>
          <t>CLOSED</t>
        </is>
      </c>
    </row>
    <row r="28359">
      <c r="A28359" s="8" t="inlineStr">
        <is>
          <t>2026-08-06</t>
        </is>
      </c>
      <c r="B28359" s="8" t="n">
        <v>1</v>
      </c>
      <c r="C28359" s="8" t="n">
        <v>45</v>
      </c>
      <c r="D28359" s="8" t="inlineStr">
        <is>
          <t>Disneyland Park</t>
        </is>
      </c>
      <c r="E28359" s="8" t="inlineStr">
        <is>
          <t>Disneyland Railroad Main Street Station</t>
        </is>
      </c>
      <c r="F28359" s="8" t="inlineStr">
        <is>
          <t>STANDBY</t>
        </is>
      </c>
      <c r="G28359" s="8" t="n">
        <v>0</v>
      </c>
      <c r="H28359" s="8" t="inlineStr">
        <is>
          <t>CLOSED</t>
        </is>
      </c>
    </row>
    <row r="28360">
      <c r="A28360" s="8" t="inlineStr">
        <is>
          <t>2026-08-06</t>
        </is>
      </c>
      <c r="B28360" s="8" t="n">
        <v>1</v>
      </c>
      <c r="C28360" s="8" t="n">
        <v>45</v>
      </c>
      <c r="D28360" s="8" t="inlineStr">
        <is>
          <t>Disneyland Park</t>
        </is>
      </c>
      <c r="E28360" s="8" t="inlineStr">
        <is>
          <t>Dumbo the Flying Elephant</t>
        </is>
      </c>
      <c r="F28360" s="8" t="inlineStr">
        <is>
          <t>STANDBY</t>
        </is>
      </c>
      <c r="G28360" s="8" t="n">
        <v>0</v>
      </c>
      <c r="H28360" s="8" t="inlineStr">
        <is>
          <t>CLOSED</t>
        </is>
      </c>
    </row>
    <row r="28361">
      <c r="A28361" s="8" t="inlineStr">
        <is>
          <t>2026-08-06</t>
        </is>
      </c>
      <c r="B28361" s="8" t="n">
        <v>1</v>
      </c>
      <c r="C28361" s="8" t="n">
        <v>45</v>
      </c>
      <c r="D28361" s="8" t="inlineStr">
        <is>
          <t>Disneyland Park</t>
        </is>
      </c>
      <c r="E28361" s="8" t="inlineStr">
        <is>
          <t>La Tanière du Dragon</t>
        </is>
      </c>
      <c r="F28361" s="8" t="inlineStr">
        <is>
          <t>STANDBY</t>
        </is>
      </c>
      <c r="G28361" s="8" t="n">
        <v>0</v>
      </c>
      <c r="H28361" s="8" t="inlineStr">
        <is>
          <t>CLOSED</t>
        </is>
      </c>
    </row>
    <row r="28362">
      <c r="A28362" s="8" t="inlineStr">
        <is>
          <t>2026-08-06</t>
        </is>
      </c>
      <c r="B28362" s="8" t="n">
        <v>1</v>
      </c>
      <c r="C28362" s="8" t="n">
        <v>45</v>
      </c>
      <c r="D28362" s="8" t="inlineStr">
        <is>
          <t>Disneyland Park</t>
        </is>
      </c>
      <c r="E28362" s="8" t="inlineStr">
        <is>
          <t>Le Carrousel de Lancelot</t>
        </is>
      </c>
      <c r="F28362" s="8" t="inlineStr">
        <is>
          <t>STANDBY</t>
        </is>
      </c>
      <c r="G28362" s="8" t="n">
        <v>0</v>
      </c>
      <c r="H28362" s="8" t="inlineStr">
        <is>
          <t>CLOSED</t>
        </is>
      </c>
    </row>
    <row r="28363">
      <c r="A28363" s="8" t="inlineStr">
        <is>
          <t>2026-08-06</t>
        </is>
      </c>
      <c r="B28363" s="8" t="n">
        <v>1</v>
      </c>
      <c r="C28363" s="8" t="n">
        <v>45</v>
      </c>
      <c r="D28363" s="8" t="inlineStr">
        <is>
          <t>Disneyland Park</t>
        </is>
      </c>
      <c r="E28363" s="8" t="inlineStr">
        <is>
          <t>Le Pays des Contes de Fées, presented by Vittel</t>
        </is>
      </c>
      <c r="F28363" s="8" t="inlineStr">
        <is>
          <t>STANDBY</t>
        </is>
      </c>
      <c r="G28363" s="8" t="n">
        <v>0</v>
      </c>
      <c r="H28363" s="8" t="inlineStr">
        <is>
          <t>CLOSED</t>
        </is>
      </c>
    </row>
    <row r="28364">
      <c r="A28364" s="8" t="inlineStr">
        <is>
          <t>2026-08-06</t>
        </is>
      </c>
      <c r="B28364" s="8" t="n">
        <v>1</v>
      </c>
      <c r="C28364" s="8" t="n">
        <v>45</v>
      </c>
      <c r="D28364" s="8" t="inlineStr">
        <is>
          <t>Disneyland Park</t>
        </is>
      </c>
      <c r="E28364" s="8" t="inlineStr">
        <is>
          <t>Les Voyages de Pinocchio</t>
        </is>
      </c>
      <c r="F28364" s="8" t="inlineStr">
        <is>
          <t>STANDBY</t>
        </is>
      </c>
      <c r="G28364" s="8" t="n">
        <v>0</v>
      </c>
      <c r="H28364" s="8" t="inlineStr">
        <is>
          <t>CLOSED</t>
        </is>
      </c>
    </row>
    <row r="28365">
      <c r="A28365" s="8" t="inlineStr">
        <is>
          <t>2026-08-06</t>
        </is>
      </c>
      <c r="B28365" s="8" t="n">
        <v>1</v>
      </c>
      <c r="C28365" s="8" t="n">
        <v>45</v>
      </c>
      <c r="D28365" s="8" t="inlineStr">
        <is>
          <t>Disneyland Park</t>
        </is>
      </c>
      <c r="E28365" s="8" t="inlineStr">
        <is>
          <t>Mad Hatter's Tea Cups</t>
        </is>
      </c>
      <c r="F28365" s="8" t="inlineStr">
        <is>
          <t>STANDBY</t>
        </is>
      </c>
      <c r="G28365" s="8" t="n">
        <v>0</v>
      </c>
      <c r="H28365" s="8" t="inlineStr">
        <is>
          <t>CLOSED</t>
        </is>
      </c>
    </row>
    <row r="28366">
      <c r="A28366" s="8" t="inlineStr">
        <is>
          <t>2026-08-06</t>
        </is>
      </c>
      <c r="B28366" s="8" t="n">
        <v>1</v>
      </c>
      <c r="C28366" s="8" t="n">
        <v>45</v>
      </c>
      <c r="D28366" s="8" t="inlineStr">
        <is>
          <t>Disneyland Park</t>
        </is>
      </c>
      <c r="E28366" s="8" t="inlineStr">
        <is>
          <t>Meet Mickey Mouse</t>
        </is>
      </c>
      <c r="F28366" s="8" t="inlineStr">
        <is>
          <t>STANDBY</t>
        </is>
      </c>
      <c r="G28366" s="8" t="n">
        <v>0</v>
      </c>
      <c r="H28366" s="8" t="inlineStr">
        <is>
          <t>CLOSED</t>
        </is>
      </c>
    </row>
    <row r="28367">
      <c r="A28367" s="8" t="inlineStr">
        <is>
          <t>2026-08-06</t>
        </is>
      </c>
      <c r="B28367" s="8" t="n">
        <v>1</v>
      </c>
      <c r="C28367" s="8" t="n">
        <v>45</v>
      </c>
      <c r="D28367" s="8" t="inlineStr">
        <is>
          <t>Disneyland Park</t>
        </is>
      </c>
      <c r="E28367" s="8" t="inlineStr">
        <is>
          <t>Peter Pan's Flight</t>
        </is>
      </c>
      <c r="F28367" s="8" t="inlineStr">
        <is>
          <t>STANDBY</t>
        </is>
      </c>
      <c r="G28367" s="8" t="n">
        <v>0</v>
      </c>
      <c r="H28367" s="8" t="inlineStr">
        <is>
          <t>CLOSED</t>
        </is>
      </c>
    </row>
    <row r="28368">
      <c r="A28368" s="8" t="inlineStr">
        <is>
          <t>2026-08-06</t>
        </is>
      </c>
      <c r="B28368" s="8" t="n">
        <v>1</v>
      </c>
      <c r="C28368" s="8" t="n">
        <v>45</v>
      </c>
      <c r="D28368" s="8" t="inlineStr">
        <is>
          <t>Disneyland Park</t>
        </is>
      </c>
      <c r="E28368" s="8" t="inlineStr">
        <is>
          <t>Princess Pavilion</t>
        </is>
      </c>
      <c r="F28368" s="8" t="inlineStr">
        <is>
          <t>STANDBY</t>
        </is>
      </c>
      <c r="G28368" s="8" t="n">
        <v>0</v>
      </c>
      <c r="H28368" s="8" t="inlineStr">
        <is>
          <t>CLOSED</t>
        </is>
      </c>
    </row>
    <row r="28369">
      <c r="A28369" s="8" t="inlineStr">
        <is>
          <t>2026-08-06</t>
        </is>
      </c>
      <c r="B28369" s="8" t="n">
        <v>1</v>
      </c>
      <c r="C28369" s="8" t="n">
        <v>45</v>
      </c>
      <c r="D28369" s="8" t="inlineStr">
        <is>
          <t>Disneyland Park</t>
        </is>
      </c>
      <c r="E28369" s="8" t="inlineStr">
        <is>
          <t>Big Thunder Mountain</t>
        </is>
      </c>
      <c r="F28369" s="8" t="inlineStr">
        <is>
          <t>STANDBY</t>
        </is>
      </c>
      <c r="G28369" s="8" t="n">
        <v>0</v>
      </c>
      <c r="H28369" s="8" t="inlineStr">
        <is>
          <t>CLOSED</t>
        </is>
      </c>
    </row>
    <row r="28370">
      <c r="A28370" s="8" t="inlineStr">
        <is>
          <t>2026-08-06</t>
        </is>
      </c>
      <c r="B28370" s="8" t="n">
        <v>1</v>
      </c>
      <c r="C28370" s="8" t="n">
        <v>45</v>
      </c>
      <c r="D28370" s="8" t="inlineStr">
        <is>
          <t>Disneyland Park</t>
        </is>
      </c>
      <c r="E28370" s="8" t="inlineStr">
        <is>
          <t>Disneyland Railroad Frontierland Depot</t>
        </is>
      </c>
      <c r="F28370" s="8" t="inlineStr">
        <is>
          <t>STANDBY</t>
        </is>
      </c>
      <c r="G28370" s="8" t="n">
        <v>0</v>
      </c>
      <c r="H28370" s="8" t="inlineStr">
        <is>
          <t>CLOSED</t>
        </is>
      </c>
    </row>
    <row r="28371">
      <c r="A28371" s="8" t="inlineStr">
        <is>
          <t>2026-08-06</t>
        </is>
      </c>
      <c r="B28371" s="8" t="n">
        <v>1</v>
      </c>
      <c r="C28371" s="8" t="n">
        <v>45</v>
      </c>
      <c r="D28371" s="8" t="inlineStr">
        <is>
          <t>Disneyland Park</t>
        </is>
      </c>
      <c r="E28371" s="8" t="inlineStr">
        <is>
          <t>Frontierland Playground</t>
        </is>
      </c>
      <c r="F28371" s="8" t="inlineStr">
        <is>
          <t>STANDBY</t>
        </is>
      </c>
      <c r="G28371" s="8" t="n">
        <v>0</v>
      </c>
      <c r="H28371" s="8" t="inlineStr">
        <is>
          <t>CLOSED</t>
        </is>
      </c>
    </row>
    <row r="28372">
      <c r="A28372" s="8" t="inlineStr">
        <is>
          <t>2026-08-06</t>
        </is>
      </c>
      <c r="B28372" s="8" t="n">
        <v>1</v>
      </c>
      <c r="C28372" s="8" t="n">
        <v>45</v>
      </c>
      <c r="D28372" s="8" t="inlineStr">
        <is>
          <t>Disneyland Park</t>
        </is>
      </c>
      <c r="E28372" s="8" t="inlineStr">
        <is>
          <t>Phantom Manor</t>
        </is>
      </c>
      <c r="F28372" s="8" t="inlineStr">
        <is>
          <t>STANDBY</t>
        </is>
      </c>
      <c r="G28372" s="8" t="n">
        <v>0</v>
      </c>
      <c r="H28372" s="8" t="inlineStr">
        <is>
          <t>CLOSED</t>
        </is>
      </c>
    </row>
    <row r="28373">
      <c r="A28373" s="8" t="inlineStr">
        <is>
          <t>2026-08-06</t>
        </is>
      </c>
      <c r="B28373" s="8" t="n">
        <v>1</v>
      </c>
      <c r="C28373" s="8" t="n">
        <v>45</v>
      </c>
      <c r="D28373" s="8" t="inlineStr">
        <is>
          <t>Disneyland Park</t>
        </is>
      </c>
      <c r="E28373" s="8" t="inlineStr">
        <is>
          <t>River Rogue Keelboats</t>
        </is>
      </c>
      <c r="F28373" s="8" t="inlineStr">
        <is>
          <t>STANDBY</t>
        </is>
      </c>
      <c r="G28373" s="8" t="n">
        <v>0</v>
      </c>
      <c r="H28373" s="8" t="inlineStr">
        <is>
          <t>CLOSED</t>
        </is>
      </c>
    </row>
    <row r="28374">
      <c r="A28374" s="8" t="inlineStr">
        <is>
          <t>2026-08-06</t>
        </is>
      </c>
      <c r="B28374" s="8" t="n">
        <v>1</v>
      </c>
      <c r="C28374" s="8" t="n">
        <v>45</v>
      </c>
      <c r="D28374" s="8" t="inlineStr">
        <is>
          <t>Disneyland Park</t>
        </is>
      </c>
      <c r="E28374" s="8" t="inlineStr">
        <is>
          <t>Rustler Roundup Shootin' Gallery</t>
        </is>
      </c>
      <c r="F28374" s="8" t="inlineStr">
        <is>
          <t>STANDBY</t>
        </is>
      </c>
      <c r="G28374" s="8" t="n">
        <v>0</v>
      </c>
      <c r="H28374" s="8" t="inlineStr">
        <is>
          <t>CLOSED</t>
        </is>
      </c>
    </row>
    <row r="28375">
      <c r="A28375" s="8" t="inlineStr">
        <is>
          <t>2026-08-06</t>
        </is>
      </c>
      <c r="B28375" s="8" t="n">
        <v>1</v>
      </c>
      <c r="C28375" s="8" t="n">
        <v>45</v>
      </c>
      <c r="D28375" s="8" t="inlineStr">
        <is>
          <t>Disneyland Park</t>
        </is>
      </c>
      <c r="E28375" s="8" t="inlineStr">
        <is>
          <t>Thunder Mesa Riverboat Landing</t>
        </is>
      </c>
      <c r="F28375" s="8" t="inlineStr">
        <is>
          <t>STANDBY</t>
        </is>
      </c>
      <c r="G28375" s="8" t="n">
        <v>0</v>
      </c>
      <c r="H28375" s="8" t="inlineStr">
        <is>
          <t>CLOSED</t>
        </is>
      </c>
    </row>
    <row r="28376">
      <c r="A28376" s="8" t="inlineStr">
        <is>
          <t>2026-08-06</t>
        </is>
      </c>
      <c r="B28376" s="8" t="n">
        <v>1</v>
      </c>
      <c r="C28376" s="8" t="n">
        <v>45</v>
      </c>
      <c r="D28376" s="8" t="inlineStr">
        <is>
          <t>Disneyland Park</t>
        </is>
      </c>
      <c r="E28376" s="8" t="inlineStr">
        <is>
          <t>Disneyland Railroad Main Street Station</t>
        </is>
      </c>
      <c r="F28376" s="8" t="inlineStr">
        <is>
          <t>STANDBY</t>
        </is>
      </c>
      <c r="G28376" s="8" t="n">
        <v>0</v>
      </c>
      <c r="H28376" s="8" t="inlineStr">
        <is>
          <t>CLOSED</t>
        </is>
      </c>
    </row>
    <row r="28377">
      <c r="A28377" s="8" t="inlineStr">
        <is>
          <t>2026-08-06</t>
        </is>
      </c>
      <c r="B28377" s="8" t="n">
        <v>1</v>
      </c>
      <c r="C28377" s="8" t="n">
        <v>45</v>
      </c>
      <c r="D28377" s="8" t="inlineStr">
        <is>
          <t>Disneyland Park</t>
        </is>
      </c>
      <c r="E28377" s="8" t="inlineStr">
        <is>
          <t>Main Street Vehicles</t>
        </is>
      </c>
      <c r="F28377" s="8" t="inlineStr">
        <is>
          <t>STANDBY</t>
        </is>
      </c>
      <c r="G28377" s="8" t="n">
        <v>0</v>
      </c>
      <c r="H28377" s="8" t="inlineStr">
        <is>
          <t>CLOSED</t>
        </is>
      </c>
    </row>
    <row r="28378">
      <c r="A28378" s="8" t="inlineStr">
        <is>
          <t>2026-08-06</t>
        </is>
      </c>
      <c r="B28378" s="8" t="n">
        <v>1</v>
      </c>
      <c r="C28378" s="8" t="n">
        <v>45</v>
      </c>
      <c r="D28378" s="8" t="inlineStr">
        <is>
          <t>Disney Adventure World</t>
        </is>
      </c>
      <c r="E28378" s="8" t="inlineStr">
        <is>
          <t>Avengers Assemble: Flight Force</t>
        </is>
      </c>
      <c r="F28378" s="8" t="inlineStr">
        <is>
          <t>STANDBY</t>
        </is>
      </c>
      <c r="G28378" s="8" t="n">
        <v>0</v>
      </c>
      <c r="H28378" s="8" t="inlineStr">
        <is>
          <t>CLOSED</t>
        </is>
      </c>
    </row>
    <row r="28379">
      <c r="A28379" s="8" t="inlineStr">
        <is>
          <t>2026-08-06</t>
        </is>
      </c>
      <c r="B28379" s="8" t="n">
        <v>1</v>
      </c>
      <c r="C28379" s="8" t="n">
        <v>45</v>
      </c>
      <c r="D28379" s="8" t="inlineStr">
        <is>
          <t>Disney Adventure World</t>
        </is>
      </c>
      <c r="E28379" s="8" t="inlineStr">
        <is>
          <t>Avengers Assemble: Flight Force Single Rider</t>
        </is>
      </c>
      <c r="F28379" s="8" t="inlineStr">
        <is>
          <t>STANDBY</t>
        </is>
      </c>
      <c r="G28379" s="8" t="n">
        <v>0</v>
      </c>
      <c r="H28379" s="8" t="inlineStr">
        <is>
          <t>CLOSED</t>
        </is>
      </c>
    </row>
    <row r="28380">
      <c r="A28380" s="8" t="inlineStr">
        <is>
          <t>2026-08-06</t>
        </is>
      </c>
      <c r="B28380" s="8" t="n">
        <v>1</v>
      </c>
      <c r="C28380" s="8" t="n">
        <v>45</v>
      </c>
      <c r="D28380" s="8" t="inlineStr">
        <is>
          <t>Disney Adventure World</t>
        </is>
      </c>
      <c r="E28380" s="8" t="inlineStr">
        <is>
          <t>Spider-Man W.E.B. Adventure</t>
        </is>
      </c>
      <c r="F28380" s="8" t="inlineStr">
        <is>
          <t>STANDBY</t>
        </is>
      </c>
      <c r="G28380" s="8" t="n">
        <v>0</v>
      </c>
      <c r="H28380" s="8" t="inlineStr">
        <is>
          <t>CLOSED</t>
        </is>
      </c>
    </row>
    <row r="28381">
      <c r="A28381" s="8" t="inlineStr">
        <is>
          <t>2026-08-06</t>
        </is>
      </c>
      <c r="B28381" s="8" t="n">
        <v>1</v>
      </c>
      <c r="C28381" s="8" t="n">
        <v>45</v>
      </c>
      <c r="D28381" s="8" t="inlineStr">
        <is>
          <t>Disney Adventure World</t>
        </is>
      </c>
      <c r="E28381" s="8" t="inlineStr">
        <is>
          <t>Spider-Man W.E.B. Adventure Single Rider</t>
        </is>
      </c>
      <c r="F28381" s="8" t="inlineStr">
        <is>
          <t>STANDBY</t>
        </is>
      </c>
      <c r="G28381" s="8" t="n">
        <v>0</v>
      </c>
      <c r="H28381" s="8" t="inlineStr">
        <is>
          <t>CLOSED</t>
        </is>
      </c>
    </row>
    <row r="28382">
      <c r="A28382" s="8" t="inlineStr">
        <is>
          <t>2026-08-06</t>
        </is>
      </c>
      <c r="B28382" s="8" t="n">
        <v>1</v>
      </c>
      <c r="C28382" s="8" t="n">
        <v>45</v>
      </c>
      <c r="D28382" s="8" t="inlineStr">
        <is>
          <t>Disney Adventure World</t>
        </is>
      </c>
      <c r="E28382" s="8" t="inlineStr">
        <is>
          <t>The Twilight Zone Tower of Terror</t>
        </is>
      </c>
      <c r="F28382" s="8" t="inlineStr">
        <is>
          <t>STANDBY</t>
        </is>
      </c>
      <c r="G28382" s="8" t="n">
        <v>0</v>
      </c>
      <c r="H28382" s="8" t="inlineStr">
        <is>
          <t>CLOSED</t>
        </is>
      </c>
    </row>
    <row r="28383">
      <c r="A28383" s="8" t="inlineStr">
        <is>
          <t>2026-08-06</t>
        </is>
      </c>
      <c r="B28383" s="8" t="n">
        <v>1</v>
      </c>
      <c r="C28383" s="8" t="n">
        <v>45</v>
      </c>
      <c r="D28383" s="8" t="inlineStr">
        <is>
          <t>Disney Adventure World</t>
        </is>
      </c>
      <c r="E28383" s="8" t="inlineStr">
        <is>
          <t>Cars Quatre Roues Rallye</t>
        </is>
      </c>
      <c r="F28383" s="8" t="inlineStr">
        <is>
          <t>STANDBY</t>
        </is>
      </c>
      <c r="G28383" s="8" t="n">
        <v>0</v>
      </c>
      <c r="H28383" s="8" t="inlineStr">
        <is>
          <t>CLOSED</t>
        </is>
      </c>
    </row>
    <row r="28384">
      <c r="A28384" s="8" t="inlineStr">
        <is>
          <t>2026-08-06</t>
        </is>
      </c>
      <c r="B28384" s="8" t="n">
        <v>1</v>
      </c>
      <c r="C28384" s="8" t="n">
        <v>45</v>
      </c>
      <c r="D28384" s="8" t="inlineStr">
        <is>
          <t>Disney Adventure World</t>
        </is>
      </c>
      <c r="E28384" s="8" t="inlineStr">
        <is>
          <t>Cars ROAD TRIP</t>
        </is>
      </c>
      <c r="F28384" s="8" t="inlineStr">
        <is>
          <t>STANDBY</t>
        </is>
      </c>
      <c r="G28384" s="8" t="n">
        <v>0</v>
      </c>
      <c r="H28384" s="8" t="inlineStr">
        <is>
          <t>CLOSED</t>
        </is>
      </c>
    </row>
    <row r="28385">
      <c r="A28385" s="8" t="inlineStr">
        <is>
          <t>2026-08-06</t>
        </is>
      </c>
      <c r="B28385" s="8" t="n">
        <v>1</v>
      </c>
      <c r="C28385" s="8" t="n">
        <v>45</v>
      </c>
      <c r="D28385" s="8" t="inlineStr">
        <is>
          <t>Disney Adventure World</t>
        </is>
      </c>
      <c r="E28385" s="8" t="inlineStr">
        <is>
          <t>Crush's Coaster</t>
        </is>
      </c>
      <c r="F28385" s="8" t="inlineStr">
        <is>
          <t>STANDBY</t>
        </is>
      </c>
      <c r="G28385" s="8" t="n">
        <v>0</v>
      </c>
      <c r="H28385" s="8" t="inlineStr">
        <is>
          <t>CLOSED</t>
        </is>
      </c>
    </row>
    <row r="28386">
      <c r="A28386" s="8" t="inlineStr">
        <is>
          <t>2026-08-06</t>
        </is>
      </c>
      <c r="B28386" s="8" t="n">
        <v>1</v>
      </c>
      <c r="C28386" s="8" t="n">
        <v>45</v>
      </c>
      <c r="D28386" s="8" t="inlineStr">
        <is>
          <t>Disney Adventure World</t>
        </is>
      </c>
      <c r="E28386" s="8" t="inlineStr">
        <is>
          <t>Crush's Coaster Single Rider</t>
        </is>
      </c>
      <c r="F28386" s="8" t="inlineStr">
        <is>
          <t>STANDBY</t>
        </is>
      </c>
      <c r="G28386" s="8" t="n">
        <v>0</v>
      </c>
      <c r="H28386" s="8" t="inlineStr">
        <is>
          <t>CLOSED</t>
        </is>
      </c>
    </row>
    <row r="28387">
      <c r="A28387" s="8" t="inlineStr">
        <is>
          <t>2026-08-06</t>
        </is>
      </c>
      <c r="B28387" s="8" t="n">
        <v>1</v>
      </c>
      <c r="C28387" s="8" t="n">
        <v>45</v>
      </c>
      <c r="D28387" s="8" t="inlineStr">
        <is>
          <t>Disney Adventure World</t>
        </is>
      </c>
      <c r="E28387" s="8" t="inlineStr">
        <is>
          <t>Les Tapis Volants - Flying Carpets Over Agrabah®</t>
        </is>
      </c>
      <c r="F28387" s="8" t="inlineStr">
        <is>
          <t>STANDBY</t>
        </is>
      </c>
      <c r="G28387" s="8" t="n">
        <v>0</v>
      </c>
      <c r="H28387" s="8" t="inlineStr">
        <is>
          <t>CLOSED</t>
        </is>
      </c>
    </row>
    <row r="28388">
      <c r="A28388" s="8" t="inlineStr">
        <is>
          <t>2026-08-06</t>
        </is>
      </c>
      <c r="B28388" s="8" t="n">
        <v>1</v>
      </c>
      <c r="C28388" s="8" t="n">
        <v>45</v>
      </c>
      <c r="D28388" s="8" t="inlineStr">
        <is>
          <t>Disney Adventure World</t>
        </is>
      </c>
      <c r="E28388" s="8" t="inlineStr">
        <is>
          <t>Ratatouille : L’Aventure Totalement Toquée de Rémy​</t>
        </is>
      </c>
      <c r="F28388" s="8" t="inlineStr">
        <is>
          <t>STANDBY</t>
        </is>
      </c>
      <c r="G28388" s="8" t="n">
        <v>0</v>
      </c>
      <c r="H28388" s="8" t="inlineStr">
        <is>
          <t>CLOSED</t>
        </is>
      </c>
    </row>
    <row r="28389">
      <c r="A28389" s="8" t="inlineStr">
        <is>
          <t>2026-08-06</t>
        </is>
      </c>
      <c r="B28389" s="8" t="n">
        <v>1</v>
      </c>
      <c r="C28389" s="8" t="n">
        <v>45</v>
      </c>
      <c r="D28389" s="8" t="inlineStr">
        <is>
          <t>Disney Adventure World</t>
        </is>
      </c>
      <c r="E28389" s="8" t="inlineStr">
        <is>
          <t>Ratatouille: The Adventure Single Rider</t>
        </is>
      </c>
      <c r="F28389" s="8" t="inlineStr">
        <is>
          <t>STANDBY</t>
        </is>
      </c>
      <c r="G28389" s="8" t="n">
        <v>0</v>
      </c>
      <c r="H28389" s="8" t="inlineStr">
        <is>
          <t>CLOSED</t>
        </is>
      </c>
    </row>
    <row r="28390">
      <c r="A28390" s="8" t="inlineStr">
        <is>
          <t>2026-08-06</t>
        </is>
      </c>
      <c r="B28390" s="8" t="n">
        <v>1</v>
      </c>
      <c r="C28390" s="8" t="n">
        <v>45</v>
      </c>
      <c r="D28390" s="8" t="inlineStr">
        <is>
          <t>Disney Adventure World</t>
        </is>
      </c>
      <c r="E28390" s="8" t="inlineStr">
        <is>
          <t>RC Racer</t>
        </is>
      </c>
      <c r="F28390" s="8" t="inlineStr">
        <is>
          <t>STANDBY</t>
        </is>
      </c>
      <c r="G28390" s="8" t="n">
        <v>0</v>
      </c>
      <c r="H28390" s="8" t="inlineStr">
        <is>
          <t>CLOSED</t>
        </is>
      </c>
    </row>
    <row r="28391">
      <c r="A28391" s="8" t="inlineStr">
        <is>
          <t>2026-08-06</t>
        </is>
      </c>
      <c r="B28391" s="8" t="n">
        <v>1</v>
      </c>
      <c r="C28391" s="8" t="n">
        <v>45</v>
      </c>
      <c r="D28391" s="8" t="inlineStr">
        <is>
          <t>Disney Adventure World</t>
        </is>
      </c>
      <c r="E28391" s="8" t="inlineStr">
        <is>
          <t>RC Racer Single Rider</t>
        </is>
      </c>
      <c r="F28391" s="8" t="inlineStr">
        <is>
          <t>STANDBY</t>
        </is>
      </c>
      <c r="G28391" s="8" t="n">
        <v>0</v>
      </c>
      <c r="H28391" s="8" t="inlineStr">
        <is>
          <t>CLOSED</t>
        </is>
      </c>
    </row>
    <row r="28392">
      <c r="A28392" s="8" t="inlineStr">
        <is>
          <t>2026-08-06</t>
        </is>
      </c>
      <c r="B28392" s="8" t="n">
        <v>1</v>
      </c>
      <c r="C28392" s="8" t="n">
        <v>45</v>
      </c>
      <c r="D28392" s="8" t="inlineStr">
        <is>
          <t>Disney Adventure World</t>
        </is>
      </c>
      <c r="E28392" s="8" t="inlineStr">
        <is>
          <t>Slinky® Dog Zigzag Spin</t>
        </is>
      </c>
      <c r="F28392" s="8" t="inlineStr">
        <is>
          <t>STANDBY</t>
        </is>
      </c>
      <c r="G28392" s="8" t="n">
        <v>0</v>
      </c>
      <c r="H28392" s="8" t="inlineStr">
        <is>
          <t>CLOSED</t>
        </is>
      </c>
    </row>
    <row r="28393">
      <c r="A28393" s="8" t="inlineStr">
        <is>
          <t>2026-08-06</t>
        </is>
      </c>
      <c r="B28393" s="8" t="n">
        <v>1</v>
      </c>
      <c r="C28393" s="8" t="n">
        <v>45</v>
      </c>
      <c r="D28393" s="8" t="inlineStr">
        <is>
          <t>Disney Adventure World</t>
        </is>
      </c>
      <c r="E28393" s="8" t="inlineStr">
        <is>
          <t>Toy Soldiers Parachute Drop</t>
        </is>
      </c>
      <c r="F28393" s="8" t="inlineStr">
        <is>
          <t>STANDBY</t>
        </is>
      </c>
      <c r="G28393" s="8" t="n">
        <v>0</v>
      </c>
      <c r="H28393" s="8" t="inlineStr">
        <is>
          <t>CLOSED</t>
        </is>
      </c>
    </row>
    <row r="28394">
      <c r="A28394" s="8" t="inlineStr">
        <is>
          <t>2026-08-06</t>
        </is>
      </c>
      <c r="B28394" s="8" t="n">
        <v>1</v>
      </c>
      <c r="C28394" s="8" t="n">
        <v>45</v>
      </c>
      <c r="D28394" s="8" t="inlineStr">
        <is>
          <t>Disney Adventure World</t>
        </is>
      </c>
      <c r="E28394" s="8" t="inlineStr">
        <is>
          <t>Toy Soldiers Parachute Drop Single Rider</t>
        </is>
      </c>
      <c r="F28394" s="8" t="inlineStr">
        <is>
          <t>STANDBY</t>
        </is>
      </c>
      <c r="G28394" s="8" t="n">
        <v>0</v>
      </c>
      <c r="H28394" s="8" t="inlineStr">
        <is>
          <t>CLOSED</t>
        </is>
      </c>
    </row>
    <row r="28395">
      <c r="A28395" s="8" t="inlineStr">
        <is>
          <t>2026-08-06</t>
        </is>
      </c>
      <c r="B28395" s="8" t="n">
        <v>1</v>
      </c>
      <c r="C28395" s="8" t="n">
        <v>45</v>
      </c>
      <c r="D28395" s="8" t="inlineStr">
        <is>
          <t>Disney Adventure World</t>
        </is>
      </c>
      <c r="E28395" s="8" t="inlineStr">
        <is>
          <t>Entry to World of Frozen</t>
        </is>
      </c>
      <c r="F28395" s="8" t="inlineStr">
        <is>
          <t>STANDBY</t>
        </is>
      </c>
      <c r="G28395" s="8" t="n">
        <v>0</v>
      </c>
      <c r="H28395" s="8" t="inlineStr">
        <is>
          <t>CLOSED</t>
        </is>
      </c>
    </row>
    <row r="28396">
      <c r="A28396" s="8" t="inlineStr">
        <is>
          <t>2026-08-06</t>
        </is>
      </c>
      <c r="B28396" s="8" t="n">
        <v>1</v>
      </c>
      <c r="C28396" s="8" t="n">
        <v>45</v>
      </c>
      <c r="D28396" s="8" t="inlineStr">
        <is>
          <t>Disney Adventure World</t>
        </is>
      </c>
      <c r="E28396" s="8" t="inlineStr">
        <is>
          <t>Frozen Ever After</t>
        </is>
      </c>
      <c r="F28396" s="8" t="inlineStr">
        <is>
          <t>STANDBY</t>
        </is>
      </c>
      <c r="G28396" s="8" t="n">
        <v>0</v>
      </c>
      <c r="H28396" s="8" t="inlineStr">
        <is>
          <t>CLOSED</t>
        </is>
      </c>
    </row>
    <row r="28397">
      <c r="A28397" s="8" t="inlineStr">
        <is>
          <t>2026-08-06</t>
        </is>
      </c>
      <c r="B28397" s="8" t="n">
        <v>1</v>
      </c>
      <c r="C28397" s="8" t="n">
        <v>45</v>
      </c>
      <c r="D28397" s="8" t="inlineStr">
        <is>
          <t>Disney Adventure World</t>
        </is>
      </c>
      <c r="E28397" s="8" t="inlineStr">
        <is>
          <t>Raiponce Tangled Spin</t>
        </is>
      </c>
      <c r="F28397" s="8" t="inlineStr">
        <is>
          <t>STANDBY</t>
        </is>
      </c>
      <c r="G28397" s="8" t="n">
        <v>0</v>
      </c>
      <c r="H28397" s="8" t="inlineStr">
        <is>
          <t>CLOSED</t>
        </is>
      </c>
    </row>
    <row r="28398">
      <c r="A28398" s="8" t="inlineStr">
        <is>
          <t>2026-08-06</t>
        </is>
      </c>
      <c r="B28398" s="8" t="n">
        <v>8</v>
      </c>
      <c r="C28398" s="8" t="n">
        <v>1</v>
      </c>
      <c r="D28398" s="8" t="inlineStr">
        <is>
          <t>Disneyland Park</t>
        </is>
      </c>
      <c r="E28398" s="8" t="inlineStr">
        <is>
          <t>Adventure Isle</t>
        </is>
      </c>
      <c r="F28398" s="8" t="inlineStr">
        <is>
          <t>STANDBY</t>
        </is>
      </c>
      <c r="G28398" s="8" t="n">
        <v>0</v>
      </c>
      <c r="H28398" s="8" t="inlineStr">
        <is>
          <t>CLOSED</t>
        </is>
      </c>
    </row>
    <row r="28399">
      <c r="A28399" s="8" t="inlineStr">
        <is>
          <t>2026-08-06</t>
        </is>
      </c>
      <c r="B28399" s="8" t="n">
        <v>8</v>
      </c>
      <c r="C28399" s="8" t="n">
        <v>1</v>
      </c>
      <c r="D28399" s="8" t="inlineStr">
        <is>
          <t>Disneyland Park</t>
        </is>
      </c>
      <c r="E28399" s="8" t="inlineStr">
        <is>
          <t>Indiana Jones and the Temple of Peril Single Rider</t>
        </is>
      </c>
      <c r="F28399" s="8" t="inlineStr">
        <is>
          <t>STANDBY</t>
        </is>
      </c>
      <c r="G28399" s="8" t="n">
        <v>0</v>
      </c>
      <c r="H28399" s="8" t="inlineStr">
        <is>
          <t>CLOSED</t>
        </is>
      </c>
    </row>
    <row r="28400">
      <c r="A28400" s="8" t="inlineStr">
        <is>
          <t>2026-08-06</t>
        </is>
      </c>
      <c r="B28400" s="8" t="n">
        <v>8</v>
      </c>
      <c r="C28400" s="8" t="n">
        <v>1</v>
      </c>
      <c r="D28400" s="8" t="inlineStr">
        <is>
          <t>Disneyland Park</t>
        </is>
      </c>
      <c r="E28400" s="8" t="inlineStr">
        <is>
          <t>Indiana Jones™ and the Temple of Peril</t>
        </is>
      </c>
      <c r="F28400" s="8" t="inlineStr">
        <is>
          <t>STANDBY</t>
        </is>
      </c>
      <c r="G28400" s="8" t="n">
        <v>0</v>
      </c>
      <c r="H28400" s="8" t="inlineStr">
        <is>
          <t>CLOSED</t>
        </is>
      </c>
    </row>
    <row r="28401">
      <c r="A28401" s="8" t="inlineStr">
        <is>
          <t>2026-08-06</t>
        </is>
      </c>
      <c r="B28401" s="8" t="n">
        <v>8</v>
      </c>
      <c r="C28401" s="8" t="n">
        <v>1</v>
      </c>
      <c r="D28401" s="8" t="inlineStr">
        <is>
          <t>Disneyland Park</t>
        </is>
      </c>
      <c r="E28401" s="8" t="inlineStr">
        <is>
          <t>La Cabane des Robinson</t>
        </is>
      </c>
      <c r="F28401" s="8" t="inlineStr">
        <is>
          <t>STANDBY</t>
        </is>
      </c>
      <c r="G28401" s="8" t="n">
        <v>0</v>
      </c>
      <c r="H28401" s="8" t="inlineStr">
        <is>
          <t>CLOSED</t>
        </is>
      </c>
    </row>
    <row r="28402">
      <c r="A28402" s="8" t="inlineStr">
        <is>
          <t>2026-08-06</t>
        </is>
      </c>
      <c r="B28402" s="8" t="n">
        <v>8</v>
      </c>
      <c r="C28402" s="8" t="n">
        <v>1</v>
      </c>
      <c r="D28402" s="8" t="inlineStr">
        <is>
          <t>Disneyland Park</t>
        </is>
      </c>
      <c r="E28402" s="8" t="inlineStr">
        <is>
          <t>Le Passage Enchanté d'Aladdin</t>
        </is>
      </c>
      <c r="F28402" s="8" t="inlineStr">
        <is>
          <t>STANDBY</t>
        </is>
      </c>
      <c r="G28402" s="8" t="n">
        <v>0</v>
      </c>
      <c r="H28402" s="8" t="inlineStr">
        <is>
          <t>CLOSED</t>
        </is>
      </c>
    </row>
    <row r="28403">
      <c r="A28403" s="8" t="inlineStr">
        <is>
          <t>2026-08-06</t>
        </is>
      </c>
      <c r="B28403" s="8" t="n">
        <v>8</v>
      </c>
      <c r="C28403" s="8" t="n">
        <v>1</v>
      </c>
      <c r="D28403" s="8" t="inlineStr">
        <is>
          <t>Disneyland Park</t>
        </is>
      </c>
      <c r="E28403" s="8" t="inlineStr">
        <is>
          <t>Pirate Galleon</t>
        </is>
      </c>
      <c r="F28403" s="8" t="inlineStr">
        <is>
          <t>STANDBY</t>
        </is>
      </c>
      <c r="G28403" s="8" t="n">
        <v>0</v>
      </c>
      <c r="H28403" s="8" t="inlineStr">
        <is>
          <t>CLOSED</t>
        </is>
      </c>
    </row>
    <row r="28404">
      <c r="A28404" s="8" t="inlineStr">
        <is>
          <t>2026-08-06</t>
        </is>
      </c>
      <c r="B28404" s="8" t="n">
        <v>8</v>
      </c>
      <c r="C28404" s="8" t="n">
        <v>1</v>
      </c>
      <c r="D28404" s="8" t="inlineStr">
        <is>
          <t>Disneyland Park</t>
        </is>
      </c>
      <c r="E28404" s="8" t="inlineStr">
        <is>
          <t>Pirates of the Caribbean</t>
        </is>
      </c>
      <c r="F28404" s="8" t="inlineStr">
        <is>
          <t>STANDBY</t>
        </is>
      </c>
      <c r="G28404" s="8" t="n">
        <v>0</v>
      </c>
      <c r="H28404" s="8" t="inlineStr">
        <is>
          <t>CLOSED</t>
        </is>
      </c>
    </row>
    <row r="28405">
      <c r="A28405" s="8" t="inlineStr">
        <is>
          <t>2026-08-06</t>
        </is>
      </c>
      <c r="B28405" s="8" t="n">
        <v>8</v>
      </c>
      <c r="C28405" s="8" t="n">
        <v>1</v>
      </c>
      <c r="D28405" s="8" t="inlineStr">
        <is>
          <t>Disneyland Park</t>
        </is>
      </c>
      <c r="E28405" s="8" t="inlineStr">
        <is>
          <t>Pirates' Beach</t>
        </is>
      </c>
      <c r="F28405" s="8" t="inlineStr">
        <is>
          <t>STANDBY</t>
        </is>
      </c>
      <c r="G28405" s="8" t="n">
        <v>0</v>
      </c>
      <c r="H28405" s="8" t="inlineStr">
        <is>
          <t>CLOSED</t>
        </is>
      </c>
    </row>
    <row r="28406">
      <c r="A28406" s="8" t="inlineStr">
        <is>
          <t>2026-08-06</t>
        </is>
      </c>
      <c r="B28406" s="8" t="n">
        <v>8</v>
      </c>
      <c r="C28406" s="8" t="n">
        <v>1</v>
      </c>
      <c r="D28406" s="8" t="inlineStr">
        <is>
          <t>Disneyland Park</t>
        </is>
      </c>
      <c r="E28406" s="8" t="inlineStr">
        <is>
          <t>Autopia, presented by Avis</t>
        </is>
      </c>
      <c r="F28406" s="8" t="inlineStr">
        <is>
          <t>STANDBY</t>
        </is>
      </c>
      <c r="G28406" s="8" t="n">
        <v>0</v>
      </c>
      <c r="H28406" s="8" t="inlineStr">
        <is>
          <t>CLOSED</t>
        </is>
      </c>
    </row>
    <row r="28407">
      <c r="A28407" s="8" t="inlineStr">
        <is>
          <t>2026-08-06</t>
        </is>
      </c>
      <c r="B28407" s="8" t="n">
        <v>8</v>
      </c>
      <c r="C28407" s="8" t="n">
        <v>1</v>
      </c>
      <c r="D28407" s="8" t="inlineStr">
        <is>
          <t>Disneyland Park</t>
        </is>
      </c>
      <c r="E28407" s="8" t="inlineStr">
        <is>
          <t>Buzz Lightyear Laser Blast</t>
        </is>
      </c>
      <c r="F28407" s="8" t="inlineStr">
        <is>
          <t>STANDBY</t>
        </is>
      </c>
      <c r="G28407" s="8" t="n">
        <v>0</v>
      </c>
      <c r="H28407" s="8" t="inlineStr">
        <is>
          <t>CLOSED</t>
        </is>
      </c>
    </row>
    <row r="28408">
      <c r="A28408" s="8" t="inlineStr">
        <is>
          <t>2026-08-06</t>
        </is>
      </c>
      <c r="B28408" s="8" t="n">
        <v>8</v>
      </c>
      <c r="C28408" s="8" t="n">
        <v>1</v>
      </c>
      <c r="D28408" s="8" t="inlineStr">
        <is>
          <t>Disneyland Park</t>
        </is>
      </c>
      <c r="E28408" s="8" t="inlineStr">
        <is>
          <t>Disneyland Railroad Discoveryland Station</t>
        </is>
      </c>
      <c r="F28408" s="8" t="inlineStr">
        <is>
          <t>STANDBY</t>
        </is>
      </c>
      <c r="G28408" s="8" t="n">
        <v>0</v>
      </c>
      <c r="H28408" s="8" t="inlineStr">
        <is>
          <t>CLOSED</t>
        </is>
      </c>
    </row>
    <row r="28409">
      <c r="A28409" s="8" t="inlineStr">
        <is>
          <t>2026-08-06</t>
        </is>
      </c>
      <c r="B28409" s="8" t="n">
        <v>8</v>
      </c>
      <c r="C28409" s="8" t="n">
        <v>1</v>
      </c>
      <c r="D28409" s="8" t="inlineStr">
        <is>
          <t>Disneyland Park</t>
        </is>
      </c>
      <c r="E28409" s="8" t="inlineStr">
        <is>
          <t>Les Mystères du Nautilus</t>
        </is>
      </c>
      <c r="F28409" s="8" t="inlineStr">
        <is>
          <t>STANDBY</t>
        </is>
      </c>
      <c r="G28409" s="8" t="n">
        <v>0</v>
      </c>
      <c r="H28409" s="8" t="inlineStr">
        <is>
          <t>CLOSED</t>
        </is>
      </c>
    </row>
    <row r="28410">
      <c r="A28410" s="8" t="inlineStr">
        <is>
          <t>2026-08-06</t>
        </is>
      </c>
      <c r="B28410" s="8" t="n">
        <v>8</v>
      </c>
      <c r="C28410" s="8" t="n">
        <v>1</v>
      </c>
      <c r="D28410" s="8" t="inlineStr">
        <is>
          <t>Disneyland Park</t>
        </is>
      </c>
      <c r="E28410" s="8" t="inlineStr">
        <is>
          <t>Mickey’s PhilharMagic</t>
        </is>
      </c>
      <c r="F28410" s="8" t="inlineStr">
        <is>
          <t>STANDBY</t>
        </is>
      </c>
      <c r="G28410" s="8" t="n">
        <v>0</v>
      </c>
      <c r="H28410" s="8" t="inlineStr">
        <is>
          <t>CLOSED</t>
        </is>
      </c>
    </row>
    <row r="28411">
      <c r="A28411" s="8" t="inlineStr">
        <is>
          <t>2026-08-06</t>
        </is>
      </c>
      <c r="B28411" s="8" t="n">
        <v>8</v>
      </c>
      <c r="C28411" s="8" t="n">
        <v>1</v>
      </c>
      <c r="D28411" s="8" t="inlineStr">
        <is>
          <t>Disneyland Park</t>
        </is>
      </c>
      <c r="E28411" s="8" t="inlineStr">
        <is>
          <t>Orbitron®</t>
        </is>
      </c>
      <c r="F28411" s="8" t="inlineStr">
        <is>
          <t>STANDBY</t>
        </is>
      </c>
      <c r="G28411" s="8" t="n">
        <v>0</v>
      </c>
      <c r="H28411" s="8" t="inlineStr">
        <is>
          <t>CLOSED</t>
        </is>
      </c>
    </row>
    <row r="28412">
      <c r="A28412" s="8" t="inlineStr">
        <is>
          <t>2026-08-06</t>
        </is>
      </c>
      <c r="B28412" s="8" t="n">
        <v>8</v>
      </c>
      <c r="C28412" s="8" t="n">
        <v>1</v>
      </c>
      <c r="D28412" s="8" t="inlineStr">
        <is>
          <t>Disneyland Park</t>
        </is>
      </c>
      <c r="E28412" s="8" t="inlineStr">
        <is>
          <t>Star Tours: The Adventures Continue*</t>
        </is>
      </c>
      <c r="F28412" s="8" t="inlineStr">
        <is>
          <t>STANDBY</t>
        </is>
      </c>
      <c r="G28412" s="8" t="n">
        <v>0</v>
      </c>
      <c r="H28412" s="8" t="inlineStr">
        <is>
          <t>CLOSED</t>
        </is>
      </c>
    </row>
    <row r="28413">
      <c r="A28413" s="8" t="inlineStr">
        <is>
          <t>2026-08-06</t>
        </is>
      </c>
      <c r="B28413" s="8" t="n">
        <v>8</v>
      </c>
      <c r="C28413" s="8" t="n">
        <v>1</v>
      </c>
      <c r="D28413" s="8" t="inlineStr">
        <is>
          <t>Disneyland Park</t>
        </is>
      </c>
      <c r="E28413" s="8" t="inlineStr">
        <is>
          <t>Star Wars Hyperspace Mountain</t>
        </is>
      </c>
      <c r="F28413" s="8" t="inlineStr">
        <is>
          <t>STANDBY</t>
        </is>
      </c>
      <c r="G28413" s="8" t="n">
        <v>0</v>
      </c>
      <c r="H28413" s="8" t="inlineStr">
        <is>
          <t>CLOSED</t>
        </is>
      </c>
    </row>
    <row r="28414">
      <c r="A28414" s="8" t="inlineStr">
        <is>
          <t>2026-08-06</t>
        </is>
      </c>
      <c r="B28414" s="8" t="n">
        <v>8</v>
      </c>
      <c r="C28414" s="8" t="n">
        <v>1</v>
      </c>
      <c r="D28414" s="8" t="inlineStr">
        <is>
          <t>Disneyland Park</t>
        </is>
      </c>
      <c r="E28414" s="8" t="inlineStr">
        <is>
          <t>Star Wars Hyperspace Mountain Single Rider</t>
        </is>
      </c>
      <c r="F28414" s="8" t="inlineStr">
        <is>
          <t>STANDBY</t>
        </is>
      </c>
      <c r="G28414" s="8" t="n">
        <v>0</v>
      </c>
      <c r="H28414" s="8" t="inlineStr">
        <is>
          <t>CLOSED</t>
        </is>
      </c>
    </row>
    <row r="28415">
      <c r="A28415" s="8" t="inlineStr">
        <is>
          <t>2026-08-06</t>
        </is>
      </c>
      <c r="B28415" s="8" t="n">
        <v>8</v>
      </c>
      <c r="C28415" s="8" t="n">
        <v>1</v>
      </c>
      <c r="D28415" s="8" t="inlineStr">
        <is>
          <t>Disneyland Park</t>
        </is>
      </c>
      <c r="E28415" s="8" t="inlineStr">
        <is>
          <t>Welcome to Starport: A Star Wars Encounter</t>
        </is>
      </c>
      <c r="F28415" s="8" t="inlineStr">
        <is>
          <t>STANDBY</t>
        </is>
      </c>
      <c r="G28415" s="8" t="n">
        <v>0</v>
      </c>
      <c r="H28415" s="8" t="inlineStr">
        <is>
          <t>CLOSED</t>
        </is>
      </c>
    </row>
    <row r="28416">
      <c r="A28416" s="8" t="inlineStr">
        <is>
          <t>2026-08-06</t>
        </is>
      </c>
      <c r="B28416" s="8" t="n">
        <v>8</v>
      </c>
      <c r="C28416" s="8" t="n">
        <v>1</v>
      </c>
      <c r="D28416" s="8" t="inlineStr">
        <is>
          <t>Disneyland Park</t>
        </is>
      </c>
      <c r="E28416" s="8" t="inlineStr">
        <is>
          <t>"it's a small world"</t>
        </is>
      </c>
      <c r="F28416" s="8" t="inlineStr">
        <is>
          <t>STANDBY</t>
        </is>
      </c>
      <c r="G28416" s="8" t="n">
        <v>0</v>
      </c>
      <c r="H28416" s="8" t="inlineStr">
        <is>
          <t>CLOSED</t>
        </is>
      </c>
    </row>
    <row r="28417">
      <c r="A28417" s="8" t="inlineStr">
        <is>
          <t>2026-08-06</t>
        </is>
      </c>
      <c r="B28417" s="8" t="n">
        <v>8</v>
      </c>
      <c r="C28417" s="8" t="n">
        <v>1</v>
      </c>
      <c r="D28417" s="8" t="inlineStr">
        <is>
          <t>Disneyland Park</t>
        </is>
      </c>
      <c r="E28417" s="8" t="inlineStr">
        <is>
          <t>Alice's Curious Labyrinth</t>
        </is>
      </c>
      <c r="F28417" s="8" t="inlineStr">
        <is>
          <t>STANDBY</t>
        </is>
      </c>
      <c r="G28417" s="8" t="n">
        <v>0</v>
      </c>
      <c r="H28417" s="8" t="inlineStr">
        <is>
          <t>CLOSED</t>
        </is>
      </c>
    </row>
    <row r="28418">
      <c r="A28418" s="8" t="inlineStr">
        <is>
          <t>2026-08-06</t>
        </is>
      </c>
      <c r="B28418" s="8" t="n">
        <v>8</v>
      </c>
      <c r="C28418" s="8" t="n">
        <v>1</v>
      </c>
      <c r="D28418" s="8" t="inlineStr">
        <is>
          <t>Disneyland Park</t>
        </is>
      </c>
      <c r="E28418" s="8" t="inlineStr">
        <is>
          <t>Blanche-Neige et les Sept Nains®</t>
        </is>
      </c>
      <c r="F28418" s="8" t="inlineStr">
        <is>
          <t>STANDBY</t>
        </is>
      </c>
      <c r="G28418" s="8" t="n">
        <v>0</v>
      </c>
      <c r="H28418" s="8" t="inlineStr">
        <is>
          <t>CLOSED</t>
        </is>
      </c>
    </row>
    <row r="28419">
      <c r="A28419" s="8" t="inlineStr">
        <is>
          <t>2026-08-06</t>
        </is>
      </c>
      <c r="B28419" s="8" t="n">
        <v>8</v>
      </c>
      <c r="C28419" s="8" t="n">
        <v>1</v>
      </c>
      <c r="D28419" s="8" t="inlineStr">
        <is>
          <t>Disneyland Park</t>
        </is>
      </c>
      <c r="E28419" s="8" t="inlineStr">
        <is>
          <t>Casey Jr. – le Petit Train du Cirque</t>
        </is>
      </c>
      <c r="F28419" s="8" t="inlineStr">
        <is>
          <t>STANDBY</t>
        </is>
      </c>
      <c r="G28419" s="8" t="n">
        <v>0</v>
      </c>
      <c r="H28419" s="8" t="inlineStr">
        <is>
          <t>CLOSED</t>
        </is>
      </c>
    </row>
    <row r="28420">
      <c r="A28420" s="8" t="inlineStr">
        <is>
          <t>2026-08-06</t>
        </is>
      </c>
      <c r="B28420" s="8" t="n">
        <v>8</v>
      </c>
      <c r="C28420" s="8" t="n">
        <v>1</v>
      </c>
      <c r="D28420" s="8" t="inlineStr">
        <is>
          <t>Disneyland Park</t>
        </is>
      </c>
      <c r="E28420" s="8" t="inlineStr">
        <is>
          <t>Disneyland Railroad Fantasyland Station</t>
        </is>
      </c>
      <c r="F28420" s="8" t="inlineStr">
        <is>
          <t>STANDBY</t>
        </is>
      </c>
      <c r="G28420" s="8" t="n">
        <v>0</v>
      </c>
      <c r="H28420" s="8" t="inlineStr">
        <is>
          <t>CLOSED</t>
        </is>
      </c>
    </row>
    <row r="28421">
      <c r="A28421" s="8" t="inlineStr">
        <is>
          <t>2026-08-06</t>
        </is>
      </c>
      <c r="B28421" s="8" t="n">
        <v>8</v>
      </c>
      <c r="C28421" s="8" t="n">
        <v>1</v>
      </c>
      <c r="D28421" s="8" t="inlineStr">
        <is>
          <t>Disneyland Park</t>
        </is>
      </c>
      <c r="E28421" s="8" t="inlineStr">
        <is>
          <t>Disneyland Railroad Main Street Station</t>
        </is>
      </c>
      <c r="F28421" s="8" t="inlineStr">
        <is>
          <t>STANDBY</t>
        </is>
      </c>
      <c r="G28421" s="8" t="n">
        <v>0</v>
      </c>
      <c r="H28421" s="8" t="inlineStr">
        <is>
          <t>CLOSED</t>
        </is>
      </c>
    </row>
    <row r="28422">
      <c r="A28422" s="8" t="inlineStr">
        <is>
          <t>2026-08-06</t>
        </is>
      </c>
      <c r="B28422" s="8" t="n">
        <v>8</v>
      </c>
      <c r="C28422" s="8" t="n">
        <v>1</v>
      </c>
      <c r="D28422" s="8" t="inlineStr">
        <is>
          <t>Disneyland Park</t>
        </is>
      </c>
      <c r="E28422" s="8" t="inlineStr">
        <is>
          <t>Dumbo the Flying Elephant</t>
        </is>
      </c>
      <c r="F28422" s="8" t="inlineStr">
        <is>
          <t>STANDBY</t>
        </is>
      </c>
      <c r="G28422" s="8" t="n">
        <v>0</v>
      </c>
      <c r="H28422" s="8" t="inlineStr">
        <is>
          <t>CLOSED</t>
        </is>
      </c>
    </row>
    <row r="28423">
      <c r="A28423" s="8" t="inlineStr">
        <is>
          <t>2026-08-06</t>
        </is>
      </c>
      <c r="B28423" s="8" t="n">
        <v>8</v>
      </c>
      <c r="C28423" s="8" t="n">
        <v>1</v>
      </c>
      <c r="D28423" s="8" t="inlineStr">
        <is>
          <t>Disneyland Park</t>
        </is>
      </c>
      <c r="E28423" s="8" t="inlineStr">
        <is>
          <t>La Tanière du Dragon</t>
        </is>
      </c>
      <c r="F28423" s="8" t="inlineStr">
        <is>
          <t>STANDBY</t>
        </is>
      </c>
      <c r="G28423" s="8" t="n">
        <v>0</v>
      </c>
      <c r="H28423" s="8" t="inlineStr">
        <is>
          <t>CLOSED</t>
        </is>
      </c>
    </row>
    <row r="28424">
      <c r="A28424" s="8" t="inlineStr">
        <is>
          <t>2026-08-06</t>
        </is>
      </c>
      <c r="B28424" s="8" t="n">
        <v>8</v>
      </c>
      <c r="C28424" s="8" t="n">
        <v>1</v>
      </c>
      <c r="D28424" s="8" t="inlineStr">
        <is>
          <t>Disneyland Park</t>
        </is>
      </c>
      <c r="E28424" s="8" t="inlineStr">
        <is>
          <t>Le Carrousel de Lancelot</t>
        </is>
      </c>
      <c r="F28424" s="8" t="inlineStr">
        <is>
          <t>STANDBY</t>
        </is>
      </c>
      <c r="G28424" s="8" t="n">
        <v>0</v>
      </c>
      <c r="H28424" s="8" t="inlineStr">
        <is>
          <t>CLOSED</t>
        </is>
      </c>
    </row>
    <row r="28425">
      <c r="A28425" s="8" t="inlineStr">
        <is>
          <t>2026-08-06</t>
        </is>
      </c>
      <c r="B28425" s="8" t="n">
        <v>8</v>
      </c>
      <c r="C28425" s="8" t="n">
        <v>1</v>
      </c>
      <c r="D28425" s="8" t="inlineStr">
        <is>
          <t>Disneyland Park</t>
        </is>
      </c>
      <c r="E28425" s="8" t="inlineStr">
        <is>
          <t>Le Pays des Contes de Fées, presented by Vittel</t>
        </is>
      </c>
      <c r="F28425" s="8" t="inlineStr">
        <is>
          <t>STANDBY</t>
        </is>
      </c>
      <c r="G28425" s="8" t="n">
        <v>0</v>
      </c>
      <c r="H28425" s="8" t="inlineStr">
        <is>
          <t>CLOSED</t>
        </is>
      </c>
    </row>
    <row r="28426">
      <c r="A28426" s="8" t="inlineStr">
        <is>
          <t>2026-08-06</t>
        </is>
      </c>
      <c r="B28426" s="8" t="n">
        <v>8</v>
      </c>
      <c r="C28426" s="8" t="n">
        <v>1</v>
      </c>
      <c r="D28426" s="8" t="inlineStr">
        <is>
          <t>Disneyland Park</t>
        </is>
      </c>
      <c r="E28426" s="8" t="inlineStr">
        <is>
          <t>Les Voyages de Pinocchio</t>
        </is>
      </c>
      <c r="F28426" s="8" t="inlineStr">
        <is>
          <t>STANDBY</t>
        </is>
      </c>
      <c r="G28426" s="8" t="n">
        <v>0</v>
      </c>
      <c r="H28426" s="8" t="inlineStr">
        <is>
          <t>CLOSED</t>
        </is>
      </c>
    </row>
    <row r="28427">
      <c r="A28427" s="8" t="inlineStr">
        <is>
          <t>2026-08-06</t>
        </is>
      </c>
      <c r="B28427" s="8" t="n">
        <v>8</v>
      </c>
      <c r="C28427" s="8" t="n">
        <v>1</v>
      </c>
      <c r="D28427" s="8" t="inlineStr">
        <is>
          <t>Disneyland Park</t>
        </is>
      </c>
      <c r="E28427" s="8" t="inlineStr">
        <is>
          <t>Mad Hatter's Tea Cups</t>
        </is>
      </c>
      <c r="F28427" s="8" t="inlineStr">
        <is>
          <t>STANDBY</t>
        </is>
      </c>
      <c r="G28427" s="8" t="n">
        <v>0</v>
      </c>
      <c r="H28427" s="8" t="inlineStr">
        <is>
          <t>CLOSED</t>
        </is>
      </c>
    </row>
    <row r="28428">
      <c r="A28428" s="8" t="inlineStr">
        <is>
          <t>2026-08-06</t>
        </is>
      </c>
      <c r="B28428" s="8" t="n">
        <v>8</v>
      </c>
      <c r="C28428" s="8" t="n">
        <v>1</v>
      </c>
      <c r="D28428" s="8" t="inlineStr">
        <is>
          <t>Disneyland Park</t>
        </is>
      </c>
      <c r="E28428" s="8" t="inlineStr">
        <is>
          <t>Meet Mickey Mouse</t>
        </is>
      </c>
      <c r="F28428" s="8" t="inlineStr">
        <is>
          <t>STANDBY</t>
        </is>
      </c>
      <c r="G28428" s="8" t="n">
        <v>0</v>
      </c>
      <c r="H28428" s="8" t="inlineStr">
        <is>
          <t>CLOSED</t>
        </is>
      </c>
    </row>
    <row r="28429">
      <c r="A28429" s="8" t="inlineStr">
        <is>
          <t>2026-08-06</t>
        </is>
      </c>
      <c r="B28429" s="8" t="n">
        <v>8</v>
      </c>
      <c r="C28429" s="8" t="n">
        <v>1</v>
      </c>
      <c r="D28429" s="8" t="inlineStr">
        <is>
          <t>Disneyland Park</t>
        </is>
      </c>
      <c r="E28429" s="8" t="inlineStr">
        <is>
          <t>Peter Pan's Flight</t>
        </is>
      </c>
      <c r="F28429" s="8" t="inlineStr">
        <is>
          <t>STANDBY</t>
        </is>
      </c>
      <c r="G28429" s="8" t="n">
        <v>0</v>
      </c>
      <c r="H28429" s="8" t="inlineStr">
        <is>
          <t>CLOSED</t>
        </is>
      </c>
    </row>
    <row r="28430">
      <c r="A28430" s="8" t="inlineStr">
        <is>
          <t>2026-08-06</t>
        </is>
      </c>
      <c r="B28430" s="8" t="n">
        <v>8</v>
      </c>
      <c r="C28430" s="8" t="n">
        <v>1</v>
      </c>
      <c r="D28430" s="8" t="inlineStr">
        <is>
          <t>Disneyland Park</t>
        </is>
      </c>
      <c r="E28430" s="8" t="inlineStr">
        <is>
          <t>Princess Pavilion</t>
        </is>
      </c>
      <c r="F28430" s="8" t="inlineStr">
        <is>
          <t>STANDBY</t>
        </is>
      </c>
      <c r="G28430" s="8" t="n">
        <v>0</v>
      </c>
      <c r="H28430" s="8" t="inlineStr">
        <is>
          <t>CLOSED</t>
        </is>
      </c>
    </row>
    <row r="28431">
      <c r="A28431" s="8" t="inlineStr">
        <is>
          <t>2026-08-06</t>
        </is>
      </c>
      <c r="B28431" s="8" t="n">
        <v>8</v>
      </c>
      <c r="C28431" s="8" t="n">
        <v>1</v>
      </c>
      <c r="D28431" s="8" t="inlineStr">
        <is>
          <t>Disneyland Park</t>
        </is>
      </c>
      <c r="E28431" s="8" t="inlineStr">
        <is>
          <t>Big Thunder Mountain</t>
        </is>
      </c>
      <c r="F28431" s="8" t="inlineStr">
        <is>
          <t>STANDBY</t>
        </is>
      </c>
      <c r="G28431" s="8" t="n">
        <v>0</v>
      </c>
      <c r="H28431" s="8" t="inlineStr">
        <is>
          <t>CLOSED</t>
        </is>
      </c>
    </row>
    <row r="28432">
      <c r="A28432" s="8" t="inlineStr">
        <is>
          <t>2026-08-06</t>
        </is>
      </c>
      <c r="B28432" s="8" t="n">
        <v>8</v>
      </c>
      <c r="C28432" s="8" t="n">
        <v>1</v>
      </c>
      <c r="D28432" s="8" t="inlineStr">
        <is>
          <t>Disneyland Park</t>
        </is>
      </c>
      <c r="E28432" s="8" t="inlineStr">
        <is>
          <t>Disneyland Railroad Frontierland Depot</t>
        </is>
      </c>
      <c r="F28432" s="8" t="inlineStr">
        <is>
          <t>STANDBY</t>
        </is>
      </c>
      <c r="G28432" s="8" t="n">
        <v>0</v>
      </c>
      <c r="H28432" s="8" t="inlineStr">
        <is>
          <t>CLOSED</t>
        </is>
      </c>
    </row>
    <row r="28433">
      <c r="A28433" s="8" t="inlineStr">
        <is>
          <t>2026-08-06</t>
        </is>
      </c>
      <c r="B28433" s="8" t="n">
        <v>8</v>
      </c>
      <c r="C28433" s="8" t="n">
        <v>1</v>
      </c>
      <c r="D28433" s="8" t="inlineStr">
        <is>
          <t>Disneyland Park</t>
        </is>
      </c>
      <c r="E28433" s="8" t="inlineStr">
        <is>
          <t>Frontierland Playground</t>
        </is>
      </c>
      <c r="F28433" s="8" t="inlineStr">
        <is>
          <t>STANDBY</t>
        </is>
      </c>
      <c r="G28433" s="8" t="n">
        <v>0</v>
      </c>
      <c r="H28433" s="8" t="inlineStr">
        <is>
          <t>CLOSED</t>
        </is>
      </c>
    </row>
    <row r="28434">
      <c r="A28434" s="8" t="inlineStr">
        <is>
          <t>2026-08-06</t>
        </is>
      </c>
      <c r="B28434" s="8" t="n">
        <v>8</v>
      </c>
      <c r="C28434" s="8" t="n">
        <v>1</v>
      </c>
      <c r="D28434" s="8" t="inlineStr">
        <is>
          <t>Disneyland Park</t>
        </is>
      </c>
      <c r="E28434" s="8" t="inlineStr">
        <is>
          <t>Phantom Manor</t>
        </is>
      </c>
      <c r="F28434" s="8" t="inlineStr">
        <is>
          <t>STANDBY</t>
        </is>
      </c>
      <c r="G28434" s="8" t="n">
        <v>0</v>
      </c>
      <c r="H28434" s="8" t="inlineStr">
        <is>
          <t>CLOSED</t>
        </is>
      </c>
    </row>
    <row r="28435">
      <c r="A28435" s="8" t="inlineStr">
        <is>
          <t>2026-08-06</t>
        </is>
      </c>
      <c r="B28435" s="8" t="n">
        <v>8</v>
      </c>
      <c r="C28435" s="8" t="n">
        <v>1</v>
      </c>
      <c r="D28435" s="8" t="inlineStr">
        <is>
          <t>Disneyland Park</t>
        </is>
      </c>
      <c r="E28435" s="8" t="inlineStr">
        <is>
          <t>River Rogue Keelboats</t>
        </is>
      </c>
      <c r="F28435" s="8" t="inlineStr">
        <is>
          <t>STANDBY</t>
        </is>
      </c>
      <c r="G28435" s="8" t="n">
        <v>0</v>
      </c>
      <c r="H28435" s="8" t="inlineStr">
        <is>
          <t>CLOSED</t>
        </is>
      </c>
    </row>
    <row r="28436">
      <c r="A28436" s="8" t="inlineStr">
        <is>
          <t>2026-08-06</t>
        </is>
      </c>
      <c r="B28436" s="8" t="n">
        <v>8</v>
      </c>
      <c r="C28436" s="8" t="n">
        <v>1</v>
      </c>
      <c r="D28436" s="8" t="inlineStr">
        <is>
          <t>Disneyland Park</t>
        </is>
      </c>
      <c r="E28436" s="8" t="inlineStr">
        <is>
          <t>Rustler Roundup Shootin' Gallery</t>
        </is>
      </c>
      <c r="F28436" s="8" t="inlineStr">
        <is>
          <t>STANDBY</t>
        </is>
      </c>
      <c r="G28436" s="8" t="n">
        <v>0</v>
      </c>
      <c r="H28436" s="8" t="inlineStr">
        <is>
          <t>CLOSED</t>
        </is>
      </c>
    </row>
    <row r="28437">
      <c r="A28437" s="8" t="inlineStr">
        <is>
          <t>2026-08-06</t>
        </is>
      </c>
      <c r="B28437" s="8" t="n">
        <v>8</v>
      </c>
      <c r="C28437" s="8" t="n">
        <v>1</v>
      </c>
      <c r="D28437" s="8" t="inlineStr">
        <is>
          <t>Disneyland Park</t>
        </is>
      </c>
      <c r="E28437" s="8" t="inlineStr">
        <is>
          <t>Thunder Mesa Riverboat Landing</t>
        </is>
      </c>
      <c r="F28437" s="8" t="inlineStr">
        <is>
          <t>STANDBY</t>
        </is>
      </c>
      <c r="G28437" s="8" t="n">
        <v>0</v>
      </c>
      <c r="H28437" s="8" t="inlineStr">
        <is>
          <t>CLOSED</t>
        </is>
      </c>
    </row>
    <row r="28438">
      <c r="A28438" s="8" t="inlineStr">
        <is>
          <t>2026-08-06</t>
        </is>
      </c>
      <c r="B28438" s="8" t="n">
        <v>8</v>
      </c>
      <c r="C28438" s="8" t="n">
        <v>1</v>
      </c>
      <c r="D28438" s="8" t="inlineStr">
        <is>
          <t>Disneyland Park</t>
        </is>
      </c>
      <c r="E28438" s="8" t="inlineStr">
        <is>
          <t>Disneyland Railroad Main Street Station</t>
        </is>
      </c>
      <c r="F28438" s="8" t="inlineStr">
        <is>
          <t>STANDBY</t>
        </is>
      </c>
      <c r="G28438" s="8" t="n">
        <v>0</v>
      </c>
      <c r="H28438" s="8" t="inlineStr">
        <is>
          <t>CLOSED</t>
        </is>
      </c>
    </row>
    <row r="28439">
      <c r="A28439" s="8" t="inlineStr">
        <is>
          <t>2026-08-06</t>
        </is>
      </c>
      <c r="B28439" s="8" t="n">
        <v>8</v>
      </c>
      <c r="C28439" s="8" t="n">
        <v>1</v>
      </c>
      <c r="D28439" s="8" t="inlineStr">
        <is>
          <t>Disneyland Park</t>
        </is>
      </c>
      <c r="E28439" s="8" t="inlineStr">
        <is>
          <t>Main Street Vehicles</t>
        </is>
      </c>
      <c r="F28439" s="8" t="inlineStr">
        <is>
          <t>STANDBY</t>
        </is>
      </c>
      <c r="G28439" s="8" t="n">
        <v>0</v>
      </c>
      <c r="H28439" s="8" t="inlineStr">
        <is>
          <t>CLOSED</t>
        </is>
      </c>
    </row>
    <row r="28440">
      <c r="A28440" s="8" t="inlineStr">
        <is>
          <t>2026-08-06</t>
        </is>
      </c>
      <c r="B28440" s="8" t="n">
        <v>8</v>
      </c>
      <c r="C28440" s="8" t="n">
        <v>1</v>
      </c>
      <c r="D28440" s="8" t="inlineStr">
        <is>
          <t>Disney Adventure World</t>
        </is>
      </c>
      <c r="E28440" s="8" t="inlineStr">
        <is>
          <t>Avengers Assemble: Flight Force</t>
        </is>
      </c>
      <c r="F28440" s="8" t="inlineStr">
        <is>
          <t>STANDBY</t>
        </is>
      </c>
      <c r="G28440" s="8" t="n">
        <v>0</v>
      </c>
      <c r="H28440" s="8" t="inlineStr">
        <is>
          <t>CLOSED</t>
        </is>
      </c>
    </row>
    <row r="28441">
      <c r="A28441" s="8" t="inlineStr">
        <is>
          <t>2026-08-06</t>
        </is>
      </c>
      <c r="B28441" s="8" t="n">
        <v>8</v>
      </c>
      <c r="C28441" s="8" t="n">
        <v>1</v>
      </c>
      <c r="D28441" s="8" t="inlineStr">
        <is>
          <t>Disney Adventure World</t>
        </is>
      </c>
      <c r="E28441" s="8" t="inlineStr">
        <is>
          <t>Avengers Assemble: Flight Force Single Rider</t>
        </is>
      </c>
      <c r="F28441" s="8" t="inlineStr">
        <is>
          <t>STANDBY</t>
        </is>
      </c>
      <c r="G28441" s="8" t="n">
        <v>0</v>
      </c>
      <c r="H28441" s="8" t="inlineStr">
        <is>
          <t>CLOSED</t>
        </is>
      </c>
    </row>
    <row r="28442">
      <c r="A28442" s="8" t="inlineStr">
        <is>
          <t>2026-08-06</t>
        </is>
      </c>
      <c r="B28442" s="8" t="n">
        <v>8</v>
      </c>
      <c r="C28442" s="8" t="n">
        <v>1</v>
      </c>
      <c r="D28442" s="8" t="inlineStr">
        <is>
          <t>Disney Adventure World</t>
        </is>
      </c>
      <c r="E28442" s="8" t="inlineStr">
        <is>
          <t>Spider-Man W.E.B. Adventure</t>
        </is>
      </c>
      <c r="F28442" s="8" t="inlineStr">
        <is>
          <t>STANDBY</t>
        </is>
      </c>
      <c r="G28442" s="8" t="n">
        <v>0</v>
      </c>
      <c r="H28442" s="8" t="inlineStr">
        <is>
          <t>CLOSED</t>
        </is>
      </c>
    </row>
    <row r="28443">
      <c r="A28443" s="8" t="inlineStr">
        <is>
          <t>2026-08-06</t>
        </is>
      </c>
      <c r="B28443" s="8" t="n">
        <v>8</v>
      </c>
      <c r="C28443" s="8" t="n">
        <v>1</v>
      </c>
      <c r="D28443" s="8" t="inlineStr">
        <is>
          <t>Disney Adventure World</t>
        </is>
      </c>
      <c r="E28443" s="8" t="inlineStr">
        <is>
          <t>Spider-Man W.E.B. Adventure Single Rider</t>
        </is>
      </c>
      <c r="F28443" s="8" t="inlineStr">
        <is>
          <t>STANDBY</t>
        </is>
      </c>
      <c r="G28443" s="8" t="n">
        <v>0</v>
      </c>
      <c r="H28443" s="8" t="inlineStr">
        <is>
          <t>CLOSED</t>
        </is>
      </c>
    </row>
    <row r="28444">
      <c r="A28444" s="8" t="inlineStr">
        <is>
          <t>2026-08-06</t>
        </is>
      </c>
      <c r="B28444" s="8" t="n">
        <v>8</v>
      </c>
      <c r="C28444" s="8" t="n">
        <v>1</v>
      </c>
      <c r="D28444" s="8" t="inlineStr">
        <is>
          <t>Disney Adventure World</t>
        </is>
      </c>
      <c r="E28444" s="8" t="inlineStr">
        <is>
          <t>The Twilight Zone Tower of Terror</t>
        </is>
      </c>
      <c r="F28444" s="8" t="inlineStr">
        <is>
          <t>STANDBY</t>
        </is>
      </c>
      <c r="G28444" s="8" t="n">
        <v>0</v>
      </c>
      <c r="H28444" s="8" t="inlineStr">
        <is>
          <t>CLOSED</t>
        </is>
      </c>
    </row>
    <row r="28445">
      <c r="A28445" s="8" t="inlineStr">
        <is>
          <t>2026-08-06</t>
        </is>
      </c>
      <c r="B28445" s="8" t="n">
        <v>8</v>
      </c>
      <c r="C28445" s="8" t="n">
        <v>1</v>
      </c>
      <c r="D28445" s="8" t="inlineStr">
        <is>
          <t>Disney Adventure World</t>
        </is>
      </c>
      <c r="E28445" s="8" t="inlineStr">
        <is>
          <t>Cars Quatre Roues Rallye</t>
        </is>
      </c>
      <c r="F28445" s="8" t="inlineStr">
        <is>
          <t>STANDBY</t>
        </is>
      </c>
      <c r="G28445" s="8" t="n">
        <v>0</v>
      </c>
      <c r="H28445" s="8" t="inlineStr">
        <is>
          <t>CLOSED</t>
        </is>
      </c>
    </row>
    <row r="28446">
      <c r="A28446" s="8" t="inlineStr">
        <is>
          <t>2026-08-06</t>
        </is>
      </c>
      <c r="B28446" s="8" t="n">
        <v>8</v>
      </c>
      <c r="C28446" s="8" t="n">
        <v>1</v>
      </c>
      <c r="D28446" s="8" t="inlineStr">
        <is>
          <t>Disney Adventure World</t>
        </is>
      </c>
      <c r="E28446" s="8" t="inlineStr">
        <is>
          <t>Cars ROAD TRIP</t>
        </is>
      </c>
      <c r="F28446" s="8" t="inlineStr">
        <is>
          <t>STANDBY</t>
        </is>
      </c>
      <c r="G28446" s="8" t="n">
        <v>0</v>
      </c>
      <c r="H28446" s="8" t="inlineStr">
        <is>
          <t>CLOSED</t>
        </is>
      </c>
    </row>
    <row r="28447">
      <c r="A28447" s="8" t="inlineStr">
        <is>
          <t>2026-08-06</t>
        </is>
      </c>
      <c r="B28447" s="8" t="n">
        <v>8</v>
      </c>
      <c r="C28447" s="8" t="n">
        <v>1</v>
      </c>
      <c r="D28447" s="8" t="inlineStr">
        <is>
          <t>Disney Adventure World</t>
        </is>
      </c>
      <c r="E28447" s="8" t="inlineStr">
        <is>
          <t>Crush's Coaster</t>
        </is>
      </c>
      <c r="F28447" s="8" t="inlineStr">
        <is>
          <t>STANDBY</t>
        </is>
      </c>
      <c r="G28447" s="8" t="n">
        <v>0</v>
      </c>
      <c r="H28447" s="8" t="inlineStr">
        <is>
          <t>CLOSED</t>
        </is>
      </c>
    </row>
    <row r="28448">
      <c r="A28448" s="8" t="inlineStr">
        <is>
          <t>2026-08-06</t>
        </is>
      </c>
      <c r="B28448" s="8" t="n">
        <v>8</v>
      </c>
      <c r="C28448" s="8" t="n">
        <v>1</v>
      </c>
      <c r="D28448" s="8" t="inlineStr">
        <is>
          <t>Disney Adventure World</t>
        </is>
      </c>
      <c r="E28448" s="8" t="inlineStr">
        <is>
          <t>Crush's Coaster Single Rider</t>
        </is>
      </c>
      <c r="F28448" s="8" t="inlineStr">
        <is>
          <t>STANDBY</t>
        </is>
      </c>
      <c r="G28448" s="8" t="n">
        <v>0</v>
      </c>
      <c r="H28448" s="8" t="inlineStr">
        <is>
          <t>CLOSED</t>
        </is>
      </c>
    </row>
    <row r="28449">
      <c r="A28449" s="8" t="inlineStr">
        <is>
          <t>2026-08-06</t>
        </is>
      </c>
      <c r="B28449" s="8" t="n">
        <v>8</v>
      </c>
      <c r="C28449" s="8" t="n">
        <v>1</v>
      </c>
      <c r="D28449" s="8" t="inlineStr">
        <is>
          <t>Disney Adventure World</t>
        </is>
      </c>
      <c r="E28449" s="8" t="inlineStr">
        <is>
          <t>Les Tapis Volants - Flying Carpets Over Agrabah®</t>
        </is>
      </c>
      <c r="F28449" s="8" t="inlineStr">
        <is>
          <t>STANDBY</t>
        </is>
      </c>
      <c r="G28449" s="8" t="n">
        <v>0</v>
      </c>
      <c r="H28449" s="8" t="inlineStr">
        <is>
          <t>CLOSED</t>
        </is>
      </c>
    </row>
    <row r="28450">
      <c r="A28450" s="8" t="inlineStr">
        <is>
          <t>2026-08-06</t>
        </is>
      </c>
      <c r="B28450" s="8" t="n">
        <v>8</v>
      </c>
      <c r="C28450" s="8" t="n">
        <v>1</v>
      </c>
      <c r="D28450" s="8" t="inlineStr">
        <is>
          <t>Disney Adventure World</t>
        </is>
      </c>
      <c r="E28450" s="8" t="inlineStr">
        <is>
          <t>Ratatouille : L’Aventure Totalement Toquée de Rémy​</t>
        </is>
      </c>
      <c r="F28450" s="8" t="inlineStr">
        <is>
          <t>STANDBY</t>
        </is>
      </c>
      <c r="G28450" s="8" t="n">
        <v>0</v>
      </c>
      <c r="H28450" s="8" t="inlineStr">
        <is>
          <t>CLOSED</t>
        </is>
      </c>
    </row>
    <row r="28451">
      <c r="A28451" s="8" t="inlineStr">
        <is>
          <t>2026-08-06</t>
        </is>
      </c>
      <c r="B28451" s="8" t="n">
        <v>8</v>
      </c>
      <c r="C28451" s="8" t="n">
        <v>1</v>
      </c>
      <c r="D28451" s="8" t="inlineStr">
        <is>
          <t>Disney Adventure World</t>
        </is>
      </c>
      <c r="E28451" s="8" t="inlineStr">
        <is>
          <t>Ratatouille: The Adventure Single Rider</t>
        </is>
      </c>
      <c r="F28451" s="8" t="inlineStr">
        <is>
          <t>STANDBY</t>
        </is>
      </c>
      <c r="G28451" s="8" t="n">
        <v>0</v>
      </c>
      <c r="H28451" s="8" t="inlineStr">
        <is>
          <t>CLOSED</t>
        </is>
      </c>
    </row>
    <row r="28452">
      <c r="A28452" s="8" t="inlineStr">
        <is>
          <t>2026-08-06</t>
        </is>
      </c>
      <c r="B28452" s="8" t="n">
        <v>8</v>
      </c>
      <c r="C28452" s="8" t="n">
        <v>1</v>
      </c>
      <c r="D28452" s="8" t="inlineStr">
        <is>
          <t>Disney Adventure World</t>
        </is>
      </c>
      <c r="E28452" s="8" t="inlineStr">
        <is>
          <t>RC Racer</t>
        </is>
      </c>
      <c r="F28452" s="8" t="inlineStr">
        <is>
          <t>STANDBY</t>
        </is>
      </c>
      <c r="G28452" s="8" t="n">
        <v>0</v>
      </c>
      <c r="H28452" s="8" t="inlineStr">
        <is>
          <t>CLOSED</t>
        </is>
      </c>
    </row>
    <row r="28453">
      <c r="A28453" s="8" t="inlineStr">
        <is>
          <t>2026-08-06</t>
        </is>
      </c>
      <c r="B28453" s="8" t="n">
        <v>8</v>
      </c>
      <c r="C28453" s="8" t="n">
        <v>1</v>
      </c>
      <c r="D28453" s="8" t="inlineStr">
        <is>
          <t>Disney Adventure World</t>
        </is>
      </c>
      <c r="E28453" s="8" t="inlineStr">
        <is>
          <t>RC Racer Single Rider</t>
        </is>
      </c>
      <c r="F28453" s="8" t="inlineStr">
        <is>
          <t>STANDBY</t>
        </is>
      </c>
      <c r="G28453" s="8" t="n">
        <v>0</v>
      </c>
      <c r="H28453" s="8" t="inlineStr">
        <is>
          <t>CLOSED</t>
        </is>
      </c>
    </row>
    <row r="28454">
      <c r="A28454" s="8" t="inlineStr">
        <is>
          <t>2026-08-06</t>
        </is>
      </c>
      <c r="B28454" s="8" t="n">
        <v>8</v>
      </c>
      <c r="C28454" s="8" t="n">
        <v>1</v>
      </c>
      <c r="D28454" s="8" t="inlineStr">
        <is>
          <t>Disney Adventure World</t>
        </is>
      </c>
      <c r="E28454" s="8" t="inlineStr">
        <is>
          <t>Slinky® Dog Zigzag Spin</t>
        </is>
      </c>
      <c r="F28454" s="8" t="inlineStr">
        <is>
          <t>STANDBY</t>
        </is>
      </c>
      <c r="G28454" s="8" t="n">
        <v>0</v>
      </c>
      <c r="H28454" s="8" t="inlineStr">
        <is>
          <t>CLOSED</t>
        </is>
      </c>
    </row>
    <row r="28455">
      <c r="A28455" s="8" t="inlineStr">
        <is>
          <t>2026-08-06</t>
        </is>
      </c>
      <c r="B28455" s="8" t="n">
        <v>8</v>
      </c>
      <c r="C28455" s="8" t="n">
        <v>1</v>
      </c>
      <c r="D28455" s="8" t="inlineStr">
        <is>
          <t>Disney Adventure World</t>
        </is>
      </c>
      <c r="E28455" s="8" t="inlineStr">
        <is>
          <t>Toy Soldiers Parachute Drop</t>
        </is>
      </c>
      <c r="F28455" s="8" t="inlineStr">
        <is>
          <t>STANDBY</t>
        </is>
      </c>
      <c r="G28455" s="8" t="n">
        <v>0</v>
      </c>
      <c r="H28455" s="8" t="inlineStr">
        <is>
          <t>CLOSED</t>
        </is>
      </c>
    </row>
    <row r="28456">
      <c r="A28456" s="8" t="inlineStr">
        <is>
          <t>2026-08-06</t>
        </is>
      </c>
      <c r="B28456" s="8" t="n">
        <v>8</v>
      </c>
      <c r="C28456" s="8" t="n">
        <v>1</v>
      </c>
      <c r="D28456" s="8" t="inlineStr">
        <is>
          <t>Disney Adventure World</t>
        </is>
      </c>
      <c r="E28456" s="8" t="inlineStr">
        <is>
          <t>Toy Soldiers Parachute Drop Single Rider</t>
        </is>
      </c>
      <c r="F28456" s="8" t="inlineStr">
        <is>
          <t>STANDBY</t>
        </is>
      </c>
      <c r="G28456" s="8" t="n">
        <v>0</v>
      </c>
      <c r="H28456" s="8" t="inlineStr">
        <is>
          <t>CLOSED</t>
        </is>
      </c>
    </row>
    <row r="28457">
      <c r="A28457" s="8" t="inlineStr">
        <is>
          <t>2026-08-06</t>
        </is>
      </c>
      <c r="B28457" s="8" t="n">
        <v>8</v>
      </c>
      <c r="C28457" s="8" t="n">
        <v>1</v>
      </c>
      <c r="D28457" s="8" t="inlineStr">
        <is>
          <t>Disney Adventure World</t>
        </is>
      </c>
      <c r="E28457" s="8" t="inlineStr">
        <is>
          <t>Entry to World of Frozen</t>
        </is>
      </c>
      <c r="F28457" s="8" t="inlineStr">
        <is>
          <t>STANDBY</t>
        </is>
      </c>
      <c r="G28457" s="8" t="n">
        <v>0</v>
      </c>
      <c r="H28457" s="8" t="inlineStr">
        <is>
          <t>CLOSED</t>
        </is>
      </c>
    </row>
    <row r="28458">
      <c r="A28458" s="8" t="inlineStr">
        <is>
          <t>2026-08-06</t>
        </is>
      </c>
      <c r="B28458" s="8" t="n">
        <v>8</v>
      </c>
      <c r="C28458" s="8" t="n">
        <v>1</v>
      </c>
      <c r="D28458" s="8" t="inlineStr">
        <is>
          <t>Disney Adventure World</t>
        </is>
      </c>
      <c r="E28458" s="8" t="inlineStr">
        <is>
          <t>Frozen Ever After</t>
        </is>
      </c>
      <c r="F28458" s="8" t="inlineStr">
        <is>
          <t>STANDBY</t>
        </is>
      </c>
      <c r="G28458" s="8" t="n">
        <v>0</v>
      </c>
      <c r="H28458" s="8" t="inlineStr">
        <is>
          <t>CLOSED</t>
        </is>
      </c>
    </row>
    <row r="28459">
      <c r="A28459" s="8" t="inlineStr">
        <is>
          <t>2026-08-06</t>
        </is>
      </c>
      <c r="B28459" s="8" t="n">
        <v>8</v>
      </c>
      <c r="C28459" s="8" t="n">
        <v>1</v>
      </c>
      <c r="D28459" s="8" t="inlineStr">
        <is>
          <t>Disney Adventure World</t>
        </is>
      </c>
      <c r="E28459" s="8" t="inlineStr">
        <is>
          <t>Raiponce Tangled Spin</t>
        </is>
      </c>
      <c r="F28459" s="8" t="inlineStr">
        <is>
          <t>STANDBY</t>
        </is>
      </c>
      <c r="G28459" s="8" t="n">
        <v>0</v>
      </c>
      <c r="H28459" s="8" t="inlineStr">
        <is>
          <t>CLOSED</t>
        </is>
      </c>
    </row>
    <row r="28460">
      <c r="A28460" s="8" t="inlineStr">
        <is>
          <t>2026-08-06</t>
        </is>
      </c>
      <c r="B28460" s="8" t="n">
        <v>8</v>
      </c>
      <c r="C28460" s="8" t="n">
        <v>15</v>
      </c>
      <c r="D28460" s="8" t="inlineStr">
        <is>
          <t>Disneyland Park</t>
        </is>
      </c>
      <c r="E28460" s="8" t="inlineStr">
        <is>
          <t>Adventure Isle</t>
        </is>
      </c>
      <c r="F28460" s="8" t="inlineStr">
        <is>
          <t>STANDBY</t>
        </is>
      </c>
      <c r="G28460" s="8" t="n">
        <v>0</v>
      </c>
      <c r="H28460" s="8" t="inlineStr">
        <is>
          <t>CLOSED</t>
        </is>
      </c>
    </row>
    <row r="28461">
      <c r="A28461" s="8" t="inlineStr">
        <is>
          <t>2026-08-06</t>
        </is>
      </c>
      <c r="B28461" s="8" t="n">
        <v>8</v>
      </c>
      <c r="C28461" s="8" t="n">
        <v>15</v>
      </c>
      <c r="D28461" s="8" t="inlineStr">
        <is>
          <t>Disneyland Park</t>
        </is>
      </c>
      <c r="E28461" s="8" t="inlineStr">
        <is>
          <t>Indiana Jones and the Temple of Peril Single Rider</t>
        </is>
      </c>
      <c r="F28461" s="8" t="inlineStr">
        <is>
          <t>STANDBY</t>
        </is>
      </c>
      <c r="G28461" s="8" t="n">
        <v>0</v>
      </c>
      <c r="H28461" s="8" t="inlineStr">
        <is>
          <t>CLOSED</t>
        </is>
      </c>
    </row>
    <row r="28462">
      <c r="A28462" s="8" t="inlineStr">
        <is>
          <t>2026-08-06</t>
        </is>
      </c>
      <c r="B28462" s="8" t="n">
        <v>8</v>
      </c>
      <c r="C28462" s="8" t="n">
        <v>15</v>
      </c>
      <c r="D28462" s="8" t="inlineStr">
        <is>
          <t>Disneyland Park</t>
        </is>
      </c>
      <c r="E28462" s="8" t="inlineStr">
        <is>
          <t>Indiana Jones™ and the Temple of Peril</t>
        </is>
      </c>
      <c r="F28462" s="8" t="inlineStr">
        <is>
          <t>STANDBY</t>
        </is>
      </c>
      <c r="G28462" s="8" t="n">
        <v>0</v>
      </c>
      <c r="H28462" s="8" t="inlineStr">
        <is>
          <t>CLOSED</t>
        </is>
      </c>
    </row>
    <row r="28463">
      <c r="A28463" s="8" t="inlineStr">
        <is>
          <t>2026-08-06</t>
        </is>
      </c>
      <c r="B28463" s="8" t="n">
        <v>8</v>
      </c>
      <c r="C28463" s="8" t="n">
        <v>15</v>
      </c>
      <c r="D28463" s="8" t="inlineStr">
        <is>
          <t>Disneyland Park</t>
        </is>
      </c>
      <c r="E28463" s="8" t="inlineStr">
        <is>
          <t>La Cabane des Robinson</t>
        </is>
      </c>
      <c r="F28463" s="8" t="inlineStr">
        <is>
          <t>STANDBY</t>
        </is>
      </c>
      <c r="G28463" s="8" t="n">
        <v>0</v>
      </c>
      <c r="H28463" s="8" t="inlineStr">
        <is>
          <t>CLOSED</t>
        </is>
      </c>
    </row>
    <row r="28464">
      <c r="A28464" s="8" t="inlineStr">
        <is>
          <t>2026-08-06</t>
        </is>
      </c>
      <c r="B28464" s="8" t="n">
        <v>8</v>
      </c>
      <c r="C28464" s="8" t="n">
        <v>15</v>
      </c>
      <c r="D28464" s="8" t="inlineStr">
        <is>
          <t>Disneyland Park</t>
        </is>
      </c>
      <c r="E28464" s="8" t="inlineStr">
        <is>
          <t>Le Passage Enchanté d'Aladdin</t>
        </is>
      </c>
      <c r="F28464" s="8" t="inlineStr">
        <is>
          <t>STANDBY</t>
        </is>
      </c>
      <c r="G28464" s="8" t="n">
        <v>0</v>
      </c>
      <c r="H28464" s="8" t="inlineStr">
        <is>
          <t>CLOSED</t>
        </is>
      </c>
    </row>
    <row r="28465">
      <c r="A28465" s="8" t="inlineStr">
        <is>
          <t>2026-08-06</t>
        </is>
      </c>
      <c r="B28465" s="8" t="n">
        <v>8</v>
      </c>
      <c r="C28465" s="8" t="n">
        <v>15</v>
      </c>
      <c r="D28465" s="8" t="inlineStr">
        <is>
          <t>Disneyland Park</t>
        </is>
      </c>
      <c r="E28465" s="8" t="inlineStr">
        <is>
          <t>Pirate Galleon</t>
        </is>
      </c>
      <c r="F28465" s="8" t="inlineStr">
        <is>
          <t>STANDBY</t>
        </is>
      </c>
      <c r="G28465" s="8" t="n">
        <v>0</v>
      </c>
      <c r="H28465" s="8" t="inlineStr">
        <is>
          <t>CLOSED</t>
        </is>
      </c>
    </row>
    <row r="28466">
      <c r="A28466" s="8" t="inlineStr">
        <is>
          <t>2026-08-06</t>
        </is>
      </c>
      <c r="B28466" s="8" t="n">
        <v>8</v>
      </c>
      <c r="C28466" s="8" t="n">
        <v>15</v>
      </c>
      <c r="D28466" s="8" t="inlineStr">
        <is>
          <t>Disneyland Park</t>
        </is>
      </c>
      <c r="E28466" s="8" t="inlineStr">
        <is>
          <t>Pirates of the Caribbean</t>
        </is>
      </c>
      <c r="F28466" s="8" t="inlineStr">
        <is>
          <t>STANDBY</t>
        </is>
      </c>
      <c r="G28466" s="8" t="n">
        <v>0</v>
      </c>
      <c r="H28466" s="8" t="inlineStr">
        <is>
          <t>CLOSED</t>
        </is>
      </c>
    </row>
    <row r="28467">
      <c r="A28467" s="8" t="inlineStr">
        <is>
          <t>2026-08-06</t>
        </is>
      </c>
      <c r="B28467" s="8" t="n">
        <v>8</v>
      </c>
      <c r="C28467" s="8" t="n">
        <v>15</v>
      </c>
      <c r="D28467" s="8" t="inlineStr">
        <is>
          <t>Disneyland Park</t>
        </is>
      </c>
      <c r="E28467" s="8" t="inlineStr">
        <is>
          <t>Pirates' Beach</t>
        </is>
      </c>
      <c r="F28467" s="8" t="inlineStr">
        <is>
          <t>STANDBY</t>
        </is>
      </c>
      <c r="G28467" s="8" t="n">
        <v>0</v>
      </c>
      <c r="H28467" s="8" t="inlineStr">
        <is>
          <t>CLOSED</t>
        </is>
      </c>
    </row>
    <row r="28468">
      <c r="A28468" s="8" t="inlineStr">
        <is>
          <t>2026-08-06</t>
        </is>
      </c>
      <c r="B28468" s="8" t="n">
        <v>8</v>
      </c>
      <c r="C28468" s="8" t="n">
        <v>15</v>
      </c>
      <c r="D28468" s="8" t="inlineStr">
        <is>
          <t>Disneyland Park</t>
        </is>
      </c>
      <c r="E28468" s="8" t="inlineStr">
        <is>
          <t>Autopia, presented by Avis</t>
        </is>
      </c>
      <c r="F28468" s="8" t="inlineStr">
        <is>
          <t>STANDBY</t>
        </is>
      </c>
      <c r="G28468" s="8" t="n">
        <v>0</v>
      </c>
      <c r="H28468" s="8" t="inlineStr">
        <is>
          <t>CLOSED</t>
        </is>
      </c>
    </row>
    <row r="28469">
      <c r="A28469" s="8" t="inlineStr">
        <is>
          <t>2026-08-06</t>
        </is>
      </c>
      <c r="B28469" s="8" t="n">
        <v>8</v>
      </c>
      <c r="C28469" s="8" t="n">
        <v>15</v>
      </c>
      <c r="D28469" s="8" t="inlineStr">
        <is>
          <t>Disneyland Park</t>
        </is>
      </c>
      <c r="E28469" s="8" t="inlineStr">
        <is>
          <t>Buzz Lightyear Laser Blast</t>
        </is>
      </c>
      <c r="F28469" s="8" t="inlineStr">
        <is>
          <t>STANDBY</t>
        </is>
      </c>
      <c r="G28469" s="8" t="n">
        <v>0</v>
      </c>
      <c r="H28469" s="8" t="inlineStr">
        <is>
          <t>CLOSED</t>
        </is>
      </c>
    </row>
    <row r="28470">
      <c r="A28470" s="8" t="inlineStr">
        <is>
          <t>2026-08-06</t>
        </is>
      </c>
      <c r="B28470" s="8" t="n">
        <v>8</v>
      </c>
      <c r="C28470" s="8" t="n">
        <v>15</v>
      </c>
      <c r="D28470" s="8" t="inlineStr">
        <is>
          <t>Disneyland Park</t>
        </is>
      </c>
      <c r="E28470" s="8" t="inlineStr">
        <is>
          <t>Disneyland Railroad Discoveryland Station</t>
        </is>
      </c>
      <c r="F28470" s="8" t="inlineStr">
        <is>
          <t>STANDBY</t>
        </is>
      </c>
      <c r="G28470" s="8" t="n">
        <v>0</v>
      </c>
      <c r="H28470" s="8" t="inlineStr">
        <is>
          <t>CLOSED</t>
        </is>
      </c>
    </row>
    <row r="28471">
      <c r="A28471" s="8" t="inlineStr">
        <is>
          <t>2026-08-06</t>
        </is>
      </c>
      <c r="B28471" s="8" t="n">
        <v>8</v>
      </c>
      <c r="C28471" s="8" t="n">
        <v>15</v>
      </c>
      <c r="D28471" s="8" t="inlineStr">
        <is>
          <t>Disneyland Park</t>
        </is>
      </c>
      <c r="E28471" s="8" t="inlineStr">
        <is>
          <t>Les Mystères du Nautilus</t>
        </is>
      </c>
      <c r="F28471" s="8" t="inlineStr">
        <is>
          <t>STANDBY</t>
        </is>
      </c>
      <c r="G28471" s="8" t="n">
        <v>0</v>
      </c>
      <c r="H28471" s="8" t="inlineStr">
        <is>
          <t>CLOSED</t>
        </is>
      </c>
    </row>
    <row r="28472">
      <c r="A28472" s="8" t="inlineStr">
        <is>
          <t>2026-08-06</t>
        </is>
      </c>
      <c r="B28472" s="8" t="n">
        <v>8</v>
      </c>
      <c r="C28472" s="8" t="n">
        <v>15</v>
      </c>
      <c r="D28472" s="8" t="inlineStr">
        <is>
          <t>Disneyland Park</t>
        </is>
      </c>
      <c r="E28472" s="8" t="inlineStr">
        <is>
          <t>Mickey’s PhilharMagic</t>
        </is>
      </c>
      <c r="F28472" s="8" t="inlineStr">
        <is>
          <t>STANDBY</t>
        </is>
      </c>
      <c r="G28472" s="8" t="n">
        <v>0</v>
      </c>
      <c r="H28472" s="8" t="inlineStr">
        <is>
          <t>CLOSED</t>
        </is>
      </c>
    </row>
    <row r="28473">
      <c r="A28473" s="8" t="inlineStr">
        <is>
          <t>2026-08-06</t>
        </is>
      </c>
      <c r="B28473" s="8" t="n">
        <v>8</v>
      </c>
      <c r="C28473" s="8" t="n">
        <v>15</v>
      </c>
      <c r="D28473" s="8" t="inlineStr">
        <is>
          <t>Disneyland Park</t>
        </is>
      </c>
      <c r="E28473" s="8" t="inlineStr">
        <is>
          <t>Orbitron®</t>
        </is>
      </c>
      <c r="F28473" s="8" t="inlineStr">
        <is>
          <t>STANDBY</t>
        </is>
      </c>
      <c r="G28473" s="8" t="n">
        <v>0</v>
      </c>
      <c r="H28473" s="8" t="inlineStr">
        <is>
          <t>CLOSED</t>
        </is>
      </c>
    </row>
    <row r="28474">
      <c r="A28474" s="8" t="inlineStr">
        <is>
          <t>2026-08-06</t>
        </is>
      </c>
      <c r="B28474" s="8" t="n">
        <v>8</v>
      </c>
      <c r="C28474" s="8" t="n">
        <v>15</v>
      </c>
      <c r="D28474" s="8" t="inlineStr">
        <is>
          <t>Disneyland Park</t>
        </is>
      </c>
      <c r="E28474" s="8" t="inlineStr">
        <is>
          <t>Star Tours: The Adventures Continue*</t>
        </is>
      </c>
      <c r="F28474" s="8" t="inlineStr">
        <is>
          <t>STANDBY</t>
        </is>
      </c>
      <c r="G28474" s="8" t="n">
        <v>0</v>
      </c>
      <c r="H28474" s="8" t="inlineStr">
        <is>
          <t>CLOSED</t>
        </is>
      </c>
    </row>
    <row r="28475">
      <c r="A28475" s="8" t="inlineStr">
        <is>
          <t>2026-08-06</t>
        </is>
      </c>
      <c r="B28475" s="8" t="n">
        <v>8</v>
      </c>
      <c r="C28475" s="8" t="n">
        <v>15</v>
      </c>
      <c r="D28475" s="8" t="inlineStr">
        <is>
          <t>Disneyland Park</t>
        </is>
      </c>
      <c r="E28475" s="8" t="inlineStr">
        <is>
          <t>Star Wars Hyperspace Mountain</t>
        </is>
      </c>
      <c r="F28475" s="8" t="inlineStr">
        <is>
          <t>STANDBY</t>
        </is>
      </c>
      <c r="G28475" s="8" t="n">
        <v>0</v>
      </c>
      <c r="H28475" s="8" t="inlineStr">
        <is>
          <t>CLOSED</t>
        </is>
      </c>
    </row>
    <row r="28476">
      <c r="A28476" s="8" t="inlineStr">
        <is>
          <t>2026-08-06</t>
        </is>
      </c>
      <c r="B28476" s="8" t="n">
        <v>8</v>
      </c>
      <c r="C28476" s="8" t="n">
        <v>15</v>
      </c>
      <c r="D28476" s="8" t="inlineStr">
        <is>
          <t>Disneyland Park</t>
        </is>
      </c>
      <c r="E28476" s="8" t="inlineStr">
        <is>
          <t>Star Wars Hyperspace Mountain Single Rider</t>
        </is>
      </c>
      <c r="F28476" s="8" t="inlineStr">
        <is>
          <t>STANDBY</t>
        </is>
      </c>
      <c r="G28476" s="8" t="n">
        <v>0</v>
      </c>
      <c r="H28476" s="8" t="inlineStr">
        <is>
          <t>CLOSED</t>
        </is>
      </c>
    </row>
    <row r="28477">
      <c r="A28477" s="8" t="inlineStr">
        <is>
          <t>2026-08-06</t>
        </is>
      </c>
      <c r="B28477" s="8" t="n">
        <v>8</v>
      </c>
      <c r="C28477" s="8" t="n">
        <v>15</v>
      </c>
      <c r="D28477" s="8" t="inlineStr">
        <is>
          <t>Disneyland Park</t>
        </is>
      </c>
      <c r="E28477" s="8" t="inlineStr">
        <is>
          <t>Welcome to Starport: A Star Wars Encounter</t>
        </is>
      </c>
      <c r="F28477" s="8" t="inlineStr">
        <is>
          <t>STANDBY</t>
        </is>
      </c>
      <c r="G28477" s="8" t="n">
        <v>0</v>
      </c>
      <c r="H28477" s="8" t="inlineStr">
        <is>
          <t>CLOSED</t>
        </is>
      </c>
    </row>
    <row r="28478">
      <c r="A28478" s="8" t="inlineStr">
        <is>
          <t>2026-08-06</t>
        </is>
      </c>
      <c r="B28478" s="8" t="n">
        <v>8</v>
      </c>
      <c r="C28478" s="8" t="n">
        <v>15</v>
      </c>
      <c r="D28478" s="8" t="inlineStr">
        <is>
          <t>Disneyland Park</t>
        </is>
      </c>
      <c r="E28478" s="8" t="inlineStr">
        <is>
          <t>"it's a small world"</t>
        </is>
      </c>
      <c r="F28478" s="8" t="inlineStr">
        <is>
          <t>STANDBY</t>
        </is>
      </c>
      <c r="G28478" s="8" t="n">
        <v>0</v>
      </c>
      <c r="H28478" s="8" t="inlineStr">
        <is>
          <t>CLOSED</t>
        </is>
      </c>
    </row>
    <row r="28479">
      <c r="A28479" s="8" t="inlineStr">
        <is>
          <t>2026-08-06</t>
        </is>
      </c>
      <c r="B28479" s="8" t="n">
        <v>8</v>
      </c>
      <c r="C28479" s="8" t="n">
        <v>15</v>
      </c>
      <c r="D28479" s="8" t="inlineStr">
        <is>
          <t>Disneyland Park</t>
        </is>
      </c>
      <c r="E28479" s="8" t="inlineStr">
        <is>
          <t>Alice's Curious Labyrinth</t>
        </is>
      </c>
      <c r="F28479" s="8" t="inlineStr">
        <is>
          <t>STANDBY</t>
        </is>
      </c>
      <c r="G28479" s="8" t="n">
        <v>0</v>
      </c>
      <c r="H28479" s="8" t="inlineStr">
        <is>
          <t>CLOSED</t>
        </is>
      </c>
    </row>
    <row r="28480">
      <c r="A28480" s="8" t="inlineStr">
        <is>
          <t>2026-08-06</t>
        </is>
      </c>
      <c r="B28480" s="8" t="n">
        <v>8</v>
      </c>
      <c r="C28480" s="8" t="n">
        <v>15</v>
      </c>
      <c r="D28480" s="8" t="inlineStr">
        <is>
          <t>Disneyland Park</t>
        </is>
      </c>
      <c r="E28480" s="8" t="inlineStr">
        <is>
          <t>Blanche-Neige et les Sept Nains®</t>
        </is>
      </c>
      <c r="F28480" s="8" t="inlineStr">
        <is>
          <t>STANDBY</t>
        </is>
      </c>
      <c r="G28480" s="8" t="n">
        <v>0</v>
      </c>
      <c r="H28480" s="8" t="inlineStr">
        <is>
          <t>CLOSED</t>
        </is>
      </c>
    </row>
    <row r="28481">
      <c r="A28481" s="8" t="inlineStr">
        <is>
          <t>2026-08-06</t>
        </is>
      </c>
      <c r="B28481" s="8" t="n">
        <v>8</v>
      </c>
      <c r="C28481" s="8" t="n">
        <v>15</v>
      </c>
      <c r="D28481" s="8" t="inlineStr">
        <is>
          <t>Disneyland Park</t>
        </is>
      </c>
      <c r="E28481" s="8" t="inlineStr">
        <is>
          <t>Casey Jr. – le Petit Train du Cirque</t>
        </is>
      </c>
      <c r="F28481" s="8" t="inlineStr">
        <is>
          <t>STANDBY</t>
        </is>
      </c>
      <c r="G28481" s="8" t="n">
        <v>0</v>
      </c>
      <c r="H28481" s="8" t="inlineStr">
        <is>
          <t>CLOSED</t>
        </is>
      </c>
    </row>
    <row r="28482">
      <c r="A28482" s="8" t="inlineStr">
        <is>
          <t>2026-08-06</t>
        </is>
      </c>
      <c r="B28482" s="8" t="n">
        <v>8</v>
      </c>
      <c r="C28482" s="8" t="n">
        <v>15</v>
      </c>
      <c r="D28482" s="8" t="inlineStr">
        <is>
          <t>Disneyland Park</t>
        </is>
      </c>
      <c r="E28482" s="8" t="inlineStr">
        <is>
          <t>Disneyland Railroad Fantasyland Station</t>
        </is>
      </c>
      <c r="F28482" s="8" t="inlineStr">
        <is>
          <t>STANDBY</t>
        </is>
      </c>
      <c r="G28482" s="8" t="n">
        <v>0</v>
      </c>
      <c r="H28482" s="8" t="inlineStr">
        <is>
          <t>CLOSED</t>
        </is>
      </c>
    </row>
    <row r="28483">
      <c r="A28483" s="8" t="inlineStr">
        <is>
          <t>2026-08-06</t>
        </is>
      </c>
      <c r="B28483" s="8" t="n">
        <v>8</v>
      </c>
      <c r="C28483" s="8" t="n">
        <v>15</v>
      </c>
      <c r="D28483" s="8" t="inlineStr">
        <is>
          <t>Disneyland Park</t>
        </is>
      </c>
      <c r="E28483" s="8" t="inlineStr">
        <is>
          <t>Disneyland Railroad Main Street Station</t>
        </is>
      </c>
      <c r="F28483" s="8" t="inlineStr">
        <is>
          <t>STANDBY</t>
        </is>
      </c>
      <c r="G28483" s="8" t="n">
        <v>0</v>
      </c>
      <c r="H28483" s="8" t="inlineStr">
        <is>
          <t>CLOSED</t>
        </is>
      </c>
    </row>
    <row r="28484">
      <c r="A28484" s="8" t="inlineStr">
        <is>
          <t>2026-08-06</t>
        </is>
      </c>
      <c r="B28484" s="8" t="n">
        <v>8</v>
      </c>
      <c r="C28484" s="8" t="n">
        <v>15</v>
      </c>
      <c r="D28484" s="8" t="inlineStr">
        <is>
          <t>Disneyland Park</t>
        </is>
      </c>
      <c r="E28484" s="8" t="inlineStr">
        <is>
          <t>Dumbo the Flying Elephant</t>
        </is>
      </c>
      <c r="F28484" s="8" t="inlineStr">
        <is>
          <t>STANDBY</t>
        </is>
      </c>
      <c r="G28484" s="8" t="n">
        <v>0</v>
      </c>
      <c r="H28484" s="8" t="inlineStr">
        <is>
          <t>CLOSED</t>
        </is>
      </c>
    </row>
    <row r="28485">
      <c r="A28485" s="8" t="inlineStr">
        <is>
          <t>2026-08-06</t>
        </is>
      </c>
      <c r="B28485" s="8" t="n">
        <v>8</v>
      </c>
      <c r="C28485" s="8" t="n">
        <v>15</v>
      </c>
      <c r="D28485" s="8" t="inlineStr">
        <is>
          <t>Disneyland Park</t>
        </is>
      </c>
      <c r="E28485" s="8" t="inlineStr">
        <is>
          <t>La Tanière du Dragon</t>
        </is>
      </c>
      <c r="F28485" s="8" t="inlineStr">
        <is>
          <t>STANDBY</t>
        </is>
      </c>
      <c r="G28485" s="8" t="n">
        <v>0</v>
      </c>
      <c r="H28485" s="8" t="inlineStr">
        <is>
          <t>CLOSED</t>
        </is>
      </c>
    </row>
    <row r="28486">
      <c r="A28486" s="8" t="inlineStr">
        <is>
          <t>2026-08-06</t>
        </is>
      </c>
      <c r="B28486" s="8" t="n">
        <v>8</v>
      </c>
      <c r="C28486" s="8" t="n">
        <v>15</v>
      </c>
      <c r="D28486" s="8" t="inlineStr">
        <is>
          <t>Disneyland Park</t>
        </is>
      </c>
      <c r="E28486" s="8" t="inlineStr">
        <is>
          <t>Le Carrousel de Lancelot</t>
        </is>
      </c>
      <c r="F28486" s="8" t="inlineStr">
        <is>
          <t>STANDBY</t>
        </is>
      </c>
      <c r="G28486" s="8" t="n">
        <v>0</v>
      </c>
      <c r="H28486" s="8" t="inlineStr">
        <is>
          <t>CLOSED</t>
        </is>
      </c>
    </row>
    <row r="28487">
      <c r="A28487" s="8" t="inlineStr">
        <is>
          <t>2026-08-06</t>
        </is>
      </c>
      <c r="B28487" s="8" t="n">
        <v>8</v>
      </c>
      <c r="C28487" s="8" t="n">
        <v>15</v>
      </c>
      <c r="D28487" s="8" t="inlineStr">
        <is>
          <t>Disneyland Park</t>
        </is>
      </c>
      <c r="E28487" s="8" t="inlineStr">
        <is>
          <t>Le Pays des Contes de Fées, presented by Vittel</t>
        </is>
      </c>
      <c r="F28487" s="8" t="inlineStr">
        <is>
          <t>STANDBY</t>
        </is>
      </c>
      <c r="G28487" s="8" t="n">
        <v>0</v>
      </c>
      <c r="H28487" s="8" t="inlineStr">
        <is>
          <t>CLOSED</t>
        </is>
      </c>
    </row>
    <row r="28488">
      <c r="A28488" s="8" t="inlineStr">
        <is>
          <t>2026-08-06</t>
        </is>
      </c>
      <c r="B28488" s="8" t="n">
        <v>8</v>
      </c>
      <c r="C28488" s="8" t="n">
        <v>15</v>
      </c>
      <c r="D28488" s="8" t="inlineStr">
        <is>
          <t>Disneyland Park</t>
        </is>
      </c>
      <c r="E28488" s="8" t="inlineStr">
        <is>
          <t>Les Voyages de Pinocchio</t>
        </is>
      </c>
      <c r="F28488" s="8" t="inlineStr">
        <is>
          <t>STANDBY</t>
        </is>
      </c>
      <c r="G28488" s="8" t="n">
        <v>0</v>
      </c>
      <c r="H28488" s="8" t="inlineStr">
        <is>
          <t>CLOSED</t>
        </is>
      </c>
    </row>
    <row r="28489">
      <c r="A28489" s="8" t="inlineStr">
        <is>
          <t>2026-08-06</t>
        </is>
      </c>
      <c r="B28489" s="8" t="n">
        <v>8</v>
      </c>
      <c r="C28489" s="8" t="n">
        <v>15</v>
      </c>
      <c r="D28489" s="8" t="inlineStr">
        <is>
          <t>Disneyland Park</t>
        </is>
      </c>
      <c r="E28489" s="8" t="inlineStr">
        <is>
          <t>Mad Hatter's Tea Cups</t>
        </is>
      </c>
      <c r="F28489" s="8" t="inlineStr">
        <is>
          <t>STANDBY</t>
        </is>
      </c>
      <c r="G28489" s="8" t="n">
        <v>0</v>
      </c>
      <c r="H28489" s="8" t="inlineStr">
        <is>
          <t>CLOSED</t>
        </is>
      </c>
    </row>
    <row r="28490">
      <c r="A28490" s="8" t="inlineStr">
        <is>
          <t>2026-08-06</t>
        </is>
      </c>
      <c r="B28490" s="8" t="n">
        <v>8</v>
      </c>
      <c r="C28490" s="8" t="n">
        <v>15</v>
      </c>
      <c r="D28490" s="8" t="inlineStr">
        <is>
          <t>Disneyland Park</t>
        </is>
      </c>
      <c r="E28490" s="8" t="inlineStr">
        <is>
          <t>Meet Mickey Mouse</t>
        </is>
      </c>
      <c r="F28490" s="8" t="inlineStr">
        <is>
          <t>STANDBY</t>
        </is>
      </c>
      <c r="G28490" s="8" t="n">
        <v>0</v>
      </c>
      <c r="H28490" s="8" t="inlineStr">
        <is>
          <t>CLOSED</t>
        </is>
      </c>
    </row>
    <row r="28491">
      <c r="A28491" s="8" t="inlineStr">
        <is>
          <t>2026-08-06</t>
        </is>
      </c>
      <c r="B28491" s="8" t="n">
        <v>8</v>
      </c>
      <c r="C28491" s="8" t="n">
        <v>15</v>
      </c>
      <c r="D28491" s="8" t="inlineStr">
        <is>
          <t>Disneyland Park</t>
        </is>
      </c>
      <c r="E28491" s="8" t="inlineStr">
        <is>
          <t>Peter Pan's Flight</t>
        </is>
      </c>
      <c r="F28491" s="8" t="inlineStr">
        <is>
          <t>STANDBY</t>
        </is>
      </c>
      <c r="G28491" s="8" t="n">
        <v>0</v>
      </c>
      <c r="H28491" s="8" t="inlineStr">
        <is>
          <t>CLOSED</t>
        </is>
      </c>
    </row>
    <row r="28492">
      <c r="A28492" s="8" t="inlineStr">
        <is>
          <t>2026-08-06</t>
        </is>
      </c>
      <c r="B28492" s="8" t="n">
        <v>8</v>
      </c>
      <c r="C28492" s="8" t="n">
        <v>15</v>
      </c>
      <c r="D28492" s="8" t="inlineStr">
        <is>
          <t>Disneyland Park</t>
        </is>
      </c>
      <c r="E28492" s="8" t="inlineStr">
        <is>
          <t>Princess Pavilion</t>
        </is>
      </c>
      <c r="F28492" s="8" t="inlineStr">
        <is>
          <t>STANDBY</t>
        </is>
      </c>
      <c r="G28492" s="8" t="n">
        <v>0</v>
      </c>
      <c r="H28492" s="8" t="inlineStr">
        <is>
          <t>CLOSED</t>
        </is>
      </c>
    </row>
    <row r="28493">
      <c r="A28493" s="8" t="inlineStr">
        <is>
          <t>2026-08-06</t>
        </is>
      </c>
      <c r="B28493" s="8" t="n">
        <v>8</v>
      </c>
      <c r="C28493" s="8" t="n">
        <v>15</v>
      </c>
      <c r="D28493" s="8" t="inlineStr">
        <is>
          <t>Disneyland Park</t>
        </is>
      </c>
      <c r="E28493" s="8" t="inlineStr">
        <is>
          <t>Big Thunder Mountain</t>
        </is>
      </c>
      <c r="F28493" s="8" t="inlineStr">
        <is>
          <t>STANDBY</t>
        </is>
      </c>
      <c r="G28493" s="8" t="n">
        <v>0</v>
      </c>
      <c r="H28493" s="8" t="inlineStr">
        <is>
          <t>CLOSED</t>
        </is>
      </c>
    </row>
    <row r="28494">
      <c r="A28494" s="8" t="inlineStr">
        <is>
          <t>2026-08-06</t>
        </is>
      </c>
      <c r="B28494" s="8" t="n">
        <v>8</v>
      </c>
      <c r="C28494" s="8" t="n">
        <v>15</v>
      </c>
      <c r="D28494" s="8" t="inlineStr">
        <is>
          <t>Disneyland Park</t>
        </is>
      </c>
      <c r="E28494" s="8" t="inlineStr">
        <is>
          <t>Disneyland Railroad Frontierland Depot</t>
        </is>
      </c>
      <c r="F28494" s="8" t="inlineStr">
        <is>
          <t>STANDBY</t>
        </is>
      </c>
      <c r="G28494" s="8" t="n">
        <v>0</v>
      </c>
      <c r="H28494" s="8" t="inlineStr">
        <is>
          <t>CLOSED</t>
        </is>
      </c>
    </row>
    <row r="28495">
      <c r="A28495" s="8" t="inlineStr">
        <is>
          <t>2026-08-06</t>
        </is>
      </c>
      <c r="B28495" s="8" t="n">
        <v>8</v>
      </c>
      <c r="C28495" s="8" t="n">
        <v>15</v>
      </c>
      <c r="D28495" s="8" t="inlineStr">
        <is>
          <t>Disneyland Park</t>
        </is>
      </c>
      <c r="E28495" s="8" t="inlineStr">
        <is>
          <t>Frontierland Playground</t>
        </is>
      </c>
      <c r="F28495" s="8" t="inlineStr">
        <is>
          <t>STANDBY</t>
        </is>
      </c>
      <c r="G28495" s="8" t="n">
        <v>0</v>
      </c>
      <c r="H28495" s="8" t="inlineStr">
        <is>
          <t>CLOSED</t>
        </is>
      </c>
    </row>
    <row r="28496">
      <c r="A28496" s="8" t="inlineStr">
        <is>
          <t>2026-08-06</t>
        </is>
      </c>
      <c r="B28496" s="8" t="n">
        <v>8</v>
      </c>
      <c r="C28496" s="8" t="n">
        <v>15</v>
      </c>
      <c r="D28496" s="8" t="inlineStr">
        <is>
          <t>Disneyland Park</t>
        </is>
      </c>
      <c r="E28496" s="8" t="inlineStr">
        <is>
          <t>Phantom Manor</t>
        </is>
      </c>
      <c r="F28496" s="8" t="inlineStr">
        <is>
          <t>STANDBY</t>
        </is>
      </c>
      <c r="G28496" s="8" t="n">
        <v>0</v>
      </c>
      <c r="H28496" s="8" t="inlineStr">
        <is>
          <t>CLOSED</t>
        </is>
      </c>
    </row>
    <row r="28497">
      <c r="A28497" s="8" t="inlineStr">
        <is>
          <t>2026-08-06</t>
        </is>
      </c>
      <c r="B28497" s="8" t="n">
        <v>8</v>
      </c>
      <c r="C28497" s="8" t="n">
        <v>15</v>
      </c>
      <c r="D28497" s="8" t="inlineStr">
        <is>
          <t>Disneyland Park</t>
        </is>
      </c>
      <c r="E28497" s="8" t="inlineStr">
        <is>
          <t>River Rogue Keelboats</t>
        </is>
      </c>
      <c r="F28497" s="8" t="inlineStr">
        <is>
          <t>STANDBY</t>
        </is>
      </c>
      <c r="G28497" s="8" t="n">
        <v>0</v>
      </c>
      <c r="H28497" s="8" t="inlineStr">
        <is>
          <t>CLOSED</t>
        </is>
      </c>
    </row>
    <row r="28498">
      <c r="A28498" s="8" t="inlineStr">
        <is>
          <t>2026-08-06</t>
        </is>
      </c>
      <c r="B28498" s="8" t="n">
        <v>8</v>
      </c>
      <c r="C28498" s="8" t="n">
        <v>15</v>
      </c>
      <c r="D28498" s="8" t="inlineStr">
        <is>
          <t>Disneyland Park</t>
        </is>
      </c>
      <c r="E28498" s="8" t="inlineStr">
        <is>
          <t>Rustler Roundup Shootin' Gallery</t>
        </is>
      </c>
      <c r="F28498" s="8" t="inlineStr">
        <is>
          <t>STANDBY</t>
        </is>
      </c>
      <c r="G28498" s="8" t="n">
        <v>0</v>
      </c>
      <c r="H28498" s="8" t="inlineStr">
        <is>
          <t>CLOSED</t>
        </is>
      </c>
    </row>
    <row r="28499">
      <c r="A28499" s="8" t="inlineStr">
        <is>
          <t>2026-08-06</t>
        </is>
      </c>
      <c r="B28499" s="8" t="n">
        <v>8</v>
      </c>
      <c r="C28499" s="8" t="n">
        <v>15</v>
      </c>
      <c r="D28499" s="8" t="inlineStr">
        <is>
          <t>Disneyland Park</t>
        </is>
      </c>
      <c r="E28499" s="8" t="inlineStr">
        <is>
          <t>Thunder Mesa Riverboat Landing</t>
        </is>
      </c>
      <c r="F28499" s="8" t="inlineStr">
        <is>
          <t>STANDBY</t>
        </is>
      </c>
      <c r="G28499" s="8" t="n">
        <v>0</v>
      </c>
      <c r="H28499" s="8" t="inlineStr">
        <is>
          <t>CLOSED</t>
        </is>
      </c>
    </row>
    <row r="28500">
      <c r="A28500" s="8" t="inlineStr">
        <is>
          <t>2026-08-06</t>
        </is>
      </c>
      <c r="B28500" s="8" t="n">
        <v>8</v>
      </c>
      <c r="C28500" s="8" t="n">
        <v>15</v>
      </c>
      <c r="D28500" s="8" t="inlineStr">
        <is>
          <t>Disneyland Park</t>
        </is>
      </c>
      <c r="E28500" s="8" t="inlineStr">
        <is>
          <t>Disneyland Railroad Main Street Station</t>
        </is>
      </c>
      <c r="F28500" s="8" t="inlineStr">
        <is>
          <t>STANDBY</t>
        </is>
      </c>
      <c r="G28500" s="8" t="n">
        <v>0</v>
      </c>
      <c r="H28500" s="8" t="inlineStr">
        <is>
          <t>CLOSED</t>
        </is>
      </c>
    </row>
    <row r="28501">
      <c r="A28501" s="8" t="inlineStr">
        <is>
          <t>2026-08-06</t>
        </is>
      </c>
      <c r="B28501" s="8" t="n">
        <v>8</v>
      </c>
      <c r="C28501" s="8" t="n">
        <v>15</v>
      </c>
      <c r="D28501" s="8" t="inlineStr">
        <is>
          <t>Disneyland Park</t>
        </is>
      </c>
      <c r="E28501" s="8" t="inlineStr">
        <is>
          <t>Main Street Vehicles</t>
        </is>
      </c>
      <c r="F28501" s="8" t="inlineStr">
        <is>
          <t>STANDBY</t>
        </is>
      </c>
      <c r="G28501" s="8" t="n">
        <v>0</v>
      </c>
      <c r="H28501" s="8" t="inlineStr">
        <is>
          <t>CLOSED</t>
        </is>
      </c>
    </row>
    <row r="28502">
      <c r="A28502" s="8" t="inlineStr">
        <is>
          <t>2026-08-06</t>
        </is>
      </c>
      <c r="B28502" s="8" t="n">
        <v>8</v>
      </c>
      <c r="C28502" s="8" t="n">
        <v>15</v>
      </c>
      <c r="D28502" s="8" t="inlineStr">
        <is>
          <t>Disney Adventure World</t>
        </is>
      </c>
      <c r="E28502" s="8" t="inlineStr">
        <is>
          <t>Avengers Assemble: Flight Force</t>
        </is>
      </c>
      <c r="F28502" s="8" t="inlineStr">
        <is>
          <t>STANDBY</t>
        </is>
      </c>
      <c r="G28502" s="8" t="n">
        <v>0</v>
      </c>
      <c r="H28502" s="8" t="inlineStr">
        <is>
          <t>CLOSED</t>
        </is>
      </c>
    </row>
    <row r="28503">
      <c r="A28503" s="8" t="inlineStr">
        <is>
          <t>2026-08-06</t>
        </is>
      </c>
      <c r="B28503" s="8" t="n">
        <v>8</v>
      </c>
      <c r="C28503" s="8" t="n">
        <v>15</v>
      </c>
      <c r="D28503" s="8" t="inlineStr">
        <is>
          <t>Disney Adventure World</t>
        </is>
      </c>
      <c r="E28503" s="8" t="inlineStr">
        <is>
          <t>Avengers Assemble: Flight Force Single Rider</t>
        </is>
      </c>
      <c r="F28503" s="8" t="inlineStr">
        <is>
          <t>STANDBY</t>
        </is>
      </c>
      <c r="G28503" s="8" t="n">
        <v>0</v>
      </c>
      <c r="H28503" s="8" t="inlineStr">
        <is>
          <t>CLOSED</t>
        </is>
      </c>
    </row>
    <row r="28504">
      <c r="A28504" s="8" t="inlineStr">
        <is>
          <t>2026-08-06</t>
        </is>
      </c>
      <c r="B28504" s="8" t="n">
        <v>8</v>
      </c>
      <c r="C28504" s="8" t="n">
        <v>15</v>
      </c>
      <c r="D28504" s="8" t="inlineStr">
        <is>
          <t>Disney Adventure World</t>
        </is>
      </c>
      <c r="E28504" s="8" t="inlineStr">
        <is>
          <t>Spider-Man W.E.B. Adventure</t>
        </is>
      </c>
      <c r="F28504" s="8" t="inlineStr">
        <is>
          <t>STANDBY</t>
        </is>
      </c>
      <c r="G28504" s="8" t="n">
        <v>0</v>
      </c>
      <c r="H28504" s="8" t="inlineStr">
        <is>
          <t>CLOSED</t>
        </is>
      </c>
    </row>
    <row r="28505">
      <c r="A28505" s="8" t="inlineStr">
        <is>
          <t>2026-08-06</t>
        </is>
      </c>
      <c r="B28505" s="8" t="n">
        <v>8</v>
      </c>
      <c r="C28505" s="8" t="n">
        <v>15</v>
      </c>
      <c r="D28505" s="8" t="inlineStr">
        <is>
          <t>Disney Adventure World</t>
        </is>
      </c>
      <c r="E28505" s="8" t="inlineStr">
        <is>
          <t>Spider-Man W.E.B. Adventure Single Rider</t>
        </is>
      </c>
      <c r="F28505" s="8" t="inlineStr">
        <is>
          <t>STANDBY</t>
        </is>
      </c>
      <c r="G28505" s="8" t="n">
        <v>0</v>
      </c>
      <c r="H28505" s="8" t="inlineStr">
        <is>
          <t>CLOSED</t>
        </is>
      </c>
    </row>
    <row r="28506">
      <c r="A28506" s="8" t="inlineStr">
        <is>
          <t>2026-08-06</t>
        </is>
      </c>
      <c r="B28506" s="8" t="n">
        <v>8</v>
      </c>
      <c r="C28506" s="8" t="n">
        <v>15</v>
      </c>
      <c r="D28506" s="8" t="inlineStr">
        <is>
          <t>Disney Adventure World</t>
        </is>
      </c>
      <c r="E28506" s="8" t="inlineStr">
        <is>
          <t>The Twilight Zone Tower of Terror</t>
        </is>
      </c>
      <c r="F28506" s="8" t="inlineStr">
        <is>
          <t>STANDBY</t>
        </is>
      </c>
      <c r="G28506" s="8" t="n">
        <v>0</v>
      </c>
      <c r="H28506" s="8" t="inlineStr">
        <is>
          <t>CLOSED</t>
        </is>
      </c>
    </row>
    <row r="28507">
      <c r="A28507" s="8" t="inlineStr">
        <is>
          <t>2026-08-06</t>
        </is>
      </c>
      <c r="B28507" s="8" t="n">
        <v>8</v>
      </c>
      <c r="C28507" s="8" t="n">
        <v>15</v>
      </c>
      <c r="D28507" s="8" t="inlineStr">
        <is>
          <t>Disney Adventure World</t>
        </is>
      </c>
      <c r="E28507" s="8" t="inlineStr">
        <is>
          <t>Cars Quatre Roues Rallye</t>
        </is>
      </c>
      <c r="F28507" s="8" t="inlineStr">
        <is>
          <t>STANDBY</t>
        </is>
      </c>
      <c r="G28507" s="8" t="n">
        <v>0</v>
      </c>
      <c r="H28507" s="8" t="inlineStr">
        <is>
          <t>CLOSED</t>
        </is>
      </c>
    </row>
    <row r="28508">
      <c r="A28508" s="8" t="inlineStr">
        <is>
          <t>2026-08-06</t>
        </is>
      </c>
      <c r="B28508" s="8" t="n">
        <v>8</v>
      </c>
      <c r="C28508" s="8" t="n">
        <v>15</v>
      </c>
      <c r="D28508" s="8" t="inlineStr">
        <is>
          <t>Disney Adventure World</t>
        </is>
      </c>
      <c r="E28508" s="8" t="inlineStr">
        <is>
          <t>Cars ROAD TRIP</t>
        </is>
      </c>
      <c r="F28508" s="8" t="inlineStr">
        <is>
          <t>STANDBY</t>
        </is>
      </c>
      <c r="G28508" s="8" t="n">
        <v>0</v>
      </c>
      <c r="H28508" s="8" t="inlineStr">
        <is>
          <t>CLOSED</t>
        </is>
      </c>
    </row>
    <row r="28509">
      <c r="A28509" s="8" t="inlineStr">
        <is>
          <t>2026-08-06</t>
        </is>
      </c>
      <c r="B28509" s="8" t="n">
        <v>8</v>
      </c>
      <c r="C28509" s="8" t="n">
        <v>15</v>
      </c>
      <c r="D28509" s="8" t="inlineStr">
        <is>
          <t>Disney Adventure World</t>
        </is>
      </c>
      <c r="E28509" s="8" t="inlineStr">
        <is>
          <t>Crush's Coaster</t>
        </is>
      </c>
      <c r="F28509" s="8" t="inlineStr">
        <is>
          <t>STANDBY</t>
        </is>
      </c>
      <c r="G28509" s="8" t="n">
        <v>0</v>
      </c>
      <c r="H28509" s="8" t="inlineStr">
        <is>
          <t>CLOSED</t>
        </is>
      </c>
    </row>
    <row r="28510">
      <c r="A28510" s="8" t="inlineStr">
        <is>
          <t>2026-08-06</t>
        </is>
      </c>
      <c r="B28510" s="8" t="n">
        <v>8</v>
      </c>
      <c r="C28510" s="8" t="n">
        <v>15</v>
      </c>
      <c r="D28510" s="8" t="inlineStr">
        <is>
          <t>Disney Adventure World</t>
        </is>
      </c>
      <c r="E28510" s="8" t="inlineStr">
        <is>
          <t>Crush's Coaster Single Rider</t>
        </is>
      </c>
      <c r="F28510" s="8" t="inlineStr">
        <is>
          <t>STANDBY</t>
        </is>
      </c>
      <c r="G28510" s="8" t="n">
        <v>0</v>
      </c>
      <c r="H28510" s="8" t="inlineStr">
        <is>
          <t>CLOSED</t>
        </is>
      </c>
    </row>
    <row r="28511">
      <c r="A28511" s="8" t="inlineStr">
        <is>
          <t>2026-08-06</t>
        </is>
      </c>
      <c r="B28511" s="8" t="n">
        <v>8</v>
      </c>
      <c r="C28511" s="8" t="n">
        <v>15</v>
      </c>
      <c r="D28511" s="8" t="inlineStr">
        <is>
          <t>Disney Adventure World</t>
        </is>
      </c>
      <c r="E28511" s="8" t="inlineStr">
        <is>
          <t>Les Tapis Volants - Flying Carpets Over Agrabah®</t>
        </is>
      </c>
      <c r="F28511" s="8" t="inlineStr">
        <is>
          <t>STANDBY</t>
        </is>
      </c>
      <c r="G28511" s="8" t="n">
        <v>0</v>
      </c>
      <c r="H28511" s="8" t="inlineStr">
        <is>
          <t>CLOSED</t>
        </is>
      </c>
    </row>
    <row r="28512">
      <c r="A28512" s="8" t="inlineStr">
        <is>
          <t>2026-08-06</t>
        </is>
      </c>
      <c r="B28512" s="8" t="n">
        <v>8</v>
      </c>
      <c r="C28512" s="8" t="n">
        <v>15</v>
      </c>
      <c r="D28512" s="8" t="inlineStr">
        <is>
          <t>Disney Adventure World</t>
        </is>
      </c>
      <c r="E28512" s="8" t="inlineStr">
        <is>
          <t>Ratatouille : L’Aventure Totalement Toquée de Rémy​</t>
        </is>
      </c>
      <c r="F28512" s="8" t="inlineStr">
        <is>
          <t>STANDBY</t>
        </is>
      </c>
      <c r="G28512" s="8" t="n">
        <v>0</v>
      </c>
      <c r="H28512" s="8" t="inlineStr">
        <is>
          <t>CLOSED</t>
        </is>
      </c>
    </row>
    <row r="28513">
      <c r="A28513" s="8" t="inlineStr">
        <is>
          <t>2026-08-06</t>
        </is>
      </c>
      <c r="B28513" s="8" t="n">
        <v>8</v>
      </c>
      <c r="C28513" s="8" t="n">
        <v>15</v>
      </c>
      <c r="D28513" s="8" t="inlineStr">
        <is>
          <t>Disney Adventure World</t>
        </is>
      </c>
      <c r="E28513" s="8" t="inlineStr">
        <is>
          <t>Ratatouille: The Adventure Single Rider</t>
        </is>
      </c>
      <c r="F28513" s="8" t="inlineStr">
        <is>
          <t>STANDBY</t>
        </is>
      </c>
      <c r="G28513" s="8" t="n">
        <v>0</v>
      </c>
      <c r="H28513" s="8" t="inlineStr">
        <is>
          <t>CLOSED</t>
        </is>
      </c>
    </row>
    <row r="28514">
      <c r="A28514" s="8" t="inlineStr">
        <is>
          <t>2026-08-06</t>
        </is>
      </c>
      <c r="B28514" s="8" t="n">
        <v>8</v>
      </c>
      <c r="C28514" s="8" t="n">
        <v>15</v>
      </c>
      <c r="D28514" s="8" t="inlineStr">
        <is>
          <t>Disney Adventure World</t>
        </is>
      </c>
      <c r="E28514" s="8" t="inlineStr">
        <is>
          <t>RC Racer</t>
        </is>
      </c>
      <c r="F28514" s="8" t="inlineStr">
        <is>
          <t>STANDBY</t>
        </is>
      </c>
      <c r="G28514" s="8" t="n">
        <v>0</v>
      </c>
      <c r="H28514" s="8" t="inlineStr">
        <is>
          <t>CLOSED</t>
        </is>
      </c>
    </row>
    <row r="28515">
      <c r="A28515" s="8" t="inlineStr">
        <is>
          <t>2026-08-06</t>
        </is>
      </c>
      <c r="B28515" s="8" t="n">
        <v>8</v>
      </c>
      <c r="C28515" s="8" t="n">
        <v>15</v>
      </c>
      <c r="D28515" s="8" t="inlineStr">
        <is>
          <t>Disney Adventure World</t>
        </is>
      </c>
      <c r="E28515" s="8" t="inlineStr">
        <is>
          <t>RC Racer Single Rider</t>
        </is>
      </c>
      <c r="F28515" s="8" t="inlineStr">
        <is>
          <t>STANDBY</t>
        </is>
      </c>
      <c r="G28515" s="8" t="n">
        <v>0</v>
      </c>
      <c r="H28515" s="8" t="inlineStr">
        <is>
          <t>CLOSED</t>
        </is>
      </c>
    </row>
    <row r="28516">
      <c r="A28516" s="8" t="inlineStr">
        <is>
          <t>2026-08-06</t>
        </is>
      </c>
      <c r="B28516" s="8" t="n">
        <v>8</v>
      </c>
      <c r="C28516" s="8" t="n">
        <v>15</v>
      </c>
      <c r="D28516" s="8" t="inlineStr">
        <is>
          <t>Disney Adventure World</t>
        </is>
      </c>
      <c r="E28516" s="8" t="inlineStr">
        <is>
          <t>Slinky® Dog Zigzag Spin</t>
        </is>
      </c>
      <c r="F28516" s="8" t="inlineStr">
        <is>
          <t>STANDBY</t>
        </is>
      </c>
      <c r="G28516" s="8" t="n">
        <v>0</v>
      </c>
      <c r="H28516" s="8" t="inlineStr">
        <is>
          <t>CLOSED</t>
        </is>
      </c>
    </row>
    <row r="28517">
      <c r="A28517" s="8" t="inlineStr">
        <is>
          <t>2026-08-06</t>
        </is>
      </c>
      <c r="B28517" s="8" t="n">
        <v>8</v>
      </c>
      <c r="C28517" s="8" t="n">
        <v>15</v>
      </c>
      <c r="D28517" s="8" t="inlineStr">
        <is>
          <t>Disney Adventure World</t>
        </is>
      </c>
      <c r="E28517" s="8" t="inlineStr">
        <is>
          <t>Toy Soldiers Parachute Drop</t>
        </is>
      </c>
      <c r="F28517" s="8" t="inlineStr">
        <is>
          <t>STANDBY</t>
        </is>
      </c>
      <c r="G28517" s="8" t="n">
        <v>0</v>
      </c>
      <c r="H28517" s="8" t="inlineStr">
        <is>
          <t>CLOSED</t>
        </is>
      </c>
    </row>
    <row r="28518">
      <c r="A28518" s="8" t="inlineStr">
        <is>
          <t>2026-08-06</t>
        </is>
      </c>
      <c r="B28518" s="8" t="n">
        <v>8</v>
      </c>
      <c r="C28518" s="8" t="n">
        <v>15</v>
      </c>
      <c r="D28518" s="8" t="inlineStr">
        <is>
          <t>Disney Adventure World</t>
        </is>
      </c>
      <c r="E28518" s="8" t="inlineStr">
        <is>
          <t>Toy Soldiers Parachute Drop Single Rider</t>
        </is>
      </c>
      <c r="F28518" s="8" t="inlineStr">
        <is>
          <t>STANDBY</t>
        </is>
      </c>
      <c r="G28518" s="8" t="n">
        <v>0</v>
      </c>
      <c r="H28518" s="8" t="inlineStr">
        <is>
          <t>CLOSED</t>
        </is>
      </c>
    </row>
    <row r="28519">
      <c r="A28519" s="8" t="inlineStr">
        <is>
          <t>2026-08-06</t>
        </is>
      </c>
      <c r="B28519" s="8" t="n">
        <v>8</v>
      </c>
      <c r="C28519" s="8" t="n">
        <v>15</v>
      </c>
      <c r="D28519" s="8" t="inlineStr">
        <is>
          <t>Disney Adventure World</t>
        </is>
      </c>
      <c r="E28519" s="8" t="inlineStr">
        <is>
          <t>Entry to World of Frozen</t>
        </is>
      </c>
      <c r="F28519" s="8" t="inlineStr">
        <is>
          <t>STANDBY</t>
        </is>
      </c>
      <c r="G28519" s="8" t="n">
        <v>0</v>
      </c>
      <c r="H28519" s="8" t="inlineStr">
        <is>
          <t>CLOSED</t>
        </is>
      </c>
    </row>
    <row r="28520">
      <c r="A28520" s="8" t="inlineStr">
        <is>
          <t>2026-08-06</t>
        </is>
      </c>
      <c r="B28520" s="8" t="n">
        <v>8</v>
      </c>
      <c r="C28520" s="8" t="n">
        <v>15</v>
      </c>
      <c r="D28520" s="8" t="inlineStr">
        <is>
          <t>Disney Adventure World</t>
        </is>
      </c>
      <c r="E28520" s="8" t="inlineStr">
        <is>
          <t>Frozen Ever After</t>
        </is>
      </c>
      <c r="F28520" s="8" t="inlineStr">
        <is>
          <t>STANDBY</t>
        </is>
      </c>
      <c r="G28520" s="8" t="n">
        <v>0</v>
      </c>
      <c r="H28520" s="8" t="inlineStr">
        <is>
          <t>CLOSED</t>
        </is>
      </c>
    </row>
    <row r="28521">
      <c r="A28521" s="8" t="inlineStr">
        <is>
          <t>2026-08-06</t>
        </is>
      </c>
      <c r="B28521" s="8" t="n">
        <v>8</v>
      </c>
      <c r="C28521" s="8" t="n">
        <v>15</v>
      </c>
      <c r="D28521" s="8" t="inlineStr">
        <is>
          <t>Disney Adventure World</t>
        </is>
      </c>
      <c r="E28521" s="8" t="inlineStr">
        <is>
          <t>Raiponce Tangled Spin</t>
        </is>
      </c>
      <c r="F28521" s="8" t="inlineStr">
        <is>
          <t>STANDBY</t>
        </is>
      </c>
      <c r="G28521" s="8" t="n">
        <v>0</v>
      </c>
      <c r="H28521" s="8" t="inlineStr">
        <is>
          <t>CLOSED</t>
        </is>
      </c>
    </row>
    <row r="28522">
      <c r="A28522" s="8" t="inlineStr">
        <is>
          <t>2026-08-06</t>
        </is>
      </c>
      <c r="B28522" s="8" t="n">
        <v>8</v>
      </c>
      <c r="C28522" s="8" t="n">
        <v>31</v>
      </c>
      <c r="D28522" s="8" t="inlineStr">
        <is>
          <t>Disneyland Park</t>
        </is>
      </c>
      <c r="E28522" s="8" t="inlineStr">
        <is>
          <t>Adventure Isle</t>
        </is>
      </c>
      <c r="F28522" s="8" t="inlineStr">
        <is>
          <t>STANDBY</t>
        </is>
      </c>
      <c r="G28522" s="8" t="n">
        <v>0</v>
      </c>
      <c r="H28522" s="8" t="inlineStr">
        <is>
          <t>CLOSED</t>
        </is>
      </c>
    </row>
    <row r="28523">
      <c r="A28523" s="8" t="inlineStr">
        <is>
          <t>2026-08-06</t>
        </is>
      </c>
      <c r="B28523" s="8" t="n">
        <v>8</v>
      </c>
      <c r="C28523" s="8" t="n">
        <v>31</v>
      </c>
      <c r="D28523" s="8" t="inlineStr">
        <is>
          <t>Disneyland Park</t>
        </is>
      </c>
      <c r="E28523" s="8" t="inlineStr">
        <is>
          <t>Indiana Jones and the Temple of Peril Single Rider</t>
        </is>
      </c>
      <c r="F28523" s="8" t="inlineStr">
        <is>
          <t>STANDBY</t>
        </is>
      </c>
      <c r="G28523" s="8" t="n">
        <v>0</v>
      </c>
      <c r="H28523" s="8" t="inlineStr">
        <is>
          <t>CLOSED</t>
        </is>
      </c>
    </row>
    <row r="28524">
      <c r="A28524" s="8" t="inlineStr">
        <is>
          <t>2026-08-06</t>
        </is>
      </c>
      <c r="B28524" s="8" t="n">
        <v>8</v>
      </c>
      <c r="C28524" s="8" t="n">
        <v>31</v>
      </c>
      <c r="D28524" s="8" t="inlineStr">
        <is>
          <t>Disneyland Park</t>
        </is>
      </c>
      <c r="E28524" s="8" t="inlineStr">
        <is>
          <t>Indiana Jones™ and the Temple of Peril</t>
        </is>
      </c>
      <c r="F28524" s="8" t="inlineStr">
        <is>
          <t>STANDBY</t>
        </is>
      </c>
      <c r="G28524" s="8" t="n">
        <v>0</v>
      </c>
      <c r="H28524" s="8" t="inlineStr">
        <is>
          <t>CLOSED</t>
        </is>
      </c>
    </row>
    <row r="28525">
      <c r="A28525" s="8" t="inlineStr">
        <is>
          <t>2026-08-06</t>
        </is>
      </c>
      <c r="B28525" s="8" t="n">
        <v>8</v>
      </c>
      <c r="C28525" s="8" t="n">
        <v>31</v>
      </c>
      <c r="D28525" s="8" t="inlineStr">
        <is>
          <t>Disneyland Park</t>
        </is>
      </c>
      <c r="E28525" s="8" t="inlineStr">
        <is>
          <t>La Cabane des Robinson</t>
        </is>
      </c>
      <c r="F28525" s="8" t="inlineStr">
        <is>
          <t>STANDBY</t>
        </is>
      </c>
      <c r="G28525" s="8" t="n">
        <v>0</v>
      </c>
      <c r="H28525" s="8" t="inlineStr">
        <is>
          <t>CLOSED</t>
        </is>
      </c>
    </row>
    <row r="28526">
      <c r="A28526" s="8" t="inlineStr">
        <is>
          <t>2026-08-06</t>
        </is>
      </c>
      <c r="B28526" s="8" t="n">
        <v>8</v>
      </c>
      <c r="C28526" s="8" t="n">
        <v>31</v>
      </c>
      <c r="D28526" s="8" t="inlineStr">
        <is>
          <t>Disneyland Park</t>
        </is>
      </c>
      <c r="E28526" s="8" t="inlineStr">
        <is>
          <t>Le Passage Enchanté d'Aladdin</t>
        </is>
      </c>
      <c r="F28526" s="8" t="inlineStr">
        <is>
          <t>STANDBY</t>
        </is>
      </c>
      <c r="G28526" s="8" t="n">
        <v>0</v>
      </c>
      <c r="H28526" s="8" t="inlineStr">
        <is>
          <t>CLOSED</t>
        </is>
      </c>
    </row>
    <row r="28527">
      <c r="A28527" s="8" t="inlineStr">
        <is>
          <t>2026-08-06</t>
        </is>
      </c>
      <c r="B28527" s="8" t="n">
        <v>8</v>
      </c>
      <c r="C28527" s="8" t="n">
        <v>31</v>
      </c>
      <c r="D28527" s="8" t="inlineStr">
        <is>
          <t>Disneyland Park</t>
        </is>
      </c>
      <c r="E28527" s="8" t="inlineStr">
        <is>
          <t>Pirate Galleon</t>
        </is>
      </c>
      <c r="F28527" s="8" t="inlineStr">
        <is>
          <t>STANDBY</t>
        </is>
      </c>
      <c r="G28527" s="8" t="n">
        <v>0</v>
      </c>
      <c r="H28527" s="8" t="inlineStr">
        <is>
          <t>CLOSED</t>
        </is>
      </c>
    </row>
    <row r="28528">
      <c r="A28528" s="8" t="inlineStr">
        <is>
          <t>2026-08-06</t>
        </is>
      </c>
      <c r="B28528" s="8" t="n">
        <v>8</v>
      </c>
      <c r="C28528" s="8" t="n">
        <v>31</v>
      </c>
      <c r="D28528" s="8" t="inlineStr">
        <is>
          <t>Disneyland Park</t>
        </is>
      </c>
      <c r="E28528" s="8" t="inlineStr">
        <is>
          <t>Pirates of the Caribbean</t>
        </is>
      </c>
      <c r="F28528" s="8" t="inlineStr">
        <is>
          <t>STANDBY</t>
        </is>
      </c>
      <c r="G28528" s="8" t="n">
        <v>0</v>
      </c>
      <c r="H28528" s="8" t="inlineStr">
        <is>
          <t>CLOSED</t>
        </is>
      </c>
    </row>
    <row r="28529">
      <c r="A28529" s="8" t="inlineStr">
        <is>
          <t>2026-08-06</t>
        </is>
      </c>
      <c r="B28529" s="8" t="n">
        <v>8</v>
      </c>
      <c r="C28529" s="8" t="n">
        <v>31</v>
      </c>
      <c r="D28529" s="8" t="inlineStr">
        <is>
          <t>Disneyland Park</t>
        </is>
      </c>
      <c r="E28529" s="8" t="inlineStr">
        <is>
          <t>Pirates' Beach</t>
        </is>
      </c>
      <c r="F28529" s="8" t="inlineStr">
        <is>
          <t>STANDBY</t>
        </is>
      </c>
      <c r="G28529" s="8" t="n">
        <v>0</v>
      </c>
      <c r="H28529" s="8" t="inlineStr">
        <is>
          <t>CLOSED</t>
        </is>
      </c>
    </row>
    <row r="28530">
      <c r="A28530" s="8" t="inlineStr">
        <is>
          <t>2026-08-06</t>
        </is>
      </c>
      <c r="B28530" s="8" t="n">
        <v>8</v>
      </c>
      <c r="C28530" s="8" t="n">
        <v>31</v>
      </c>
      <c r="D28530" s="8" t="inlineStr">
        <is>
          <t>Disneyland Park</t>
        </is>
      </c>
      <c r="E28530" s="8" t="inlineStr">
        <is>
          <t>Autopia, presented by Avis</t>
        </is>
      </c>
      <c r="F28530" s="8" t="inlineStr">
        <is>
          <t>STANDBY</t>
        </is>
      </c>
      <c r="G28530" s="8" t="n">
        <v>0</v>
      </c>
      <c r="H28530" s="8" t="inlineStr">
        <is>
          <t>CLOSED</t>
        </is>
      </c>
    </row>
    <row r="28531">
      <c r="A28531" s="8" t="inlineStr">
        <is>
          <t>2026-08-06</t>
        </is>
      </c>
      <c r="B28531" s="8" t="n">
        <v>8</v>
      </c>
      <c r="C28531" s="8" t="n">
        <v>31</v>
      </c>
      <c r="D28531" s="8" t="inlineStr">
        <is>
          <t>Disneyland Park</t>
        </is>
      </c>
      <c r="E28531" s="8" t="inlineStr">
        <is>
          <t>Buzz Lightyear Laser Blast</t>
        </is>
      </c>
      <c r="F28531" s="8" t="inlineStr">
        <is>
          <t>STANDBY</t>
        </is>
      </c>
      <c r="G28531" s="8" t="n">
        <v>0</v>
      </c>
      <c r="H28531" s="8" t="inlineStr">
        <is>
          <t>CLOSED</t>
        </is>
      </c>
    </row>
    <row r="28532">
      <c r="A28532" s="8" t="inlineStr">
        <is>
          <t>2026-08-06</t>
        </is>
      </c>
      <c r="B28532" s="8" t="n">
        <v>8</v>
      </c>
      <c r="C28532" s="8" t="n">
        <v>31</v>
      </c>
      <c r="D28532" s="8" t="inlineStr">
        <is>
          <t>Disneyland Park</t>
        </is>
      </c>
      <c r="E28532" s="8" t="inlineStr">
        <is>
          <t>Disneyland Railroad Discoveryland Station</t>
        </is>
      </c>
      <c r="F28532" s="8" t="inlineStr">
        <is>
          <t>STANDBY</t>
        </is>
      </c>
      <c r="G28532" s="8" t="n">
        <v>0</v>
      </c>
      <c r="H28532" s="8" t="inlineStr">
        <is>
          <t>CLOSED</t>
        </is>
      </c>
    </row>
    <row r="28533">
      <c r="A28533" s="8" t="inlineStr">
        <is>
          <t>2026-08-06</t>
        </is>
      </c>
      <c r="B28533" s="8" t="n">
        <v>8</v>
      </c>
      <c r="C28533" s="8" t="n">
        <v>31</v>
      </c>
      <c r="D28533" s="8" t="inlineStr">
        <is>
          <t>Disneyland Park</t>
        </is>
      </c>
      <c r="E28533" s="8" t="inlineStr">
        <is>
          <t>Les Mystères du Nautilus</t>
        </is>
      </c>
      <c r="F28533" s="8" t="inlineStr">
        <is>
          <t>STANDBY</t>
        </is>
      </c>
      <c r="G28533" s="8" t="n">
        <v>0</v>
      </c>
      <c r="H28533" s="8" t="inlineStr">
        <is>
          <t>CLOSED</t>
        </is>
      </c>
    </row>
    <row r="28534">
      <c r="A28534" s="8" t="inlineStr">
        <is>
          <t>2026-08-06</t>
        </is>
      </c>
      <c r="B28534" s="8" t="n">
        <v>8</v>
      </c>
      <c r="C28534" s="8" t="n">
        <v>31</v>
      </c>
      <c r="D28534" s="8" t="inlineStr">
        <is>
          <t>Disneyland Park</t>
        </is>
      </c>
      <c r="E28534" s="8" t="inlineStr">
        <is>
          <t>Mickey’s PhilharMagic</t>
        </is>
      </c>
      <c r="F28534" s="8" t="inlineStr">
        <is>
          <t>STANDBY</t>
        </is>
      </c>
      <c r="G28534" s="8" t="n">
        <v>0</v>
      </c>
      <c r="H28534" s="8" t="inlineStr">
        <is>
          <t>CLOSED</t>
        </is>
      </c>
    </row>
    <row r="28535">
      <c r="A28535" s="8" t="inlineStr">
        <is>
          <t>2026-08-06</t>
        </is>
      </c>
      <c r="B28535" s="8" t="n">
        <v>8</v>
      </c>
      <c r="C28535" s="8" t="n">
        <v>31</v>
      </c>
      <c r="D28535" s="8" t="inlineStr">
        <is>
          <t>Disneyland Park</t>
        </is>
      </c>
      <c r="E28535" s="8" t="inlineStr">
        <is>
          <t>Orbitron®</t>
        </is>
      </c>
      <c r="F28535" s="8" t="inlineStr">
        <is>
          <t>STANDBY</t>
        </is>
      </c>
      <c r="G28535" s="8" t="n">
        <v>0</v>
      </c>
      <c r="H28535" s="8" t="inlineStr">
        <is>
          <t>CLOSED</t>
        </is>
      </c>
    </row>
    <row r="28536">
      <c r="A28536" s="8" t="inlineStr">
        <is>
          <t>2026-08-06</t>
        </is>
      </c>
      <c r="B28536" s="8" t="n">
        <v>8</v>
      </c>
      <c r="C28536" s="8" t="n">
        <v>31</v>
      </c>
      <c r="D28536" s="8" t="inlineStr">
        <is>
          <t>Disneyland Park</t>
        </is>
      </c>
      <c r="E28536" s="8" t="inlineStr">
        <is>
          <t>Star Tours: The Adventures Continue*</t>
        </is>
      </c>
      <c r="F28536" s="8" t="inlineStr">
        <is>
          <t>STANDBY</t>
        </is>
      </c>
      <c r="G28536" s="8" t="n">
        <v>0</v>
      </c>
      <c r="H28536" s="8" t="inlineStr">
        <is>
          <t>CLOSED</t>
        </is>
      </c>
    </row>
    <row r="28537">
      <c r="A28537" s="8" t="inlineStr">
        <is>
          <t>2026-08-06</t>
        </is>
      </c>
      <c r="B28537" s="8" t="n">
        <v>8</v>
      </c>
      <c r="C28537" s="8" t="n">
        <v>31</v>
      </c>
      <c r="D28537" s="8" t="inlineStr">
        <is>
          <t>Disneyland Park</t>
        </is>
      </c>
      <c r="E28537" s="8" t="inlineStr">
        <is>
          <t>Star Wars Hyperspace Mountain</t>
        </is>
      </c>
      <c r="F28537" s="8" t="inlineStr">
        <is>
          <t>STANDBY</t>
        </is>
      </c>
      <c r="G28537" s="8" t="n">
        <v>5</v>
      </c>
      <c r="H28537" s="8" t="inlineStr">
        <is>
          <t>OPERATING</t>
        </is>
      </c>
    </row>
    <row r="28538">
      <c r="A28538" s="8" t="inlineStr">
        <is>
          <t>2026-08-06</t>
        </is>
      </c>
      <c r="B28538" s="8" t="n">
        <v>8</v>
      </c>
      <c r="C28538" s="8" t="n">
        <v>31</v>
      </c>
      <c r="D28538" s="8" t="inlineStr">
        <is>
          <t>Disneyland Park</t>
        </is>
      </c>
      <c r="E28538" s="8" t="inlineStr">
        <is>
          <t>Star Wars Hyperspace Mountain Single Rider</t>
        </is>
      </c>
      <c r="F28538" s="8" t="inlineStr">
        <is>
          <t>STANDBY</t>
        </is>
      </c>
      <c r="G28538" s="8" t="n">
        <v>0</v>
      </c>
      <c r="H28538" s="8" t="inlineStr">
        <is>
          <t>OPERATING</t>
        </is>
      </c>
    </row>
    <row r="28539">
      <c r="A28539" s="8" t="inlineStr">
        <is>
          <t>2026-08-06</t>
        </is>
      </c>
      <c r="B28539" s="8" t="n">
        <v>8</v>
      </c>
      <c r="C28539" s="8" t="n">
        <v>31</v>
      </c>
      <c r="D28539" s="8" t="inlineStr">
        <is>
          <t>Disneyland Park</t>
        </is>
      </c>
      <c r="E28539" s="8" t="inlineStr">
        <is>
          <t>Welcome to Starport: A Star Wars Encounter</t>
        </is>
      </c>
      <c r="F28539" s="8" t="inlineStr">
        <is>
          <t>STANDBY</t>
        </is>
      </c>
      <c r="G28539" s="8" t="n">
        <v>0</v>
      </c>
      <c r="H28539" s="8" t="inlineStr">
        <is>
          <t>CLOSED</t>
        </is>
      </c>
    </row>
    <row r="28540">
      <c r="A28540" s="8" t="inlineStr">
        <is>
          <t>2026-08-06</t>
        </is>
      </c>
      <c r="B28540" s="8" t="n">
        <v>8</v>
      </c>
      <c r="C28540" s="8" t="n">
        <v>31</v>
      </c>
      <c r="D28540" s="8" t="inlineStr">
        <is>
          <t>Disneyland Park</t>
        </is>
      </c>
      <c r="E28540" s="8" t="inlineStr">
        <is>
          <t>"it's a small world"</t>
        </is>
      </c>
      <c r="F28540" s="8" t="inlineStr">
        <is>
          <t>STANDBY</t>
        </is>
      </c>
      <c r="G28540" s="8" t="n">
        <v>0</v>
      </c>
      <c r="H28540" s="8" t="inlineStr">
        <is>
          <t>CLOSED</t>
        </is>
      </c>
    </row>
    <row r="28541">
      <c r="A28541" s="8" t="inlineStr">
        <is>
          <t>2026-08-06</t>
        </is>
      </c>
      <c r="B28541" s="8" t="n">
        <v>8</v>
      </c>
      <c r="C28541" s="8" t="n">
        <v>31</v>
      </c>
      <c r="D28541" s="8" t="inlineStr">
        <is>
          <t>Disneyland Park</t>
        </is>
      </c>
      <c r="E28541" s="8" t="inlineStr">
        <is>
          <t>Alice's Curious Labyrinth</t>
        </is>
      </c>
      <c r="F28541" s="8" t="inlineStr">
        <is>
          <t>STANDBY</t>
        </is>
      </c>
      <c r="G28541" s="8" t="n">
        <v>0</v>
      </c>
      <c r="H28541" s="8" t="inlineStr">
        <is>
          <t>CLOSED</t>
        </is>
      </c>
    </row>
    <row r="28542">
      <c r="A28542" s="8" t="inlineStr">
        <is>
          <t>2026-08-06</t>
        </is>
      </c>
      <c r="B28542" s="8" t="n">
        <v>8</v>
      </c>
      <c r="C28542" s="8" t="n">
        <v>31</v>
      </c>
      <c r="D28542" s="8" t="inlineStr">
        <is>
          <t>Disneyland Park</t>
        </is>
      </c>
      <c r="E28542" s="8" t="inlineStr">
        <is>
          <t>Blanche-Neige et les Sept Nains®</t>
        </is>
      </c>
      <c r="F28542" s="8" t="inlineStr">
        <is>
          <t>STANDBY</t>
        </is>
      </c>
      <c r="G28542" s="8" t="n">
        <v>0</v>
      </c>
      <c r="H28542" s="8" t="inlineStr">
        <is>
          <t>CLOSED</t>
        </is>
      </c>
    </row>
    <row r="28543">
      <c r="A28543" s="8" t="inlineStr">
        <is>
          <t>2026-08-06</t>
        </is>
      </c>
      <c r="B28543" s="8" t="n">
        <v>8</v>
      </c>
      <c r="C28543" s="8" t="n">
        <v>31</v>
      </c>
      <c r="D28543" s="8" t="inlineStr">
        <is>
          <t>Disneyland Park</t>
        </is>
      </c>
      <c r="E28543" s="8" t="inlineStr">
        <is>
          <t>Casey Jr. – le Petit Train du Cirque</t>
        </is>
      </c>
      <c r="F28543" s="8" t="inlineStr">
        <is>
          <t>STANDBY</t>
        </is>
      </c>
      <c r="G28543" s="8" t="n">
        <v>0</v>
      </c>
      <c r="H28543" s="8" t="inlineStr">
        <is>
          <t>CLOSED</t>
        </is>
      </c>
    </row>
    <row r="28544">
      <c r="A28544" s="8" t="inlineStr">
        <is>
          <t>2026-08-06</t>
        </is>
      </c>
      <c r="B28544" s="8" t="n">
        <v>8</v>
      </c>
      <c r="C28544" s="8" t="n">
        <v>31</v>
      </c>
      <c r="D28544" s="8" t="inlineStr">
        <is>
          <t>Disneyland Park</t>
        </is>
      </c>
      <c r="E28544" s="8" t="inlineStr">
        <is>
          <t>Disneyland Railroad Fantasyland Station</t>
        </is>
      </c>
      <c r="F28544" s="8" t="inlineStr">
        <is>
          <t>STANDBY</t>
        </is>
      </c>
      <c r="G28544" s="8" t="n">
        <v>0</v>
      </c>
      <c r="H28544" s="8" t="inlineStr">
        <is>
          <t>CLOSED</t>
        </is>
      </c>
    </row>
    <row r="28545">
      <c r="A28545" s="8" t="inlineStr">
        <is>
          <t>2026-08-06</t>
        </is>
      </c>
      <c r="B28545" s="8" t="n">
        <v>8</v>
      </c>
      <c r="C28545" s="8" t="n">
        <v>31</v>
      </c>
      <c r="D28545" s="8" t="inlineStr">
        <is>
          <t>Disneyland Park</t>
        </is>
      </c>
      <c r="E28545" s="8" t="inlineStr">
        <is>
          <t>Disneyland Railroad Main Street Station</t>
        </is>
      </c>
      <c r="F28545" s="8" t="inlineStr">
        <is>
          <t>STANDBY</t>
        </is>
      </c>
      <c r="G28545" s="8" t="n">
        <v>0</v>
      </c>
      <c r="H28545" s="8" t="inlineStr">
        <is>
          <t>CLOSED</t>
        </is>
      </c>
    </row>
    <row r="28546">
      <c r="A28546" s="8" t="inlineStr">
        <is>
          <t>2026-08-06</t>
        </is>
      </c>
      <c r="B28546" s="8" t="n">
        <v>8</v>
      </c>
      <c r="C28546" s="8" t="n">
        <v>31</v>
      </c>
      <c r="D28546" s="8" t="inlineStr">
        <is>
          <t>Disneyland Park</t>
        </is>
      </c>
      <c r="E28546" s="8" t="inlineStr">
        <is>
          <t>Dumbo the Flying Elephant</t>
        </is>
      </c>
      <c r="F28546" s="8" t="inlineStr">
        <is>
          <t>STANDBY</t>
        </is>
      </c>
      <c r="G28546" s="8" t="n">
        <v>5</v>
      </c>
      <c r="H28546" s="8" t="inlineStr">
        <is>
          <t>OPERATING</t>
        </is>
      </c>
    </row>
    <row r="28547">
      <c r="A28547" s="8" t="inlineStr">
        <is>
          <t>2026-08-06</t>
        </is>
      </c>
      <c r="B28547" s="8" t="n">
        <v>8</v>
      </c>
      <c r="C28547" s="8" t="n">
        <v>31</v>
      </c>
      <c r="D28547" s="8" t="inlineStr">
        <is>
          <t>Disneyland Park</t>
        </is>
      </c>
      <c r="E28547" s="8" t="inlineStr">
        <is>
          <t>La Tanière du Dragon</t>
        </is>
      </c>
      <c r="F28547" s="8" t="inlineStr">
        <is>
          <t>STANDBY</t>
        </is>
      </c>
      <c r="G28547" s="8" t="n">
        <v>0</v>
      </c>
      <c r="H28547" s="8" t="inlineStr">
        <is>
          <t>CLOSED</t>
        </is>
      </c>
    </row>
    <row r="28548">
      <c r="A28548" s="8" t="inlineStr">
        <is>
          <t>2026-08-06</t>
        </is>
      </c>
      <c r="B28548" s="8" t="n">
        <v>8</v>
      </c>
      <c r="C28548" s="8" t="n">
        <v>31</v>
      </c>
      <c r="D28548" s="8" t="inlineStr">
        <is>
          <t>Disneyland Park</t>
        </is>
      </c>
      <c r="E28548" s="8" t="inlineStr">
        <is>
          <t>Le Carrousel de Lancelot</t>
        </is>
      </c>
      <c r="F28548" s="8" t="inlineStr">
        <is>
          <t>STANDBY</t>
        </is>
      </c>
      <c r="G28548" s="8" t="n">
        <v>0</v>
      </c>
      <c r="H28548" s="8" t="inlineStr">
        <is>
          <t>CLOSED</t>
        </is>
      </c>
    </row>
    <row r="28549">
      <c r="A28549" s="8" t="inlineStr">
        <is>
          <t>2026-08-06</t>
        </is>
      </c>
      <c r="B28549" s="8" t="n">
        <v>8</v>
      </c>
      <c r="C28549" s="8" t="n">
        <v>31</v>
      </c>
      <c r="D28549" s="8" t="inlineStr">
        <is>
          <t>Disneyland Park</t>
        </is>
      </c>
      <c r="E28549" s="8" t="inlineStr">
        <is>
          <t>Le Pays des Contes de Fées, presented by Vittel</t>
        </is>
      </c>
      <c r="F28549" s="8" t="inlineStr">
        <is>
          <t>STANDBY</t>
        </is>
      </c>
      <c r="G28549" s="8" t="n">
        <v>0</v>
      </c>
      <c r="H28549" s="8" t="inlineStr">
        <is>
          <t>CLOSED</t>
        </is>
      </c>
    </row>
    <row r="28550">
      <c r="A28550" s="8" t="inlineStr">
        <is>
          <t>2026-08-06</t>
        </is>
      </c>
      <c r="B28550" s="8" t="n">
        <v>8</v>
      </c>
      <c r="C28550" s="8" t="n">
        <v>31</v>
      </c>
      <c r="D28550" s="8" t="inlineStr">
        <is>
          <t>Disneyland Park</t>
        </is>
      </c>
      <c r="E28550" s="8" t="inlineStr">
        <is>
          <t>Les Voyages de Pinocchio</t>
        </is>
      </c>
      <c r="F28550" s="8" t="inlineStr">
        <is>
          <t>STANDBY</t>
        </is>
      </c>
      <c r="G28550" s="8" t="n">
        <v>0</v>
      </c>
      <c r="H28550" s="8" t="inlineStr">
        <is>
          <t>CLOSED</t>
        </is>
      </c>
    </row>
    <row r="28551">
      <c r="A28551" s="8" t="inlineStr">
        <is>
          <t>2026-08-06</t>
        </is>
      </c>
      <c r="B28551" s="8" t="n">
        <v>8</v>
      </c>
      <c r="C28551" s="8" t="n">
        <v>31</v>
      </c>
      <c r="D28551" s="8" t="inlineStr">
        <is>
          <t>Disneyland Park</t>
        </is>
      </c>
      <c r="E28551" s="8" t="inlineStr">
        <is>
          <t>Mad Hatter's Tea Cups</t>
        </is>
      </c>
      <c r="F28551" s="8" t="inlineStr">
        <is>
          <t>STANDBY</t>
        </is>
      </c>
      <c r="G28551" s="8" t="n">
        <v>0</v>
      </c>
      <c r="H28551" s="8" t="inlineStr">
        <is>
          <t>CLOSED</t>
        </is>
      </c>
    </row>
    <row r="28552">
      <c r="A28552" s="8" t="inlineStr">
        <is>
          <t>2026-08-06</t>
        </is>
      </c>
      <c r="B28552" s="8" t="n">
        <v>8</v>
      </c>
      <c r="C28552" s="8" t="n">
        <v>31</v>
      </c>
      <c r="D28552" s="8" t="inlineStr">
        <is>
          <t>Disneyland Park</t>
        </is>
      </c>
      <c r="E28552" s="8" t="inlineStr">
        <is>
          <t>Meet Mickey Mouse</t>
        </is>
      </c>
      <c r="F28552" s="8" t="inlineStr">
        <is>
          <t>STANDBY</t>
        </is>
      </c>
      <c r="G28552" s="8" t="n">
        <v>0</v>
      </c>
      <c r="H28552" s="8" t="inlineStr">
        <is>
          <t>CLOSED</t>
        </is>
      </c>
    </row>
    <row r="28553">
      <c r="A28553" s="8" t="inlineStr">
        <is>
          <t>2026-08-06</t>
        </is>
      </c>
      <c r="B28553" s="8" t="n">
        <v>8</v>
      </c>
      <c r="C28553" s="8" t="n">
        <v>31</v>
      </c>
      <c r="D28553" s="8" t="inlineStr">
        <is>
          <t>Disneyland Park</t>
        </is>
      </c>
      <c r="E28553" s="8" t="inlineStr">
        <is>
          <t>Peter Pan's Flight</t>
        </is>
      </c>
      <c r="F28553" s="8" t="inlineStr">
        <is>
          <t>STANDBY</t>
        </is>
      </c>
      <c r="G28553" s="8" t="n">
        <v>5</v>
      </c>
      <c r="H28553" s="8" t="inlineStr">
        <is>
          <t>OPERATING</t>
        </is>
      </c>
    </row>
    <row r="28554">
      <c r="A28554" s="8" t="inlineStr">
        <is>
          <t>2026-08-06</t>
        </is>
      </c>
      <c r="B28554" s="8" t="n">
        <v>8</v>
      </c>
      <c r="C28554" s="8" t="n">
        <v>31</v>
      </c>
      <c r="D28554" s="8" t="inlineStr">
        <is>
          <t>Disneyland Park</t>
        </is>
      </c>
      <c r="E28554" s="8" t="inlineStr">
        <is>
          <t>Princess Pavilion</t>
        </is>
      </c>
      <c r="F28554" s="8" t="inlineStr">
        <is>
          <t>STANDBY</t>
        </is>
      </c>
      <c r="G28554" s="8" t="n">
        <v>0</v>
      </c>
      <c r="H28554" s="8" t="inlineStr">
        <is>
          <t>CLOSED</t>
        </is>
      </c>
    </row>
    <row r="28555">
      <c r="A28555" s="8" t="inlineStr">
        <is>
          <t>2026-08-06</t>
        </is>
      </c>
      <c r="B28555" s="8" t="n">
        <v>8</v>
      </c>
      <c r="C28555" s="8" t="n">
        <v>31</v>
      </c>
      <c r="D28555" s="8" t="inlineStr">
        <is>
          <t>Disneyland Park</t>
        </is>
      </c>
      <c r="E28555" s="8" t="inlineStr">
        <is>
          <t>Big Thunder Mountain</t>
        </is>
      </c>
      <c r="F28555" s="8" t="inlineStr">
        <is>
          <t>STANDBY</t>
        </is>
      </c>
      <c r="G28555" s="8" t="n">
        <v>0</v>
      </c>
      <c r="H28555" s="8" t="inlineStr">
        <is>
          <t>CLOSED</t>
        </is>
      </c>
    </row>
    <row r="28556">
      <c r="A28556" s="8" t="inlineStr">
        <is>
          <t>2026-08-06</t>
        </is>
      </c>
      <c r="B28556" s="8" t="n">
        <v>8</v>
      </c>
      <c r="C28556" s="8" t="n">
        <v>31</v>
      </c>
      <c r="D28556" s="8" t="inlineStr">
        <is>
          <t>Disneyland Park</t>
        </is>
      </c>
      <c r="E28556" s="8" t="inlineStr">
        <is>
          <t>Disneyland Railroad Frontierland Depot</t>
        </is>
      </c>
      <c r="F28556" s="8" t="inlineStr">
        <is>
          <t>STANDBY</t>
        </is>
      </c>
      <c r="G28556" s="8" t="n">
        <v>0</v>
      </c>
      <c r="H28556" s="8" t="inlineStr">
        <is>
          <t>CLOSED</t>
        </is>
      </c>
    </row>
    <row r="28557">
      <c r="A28557" s="8" t="inlineStr">
        <is>
          <t>2026-08-06</t>
        </is>
      </c>
      <c r="B28557" s="8" t="n">
        <v>8</v>
      </c>
      <c r="C28557" s="8" t="n">
        <v>31</v>
      </c>
      <c r="D28557" s="8" t="inlineStr">
        <is>
          <t>Disneyland Park</t>
        </is>
      </c>
      <c r="E28557" s="8" t="inlineStr">
        <is>
          <t>Frontierland Playground</t>
        </is>
      </c>
      <c r="F28557" s="8" t="inlineStr">
        <is>
          <t>STANDBY</t>
        </is>
      </c>
      <c r="G28557" s="8" t="n">
        <v>0</v>
      </c>
      <c r="H28557" s="8" t="inlineStr">
        <is>
          <t>CLOSED</t>
        </is>
      </c>
    </row>
    <row r="28558">
      <c r="A28558" s="8" t="inlineStr">
        <is>
          <t>2026-08-06</t>
        </is>
      </c>
      <c r="B28558" s="8" t="n">
        <v>8</v>
      </c>
      <c r="C28558" s="8" t="n">
        <v>31</v>
      </c>
      <c r="D28558" s="8" t="inlineStr">
        <is>
          <t>Disneyland Park</t>
        </is>
      </c>
      <c r="E28558" s="8" t="inlineStr">
        <is>
          <t>Phantom Manor</t>
        </is>
      </c>
      <c r="F28558" s="8" t="inlineStr">
        <is>
          <t>STANDBY</t>
        </is>
      </c>
      <c r="G28558" s="8" t="n">
        <v>0</v>
      </c>
      <c r="H28558" s="8" t="inlineStr">
        <is>
          <t>CLOSED</t>
        </is>
      </c>
    </row>
    <row r="28559">
      <c r="A28559" s="8" t="inlineStr">
        <is>
          <t>2026-08-06</t>
        </is>
      </c>
      <c r="B28559" s="8" t="n">
        <v>8</v>
      </c>
      <c r="C28559" s="8" t="n">
        <v>31</v>
      </c>
      <c r="D28559" s="8" t="inlineStr">
        <is>
          <t>Disneyland Park</t>
        </is>
      </c>
      <c r="E28559" s="8" t="inlineStr">
        <is>
          <t>River Rogue Keelboats</t>
        </is>
      </c>
      <c r="F28559" s="8" t="inlineStr">
        <is>
          <t>STANDBY</t>
        </is>
      </c>
      <c r="G28559" s="8" t="n">
        <v>0</v>
      </c>
      <c r="H28559" s="8" t="inlineStr">
        <is>
          <t>CLOSED</t>
        </is>
      </c>
    </row>
    <row r="28560">
      <c r="A28560" s="8" t="inlineStr">
        <is>
          <t>2026-08-06</t>
        </is>
      </c>
      <c r="B28560" s="8" t="n">
        <v>8</v>
      </c>
      <c r="C28560" s="8" t="n">
        <v>31</v>
      </c>
      <c r="D28560" s="8" t="inlineStr">
        <is>
          <t>Disneyland Park</t>
        </is>
      </c>
      <c r="E28560" s="8" t="inlineStr">
        <is>
          <t>Rustler Roundup Shootin' Gallery</t>
        </is>
      </c>
      <c r="F28560" s="8" t="inlineStr">
        <is>
          <t>STANDBY</t>
        </is>
      </c>
      <c r="G28560" s="8" t="n">
        <v>0</v>
      </c>
      <c r="H28560" s="8" t="inlineStr">
        <is>
          <t>CLOSED</t>
        </is>
      </c>
    </row>
    <row r="28561">
      <c r="A28561" s="8" t="inlineStr">
        <is>
          <t>2026-08-06</t>
        </is>
      </c>
      <c r="B28561" s="8" t="n">
        <v>8</v>
      </c>
      <c r="C28561" s="8" t="n">
        <v>31</v>
      </c>
      <c r="D28561" s="8" t="inlineStr">
        <is>
          <t>Disneyland Park</t>
        </is>
      </c>
      <c r="E28561" s="8" t="inlineStr">
        <is>
          <t>Thunder Mesa Riverboat Landing</t>
        </is>
      </c>
      <c r="F28561" s="8" t="inlineStr">
        <is>
          <t>STANDBY</t>
        </is>
      </c>
      <c r="G28561" s="8" t="n">
        <v>0</v>
      </c>
      <c r="H28561" s="8" t="inlineStr">
        <is>
          <t>CLOSED</t>
        </is>
      </c>
    </row>
    <row r="28562">
      <c r="A28562" s="8" t="inlineStr">
        <is>
          <t>2026-08-06</t>
        </is>
      </c>
      <c r="B28562" s="8" t="n">
        <v>8</v>
      </c>
      <c r="C28562" s="8" t="n">
        <v>31</v>
      </c>
      <c r="D28562" s="8" t="inlineStr">
        <is>
          <t>Disneyland Park</t>
        </is>
      </c>
      <c r="E28562" s="8" t="inlineStr">
        <is>
          <t>Disneyland Railroad Main Street Station</t>
        </is>
      </c>
      <c r="F28562" s="8" t="inlineStr">
        <is>
          <t>STANDBY</t>
        </is>
      </c>
      <c r="G28562" s="8" t="n">
        <v>0</v>
      </c>
      <c r="H28562" s="8" t="inlineStr">
        <is>
          <t>CLOSED</t>
        </is>
      </c>
    </row>
    <row r="28563">
      <c r="A28563" s="8" t="inlineStr">
        <is>
          <t>2026-08-06</t>
        </is>
      </c>
      <c r="B28563" s="8" t="n">
        <v>8</v>
      </c>
      <c r="C28563" s="8" t="n">
        <v>31</v>
      </c>
      <c r="D28563" s="8" t="inlineStr">
        <is>
          <t>Disneyland Park</t>
        </is>
      </c>
      <c r="E28563" s="8" t="inlineStr">
        <is>
          <t>Main Street Vehicles</t>
        </is>
      </c>
      <c r="F28563" s="8" t="inlineStr">
        <is>
          <t>STANDBY</t>
        </is>
      </c>
      <c r="G28563" s="8" t="n">
        <v>0</v>
      </c>
      <c r="H28563" s="8" t="inlineStr">
        <is>
          <t>CLOSED</t>
        </is>
      </c>
    </row>
    <row r="28564">
      <c r="A28564" s="8" t="inlineStr">
        <is>
          <t>2026-08-06</t>
        </is>
      </c>
      <c r="B28564" s="8" t="n">
        <v>8</v>
      </c>
      <c r="C28564" s="8" t="n">
        <v>31</v>
      </c>
      <c r="D28564" s="8" t="inlineStr">
        <is>
          <t>Disney Adventure World</t>
        </is>
      </c>
      <c r="E28564" s="8" t="inlineStr">
        <is>
          <t>Avengers Assemble: Flight Force</t>
        </is>
      </c>
      <c r="F28564" s="8" t="inlineStr">
        <is>
          <t>STANDBY</t>
        </is>
      </c>
      <c r="G28564" s="8" t="n">
        <v>0</v>
      </c>
      <c r="H28564" s="8" t="inlineStr">
        <is>
          <t>CLOSED</t>
        </is>
      </c>
    </row>
    <row r="28565">
      <c r="A28565" s="8" t="inlineStr">
        <is>
          <t>2026-08-06</t>
        </is>
      </c>
      <c r="B28565" s="8" t="n">
        <v>8</v>
      </c>
      <c r="C28565" s="8" t="n">
        <v>31</v>
      </c>
      <c r="D28565" s="8" t="inlineStr">
        <is>
          <t>Disney Adventure World</t>
        </is>
      </c>
      <c r="E28565" s="8" t="inlineStr">
        <is>
          <t>Avengers Assemble: Flight Force Single Rider</t>
        </is>
      </c>
      <c r="F28565" s="8" t="inlineStr">
        <is>
          <t>STANDBY</t>
        </is>
      </c>
      <c r="G28565" s="8" t="n">
        <v>0</v>
      </c>
      <c r="H28565" s="8" t="inlineStr">
        <is>
          <t>CLOSED</t>
        </is>
      </c>
    </row>
    <row r="28566">
      <c r="A28566" s="8" t="inlineStr">
        <is>
          <t>2026-08-06</t>
        </is>
      </c>
      <c r="B28566" s="8" t="n">
        <v>8</v>
      </c>
      <c r="C28566" s="8" t="n">
        <v>31</v>
      </c>
      <c r="D28566" s="8" t="inlineStr">
        <is>
          <t>Disney Adventure World</t>
        </is>
      </c>
      <c r="E28566" s="8" t="inlineStr">
        <is>
          <t>Spider-Man W.E.B. Adventure</t>
        </is>
      </c>
      <c r="F28566" s="8" t="inlineStr">
        <is>
          <t>STANDBY</t>
        </is>
      </c>
      <c r="G28566" s="8" t="n">
        <v>5</v>
      </c>
      <c r="H28566" s="8" t="inlineStr">
        <is>
          <t>OPERATING</t>
        </is>
      </c>
    </row>
    <row r="28567">
      <c r="A28567" s="8" t="inlineStr">
        <is>
          <t>2026-08-06</t>
        </is>
      </c>
      <c r="B28567" s="8" t="n">
        <v>8</v>
      </c>
      <c r="C28567" s="8" t="n">
        <v>31</v>
      </c>
      <c r="D28567" s="8" t="inlineStr">
        <is>
          <t>Disney Adventure World</t>
        </is>
      </c>
      <c r="E28567" s="8" t="inlineStr">
        <is>
          <t>Spider-Man W.E.B. Adventure Single Rider</t>
        </is>
      </c>
      <c r="F28567" s="8" t="inlineStr">
        <is>
          <t>STANDBY</t>
        </is>
      </c>
      <c r="G28567" s="8" t="n">
        <v>5</v>
      </c>
      <c r="H28567" s="8" t="inlineStr">
        <is>
          <t>OPERATING</t>
        </is>
      </c>
    </row>
    <row r="28568">
      <c r="A28568" s="8" t="inlineStr">
        <is>
          <t>2026-08-06</t>
        </is>
      </c>
      <c r="B28568" s="8" t="n">
        <v>8</v>
      </c>
      <c r="C28568" s="8" t="n">
        <v>31</v>
      </c>
      <c r="D28568" s="8" t="inlineStr">
        <is>
          <t>Disney Adventure World</t>
        </is>
      </c>
      <c r="E28568" s="8" t="inlineStr">
        <is>
          <t>The Twilight Zone Tower of Terror</t>
        </is>
      </c>
      <c r="F28568" s="8" t="inlineStr">
        <is>
          <t>STANDBY</t>
        </is>
      </c>
      <c r="G28568" s="8" t="n">
        <v>5</v>
      </c>
      <c r="H28568" s="8" t="inlineStr">
        <is>
          <t>OPERATING</t>
        </is>
      </c>
    </row>
    <row r="28569">
      <c r="A28569" s="8" t="inlineStr">
        <is>
          <t>2026-08-06</t>
        </is>
      </c>
      <c r="B28569" s="8" t="n">
        <v>8</v>
      </c>
      <c r="C28569" s="8" t="n">
        <v>31</v>
      </c>
      <c r="D28569" s="8" t="inlineStr">
        <is>
          <t>Disney Adventure World</t>
        </is>
      </c>
      <c r="E28569" s="8" t="inlineStr">
        <is>
          <t>Cars Quatre Roues Rallye</t>
        </is>
      </c>
      <c r="F28569" s="8" t="inlineStr">
        <is>
          <t>STANDBY</t>
        </is>
      </c>
      <c r="G28569" s="8" t="n">
        <v>0</v>
      </c>
      <c r="H28569" s="8" t="inlineStr">
        <is>
          <t>CLOSED</t>
        </is>
      </c>
    </row>
    <row r="28570">
      <c r="A28570" s="8" t="inlineStr">
        <is>
          <t>2026-08-06</t>
        </is>
      </c>
      <c r="B28570" s="8" t="n">
        <v>8</v>
      </c>
      <c r="C28570" s="8" t="n">
        <v>31</v>
      </c>
      <c r="D28570" s="8" t="inlineStr">
        <is>
          <t>Disney Adventure World</t>
        </is>
      </c>
      <c r="E28570" s="8" t="inlineStr">
        <is>
          <t>Cars ROAD TRIP</t>
        </is>
      </c>
      <c r="F28570" s="8" t="inlineStr">
        <is>
          <t>STANDBY</t>
        </is>
      </c>
      <c r="G28570" s="8" t="n">
        <v>0</v>
      </c>
      <c r="H28570" s="8" t="inlineStr">
        <is>
          <t>CLOSED</t>
        </is>
      </c>
    </row>
    <row r="28571">
      <c r="A28571" s="8" t="inlineStr">
        <is>
          <t>2026-08-06</t>
        </is>
      </c>
      <c r="B28571" s="8" t="n">
        <v>8</v>
      </c>
      <c r="C28571" s="8" t="n">
        <v>31</v>
      </c>
      <c r="D28571" s="8" t="inlineStr">
        <is>
          <t>Disney Adventure World</t>
        </is>
      </c>
      <c r="E28571" s="8" t="inlineStr">
        <is>
          <t>Crush's Coaster</t>
        </is>
      </c>
      <c r="F28571" s="8" t="inlineStr">
        <is>
          <t>STANDBY</t>
        </is>
      </c>
      <c r="G28571" s="8" t="n">
        <v>30</v>
      </c>
      <c r="H28571" s="8" t="inlineStr">
        <is>
          <t>OPERATING</t>
        </is>
      </c>
    </row>
    <row r="28572">
      <c r="A28572" s="8" t="inlineStr">
        <is>
          <t>2026-08-06</t>
        </is>
      </c>
      <c r="B28572" s="8" t="n">
        <v>8</v>
      </c>
      <c r="C28572" s="8" t="n">
        <v>31</v>
      </c>
      <c r="D28572" s="8" t="inlineStr">
        <is>
          <t>Disney Adventure World</t>
        </is>
      </c>
      <c r="E28572" s="8" t="inlineStr">
        <is>
          <t>Crush's Coaster Single Rider</t>
        </is>
      </c>
      <c r="F28572" s="8" t="inlineStr">
        <is>
          <t>STANDBY</t>
        </is>
      </c>
      <c r="G28572" s="8" t="n">
        <v>25</v>
      </c>
      <c r="H28572" s="8" t="inlineStr">
        <is>
          <t>OPERATING</t>
        </is>
      </c>
    </row>
    <row r="28573">
      <c r="A28573" s="8" t="inlineStr">
        <is>
          <t>2026-08-06</t>
        </is>
      </c>
      <c r="B28573" s="8" t="n">
        <v>8</v>
      </c>
      <c r="C28573" s="8" t="n">
        <v>31</v>
      </c>
      <c r="D28573" s="8" t="inlineStr">
        <is>
          <t>Disney Adventure World</t>
        </is>
      </c>
      <c r="E28573" s="8" t="inlineStr">
        <is>
          <t>Les Tapis Volants - Flying Carpets Over Agrabah®</t>
        </is>
      </c>
      <c r="F28573" s="8" t="inlineStr">
        <is>
          <t>STANDBY</t>
        </is>
      </c>
      <c r="G28573" s="8" t="n">
        <v>0</v>
      </c>
      <c r="H28573" s="8" t="inlineStr">
        <is>
          <t>CLOSED</t>
        </is>
      </c>
    </row>
    <row r="28574">
      <c r="A28574" s="8" t="inlineStr">
        <is>
          <t>2026-08-06</t>
        </is>
      </c>
      <c r="B28574" s="8" t="n">
        <v>8</v>
      </c>
      <c r="C28574" s="8" t="n">
        <v>31</v>
      </c>
      <c r="D28574" s="8" t="inlineStr">
        <is>
          <t>Disney Adventure World</t>
        </is>
      </c>
      <c r="E28574" s="8" t="inlineStr">
        <is>
          <t>Ratatouille : L’Aventure Totalement Toquée de Rémy​</t>
        </is>
      </c>
      <c r="F28574" s="8" t="inlineStr">
        <is>
          <t>STANDBY</t>
        </is>
      </c>
      <c r="G28574" s="8" t="n">
        <v>0</v>
      </c>
      <c r="H28574" s="8" t="inlineStr">
        <is>
          <t>CLOSED</t>
        </is>
      </c>
    </row>
    <row r="28575">
      <c r="A28575" s="8" t="inlineStr">
        <is>
          <t>2026-08-06</t>
        </is>
      </c>
      <c r="B28575" s="8" t="n">
        <v>8</v>
      </c>
      <c r="C28575" s="8" t="n">
        <v>31</v>
      </c>
      <c r="D28575" s="8" t="inlineStr">
        <is>
          <t>Disney Adventure World</t>
        </is>
      </c>
      <c r="E28575" s="8" t="inlineStr">
        <is>
          <t>Ratatouille: The Adventure Single Rider</t>
        </is>
      </c>
      <c r="F28575" s="8" t="inlineStr">
        <is>
          <t>STANDBY</t>
        </is>
      </c>
      <c r="G28575" s="8" t="n">
        <v>0</v>
      </c>
      <c r="H28575" s="8" t="inlineStr">
        <is>
          <t>CLOSED</t>
        </is>
      </c>
    </row>
    <row r="28576">
      <c r="A28576" s="8" t="inlineStr">
        <is>
          <t>2026-08-06</t>
        </is>
      </c>
      <c r="B28576" s="8" t="n">
        <v>8</v>
      </c>
      <c r="C28576" s="8" t="n">
        <v>31</v>
      </c>
      <c r="D28576" s="8" t="inlineStr">
        <is>
          <t>Disney Adventure World</t>
        </is>
      </c>
      <c r="E28576" s="8" t="inlineStr">
        <is>
          <t>RC Racer</t>
        </is>
      </c>
      <c r="F28576" s="8" t="inlineStr">
        <is>
          <t>STANDBY</t>
        </is>
      </c>
      <c r="G28576" s="8" t="n">
        <v>0</v>
      </c>
      <c r="H28576" s="8" t="inlineStr">
        <is>
          <t>CLOSED</t>
        </is>
      </c>
    </row>
    <row r="28577">
      <c r="A28577" s="8" t="inlineStr">
        <is>
          <t>2026-08-06</t>
        </is>
      </c>
      <c r="B28577" s="8" t="n">
        <v>8</v>
      </c>
      <c r="C28577" s="8" t="n">
        <v>31</v>
      </c>
      <c r="D28577" s="8" t="inlineStr">
        <is>
          <t>Disney Adventure World</t>
        </is>
      </c>
      <c r="E28577" s="8" t="inlineStr">
        <is>
          <t>RC Racer Single Rider</t>
        </is>
      </c>
      <c r="F28577" s="8" t="inlineStr">
        <is>
          <t>STANDBY</t>
        </is>
      </c>
      <c r="G28577" s="8" t="n">
        <v>0</v>
      </c>
      <c r="H28577" s="8" t="inlineStr">
        <is>
          <t>CLOSED</t>
        </is>
      </c>
    </row>
    <row r="28578">
      <c r="A28578" s="8" t="inlineStr">
        <is>
          <t>2026-08-06</t>
        </is>
      </c>
      <c r="B28578" s="8" t="n">
        <v>8</v>
      </c>
      <c r="C28578" s="8" t="n">
        <v>31</v>
      </c>
      <c r="D28578" s="8" t="inlineStr">
        <is>
          <t>Disney Adventure World</t>
        </is>
      </c>
      <c r="E28578" s="8" t="inlineStr">
        <is>
          <t>Slinky® Dog Zigzag Spin</t>
        </is>
      </c>
      <c r="F28578" s="8" t="inlineStr">
        <is>
          <t>STANDBY</t>
        </is>
      </c>
      <c r="G28578" s="8" t="n">
        <v>0</v>
      </c>
      <c r="H28578" s="8" t="inlineStr">
        <is>
          <t>CLOSED</t>
        </is>
      </c>
    </row>
    <row r="28579">
      <c r="A28579" s="8" t="inlineStr">
        <is>
          <t>2026-08-06</t>
        </is>
      </c>
      <c r="B28579" s="8" t="n">
        <v>8</v>
      </c>
      <c r="C28579" s="8" t="n">
        <v>31</v>
      </c>
      <c r="D28579" s="8" t="inlineStr">
        <is>
          <t>Disney Adventure World</t>
        </is>
      </c>
      <c r="E28579" s="8" t="inlineStr">
        <is>
          <t>Toy Soldiers Parachute Drop</t>
        </is>
      </c>
      <c r="F28579" s="8" t="inlineStr">
        <is>
          <t>STANDBY</t>
        </is>
      </c>
      <c r="G28579" s="8" t="n">
        <v>0</v>
      </c>
      <c r="H28579" s="8" t="inlineStr">
        <is>
          <t>CLOSED</t>
        </is>
      </c>
    </row>
    <row r="28580">
      <c r="A28580" s="8" t="inlineStr">
        <is>
          <t>2026-08-06</t>
        </is>
      </c>
      <c r="B28580" s="8" t="n">
        <v>8</v>
      </c>
      <c r="C28580" s="8" t="n">
        <v>31</v>
      </c>
      <c r="D28580" s="8" t="inlineStr">
        <is>
          <t>Disney Adventure World</t>
        </is>
      </c>
      <c r="E28580" s="8" t="inlineStr">
        <is>
          <t>Toy Soldiers Parachute Drop Single Rider</t>
        </is>
      </c>
      <c r="F28580" s="8" t="inlineStr">
        <is>
          <t>STANDBY</t>
        </is>
      </c>
      <c r="G28580" s="8" t="n">
        <v>0</v>
      </c>
      <c r="H28580" s="8" t="inlineStr">
        <is>
          <t>CLOSED</t>
        </is>
      </c>
    </row>
    <row r="28581">
      <c r="A28581" s="8" t="inlineStr">
        <is>
          <t>2026-08-06</t>
        </is>
      </c>
      <c r="B28581" s="8" t="n">
        <v>8</v>
      </c>
      <c r="C28581" s="8" t="n">
        <v>31</v>
      </c>
      <c r="D28581" s="8" t="inlineStr">
        <is>
          <t>Disney Adventure World</t>
        </is>
      </c>
      <c r="E28581" s="8" t="inlineStr">
        <is>
          <t>Entry to World of Frozen</t>
        </is>
      </c>
      <c r="F28581" s="8" t="inlineStr">
        <is>
          <t>STANDBY</t>
        </is>
      </c>
      <c r="G28581" s="8" t="n">
        <v>0</v>
      </c>
      <c r="H28581" s="8" t="inlineStr">
        <is>
          <t>CLOSED</t>
        </is>
      </c>
    </row>
    <row r="28582">
      <c r="A28582" s="8" t="inlineStr">
        <is>
          <t>2026-08-06</t>
        </is>
      </c>
      <c r="B28582" s="8" t="n">
        <v>8</v>
      </c>
      <c r="C28582" s="8" t="n">
        <v>31</v>
      </c>
      <c r="D28582" s="8" t="inlineStr">
        <is>
          <t>Disney Adventure World</t>
        </is>
      </c>
      <c r="E28582" s="8" t="inlineStr">
        <is>
          <t>Frozen Ever After</t>
        </is>
      </c>
      <c r="F28582" s="8" t="inlineStr">
        <is>
          <t>STANDBY</t>
        </is>
      </c>
      <c r="G28582" s="8" t="n">
        <v>5</v>
      </c>
      <c r="H28582" s="8" t="inlineStr">
        <is>
          <t>OPERATING</t>
        </is>
      </c>
    </row>
    <row r="28583">
      <c r="A28583" s="8" t="inlineStr">
        <is>
          <t>2026-08-06</t>
        </is>
      </c>
      <c r="B28583" s="8" t="n">
        <v>8</v>
      </c>
      <c r="C28583" s="8" t="n">
        <v>31</v>
      </c>
      <c r="D28583" s="8" t="inlineStr">
        <is>
          <t>Disney Adventure World</t>
        </is>
      </c>
      <c r="E28583" s="8" t="inlineStr">
        <is>
          <t>Raiponce Tangled Spin</t>
        </is>
      </c>
      <c r="F28583" s="8" t="inlineStr">
        <is>
          <t>STANDBY</t>
        </is>
      </c>
      <c r="G28583" s="8" t="n">
        <v>0</v>
      </c>
      <c r="H28583" s="8" t="inlineStr">
        <is>
          <t>CLOSED</t>
        </is>
      </c>
    </row>
    <row r="28584">
      <c r="A28584" s="8" t="inlineStr">
        <is>
          <t>2026-08-06</t>
        </is>
      </c>
      <c r="B28584" s="8" t="n">
        <v>8</v>
      </c>
      <c r="C28584" s="8" t="n">
        <v>45</v>
      </c>
      <c r="D28584" s="8" t="inlineStr">
        <is>
          <t>Disneyland Park</t>
        </is>
      </c>
      <c r="E28584" s="8" t="inlineStr">
        <is>
          <t>Adventure Isle</t>
        </is>
      </c>
      <c r="F28584" s="8" t="inlineStr">
        <is>
          <t>STANDBY</t>
        </is>
      </c>
      <c r="G28584" s="8" t="n">
        <v>0</v>
      </c>
      <c r="H28584" s="8" t="inlineStr">
        <is>
          <t>CLOSED</t>
        </is>
      </c>
    </row>
    <row r="28585">
      <c r="A28585" s="8" t="inlineStr">
        <is>
          <t>2026-08-06</t>
        </is>
      </c>
      <c r="B28585" s="8" t="n">
        <v>8</v>
      </c>
      <c r="C28585" s="8" t="n">
        <v>45</v>
      </c>
      <c r="D28585" s="8" t="inlineStr">
        <is>
          <t>Disneyland Park</t>
        </is>
      </c>
      <c r="E28585" s="8" t="inlineStr">
        <is>
          <t>Indiana Jones and the Temple of Peril Single Rider</t>
        </is>
      </c>
      <c r="F28585" s="8" t="inlineStr">
        <is>
          <t>STANDBY</t>
        </is>
      </c>
      <c r="G28585" s="8" t="n">
        <v>0</v>
      </c>
      <c r="H28585" s="8" t="inlineStr">
        <is>
          <t>CLOSED</t>
        </is>
      </c>
    </row>
    <row r="28586">
      <c r="A28586" s="8" t="inlineStr">
        <is>
          <t>2026-08-06</t>
        </is>
      </c>
      <c r="B28586" s="8" t="n">
        <v>8</v>
      </c>
      <c r="C28586" s="8" t="n">
        <v>45</v>
      </c>
      <c r="D28586" s="8" t="inlineStr">
        <is>
          <t>Disneyland Park</t>
        </is>
      </c>
      <c r="E28586" s="8" t="inlineStr">
        <is>
          <t>Indiana Jones™ and the Temple of Peril</t>
        </is>
      </c>
      <c r="F28586" s="8" t="inlineStr">
        <is>
          <t>STANDBY</t>
        </is>
      </c>
      <c r="G28586" s="8" t="n">
        <v>0</v>
      </c>
      <c r="H28586" s="8" t="inlineStr">
        <is>
          <t>CLOSED</t>
        </is>
      </c>
    </row>
    <row r="28587">
      <c r="A28587" s="8" t="inlineStr">
        <is>
          <t>2026-08-06</t>
        </is>
      </c>
      <c r="B28587" s="8" t="n">
        <v>8</v>
      </c>
      <c r="C28587" s="8" t="n">
        <v>45</v>
      </c>
      <c r="D28587" s="8" t="inlineStr">
        <is>
          <t>Disneyland Park</t>
        </is>
      </c>
      <c r="E28587" s="8" t="inlineStr">
        <is>
          <t>La Cabane des Robinson</t>
        </is>
      </c>
      <c r="F28587" s="8" t="inlineStr">
        <is>
          <t>STANDBY</t>
        </is>
      </c>
      <c r="G28587" s="8" t="n">
        <v>0</v>
      </c>
      <c r="H28587" s="8" t="inlineStr">
        <is>
          <t>CLOSED</t>
        </is>
      </c>
    </row>
    <row r="28588">
      <c r="A28588" s="8" t="inlineStr">
        <is>
          <t>2026-08-06</t>
        </is>
      </c>
      <c r="B28588" s="8" t="n">
        <v>8</v>
      </c>
      <c r="C28588" s="8" t="n">
        <v>45</v>
      </c>
      <c r="D28588" s="8" t="inlineStr">
        <is>
          <t>Disneyland Park</t>
        </is>
      </c>
      <c r="E28588" s="8" t="inlineStr">
        <is>
          <t>Le Passage Enchanté d'Aladdin</t>
        </is>
      </c>
      <c r="F28588" s="8" t="inlineStr">
        <is>
          <t>STANDBY</t>
        </is>
      </c>
      <c r="G28588" s="8" t="n">
        <v>0</v>
      </c>
      <c r="H28588" s="8" t="inlineStr">
        <is>
          <t>CLOSED</t>
        </is>
      </c>
    </row>
    <row r="28589">
      <c r="A28589" s="8" t="inlineStr">
        <is>
          <t>2026-08-06</t>
        </is>
      </c>
      <c r="B28589" s="8" t="n">
        <v>8</v>
      </c>
      <c r="C28589" s="8" t="n">
        <v>45</v>
      </c>
      <c r="D28589" s="8" t="inlineStr">
        <is>
          <t>Disneyland Park</t>
        </is>
      </c>
      <c r="E28589" s="8" t="inlineStr">
        <is>
          <t>Pirate Galleon</t>
        </is>
      </c>
      <c r="F28589" s="8" t="inlineStr">
        <is>
          <t>STANDBY</t>
        </is>
      </c>
      <c r="G28589" s="8" t="n">
        <v>0</v>
      </c>
      <c r="H28589" s="8" t="inlineStr">
        <is>
          <t>CLOSED</t>
        </is>
      </c>
    </row>
    <row r="28590">
      <c r="A28590" s="8" t="inlineStr">
        <is>
          <t>2026-08-06</t>
        </is>
      </c>
      <c r="B28590" s="8" t="n">
        <v>8</v>
      </c>
      <c r="C28590" s="8" t="n">
        <v>45</v>
      </c>
      <c r="D28590" s="8" t="inlineStr">
        <is>
          <t>Disneyland Park</t>
        </is>
      </c>
      <c r="E28590" s="8" t="inlineStr">
        <is>
          <t>Pirates of the Caribbean</t>
        </is>
      </c>
      <c r="F28590" s="8" t="inlineStr">
        <is>
          <t>STANDBY</t>
        </is>
      </c>
      <c r="G28590" s="8" t="n">
        <v>0</v>
      </c>
      <c r="H28590" s="8" t="inlineStr">
        <is>
          <t>CLOSED</t>
        </is>
      </c>
    </row>
    <row r="28591">
      <c r="A28591" s="8" t="inlineStr">
        <is>
          <t>2026-08-06</t>
        </is>
      </c>
      <c r="B28591" s="8" t="n">
        <v>8</v>
      </c>
      <c r="C28591" s="8" t="n">
        <v>45</v>
      </c>
      <c r="D28591" s="8" t="inlineStr">
        <is>
          <t>Disneyland Park</t>
        </is>
      </c>
      <c r="E28591" s="8" t="inlineStr">
        <is>
          <t>Pirates' Beach</t>
        </is>
      </c>
      <c r="F28591" s="8" t="inlineStr">
        <is>
          <t>STANDBY</t>
        </is>
      </c>
      <c r="G28591" s="8" t="n">
        <v>0</v>
      </c>
      <c r="H28591" s="8" t="inlineStr">
        <is>
          <t>CLOSED</t>
        </is>
      </c>
    </row>
    <row r="28592">
      <c r="A28592" s="8" t="inlineStr">
        <is>
          <t>2026-08-06</t>
        </is>
      </c>
      <c r="B28592" s="8" t="n">
        <v>8</v>
      </c>
      <c r="C28592" s="8" t="n">
        <v>45</v>
      </c>
      <c r="D28592" s="8" t="inlineStr">
        <is>
          <t>Disneyland Park</t>
        </is>
      </c>
      <c r="E28592" s="8" t="inlineStr">
        <is>
          <t>Autopia, presented by Avis</t>
        </is>
      </c>
      <c r="F28592" s="8" t="inlineStr">
        <is>
          <t>STANDBY</t>
        </is>
      </c>
      <c r="G28592" s="8" t="n">
        <v>0</v>
      </c>
      <c r="H28592" s="8" t="inlineStr">
        <is>
          <t>CLOSED</t>
        </is>
      </c>
    </row>
    <row r="28593">
      <c r="A28593" s="8" t="inlineStr">
        <is>
          <t>2026-08-06</t>
        </is>
      </c>
      <c r="B28593" s="8" t="n">
        <v>8</v>
      </c>
      <c r="C28593" s="8" t="n">
        <v>45</v>
      </c>
      <c r="D28593" s="8" t="inlineStr">
        <is>
          <t>Disneyland Park</t>
        </is>
      </c>
      <c r="E28593" s="8" t="inlineStr">
        <is>
          <t>Buzz Lightyear Laser Blast</t>
        </is>
      </c>
      <c r="F28593" s="8" t="inlineStr">
        <is>
          <t>STANDBY</t>
        </is>
      </c>
      <c r="G28593" s="8" t="n">
        <v>0</v>
      </c>
      <c r="H28593" s="8" t="inlineStr">
        <is>
          <t>CLOSED</t>
        </is>
      </c>
    </row>
    <row r="28594">
      <c r="A28594" s="8" t="inlineStr">
        <is>
          <t>2026-08-06</t>
        </is>
      </c>
      <c r="B28594" s="8" t="n">
        <v>8</v>
      </c>
      <c r="C28594" s="8" t="n">
        <v>45</v>
      </c>
      <c r="D28594" s="8" t="inlineStr">
        <is>
          <t>Disneyland Park</t>
        </is>
      </c>
      <c r="E28594" s="8" t="inlineStr">
        <is>
          <t>Disneyland Railroad Discoveryland Station</t>
        </is>
      </c>
      <c r="F28594" s="8" t="inlineStr">
        <is>
          <t>STANDBY</t>
        </is>
      </c>
      <c r="G28594" s="8" t="n">
        <v>0</v>
      </c>
      <c r="H28594" s="8" t="inlineStr">
        <is>
          <t>CLOSED</t>
        </is>
      </c>
    </row>
    <row r="28595">
      <c r="A28595" s="8" t="inlineStr">
        <is>
          <t>2026-08-06</t>
        </is>
      </c>
      <c r="B28595" s="8" t="n">
        <v>8</v>
      </c>
      <c r="C28595" s="8" t="n">
        <v>45</v>
      </c>
      <c r="D28595" s="8" t="inlineStr">
        <is>
          <t>Disneyland Park</t>
        </is>
      </c>
      <c r="E28595" s="8" t="inlineStr">
        <is>
          <t>Les Mystères du Nautilus</t>
        </is>
      </c>
      <c r="F28595" s="8" t="inlineStr">
        <is>
          <t>STANDBY</t>
        </is>
      </c>
      <c r="G28595" s="8" t="n">
        <v>0</v>
      </c>
      <c r="H28595" s="8" t="inlineStr">
        <is>
          <t>CLOSED</t>
        </is>
      </c>
    </row>
    <row r="28596">
      <c r="A28596" s="8" t="inlineStr">
        <is>
          <t>2026-08-06</t>
        </is>
      </c>
      <c r="B28596" s="8" t="n">
        <v>8</v>
      </c>
      <c r="C28596" s="8" t="n">
        <v>45</v>
      </c>
      <c r="D28596" s="8" t="inlineStr">
        <is>
          <t>Disneyland Park</t>
        </is>
      </c>
      <c r="E28596" s="8" t="inlineStr">
        <is>
          <t>Mickey’s PhilharMagic</t>
        </is>
      </c>
      <c r="F28596" s="8" t="inlineStr">
        <is>
          <t>STANDBY</t>
        </is>
      </c>
      <c r="G28596" s="8" t="n">
        <v>0</v>
      </c>
      <c r="H28596" s="8" t="inlineStr">
        <is>
          <t>CLOSED</t>
        </is>
      </c>
    </row>
    <row r="28597">
      <c r="A28597" s="8" t="inlineStr">
        <is>
          <t>2026-08-06</t>
        </is>
      </c>
      <c r="B28597" s="8" t="n">
        <v>8</v>
      </c>
      <c r="C28597" s="8" t="n">
        <v>45</v>
      </c>
      <c r="D28597" s="8" t="inlineStr">
        <is>
          <t>Disneyland Park</t>
        </is>
      </c>
      <c r="E28597" s="8" t="inlineStr">
        <is>
          <t>Orbitron®</t>
        </is>
      </c>
      <c r="F28597" s="8" t="inlineStr">
        <is>
          <t>STANDBY</t>
        </is>
      </c>
      <c r="G28597" s="8" t="n">
        <v>0</v>
      </c>
      <c r="H28597" s="8" t="inlineStr">
        <is>
          <t>CLOSED</t>
        </is>
      </c>
    </row>
    <row r="28598">
      <c r="A28598" s="8" t="inlineStr">
        <is>
          <t>2026-08-06</t>
        </is>
      </c>
      <c r="B28598" s="8" t="n">
        <v>8</v>
      </c>
      <c r="C28598" s="8" t="n">
        <v>45</v>
      </c>
      <c r="D28598" s="8" t="inlineStr">
        <is>
          <t>Disneyland Park</t>
        </is>
      </c>
      <c r="E28598" s="8" t="inlineStr">
        <is>
          <t>Star Tours: The Adventures Continue*</t>
        </is>
      </c>
      <c r="F28598" s="8" t="inlineStr">
        <is>
          <t>STANDBY</t>
        </is>
      </c>
      <c r="G28598" s="8" t="n">
        <v>0</v>
      </c>
      <c r="H28598" s="8" t="inlineStr">
        <is>
          <t>CLOSED</t>
        </is>
      </c>
    </row>
    <row r="28599">
      <c r="A28599" s="8" t="inlineStr">
        <is>
          <t>2026-08-06</t>
        </is>
      </c>
      <c r="B28599" s="8" t="n">
        <v>8</v>
      </c>
      <c r="C28599" s="8" t="n">
        <v>45</v>
      </c>
      <c r="D28599" s="8" t="inlineStr">
        <is>
          <t>Disneyland Park</t>
        </is>
      </c>
      <c r="E28599" s="8" t="inlineStr">
        <is>
          <t>Star Wars Hyperspace Mountain</t>
        </is>
      </c>
      <c r="F28599" s="8" t="inlineStr">
        <is>
          <t>STANDBY</t>
        </is>
      </c>
      <c r="G28599" s="8" t="n">
        <v>5</v>
      </c>
      <c r="H28599" s="8" t="inlineStr">
        <is>
          <t>OPERATING</t>
        </is>
      </c>
    </row>
    <row r="28600">
      <c r="A28600" s="8" t="inlineStr">
        <is>
          <t>2026-08-06</t>
        </is>
      </c>
      <c r="B28600" s="8" t="n">
        <v>8</v>
      </c>
      <c r="C28600" s="8" t="n">
        <v>45</v>
      </c>
      <c r="D28600" s="8" t="inlineStr">
        <is>
          <t>Disneyland Park</t>
        </is>
      </c>
      <c r="E28600" s="8" t="inlineStr">
        <is>
          <t>Star Wars Hyperspace Mountain Single Rider</t>
        </is>
      </c>
      <c r="F28600" s="8" t="inlineStr">
        <is>
          <t>STANDBY</t>
        </is>
      </c>
      <c r="G28600" s="8" t="n">
        <v>0</v>
      </c>
      <c r="H28600" s="8" t="inlineStr">
        <is>
          <t>OPERATING</t>
        </is>
      </c>
    </row>
    <row r="28601">
      <c r="A28601" s="8" t="inlineStr">
        <is>
          <t>2026-08-06</t>
        </is>
      </c>
      <c r="B28601" s="8" t="n">
        <v>8</v>
      </c>
      <c r="C28601" s="8" t="n">
        <v>45</v>
      </c>
      <c r="D28601" s="8" t="inlineStr">
        <is>
          <t>Disneyland Park</t>
        </is>
      </c>
      <c r="E28601" s="8" t="inlineStr">
        <is>
          <t>Welcome to Starport: A Star Wars Encounter</t>
        </is>
      </c>
      <c r="F28601" s="8" t="inlineStr">
        <is>
          <t>STANDBY</t>
        </is>
      </c>
      <c r="G28601" s="8" t="n">
        <v>0</v>
      </c>
      <c r="H28601" s="8" t="inlineStr">
        <is>
          <t>CLOSED</t>
        </is>
      </c>
    </row>
    <row r="28602">
      <c r="A28602" s="8" t="inlineStr">
        <is>
          <t>2026-08-06</t>
        </is>
      </c>
      <c r="B28602" s="8" t="n">
        <v>8</v>
      </c>
      <c r="C28602" s="8" t="n">
        <v>45</v>
      </c>
      <c r="D28602" s="8" t="inlineStr">
        <is>
          <t>Disneyland Park</t>
        </is>
      </c>
      <c r="E28602" s="8" t="inlineStr">
        <is>
          <t>"it's a small world"</t>
        </is>
      </c>
      <c r="F28602" s="8" t="inlineStr">
        <is>
          <t>STANDBY</t>
        </is>
      </c>
      <c r="G28602" s="8" t="n">
        <v>0</v>
      </c>
      <c r="H28602" s="8" t="inlineStr">
        <is>
          <t>CLOSED</t>
        </is>
      </c>
    </row>
    <row r="28603">
      <c r="A28603" s="8" t="inlineStr">
        <is>
          <t>2026-08-06</t>
        </is>
      </c>
      <c r="B28603" s="8" t="n">
        <v>8</v>
      </c>
      <c r="C28603" s="8" t="n">
        <v>45</v>
      </c>
      <c r="D28603" s="8" t="inlineStr">
        <is>
          <t>Disneyland Park</t>
        </is>
      </c>
      <c r="E28603" s="8" t="inlineStr">
        <is>
          <t>Alice's Curious Labyrinth</t>
        </is>
      </c>
      <c r="F28603" s="8" t="inlineStr">
        <is>
          <t>STANDBY</t>
        </is>
      </c>
      <c r="G28603" s="8" t="n">
        <v>0</v>
      </c>
      <c r="H28603" s="8" t="inlineStr">
        <is>
          <t>CLOSED</t>
        </is>
      </c>
    </row>
    <row r="28604">
      <c r="A28604" s="8" t="inlineStr">
        <is>
          <t>2026-08-06</t>
        </is>
      </c>
      <c r="B28604" s="8" t="n">
        <v>8</v>
      </c>
      <c r="C28604" s="8" t="n">
        <v>45</v>
      </c>
      <c r="D28604" s="8" t="inlineStr">
        <is>
          <t>Disneyland Park</t>
        </is>
      </c>
      <c r="E28604" s="8" t="inlineStr">
        <is>
          <t>Blanche-Neige et les Sept Nains®</t>
        </is>
      </c>
      <c r="F28604" s="8" t="inlineStr">
        <is>
          <t>STANDBY</t>
        </is>
      </c>
      <c r="G28604" s="8" t="n">
        <v>0</v>
      </c>
      <c r="H28604" s="8" t="inlineStr">
        <is>
          <t>CLOSED</t>
        </is>
      </c>
    </row>
    <row r="28605">
      <c r="A28605" s="8" t="inlineStr">
        <is>
          <t>2026-08-06</t>
        </is>
      </c>
      <c r="B28605" s="8" t="n">
        <v>8</v>
      </c>
      <c r="C28605" s="8" t="n">
        <v>45</v>
      </c>
      <c r="D28605" s="8" t="inlineStr">
        <is>
          <t>Disneyland Park</t>
        </is>
      </c>
      <c r="E28605" s="8" t="inlineStr">
        <is>
          <t>Casey Jr. – le Petit Train du Cirque</t>
        </is>
      </c>
      <c r="F28605" s="8" t="inlineStr">
        <is>
          <t>STANDBY</t>
        </is>
      </c>
      <c r="G28605" s="8" t="n">
        <v>0</v>
      </c>
      <c r="H28605" s="8" t="inlineStr">
        <is>
          <t>CLOSED</t>
        </is>
      </c>
    </row>
    <row r="28606">
      <c r="A28606" s="8" t="inlineStr">
        <is>
          <t>2026-08-06</t>
        </is>
      </c>
      <c r="B28606" s="8" t="n">
        <v>8</v>
      </c>
      <c r="C28606" s="8" t="n">
        <v>45</v>
      </c>
      <c r="D28606" s="8" t="inlineStr">
        <is>
          <t>Disneyland Park</t>
        </is>
      </c>
      <c r="E28606" s="8" t="inlineStr">
        <is>
          <t>Disneyland Railroad Fantasyland Station</t>
        </is>
      </c>
      <c r="F28606" s="8" t="inlineStr">
        <is>
          <t>STANDBY</t>
        </is>
      </c>
      <c r="G28606" s="8" t="n">
        <v>0</v>
      </c>
      <c r="H28606" s="8" t="inlineStr">
        <is>
          <t>CLOSED</t>
        </is>
      </c>
    </row>
    <row r="28607">
      <c r="A28607" s="8" t="inlineStr">
        <is>
          <t>2026-08-06</t>
        </is>
      </c>
      <c r="B28607" s="8" t="n">
        <v>8</v>
      </c>
      <c r="C28607" s="8" t="n">
        <v>45</v>
      </c>
      <c r="D28607" s="8" t="inlineStr">
        <is>
          <t>Disneyland Park</t>
        </is>
      </c>
      <c r="E28607" s="8" t="inlineStr">
        <is>
          <t>Disneyland Railroad Main Street Station</t>
        </is>
      </c>
      <c r="F28607" s="8" t="inlineStr">
        <is>
          <t>STANDBY</t>
        </is>
      </c>
      <c r="G28607" s="8" t="n">
        <v>0</v>
      </c>
      <c r="H28607" s="8" t="inlineStr">
        <is>
          <t>CLOSED</t>
        </is>
      </c>
    </row>
    <row r="28608">
      <c r="A28608" s="8" t="inlineStr">
        <is>
          <t>2026-08-06</t>
        </is>
      </c>
      <c r="B28608" s="8" t="n">
        <v>8</v>
      </c>
      <c r="C28608" s="8" t="n">
        <v>45</v>
      </c>
      <c r="D28608" s="8" t="inlineStr">
        <is>
          <t>Disneyland Park</t>
        </is>
      </c>
      <c r="E28608" s="8" t="inlineStr">
        <is>
          <t>Dumbo the Flying Elephant</t>
        </is>
      </c>
      <c r="F28608" s="8" t="inlineStr">
        <is>
          <t>STANDBY</t>
        </is>
      </c>
      <c r="G28608" s="8" t="n">
        <v>5</v>
      </c>
      <c r="H28608" s="8" t="inlineStr">
        <is>
          <t>OPERATING</t>
        </is>
      </c>
    </row>
    <row r="28609">
      <c r="A28609" s="8" t="inlineStr">
        <is>
          <t>2026-08-06</t>
        </is>
      </c>
      <c r="B28609" s="8" t="n">
        <v>8</v>
      </c>
      <c r="C28609" s="8" t="n">
        <v>45</v>
      </c>
      <c r="D28609" s="8" t="inlineStr">
        <is>
          <t>Disneyland Park</t>
        </is>
      </c>
      <c r="E28609" s="8" t="inlineStr">
        <is>
          <t>La Tanière du Dragon</t>
        </is>
      </c>
      <c r="F28609" s="8" t="inlineStr">
        <is>
          <t>STANDBY</t>
        </is>
      </c>
      <c r="G28609" s="8" t="n">
        <v>0</v>
      </c>
      <c r="H28609" s="8" t="inlineStr">
        <is>
          <t>OPERATING</t>
        </is>
      </c>
    </row>
    <row r="28610">
      <c r="A28610" s="8" t="inlineStr">
        <is>
          <t>2026-08-06</t>
        </is>
      </c>
      <c r="B28610" s="8" t="n">
        <v>8</v>
      </c>
      <c r="C28610" s="8" t="n">
        <v>45</v>
      </c>
      <c r="D28610" s="8" t="inlineStr">
        <is>
          <t>Disneyland Park</t>
        </is>
      </c>
      <c r="E28610" s="8" t="inlineStr">
        <is>
          <t>Le Carrousel de Lancelot</t>
        </is>
      </c>
      <c r="F28610" s="8" t="inlineStr">
        <is>
          <t>STANDBY</t>
        </is>
      </c>
      <c r="G28610" s="8" t="n">
        <v>0</v>
      </c>
      <c r="H28610" s="8" t="inlineStr">
        <is>
          <t>CLOSED</t>
        </is>
      </c>
    </row>
    <row r="28611">
      <c r="A28611" s="8" t="inlineStr">
        <is>
          <t>2026-08-06</t>
        </is>
      </c>
      <c r="B28611" s="8" t="n">
        <v>8</v>
      </c>
      <c r="C28611" s="8" t="n">
        <v>45</v>
      </c>
      <c r="D28611" s="8" t="inlineStr">
        <is>
          <t>Disneyland Park</t>
        </is>
      </c>
      <c r="E28611" s="8" t="inlineStr">
        <is>
          <t>Le Pays des Contes de Fées, presented by Vittel</t>
        </is>
      </c>
      <c r="F28611" s="8" t="inlineStr">
        <is>
          <t>STANDBY</t>
        </is>
      </c>
      <c r="G28611" s="8" t="n">
        <v>0</v>
      </c>
      <c r="H28611" s="8" t="inlineStr">
        <is>
          <t>CLOSED</t>
        </is>
      </c>
    </row>
    <row r="28612">
      <c r="A28612" s="8" t="inlineStr">
        <is>
          <t>2026-08-06</t>
        </is>
      </c>
      <c r="B28612" s="8" t="n">
        <v>8</v>
      </c>
      <c r="C28612" s="8" t="n">
        <v>45</v>
      </c>
      <c r="D28612" s="8" t="inlineStr">
        <is>
          <t>Disneyland Park</t>
        </is>
      </c>
      <c r="E28612" s="8" t="inlineStr">
        <is>
          <t>Les Voyages de Pinocchio</t>
        </is>
      </c>
      <c r="F28612" s="8" t="inlineStr">
        <is>
          <t>STANDBY</t>
        </is>
      </c>
      <c r="G28612" s="8" t="n">
        <v>0</v>
      </c>
      <c r="H28612" s="8" t="inlineStr">
        <is>
          <t>CLOSED</t>
        </is>
      </c>
    </row>
    <row r="28613">
      <c r="A28613" s="8" t="inlineStr">
        <is>
          <t>2026-08-06</t>
        </is>
      </c>
      <c r="B28613" s="8" t="n">
        <v>8</v>
      </c>
      <c r="C28613" s="8" t="n">
        <v>45</v>
      </c>
      <c r="D28613" s="8" t="inlineStr">
        <is>
          <t>Disneyland Park</t>
        </is>
      </c>
      <c r="E28613" s="8" t="inlineStr">
        <is>
          <t>Mad Hatter's Tea Cups</t>
        </is>
      </c>
      <c r="F28613" s="8" t="inlineStr">
        <is>
          <t>STANDBY</t>
        </is>
      </c>
      <c r="G28613" s="8" t="n">
        <v>0</v>
      </c>
      <c r="H28613" s="8" t="inlineStr">
        <is>
          <t>CLOSED</t>
        </is>
      </c>
    </row>
    <row r="28614">
      <c r="A28614" s="8" t="inlineStr">
        <is>
          <t>2026-08-06</t>
        </is>
      </c>
      <c r="B28614" s="8" t="n">
        <v>8</v>
      </c>
      <c r="C28614" s="8" t="n">
        <v>45</v>
      </c>
      <c r="D28614" s="8" t="inlineStr">
        <is>
          <t>Disneyland Park</t>
        </is>
      </c>
      <c r="E28614" s="8" t="inlineStr">
        <is>
          <t>Meet Mickey Mouse</t>
        </is>
      </c>
      <c r="F28614" s="8" t="inlineStr">
        <is>
          <t>STANDBY</t>
        </is>
      </c>
      <c r="G28614" s="8" t="n">
        <v>0</v>
      </c>
      <c r="H28614" s="8" t="inlineStr">
        <is>
          <t>CLOSED</t>
        </is>
      </c>
    </row>
    <row r="28615">
      <c r="A28615" s="8" t="inlineStr">
        <is>
          <t>2026-08-06</t>
        </is>
      </c>
      <c r="B28615" s="8" t="n">
        <v>8</v>
      </c>
      <c r="C28615" s="8" t="n">
        <v>45</v>
      </c>
      <c r="D28615" s="8" t="inlineStr">
        <is>
          <t>Disneyland Park</t>
        </is>
      </c>
      <c r="E28615" s="8" t="inlineStr">
        <is>
          <t>Peter Pan's Flight</t>
        </is>
      </c>
      <c r="F28615" s="8" t="inlineStr">
        <is>
          <t>STANDBY</t>
        </is>
      </c>
      <c r="G28615" s="8" t="n">
        <v>30</v>
      </c>
      <c r="H28615" s="8" t="inlineStr">
        <is>
          <t>OPERATING</t>
        </is>
      </c>
    </row>
    <row r="28616">
      <c r="A28616" s="8" t="inlineStr">
        <is>
          <t>2026-08-06</t>
        </is>
      </c>
      <c r="B28616" s="8" t="n">
        <v>8</v>
      </c>
      <c r="C28616" s="8" t="n">
        <v>45</v>
      </c>
      <c r="D28616" s="8" t="inlineStr">
        <is>
          <t>Disneyland Park</t>
        </is>
      </c>
      <c r="E28616" s="8" t="inlineStr">
        <is>
          <t>Princess Pavilion</t>
        </is>
      </c>
      <c r="F28616" s="8" t="inlineStr">
        <is>
          <t>STANDBY</t>
        </is>
      </c>
      <c r="G28616" s="8" t="n">
        <v>0</v>
      </c>
      <c r="H28616" s="8" t="inlineStr">
        <is>
          <t>CLOSED</t>
        </is>
      </c>
    </row>
    <row r="28617">
      <c r="A28617" s="8" t="inlineStr">
        <is>
          <t>2026-08-06</t>
        </is>
      </c>
      <c r="B28617" s="8" t="n">
        <v>8</v>
      </c>
      <c r="C28617" s="8" t="n">
        <v>45</v>
      </c>
      <c r="D28617" s="8" t="inlineStr">
        <is>
          <t>Disneyland Park</t>
        </is>
      </c>
      <c r="E28617" s="8" t="inlineStr">
        <is>
          <t>Big Thunder Mountain</t>
        </is>
      </c>
      <c r="F28617" s="8" t="inlineStr">
        <is>
          <t>STANDBY</t>
        </is>
      </c>
      <c r="G28617" s="8" t="n">
        <v>0</v>
      </c>
      <c r="H28617" s="8" t="inlineStr">
        <is>
          <t>CLOSED</t>
        </is>
      </c>
    </row>
    <row r="28618">
      <c r="A28618" s="8" t="inlineStr">
        <is>
          <t>2026-08-06</t>
        </is>
      </c>
      <c r="B28618" s="8" t="n">
        <v>8</v>
      </c>
      <c r="C28618" s="8" t="n">
        <v>45</v>
      </c>
      <c r="D28618" s="8" t="inlineStr">
        <is>
          <t>Disneyland Park</t>
        </is>
      </c>
      <c r="E28618" s="8" t="inlineStr">
        <is>
          <t>Disneyland Railroad Frontierland Depot</t>
        </is>
      </c>
      <c r="F28618" s="8" t="inlineStr">
        <is>
          <t>STANDBY</t>
        </is>
      </c>
      <c r="G28618" s="8" t="n">
        <v>0</v>
      </c>
      <c r="H28618" s="8" t="inlineStr">
        <is>
          <t>CLOSED</t>
        </is>
      </c>
    </row>
    <row r="28619">
      <c r="A28619" s="8" t="inlineStr">
        <is>
          <t>2026-08-06</t>
        </is>
      </c>
      <c r="B28619" s="8" t="n">
        <v>8</v>
      </c>
      <c r="C28619" s="8" t="n">
        <v>45</v>
      </c>
      <c r="D28619" s="8" t="inlineStr">
        <is>
          <t>Disneyland Park</t>
        </is>
      </c>
      <c r="E28619" s="8" t="inlineStr">
        <is>
          <t>Frontierland Playground</t>
        </is>
      </c>
      <c r="F28619" s="8" t="inlineStr">
        <is>
          <t>STANDBY</t>
        </is>
      </c>
      <c r="G28619" s="8" t="n">
        <v>0</v>
      </c>
      <c r="H28619" s="8" t="inlineStr">
        <is>
          <t>CLOSED</t>
        </is>
      </c>
    </row>
    <row r="28620">
      <c r="A28620" s="8" t="inlineStr">
        <is>
          <t>2026-08-06</t>
        </is>
      </c>
      <c r="B28620" s="8" t="n">
        <v>8</v>
      </c>
      <c r="C28620" s="8" t="n">
        <v>45</v>
      </c>
      <c r="D28620" s="8" t="inlineStr">
        <is>
          <t>Disneyland Park</t>
        </is>
      </c>
      <c r="E28620" s="8" t="inlineStr">
        <is>
          <t>Phantom Manor</t>
        </is>
      </c>
      <c r="F28620" s="8" t="inlineStr">
        <is>
          <t>STANDBY</t>
        </is>
      </c>
      <c r="G28620" s="8" t="n">
        <v>0</v>
      </c>
      <c r="H28620" s="8" t="inlineStr">
        <is>
          <t>CLOSED</t>
        </is>
      </c>
    </row>
    <row r="28621">
      <c r="A28621" s="8" t="inlineStr">
        <is>
          <t>2026-08-06</t>
        </is>
      </c>
      <c r="B28621" s="8" t="n">
        <v>8</v>
      </c>
      <c r="C28621" s="8" t="n">
        <v>45</v>
      </c>
      <c r="D28621" s="8" t="inlineStr">
        <is>
          <t>Disneyland Park</t>
        </is>
      </c>
      <c r="E28621" s="8" t="inlineStr">
        <is>
          <t>River Rogue Keelboats</t>
        </is>
      </c>
      <c r="F28621" s="8" t="inlineStr">
        <is>
          <t>STANDBY</t>
        </is>
      </c>
      <c r="G28621" s="8" t="n">
        <v>0</v>
      </c>
      <c r="H28621" s="8" t="inlineStr">
        <is>
          <t>CLOSED</t>
        </is>
      </c>
    </row>
    <row r="28622">
      <c r="A28622" s="8" t="inlineStr">
        <is>
          <t>2026-08-06</t>
        </is>
      </c>
      <c r="B28622" s="8" t="n">
        <v>8</v>
      </c>
      <c r="C28622" s="8" t="n">
        <v>45</v>
      </c>
      <c r="D28622" s="8" t="inlineStr">
        <is>
          <t>Disneyland Park</t>
        </is>
      </c>
      <c r="E28622" s="8" t="inlineStr">
        <is>
          <t>Rustler Roundup Shootin' Gallery</t>
        </is>
      </c>
      <c r="F28622" s="8" t="inlineStr">
        <is>
          <t>STANDBY</t>
        </is>
      </c>
      <c r="G28622" s="8" t="n">
        <v>0</v>
      </c>
      <c r="H28622" s="8" t="inlineStr">
        <is>
          <t>OPERATING</t>
        </is>
      </c>
    </row>
    <row r="28623">
      <c r="A28623" s="8" t="inlineStr">
        <is>
          <t>2026-08-06</t>
        </is>
      </c>
      <c r="B28623" s="8" t="n">
        <v>8</v>
      </c>
      <c r="C28623" s="8" t="n">
        <v>45</v>
      </c>
      <c r="D28623" s="8" t="inlineStr">
        <is>
          <t>Disneyland Park</t>
        </is>
      </c>
      <c r="E28623" s="8" t="inlineStr">
        <is>
          <t>Thunder Mesa Riverboat Landing</t>
        </is>
      </c>
      <c r="F28623" s="8" t="inlineStr">
        <is>
          <t>STANDBY</t>
        </is>
      </c>
      <c r="G28623" s="8" t="n">
        <v>0</v>
      </c>
      <c r="H28623" s="8" t="inlineStr">
        <is>
          <t>CLOSED</t>
        </is>
      </c>
    </row>
    <row r="28624">
      <c r="A28624" s="8" t="inlineStr">
        <is>
          <t>2026-08-06</t>
        </is>
      </c>
      <c r="B28624" s="8" t="n">
        <v>8</v>
      </c>
      <c r="C28624" s="8" t="n">
        <v>45</v>
      </c>
      <c r="D28624" s="8" t="inlineStr">
        <is>
          <t>Disneyland Park</t>
        </is>
      </c>
      <c r="E28624" s="8" t="inlineStr">
        <is>
          <t>Disneyland Railroad Main Street Station</t>
        </is>
      </c>
      <c r="F28624" s="8" t="inlineStr">
        <is>
          <t>STANDBY</t>
        </is>
      </c>
      <c r="G28624" s="8" t="n">
        <v>0</v>
      </c>
      <c r="H28624" s="8" t="inlineStr">
        <is>
          <t>CLOSED</t>
        </is>
      </c>
    </row>
    <row r="28625">
      <c r="A28625" s="8" t="inlineStr">
        <is>
          <t>2026-08-06</t>
        </is>
      </c>
      <c r="B28625" s="8" t="n">
        <v>8</v>
      </c>
      <c r="C28625" s="8" t="n">
        <v>45</v>
      </c>
      <c r="D28625" s="8" t="inlineStr">
        <is>
          <t>Disneyland Park</t>
        </is>
      </c>
      <c r="E28625" s="8" t="inlineStr">
        <is>
          <t>Main Street Vehicles</t>
        </is>
      </c>
      <c r="F28625" s="8" t="inlineStr">
        <is>
          <t>STANDBY</t>
        </is>
      </c>
      <c r="G28625" s="8" t="n">
        <v>5</v>
      </c>
      <c r="H28625" s="8" t="inlineStr">
        <is>
          <t>OPERATING</t>
        </is>
      </c>
    </row>
    <row r="28626">
      <c r="A28626" s="8" t="inlineStr">
        <is>
          <t>2026-08-06</t>
        </is>
      </c>
      <c r="B28626" s="8" t="n">
        <v>8</v>
      </c>
      <c r="C28626" s="8" t="n">
        <v>45</v>
      </c>
      <c r="D28626" s="8" t="inlineStr">
        <is>
          <t>Disney Adventure World</t>
        </is>
      </c>
      <c r="E28626" s="8" t="inlineStr">
        <is>
          <t>Avengers Assemble: Flight Force</t>
        </is>
      </c>
      <c r="F28626" s="8" t="inlineStr">
        <is>
          <t>STANDBY</t>
        </is>
      </c>
      <c r="G28626" s="8" t="n">
        <v>5</v>
      </c>
      <c r="H28626" s="8" t="inlineStr">
        <is>
          <t>OPERATING</t>
        </is>
      </c>
    </row>
    <row r="28627">
      <c r="A28627" s="8" t="inlineStr">
        <is>
          <t>2026-08-06</t>
        </is>
      </c>
      <c r="B28627" s="8" t="n">
        <v>8</v>
      </c>
      <c r="C28627" s="8" t="n">
        <v>45</v>
      </c>
      <c r="D28627" s="8" t="inlineStr">
        <is>
          <t>Disney Adventure World</t>
        </is>
      </c>
      <c r="E28627" s="8" t="inlineStr">
        <is>
          <t>Avengers Assemble: Flight Force Single Rider</t>
        </is>
      </c>
      <c r="F28627" s="8" t="inlineStr">
        <is>
          <t>STANDBY</t>
        </is>
      </c>
      <c r="G28627" s="8" t="n">
        <v>5</v>
      </c>
      <c r="H28627" s="8" t="inlineStr">
        <is>
          <t>OPERATING</t>
        </is>
      </c>
    </row>
    <row r="28628">
      <c r="A28628" s="8" t="inlineStr">
        <is>
          <t>2026-08-06</t>
        </is>
      </c>
      <c r="B28628" s="8" t="n">
        <v>8</v>
      </c>
      <c r="C28628" s="8" t="n">
        <v>45</v>
      </c>
      <c r="D28628" s="8" t="inlineStr">
        <is>
          <t>Disney Adventure World</t>
        </is>
      </c>
      <c r="E28628" s="8" t="inlineStr">
        <is>
          <t>Spider-Man W.E.B. Adventure</t>
        </is>
      </c>
      <c r="F28628" s="8" t="inlineStr">
        <is>
          <t>STANDBY</t>
        </is>
      </c>
      <c r="G28628" s="8" t="n">
        <v>5</v>
      </c>
      <c r="H28628" s="8" t="inlineStr">
        <is>
          <t>OPERATING</t>
        </is>
      </c>
    </row>
    <row r="28629">
      <c r="A28629" s="8" t="inlineStr">
        <is>
          <t>2026-08-06</t>
        </is>
      </c>
      <c r="B28629" s="8" t="n">
        <v>8</v>
      </c>
      <c r="C28629" s="8" t="n">
        <v>45</v>
      </c>
      <c r="D28629" s="8" t="inlineStr">
        <is>
          <t>Disney Adventure World</t>
        </is>
      </c>
      <c r="E28629" s="8" t="inlineStr">
        <is>
          <t>Spider-Man W.E.B. Adventure Single Rider</t>
        </is>
      </c>
      <c r="F28629" s="8" t="inlineStr">
        <is>
          <t>STANDBY</t>
        </is>
      </c>
      <c r="G28629" s="8" t="n">
        <v>5</v>
      </c>
      <c r="H28629" s="8" t="inlineStr">
        <is>
          <t>OPERATING</t>
        </is>
      </c>
    </row>
    <row r="28630">
      <c r="A28630" s="8" t="inlineStr">
        <is>
          <t>2026-08-06</t>
        </is>
      </c>
      <c r="B28630" s="8" t="n">
        <v>8</v>
      </c>
      <c r="C28630" s="8" t="n">
        <v>45</v>
      </c>
      <c r="D28630" s="8" t="inlineStr">
        <is>
          <t>Disney Adventure World</t>
        </is>
      </c>
      <c r="E28630" s="8" t="inlineStr">
        <is>
          <t>The Twilight Zone Tower of Terror</t>
        </is>
      </c>
      <c r="F28630" s="8" t="inlineStr">
        <is>
          <t>STANDBY</t>
        </is>
      </c>
      <c r="G28630" s="8" t="n">
        <v>5</v>
      </c>
      <c r="H28630" s="8" t="inlineStr">
        <is>
          <t>OPERATING</t>
        </is>
      </c>
    </row>
    <row r="28631">
      <c r="A28631" s="8" t="inlineStr">
        <is>
          <t>2026-08-06</t>
        </is>
      </c>
      <c r="B28631" s="8" t="n">
        <v>8</v>
      </c>
      <c r="C28631" s="8" t="n">
        <v>45</v>
      </c>
      <c r="D28631" s="8" t="inlineStr">
        <is>
          <t>Disney Adventure World</t>
        </is>
      </c>
      <c r="E28631" s="8" t="inlineStr">
        <is>
          <t>Cars Quatre Roues Rallye</t>
        </is>
      </c>
      <c r="F28631" s="8" t="inlineStr">
        <is>
          <t>STANDBY</t>
        </is>
      </c>
      <c r="G28631" s="8" t="n">
        <v>0</v>
      </c>
      <c r="H28631" s="8" t="inlineStr">
        <is>
          <t>CLOSED</t>
        </is>
      </c>
    </row>
    <row r="28632">
      <c r="A28632" s="8" t="inlineStr">
        <is>
          <t>2026-08-06</t>
        </is>
      </c>
      <c r="B28632" s="8" t="n">
        <v>8</v>
      </c>
      <c r="C28632" s="8" t="n">
        <v>45</v>
      </c>
      <c r="D28632" s="8" t="inlineStr">
        <is>
          <t>Disney Adventure World</t>
        </is>
      </c>
      <c r="E28632" s="8" t="inlineStr">
        <is>
          <t>Cars ROAD TRIP</t>
        </is>
      </c>
      <c r="F28632" s="8" t="inlineStr">
        <is>
          <t>STANDBY</t>
        </is>
      </c>
      <c r="G28632" s="8" t="n">
        <v>0</v>
      </c>
      <c r="H28632" s="8" t="inlineStr">
        <is>
          <t>CLOSED</t>
        </is>
      </c>
    </row>
    <row r="28633">
      <c r="A28633" s="8" t="inlineStr">
        <is>
          <t>2026-08-06</t>
        </is>
      </c>
      <c r="B28633" s="8" t="n">
        <v>8</v>
      </c>
      <c r="C28633" s="8" t="n">
        <v>45</v>
      </c>
      <c r="D28633" s="8" t="inlineStr">
        <is>
          <t>Disney Adventure World</t>
        </is>
      </c>
      <c r="E28633" s="8" t="inlineStr">
        <is>
          <t>Crush's Coaster</t>
        </is>
      </c>
      <c r="F28633" s="8" t="inlineStr">
        <is>
          <t>STANDBY</t>
        </is>
      </c>
      <c r="G28633" s="8" t="n">
        <v>65</v>
      </c>
      <c r="H28633" s="8" t="inlineStr">
        <is>
          <t>OPERATING</t>
        </is>
      </c>
    </row>
    <row r="28634">
      <c r="A28634" s="8" t="inlineStr">
        <is>
          <t>2026-08-06</t>
        </is>
      </c>
      <c r="B28634" s="8" t="n">
        <v>8</v>
      </c>
      <c r="C28634" s="8" t="n">
        <v>45</v>
      </c>
      <c r="D28634" s="8" t="inlineStr">
        <is>
          <t>Disney Adventure World</t>
        </is>
      </c>
      <c r="E28634" s="8" t="inlineStr">
        <is>
          <t>Crush's Coaster Single Rider</t>
        </is>
      </c>
      <c r="F28634" s="8" t="inlineStr">
        <is>
          <t>STANDBY</t>
        </is>
      </c>
      <c r="G28634" s="8" t="n">
        <v>15</v>
      </c>
      <c r="H28634" s="8" t="inlineStr">
        <is>
          <t>OPERATING</t>
        </is>
      </c>
    </row>
    <row r="28635">
      <c r="A28635" s="8" t="inlineStr">
        <is>
          <t>2026-08-06</t>
        </is>
      </c>
      <c r="B28635" s="8" t="n">
        <v>8</v>
      </c>
      <c r="C28635" s="8" t="n">
        <v>45</v>
      </c>
      <c r="D28635" s="8" t="inlineStr">
        <is>
          <t>Disney Adventure World</t>
        </is>
      </c>
      <c r="E28635" s="8" t="inlineStr">
        <is>
          <t>Les Tapis Volants - Flying Carpets Over Agrabah®</t>
        </is>
      </c>
      <c r="F28635" s="8" t="inlineStr">
        <is>
          <t>STANDBY</t>
        </is>
      </c>
      <c r="G28635" s="8" t="n">
        <v>0</v>
      </c>
      <c r="H28635" s="8" t="inlineStr">
        <is>
          <t>CLOSED</t>
        </is>
      </c>
    </row>
    <row r="28636">
      <c r="A28636" s="8" t="inlineStr">
        <is>
          <t>2026-08-06</t>
        </is>
      </c>
      <c r="B28636" s="8" t="n">
        <v>8</v>
      </c>
      <c r="C28636" s="8" t="n">
        <v>45</v>
      </c>
      <c r="D28636" s="8" t="inlineStr">
        <is>
          <t>Disney Adventure World</t>
        </is>
      </c>
      <c r="E28636" s="8" t="inlineStr">
        <is>
          <t>Ratatouille : L’Aventure Totalement Toquée de Rémy​</t>
        </is>
      </c>
      <c r="F28636" s="8" t="inlineStr">
        <is>
          <t>STANDBY</t>
        </is>
      </c>
      <c r="G28636" s="8" t="n">
        <v>5</v>
      </c>
      <c r="H28636" s="8" t="inlineStr">
        <is>
          <t>OPERATING</t>
        </is>
      </c>
    </row>
    <row r="28637">
      <c r="A28637" s="8" t="inlineStr">
        <is>
          <t>2026-08-06</t>
        </is>
      </c>
      <c r="B28637" s="8" t="n">
        <v>8</v>
      </c>
      <c r="C28637" s="8" t="n">
        <v>45</v>
      </c>
      <c r="D28637" s="8" t="inlineStr">
        <is>
          <t>Disney Adventure World</t>
        </is>
      </c>
      <c r="E28637" s="8" t="inlineStr">
        <is>
          <t>Ratatouille: The Adventure Single Rider</t>
        </is>
      </c>
      <c r="F28637" s="8" t="inlineStr">
        <is>
          <t>STANDBY</t>
        </is>
      </c>
      <c r="G28637" s="8" t="n">
        <v>5</v>
      </c>
      <c r="H28637" s="8" t="inlineStr">
        <is>
          <t>OPERATING</t>
        </is>
      </c>
    </row>
    <row r="28638">
      <c r="A28638" s="8" t="inlineStr">
        <is>
          <t>2026-08-06</t>
        </is>
      </c>
      <c r="B28638" s="8" t="n">
        <v>8</v>
      </c>
      <c r="C28638" s="8" t="n">
        <v>45</v>
      </c>
      <c r="D28638" s="8" t="inlineStr">
        <is>
          <t>Disney Adventure World</t>
        </is>
      </c>
      <c r="E28638" s="8" t="inlineStr">
        <is>
          <t>RC Racer</t>
        </is>
      </c>
      <c r="F28638" s="8" t="inlineStr">
        <is>
          <t>STANDBY</t>
        </is>
      </c>
      <c r="G28638" s="8" t="n">
        <v>0</v>
      </c>
      <c r="H28638" s="8" t="inlineStr">
        <is>
          <t>CLOSED</t>
        </is>
      </c>
    </row>
    <row r="28639">
      <c r="A28639" s="8" t="inlineStr">
        <is>
          <t>2026-08-06</t>
        </is>
      </c>
      <c r="B28639" s="8" t="n">
        <v>8</v>
      </c>
      <c r="C28639" s="8" t="n">
        <v>45</v>
      </c>
      <c r="D28639" s="8" t="inlineStr">
        <is>
          <t>Disney Adventure World</t>
        </is>
      </c>
      <c r="E28639" s="8" t="inlineStr">
        <is>
          <t>RC Racer Single Rider</t>
        </is>
      </c>
      <c r="F28639" s="8" t="inlineStr">
        <is>
          <t>STANDBY</t>
        </is>
      </c>
      <c r="G28639" s="8" t="n">
        <v>0</v>
      </c>
      <c r="H28639" s="8" t="inlineStr">
        <is>
          <t>CLOSED</t>
        </is>
      </c>
    </row>
    <row r="28640">
      <c r="A28640" s="8" t="inlineStr">
        <is>
          <t>2026-08-06</t>
        </is>
      </c>
      <c r="B28640" s="8" t="n">
        <v>8</v>
      </c>
      <c r="C28640" s="8" t="n">
        <v>45</v>
      </c>
      <c r="D28640" s="8" t="inlineStr">
        <is>
          <t>Disney Adventure World</t>
        </is>
      </c>
      <c r="E28640" s="8" t="inlineStr">
        <is>
          <t>Slinky® Dog Zigzag Spin</t>
        </is>
      </c>
      <c r="F28640" s="8" t="inlineStr">
        <is>
          <t>STANDBY</t>
        </is>
      </c>
      <c r="G28640" s="8" t="n">
        <v>5</v>
      </c>
      <c r="H28640" s="8" t="inlineStr">
        <is>
          <t>OPERATING</t>
        </is>
      </c>
    </row>
    <row r="28641">
      <c r="A28641" s="8" t="inlineStr">
        <is>
          <t>2026-08-06</t>
        </is>
      </c>
      <c r="B28641" s="8" t="n">
        <v>8</v>
      </c>
      <c r="C28641" s="8" t="n">
        <v>45</v>
      </c>
      <c r="D28641" s="8" t="inlineStr">
        <is>
          <t>Disney Adventure World</t>
        </is>
      </c>
      <c r="E28641" s="8" t="inlineStr">
        <is>
          <t>Toy Soldiers Parachute Drop</t>
        </is>
      </c>
      <c r="F28641" s="8" t="inlineStr">
        <is>
          <t>STANDBY</t>
        </is>
      </c>
      <c r="G28641" s="8" t="n">
        <v>0</v>
      </c>
      <c r="H28641" s="8" t="inlineStr">
        <is>
          <t>CLOSED</t>
        </is>
      </c>
    </row>
    <row r="28642">
      <c r="A28642" s="8" t="inlineStr">
        <is>
          <t>2026-08-06</t>
        </is>
      </c>
      <c r="B28642" s="8" t="n">
        <v>8</v>
      </c>
      <c r="C28642" s="8" t="n">
        <v>45</v>
      </c>
      <c r="D28642" s="8" t="inlineStr">
        <is>
          <t>Disney Adventure World</t>
        </is>
      </c>
      <c r="E28642" s="8" t="inlineStr">
        <is>
          <t>Toy Soldiers Parachute Drop Single Rider</t>
        </is>
      </c>
      <c r="F28642" s="8" t="inlineStr">
        <is>
          <t>STANDBY</t>
        </is>
      </c>
      <c r="G28642" s="8" t="n">
        <v>0</v>
      </c>
      <c r="H28642" s="8" t="inlineStr">
        <is>
          <t>CLOSED</t>
        </is>
      </c>
    </row>
    <row r="28643">
      <c r="A28643" s="8" t="inlineStr">
        <is>
          <t>2026-08-06</t>
        </is>
      </c>
      <c r="B28643" s="8" t="n">
        <v>8</v>
      </c>
      <c r="C28643" s="8" t="n">
        <v>45</v>
      </c>
      <c r="D28643" s="8" t="inlineStr">
        <is>
          <t>Disney Adventure World</t>
        </is>
      </c>
      <c r="E28643" s="8" t="inlineStr">
        <is>
          <t>Entry to World of Frozen</t>
        </is>
      </c>
      <c r="F28643" s="8" t="inlineStr">
        <is>
          <t>STANDBY</t>
        </is>
      </c>
      <c r="G28643" s="8" t="n">
        <v>0</v>
      </c>
      <c r="H28643" s="8" t="inlineStr">
        <is>
          <t>OPERATING</t>
        </is>
      </c>
    </row>
    <row r="28644">
      <c r="A28644" s="8" t="inlineStr">
        <is>
          <t>2026-08-06</t>
        </is>
      </c>
      <c r="B28644" s="8" t="n">
        <v>8</v>
      </c>
      <c r="C28644" s="8" t="n">
        <v>45</v>
      </c>
      <c r="D28644" s="8" t="inlineStr">
        <is>
          <t>Disney Adventure World</t>
        </is>
      </c>
      <c r="E28644" s="8" t="inlineStr">
        <is>
          <t>Frozen Ever After</t>
        </is>
      </c>
      <c r="F28644" s="8" t="inlineStr">
        <is>
          <t>STANDBY</t>
        </is>
      </c>
      <c r="G28644" s="8" t="n">
        <v>10</v>
      </c>
      <c r="H28644" s="8" t="inlineStr">
        <is>
          <t>OPERATING</t>
        </is>
      </c>
    </row>
    <row r="28645">
      <c r="A28645" s="8" t="inlineStr">
        <is>
          <t>2026-08-06</t>
        </is>
      </c>
      <c r="B28645" s="8" t="n">
        <v>8</v>
      </c>
      <c r="C28645" s="8" t="n">
        <v>45</v>
      </c>
      <c r="D28645" s="8" t="inlineStr">
        <is>
          <t>Disney Adventure World</t>
        </is>
      </c>
      <c r="E28645" s="8" t="inlineStr">
        <is>
          <t>Raiponce Tangled Spin</t>
        </is>
      </c>
      <c r="F28645" s="8" t="inlineStr">
        <is>
          <t>STANDBY</t>
        </is>
      </c>
      <c r="G28645" s="8" t="n">
        <v>0</v>
      </c>
      <c r="H28645" s="8" t="inlineStr">
        <is>
          <t>OPERATING</t>
        </is>
      </c>
    </row>
    <row r="28646">
      <c r="A28646" s="8" t="inlineStr">
        <is>
          <t>2026-08-06</t>
        </is>
      </c>
      <c r="B28646" s="8" t="n">
        <v>9</v>
      </c>
      <c r="C28646" s="8" t="n">
        <v>1</v>
      </c>
      <c r="D28646" s="8" t="inlineStr">
        <is>
          <t>Disneyland Park</t>
        </is>
      </c>
      <c r="E28646" s="8" t="inlineStr">
        <is>
          <t>Adventure Isle</t>
        </is>
      </c>
      <c r="F28646" s="8" t="inlineStr">
        <is>
          <t>STANDBY</t>
        </is>
      </c>
      <c r="G28646" s="8" t="n">
        <v>0</v>
      </c>
      <c r="H28646" s="8" t="inlineStr">
        <is>
          <t>CLOSED</t>
        </is>
      </c>
    </row>
    <row r="28647">
      <c r="A28647" s="8" t="inlineStr">
        <is>
          <t>2026-08-06</t>
        </is>
      </c>
      <c r="B28647" s="8" t="n">
        <v>9</v>
      </c>
      <c r="C28647" s="8" t="n">
        <v>1</v>
      </c>
      <c r="D28647" s="8" t="inlineStr">
        <is>
          <t>Disneyland Park</t>
        </is>
      </c>
      <c r="E28647" s="8" t="inlineStr">
        <is>
          <t>Indiana Jones and the Temple of Peril Single Rider</t>
        </is>
      </c>
      <c r="F28647" s="8" t="inlineStr">
        <is>
          <t>STANDBY</t>
        </is>
      </c>
      <c r="G28647" s="8" t="n">
        <v>0</v>
      </c>
      <c r="H28647" s="8" t="inlineStr">
        <is>
          <t>CLOSED</t>
        </is>
      </c>
    </row>
    <row r="28648">
      <c r="A28648" s="8" t="inlineStr">
        <is>
          <t>2026-08-06</t>
        </is>
      </c>
      <c r="B28648" s="8" t="n">
        <v>9</v>
      </c>
      <c r="C28648" s="8" t="n">
        <v>1</v>
      </c>
      <c r="D28648" s="8" t="inlineStr">
        <is>
          <t>Disneyland Park</t>
        </is>
      </c>
      <c r="E28648" s="8" t="inlineStr">
        <is>
          <t>Indiana Jones™ and the Temple of Peril</t>
        </is>
      </c>
      <c r="F28648" s="8" t="inlineStr">
        <is>
          <t>STANDBY</t>
        </is>
      </c>
      <c r="G28648" s="8" t="n">
        <v>0</v>
      </c>
      <c r="H28648" s="8" t="inlineStr">
        <is>
          <t>CLOSED</t>
        </is>
      </c>
    </row>
    <row r="28649">
      <c r="A28649" s="8" t="inlineStr">
        <is>
          <t>2026-08-06</t>
        </is>
      </c>
      <c r="B28649" s="8" t="n">
        <v>9</v>
      </c>
      <c r="C28649" s="8" t="n">
        <v>1</v>
      </c>
      <c r="D28649" s="8" t="inlineStr">
        <is>
          <t>Disneyland Park</t>
        </is>
      </c>
      <c r="E28649" s="8" t="inlineStr">
        <is>
          <t>La Cabane des Robinson</t>
        </is>
      </c>
      <c r="F28649" s="8" t="inlineStr">
        <is>
          <t>STANDBY</t>
        </is>
      </c>
      <c r="G28649" s="8" t="n">
        <v>0</v>
      </c>
      <c r="H28649" s="8" t="inlineStr">
        <is>
          <t>CLOSED</t>
        </is>
      </c>
    </row>
    <row r="28650">
      <c r="A28650" s="8" t="inlineStr">
        <is>
          <t>2026-08-06</t>
        </is>
      </c>
      <c r="B28650" s="8" t="n">
        <v>9</v>
      </c>
      <c r="C28650" s="8" t="n">
        <v>1</v>
      </c>
      <c r="D28650" s="8" t="inlineStr">
        <is>
          <t>Disneyland Park</t>
        </is>
      </c>
      <c r="E28650" s="8" t="inlineStr">
        <is>
          <t>Le Passage Enchanté d'Aladdin</t>
        </is>
      </c>
      <c r="F28650" s="8" t="inlineStr">
        <is>
          <t>STANDBY</t>
        </is>
      </c>
      <c r="G28650" s="8" t="n">
        <v>0</v>
      </c>
      <c r="H28650" s="8" t="inlineStr">
        <is>
          <t>CLOSED</t>
        </is>
      </c>
    </row>
    <row r="28651">
      <c r="A28651" s="8" t="inlineStr">
        <is>
          <t>2026-08-06</t>
        </is>
      </c>
      <c r="B28651" s="8" t="n">
        <v>9</v>
      </c>
      <c r="C28651" s="8" t="n">
        <v>1</v>
      </c>
      <c r="D28651" s="8" t="inlineStr">
        <is>
          <t>Disneyland Park</t>
        </is>
      </c>
      <c r="E28651" s="8" t="inlineStr">
        <is>
          <t>Pirate Galleon</t>
        </is>
      </c>
      <c r="F28651" s="8" t="inlineStr">
        <is>
          <t>STANDBY</t>
        </is>
      </c>
      <c r="G28651" s="8" t="n">
        <v>0</v>
      </c>
      <c r="H28651" s="8" t="inlineStr">
        <is>
          <t>CLOSED</t>
        </is>
      </c>
    </row>
    <row r="28652">
      <c r="A28652" s="8" t="inlineStr">
        <is>
          <t>2026-08-06</t>
        </is>
      </c>
      <c r="B28652" s="8" t="n">
        <v>9</v>
      </c>
      <c r="C28652" s="8" t="n">
        <v>1</v>
      </c>
      <c r="D28652" s="8" t="inlineStr">
        <is>
          <t>Disneyland Park</t>
        </is>
      </c>
      <c r="E28652" s="8" t="inlineStr">
        <is>
          <t>Pirates of the Caribbean</t>
        </is>
      </c>
      <c r="F28652" s="8" t="inlineStr">
        <is>
          <t>STANDBY</t>
        </is>
      </c>
      <c r="G28652" s="8" t="n">
        <v>0</v>
      </c>
      <c r="H28652" s="8" t="inlineStr">
        <is>
          <t>CLOSED</t>
        </is>
      </c>
    </row>
    <row r="28653">
      <c r="A28653" s="8" t="inlineStr">
        <is>
          <t>2026-08-06</t>
        </is>
      </c>
      <c r="B28653" s="8" t="n">
        <v>9</v>
      </c>
      <c r="C28653" s="8" t="n">
        <v>1</v>
      </c>
      <c r="D28653" s="8" t="inlineStr">
        <is>
          <t>Disneyland Park</t>
        </is>
      </c>
      <c r="E28653" s="8" t="inlineStr">
        <is>
          <t>Pirates' Beach</t>
        </is>
      </c>
      <c r="F28653" s="8" t="inlineStr">
        <is>
          <t>STANDBY</t>
        </is>
      </c>
      <c r="G28653" s="8" t="n">
        <v>0</v>
      </c>
      <c r="H28653" s="8" t="inlineStr">
        <is>
          <t>CLOSED</t>
        </is>
      </c>
    </row>
    <row r="28654">
      <c r="A28654" s="8" t="inlineStr">
        <is>
          <t>2026-08-06</t>
        </is>
      </c>
      <c r="B28654" s="8" t="n">
        <v>9</v>
      </c>
      <c r="C28654" s="8" t="n">
        <v>1</v>
      </c>
      <c r="D28654" s="8" t="inlineStr">
        <is>
          <t>Disneyland Park</t>
        </is>
      </c>
      <c r="E28654" s="8" t="inlineStr">
        <is>
          <t>Autopia, presented by Avis</t>
        </is>
      </c>
      <c r="F28654" s="8" t="inlineStr">
        <is>
          <t>STANDBY</t>
        </is>
      </c>
      <c r="G28654" s="8" t="n">
        <v>0</v>
      </c>
      <c r="H28654" s="8" t="inlineStr">
        <is>
          <t>CLOSED</t>
        </is>
      </c>
    </row>
    <row r="28655">
      <c r="A28655" s="8" t="inlineStr">
        <is>
          <t>2026-08-06</t>
        </is>
      </c>
      <c r="B28655" s="8" t="n">
        <v>9</v>
      </c>
      <c r="C28655" s="8" t="n">
        <v>1</v>
      </c>
      <c r="D28655" s="8" t="inlineStr">
        <is>
          <t>Disneyland Park</t>
        </is>
      </c>
      <c r="E28655" s="8" t="inlineStr">
        <is>
          <t>Buzz Lightyear Laser Blast</t>
        </is>
      </c>
      <c r="F28655" s="8" t="inlineStr">
        <is>
          <t>STANDBY</t>
        </is>
      </c>
      <c r="G28655" s="8" t="n">
        <v>20</v>
      </c>
      <c r="H28655" s="8" t="inlineStr">
        <is>
          <t>OPERATING</t>
        </is>
      </c>
    </row>
    <row r="28656">
      <c r="A28656" s="8" t="inlineStr">
        <is>
          <t>2026-08-06</t>
        </is>
      </c>
      <c r="B28656" s="8" t="n">
        <v>9</v>
      </c>
      <c r="C28656" s="8" t="n">
        <v>1</v>
      </c>
      <c r="D28656" s="8" t="inlineStr">
        <is>
          <t>Disneyland Park</t>
        </is>
      </c>
      <c r="E28656" s="8" t="inlineStr">
        <is>
          <t>Disneyland Railroad Discoveryland Station</t>
        </is>
      </c>
      <c r="F28656" s="8" t="inlineStr">
        <is>
          <t>STANDBY</t>
        </is>
      </c>
      <c r="G28656" s="8" t="n">
        <v>0</v>
      </c>
      <c r="H28656" s="8" t="inlineStr">
        <is>
          <t>CLOSED</t>
        </is>
      </c>
    </row>
    <row r="28657">
      <c r="A28657" s="8" t="inlineStr">
        <is>
          <t>2026-08-06</t>
        </is>
      </c>
      <c r="B28657" s="8" t="n">
        <v>9</v>
      </c>
      <c r="C28657" s="8" t="n">
        <v>1</v>
      </c>
      <c r="D28657" s="8" t="inlineStr">
        <is>
          <t>Disneyland Park</t>
        </is>
      </c>
      <c r="E28657" s="8" t="inlineStr">
        <is>
          <t>Les Mystères du Nautilus</t>
        </is>
      </c>
      <c r="F28657" s="8" t="inlineStr">
        <is>
          <t>STANDBY</t>
        </is>
      </c>
      <c r="G28657" s="8" t="n">
        <v>0</v>
      </c>
      <c r="H28657" s="8" t="inlineStr">
        <is>
          <t>CLOSED</t>
        </is>
      </c>
    </row>
    <row r="28658">
      <c r="A28658" s="8" t="inlineStr">
        <is>
          <t>2026-08-06</t>
        </is>
      </c>
      <c r="B28658" s="8" t="n">
        <v>9</v>
      </c>
      <c r="C28658" s="8" t="n">
        <v>1</v>
      </c>
      <c r="D28658" s="8" t="inlineStr">
        <is>
          <t>Disneyland Park</t>
        </is>
      </c>
      <c r="E28658" s="8" t="inlineStr">
        <is>
          <t>Mickey’s PhilharMagic</t>
        </is>
      </c>
      <c r="F28658" s="8" t="inlineStr">
        <is>
          <t>STANDBY</t>
        </is>
      </c>
      <c r="G28658" s="8" t="n">
        <v>0</v>
      </c>
      <c r="H28658" s="8" t="inlineStr">
        <is>
          <t>CLOSED</t>
        </is>
      </c>
    </row>
    <row r="28659">
      <c r="A28659" s="8" t="inlineStr">
        <is>
          <t>2026-08-06</t>
        </is>
      </c>
      <c r="B28659" s="8" t="n">
        <v>9</v>
      </c>
      <c r="C28659" s="8" t="n">
        <v>1</v>
      </c>
      <c r="D28659" s="8" t="inlineStr">
        <is>
          <t>Disneyland Park</t>
        </is>
      </c>
      <c r="E28659" s="8" t="inlineStr">
        <is>
          <t>Orbitron®</t>
        </is>
      </c>
      <c r="F28659" s="8" t="inlineStr">
        <is>
          <t>STANDBY</t>
        </is>
      </c>
      <c r="G28659" s="8" t="n">
        <v>0</v>
      </c>
      <c r="H28659" s="8" t="inlineStr">
        <is>
          <t>CLOSED</t>
        </is>
      </c>
    </row>
    <row r="28660">
      <c r="A28660" s="8" t="inlineStr">
        <is>
          <t>2026-08-06</t>
        </is>
      </c>
      <c r="B28660" s="8" t="n">
        <v>9</v>
      </c>
      <c r="C28660" s="8" t="n">
        <v>1</v>
      </c>
      <c r="D28660" s="8" t="inlineStr">
        <is>
          <t>Disneyland Park</t>
        </is>
      </c>
      <c r="E28660" s="8" t="inlineStr">
        <is>
          <t>Star Tours: The Adventures Continue*</t>
        </is>
      </c>
      <c r="F28660" s="8" t="inlineStr">
        <is>
          <t>STANDBY</t>
        </is>
      </c>
      <c r="G28660" s="8" t="n">
        <v>0</v>
      </c>
      <c r="H28660" s="8" t="inlineStr">
        <is>
          <t>CLOSED</t>
        </is>
      </c>
    </row>
    <row r="28661">
      <c r="A28661" s="8" t="inlineStr">
        <is>
          <t>2026-08-06</t>
        </is>
      </c>
      <c r="B28661" s="8" t="n">
        <v>9</v>
      </c>
      <c r="C28661" s="8" t="n">
        <v>1</v>
      </c>
      <c r="D28661" s="8" t="inlineStr">
        <is>
          <t>Disneyland Park</t>
        </is>
      </c>
      <c r="E28661" s="8" t="inlineStr">
        <is>
          <t>Star Wars Hyperspace Mountain</t>
        </is>
      </c>
      <c r="F28661" s="8" t="inlineStr">
        <is>
          <t>STANDBY</t>
        </is>
      </c>
      <c r="G28661" s="8" t="n">
        <v>15</v>
      </c>
      <c r="H28661" s="8" t="inlineStr">
        <is>
          <t>OPERATING</t>
        </is>
      </c>
    </row>
    <row r="28662">
      <c r="A28662" s="8" t="inlineStr">
        <is>
          <t>2026-08-06</t>
        </is>
      </c>
      <c r="B28662" s="8" t="n">
        <v>9</v>
      </c>
      <c r="C28662" s="8" t="n">
        <v>1</v>
      </c>
      <c r="D28662" s="8" t="inlineStr">
        <is>
          <t>Disneyland Park</t>
        </is>
      </c>
      <c r="E28662" s="8" t="inlineStr">
        <is>
          <t>Star Wars Hyperspace Mountain Single Rider</t>
        </is>
      </c>
      <c r="F28662" s="8" t="inlineStr">
        <is>
          <t>STANDBY</t>
        </is>
      </c>
      <c r="G28662" s="8" t="n">
        <v>0</v>
      </c>
      <c r="H28662" s="8" t="inlineStr">
        <is>
          <t>OPERATING</t>
        </is>
      </c>
    </row>
    <row r="28663">
      <c r="A28663" s="8" t="inlineStr">
        <is>
          <t>2026-08-06</t>
        </is>
      </c>
      <c r="B28663" s="8" t="n">
        <v>9</v>
      </c>
      <c r="C28663" s="8" t="n">
        <v>1</v>
      </c>
      <c r="D28663" s="8" t="inlineStr">
        <is>
          <t>Disneyland Park</t>
        </is>
      </c>
      <c r="E28663" s="8" t="inlineStr">
        <is>
          <t>Welcome to Starport: A Star Wars Encounter</t>
        </is>
      </c>
      <c r="F28663" s="8" t="inlineStr">
        <is>
          <t>STANDBY</t>
        </is>
      </c>
      <c r="G28663" s="8" t="n">
        <v>0</v>
      </c>
      <c r="H28663" s="8" t="inlineStr">
        <is>
          <t>CLOSED</t>
        </is>
      </c>
    </row>
    <row r="28664">
      <c r="A28664" s="8" t="inlineStr">
        <is>
          <t>2026-08-06</t>
        </is>
      </c>
      <c r="B28664" s="8" t="n">
        <v>9</v>
      </c>
      <c r="C28664" s="8" t="n">
        <v>1</v>
      </c>
      <c r="D28664" s="8" t="inlineStr">
        <is>
          <t>Disneyland Park</t>
        </is>
      </c>
      <c r="E28664" s="8" t="inlineStr">
        <is>
          <t>"it's a small world"</t>
        </is>
      </c>
      <c r="F28664" s="8" t="inlineStr">
        <is>
          <t>STANDBY</t>
        </is>
      </c>
      <c r="G28664" s="8" t="n">
        <v>0</v>
      </c>
      <c r="H28664" s="8" t="inlineStr">
        <is>
          <t>CLOSED</t>
        </is>
      </c>
    </row>
    <row r="28665">
      <c r="A28665" s="8" t="inlineStr">
        <is>
          <t>2026-08-06</t>
        </is>
      </c>
      <c r="B28665" s="8" t="n">
        <v>9</v>
      </c>
      <c r="C28665" s="8" t="n">
        <v>1</v>
      </c>
      <c r="D28665" s="8" t="inlineStr">
        <is>
          <t>Disneyland Park</t>
        </is>
      </c>
      <c r="E28665" s="8" t="inlineStr">
        <is>
          <t>Alice's Curious Labyrinth</t>
        </is>
      </c>
      <c r="F28665" s="8" t="inlineStr">
        <is>
          <t>STANDBY</t>
        </is>
      </c>
      <c r="G28665" s="8" t="n">
        <v>0</v>
      </c>
      <c r="H28665" s="8" t="inlineStr">
        <is>
          <t>CLOSED</t>
        </is>
      </c>
    </row>
    <row r="28666">
      <c r="A28666" s="8" t="inlineStr">
        <is>
          <t>2026-08-06</t>
        </is>
      </c>
      <c r="B28666" s="8" t="n">
        <v>9</v>
      </c>
      <c r="C28666" s="8" t="n">
        <v>1</v>
      </c>
      <c r="D28666" s="8" t="inlineStr">
        <is>
          <t>Disneyland Park</t>
        </is>
      </c>
      <c r="E28666" s="8" t="inlineStr">
        <is>
          <t>Blanche-Neige et les Sept Nains®</t>
        </is>
      </c>
      <c r="F28666" s="8" t="inlineStr">
        <is>
          <t>STANDBY</t>
        </is>
      </c>
      <c r="G28666" s="8" t="n">
        <v>0</v>
      </c>
      <c r="H28666" s="8" t="inlineStr">
        <is>
          <t>CLOSED</t>
        </is>
      </c>
    </row>
    <row r="28667">
      <c r="A28667" s="8" t="inlineStr">
        <is>
          <t>2026-08-06</t>
        </is>
      </c>
      <c r="B28667" s="8" t="n">
        <v>9</v>
      </c>
      <c r="C28667" s="8" t="n">
        <v>1</v>
      </c>
      <c r="D28667" s="8" t="inlineStr">
        <is>
          <t>Disneyland Park</t>
        </is>
      </c>
      <c r="E28667" s="8" t="inlineStr">
        <is>
          <t>Casey Jr. – le Petit Train du Cirque</t>
        </is>
      </c>
      <c r="F28667" s="8" t="inlineStr">
        <is>
          <t>STANDBY</t>
        </is>
      </c>
      <c r="G28667" s="8" t="n">
        <v>0</v>
      </c>
      <c r="H28667" s="8" t="inlineStr">
        <is>
          <t>CLOSED</t>
        </is>
      </c>
    </row>
    <row r="28668">
      <c r="A28668" s="8" t="inlineStr">
        <is>
          <t>2026-08-06</t>
        </is>
      </c>
      <c r="B28668" s="8" t="n">
        <v>9</v>
      </c>
      <c r="C28668" s="8" t="n">
        <v>1</v>
      </c>
      <c r="D28668" s="8" t="inlineStr">
        <is>
          <t>Disneyland Park</t>
        </is>
      </c>
      <c r="E28668" s="8" t="inlineStr">
        <is>
          <t>Disneyland Railroad Fantasyland Station</t>
        </is>
      </c>
      <c r="F28668" s="8" t="inlineStr">
        <is>
          <t>STANDBY</t>
        </is>
      </c>
      <c r="G28668" s="8" t="n">
        <v>0</v>
      </c>
      <c r="H28668" s="8" t="inlineStr">
        <is>
          <t>CLOSED</t>
        </is>
      </c>
    </row>
    <row r="28669">
      <c r="A28669" s="8" t="inlineStr">
        <is>
          <t>2026-08-06</t>
        </is>
      </c>
      <c r="B28669" s="8" t="n">
        <v>9</v>
      </c>
      <c r="C28669" s="8" t="n">
        <v>1</v>
      </c>
      <c r="D28669" s="8" t="inlineStr">
        <is>
          <t>Disneyland Park</t>
        </is>
      </c>
      <c r="E28669" s="8" t="inlineStr">
        <is>
          <t>Disneyland Railroad Main Street Station</t>
        </is>
      </c>
      <c r="F28669" s="8" t="inlineStr">
        <is>
          <t>STANDBY</t>
        </is>
      </c>
      <c r="G28669" s="8" t="n">
        <v>0</v>
      </c>
      <c r="H28669" s="8" t="inlineStr">
        <is>
          <t>CLOSED</t>
        </is>
      </c>
    </row>
    <row r="28670">
      <c r="A28670" s="8" t="inlineStr">
        <is>
          <t>2026-08-06</t>
        </is>
      </c>
      <c r="B28670" s="8" t="n">
        <v>9</v>
      </c>
      <c r="C28670" s="8" t="n">
        <v>1</v>
      </c>
      <c r="D28670" s="8" t="inlineStr">
        <is>
          <t>Disneyland Park</t>
        </is>
      </c>
      <c r="E28670" s="8" t="inlineStr">
        <is>
          <t>Dumbo the Flying Elephant</t>
        </is>
      </c>
      <c r="F28670" s="8" t="inlineStr">
        <is>
          <t>STANDBY</t>
        </is>
      </c>
      <c r="G28670" s="8" t="n">
        <v>5</v>
      </c>
      <c r="H28670" s="8" t="inlineStr">
        <is>
          <t>OPERATING</t>
        </is>
      </c>
    </row>
    <row r="28671">
      <c r="A28671" s="8" t="inlineStr">
        <is>
          <t>2026-08-06</t>
        </is>
      </c>
      <c r="B28671" s="8" t="n">
        <v>9</v>
      </c>
      <c r="C28671" s="8" t="n">
        <v>1</v>
      </c>
      <c r="D28671" s="8" t="inlineStr">
        <is>
          <t>Disneyland Park</t>
        </is>
      </c>
      <c r="E28671" s="8" t="inlineStr">
        <is>
          <t>La Tanière du Dragon</t>
        </is>
      </c>
      <c r="F28671" s="8" t="inlineStr">
        <is>
          <t>STANDBY</t>
        </is>
      </c>
      <c r="G28671" s="8" t="n">
        <v>0</v>
      </c>
      <c r="H28671" s="8" t="inlineStr">
        <is>
          <t>OPERATING</t>
        </is>
      </c>
    </row>
    <row r="28672">
      <c r="A28672" s="8" t="inlineStr">
        <is>
          <t>2026-08-06</t>
        </is>
      </c>
      <c r="B28672" s="8" t="n">
        <v>9</v>
      </c>
      <c r="C28672" s="8" t="n">
        <v>1</v>
      </c>
      <c r="D28672" s="8" t="inlineStr">
        <is>
          <t>Disneyland Park</t>
        </is>
      </c>
      <c r="E28672" s="8" t="inlineStr">
        <is>
          <t>Le Carrousel de Lancelot</t>
        </is>
      </c>
      <c r="F28672" s="8" t="inlineStr">
        <is>
          <t>STANDBY</t>
        </is>
      </c>
      <c r="G28672" s="8" t="n">
        <v>0</v>
      </c>
      <c r="H28672" s="8" t="inlineStr">
        <is>
          <t>CLOSED</t>
        </is>
      </c>
    </row>
    <row r="28673">
      <c r="A28673" s="8" t="inlineStr">
        <is>
          <t>2026-08-06</t>
        </is>
      </c>
      <c r="B28673" s="8" t="n">
        <v>9</v>
      </c>
      <c r="C28673" s="8" t="n">
        <v>1</v>
      </c>
      <c r="D28673" s="8" t="inlineStr">
        <is>
          <t>Disneyland Park</t>
        </is>
      </c>
      <c r="E28673" s="8" t="inlineStr">
        <is>
          <t>Le Pays des Contes de Fées, presented by Vittel</t>
        </is>
      </c>
      <c r="F28673" s="8" t="inlineStr">
        <is>
          <t>STANDBY</t>
        </is>
      </c>
      <c r="G28673" s="8" t="n">
        <v>0</v>
      </c>
      <c r="H28673" s="8" t="inlineStr">
        <is>
          <t>CLOSED</t>
        </is>
      </c>
    </row>
    <row r="28674">
      <c r="A28674" s="8" t="inlineStr">
        <is>
          <t>2026-08-06</t>
        </is>
      </c>
      <c r="B28674" s="8" t="n">
        <v>9</v>
      </c>
      <c r="C28674" s="8" t="n">
        <v>1</v>
      </c>
      <c r="D28674" s="8" t="inlineStr">
        <is>
          <t>Disneyland Park</t>
        </is>
      </c>
      <c r="E28674" s="8" t="inlineStr">
        <is>
          <t>Les Voyages de Pinocchio</t>
        </is>
      </c>
      <c r="F28674" s="8" t="inlineStr">
        <is>
          <t>STANDBY</t>
        </is>
      </c>
      <c r="G28674" s="8" t="n">
        <v>0</v>
      </c>
      <c r="H28674" s="8" t="inlineStr">
        <is>
          <t>CLOSED</t>
        </is>
      </c>
    </row>
    <row r="28675">
      <c r="A28675" s="8" t="inlineStr">
        <is>
          <t>2026-08-06</t>
        </is>
      </c>
      <c r="B28675" s="8" t="n">
        <v>9</v>
      </c>
      <c r="C28675" s="8" t="n">
        <v>1</v>
      </c>
      <c r="D28675" s="8" t="inlineStr">
        <is>
          <t>Disneyland Park</t>
        </is>
      </c>
      <c r="E28675" s="8" t="inlineStr">
        <is>
          <t>Mad Hatter's Tea Cups</t>
        </is>
      </c>
      <c r="F28675" s="8" t="inlineStr">
        <is>
          <t>STANDBY</t>
        </is>
      </c>
      <c r="G28675" s="8" t="n">
        <v>0</v>
      </c>
      <c r="H28675" s="8" t="inlineStr">
        <is>
          <t>CLOSED</t>
        </is>
      </c>
    </row>
    <row r="28676">
      <c r="A28676" s="8" t="inlineStr">
        <is>
          <t>2026-08-06</t>
        </is>
      </c>
      <c r="B28676" s="8" t="n">
        <v>9</v>
      </c>
      <c r="C28676" s="8" t="n">
        <v>1</v>
      </c>
      <c r="D28676" s="8" t="inlineStr">
        <is>
          <t>Disneyland Park</t>
        </is>
      </c>
      <c r="E28676" s="8" t="inlineStr">
        <is>
          <t>Meet Mickey Mouse</t>
        </is>
      </c>
      <c r="F28676" s="8" t="inlineStr">
        <is>
          <t>STANDBY</t>
        </is>
      </c>
      <c r="G28676" s="8" t="n">
        <v>0</v>
      </c>
      <c r="H28676" s="8" t="inlineStr">
        <is>
          <t>CLOSED</t>
        </is>
      </c>
    </row>
    <row r="28677">
      <c r="A28677" s="8" t="inlineStr">
        <is>
          <t>2026-08-06</t>
        </is>
      </c>
      <c r="B28677" s="8" t="n">
        <v>9</v>
      </c>
      <c r="C28677" s="8" t="n">
        <v>1</v>
      </c>
      <c r="D28677" s="8" t="inlineStr">
        <is>
          <t>Disneyland Park</t>
        </is>
      </c>
      <c r="E28677" s="8" t="inlineStr">
        <is>
          <t>Peter Pan's Flight</t>
        </is>
      </c>
      <c r="F28677" s="8" t="inlineStr">
        <is>
          <t>STANDBY</t>
        </is>
      </c>
      <c r="G28677" s="8" t="n">
        <v>35</v>
      </c>
      <c r="H28677" s="8" t="inlineStr">
        <is>
          <t>OPERATING</t>
        </is>
      </c>
    </row>
    <row r="28678">
      <c r="A28678" s="8" t="inlineStr">
        <is>
          <t>2026-08-06</t>
        </is>
      </c>
      <c r="B28678" s="8" t="n">
        <v>9</v>
      </c>
      <c r="C28678" s="8" t="n">
        <v>1</v>
      </c>
      <c r="D28678" s="8" t="inlineStr">
        <is>
          <t>Disneyland Park</t>
        </is>
      </c>
      <c r="E28678" s="8" t="inlineStr">
        <is>
          <t>Princess Pavilion</t>
        </is>
      </c>
      <c r="F28678" s="8" t="inlineStr">
        <is>
          <t>STANDBY</t>
        </is>
      </c>
      <c r="G28678" s="8" t="n">
        <v>0</v>
      </c>
      <c r="H28678" s="8" t="inlineStr">
        <is>
          <t>CLOSED</t>
        </is>
      </c>
    </row>
    <row r="28679">
      <c r="A28679" s="8" t="inlineStr">
        <is>
          <t>2026-08-06</t>
        </is>
      </c>
      <c r="B28679" s="8" t="n">
        <v>9</v>
      </c>
      <c r="C28679" s="8" t="n">
        <v>1</v>
      </c>
      <c r="D28679" s="8" t="inlineStr">
        <is>
          <t>Disneyland Park</t>
        </is>
      </c>
      <c r="E28679" s="8" t="inlineStr">
        <is>
          <t>Big Thunder Mountain</t>
        </is>
      </c>
      <c r="F28679" s="8" t="inlineStr">
        <is>
          <t>STANDBY</t>
        </is>
      </c>
      <c r="G28679" s="8" t="n">
        <v>0</v>
      </c>
      <c r="H28679" s="8" t="inlineStr">
        <is>
          <t>CLOSED</t>
        </is>
      </c>
    </row>
    <row r="28680">
      <c r="A28680" s="8" t="inlineStr">
        <is>
          <t>2026-08-06</t>
        </is>
      </c>
      <c r="B28680" s="8" t="n">
        <v>9</v>
      </c>
      <c r="C28680" s="8" t="n">
        <v>1</v>
      </c>
      <c r="D28680" s="8" t="inlineStr">
        <is>
          <t>Disneyland Park</t>
        </is>
      </c>
      <c r="E28680" s="8" t="inlineStr">
        <is>
          <t>Disneyland Railroad Frontierland Depot</t>
        </is>
      </c>
      <c r="F28680" s="8" t="inlineStr">
        <is>
          <t>STANDBY</t>
        </is>
      </c>
      <c r="G28680" s="8" t="n">
        <v>0</v>
      </c>
      <c r="H28680" s="8" t="inlineStr">
        <is>
          <t>CLOSED</t>
        </is>
      </c>
    </row>
    <row r="28681">
      <c r="A28681" s="8" t="inlineStr">
        <is>
          <t>2026-08-06</t>
        </is>
      </c>
      <c r="B28681" s="8" t="n">
        <v>9</v>
      </c>
      <c r="C28681" s="8" t="n">
        <v>1</v>
      </c>
      <c r="D28681" s="8" t="inlineStr">
        <is>
          <t>Disneyland Park</t>
        </is>
      </c>
      <c r="E28681" s="8" t="inlineStr">
        <is>
          <t>Frontierland Playground</t>
        </is>
      </c>
      <c r="F28681" s="8" t="inlineStr">
        <is>
          <t>STANDBY</t>
        </is>
      </c>
      <c r="G28681" s="8" t="n">
        <v>0</v>
      </c>
      <c r="H28681" s="8" t="inlineStr">
        <is>
          <t>CLOSED</t>
        </is>
      </c>
    </row>
    <row r="28682">
      <c r="A28682" s="8" t="inlineStr">
        <is>
          <t>2026-08-06</t>
        </is>
      </c>
      <c r="B28682" s="8" t="n">
        <v>9</v>
      </c>
      <c r="C28682" s="8" t="n">
        <v>1</v>
      </c>
      <c r="D28682" s="8" t="inlineStr">
        <is>
          <t>Disneyland Park</t>
        </is>
      </c>
      <c r="E28682" s="8" t="inlineStr">
        <is>
          <t>Phantom Manor</t>
        </is>
      </c>
      <c r="F28682" s="8" t="inlineStr">
        <is>
          <t>STANDBY</t>
        </is>
      </c>
      <c r="G28682" s="8" t="n">
        <v>0</v>
      </c>
      <c r="H28682" s="8" t="inlineStr">
        <is>
          <t>CLOSED</t>
        </is>
      </c>
    </row>
    <row r="28683">
      <c r="A28683" s="8" t="inlineStr">
        <is>
          <t>2026-08-06</t>
        </is>
      </c>
      <c r="B28683" s="8" t="n">
        <v>9</v>
      </c>
      <c r="C28683" s="8" t="n">
        <v>1</v>
      </c>
      <c r="D28683" s="8" t="inlineStr">
        <is>
          <t>Disneyland Park</t>
        </is>
      </c>
      <c r="E28683" s="8" t="inlineStr">
        <is>
          <t>River Rogue Keelboats</t>
        </is>
      </c>
      <c r="F28683" s="8" t="inlineStr">
        <is>
          <t>STANDBY</t>
        </is>
      </c>
      <c r="G28683" s="8" t="n">
        <v>0</v>
      </c>
      <c r="H28683" s="8" t="inlineStr">
        <is>
          <t>CLOSED</t>
        </is>
      </c>
    </row>
    <row r="28684">
      <c r="A28684" s="8" t="inlineStr">
        <is>
          <t>2026-08-06</t>
        </is>
      </c>
      <c r="B28684" s="8" t="n">
        <v>9</v>
      </c>
      <c r="C28684" s="8" t="n">
        <v>1</v>
      </c>
      <c r="D28684" s="8" t="inlineStr">
        <is>
          <t>Disneyland Park</t>
        </is>
      </c>
      <c r="E28684" s="8" t="inlineStr">
        <is>
          <t>Rustler Roundup Shootin' Gallery</t>
        </is>
      </c>
      <c r="F28684" s="8" t="inlineStr">
        <is>
          <t>STANDBY</t>
        </is>
      </c>
      <c r="G28684" s="8" t="n">
        <v>0</v>
      </c>
      <c r="H28684" s="8" t="inlineStr">
        <is>
          <t>OPERATING</t>
        </is>
      </c>
    </row>
    <row r="28685">
      <c r="A28685" s="8" t="inlineStr">
        <is>
          <t>2026-08-06</t>
        </is>
      </c>
      <c r="B28685" s="8" t="n">
        <v>9</v>
      </c>
      <c r="C28685" s="8" t="n">
        <v>1</v>
      </c>
      <c r="D28685" s="8" t="inlineStr">
        <is>
          <t>Disneyland Park</t>
        </is>
      </c>
      <c r="E28685" s="8" t="inlineStr">
        <is>
          <t>Thunder Mesa Riverboat Landing</t>
        </is>
      </c>
      <c r="F28685" s="8" t="inlineStr">
        <is>
          <t>STANDBY</t>
        </is>
      </c>
      <c r="G28685" s="8" t="n">
        <v>0</v>
      </c>
      <c r="H28685" s="8" t="inlineStr">
        <is>
          <t>CLOSED</t>
        </is>
      </c>
    </row>
    <row r="28686">
      <c r="A28686" s="8" t="inlineStr">
        <is>
          <t>2026-08-06</t>
        </is>
      </c>
      <c r="B28686" s="8" t="n">
        <v>9</v>
      </c>
      <c r="C28686" s="8" t="n">
        <v>1</v>
      </c>
      <c r="D28686" s="8" t="inlineStr">
        <is>
          <t>Disneyland Park</t>
        </is>
      </c>
      <c r="E28686" s="8" t="inlineStr">
        <is>
          <t>Disneyland Railroad Main Street Station</t>
        </is>
      </c>
      <c r="F28686" s="8" t="inlineStr">
        <is>
          <t>STANDBY</t>
        </is>
      </c>
      <c r="G28686" s="8" t="n">
        <v>0</v>
      </c>
      <c r="H28686" s="8" t="inlineStr">
        <is>
          <t>CLOSED</t>
        </is>
      </c>
    </row>
    <row r="28687">
      <c r="A28687" s="8" t="inlineStr">
        <is>
          <t>2026-08-06</t>
        </is>
      </c>
      <c r="B28687" s="8" t="n">
        <v>9</v>
      </c>
      <c r="C28687" s="8" t="n">
        <v>1</v>
      </c>
      <c r="D28687" s="8" t="inlineStr">
        <is>
          <t>Disneyland Park</t>
        </is>
      </c>
      <c r="E28687" s="8" t="inlineStr">
        <is>
          <t>Main Street Vehicles</t>
        </is>
      </c>
      <c r="F28687" s="8" t="inlineStr">
        <is>
          <t>STANDBY</t>
        </is>
      </c>
      <c r="G28687" s="8" t="n">
        <v>5</v>
      </c>
      <c r="H28687" s="8" t="inlineStr">
        <is>
          <t>OPERATING</t>
        </is>
      </c>
    </row>
    <row r="28688">
      <c r="A28688" s="8" t="inlineStr">
        <is>
          <t>2026-08-06</t>
        </is>
      </c>
      <c r="B28688" s="8" t="n">
        <v>9</v>
      </c>
      <c r="C28688" s="8" t="n">
        <v>1</v>
      </c>
      <c r="D28688" s="8" t="inlineStr">
        <is>
          <t>Disney Adventure World</t>
        </is>
      </c>
      <c r="E28688" s="8" t="inlineStr">
        <is>
          <t>Avengers Assemble: Flight Force</t>
        </is>
      </c>
      <c r="F28688" s="8" t="inlineStr">
        <is>
          <t>STANDBY</t>
        </is>
      </c>
      <c r="G28688" s="8" t="n">
        <v>5</v>
      </c>
      <c r="H28688" s="8" t="inlineStr">
        <is>
          <t>OPERATING</t>
        </is>
      </c>
    </row>
    <row r="28689">
      <c r="A28689" s="8" t="inlineStr">
        <is>
          <t>2026-08-06</t>
        </is>
      </c>
      <c r="B28689" s="8" t="n">
        <v>9</v>
      </c>
      <c r="C28689" s="8" t="n">
        <v>1</v>
      </c>
      <c r="D28689" s="8" t="inlineStr">
        <is>
          <t>Disney Adventure World</t>
        </is>
      </c>
      <c r="E28689" s="8" t="inlineStr">
        <is>
          <t>Avengers Assemble: Flight Force Single Rider</t>
        </is>
      </c>
      <c r="F28689" s="8" t="inlineStr">
        <is>
          <t>STANDBY</t>
        </is>
      </c>
      <c r="G28689" s="8" t="n">
        <v>5</v>
      </c>
      <c r="H28689" s="8" t="inlineStr">
        <is>
          <t>OPERATING</t>
        </is>
      </c>
    </row>
    <row r="28690">
      <c r="A28690" s="8" t="inlineStr">
        <is>
          <t>2026-08-06</t>
        </is>
      </c>
      <c r="B28690" s="8" t="n">
        <v>9</v>
      </c>
      <c r="C28690" s="8" t="n">
        <v>1</v>
      </c>
      <c r="D28690" s="8" t="inlineStr">
        <is>
          <t>Disney Adventure World</t>
        </is>
      </c>
      <c r="E28690" s="8" t="inlineStr">
        <is>
          <t>Spider-Man W.E.B. Adventure</t>
        </is>
      </c>
      <c r="F28690" s="8" t="inlineStr">
        <is>
          <t>STANDBY</t>
        </is>
      </c>
      <c r="G28690" s="8" t="n">
        <v>5</v>
      </c>
      <c r="H28690" s="8" t="inlineStr">
        <is>
          <t>OPERATING</t>
        </is>
      </c>
    </row>
    <row r="28691">
      <c r="A28691" s="8" t="inlineStr">
        <is>
          <t>2026-08-06</t>
        </is>
      </c>
      <c r="B28691" s="8" t="n">
        <v>9</v>
      </c>
      <c r="C28691" s="8" t="n">
        <v>1</v>
      </c>
      <c r="D28691" s="8" t="inlineStr">
        <is>
          <t>Disney Adventure World</t>
        </is>
      </c>
      <c r="E28691" s="8" t="inlineStr">
        <is>
          <t>Spider-Man W.E.B. Adventure Single Rider</t>
        </is>
      </c>
      <c r="F28691" s="8" t="inlineStr">
        <is>
          <t>STANDBY</t>
        </is>
      </c>
      <c r="G28691" s="8" t="n">
        <v>5</v>
      </c>
      <c r="H28691" s="8" t="inlineStr">
        <is>
          <t>OPERATING</t>
        </is>
      </c>
    </row>
    <row r="28692">
      <c r="A28692" s="8" t="inlineStr">
        <is>
          <t>2026-08-06</t>
        </is>
      </c>
      <c r="B28692" s="8" t="n">
        <v>9</v>
      </c>
      <c r="C28692" s="8" t="n">
        <v>1</v>
      </c>
      <c r="D28692" s="8" t="inlineStr">
        <is>
          <t>Disney Adventure World</t>
        </is>
      </c>
      <c r="E28692" s="8" t="inlineStr">
        <is>
          <t>The Twilight Zone Tower of Terror</t>
        </is>
      </c>
      <c r="F28692" s="8" t="inlineStr">
        <is>
          <t>STANDBY</t>
        </is>
      </c>
      <c r="G28692" s="8" t="n">
        <v>5</v>
      </c>
      <c r="H28692" s="8" t="inlineStr">
        <is>
          <t>OPERATING</t>
        </is>
      </c>
    </row>
    <row r="28693">
      <c r="A28693" s="8" t="inlineStr">
        <is>
          <t>2026-08-06</t>
        </is>
      </c>
      <c r="B28693" s="8" t="n">
        <v>9</v>
      </c>
      <c r="C28693" s="8" t="n">
        <v>1</v>
      </c>
      <c r="D28693" s="8" t="inlineStr">
        <is>
          <t>Disney Adventure World</t>
        </is>
      </c>
      <c r="E28693" s="8" t="inlineStr">
        <is>
          <t>Cars Quatre Roues Rallye</t>
        </is>
      </c>
      <c r="F28693" s="8" t="inlineStr">
        <is>
          <t>STANDBY</t>
        </is>
      </c>
      <c r="G28693" s="8" t="n">
        <v>0</v>
      </c>
      <c r="H28693" s="8" t="inlineStr">
        <is>
          <t>CLOSED</t>
        </is>
      </c>
    </row>
    <row r="28694">
      <c r="A28694" s="8" t="inlineStr">
        <is>
          <t>2026-08-06</t>
        </is>
      </c>
      <c r="B28694" s="8" t="n">
        <v>9</v>
      </c>
      <c r="C28694" s="8" t="n">
        <v>1</v>
      </c>
      <c r="D28694" s="8" t="inlineStr">
        <is>
          <t>Disney Adventure World</t>
        </is>
      </c>
      <c r="E28694" s="8" t="inlineStr">
        <is>
          <t>Cars ROAD TRIP</t>
        </is>
      </c>
      <c r="F28694" s="8" t="inlineStr">
        <is>
          <t>STANDBY</t>
        </is>
      </c>
      <c r="G28694" s="8" t="n">
        <v>0</v>
      </c>
      <c r="H28694" s="8" t="inlineStr">
        <is>
          <t>CLOSED</t>
        </is>
      </c>
    </row>
    <row r="28695">
      <c r="A28695" s="8" t="inlineStr">
        <is>
          <t>2026-08-06</t>
        </is>
      </c>
      <c r="B28695" s="8" t="n">
        <v>9</v>
      </c>
      <c r="C28695" s="8" t="n">
        <v>1</v>
      </c>
      <c r="D28695" s="8" t="inlineStr">
        <is>
          <t>Disney Adventure World</t>
        </is>
      </c>
      <c r="E28695" s="8" t="inlineStr">
        <is>
          <t>Crush's Coaster</t>
        </is>
      </c>
      <c r="F28695" s="8" t="inlineStr">
        <is>
          <t>STANDBY</t>
        </is>
      </c>
      <c r="G28695" s="8" t="n">
        <v>60</v>
      </c>
      <c r="H28695" s="8" t="inlineStr">
        <is>
          <t>OPERATING</t>
        </is>
      </c>
    </row>
    <row r="28696">
      <c r="A28696" s="8" t="inlineStr">
        <is>
          <t>2026-08-06</t>
        </is>
      </c>
      <c r="B28696" s="8" t="n">
        <v>9</v>
      </c>
      <c r="C28696" s="8" t="n">
        <v>1</v>
      </c>
      <c r="D28696" s="8" t="inlineStr">
        <is>
          <t>Disney Adventure World</t>
        </is>
      </c>
      <c r="E28696" s="8" t="inlineStr">
        <is>
          <t>Crush's Coaster Single Rider</t>
        </is>
      </c>
      <c r="F28696" s="8" t="inlineStr">
        <is>
          <t>STANDBY</t>
        </is>
      </c>
      <c r="G28696" s="8" t="n">
        <v>40</v>
      </c>
      <c r="H28696" s="8" t="inlineStr">
        <is>
          <t>OPERATING</t>
        </is>
      </c>
    </row>
    <row r="28697">
      <c r="A28697" s="8" t="inlineStr">
        <is>
          <t>2026-08-06</t>
        </is>
      </c>
      <c r="B28697" s="8" t="n">
        <v>9</v>
      </c>
      <c r="C28697" s="8" t="n">
        <v>1</v>
      </c>
      <c r="D28697" s="8" t="inlineStr">
        <is>
          <t>Disney Adventure World</t>
        </is>
      </c>
      <c r="E28697" s="8" t="inlineStr">
        <is>
          <t>Les Tapis Volants - Flying Carpets Over Agrabah®</t>
        </is>
      </c>
      <c r="F28697" s="8" t="inlineStr">
        <is>
          <t>STANDBY</t>
        </is>
      </c>
      <c r="G28697" s="8" t="n">
        <v>0</v>
      </c>
      <c r="H28697" s="8" t="inlineStr">
        <is>
          <t>CLOSED</t>
        </is>
      </c>
    </row>
    <row r="28698">
      <c r="A28698" s="8" t="inlineStr">
        <is>
          <t>2026-08-06</t>
        </is>
      </c>
      <c r="B28698" s="8" t="n">
        <v>9</v>
      </c>
      <c r="C28698" s="8" t="n">
        <v>1</v>
      </c>
      <c r="D28698" s="8" t="inlineStr">
        <is>
          <t>Disney Adventure World</t>
        </is>
      </c>
      <c r="E28698" s="8" t="inlineStr">
        <is>
          <t>Ratatouille : L’Aventure Totalement Toquée de Rémy​</t>
        </is>
      </c>
      <c r="F28698" s="8" t="inlineStr">
        <is>
          <t>STANDBY</t>
        </is>
      </c>
      <c r="G28698" s="8" t="n">
        <v>25</v>
      </c>
      <c r="H28698" s="8" t="inlineStr">
        <is>
          <t>OPERATING</t>
        </is>
      </c>
    </row>
    <row r="28699">
      <c r="A28699" s="8" t="inlineStr">
        <is>
          <t>2026-08-06</t>
        </is>
      </c>
      <c r="B28699" s="8" t="n">
        <v>9</v>
      </c>
      <c r="C28699" s="8" t="n">
        <v>1</v>
      </c>
      <c r="D28699" s="8" t="inlineStr">
        <is>
          <t>Disney Adventure World</t>
        </is>
      </c>
      <c r="E28699" s="8" t="inlineStr">
        <is>
          <t>Ratatouille: The Adventure Single Rider</t>
        </is>
      </c>
      <c r="F28699" s="8" t="inlineStr">
        <is>
          <t>STANDBY</t>
        </is>
      </c>
      <c r="G28699" s="8" t="n">
        <v>5</v>
      </c>
      <c r="H28699" s="8" t="inlineStr">
        <is>
          <t>OPERATING</t>
        </is>
      </c>
    </row>
    <row r="28700">
      <c r="A28700" s="8" t="inlineStr">
        <is>
          <t>2026-08-06</t>
        </is>
      </c>
      <c r="B28700" s="8" t="n">
        <v>9</v>
      </c>
      <c r="C28700" s="8" t="n">
        <v>1</v>
      </c>
      <c r="D28700" s="8" t="inlineStr">
        <is>
          <t>Disney Adventure World</t>
        </is>
      </c>
      <c r="E28700" s="8" t="inlineStr">
        <is>
          <t>RC Racer</t>
        </is>
      </c>
      <c r="F28700" s="8" t="inlineStr">
        <is>
          <t>STANDBY</t>
        </is>
      </c>
      <c r="G28700" s="8" t="n">
        <v>0</v>
      </c>
      <c r="H28700" s="8" t="inlineStr">
        <is>
          <t>CLOSED</t>
        </is>
      </c>
    </row>
    <row r="28701">
      <c r="A28701" s="8" t="inlineStr">
        <is>
          <t>2026-08-06</t>
        </is>
      </c>
      <c r="B28701" s="8" t="n">
        <v>9</v>
      </c>
      <c r="C28701" s="8" t="n">
        <v>1</v>
      </c>
      <c r="D28701" s="8" t="inlineStr">
        <is>
          <t>Disney Adventure World</t>
        </is>
      </c>
      <c r="E28701" s="8" t="inlineStr">
        <is>
          <t>RC Racer Single Rider</t>
        </is>
      </c>
      <c r="F28701" s="8" t="inlineStr">
        <is>
          <t>STANDBY</t>
        </is>
      </c>
      <c r="G28701" s="8" t="n">
        <v>0</v>
      </c>
      <c r="H28701" s="8" t="inlineStr">
        <is>
          <t>CLOSED</t>
        </is>
      </c>
    </row>
    <row r="28702">
      <c r="A28702" s="8" t="inlineStr">
        <is>
          <t>2026-08-06</t>
        </is>
      </c>
      <c r="B28702" s="8" t="n">
        <v>9</v>
      </c>
      <c r="C28702" s="8" t="n">
        <v>1</v>
      </c>
      <c r="D28702" s="8" t="inlineStr">
        <is>
          <t>Disney Adventure World</t>
        </is>
      </c>
      <c r="E28702" s="8" t="inlineStr">
        <is>
          <t>Slinky® Dog Zigzag Spin</t>
        </is>
      </c>
      <c r="F28702" s="8" t="inlineStr">
        <is>
          <t>STANDBY</t>
        </is>
      </c>
      <c r="G28702" s="8" t="n">
        <v>5</v>
      </c>
      <c r="H28702" s="8" t="inlineStr">
        <is>
          <t>OPERATING</t>
        </is>
      </c>
    </row>
    <row r="28703">
      <c r="A28703" s="8" t="inlineStr">
        <is>
          <t>2026-08-06</t>
        </is>
      </c>
      <c r="B28703" s="8" t="n">
        <v>9</v>
      </c>
      <c r="C28703" s="8" t="n">
        <v>1</v>
      </c>
      <c r="D28703" s="8" t="inlineStr">
        <is>
          <t>Disney Adventure World</t>
        </is>
      </c>
      <c r="E28703" s="8" t="inlineStr">
        <is>
          <t>Toy Soldiers Parachute Drop</t>
        </is>
      </c>
      <c r="F28703" s="8" t="inlineStr">
        <is>
          <t>STANDBY</t>
        </is>
      </c>
      <c r="G28703" s="8" t="n">
        <v>0</v>
      </c>
      <c r="H28703" s="8" t="inlineStr">
        <is>
          <t>CLOSED</t>
        </is>
      </c>
    </row>
    <row r="28704">
      <c r="A28704" s="8" t="inlineStr">
        <is>
          <t>2026-08-06</t>
        </is>
      </c>
      <c r="B28704" s="8" t="n">
        <v>9</v>
      </c>
      <c r="C28704" s="8" t="n">
        <v>1</v>
      </c>
      <c r="D28704" s="8" t="inlineStr">
        <is>
          <t>Disney Adventure World</t>
        </is>
      </c>
      <c r="E28704" s="8" t="inlineStr">
        <is>
          <t>Toy Soldiers Parachute Drop Single Rider</t>
        </is>
      </c>
      <c r="F28704" s="8" t="inlineStr">
        <is>
          <t>STANDBY</t>
        </is>
      </c>
      <c r="G28704" s="8" t="n">
        <v>0</v>
      </c>
      <c r="H28704" s="8" t="inlineStr">
        <is>
          <t>CLOSED</t>
        </is>
      </c>
    </row>
    <row r="28705">
      <c r="A28705" s="8" t="inlineStr">
        <is>
          <t>2026-08-06</t>
        </is>
      </c>
      <c r="B28705" s="8" t="n">
        <v>9</v>
      </c>
      <c r="C28705" s="8" t="n">
        <v>1</v>
      </c>
      <c r="D28705" s="8" t="inlineStr">
        <is>
          <t>Disney Adventure World</t>
        </is>
      </c>
      <c r="E28705" s="8" t="inlineStr">
        <is>
          <t>Entry to World of Frozen</t>
        </is>
      </c>
      <c r="F28705" s="8" t="inlineStr">
        <is>
          <t>STANDBY</t>
        </is>
      </c>
      <c r="G28705" s="8" t="n">
        <v>0</v>
      </c>
      <c r="H28705" s="8" t="inlineStr">
        <is>
          <t>OPERATING</t>
        </is>
      </c>
    </row>
    <row r="28706">
      <c r="A28706" s="8" t="inlineStr">
        <is>
          <t>2026-08-06</t>
        </is>
      </c>
      <c r="B28706" s="8" t="n">
        <v>9</v>
      </c>
      <c r="C28706" s="8" t="n">
        <v>1</v>
      </c>
      <c r="D28706" s="8" t="inlineStr">
        <is>
          <t>Disney Adventure World</t>
        </is>
      </c>
      <c r="E28706" s="8" t="inlineStr">
        <is>
          <t>Frozen Ever After</t>
        </is>
      </c>
      <c r="F28706" s="8" t="inlineStr">
        <is>
          <t>STANDBY</t>
        </is>
      </c>
      <c r="G28706" s="8" t="n">
        <v>40</v>
      </c>
      <c r="H28706" s="8" t="inlineStr">
        <is>
          <t>OPERATING</t>
        </is>
      </c>
    </row>
    <row r="28707">
      <c r="A28707" s="8" t="inlineStr">
        <is>
          <t>2026-08-06</t>
        </is>
      </c>
      <c r="B28707" s="8" t="n">
        <v>9</v>
      </c>
      <c r="C28707" s="8" t="n">
        <v>1</v>
      </c>
      <c r="D28707" s="8" t="inlineStr">
        <is>
          <t>Disney Adventure World</t>
        </is>
      </c>
      <c r="E28707" s="8" t="inlineStr">
        <is>
          <t>Raiponce Tangled Spin</t>
        </is>
      </c>
      <c r="F28707" s="8" t="inlineStr">
        <is>
          <t>STANDBY</t>
        </is>
      </c>
      <c r="G28707" s="8" t="n">
        <v>0</v>
      </c>
      <c r="H28707" s="8" t="inlineStr">
        <is>
          <t>OPERATING</t>
        </is>
      </c>
    </row>
    <row r="28708">
      <c r="A28708" s="8" t="inlineStr">
        <is>
          <t>2026-08-06</t>
        </is>
      </c>
      <c r="B28708" s="8" t="n">
        <v>9</v>
      </c>
      <c r="C28708" s="8" t="n">
        <v>15</v>
      </c>
      <c r="D28708" s="8" t="inlineStr">
        <is>
          <t>Disneyland Park</t>
        </is>
      </c>
      <c r="E28708" s="8" t="inlineStr">
        <is>
          <t>Adventure Isle</t>
        </is>
      </c>
      <c r="F28708" s="8" t="inlineStr">
        <is>
          <t>STANDBY</t>
        </is>
      </c>
      <c r="G28708" s="8" t="n">
        <v>0</v>
      </c>
      <c r="H28708" s="8" t="inlineStr">
        <is>
          <t>CLOSED</t>
        </is>
      </c>
    </row>
    <row r="28709">
      <c r="A28709" s="8" t="inlineStr">
        <is>
          <t>2026-08-06</t>
        </is>
      </c>
      <c r="B28709" s="8" t="n">
        <v>9</v>
      </c>
      <c r="C28709" s="8" t="n">
        <v>15</v>
      </c>
      <c r="D28709" s="8" t="inlineStr">
        <is>
          <t>Disneyland Park</t>
        </is>
      </c>
      <c r="E28709" s="8" t="inlineStr">
        <is>
          <t>Indiana Jones and the Temple of Peril Single Rider</t>
        </is>
      </c>
      <c r="F28709" s="8" t="inlineStr">
        <is>
          <t>STANDBY</t>
        </is>
      </c>
      <c r="G28709" s="8" t="n">
        <v>0</v>
      </c>
      <c r="H28709" s="8" t="inlineStr">
        <is>
          <t>CLOSED</t>
        </is>
      </c>
    </row>
    <row r="28710">
      <c r="A28710" s="8" t="inlineStr">
        <is>
          <t>2026-08-06</t>
        </is>
      </c>
      <c r="B28710" s="8" t="n">
        <v>9</v>
      </c>
      <c r="C28710" s="8" t="n">
        <v>15</v>
      </c>
      <c r="D28710" s="8" t="inlineStr">
        <is>
          <t>Disneyland Park</t>
        </is>
      </c>
      <c r="E28710" s="8" t="inlineStr">
        <is>
          <t>Indiana Jones™ and the Temple of Peril</t>
        </is>
      </c>
      <c r="F28710" s="8" t="inlineStr">
        <is>
          <t>STANDBY</t>
        </is>
      </c>
      <c r="G28710" s="8" t="n">
        <v>0</v>
      </c>
      <c r="H28710" s="8" t="inlineStr">
        <is>
          <t>CLOSED</t>
        </is>
      </c>
    </row>
    <row r="28711">
      <c r="A28711" s="8" t="inlineStr">
        <is>
          <t>2026-08-06</t>
        </is>
      </c>
      <c r="B28711" s="8" t="n">
        <v>9</v>
      </c>
      <c r="C28711" s="8" t="n">
        <v>15</v>
      </c>
      <c r="D28711" s="8" t="inlineStr">
        <is>
          <t>Disneyland Park</t>
        </is>
      </c>
      <c r="E28711" s="8" t="inlineStr">
        <is>
          <t>La Cabane des Robinson</t>
        </is>
      </c>
      <c r="F28711" s="8" t="inlineStr">
        <is>
          <t>STANDBY</t>
        </is>
      </c>
      <c r="G28711" s="8" t="n">
        <v>0</v>
      </c>
      <c r="H28711" s="8" t="inlineStr">
        <is>
          <t>CLOSED</t>
        </is>
      </c>
    </row>
    <row r="28712">
      <c r="A28712" s="8" t="inlineStr">
        <is>
          <t>2026-08-06</t>
        </is>
      </c>
      <c r="B28712" s="8" t="n">
        <v>9</v>
      </c>
      <c r="C28712" s="8" t="n">
        <v>15</v>
      </c>
      <c r="D28712" s="8" t="inlineStr">
        <is>
          <t>Disneyland Park</t>
        </is>
      </c>
      <c r="E28712" s="8" t="inlineStr">
        <is>
          <t>Le Passage Enchanté d'Aladdin</t>
        </is>
      </c>
      <c r="F28712" s="8" t="inlineStr">
        <is>
          <t>STANDBY</t>
        </is>
      </c>
      <c r="G28712" s="8" t="n">
        <v>0</v>
      </c>
      <c r="H28712" s="8" t="inlineStr">
        <is>
          <t>CLOSED</t>
        </is>
      </c>
    </row>
    <row r="28713">
      <c r="A28713" s="8" t="inlineStr">
        <is>
          <t>2026-08-06</t>
        </is>
      </c>
      <c r="B28713" s="8" t="n">
        <v>9</v>
      </c>
      <c r="C28713" s="8" t="n">
        <v>15</v>
      </c>
      <c r="D28713" s="8" t="inlineStr">
        <is>
          <t>Disneyland Park</t>
        </is>
      </c>
      <c r="E28713" s="8" t="inlineStr">
        <is>
          <t>Pirate Galleon</t>
        </is>
      </c>
      <c r="F28713" s="8" t="inlineStr">
        <is>
          <t>STANDBY</t>
        </is>
      </c>
      <c r="G28713" s="8" t="n">
        <v>0</v>
      </c>
      <c r="H28713" s="8" t="inlineStr">
        <is>
          <t>CLOSED</t>
        </is>
      </c>
    </row>
    <row r="28714">
      <c r="A28714" s="8" t="inlineStr">
        <is>
          <t>2026-08-06</t>
        </is>
      </c>
      <c r="B28714" s="8" t="n">
        <v>9</v>
      </c>
      <c r="C28714" s="8" t="n">
        <v>15</v>
      </c>
      <c r="D28714" s="8" t="inlineStr">
        <is>
          <t>Disneyland Park</t>
        </is>
      </c>
      <c r="E28714" s="8" t="inlineStr">
        <is>
          <t>Pirates of the Caribbean</t>
        </is>
      </c>
      <c r="F28714" s="8" t="inlineStr">
        <is>
          <t>STANDBY</t>
        </is>
      </c>
      <c r="G28714" s="8" t="n">
        <v>0</v>
      </c>
      <c r="H28714" s="8" t="inlineStr">
        <is>
          <t>CLOSED</t>
        </is>
      </c>
    </row>
    <row r="28715">
      <c r="A28715" s="8" t="inlineStr">
        <is>
          <t>2026-08-06</t>
        </is>
      </c>
      <c r="B28715" s="8" t="n">
        <v>9</v>
      </c>
      <c r="C28715" s="8" t="n">
        <v>15</v>
      </c>
      <c r="D28715" s="8" t="inlineStr">
        <is>
          <t>Disneyland Park</t>
        </is>
      </c>
      <c r="E28715" s="8" t="inlineStr">
        <is>
          <t>Pirates' Beach</t>
        </is>
      </c>
      <c r="F28715" s="8" t="inlineStr">
        <is>
          <t>STANDBY</t>
        </is>
      </c>
      <c r="G28715" s="8" t="n">
        <v>0</v>
      </c>
      <c r="H28715" s="8" t="inlineStr">
        <is>
          <t>CLOSED</t>
        </is>
      </c>
    </row>
    <row r="28716">
      <c r="A28716" s="8" t="inlineStr">
        <is>
          <t>2026-08-06</t>
        </is>
      </c>
      <c r="B28716" s="8" t="n">
        <v>9</v>
      </c>
      <c r="C28716" s="8" t="n">
        <v>15</v>
      </c>
      <c r="D28716" s="8" t="inlineStr">
        <is>
          <t>Disneyland Park</t>
        </is>
      </c>
      <c r="E28716" s="8" t="inlineStr">
        <is>
          <t>Autopia, presented by Avis</t>
        </is>
      </c>
      <c r="F28716" s="8" t="inlineStr">
        <is>
          <t>STANDBY</t>
        </is>
      </c>
      <c r="G28716" s="8" t="n">
        <v>0</v>
      </c>
      <c r="H28716" s="8" t="inlineStr">
        <is>
          <t>CLOSED</t>
        </is>
      </c>
    </row>
    <row r="28717">
      <c r="A28717" s="8" t="inlineStr">
        <is>
          <t>2026-08-06</t>
        </is>
      </c>
      <c r="B28717" s="8" t="n">
        <v>9</v>
      </c>
      <c r="C28717" s="8" t="n">
        <v>15</v>
      </c>
      <c r="D28717" s="8" t="inlineStr">
        <is>
          <t>Disneyland Park</t>
        </is>
      </c>
      <c r="E28717" s="8" t="inlineStr">
        <is>
          <t>Buzz Lightyear Laser Blast</t>
        </is>
      </c>
      <c r="F28717" s="8" t="inlineStr">
        <is>
          <t>STANDBY</t>
        </is>
      </c>
      <c r="G28717" s="8" t="n">
        <v>35</v>
      </c>
      <c r="H28717" s="8" t="inlineStr">
        <is>
          <t>OPERATING</t>
        </is>
      </c>
    </row>
    <row r="28718">
      <c r="A28718" s="8" t="inlineStr">
        <is>
          <t>2026-08-06</t>
        </is>
      </c>
      <c r="B28718" s="8" t="n">
        <v>9</v>
      </c>
      <c r="C28718" s="8" t="n">
        <v>15</v>
      </c>
      <c r="D28718" s="8" t="inlineStr">
        <is>
          <t>Disneyland Park</t>
        </is>
      </c>
      <c r="E28718" s="8" t="inlineStr">
        <is>
          <t>Disneyland Railroad Discoveryland Station</t>
        </is>
      </c>
      <c r="F28718" s="8" t="inlineStr">
        <is>
          <t>STANDBY</t>
        </is>
      </c>
      <c r="G28718" s="8" t="n">
        <v>0</v>
      </c>
      <c r="H28718" s="8" t="inlineStr">
        <is>
          <t>CLOSED</t>
        </is>
      </c>
    </row>
    <row r="28719">
      <c r="A28719" s="8" t="inlineStr">
        <is>
          <t>2026-08-06</t>
        </is>
      </c>
      <c r="B28719" s="8" t="n">
        <v>9</v>
      </c>
      <c r="C28719" s="8" t="n">
        <v>15</v>
      </c>
      <c r="D28719" s="8" t="inlineStr">
        <is>
          <t>Disneyland Park</t>
        </is>
      </c>
      <c r="E28719" s="8" t="inlineStr">
        <is>
          <t>Les Mystères du Nautilus</t>
        </is>
      </c>
      <c r="F28719" s="8" t="inlineStr">
        <is>
          <t>STANDBY</t>
        </is>
      </c>
      <c r="G28719" s="8" t="n">
        <v>0</v>
      </c>
      <c r="H28719" s="8" t="inlineStr">
        <is>
          <t>CLOSED</t>
        </is>
      </c>
    </row>
    <row r="28720">
      <c r="A28720" s="8" t="inlineStr">
        <is>
          <t>2026-08-06</t>
        </is>
      </c>
      <c r="B28720" s="8" t="n">
        <v>9</v>
      </c>
      <c r="C28720" s="8" t="n">
        <v>15</v>
      </c>
      <c r="D28720" s="8" t="inlineStr">
        <is>
          <t>Disneyland Park</t>
        </is>
      </c>
      <c r="E28720" s="8" t="inlineStr">
        <is>
          <t>Mickey’s PhilharMagic</t>
        </is>
      </c>
      <c r="F28720" s="8" t="inlineStr">
        <is>
          <t>STANDBY</t>
        </is>
      </c>
      <c r="G28720" s="8" t="n">
        <v>0</v>
      </c>
      <c r="H28720" s="8" t="inlineStr">
        <is>
          <t>CLOSED</t>
        </is>
      </c>
    </row>
    <row r="28721">
      <c r="A28721" s="8" t="inlineStr">
        <is>
          <t>2026-08-06</t>
        </is>
      </c>
      <c r="B28721" s="8" t="n">
        <v>9</v>
      </c>
      <c r="C28721" s="8" t="n">
        <v>15</v>
      </c>
      <c r="D28721" s="8" t="inlineStr">
        <is>
          <t>Disneyland Park</t>
        </is>
      </c>
      <c r="E28721" s="8" t="inlineStr">
        <is>
          <t>Orbitron®</t>
        </is>
      </c>
      <c r="F28721" s="8" t="inlineStr">
        <is>
          <t>STANDBY</t>
        </is>
      </c>
      <c r="G28721" s="8" t="n">
        <v>0</v>
      </c>
      <c r="H28721" s="8" t="inlineStr">
        <is>
          <t>CLOSED</t>
        </is>
      </c>
    </row>
    <row r="28722">
      <c r="A28722" s="8" t="inlineStr">
        <is>
          <t>2026-08-06</t>
        </is>
      </c>
      <c r="B28722" s="8" t="n">
        <v>9</v>
      </c>
      <c r="C28722" s="8" t="n">
        <v>15</v>
      </c>
      <c r="D28722" s="8" t="inlineStr">
        <is>
          <t>Disneyland Park</t>
        </is>
      </c>
      <c r="E28722" s="8" t="inlineStr">
        <is>
          <t>Star Tours: The Adventures Continue*</t>
        </is>
      </c>
      <c r="F28722" s="8" t="inlineStr">
        <is>
          <t>STANDBY</t>
        </is>
      </c>
      <c r="G28722" s="8" t="n">
        <v>0</v>
      </c>
      <c r="H28722" s="8" t="inlineStr">
        <is>
          <t>CLOSED</t>
        </is>
      </c>
    </row>
    <row r="28723">
      <c r="A28723" s="8" t="inlineStr">
        <is>
          <t>2026-08-06</t>
        </is>
      </c>
      <c r="B28723" s="8" t="n">
        <v>9</v>
      </c>
      <c r="C28723" s="8" t="n">
        <v>15</v>
      </c>
      <c r="D28723" s="8" t="inlineStr">
        <is>
          <t>Disneyland Park</t>
        </is>
      </c>
      <c r="E28723" s="8" t="inlineStr">
        <is>
          <t>Star Wars Hyperspace Mountain</t>
        </is>
      </c>
      <c r="F28723" s="8" t="inlineStr">
        <is>
          <t>STANDBY</t>
        </is>
      </c>
      <c r="G28723" s="8" t="n">
        <v>15</v>
      </c>
      <c r="H28723" s="8" t="inlineStr">
        <is>
          <t>OPERATING</t>
        </is>
      </c>
    </row>
    <row r="28724">
      <c r="A28724" s="8" t="inlineStr">
        <is>
          <t>2026-08-06</t>
        </is>
      </c>
      <c r="B28724" s="8" t="n">
        <v>9</v>
      </c>
      <c r="C28724" s="8" t="n">
        <v>15</v>
      </c>
      <c r="D28724" s="8" t="inlineStr">
        <is>
          <t>Disneyland Park</t>
        </is>
      </c>
      <c r="E28724" s="8" t="inlineStr">
        <is>
          <t>Star Wars Hyperspace Mountain Single Rider</t>
        </is>
      </c>
      <c r="F28724" s="8" t="inlineStr">
        <is>
          <t>STANDBY</t>
        </is>
      </c>
      <c r="G28724" s="8" t="n">
        <v>0</v>
      </c>
      <c r="H28724" s="8" t="inlineStr">
        <is>
          <t>OPERATING</t>
        </is>
      </c>
    </row>
    <row r="28725">
      <c r="A28725" s="8" t="inlineStr">
        <is>
          <t>2026-08-06</t>
        </is>
      </c>
      <c r="B28725" s="8" t="n">
        <v>9</v>
      </c>
      <c r="C28725" s="8" t="n">
        <v>15</v>
      </c>
      <c r="D28725" s="8" t="inlineStr">
        <is>
          <t>Disneyland Park</t>
        </is>
      </c>
      <c r="E28725" s="8" t="inlineStr">
        <is>
          <t>Welcome to Starport: A Star Wars Encounter</t>
        </is>
      </c>
      <c r="F28725" s="8" t="inlineStr">
        <is>
          <t>STANDBY</t>
        </is>
      </c>
      <c r="G28725" s="8" t="n">
        <v>0</v>
      </c>
      <c r="H28725" s="8" t="inlineStr">
        <is>
          <t>CLOSED</t>
        </is>
      </c>
    </row>
    <row r="28726">
      <c r="A28726" s="8" t="inlineStr">
        <is>
          <t>2026-08-06</t>
        </is>
      </c>
      <c r="B28726" s="8" t="n">
        <v>9</v>
      </c>
      <c r="C28726" s="8" t="n">
        <v>15</v>
      </c>
      <c r="D28726" s="8" t="inlineStr">
        <is>
          <t>Disneyland Park</t>
        </is>
      </c>
      <c r="E28726" s="8" t="inlineStr">
        <is>
          <t>"it's a small world"</t>
        </is>
      </c>
      <c r="F28726" s="8" t="inlineStr">
        <is>
          <t>STANDBY</t>
        </is>
      </c>
      <c r="G28726" s="8" t="n">
        <v>0</v>
      </c>
      <c r="H28726" s="8" t="inlineStr">
        <is>
          <t>CLOSED</t>
        </is>
      </c>
    </row>
    <row r="28727">
      <c r="A28727" s="8" t="inlineStr">
        <is>
          <t>2026-08-06</t>
        </is>
      </c>
      <c r="B28727" s="8" t="n">
        <v>9</v>
      </c>
      <c r="C28727" s="8" t="n">
        <v>15</v>
      </c>
      <c r="D28727" s="8" t="inlineStr">
        <is>
          <t>Disneyland Park</t>
        </is>
      </c>
      <c r="E28727" s="8" t="inlineStr">
        <is>
          <t>Alice's Curious Labyrinth</t>
        </is>
      </c>
      <c r="F28727" s="8" t="inlineStr">
        <is>
          <t>STANDBY</t>
        </is>
      </c>
      <c r="G28727" s="8" t="n">
        <v>0</v>
      </c>
      <c r="H28727" s="8" t="inlineStr">
        <is>
          <t>CLOSED</t>
        </is>
      </c>
    </row>
    <row r="28728">
      <c r="A28728" s="8" t="inlineStr">
        <is>
          <t>2026-08-06</t>
        </is>
      </c>
      <c r="B28728" s="8" t="n">
        <v>9</v>
      </c>
      <c r="C28728" s="8" t="n">
        <v>15</v>
      </c>
      <c r="D28728" s="8" t="inlineStr">
        <is>
          <t>Disneyland Park</t>
        </is>
      </c>
      <c r="E28728" s="8" t="inlineStr">
        <is>
          <t>Blanche-Neige et les Sept Nains®</t>
        </is>
      </c>
      <c r="F28728" s="8" t="inlineStr">
        <is>
          <t>STANDBY</t>
        </is>
      </c>
      <c r="G28728" s="8" t="n">
        <v>0</v>
      </c>
      <c r="H28728" s="8" t="inlineStr">
        <is>
          <t>CLOSED</t>
        </is>
      </c>
    </row>
    <row r="28729">
      <c r="A28729" s="8" t="inlineStr">
        <is>
          <t>2026-08-06</t>
        </is>
      </c>
      <c r="B28729" s="8" t="n">
        <v>9</v>
      </c>
      <c r="C28729" s="8" t="n">
        <v>15</v>
      </c>
      <c r="D28729" s="8" t="inlineStr">
        <is>
          <t>Disneyland Park</t>
        </is>
      </c>
      <c r="E28729" s="8" t="inlineStr">
        <is>
          <t>Casey Jr. – le Petit Train du Cirque</t>
        </is>
      </c>
      <c r="F28729" s="8" t="inlineStr">
        <is>
          <t>STANDBY</t>
        </is>
      </c>
      <c r="G28729" s="8" t="n">
        <v>0</v>
      </c>
      <c r="H28729" s="8" t="inlineStr">
        <is>
          <t>CLOSED</t>
        </is>
      </c>
    </row>
    <row r="28730">
      <c r="A28730" s="8" t="inlineStr">
        <is>
          <t>2026-08-06</t>
        </is>
      </c>
      <c r="B28730" s="8" t="n">
        <v>9</v>
      </c>
      <c r="C28730" s="8" t="n">
        <v>15</v>
      </c>
      <c r="D28730" s="8" t="inlineStr">
        <is>
          <t>Disneyland Park</t>
        </is>
      </c>
      <c r="E28730" s="8" t="inlineStr">
        <is>
          <t>Disneyland Railroad Fantasyland Station</t>
        </is>
      </c>
      <c r="F28730" s="8" t="inlineStr">
        <is>
          <t>STANDBY</t>
        </is>
      </c>
      <c r="G28730" s="8" t="n">
        <v>0</v>
      </c>
      <c r="H28730" s="8" t="inlineStr">
        <is>
          <t>CLOSED</t>
        </is>
      </c>
    </row>
    <row r="28731">
      <c r="A28731" s="8" t="inlineStr">
        <is>
          <t>2026-08-06</t>
        </is>
      </c>
      <c r="B28731" s="8" t="n">
        <v>9</v>
      </c>
      <c r="C28731" s="8" t="n">
        <v>15</v>
      </c>
      <c r="D28731" s="8" t="inlineStr">
        <is>
          <t>Disneyland Park</t>
        </is>
      </c>
      <c r="E28731" s="8" t="inlineStr">
        <is>
          <t>Disneyland Railroad Main Street Station</t>
        </is>
      </c>
      <c r="F28731" s="8" t="inlineStr">
        <is>
          <t>STANDBY</t>
        </is>
      </c>
      <c r="G28731" s="8" t="n">
        <v>0</v>
      </c>
      <c r="H28731" s="8" t="inlineStr">
        <is>
          <t>CLOSED</t>
        </is>
      </c>
    </row>
    <row r="28732">
      <c r="A28732" s="8" t="inlineStr">
        <is>
          <t>2026-08-06</t>
        </is>
      </c>
      <c r="B28732" s="8" t="n">
        <v>9</v>
      </c>
      <c r="C28732" s="8" t="n">
        <v>15</v>
      </c>
      <c r="D28732" s="8" t="inlineStr">
        <is>
          <t>Disneyland Park</t>
        </is>
      </c>
      <c r="E28732" s="8" t="inlineStr">
        <is>
          <t>Dumbo the Flying Elephant</t>
        </is>
      </c>
      <c r="F28732" s="8" t="inlineStr">
        <is>
          <t>STANDBY</t>
        </is>
      </c>
      <c r="G28732" s="8" t="n">
        <v>20</v>
      </c>
      <c r="H28732" s="8" t="inlineStr">
        <is>
          <t>OPERATING</t>
        </is>
      </c>
    </row>
    <row r="28733">
      <c r="A28733" s="8" t="inlineStr">
        <is>
          <t>2026-08-06</t>
        </is>
      </c>
      <c r="B28733" s="8" t="n">
        <v>9</v>
      </c>
      <c r="C28733" s="8" t="n">
        <v>15</v>
      </c>
      <c r="D28733" s="8" t="inlineStr">
        <is>
          <t>Disneyland Park</t>
        </is>
      </c>
      <c r="E28733" s="8" t="inlineStr">
        <is>
          <t>La Tanière du Dragon</t>
        </is>
      </c>
      <c r="F28733" s="8" t="inlineStr">
        <is>
          <t>STANDBY</t>
        </is>
      </c>
      <c r="G28733" s="8" t="n">
        <v>0</v>
      </c>
      <c r="H28733" s="8" t="inlineStr">
        <is>
          <t>OPERATING</t>
        </is>
      </c>
    </row>
    <row r="28734">
      <c r="A28734" s="8" t="inlineStr">
        <is>
          <t>2026-08-06</t>
        </is>
      </c>
      <c r="B28734" s="8" t="n">
        <v>9</v>
      </c>
      <c r="C28734" s="8" t="n">
        <v>15</v>
      </c>
      <c r="D28734" s="8" t="inlineStr">
        <is>
          <t>Disneyland Park</t>
        </is>
      </c>
      <c r="E28734" s="8" t="inlineStr">
        <is>
          <t>Le Carrousel de Lancelot</t>
        </is>
      </c>
      <c r="F28734" s="8" t="inlineStr">
        <is>
          <t>STANDBY</t>
        </is>
      </c>
      <c r="G28734" s="8" t="n">
        <v>0</v>
      </c>
      <c r="H28734" s="8" t="inlineStr">
        <is>
          <t>CLOSED</t>
        </is>
      </c>
    </row>
    <row r="28735">
      <c r="A28735" s="8" t="inlineStr">
        <is>
          <t>2026-08-06</t>
        </is>
      </c>
      <c r="B28735" s="8" t="n">
        <v>9</v>
      </c>
      <c r="C28735" s="8" t="n">
        <v>15</v>
      </c>
      <c r="D28735" s="8" t="inlineStr">
        <is>
          <t>Disneyland Park</t>
        </is>
      </c>
      <c r="E28735" s="8" t="inlineStr">
        <is>
          <t>Le Pays des Contes de Fées, presented by Vittel</t>
        </is>
      </c>
      <c r="F28735" s="8" t="inlineStr">
        <is>
          <t>STANDBY</t>
        </is>
      </c>
      <c r="G28735" s="8" t="n">
        <v>0</v>
      </c>
      <c r="H28735" s="8" t="inlineStr">
        <is>
          <t>CLOSED</t>
        </is>
      </c>
    </row>
    <row r="28736">
      <c r="A28736" s="8" t="inlineStr">
        <is>
          <t>2026-08-06</t>
        </is>
      </c>
      <c r="B28736" s="8" t="n">
        <v>9</v>
      </c>
      <c r="C28736" s="8" t="n">
        <v>15</v>
      </c>
      <c r="D28736" s="8" t="inlineStr">
        <is>
          <t>Disneyland Park</t>
        </is>
      </c>
      <c r="E28736" s="8" t="inlineStr">
        <is>
          <t>Les Voyages de Pinocchio</t>
        </is>
      </c>
      <c r="F28736" s="8" t="inlineStr">
        <is>
          <t>STANDBY</t>
        </is>
      </c>
      <c r="G28736" s="8" t="n">
        <v>0</v>
      </c>
      <c r="H28736" s="8" t="inlineStr">
        <is>
          <t>CLOSED</t>
        </is>
      </c>
    </row>
    <row r="28737">
      <c r="A28737" s="8" t="inlineStr">
        <is>
          <t>2026-08-06</t>
        </is>
      </c>
      <c r="B28737" s="8" t="n">
        <v>9</v>
      </c>
      <c r="C28737" s="8" t="n">
        <v>15</v>
      </c>
      <c r="D28737" s="8" t="inlineStr">
        <is>
          <t>Disneyland Park</t>
        </is>
      </c>
      <c r="E28737" s="8" t="inlineStr">
        <is>
          <t>Mad Hatter's Tea Cups</t>
        </is>
      </c>
      <c r="F28737" s="8" t="inlineStr">
        <is>
          <t>STANDBY</t>
        </is>
      </c>
      <c r="G28737" s="8" t="n">
        <v>0</v>
      </c>
      <c r="H28737" s="8" t="inlineStr">
        <is>
          <t>CLOSED</t>
        </is>
      </c>
    </row>
    <row r="28738">
      <c r="A28738" s="8" t="inlineStr">
        <is>
          <t>2026-08-06</t>
        </is>
      </c>
      <c r="B28738" s="8" t="n">
        <v>9</v>
      </c>
      <c r="C28738" s="8" t="n">
        <v>15</v>
      </c>
      <c r="D28738" s="8" t="inlineStr">
        <is>
          <t>Disneyland Park</t>
        </is>
      </c>
      <c r="E28738" s="8" t="inlineStr">
        <is>
          <t>Meet Mickey Mouse</t>
        </is>
      </c>
      <c r="F28738" s="8" t="inlineStr">
        <is>
          <t>STANDBY</t>
        </is>
      </c>
      <c r="G28738" s="8" t="n">
        <v>0</v>
      </c>
      <c r="H28738" s="8" t="inlineStr">
        <is>
          <t>CLOSED</t>
        </is>
      </c>
    </row>
    <row r="28739">
      <c r="A28739" s="8" t="inlineStr">
        <is>
          <t>2026-08-06</t>
        </is>
      </c>
      <c r="B28739" s="8" t="n">
        <v>9</v>
      </c>
      <c r="C28739" s="8" t="n">
        <v>15</v>
      </c>
      <c r="D28739" s="8" t="inlineStr">
        <is>
          <t>Disneyland Park</t>
        </is>
      </c>
      <c r="E28739" s="8" t="inlineStr">
        <is>
          <t>Peter Pan's Flight</t>
        </is>
      </c>
      <c r="F28739" s="8" t="inlineStr">
        <is>
          <t>STANDBY</t>
        </is>
      </c>
      <c r="G28739" s="8" t="n">
        <v>40</v>
      </c>
      <c r="H28739" s="8" t="inlineStr">
        <is>
          <t>OPERATING</t>
        </is>
      </c>
    </row>
    <row r="28740">
      <c r="A28740" s="8" t="inlineStr">
        <is>
          <t>2026-08-06</t>
        </is>
      </c>
      <c r="B28740" s="8" t="n">
        <v>9</v>
      </c>
      <c r="C28740" s="8" t="n">
        <v>15</v>
      </c>
      <c r="D28740" s="8" t="inlineStr">
        <is>
          <t>Disneyland Park</t>
        </is>
      </c>
      <c r="E28740" s="8" t="inlineStr">
        <is>
          <t>Princess Pavilion</t>
        </is>
      </c>
      <c r="F28740" s="8" t="inlineStr">
        <is>
          <t>STANDBY</t>
        </is>
      </c>
      <c r="G28740" s="8" t="n">
        <v>0</v>
      </c>
      <c r="H28740" s="8" t="inlineStr">
        <is>
          <t>CLOSED</t>
        </is>
      </c>
    </row>
    <row r="28741">
      <c r="A28741" s="8" t="inlineStr">
        <is>
          <t>2026-08-06</t>
        </is>
      </c>
      <c r="B28741" s="8" t="n">
        <v>9</v>
      </c>
      <c r="C28741" s="8" t="n">
        <v>15</v>
      </c>
      <c r="D28741" s="8" t="inlineStr">
        <is>
          <t>Disneyland Park</t>
        </is>
      </c>
      <c r="E28741" s="8" t="inlineStr">
        <is>
          <t>Big Thunder Mountain</t>
        </is>
      </c>
      <c r="F28741" s="8" t="inlineStr">
        <is>
          <t>STANDBY</t>
        </is>
      </c>
      <c r="G28741" s="8" t="n">
        <v>0</v>
      </c>
      <c r="H28741" s="8" t="inlineStr">
        <is>
          <t>CLOSED</t>
        </is>
      </c>
    </row>
    <row r="28742">
      <c r="A28742" s="8" t="inlineStr">
        <is>
          <t>2026-08-06</t>
        </is>
      </c>
      <c r="B28742" s="8" t="n">
        <v>9</v>
      </c>
      <c r="C28742" s="8" t="n">
        <v>15</v>
      </c>
      <c r="D28742" s="8" t="inlineStr">
        <is>
          <t>Disneyland Park</t>
        </is>
      </c>
      <c r="E28742" s="8" t="inlineStr">
        <is>
          <t>Disneyland Railroad Frontierland Depot</t>
        </is>
      </c>
      <c r="F28742" s="8" t="inlineStr">
        <is>
          <t>STANDBY</t>
        </is>
      </c>
      <c r="G28742" s="8" t="n">
        <v>0</v>
      </c>
      <c r="H28742" s="8" t="inlineStr">
        <is>
          <t>CLOSED</t>
        </is>
      </c>
    </row>
    <row r="28743">
      <c r="A28743" s="8" t="inlineStr">
        <is>
          <t>2026-08-06</t>
        </is>
      </c>
      <c r="B28743" s="8" t="n">
        <v>9</v>
      </c>
      <c r="C28743" s="8" t="n">
        <v>15</v>
      </c>
      <c r="D28743" s="8" t="inlineStr">
        <is>
          <t>Disneyland Park</t>
        </is>
      </c>
      <c r="E28743" s="8" t="inlineStr">
        <is>
          <t>Frontierland Playground</t>
        </is>
      </c>
      <c r="F28743" s="8" t="inlineStr">
        <is>
          <t>STANDBY</t>
        </is>
      </c>
      <c r="G28743" s="8" t="n">
        <v>0</v>
      </c>
      <c r="H28743" s="8" t="inlineStr">
        <is>
          <t>CLOSED</t>
        </is>
      </c>
    </row>
    <row r="28744">
      <c r="A28744" s="8" t="inlineStr">
        <is>
          <t>2026-08-06</t>
        </is>
      </c>
      <c r="B28744" s="8" t="n">
        <v>9</v>
      </c>
      <c r="C28744" s="8" t="n">
        <v>15</v>
      </c>
      <c r="D28744" s="8" t="inlineStr">
        <is>
          <t>Disneyland Park</t>
        </is>
      </c>
      <c r="E28744" s="8" t="inlineStr">
        <is>
          <t>Phantom Manor</t>
        </is>
      </c>
      <c r="F28744" s="8" t="inlineStr">
        <is>
          <t>STANDBY</t>
        </is>
      </c>
      <c r="G28744" s="8" t="n">
        <v>0</v>
      </c>
      <c r="H28744" s="8" t="inlineStr">
        <is>
          <t>CLOSED</t>
        </is>
      </c>
    </row>
    <row r="28745">
      <c r="A28745" s="8" t="inlineStr">
        <is>
          <t>2026-08-06</t>
        </is>
      </c>
      <c r="B28745" s="8" t="n">
        <v>9</v>
      </c>
      <c r="C28745" s="8" t="n">
        <v>15</v>
      </c>
      <c r="D28745" s="8" t="inlineStr">
        <is>
          <t>Disneyland Park</t>
        </is>
      </c>
      <c r="E28745" s="8" t="inlineStr">
        <is>
          <t>River Rogue Keelboats</t>
        </is>
      </c>
      <c r="F28745" s="8" t="inlineStr">
        <is>
          <t>STANDBY</t>
        </is>
      </c>
      <c r="G28745" s="8" t="n">
        <v>0</v>
      </c>
      <c r="H28745" s="8" t="inlineStr">
        <is>
          <t>CLOSED</t>
        </is>
      </c>
    </row>
    <row r="28746">
      <c r="A28746" s="8" t="inlineStr">
        <is>
          <t>2026-08-06</t>
        </is>
      </c>
      <c r="B28746" s="8" t="n">
        <v>9</v>
      </c>
      <c r="C28746" s="8" t="n">
        <v>15</v>
      </c>
      <c r="D28746" s="8" t="inlineStr">
        <is>
          <t>Disneyland Park</t>
        </is>
      </c>
      <c r="E28746" s="8" t="inlineStr">
        <is>
          <t>Rustler Roundup Shootin' Gallery</t>
        </is>
      </c>
      <c r="F28746" s="8" t="inlineStr">
        <is>
          <t>STANDBY</t>
        </is>
      </c>
      <c r="G28746" s="8" t="n">
        <v>0</v>
      </c>
      <c r="H28746" s="8" t="inlineStr">
        <is>
          <t>OPERATING</t>
        </is>
      </c>
    </row>
    <row r="28747">
      <c r="A28747" s="8" t="inlineStr">
        <is>
          <t>2026-08-06</t>
        </is>
      </c>
      <c r="B28747" s="8" t="n">
        <v>9</v>
      </c>
      <c r="C28747" s="8" t="n">
        <v>15</v>
      </c>
      <c r="D28747" s="8" t="inlineStr">
        <is>
          <t>Disneyland Park</t>
        </is>
      </c>
      <c r="E28747" s="8" t="inlineStr">
        <is>
          <t>Thunder Mesa Riverboat Landing</t>
        </is>
      </c>
      <c r="F28747" s="8" t="inlineStr">
        <is>
          <t>STANDBY</t>
        </is>
      </c>
      <c r="G28747" s="8" t="n">
        <v>0</v>
      </c>
      <c r="H28747" s="8" t="inlineStr">
        <is>
          <t>CLOSED</t>
        </is>
      </c>
    </row>
    <row r="28748">
      <c r="A28748" s="8" t="inlineStr">
        <is>
          <t>2026-08-06</t>
        </is>
      </c>
      <c r="B28748" s="8" t="n">
        <v>9</v>
      </c>
      <c r="C28748" s="8" t="n">
        <v>15</v>
      </c>
      <c r="D28748" s="8" t="inlineStr">
        <is>
          <t>Disneyland Park</t>
        </is>
      </c>
      <c r="E28748" s="8" t="inlineStr">
        <is>
          <t>Disneyland Railroad Main Street Station</t>
        </is>
      </c>
      <c r="F28748" s="8" t="inlineStr">
        <is>
          <t>STANDBY</t>
        </is>
      </c>
      <c r="G28748" s="8" t="n">
        <v>0</v>
      </c>
      <c r="H28748" s="8" t="inlineStr">
        <is>
          <t>CLOSED</t>
        </is>
      </c>
    </row>
    <row r="28749">
      <c r="A28749" s="8" t="inlineStr">
        <is>
          <t>2026-08-06</t>
        </is>
      </c>
      <c r="B28749" s="8" t="n">
        <v>9</v>
      </c>
      <c r="C28749" s="8" t="n">
        <v>15</v>
      </c>
      <c r="D28749" s="8" t="inlineStr">
        <is>
          <t>Disneyland Park</t>
        </is>
      </c>
      <c r="E28749" s="8" t="inlineStr">
        <is>
          <t>Main Street Vehicles</t>
        </is>
      </c>
      <c r="F28749" s="8" t="inlineStr">
        <is>
          <t>STANDBY</t>
        </is>
      </c>
      <c r="G28749" s="8" t="n">
        <v>5</v>
      </c>
      <c r="H28749" s="8" t="inlineStr">
        <is>
          <t>OPERATING</t>
        </is>
      </c>
    </row>
    <row r="28750">
      <c r="A28750" s="8" t="inlineStr">
        <is>
          <t>2026-08-06</t>
        </is>
      </c>
      <c r="B28750" s="8" t="n">
        <v>9</v>
      </c>
      <c r="C28750" s="8" t="n">
        <v>15</v>
      </c>
      <c r="D28750" s="8" t="inlineStr">
        <is>
          <t>Disney Adventure World</t>
        </is>
      </c>
      <c r="E28750" s="8" t="inlineStr">
        <is>
          <t>Avengers Assemble: Flight Force</t>
        </is>
      </c>
      <c r="F28750" s="8" t="inlineStr">
        <is>
          <t>STANDBY</t>
        </is>
      </c>
      <c r="G28750" s="8" t="n">
        <v>5</v>
      </c>
      <c r="H28750" s="8" t="inlineStr">
        <is>
          <t>OPERATING</t>
        </is>
      </c>
    </row>
    <row r="28751">
      <c r="A28751" s="8" t="inlineStr">
        <is>
          <t>2026-08-06</t>
        </is>
      </c>
      <c r="B28751" s="8" t="n">
        <v>9</v>
      </c>
      <c r="C28751" s="8" t="n">
        <v>15</v>
      </c>
      <c r="D28751" s="8" t="inlineStr">
        <is>
          <t>Disney Adventure World</t>
        </is>
      </c>
      <c r="E28751" s="8" t="inlineStr">
        <is>
          <t>Avengers Assemble: Flight Force Single Rider</t>
        </is>
      </c>
      <c r="F28751" s="8" t="inlineStr">
        <is>
          <t>STANDBY</t>
        </is>
      </c>
      <c r="G28751" s="8" t="n">
        <v>5</v>
      </c>
      <c r="H28751" s="8" t="inlineStr">
        <is>
          <t>OPERATING</t>
        </is>
      </c>
    </row>
    <row r="28752">
      <c r="A28752" s="8" t="inlineStr">
        <is>
          <t>2026-08-06</t>
        </is>
      </c>
      <c r="B28752" s="8" t="n">
        <v>9</v>
      </c>
      <c r="C28752" s="8" t="n">
        <v>15</v>
      </c>
      <c r="D28752" s="8" t="inlineStr">
        <is>
          <t>Disney Adventure World</t>
        </is>
      </c>
      <c r="E28752" s="8" t="inlineStr">
        <is>
          <t>Spider-Man W.E.B. Adventure</t>
        </is>
      </c>
      <c r="F28752" s="8" t="inlineStr">
        <is>
          <t>STANDBY</t>
        </is>
      </c>
      <c r="G28752" s="8" t="n">
        <v>5</v>
      </c>
      <c r="H28752" s="8" t="inlineStr">
        <is>
          <t>OPERATING</t>
        </is>
      </c>
    </row>
    <row r="28753">
      <c r="A28753" s="8" t="inlineStr">
        <is>
          <t>2026-08-06</t>
        </is>
      </c>
      <c r="B28753" s="8" t="n">
        <v>9</v>
      </c>
      <c r="C28753" s="8" t="n">
        <v>15</v>
      </c>
      <c r="D28753" s="8" t="inlineStr">
        <is>
          <t>Disney Adventure World</t>
        </is>
      </c>
      <c r="E28753" s="8" t="inlineStr">
        <is>
          <t>Spider-Man W.E.B. Adventure Single Rider</t>
        </is>
      </c>
      <c r="F28753" s="8" t="inlineStr">
        <is>
          <t>STANDBY</t>
        </is>
      </c>
      <c r="G28753" s="8" t="n">
        <v>5</v>
      </c>
      <c r="H28753" s="8" t="inlineStr">
        <is>
          <t>OPERATING</t>
        </is>
      </c>
    </row>
    <row r="28754">
      <c r="A28754" s="8" t="inlineStr">
        <is>
          <t>2026-08-06</t>
        </is>
      </c>
      <c r="B28754" s="8" t="n">
        <v>9</v>
      </c>
      <c r="C28754" s="8" t="n">
        <v>15</v>
      </c>
      <c r="D28754" s="8" t="inlineStr">
        <is>
          <t>Disney Adventure World</t>
        </is>
      </c>
      <c r="E28754" s="8" t="inlineStr">
        <is>
          <t>The Twilight Zone Tower of Terror</t>
        </is>
      </c>
      <c r="F28754" s="8" t="inlineStr">
        <is>
          <t>STANDBY</t>
        </is>
      </c>
      <c r="G28754" s="8" t="n">
        <v>5</v>
      </c>
      <c r="H28754" s="8" t="inlineStr">
        <is>
          <t>OPERATING</t>
        </is>
      </c>
    </row>
    <row r="28755">
      <c r="A28755" s="8" t="inlineStr">
        <is>
          <t>2026-08-06</t>
        </is>
      </c>
      <c r="B28755" s="8" t="n">
        <v>9</v>
      </c>
      <c r="C28755" s="8" t="n">
        <v>15</v>
      </c>
      <c r="D28755" s="8" t="inlineStr">
        <is>
          <t>Disney Adventure World</t>
        </is>
      </c>
      <c r="E28755" s="8" t="inlineStr">
        <is>
          <t>Cars Quatre Roues Rallye</t>
        </is>
      </c>
      <c r="F28755" s="8" t="inlineStr">
        <is>
          <t>STANDBY</t>
        </is>
      </c>
      <c r="G28755" s="8" t="n">
        <v>5</v>
      </c>
      <c r="H28755" s="8" t="inlineStr">
        <is>
          <t>OPERATING</t>
        </is>
      </c>
    </row>
    <row r="28756">
      <c r="A28756" s="8" t="inlineStr">
        <is>
          <t>2026-08-06</t>
        </is>
      </c>
      <c r="B28756" s="8" t="n">
        <v>9</v>
      </c>
      <c r="C28756" s="8" t="n">
        <v>15</v>
      </c>
      <c r="D28756" s="8" t="inlineStr">
        <is>
          <t>Disney Adventure World</t>
        </is>
      </c>
      <c r="E28756" s="8" t="inlineStr">
        <is>
          <t>Cars ROAD TRIP</t>
        </is>
      </c>
      <c r="F28756" s="8" t="inlineStr">
        <is>
          <t>STANDBY</t>
        </is>
      </c>
      <c r="G28756" s="8" t="n">
        <v>0</v>
      </c>
      <c r="H28756" s="8" t="inlineStr">
        <is>
          <t>CLOSED</t>
        </is>
      </c>
    </row>
    <row r="28757">
      <c r="A28757" s="8" t="inlineStr">
        <is>
          <t>2026-08-06</t>
        </is>
      </c>
      <c r="B28757" s="8" t="n">
        <v>9</v>
      </c>
      <c r="C28757" s="8" t="n">
        <v>15</v>
      </c>
      <c r="D28757" s="8" t="inlineStr">
        <is>
          <t>Disney Adventure World</t>
        </is>
      </c>
      <c r="E28757" s="8" t="inlineStr">
        <is>
          <t>Crush's Coaster</t>
        </is>
      </c>
      <c r="F28757" s="8" t="inlineStr">
        <is>
          <t>STANDBY</t>
        </is>
      </c>
      <c r="G28757" s="8" t="n">
        <v>65</v>
      </c>
      <c r="H28757" s="8" t="inlineStr">
        <is>
          <t>OPERATING</t>
        </is>
      </c>
    </row>
    <row r="28758">
      <c r="A28758" s="8" t="inlineStr">
        <is>
          <t>2026-08-06</t>
        </is>
      </c>
      <c r="B28758" s="8" t="n">
        <v>9</v>
      </c>
      <c r="C28758" s="8" t="n">
        <v>15</v>
      </c>
      <c r="D28758" s="8" t="inlineStr">
        <is>
          <t>Disney Adventure World</t>
        </is>
      </c>
      <c r="E28758" s="8" t="inlineStr">
        <is>
          <t>Crush's Coaster Single Rider</t>
        </is>
      </c>
      <c r="F28758" s="8" t="inlineStr">
        <is>
          <t>STANDBY</t>
        </is>
      </c>
      <c r="G28758" s="8" t="n">
        <v>45</v>
      </c>
      <c r="H28758" s="8" t="inlineStr">
        <is>
          <t>OPERATING</t>
        </is>
      </c>
    </row>
    <row r="28759">
      <c r="A28759" s="8" t="inlineStr">
        <is>
          <t>2026-08-06</t>
        </is>
      </c>
      <c r="B28759" s="8" t="n">
        <v>9</v>
      </c>
      <c r="C28759" s="8" t="n">
        <v>15</v>
      </c>
      <c r="D28759" s="8" t="inlineStr">
        <is>
          <t>Disney Adventure World</t>
        </is>
      </c>
      <c r="E28759" s="8" t="inlineStr">
        <is>
          <t>Les Tapis Volants - Flying Carpets Over Agrabah®</t>
        </is>
      </c>
      <c r="F28759" s="8" t="inlineStr">
        <is>
          <t>STANDBY</t>
        </is>
      </c>
      <c r="G28759" s="8" t="n">
        <v>0</v>
      </c>
      <c r="H28759" s="8" t="inlineStr">
        <is>
          <t>CLOSED</t>
        </is>
      </c>
    </row>
    <row r="28760">
      <c r="A28760" s="8" t="inlineStr">
        <is>
          <t>2026-08-06</t>
        </is>
      </c>
      <c r="B28760" s="8" t="n">
        <v>9</v>
      </c>
      <c r="C28760" s="8" t="n">
        <v>15</v>
      </c>
      <c r="D28760" s="8" t="inlineStr">
        <is>
          <t>Disney Adventure World</t>
        </is>
      </c>
      <c r="E28760" s="8" t="inlineStr">
        <is>
          <t>Ratatouille : L’Aventure Totalement Toquée de Rémy​</t>
        </is>
      </c>
      <c r="F28760" s="8" t="inlineStr">
        <is>
          <t>STANDBY</t>
        </is>
      </c>
      <c r="G28760" s="8" t="n">
        <v>15</v>
      </c>
      <c r="H28760" s="8" t="inlineStr">
        <is>
          <t>OPERATING</t>
        </is>
      </c>
    </row>
    <row r="28761">
      <c r="A28761" s="8" t="inlineStr">
        <is>
          <t>2026-08-06</t>
        </is>
      </c>
      <c r="B28761" s="8" t="n">
        <v>9</v>
      </c>
      <c r="C28761" s="8" t="n">
        <v>15</v>
      </c>
      <c r="D28761" s="8" t="inlineStr">
        <is>
          <t>Disney Adventure World</t>
        </is>
      </c>
      <c r="E28761" s="8" t="inlineStr">
        <is>
          <t>Ratatouille: The Adventure Single Rider</t>
        </is>
      </c>
      <c r="F28761" s="8" t="inlineStr">
        <is>
          <t>STANDBY</t>
        </is>
      </c>
      <c r="G28761" s="8" t="n">
        <v>5</v>
      </c>
      <c r="H28761" s="8" t="inlineStr">
        <is>
          <t>OPERATING</t>
        </is>
      </c>
    </row>
    <row r="28762">
      <c r="A28762" s="8" t="inlineStr">
        <is>
          <t>2026-08-06</t>
        </is>
      </c>
      <c r="B28762" s="8" t="n">
        <v>9</v>
      </c>
      <c r="C28762" s="8" t="n">
        <v>15</v>
      </c>
      <c r="D28762" s="8" t="inlineStr">
        <is>
          <t>Disney Adventure World</t>
        </is>
      </c>
      <c r="E28762" s="8" t="inlineStr">
        <is>
          <t>RC Racer</t>
        </is>
      </c>
      <c r="F28762" s="8" t="inlineStr">
        <is>
          <t>STANDBY</t>
        </is>
      </c>
      <c r="G28762" s="8" t="n">
        <v>0</v>
      </c>
      <c r="H28762" s="8" t="inlineStr">
        <is>
          <t>CLOSED</t>
        </is>
      </c>
    </row>
    <row r="28763">
      <c r="A28763" s="8" t="inlineStr">
        <is>
          <t>2026-08-06</t>
        </is>
      </c>
      <c r="B28763" s="8" t="n">
        <v>9</v>
      </c>
      <c r="C28763" s="8" t="n">
        <v>15</v>
      </c>
      <c r="D28763" s="8" t="inlineStr">
        <is>
          <t>Disney Adventure World</t>
        </is>
      </c>
      <c r="E28763" s="8" t="inlineStr">
        <is>
          <t>RC Racer Single Rider</t>
        </is>
      </c>
      <c r="F28763" s="8" t="inlineStr">
        <is>
          <t>STANDBY</t>
        </is>
      </c>
      <c r="G28763" s="8" t="n">
        <v>0</v>
      </c>
      <c r="H28763" s="8" t="inlineStr">
        <is>
          <t>CLOSED</t>
        </is>
      </c>
    </row>
    <row r="28764">
      <c r="A28764" s="8" t="inlineStr">
        <is>
          <t>2026-08-06</t>
        </is>
      </c>
      <c r="B28764" s="8" t="n">
        <v>9</v>
      </c>
      <c r="C28764" s="8" t="n">
        <v>15</v>
      </c>
      <c r="D28764" s="8" t="inlineStr">
        <is>
          <t>Disney Adventure World</t>
        </is>
      </c>
      <c r="E28764" s="8" t="inlineStr">
        <is>
          <t>Slinky® Dog Zigzag Spin</t>
        </is>
      </c>
      <c r="F28764" s="8" t="inlineStr">
        <is>
          <t>STANDBY</t>
        </is>
      </c>
      <c r="G28764" s="8" t="n">
        <v>5</v>
      </c>
      <c r="H28764" s="8" t="inlineStr">
        <is>
          <t>OPERATING</t>
        </is>
      </c>
    </row>
    <row r="28765">
      <c r="A28765" s="8" t="inlineStr">
        <is>
          <t>2026-08-06</t>
        </is>
      </c>
      <c r="B28765" s="8" t="n">
        <v>9</v>
      </c>
      <c r="C28765" s="8" t="n">
        <v>15</v>
      </c>
      <c r="D28765" s="8" t="inlineStr">
        <is>
          <t>Disney Adventure World</t>
        </is>
      </c>
      <c r="E28765" s="8" t="inlineStr">
        <is>
          <t>Toy Soldiers Parachute Drop</t>
        </is>
      </c>
      <c r="F28765" s="8" t="inlineStr">
        <is>
          <t>STANDBY</t>
        </is>
      </c>
      <c r="G28765" s="8" t="n">
        <v>0</v>
      </c>
      <c r="H28765" s="8" t="inlineStr">
        <is>
          <t>CLOSED</t>
        </is>
      </c>
    </row>
    <row r="28766">
      <c r="A28766" s="8" t="inlineStr">
        <is>
          <t>2026-08-06</t>
        </is>
      </c>
      <c r="B28766" s="8" t="n">
        <v>9</v>
      </c>
      <c r="C28766" s="8" t="n">
        <v>15</v>
      </c>
      <c r="D28766" s="8" t="inlineStr">
        <is>
          <t>Disney Adventure World</t>
        </is>
      </c>
      <c r="E28766" s="8" t="inlineStr">
        <is>
          <t>Toy Soldiers Parachute Drop Single Rider</t>
        </is>
      </c>
      <c r="F28766" s="8" t="inlineStr">
        <is>
          <t>STANDBY</t>
        </is>
      </c>
      <c r="G28766" s="8" t="n">
        <v>0</v>
      </c>
      <c r="H28766" s="8" t="inlineStr">
        <is>
          <t>CLOSED</t>
        </is>
      </c>
    </row>
    <row r="28767">
      <c r="A28767" s="8" t="inlineStr">
        <is>
          <t>2026-08-06</t>
        </is>
      </c>
      <c r="B28767" s="8" t="n">
        <v>9</v>
      </c>
      <c r="C28767" s="8" t="n">
        <v>15</v>
      </c>
      <c r="D28767" s="8" t="inlineStr">
        <is>
          <t>Disney Adventure World</t>
        </is>
      </c>
      <c r="E28767" s="8" t="inlineStr">
        <is>
          <t>Entry to World of Frozen</t>
        </is>
      </c>
      <c r="F28767" s="8" t="inlineStr">
        <is>
          <t>STANDBY</t>
        </is>
      </c>
      <c r="G28767" s="8" t="n">
        <v>0</v>
      </c>
      <c r="H28767" s="8" t="inlineStr">
        <is>
          <t>OPERATING</t>
        </is>
      </c>
    </row>
    <row r="28768">
      <c r="A28768" s="8" t="inlineStr">
        <is>
          <t>2026-08-06</t>
        </is>
      </c>
      <c r="B28768" s="8" t="n">
        <v>9</v>
      </c>
      <c r="C28768" s="8" t="n">
        <v>15</v>
      </c>
      <c r="D28768" s="8" t="inlineStr">
        <is>
          <t>Disney Adventure World</t>
        </is>
      </c>
      <c r="E28768" s="8" t="inlineStr">
        <is>
          <t>Frozen Ever After</t>
        </is>
      </c>
      <c r="F28768" s="8" t="inlineStr">
        <is>
          <t>STANDBY</t>
        </is>
      </c>
      <c r="G28768" s="8" t="n">
        <v>50</v>
      </c>
      <c r="H28768" s="8" t="inlineStr">
        <is>
          <t>OPERATING</t>
        </is>
      </c>
    </row>
    <row r="28769">
      <c r="A28769" s="8" t="inlineStr">
        <is>
          <t>2026-08-06</t>
        </is>
      </c>
      <c r="B28769" s="8" t="n">
        <v>9</v>
      </c>
      <c r="C28769" s="8" t="n">
        <v>15</v>
      </c>
      <c r="D28769" s="8" t="inlineStr">
        <is>
          <t>Disney Adventure World</t>
        </is>
      </c>
      <c r="E28769" s="8" t="inlineStr">
        <is>
          <t>Raiponce Tangled Spin</t>
        </is>
      </c>
      <c r="F28769" s="8" t="inlineStr">
        <is>
          <t>STANDBY</t>
        </is>
      </c>
      <c r="G28769" s="8" t="n">
        <v>0</v>
      </c>
      <c r="H28769" s="8" t="inlineStr">
        <is>
          <t>OPERATING</t>
        </is>
      </c>
    </row>
    <row r="28770">
      <c r="A28770" s="8" t="inlineStr">
        <is>
          <t>2026-08-06</t>
        </is>
      </c>
      <c r="B28770" s="8" t="n">
        <v>9</v>
      </c>
      <c r="C28770" s="8" t="n">
        <v>31</v>
      </c>
      <c r="D28770" s="8" t="inlineStr">
        <is>
          <t>Disneyland Park</t>
        </is>
      </c>
      <c r="E28770" s="8" t="inlineStr">
        <is>
          <t>Adventure Isle</t>
        </is>
      </c>
      <c r="F28770" s="8" t="inlineStr">
        <is>
          <t>STANDBY</t>
        </is>
      </c>
      <c r="G28770" s="8" t="n">
        <v>0</v>
      </c>
      <c r="H28770" s="8" t="inlineStr">
        <is>
          <t>CLOSED</t>
        </is>
      </c>
    </row>
    <row r="28771">
      <c r="A28771" s="8" t="inlineStr">
        <is>
          <t>2026-08-06</t>
        </is>
      </c>
      <c r="B28771" s="8" t="n">
        <v>9</v>
      </c>
      <c r="C28771" s="8" t="n">
        <v>31</v>
      </c>
      <c r="D28771" s="8" t="inlineStr">
        <is>
          <t>Disneyland Park</t>
        </is>
      </c>
      <c r="E28771" s="8" t="inlineStr">
        <is>
          <t>Indiana Jones and the Temple of Peril Single Rider</t>
        </is>
      </c>
      <c r="F28771" s="8" t="inlineStr">
        <is>
          <t>STANDBY</t>
        </is>
      </c>
      <c r="G28771" s="8" t="n">
        <v>0</v>
      </c>
      <c r="H28771" s="8" t="inlineStr">
        <is>
          <t>OPERATING</t>
        </is>
      </c>
    </row>
    <row r="28772">
      <c r="A28772" s="8" t="inlineStr">
        <is>
          <t>2026-08-06</t>
        </is>
      </c>
      <c r="B28772" s="8" t="n">
        <v>9</v>
      </c>
      <c r="C28772" s="8" t="n">
        <v>31</v>
      </c>
      <c r="D28772" s="8" t="inlineStr">
        <is>
          <t>Disneyland Park</t>
        </is>
      </c>
      <c r="E28772" s="8" t="inlineStr">
        <is>
          <t>Indiana Jones™ and the Temple of Peril</t>
        </is>
      </c>
      <c r="F28772" s="8" t="inlineStr">
        <is>
          <t>STANDBY</t>
        </is>
      </c>
      <c r="G28772" s="8" t="n">
        <v>5</v>
      </c>
      <c r="H28772" s="8" t="inlineStr">
        <is>
          <t>OPERATING</t>
        </is>
      </c>
    </row>
    <row r="28773">
      <c r="A28773" s="8" t="inlineStr">
        <is>
          <t>2026-08-06</t>
        </is>
      </c>
      <c r="B28773" s="8" t="n">
        <v>9</v>
      </c>
      <c r="C28773" s="8" t="n">
        <v>31</v>
      </c>
      <c r="D28773" s="8" t="inlineStr">
        <is>
          <t>Disneyland Park</t>
        </is>
      </c>
      <c r="E28773" s="8" t="inlineStr">
        <is>
          <t>La Cabane des Robinson</t>
        </is>
      </c>
      <c r="F28773" s="8" t="inlineStr">
        <is>
          <t>STANDBY</t>
        </is>
      </c>
      <c r="G28773" s="8" t="n">
        <v>0</v>
      </c>
      <c r="H28773" s="8" t="inlineStr">
        <is>
          <t>CLOSED</t>
        </is>
      </c>
    </row>
    <row r="28774">
      <c r="A28774" s="8" t="inlineStr">
        <is>
          <t>2026-08-06</t>
        </is>
      </c>
      <c r="B28774" s="8" t="n">
        <v>9</v>
      </c>
      <c r="C28774" s="8" t="n">
        <v>31</v>
      </c>
      <c r="D28774" s="8" t="inlineStr">
        <is>
          <t>Disneyland Park</t>
        </is>
      </c>
      <c r="E28774" s="8" t="inlineStr">
        <is>
          <t>Le Passage Enchanté d'Aladdin</t>
        </is>
      </c>
      <c r="F28774" s="8" t="inlineStr">
        <is>
          <t>STANDBY</t>
        </is>
      </c>
      <c r="G28774" s="8" t="n">
        <v>0</v>
      </c>
      <c r="H28774" s="8" t="inlineStr">
        <is>
          <t>CLOSED</t>
        </is>
      </c>
    </row>
    <row r="28775">
      <c r="A28775" s="8" t="inlineStr">
        <is>
          <t>2026-08-06</t>
        </is>
      </c>
      <c r="B28775" s="8" t="n">
        <v>9</v>
      </c>
      <c r="C28775" s="8" t="n">
        <v>31</v>
      </c>
      <c r="D28775" s="8" t="inlineStr">
        <is>
          <t>Disneyland Park</t>
        </is>
      </c>
      <c r="E28775" s="8" t="inlineStr">
        <is>
          <t>Pirate Galleon</t>
        </is>
      </c>
      <c r="F28775" s="8" t="inlineStr">
        <is>
          <t>STANDBY</t>
        </is>
      </c>
      <c r="G28775" s="8" t="n">
        <v>0</v>
      </c>
      <c r="H28775" s="8" t="inlineStr">
        <is>
          <t>CLOSED</t>
        </is>
      </c>
    </row>
    <row r="28776">
      <c r="A28776" s="8" t="inlineStr">
        <is>
          <t>2026-08-06</t>
        </is>
      </c>
      <c r="B28776" s="8" t="n">
        <v>9</v>
      </c>
      <c r="C28776" s="8" t="n">
        <v>31</v>
      </c>
      <c r="D28776" s="8" t="inlineStr">
        <is>
          <t>Disneyland Park</t>
        </is>
      </c>
      <c r="E28776" s="8" t="inlineStr">
        <is>
          <t>Pirates of the Caribbean</t>
        </is>
      </c>
      <c r="F28776" s="8" t="inlineStr">
        <is>
          <t>STANDBY</t>
        </is>
      </c>
      <c r="G28776" s="8" t="n">
        <v>5</v>
      </c>
      <c r="H28776" s="8" t="inlineStr">
        <is>
          <t>OPERATING</t>
        </is>
      </c>
    </row>
    <row r="28777">
      <c r="A28777" s="8" t="inlineStr">
        <is>
          <t>2026-08-06</t>
        </is>
      </c>
      <c r="B28777" s="8" t="n">
        <v>9</v>
      </c>
      <c r="C28777" s="8" t="n">
        <v>31</v>
      </c>
      <c r="D28777" s="8" t="inlineStr">
        <is>
          <t>Disneyland Park</t>
        </is>
      </c>
      <c r="E28777" s="8" t="inlineStr">
        <is>
          <t>Pirates' Beach</t>
        </is>
      </c>
      <c r="F28777" s="8" t="inlineStr">
        <is>
          <t>STANDBY</t>
        </is>
      </c>
      <c r="G28777" s="8" t="n">
        <v>0</v>
      </c>
      <c r="H28777" s="8" t="inlineStr">
        <is>
          <t>CLOSED</t>
        </is>
      </c>
    </row>
    <row r="28778">
      <c r="A28778" s="8" t="inlineStr">
        <is>
          <t>2026-08-06</t>
        </is>
      </c>
      <c r="B28778" s="8" t="n">
        <v>9</v>
      </c>
      <c r="C28778" s="8" t="n">
        <v>31</v>
      </c>
      <c r="D28778" s="8" t="inlineStr">
        <is>
          <t>Disneyland Park</t>
        </is>
      </c>
      <c r="E28778" s="8" t="inlineStr">
        <is>
          <t>Autopia, presented by Avis</t>
        </is>
      </c>
      <c r="F28778" s="8" t="inlineStr">
        <is>
          <t>STANDBY</t>
        </is>
      </c>
      <c r="G28778" s="8" t="n">
        <v>75</v>
      </c>
      <c r="H28778" s="8" t="inlineStr">
        <is>
          <t>OPERATING</t>
        </is>
      </c>
    </row>
    <row r="28779">
      <c r="A28779" s="8" t="inlineStr">
        <is>
          <t>2026-08-06</t>
        </is>
      </c>
      <c r="B28779" s="8" t="n">
        <v>9</v>
      </c>
      <c r="C28779" s="8" t="n">
        <v>31</v>
      </c>
      <c r="D28779" s="8" t="inlineStr">
        <is>
          <t>Disneyland Park</t>
        </is>
      </c>
      <c r="E28779" s="8" t="inlineStr">
        <is>
          <t>Buzz Lightyear Laser Blast</t>
        </is>
      </c>
      <c r="F28779" s="8" t="inlineStr">
        <is>
          <t>STANDBY</t>
        </is>
      </c>
      <c r="G28779" s="8" t="n">
        <v>15</v>
      </c>
      <c r="H28779" s="8" t="inlineStr">
        <is>
          <t>OPERATING</t>
        </is>
      </c>
    </row>
    <row r="28780">
      <c r="A28780" s="8" t="inlineStr">
        <is>
          <t>2026-08-06</t>
        </is>
      </c>
      <c r="B28780" s="8" t="n">
        <v>9</v>
      </c>
      <c r="C28780" s="8" t="n">
        <v>31</v>
      </c>
      <c r="D28780" s="8" t="inlineStr">
        <is>
          <t>Disneyland Park</t>
        </is>
      </c>
      <c r="E28780" s="8" t="inlineStr">
        <is>
          <t>Disneyland Railroad Discoveryland Station</t>
        </is>
      </c>
      <c r="F28780" s="8" t="inlineStr">
        <is>
          <t>STANDBY</t>
        </is>
      </c>
      <c r="G28780" s="8" t="n">
        <v>0</v>
      </c>
      <c r="H28780" s="8" t="inlineStr">
        <is>
          <t>CLOSED</t>
        </is>
      </c>
    </row>
    <row r="28781">
      <c r="A28781" s="8" t="inlineStr">
        <is>
          <t>2026-08-06</t>
        </is>
      </c>
      <c r="B28781" s="8" t="n">
        <v>9</v>
      </c>
      <c r="C28781" s="8" t="n">
        <v>31</v>
      </c>
      <c r="D28781" s="8" t="inlineStr">
        <is>
          <t>Disneyland Park</t>
        </is>
      </c>
      <c r="E28781" s="8" t="inlineStr">
        <is>
          <t>Les Mystères du Nautilus</t>
        </is>
      </c>
      <c r="F28781" s="8" t="inlineStr">
        <is>
          <t>STANDBY</t>
        </is>
      </c>
      <c r="G28781" s="8" t="n">
        <v>5</v>
      </c>
      <c r="H28781" s="8" t="inlineStr">
        <is>
          <t>OPERATING</t>
        </is>
      </c>
    </row>
    <row r="28782">
      <c r="A28782" s="8" t="inlineStr">
        <is>
          <t>2026-08-06</t>
        </is>
      </c>
      <c r="B28782" s="8" t="n">
        <v>9</v>
      </c>
      <c r="C28782" s="8" t="n">
        <v>31</v>
      </c>
      <c r="D28782" s="8" t="inlineStr">
        <is>
          <t>Disneyland Park</t>
        </is>
      </c>
      <c r="E28782" s="8" t="inlineStr">
        <is>
          <t>Mickey’s PhilharMagic</t>
        </is>
      </c>
      <c r="F28782" s="8" t="inlineStr">
        <is>
          <t>STANDBY</t>
        </is>
      </c>
      <c r="G28782" s="8" t="n">
        <v>0</v>
      </c>
      <c r="H28782" s="8" t="inlineStr">
        <is>
          <t>CLOSED</t>
        </is>
      </c>
    </row>
    <row r="28783">
      <c r="A28783" s="8" t="inlineStr">
        <is>
          <t>2026-08-06</t>
        </is>
      </c>
      <c r="B28783" s="8" t="n">
        <v>9</v>
      </c>
      <c r="C28783" s="8" t="n">
        <v>31</v>
      </c>
      <c r="D28783" s="8" t="inlineStr">
        <is>
          <t>Disneyland Park</t>
        </is>
      </c>
      <c r="E28783" s="8" t="inlineStr">
        <is>
          <t>Orbitron®</t>
        </is>
      </c>
      <c r="F28783" s="8" t="inlineStr">
        <is>
          <t>STANDBY</t>
        </is>
      </c>
      <c r="G28783" s="8" t="n">
        <v>5</v>
      </c>
      <c r="H28783" s="8" t="inlineStr">
        <is>
          <t>OPERATING</t>
        </is>
      </c>
    </row>
    <row r="28784">
      <c r="A28784" s="8" t="inlineStr">
        <is>
          <t>2026-08-06</t>
        </is>
      </c>
      <c r="B28784" s="8" t="n">
        <v>9</v>
      </c>
      <c r="C28784" s="8" t="n">
        <v>31</v>
      </c>
      <c r="D28784" s="8" t="inlineStr">
        <is>
          <t>Disneyland Park</t>
        </is>
      </c>
      <c r="E28784" s="8" t="inlineStr">
        <is>
          <t>Star Tours: The Adventures Continue*</t>
        </is>
      </c>
      <c r="F28784" s="8" t="inlineStr">
        <is>
          <t>STANDBY</t>
        </is>
      </c>
      <c r="G28784" s="8" t="n">
        <v>5</v>
      </c>
      <c r="H28784" s="8" t="inlineStr">
        <is>
          <t>OPERATING</t>
        </is>
      </c>
    </row>
    <row r="28785">
      <c r="A28785" s="8" t="inlineStr">
        <is>
          <t>2026-08-06</t>
        </is>
      </c>
      <c r="B28785" s="8" t="n">
        <v>9</v>
      </c>
      <c r="C28785" s="8" t="n">
        <v>31</v>
      </c>
      <c r="D28785" s="8" t="inlineStr">
        <is>
          <t>Disneyland Park</t>
        </is>
      </c>
      <c r="E28785" s="8" t="inlineStr">
        <is>
          <t>Star Wars Hyperspace Mountain</t>
        </is>
      </c>
      <c r="F28785" s="8" t="inlineStr">
        <is>
          <t>STANDBY</t>
        </is>
      </c>
      <c r="G28785" s="8" t="n">
        <v>30</v>
      </c>
      <c r="H28785" s="8" t="inlineStr">
        <is>
          <t>OPERATING</t>
        </is>
      </c>
    </row>
    <row r="28786">
      <c r="A28786" s="8" t="inlineStr">
        <is>
          <t>2026-08-06</t>
        </is>
      </c>
      <c r="B28786" s="8" t="n">
        <v>9</v>
      </c>
      <c r="C28786" s="8" t="n">
        <v>31</v>
      </c>
      <c r="D28786" s="8" t="inlineStr">
        <is>
          <t>Disneyland Park</t>
        </is>
      </c>
      <c r="E28786" s="8" t="inlineStr">
        <is>
          <t>Star Wars Hyperspace Mountain Single Rider</t>
        </is>
      </c>
      <c r="F28786" s="8" t="inlineStr">
        <is>
          <t>STANDBY</t>
        </is>
      </c>
      <c r="G28786" s="8" t="n">
        <v>0</v>
      </c>
      <c r="H28786" s="8" t="inlineStr">
        <is>
          <t>OPERATING</t>
        </is>
      </c>
    </row>
    <row r="28787">
      <c r="A28787" s="8" t="inlineStr">
        <is>
          <t>2026-08-06</t>
        </is>
      </c>
      <c r="B28787" s="8" t="n">
        <v>9</v>
      </c>
      <c r="C28787" s="8" t="n">
        <v>31</v>
      </c>
      <c r="D28787" s="8" t="inlineStr">
        <is>
          <t>Disneyland Park</t>
        </is>
      </c>
      <c r="E28787" s="8" t="inlineStr">
        <is>
          <t>Welcome to Starport: A Star Wars Encounter</t>
        </is>
      </c>
      <c r="F28787" s="8" t="inlineStr">
        <is>
          <t>STANDBY</t>
        </is>
      </c>
      <c r="G28787" s="8" t="n">
        <v>0</v>
      </c>
      <c r="H28787" s="8" t="inlineStr">
        <is>
          <t>CLOSED</t>
        </is>
      </c>
    </row>
    <row r="28788">
      <c r="A28788" s="8" t="inlineStr">
        <is>
          <t>2026-08-06</t>
        </is>
      </c>
      <c r="B28788" s="8" t="n">
        <v>9</v>
      </c>
      <c r="C28788" s="8" t="n">
        <v>31</v>
      </c>
      <c r="D28788" s="8" t="inlineStr">
        <is>
          <t>Disneyland Park</t>
        </is>
      </c>
      <c r="E28788" s="8" t="inlineStr">
        <is>
          <t>"it's a small world"</t>
        </is>
      </c>
      <c r="F28788" s="8" t="inlineStr">
        <is>
          <t>STANDBY</t>
        </is>
      </c>
      <c r="G28788" s="8" t="n">
        <v>5</v>
      </c>
      <c r="H28788" s="8" t="inlineStr">
        <is>
          <t>OPERATING</t>
        </is>
      </c>
    </row>
    <row r="28789">
      <c r="A28789" s="8" t="inlineStr">
        <is>
          <t>2026-08-06</t>
        </is>
      </c>
      <c r="B28789" s="8" t="n">
        <v>9</v>
      </c>
      <c r="C28789" s="8" t="n">
        <v>31</v>
      </c>
      <c r="D28789" s="8" t="inlineStr">
        <is>
          <t>Disneyland Park</t>
        </is>
      </c>
      <c r="E28789" s="8" t="inlineStr">
        <is>
          <t>Alice's Curious Labyrinth</t>
        </is>
      </c>
      <c r="F28789" s="8" t="inlineStr">
        <is>
          <t>STANDBY</t>
        </is>
      </c>
      <c r="G28789" s="8" t="n">
        <v>5</v>
      </c>
      <c r="H28789" s="8" t="inlineStr">
        <is>
          <t>OPERATING</t>
        </is>
      </c>
    </row>
    <row r="28790">
      <c r="A28790" s="8" t="inlineStr">
        <is>
          <t>2026-08-06</t>
        </is>
      </c>
      <c r="B28790" s="8" t="n">
        <v>9</v>
      </c>
      <c r="C28790" s="8" t="n">
        <v>31</v>
      </c>
      <c r="D28790" s="8" t="inlineStr">
        <is>
          <t>Disneyland Park</t>
        </is>
      </c>
      <c r="E28790" s="8" t="inlineStr">
        <is>
          <t>Blanche-Neige et les Sept Nains®</t>
        </is>
      </c>
      <c r="F28790" s="8" t="inlineStr">
        <is>
          <t>STANDBY</t>
        </is>
      </c>
      <c r="G28790" s="8" t="n">
        <v>0</v>
      </c>
      <c r="H28790" s="8" t="inlineStr">
        <is>
          <t>CLOSED</t>
        </is>
      </c>
    </row>
    <row r="28791">
      <c r="A28791" s="8" t="inlineStr">
        <is>
          <t>2026-08-06</t>
        </is>
      </c>
      <c r="B28791" s="8" t="n">
        <v>9</v>
      </c>
      <c r="C28791" s="8" t="n">
        <v>31</v>
      </c>
      <c r="D28791" s="8" t="inlineStr">
        <is>
          <t>Disneyland Park</t>
        </is>
      </c>
      <c r="E28791" s="8" t="inlineStr">
        <is>
          <t>Casey Jr. – le Petit Train du Cirque</t>
        </is>
      </c>
      <c r="F28791" s="8" t="inlineStr">
        <is>
          <t>STANDBY</t>
        </is>
      </c>
      <c r="G28791" s="8" t="n">
        <v>5</v>
      </c>
      <c r="H28791" s="8" t="inlineStr">
        <is>
          <t>OPERATING</t>
        </is>
      </c>
    </row>
    <row r="28792">
      <c r="A28792" s="8" t="inlineStr">
        <is>
          <t>2026-08-06</t>
        </is>
      </c>
      <c r="B28792" s="8" t="n">
        <v>9</v>
      </c>
      <c r="C28792" s="8" t="n">
        <v>31</v>
      </c>
      <c r="D28792" s="8" t="inlineStr">
        <is>
          <t>Disneyland Park</t>
        </is>
      </c>
      <c r="E28792" s="8" t="inlineStr">
        <is>
          <t>Disneyland Railroad Fantasyland Station</t>
        </is>
      </c>
      <c r="F28792" s="8" t="inlineStr">
        <is>
          <t>STANDBY</t>
        </is>
      </c>
      <c r="G28792" s="8" t="n">
        <v>0</v>
      </c>
      <c r="H28792" s="8" t="inlineStr">
        <is>
          <t>CLOSED</t>
        </is>
      </c>
    </row>
    <row r="28793">
      <c r="A28793" s="8" t="inlineStr">
        <is>
          <t>2026-08-06</t>
        </is>
      </c>
      <c r="B28793" s="8" t="n">
        <v>9</v>
      </c>
      <c r="C28793" s="8" t="n">
        <v>31</v>
      </c>
      <c r="D28793" s="8" t="inlineStr">
        <is>
          <t>Disneyland Park</t>
        </is>
      </c>
      <c r="E28793" s="8" t="inlineStr">
        <is>
          <t>Disneyland Railroad Main Street Station</t>
        </is>
      </c>
      <c r="F28793" s="8" t="inlineStr">
        <is>
          <t>STANDBY</t>
        </is>
      </c>
      <c r="G28793" s="8" t="n">
        <v>0</v>
      </c>
      <c r="H28793" s="8" t="inlineStr">
        <is>
          <t>CLOSED</t>
        </is>
      </c>
    </row>
    <row r="28794">
      <c r="A28794" s="8" t="inlineStr">
        <is>
          <t>2026-08-06</t>
        </is>
      </c>
      <c r="B28794" s="8" t="n">
        <v>9</v>
      </c>
      <c r="C28794" s="8" t="n">
        <v>31</v>
      </c>
      <c r="D28794" s="8" t="inlineStr">
        <is>
          <t>Disneyland Park</t>
        </is>
      </c>
      <c r="E28794" s="8" t="inlineStr">
        <is>
          <t>Dumbo the Flying Elephant</t>
        </is>
      </c>
      <c r="F28794" s="8" t="inlineStr">
        <is>
          <t>STANDBY</t>
        </is>
      </c>
      <c r="G28794" s="8" t="n">
        <v>25</v>
      </c>
      <c r="H28794" s="8" t="inlineStr">
        <is>
          <t>OPERATING</t>
        </is>
      </c>
    </row>
    <row r="28795">
      <c r="A28795" s="8" t="inlineStr">
        <is>
          <t>2026-08-06</t>
        </is>
      </c>
      <c r="B28795" s="8" t="n">
        <v>9</v>
      </c>
      <c r="C28795" s="8" t="n">
        <v>31</v>
      </c>
      <c r="D28795" s="8" t="inlineStr">
        <is>
          <t>Disneyland Park</t>
        </is>
      </c>
      <c r="E28795" s="8" t="inlineStr">
        <is>
          <t>La Tanière du Dragon</t>
        </is>
      </c>
      <c r="F28795" s="8" t="inlineStr">
        <is>
          <t>STANDBY</t>
        </is>
      </c>
      <c r="G28795" s="8" t="n">
        <v>0</v>
      </c>
      <c r="H28795" s="8" t="inlineStr">
        <is>
          <t>OPERATING</t>
        </is>
      </c>
    </row>
    <row r="28796">
      <c r="A28796" s="8" t="inlineStr">
        <is>
          <t>2026-08-06</t>
        </is>
      </c>
      <c r="B28796" s="8" t="n">
        <v>9</v>
      </c>
      <c r="C28796" s="8" t="n">
        <v>31</v>
      </c>
      <c r="D28796" s="8" t="inlineStr">
        <is>
          <t>Disneyland Park</t>
        </is>
      </c>
      <c r="E28796" s="8" t="inlineStr">
        <is>
          <t>Le Carrousel de Lancelot</t>
        </is>
      </c>
      <c r="F28796" s="8" t="inlineStr">
        <is>
          <t>STANDBY</t>
        </is>
      </c>
      <c r="G28796" s="8" t="n">
        <v>5</v>
      </c>
      <c r="H28796" s="8" t="inlineStr">
        <is>
          <t>OPERATING</t>
        </is>
      </c>
    </row>
    <row r="28797">
      <c r="A28797" s="8" t="inlineStr">
        <is>
          <t>2026-08-06</t>
        </is>
      </c>
      <c r="B28797" s="8" t="n">
        <v>9</v>
      </c>
      <c r="C28797" s="8" t="n">
        <v>31</v>
      </c>
      <c r="D28797" s="8" t="inlineStr">
        <is>
          <t>Disneyland Park</t>
        </is>
      </c>
      <c r="E28797" s="8" t="inlineStr">
        <is>
          <t>Le Pays des Contes de Fées, presented by Vittel</t>
        </is>
      </c>
      <c r="F28797" s="8" t="inlineStr">
        <is>
          <t>STANDBY</t>
        </is>
      </c>
      <c r="G28797" s="8" t="n">
        <v>0</v>
      </c>
      <c r="H28797" s="8" t="inlineStr">
        <is>
          <t>CLOSED</t>
        </is>
      </c>
    </row>
    <row r="28798">
      <c r="A28798" s="8" t="inlineStr">
        <is>
          <t>2026-08-06</t>
        </is>
      </c>
      <c r="B28798" s="8" t="n">
        <v>9</v>
      </c>
      <c r="C28798" s="8" t="n">
        <v>31</v>
      </c>
      <c r="D28798" s="8" t="inlineStr">
        <is>
          <t>Disneyland Park</t>
        </is>
      </c>
      <c r="E28798" s="8" t="inlineStr">
        <is>
          <t>Les Voyages de Pinocchio</t>
        </is>
      </c>
      <c r="F28798" s="8" t="inlineStr">
        <is>
          <t>STANDBY</t>
        </is>
      </c>
      <c r="G28798" s="8" t="n">
        <v>0</v>
      </c>
      <c r="H28798" s="8" t="inlineStr">
        <is>
          <t>CLOSED</t>
        </is>
      </c>
    </row>
    <row r="28799">
      <c r="A28799" s="8" t="inlineStr">
        <is>
          <t>2026-08-06</t>
        </is>
      </c>
      <c r="B28799" s="8" t="n">
        <v>9</v>
      </c>
      <c r="C28799" s="8" t="n">
        <v>31</v>
      </c>
      <c r="D28799" s="8" t="inlineStr">
        <is>
          <t>Disneyland Park</t>
        </is>
      </c>
      <c r="E28799" s="8" t="inlineStr">
        <is>
          <t>Mad Hatter's Tea Cups</t>
        </is>
      </c>
      <c r="F28799" s="8" t="inlineStr">
        <is>
          <t>STANDBY</t>
        </is>
      </c>
      <c r="G28799" s="8" t="n">
        <v>5</v>
      </c>
      <c r="H28799" s="8" t="inlineStr">
        <is>
          <t>OPERATING</t>
        </is>
      </c>
    </row>
    <row r="28800">
      <c r="A28800" s="8" t="inlineStr">
        <is>
          <t>2026-08-06</t>
        </is>
      </c>
      <c r="B28800" s="8" t="n">
        <v>9</v>
      </c>
      <c r="C28800" s="8" t="n">
        <v>31</v>
      </c>
      <c r="D28800" s="8" t="inlineStr">
        <is>
          <t>Disneyland Park</t>
        </is>
      </c>
      <c r="E28800" s="8" t="inlineStr">
        <is>
          <t>Meet Mickey Mouse</t>
        </is>
      </c>
      <c r="F28800" s="8" t="inlineStr">
        <is>
          <t>STANDBY</t>
        </is>
      </c>
      <c r="G28800" s="8" t="n">
        <v>0</v>
      </c>
      <c r="H28800" s="8" t="inlineStr">
        <is>
          <t>CLOSED</t>
        </is>
      </c>
    </row>
    <row r="28801">
      <c r="A28801" s="8" t="inlineStr">
        <is>
          <t>2026-08-06</t>
        </is>
      </c>
      <c r="B28801" s="8" t="n">
        <v>9</v>
      </c>
      <c r="C28801" s="8" t="n">
        <v>31</v>
      </c>
      <c r="D28801" s="8" t="inlineStr">
        <is>
          <t>Disneyland Park</t>
        </is>
      </c>
      <c r="E28801" s="8" t="inlineStr">
        <is>
          <t>Peter Pan's Flight</t>
        </is>
      </c>
      <c r="F28801" s="8" t="inlineStr">
        <is>
          <t>STANDBY</t>
        </is>
      </c>
      <c r="G28801" s="8" t="n">
        <v>45</v>
      </c>
      <c r="H28801" s="8" t="inlineStr">
        <is>
          <t>OPERATING</t>
        </is>
      </c>
    </row>
    <row r="28802">
      <c r="A28802" s="8" t="inlineStr">
        <is>
          <t>2026-08-06</t>
        </is>
      </c>
      <c r="B28802" s="8" t="n">
        <v>9</v>
      </c>
      <c r="C28802" s="8" t="n">
        <v>31</v>
      </c>
      <c r="D28802" s="8" t="inlineStr">
        <is>
          <t>Disneyland Park</t>
        </is>
      </c>
      <c r="E28802" s="8" t="inlineStr">
        <is>
          <t>Princess Pavilion</t>
        </is>
      </c>
      <c r="F28802" s="8" t="inlineStr">
        <is>
          <t>STANDBY</t>
        </is>
      </c>
      <c r="G28802" s="8" t="n">
        <v>0</v>
      </c>
      <c r="H28802" s="8" t="inlineStr">
        <is>
          <t>CLOSED</t>
        </is>
      </c>
    </row>
    <row r="28803">
      <c r="A28803" s="8" t="inlineStr">
        <is>
          <t>2026-08-06</t>
        </is>
      </c>
      <c r="B28803" s="8" t="n">
        <v>9</v>
      </c>
      <c r="C28803" s="8" t="n">
        <v>31</v>
      </c>
      <c r="D28803" s="8" t="inlineStr">
        <is>
          <t>Disneyland Park</t>
        </is>
      </c>
      <c r="E28803" s="8" t="inlineStr">
        <is>
          <t>Big Thunder Mountain</t>
        </is>
      </c>
      <c r="F28803" s="8" t="inlineStr">
        <is>
          <t>STANDBY</t>
        </is>
      </c>
      <c r="G28803" s="8" t="n">
        <v>30</v>
      </c>
      <c r="H28803" s="8" t="inlineStr">
        <is>
          <t>OPERATING</t>
        </is>
      </c>
    </row>
    <row r="28804">
      <c r="A28804" s="8" t="inlineStr">
        <is>
          <t>2026-08-06</t>
        </is>
      </c>
      <c r="B28804" s="8" t="n">
        <v>9</v>
      </c>
      <c r="C28804" s="8" t="n">
        <v>31</v>
      </c>
      <c r="D28804" s="8" t="inlineStr">
        <is>
          <t>Disneyland Park</t>
        </is>
      </c>
      <c r="E28804" s="8" t="inlineStr">
        <is>
          <t>Disneyland Railroad Frontierland Depot</t>
        </is>
      </c>
      <c r="F28804" s="8" t="inlineStr">
        <is>
          <t>STANDBY</t>
        </is>
      </c>
      <c r="G28804" s="8" t="n">
        <v>0</v>
      </c>
      <c r="H28804" s="8" t="inlineStr">
        <is>
          <t>CLOSED</t>
        </is>
      </c>
    </row>
    <row r="28805">
      <c r="A28805" s="8" t="inlineStr">
        <is>
          <t>2026-08-06</t>
        </is>
      </c>
      <c r="B28805" s="8" t="n">
        <v>9</v>
      </c>
      <c r="C28805" s="8" t="n">
        <v>31</v>
      </c>
      <c r="D28805" s="8" t="inlineStr">
        <is>
          <t>Disneyland Park</t>
        </is>
      </c>
      <c r="E28805" s="8" t="inlineStr">
        <is>
          <t>Frontierland Playground</t>
        </is>
      </c>
      <c r="F28805" s="8" t="inlineStr">
        <is>
          <t>STANDBY</t>
        </is>
      </c>
      <c r="G28805" s="8" t="n">
        <v>0</v>
      </c>
      <c r="H28805" s="8" t="inlineStr">
        <is>
          <t>CLOSED</t>
        </is>
      </c>
    </row>
    <row r="28806">
      <c r="A28806" s="8" t="inlineStr">
        <is>
          <t>2026-08-06</t>
        </is>
      </c>
      <c r="B28806" s="8" t="n">
        <v>9</v>
      </c>
      <c r="C28806" s="8" t="n">
        <v>31</v>
      </c>
      <c r="D28806" s="8" t="inlineStr">
        <is>
          <t>Disneyland Park</t>
        </is>
      </c>
      <c r="E28806" s="8" t="inlineStr">
        <is>
          <t>Phantom Manor</t>
        </is>
      </c>
      <c r="F28806" s="8" t="inlineStr">
        <is>
          <t>STANDBY</t>
        </is>
      </c>
      <c r="G28806" s="8" t="n">
        <v>5</v>
      </c>
      <c r="H28806" s="8" t="inlineStr">
        <is>
          <t>OPERATING</t>
        </is>
      </c>
    </row>
    <row r="28807">
      <c r="A28807" s="8" t="inlineStr">
        <is>
          <t>2026-08-06</t>
        </is>
      </c>
      <c r="B28807" s="8" t="n">
        <v>9</v>
      </c>
      <c r="C28807" s="8" t="n">
        <v>31</v>
      </c>
      <c r="D28807" s="8" t="inlineStr">
        <is>
          <t>Disneyland Park</t>
        </is>
      </c>
      <c r="E28807" s="8" t="inlineStr">
        <is>
          <t>River Rogue Keelboats</t>
        </is>
      </c>
      <c r="F28807" s="8" t="inlineStr">
        <is>
          <t>STANDBY</t>
        </is>
      </c>
      <c r="G28807" s="8" t="n">
        <v>0</v>
      </c>
      <c r="H28807" s="8" t="inlineStr">
        <is>
          <t>CLOSED</t>
        </is>
      </c>
    </row>
    <row r="28808">
      <c r="A28808" s="8" t="inlineStr">
        <is>
          <t>2026-08-06</t>
        </is>
      </c>
      <c r="B28808" s="8" t="n">
        <v>9</v>
      </c>
      <c r="C28808" s="8" t="n">
        <v>31</v>
      </c>
      <c r="D28808" s="8" t="inlineStr">
        <is>
          <t>Disneyland Park</t>
        </is>
      </c>
      <c r="E28808" s="8" t="inlineStr">
        <is>
          <t>Rustler Roundup Shootin' Gallery</t>
        </is>
      </c>
      <c r="F28808" s="8" t="inlineStr">
        <is>
          <t>STANDBY</t>
        </is>
      </c>
      <c r="G28808" s="8" t="n">
        <v>0</v>
      </c>
      <c r="H28808" s="8" t="inlineStr">
        <is>
          <t>OPERATING</t>
        </is>
      </c>
    </row>
    <row r="28809">
      <c r="A28809" s="8" t="inlineStr">
        <is>
          <t>2026-08-06</t>
        </is>
      </c>
      <c r="B28809" s="8" t="n">
        <v>9</v>
      </c>
      <c r="C28809" s="8" t="n">
        <v>31</v>
      </c>
      <c r="D28809" s="8" t="inlineStr">
        <is>
          <t>Disneyland Park</t>
        </is>
      </c>
      <c r="E28809" s="8" t="inlineStr">
        <is>
          <t>Thunder Mesa Riverboat Landing</t>
        </is>
      </c>
      <c r="F28809" s="8" t="inlineStr">
        <is>
          <t>STANDBY</t>
        </is>
      </c>
      <c r="G28809" s="8" t="n">
        <v>0</v>
      </c>
      <c r="H28809" s="8" t="inlineStr">
        <is>
          <t>CLOSED</t>
        </is>
      </c>
    </row>
    <row r="28810">
      <c r="A28810" s="8" t="inlineStr">
        <is>
          <t>2026-08-06</t>
        </is>
      </c>
      <c r="B28810" s="8" t="n">
        <v>9</v>
      </c>
      <c r="C28810" s="8" t="n">
        <v>31</v>
      </c>
      <c r="D28810" s="8" t="inlineStr">
        <is>
          <t>Disneyland Park</t>
        </is>
      </c>
      <c r="E28810" s="8" t="inlineStr">
        <is>
          <t>Disneyland Railroad Main Street Station</t>
        </is>
      </c>
      <c r="F28810" s="8" t="inlineStr">
        <is>
          <t>STANDBY</t>
        </is>
      </c>
      <c r="G28810" s="8" t="n">
        <v>0</v>
      </c>
      <c r="H28810" s="8" t="inlineStr">
        <is>
          <t>CLOSED</t>
        </is>
      </c>
    </row>
    <row r="28811">
      <c r="A28811" s="8" t="inlineStr">
        <is>
          <t>2026-08-06</t>
        </is>
      </c>
      <c r="B28811" s="8" t="n">
        <v>9</v>
      </c>
      <c r="C28811" s="8" t="n">
        <v>31</v>
      </c>
      <c r="D28811" s="8" t="inlineStr">
        <is>
          <t>Disneyland Park</t>
        </is>
      </c>
      <c r="E28811" s="8" t="inlineStr">
        <is>
          <t>Main Street Vehicles</t>
        </is>
      </c>
      <c r="F28811" s="8" t="inlineStr">
        <is>
          <t>STANDBY</t>
        </is>
      </c>
      <c r="G28811" s="8" t="n">
        <v>5</v>
      </c>
      <c r="H28811" s="8" t="inlineStr">
        <is>
          <t>OPERATING</t>
        </is>
      </c>
    </row>
    <row r="28812">
      <c r="A28812" s="8" t="inlineStr">
        <is>
          <t>2026-08-06</t>
        </is>
      </c>
      <c r="B28812" s="8" t="n">
        <v>9</v>
      </c>
      <c r="C28812" s="8" t="n">
        <v>31</v>
      </c>
      <c r="D28812" s="8" t="inlineStr">
        <is>
          <t>Disney Adventure World</t>
        </is>
      </c>
      <c r="E28812" s="8" t="inlineStr">
        <is>
          <t>Avengers Assemble: Flight Force</t>
        </is>
      </c>
      <c r="F28812" s="8" t="inlineStr">
        <is>
          <t>STANDBY</t>
        </is>
      </c>
      <c r="G28812" s="8" t="n">
        <v>5</v>
      </c>
      <c r="H28812" s="8" t="inlineStr">
        <is>
          <t>OPERATING</t>
        </is>
      </c>
    </row>
    <row r="28813">
      <c r="A28813" s="8" t="inlineStr">
        <is>
          <t>2026-08-06</t>
        </is>
      </c>
      <c r="B28813" s="8" t="n">
        <v>9</v>
      </c>
      <c r="C28813" s="8" t="n">
        <v>31</v>
      </c>
      <c r="D28813" s="8" t="inlineStr">
        <is>
          <t>Disney Adventure World</t>
        </is>
      </c>
      <c r="E28813" s="8" t="inlineStr">
        <is>
          <t>Avengers Assemble: Flight Force Single Rider</t>
        </is>
      </c>
      <c r="F28813" s="8" t="inlineStr">
        <is>
          <t>STANDBY</t>
        </is>
      </c>
      <c r="G28813" s="8" t="n">
        <v>5</v>
      </c>
      <c r="H28813" s="8" t="inlineStr">
        <is>
          <t>OPERATING</t>
        </is>
      </c>
    </row>
    <row r="28814">
      <c r="A28814" s="8" t="inlineStr">
        <is>
          <t>2026-08-06</t>
        </is>
      </c>
      <c r="B28814" s="8" t="n">
        <v>9</v>
      </c>
      <c r="C28814" s="8" t="n">
        <v>31</v>
      </c>
      <c r="D28814" s="8" t="inlineStr">
        <is>
          <t>Disney Adventure World</t>
        </is>
      </c>
      <c r="E28814" s="8" t="inlineStr">
        <is>
          <t>Spider-Man W.E.B. Adventure</t>
        </is>
      </c>
      <c r="F28814" s="8" t="inlineStr">
        <is>
          <t>STANDBY</t>
        </is>
      </c>
      <c r="G28814" s="8" t="n">
        <v>20</v>
      </c>
      <c r="H28814" s="8" t="inlineStr">
        <is>
          <t>OPERATING</t>
        </is>
      </c>
    </row>
    <row r="28815">
      <c r="A28815" s="8" t="inlineStr">
        <is>
          <t>2026-08-06</t>
        </is>
      </c>
      <c r="B28815" s="8" t="n">
        <v>9</v>
      </c>
      <c r="C28815" s="8" t="n">
        <v>31</v>
      </c>
      <c r="D28815" s="8" t="inlineStr">
        <is>
          <t>Disney Adventure World</t>
        </is>
      </c>
      <c r="E28815" s="8" t="inlineStr">
        <is>
          <t>Spider-Man W.E.B. Adventure Single Rider</t>
        </is>
      </c>
      <c r="F28815" s="8" t="inlineStr">
        <is>
          <t>STANDBY</t>
        </is>
      </c>
      <c r="G28815" s="8" t="n">
        <v>5</v>
      </c>
      <c r="H28815" s="8" t="inlineStr">
        <is>
          <t>OPERATING</t>
        </is>
      </c>
    </row>
    <row r="28816">
      <c r="A28816" s="8" t="inlineStr">
        <is>
          <t>2026-08-06</t>
        </is>
      </c>
      <c r="B28816" s="8" t="n">
        <v>9</v>
      </c>
      <c r="C28816" s="8" t="n">
        <v>31</v>
      </c>
      <c r="D28816" s="8" t="inlineStr">
        <is>
          <t>Disney Adventure World</t>
        </is>
      </c>
      <c r="E28816" s="8" t="inlineStr">
        <is>
          <t>The Twilight Zone Tower of Terror</t>
        </is>
      </c>
      <c r="F28816" s="8" t="inlineStr">
        <is>
          <t>STANDBY</t>
        </is>
      </c>
      <c r="G28816" s="8" t="n">
        <v>10</v>
      </c>
      <c r="H28816" s="8" t="inlineStr">
        <is>
          <t>OPERATING</t>
        </is>
      </c>
    </row>
    <row r="28817">
      <c r="A28817" s="8" t="inlineStr">
        <is>
          <t>2026-08-06</t>
        </is>
      </c>
      <c r="B28817" s="8" t="n">
        <v>9</v>
      </c>
      <c r="C28817" s="8" t="n">
        <v>31</v>
      </c>
      <c r="D28817" s="8" t="inlineStr">
        <is>
          <t>Disney Adventure World</t>
        </is>
      </c>
      <c r="E28817" s="8" t="inlineStr">
        <is>
          <t>Cars Quatre Roues Rallye</t>
        </is>
      </c>
      <c r="F28817" s="8" t="inlineStr">
        <is>
          <t>STANDBY</t>
        </is>
      </c>
      <c r="G28817" s="8" t="n">
        <v>5</v>
      </c>
      <c r="H28817" s="8" t="inlineStr">
        <is>
          <t>OPERATING</t>
        </is>
      </c>
    </row>
    <row r="28818">
      <c r="A28818" s="8" t="inlineStr">
        <is>
          <t>2026-08-06</t>
        </is>
      </c>
      <c r="B28818" s="8" t="n">
        <v>9</v>
      </c>
      <c r="C28818" s="8" t="n">
        <v>31</v>
      </c>
      <c r="D28818" s="8" t="inlineStr">
        <is>
          <t>Disney Adventure World</t>
        </is>
      </c>
      <c r="E28818" s="8" t="inlineStr">
        <is>
          <t>Cars ROAD TRIP</t>
        </is>
      </c>
      <c r="F28818" s="8" t="inlineStr">
        <is>
          <t>STANDBY</t>
        </is>
      </c>
      <c r="G28818" s="8" t="n">
        <v>5</v>
      </c>
      <c r="H28818" s="8" t="inlineStr">
        <is>
          <t>OPERATING</t>
        </is>
      </c>
    </row>
    <row r="28819">
      <c r="A28819" s="8" t="inlineStr">
        <is>
          <t>2026-08-06</t>
        </is>
      </c>
      <c r="B28819" s="8" t="n">
        <v>9</v>
      </c>
      <c r="C28819" s="8" t="n">
        <v>31</v>
      </c>
      <c r="D28819" s="8" t="inlineStr">
        <is>
          <t>Disney Adventure World</t>
        </is>
      </c>
      <c r="E28819" s="8" t="inlineStr">
        <is>
          <t>Crush's Coaster</t>
        </is>
      </c>
      <c r="F28819" s="8" t="inlineStr">
        <is>
          <t>STANDBY</t>
        </is>
      </c>
      <c r="G28819" s="8" t="n">
        <v>95</v>
      </c>
      <c r="H28819" s="8" t="inlineStr">
        <is>
          <t>OPERATING</t>
        </is>
      </c>
    </row>
    <row r="28820">
      <c r="A28820" s="8" t="inlineStr">
        <is>
          <t>2026-08-06</t>
        </is>
      </c>
      <c r="B28820" s="8" t="n">
        <v>9</v>
      </c>
      <c r="C28820" s="8" t="n">
        <v>31</v>
      </c>
      <c r="D28820" s="8" t="inlineStr">
        <is>
          <t>Disney Adventure World</t>
        </is>
      </c>
      <c r="E28820" s="8" t="inlineStr">
        <is>
          <t>Crush's Coaster Single Rider</t>
        </is>
      </c>
      <c r="F28820" s="8" t="inlineStr">
        <is>
          <t>STANDBY</t>
        </is>
      </c>
      <c r="G28820" s="8" t="n">
        <v>60</v>
      </c>
      <c r="H28820" s="8" t="inlineStr">
        <is>
          <t>OPERATING</t>
        </is>
      </c>
    </row>
    <row r="28821">
      <c r="A28821" s="8" t="inlineStr">
        <is>
          <t>2026-08-06</t>
        </is>
      </c>
      <c r="B28821" s="8" t="n">
        <v>9</v>
      </c>
      <c r="C28821" s="8" t="n">
        <v>31</v>
      </c>
      <c r="D28821" s="8" t="inlineStr">
        <is>
          <t>Disney Adventure World</t>
        </is>
      </c>
      <c r="E28821" s="8" t="inlineStr">
        <is>
          <t>Les Tapis Volants - Flying Carpets Over Agrabah®</t>
        </is>
      </c>
      <c r="F28821" s="8" t="inlineStr">
        <is>
          <t>STANDBY</t>
        </is>
      </c>
      <c r="G28821" s="8" t="n">
        <v>5</v>
      </c>
      <c r="H28821" s="8" t="inlineStr">
        <is>
          <t>OPERATING</t>
        </is>
      </c>
    </row>
    <row r="28822">
      <c r="A28822" s="8" t="inlineStr">
        <is>
          <t>2026-08-06</t>
        </is>
      </c>
      <c r="B28822" s="8" t="n">
        <v>9</v>
      </c>
      <c r="C28822" s="8" t="n">
        <v>31</v>
      </c>
      <c r="D28822" s="8" t="inlineStr">
        <is>
          <t>Disney Adventure World</t>
        </is>
      </c>
      <c r="E28822" s="8" t="inlineStr">
        <is>
          <t>Ratatouille : L’Aventure Totalement Toquée de Rémy​</t>
        </is>
      </c>
      <c r="F28822" s="8" t="inlineStr">
        <is>
          <t>STANDBY</t>
        </is>
      </c>
      <c r="G28822" s="8" t="n">
        <v>35</v>
      </c>
      <c r="H28822" s="8" t="inlineStr">
        <is>
          <t>OPERATING</t>
        </is>
      </c>
    </row>
    <row r="28823">
      <c r="A28823" s="8" t="inlineStr">
        <is>
          <t>2026-08-06</t>
        </is>
      </c>
      <c r="B28823" s="8" t="n">
        <v>9</v>
      </c>
      <c r="C28823" s="8" t="n">
        <v>31</v>
      </c>
      <c r="D28823" s="8" t="inlineStr">
        <is>
          <t>Disney Adventure World</t>
        </is>
      </c>
      <c r="E28823" s="8" t="inlineStr">
        <is>
          <t>Ratatouille: The Adventure Single Rider</t>
        </is>
      </c>
      <c r="F28823" s="8" t="inlineStr">
        <is>
          <t>STANDBY</t>
        </is>
      </c>
      <c r="G28823" s="8" t="n">
        <v>5</v>
      </c>
      <c r="H28823" s="8" t="inlineStr">
        <is>
          <t>OPERATING</t>
        </is>
      </c>
    </row>
    <row r="28824">
      <c r="A28824" s="8" t="inlineStr">
        <is>
          <t>2026-08-06</t>
        </is>
      </c>
      <c r="B28824" s="8" t="n">
        <v>9</v>
      </c>
      <c r="C28824" s="8" t="n">
        <v>31</v>
      </c>
      <c r="D28824" s="8" t="inlineStr">
        <is>
          <t>Disney Adventure World</t>
        </is>
      </c>
      <c r="E28824" s="8" t="inlineStr">
        <is>
          <t>RC Racer</t>
        </is>
      </c>
      <c r="F28824" s="8" t="inlineStr">
        <is>
          <t>STANDBY</t>
        </is>
      </c>
      <c r="G28824" s="8" t="n">
        <v>5</v>
      </c>
      <c r="H28824" s="8" t="inlineStr">
        <is>
          <t>OPERATING</t>
        </is>
      </c>
    </row>
    <row r="28825">
      <c r="A28825" s="8" t="inlineStr">
        <is>
          <t>2026-08-06</t>
        </is>
      </c>
      <c r="B28825" s="8" t="n">
        <v>9</v>
      </c>
      <c r="C28825" s="8" t="n">
        <v>31</v>
      </c>
      <c r="D28825" s="8" t="inlineStr">
        <is>
          <t>Disney Adventure World</t>
        </is>
      </c>
      <c r="E28825" s="8" t="inlineStr">
        <is>
          <t>RC Racer Single Rider</t>
        </is>
      </c>
      <c r="F28825" s="8" t="inlineStr">
        <is>
          <t>STANDBY</t>
        </is>
      </c>
      <c r="G28825" s="8" t="n">
        <v>5</v>
      </c>
      <c r="H28825" s="8" t="inlineStr">
        <is>
          <t>OPERATING</t>
        </is>
      </c>
    </row>
    <row r="28826">
      <c r="A28826" s="8" t="inlineStr">
        <is>
          <t>2026-08-06</t>
        </is>
      </c>
      <c r="B28826" s="8" t="n">
        <v>9</v>
      </c>
      <c r="C28826" s="8" t="n">
        <v>31</v>
      </c>
      <c r="D28826" s="8" t="inlineStr">
        <is>
          <t>Disney Adventure World</t>
        </is>
      </c>
      <c r="E28826" s="8" t="inlineStr">
        <is>
          <t>Slinky® Dog Zigzag Spin</t>
        </is>
      </c>
      <c r="F28826" s="8" t="inlineStr">
        <is>
          <t>STANDBY</t>
        </is>
      </c>
      <c r="G28826" s="8" t="n">
        <v>5</v>
      </c>
      <c r="H28826" s="8" t="inlineStr">
        <is>
          <t>OPERATING</t>
        </is>
      </c>
    </row>
    <row r="28827">
      <c r="A28827" s="8" t="inlineStr">
        <is>
          <t>2026-08-06</t>
        </is>
      </c>
      <c r="B28827" s="8" t="n">
        <v>9</v>
      </c>
      <c r="C28827" s="8" t="n">
        <v>31</v>
      </c>
      <c r="D28827" s="8" t="inlineStr">
        <is>
          <t>Disney Adventure World</t>
        </is>
      </c>
      <c r="E28827" s="8" t="inlineStr">
        <is>
          <t>Toy Soldiers Parachute Drop</t>
        </is>
      </c>
      <c r="F28827" s="8" t="inlineStr">
        <is>
          <t>STANDBY</t>
        </is>
      </c>
      <c r="G28827" s="8" t="n">
        <v>15</v>
      </c>
      <c r="H28827" s="8" t="inlineStr">
        <is>
          <t>OPERATING</t>
        </is>
      </c>
    </row>
    <row r="28828">
      <c r="A28828" s="8" t="inlineStr">
        <is>
          <t>2026-08-06</t>
        </is>
      </c>
      <c r="B28828" s="8" t="n">
        <v>9</v>
      </c>
      <c r="C28828" s="8" t="n">
        <v>31</v>
      </c>
      <c r="D28828" s="8" t="inlineStr">
        <is>
          <t>Disney Adventure World</t>
        </is>
      </c>
      <c r="E28828" s="8" t="inlineStr">
        <is>
          <t>Toy Soldiers Parachute Drop Single Rider</t>
        </is>
      </c>
      <c r="F28828" s="8" t="inlineStr">
        <is>
          <t>STANDBY</t>
        </is>
      </c>
      <c r="G28828" s="8" t="n">
        <v>5</v>
      </c>
      <c r="H28828" s="8" t="inlineStr">
        <is>
          <t>OPERATING</t>
        </is>
      </c>
    </row>
    <row r="28829">
      <c r="A28829" s="8" t="inlineStr">
        <is>
          <t>2026-08-06</t>
        </is>
      </c>
      <c r="B28829" s="8" t="n">
        <v>9</v>
      </c>
      <c r="C28829" s="8" t="n">
        <v>31</v>
      </c>
      <c r="D28829" s="8" t="inlineStr">
        <is>
          <t>Disney Adventure World</t>
        </is>
      </c>
      <c r="E28829" s="8" t="inlineStr">
        <is>
          <t>Entry to World of Frozen</t>
        </is>
      </c>
      <c r="F28829" s="8" t="inlineStr">
        <is>
          <t>STANDBY</t>
        </is>
      </c>
      <c r="G28829" s="8" t="n">
        <v>0</v>
      </c>
      <c r="H28829" s="8" t="inlineStr">
        <is>
          <t>OPERATING</t>
        </is>
      </c>
    </row>
    <row r="28830">
      <c r="A28830" s="8" t="inlineStr">
        <is>
          <t>2026-08-06</t>
        </is>
      </c>
      <c r="B28830" s="8" t="n">
        <v>9</v>
      </c>
      <c r="C28830" s="8" t="n">
        <v>31</v>
      </c>
      <c r="D28830" s="8" t="inlineStr">
        <is>
          <t>Disney Adventure World</t>
        </is>
      </c>
      <c r="E28830" s="8" t="inlineStr">
        <is>
          <t>Frozen Ever After</t>
        </is>
      </c>
      <c r="F28830" s="8" t="inlineStr">
        <is>
          <t>STANDBY</t>
        </is>
      </c>
      <c r="G28830" s="8" t="n">
        <v>50</v>
      </c>
      <c r="H28830" s="8" t="inlineStr">
        <is>
          <t>OPERATING</t>
        </is>
      </c>
    </row>
    <row r="28831">
      <c r="A28831" s="8" t="inlineStr">
        <is>
          <t>2026-08-06</t>
        </is>
      </c>
      <c r="B28831" s="8" t="n">
        <v>9</v>
      </c>
      <c r="C28831" s="8" t="n">
        <v>31</v>
      </c>
      <c r="D28831" s="8" t="inlineStr">
        <is>
          <t>Disney Adventure World</t>
        </is>
      </c>
      <c r="E28831" s="8" t="inlineStr">
        <is>
          <t>Raiponce Tangled Spin</t>
        </is>
      </c>
      <c r="F28831" s="8" t="inlineStr">
        <is>
          <t>STANDBY</t>
        </is>
      </c>
      <c r="G28831" s="8" t="n">
        <v>0</v>
      </c>
      <c r="H28831" s="8" t="inlineStr">
        <is>
          <t>OPERATING</t>
        </is>
      </c>
    </row>
    <row r="28832">
      <c r="A28832" s="8" t="inlineStr">
        <is>
          <t>2026-08-06</t>
        </is>
      </c>
      <c r="B28832" s="8" t="n">
        <v>9</v>
      </c>
      <c r="C28832" s="8" t="n">
        <v>45</v>
      </c>
      <c r="D28832" s="8" t="inlineStr">
        <is>
          <t>Disneyland Park</t>
        </is>
      </c>
      <c r="E28832" s="8" t="inlineStr">
        <is>
          <t>Adventure Isle</t>
        </is>
      </c>
      <c r="F28832" s="8" t="inlineStr">
        <is>
          <t>STANDBY</t>
        </is>
      </c>
      <c r="G28832" s="8" t="n">
        <v>0</v>
      </c>
      <c r="H28832" s="8" t="inlineStr">
        <is>
          <t>OPERATING</t>
        </is>
      </c>
    </row>
    <row r="28833">
      <c r="A28833" s="8" t="inlineStr">
        <is>
          <t>2026-08-06</t>
        </is>
      </c>
      <c r="B28833" s="8" t="n">
        <v>9</v>
      </c>
      <c r="C28833" s="8" t="n">
        <v>45</v>
      </c>
      <c r="D28833" s="8" t="inlineStr">
        <is>
          <t>Disneyland Park</t>
        </is>
      </c>
      <c r="E28833" s="8" t="inlineStr">
        <is>
          <t>Indiana Jones and the Temple of Peril Single Rider</t>
        </is>
      </c>
      <c r="F28833" s="8" t="inlineStr">
        <is>
          <t>STANDBY</t>
        </is>
      </c>
      <c r="G28833" s="8" t="n">
        <v>5</v>
      </c>
      <c r="H28833" s="8" t="inlineStr">
        <is>
          <t>OPERATING</t>
        </is>
      </c>
    </row>
    <row r="28834">
      <c r="A28834" s="8" t="inlineStr">
        <is>
          <t>2026-08-06</t>
        </is>
      </c>
      <c r="B28834" s="8" t="n">
        <v>9</v>
      </c>
      <c r="C28834" s="8" t="n">
        <v>45</v>
      </c>
      <c r="D28834" s="8" t="inlineStr">
        <is>
          <t>Disneyland Park</t>
        </is>
      </c>
      <c r="E28834" s="8" t="inlineStr">
        <is>
          <t>Indiana Jones™ and the Temple of Peril</t>
        </is>
      </c>
      <c r="F28834" s="8" t="inlineStr">
        <is>
          <t>STANDBY</t>
        </is>
      </c>
      <c r="G28834" s="8" t="n">
        <v>5</v>
      </c>
      <c r="H28834" s="8" t="inlineStr">
        <is>
          <t>OPERATING</t>
        </is>
      </c>
    </row>
    <row r="28835">
      <c r="A28835" s="8" t="inlineStr">
        <is>
          <t>2026-08-06</t>
        </is>
      </c>
      <c r="B28835" s="8" t="n">
        <v>9</v>
      </c>
      <c r="C28835" s="8" t="n">
        <v>45</v>
      </c>
      <c r="D28835" s="8" t="inlineStr">
        <is>
          <t>Disneyland Park</t>
        </is>
      </c>
      <c r="E28835" s="8" t="inlineStr">
        <is>
          <t>La Cabane des Robinson</t>
        </is>
      </c>
      <c r="F28835" s="8" t="inlineStr">
        <is>
          <t>STANDBY</t>
        </is>
      </c>
      <c r="G28835" s="8" t="n">
        <v>5</v>
      </c>
      <c r="H28835" s="8" t="inlineStr">
        <is>
          <t>OPERATING</t>
        </is>
      </c>
    </row>
    <row r="28836">
      <c r="A28836" s="8" t="inlineStr">
        <is>
          <t>2026-08-06</t>
        </is>
      </c>
      <c r="B28836" s="8" t="n">
        <v>9</v>
      </c>
      <c r="C28836" s="8" t="n">
        <v>45</v>
      </c>
      <c r="D28836" s="8" t="inlineStr">
        <is>
          <t>Disneyland Park</t>
        </is>
      </c>
      <c r="E28836" s="8" t="inlineStr">
        <is>
          <t>Le Passage Enchanté d'Aladdin</t>
        </is>
      </c>
      <c r="F28836" s="8" t="inlineStr">
        <is>
          <t>STANDBY</t>
        </is>
      </c>
      <c r="G28836" s="8" t="n">
        <v>0</v>
      </c>
      <c r="H28836" s="8" t="inlineStr">
        <is>
          <t>OPERATING</t>
        </is>
      </c>
    </row>
    <row r="28837">
      <c r="A28837" s="8" t="inlineStr">
        <is>
          <t>2026-08-06</t>
        </is>
      </c>
      <c r="B28837" s="8" t="n">
        <v>9</v>
      </c>
      <c r="C28837" s="8" t="n">
        <v>45</v>
      </c>
      <c r="D28837" s="8" t="inlineStr">
        <is>
          <t>Disneyland Park</t>
        </is>
      </c>
      <c r="E28837" s="8" t="inlineStr">
        <is>
          <t>Pirate Galleon</t>
        </is>
      </c>
      <c r="F28837" s="8" t="inlineStr">
        <is>
          <t>STANDBY</t>
        </is>
      </c>
      <c r="G28837" s="8" t="n">
        <v>0</v>
      </c>
      <c r="H28837" s="8" t="inlineStr">
        <is>
          <t>CLOSED</t>
        </is>
      </c>
    </row>
    <row r="28838">
      <c r="A28838" s="8" t="inlineStr">
        <is>
          <t>2026-08-06</t>
        </is>
      </c>
      <c r="B28838" s="8" t="n">
        <v>9</v>
      </c>
      <c r="C28838" s="8" t="n">
        <v>45</v>
      </c>
      <c r="D28838" s="8" t="inlineStr">
        <is>
          <t>Disneyland Park</t>
        </is>
      </c>
      <c r="E28838" s="8" t="inlineStr">
        <is>
          <t>Pirates of the Caribbean</t>
        </is>
      </c>
      <c r="F28838" s="8" t="inlineStr">
        <is>
          <t>STANDBY</t>
        </is>
      </c>
      <c r="G28838" s="8" t="n">
        <v>5</v>
      </c>
      <c r="H28838" s="8" t="inlineStr">
        <is>
          <t>OPERATING</t>
        </is>
      </c>
    </row>
    <row r="28839">
      <c r="A28839" s="8" t="inlineStr">
        <is>
          <t>2026-08-06</t>
        </is>
      </c>
      <c r="B28839" s="8" t="n">
        <v>9</v>
      </c>
      <c r="C28839" s="8" t="n">
        <v>45</v>
      </c>
      <c r="D28839" s="8" t="inlineStr">
        <is>
          <t>Disneyland Park</t>
        </is>
      </c>
      <c r="E28839" s="8" t="inlineStr">
        <is>
          <t>Pirates' Beach</t>
        </is>
      </c>
      <c r="F28839" s="8" t="inlineStr">
        <is>
          <t>STANDBY</t>
        </is>
      </c>
      <c r="G28839" s="8" t="n">
        <v>0</v>
      </c>
      <c r="H28839" s="8" t="inlineStr">
        <is>
          <t>OPERATING</t>
        </is>
      </c>
    </row>
    <row r="28840">
      <c r="A28840" s="8" t="inlineStr">
        <is>
          <t>2026-08-06</t>
        </is>
      </c>
      <c r="B28840" s="8" t="n">
        <v>9</v>
      </c>
      <c r="C28840" s="8" t="n">
        <v>45</v>
      </c>
      <c r="D28840" s="8" t="inlineStr">
        <is>
          <t>Disneyland Park</t>
        </is>
      </c>
      <c r="E28840" s="8" t="inlineStr">
        <is>
          <t>Autopia, presented by Avis</t>
        </is>
      </c>
      <c r="F28840" s="8" t="inlineStr">
        <is>
          <t>STANDBY</t>
        </is>
      </c>
      <c r="G28840" s="8" t="n">
        <v>50</v>
      </c>
      <c r="H28840" s="8" t="inlineStr">
        <is>
          <t>OPERATING</t>
        </is>
      </c>
    </row>
    <row r="28841">
      <c r="A28841" s="8" t="inlineStr">
        <is>
          <t>2026-08-06</t>
        </is>
      </c>
      <c r="B28841" s="8" t="n">
        <v>9</v>
      </c>
      <c r="C28841" s="8" t="n">
        <v>45</v>
      </c>
      <c r="D28841" s="8" t="inlineStr">
        <is>
          <t>Disneyland Park</t>
        </is>
      </c>
      <c r="E28841" s="8" t="inlineStr">
        <is>
          <t>Buzz Lightyear Laser Blast</t>
        </is>
      </c>
      <c r="F28841" s="8" t="inlineStr">
        <is>
          <t>STANDBY</t>
        </is>
      </c>
      <c r="G28841" s="8" t="n">
        <v>25</v>
      </c>
      <c r="H28841" s="8" t="inlineStr">
        <is>
          <t>OPERATING</t>
        </is>
      </c>
    </row>
    <row r="28842">
      <c r="A28842" s="8" t="inlineStr">
        <is>
          <t>2026-08-06</t>
        </is>
      </c>
      <c r="B28842" s="8" t="n">
        <v>9</v>
      </c>
      <c r="C28842" s="8" t="n">
        <v>45</v>
      </c>
      <c r="D28842" s="8" t="inlineStr">
        <is>
          <t>Disneyland Park</t>
        </is>
      </c>
      <c r="E28842" s="8" t="inlineStr">
        <is>
          <t>Disneyland Railroad Discoveryland Station</t>
        </is>
      </c>
      <c r="F28842" s="8" t="inlineStr">
        <is>
          <t>STANDBY</t>
        </is>
      </c>
      <c r="G28842" s="8" t="n">
        <v>0</v>
      </c>
      <c r="H28842" s="8" t="inlineStr">
        <is>
          <t>CLOSED</t>
        </is>
      </c>
    </row>
    <row r="28843">
      <c r="A28843" s="8" t="inlineStr">
        <is>
          <t>2026-08-06</t>
        </is>
      </c>
      <c r="B28843" s="8" t="n">
        <v>9</v>
      </c>
      <c r="C28843" s="8" t="n">
        <v>45</v>
      </c>
      <c r="D28843" s="8" t="inlineStr">
        <is>
          <t>Disneyland Park</t>
        </is>
      </c>
      <c r="E28843" s="8" t="inlineStr">
        <is>
          <t>Les Mystères du Nautilus</t>
        </is>
      </c>
      <c r="F28843" s="8" t="inlineStr">
        <is>
          <t>STANDBY</t>
        </is>
      </c>
      <c r="G28843" s="8" t="n">
        <v>5</v>
      </c>
      <c r="H28843" s="8" t="inlineStr">
        <is>
          <t>OPERATING</t>
        </is>
      </c>
    </row>
    <row r="28844">
      <c r="A28844" s="8" t="inlineStr">
        <is>
          <t>2026-08-06</t>
        </is>
      </c>
      <c r="B28844" s="8" t="n">
        <v>9</v>
      </c>
      <c r="C28844" s="8" t="n">
        <v>45</v>
      </c>
      <c r="D28844" s="8" t="inlineStr">
        <is>
          <t>Disneyland Park</t>
        </is>
      </c>
      <c r="E28844" s="8" t="inlineStr">
        <is>
          <t>Mickey’s PhilharMagic</t>
        </is>
      </c>
      <c r="F28844" s="8" t="inlineStr">
        <is>
          <t>STANDBY</t>
        </is>
      </c>
      <c r="G28844" s="8" t="n">
        <v>0</v>
      </c>
      <c r="H28844" s="8" t="inlineStr">
        <is>
          <t>CLOSED</t>
        </is>
      </c>
    </row>
    <row r="28845">
      <c r="A28845" s="8" t="inlineStr">
        <is>
          <t>2026-08-06</t>
        </is>
      </c>
      <c r="B28845" s="8" t="n">
        <v>9</v>
      </c>
      <c r="C28845" s="8" t="n">
        <v>45</v>
      </c>
      <c r="D28845" s="8" t="inlineStr">
        <is>
          <t>Disneyland Park</t>
        </is>
      </c>
      <c r="E28845" s="8" t="inlineStr">
        <is>
          <t>Orbitron®</t>
        </is>
      </c>
      <c r="F28845" s="8" t="inlineStr">
        <is>
          <t>STANDBY</t>
        </is>
      </c>
      <c r="G28845" s="8" t="n">
        <v>20</v>
      </c>
      <c r="H28845" s="8" t="inlineStr">
        <is>
          <t>OPERATING</t>
        </is>
      </c>
    </row>
    <row r="28846">
      <c r="A28846" s="8" t="inlineStr">
        <is>
          <t>2026-08-06</t>
        </is>
      </c>
      <c r="B28846" s="8" t="n">
        <v>9</v>
      </c>
      <c r="C28846" s="8" t="n">
        <v>45</v>
      </c>
      <c r="D28846" s="8" t="inlineStr">
        <is>
          <t>Disneyland Park</t>
        </is>
      </c>
      <c r="E28846" s="8" t="inlineStr">
        <is>
          <t>Star Tours: The Adventures Continue*</t>
        </is>
      </c>
      <c r="F28846" s="8" t="inlineStr">
        <is>
          <t>STANDBY</t>
        </is>
      </c>
      <c r="G28846" s="8" t="n">
        <v>5</v>
      </c>
      <c r="H28846" s="8" t="inlineStr">
        <is>
          <t>OPERATING</t>
        </is>
      </c>
    </row>
    <row r="28847">
      <c r="A28847" s="8" t="inlineStr">
        <is>
          <t>2026-08-06</t>
        </is>
      </c>
      <c r="B28847" s="8" t="n">
        <v>9</v>
      </c>
      <c r="C28847" s="8" t="n">
        <v>45</v>
      </c>
      <c r="D28847" s="8" t="inlineStr">
        <is>
          <t>Disneyland Park</t>
        </is>
      </c>
      <c r="E28847" s="8" t="inlineStr">
        <is>
          <t>Star Wars Hyperspace Mountain</t>
        </is>
      </c>
      <c r="F28847" s="8" t="inlineStr">
        <is>
          <t>STANDBY</t>
        </is>
      </c>
      <c r="G28847" s="8" t="n">
        <v>15</v>
      </c>
      <c r="H28847" s="8" t="inlineStr">
        <is>
          <t>OPERATING</t>
        </is>
      </c>
    </row>
    <row r="28848">
      <c r="A28848" s="8" t="inlineStr">
        <is>
          <t>2026-08-06</t>
        </is>
      </c>
      <c r="B28848" s="8" t="n">
        <v>9</v>
      </c>
      <c r="C28848" s="8" t="n">
        <v>45</v>
      </c>
      <c r="D28848" s="8" t="inlineStr">
        <is>
          <t>Disneyland Park</t>
        </is>
      </c>
      <c r="E28848" s="8" t="inlineStr">
        <is>
          <t>Star Wars Hyperspace Mountain Single Rider</t>
        </is>
      </c>
      <c r="F28848" s="8" t="inlineStr">
        <is>
          <t>STANDBY</t>
        </is>
      </c>
      <c r="G28848" s="8" t="n">
        <v>5</v>
      </c>
      <c r="H28848" s="8" t="inlineStr">
        <is>
          <t>OPERATING</t>
        </is>
      </c>
    </row>
    <row r="28849">
      <c r="A28849" s="8" t="inlineStr">
        <is>
          <t>2026-08-06</t>
        </is>
      </c>
      <c r="B28849" s="8" t="n">
        <v>9</v>
      </c>
      <c r="C28849" s="8" t="n">
        <v>45</v>
      </c>
      <c r="D28849" s="8" t="inlineStr">
        <is>
          <t>Disneyland Park</t>
        </is>
      </c>
      <c r="E28849" s="8" t="inlineStr">
        <is>
          <t>Welcome to Starport: A Star Wars Encounter</t>
        </is>
      </c>
      <c r="F28849" s="8" t="inlineStr">
        <is>
          <t>STANDBY</t>
        </is>
      </c>
      <c r="G28849" s="8" t="n">
        <v>0</v>
      </c>
      <c r="H28849" s="8" t="inlineStr">
        <is>
          <t>CLOSED</t>
        </is>
      </c>
    </row>
    <row r="28850">
      <c r="A28850" s="8" t="inlineStr">
        <is>
          <t>2026-08-06</t>
        </is>
      </c>
      <c r="B28850" s="8" t="n">
        <v>9</v>
      </c>
      <c r="C28850" s="8" t="n">
        <v>45</v>
      </c>
      <c r="D28850" s="8" t="inlineStr">
        <is>
          <t>Disneyland Park</t>
        </is>
      </c>
      <c r="E28850" s="8" t="inlineStr">
        <is>
          <t>"it's a small world"</t>
        </is>
      </c>
      <c r="F28850" s="8" t="inlineStr">
        <is>
          <t>STANDBY</t>
        </is>
      </c>
      <c r="G28850" s="8" t="n">
        <v>5</v>
      </c>
      <c r="H28850" s="8" t="inlineStr">
        <is>
          <t>OPERATING</t>
        </is>
      </c>
    </row>
    <row r="28851">
      <c r="A28851" s="8" t="inlineStr">
        <is>
          <t>2026-08-06</t>
        </is>
      </c>
      <c r="B28851" s="8" t="n">
        <v>9</v>
      </c>
      <c r="C28851" s="8" t="n">
        <v>45</v>
      </c>
      <c r="D28851" s="8" t="inlineStr">
        <is>
          <t>Disneyland Park</t>
        </is>
      </c>
      <c r="E28851" s="8" t="inlineStr">
        <is>
          <t>Alice's Curious Labyrinth</t>
        </is>
      </c>
      <c r="F28851" s="8" t="inlineStr">
        <is>
          <t>STANDBY</t>
        </is>
      </c>
      <c r="G28851" s="8" t="n">
        <v>5</v>
      </c>
      <c r="H28851" s="8" t="inlineStr">
        <is>
          <t>OPERATING</t>
        </is>
      </c>
    </row>
    <row r="28852">
      <c r="A28852" s="8" t="inlineStr">
        <is>
          <t>2026-08-06</t>
        </is>
      </c>
      <c r="B28852" s="8" t="n">
        <v>9</v>
      </c>
      <c r="C28852" s="8" t="n">
        <v>45</v>
      </c>
      <c r="D28852" s="8" t="inlineStr">
        <is>
          <t>Disneyland Park</t>
        </is>
      </c>
      <c r="E28852" s="8" t="inlineStr">
        <is>
          <t>Blanche-Neige et les Sept Nains®</t>
        </is>
      </c>
      <c r="F28852" s="8" t="inlineStr">
        <is>
          <t>STANDBY</t>
        </is>
      </c>
      <c r="G28852" s="8" t="n">
        <v>5</v>
      </c>
      <c r="H28852" s="8" t="inlineStr">
        <is>
          <t>OPERATING</t>
        </is>
      </c>
    </row>
    <row r="28853">
      <c r="A28853" s="8" t="inlineStr">
        <is>
          <t>2026-08-06</t>
        </is>
      </c>
      <c r="B28853" s="8" t="n">
        <v>9</v>
      </c>
      <c r="C28853" s="8" t="n">
        <v>45</v>
      </c>
      <c r="D28853" s="8" t="inlineStr">
        <is>
          <t>Disneyland Park</t>
        </is>
      </c>
      <c r="E28853" s="8" t="inlineStr">
        <is>
          <t>Casey Jr. – le Petit Train du Cirque</t>
        </is>
      </c>
      <c r="F28853" s="8" t="inlineStr">
        <is>
          <t>STANDBY</t>
        </is>
      </c>
      <c r="G28853" s="8" t="n">
        <v>5</v>
      </c>
      <c r="H28853" s="8" t="inlineStr">
        <is>
          <t>OPERATING</t>
        </is>
      </c>
    </row>
    <row r="28854">
      <c r="A28854" s="8" t="inlineStr">
        <is>
          <t>2026-08-06</t>
        </is>
      </c>
      <c r="B28854" s="8" t="n">
        <v>9</v>
      </c>
      <c r="C28854" s="8" t="n">
        <v>45</v>
      </c>
      <c r="D28854" s="8" t="inlineStr">
        <is>
          <t>Disneyland Park</t>
        </is>
      </c>
      <c r="E28854" s="8" t="inlineStr">
        <is>
          <t>Disneyland Railroad Fantasyland Station</t>
        </is>
      </c>
      <c r="F28854" s="8" t="inlineStr">
        <is>
          <t>STANDBY</t>
        </is>
      </c>
      <c r="G28854" s="8" t="n">
        <v>0</v>
      </c>
      <c r="H28854" s="8" t="inlineStr">
        <is>
          <t>CLOSED</t>
        </is>
      </c>
    </row>
    <row r="28855">
      <c r="A28855" s="8" t="inlineStr">
        <is>
          <t>2026-08-06</t>
        </is>
      </c>
      <c r="B28855" s="8" t="n">
        <v>9</v>
      </c>
      <c r="C28855" s="8" t="n">
        <v>45</v>
      </c>
      <c r="D28855" s="8" t="inlineStr">
        <is>
          <t>Disneyland Park</t>
        </is>
      </c>
      <c r="E28855" s="8" t="inlineStr">
        <is>
          <t>Disneyland Railroad Main Street Station</t>
        </is>
      </c>
      <c r="F28855" s="8" t="inlineStr">
        <is>
          <t>STANDBY</t>
        </is>
      </c>
      <c r="G28855" s="8" t="n">
        <v>0</v>
      </c>
      <c r="H28855" s="8" t="inlineStr">
        <is>
          <t>CLOSED</t>
        </is>
      </c>
    </row>
    <row r="28856">
      <c r="A28856" s="8" t="inlineStr">
        <is>
          <t>2026-08-06</t>
        </is>
      </c>
      <c r="B28856" s="8" t="n">
        <v>9</v>
      </c>
      <c r="C28856" s="8" t="n">
        <v>45</v>
      </c>
      <c r="D28856" s="8" t="inlineStr">
        <is>
          <t>Disneyland Park</t>
        </is>
      </c>
      <c r="E28856" s="8" t="inlineStr">
        <is>
          <t>Dumbo the Flying Elephant</t>
        </is>
      </c>
      <c r="F28856" s="8" t="inlineStr">
        <is>
          <t>STANDBY</t>
        </is>
      </c>
      <c r="G28856" s="8" t="n">
        <v>20</v>
      </c>
      <c r="H28856" s="8" t="inlineStr">
        <is>
          <t>OPERATING</t>
        </is>
      </c>
    </row>
    <row r="28857">
      <c r="A28857" s="8" t="inlineStr">
        <is>
          <t>2026-08-06</t>
        </is>
      </c>
      <c r="B28857" s="8" t="n">
        <v>9</v>
      </c>
      <c r="C28857" s="8" t="n">
        <v>45</v>
      </c>
      <c r="D28857" s="8" t="inlineStr">
        <is>
          <t>Disneyland Park</t>
        </is>
      </c>
      <c r="E28857" s="8" t="inlineStr">
        <is>
          <t>La Tanière du Dragon</t>
        </is>
      </c>
      <c r="F28857" s="8" t="inlineStr">
        <is>
          <t>STANDBY</t>
        </is>
      </c>
      <c r="G28857" s="8" t="n">
        <v>0</v>
      </c>
      <c r="H28857" s="8" t="inlineStr">
        <is>
          <t>OPERATING</t>
        </is>
      </c>
    </row>
    <row r="28858">
      <c r="A28858" s="8" t="inlineStr">
        <is>
          <t>2026-08-06</t>
        </is>
      </c>
      <c r="B28858" s="8" t="n">
        <v>9</v>
      </c>
      <c r="C28858" s="8" t="n">
        <v>45</v>
      </c>
      <c r="D28858" s="8" t="inlineStr">
        <is>
          <t>Disneyland Park</t>
        </is>
      </c>
      <c r="E28858" s="8" t="inlineStr">
        <is>
          <t>Le Carrousel de Lancelot</t>
        </is>
      </c>
      <c r="F28858" s="8" t="inlineStr">
        <is>
          <t>STANDBY</t>
        </is>
      </c>
      <c r="G28858" s="8" t="n">
        <v>5</v>
      </c>
      <c r="H28858" s="8" t="inlineStr">
        <is>
          <t>OPERATING</t>
        </is>
      </c>
    </row>
    <row r="28859">
      <c r="A28859" s="8" t="inlineStr">
        <is>
          <t>2026-08-06</t>
        </is>
      </c>
      <c r="B28859" s="8" t="n">
        <v>9</v>
      </c>
      <c r="C28859" s="8" t="n">
        <v>45</v>
      </c>
      <c r="D28859" s="8" t="inlineStr">
        <is>
          <t>Disneyland Park</t>
        </is>
      </c>
      <c r="E28859" s="8" t="inlineStr">
        <is>
          <t>Le Pays des Contes de Fées, presented by Vittel</t>
        </is>
      </c>
      <c r="F28859" s="8" t="inlineStr">
        <is>
          <t>STANDBY</t>
        </is>
      </c>
      <c r="G28859" s="8" t="n">
        <v>5</v>
      </c>
      <c r="H28859" s="8" t="inlineStr">
        <is>
          <t>OPERATING</t>
        </is>
      </c>
    </row>
    <row r="28860">
      <c r="A28860" s="8" t="inlineStr">
        <is>
          <t>2026-08-06</t>
        </is>
      </c>
      <c r="B28860" s="8" t="n">
        <v>9</v>
      </c>
      <c r="C28860" s="8" t="n">
        <v>45</v>
      </c>
      <c r="D28860" s="8" t="inlineStr">
        <is>
          <t>Disneyland Park</t>
        </is>
      </c>
      <c r="E28860" s="8" t="inlineStr">
        <is>
          <t>Les Voyages de Pinocchio</t>
        </is>
      </c>
      <c r="F28860" s="8" t="inlineStr">
        <is>
          <t>STANDBY</t>
        </is>
      </c>
      <c r="G28860" s="8" t="n">
        <v>0</v>
      </c>
      <c r="H28860" s="8" t="inlineStr">
        <is>
          <t>CLOSED</t>
        </is>
      </c>
    </row>
    <row r="28861">
      <c r="A28861" s="8" t="inlineStr">
        <is>
          <t>2026-08-06</t>
        </is>
      </c>
      <c r="B28861" s="8" t="n">
        <v>9</v>
      </c>
      <c r="C28861" s="8" t="n">
        <v>45</v>
      </c>
      <c r="D28861" s="8" t="inlineStr">
        <is>
          <t>Disneyland Park</t>
        </is>
      </c>
      <c r="E28861" s="8" t="inlineStr">
        <is>
          <t>Mad Hatter's Tea Cups</t>
        </is>
      </c>
      <c r="F28861" s="8" t="inlineStr">
        <is>
          <t>STANDBY</t>
        </is>
      </c>
      <c r="G28861" s="8" t="n">
        <v>5</v>
      </c>
      <c r="H28861" s="8" t="inlineStr">
        <is>
          <t>OPERATING</t>
        </is>
      </c>
    </row>
    <row r="28862">
      <c r="A28862" s="8" t="inlineStr">
        <is>
          <t>2026-08-06</t>
        </is>
      </c>
      <c r="B28862" s="8" t="n">
        <v>9</v>
      </c>
      <c r="C28862" s="8" t="n">
        <v>45</v>
      </c>
      <c r="D28862" s="8" t="inlineStr">
        <is>
          <t>Disneyland Park</t>
        </is>
      </c>
      <c r="E28862" s="8" t="inlineStr">
        <is>
          <t>Meet Mickey Mouse</t>
        </is>
      </c>
      <c r="F28862" s="8" t="inlineStr">
        <is>
          <t>STANDBY</t>
        </is>
      </c>
      <c r="G28862" s="8" t="n">
        <v>0</v>
      </c>
      <c r="H28862" s="8" t="inlineStr">
        <is>
          <t>CLOSED</t>
        </is>
      </c>
    </row>
    <row r="28863">
      <c r="A28863" s="8" t="inlineStr">
        <is>
          <t>2026-08-06</t>
        </is>
      </c>
      <c r="B28863" s="8" t="n">
        <v>9</v>
      </c>
      <c r="C28863" s="8" t="n">
        <v>45</v>
      </c>
      <c r="D28863" s="8" t="inlineStr">
        <is>
          <t>Disneyland Park</t>
        </is>
      </c>
      <c r="E28863" s="8" t="inlineStr">
        <is>
          <t>Peter Pan's Flight</t>
        </is>
      </c>
      <c r="F28863" s="8" t="inlineStr">
        <is>
          <t>STANDBY</t>
        </is>
      </c>
      <c r="G28863" s="8" t="n">
        <v>55</v>
      </c>
      <c r="H28863" s="8" t="inlineStr">
        <is>
          <t>OPERATING</t>
        </is>
      </c>
    </row>
    <row r="28864">
      <c r="A28864" s="8" t="inlineStr">
        <is>
          <t>2026-08-06</t>
        </is>
      </c>
      <c r="B28864" s="8" t="n">
        <v>9</v>
      </c>
      <c r="C28864" s="8" t="n">
        <v>45</v>
      </c>
      <c r="D28864" s="8" t="inlineStr">
        <is>
          <t>Disneyland Park</t>
        </is>
      </c>
      <c r="E28864" s="8" t="inlineStr">
        <is>
          <t>Princess Pavilion</t>
        </is>
      </c>
      <c r="F28864" s="8" t="inlineStr">
        <is>
          <t>STANDBY</t>
        </is>
      </c>
      <c r="G28864" s="8" t="n">
        <v>0</v>
      </c>
      <c r="H28864" s="8" t="inlineStr">
        <is>
          <t>CLOSED</t>
        </is>
      </c>
    </row>
    <row r="28865">
      <c r="A28865" s="8" t="inlineStr">
        <is>
          <t>2026-08-06</t>
        </is>
      </c>
      <c r="B28865" s="8" t="n">
        <v>9</v>
      </c>
      <c r="C28865" s="8" t="n">
        <v>45</v>
      </c>
      <c r="D28865" s="8" t="inlineStr">
        <is>
          <t>Disneyland Park</t>
        </is>
      </c>
      <c r="E28865" s="8" t="inlineStr">
        <is>
          <t>Big Thunder Mountain</t>
        </is>
      </c>
      <c r="F28865" s="8" t="inlineStr">
        <is>
          <t>STANDBY</t>
        </is>
      </c>
      <c r="G28865" s="8" t="n">
        <v>50</v>
      </c>
      <c r="H28865" s="8" t="inlineStr">
        <is>
          <t>OPERATING</t>
        </is>
      </c>
    </row>
    <row r="28866">
      <c r="A28866" s="8" t="inlineStr">
        <is>
          <t>2026-08-06</t>
        </is>
      </c>
      <c r="B28866" s="8" t="n">
        <v>9</v>
      </c>
      <c r="C28866" s="8" t="n">
        <v>45</v>
      </c>
      <c r="D28866" s="8" t="inlineStr">
        <is>
          <t>Disneyland Park</t>
        </is>
      </c>
      <c r="E28866" s="8" t="inlineStr">
        <is>
          <t>Disneyland Railroad Frontierland Depot</t>
        </is>
      </c>
      <c r="F28866" s="8" t="inlineStr">
        <is>
          <t>STANDBY</t>
        </is>
      </c>
      <c r="G28866" s="8" t="n">
        <v>0</v>
      </c>
      <c r="H28866" s="8" t="inlineStr">
        <is>
          <t>CLOSED</t>
        </is>
      </c>
    </row>
    <row r="28867">
      <c r="A28867" s="8" t="inlineStr">
        <is>
          <t>2026-08-06</t>
        </is>
      </c>
      <c r="B28867" s="8" t="n">
        <v>9</v>
      </c>
      <c r="C28867" s="8" t="n">
        <v>45</v>
      </c>
      <c r="D28867" s="8" t="inlineStr">
        <is>
          <t>Disneyland Park</t>
        </is>
      </c>
      <c r="E28867" s="8" t="inlineStr">
        <is>
          <t>Frontierland Playground</t>
        </is>
      </c>
      <c r="F28867" s="8" t="inlineStr">
        <is>
          <t>STANDBY</t>
        </is>
      </c>
      <c r="G28867" s="8" t="n">
        <v>0</v>
      </c>
      <c r="H28867" s="8" t="inlineStr">
        <is>
          <t>OPERATING</t>
        </is>
      </c>
    </row>
    <row r="28868">
      <c r="A28868" s="8" t="inlineStr">
        <is>
          <t>2026-08-06</t>
        </is>
      </c>
      <c r="B28868" s="8" t="n">
        <v>9</v>
      </c>
      <c r="C28868" s="8" t="n">
        <v>45</v>
      </c>
      <c r="D28868" s="8" t="inlineStr">
        <is>
          <t>Disneyland Park</t>
        </is>
      </c>
      <c r="E28868" s="8" t="inlineStr">
        <is>
          <t>Phantom Manor</t>
        </is>
      </c>
      <c r="F28868" s="8" t="inlineStr">
        <is>
          <t>STANDBY</t>
        </is>
      </c>
      <c r="G28868" s="8" t="n">
        <v>5</v>
      </c>
      <c r="H28868" s="8" t="inlineStr">
        <is>
          <t>OPERATING</t>
        </is>
      </c>
    </row>
    <row r="28869">
      <c r="A28869" s="8" t="inlineStr">
        <is>
          <t>2026-08-06</t>
        </is>
      </c>
      <c r="B28869" s="8" t="n">
        <v>9</v>
      </c>
      <c r="C28869" s="8" t="n">
        <v>45</v>
      </c>
      <c r="D28869" s="8" t="inlineStr">
        <is>
          <t>Disneyland Park</t>
        </is>
      </c>
      <c r="E28869" s="8" t="inlineStr">
        <is>
          <t>River Rogue Keelboats</t>
        </is>
      </c>
      <c r="F28869" s="8" t="inlineStr">
        <is>
          <t>STANDBY</t>
        </is>
      </c>
      <c r="G28869" s="8" t="n">
        <v>0</v>
      </c>
      <c r="H28869" s="8" t="inlineStr">
        <is>
          <t>CLOSED</t>
        </is>
      </c>
    </row>
    <row r="28870">
      <c r="A28870" s="8" t="inlineStr">
        <is>
          <t>2026-08-06</t>
        </is>
      </c>
      <c r="B28870" s="8" t="n">
        <v>9</v>
      </c>
      <c r="C28870" s="8" t="n">
        <v>45</v>
      </c>
      <c r="D28870" s="8" t="inlineStr">
        <is>
          <t>Disneyland Park</t>
        </is>
      </c>
      <c r="E28870" s="8" t="inlineStr">
        <is>
          <t>Rustler Roundup Shootin' Gallery</t>
        </is>
      </c>
      <c r="F28870" s="8" t="inlineStr">
        <is>
          <t>STANDBY</t>
        </is>
      </c>
      <c r="G28870" s="8" t="n">
        <v>0</v>
      </c>
      <c r="H28870" s="8" t="inlineStr">
        <is>
          <t>OPERATING</t>
        </is>
      </c>
    </row>
    <row r="28871">
      <c r="A28871" s="8" t="inlineStr">
        <is>
          <t>2026-08-06</t>
        </is>
      </c>
      <c r="B28871" s="8" t="n">
        <v>9</v>
      </c>
      <c r="C28871" s="8" t="n">
        <v>45</v>
      </c>
      <c r="D28871" s="8" t="inlineStr">
        <is>
          <t>Disneyland Park</t>
        </is>
      </c>
      <c r="E28871" s="8" t="inlineStr">
        <is>
          <t>Thunder Mesa Riverboat Landing</t>
        </is>
      </c>
      <c r="F28871" s="8" t="inlineStr">
        <is>
          <t>STANDBY</t>
        </is>
      </c>
      <c r="G28871" s="8" t="n">
        <v>0</v>
      </c>
      <c r="H28871" s="8" t="inlineStr">
        <is>
          <t>CLOSED</t>
        </is>
      </c>
    </row>
    <row r="28872">
      <c r="A28872" s="8" t="inlineStr">
        <is>
          <t>2026-08-06</t>
        </is>
      </c>
      <c r="B28872" s="8" t="n">
        <v>9</v>
      </c>
      <c r="C28872" s="8" t="n">
        <v>45</v>
      </c>
      <c r="D28872" s="8" t="inlineStr">
        <is>
          <t>Disneyland Park</t>
        </is>
      </c>
      <c r="E28872" s="8" t="inlineStr">
        <is>
          <t>Disneyland Railroad Main Street Station</t>
        </is>
      </c>
      <c r="F28872" s="8" t="inlineStr">
        <is>
          <t>STANDBY</t>
        </is>
      </c>
      <c r="G28872" s="8" t="n">
        <v>0</v>
      </c>
      <c r="H28872" s="8" t="inlineStr">
        <is>
          <t>CLOSED</t>
        </is>
      </c>
    </row>
    <row r="28873">
      <c r="A28873" s="8" t="inlineStr">
        <is>
          <t>2026-08-06</t>
        </is>
      </c>
      <c r="B28873" s="8" t="n">
        <v>9</v>
      </c>
      <c r="C28873" s="8" t="n">
        <v>45</v>
      </c>
      <c r="D28873" s="8" t="inlineStr">
        <is>
          <t>Disneyland Park</t>
        </is>
      </c>
      <c r="E28873" s="8" t="inlineStr">
        <is>
          <t>Main Street Vehicles</t>
        </is>
      </c>
      <c r="F28873" s="8" t="inlineStr">
        <is>
          <t>STANDBY</t>
        </is>
      </c>
      <c r="G28873" s="8" t="n">
        <v>5</v>
      </c>
      <c r="H28873" s="8" t="inlineStr">
        <is>
          <t>OPERATING</t>
        </is>
      </c>
    </row>
    <row r="28874">
      <c r="A28874" s="8" t="inlineStr">
        <is>
          <t>2026-08-06</t>
        </is>
      </c>
      <c r="B28874" s="8" t="n">
        <v>9</v>
      </c>
      <c r="C28874" s="8" t="n">
        <v>45</v>
      </c>
      <c r="D28874" s="8" t="inlineStr">
        <is>
          <t>Disney Adventure World</t>
        </is>
      </c>
      <c r="E28874" s="8" t="inlineStr">
        <is>
          <t>Avengers Assemble: Flight Force</t>
        </is>
      </c>
      <c r="F28874" s="8" t="inlineStr">
        <is>
          <t>STANDBY</t>
        </is>
      </c>
      <c r="G28874" s="8" t="n">
        <v>5</v>
      </c>
      <c r="H28874" s="8" t="inlineStr">
        <is>
          <t>OPERATING</t>
        </is>
      </c>
    </row>
    <row r="28875">
      <c r="A28875" s="8" t="inlineStr">
        <is>
          <t>2026-08-06</t>
        </is>
      </c>
      <c r="B28875" s="8" t="n">
        <v>9</v>
      </c>
      <c r="C28875" s="8" t="n">
        <v>45</v>
      </c>
      <c r="D28875" s="8" t="inlineStr">
        <is>
          <t>Disney Adventure World</t>
        </is>
      </c>
      <c r="E28875" s="8" t="inlineStr">
        <is>
          <t>Avengers Assemble: Flight Force Single Rider</t>
        </is>
      </c>
      <c r="F28875" s="8" t="inlineStr">
        <is>
          <t>STANDBY</t>
        </is>
      </c>
      <c r="G28875" s="8" t="n">
        <v>5</v>
      </c>
      <c r="H28875" s="8" t="inlineStr">
        <is>
          <t>OPERATING</t>
        </is>
      </c>
    </row>
    <row r="28876">
      <c r="A28876" s="8" t="inlineStr">
        <is>
          <t>2026-08-06</t>
        </is>
      </c>
      <c r="B28876" s="8" t="n">
        <v>9</v>
      </c>
      <c r="C28876" s="8" t="n">
        <v>45</v>
      </c>
      <c r="D28876" s="8" t="inlineStr">
        <is>
          <t>Disney Adventure World</t>
        </is>
      </c>
      <c r="E28876" s="8" t="inlineStr">
        <is>
          <t>Spider-Man W.E.B. Adventure</t>
        </is>
      </c>
      <c r="F28876" s="8" t="inlineStr">
        <is>
          <t>STANDBY</t>
        </is>
      </c>
      <c r="G28876" s="8" t="n">
        <v>35</v>
      </c>
      <c r="H28876" s="8" t="inlineStr">
        <is>
          <t>OPERATING</t>
        </is>
      </c>
    </row>
    <row r="28877">
      <c r="A28877" s="8" t="inlineStr">
        <is>
          <t>2026-08-06</t>
        </is>
      </c>
      <c r="B28877" s="8" t="n">
        <v>9</v>
      </c>
      <c r="C28877" s="8" t="n">
        <v>45</v>
      </c>
      <c r="D28877" s="8" t="inlineStr">
        <is>
          <t>Disney Adventure World</t>
        </is>
      </c>
      <c r="E28877" s="8" t="inlineStr">
        <is>
          <t>Spider-Man W.E.B. Adventure Single Rider</t>
        </is>
      </c>
      <c r="F28877" s="8" t="inlineStr">
        <is>
          <t>STANDBY</t>
        </is>
      </c>
      <c r="G28877" s="8" t="n">
        <v>5</v>
      </c>
      <c r="H28877" s="8" t="inlineStr">
        <is>
          <t>OPERATING</t>
        </is>
      </c>
    </row>
    <row r="28878">
      <c r="A28878" s="8" t="inlineStr">
        <is>
          <t>2026-08-06</t>
        </is>
      </c>
      <c r="B28878" s="8" t="n">
        <v>9</v>
      </c>
      <c r="C28878" s="8" t="n">
        <v>45</v>
      </c>
      <c r="D28878" s="8" t="inlineStr">
        <is>
          <t>Disney Adventure World</t>
        </is>
      </c>
      <c r="E28878" s="8" t="inlineStr">
        <is>
          <t>The Twilight Zone Tower of Terror</t>
        </is>
      </c>
      <c r="F28878" s="8" t="inlineStr">
        <is>
          <t>STANDBY</t>
        </is>
      </c>
      <c r="G28878" s="8" t="n">
        <v>20</v>
      </c>
      <c r="H28878" s="8" t="inlineStr">
        <is>
          <t>OPERATING</t>
        </is>
      </c>
    </row>
    <row r="28879">
      <c r="A28879" s="8" t="inlineStr">
        <is>
          <t>2026-08-06</t>
        </is>
      </c>
      <c r="B28879" s="8" t="n">
        <v>9</v>
      </c>
      <c r="C28879" s="8" t="n">
        <v>45</v>
      </c>
      <c r="D28879" s="8" t="inlineStr">
        <is>
          <t>Disney Adventure World</t>
        </is>
      </c>
      <c r="E28879" s="8" t="inlineStr">
        <is>
          <t>Cars Quatre Roues Rallye</t>
        </is>
      </c>
      <c r="F28879" s="8" t="inlineStr">
        <is>
          <t>STANDBY</t>
        </is>
      </c>
      <c r="G28879" s="8" t="n">
        <v>5</v>
      </c>
      <c r="H28879" s="8" t="inlineStr">
        <is>
          <t>OPERATING</t>
        </is>
      </c>
    </row>
    <row r="28880">
      <c r="A28880" s="8" t="inlineStr">
        <is>
          <t>2026-08-06</t>
        </is>
      </c>
      <c r="B28880" s="8" t="n">
        <v>9</v>
      </c>
      <c r="C28880" s="8" t="n">
        <v>45</v>
      </c>
      <c r="D28880" s="8" t="inlineStr">
        <is>
          <t>Disney Adventure World</t>
        </is>
      </c>
      <c r="E28880" s="8" t="inlineStr">
        <is>
          <t>Cars ROAD TRIP</t>
        </is>
      </c>
      <c r="F28880" s="8" t="inlineStr">
        <is>
          <t>STANDBY</t>
        </is>
      </c>
      <c r="G28880" s="8" t="n">
        <v>5</v>
      </c>
      <c r="H28880" s="8" t="inlineStr">
        <is>
          <t>OPERATING</t>
        </is>
      </c>
    </row>
    <row r="28881">
      <c r="A28881" s="8" t="inlineStr">
        <is>
          <t>2026-08-06</t>
        </is>
      </c>
      <c r="B28881" s="8" t="n">
        <v>9</v>
      </c>
      <c r="C28881" s="8" t="n">
        <v>45</v>
      </c>
      <c r="D28881" s="8" t="inlineStr">
        <is>
          <t>Disney Adventure World</t>
        </is>
      </c>
      <c r="E28881" s="8" t="inlineStr">
        <is>
          <t>Crush's Coaster</t>
        </is>
      </c>
      <c r="F28881" s="8" t="inlineStr">
        <is>
          <t>STANDBY</t>
        </is>
      </c>
      <c r="G28881" s="8" t="n">
        <v>95</v>
      </c>
      <c r="H28881" s="8" t="inlineStr">
        <is>
          <t>OPERATING</t>
        </is>
      </c>
    </row>
    <row r="28882">
      <c r="A28882" s="8" t="inlineStr">
        <is>
          <t>2026-08-06</t>
        </is>
      </c>
      <c r="B28882" s="8" t="n">
        <v>9</v>
      </c>
      <c r="C28882" s="8" t="n">
        <v>45</v>
      </c>
      <c r="D28882" s="8" t="inlineStr">
        <is>
          <t>Disney Adventure World</t>
        </is>
      </c>
      <c r="E28882" s="8" t="inlineStr">
        <is>
          <t>Crush's Coaster Single Rider</t>
        </is>
      </c>
      <c r="F28882" s="8" t="inlineStr">
        <is>
          <t>STANDBY</t>
        </is>
      </c>
      <c r="G28882" s="8" t="n">
        <v>60</v>
      </c>
      <c r="H28882" s="8" t="inlineStr">
        <is>
          <t>OPERATING</t>
        </is>
      </c>
    </row>
    <row r="28883">
      <c r="A28883" s="8" t="inlineStr">
        <is>
          <t>2026-08-06</t>
        </is>
      </c>
      <c r="B28883" s="8" t="n">
        <v>9</v>
      </c>
      <c r="C28883" s="8" t="n">
        <v>45</v>
      </c>
      <c r="D28883" s="8" t="inlineStr">
        <is>
          <t>Disney Adventure World</t>
        </is>
      </c>
      <c r="E28883" s="8" t="inlineStr">
        <is>
          <t>Les Tapis Volants - Flying Carpets Over Agrabah®</t>
        </is>
      </c>
      <c r="F28883" s="8" t="inlineStr">
        <is>
          <t>STANDBY</t>
        </is>
      </c>
      <c r="G28883" s="8" t="n">
        <v>5</v>
      </c>
      <c r="H28883" s="8" t="inlineStr">
        <is>
          <t>OPERATING</t>
        </is>
      </c>
    </row>
    <row r="28884">
      <c r="A28884" s="8" t="inlineStr">
        <is>
          <t>2026-08-06</t>
        </is>
      </c>
      <c r="B28884" s="8" t="n">
        <v>9</v>
      </c>
      <c r="C28884" s="8" t="n">
        <v>45</v>
      </c>
      <c r="D28884" s="8" t="inlineStr">
        <is>
          <t>Disney Adventure World</t>
        </is>
      </c>
      <c r="E28884" s="8" t="inlineStr">
        <is>
          <t>Ratatouille : L’Aventure Totalement Toquée de Rémy​</t>
        </is>
      </c>
      <c r="F28884" s="8" t="inlineStr">
        <is>
          <t>STANDBY</t>
        </is>
      </c>
      <c r="G28884" s="8" t="n">
        <v>45</v>
      </c>
      <c r="H28884" s="8" t="inlineStr">
        <is>
          <t>OPERATING</t>
        </is>
      </c>
    </row>
    <row r="28885">
      <c r="A28885" s="8" t="inlineStr">
        <is>
          <t>2026-08-06</t>
        </is>
      </c>
      <c r="B28885" s="8" t="n">
        <v>9</v>
      </c>
      <c r="C28885" s="8" t="n">
        <v>45</v>
      </c>
      <c r="D28885" s="8" t="inlineStr">
        <is>
          <t>Disney Adventure World</t>
        </is>
      </c>
      <c r="E28885" s="8" t="inlineStr">
        <is>
          <t>Ratatouille: The Adventure Single Rider</t>
        </is>
      </c>
      <c r="F28885" s="8" t="inlineStr">
        <is>
          <t>STANDBY</t>
        </is>
      </c>
      <c r="G28885" s="8" t="n">
        <v>5</v>
      </c>
      <c r="H28885" s="8" t="inlineStr">
        <is>
          <t>OPERATING</t>
        </is>
      </c>
    </row>
    <row r="28886">
      <c r="A28886" s="8" t="inlineStr">
        <is>
          <t>2026-08-06</t>
        </is>
      </c>
      <c r="B28886" s="8" t="n">
        <v>9</v>
      </c>
      <c r="C28886" s="8" t="n">
        <v>45</v>
      </c>
      <c r="D28886" s="8" t="inlineStr">
        <is>
          <t>Disney Adventure World</t>
        </is>
      </c>
      <c r="E28886" s="8" t="inlineStr">
        <is>
          <t>RC Racer</t>
        </is>
      </c>
      <c r="F28886" s="8" t="inlineStr">
        <is>
          <t>STANDBY</t>
        </is>
      </c>
      <c r="G28886" s="8" t="n">
        <v>30</v>
      </c>
      <c r="H28886" s="8" t="inlineStr">
        <is>
          <t>OPERATING</t>
        </is>
      </c>
    </row>
    <row r="28887">
      <c r="A28887" s="8" t="inlineStr">
        <is>
          <t>2026-08-06</t>
        </is>
      </c>
      <c r="B28887" s="8" t="n">
        <v>9</v>
      </c>
      <c r="C28887" s="8" t="n">
        <v>45</v>
      </c>
      <c r="D28887" s="8" t="inlineStr">
        <is>
          <t>Disney Adventure World</t>
        </is>
      </c>
      <c r="E28887" s="8" t="inlineStr">
        <is>
          <t>RC Racer Single Rider</t>
        </is>
      </c>
      <c r="F28887" s="8" t="inlineStr">
        <is>
          <t>STANDBY</t>
        </is>
      </c>
      <c r="G28887" s="8" t="n">
        <v>10</v>
      </c>
      <c r="H28887" s="8" t="inlineStr">
        <is>
          <t>OPERATING</t>
        </is>
      </c>
    </row>
    <row r="28888">
      <c r="A28888" s="8" t="inlineStr">
        <is>
          <t>2026-08-06</t>
        </is>
      </c>
      <c r="B28888" s="8" t="n">
        <v>9</v>
      </c>
      <c r="C28888" s="8" t="n">
        <v>45</v>
      </c>
      <c r="D28888" s="8" t="inlineStr">
        <is>
          <t>Disney Adventure World</t>
        </is>
      </c>
      <c r="E28888" s="8" t="inlineStr">
        <is>
          <t>Slinky® Dog Zigzag Spin</t>
        </is>
      </c>
      <c r="F28888" s="8" t="inlineStr">
        <is>
          <t>STANDBY</t>
        </is>
      </c>
      <c r="G28888" s="8" t="n">
        <v>5</v>
      </c>
      <c r="H28888" s="8" t="inlineStr">
        <is>
          <t>OPERATING</t>
        </is>
      </c>
    </row>
    <row r="28889">
      <c r="A28889" s="8" t="inlineStr">
        <is>
          <t>2026-08-06</t>
        </is>
      </c>
      <c r="B28889" s="8" t="n">
        <v>9</v>
      </c>
      <c r="C28889" s="8" t="n">
        <v>45</v>
      </c>
      <c r="D28889" s="8" t="inlineStr">
        <is>
          <t>Disney Adventure World</t>
        </is>
      </c>
      <c r="E28889" s="8" t="inlineStr">
        <is>
          <t>Toy Soldiers Parachute Drop</t>
        </is>
      </c>
      <c r="F28889" s="8" t="inlineStr">
        <is>
          <t>STANDBY</t>
        </is>
      </c>
      <c r="G28889" s="8" t="n">
        <v>20</v>
      </c>
      <c r="H28889" s="8" t="inlineStr">
        <is>
          <t>OPERATING</t>
        </is>
      </c>
    </row>
    <row r="28890">
      <c r="A28890" s="8" t="inlineStr">
        <is>
          <t>2026-08-06</t>
        </is>
      </c>
      <c r="B28890" s="8" t="n">
        <v>9</v>
      </c>
      <c r="C28890" s="8" t="n">
        <v>45</v>
      </c>
      <c r="D28890" s="8" t="inlineStr">
        <is>
          <t>Disney Adventure World</t>
        </is>
      </c>
      <c r="E28890" s="8" t="inlineStr">
        <is>
          <t>Toy Soldiers Parachute Drop Single Rider</t>
        </is>
      </c>
      <c r="F28890" s="8" t="inlineStr">
        <is>
          <t>STANDBY</t>
        </is>
      </c>
      <c r="G28890" s="8" t="n">
        <v>5</v>
      </c>
      <c r="H28890" s="8" t="inlineStr">
        <is>
          <t>OPERATING</t>
        </is>
      </c>
    </row>
    <row r="28891">
      <c r="A28891" s="8" t="inlineStr">
        <is>
          <t>2026-08-06</t>
        </is>
      </c>
      <c r="B28891" s="8" t="n">
        <v>9</v>
      </c>
      <c r="C28891" s="8" t="n">
        <v>45</v>
      </c>
      <c r="D28891" s="8" t="inlineStr">
        <is>
          <t>Disney Adventure World</t>
        </is>
      </c>
      <c r="E28891" s="8" t="inlineStr">
        <is>
          <t>Entry to World of Frozen</t>
        </is>
      </c>
      <c r="F28891" s="8" t="inlineStr">
        <is>
          <t>STANDBY</t>
        </is>
      </c>
      <c r="G28891" s="8" t="n">
        <v>0</v>
      </c>
      <c r="H28891" s="8" t="inlineStr">
        <is>
          <t>OPERATING</t>
        </is>
      </c>
    </row>
    <row r="28892">
      <c r="A28892" s="8" t="inlineStr">
        <is>
          <t>2026-08-06</t>
        </is>
      </c>
      <c r="B28892" s="8" t="n">
        <v>9</v>
      </c>
      <c r="C28892" s="8" t="n">
        <v>45</v>
      </c>
      <c r="D28892" s="8" t="inlineStr">
        <is>
          <t>Disney Adventure World</t>
        </is>
      </c>
      <c r="E28892" s="8" t="inlineStr">
        <is>
          <t>Frozen Ever After</t>
        </is>
      </c>
      <c r="F28892" s="8" t="inlineStr">
        <is>
          <t>STANDBY</t>
        </is>
      </c>
      <c r="G28892" s="8" t="n">
        <v>65</v>
      </c>
      <c r="H28892" s="8" t="inlineStr">
        <is>
          <t>OPERATING</t>
        </is>
      </c>
    </row>
    <row r="28893">
      <c r="A28893" s="8" t="inlineStr">
        <is>
          <t>2026-08-06</t>
        </is>
      </c>
      <c r="B28893" s="8" t="n">
        <v>9</v>
      </c>
      <c r="C28893" s="8" t="n">
        <v>45</v>
      </c>
      <c r="D28893" s="8" t="inlineStr">
        <is>
          <t>Disney Adventure World</t>
        </is>
      </c>
      <c r="E28893" s="8" t="inlineStr">
        <is>
          <t>Raiponce Tangled Spin</t>
        </is>
      </c>
      <c r="F28893" s="8" t="inlineStr">
        <is>
          <t>STANDBY</t>
        </is>
      </c>
      <c r="G28893" s="8" t="n">
        <v>5</v>
      </c>
      <c r="H28893" s="8" t="inlineStr">
        <is>
          <t>OPERATING</t>
        </is>
      </c>
    </row>
    <row r="28894">
      <c r="A28894" s="8" t="inlineStr">
        <is>
          <t>2026-08-06</t>
        </is>
      </c>
      <c r="B28894" s="8" t="n">
        <v>10</v>
      </c>
      <c r="C28894" s="8" t="n">
        <v>1</v>
      </c>
      <c r="D28894" s="8" t="inlineStr">
        <is>
          <t>Disneyland Park</t>
        </is>
      </c>
      <c r="E28894" s="8" t="inlineStr">
        <is>
          <t>Adventure Isle</t>
        </is>
      </c>
      <c r="F28894" s="8" t="inlineStr">
        <is>
          <t>STANDBY</t>
        </is>
      </c>
      <c r="G28894" s="8" t="n">
        <v>0</v>
      </c>
      <c r="H28894" s="8" t="inlineStr">
        <is>
          <t>OPERATING</t>
        </is>
      </c>
    </row>
    <row r="28895">
      <c r="A28895" s="8" t="inlineStr">
        <is>
          <t>2026-08-06</t>
        </is>
      </c>
      <c r="B28895" s="8" t="n">
        <v>10</v>
      </c>
      <c r="C28895" s="8" t="n">
        <v>1</v>
      </c>
      <c r="D28895" s="8" t="inlineStr">
        <is>
          <t>Disneyland Park</t>
        </is>
      </c>
      <c r="E28895" s="8" t="inlineStr">
        <is>
          <t>Indiana Jones and the Temple of Peril Single Rider</t>
        </is>
      </c>
      <c r="F28895" s="8" t="inlineStr">
        <is>
          <t>STANDBY</t>
        </is>
      </c>
      <c r="G28895" s="8" t="n">
        <v>5</v>
      </c>
      <c r="H28895" s="8" t="inlineStr">
        <is>
          <t>OPERATING</t>
        </is>
      </c>
    </row>
    <row r="28896">
      <c r="A28896" s="8" t="inlineStr">
        <is>
          <t>2026-08-06</t>
        </is>
      </c>
      <c r="B28896" s="8" t="n">
        <v>10</v>
      </c>
      <c r="C28896" s="8" t="n">
        <v>1</v>
      </c>
      <c r="D28896" s="8" t="inlineStr">
        <is>
          <t>Disneyland Park</t>
        </is>
      </c>
      <c r="E28896" s="8" t="inlineStr">
        <is>
          <t>Indiana Jones™ and the Temple of Peril</t>
        </is>
      </c>
      <c r="F28896" s="8" t="inlineStr">
        <is>
          <t>STANDBY</t>
        </is>
      </c>
      <c r="G28896" s="8" t="n">
        <v>5</v>
      </c>
      <c r="H28896" s="8" t="inlineStr">
        <is>
          <t>OPERATING</t>
        </is>
      </c>
    </row>
    <row r="28897">
      <c r="A28897" s="8" t="inlineStr">
        <is>
          <t>2026-08-06</t>
        </is>
      </c>
      <c r="B28897" s="8" t="n">
        <v>10</v>
      </c>
      <c r="C28897" s="8" t="n">
        <v>1</v>
      </c>
      <c r="D28897" s="8" t="inlineStr">
        <is>
          <t>Disneyland Park</t>
        </is>
      </c>
      <c r="E28897" s="8" t="inlineStr">
        <is>
          <t>La Cabane des Robinson</t>
        </is>
      </c>
      <c r="F28897" s="8" t="inlineStr">
        <is>
          <t>STANDBY</t>
        </is>
      </c>
      <c r="G28897" s="8" t="n">
        <v>5</v>
      </c>
      <c r="H28897" s="8" t="inlineStr">
        <is>
          <t>OPERATING</t>
        </is>
      </c>
    </row>
    <row r="28898">
      <c r="A28898" s="8" t="inlineStr">
        <is>
          <t>2026-08-06</t>
        </is>
      </c>
      <c r="B28898" s="8" t="n">
        <v>10</v>
      </c>
      <c r="C28898" s="8" t="n">
        <v>1</v>
      </c>
      <c r="D28898" s="8" t="inlineStr">
        <is>
          <t>Disneyland Park</t>
        </is>
      </c>
      <c r="E28898" s="8" t="inlineStr">
        <is>
          <t>Le Passage Enchanté d'Aladdin</t>
        </is>
      </c>
      <c r="F28898" s="8" t="inlineStr">
        <is>
          <t>STANDBY</t>
        </is>
      </c>
      <c r="G28898" s="8" t="n">
        <v>0</v>
      </c>
      <c r="H28898" s="8" t="inlineStr">
        <is>
          <t>OPERATING</t>
        </is>
      </c>
    </row>
    <row r="28899">
      <c r="A28899" s="8" t="inlineStr">
        <is>
          <t>2026-08-06</t>
        </is>
      </c>
      <c r="B28899" s="8" t="n">
        <v>10</v>
      </c>
      <c r="C28899" s="8" t="n">
        <v>1</v>
      </c>
      <c r="D28899" s="8" t="inlineStr">
        <is>
          <t>Disneyland Park</t>
        </is>
      </c>
      <c r="E28899" s="8" t="inlineStr">
        <is>
          <t>Pirate Galleon</t>
        </is>
      </c>
      <c r="F28899" s="8" t="inlineStr">
        <is>
          <t>STANDBY</t>
        </is>
      </c>
      <c r="G28899" s="8" t="n">
        <v>0</v>
      </c>
      <c r="H28899" s="8" t="inlineStr">
        <is>
          <t>CLOSED</t>
        </is>
      </c>
    </row>
    <row r="28900">
      <c r="A28900" s="8" t="inlineStr">
        <is>
          <t>2026-08-06</t>
        </is>
      </c>
      <c r="B28900" s="8" t="n">
        <v>10</v>
      </c>
      <c r="C28900" s="8" t="n">
        <v>1</v>
      </c>
      <c r="D28900" s="8" t="inlineStr">
        <is>
          <t>Disneyland Park</t>
        </is>
      </c>
      <c r="E28900" s="8" t="inlineStr">
        <is>
          <t>Pirates of the Caribbean</t>
        </is>
      </c>
      <c r="F28900" s="8" t="inlineStr">
        <is>
          <t>STANDBY</t>
        </is>
      </c>
      <c r="G28900" s="8" t="n">
        <v>15</v>
      </c>
      <c r="H28900" s="8" t="inlineStr">
        <is>
          <t>OPERATING</t>
        </is>
      </c>
    </row>
    <row r="28901">
      <c r="A28901" s="8" t="inlineStr">
        <is>
          <t>2026-08-06</t>
        </is>
      </c>
      <c r="B28901" s="8" t="n">
        <v>10</v>
      </c>
      <c r="C28901" s="8" t="n">
        <v>1</v>
      </c>
      <c r="D28901" s="8" t="inlineStr">
        <is>
          <t>Disneyland Park</t>
        </is>
      </c>
      <c r="E28901" s="8" t="inlineStr">
        <is>
          <t>Pirates' Beach</t>
        </is>
      </c>
      <c r="F28901" s="8" t="inlineStr">
        <is>
          <t>STANDBY</t>
        </is>
      </c>
      <c r="G28901" s="8" t="n">
        <v>0</v>
      </c>
      <c r="H28901" s="8" t="inlineStr">
        <is>
          <t>OPERATING</t>
        </is>
      </c>
    </row>
    <row r="28902">
      <c r="A28902" s="8" t="inlineStr">
        <is>
          <t>2026-08-06</t>
        </is>
      </c>
      <c r="B28902" s="8" t="n">
        <v>10</v>
      </c>
      <c r="C28902" s="8" t="n">
        <v>1</v>
      </c>
      <c r="D28902" s="8" t="inlineStr">
        <is>
          <t>Disneyland Park</t>
        </is>
      </c>
      <c r="E28902" s="8" t="inlineStr">
        <is>
          <t>Autopia, presented by Avis</t>
        </is>
      </c>
      <c r="F28902" s="8" t="inlineStr">
        <is>
          <t>STANDBY</t>
        </is>
      </c>
      <c r="G28902" s="8" t="n">
        <v>15</v>
      </c>
      <c r="H28902" s="8" t="inlineStr">
        <is>
          <t>OPERATING</t>
        </is>
      </c>
    </row>
    <row r="28903">
      <c r="A28903" s="8" t="inlineStr">
        <is>
          <t>2026-08-06</t>
        </is>
      </c>
      <c r="B28903" s="8" t="n">
        <v>10</v>
      </c>
      <c r="C28903" s="8" t="n">
        <v>1</v>
      </c>
      <c r="D28903" s="8" t="inlineStr">
        <is>
          <t>Disneyland Park</t>
        </is>
      </c>
      <c r="E28903" s="8" t="inlineStr">
        <is>
          <t>Buzz Lightyear Laser Blast</t>
        </is>
      </c>
      <c r="F28903" s="8" t="inlineStr">
        <is>
          <t>STANDBY</t>
        </is>
      </c>
      <c r="G28903" s="8" t="n">
        <v>25</v>
      </c>
      <c r="H28903" s="8" t="inlineStr">
        <is>
          <t>OPERATING</t>
        </is>
      </c>
    </row>
    <row r="28904">
      <c r="A28904" s="8" t="inlineStr">
        <is>
          <t>2026-08-06</t>
        </is>
      </c>
      <c r="B28904" s="8" t="n">
        <v>10</v>
      </c>
      <c r="C28904" s="8" t="n">
        <v>1</v>
      </c>
      <c r="D28904" s="8" t="inlineStr">
        <is>
          <t>Disneyland Park</t>
        </is>
      </c>
      <c r="E28904" s="8" t="inlineStr">
        <is>
          <t>Disneyland Railroad Discoveryland Station</t>
        </is>
      </c>
      <c r="F28904" s="8" t="inlineStr">
        <is>
          <t>STANDBY</t>
        </is>
      </c>
      <c r="G28904" s="8" t="n">
        <v>0</v>
      </c>
      <c r="H28904" s="8" t="inlineStr">
        <is>
          <t>CLOSED</t>
        </is>
      </c>
    </row>
    <row r="28905">
      <c r="A28905" s="8" t="inlineStr">
        <is>
          <t>2026-08-06</t>
        </is>
      </c>
      <c r="B28905" s="8" t="n">
        <v>10</v>
      </c>
      <c r="C28905" s="8" t="n">
        <v>1</v>
      </c>
      <c r="D28905" s="8" t="inlineStr">
        <is>
          <t>Disneyland Park</t>
        </is>
      </c>
      <c r="E28905" s="8" t="inlineStr">
        <is>
          <t>Les Mystères du Nautilus</t>
        </is>
      </c>
      <c r="F28905" s="8" t="inlineStr">
        <is>
          <t>STANDBY</t>
        </is>
      </c>
      <c r="G28905" s="8" t="n">
        <v>5</v>
      </c>
      <c r="H28905" s="8" t="inlineStr">
        <is>
          <t>OPERATING</t>
        </is>
      </c>
    </row>
    <row r="28906">
      <c r="A28906" s="8" t="inlineStr">
        <is>
          <t>2026-08-06</t>
        </is>
      </c>
      <c r="B28906" s="8" t="n">
        <v>10</v>
      </c>
      <c r="C28906" s="8" t="n">
        <v>1</v>
      </c>
      <c r="D28906" s="8" t="inlineStr">
        <is>
          <t>Disneyland Park</t>
        </is>
      </c>
      <c r="E28906" s="8" t="inlineStr">
        <is>
          <t>Mickey’s PhilharMagic</t>
        </is>
      </c>
      <c r="F28906" s="8" t="inlineStr">
        <is>
          <t>STANDBY</t>
        </is>
      </c>
      <c r="G28906" s="8" t="n">
        <v>0</v>
      </c>
      <c r="H28906" s="8" t="inlineStr">
        <is>
          <t>CLOSED</t>
        </is>
      </c>
    </row>
    <row r="28907">
      <c r="A28907" s="8" t="inlineStr">
        <is>
          <t>2026-08-06</t>
        </is>
      </c>
      <c r="B28907" s="8" t="n">
        <v>10</v>
      </c>
      <c r="C28907" s="8" t="n">
        <v>1</v>
      </c>
      <c r="D28907" s="8" t="inlineStr">
        <is>
          <t>Disneyland Park</t>
        </is>
      </c>
      <c r="E28907" s="8" t="inlineStr">
        <is>
          <t>Orbitron®</t>
        </is>
      </c>
      <c r="F28907" s="8" t="inlineStr">
        <is>
          <t>STANDBY</t>
        </is>
      </c>
      <c r="G28907" s="8" t="n">
        <v>50</v>
      </c>
      <c r="H28907" s="8" t="inlineStr">
        <is>
          <t>OPERATING</t>
        </is>
      </c>
    </row>
    <row r="28908">
      <c r="A28908" s="8" t="inlineStr">
        <is>
          <t>2026-08-06</t>
        </is>
      </c>
      <c r="B28908" s="8" t="n">
        <v>10</v>
      </c>
      <c r="C28908" s="8" t="n">
        <v>1</v>
      </c>
      <c r="D28908" s="8" t="inlineStr">
        <is>
          <t>Disneyland Park</t>
        </is>
      </c>
      <c r="E28908" s="8" t="inlineStr">
        <is>
          <t>Star Tours: The Adventures Continue*</t>
        </is>
      </c>
      <c r="F28908" s="8" t="inlineStr">
        <is>
          <t>STANDBY</t>
        </is>
      </c>
      <c r="G28908" s="8" t="n">
        <v>5</v>
      </c>
      <c r="H28908" s="8" t="inlineStr">
        <is>
          <t>OPERATING</t>
        </is>
      </c>
    </row>
    <row r="28909">
      <c r="A28909" s="8" t="inlineStr">
        <is>
          <t>2026-08-06</t>
        </is>
      </c>
      <c r="B28909" s="8" t="n">
        <v>10</v>
      </c>
      <c r="C28909" s="8" t="n">
        <v>1</v>
      </c>
      <c r="D28909" s="8" t="inlineStr">
        <is>
          <t>Disneyland Park</t>
        </is>
      </c>
      <c r="E28909" s="8" t="inlineStr">
        <is>
          <t>Star Wars Hyperspace Mountain</t>
        </is>
      </c>
      <c r="F28909" s="8" t="inlineStr">
        <is>
          <t>STANDBY</t>
        </is>
      </c>
      <c r="G28909" s="8" t="n">
        <v>20</v>
      </c>
      <c r="H28909" s="8" t="inlineStr">
        <is>
          <t>OPERATING</t>
        </is>
      </c>
    </row>
    <row r="28910">
      <c r="A28910" s="8" t="inlineStr">
        <is>
          <t>2026-08-06</t>
        </is>
      </c>
      <c r="B28910" s="8" t="n">
        <v>10</v>
      </c>
      <c r="C28910" s="8" t="n">
        <v>1</v>
      </c>
      <c r="D28910" s="8" t="inlineStr">
        <is>
          <t>Disneyland Park</t>
        </is>
      </c>
      <c r="E28910" s="8" t="inlineStr">
        <is>
          <t>Star Wars Hyperspace Mountain Single Rider</t>
        </is>
      </c>
      <c r="F28910" s="8" t="inlineStr">
        <is>
          <t>STANDBY</t>
        </is>
      </c>
      <c r="G28910" s="8" t="n">
        <v>5</v>
      </c>
      <c r="H28910" s="8" t="inlineStr">
        <is>
          <t>OPERATING</t>
        </is>
      </c>
    </row>
    <row r="28911">
      <c r="A28911" s="8" t="inlineStr">
        <is>
          <t>2026-08-06</t>
        </is>
      </c>
      <c r="B28911" s="8" t="n">
        <v>10</v>
      </c>
      <c r="C28911" s="8" t="n">
        <v>1</v>
      </c>
      <c r="D28911" s="8" t="inlineStr">
        <is>
          <t>Disneyland Park</t>
        </is>
      </c>
      <c r="E28911" s="8" t="inlineStr">
        <is>
          <t>Welcome to Starport: A Star Wars Encounter</t>
        </is>
      </c>
      <c r="F28911" s="8" t="inlineStr">
        <is>
          <t>STANDBY</t>
        </is>
      </c>
      <c r="G28911" s="8" t="n">
        <v>0</v>
      </c>
      <c r="H28911" s="8" t="inlineStr">
        <is>
          <t>OPERATING</t>
        </is>
      </c>
    </row>
    <row r="28912">
      <c r="A28912" s="8" t="inlineStr">
        <is>
          <t>2026-08-06</t>
        </is>
      </c>
      <c r="B28912" s="8" t="n">
        <v>10</v>
      </c>
      <c r="C28912" s="8" t="n">
        <v>1</v>
      </c>
      <c r="D28912" s="8" t="inlineStr">
        <is>
          <t>Disneyland Park</t>
        </is>
      </c>
      <c r="E28912" s="8" t="inlineStr">
        <is>
          <t>"it's a small world"</t>
        </is>
      </c>
      <c r="F28912" s="8" t="inlineStr">
        <is>
          <t>STANDBY</t>
        </is>
      </c>
      <c r="G28912" s="8" t="n">
        <v>5</v>
      </c>
      <c r="H28912" s="8" t="inlineStr">
        <is>
          <t>OPERATING</t>
        </is>
      </c>
    </row>
    <row r="28913">
      <c r="A28913" s="8" t="inlineStr">
        <is>
          <t>2026-08-06</t>
        </is>
      </c>
      <c r="B28913" s="8" t="n">
        <v>10</v>
      </c>
      <c r="C28913" s="8" t="n">
        <v>1</v>
      </c>
      <c r="D28913" s="8" t="inlineStr">
        <is>
          <t>Disneyland Park</t>
        </is>
      </c>
      <c r="E28913" s="8" t="inlineStr">
        <is>
          <t>Alice's Curious Labyrinth</t>
        </is>
      </c>
      <c r="F28913" s="8" t="inlineStr">
        <is>
          <t>STANDBY</t>
        </is>
      </c>
      <c r="G28913" s="8" t="n">
        <v>5</v>
      </c>
      <c r="H28913" s="8" t="inlineStr">
        <is>
          <t>OPERATING</t>
        </is>
      </c>
    </row>
    <row r="28914">
      <c r="A28914" s="8" t="inlineStr">
        <is>
          <t>2026-08-06</t>
        </is>
      </c>
      <c r="B28914" s="8" t="n">
        <v>10</v>
      </c>
      <c r="C28914" s="8" t="n">
        <v>1</v>
      </c>
      <c r="D28914" s="8" t="inlineStr">
        <is>
          <t>Disneyland Park</t>
        </is>
      </c>
      <c r="E28914" s="8" t="inlineStr">
        <is>
          <t>Blanche-Neige et les Sept Nains®</t>
        </is>
      </c>
      <c r="F28914" s="8" t="inlineStr">
        <is>
          <t>STANDBY</t>
        </is>
      </c>
      <c r="G28914" s="8" t="n">
        <v>5</v>
      </c>
      <c r="H28914" s="8" t="inlineStr">
        <is>
          <t>OPERATING</t>
        </is>
      </c>
    </row>
    <row r="28915">
      <c r="A28915" s="8" t="inlineStr">
        <is>
          <t>2026-08-06</t>
        </is>
      </c>
      <c r="B28915" s="8" t="n">
        <v>10</v>
      </c>
      <c r="C28915" s="8" t="n">
        <v>1</v>
      </c>
      <c r="D28915" s="8" t="inlineStr">
        <is>
          <t>Disneyland Park</t>
        </is>
      </c>
      <c r="E28915" s="8" t="inlineStr">
        <is>
          <t>Casey Jr. – le Petit Train du Cirque</t>
        </is>
      </c>
      <c r="F28915" s="8" t="inlineStr">
        <is>
          <t>STANDBY</t>
        </is>
      </c>
      <c r="G28915" s="8" t="n">
        <v>5</v>
      </c>
      <c r="H28915" s="8" t="inlineStr">
        <is>
          <t>OPERATING</t>
        </is>
      </c>
    </row>
    <row r="28916">
      <c r="A28916" s="8" t="inlineStr">
        <is>
          <t>2026-08-06</t>
        </is>
      </c>
      <c r="B28916" s="8" t="n">
        <v>10</v>
      </c>
      <c r="C28916" s="8" t="n">
        <v>1</v>
      </c>
      <c r="D28916" s="8" t="inlineStr">
        <is>
          <t>Disneyland Park</t>
        </is>
      </c>
      <c r="E28916" s="8" t="inlineStr">
        <is>
          <t>Disneyland Railroad Fantasyland Station</t>
        </is>
      </c>
      <c r="F28916" s="8" t="inlineStr">
        <is>
          <t>STANDBY</t>
        </is>
      </c>
      <c r="G28916" s="8" t="n">
        <v>0</v>
      </c>
      <c r="H28916" s="8" t="inlineStr">
        <is>
          <t>CLOSED</t>
        </is>
      </c>
    </row>
    <row r="28917">
      <c r="A28917" s="8" t="inlineStr">
        <is>
          <t>2026-08-06</t>
        </is>
      </c>
      <c r="B28917" s="8" t="n">
        <v>10</v>
      </c>
      <c r="C28917" s="8" t="n">
        <v>1</v>
      </c>
      <c r="D28917" s="8" t="inlineStr">
        <is>
          <t>Disneyland Park</t>
        </is>
      </c>
      <c r="E28917" s="8" t="inlineStr">
        <is>
          <t>Disneyland Railroad Main Street Station</t>
        </is>
      </c>
      <c r="F28917" s="8" t="inlineStr">
        <is>
          <t>STANDBY</t>
        </is>
      </c>
      <c r="G28917" s="8" t="n">
        <v>0</v>
      </c>
      <c r="H28917" s="8" t="inlineStr">
        <is>
          <t>CLOSED</t>
        </is>
      </c>
    </row>
    <row r="28918">
      <c r="A28918" s="8" t="inlineStr">
        <is>
          <t>2026-08-06</t>
        </is>
      </c>
      <c r="B28918" s="8" t="n">
        <v>10</v>
      </c>
      <c r="C28918" s="8" t="n">
        <v>1</v>
      </c>
      <c r="D28918" s="8" t="inlineStr">
        <is>
          <t>Disneyland Park</t>
        </is>
      </c>
      <c r="E28918" s="8" t="inlineStr">
        <is>
          <t>Dumbo the Flying Elephant</t>
        </is>
      </c>
      <c r="F28918" s="8" t="inlineStr">
        <is>
          <t>STANDBY</t>
        </is>
      </c>
      <c r="G28918" s="8" t="n">
        <v>15</v>
      </c>
      <c r="H28918" s="8" t="inlineStr">
        <is>
          <t>OPERATING</t>
        </is>
      </c>
    </row>
    <row r="28919">
      <c r="A28919" s="8" t="inlineStr">
        <is>
          <t>2026-08-06</t>
        </is>
      </c>
      <c r="B28919" s="8" t="n">
        <v>10</v>
      </c>
      <c r="C28919" s="8" t="n">
        <v>1</v>
      </c>
      <c r="D28919" s="8" t="inlineStr">
        <is>
          <t>Disneyland Park</t>
        </is>
      </c>
      <c r="E28919" s="8" t="inlineStr">
        <is>
          <t>La Tanière du Dragon</t>
        </is>
      </c>
      <c r="F28919" s="8" t="inlineStr">
        <is>
          <t>STANDBY</t>
        </is>
      </c>
      <c r="G28919" s="8" t="n">
        <v>0</v>
      </c>
      <c r="H28919" s="8" t="inlineStr">
        <is>
          <t>OPERATING</t>
        </is>
      </c>
    </row>
    <row r="28920">
      <c r="A28920" s="8" t="inlineStr">
        <is>
          <t>2026-08-06</t>
        </is>
      </c>
      <c r="B28920" s="8" t="n">
        <v>10</v>
      </c>
      <c r="C28920" s="8" t="n">
        <v>1</v>
      </c>
      <c r="D28920" s="8" t="inlineStr">
        <is>
          <t>Disneyland Park</t>
        </is>
      </c>
      <c r="E28920" s="8" t="inlineStr">
        <is>
          <t>Le Carrousel de Lancelot</t>
        </is>
      </c>
      <c r="F28920" s="8" t="inlineStr">
        <is>
          <t>STANDBY</t>
        </is>
      </c>
      <c r="G28920" s="8" t="n">
        <v>5</v>
      </c>
      <c r="H28920" s="8" t="inlineStr">
        <is>
          <t>OPERATING</t>
        </is>
      </c>
    </row>
    <row r="28921">
      <c r="A28921" s="8" t="inlineStr">
        <is>
          <t>2026-08-06</t>
        </is>
      </c>
      <c r="B28921" s="8" t="n">
        <v>10</v>
      </c>
      <c r="C28921" s="8" t="n">
        <v>1</v>
      </c>
      <c r="D28921" s="8" t="inlineStr">
        <is>
          <t>Disneyland Park</t>
        </is>
      </c>
      <c r="E28921" s="8" t="inlineStr">
        <is>
          <t>Le Pays des Contes de Fées, presented by Vittel</t>
        </is>
      </c>
      <c r="F28921" s="8" t="inlineStr">
        <is>
          <t>STANDBY</t>
        </is>
      </c>
      <c r="G28921" s="8" t="n">
        <v>5</v>
      </c>
      <c r="H28921" s="8" t="inlineStr">
        <is>
          <t>OPERATING</t>
        </is>
      </c>
    </row>
    <row r="28922">
      <c r="A28922" s="8" t="inlineStr">
        <is>
          <t>2026-08-06</t>
        </is>
      </c>
      <c r="B28922" s="8" t="n">
        <v>10</v>
      </c>
      <c r="C28922" s="8" t="n">
        <v>1</v>
      </c>
      <c r="D28922" s="8" t="inlineStr">
        <is>
          <t>Disneyland Park</t>
        </is>
      </c>
      <c r="E28922" s="8" t="inlineStr">
        <is>
          <t>Les Voyages de Pinocchio</t>
        </is>
      </c>
      <c r="F28922" s="8" t="inlineStr">
        <is>
          <t>STANDBY</t>
        </is>
      </c>
      <c r="G28922" s="8" t="n">
        <v>15</v>
      </c>
      <c r="H28922" s="8" t="inlineStr">
        <is>
          <t>OPERATING</t>
        </is>
      </c>
    </row>
    <row r="28923">
      <c r="A28923" s="8" t="inlineStr">
        <is>
          <t>2026-08-06</t>
        </is>
      </c>
      <c r="B28923" s="8" t="n">
        <v>10</v>
      </c>
      <c r="C28923" s="8" t="n">
        <v>1</v>
      </c>
      <c r="D28923" s="8" t="inlineStr">
        <is>
          <t>Disneyland Park</t>
        </is>
      </c>
      <c r="E28923" s="8" t="inlineStr">
        <is>
          <t>Mad Hatter's Tea Cups</t>
        </is>
      </c>
      <c r="F28923" s="8" t="inlineStr">
        <is>
          <t>STANDBY</t>
        </is>
      </c>
      <c r="G28923" s="8" t="n">
        <v>5</v>
      </c>
      <c r="H28923" s="8" t="inlineStr">
        <is>
          <t>OPERATING</t>
        </is>
      </c>
    </row>
    <row r="28924">
      <c r="A28924" s="8" t="inlineStr">
        <is>
          <t>2026-08-06</t>
        </is>
      </c>
      <c r="B28924" s="8" t="n">
        <v>10</v>
      </c>
      <c r="C28924" s="8" t="n">
        <v>1</v>
      </c>
      <c r="D28924" s="8" t="inlineStr">
        <is>
          <t>Disneyland Park</t>
        </is>
      </c>
      <c r="E28924" s="8" t="inlineStr">
        <is>
          <t>Meet Mickey Mouse</t>
        </is>
      </c>
      <c r="F28924" s="8" t="inlineStr">
        <is>
          <t>STANDBY</t>
        </is>
      </c>
      <c r="G28924" s="8" t="n">
        <v>0</v>
      </c>
      <c r="H28924" s="8" t="inlineStr">
        <is>
          <t>OPERATING</t>
        </is>
      </c>
    </row>
    <row r="28925">
      <c r="A28925" s="8" t="inlineStr">
        <is>
          <t>2026-08-06</t>
        </is>
      </c>
      <c r="B28925" s="8" t="n">
        <v>10</v>
      </c>
      <c r="C28925" s="8" t="n">
        <v>1</v>
      </c>
      <c r="D28925" s="8" t="inlineStr">
        <is>
          <t>Disneyland Park</t>
        </is>
      </c>
      <c r="E28925" s="8" t="inlineStr">
        <is>
          <t>Peter Pan's Flight</t>
        </is>
      </c>
      <c r="F28925" s="8" t="inlineStr">
        <is>
          <t>STANDBY</t>
        </is>
      </c>
      <c r="G28925" s="8" t="n">
        <v>55</v>
      </c>
      <c r="H28925" s="8" t="inlineStr">
        <is>
          <t>OPERATING</t>
        </is>
      </c>
    </row>
    <row r="28926">
      <c r="A28926" s="8" t="inlineStr">
        <is>
          <t>2026-08-06</t>
        </is>
      </c>
      <c r="B28926" s="8" t="n">
        <v>10</v>
      </c>
      <c r="C28926" s="8" t="n">
        <v>1</v>
      </c>
      <c r="D28926" s="8" t="inlineStr">
        <is>
          <t>Disneyland Park</t>
        </is>
      </c>
      <c r="E28926" s="8" t="inlineStr">
        <is>
          <t>Princess Pavilion</t>
        </is>
      </c>
      <c r="F28926" s="8" t="inlineStr">
        <is>
          <t>STANDBY</t>
        </is>
      </c>
      <c r="G28926" s="8" t="n">
        <v>0</v>
      </c>
      <c r="H28926" s="8" t="inlineStr">
        <is>
          <t>OPERATING</t>
        </is>
      </c>
    </row>
    <row r="28927">
      <c r="A28927" s="8" t="inlineStr">
        <is>
          <t>2026-08-06</t>
        </is>
      </c>
      <c r="B28927" s="8" t="n">
        <v>10</v>
      </c>
      <c r="C28927" s="8" t="n">
        <v>1</v>
      </c>
      <c r="D28927" s="8" t="inlineStr">
        <is>
          <t>Disneyland Park</t>
        </is>
      </c>
      <c r="E28927" s="8" t="inlineStr">
        <is>
          <t>Big Thunder Mountain</t>
        </is>
      </c>
      <c r="F28927" s="8" t="inlineStr">
        <is>
          <t>STANDBY</t>
        </is>
      </c>
      <c r="G28927" s="8" t="n">
        <v>100</v>
      </c>
      <c r="H28927" s="8" t="inlineStr">
        <is>
          <t>OPERATING</t>
        </is>
      </c>
    </row>
    <row r="28928">
      <c r="A28928" s="8" t="inlineStr">
        <is>
          <t>2026-08-06</t>
        </is>
      </c>
      <c r="B28928" s="8" t="n">
        <v>10</v>
      </c>
      <c r="C28928" s="8" t="n">
        <v>1</v>
      </c>
      <c r="D28928" s="8" t="inlineStr">
        <is>
          <t>Disneyland Park</t>
        </is>
      </c>
      <c r="E28928" s="8" t="inlineStr">
        <is>
          <t>Disneyland Railroad Frontierland Depot</t>
        </is>
      </c>
      <c r="F28928" s="8" t="inlineStr">
        <is>
          <t>STANDBY</t>
        </is>
      </c>
      <c r="G28928" s="8" t="n">
        <v>0</v>
      </c>
      <c r="H28928" s="8" t="inlineStr">
        <is>
          <t>CLOSED</t>
        </is>
      </c>
    </row>
    <row r="28929">
      <c r="A28929" s="8" t="inlineStr">
        <is>
          <t>2026-08-06</t>
        </is>
      </c>
      <c r="B28929" s="8" t="n">
        <v>10</v>
      </c>
      <c r="C28929" s="8" t="n">
        <v>1</v>
      </c>
      <c r="D28929" s="8" t="inlineStr">
        <is>
          <t>Disneyland Park</t>
        </is>
      </c>
      <c r="E28929" s="8" t="inlineStr">
        <is>
          <t>Frontierland Playground</t>
        </is>
      </c>
      <c r="F28929" s="8" t="inlineStr">
        <is>
          <t>STANDBY</t>
        </is>
      </c>
      <c r="G28929" s="8" t="n">
        <v>0</v>
      </c>
      <c r="H28929" s="8" t="inlineStr">
        <is>
          <t>OPERATING</t>
        </is>
      </c>
    </row>
    <row r="28930">
      <c r="A28930" s="8" t="inlineStr">
        <is>
          <t>2026-08-06</t>
        </is>
      </c>
      <c r="B28930" s="8" t="n">
        <v>10</v>
      </c>
      <c r="C28930" s="8" t="n">
        <v>1</v>
      </c>
      <c r="D28930" s="8" t="inlineStr">
        <is>
          <t>Disneyland Park</t>
        </is>
      </c>
      <c r="E28930" s="8" t="inlineStr">
        <is>
          <t>Phantom Manor</t>
        </is>
      </c>
      <c r="F28930" s="8" t="inlineStr">
        <is>
          <t>STANDBY</t>
        </is>
      </c>
      <c r="G28930" s="8" t="n">
        <v>5</v>
      </c>
      <c r="H28930" s="8" t="inlineStr">
        <is>
          <t>OPERATING</t>
        </is>
      </c>
    </row>
    <row r="28931">
      <c r="A28931" s="8" t="inlineStr">
        <is>
          <t>2026-08-06</t>
        </is>
      </c>
      <c r="B28931" s="8" t="n">
        <v>10</v>
      </c>
      <c r="C28931" s="8" t="n">
        <v>1</v>
      </c>
      <c r="D28931" s="8" t="inlineStr">
        <is>
          <t>Disneyland Park</t>
        </is>
      </c>
      <c r="E28931" s="8" t="inlineStr">
        <is>
          <t>River Rogue Keelboats</t>
        </is>
      </c>
      <c r="F28931" s="8" t="inlineStr">
        <is>
          <t>STANDBY</t>
        </is>
      </c>
      <c r="G28931" s="8" t="n">
        <v>0</v>
      </c>
      <c r="H28931" s="8" t="inlineStr">
        <is>
          <t>CLOSED</t>
        </is>
      </c>
    </row>
    <row r="28932">
      <c r="A28932" s="8" t="inlineStr">
        <is>
          <t>2026-08-06</t>
        </is>
      </c>
      <c r="B28932" s="8" t="n">
        <v>10</v>
      </c>
      <c r="C28932" s="8" t="n">
        <v>1</v>
      </c>
      <c r="D28932" s="8" t="inlineStr">
        <is>
          <t>Disneyland Park</t>
        </is>
      </c>
      <c r="E28932" s="8" t="inlineStr">
        <is>
          <t>Rustler Roundup Shootin' Gallery</t>
        </is>
      </c>
      <c r="F28932" s="8" t="inlineStr">
        <is>
          <t>STANDBY</t>
        </is>
      </c>
      <c r="G28932" s="8" t="n">
        <v>0</v>
      </c>
      <c r="H28932" s="8" t="inlineStr">
        <is>
          <t>OPERATING</t>
        </is>
      </c>
    </row>
    <row r="28933">
      <c r="A28933" s="8" t="inlineStr">
        <is>
          <t>2026-08-06</t>
        </is>
      </c>
      <c r="B28933" s="8" t="n">
        <v>10</v>
      </c>
      <c r="C28933" s="8" t="n">
        <v>1</v>
      </c>
      <c r="D28933" s="8" t="inlineStr">
        <is>
          <t>Disneyland Park</t>
        </is>
      </c>
      <c r="E28933" s="8" t="inlineStr">
        <is>
          <t>Thunder Mesa Riverboat Landing</t>
        </is>
      </c>
      <c r="F28933" s="8" t="inlineStr">
        <is>
          <t>STANDBY</t>
        </is>
      </c>
      <c r="G28933" s="8" t="n">
        <v>0</v>
      </c>
      <c r="H28933" s="8" t="inlineStr">
        <is>
          <t>CLOSED</t>
        </is>
      </c>
    </row>
    <row r="28934">
      <c r="A28934" s="8" t="inlineStr">
        <is>
          <t>2026-08-06</t>
        </is>
      </c>
      <c r="B28934" s="8" t="n">
        <v>10</v>
      </c>
      <c r="C28934" s="8" t="n">
        <v>1</v>
      </c>
      <c r="D28934" s="8" t="inlineStr">
        <is>
          <t>Disneyland Park</t>
        </is>
      </c>
      <c r="E28934" s="8" t="inlineStr">
        <is>
          <t>Disneyland Railroad Main Street Station</t>
        </is>
      </c>
      <c r="F28934" s="8" t="inlineStr">
        <is>
          <t>STANDBY</t>
        </is>
      </c>
      <c r="G28934" s="8" t="n">
        <v>0</v>
      </c>
      <c r="H28934" s="8" t="inlineStr">
        <is>
          <t>CLOSED</t>
        </is>
      </c>
    </row>
    <row r="28935">
      <c r="A28935" s="8" t="inlineStr">
        <is>
          <t>2026-08-06</t>
        </is>
      </c>
      <c r="B28935" s="8" t="n">
        <v>10</v>
      </c>
      <c r="C28935" s="8" t="n">
        <v>1</v>
      </c>
      <c r="D28935" s="8" t="inlineStr">
        <is>
          <t>Disneyland Park</t>
        </is>
      </c>
      <c r="E28935" s="8" t="inlineStr">
        <is>
          <t>Main Street Vehicles</t>
        </is>
      </c>
      <c r="F28935" s="8" t="inlineStr">
        <is>
          <t>STANDBY</t>
        </is>
      </c>
      <c r="G28935" s="8" t="n">
        <v>5</v>
      </c>
      <c r="H28935" s="8" t="inlineStr">
        <is>
          <t>OPERATING</t>
        </is>
      </c>
    </row>
    <row r="28936">
      <c r="A28936" s="8" t="inlineStr">
        <is>
          <t>2026-08-06</t>
        </is>
      </c>
      <c r="B28936" s="8" t="n">
        <v>10</v>
      </c>
      <c r="C28936" s="8" t="n">
        <v>1</v>
      </c>
      <c r="D28936" s="8" t="inlineStr">
        <is>
          <t>Disney Adventure World</t>
        </is>
      </c>
      <c r="E28936" s="8" t="inlineStr">
        <is>
          <t>Avengers Assemble: Flight Force</t>
        </is>
      </c>
      <c r="F28936" s="8" t="inlineStr">
        <is>
          <t>STANDBY</t>
        </is>
      </c>
      <c r="G28936" s="8" t="n">
        <v>25</v>
      </c>
      <c r="H28936" s="8" t="inlineStr">
        <is>
          <t>OPERATING</t>
        </is>
      </c>
    </row>
    <row r="28937">
      <c r="A28937" s="8" t="inlineStr">
        <is>
          <t>2026-08-06</t>
        </is>
      </c>
      <c r="B28937" s="8" t="n">
        <v>10</v>
      </c>
      <c r="C28937" s="8" t="n">
        <v>1</v>
      </c>
      <c r="D28937" s="8" t="inlineStr">
        <is>
          <t>Disney Adventure World</t>
        </is>
      </c>
      <c r="E28937" s="8" t="inlineStr">
        <is>
          <t>Avengers Assemble: Flight Force Single Rider</t>
        </is>
      </c>
      <c r="F28937" s="8" t="inlineStr">
        <is>
          <t>STANDBY</t>
        </is>
      </c>
      <c r="G28937" s="8" t="n">
        <v>5</v>
      </c>
      <c r="H28937" s="8" t="inlineStr">
        <is>
          <t>OPERATING</t>
        </is>
      </c>
    </row>
    <row r="28938">
      <c r="A28938" s="8" t="inlineStr">
        <is>
          <t>2026-08-06</t>
        </is>
      </c>
      <c r="B28938" s="8" t="n">
        <v>10</v>
      </c>
      <c r="C28938" s="8" t="n">
        <v>1</v>
      </c>
      <c r="D28938" s="8" t="inlineStr">
        <is>
          <t>Disney Adventure World</t>
        </is>
      </c>
      <c r="E28938" s="8" t="inlineStr">
        <is>
          <t>Spider-Man W.E.B. Adventure</t>
        </is>
      </c>
      <c r="F28938" s="8" t="inlineStr">
        <is>
          <t>STANDBY</t>
        </is>
      </c>
      <c r="G28938" s="8" t="n">
        <v>45</v>
      </c>
      <c r="H28938" s="8" t="inlineStr">
        <is>
          <t>OPERATING</t>
        </is>
      </c>
    </row>
    <row r="28939">
      <c r="A28939" s="8" t="inlineStr">
        <is>
          <t>2026-08-06</t>
        </is>
      </c>
      <c r="B28939" s="8" t="n">
        <v>10</v>
      </c>
      <c r="C28939" s="8" t="n">
        <v>1</v>
      </c>
      <c r="D28939" s="8" t="inlineStr">
        <is>
          <t>Disney Adventure World</t>
        </is>
      </c>
      <c r="E28939" s="8" t="inlineStr">
        <is>
          <t>Spider-Man W.E.B. Adventure Single Rider</t>
        </is>
      </c>
      <c r="F28939" s="8" t="inlineStr">
        <is>
          <t>STANDBY</t>
        </is>
      </c>
      <c r="G28939" s="8" t="n">
        <v>5</v>
      </c>
      <c r="H28939" s="8" t="inlineStr">
        <is>
          <t>OPERATING</t>
        </is>
      </c>
    </row>
    <row r="28940">
      <c r="A28940" s="8" t="inlineStr">
        <is>
          <t>2026-08-06</t>
        </is>
      </c>
      <c r="B28940" s="8" t="n">
        <v>10</v>
      </c>
      <c r="C28940" s="8" t="n">
        <v>1</v>
      </c>
      <c r="D28940" s="8" t="inlineStr">
        <is>
          <t>Disney Adventure World</t>
        </is>
      </c>
      <c r="E28940" s="8" t="inlineStr">
        <is>
          <t>The Twilight Zone Tower of Terror</t>
        </is>
      </c>
      <c r="F28940" s="8" t="inlineStr">
        <is>
          <t>STANDBY</t>
        </is>
      </c>
      <c r="G28940" s="8" t="n">
        <v>30</v>
      </c>
      <c r="H28940" s="8" t="inlineStr">
        <is>
          <t>OPERATING</t>
        </is>
      </c>
    </row>
    <row r="28941">
      <c r="A28941" s="8" t="inlineStr">
        <is>
          <t>2026-08-06</t>
        </is>
      </c>
      <c r="B28941" s="8" t="n">
        <v>10</v>
      </c>
      <c r="C28941" s="8" t="n">
        <v>1</v>
      </c>
      <c r="D28941" s="8" t="inlineStr">
        <is>
          <t>Disney Adventure World</t>
        </is>
      </c>
      <c r="E28941" s="8" t="inlineStr">
        <is>
          <t>Cars Quatre Roues Rallye</t>
        </is>
      </c>
      <c r="F28941" s="8" t="inlineStr">
        <is>
          <t>STANDBY</t>
        </is>
      </c>
      <c r="G28941" s="8" t="n">
        <v>10</v>
      </c>
      <c r="H28941" s="8" t="inlineStr">
        <is>
          <t>OPERATING</t>
        </is>
      </c>
    </row>
    <row r="28942">
      <c r="A28942" s="8" t="inlineStr">
        <is>
          <t>2026-08-06</t>
        </is>
      </c>
      <c r="B28942" s="8" t="n">
        <v>10</v>
      </c>
      <c r="C28942" s="8" t="n">
        <v>1</v>
      </c>
      <c r="D28942" s="8" t="inlineStr">
        <is>
          <t>Disney Adventure World</t>
        </is>
      </c>
      <c r="E28942" s="8" t="inlineStr">
        <is>
          <t>Cars ROAD TRIP</t>
        </is>
      </c>
      <c r="F28942" s="8" t="inlineStr">
        <is>
          <t>STANDBY</t>
        </is>
      </c>
      <c r="G28942" s="8" t="n">
        <v>5</v>
      </c>
      <c r="H28942" s="8" t="inlineStr">
        <is>
          <t>OPERATING</t>
        </is>
      </c>
    </row>
    <row r="28943">
      <c r="A28943" s="8" t="inlineStr">
        <is>
          <t>2026-08-06</t>
        </is>
      </c>
      <c r="B28943" s="8" t="n">
        <v>10</v>
      </c>
      <c r="C28943" s="8" t="n">
        <v>1</v>
      </c>
      <c r="D28943" s="8" t="inlineStr">
        <is>
          <t>Disney Adventure World</t>
        </is>
      </c>
      <c r="E28943" s="8" t="inlineStr">
        <is>
          <t>Crush's Coaster</t>
        </is>
      </c>
      <c r="F28943" s="8" t="inlineStr">
        <is>
          <t>STANDBY</t>
        </is>
      </c>
      <c r="G28943" s="8" t="n">
        <v>95</v>
      </c>
      <c r="H28943" s="8" t="inlineStr">
        <is>
          <t>OPERATING</t>
        </is>
      </c>
    </row>
    <row r="28944">
      <c r="A28944" s="8" t="inlineStr">
        <is>
          <t>2026-08-06</t>
        </is>
      </c>
      <c r="B28944" s="8" t="n">
        <v>10</v>
      </c>
      <c r="C28944" s="8" t="n">
        <v>1</v>
      </c>
      <c r="D28944" s="8" t="inlineStr">
        <is>
          <t>Disney Adventure World</t>
        </is>
      </c>
      <c r="E28944" s="8" t="inlineStr">
        <is>
          <t>Crush's Coaster Single Rider</t>
        </is>
      </c>
      <c r="F28944" s="8" t="inlineStr">
        <is>
          <t>STANDBY</t>
        </is>
      </c>
      <c r="G28944" s="8" t="n">
        <v>60</v>
      </c>
      <c r="H28944" s="8" t="inlineStr">
        <is>
          <t>OPERATING</t>
        </is>
      </c>
    </row>
    <row r="28945">
      <c r="A28945" s="8" t="inlineStr">
        <is>
          <t>2026-08-06</t>
        </is>
      </c>
      <c r="B28945" s="8" t="n">
        <v>10</v>
      </c>
      <c r="C28945" s="8" t="n">
        <v>1</v>
      </c>
      <c r="D28945" s="8" t="inlineStr">
        <is>
          <t>Disney Adventure World</t>
        </is>
      </c>
      <c r="E28945" s="8" t="inlineStr">
        <is>
          <t>Les Tapis Volants - Flying Carpets Over Agrabah®</t>
        </is>
      </c>
      <c r="F28945" s="8" t="inlineStr">
        <is>
          <t>STANDBY</t>
        </is>
      </c>
      <c r="G28945" s="8" t="n">
        <v>5</v>
      </c>
      <c r="H28945" s="8" t="inlineStr">
        <is>
          <t>OPERATING</t>
        </is>
      </c>
    </row>
    <row r="28946">
      <c r="A28946" s="8" t="inlineStr">
        <is>
          <t>2026-08-06</t>
        </is>
      </c>
      <c r="B28946" s="8" t="n">
        <v>10</v>
      </c>
      <c r="C28946" s="8" t="n">
        <v>1</v>
      </c>
      <c r="D28946" s="8" t="inlineStr">
        <is>
          <t>Disney Adventure World</t>
        </is>
      </c>
      <c r="E28946" s="8" t="inlineStr">
        <is>
          <t>Ratatouille : L’Aventure Totalement Toquée de Rémy​</t>
        </is>
      </c>
      <c r="F28946" s="8" t="inlineStr">
        <is>
          <t>STANDBY</t>
        </is>
      </c>
      <c r="G28946" s="8" t="n">
        <v>40</v>
      </c>
      <c r="H28946" s="8" t="inlineStr">
        <is>
          <t>OPERATING</t>
        </is>
      </c>
    </row>
    <row r="28947">
      <c r="A28947" s="8" t="inlineStr">
        <is>
          <t>2026-08-06</t>
        </is>
      </c>
      <c r="B28947" s="8" t="n">
        <v>10</v>
      </c>
      <c r="C28947" s="8" t="n">
        <v>1</v>
      </c>
      <c r="D28947" s="8" t="inlineStr">
        <is>
          <t>Disney Adventure World</t>
        </is>
      </c>
      <c r="E28947" s="8" t="inlineStr">
        <is>
          <t>Ratatouille: The Adventure Single Rider</t>
        </is>
      </c>
      <c r="F28947" s="8" t="inlineStr">
        <is>
          <t>STANDBY</t>
        </is>
      </c>
      <c r="G28947" s="8" t="n">
        <v>10</v>
      </c>
      <c r="H28947" s="8" t="inlineStr">
        <is>
          <t>OPERATING</t>
        </is>
      </c>
    </row>
    <row r="28948">
      <c r="A28948" s="8" t="inlineStr">
        <is>
          <t>2026-08-06</t>
        </is>
      </c>
      <c r="B28948" s="8" t="n">
        <v>10</v>
      </c>
      <c r="C28948" s="8" t="n">
        <v>1</v>
      </c>
      <c r="D28948" s="8" t="inlineStr">
        <is>
          <t>Disney Adventure World</t>
        </is>
      </c>
      <c r="E28948" s="8" t="inlineStr">
        <is>
          <t>RC Racer</t>
        </is>
      </c>
      <c r="F28948" s="8" t="inlineStr">
        <is>
          <t>STANDBY</t>
        </is>
      </c>
      <c r="G28948" s="8" t="n">
        <v>35</v>
      </c>
      <c r="H28948" s="8" t="inlineStr">
        <is>
          <t>OPERATING</t>
        </is>
      </c>
    </row>
    <row r="28949">
      <c r="A28949" s="8" t="inlineStr">
        <is>
          <t>2026-08-06</t>
        </is>
      </c>
      <c r="B28949" s="8" t="n">
        <v>10</v>
      </c>
      <c r="C28949" s="8" t="n">
        <v>1</v>
      </c>
      <c r="D28949" s="8" t="inlineStr">
        <is>
          <t>Disney Adventure World</t>
        </is>
      </c>
      <c r="E28949" s="8" t="inlineStr">
        <is>
          <t>RC Racer Single Rider</t>
        </is>
      </c>
      <c r="F28949" s="8" t="inlineStr">
        <is>
          <t>STANDBY</t>
        </is>
      </c>
      <c r="G28949" s="8" t="n">
        <v>25</v>
      </c>
      <c r="H28949" s="8" t="inlineStr">
        <is>
          <t>OPERATING</t>
        </is>
      </c>
    </row>
    <row r="28950">
      <c r="A28950" s="8" t="inlineStr">
        <is>
          <t>2026-08-06</t>
        </is>
      </c>
      <c r="B28950" s="8" t="n">
        <v>10</v>
      </c>
      <c r="C28950" s="8" t="n">
        <v>1</v>
      </c>
      <c r="D28950" s="8" t="inlineStr">
        <is>
          <t>Disney Adventure World</t>
        </is>
      </c>
      <c r="E28950" s="8" t="inlineStr">
        <is>
          <t>Slinky® Dog Zigzag Spin</t>
        </is>
      </c>
      <c r="F28950" s="8" t="inlineStr">
        <is>
          <t>STANDBY</t>
        </is>
      </c>
      <c r="G28950" s="8" t="n">
        <v>5</v>
      </c>
      <c r="H28950" s="8" t="inlineStr">
        <is>
          <t>OPERATING</t>
        </is>
      </c>
    </row>
    <row r="28951">
      <c r="A28951" s="8" t="inlineStr">
        <is>
          <t>2026-08-06</t>
        </is>
      </c>
      <c r="B28951" s="8" t="n">
        <v>10</v>
      </c>
      <c r="C28951" s="8" t="n">
        <v>1</v>
      </c>
      <c r="D28951" s="8" t="inlineStr">
        <is>
          <t>Disney Adventure World</t>
        </is>
      </c>
      <c r="E28951" s="8" t="inlineStr">
        <is>
          <t>Toy Soldiers Parachute Drop</t>
        </is>
      </c>
      <c r="F28951" s="8" t="inlineStr">
        <is>
          <t>STANDBY</t>
        </is>
      </c>
      <c r="G28951" s="8" t="n">
        <v>55</v>
      </c>
      <c r="H28951" s="8" t="inlineStr">
        <is>
          <t>OPERATING</t>
        </is>
      </c>
    </row>
    <row r="28952">
      <c r="A28952" s="8" t="inlineStr">
        <is>
          <t>2026-08-06</t>
        </is>
      </c>
      <c r="B28952" s="8" t="n">
        <v>10</v>
      </c>
      <c r="C28952" s="8" t="n">
        <v>1</v>
      </c>
      <c r="D28952" s="8" t="inlineStr">
        <is>
          <t>Disney Adventure World</t>
        </is>
      </c>
      <c r="E28952" s="8" t="inlineStr">
        <is>
          <t>Toy Soldiers Parachute Drop Single Rider</t>
        </is>
      </c>
      <c r="F28952" s="8" t="inlineStr">
        <is>
          <t>STANDBY</t>
        </is>
      </c>
      <c r="G28952" s="8" t="n">
        <v>10</v>
      </c>
      <c r="H28952" s="8" t="inlineStr">
        <is>
          <t>OPERATING</t>
        </is>
      </c>
    </row>
    <row r="28953">
      <c r="A28953" s="8" t="inlineStr">
        <is>
          <t>2026-08-06</t>
        </is>
      </c>
      <c r="B28953" s="8" t="n">
        <v>10</v>
      </c>
      <c r="C28953" s="8" t="n">
        <v>1</v>
      </c>
      <c r="D28953" s="8" t="inlineStr">
        <is>
          <t>Disney Adventure World</t>
        </is>
      </c>
      <c r="E28953" s="8" t="inlineStr">
        <is>
          <t>Entry to World of Frozen</t>
        </is>
      </c>
      <c r="F28953" s="8" t="inlineStr">
        <is>
          <t>STANDBY</t>
        </is>
      </c>
      <c r="G28953" s="8" t="n">
        <v>0</v>
      </c>
      <c r="H28953" s="8" t="inlineStr">
        <is>
          <t>OPERATING</t>
        </is>
      </c>
    </row>
    <row r="28954">
      <c r="A28954" s="8" t="inlineStr">
        <is>
          <t>2026-08-06</t>
        </is>
      </c>
      <c r="B28954" s="8" t="n">
        <v>10</v>
      </c>
      <c r="C28954" s="8" t="n">
        <v>1</v>
      </c>
      <c r="D28954" s="8" t="inlineStr">
        <is>
          <t>Disney Adventure World</t>
        </is>
      </c>
      <c r="E28954" s="8" t="inlineStr">
        <is>
          <t>Frozen Ever After</t>
        </is>
      </c>
      <c r="F28954" s="8" t="inlineStr">
        <is>
          <t>STANDBY</t>
        </is>
      </c>
      <c r="G28954" s="8" t="n">
        <v>65</v>
      </c>
      <c r="H28954" s="8" t="inlineStr">
        <is>
          <t>OPERATING</t>
        </is>
      </c>
    </row>
    <row r="28955">
      <c r="A28955" s="8" t="inlineStr">
        <is>
          <t>2026-08-06</t>
        </is>
      </c>
      <c r="B28955" s="8" t="n">
        <v>10</v>
      </c>
      <c r="C28955" s="8" t="n">
        <v>1</v>
      </c>
      <c r="D28955" s="8" t="inlineStr">
        <is>
          <t>Disney Adventure World</t>
        </is>
      </c>
      <c r="E28955" s="8" t="inlineStr">
        <is>
          <t>Raiponce Tangled Spin</t>
        </is>
      </c>
      <c r="F28955" s="8" t="inlineStr">
        <is>
          <t>STANDBY</t>
        </is>
      </c>
      <c r="G28955" s="8" t="n">
        <v>5</v>
      </c>
      <c r="H28955" s="8" t="inlineStr">
        <is>
          <t>OPERATING</t>
        </is>
      </c>
    </row>
    <row r="28956">
      <c r="A28956" s="8" t="inlineStr">
        <is>
          <t>2026-08-06</t>
        </is>
      </c>
      <c r="B28956" s="8" t="n">
        <v>10</v>
      </c>
      <c r="C28956" s="8" t="n">
        <v>15</v>
      </c>
      <c r="D28956" s="8" t="inlineStr">
        <is>
          <t>Disneyland Park</t>
        </is>
      </c>
      <c r="E28956" s="8" t="inlineStr">
        <is>
          <t>Adventure Isle</t>
        </is>
      </c>
      <c r="F28956" s="8" t="inlineStr">
        <is>
          <t>STANDBY</t>
        </is>
      </c>
      <c r="G28956" s="8" t="n">
        <v>0</v>
      </c>
      <c r="H28956" s="8" t="inlineStr">
        <is>
          <t>OPERATING</t>
        </is>
      </c>
    </row>
    <row r="28957">
      <c r="A28957" s="8" t="inlineStr">
        <is>
          <t>2026-08-06</t>
        </is>
      </c>
      <c r="B28957" s="8" t="n">
        <v>10</v>
      </c>
      <c r="C28957" s="8" t="n">
        <v>15</v>
      </c>
      <c r="D28957" s="8" t="inlineStr">
        <is>
          <t>Disneyland Park</t>
        </is>
      </c>
      <c r="E28957" s="8" t="inlineStr">
        <is>
          <t>Indiana Jones and the Temple of Peril Single Rider</t>
        </is>
      </c>
      <c r="F28957" s="8" t="inlineStr">
        <is>
          <t>STANDBY</t>
        </is>
      </c>
      <c r="G28957" s="8" t="n">
        <v>5</v>
      </c>
      <c r="H28957" s="8" t="inlineStr">
        <is>
          <t>OPERATING</t>
        </is>
      </c>
    </row>
    <row r="28958">
      <c r="A28958" s="8" t="inlineStr">
        <is>
          <t>2026-08-06</t>
        </is>
      </c>
      <c r="B28958" s="8" t="n">
        <v>10</v>
      </c>
      <c r="C28958" s="8" t="n">
        <v>15</v>
      </c>
      <c r="D28958" s="8" t="inlineStr">
        <is>
          <t>Disneyland Park</t>
        </is>
      </c>
      <c r="E28958" s="8" t="inlineStr">
        <is>
          <t>Indiana Jones™ and the Temple of Peril</t>
        </is>
      </c>
      <c r="F28958" s="8" t="inlineStr">
        <is>
          <t>STANDBY</t>
        </is>
      </c>
      <c r="G28958" s="8" t="n">
        <v>10</v>
      </c>
      <c r="H28958" s="8" t="inlineStr">
        <is>
          <t>OPERATING</t>
        </is>
      </c>
    </row>
    <row r="28959">
      <c r="A28959" s="8" t="inlineStr">
        <is>
          <t>2026-08-06</t>
        </is>
      </c>
      <c r="B28959" s="8" t="n">
        <v>10</v>
      </c>
      <c r="C28959" s="8" t="n">
        <v>15</v>
      </c>
      <c r="D28959" s="8" t="inlineStr">
        <is>
          <t>Disneyland Park</t>
        </is>
      </c>
      <c r="E28959" s="8" t="inlineStr">
        <is>
          <t>La Cabane des Robinson</t>
        </is>
      </c>
      <c r="F28959" s="8" t="inlineStr">
        <is>
          <t>STANDBY</t>
        </is>
      </c>
      <c r="G28959" s="8" t="n">
        <v>5</v>
      </c>
      <c r="H28959" s="8" t="inlineStr">
        <is>
          <t>OPERATING</t>
        </is>
      </c>
    </row>
    <row r="28960">
      <c r="A28960" s="8" t="inlineStr">
        <is>
          <t>2026-08-06</t>
        </is>
      </c>
      <c r="B28960" s="8" t="n">
        <v>10</v>
      </c>
      <c r="C28960" s="8" t="n">
        <v>15</v>
      </c>
      <c r="D28960" s="8" t="inlineStr">
        <is>
          <t>Disneyland Park</t>
        </is>
      </c>
      <c r="E28960" s="8" t="inlineStr">
        <is>
          <t>Le Passage Enchanté d'Aladdin</t>
        </is>
      </c>
      <c r="F28960" s="8" t="inlineStr">
        <is>
          <t>STANDBY</t>
        </is>
      </c>
      <c r="G28960" s="8" t="n">
        <v>0</v>
      </c>
      <c r="H28960" s="8" t="inlineStr">
        <is>
          <t>OPERATING</t>
        </is>
      </c>
    </row>
    <row r="28961">
      <c r="A28961" s="8" t="inlineStr">
        <is>
          <t>2026-08-06</t>
        </is>
      </c>
      <c r="B28961" s="8" t="n">
        <v>10</v>
      </c>
      <c r="C28961" s="8" t="n">
        <v>15</v>
      </c>
      <c r="D28961" s="8" t="inlineStr">
        <is>
          <t>Disneyland Park</t>
        </is>
      </c>
      <c r="E28961" s="8" t="inlineStr">
        <is>
          <t>Pirate Galleon</t>
        </is>
      </c>
      <c r="F28961" s="8" t="inlineStr">
        <is>
          <t>STANDBY</t>
        </is>
      </c>
      <c r="G28961" s="8" t="n">
        <v>0</v>
      </c>
      <c r="H28961" s="8" t="inlineStr">
        <is>
          <t>CLOSED</t>
        </is>
      </c>
    </row>
    <row r="28962">
      <c r="A28962" s="8" t="inlineStr">
        <is>
          <t>2026-08-06</t>
        </is>
      </c>
      <c r="B28962" s="8" t="n">
        <v>10</v>
      </c>
      <c r="C28962" s="8" t="n">
        <v>15</v>
      </c>
      <c r="D28962" s="8" t="inlineStr">
        <is>
          <t>Disneyland Park</t>
        </is>
      </c>
      <c r="E28962" s="8" t="inlineStr">
        <is>
          <t>Pirates of the Caribbean</t>
        </is>
      </c>
      <c r="F28962" s="8" t="inlineStr">
        <is>
          <t>STANDBY</t>
        </is>
      </c>
      <c r="G28962" s="8" t="n">
        <v>15</v>
      </c>
      <c r="H28962" s="8" t="inlineStr">
        <is>
          <t>OPERATING</t>
        </is>
      </c>
    </row>
    <row r="28963">
      <c r="A28963" s="8" t="inlineStr">
        <is>
          <t>2026-08-06</t>
        </is>
      </c>
      <c r="B28963" s="8" t="n">
        <v>10</v>
      </c>
      <c r="C28963" s="8" t="n">
        <v>15</v>
      </c>
      <c r="D28963" s="8" t="inlineStr">
        <is>
          <t>Disneyland Park</t>
        </is>
      </c>
      <c r="E28963" s="8" t="inlineStr">
        <is>
          <t>Pirates' Beach</t>
        </is>
      </c>
      <c r="F28963" s="8" t="inlineStr">
        <is>
          <t>STANDBY</t>
        </is>
      </c>
      <c r="G28963" s="8" t="n">
        <v>0</v>
      </c>
      <c r="H28963" s="8" t="inlineStr">
        <is>
          <t>OPERATING</t>
        </is>
      </c>
    </row>
    <row r="28964">
      <c r="A28964" s="8" t="inlineStr">
        <is>
          <t>2026-08-06</t>
        </is>
      </c>
      <c r="B28964" s="8" t="n">
        <v>10</v>
      </c>
      <c r="C28964" s="8" t="n">
        <v>15</v>
      </c>
      <c r="D28964" s="8" t="inlineStr">
        <is>
          <t>Disneyland Park</t>
        </is>
      </c>
      <c r="E28964" s="8" t="inlineStr">
        <is>
          <t>Autopia, presented by Avis</t>
        </is>
      </c>
      <c r="F28964" s="8" t="inlineStr">
        <is>
          <t>STANDBY</t>
        </is>
      </c>
      <c r="G28964" s="8" t="n">
        <v>35</v>
      </c>
      <c r="H28964" s="8" t="inlineStr">
        <is>
          <t>OPERATING</t>
        </is>
      </c>
    </row>
    <row r="28965">
      <c r="A28965" s="8" t="inlineStr">
        <is>
          <t>2026-08-06</t>
        </is>
      </c>
      <c r="B28965" s="8" t="n">
        <v>10</v>
      </c>
      <c r="C28965" s="8" t="n">
        <v>15</v>
      </c>
      <c r="D28965" s="8" t="inlineStr">
        <is>
          <t>Disneyland Park</t>
        </is>
      </c>
      <c r="E28965" s="8" t="inlineStr">
        <is>
          <t>Buzz Lightyear Laser Blast</t>
        </is>
      </c>
      <c r="F28965" s="8" t="inlineStr">
        <is>
          <t>STANDBY</t>
        </is>
      </c>
      <c r="G28965" s="8" t="n">
        <v>35</v>
      </c>
      <c r="H28965" s="8" t="inlineStr">
        <is>
          <t>OPERATING</t>
        </is>
      </c>
    </row>
    <row r="28966">
      <c r="A28966" s="8" t="inlineStr">
        <is>
          <t>2026-08-06</t>
        </is>
      </c>
      <c r="B28966" s="8" t="n">
        <v>10</v>
      </c>
      <c r="C28966" s="8" t="n">
        <v>15</v>
      </c>
      <c r="D28966" s="8" t="inlineStr">
        <is>
          <t>Disneyland Park</t>
        </is>
      </c>
      <c r="E28966" s="8" t="inlineStr">
        <is>
          <t>Disneyland Railroad Discoveryland Station</t>
        </is>
      </c>
      <c r="F28966" s="8" t="inlineStr">
        <is>
          <t>STANDBY</t>
        </is>
      </c>
      <c r="G28966" s="8" t="n">
        <v>0</v>
      </c>
      <c r="H28966" s="8" t="inlineStr">
        <is>
          <t>CLOSED</t>
        </is>
      </c>
    </row>
    <row r="28967">
      <c r="A28967" s="8" t="inlineStr">
        <is>
          <t>2026-08-06</t>
        </is>
      </c>
      <c r="B28967" s="8" t="n">
        <v>10</v>
      </c>
      <c r="C28967" s="8" t="n">
        <v>15</v>
      </c>
      <c r="D28967" s="8" t="inlineStr">
        <is>
          <t>Disneyland Park</t>
        </is>
      </c>
      <c r="E28967" s="8" t="inlineStr">
        <is>
          <t>Les Mystères du Nautilus</t>
        </is>
      </c>
      <c r="F28967" s="8" t="inlineStr">
        <is>
          <t>STANDBY</t>
        </is>
      </c>
      <c r="G28967" s="8" t="n">
        <v>5</v>
      </c>
      <c r="H28967" s="8" t="inlineStr">
        <is>
          <t>OPERATING</t>
        </is>
      </c>
    </row>
    <row r="28968">
      <c r="A28968" s="8" t="inlineStr">
        <is>
          <t>2026-08-06</t>
        </is>
      </c>
      <c r="B28968" s="8" t="n">
        <v>10</v>
      </c>
      <c r="C28968" s="8" t="n">
        <v>15</v>
      </c>
      <c r="D28968" s="8" t="inlineStr">
        <is>
          <t>Disneyland Park</t>
        </is>
      </c>
      <c r="E28968" s="8" t="inlineStr">
        <is>
          <t>Mickey’s PhilharMagic</t>
        </is>
      </c>
      <c r="F28968" s="8" t="inlineStr">
        <is>
          <t>STANDBY</t>
        </is>
      </c>
      <c r="G28968" s="8" t="n">
        <v>0</v>
      </c>
      <c r="H28968" s="8" t="inlineStr">
        <is>
          <t>CLOSED</t>
        </is>
      </c>
    </row>
    <row r="28969">
      <c r="A28969" s="8" t="inlineStr">
        <is>
          <t>2026-08-06</t>
        </is>
      </c>
      <c r="B28969" s="8" t="n">
        <v>10</v>
      </c>
      <c r="C28969" s="8" t="n">
        <v>15</v>
      </c>
      <c r="D28969" s="8" t="inlineStr">
        <is>
          <t>Disneyland Park</t>
        </is>
      </c>
      <c r="E28969" s="8" t="inlineStr">
        <is>
          <t>Orbitron®</t>
        </is>
      </c>
      <c r="F28969" s="8" t="inlineStr">
        <is>
          <t>STANDBY</t>
        </is>
      </c>
      <c r="G28969" s="8" t="n">
        <v>50</v>
      </c>
      <c r="H28969" s="8" t="inlineStr">
        <is>
          <t>OPERATING</t>
        </is>
      </c>
    </row>
    <row r="28970">
      <c r="A28970" s="8" t="inlineStr">
        <is>
          <t>2026-08-06</t>
        </is>
      </c>
      <c r="B28970" s="8" t="n">
        <v>10</v>
      </c>
      <c r="C28970" s="8" t="n">
        <v>15</v>
      </c>
      <c r="D28970" s="8" t="inlineStr">
        <is>
          <t>Disneyland Park</t>
        </is>
      </c>
      <c r="E28970" s="8" t="inlineStr">
        <is>
          <t>Star Tours: The Adventures Continue*</t>
        </is>
      </c>
      <c r="F28970" s="8" t="inlineStr">
        <is>
          <t>STANDBY</t>
        </is>
      </c>
      <c r="G28970" s="8" t="n">
        <v>5</v>
      </c>
      <c r="H28970" s="8" t="inlineStr">
        <is>
          <t>OPERATING</t>
        </is>
      </c>
    </row>
    <row r="28971">
      <c r="A28971" s="8" t="inlineStr">
        <is>
          <t>2026-08-06</t>
        </is>
      </c>
      <c r="B28971" s="8" t="n">
        <v>10</v>
      </c>
      <c r="C28971" s="8" t="n">
        <v>15</v>
      </c>
      <c r="D28971" s="8" t="inlineStr">
        <is>
          <t>Disneyland Park</t>
        </is>
      </c>
      <c r="E28971" s="8" t="inlineStr">
        <is>
          <t>Star Wars Hyperspace Mountain</t>
        </is>
      </c>
      <c r="F28971" s="8" t="inlineStr">
        <is>
          <t>STANDBY</t>
        </is>
      </c>
      <c r="G28971" s="8" t="n">
        <v>25</v>
      </c>
      <c r="H28971" s="8" t="inlineStr">
        <is>
          <t>OPERATING</t>
        </is>
      </c>
    </row>
    <row r="28972">
      <c r="A28972" s="8" t="inlineStr">
        <is>
          <t>2026-08-06</t>
        </is>
      </c>
      <c r="B28972" s="8" t="n">
        <v>10</v>
      </c>
      <c r="C28972" s="8" t="n">
        <v>15</v>
      </c>
      <c r="D28972" s="8" t="inlineStr">
        <is>
          <t>Disneyland Park</t>
        </is>
      </c>
      <c r="E28972" s="8" t="inlineStr">
        <is>
          <t>Star Wars Hyperspace Mountain Single Rider</t>
        </is>
      </c>
      <c r="F28972" s="8" t="inlineStr">
        <is>
          <t>STANDBY</t>
        </is>
      </c>
      <c r="G28972" s="8" t="n">
        <v>20</v>
      </c>
      <c r="H28972" s="8" t="inlineStr">
        <is>
          <t>OPERATING</t>
        </is>
      </c>
    </row>
    <row r="28973">
      <c r="A28973" s="8" t="inlineStr">
        <is>
          <t>2026-08-06</t>
        </is>
      </c>
      <c r="B28973" s="8" t="n">
        <v>10</v>
      </c>
      <c r="C28973" s="8" t="n">
        <v>15</v>
      </c>
      <c r="D28973" s="8" t="inlineStr">
        <is>
          <t>Disneyland Park</t>
        </is>
      </c>
      <c r="E28973" s="8" t="inlineStr">
        <is>
          <t>Welcome to Starport: A Star Wars Encounter</t>
        </is>
      </c>
      <c r="F28973" s="8" t="inlineStr">
        <is>
          <t>STANDBY</t>
        </is>
      </c>
      <c r="G28973" s="8" t="n">
        <v>5</v>
      </c>
      <c r="H28973" s="8" t="inlineStr">
        <is>
          <t>OPERATING</t>
        </is>
      </c>
    </row>
    <row r="28974">
      <c r="A28974" s="8" t="inlineStr">
        <is>
          <t>2026-08-06</t>
        </is>
      </c>
      <c r="B28974" s="8" t="n">
        <v>10</v>
      </c>
      <c r="C28974" s="8" t="n">
        <v>15</v>
      </c>
      <c r="D28974" s="8" t="inlineStr">
        <is>
          <t>Disneyland Park</t>
        </is>
      </c>
      <c r="E28974" s="8" t="inlineStr">
        <is>
          <t>"it's a small world"</t>
        </is>
      </c>
      <c r="F28974" s="8" t="inlineStr">
        <is>
          <t>STANDBY</t>
        </is>
      </c>
      <c r="G28974" s="8" t="n">
        <v>5</v>
      </c>
      <c r="H28974" s="8" t="inlineStr">
        <is>
          <t>OPERATING</t>
        </is>
      </c>
    </row>
    <row r="28975">
      <c r="A28975" s="8" t="inlineStr">
        <is>
          <t>2026-08-06</t>
        </is>
      </c>
      <c r="B28975" s="8" t="n">
        <v>10</v>
      </c>
      <c r="C28975" s="8" t="n">
        <v>15</v>
      </c>
      <c r="D28975" s="8" t="inlineStr">
        <is>
          <t>Disneyland Park</t>
        </is>
      </c>
      <c r="E28975" s="8" t="inlineStr">
        <is>
          <t>Alice's Curious Labyrinth</t>
        </is>
      </c>
      <c r="F28975" s="8" t="inlineStr">
        <is>
          <t>STANDBY</t>
        </is>
      </c>
      <c r="G28975" s="8" t="n">
        <v>5</v>
      </c>
      <c r="H28975" s="8" t="inlineStr">
        <is>
          <t>OPERATING</t>
        </is>
      </c>
    </row>
    <row r="28976">
      <c r="A28976" s="8" t="inlineStr">
        <is>
          <t>2026-08-06</t>
        </is>
      </c>
      <c r="B28976" s="8" t="n">
        <v>10</v>
      </c>
      <c r="C28976" s="8" t="n">
        <v>15</v>
      </c>
      <c r="D28976" s="8" t="inlineStr">
        <is>
          <t>Disneyland Park</t>
        </is>
      </c>
      <c r="E28976" s="8" t="inlineStr">
        <is>
          <t>Blanche-Neige et les Sept Nains®</t>
        </is>
      </c>
      <c r="F28976" s="8" t="inlineStr">
        <is>
          <t>STANDBY</t>
        </is>
      </c>
      <c r="G28976" s="8" t="n">
        <v>10</v>
      </c>
      <c r="H28976" s="8" t="inlineStr">
        <is>
          <t>OPERATING</t>
        </is>
      </c>
    </row>
    <row r="28977">
      <c r="A28977" s="8" t="inlineStr">
        <is>
          <t>2026-08-06</t>
        </is>
      </c>
      <c r="B28977" s="8" t="n">
        <v>10</v>
      </c>
      <c r="C28977" s="8" t="n">
        <v>15</v>
      </c>
      <c r="D28977" s="8" t="inlineStr">
        <is>
          <t>Disneyland Park</t>
        </is>
      </c>
      <c r="E28977" s="8" t="inlineStr">
        <is>
          <t>Casey Jr. – le Petit Train du Cirque</t>
        </is>
      </c>
      <c r="F28977" s="8" t="inlineStr">
        <is>
          <t>STANDBY</t>
        </is>
      </c>
      <c r="G28977" s="8" t="n">
        <v>5</v>
      </c>
      <c r="H28977" s="8" t="inlineStr">
        <is>
          <t>OPERATING</t>
        </is>
      </c>
    </row>
    <row r="28978">
      <c r="A28978" s="8" t="inlineStr">
        <is>
          <t>2026-08-06</t>
        </is>
      </c>
      <c r="B28978" s="8" t="n">
        <v>10</v>
      </c>
      <c r="C28978" s="8" t="n">
        <v>15</v>
      </c>
      <c r="D28978" s="8" t="inlineStr">
        <is>
          <t>Disneyland Park</t>
        </is>
      </c>
      <c r="E28978" s="8" t="inlineStr">
        <is>
          <t>Disneyland Railroad Fantasyland Station</t>
        </is>
      </c>
      <c r="F28978" s="8" t="inlineStr">
        <is>
          <t>STANDBY</t>
        </is>
      </c>
      <c r="G28978" s="8" t="n">
        <v>0</v>
      </c>
      <c r="H28978" s="8" t="inlineStr">
        <is>
          <t>CLOSED</t>
        </is>
      </c>
    </row>
    <row r="28979">
      <c r="A28979" s="8" t="inlineStr">
        <is>
          <t>2026-08-06</t>
        </is>
      </c>
      <c r="B28979" s="8" t="n">
        <v>10</v>
      </c>
      <c r="C28979" s="8" t="n">
        <v>15</v>
      </c>
      <c r="D28979" s="8" t="inlineStr">
        <is>
          <t>Disneyland Park</t>
        </is>
      </c>
      <c r="E28979" s="8" t="inlineStr">
        <is>
          <t>Disneyland Railroad Main Street Station</t>
        </is>
      </c>
      <c r="F28979" s="8" t="inlineStr">
        <is>
          <t>STANDBY</t>
        </is>
      </c>
      <c r="G28979" s="8" t="n">
        <v>0</v>
      </c>
      <c r="H28979" s="8" t="inlineStr">
        <is>
          <t>CLOSED</t>
        </is>
      </c>
    </row>
    <row r="28980">
      <c r="A28980" s="8" t="inlineStr">
        <is>
          <t>2026-08-06</t>
        </is>
      </c>
      <c r="B28980" s="8" t="n">
        <v>10</v>
      </c>
      <c r="C28980" s="8" t="n">
        <v>15</v>
      </c>
      <c r="D28980" s="8" t="inlineStr">
        <is>
          <t>Disneyland Park</t>
        </is>
      </c>
      <c r="E28980" s="8" t="inlineStr">
        <is>
          <t>Dumbo the Flying Elephant</t>
        </is>
      </c>
      <c r="F28980" s="8" t="inlineStr">
        <is>
          <t>STANDBY</t>
        </is>
      </c>
      <c r="G28980" s="8" t="n">
        <v>15</v>
      </c>
      <c r="H28980" s="8" t="inlineStr">
        <is>
          <t>OPERATING</t>
        </is>
      </c>
    </row>
    <row r="28981">
      <c r="A28981" s="8" t="inlineStr">
        <is>
          <t>2026-08-06</t>
        </is>
      </c>
      <c r="B28981" s="8" t="n">
        <v>10</v>
      </c>
      <c r="C28981" s="8" t="n">
        <v>15</v>
      </c>
      <c r="D28981" s="8" t="inlineStr">
        <is>
          <t>Disneyland Park</t>
        </is>
      </c>
      <c r="E28981" s="8" t="inlineStr">
        <is>
          <t>La Tanière du Dragon</t>
        </is>
      </c>
      <c r="F28981" s="8" t="inlineStr">
        <is>
          <t>STANDBY</t>
        </is>
      </c>
      <c r="G28981" s="8" t="n">
        <v>0</v>
      </c>
      <c r="H28981" s="8" t="inlineStr">
        <is>
          <t>OPERATING</t>
        </is>
      </c>
    </row>
    <row r="28982">
      <c r="A28982" s="8" t="inlineStr">
        <is>
          <t>2026-08-06</t>
        </is>
      </c>
      <c r="B28982" s="8" t="n">
        <v>10</v>
      </c>
      <c r="C28982" s="8" t="n">
        <v>15</v>
      </c>
      <c r="D28982" s="8" t="inlineStr">
        <is>
          <t>Disneyland Park</t>
        </is>
      </c>
      <c r="E28982" s="8" t="inlineStr">
        <is>
          <t>Le Carrousel de Lancelot</t>
        </is>
      </c>
      <c r="F28982" s="8" t="inlineStr">
        <is>
          <t>STANDBY</t>
        </is>
      </c>
      <c r="G28982" s="8" t="n">
        <v>10</v>
      </c>
      <c r="H28982" s="8" t="inlineStr">
        <is>
          <t>OPERATING</t>
        </is>
      </c>
    </row>
    <row r="28983">
      <c r="A28983" s="8" t="inlineStr">
        <is>
          <t>2026-08-06</t>
        </is>
      </c>
      <c r="B28983" s="8" t="n">
        <v>10</v>
      </c>
      <c r="C28983" s="8" t="n">
        <v>15</v>
      </c>
      <c r="D28983" s="8" t="inlineStr">
        <is>
          <t>Disneyland Park</t>
        </is>
      </c>
      <c r="E28983" s="8" t="inlineStr">
        <is>
          <t>Le Pays des Contes de Fées, presented by Vittel</t>
        </is>
      </c>
      <c r="F28983" s="8" t="inlineStr">
        <is>
          <t>STANDBY</t>
        </is>
      </c>
      <c r="G28983" s="8" t="n">
        <v>5</v>
      </c>
      <c r="H28983" s="8" t="inlineStr">
        <is>
          <t>OPERATING</t>
        </is>
      </c>
    </row>
    <row r="28984">
      <c r="A28984" s="8" t="inlineStr">
        <is>
          <t>2026-08-06</t>
        </is>
      </c>
      <c r="B28984" s="8" t="n">
        <v>10</v>
      </c>
      <c r="C28984" s="8" t="n">
        <v>15</v>
      </c>
      <c r="D28984" s="8" t="inlineStr">
        <is>
          <t>Disneyland Park</t>
        </is>
      </c>
      <c r="E28984" s="8" t="inlineStr">
        <is>
          <t>Les Voyages de Pinocchio</t>
        </is>
      </c>
      <c r="F28984" s="8" t="inlineStr">
        <is>
          <t>STANDBY</t>
        </is>
      </c>
      <c r="G28984" s="8" t="n">
        <v>15</v>
      </c>
      <c r="H28984" s="8" t="inlineStr">
        <is>
          <t>OPERATING</t>
        </is>
      </c>
    </row>
    <row r="28985">
      <c r="A28985" s="8" t="inlineStr">
        <is>
          <t>2026-08-06</t>
        </is>
      </c>
      <c r="B28985" s="8" t="n">
        <v>10</v>
      </c>
      <c r="C28985" s="8" t="n">
        <v>15</v>
      </c>
      <c r="D28985" s="8" t="inlineStr">
        <is>
          <t>Disneyland Park</t>
        </is>
      </c>
      <c r="E28985" s="8" t="inlineStr">
        <is>
          <t>Mad Hatter's Tea Cups</t>
        </is>
      </c>
      <c r="F28985" s="8" t="inlineStr">
        <is>
          <t>STANDBY</t>
        </is>
      </c>
      <c r="G28985" s="8" t="n">
        <v>5</v>
      </c>
      <c r="H28985" s="8" t="inlineStr">
        <is>
          <t>OPERATING</t>
        </is>
      </c>
    </row>
    <row r="28986">
      <c r="A28986" s="8" t="inlineStr">
        <is>
          <t>2026-08-06</t>
        </is>
      </c>
      <c r="B28986" s="8" t="n">
        <v>10</v>
      </c>
      <c r="C28986" s="8" t="n">
        <v>15</v>
      </c>
      <c r="D28986" s="8" t="inlineStr">
        <is>
          <t>Disneyland Park</t>
        </is>
      </c>
      <c r="E28986" s="8" t="inlineStr">
        <is>
          <t>Meet Mickey Mouse</t>
        </is>
      </c>
      <c r="F28986" s="8" t="inlineStr">
        <is>
          <t>STANDBY</t>
        </is>
      </c>
      <c r="G28986" s="8" t="n">
        <v>0</v>
      </c>
      <c r="H28986" s="8" t="inlineStr">
        <is>
          <t>OPERATING</t>
        </is>
      </c>
    </row>
    <row r="28987">
      <c r="A28987" s="8" t="inlineStr">
        <is>
          <t>2026-08-06</t>
        </is>
      </c>
      <c r="B28987" s="8" t="n">
        <v>10</v>
      </c>
      <c r="C28987" s="8" t="n">
        <v>15</v>
      </c>
      <c r="D28987" s="8" t="inlineStr">
        <is>
          <t>Disneyland Park</t>
        </is>
      </c>
      <c r="E28987" s="8" t="inlineStr">
        <is>
          <t>Peter Pan's Flight</t>
        </is>
      </c>
      <c r="F28987" s="8" t="inlineStr">
        <is>
          <t>STANDBY</t>
        </is>
      </c>
      <c r="G28987" s="8" t="n">
        <v>65</v>
      </c>
      <c r="H28987" s="8" t="inlineStr">
        <is>
          <t>OPERATING</t>
        </is>
      </c>
    </row>
    <row r="28988">
      <c r="A28988" s="8" t="inlineStr">
        <is>
          <t>2026-08-06</t>
        </is>
      </c>
      <c r="B28988" s="8" t="n">
        <v>10</v>
      </c>
      <c r="C28988" s="8" t="n">
        <v>15</v>
      </c>
      <c r="D28988" s="8" t="inlineStr">
        <is>
          <t>Disneyland Park</t>
        </is>
      </c>
      <c r="E28988" s="8" t="inlineStr">
        <is>
          <t>Princess Pavilion</t>
        </is>
      </c>
      <c r="F28988" s="8" t="inlineStr">
        <is>
          <t>STANDBY</t>
        </is>
      </c>
      <c r="G28988" s="8" t="n">
        <v>0</v>
      </c>
      <c r="H28988" s="8" t="inlineStr">
        <is>
          <t>OPERATING</t>
        </is>
      </c>
    </row>
    <row r="28989">
      <c r="A28989" s="8" t="inlineStr">
        <is>
          <t>2026-08-06</t>
        </is>
      </c>
      <c r="B28989" s="8" t="n">
        <v>10</v>
      </c>
      <c r="C28989" s="8" t="n">
        <v>15</v>
      </c>
      <c r="D28989" s="8" t="inlineStr">
        <is>
          <t>Disneyland Park</t>
        </is>
      </c>
      <c r="E28989" s="8" t="inlineStr">
        <is>
          <t>Big Thunder Mountain</t>
        </is>
      </c>
      <c r="F28989" s="8" t="inlineStr">
        <is>
          <t>STANDBY</t>
        </is>
      </c>
      <c r="G28989" s="8" t="n">
        <v>100</v>
      </c>
      <c r="H28989" s="8" t="inlineStr">
        <is>
          <t>OPERATING</t>
        </is>
      </c>
    </row>
    <row r="28990">
      <c r="A28990" s="8" t="inlineStr">
        <is>
          <t>2026-08-06</t>
        </is>
      </c>
      <c r="B28990" s="8" t="n">
        <v>10</v>
      </c>
      <c r="C28990" s="8" t="n">
        <v>15</v>
      </c>
      <c r="D28990" s="8" t="inlineStr">
        <is>
          <t>Disneyland Park</t>
        </is>
      </c>
      <c r="E28990" s="8" t="inlineStr">
        <is>
          <t>Disneyland Railroad Frontierland Depot</t>
        </is>
      </c>
      <c r="F28990" s="8" t="inlineStr">
        <is>
          <t>STANDBY</t>
        </is>
      </c>
      <c r="G28990" s="8" t="n">
        <v>0</v>
      </c>
      <c r="H28990" s="8" t="inlineStr">
        <is>
          <t>CLOSED</t>
        </is>
      </c>
    </row>
    <row r="28991">
      <c r="A28991" s="8" t="inlineStr">
        <is>
          <t>2026-08-06</t>
        </is>
      </c>
      <c r="B28991" s="8" t="n">
        <v>10</v>
      </c>
      <c r="C28991" s="8" t="n">
        <v>15</v>
      </c>
      <c r="D28991" s="8" t="inlineStr">
        <is>
          <t>Disneyland Park</t>
        </is>
      </c>
      <c r="E28991" s="8" t="inlineStr">
        <is>
          <t>Frontierland Playground</t>
        </is>
      </c>
      <c r="F28991" s="8" t="inlineStr">
        <is>
          <t>STANDBY</t>
        </is>
      </c>
      <c r="G28991" s="8" t="n">
        <v>0</v>
      </c>
      <c r="H28991" s="8" t="inlineStr">
        <is>
          <t>OPERATING</t>
        </is>
      </c>
    </row>
    <row r="28992">
      <c r="A28992" s="8" t="inlineStr">
        <is>
          <t>2026-08-06</t>
        </is>
      </c>
      <c r="B28992" s="8" t="n">
        <v>10</v>
      </c>
      <c r="C28992" s="8" t="n">
        <v>15</v>
      </c>
      <c r="D28992" s="8" t="inlineStr">
        <is>
          <t>Disneyland Park</t>
        </is>
      </c>
      <c r="E28992" s="8" t="inlineStr">
        <is>
          <t>Phantom Manor</t>
        </is>
      </c>
      <c r="F28992" s="8" t="inlineStr">
        <is>
          <t>STANDBY</t>
        </is>
      </c>
      <c r="G28992" s="8" t="n">
        <v>5</v>
      </c>
      <c r="H28992" s="8" t="inlineStr">
        <is>
          <t>OPERATING</t>
        </is>
      </c>
    </row>
    <row r="28993">
      <c r="A28993" s="8" t="inlineStr">
        <is>
          <t>2026-08-06</t>
        </is>
      </c>
      <c r="B28993" s="8" t="n">
        <v>10</v>
      </c>
      <c r="C28993" s="8" t="n">
        <v>15</v>
      </c>
      <c r="D28993" s="8" t="inlineStr">
        <is>
          <t>Disneyland Park</t>
        </is>
      </c>
      <c r="E28993" s="8" t="inlineStr">
        <is>
          <t>River Rogue Keelboats</t>
        </is>
      </c>
      <c r="F28993" s="8" t="inlineStr">
        <is>
          <t>STANDBY</t>
        </is>
      </c>
      <c r="G28993" s="8" t="n">
        <v>0</v>
      </c>
      <c r="H28993" s="8" t="inlineStr">
        <is>
          <t>CLOSED</t>
        </is>
      </c>
    </row>
    <row r="28994">
      <c r="A28994" s="8" t="inlineStr">
        <is>
          <t>2026-08-06</t>
        </is>
      </c>
      <c r="B28994" s="8" t="n">
        <v>10</v>
      </c>
      <c r="C28994" s="8" t="n">
        <v>15</v>
      </c>
      <c r="D28994" s="8" t="inlineStr">
        <is>
          <t>Disneyland Park</t>
        </is>
      </c>
      <c r="E28994" s="8" t="inlineStr">
        <is>
          <t>Rustler Roundup Shootin' Gallery</t>
        </is>
      </c>
      <c r="F28994" s="8" t="inlineStr">
        <is>
          <t>STANDBY</t>
        </is>
      </c>
      <c r="G28994" s="8" t="n">
        <v>0</v>
      </c>
      <c r="H28994" s="8" t="inlineStr">
        <is>
          <t>OPERATING</t>
        </is>
      </c>
    </row>
    <row r="28995">
      <c r="A28995" s="8" t="inlineStr">
        <is>
          <t>2026-08-06</t>
        </is>
      </c>
      <c r="B28995" s="8" t="n">
        <v>10</v>
      </c>
      <c r="C28995" s="8" t="n">
        <v>15</v>
      </c>
      <c r="D28995" s="8" t="inlineStr">
        <is>
          <t>Disneyland Park</t>
        </is>
      </c>
      <c r="E28995" s="8" t="inlineStr">
        <is>
          <t>Thunder Mesa Riverboat Landing</t>
        </is>
      </c>
      <c r="F28995" s="8" t="inlineStr">
        <is>
          <t>STANDBY</t>
        </is>
      </c>
      <c r="G28995" s="8" t="n">
        <v>0</v>
      </c>
      <c r="H28995" s="8" t="inlineStr">
        <is>
          <t>CLOSED</t>
        </is>
      </c>
    </row>
    <row r="28996">
      <c r="A28996" s="8" t="inlineStr">
        <is>
          <t>2026-08-06</t>
        </is>
      </c>
      <c r="B28996" s="8" t="n">
        <v>10</v>
      </c>
      <c r="C28996" s="8" t="n">
        <v>15</v>
      </c>
      <c r="D28996" s="8" t="inlineStr">
        <is>
          <t>Disneyland Park</t>
        </is>
      </c>
      <c r="E28996" s="8" t="inlineStr">
        <is>
          <t>Disneyland Railroad Main Street Station</t>
        </is>
      </c>
      <c r="F28996" s="8" t="inlineStr">
        <is>
          <t>STANDBY</t>
        </is>
      </c>
      <c r="G28996" s="8" t="n">
        <v>0</v>
      </c>
      <c r="H28996" s="8" t="inlineStr">
        <is>
          <t>CLOSED</t>
        </is>
      </c>
    </row>
    <row r="28997">
      <c r="A28997" s="8" t="inlineStr">
        <is>
          <t>2026-08-06</t>
        </is>
      </c>
      <c r="B28997" s="8" t="n">
        <v>10</v>
      </c>
      <c r="C28997" s="8" t="n">
        <v>15</v>
      </c>
      <c r="D28997" s="8" t="inlineStr">
        <is>
          <t>Disneyland Park</t>
        </is>
      </c>
      <c r="E28997" s="8" t="inlineStr">
        <is>
          <t>Main Street Vehicles</t>
        </is>
      </c>
      <c r="F28997" s="8" t="inlineStr">
        <is>
          <t>STANDBY</t>
        </is>
      </c>
      <c r="G28997" s="8" t="n">
        <v>5</v>
      </c>
      <c r="H28997" s="8" t="inlineStr">
        <is>
          <t>OPERATING</t>
        </is>
      </c>
    </row>
    <row r="28998">
      <c r="A28998" s="8" t="inlineStr">
        <is>
          <t>2026-08-06</t>
        </is>
      </c>
      <c r="B28998" s="8" t="n">
        <v>10</v>
      </c>
      <c r="C28998" s="8" t="n">
        <v>15</v>
      </c>
      <c r="D28998" s="8" t="inlineStr">
        <is>
          <t>Disney Adventure World</t>
        </is>
      </c>
      <c r="E28998" s="8" t="inlineStr">
        <is>
          <t>Avengers Assemble: Flight Force</t>
        </is>
      </c>
      <c r="F28998" s="8" t="inlineStr">
        <is>
          <t>STANDBY</t>
        </is>
      </c>
      <c r="G28998" s="8" t="n">
        <v>30</v>
      </c>
      <c r="H28998" s="8" t="inlineStr">
        <is>
          <t>OPERATING</t>
        </is>
      </c>
    </row>
    <row r="28999">
      <c r="A28999" s="8" t="inlineStr">
        <is>
          <t>2026-08-06</t>
        </is>
      </c>
      <c r="B28999" s="8" t="n">
        <v>10</v>
      </c>
      <c r="C28999" s="8" t="n">
        <v>15</v>
      </c>
      <c r="D28999" s="8" t="inlineStr">
        <is>
          <t>Disney Adventure World</t>
        </is>
      </c>
      <c r="E28999" s="8" t="inlineStr">
        <is>
          <t>Avengers Assemble: Flight Force Single Rider</t>
        </is>
      </c>
      <c r="F28999" s="8" t="inlineStr">
        <is>
          <t>STANDBY</t>
        </is>
      </c>
      <c r="G28999" s="8" t="n">
        <v>20</v>
      </c>
      <c r="H28999" s="8" t="inlineStr">
        <is>
          <t>OPERATING</t>
        </is>
      </c>
    </row>
    <row r="29000">
      <c r="A29000" s="8" t="inlineStr">
        <is>
          <t>2026-08-06</t>
        </is>
      </c>
      <c r="B29000" s="8" t="n">
        <v>10</v>
      </c>
      <c r="C29000" s="8" t="n">
        <v>15</v>
      </c>
      <c r="D29000" s="8" t="inlineStr">
        <is>
          <t>Disney Adventure World</t>
        </is>
      </c>
      <c r="E29000" s="8" t="inlineStr">
        <is>
          <t>Spider-Man W.E.B. Adventure</t>
        </is>
      </c>
      <c r="F29000" s="8" t="inlineStr">
        <is>
          <t>STANDBY</t>
        </is>
      </c>
      <c r="G29000" s="8" t="n">
        <v>45</v>
      </c>
      <c r="H29000" s="8" t="inlineStr">
        <is>
          <t>OPERATING</t>
        </is>
      </c>
    </row>
    <row r="29001">
      <c r="A29001" s="8" t="inlineStr">
        <is>
          <t>2026-08-06</t>
        </is>
      </c>
      <c r="B29001" s="8" t="n">
        <v>10</v>
      </c>
      <c r="C29001" s="8" t="n">
        <v>15</v>
      </c>
      <c r="D29001" s="8" t="inlineStr">
        <is>
          <t>Disney Adventure World</t>
        </is>
      </c>
      <c r="E29001" s="8" t="inlineStr">
        <is>
          <t>Spider-Man W.E.B. Adventure Single Rider</t>
        </is>
      </c>
      <c r="F29001" s="8" t="inlineStr">
        <is>
          <t>STANDBY</t>
        </is>
      </c>
      <c r="G29001" s="8" t="n">
        <v>15</v>
      </c>
      <c r="H29001" s="8" t="inlineStr">
        <is>
          <t>OPERATING</t>
        </is>
      </c>
    </row>
    <row r="29002">
      <c r="A29002" s="8" t="inlineStr">
        <is>
          <t>2026-08-06</t>
        </is>
      </c>
      <c r="B29002" s="8" t="n">
        <v>10</v>
      </c>
      <c r="C29002" s="8" t="n">
        <v>15</v>
      </c>
      <c r="D29002" s="8" t="inlineStr">
        <is>
          <t>Disney Adventure World</t>
        </is>
      </c>
      <c r="E29002" s="8" t="inlineStr">
        <is>
          <t>The Twilight Zone Tower of Terror</t>
        </is>
      </c>
      <c r="F29002" s="8" t="inlineStr">
        <is>
          <t>STANDBY</t>
        </is>
      </c>
      <c r="G29002" s="8" t="n">
        <v>65</v>
      </c>
      <c r="H29002" s="8" t="inlineStr">
        <is>
          <t>OPERATING</t>
        </is>
      </c>
    </row>
    <row r="29003">
      <c r="A29003" s="8" t="inlineStr">
        <is>
          <t>2026-08-06</t>
        </is>
      </c>
      <c r="B29003" s="8" t="n">
        <v>10</v>
      </c>
      <c r="C29003" s="8" t="n">
        <v>15</v>
      </c>
      <c r="D29003" s="8" t="inlineStr">
        <is>
          <t>Disney Adventure World</t>
        </is>
      </c>
      <c r="E29003" s="8" t="inlineStr">
        <is>
          <t>Cars Quatre Roues Rallye</t>
        </is>
      </c>
      <c r="F29003" s="8" t="inlineStr">
        <is>
          <t>STANDBY</t>
        </is>
      </c>
      <c r="G29003" s="8" t="n">
        <v>5</v>
      </c>
      <c r="H29003" s="8" t="inlineStr">
        <is>
          <t>OPERATING</t>
        </is>
      </c>
    </row>
    <row r="29004">
      <c r="A29004" s="8" t="inlineStr">
        <is>
          <t>2026-08-06</t>
        </is>
      </c>
      <c r="B29004" s="8" t="n">
        <v>10</v>
      </c>
      <c r="C29004" s="8" t="n">
        <v>15</v>
      </c>
      <c r="D29004" s="8" t="inlineStr">
        <is>
          <t>Disney Adventure World</t>
        </is>
      </c>
      <c r="E29004" s="8" t="inlineStr">
        <is>
          <t>Cars ROAD TRIP</t>
        </is>
      </c>
      <c r="F29004" s="8" t="inlineStr">
        <is>
          <t>STANDBY</t>
        </is>
      </c>
      <c r="G29004" s="8" t="n">
        <v>5</v>
      </c>
      <c r="H29004" s="8" t="inlineStr">
        <is>
          <t>OPERATING</t>
        </is>
      </c>
    </row>
    <row r="29005">
      <c r="A29005" s="8" t="inlineStr">
        <is>
          <t>2026-08-06</t>
        </is>
      </c>
      <c r="B29005" s="8" t="n">
        <v>10</v>
      </c>
      <c r="C29005" s="8" t="n">
        <v>15</v>
      </c>
      <c r="D29005" s="8" t="inlineStr">
        <is>
          <t>Disney Adventure World</t>
        </is>
      </c>
      <c r="E29005" s="8" t="inlineStr">
        <is>
          <t>Crush's Coaster</t>
        </is>
      </c>
      <c r="F29005" s="8" t="inlineStr">
        <is>
          <t>STANDBY</t>
        </is>
      </c>
      <c r="G29005" s="8" t="n">
        <v>80</v>
      </c>
      <c r="H29005" s="8" t="inlineStr">
        <is>
          <t>OPERATING</t>
        </is>
      </c>
    </row>
    <row r="29006">
      <c r="A29006" s="8" t="inlineStr">
        <is>
          <t>2026-08-06</t>
        </is>
      </c>
      <c r="B29006" s="8" t="n">
        <v>10</v>
      </c>
      <c r="C29006" s="8" t="n">
        <v>15</v>
      </c>
      <c r="D29006" s="8" t="inlineStr">
        <is>
          <t>Disney Adventure World</t>
        </is>
      </c>
      <c r="E29006" s="8" t="inlineStr">
        <is>
          <t>Crush's Coaster Single Rider</t>
        </is>
      </c>
      <c r="F29006" s="8" t="inlineStr">
        <is>
          <t>STANDBY</t>
        </is>
      </c>
      <c r="G29006" s="8" t="n">
        <v>60</v>
      </c>
      <c r="H29006" s="8" t="inlineStr">
        <is>
          <t>OPERATING</t>
        </is>
      </c>
    </row>
    <row r="29007">
      <c r="A29007" s="8" t="inlineStr">
        <is>
          <t>2026-08-06</t>
        </is>
      </c>
      <c r="B29007" s="8" t="n">
        <v>10</v>
      </c>
      <c r="C29007" s="8" t="n">
        <v>15</v>
      </c>
      <c r="D29007" s="8" t="inlineStr">
        <is>
          <t>Disney Adventure World</t>
        </is>
      </c>
      <c r="E29007" s="8" t="inlineStr">
        <is>
          <t>Les Tapis Volants - Flying Carpets Over Agrabah®</t>
        </is>
      </c>
      <c r="F29007" s="8" t="inlineStr">
        <is>
          <t>STANDBY</t>
        </is>
      </c>
      <c r="G29007" s="8" t="n">
        <v>5</v>
      </c>
      <c r="H29007" s="8" t="inlineStr">
        <is>
          <t>OPERATING</t>
        </is>
      </c>
    </row>
    <row r="29008">
      <c r="A29008" s="8" t="inlineStr">
        <is>
          <t>2026-08-06</t>
        </is>
      </c>
      <c r="B29008" s="8" t="n">
        <v>10</v>
      </c>
      <c r="C29008" s="8" t="n">
        <v>15</v>
      </c>
      <c r="D29008" s="8" t="inlineStr">
        <is>
          <t>Disney Adventure World</t>
        </is>
      </c>
      <c r="E29008" s="8" t="inlineStr">
        <is>
          <t>Ratatouille : L’Aventure Totalement Toquée de Rémy​</t>
        </is>
      </c>
      <c r="F29008" s="8" t="inlineStr">
        <is>
          <t>STANDBY</t>
        </is>
      </c>
      <c r="G29008" s="8" t="n">
        <v>40</v>
      </c>
      <c r="H29008" s="8" t="inlineStr">
        <is>
          <t>OPERATING</t>
        </is>
      </c>
    </row>
    <row r="29009">
      <c r="A29009" s="8" t="inlineStr">
        <is>
          <t>2026-08-06</t>
        </is>
      </c>
      <c r="B29009" s="8" t="n">
        <v>10</v>
      </c>
      <c r="C29009" s="8" t="n">
        <v>15</v>
      </c>
      <c r="D29009" s="8" t="inlineStr">
        <is>
          <t>Disney Adventure World</t>
        </is>
      </c>
      <c r="E29009" s="8" t="inlineStr">
        <is>
          <t>Ratatouille: The Adventure Single Rider</t>
        </is>
      </c>
      <c r="F29009" s="8" t="inlineStr">
        <is>
          <t>STANDBY</t>
        </is>
      </c>
      <c r="G29009" s="8" t="n">
        <v>10</v>
      </c>
      <c r="H29009" s="8" t="inlineStr">
        <is>
          <t>OPERATING</t>
        </is>
      </c>
    </row>
    <row r="29010">
      <c r="A29010" s="8" t="inlineStr">
        <is>
          <t>2026-08-06</t>
        </is>
      </c>
      <c r="B29010" s="8" t="n">
        <v>10</v>
      </c>
      <c r="C29010" s="8" t="n">
        <v>15</v>
      </c>
      <c r="D29010" s="8" t="inlineStr">
        <is>
          <t>Disney Adventure World</t>
        </is>
      </c>
      <c r="E29010" s="8" t="inlineStr">
        <is>
          <t>RC Racer</t>
        </is>
      </c>
      <c r="F29010" s="8" t="inlineStr">
        <is>
          <t>STANDBY</t>
        </is>
      </c>
      <c r="G29010" s="8" t="n">
        <v>40</v>
      </c>
      <c r="H29010" s="8" t="inlineStr">
        <is>
          <t>OPERATING</t>
        </is>
      </c>
    </row>
    <row r="29011">
      <c r="A29011" s="8" t="inlineStr">
        <is>
          <t>2026-08-06</t>
        </is>
      </c>
      <c r="B29011" s="8" t="n">
        <v>10</v>
      </c>
      <c r="C29011" s="8" t="n">
        <v>15</v>
      </c>
      <c r="D29011" s="8" t="inlineStr">
        <is>
          <t>Disney Adventure World</t>
        </is>
      </c>
      <c r="E29011" s="8" t="inlineStr">
        <is>
          <t>RC Racer Single Rider</t>
        </is>
      </c>
      <c r="F29011" s="8" t="inlineStr">
        <is>
          <t>STANDBY</t>
        </is>
      </c>
      <c r="G29011" s="8" t="n">
        <v>15</v>
      </c>
      <c r="H29011" s="8" t="inlineStr">
        <is>
          <t>OPERATING</t>
        </is>
      </c>
    </row>
    <row r="29012">
      <c r="A29012" s="8" t="inlineStr">
        <is>
          <t>2026-08-06</t>
        </is>
      </c>
      <c r="B29012" s="8" t="n">
        <v>10</v>
      </c>
      <c r="C29012" s="8" t="n">
        <v>15</v>
      </c>
      <c r="D29012" s="8" t="inlineStr">
        <is>
          <t>Disney Adventure World</t>
        </is>
      </c>
      <c r="E29012" s="8" t="inlineStr">
        <is>
          <t>Slinky® Dog Zigzag Spin</t>
        </is>
      </c>
      <c r="F29012" s="8" t="inlineStr">
        <is>
          <t>STANDBY</t>
        </is>
      </c>
      <c r="G29012" s="8" t="n">
        <v>5</v>
      </c>
      <c r="H29012" s="8" t="inlineStr">
        <is>
          <t>OPERATING</t>
        </is>
      </c>
    </row>
    <row r="29013">
      <c r="A29013" s="8" t="inlineStr">
        <is>
          <t>2026-08-06</t>
        </is>
      </c>
      <c r="B29013" s="8" t="n">
        <v>10</v>
      </c>
      <c r="C29013" s="8" t="n">
        <v>15</v>
      </c>
      <c r="D29013" s="8" t="inlineStr">
        <is>
          <t>Disney Adventure World</t>
        </is>
      </c>
      <c r="E29013" s="8" t="inlineStr">
        <is>
          <t>Toy Soldiers Parachute Drop</t>
        </is>
      </c>
      <c r="F29013" s="8" t="inlineStr">
        <is>
          <t>STANDBY</t>
        </is>
      </c>
      <c r="G29013" s="8" t="n">
        <v>50</v>
      </c>
      <c r="H29013" s="8" t="inlineStr">
        <is>
          <t>OPERATING</t>
        </is>
      </c>
    </row>
    <row r="29014">
      <c r="A29014" s="8" t="inlineStr">
        <is>
          <t>2026-08-06</t>
        </is>
      </c>
      <c r="B29014" s="8" t="n">
        <v>10</v>
      </c>
      <c r="C29014" s="8" t="n">
        <v>15</v>
      </c>
      <c r="D29014" s="8" t="inlineStr">
        <is>
          <t>Disney Adventure World</t>
        </is>
      </c>
      <c r="E29014" s="8" t="inlineStr">
        <is>
          <t>Toy Soldiers Parachute Drop Single Rider</t>
        </is>
      </c>
      <c r="F29014" s="8" t="inlineStr">
        <is>
          <t>STANDBY</t>
        </is>
      </c>
      <c r="G29014" s="8" t="n">
        <v>20</v>
      </c>
      <c r="H29014" s="8" t="inlineStr">
        <is>
          <t>OPERATING</t>
        </is>
      </c>
    </row>
    <row r="29015">
      <c r="A29015" s="8" t="inlineStr">
        <is>
          <t>2026-08-06</t>
        </is>
      </c>
      <c r="B29015" s="8" t="n">
        <v>10</v>
      </c>
      <c r="C29015" s="8" t="n">
        <v>15</v>
      </c>
      <c r="D29015" s="8" t="inlineStr">
        <is>
          <t>Disney Adventure World</t>
        </is>
      </c>
      <c r="E29015" s="8" t="inlineStr">
        <is>
          <t>Entry to World of Frozen</t>
        </is>
      </c>
      <c r="F29015" s="8" t="inlineStr">
        <is>
          <t>STANDBY</t>
        </is>
      </c>
      <c r="G29015" s="8" t="n">
        <v>0</v>
      </c>
      <c r="H29015" s="8" t="inlineStr">
        <is>
          <t>OPERATING</t>
        </is>
      </c>
    </row>
    <row r="29016">
      <c r="A29016" s="8" t="inlineStr">
        <is>
          <t>2026-08-06</t>
        </is>
      </c>
      <c r="B29016" s="8" t="n">
        <v>10</v>
      </c>
      <c r="C29016" s="8" t="n">
        <v>15</v>
      </c>
      <c r="D29016" s="8" t="inlineStr">
        <is>
          <t>Disney Adventure World</t>
        </is>
      </c>
      <c r="E29016" s="8" t="inlineStr">
        <is>
          <t>Frozen Ever After</t>
        </is>
      </c>
      <c r="F29016" s="8" t="inlineStr">
        <is>
          <t>STANDBY</t>
        </is>
      </c>
      <c r="G29016" s="8" t="n">
        <v>70</v>
      </c>
      <c r="H29016" s="8" t="inlineStr">
        <is>
          <t>OPERATING</t>
        </is>
      </c>
    </row>
    <row r="29017">
      <c r="A29017" s="8" t="inlineStr">
        <is>
          <t>2026-08-06</t>
        </is>
      </c>
      <c r="B29017" s="8" t="n">
        <v>10</v>
      </c>
      <c r="C29017" s="8" t="n">
        <v>15</v>
      </c>
      <c r="D29017" s="8" t="inlineStr">
        <is>
          <t>Disney Adventure World</t>
        </is>
      </c>
      <c r="E29017" s="8" t="inlineStr">
        <is>
          <t>Raiponce Tangled Spin</t>
        </is>
      </c>
      <c r="F29017" s="8" t="inlineStr">
        <is>
          <t>STANDBY</t>
        </is>
      </c>
      <c r="G29017" s="8" t="n">
        <v>5</v>
      </c>
      <c r="H29017" s="8" t="inlineStr">
        <is>
          <t>OPERATING</t>
        </is>
      </c>
    </row>
    <row r="29018">
      <c r="A29018" s="8" t="inlineStr">
        <is>
          <t>2026-08-06</t>
        </is>
      </c>
      <c r="B29018" s="8" t="n">
        <v>10</v>
      </c>
      <c r="C29018" s="8" t="n">
        <v>31</v>
      </c>
      <c r="D29018" s="8" t="inlineStr">
        <is>
          <t>Disneyland Park</t>
        </is>
      </c>
      <c r="E29018" s="8" t="inlineStr">
        <is>
          <t>Adventure Isle</t>
        </is>
      </c>
      <c r="F29018" s="8" t="inlineStr">
        <is>
          <t>STANDBY</t>
        </is>
      </c>
      <c r="G29018" s="8" t="n">
        <v>0</v>
      </c>
      <c r="H29018" s="8" t="inlineStr">
        <is>
          <t>OPERATING</t>
        </is>
      </c>
    </row>
    <row r="29019">
      <c r="A29019" s="8" t="inlineStr">
        <is>
          <t>2026-08-06</t>
        </is>
      </c>
      <c r="B29019" s="8" t="n">
        <v>10</v>
      </c>
      <c r="C29019" s="8" t="n">
        <v>31</v>
      </c>
      <c r="D29019" s="8" t="inlineStr">
        <is>
          <t>Disneyland Park</t>
        </is>
      </c>
      <c r="E29019" s="8" t="inlineStr">
        <is>
          <t>Indiana Jones and the Temple of Peril Single Rider</t>
        </is>
      </c>
      <c r="F29019" s="8" t="inlineStr">
        <is>
          <t>STANDBY</t>
        </is>
      </c>
      <c r="G29019" s="8" t="n">
        <v>5</v>
      </c>
      <c r="H29019" s="8" t="inlineStr">
        <is>
          <t>OPERATING</t>
        </is>
      </c>
    </row>
    <row r="29020">
      <c r="A29020" s="8" t="inlineStr">
        <is>
          <t>2026-08-06</t>
        </is>
      </c>
      <c r="B29020" s="8" t="n">
        <v>10</v>
      </c>
      <c r="C29020" s="8" t="n">
        <v>31</v>
      </c>
      <c r="D29020" s="8" t="inlineStr">
        <is>
          <t>Disneyland Park</t>
        </is>
      </c>
      <c r="E29020" s="8" t="inlineStr">
        <is>
          <t>Indiana Jones™ and the Temple of Peril</t>
        </is>
      </c>
      <c r="F29020" s="8" t="inlineStr">
        <is>
          <t>STANDBY</t>
        </is>
      </c>
      <c r="G29020" s="8" t="n">
        <v>15</v>
      </c>
      <c r="H29020" s="8" t="inlineStr">
        <is>
          <t>OPERATING</t>
        </is>
      </c>
    </row>
    <row r="29021">
      <c r="A29021" s="8" t="inlineStr">
        <is>
          <t>2026-08-06</t>
        </is>
      </c>
      <c r="B29021" s="8" t="n">
        <v>10</v>
      </c>
      <c r="C29021" s="8" t="n">
        <v>31</v>
      </c>
      <c r="D29021" s="8" t="inlineStr">
        <is>
          <t>Disneyland Park</t>
        </is>
      </c>
      <c r="E29021" s="8" t="inlineStr">
        <is>
          <t>La Cabane des Robinson</t>
        </is>
      </c>
      <c r="F29021" s="8" t="inlineStr">
        <is>
          <t>STANDBY</t>
        </is>
      </c>
      <c r="G29021" s="8" t="n">
        <v>5</v>
      </c>
      <c r="H29021" s="8" t="inlineStr">
        <is>
          <t>OPERATING</t>
        </is>
      </c>
    </row>
    <row r="29022">
      <c r="A29022" s="8" t="inlineStr">
        <is>
          <t>2026-08-06</t>
        </is>
      </c>
      <c r="B29022" s="8" t="n">
        <v>10</v>
      </c>
      <c r="C29022" s="8" t="n">
        <v>31</v>
      </c>
      <c r="D29022" s="8" t="inlineStr">
        <is>
          <t>Disneyland Park</t>
        </is>
      </c>
      <c r="E29022" s="8" t="inlineStr">
        <is>
          <t>Le Passage Enchanté d'Aladdin</t>
        </is>
      </c>
      <c r="F29022" s="8" t="inlineStr">
        <is>
          <t>STANDBY</t>
        </is>
      </c>
      <c r="G29022" s="8" t="n">
        <v>0</v>
      </c>
      <c r="H29022" s="8" t="inlineStr">
        <is>
          <t>OPERATING</t>
        </is>
      </c>
    </row>
    <row r="29023">
      <c r="A29023" s="8" t="inlineStr">
        <is>
          <t>2026-08-06</t>
        </is>
      </c>
      <c r="B29023" s="8" t="n">
        <v>10</v>
      </c>
      <c r="C29023" s="8" t="n">
        <v>31</v>
      </c>
      <c r="D29023" s="8" t="inlineStr">
        <is>
          <t>Disneyland Park</t>
        </is>
      </c>
      <c r="E29023" s="8" t="inlineStr">
        <is>
          <t>Pirate Galleon</t>
        </is>
      </c>
      <c r="F29023" s="8" t="inlineStr">
        <is>
          <t>STANDBY</t>
        </is>
      </c>
      <c r="G29023" s="8" t="n">
        <v>0</v>
      </c>
      <c r="H29023" s="8" t="inlineStr">
        <is>
          <t>CLOSED</t>
        </is>
      </c>
    </row>
    <row r="29024">
      <c r="A29024" s="8" t="inlineStr">
        <is>
          <t>2026-08-06</t>
        </is>
      </c>
      <c r="B29024" s="8" t="n">
        <v>10</v>
      </c>
      <c r="C29024" s="8" t="n">
        <v>31</v>
      </c>
      <c r="D29024" s="8" t="inlineStr">
        <is>
          <t>Disneyland Park</t>
        </is>
      </c>
      <c r="E29024" s="8" t="inlineStr">
        <is>
          <t>Pirates of the Caribbean</t>
        </is>
      </c>
      <c r="F29024" s="8" t="inlineStr">
        <is>
          <t>STANDBY</t>
        </is>
      </c>
      <c r="G29024" s="8" t="n">
        <v>10</v>
      </c>
      <c r="H29024" s="8" t="inlineStr">
        <is>
          <t>OPERATING</t>
        </is>
      </c>
    </row>
    <row r="29025">
      <c r="A29025" s="8" t="inlineStr">
        <is>
          <t>2026-08-06</t>
        </is>
      </c>
      <c r="B29025" s="8" t="n">
        <v>10</v>
      </c>
      <c r="C29025" s="8" t="n">
        <v>31</v>
      </c>
      <c r="D29025" s="8" t="inlineStr">
        <is>
          <t>Disneyland Park</t>
        </is>
      </c>
      <c r="E29025" s="8" t="inlineStr">
        <is>
          <t>Pirates' Beach</t>
        </is>
      </c>
      <c r="F29025" s="8" t="inlineStr">
        <is>
          <t>STANDBY</t>
        </is>
      </c>
      <c r="G29025" s="8" t="n">
        <v>0</v>
      </c>
      <c r="H29025" s="8" t="inlineStr">
        <is>
          <t>OPERATING</t>
        </is>
      </c>
    </row>
    <row r="29026">
      <c r="A29026" s="8" t="inlineStr">
        <is>
          <t>2026-08-06</t>
        </is>
      </c>
      <c r="B29026" s="8" t="n">
        <v>10</v>
      </c>
      <c r="C29026" s="8" t="n">
        <v>31</v>
      </c>
      <c r="D29026" s="8" t="inlineStr">
        <is>
          <t>Disneyland Park</t>
        </is>
      </c>
      <c r="E29026" s="8" t="inlineStr">
        <is>
          <t>Autopia, presented by Avis</t>
        </is>
      </c>
      <c r="F29026" s="8" t="inlineStr">
        <is>
          <t>STANDBY</t>
        </is>
      </c>
      <c r="G29026" s="8" t="n">
        <v>25</v>
      </c>
      <c r="H29026" s="8" t="inlineStr">
        <is>
          <t>OPERATING</t>
        </is>
      </c>
    </row>
    <row r="29027">
      <c r="A29027" s="8" t="inlineStr">
        <is>
          <t>2026-08-06</t>
        </is>
      </c>
      <c r="B29027" s="8" t="n">
        <v>10</v>
      </c>
      <c r="C29027" s="8" t="n">
        <v>31</v>
      </c>
      <c r="D29027" s="8" t="inlineStr">
        <is>
          <t>Disneyland Park</t>
        </is>
      </c>
      <c r="E29027" s="8" t="inlineStr">
        <is>
          <t>Buzz Lightyear Laser Blast</t>
        </is>
      </c>
      <c r="F29027" s="8" t="inlineStr">
        <is>
          <t>STANDBY</t>
        </is>
      </c>
      <c r="G29027" s="8" t="n">
        <v>45</v>
      </c>
      <c r="H29027" s="8" t="inlineStr">
        <is>
          <t>OPERATING</t>
        </is>
      </c>
    </row>
    <row r="29028">
      <c r="A29028" s="8" t="inlineStr">
        <is>
          <t>2026-08-06</t>
        </is>
      </c>
      <c r="B29028" s="8" t="n">
        <v>10</v>
      </c>
      <c r="C29028" s="8" t="n">
        <v>31</v>
      </c>
      <c r="D29028" s="8" t="inlineStr">
        <is>
          <t>Disneyland Park</t>
        </is>
      </c>
      <c r="E29028" s="8" t="inlineStr">
        <is>
          <t>Disneyland Railroad Discoveryland Station</t>
        </is>
      </c>
      <c r="F29028" s="8" t="inlineStr">
        <is>
          <t>STANDBY</t>
        </is>
      </c>
      <c r="G29028" s="8" t="n">
        <v>0</v>
      </c>
      <c r="H29028" s="8" t="inlineStr">
        <is>
          <t>CLOSED</t>
        </is>
      </c>
    </row>
    <row r="29029">
      <c r="A29029" s="8" t="inlineStr">
        <is>
          <t>2026-08-06</t>
        </is>
      </c>
      <c r="B29029" s="8" t="n">
        <v>10</v>
      </c>
      <c r="C29029" s="8" t="n">
        <v>31</v>
      </c>
      <c r="D29029" s="8" t="inlineStr">
        <is>
          <t>Disneyland Park</t>
        </is>
      </c>
      <c r="E29029" s="8" t="inlineStr">
        <is>
          <t>Les Mystères du Nautilus</t>
        </is>
      </c>
      <c r="F29029" s="8" t="inlineStr">
        <is>
          <t>STANDBY</t>
        </is>
      </c>
      <c r="G29029" s="8" t="n">
        <v>5</v>
      </c>
      <c r="H29029" s="8" t="inlineStr">
        <is>
          <t>OPERATING</t>
        </is>
      </c>
    </row>
    <row r="29030">
      <c r="A29030" s="8" t="inlineStr">
        <is>
          <t>2026-08-06</t>
        </is>
      </c>
      <c r="B29030" s="8" t="n">
        <v>10</v>
      </c>
      <c r="C29030" s="8" t="n">
        <v>31</v>
      </c>
      <c r="D29030" s="8" t="inlineStr">
        <is>
          <t>Disneyland Park</t>
        </is>
      </c>
      <c r="E29030" s="8" t="inlineStr">
        <is>
          <t>Mickey’s PhilharMagic</t>
        </is>
      </c>
      <c r="F29030" s="8" t="inlineStr">
        <is>
          <t>STANDBY</t>
        </is>
      </c>
      <c r="G29030" s="8" t="n">
        <v>0</v>
      </c>
      <c r="H29030" s="8" t="inlineStr">
        <is>
          <t>CLOSED</t>
        </is>
      </c>
    </row>
    <row r="29031">
      <c r="A29031" s="8" t="inlineStr">
        <is>
          <t>2026-08-06</t>
        </is>
      </c>
      <c r="B29031" s="8" t="n">
        <v>10</v>
      </c>
      <c r="C29031" s="8" t="n">
        <v>31</v>
      </c>
      <c r="D29031" s="8" t="inlineStr">
        <is>
          <t>Disneyland Park</t>
        </is>
      </c>
      <c r="E29031" s="8" t="inlineStr">
        <is>
          <t>Orbitron®</t>
        </is>
      </c>
      <c r="F29031" s="8" t="inlineStr">
        <is>
          <t>STANDBY</t>
        </is>
      </c>
      <c r="G29031" s="8" t="n">
        <v>50</v>
      </c>
      <c r="H29031" s="8" t="inlineStr">
        <is>
          <t>OPERATING</t>
        </is>
      </c>
    </row>
    <row r="29032">
      <c r="A29032" s="8" t="inlineStr">
        <is>
          <t>2026-08-06</t>
        </is>
      </c>
      <c r="B29032" s="8" t="n">
        <v>10</v>
      </c>
      <c r="C29032" s="8" t="n">
        <v>31</v>
      </c>
      <c r="D29032" s="8" t="inlineStr">
        <is>
          <t>Disneyland Park</t>
        </is>
      </c>
      <c r="E29032" s="8" t="inlineStr">
        <is>
          <t>Star Tours: The Adventures Continue*</t>
        </is>
      </c>
      <c r="F29032" s="8" t="inlineStr">
        <is>
          <t>STANDBY</t>
        </is>
      </c>
      <c r="G29032" s="8" t="n">
        <v>10</v>
      </c>
      <c r="H29032" s="8" t="inlineStr">
        <is>
          <t>OPERATING</t>
        </is>
      </c>
    </row>
    <row r="29033">
      <c r="A29033" s="8" t="inlineStr">
        <is>
          <t>2026-08-06</t>
        </is>
      </c>
      <c r="B29033" s="8" t="n">
        <v>10</v>
      </c>
      <c r="C29033" s="8" t="n">
        <v>31</v>
      </c>
      <c r="D29033" s="8" t="inlineStr">
        <is>
          <t>Disneyland Park</t>
        </is>
      </c>
      <c r="E29033" s="8" t="inlineStr">
        <is>
          <t>Star Wars Hyperspace Mountain</t>
        </is>
      </c>
      <c r="F29033" s="8" t="inlineStr">
        <is>
          <t>STANDBY</t>
        </is>
      </c>
      <c r="G29033" s="8" t="n">
        <v>30</v>
      </c>
      <c r="H29033" s="8" t="inlineStr">
        <is>
          <t>OPERATING</t>
        </is>
      </c>
    </row>
    <row r="29034">
      <c r="A29034" s="8" t="inlineStr">
        <is>
          <t>2026-08-06</t>
        </is>
      </c>
      <c r="B29034" s="8" t="n">
        <v>10</v>
      </c>
      <c r="C29034" s="8" t="n">
        <v>31</v>
      </c>
      <c r="D29034" s="8" t="inlineStr">
        <is>
          <t>Disneyland Park</t>
        </is>
      </c>
      <c r="E29034" s="8" t="inlineStr">
        <is>
          <t>Star Wars Hyperspace Mountain Single Rider</t>
        </is>
      </c>
      <c r="F29034" s="8" t="inlineStr">
        <is>
          <t>STANDBY</t>
        </is>
      </c>
      <c r="G29034" s="8" t="n">
        <v>10</v>
      </c>
      <c r="H29034" s="8" t="inlineStr">
        <is>
          <t>OPERATING</t>
        </is>
      </c>
    </row>
    <row r="29035">
      <c r="A29035" s="8" t="inlineStr">
        <is>
          <t>2026-08-06</t>
        </is>
      </c>
      <c r="B29035" s="8" t="n">
        <v>10</v>
      </c>
      <c r="C29035" s="8" t="n">
        <v>31</v>
      </c>
      <c r="D29035" s="8" t="inlineStr">
        <is>
          <t>Disneyland Park</t>
        </is>
      </c>
      <c r="E29035" s="8" t="inlineStr">
        <is>
          <t>Welcome to Starport: A Star Wars Encounter</t>
        </is>
      </c>
      <c r="F29035" s="8" t="inlineStr">
        <is>
          <t>STANDBY</t>
        </is>
      </c>
      <c r="G29035" s="8" t="n">
        <v>35</v>
      </c>
      <c r="H29035" s="8" t="inlineStr">
        <is>
          <t>OPERATING</t>
        </is>
      </c>
    </row>
    <row r="29036">
      <c r="A29036" s="8" t="inlineStr">
        <is>
          <t>2026-08-06</t>
        </is>
      </c>
      <c r="B29036" s="8" t="n">
        <v>10</v>
      </c>
      <c r="C29036" s="8" t="n">
        <v>31</v>
      </c>
      <c r="D29036" s="8" t="inlineStr">
        <is>
          <t>Disneyland Park</t>
        </is>
      </c>
      <c r="E29036" s="8" t="inlineStr">
        <is>
          <t>"it's a small world"</t>
        </is>
      </c>
      <c r="F29036" s="8" t="inlineStr">
        <is>
          <t>STANDBY</t>
        </is>
      </c>
      <c r="G29036" s="8" t="n">
        <v>5</v>
      </c>
      <c r="H29036" s="8" t="inlineStr">
        <is>
          <t>OPERATING</t>
        </is>
      </c>
    </row>
    <row r="29037">
      <c r="A29037" s="8" t="inlineStr">
        <is>
          <t>2026-08-06</t>
        </is>
      </c>
      <c r="B29037" s="8" t="n">
        <v>10</v>
      </c>
      <c r="C29037" s="8" t="n">
        <v>31</v>
      </c>
      <c r="D29037" s="8" t="inlineStr">
        <is>
          <t>Disneyland Park</t>
        </is>
      </c>
      <c r="E29037" s="8" t="inlineStr">
        <is>
          <t>Alice's Curious Labyrinth</t>
        </is>
      </c>
      <c r="F29037" s="8" t="inlineStr">
        <is>
          <t>STANDBY</t>
        </is>
      </c>
      <c r="G29037" s="8" t="n">
        <v>5</v>
      </c>
      <c r="H29037" s="8" t="inlineStr">
        <is>
          <t>OPERATING</t>
        </is>
      </c>
    </row>
    <row r="29038">
      <c r="A29038" s="8" t="inlineStr">
        <is>
          <t>2026-08-06</t>
        </is>
      </c>
      <c r="B29038" s="8" t="n">
        <v>10</v>
      </c>
      <c r="C29038" s="8" t="n">
        <v>31</v>
      </c>
      <c r="D29038" s="8" t="inlineStr">
        <is>
          <t>Disneyland Park</t>
        </is>
      </c>
      <c r="E29038" s="8" t="inlineStr">
        <is>
          <t>Blanche-Neige et les Sept Nains®</t>
        </is>
      </c>
      <c r="F29038" s="8" t="inlineStr">
        <is>
          <t>STANDBY</t>
        </is>
      </c>
      <c r="G29038" s="8" t="n">
        <v>10</v>
      </c>
      <c r="H29038" s="8" t="inlineStr">
        <is>
          <t>OPERATING</t>
        </is>
      </c>
    </row>
    <row r="29039">
      <c r="A29039" s="8" t="inlineStr">
        <is>
          <t>2026-08-06</t>
        </is>
      </c>
      <c r="B29039" s="8" t="n">
        <v>10</v>
      </c>
      <c r="C29039" s="8" t="n">
        <v>31</v>
      </c>
      <c r="D29039" s="8" t="inlineStr">
        <is>
          <t>Disneyland Park</t>
        </is>
      </c>
      <c r="E29039" s="8" t="inlineStr">
        <is>
          <t>Casey Jr. – le Petit Train du Cirque</t>
        </is>
      </c>
      <c r="F29039" s="8" t="inlineStr">
        <is>
          <t>STANDBY</t>
        </is>
      </c>
      <c r="G29039" s="8" t="n">
        <v>5</v>
      </c>
      <c r="H29039" s="8" t="inlineStr">
        <is>
          <t>OPERATING</t>
        </is>
      </c>
    </row>
    <row r="29040">
      <c r="A29040" s="8" t="inlineStr">
        <is>
          <t>2026-08-06</t>
        </is>
      </c>
      <c r="B29040" s="8" t="n">
        <v>10</v>
      </c>
      <c r="C29040" s="8" t="n">
        <v>31</v>
      </c>
      <c r="D29040" s="8" t="inlineStr">
        <is>
          <t>Disneyland Park</t>
        </is>
      </c>
      <c r="E29040" s="8" t="inlineStr">
        <is>
          <t>Disneyland Railroad Fantasyland Station</t>
        </is>
      </c>
      <c r="F29040" s="8" t="inlineStr">
        <is>
          <t>STANDBY</t>
        </is>
      </c>
      <c r="G29040" s="8" t="n">
        <v>0</v>
      </c>
      <c r="H29040" s="8" t="inlineStr">
        <is>
          <t>CLOSED</t>
        </is>
      </c>
    </row>
    <row r="29041">
      <c r="A29041" s="8" t="inlineStr">
        <is>
          <t>2026-08-06</t>
        </is>
      </c>
      <c r="B29041" s="8" t="n">
        <v>10</v>
      </c>
      <c r="C29041" s="8" t="n">
        <v>31</v>
      </c>
      <c r="D29041" s="8" t="inlineStr">
        <is>
          <t>Disneyland Park</t>
        </is>
      </c>
      <c r="E29041" s="8" t="inlineStr">
        <is>
          <t>Disneyland Railroad Main Street Station</t>
        </is>
      </c>
      <c r="F29041" s="8" t="inlineStr">
        <is>
          <t>STANDBY</t>
        </is>
      </c>
      <c r="G29041" s="8" t="n">
        <v>0</v>
      </c>
      <c r="H29041" s="8" t="inlineStr">
        <is>
          <t>CLOSED</t>
        </is>
      </c>
    </row>
    <row r="29042">
      <c r="A29042" s="8" t="inlineStr">
        <is>
          <t>2026-08-06</t>
        </is>
      </c>
      <c r="B29042" s="8" t="n">
        <v>10</v>
      </c>
      <c r="C29042" s="8" t="n">
        <v>31</v>
      </c>
      <c r="D29042" s="8" t="inlineStr">
        <is>
          <t>Disneyland Park</t>
        </is>
      </c>
      <c r="E29042" s="8" t="inlineStr">
        <is>
          <t>Dumbo the Flying Elephant</t>
        </is>
      </c>
      <c r="F29042" s="8" t="inlineStr">
        <is>
          <t>STANDBY</t>
        </is>
      </c>
      <c r="G29042" s="8" t="n">
        <v>30</v>
      </c>
      <c r="H29042" s="8" t="inlineStr">
        <is>
          <t>OPERATING</t>
        </is>
      </c>
    </row>
    <row r="29043">
      <c r="A29043" s="8" t="inlineStr">
        <is>
          <t>2026-08-06</t>
        </is>
      </c>
      <c r="B29043" s="8" t="n">
        <v>10</v>
      </c>
      <c r="C29043" s="8" t="n">
        <v>31</v>
      </c>
      <c r="D29043" s="8" t="inlineStr">
        <is>
          <t>Disneyland Park</t>
        </is>
      </c>
      <c r="E29043" s="8" t="inlineStr">
        <is>
          <t>La Tanière du Dragon</t>
        </is>
      </c>
      <c r="F29043" s="8" t="inlineStr">
        <is>
          <t>STANDBY</t>
        </is>
      </c>
      <c r="G29043" s="8" t="n">
        <v>0</v>
      </c>
      <c r="H29043" s="8" t="inlineStr">
        <is>
          <t>OPERATING</t>
        </is>
      </c>
    </row>
    <row r="29044">
      <c r="A29044" s="8" t="inlineStr">
        <is>
          <t>2026-08-06</t>
        </is>
      </c>
      <c r="B29044" s="8" t="n">
        <v>10</v>
      </c>
      <c r="C29044" s="8" t="n">
        <v>31</v>
      </c>
      <c r="D29044" s="8" t="inlineStr">
        <is>
          <t>Disneyland Park</t>
        </is>
      </c>
      <c r="E29044" s="8" t="inlineStr">
        <is>
          <t>Le Carrousel de Lancelot</t>
        </is>
      </c>
      <c r="F29044" s="8" t="inlineStr">
        <is>
          <t>STANDBY</t>
        </is>
      </c>
      <c r="G29044" s="8" t="n">
        <v>15</v>
      </c>
      <c r="H29044" s="8" t="inlineStr">
        <is>
          <t>OPERATING</t>
        </is>
      </c>
    </row>
    <row r="29045">
      <c r="A29045" s="8" t="inlineStr">
        <is>
          <t>2026-08-06</t>
        </is>
      </c>
      <c r="B29045" s="8" t="n">
        <v>10</v>
      </c>
      <c r="C29045" s="8" t="n">
        <v>31</v>
      </c>
      <c r="D29045" s="8" t="inlineStr">
        <is>
          <t>Disneyland Park</t>
        </is>
      </c>
      <c r="E29045" s="8" t="inlineStr">
        <is>
          <t>Le Pays des Contes de Fées, presented by Vittel</t>
        </is>
      </c>
      <c r="F29045" s="8" t="inlineStr">
        <is>
          <t>STANDBY</t>
        </is>
      </c>
      <c r="G29045" s="8" t="n">
        <v>5</v>
      </c>
      <c r="H29045" s="8" t="inlineStr">
        <is>
          <t>OPERATING</t>
        </is>
      </c>
    </row>
    <row r="29046">
      <c r="A29046" s="8" t="inlineStr">
        <is>
          <t>2026-08-06</t>
        </is>
      </c>
      <c r="B29046" s="8" t="n">
        <v>10</v>
      </c>
      <c r="C29046" s="8" t="n">
        <v>31</v>
      </c>
      <c r="D29046" s="8" t="inlineStr">
        <is>
          <t>Disneyland Park</t>
        </is>
      </c>
      <c r="E29046" s="8" t="inlineStr">
        <is>
          <t>Les Voyages de Pinocchio</t>
        </is>
      </c>
      <c r="F29046" s="8" t="inlineStr">
        <is>
          <t>STANDBY</t>
        </is>
      </c>
      <c r="G29046" s="8" t="n">
        <v>15</v>
      </c>
      <c r="H29046" s="8" t="inlineStr">
        <is>
          <t>OPERATING</t>
        </is>
      </c>
    </row>
    <row r="29047">
      <c r="A29047" s="8" t="inlineStr">
        <is>
          <t>2026-08-06</t>
        </is>
      </c>
      <c r="B29047" s="8" t="n">
        <v>10</v>
      </c>
      <c r="C29047" s="8" t="n">
        <v>31</v>
      </c>
      <c r="D29047" s="8" t="inlineStr">
        <is>
          <t>Disneyland Park</t>
        </is>
      </c>
      <c r="E29047" s="8" t="inlineStr">
        <is>
          <t>Mad Hatter's Tea Cups</t>
        </is>
      </c>
      <c r="F29047" s="8" t="inlineStr">
        <is>
          <t>STANDBY</t>
        </is>
      </c>
      <c r="G29047" s="8" t="n">
        <v>5</v>
      </c>
      <c r="H29047" s="8" t="inlineStr">
        <is>
          <t>OPERATING</t>
        </is>
      </c>
    </row>
    <row r="29048">
      <c r="A29048" s="8" t="inlineStr">
        <is>
          <t>2026-08-06</t>
        </is>
      </c>
      <c r="B29048" s="8" t="n">
        <v>10</v>
      </c>
      <c r="C29048" s="8" t="n">
        <v>31</v>
      </c>
      <c r="D29048" s="8" t="inlineStr">
        <is>
          <t>Disneyland Park</t>
        </is>
      </c>
      <c r="E29048" s="8" t="inlineStr">
        <is>
          <t>Meet Mickey Mouse</t>
        </is>
      </c>
      <c r="F29048" s="8" t="inlineStr">
        <is>
          <t>STANDBY</t>
        </is>
      </c>
      <c r="G29048" s="8" t="n">
        <v>0</v>
      </c>
      <c r="H29048" s="8" t="inlineStr">
        <is>
          <t>OPERATING</t>
        </is>
      </c>
    </row>
    <row r="29049">
      <c r="A29049" s="8" t="inlineStr">
        <is>
          <t>2026-08-06</t>
        </is>
      </c>
      <c r="B29049" s="8" t="n">
        <v>10</v>
      </c>
      <c r="C29049" s="8" t="n">
        <v>31</v>
      </c>
      <c r="D29049" s="8" t="inlineStr">
        <is>
          <t>Disneyland Park</t>
        </is>
      </c>
      <c r="E29049" s="8" t="inlineStr">
        <is>
          <t>Peter Pan's Flight</t>
        </is>
      </c>
      <c r="F29049" s="8" t="inlineStr">
        <is>
          <t>STANDBY</t>
        </is>
      </c>
      <c r="G29049" s="8" t="n">
        <v>75</v>
      </c>
      <c r="H29049" s="8" t="inlineStr">
        <is>
          <t>OPERATING</t>
        </is>
      </c>
    </row>
    <row r="29050">
      <c r="A29050" s="8" t="inlineStr">
        <is>
          <t>2026-08-06</t>
        </is>
      </c>
      <c r="B29050" s="8" t="n">
        <v>10</v>
      </c>
      <c r="C29050" s="8" t="n">
        <v>31</v>
      </c>
      <c r="D29050" s="8" t="inlineStr">
        <is>
          <t>Disneyland Park</t>
        </is>
      </c>
      <c r="E29050" s="8" t="inlineStr">
        <is>
          <t>Princess Pavilion</t>
        </is>
      </c>
      <c r="F29050" s="8" t="inlineStr">
        <is>
          <t>STANDBY</t>
        </is>
      </c>
      <c r="G29050" s="8" t="n">
        <v>0</v>
      </c>
      <c r="H29050" s="8" t="inlineStr">
        <is>
          <t>OPERATING</t>
        </is>
      </c>
    </row>
    <row r="29051">
      <c r="A29051" s="8" t="inlineStr">
        <is>
          <t>2026-08-06</t>
        </is>
      </c>
      <c r="B29051" s="8" t="n">
        <v>10</v>
      </c>
      <c r="C29051" s="8" t="n">
        <v>31</v>
      </c>
      <c r="D29051" s="8" t="inlineStr">
        <is>
          <t>Disneyland Park</t>
        </is>
      </c>
      <c r="E29051" s="8" t="inlineStr">
        <is>
          <t>Big Thunder Mountain</t>
        </is>
      </c>
      <c r="F29051" s="8" t="inlineStr">
        <is>
          <t>STANDBY</t>
        </is>
      </c>
      <c r="G29051" s="8" t="n">
        <v>70</v>
      </c>
      <c r="H29051" s="8" t="inlineStr">
        <is>
          <t>OPERATING</t>
        </is>
      </c>
    </row>
    <row r="29052">
      <c r="A29052" s="8" t="inlineStr">
        <is>
          <t>2026-08-06</t>
        </is>
      </c>
      <c r="B29052" s="8" t="n">
        <v>10</v>
      </c>
      <c r="C29052" s="8" t="n">
        <v>31</v>
      </c>
      <c r="D29052" s="8" t="inlineStr">
        <is>
          <t>Disneyland Park</t>
        </is>
      </c>
      <c r="E29052" s="8" t="inlineStr">
        <is>
          <t>Disneyland Railroad Frontierland Depot</t>
        </is>
      </c>
      <c r="F29052" s="8" t="inlineStr">
        <is>
          <t>STANDBY</t>
        </is>
      </c>
      <c r="G29052" s="8" t="n">
        <v>0</v>
      </c>
      <c r="H29052" s="8" t="inlineStr">
        <is>
          <t>CLOSED</t>
        </is>
      </c>
    </row>
    <row r="29053">
      <c r="A29053" s="8" t="inlineStr">
        <is>
          <t>2026-08-06</t>
        </is>
      </c>
      <c r="B29053" s="8" t="n">
        <v>10</v>
      </c>
      <c r="C29053" s="8" t="n">
        <v>31</v>
      </c>
      <c r="D29053" s="8" t="inlineStr">
        <is>
          <t>Disneyland Park</t>
        </is>
      </c>
      <c r="E29053" s="8" t="inlineStr">
        <is>
          <t>Frontierland Playground</t>
        </is>
      </c>
      <c r="F29053" s="8" t="inlineStr">
        <is>
          <t>STANDBY</t>
        </is>
      </c>
      <c r="G29053" s="8" t="n">
        <v>0</v>
      </c>
      <c r="H29053" s="8" t="inlineStr">
        <is>
          <t>OPERATING</t>
        </is>
      </c>
    </row>
    <row r="29054">
      <c r="A29054" s="8" t="inlineStr">
        <is>
          <t>2026-08-06</t>
        </is>
      </c>
      <c r="B29054" s="8" t="n">
        <v>10</v>
      </c>
      <c r="C29054" s="8" t="n">
        <v>31</v>
      </c>
      <c r="D29054" s="8" t="inlineStr">
        <is>
          <t>Disneyland Park</t>
        </is>
      </c>
      <c r="E29054" s="8" t="inlineStr">
        <is>
          <t>Phantom Manor</t>
        </is>
      </c>
      <c r="F29054" s="8" t="inlineStr">
        <is>
          <t>STANDBY</t>
        </is>
      </c>
      <c r="G29054" s="8" t="n">
        <v>5</v>
      </c>
      <c r="H29054" s="8" t="inlineStr">
        <is>
          <t>OPERATING</t>
        </is>
      </c>
    </row>
    <row r="29055">
      <c r="A29055" s="8" t="inlineStr">
        <is>
          <t>2026-08-06</t>
        </is>
      </c>
      <c r="B29055" s="8" t="n">
        <v>10</v>
      </c>
      <c r="C29055" s="8" t="n">
        <v>31</v>
      </c>
      <c r="D29055" s="8" t="inlineStr">
        <is>
          <t>Disneyland Park</t>
        </is>
      </c>
      <c r="E29055" s="8" t="inlineStr">
        <is>
          <t>River Rogue Keelboats</t>
        </is>
      </c>
      <c r="F29055" s="8" t="inlineStr">
        <is>
          <t>STANDBY</t>
        </is>
      </c>
      <c r="G29055" s="8" t="n">
        <v>0</v>
      </c>
      <c r="H29055" s="8" t="inlineStr">
        <is>
          <t>CLOSED</t>
        </is>
      </c>
    </row>
    <row r="29056">
      <c r="A29056" s="8" t="inlineStr">
        <is>
          <t>2026-08-06</t>
        </is>
      </c>
      <c r="B29056" s="8" t="n">
        <v>10</v>
      </c>
      <c r="C29056" s="8" t="n">
        <v>31</v>
      </c>
      <c r="D29056" s="8" t="inlineStr">
        <is>
          <t>Disneyland Park</t>
        </is>
      </c>
      <c r="E29056" s="8" t="inlineStr">
        <is>
          <t>Rustler Roundup Shootin' Gallery</t>
        </is>
      </c>
      <c r="F29056" s="8" t="inlineStr">
        <is>
          <t>STANDBY</t>
        </is>
      </c>
      <c r="G29056" s="8" t="n">
        <v>0</v>
      </c>
      <c r="H29056" s="8" t="inlineStr">
        <is>
          <t>OPERATING</t>
        </is>
      </c>
    </row>
    <row r="29057">
      <c r="A29057" s="8" t="inlineStr">
        <is>
          <t>2026-08-06</t>
        </is>
      </c>
      <c r="B29057" s="8" t="n">
        <v>10</v>
      </c>
      <c r="C29057" s="8" t="n">
        <v>31</v>
      </c>
      <c r="D29057" s="8" t="inlineStr">
        <is>
          <t>Disneyland Park</t>
        </is>
      </c>
      <c r="E29057" s="8" t="inlineStr">
        <is>
          <t>Thunder Mesa Riverboat Landing</t>
        </is>
      </c>
      <c r="F29057" s="8" t="inlineStr">
        <is>
          <t>STANDBY</t>
        </is>
      </c>
      <c r="G29057" s="8" t="n">
        <v>0</v>
      </c>
      <c r="H29057" s="8" t="inlineStr">
        <is>
          <t>OPERATING</t>
        </is>
      </c>
    </row>
    <row r="29058">
      <c r="A29058" s="8" t="inlineStr">
        <is>
          <t>2026-08-06</t>
        </is>
      </c>
      <c r="B29058" s="8" t="n">
        <v>10</v>
      </c>
      <c r="C29058" s="8" t="n">
        <v>31</v>
      </c>
      <c r="D29058" s="8" t="inlineStr">
        <is>
          <t>Disneyland Park</t>
        </is>
      </c>
      <c r="E29058" s="8" t="inlineStr">
        <is>
          <t>Disneyland Railroad Main Street Station</t>
        </is>
      </c>
      <c r="F29058" s="8" t="inlineStr">
        <is>
          <t>STANDBY</t>
        </is>
      </c>
      <c r="G29058" s="8" t="n">
        <v>0</v>
      </c>
      <c r="H29058" s="8" t="inlineStr">
        <is>
          <t>CLOSED</t>
        </is>
      </c>
    </row>
    <row r="29059">
      <c r="A29059" s="8" t="inlineStr">
        <is>
          <t>2026-08-06</t>
        </is>
      </c>
      <c r="B29059" s="8" t="n">
        <v>10</v>
      </c>
      <c r="C29059" s="8" t="n">
        <v>31</v>
      </c>
      <c r="D29059" s="8" t="inlineStr">
        <is>
          <t>Disneyland Park</t>
        </is>
      </c>
      <c r="E29059" s="8" t="inlineStr">
        <is>
          <t>Main Street Vehicles</t>
        </is>
      </c>
      <c r="F29059" s="8" t="inlineStr">
        <is>
          <t>STANDBY</t>
        </is>
      </c>
      <c r="G29059" s="8" t="n">
        <v>0</v>
      </c>
      <c r="H29059" s="8" t="inlineStr">
        <is>
          <t>CLOSED</t>
        </is>
      </c>
    </row>
    <row r="29060">
      <c r="A29060" s="8" t="inlineStr">
        <is>
          <t>2026-08-06</t>
        </is>
      </c>
      <c r="B29060" s="8" t="n">
        <v>10</v>
      </c>
      <c r="C29060" s="8" t="n">
        <v>31</v>
      </c>
      <c r="D29060" s="8" t="inlineStr">
        <is>
          <t>Disney Adventure World</t>
        </is>
      </c>
      <c r="E29060" s="8" t="inlineStr">
        <is>
          <t>Avengers Assemble: Flight Force</t>
        </is>
      </c>
      <c r="F29060" s="8" t="inlineStr">
        <is>
          <t>STANDBY</t>
        </is>
      </c>
      <c r="G29060" s="8" t="n">
        <v>30</v>
      </c>
      <c r="H29060" s="8" t="inlineStr">
        <is>
          <t>OPERATING</t>
        </is>
      </c>
    </row>
    <row r="29061">
      <c r="A29061" s="8" t="inlineStr">
        <is>
          <t>2026-08-06</t>
        </is>
      </c>
      <c r="B29061" s="8" t="n">
        <v>10</v>
      </c>
      <c r="C29061" s="8" t="n">
        <v>31</v>
      </c>
      <c r="D29061" s="8" t="inlineStr">
        <is>
          <t>Disney Adventure World</t>
        </is>
      </c>
      <c r="E29061" s="8" t="inlineStr">
        <is>
          <t>Avengers Assemble: Flight Force Single Rider</t>
        </is>
      </c>
      <c r="F29061" s="8" t="inlineStr">
        <is>
          <t>STANDBY</t>
        </is>
      </c>
      <c r="G29061" s="8" t="n">
        <v>15</v>
      </c>
      <c r="H29061" s="8" t="inlineStr">
        <is>
          <t>OPERATING</t>
        </is>
      </c>
    </row>
    <row r="29062">
      <c r="A29062" s="8" t="inlineStr">
        <is>
          <t>2026-08-06</t>
        </is>
      </c>
      <c r="B29062" s="8" t="n">
        <v>10</v>
      </c>
      <c r="C29062" s="8" t="n">
        <v>31</v>
      </c>
      <c r="D29062" s="8" t="inlineStr">
        <is>
          <t>Disney Adventure World</t>
        </is>
      </c>
      <c r="E29062" s="8" t="inlineStr">
        <is>
          <t>Spider-Man W.E.B. Adventure</t>
        </is>
      </c>
      <c r="F29062" s="8" t="inlineStr">
        <is>
          <t>STANDBY</t>
        </is>
      </c>
      <c r="G29062" s="8" t="n">
        <v>50</v>
      </c>
      <c r="H29062" s="8" t="inlineStr">
        <is>
          <t>OPERATING</t>
        </is>
      </c>
    </row>
    <row r="29063">
      <c r="A29063" s="8" t="inlineStr">
        <is>
          <t>2026-08-06</t>
        </is>
      </c>
      <c r="B29063" s="8" t="n">
        <v>10</v>
      </c>
      <c r="C29063" s="8" t="n">
        <v>31</v>
      </c>
      <c r="D29063" s="8" t="inlineStr">
        <is>
          <t>Disney Adventure World</t>
        </is>
      </c>
      <c r="E29063" s="8" t="inlineStr">
        <is>
          <t>Spider-Man W.E.B. Adventure Single Rider</t>
        </is>
      </c>
      <c r="F29063" s="8" t="inlineStr">
        <is>
          <t>STANDBY</t>
        </is>
      </c>
      <c r="G29063" s="8" t="n">
        <v>20</v>
      </c>
      <c r="H29063" s="8" t="inlineStr">
        <is>
          <t>OPERATING</t>
        </is>
      </c>
    </row>
    <row r="29064">
      <c r="A29064" s="8" t="inlineStr">
        <is>
          <t>2026-08-06</t>
        </is>
      </c>
      <c r="B29064" s="8" t="n">
        <v>10</v>
      </c>
      <c r="C29064" s="8" t="n">
        <v>31</v>
      </c>
      <c r="D29064" s="8" t="inlineStr">
        <is>
          <t>Disney Adventure World</t>
        </is>
      </c>
      <c r="E29064" s="8" t="inlineStr">
        <is>
          <t>The Twilight Zone Tower of Terror</t>
        </is>
      </c>
      <c r="F29064" s="8" t="inlineStr">
        <is>
          <t>STANDBY</t>
        </is>
      </c>
      <c r="G29064" s="8" t="n">
        <v>100</v>
      </c>
      <c r="H29064" s="8" t="inlineStr">
        <is>
          <t>OPERATING</t>
        </is>
      </c>
    </row>
    <row r="29065">
      <c r="A29065" s="8" t="inlineStr">
        <is>
          <t>2026-08-06</t>
        </is>
      </c>
      <c r="B29065" s="8" t="n">
        <v>10</v>
      </c>
      <c r="C29065" s="8" t="n">
        <v>31</v>
      </c>
      <c r="D29065" s="8" t="inlineStr">
        <is>
          <t>Disney Adventure World</t>
        </is>
      </c>
      <c r="E29065" s="8" t="inlineStr">
        <is>
          <t>Cars Quatre Roues Rallye</t>
        </is>
      </c>
      <c r="F29065" s="8" t="inlineStr">
        <is>
          <t>STANDBY</t>
        </is>
      </c>
      <c r="G29065" s="8" t="n">
        <v>15</v>
      </c>
      <c r="H29065" s="8" t="inlineStr">
        <is>
          <t>OPERATING</t>
        </is>
      </c>
    </row>
    <row r="29066">
      <c r="A29066" s="8" t="inlineStr">
        <is>
          <t>2026-08-06</t>
        </is>
      </c>
      <c r="B29066" s="8" t="n">
        <v>10</v>
      </c>
      <c r="C29066" s="8" t="n">
        <v>31</v>
      </c>
      <c r="D29066" s="8" t="inlineStr">
        <is>
          <t>Disney Adventure World</t>
        </is>
      </c>
      <c r="E29066" s="8" t="inlineStr">
        <is>
          <t>Cars ROAD TRIP</t>
        </is>
      </c>
      <c r="F29066" s="8" t="inlineStr">
        <is>
          <t>STANDBY</t>
        </is>
      </c>
      <c r="G29066" s="8" t="n">
        <v>0</v>
      </c>
      <c r="H29066" s="8" t="inlineStr">
        <is>
          <t>CLOSED</t>
        </is>
      </c>
    </row>
    <row r="29067">
      <c r="A29067" s="8" t="inlineStr">
        <is>
          <t>2026-08-06</t>
        </is>
      </c>
      <c r="B29067" s="8" t="n">
        <v>10</v>
      </c>
      <c r="C29067" s="8" t="n">
        <v>31</v>
      </c>
      <c r="D29067" s="8" t="inlineStr">
        <is>
          <t>Disney Adventure World</t>
        </is>
      </c>
      <c r="E29067" s="8" t="inlineStr">
        <is>
          <t>Crush's Coaster</t>
        </is>
      </c>
      <c r="F29067" s="8" t="inlineStr">
        <is>
          <t>STANDBY</t>
        </is>
      </c>
      <c r="G29067" s="8" t="n">
        <v>90</v>
      </c>
      <c r="H29067" s="8" t="inlineStr">
        <is>
          <t>OPERATING</t>
        </is>
      </c>
    </row>
    <row r="29068">
      <c r="A29068" s="8" t="inlineStr">
        <is>
          <t>2026-08-06</t>
        </is>
      </c>
      <c r="B29068" s="8" t="n">
        <v>10</v>
      </c>
      <c r="C29068" s="8" t="n">
        <v>31</v>
      </c>
      <c r="D29068" s="8" t="inlineStr">
        <is>
          <t>Disney Adventure World</t>
        </is>
      </c>
      <c r="E29068" s="8" t="inlineStr">
        <is>
          <t>Crush's Coaster Single Rider</t>
        </is>
      </c>
      <c r="F29068" s="8" t="inlineStr">
        <is>
          <t>STANDBY</t>
        </is>
      </c>
      <c r="G29068" s="8" t="n">
        <v>50</v>
      </c>
      <c r="H29068" s="8" t="inlineStr">
        <is>
          <t>OPERATING</t>
        </is>
      </c>
    </row>
    <row r="29069">
      <c r="A29069" s="8" t="inlineStr">
        <is>
          <t>2026-08-06</t>
        </is>
      </c>
      <c r="B29069" s="8" t="n">
        <v>10</v>
      </c>
      <c r="C29069" s="8" t="n">
        <v>31</v>
      </c>
      <c r="D29069" s="8" t="inlineStr">
        <is>
          <t>Disney Adventure World</t>
        </is>
      </c>
      <c r="E29069" s="8" t="inlineStr">
        <is>
          <t>Les Tapis Volants - Flying Carpets Over Agrabah®</t>
        </is>
      </c>
      <c r="F29069" s="8" t="inlineStr">
        <is>
          <t>STANDBY</t>
        </is>
      </c>
      <c r="G29069" s="8" t="n">
        <v>20</v>
      </c>
      <c r="H29069" s="8" t="inlineStr">
        <is>
          <t>OPERATING</t>
        </is>
      </c>
    </row>
    <row r="29070">
      <c r="A29070" s="8" t="inlineStr">
        <is>
          <t>2026-08-06</t>
        </is>
      </c>
      <c r="B29070" s="8" t="n">
        <v>10</v>
      </c>
      <c r="C29070" s="8" t="n">
        <v>31</v>
      </c>
      <c r="D29070" s="8" t="inlineStr">
        <is>
          <t>Disney Adventure World</t>
        </is>
      </c>
      <c r="E29070" s="8" t="inlineStr">
        <is>
          <t>Ratatouille : L’Aventure Totalement Toquée de Rémy​</t>
        </is>
      </c>
      <c r="F29070" s="8" t="inlineStr">
        <is>
          <t>STANDBY</t>
        </is>
      </c>
      <c r="G29070" s="8" t="n">
        <v>0</v>
      </c>
      <c r="H29070" s="8" t="inlineStr">
        <is>
          <t>CLOSED</t>
        </is>
      </c>
    </row>
    <row r="29071">
      <c r="A29071" s="8" t="inlineStr">
        <is>
          <t>2026-08-06</t>
        </is>
      </c>
      <c r="B29071" s="8" t="n">
        <v>10</v>
      </c>
      <c r="C29071" s="8" t="n">
        <v>31</v>
      </c>
      <c r="D29071" s="8" t="inlineStr">
        <is>
          <t>Disney Adventure World</t>
        </is>
      </c>
      <c r="E29071" s="8" t="inlineStr">
        <is>
          <t>Ratatouille: The Adventure Single Rider</t>
        </is>
      </c>
      <c r="F29071" s="8" t="inlineStr">
        <is>
          <t>STANDBY</t>
        </is>
      </c>
      <c r="G29071" s="8" t="n">
        <v>0</v>
      </c>
      <c r="H29071" s="8" t="inlineStr">
        <is>
          <t>CLOSED</t>
        </is>
      </c>
    </row>
    <row r="29072">
      <c r="A29072" s="8" t="inlineStr">
        <is>
          <t>2026-08-06</t>
        </is>
      </c>
      <c r="B29072" s="8" t="n">
        <v>10</v>
      </c>
      <c r="C29072" s="8" t="n">
        <v>31</v>
      </c>
      <c r="D29072" s="8" t="inlineStr">
        <is>
          <t>Disney Adventure World</t>
        </is>
      </c>
      <c r="E29072" s="8" t="inlineStr">
        <is>
          <t>RC Racer</t>
        </is>
      </c>
      <c r="F29072" s="8" t="inlineStr">
        <is>
          <t>STANDBY</t>
        </is>
      </c>
      <c r="G29072" s="8" t="n">
        <v>50</v>
      </c>
      <c r="H29072" s="8" t="inlineStr">
        <is>
          <t>OPERATING</t>
        </is>
      </c>
    </row>
    <row r="29073">
      <c r="A29073" s="8" t="inlineStr">
        <is>
          <t>2026-08-06</t>
        </is>
      </c>
      <c r="B29073" s="8" t="n">
        <v>10</v>
      </c>
      <c r="C29073" s="8" t="n">
        <v>31</v>
      </c>
      <c r="D29073" s="8" t="inlineStr">
        <is>
          <t>Disney Adventure World</t>
        </is>
      </c>
      <c r="E29073" s="8" t="inlineStr">
        <is>
          <t>RC Racer Single Rider</t>
        </is>
      </c>
      <c r="F29073" s="8" t="inlineStr">
        <is>
          <t>STANDBY</t>
        </is>
      </c>
      <c r="G29073" s="8" t="n">
        <v>45</v>
      </c>
      <c r="H29073" s="8" t="inlineStr">
        <is>
          <t>OPERATING</t>
        </is>
      </c>
    </row>
    <row r="29074">
      <c r="A29074" s="8" t="inlineStr">
        <is>
          <t>2026-08-06</t>
        </is>
      </c>
      <c r="B29074" s="8" t="n">
        <v>10</v>
      </c>
      <c r="C29074" s="8" t="n">
        <v>31</v>
      </c>
      <c r="D29074" s="8" t="inlineStr">
        <is>
          <t>Disney Adventure World</t>
        </is>
      </c>
      <c r="E29074" s="8" t="inlineStr">
        <is>
          <t>Slinky® Dog Zigzag Spin</t>
        </is>
      </c>
      <c r="F29074" s="8" t="inlineStr">
        <is>
          <t>STANDBY</t>
        </is>
      </c>
      <c r="G29074" s="8" t="n">
        <v>15</v>
      </c>
      <c r="H29074" s="8" t="inlineStr">
        <is>
          <t>OPERATING</t>
        </is>
      </c>
    </row>
    <row r="29075">
      <c r="A29075" s="8" t="inlineStr">
        <is>
          <t>2026-08-06</t>
        </is>
      </c>
      <c r="B29075" s="8" t="n">
        <v>10</v>
      </c>
      <c r="C29075" s="8" t="n">
        <v>31</v>
      </c>
      <c r="D29075" s="8" t="inlineStr">
        <is>
          <t>Disney Adventure World</t>
        </is>
      </c>
      <c r="E29075" s="8" t="inlineStr">
        <is>
          <t>Toy Soldiers Parachute Drop</t>
        </is>
      </c>
      <c r="F29075" s="8" t="inlineStr">
        <is>
          <t>STANDBY</t>
        </is>
      </c>
      <c r="G29075" s="8" t="n">
        <v>45</v>
      </c>
      <c r="H29075" s="8" t="inlineStr">
        <is>
          <t>OPERATING</t>
        </is>
      </c>
    </row>
    <row r="29076">
      <c r="A29076" s="8" t="inlineStr">
        <is>
          <t>2026-08-06</t>
        </is>
      </c>
      <c r="B29076" s="8" t="n">
        <v>10</v>
      </c>
      <c r="C29076" s="8" t="n">
        <v>31</v>
      </c>
      <c r="D29076" s="8" t="inlineStr">
        <is>
          <t>Disney Adventure World</t>
        </is>
      </c>
      <c r="E29076" s="8" t="inlineStr">
        <is>
          <t>Toy Soldiers Parachute Drop Single Rider</t>
        </is>
      </c>
      <c r="F29076" s="8" t="inlineStr">
        <is>
          <t>STANDBY</t>
        </is>
      </c>
      <c r="G29076" s="8" t="n">
        <v>15</v>
      </c>
      <c r="H29076" s="8" t="inlineStr">
        <is>
          <t>OPERATING</t>
        </is>
      </c>
    </row>
    <row r="29077">
      <c r="A29077" s="8" t="inlineStr">
        <is>
          <t>2026-08-06</t>
        </is>
      </c>
      <c r="B29077" s="8" t="n">
        <v>10</v>
      </c>
      <c r="C29077" s="8" t="n">
        <v>31</v>
      </c>
      <c r="D29077" s="8" t="inlineStr">
        <is>
          <t>Disney Adventure World</t>
        </is>
      </c>
      <c r="E29077" s="8" t="inlineStr">
        <is>
          <t>Entry to World of Frozen</t>
        </is>
      </c>
      <c r="F29077" s="8" t="inlineStr">
        <is>
          <t>STANDBY</t>
        </is>
      </c>
      <c r="G29077" s="8" t="n">
        <v>0</v>
      </c>
      <c r="H29077" s="8" t="inlineStr">
        <is>
          <t>OPERATING</t>
        </is>
      </c>
    </row>
    <row r="29078">
      <c r="A29078" s="8" t="inlineStr">
        <is>
          <t>2026-08-06</t>
        </is>
      </c>
      <c r="B29078" s="8" t="n">
        <v>10</v>
      </c>
      <c r="C29078" s="8" t="n">
        <v>31</v>
      </c>
      <c r="D29078" s="8" t="inlineStr">
        <is>
          <t>Disney Adventure World</t>
        </is>
      </c>
      <c r="E29078" s="8" t="inlineStr">
        <is>
          <t>Frozen Ever After</t>
        </is>
      </c>
      <c r="F29078" s="8" t="inlineStr">
        <is>
          <t>STANDBY</t>
        </is>
      </c>
      <c r="G29078" s="8" t="n">
        <v>85</v>
      </c>
      <c r="H29078" s="8" t="inlineStr">
        <is>
          <t>OPERATING</t>
        </is>
      </c>
    </row>
    <row r="29079">
      <c r="A29079" s="8" t="inlineStr">
        <is>
          <t>2026-08-06</t>
        </is>
      </c>
      <c r="B29079" s="8" t="n">
        <v>10</v>
      </c>
      <c r="C29079" s="8" t="n">
        <v>31</v>
      </c>
      <c r="D29079" s="8" t="inlineStr">
        <is>
          <t>Disney Adventure World</t>
        </is>
      </c>
      <c r="E29079" s="8" t="inlineStr">
        <is>
          <t>Raiponce Tangled Spin</t>
        </is>
      </c>
      <c r="F29079" s="8" t="inlineStr">
        <is>
          <t>STANDBY</t>
        </is>
      </c>
      <c r="G29079" s="8" t="n">
        <v>15</v>
      </c>
      <c r="H29079" s="8" t="inlineStr">
        <is>
          <t>OPERATING</t>
        </is>
      </c>
    </row>
    <row r="29080">
      <c r="A29080" s="8" t="inlineStr">
        <is>
          <t>2026-08-06</t>
        </is>
      </c>
      <c r="B29080" s="8" t="n">
        <v>10</v>
      </c>
      <c r="C29080" s="8" t="n">
        <v>45</v>
      </c>
      <c r="D29080" s="8" t="inlineStr">
        <is>
          <t>Disneyland Park</t>
        </is>
      </c>
      <c r="E29080" s="8" t="inlineStr">
        <is>
          <t>Adventure Isle</t>
        </is>
      </c>
      <c r="F29080" s="8" t="inlineStr">
        <is>
          <t>STANDBY</t>
        </is>
      </c>
      <c r="G29080" s="8" t="n">
        <v>0</v>
      </c>
      <c r="H29080" s="8" t="inlineStr">
        <is>
          <t>OPERATING</t>
        </is>
      </c>
    </row>
    <row r="29081">
      <c r="A29081" s="8" t="inlineStr">
        <is>
          <t>2026-08-06</t>
        </is>
      </c>
      <c r="B29081" s="8" t="n">
        <v>10</v>
      </c>
      <c r="C29081" s="8" t="n">
        <v>45</v>
      </c>
      <c r="D29081" s="8" t="inlineStr">
        <is>
          <t>Disneyland Park</t>
        </is>
      </c>
      <c r="E29081" s="8" t="inlineStr">
        <is>
          <t>Indiana Jones and the Temple of Peril Single Rider</t>
        </is>
      </c>
      <c r="F29081" s="8" t="inlineStr">
        <is>
          <t>STANDBY</t>
        </is>
      </c>
      <c r="G29081" s="8" t="n">
        <v>5</v>
      </c>
      <c r="H29081" s="8" t="inlineStr">
        <is>
          <t>OPERATING</t>
        </is>
      </c>
    </row>
    <row r="29082">
      <c r="A29082" s="8" t="inlineStr">
        <is>
          <t>2026-08-06</t>
        </is>
      </c>
      <c r="B29082" s="8" t="n">
        <v>10</v>
      </c>
      <c r="C29082" s="8" t="n">
        <v>45</v>
      </c>
      <c r="D29082" s="8" t="inlineStr">
        <is>
          <t>Disneyland Park</t>
        </is>
      </c>
      <c r="E29082" s="8" t="inlineStr">
        <is>
          <t>Indiana Jones™ and the Temple of Peril</t>
        </is>
      </c>
      <c r="F29082" s="8" t="inlineStr">
        <is>
          <t>STANDBY</t>
        </is>
      </c>
      <c r="G29082" s="8" t="n">
        <v>15</v>
      </c>
      <c r="H29082" s="8" t="inlineStr">
        <is>
          <t>OPERATING</t>
        </is>
      </c>
    </row>
    <row r="29083">
      <c r="A29083" s="8" t="inlineStr">
        <is>
          <t>2026-08-06</t>
        </is>
      </c>
      <c r="B29083" s="8" t="n">
        <v>10</v>
      </c>
      <c r="C29083" s="8" t="n">
        <v>45</v>
      </c>
      <c r="D29083" s="8" t="inlineStr">
        <is>
          <t>Disneyland Park</t>
        </is>
      </c>
      <c r="E29083" s="8" t="inlineStr">
        <is>
          <t>La Cabane des Robinson</t>
        </is>
      </c>
      <c r="F29083" s="8" t="inlineStr">
        <is>
          <t>STANDBY</t>
        </is>
      </c>
      <c r="G29083" s="8" t="n">
        <v>5</v>
      </c>
      <c r="H29083" s="8" t="inlineStr">
        <is>
          <t>OPERATING</t>
        </is>
      </c>
    </row>
    <row r="29084">
      <c r="A29084" s="8" t="inlineStr">
        <is>
          <t>2026-08-06</t>
        </is>
      </c>
      <c r="B29084" s="8" t="n">
        <v>10</v>
      </c>
      <c r="C29084" s="8" t="n">
        <v>45</v>
      </c>
      <c r="D29084" s="8" t="inlineStr">
        <is>
          <t>Disneyland Park</t>
        </is>
      </c>
      <c r="E29084" s="8" t="inlineStr">
        <is>
          <t>Le Passage Enchanté d'Aladdin</t>
        </is>
      </c>
      <c r="F29084" s="8" t="inlineStr">
        <is>
          <t>STANDBY</t>
        </is>
      </c>
      <c r="G29084" s="8" t="n">
        <v>0</v>
      </c>
      <c r="H29084" s="8" t="inlineStr">
        <is>
          <t>OPERATING</t>
        </is>
      </c>
    </row>
    <row r="29085">
      <c r="A29085" s="8" t="inlineStr">
        <is>
          <t>2026-08-06</t>
        </is>
      </c>
      <c r="B29085" s="8" t="n">
        <v>10</v>
      </c>
      <c r="C29085" s="8" t="n">
        <v>45</v>
      </c>
      <c r="D29085" s="8" t="inlineStr">
        <is>
          <t>Disneyland Park</t>
        </is>
      </c>
      <c r="E29085" s="8" t="inlineStr">
        <is>
          <t>Pirate Galleon</t>
        </is>
      </c>
      <c r="F29085" s="8" t="inlineStr">
        <is>
          <t>STANDBY</t>
        </is>
      </c>
      <c r="G29085" s="8" t="n">
        <v>0</v>
      </c>
      <c r="H29085" s="8" t="inlineStr">
        <is>
          <t>CLOSED</t>
        </is>
      </c>
    </row>
    <row r="29086">
      <c r="A29086" s="8" t="inlineStr">
        <is>
          <t>2026-08-06</t>
        </is>
      </c>
      <c r="B29086" s="8" t="n">
        <v>10</v>
      </c>
      <c r="C29086" s="8" t="n">
        <v>45</v>
      </c>
      <c r="D29086" s="8" t="inlineStr">
        <is>
          <t>Disneyland Park</t>
        </is>
      </c>
      <c r="E29086" s="8" t="inlineStr">
        <is>
          <t>Pirates of the Caribbean</t>
        </is>
      </c>
      <c r="F29086" s="8" t="inlineStr">
        <is>
          <t>STANDBY</t>
        </is>
      </c>
      <c r="G29086" s="8" t="n">
        <v>15</v>
      </c>
      <c r="H29086" s="8" t="inlineStr">
        <is>
          <t>OPERATING</t>
        </is>
      </c>
    </row>
    <row r="29087">
      <c r="A29087" s="8" t="inlineStr">
        <is>
          <t>2026-08-06</t>
        </is>
      </c>
      <c r="B29087" s="8" t="n">
        <v>10</v>
      </c>
      <c r="C29087" s="8" t="n">
        <v>45</v>
      </c>
      <c r="D29087" s="8" t="inlineStr">
        <is>
          <t>Disneyland Park</t>
        </is>
      </c>
      <c r="E29087" s="8" t="inlineStr">
        <is>
          <t>Pirates' Beach</t>
        </is>
      </c>
      <c r="F29087" s="8" t="inlineStr">
        <is>
          <t>STANDBY</t>
        </is>
      </c>
      <c r="G29087" s="8" t="n">
        <v>0</v>
      </c>
      <c r="H29087" s="8" t="inlineStr">
        <is>
          <t>OPERATING</t>
        </is>
      </c>
    </row>
    <row r="29088">
      <c r="A29088" s="8" t="inlineStr">
        <is>
          <t>2026-08-06</t>
        </is>
      </c>
      <c r="B29088" s="8" t="n">
        <v>10</v>
      </c>
      <c r="C29088" s="8" t="n">
        <v>45</v>
      </c>
      <c r="D29088" s="8" t="inlineStr">
        <is>
          <t>Disneyland Park</t>
        </is>
      </c>
      <c r="E29088" s="8" t="inlineStr">
        <is>
          <t>Autopia, presented by Avis</t>
        </is>
      </c>
      <c r="F29088" s="8" t="inlineStr">
        <is>
          <t>STANDBY</t>
        </is>
      </c>
      <c r="G29088" s="8" t="n">
        <v>25</v>
      </c>
      <c r="H29088" s="8" t="inlineStr">
        <is>
          <t>OPERATING</t>
        </is>
      </c>
    </row>
    <row r="29089">
      <c r="A29089" s="8" t="inlineStr">
        <is>
          <t>2026-08-06</t>
        </is>
      </c>
      <c r="B29089" s="8" t="n">
        <v>10</v>
      </c>
      <c r="C29089" s="8" t="n">
        <v>45</v>
      </c>
      <c r="D29089" s="8" t="inlineStr">
        <is>
          <t>Disneyland Park</t>
        </is>
      </c>
      <c r="E29089" s="8" t="inlineStr">
        <is>
          <t>Buzz Lightyear Laser Blast</t>
        </is>
      </c>
      <c r="F29089" s="8" t="inlineStr">
        <is>
          <t>STANDBY</t>
        </is>
      </c>
      <c r="G29089" s="8" t="n">
        <v>45</v>
      </c>
      <c r="H29089" s="8" t="inlineStr">
        <is>
          <t>OPERATING</t>
        </is>
      </c>
    </row>
    <row r="29090">
      <c r="A29090" s="8" t="inlineStr">
        <is>
          <t>2026-08-06</t>
        </is>
      </c>
      <c r="B29090" s="8" t="n">
        <v>10</v>
      </c>
      <c r="C29090" s="8" t="n">
        <v>45</v>
      </c>
      <c r="D29090" s="8" t="inlineStr">
        <is>
          <t>Disneyland Park</t>
        </is>
      </c>
      <c r="E29090" s="8" t="inlineStr">
        <is>
          <t>Disneyland Railroad Discoveryland Station</t>
        </is>
      </c>
      <c r="F29090" s="8" t="inlineStr">
        <is>
          <t>STANDBY</t>
        </is>
      </c>
      <c r="G29090" s="8" t="n">
        <v>0</v>
      </c>
      <c r="H29090" s="8" t="inlineStr">
        <is>
          <t>CLOSED</t>
        </is>
      </c>
    </row>
    <row r="29091">
      <c r="A29091" s="8" t="inlineStr">
        <is>
          <t>2026-08-06</t>
        </is>
      </c>
      <c r="B29091" s="8" t="n">
        <v>10</v>
      </c>
      <c r="C29091" s="8" t="n">
        <v>45</v>
      </c>
      <c r="D29091" s="8" t="inlineStr">
        <is>
          <t>Disneyland Park</t>
        </is>
      </c>
      <c r="E29091" s="8" t="inlineStr">
        <is>
          <t>Les Mystères du Nautilus</t>
        </is>
      </c>
      <c r="F29091" s="8" t="inlineStr">
        <is>
          <t>STANDBY</t>
        </is>
      </c>
      <c r="G29091" s="8" t="n">
        <v>5</v>
      </c>
      <c r="H29091" s="8" t="inlineStr">
        <is>
          <t>OPERATING</t>
        </is>
      </c>
    </row>
    <row r="29092">
      <c r="A29092" s="8" t="inlineStr">
        <is>
          <t>2026-08-06</t>
        </is>
      </c>
      <c r="B29092" s="8" t="n">
        <v>10</v>
      </c>
      <c r="C29092" s="8" t="n">
        <v>45</v>
      </c>
      <c r="D29092" s="8" t="inlineStr">
        <is>
          <t>Disneyland Park</t>
        </is>
      </c>
      <c r="E29092" s="8" t="inlineStr">
        <is>
          <t>Mickey’s PhilharMagic</t>
        </is>
      </c>
      <c r="F29092" s="8" t="inlineStr">
        <is>
          <t>STANDBY</t>
        </is>
      </c>
      <c r="G29092" s="8" t="n">
        <v>0</v>
      </c>
      <c r="H29092" s="8" t="inlineStr">
        <is>
          <t>CLOSED</t>
        </is>
      </c>
    </row>
    <row r="29093">
      <c r="A29093" s="8" t="inlineStr">
        <is>
          <t>2026-08-06</t>
        </is>
      </c>
      <c r="B29093" s="8" t="n">
        <v>10</v>
      </c>
      <c r="C29093" s="8" t="n">
        <v>45</v>
      </c>
      <c r="D29093" s="8" t="inlineStr">
        <is>
          <t>Disneyland Park</t>
        </is>
      </c>
      <c r="E29093" s="8" t="inlineStr">
        <is>
          <t>Orbitron®</t>
        </is>
      </c>
      <c r="F29093" s="8" t="inlineStr">
        <is>
          <t>STANDBY</t>
        </is>
      </c>
      <c r="G29093" s="8" t="n">
        <v>50</v>
      </c>
      <c r="H29093" s="8" t="inlineStr">
        <is>
          <t>OPERATING</t>
        </is>
      </c>
    </row>
    <row r="29094">
      <c r="A29094" s="8" t="inlineStr">
        <is>
          <t>2026-08-06</t>
        </is>
      </c>
      <c r="B29094" s="8" t="n">
        <v>10</v>
      </c>
      <c r="C29094" s="8" t="n">
        <v>45</v>
      </c>
      <c r="D29094" s="8" t="inlineStr">
        <is>
          <t>Disneyland Park</t>
        </is>
      </c>
      <c r="E29094" s="8" t="inlineStr">
        <is>
          <t>Star Tours: The Adventures Continue*</t>
        </is>
      </c>
      <c r="F29094" s="8" t="inlineStr">
        <is>
          <t>STANDBY</t>
        </is>
      </c>
      <c r="G29094" s="8" t="n">
        <v>40</v>
      </c>
      <c r="H29094" s="8" t="inlineStr">
        <is>
          <t>OPERATING</t>
        </is>
      </c>
    </row>
    <row r="29095">
      <c r="A29095" s="8" t="inlineStr">
        <is>
          <t>2026-08-06</t>
        </is>
      </c>
      <c r="B29095" s="8" t="n">
        <v>10</v>
      </c>
      <c r="C29095" s="8" t="n">
        <v>45</v>
      </c>
      <c r="D29095" s="8" t="inlineStr">
        <is>
          <t>Disneyland Park</t>
        </is>
      </c>
      <c r="E29095" s="8" t="inlineStr">
        <is>
          <t>Star Wars Hyperspace Mountain</t>
        </is>
      </c>
      <c r="F29095" s="8" t="inlineStr">
        <is>
          <t>STANDBY</t>
        </is>
      </c>
      <c r="G29095" s="8" t="n">
        <v>35</v>
      </c>
      <c r="H29095" s="8" t="inlineStr">
        <is>
          <t>OPERATING</t>
        </is>
      </c>
    </row>
    <row r="29096">
      <c r="A29096" s="8" t="inlineStr">
        <is>
          <t>2026-08-06</t>
        </is>
      </c>
      <c r="B29096" s="8" t="n">
        <v>10</v>
      </c>
      <c r="C29096" s="8" t="n">
        <v>45</v>
      </c>
      <c r="D29096" s="8" t="inlineStr">
        <is>
          <t>Disneyland Park</t>
        </is>
      </c>
      <c r="E29096" s="8" t="inlineStr">
        <is>
          <t>Star Wars Hyperspace Mountain Single Rider</t>
        </is>
      </c>
      <c r="F29096" s="8" t="inlineStr">
        <is>
          <t>STANDBY</t>
        </is>
      </c>
      <c r="G29096" s="8" t="n">
        <v>25</v>
      </c>
      <c r="H29096" s="8" t="inlineStr">
        <is>
          <t>OPERATING</t>
        </is>
      </c>
    </row>
    <row r="29097">
      <c r="A29097" s="8" t="inlineStr">
        <is>
          <t>2026-08-06</t>
        </is>
      </c>
      <c r="B29097" s="8" t="n">
        <v>10</v>
      </c>
      <c r="C29097" s="8" t="n">
        <v>45</v>
      </c>
      <c r="D29097" s="8" t="inlineStr">
        <is>
          <t>Disneyland Park</t>
        </is>
      </c>
      <c r="E29097" s="8" t="inlineStr">
        <is>
          <t>Welcome to Starport: A Star Wars Encounter</t>
        </is>
      </c>
      <c r="F29097" s="8" t="inlineStr">
        <is>
          <t>STANDBY</t>
        </is>
      </c>
      <c r="G29097" s="8" t="n">
        <v>35</v>
      </c>
      <c r="H29097" s="8" t="inlineStr">
        <is>
          <t>OPERATING</t>
        </is>
      </c>
    </row>
    <row r="29098">
      <c r="A29098" s="8" t="inlineStr">
        <is>
          <t>2026-08-06</t>
        </is>
      </c>
      <c r="B29098" s="8" t="n">
        <v>10</v>
      </c>
      <c r="C29098" s="8" t="n">
        <v>45</v>
      </c>
      <c r="D29098" s="8" t="inlineStr">
        <is>
          <t>Disneyland Park</t>
        </is>
      </c>
      <c r="E29098" s="8" t="inlineStr">
        <is>
          <t>"it's a small world"</t>
        </is>
      </c>
      <c r="F29098" s="8" t="inlineStr">
        <is>
          <t>STANDBY</t>
        </is>
      </c>
      <c r="G29098" s="8" t="n">
        <v>5</v>
      </c>
      <c r="H29098" s="8" t="inlineStr">
        <is>
          <t>OPERATING</t>
        </is>
      </c>
    </row>
    <row r="29099">
      <c r="A29099" s="8" t="inlineStr">
        <is>
          <t>2026-08-06</t>
        </is>
      </c>
      <c r="B29099" s="8" t="n">
        <v>10</v>
      </c>
      <c r="C29099" s="8" t="n">
        <v>45</v>
      </c>
      <c r="D29099" s="8" t="inlineStr">
        <is>
          <t>Disneyland Park</t>
        </is>
      </c>
      <c r="E29099" s="8" t="inlineStr">
        <is>
          <t>Alice's Curious Labyrinth</t>
        </is>
      </c>
      <c r="F29099" s="8" t="inlineStr">
        <is>
          <t>STANDBY</t>
        </is>
      </c>
      <c r="G29099" s="8" t="n">
        <v>5</v>
      </c>
      <c r="H29099" s="8" t="inlineStr">
        <is>
          <t>OPERATING</t>
        </is>
      </c>
    </row>
    <row r="29100">
      <c r="A29100" s="8" t="inlineStr">
        <is>
          <t>2026-08-06</t>
        </is>
      </c>
      <c r="B29100" s="8" t="n">
        <v>10</v>
      </c>
      <c r="C29100" s="8" t="n">
        <v>45</v>
      </c>
      <c r="D29100" s="8" t="inlineStr">
        <is>
          <t>Disneyland Park</t>
        </is>
      </c>
      <c r="E29100" s="8" t="inlineStr">
        <is>
          <t>Blanche-Neige et les Sept Nains®</t>
        </is>
      </c>
      <c r="F29100" s="8" t="inlineStr">
        <is>
          <t>STANDBY</t>
        </is>
      </c>
      <c r="G29100" s="8" t="n">
        <v>15</v>
      </c>
      <c r="H29100" s="8" t="inlineStr">
        <is>
          <t>OPERATING</t>
        </is>
      </c>
    </row>
    <row r="29101">
      <c r="A29101" s="8" t="inlineStr">
        <is>
          <t>2026-08-06</t>
        </is>
      </c>
      <c r="B29101" s="8" t="n">
        <v>10</v>
      </c>
      <c r="C29101" s="8" t="n">
        <v>45</v>
      </c>
      <c r="D29101" s="8" t="inlineStr">
        <is>
          <t>Disneyland Park</t>
        </is>
      </c>
      <c r="E29101" s="8" t="inlineStr">
        <is>
          <t>Casey Jr. – le Petit Train du Cirque</t>
        </is>
      </c>
      <c r="F29101" s="8" t="inlineStr">
        <is>
          <t>STANDBY</t>
        </is>
      </c>
      <c r="G29101" s="8" t="n">
        <v>5</v>
      </c>
      <c r="H29101" s="8" t="inlineStr">
        <is>
          <t>OPERATING</t>
        </is>
      </c>
    </row>
    <row r="29102">
      <c r="A29102" s="8" t="inlineStr">
        <is>
          <t>2026-08-06</t>
        </is>
      </c>
      <c r="B29102" s="8" t="n">
        <v>10</v>
      </c>
      <c r="C29102" s="8" t="n">
        <v>45</v>
      </c>
      <c r="D29102" s="8" t="inlineStr">
        <is>
          <t>Disneyland Park</t>
        </is>
      </c>
      <c r="E29102" s="8" t="inlineStr">
        <is>
          <t>Disneyland Railroad Fantasyland Station</t>
        </is>
      </c>
      <c r="F29102" s="8" t="inlineStr">
        <is>
          <t>STANDBY</t>
        </is>
      </c>
      <c r="G29102" s="8" t="n">
        <v>0</v>
      </c>
      <c r="H29102" s="8" t="inlineStr">
        <is>
          <t>CLOSED</t>
        </is>
      </c>
    </row>
    <row r="29103">
      <c r="A29103" s="8" t="inlineStr">
        <is>
          <t>2026-08-06</t>
        </is>
      </c>
      <c r="B29103" s="8" t="n">
        <v>10</v>
      </c>
      <c r="C29103" s="8" t="n">
        <v>45</v>
      </c>
      <c r="D29103" s="8" t="inlineStr">
        <is>
          <t>Disneyland Park</t>
        </is>
      </c>
      <c r="E29103" s="8" t="inlineStr">
        <is>
          <t>Disneyland Railroad Main Street Station</t>
        </is>
      </c>
      <c r="F29103" s="8" t="inlineStr">
        <is>
          <t>STANDBY</t>
        </is>
      </c>
      <c r="G29103" s="8" t="n">
        <v>0</v>
      </c>
      <c r="H29103" s="8" t="inlineStr">
        <is>
          <t>CLOSED</t>
        </is>
      </c>
    </row>
    <row r="29104">
      <c r="A29104" s="8" t="inlineStr">
        <is>
          <t>2026-08-06</t>
        </is>
      </c>
      <c r="B29104" s="8" t="n">
        <v>10</v>
      </c>
      <c r="C29104" s="8" t="n">
        <v>45</v>
      </c>
      <c r="D29104" s="8" t="inlineStr">
        <is>
          <t>Disneyland Park</t>
        </is>
      </c>
      <c r="E29104" s="8" t="inlineStr">
        <is>
          <t>Dumbo the Flying Elephant</t>
        </is>
      </c>
      <c r="F29104" s="8" t="inlineStr">
        <is>
          <t>STANDBY</t>
        </is>
      </c>
      <c r="G29104" s="8" t="n">
        <v>35</v>
      </c>
      <c r="H29104" s="8" t="inlineStr">
        <is>
          <t>OPERATING</t>
        </is>
      </c>
    </row>
    <row r="29105">
      <c r="A29105" s="8" t="inlineStr">
        <is>
          <t>2026-08-06</t>
        </is>
      </c>
      <c r="B29105" s="8" t="n">
        <v>10</v>
      </c>
      <c r="C29105" s="8" t="n">
        <v>45</v>
      </c>
      <c r="D29105" s="8" t="inlineStr">
        <is>
          <t>Disneyland Park</t>
        </is>
      </c>
      <c r="E29105" s="8" t="inlineStr">
        <is>
          <t>La Tanière du Dragon</t>
        </is>
      </c>
      <c r="F29105" s="8" t="inlineStr">
        <is>
          <t>STANDBY</t>
        </is>
      </c>
      <c r="G29105" s="8" t="n">
        <v>0</v>
      </c>
      <c r="H29105" s="8" t="inlineStr">
        <is>
          <t>OPERATING</t>
        </is>
      </c>
    </row>
    <row r="29106">
      <c r="A29106" s="8" t="inlineStr">
        <is>
          <t>2026-08-06</t>
        </is>
      </c>
      <c r="B29106" s="8" t="n">
        <v>10</v>
      </c>
      <c r="C29106" s="8" t="n">
        <v>45</v>
      </c>
      <c r="D29106" s="8" t="inlineStr">
        <is>
          <t>Disneyland Park</t>
        </is>
      </c>
      <c r="E29106" s="8" t="inlineStr">
        <is>
          <t>Le Carrousel de Lancelot</t>
        </is>
      </c>
      <c r="F29106" s="8" t="inlineStr">
        <is>
          <t>STANDBY</t>
        </is>
      </c>
      <c r="G29106" s="8" t="n">
        <v>20</v>
      </c>
      <c r="H29106" s="8" t="inlineStr">
        <is>
          <t>OPERATING</t>
        </is>
      </c>
    </row>
    <row r="29107">
      <c r="A29107" s="8" t="inlineStr">
        <is>
          <t>2026-08-06</t>
        </is>
      </c>
      <c r="B29107" s="8" t="n">
        <v>10</v>
      </c>
      <c r="C29107" s="8" t="n">
        <v>45</v>
      </c>
      <c r="D29107" s="8" t="inlineStr">
        <is>
          <t>Disneyland Park</t>
        </is>
      </c>
      <c r="E29107" s="8" t="inlineStr">
        <is>
          <t>Le Pays des Contes de Fées, presented by Vittel</t>
        </is>
      </c>
      <c r="F29107" s="8" t="inlineStr">
        <is>
          <t>STANDBY</t>
        </is>
      </c>
      <c r="G29107" s="8" t="n">
        <v>5</v>
      </c>
      <c r="H29107" s="8" t="inlineStr">
        <is>
          <t>OPERATING</t>
        </is>
      </c>
    </row>
    <row r="29108">
      <c r="A29108" s="8" t="inlineStr">
        <is>
          <t>2026-08-06</t>
        </is>
      </c>
      <c r="B29108" s="8" t="n">
        <v>10</v>
      </c>
      <c r="C29108" s="8" t="n">
        <v>45</v>
      </c>
      <c r="D29108" s="8" t="inlineStr">
        <is>
          <t>Disneyland Park</t>
        </is>
      </c>
      <c r="E29108" s="8" t="inlineStr">
        <is>
          <t>Les Voyages de Pinocchio</t>
        </is>
      </c>
      <c r="F29108" s="8" t="inlineStr">
        <is>
          <t>STANDBY</t>
        </is>
      </c>
      <c r="G29108" s="8" t="n">
        <v>15</v>
      </c>
      <c r="H29108" s="8" t="inlineStr">
        <is>
          <t>OPERATING</t>
        </is>
      </c>
    </row>
    <row r="29109">
      <c r="A29109" s="8" t="inlineStr">
        <is>
          <t>2026-08-06</t>
        </is>
      </c>
      <c r="B29109" s="8" t="n">
        <v>10</v>
      </c>
      <c r="C29109" s="8" t="n">
        <v>45</v>
      </c>
      <c r="D29109" s="8" t="inlineStr">
        <is>
          <t>Disneyland Park</t>
        </is>
      </c>
      <c r="E29109" s="8" t="inlineStr">
        <is>
          <t>Mad Hatter's Tea Cups</t>
        </is>
      </c>
      <c r="F29109" s="8" t="inlineStr">
        <is>
          <t>STANDBY</t>
        </is>
      </c>
      <c r="G29109" s="8" t="n">
        <v>5</v>
      </c>
      <c r="H29109" s="8" t="inlineStr">
        <is>
          <t>OPERATING</t>
        </is>
      </c>
    </row>
    <row r="29110">
      <c r="A29110" s="8" t="inlineStr">
        <is>
          <t>2026-08-06</t>
        </is>
      </c>
      <c r="B29110" s="8" t="n">
        <v>10</v>
      </c>
      <c r="C29110" s="8" t="n">
        <v>45</v>
      </c>
      <c r="D29110" s="8" t="inlineStr">
        <is>
          <t>Disneyland Park</t>
        </is>
      </c>
      <c r="E29110" s="8" t="inlineStr">
        <is>
          <t>Meet Mickey Mouse</t>
        </is>
      </c>
      <c r="F29110" s="8" t="inlineStr">
        <is>
          <t>STANDBY</t>
        </is>
      </c>
      <c r="G29110" s="8" t="n">
        <v>0</v>
      </c>
      <c r="H29110" s="8" t="inlineStr">
        <is>
          <t>OPERATING</t>
        </is>
      </c>
    </row>
    <row r="29111">
      <c r="A29111" s="8" t="inlineStr">
        <is>
          <t>2026-08-06</t>
        </is>
      </c>
      <c r="B29111" s="8" t="n">
        <v>10</v>
      </c>
      <c r="C29111" s="8" t="n">
        <v>45</v>
      </c>
      <c r="D29111" s="8" t="inlineStr">
        <is>
          <t>Disneyland Park</t>
        </is>
      </c>
      <c r="E29111" s="8" t="inlineStr">
        <is>
          <t>Peter Pan's Flight</t>
        </is>
      </c>
      <c r="F29111" s="8" t="inlineStr">
        <is>
          <t>STANDBY</t>
        </is>
      </c>
      <c r="G29111" s="8" t="n">
        <v>60</v>
      </c>
      <c r="H29111" s="8" t="inlineStr">
        <is>
          <t>OPERATING</t>
        </is>
      </c>
    </row>
    <row r="29112">
      <c r="A29112" s="8" t="inlineStr">
        <is>
          <t>2026-08-06</t>
        </is>
      </c>
      <c r="B29112" s="8" t="n">
        <v>10</v>
      </c>
      <c r="C29112" s="8" t="n">
        <v>45</v>
      </c>
      <c r="D29112" s="8" t="inlineStr">
        <is>
          <t>Disneyland Park</t>
        </is>
      </c>
      <c r="E29112" s="8" t="inlineStr">
        <is>
          <t>Princess Pavilion</t>
        </is>
      </c>
      <c r="F29112" s="8" t="inlineStr">
        <is>
          <t>STANDBY</t>
        </is>
      </c>
      <c r="G29112" s="8" t="n">
        <v>0</v>
      </c>
      <c r="H29112" s="8" t="inlineStr">
        <is>
          <t>OPERATING</t>
        </is>
      </c>
    </row>
    <row r="29113">
      <c r="A29113" s="8" t="inlineStr">
        <is>
          <t>2026-08-06</t>
        </is>
      </c>
      <c r="B29113" s="8" t="n">
        <v>10</v>
      </c>
      <c r="C29113" s="8" t="n">
        <v>45</v>
      </c>
      <c r="D29113" s="8" t="inlineStr">
        <is>
          <t>Disneyland Park</t>
        </is>
      </c>
      <c r="E29113" s="8" t="inlineStr">
        <is>
          <t>Big Thunder Mountain</t>
        </is>
      </c>
      <c r="F29113" s="8" t="inlineStr">
        <is>
          <t>STANDBY</t>
        </is>
      </c>
      <c r="G29113" s="8" t="n">
        <v>70</v>
      </c>
      <c r="H29113" s="8" t="inlineStr">
        <is>
          <t>OPERATING</t>
        </is>
      </c>
    </row>
    <row r="29114">
      <c r="A29114" s="8" t="inlineStr">
        <is>
          <t>2026-08-06</t>
        </is>
      </c>
      <c r="B29114" s="8" t="n">
        <v>10</v>
      </c>
      <c r="C29114" s="8" t="n">
        <v>45</v>
      </c>
      <c r="D29114" s="8" t="inlineStr">
        <is>
          <t>Disneyland Park</t>
        </is>
      </c>
      <c r="E29114" s="8" t="inlineStr">
        <is>
          <t>Disneyland Railroad Frontierland Depot</t>
        </is>
      </c>
      <c r="F29114" s="8" t="inlineStr">
        <is>
          <t>STANDBY</t>
        </is>
      </c>
      <c r="G29114" s="8" t="n">
        <v>0</v>
      </c>
      <c r="H29114" s="8" t="inlineStr">
        <is>
          <t>CLOSED</t>
        </is>
      </c>
    </row>
    <row r="29115">
      <c r="A29115" s="8" t="inlineStr">
        <is>
          <t>2026-08-06</t>
        </is>
      </c>
      <c r="B29115" s="8" t="n">
        <v>10</v>
      </c>
      <c r="C29115" s="8" t="n">
        <v>45</v>
      </c>
      <c r="D29115" s="8" t="inlineStr">
        <is>
          <t>Disneyland Park</t>
        </is>
      </c>
      <c r="E29115" s="8" t="inlineStr">
        <is>
          <t>Frontierland Playground</t>
        </is>
      </c>
      <c r="F29115" s="8" t="inlineStr">
        <is>
          <t>STANDBY</t>
        </is>
      </c>
      <c r="G29115" s="8" t="n">
        <v>0</v>
      </c>
      <c r="H29115" s="8" t="inlineStr">
        <is>
          <t>OPERATING</t>
        </is>
      </c>
    </row>
    <row r="29116">
      <c r="A29116" s="8" t="inlineStr">
        <is>
          <t>2026-08-06</t>
        </is>
      </c>
      <c r="B29116" s="8" t="n">
        <v>10</v>
      </c>
      <c r="C29116" s="8" t="n">
        <v>45</v>
      </c>
      <c r="D29116" s="8" t="inlineStr">
        <is>
          <t>Disneyland Park</t>
        </is>
      </c>
      <c r="E29116" s="8" t="inlineStr">
        <is>
          <t>Phantom Manor</t>
        </is>
      </c>
      <c r="F29116" s="8" t="inlineStr">
        <is>
          <t>STANDBY</t>
        </is>
      </c>
      <c r="G29116" s="8" t="n">
        <v>5</v>
      </c>
      <c r="H29116" s="8" t="inlineStr">
        <is>
          <t>OPERATING</t>
        </is>
      </c>
    </row>
    <row r="29117">
      <c r="A29117" s="8" t="inlineStr">
        <is>
          <t>2026-08-06</t>
        </is>
      </c>
      <c r="B29117" s="8" t="n">
        <v>10</v>
      </c>
      <c r="C29117" s="8" t="n">
        <v>45</v>
      </c>
      <c r="D29117" s="8" t="inlineStr">
        <is>
          <t>Disneyland Park</t>
        </is>
      </c>
      <c r="E29117" s="8" t="inlineStr">
        <is>
          <t>River Rogue Keelboats</t>
        </is>
      </c>
      <c r="F29117" s="8" t="inlineStr">
        <is>
          <t>STANDBY</t>
        </is>
      </c>
      <c r="G29117" s="8" t="n">
        <v>0</v>
      </c>
      <c r="H29117" s="8" t="inlineStr">
        <is>
          <t>CLOSED</t>
        </is>
      </c>
    </row>
    <row r="29118">
      <c r="A29118" s="8" t="inlineStr">
        <is>
          <t>2026-08-06</t>
        </is>
      </c>
      <c r="B29118" s="8" t="n">
        <v>10</v>
      </c>
      <c r="C29118" s="8" t="n">
        <v>45</v>
      </c>
      <c r="D29118" s="8" t="inlineStr">
        <is>
          <t>Disneyland Park</t>
        </is>
      </c>
      <c r="E29118" s="8" t="inlineStr">
        <is>
          <t>Rustler Roundup Shootin' Gallery</t>
        </is>
      </c>
      <c r="F29118" s="8" t="inlineStr">
        <is>
          <t>STANDBY</t>
        </is>
      </c>
      <c r="G29118" s="8" t="n">
        <v>0</v>
      </c>
      <c r="H29118" s="8" t="inlineStr">
        <is>
          <t>OPERATING</t>
        </is>
      </c>
    </row>
    <row r="29119">
      <c r="A29119" s="8" t="inlineStr">
        <is>
          <t>2026-08-06</t>
        </is>
      </c>
      <c r="B29119" s="8" t="n">
        <v>10</v>
      </c>
      <c r="C29119" s="8" t="n">
        <v>45</v>
      </c>
      <c r="D29119" s="8" t="inlineStr">
        <is>
          <t>Disneyland Park</t>
        </is>
      </c>
      <c r="E29119" s="8" t="inlineStr">
        <is>
          <t>Thunder Mesa Riverboat Landing</t>
        </is>
      </c>
      <c r="F29119" s="8" t="inlineStr">
        <is>
          <t>STANDBY</t>
        </is>
      </c>
      <c r="G29119" s="8" t="n">
        <v>0</v>
      </c>
      <c r="H29119" s="8" t="inlineStr">
        <is>
          <t>OPERATING</t>
        </is>
      </c>
    </row>
    <row r="29120">
      <c r="A29120" s="8" t="inlineStr">
        <is>
          <t>2026-08-06</t>
        </is>
      </c>
      <c r="B29120" s="8" t="n">
        <v>10</v>
      </c>
      <c r="C29120" s="8" t="n">
        <v>45</v>
      </c>
      <c r="D29120" s="8" t="inlineStr">
        <is>
          <t>Disneyland Park</t>
        </is>
      </c>
      <c r="E29120" s="8" t="inlineStr">
        <is>
          <t>Disneyland Railroad Main Street Station</t>
        </is>
      </c>
      <c r="F29120" s="8" t="inlineStr">
        <is>
          <t>STANDBY</t>
        </is>
      </c>
      <c r="G29120" s="8" t="n">
        <v>0</v>
      </c>
      <c r="H29120" s="8" t="inlineStr">
        <is>
          <t>CLOSED</t>
        </is>
      </c>
    </row>
    <row r="29121">
      <c r="A29121" s="8" t="inlineStr">
        <is>
          <t>2026-08-06</t>
        </is>
      </c>
      <c r="B29121" s="8" t="n">
        <v>10</v>
      </c>
      <c r="C29121" s="8" t="n">
        <v>45</v>
      </c>
      <c r="D29121" s="8" t="inlineStr">
        <is>
          <t>Disneyland Park</t>
        </is>
      </c>
      <c r="E29121" s="8" t="inlineStr">
        <is>
          <t>Main Street Vehicles</t>
        </is>
      </c>
      <c r="F29121" s="8" t="inlineStr">
        <is>
          <t>STANDBY</t>
        </is>
      </c>
      <c r="G29121" s="8" t="n">
        <v>0</v>
      </c>
      <c r="H29121" s="8" t="inlineStr">
        <is>
          <t>CLOSED</t>
        </is>
      </c>
    </row>
    <row r="29122">
      <c r="A29122" s="8" t="inlineStr">
        <is>
          <t>2026-08-06</t>
        </is>
      </c>
      <c r="B29122" s="8" t="n">
        <v>10</v>
      </c>
      <c r="C29122" s="8" t="n">
        <v>45</v>
      </c>
      <c r="D29122" s="8" t="inlineStr">
        <is>
          <t>Disney Adventure World</t>
        </is>
      </c>
      <c r="E29122" s="8" t="inlineStr">
        <is>
          <t>Avengers Assemble: Flight Force</t>
        </is>
      </c>
      <c r="F29122" s="8" t="inlineStr">
        <is>
          <t>STANDBY</t>
        </is>
      </c>
      <c r="G29122" s="8" t="n">
        <v>40</v>
      </c>
      <c r="H29122" s="8" t="inlineStr">
        <is>
          <t>OPERATING</t>
        </is>
      </c>
    </row>
    <row r="29123">
      <c r="A29123" s="8" t="inlineStr">
        <is>
          <t>2026-08-06</t>
        </is>
      </c>
      <c r="B29123" s="8" t="n">
        <v>10</v>
      </c>
      <c r="C29123" s="8" t="n">
        <v>45</v>
      </c>
      <c r="D29123" s="8" t="inlineStr">
        <is>
          <t>Disney Adventure World</t>
        </is>
      </c>
      <c r="E29123" s="8" t="inlineStr">
        <is>
          <t>Avengers Assemble: Flight Force Single Rider</t>
        </is>
      </c>
      <c r="F29123" s="8" t="inlineStr">
        <is>
          <t>STANDBY</t>
        </is>
      </c>
      <c r="G29123" s="8" t="n">
        <v>30</v>
      </c>
      <c r="H29123" s="8" t="inlineStr">
        <is>
          <t>OPERATING</t>
        </is>
      </c>
    </row>
    <row r="29124">
      <c r="A29124" s="8" t="inlineStr">
        <is>
          <t>2026-08-06</t>
        </is>
      </c>
      <c r="B29124" s="8" t="n">
        <v>10</v>
      </c>
      <c r="C29124" s="8" t="n">
        <v>45</v>
      </c>
      <c r="D29124" s="8" t="inlineStr">
        <is>
          <t>Disney Adventure World</t>
        </is>
      </c>
      <c r="E29124" s="8" t="inlineStr">
        <is>
          <t>Spider-Man W.E.B. Adventure</t>
        </is>
      </c>
      <c r="F29124" s="8" t="inlineStr">
        <is>
          <t>STANDBY</t>
        </is>
      </c>
      <c r="G29124" s="8" t="n">
        <v>50</v>
      </c>
      <c r="H29124" s="8" t="inlineStr">
        <is>
          <t>OPERATING</t>
        </is>
      </c>
    </row>
    <row r="29125">
      <c r="A29125" s="8" t="inlineStr">
        <is>
          <t>2026-08-06</t>
        </is>
      </c>
      <c r="B29125" s="8" t="n">
        <v>10</v>
      </c>
      <c r="C29125" s="8" t="n">
        <v>45</v>
      </c>
      <c r="D29125" s="8" t="inlineStr">
        <is>
          <t>Disney Adventure World</t>
        </is>
      </c>
      <c r="E29125" s="8" t="inlineStr">
        <is>
          <t>Spider-Man W.E.B. Adventure Single Rider</t>
        </is>
      </c>
      <c r="F29125" s="8" t="inlineStr">
        <is>
          <t>STANDBY</t>
        </is>
      </c>
      <c r="G29125" s="8" t="n">
        <v>30</v>
      </c>
      <c r="H29125" s="8" t="inlineStr">
        <is>
          <t>OPERATING</t>
        </is>
      </c>
    </row>
    <row r="29126">
      <c r="A29126" s="8" t="inlineStr">
        <is>
          <t>2026-08-06</t>
        </is>
      </c>
      <c r="B29126" s="8" t="n">
        <v>10</v>
      </c>
      <c r="C29126" s="8" t="n">
        <v>45</v>
      </c>
      <c r="D29126" s="8" t="inlineStr">
        <is>
          <t>Disney Adventure World</t>
        </is>
      </c>
      <c r="E29126" s="8" t="inlineStr">
        <is>
          <t>The Twilight Zone Tower of Terror</t>
        </is>
      </c>
      <c r="F29126" s="8" t="inlineStr">
        <is>
          <t>STANDBY</t>
        </is>
      </c>
      <c r="G29126" s="8" t="n">
        <v>50</v>
      </c>
      <c r="H29126" s="8" t="inlineStr">
        <is>
          <t>OPERATING</t>
        </is>
      </c>
    </row>
    <row r="29127">
      <c r="A29127" s="8" t="inlineStr">
        <is>
          <t>2026-08-06</t>
        </is>
      </c>
      <c r="B29127" s="8" t="n">
        <v>10</v>
      </c>
      <c r="C29127" s="8" t="n">
        <v>45</v>
      </c>
      <c r="D29127" s="8" t="inlineStr">
        <is>
          <t>Disney Adventure World</t>
        </is>
      </c>
      <c r="E29127" s="8" t="inlineStr">
        <is>
          <t>Cars Quatre Roues Rallye</t>
        </is>
      </c>
      <c r="F29127" s="8" t="inlineStr">
        <is>
          <t>STANDBY</t>
        </is>
      </c>
      <c r="G29127" s="8" t="n">
        <v>30</v>
      </c>
      <c r="H29127" s="8" t="inlineStr">
        <is>
          <t>OPERATING</t>
        </is>
      </c>
    </row>
    <row r="29128">
      <c r="A29128" s="8" t="inlineStr">
        <is>
          <t>2026-08-06</t>
        </is>
      </c>
      <c r="B29128" s="8" t="n">
        <v>10</v>
      </c>
      <c r="C29128" s="8" t="n">
        <v>45</v>
      </c>
      <c r="D29128" s="8" t="inlineStr">
        <is>
          <t>Disney Adventure World</t>
        </is>
      </c>
      <c r="E29128" s="8" t="inlineStr">
        <is>
          <t>Cars ROAD TRIP</t>
        </is>
      </c>
      <c r="F29128" s="8" t="inlineStr">
        <is>
          <t>STANDBY</t>
        </is>
      </c>
      <c r="G29128" s="8" t="n">
        <v>0</v>
      </c>
      <c r="H29128" s="8" t="inlineStr">
        <is>
          <t>CLOSED</t>
        </is>
      </c>
    </row>
    <row r="29129">
      <c r="A29129" s="8" t="inlineStr">
        <is>
          <t>2026-08-06</t>
        </is>
      </c>
      <c r="B29129" s="8" t="n">
        <v>10</v>
      </c>
      <c r="C29129" s="8" t="n">
        <v>45</v>
      </c>
      <c r="D29129" s="8" t="inlineStr">
        <is>
          <t>Disney Adventure World</t>
        </is>
      </c>
      <c r="E29129" s="8" t="inlineStr">
        <is>
          <t>Crush's Coaster</t>
        </is>
      </c>
      <c r="F29129" s="8" t="inlineStr">
        <is>
          <t>STANDBY</t>
        </is>
      </c>
      <c r="G29129" s="8" t="n">
        <v>90</v>
      </c>
      <c r="H29129" s="8" t="inlineStr">
        <is>
          <t>OPERATING</t>
        </is>
      </c>
    </row>
    <row r="29130">
      <c r="A29130" s="8" t="inlineStr">
        <is>
          <t>2026-08-06</t>
        </is>
      </c>
      <c r="B29130" s="8" t="n">
        <v>10</v>
      </c>
      <c r="C29130" s="8" t="n">
        <v>45</v>
      </c>
      <c r="D29130" s="8" t="inlineStr">
        <is>
          <t>Disney Adventure World</t>
        </is>
      </c>
      <c r="E29130" s="8" t="inlineStr">
        <is>
          <t>Crush's Coaster Single Rider</t>
        </is>
      </c>
      <c r="F29130" s="8" t="inlineStr">
        <is>
          <t>STANDBY</t>
        </is>
      </c>
      <c r="G29130" s="8" t="n">
        <v>50</v>
      </c>
      <c r="H29130" s="8" t="inlineStr">
        <is>
          <t>OPERATING</t>
        </is>
      </c>
    </row>
    <row r="29131">
      <c r="A29131" s="8" t="inlineStr">
        <is>
          <t>2026-08-06</t>
        </is>
      </c>
      <c r="B29131" s="8" t="n">
        <v>10</v>
      </c>
      <c r="C29131" s="8" t="n">
        <v>45</v>
      </c>
      <c r="D29131" s="8" t="inlineStr">
        <is>
          <t>Disney Adventure World</t>
        </is>
      </c>
      <c r="E29131" s="8" t="inlineStr">
        <is>
          <t>Les Tapis Volants - Flying Carpets Over Agrabah®</t>
        </is>
      </c>
      <c r="F29131" s="8" t="inlineStr">
        <is>
          <t>STANDBY</t>
        </is>
      </c>
      <c r="G29131" s="8" t="n">
        <v>20</v>
      </c>
      <c r="H29131" s="8" t="inlineStr">
        <is>
          <t>OPERATING</t>
        </is>
      </c>
    </row>
    <row r="29132">
      <c r="A29132" s="8" t="inlineStr">
        <is>
          <t>2026-08-06</t>
        </is>
      </c>
      <c r="B29132" s="8" t="n">
        <v>10</v>
      </c>
      <c r="C29132" s="8" t="n">
        <v>45</v>
      </c>
      <c r="D29132" s="8" t="inlineStr">
        <is>
          <t>Disney Adventure World</t>
        </is>
      </c>
      <c r="E29132" s="8" t="inlineStr">
        <is>
          <t>Ratatouille : L’Aventure Totalement Toquée de Rémy​</t>
        </is>
      </c>
      <c r="F29132" s="8" t="inlineStr">
        <is>
          <t>STANDBY</t>
        </is>
      </c>
      <c r="G29132" s="8" t="n">
        <v>0</v>
      </c>
      <c r="H29132" s="8" t="inlineStr">
        <is>
          <t>CLOSED</t>
        </is>
      </c>
    </row>
    <row r="29133">
      <c r="A29133" s="8" t="inlineStr">
        <is>
          <t>2026-08-06</t>
        </is>
      </c>
      <c r="B29133" s="8" t="n">
        <v>10</v>
      </c>
      <c r="C29133" s="8" t="n">
        <v>45</v>
      </c>
      <c r="D29133" s="8" t="inlineStr">
        <is>
          <t>Disney Adventure World</t>
        </is>
      </c>
      <c r="E29133" s="8" t="inlineStr">
        <is>
          <t>Ratatouille: The Adventure Single Rider</t>
        </is>
      </c>
      <c r="F29133" s="8" t="inlineStr">
        <is>
          <t>STANDBY</t>
        </is>
      </c>
      <c r="G29133" s="8" t="n">
        <v>0</v>
      </c>
      <c r="H29133" s="8" t="inlineStr">
        <is>
          <t>CLOSED</t>
        </is>
      </c>
    </row>
    <row r="29134">
      <c r="A29134" s="8" t="inlineStr">
        <is>
          <t>2026-08-06</t>
        </is>
      </c>
      <c r="B29134" s="8" t="n">
        <v>10</v>
      </c>
      <c r="C29134" s="8" t="n">
        <v>45</v>
      </c>
      <c r="D29134" s="8" t="inlineStr">
        <is>
          <t>Disney Adventure World</t>
        </is>
      </c>
      <c r="E29134" s="8" t="inlineStr">
        <is>
          <t>RC Racer</t>
        </is>
      </c>
      <c r="F29134" s="8" t="inlineStr">
        <is>
          <t>STANDBY</t>
        </is>
      </c>
      <c r="G29134" s="8" t="n">
        <v>50</v>
      </c>
      <c r="H29134" s="8" t="inlineStr">
        <is>
          <t>OPERATING</t>
        </is>
      </c>
    </row>
    <row r="29135">
      <c r="A29135" s="8" t="inlineStr">
        <is>
          <t>2026-08-06</t>
        </is>
      </c>
      <c r="B29135" s="8" t="n">
        <v>10</v>
      </c>
      <c r="C29135" s="8" t="n">
        <v>45</v>
      </c>
      <c r="D29135" s="8" t="inlineStr">
        <is>
          <t>Disney Adventure World</t>
        </is>
      </c>
      <c r="E29135" s="8" t="inlineStr">
        <is>
          <t>RC Racer Single Rider</t>
        </is>
      </c>
      <c r="F29135" s="8" t="inlineStr">
        <is>
          <t>STANDBY</t>
        </is>
      </c>
      <c r="G29135" s="8" t="n">
        <v>40</v>
      </c>
      <c r="H29135" s="8" t="inlineStr">
        <is>
          <t>OPERATING</t>
        </is>
      </c>
    </row>
    <row r="29136">
      <c r="A29136" s="8" t="inlineStr">
        <is>
          <t>2026-08-06</t>
        </is>
      </c>
      <c r="B29136" s="8" t="n">
        <v>10</v>
      </c>
      <c r="C29136" s="8" t="n">
        <v>45</v>
      </c>
      <c r="D29136" s="8" t="inlineStr">
        <is>
          <t>Disney Adventure World</t>
        </is>
      </c>
      <c r="E29136" s="8" t="inlineStr">
        <is>
          <t>Slinky® Dog Zigzag Spin</t>
        </is>
      </c>
      <c r="F29136" s="8" t="inlineStr">
        <is>
          <t>STANDBY</t>
        </is>
      </c>
      <c r="G29136" s="8" t="n">
        <v>45</v>
      </c>
      <c r="H29136" s="8" t="inlineStr">
        <is>
          <t>OPERATING</t>
        </is>
      </c>
    </row>
    <row r="29137">
      <c r="A29137" s="8" t="inlineStr">
        <is>
          <t>2026-08-06</t>
        </is>
      </c>
      <c r="B29137" s="8" t="n">
        <v>10</v>
      </c>
      <c r="C29137" s="8" t="n">
        <v>45</v>
      </c>
      <c r="D29137" s="8" t="inlineStr">
        <is>
          <t>Disney Adventure World</t>
        </is>
      </c>
      <c r="E29137" s="8" t="inlineStr">
        <is>
          <t>Toy Soldiers Parachute Drop</t>
        </is>
      </c>
      <c r="F29137" s="8" t="inlineStr">
        <is>
          <t>STANDBY</t>
        </is>
      </c>
      <c r="G29137" s="8" t="n">
        <v>55</v>
      </c>
      <c r="H29137" s="8" t="inlineStr">
        <is>
          <t>OPERATING</t>
        </is>
      </c>
    </row>
    <row r="29138">
      <c r="A29138" s="8" t="inlineStr">
        <is>
          <t>2026-08-06</t>
        </is>
      </c>
      <c r="B29138" s="8" t="n">
        <v>10</v>
      </c>
      <c r="C29138" s="8" t="n">
        <v>45</v>
      </c>
      <c r="D29138" s="8" t="inlineStr">
        <is>
          <t>Disney Adventure World</t>
        </is>
      </c>
      <c r="E29138" s="8" t="inlineStr">
        <is>
          <t>Toy Soldiers Parachute Drop Single Rider</t>
        </is>
      </c>
      <c r="F29138" s="8" t="inlineStr">
        <is>
          <t>STANDBY</t>
        </is>
      </c>
      <c r="G29138" s="8" t="n">
        <v>20</v>
      </c>
      <c r="H29138" s="8" t="inlineStr">
        <is>
          <t>OPERATING</t>
        </is>
      </c>
    </row>
    <row r="29139">
      <c r="A29139" s="8" t="inlineStr">
        <is>
          <t>2026-08-06</t>
        </is>
      </c>
      <c r="B29139" s="8" t="n">
        <v>10</v>
      </c>
      <c r="C29139" s="8" t="n">
        <v>45</v>
      </c>
      <c r="D29139" s="8" t="inlineStr">
        <is>
          <t>Disney Adventure World</t>
        </is>
      </c>
      <c r="E29139" s="8" t="inlineStr">
        <is>
          <t>Entry to World of Frozen</t>
        </is>
      </c>
      <c r="F29139" s="8" t="inlineStr">
        <is>
          <t>STANDBY</t>
        </is>
      </c>
      <c r="G29139" s="8" t="n">
        <v>0</v>
      </c>
      <c r="H29139" s="8" t="inlineStr">
        <is>
          <t>OPERATING</t>
        </is>
      </c>
    </row>
    <row r="29140">
      <c r="A29140" s="8" t="inlineStr">
        <is>
          <t>2026-08-06</t>
        </is>
      </c>
      <c r="B29140" s="8" t="n">
        <v>10</v>
      </c>
      <c r="C29140" s="8" t="n">
        <v>45</v>
      </c>
      <c r="D29140" s="8" t="inlineStr">
        <is>
          <t>Disney Adventure World</t>
        </is>
      </c>
      <c r="E29140" s="8" t="inlineStr">
        <is>
          <t>Frozen Ever After</t>
        </is>
      </c>
      <c r="F29140" s="8" t="inlineStr">
        <is>
          <t>STANDBY</t>
        </is>
      </c>
      <c r="G29140" s="8" t="n">
        <v>100</v>
      </c>
      <c r="H29140" s="8" t="inlineStr">
        <is>
          <t>OPERATING</t>
        </is>
      </c>
    </row>
    <row r="29141">
      <c r="A29141" s="8" t="inlineStr">
        <is>
          <t>2026-08-06</t>
        </is>
      </c>
      <c r="B29141" s="8" t="n">
        <v>10</v>
      </c>
      <c r="C29141" s="8" t="n">
        <v>45</v>
      </c>
      <c r="D29141" s="8" t="inlineStr">
        <is>
          <t>Disney Adventure World</t>
        </is>
      </c>
      <c r="E29141" s="8" t="inlineStr">
        <is>
          <t>Raiponce Tangled Spin</t>
        </is>
      </c>
      <c r="F29141" s="8" t="inlineStr">
        <is>
          <t>STANDBY</t>
        </is>
      </c>
      <c r="G29141" s="8" t="n">
        <v>20</v>
      </c>
      <c r="H29141" s="8" t="inlineStr">
        <is>
          <t>OPERATING</t>
        </is>
      </c>
    </row>
    <row r="29142">
      <c r="A29142" s="8" t="inlineStr">
        <is>
          <t>2026-08-06</t>
        </is>
      </c>
      <c r="B29142" s="8" t="n">
        <v>10</v>
      </c>
      <c r="C29142" s="8" t="n">
        <v>50</v>
      </c>
      <c r="D29142" s="8" t="inlineStr">
        <is>
          <t>Disneyland Park</t>
        </is>
      </c>
      <c r="E29142" s="8" t="inlineStr">
        <is>
          <t>Adventure Isle</t>
        </is>
      </c>
      <c r="F29142" s="8" t="inlineStr">
        <is>
          <t>STANDBY</t>
        </is>
      </c>
      <c r="G29142" s="8" t="n">
        <v>0</v>
      </c>
      <c r="H29142" s="8" t="inlineStr">
        <is>
          <t>OPERATING</t>
        </is>
      </c>
    </row>
    <row r="29143">
      <c r="A29143" s="8" t="inlineStr">
        <is>
          <t>2026-08-06</t>
        </is>
      </c>
      <c r="B29143" s="8" t="n">
        <v>10</v>
      </c>
      <c r="C29143" s="8" t="n">
        <v>50</v>
      </c>
      <c r="D29143" s="8" t="inlineStr">
        <is>
          <t>Disneyland Park</t>
        </is>
      </c>
      <c r="E29143" s="8" t="inlineStr">
        <is>
          <t>Indiana Jones and the Temple of Peril Single Rider</t>
        </is>
      </c>
      <c r="F29143" s="8" t="inlineStr">
        <is>
          <t>STANDBY</t>
        </is>
      </c>
      <c r="G29143" s="8" t="n">
        <v>5</v>
      </c>
      <c r="H29143" s="8" t="inlineStr">
        <is>
          <t>OPERATING</t>
        </is>
      </c>
    </row>
    <row r="29144">
      <c r="A29144" s="8" t="inlineStr">
        <is>
          <t>2026-08-06</t>
        </is>
      </c>
      <c r="B29144" s="8" t="n">
        <v>10</v>
      </c>
      <c r="C29144" s="8" t="n">
        <v>50</v>
      </c>
      <c r="D29144" s="8" t="inlineStr">
        <is>
          <t>Disneyland Park</t>
        </is>
      </c>
      <c r="E29144" s="8" t="inlineStr">
        <is>
          <t>Indiana Jones™ and the Temple of Peril</t>
        </is>
      </c>
      <c r="F29144" s="8" t="inlineStr">
        <is>
          <t>STANDBY</t>
        </is>
      </c>
      <c r="G29144" s="8" t="n">
        <v>15</v>
      </c>
      <c r="H29144" s="8" t="inlineStr">
        <is>
          <t>OPERATING</t>
        </is>
      </c>
    </row>
    <row r="29145">
      <c r="A29145" s="8" t="inlineStr">
        <is>
          <t>2026-08-06</t>
        </is>
      </c>
      <c r="B29145" s="8" t="n">
        <v>10</v>
      </c>
      <c r="C29145" s="8" t="n">
        <v>50</v>
      </c>
      <c r="D29145" s="8" t="inlineStr">
        <is>
          <t>Disneyland Park</t>
        </is>
      </c>
      <c r="E29145" s="8" t="inlineStr">
        <is>
          <t>La Cabane des Robinson</t>
        </is>
      </c>
      <c r="F29145" s="8" t="inlineStr">
        <is>
          <t>STANDBY</t>
        </is>
      </c>
      <c r="G29145" s="8" t="n">
        <v>5</v>
      </c>
      <c r="H29145" s="8" t="inlineStr">
        <is>
          <t>OPERATING</t>
        </is>
      </c>
    </row>
    <row r="29146">
      <c r="A29146" s="8" t="inlineStr">
        <is>
          <t>2026-08-06</t>
        </is>
      </c>
      <c r="B29146" s="8" t="n">
        <v>10</v>
      </c>
      <c r="C29146" s="8" t="n">
        <v>50</v>
      </c>
      <c r="D29146" s="8" t="inlineStr">
        <is>
          <t>Disneyland Park</t>
        </is>
      </c>
      <c r="E29146" s="8" t="inlineStr">
        <is>
          <t>Le Passage Enchanté d'Aladdin</t>
        </is>
      </c>
      <c r="F29146" s="8" t="inlineStr">
        <is>
          <t>STANDBY</t>
        </is>
      </c>
      <c r="G29146" s="8" t="n">
        <v>0</v>
      </c>
      <c r="H29146" s="8" t="inlineStr">
        <is>
          <t>OPERATING</t>
        </is>
      </c>
    </row>
    <row r="29147">
      <c r="A29147" s="8" t="inlineStr">
        <is>
          <t>2026-08-06</t>
        </is>
      </c>
      <c r="B29147" s="8" t="n">
        <v>10</v>
      </c>
      <c r="C29147" s="8" t="n">
        <v>50</v>
      </c>
      <c r="D29147" s="8" t="inlineStr">
        <is>
          <t>Disneyland Park</t>
        </is>
      </c>
      <c r="E29147" s="8" t="inlineStr">
        <is>
          <t>Pirate Galleon</t>
        </is>
      </c>
      <c r="F29147" s="8" t="inlineStr">
        <is>
          <t>STANDBY</t>
        </is>
      </c>
      <c r="G29147" s="8" t="n">
        <v>0</v>
      </c>
      <c r="H29147" s="8" t="inlineStr">
        <is>
          <t>CLOSED</t>
        </is>
      </c>
    </row>
    <row r="29148">
      <c r="A29148" s="8" t="inlineStr">
        <is>
          <t>2026-08-06</t>
        </is>
      </c>
      <c r="B29148" s="8" t="n">
        <v>10</v>
      </c>
      <c r="C29148" s="8" t="n">
        <v>50</v>
      </c>
      <c r="D29148" s="8" t="inlineStr">
        <is>
          <t>Disneyland Park</t>
        </is>
      </c>
      <c r="E29148" s="8" t="inlineStr">
        <is>
          <t>Pirates of the Caribbean</t>
        </is>
      </c>
      <c r="F29148" s="8" t="inlineStr">
        <is>
          <t>STANDBY</t>
        </is>
      </c>
      <c r="G29148" s="8" t="n">
        <v>15</v>
      </c>
      <c r="H29148" s="8" t="inlineStr">
        <is>
          <t>OPERATING</t>
        </is>
      </c>
    </row>
    <row r="29149">
      <c r="A29149" s="8" t="inlineStr">
        <is>
          <t>2026-08-06</t>
        </is>
      </c>
      <c r="B29149" s="8" t="n">
        <v>10</v>
      </c>
      <c r="C29149" s="8" t="n">
        <v>50</v>
      </c>
      <c r="D29149" s="8" t="inlineStr">
        <is>
          <t>Disneyland Park</t>
        </is>
      </c>
      <c r="E29149" s="8" t="inlineStr">
        <is>
          <t>Pirates' Beach</t>
        </is>
      </c>
      <c r="F29149" s="8" t="inlineStr">
        <is>
          <t>STANDBY</t>
        </is>
      </c>
      <c r="G29149" s="8" t="n">
        <v>0</v>
      </c>
      <c r="H29149" s="8" t="inlineStr">
        <is>
          <t>OPERATING</t>
        </is>
      </c>
    </row>
    <row r="29150">
      <c r="A29150" s="8" t="inlineStr">
        <is>
          <t>2026-08-06</t>
        </is>
      </c>
      <c r="B29150" s="8" t="n">
        <v>10</v>
      </c>
      <c r="C29150" s="8" t="n">
        <v>50</v>
      </c>
      <c r="D29150" s="8" t="inlineStr">
        <is>
          <t>Disneyland Park</t>
        </is>
      </c>
      <c r="E29150" s="8" t="inlineStr">
        <is>
          <t>Autopia, presented by Avis</t>
        </is>
      </c>
      <c r="F29150" s="8" t="inlineStr">
        <is>
          <t>STANDBY</t>
        </is>
      </c>
      <c r="G29150" s="8" t="n">
        <v>25</v>
      </c>
      <c r="H29150" s="8" t="inlineStr">
        <is>
          <t>OPERATING</t>
        </is>
      </c>
    </row>
    <row r="29151">
      <c r="A29151" s="8" t="inlineStr">
        <is>
          <t>2026-08-06</t>
        </is>
      </c>
      <c r="B29151" s="8" t="n">
        <v>10</v>
      </c>
      <c r="C29151" s="8" t="n">
        <v>50</v>
      </c>
      <c r="D29151" s="8" t="inlineStr">
        <is>
          <t>Disneyland Park</t>
        </is>
      </c>
      <c r="E29151" s="8" t="inlineStr">
        <is>
          <t>Buzz Lightyear Laser Blast</t>
        </is>
      </c>
      <c r="F29151" s="8" t="inlineStr">
        <is>
          <t>STANDBY</t>
        </is>
      </c>
      <c r="G29151" s="8" t="n">
        <v>45</v>
      </c>
      <c r="H29151" s="8" t="inlineStr">
        <is>
          <t>OPERATING</t>
        </is>
      </c>
    </row>
    <row r="29152">
      <c r="A29152" s="8" t="inlineStr">
        <is>
          <t>2026-08-06</t>
        </is>
      </c>
      <c r="B29152" s="8" t="n">
        <v>10</v>
      </c>
      <c r="C29152" s="8" t="n">
        <v>50</v>
      </c>
      <c r="D29152" s="8" t="inlineStr">
        <is>
          <t>Disneyland Park</t>
        </is>
      </c>
      <c r="E29152" s="8" t="inlineStr">
        <is>
          <t>Disneyland Railroad Discoveryland Station</t>
        </is>
      </c>
      <c r="F29152" s="8" t="inlineStr">
        <is>
          <t>STANDBY</t>
        </is>
      </c>
      <c r="G29152" s="8" t="n">
        <v>0</v>
      </c>
      <c r="H29152" s="8" t="inlineStr">
        <is>
          <t>CLOSED</t>
        </is>
      </c>
    </row>
    <row r="29153">
      <c r="A29153" s="8" t="inlineStr">
        <is>
          <t>2026-08-06</t>
        </is>
      </c>
      <c r="B29153" s="8" t="n">
        <v>10</v>
      </c>
      <c r="C29153" s="8" t="n">
        <v>50</v>
      </c>
      <c r="D29153" s="8" t="inlineStr">
        <is>
          <t>Disneyland Park</t>
        </is>
      </c>
      <c r="E29153" s="8" t="inlineStr">
        <is>
          <t>Les Mystères du Nautilus</t>
        </is>
      </c>
      <c r="F29153" s="8" t="inlineStr">
        <is>
          <t>STANDBY</t>
        </is>
      </c>
      <c r="G29153" s="8" t="n">
        <v>5</v>
      </c>
      <c r="H29153" s="8" t="inlineStr">
        <is>
          <t>OPERATING</t>
        </is>
      </c>
    </row>
    <row r="29154">
      <c r="A29154" s="8" t="inlineStr">
        <is>
          <t>2026-08-06</t>
        </is>
      </c>
      <c r="B29154" s="8" t="n">
        <v>10</v>
      </c>
      <c r="C29154" s="8" t="n">
        <v>50</v>
      </c>
      <c r="D29154" s="8" t="inlineStr">
        <is>
          <t>Disneyland Park</t>
        </is>
      </c>
      <c r="E29154" s="8" t="inlineStr">
        <is>
          <t>Mickey’s PhilharMagic</t>
        </is>
      </c>
      <c r="F29154" s="8" t="inlineStr">
        <is>
          <t>STANDBY</t>
        </is>
      </c>
      <c r="G29154" s="8" t="n">
        <v>0</v>
      </c>
      <c r="H29154" s="8" t="inlineStr">
        <is>
          <t>CLOSED</t>
        </is>
      </c>
    </row>
    <row r="29155">
      <c r="A29155" s="8" t="inlineStr">
        <is>
          <t>2026-08-06</t>
        </is>
      </c>
      <c r="B29155" s="8" t="n">
        <v>10</v>
      </c>
      <c r="C29155" s="8" t="n">
        <v>50</v>
      </c>
      <c r="D29155" s="8" t="inlineStr">
        <is>
          <t>Disneyland Park</t>
        </is>
      </c>
      <c r="E29155" s="8" t="inlineStr">
        <is>
          <t>Orbitron®</t>
        </is>
      </c>
      <c r="F29155" s="8" t="inlineStr">
        <is>
          <t>STANDBY</t>
        </is>
      </c>
      <c r="G29155" s="8" t="n">
        <v>50</v>
      </c>
      <c r="H29155" s="8" t="inlineStr">
        <is>
          <t>OPERATING</t>
        </is>
      </c>
    </row>
    <row r="29156">
      <c r="A29156" s="8" t="inlineStr">
        <is>
          <t>2026-08-06</t>
        </is>
      </c>
      <c r="B29156" s="8" t="n">
        <v>10</v>
      </c>
      <c r="C29156" s="8" t="n">
        <v>50</v>
      </c>
      <c r="D29156" s="8" t="inlineStr">
        <is>
          <t>Disneyland Park</t>
        </is>
      </c>
      <c r="E29156" s="8" t="inlineStr">
        <is>
          <t>Star Tours: The Adventures Continue*</t>
        </is>
      </c>
      <c r="F29156" s="8" t="inlineStr">
        <is>
          <t>STANDBY</t>
        </is>
      </c>
      <c r="G29156" s="8" t="n">
        <v>40</v>
      </c>
      <c r="H29156" s="8" t="inlineStr">
        <is>
          <t>OPERATING</t>
        </is>
      </c>
    </row>
    <row r="29157">
      <c r="A29157" s="8" t="inlineStr">
        <is>
          <t>2026-08-06</t>
        </is>
      </c>
      <c r="B29157" s="8" t="n">
        <v>10</v>
      </c>
      <c r="C29157" s="8" t="n">
        <v>50</v>
      </c>
      <c r="D29157" s="8" t="inlineStr">
        <is>
          <t>Disneyland Park</t>
        </is>
      </c>
      <c r="E29157" s="8" t="inlineStr">
        <is>
          <t>Star Wars Hyperspace Mountain</t>
        </is>
      </c>
      <c r="F29157" s="8" t="inlineStr">
        <is>
          <t>STANDBY</t>
        </is>
      </c>
      <c r="G29157" s="8" t="n">
        <v>35</v>
      </c>
      <c r="H29157" s="8" t="inlineStr">
        <is>
          <t>OPERATING</t>
        </is>
      </c>
    </row>
    <row r="29158">
      <c r="A29158" s="8" t="inlineStr">
        <is>
          <t>2026-08-06</t>
        </is>
      </c>
      <c r="B29158" s="8" t="n">
        <v>10</v>
      </c>
      <c r="C29158" s="8" t="n">
        <v>50</v>
      </c>
      <c r="D29158" s="8" t="inlineStr">
        <is>
          <t>Disneyland Park</t>
        </is>
      </c>
      <c r="E29158" s="8" t="inlineStr">
        <is>
          <t>Star Wars Hyperspace Mountain Single Rider</t>
        </is>
      </c>
      <c r="F29158" s="8" t="inlineStr">
        <is>
          <t>STANDBY</t>
        </is>
      </c>
      <c r="G29158" s="8" t="n">
        <v>25</v>
      </c>
      <c r="H29158" s="8" t="inlineStr">
        <is>
          <t>OPERATING</t>
        </is>
      </c>
    </row>
    <row r="29159">
      <c r="A29159" s="8" t="inlineStr">
        <is>
          <t>2026-08-06</t>
        </is>
      </c>
      <c r="B29159" s="8" t="n">
        <v>10</v>
      </c>
      <c r="C29159" s="8" t="n">
        <v>50</v>
      </c>
      <c r="D29159" s="8" t="inlineStr">
        <is>
          <t>Disneyland Park</t>
        </is>
      </c>
      <c r="E29159" s="8" t="inlineStr">
        <is>
          <t>Welcome to Starport: A Star Wars Encounter</t>
        </is>
      </c>
      <c r="F29159" s="8" t="inlineStr">
        <is>
          <t>STANDBY</t>
        </is>
      </c>
      <c r="G29159" s="8" t="n">
        <v>35</v>
      </c>
      <c r="H29159" s="8" t="inlineStr">
        <is>
          <t>OPERATING</t>
        </is>
      </c>
    </row>
    <row r="29160">
      <c r="A29160" s="8" t="inlineStr">
        <is>
          <t>2026-08-06</t>
        </is>
      </c>
      <c r="B29160" s="8" t="n">
        <v>10</v>
      </c>
      <c r="C29160" s="8" t="n">
        <v>50</v>
      </c>
      <c r="D29160" s="8" t="inlineStr">
        <is>
          <t>Disneyland Park</t>
        </is>
      </c>
      <c r="E29160" s="8" t="inlineStr">
        <is>
          <t>"it's a small world"</t>
        </is>
      </c>
      <c r="F29160" s="8" t="inlineStr">
        <is>
          <t>STANDBY</t>
        </is>
      </c>
      <c r="G29160" s="8" t="n">
        <v>5</v>
      </c>
      <c r="H29160" s="8" t="inlineStr">
        <is>
          <t>OPERATING</t>
        </is>
      </c>
    </row>
    <row r="29161">
      <c r="A29161" s="8" t="inlineStr">
        <is>
          <t>2026-08-06</t>
        </is>
      </c>
      <c r="B29161" s="8" t="n">
        <v>10</v>
      </c>
      <c r="C29161" s="8" t="n">
        <v>50</v>
      </c>
      <c r="D29161" s="8" t="inlineStr">
        <is>
          <t>Disneyland Park</t>
        </is>
      </c>
      <c r="E29161" s="8" t="inlineStr">
        <is>
          <t>Alice's Curious Labyrinth</t>
        </is>
      </c>
      <c r="F29161" s="8" t="inlineStr">
        <is>
          <t>STANDBY</t>
        </is>
      </c>
      <c r="G29161" s="8" t="n">
        <v>5</v>
      </c>
      <c r="H29161" s="8" t="inlineStr">
        <is>
          <t>OPERATING</t>
        </is>
      </c>
    </row>
    <row r="29162">
      <c r="A29162" s="8" t="inlineStr">
        <is>
          <t>2026-08-06</t>
        </is>
      </c>
      <c r="B29162" s="8" t="n">
        <v>10</v>
      </c>
      <c r="C29162" s="8" t="n">
        <v>50</v>
      </c>
      <c r="D29162" s="8" t="inlineStr">
        <is>
          <t>Disneyland Park</t>
        </is>
      </c>
      <c r="E29162" s="8" t="inlineStr">
        <is>
          <t>Blanche-Neige et les Sept Nains®</t>
        </is>
      </c>
      <c r="F29162" s="8" t="inlineStr">
        <is>
          <t>STANDBY</t>
        </is>
      </c>
      <c r="G29162" s="8" t="n">
        <v>15</v>
      </c>
      <c r="H29162" s="8" t="inlineStr">
        <is>
          <t>OPERATING</t>
        </is>
      </c>
    </row>
    <row r="29163">
      <c r="A29163" s="8" t="inlineStr">
        <is>
          <t>2026-08-06</t>
        </is>
      </c>
      <c r="B29163" s="8" t="n">
        <v>10</v>
      </c>
      <c r="C29163" s="8" t="n">
        <v>50</v>
      </c>
      <c r="D29163" s="8" t="inlineStr">
        <is>
          <t>Disneyland Park</t>
        </is>
      </c>
      <c r="E29163" s="8" t="inlineStr">
        <is>
          <t>Casey Jr. – le Petit Train du Cirque</t>
        </is>
      </c>
      <c r="F29163" s="8" t="inlineStr">
        <is>
          <t>STANDBY</t>
        </is>
      </c>
      <c r="G29163" s="8" t="n">
        <v>5</v>
      </c>
      <c r="H29163" s="8" t="inlineStr">
        <is>
          <t>OPERATING</t>
        </is>
      </c>
    </row>
    <row r="29164">
      <c r="A29164" s="8" t="inlineStr">
        <is>
          <t>2026-08-06</t>
        </is>
      </c>
      <c r="B29164" s="8" t="n">
        <v>10</v>
      </c>
      <c r="C29164" s="8" t="n">
        <v>50</v>
      </c>
      <c r="D29164" s="8" t="inlineStr">
        <is>
          <t>Disneyland Park</t>
        </is>
      </c>
      <c r="E29164" s="8" t="inlineStr">
        <is>
          <t>Disneyland Railroad Fantasyland Station</t>
        </is>
      </c>
      <c r="F29164" s="8" t="inlineStr">
        <is>
          <t>STANDBY</t>
        </is>
      </c>
      <c r="G29164" s="8" t="n">
        <v>0</v>
      </c>
      <c r="H29164" s="8" t="inlineStr">
        <is>
          <t>CLOSED</t>
        </is>
      </c>
    </row>
    <row r="29165">
      <c r="A29165" s="8" t="inlineStr">
        <is>
          <t>2026-08-06</t>
        </is>
      </c>
      <c r="B29165" s="8" t="n">
        <v>10</v>
      </c>
      <c r="C29165" s="8" t="n">
        <v>50</v>
      </c>
      <c r="D29165" s="8" t="inlineStr">
        <is>
          <t>Disneyland Park</t>
        </is>
      </c>
      <c r="E29165" s="8" t="inlineStr">
        <is>
          <t>Disneyland Railroad Main Street Station</t>
        </is>
      </c>
      <c r="F29165" s="8" t="inlineStr">
        <is>
          <t>STANDBY</t>
        </is>
      </c>
      <c r="G29165" s="8" t="n">
        <v>0</v>
      </c>
      <c r="H29165" s="8" t="inlineStr">
        <is>
          <t>CLOSED</t>
        </is>
      </c>
    </row>
    <row r="29166">
      <c r="A29166" s="8" t="inlineStr">
        <is>
          <t>2026-08-06</t>
        </is>
      </c>
      <c r="B29166" s="8" t="n">
        <v>10</v>
      </c>
      <c r="C29166" s="8" t="n">
        <v>50</v>
      </c>
      <c r="D29166" s="8" t="inlineStr">
        <is>
          <t>Disneyland Park</t>
        </is>
      </c>
      <c r="E29166" s="8" t="inlineStr">
        <is>
          <t>Dumbo the Flying Elephant</t>
        </is>
      </c>
      <c r="F29166" s="8" t="inlineStr">
        <is>
          <t>STANDBY</t>
        </is>
      </c>
      <c r="G29166" s="8" t="n">
        <v>35</v>
      </c>
      <c r="H29166" s="8" t="inlineStr">
        <is>
          <t>OPERATING</t>
        </is>
      </c>
    </row>
    <row r="29167">
      <c r="A29167" s="8" t="inlineStr">
        <is>
          <t>2026-08-06</t>
        </is>
      </c>
      <c r="B29167" s="8" t="n">
        <v>10</v>
      </c>
      <c r="C29167" s="8" t="n">
        <v>50</v>
      </c>
      <c r="D29167" s="8" t="inlineStr">
        <is>
          <t>Disneyland Park</t>
        </is>
      </c>
      <c r="E29167" s="8" t="inlineStr">
        <is>
          <t>La Tanière du Dragon</t>
        </is>
      </c>
      <c r="F29167" s="8" t="inlineStr">
        <is>
          <t>STANDBY</t>
        </is>
      </c>
      <c r="G29167" s="8" t="n">
        <v>0</v>
      </c>
      <c r="H29167" s="8" t="inlineStr">
        <is>
          <t>OPERATING</t>
        </is>
      </c>
    </row>
    <row r="29168">
      <c r="A29168" s="8" t="inlineStr">
        <is>
          <t>2026-08-06</t>
        </is>
      </c>
      <c r="B29168" s="8" t="n">
        <v>10</v>
      </c>
      <c r="C29168" s="8" t="n">
        <v>50</v>
      </c>
      <c r="D29168" s="8" t="inlineStr">
        <is>
          <t>Disneyland Park</t>
        </is>
      </c>
      <c r="E29168" s="8" t="inlineStr">
        <is>
          <t>Le Carrousel de Lancelot</t>
        </is>
      </c>
      <c r="F29168" s="8" t="inlineStr">
        <is>
          <t>STANDBY</t>
        </is>
      </c>
      <c r="G29168" s="8" t="n">
        <v>20</v>
      </c>
      <c r="H29168" s="8" t="inlineStr">
        <is>
          <t>OPERATING</t>
        </is>
      </c>
    </row>
    <row r="29169">
      <c r="A29169" s="8" t="inlineStr">
        <is>
          <t>2026-08-06</t>
        </is>
      </c>
      <c r="B29169" s="8" t="n">
        <v>10</v>
      </c>
      <c r="C29169" s="8" t="n">
        <v>50</v>
      </c>
      <c r="D29169" s="8" t="inlineStr">
        <is>
          <t>Disneyland Park</t>
        </is>
      </c>
      <c r="E29169" s="8" t="inlineStr">
        <is>
          <t>Le Pays des Contes de Fées, presented by Vittel</t>
        </is>
      </c>
      <c r="F29169" s="8" t="inlineStr">
        <is>
          <t>STANDBY</t>
        </is>
      </c>
      <c r="G29169" s="8" t="n">
        <v>5</v>
      </c>
      <c r="H29169" s="8" t="inlineStr">
        <is>
          <t>OPERATING</t>
        </is>
      </c>
    </row>
    <row r="29170">
      <c r="A29170" s="8" t="inlineStr">
        <is>
          <t>2026-08-06</t>
        </is>
      </c>
      <c r="B29170" s="8" t="n">
        <v>10</v>
      </c>
      <c r="C29170" s="8" t="n">
        <v>50</v>
      </c>
      <c r="D29170" s="8" t="inlineStr">
        <is>
          <t>Disneyland Park</t>
        </is>
      </c>
      <c r="E29170" s="8" t="inlineStr">
        <is>
          <t>Les Voyages de Pinocchio</t>
        </is>
      </c>
      <c r="F29170" s="8" t="inlineStr">
        <is>
          <t>STANDBY</t>
        </is>
      </c>
      <c r="G29170" s="8" t="n">
        <v>15</v>
      </c>
      <c r="H29170" s="8" t="inlineStr">
        <is>
          <t>OPERATING</t>
        </is>
      </c>
    </row>
    <row r="29171">
      <c r="A29171" s="8" t="inlineStr">
        <is>
          <t>2026-08-06</t>
        </is>
      </c>
      <c r="B29171" s="8" t="n">
        <v>10</v>
      </c>
      <c r="C29171" s="8" t="n">
        <v>50</v>
      </c>
      <c r="D29171" s="8" t="inlineStr">
        <is>
          <t>Disneyland Park</t>
        </is>
      </c>
      <c r="E29171" s="8" t="inlineStr">
        <is>
          <t>Mad Hatter's Tea Cups</t>
        </is>
      </c>
      <c r="F29171" s="8" t="inlineStr">
        <is>
          <t>STANDBY</t>
        </is>
      </c>
      <c r="G29171" s="8" t="n">
        <v>5</v>
      </c>
      <c r="H29171" s="8" t="inlineStr">
        <is>
          <t>OPERATING</t>
        </is>
      </c>
    </row>
    <row r="29172">
      <c r="A29172" s="8" t="inlineStr">
        <is>
          <t>2026-08-06</t>
        </is>
      </c>
      <c r="B29172" s="8" t="n">
        <v>10</v>
      </c>
      <c r="C29172" s="8" t="n">
        <v>50</v>
      </c>
      <c r="D29172" s="8" t="inlineStr">
        <is>
          <t>Disneyland Park</t>
        </is>
      </c>
      <c r="E29172" s="8" t="inlineStr">
        <is>
          <t>Meet Mickey Mouse</t>
        </is>
      </c>
      <c r="F29172" s="8" t="inlineStr">
        <is>
          <t>STANDBY</t>
        </is>
      </c>
      <c r="G29172" s="8" t="n">
        <v>0</v>
      </c>
      <c r="H29172" s="8" t="inlineStr">
        <is>
          <t>OPERATING</t>
        </is>
      </c>
    </row>
    <row r="29173">
      <c r="A29173" s="8" t="inlineStr">
        <is>
          <t>2026-08-06</t>
        </is>
      </c>
      <c r="B29173" s="8" t="n">
        <v>10</v>
      </c>
      <c r="C29173" s="8" t="n">
        <v>50</v>
      </c>
      <c r="D29173" s="8" t="inlineStr">
        <is>
          <t>Disneyland Park</t>
        </is>
      </c>
      <c r="E29173" s="8" t="inlineStr">
        <is>
          <t>Peter Pan's Flight</t>
        </is>
      </c>
      <c r="F29173" s="8" t="inlineStr">
        <is>
          <t>STANDBY</t>
        </is>
      </c>
      <c r="G29173" s="8" t="n">
        <v>60</v>
      </c>
      <c r="H29173" s="8" t="inlineStr">
        <is>
          <t>OPERATING</t>
        </is>
      </c>
    </row>
    <row r="29174">
      <c r="A29174" s="8" t="inlineStr">
        <is>
          <t>2026-08-06</t>
        </is>
      </c>
      <c r="B29174" s="8" t="n">
        <v>10</v>
      </c>
      <c r="C29174" s="8" t="n">
        <v>50</v>
      </c>
      <c r="D29174" s="8" t="inlineStr">
        <is>
          <t>Disneyland Park</t>
        </is>
      </c>
      <c r="E29174" s="8" t="inlineStr">
        <is>
          <t>Princess Pavilion</t>
        </is>
      </c>
      <c r="F29174" s="8" t="inlineStr">
        <is>
          <t>STANDBY</t>
        </is>
      </c>
      <c r="G29174" s="8" t="n">
        <v>0</v>
      </c>
      <c r="H29174" s="8" t="inlineStr">
        <is>
          <t>OPERATING</t>
        </is>
      </c>
    </row>
    <row r="29175">
      <c r="A29175" s="8" t="inlineStr">
        <is>
          <t>2026-08-06</t>
        </is>
      </c>
      <c r="B29175" s="8" t="n">
        <v>10</v>
      </c>
      <c r="C29175" s="8" t="n">
        <v>50</v>
      </c>
      <c r="D29175" s="8" t="inlineStr">
        <is>
          <t>Disneyland Park</t>
        </is>
      </c>
      <c r="E29175" s="8" t="inlineStr">
        <is>
          <t>Big Thunder Mountain</t>
        </is>
      </c>
      <c r="F29175" s="8" t="inlineStr">
        <is>
          <t>STANDBY</t>
        </is>
      </c>
      <c r="G29175" s="8" t="n">
        <v>70</v>
      </c>
      <c r="H29175" s="8" t="inlineStr">
        <is>
          <t>OPERATING</t>
        </is>
      </c>
    </row>
    <row r="29176">
      <c r="A29176" s="8" t="inlineStr">
        <is>
          <t>2026-08-06</t>
        </is>
      </c>
      <c r="B29176" s="8" t="n">
        <v>10</v>
      </c>
      <c r="C29176" s="8" t="n">
        <v>50</v>
      </c>
      <c r="D29176" s="8" t="inlineStr">
        <is>
          <t>Disneyland Park</t>
        </is>
      </c>
      <c r="E29176" s="8" t="inlineStr">
        <is>
          <t>Disneyland Railroad Frontierland Depot</t>
        </is>
      </c>
      <c r="F29176" s="8" t="inlineStr">
        <is>
          <t>STANDBY</t>
        </is>
      </c>
      <c r="G29176" s="8" t="n">
        <v>0</v>
      </c>
      <c r="H29176" s="8" t="inlineStr">
        <is>
          <t>CLOSED</t>
        </is>
      </c>
    </row>
    <row r="29177">
      <c r="A29177" s="8" t="inlineStr">
        <is>
          <t>2026-08-06</t>
        </is>
      </c>
      <c r="B29177" s="8" t="n">
        <v>10</v>
      </c>
      <c r="C29177" s="8" t="n">
        <v>50</v>
      </c>
      <c r="D29177" s="8" t="inlineStr">
        <is>
          <t>Disneyland Park</t>
        </is>
      </c>
      <c r="E29177" s="8" t="inlineStr">
        <is>
          <t>Frontierland Playground</t>
        </is>
      </c>
      <c r="F29177" s="8" t="inlineStr">
        <is>
          <t>STANDBY</t>
        </is>
      </c>
      <c r="G29177" s="8" t="n">
        <v>0</v>
      </c>
      <c r="H29177" s="8" t="inlineStr">
        <is>
          <t>OPERATING</t>
        </is>
      </c>
    </row>
    <row r="29178">
      <c r="A29178" s="8" t="inlineStr">
        <is>
          <t>2026-08-06</t>
        </is>
      </c>
      <c r="B29178" s="8" t="n">
        <v>10</v>
      </c>
      <c r="C29178" s="8" t="n">
        <v>50</v>
      </c>
      <c r="D29178" s="8" t="inlineStr">
        <is>
          <t>Disneyland Park</t>
        </is>
      </c>
      <c r="E29178" s="8" t="inlineStr">
        <is>
          <t>Phantom Manor</t>
        </is>
      </c>
      <c r="F29178" s="8" t="inlineStr">
        <is>
          <t>STANDBY</t>
        </is>
      </c>
      <c r="G29178" s="8" t="n">
        <v>5</v>
      </c>
      <c r="H29178" s="8" t="inlineStr">
        <is>
          <t>OPERATING</t>
        </is>
      </c>
    </row>
    <row r="29179">
      <c r="A29179" s="8" t="inlineStr">
        <is>
          <t>2026-08-06</t>
        </is>
      </c>
      <c r="B29179" s="8" t="n">
        <v>10</v>
      </c>
      <c r="C29179" s="8" t="n">
        <v>50</v>
      </c>
      <c r="D29179" s="8" t="inlineStr">
        <is>
          <t>Disneyland Park</t>
        </is>
      </c>
      <c r="E29179" s="8" t="inlineStr">
        <is>
          <t>River Rogue Keelboats</t>
        </is>
      </c>
      <c r="F29179" s="8" t="inlineStr">
        <is>
          <t>STANDBY</t>
        </is>
      </c>
      <c r="G29179" s="8" t="n">
        <v>0</v>
      </c>
      <c r="H29179" s="8" t="inlineStr">
        <is>
          <t>CLOSED</t>
        </is>
      </c>
    </row>
    <row r="29180">
      <c r="A29180" s="8" t="inlineStr">
        <is>
          <t>2026-08-06</t>
        </is>
      </c>
      <c r="B29180" s="8" t="n">
        <v>10</v>
      </c>
      <c r="C29180" s="8" t="n">
        <v>50</v>
      </c>
      <c r="D29180" s="8" t="inlineStr">
        <is>
          <t>Disneyland Park</t>
        </is>
      </c>
      <c r="E29180" s="8" t="inlineStr">
        <is>
          <t>Rustler Roundup Shootin' Gallery</t>
        </is>
      </c>
      <c r="F29180" s="8" t="inlineStr">
        <is>
          <t>STANDBY</t>
        </is>
      </c>
      <c r="G29180" s="8" t="n">
        <v>0</v>
      </c>
      <c r="H29180" s="8" t="inlineStr">
        <is>
          <t>OPERATING</t>
        </is>
      </c>
    </row>
    <row r="29181">
      <c r="A29181" s="8" t="inlineStr">
        <is>
          <t>2026-08-06</t>
        </is>
      </c>
      <c r="B29181" s="8" t="n">
        <v>10</v>
      </c>
      <c r="C29181" s="8" t="n">
        <v>50</v>
      </c>
      <c r="D29181" s="8" t="inlineStr">
        <is>
          <t>Disneyland Park</t>
        </is>
      </c>
      <c r="E29181" s="8" t="inlineStr">
        <is>
          <t>Thunder Mesa Riverboat Landing</t>
        </is>
      </c>
      <c r="F29181" s="8" t="inlineStr">
        <is>
          <t>STANDBY</t>
        </is>
      </c>
      <c r="G29181" s="8" t="n">
        <v>0</v>
      </c>
      <c r="H29181" s="8" t="inlineStr">
        <is>
          <t>OPERATING</t>
        </is>
      </c>
    </row>
    <row r="29182">
      <c r="A29182" s="8" t="inlineStr">
        <is>
          <t>2026-08-06</t>
        </is>
      </c>
      <c r="B29182" s="8" t="n">
        <v>10</v>
      </c>
      <c r="C29182" s="8" t="n">
        <v>50</v>
      </c>
      <c r="D29182" s="8" t="inlineStr">
        <is>
          <t>Disneyland Park</t>
        </is>
      </c>
      <c r="E29182" s="8" t="inlineStr">
        <is>
          <t>Disneyland Railroad Main Street Station</t>
        </is>
      </c>
      <c r="F29182" s="8" t="inlineStr">
        <is>
          <t>STANDBY</t>
        </is>
      </c>
      <c r="G29182" s="8" t="n">
        <v>0</v>
      </c>
      <c r="H29182" s="8" t="inlineStr">
        <is>
          <t>CLOSED</t>
        </is>
      </c>
    </row>
    <row r="29183">
      <c r="A29183" s="8" t="inlineStr">
        <is>
          <t>2026-08-06</t>
        </is>
      </c>
      <c r="B29183" s="8" t="n">
        <v>10</v>
      </c>
      <c r="C29183" s="8" t="n">
        <v>50</v>
      </c>
      <c r="D29183" s="8" t="inlineStr">
        <is>
          <t>Disneyland Park</t>
        </is>
      </c>
      <c r="E29183" s="8" t="inlineStr">
        <is>
          <t>Main Street Vehicles</t>
        </is>
      </c>
      <c r="F29183" s="8" t="inlineStr">
        <is>
          <t>STANDBY</t>
        </is>
      </c>
      <c r="G29183" s="8" t="n">
        <v>0</v>
      </c>
      <c r="H29183" s="8" t="inlineStr">
        <is>
          <t>CLOSED</t>
        </is>
      </c>
    </row>
    <row r="29184">
      <c r="A29184" s="8" t="inlineStr">
        <is>
          <t>2026-08-06</t>
        </is>
      </c>
      <c r="B29184" s="8" t="n">
        <v>10</v>
      </c>
      <c r="C29184" s="8" t="n">
        <v>50</v>
      </c>
      <c r="D29184" s="8" t="inlineStr">
        <is>
          <t>Disney Adventure World</t>
        </is>
      </c>
      <c r="E29184" s="8" t="inlineStr">
        <is>
          <t>Avengers Assemble: Flight Force</t>
        </is>
      </c>
      <c r="F29184" s="8" t="inlineStr">
        <is>
          <t>STANDBY</t>
        </is>
      </c>
      <c r="G29184" s="8" t="n">
        <v>40</v>
      </c>
      <c r="H29184" s="8" t="inlineStr">
        <is>
          <t>OPERATING</t>
        </is>
      </c>
    </row>
    <row r="29185">
      <c r="A29185" s="8" t="inlineStr">
        <is>
          <t>2026-08-06</t>
        </is>
      </c>
      <c r="B29185" s="8" t="n">
        <v>10</v>
      </c>
      <c r="C29185" s="8" t="n">
        <v>50</v>
      </c>
      <c r="D29185" s="8" t="inlineStr">
        <is>
          <t>Disney Adventure World</t>
        </is>
      </c>
      <c r="E29185" s="8" t="inlineStr">
        <is>
          <t>Avengers Assemble: Flight Force Single Rider</t>
        </is>
      </c>
      <c r="F29185" s="8" t="inlineStr">
        <is>
          <t>STANDBY</t>
        </is>
      </c>
      <c r="G29185" s="8" t="n">
        <v>30</v>
      </c>
      <c r="H29185" s="8" t="inlineStr">
        <is>
          <t>OPERATING</t>
        </is>
      </c>
    </row>
    <row r="29186">
      <c r="A29186" s="8" t="inlineStr">
        <is>
          <t>2026-08-06</t>
        </is>
      </c>
      <c r="B29186" s="8" t="n">
        <v>10</v>
      </c>
      <c r="C29186" s="8" t="n">
        <v>50</v>
      </c>
      <c r="D29186" s="8" t="inlineStr">
        <is>
          <t>Disney Adventure World</t>
        </is>
      </c>
      <c r="E29186" s="8" t="inlineStr">
        <is>
          <t>Spider-Man W.E.B. Adventure</t>
        </is>
      </c>
      <c r="F29186" s="8" t="inlineStr">
        <is>
          <t>STANDBY</t>
        </is>
      </c>
      <c r="G29186" s="8" t="n">
        <v>50</v>
      </c>
      <c r="H29186" s="8" t="inlineStr">
        <is>
          <t>OPERATING</t>
        </is>
      </c>
    </row>
    <row r="29187">
      <c r="A29187" s="8" t="inlineStr">
        <is>
          <t>2026-08-06</t>
        </is>
      </c>
      <c r="B29187" s="8" t="n">
        <v>10</v>
      </c>
      <c r="C29187" s="8" t="n">
        <v>50</v>
      </c>
      <c r="D29187" s="8" t="inlineStr">
        <is>
          <t>Disney Adventure World</t>
        </is>
      </c>
      <c r="E29187" s="8" t="inlineStr">
        <is>
          <t>Spider-Man W.E.B. Adventure Single Rider</t>
        </is>
      </c>
      <c r="F29187" s="8" t="inlineStr">
        <is>
          <t>STANDBY</t>
        </is>
      </c>
      <c r="G29187" s="8" t="n">
        <v>30</v>
      </c>
      <c r="H29187" s="8" t="inlineStr">
        <is>
          <t>OPERATING</t>
        </is>
      </c>
    </row>
    <row r="29188">
      <c r="A29188" s="8" t="inlineStr">
        <is>
          <t>2026-08-06</t>
        </is>
      </c>
      <c r="B29188" s="8" t="n">
        <v>10</v>
      </c>
      <c r="C29188" s="8" t="n">
        <v>50</v>
      </c>
      <c r="D29188" s="8" t="inlineStr">
        <is>
          <t>Disney Adventure World</t>
        </is>
      </c>
      <c r="E29188" s="8" t="inlineStr">
        <is>
          <t>The Twilight Zone Tower of Terror</t>
        </is>
      </c>
      <c r="F29188" s="8" t="inlineStr">
        <is>
          <t>STANDBY</t>
        </is>
      </c>
      <c r="G29188" s="8" t="n">
        <v>50</v>
      </c>
      <c r="H29188" s="8" t="inlineStr">
        <is>
          <t>OPERATING</t>
        </is>
      </c>
    </row>
    <row r="29189">
      <c r="A29189" s="8" t="inlineStr">
        <is>
          <t>2026-08-06</t>
        </is>
      </c>
      <c r="B29189" s="8" t="n">
        <v>10</v>
      </c>
      <c r="C29189" s="8" t="n">
        <v>50</v>
      </c>
      <c r="D29189" s="8" t="inlineStr">
        <is>
          <t>Disney Adventure World</t>
        </is>
      </c>
      <c r="E29189" s="8" t="inlineStr">
        <is>
          <t>Cars Quatre Roues Rallye</t>
        </is>
      </c>
      <c r="F29189" s="8" t="inlineStr">
        <is>
          <t>STANDBY</t>
        </is>
      </c>
      <c r="G29189" s="8" t="n">
        <v>30</v>
      </c>
      <c r="H29189" s="8" t="inlineStr">
        <is>
          <t>OPERATING</t>
        </is>
      </c>
    </row>
    <row r="29190">
      <c r="A29190" s="8" t="inlineStr">
        <is>
          <t>2026-08-06</t>
        </is>
      </c>
      <c r="B29190" s="8" t="n">
        <v>10</v>
      </c>
      <c r="C29190" s="8" t="n">
        <v>50</v>
      </c>
      <c r="D29190" s="8" t="inlineStr">
        <is>
          <t>Disney Adventure World</t>
        </is>
      </c>
      <c r="E29190" s="8" t="inlineStr">
        <is>
          <t>Cars ROAD TRIP</t>
        </is>
      </c>
      <c r="F29190" s="8" t="inlineStr">
        <is>
          <t>STANDBY</t>
        </is>
      </c>
      <c r="G29190" s="8" t="n">
        <v>0</v>
      </c>
      <c r="H29190" s="8" t="inlineStr">
        <is>
          <t>CLOSED</t>
        </is>
      </c>
    </row>
    <row r="29191">
      <c r="A29191" s="8" t="inlineStr">
        <is>
          <t>2026-08-06</t>
        </is>
      </c>
      <c r="B29191" s="8" t="n">
        <v>10</v>
      </c>
      <c r="C29191" s="8" t="n">
        <v>50</v>
      </c>
      <c r="D29191" s="8" t="inlineStr">
        <is>
          <t>Disney Adventure World</t>
        </is>
      </c>
      <c r="E29191" s="8" t="inlineStr">
        <is>
          <t>Crush's Coaster</t>
        </is>
      </c>
      <c r="F29191" s="8" t="inlineStr">
        <is>
          <t>STANDBY</t>
        </is>
      </c>
      <c r="G29191" s="8" t="n">
        <v>90</v>
      </c>
      <c r="H29191" s="8" t="inlineStr">
        <is>
          <t>OPERATING</t>
        </is>
      </c>
    </row>
    <row r="29192">
      <c r="A29192" s="8" t="inlineStr">
        <is>
          <t>2026-08-06</t>
        </is>
      </c>
      <c r="B29192" s="8" t="n">
        <v>10</v>
      </c>
      <c r="C29192" s="8" t="n">
        <v>50</v>
      </c>
      <c r="D29192" s="8" t="inlineStr">
        <is>
          <t>Disney Adventure World</t>
        </is>
      </c>
      <c r="E29192" s="8" t="inlineStr">
        <is>
          <t>Crush's Coaster Single Rider</t>
        </is>
      </c>
      <c r="F29192" s="8" t="inlineStr">
        <is>
          <t>STANDBY</t>
        </is>
      </c>
      <c r="G29192" s="8" t="n">
        <v>50</v>
      </c>
      <c r="H29192" s="8" t="inlineStr">
        <is>
          <t>OPERATING</t>
        </is>
      </c>
    </row>
    <row r="29193">
      <c r="A29193" s="8" t="inlineStr">
        <is>
          <t>2026-08-06</t>
        </is>
      </c>
      <c r="B29193" s="8" t="n">
        <v>10</v>
      </c>
      <c r="C29193" s="8" t="n">
        <v>50</v>
      </c>
      <c r="D29193" s="8" t="inlineStr">
        <is>
          <t>Disney Adventure World</t>
        </is>
      </c>
      <c r="E29193" s="8" t="inlineStr">
        <is>
          <t>Les Tapis Volants - Flying Carpets Over Agrabah®</t>
        </is>
      </c>
      <c r="F29193" s="8" t="inlineStr">
        <is>
          <t>STANDBY</t>
        </is>
      </c>
      <c r="G29193" s="8" t="n">
        <v>20</v>
      </c>
      <c r="H29193" s="8" t="inlineStr">
        <is>
          <t>OPERATING</t>
        </is>
      </c>
    </row>
    <row r="29194">
      <c r="A29194" s="8" t="inlineStr">
        <is>
          <t>2026-08-06</t>
        </is>
      </c>
      <c r="B29194" s="8" t="n">
        <v>10</v>
      </c>
      <c r="C29194" s="8" t="n">
        <v>50</v>
      </c>
      <c r="D29194" s="8" t="inlineStr">
        <is>
          <t>Disney Adventure World</t>
        </is>
      </c>
      <c r="E29194" s="8" t="inlineStr">
        <is>
          <t>Ratatouille : L’Aventure Totalement Toquée de Rémy​</t>
        </is>
      </c>
      <c r="F29194" s="8" t="inlineStr">
        <is>
          <t>STANDBY</t>
        </is>
      </c>
      <c r="G29194" s="8" t="n">
        <v>0</v>
      </c>
      <c r="H29194" s="8" t="inlineStr">
        <is>
          <t>CLOSED</t>
        </is>
      </c>
    </row>
    <row r="29195">
      <c r="A29195" s="8" t="inlineStr">
        <is>
          <t>2026-08-06</t>
        </is>
      </c>
      <c r="B29195" s="8" t="n">
        <v>10</v>
      </c>
      <c r="C29195" s="8" t="n">
        <v>50</v>
      </c>
      <c r="D29195" s="8" t="inlineStr">
        <is>
          <t>Disney Adventure World</t>
        </is>
      </c>
      <c r="E29195" s="8" t="inlineStr">
        <is>
          <t>Ratatouille: The Adventure Single Rider</t>
        </is>
      </c>
      <c r="F29195" s="8" t="inlineStr">
        <is>
          <t>STANDBY</t>
        </is>
      </c>
      <c r="G29195" s="8" t="n">
        <v>0</v>
      </c>
      <c r="H29195" s="8" t="inlineStr">
        <is>
          <t>CLOSED</t>
        </is>
      </c>
    </row>
    <row r="29196">
      <c r="A29196" s="8" t="inlineStr">
        <is>
          <t>2026-08-06</t>
        </is>
      </c>
      <c r="B29196" s="8" t="n">
        <v>10</v>
      </c>
      <c r="C29196" s="8" t="n">
        <v>50</v>
      </c>
      <c r="D29196" s="8" t="inlineStr">
        <is>
          <t>Disney Adventure World</t>
        </is>
      </c>
      <c r="E29196" s="8" t="inlineStr">
        <is>
          <t>RC Racer</t>
        </is>
      </c>
      <c r="F29196" s="8" t="inlineStr">
        <is>
          <t>STANDBY</t>
        </is>
      </c>
      <c r="G29196" s="8" t="n">
        <v>50</v>
      </c>
      <c r="H29196" s="8" t="inlineStr">
        <is>
          <t>OPERATING</t>
        </is>
      </c>
    </row>
    <row r="29197">
      <c r="A29197" s="8" t="inlineStr">
        <is>
          <t>2026-08-06</t>
        </is>
      </c>
      <c r="B29197" s="8" t="n">
        <v>10</v>
      </c>
      <c r="C29197" s="8" t="n">
        <v>50</v>
      </c>
      <c r="D29197" s="8" t="inlineStr">
        <is>
          <t>Disney Adventure World</t>
        </is>
      </c>
      <c r="E29197" s="8" t="inlineStr">
        <is>
          <t>RC Racer Single Rider</t>
        </is>
      </c>
      <c r="F29197" s="8" t="inlineStr">
        <is>
          <t>STANDBY</t>
        </is>
      </c>
      <c r="G29197" s="8" t="n">
        <v>40</v>
      </c>
      <c r="H29197" s="8" t="inlineStr">
        <is>
          <t>OPERATING</t>
        </is>
      </c>
    </row>
    <row r="29198">
      <c r="A29198" s="8" t="inlineStr">
        <is>
          <t>2026-08-06</t>
        </is>
      </c>
      <c r="B29198" s="8" t="n">
        <v>10</v>
      </c>
      <c r="C29198" s="8" t="n">
        <v>50</v>
      </c>
      <c r="D29198" s="8" t="inlineStr">
        <is>
          <t>Disney Adventure World</t>
        </is>
      </c>
      <c r="E29198" s="8" t="inlineStr">
        <is>
          <t>Slinky® Dog Zigzag Spin</t>
        </is>
      </c>
      <c r="F29198" s="8" t="inlineStr">
        <is>
          <t>STANDBY</t>
        </is>
      </c>
      <c r="G29198" s="8" t="n">
        <v>45</v>
      </c>
      <c r="H29198" s="8" t="inlineStr">
        <is>
          <t>OPERATING</t>
        </is>
      </c>
    </row>
    <row r="29199">
      <c r="A29199" s="8" t="inlineStr">
        <is>
          <t>2026-08-06</t>
        </is>
      </c>
      <c r="B29199" s="8" t="n">
        <v>10</v>
      </c>
      <c r="C29199" s="8" t="n">
        <v>50</v>
      </c>
      <c r="D29199" s="8" t="inlineStr">
        <is>
          <t>Disney Adventure World</t>
        </is>
      </c>
      <c r="E29199" s="8" t="inlineStr">
        <is>
          <t>Toy Soldiers Parachute Drop</t>
        </is>
      </c>
      <c r="F29199" s="8" t="inlineStr">
        <is>
          <t>STANDBY</t>
        </is>
      </c>
      <c r="G29199" s="8" t="n">
        <v>55</v>
      </c>
      <c r="H29199" s="8" t="inlineStr">
        <is>
          <t>OPERATING</t>
        </is>
      </c>
    </row>
    <row r="29200">
      <c r="A29200" s="8" t="inlineStr">
        <is>
          <t>2026-08-06</t>
        </is>
      </c>
      <c r="B29200" s="8" t="n">
        <v>10</v>
      </c>
      <c r="C29200" s="8" t="n">
        <v>50</v>
      </c>
      <c r="D29200" s="8" t="inlineStr">
        <is>
          <t>Disney Adventure World</t>
        </is>
      </c>
      <c r="E29200" s="8" t="inlineStr">
        <is>
          <t>Toy Soldiers Parachute Drop Single Rider</t>
        </is>
      </c>
      <c r="F29200" s="8" t="inlineStr">
        <is>
          <t>STANDBY</t>
        </is>
      </c>
      <c r="G29200" s="8" t="n">
        <v>20</v>
      </c>
      <c r="H29200" s="8" t="inlineStr">
        <is>
          <t>OPERATING</t>
        </is>
      </c>
    </row>
    <row r="29201">
      <c r="A29201" s="8" t="inlineStr">
        <is>
          <t>2026-08-06</t>
        </is>
      </c>
      <c r="B29201" s="8" t="n">
        <v>10</v>
      </c>
      <c r="C29201" s="8" t="n">
        <v>50</v>
      </c>
      <c r="D29201" s="8" t="inlineStr">
        <is>
          <t>Disney Adventure World</t>
        </is>
      </c>
      <c r="E29201" s="8" t="inlineStr">
        <is>
          <t>Entry to World of Frozen</t>
        </is>
      </c>
      <c r="F29201" s="8" t="inlineStr">
        <is>
          <t>STANDBY</t>
        </is>
      </c>
      <c r="G29201" s="8" t="n">
        <v>0</v>
      </c>
      <c r="H29201" s="8" t="inlineStr">
        <is>
          <t>OPERATING</t>
        </is>
      </c>
    </row>
    <row r="29202">
      <c r="A29202" s="8" t="inlineStr">
        <is>
          <t>2026-08-06</t>
        </is>
      </c>
      <c r="B29202" s="8" t="n">
        <v>10</v>
      </c>
      <c r="C29202" s="8" t="n">
        <v>50</v>
      </c>
      <c r="D29202" s="8" t="inlineStr">
        <is>
          <t>Disney Adventure World</t>
        </is>
      </c>
      <c r="E29202" s="8" t="inlineStr">
        <is>
          <t>Frozen Ever After</t>
        </is>
      </c>
      <c r="F29202" s="8" t="inlineStr">
        <is>
          <t>STANDBY</t>
        </is>
      </c>
      <c r="G29202" s="8" t="n">
        <v>100</v>
      </c>
      <c r="H29202" s="8" t="inlineStr">
        <is>
          <t>OPERATING</t>
        </is>
      </c>
    </row>
    <row r="29203">
      <c r="A29203" s="8" t="inlineStr">
        <is>
          <t>2026-08-06</t>
        </is>
      </c>
      <c r="B29203" s="8" t="n">
        <v>10</v>
      </c>
      <c r="C29203" s="8" t="n">
        <v>50</v>
      </c>
      <c r="D29203" s="8" t="inlineStr">
        <is>
          <t>Disney Adventure World</t>
        </is>
      </c>
      <c r="E29203" s="8" t="inlineStr">
        <is>
          <t>Raiponce Tangled Spin</t>
        </is>
      </c>
      <c r="F29203" s="8" t="inlineStr">
        <is>
          <t>STANDBY</t>
        </is>
      </c>
      <c r="G29203" s="8" t="n">
        <v>20</v>
      </c>
      <c r="H29203" s="8" t="inlineStr">
        <is>
          <t>OPERATING</t>
        </is>
      </c>
    </row>
    <row r="29204">
      <c r="A29204" s="8" t="inlineStr">
        <is>
          <t>2026-08-06</t>
        </is>
      </c>
      <c r="B29204" s="8" t="n">
        <v>11</v>
      </c>
      <c r="C29204" s="8" t="n">
        <v>1</v>
      </c>
      <c r="D29204" s="8" t="inlineStr">
        <is>
          <t>Disneyland Park</t>
        </is>
      </c>
      <c r="E29204" s="8" t="inlineStr">
        <is>
          <t>Adventure Isle</t>
        </is>
      </c>
      <c r="F29204" s="8" t="inlineStr">
        <is>
          <t>STANDBY</t>
        </is>
      </c>
      <c r="G29204" s="8" t="n">
        <v>0</v>
      </c>
      <c r="H29204" s="8" t="inlineStr">
        <is>
          <t>OPERATING</t>
        </is>
      </c>
    </row>
    <row r="29205">
      <c r="A29205" s="8" t="inlineStr">
        <is>
          <t>2026-08-06</t>
        </is>
      </c>
      <c r="B29205" s="8" t="n">
        <v>11</v>
      </c>
      <c r="C29205" s="8" t="n">
        <v>1</v>
      </c>
      <c r="D29205" s="8" t="inlineStr">
        <is>
          <t>Disneyland Park</t>
        </is>
      </c>
      <c r="E29205" s="8" t="inlineStr">
        <is>
          <t>Indiana Jones and the Temple of Peril Single Rider</t>
        </is>
      </c>
      <c r="F29205" s="8" t="inlineStr">
        <is>
          <t>STANDBY</t>
        </is>
      </c>
      <c r="G29205" s="8" t="n">
        <v>5</v>
      </c>
      <c r="H29205" s="8" t="inlineStr">
        <is>
          <t>OPERATING</t>
        </is>
      </c>
    </row>
    <row r="29206">
      <c r="A29206" s="8" t="inlineStr">
        <is>
          <t>2026-08-06</t>
        </is>
      </c>
      <c r="B29206" s="8" t="n">
        <v>11</v>
      </c>
      <c r="C29206" s="8" t="n">
        <v>1</v>
      </c>
      <c r="D29206" s="8" t="inlineStr">
        <is>
          <t>Disneyland Park</t>
        </is>
      </c>
      <c r="E29206" s="8" t="inlineStr">
        <is>
          <t>Indiana Jones™ and the Temple of Peril</t>
        </is>
      </c>
      <c r="F29206" s="8" t="inlineStr">
        <is>
          <t>STANDBY</t>
        </is>
      </c>
      <c r="G29206" s="8" t="n">
        <v>20</v>
      </c>
      <c r="H29206" s="8" t="inlineStr">
        <is>
          <t>OPERATING</t>
        </is>
      </c>
    </row>
    <row r="29207">
      <c r="A29207" s="8" t="inlineStr">
        <is>
          <t>2026-08-06</t>
        </is>
      </c>
      <c r="B29207" s="8" t="n">
        <v>11</v>
      </c>
      <c r="C29207" s="8" t="n">
        <v>1</v>
      </c>
      <c r="D29207" s="8" t="inlineStr">
        <is>
          <t>Disneyland Park</t>
        </is>
      </c>
      <c r="E29207" s="8" t="inlineStr">
        <is>
          <t>La Cabane des Robinson</t>
        </is>
      </c>
      <c r="F29207" s="8" t="inlineStr">
        <is>
          <t>STANDBY</t>
        </is>
      </c>
      <c r="G29207" s="8" t="n">
        <v>5</v>
      </c>
      <c r="H29207" s="8" t="inlineStr">
        <is>
          <t>OPERATING</t>
        </is>
      </c>
    </row>
    <row r="29208">
      <c r="A29208" s="8" t="inlineStr">
        <is>
          <t>2026-08-06</t>
        </is>
      </c>
      <c r="B29208" s="8" t="n">
        <v>11</v>
      </c>
      <c r="C29208" s="8" t="n">
        <v>1</v>
      </c>
      <c r="D29208" s="8" t="inlineStr">
        <is>
          <t>Disneyland Park</t>
        </is>
      </c>
      <c r="E29208" s="8" t="inlineStr">
        <is>
          <t>Le Passage Enchanté d'Aladdin</t>
        </is>
      </c>
      <c r="F29208" s="8" t="inlineStr">
        <is>
          <t>STANDBY</t>
        </is>
      </c>
      <c r="G29208" s="8" t="n">
        <v>0</v>
      </c>
      <c r="H29208" s="8" t="inlineStr">
        <is>
          <t>OPERATING</t>
        </is>
      </c>
    </row>
    <row r="29209">
      <c r="A29209" s="8" t="inlineStr">
        <is>
          <t>2026-08-06</t>
        </is>
      </c>
      <c r="B29209" s="8" t="n">
        <v>11</v>
      </c>
      <c r="C29209" s="8" t="n">
        <v>1</v>
      </c>
      <c r="D29209" s="8" t="inlineStr">
        <is>
          <t>Disneyland Park</t>
        </is>
      </c>
      <c r="E29209" s="8" t="inlineStr">
        <is>
          <t>Pirate Galleon</t>
        </is>
      </c>
      <c r="F29209" s="8" t="inlineStr">
        <is>
          <t>STANDBY</t>
        </is>
      </c>
      <c r="G29209" s="8" t="n">
        <v>0</v>
      </c>
      <c r="H29209" s="8" t="inlineStr">
        <is>
          <t>CLOSED</t>
        </is>
      </c>
    </row>
    <row r="29210">
      <c r="A29210" s="8" t="inlineStr">
        <is>
          <t>2026-08-06</t>
        </is>
      </c>
      <c r="B29210" s="8" t="n">
        <v>11</v>
      </c>
      <c r="C29210" s="8" t="n">
        <v>1</v>
      </c>
      <c r="D29210" s="8" t="inlineStr">
        <is>
          <t>Disneyland Park</t>
        </is>
      </c>
      <c r="E29210" s="8" t="inlineStr">
        <is>
          <t>Pirates of the Caribbean</t>
        </is>
      </c>
      <c r="F29210" s="8" t="inlineStr">
        <is>
          <t>STANDBY</t>
        </is>
      </c>
      <c r="G29210" s="8" t="n">
        <v>20</v>
      </c>
      <c r="H29210" s="8" t="inlineStr">
        <is>
          <t>OPERATING</t>
        </is>
      </c>
    </row>
    <row r="29211">
      <c r="A29211" s="8" t="inlineStr">
        <is>
          <t>2026-08-06</t>
        </is>
      </c>
      <c r="B29211" s="8" t="n">
        <v>11</v>
      </c>
      <c r="C29211" s="8" t="n">
        <v>1</v>
      </c>
      <c r="D29211" s="8" t="inlineStr">
        <is>
          <t>Disneyland Park</t>
        </is>
      </c>
      <c r="E29211" s="8" t="inlineStr">
        <is>
          <t>Pirates' Beach</t>
        </is>
      </c>
      <c r="F29211" s="8" t="inlineStr">
        <is>
          <t>STANDBY</t>
        </is>
      </c>
      <c r="G29211" s="8" t="n">
        <v>0</v>
      </c>
      <c r="H29211" s="8" t="inlineStr">
        <is>
          <t>OPERATING</t>
        </is>
      </c>
    </row>
    <row r="29212">
      <c r="A29212" s="8" t="inlineStr">
        <is>
          <t>2026-08-06</t>
        </is>
      </c>
      <c r="B29212" s="8" t="n">
        <v>11</v>
      </c>
      <c r="C29212" s="8" t="n">
        <v>1</v>
      </c>
      <c r="D29212" s="8" t="inlineStr">
        <is>
          <t>Disneyland Park</t>
        </is>
      </c>
      <c r="E29212" s="8" t="inlineStr">
        <is>
          <t>Autopia, presented by Avis</t>
        </is>
      </c>
      <c r="F29212" s="8" t="inlineStr">
        <is>
          <t>STANDBY</t>
        </is>
      </c>
      <c r="G29212" s="8" t="n">
        <v>40</v>
      </c>
      <c r="H29212" s="8" t="inlineStr">
        <is>
          <t>OPERATING</t>
        </is>
      </c>
    </row>
    <row r="29213">
      <c r="A29213" s="8" t="inlineStr">
        <is>
          <t>2026-08-06</t>
        </is>
      </c>
      <c r="B29213" s="8" t="n">
        <v>11</v>
      </c>
      <c r="C29213" s="8" t="n">
        <v>1</v>
      </c>
      <c r="D29213" s="8" t="inlineStr">
        <is>
          <t>Disneyland Park</t>
        </is>
      </c>
      <c r="E29213" s="8" t="inlineStr">
        <is>
          <t>Buzz Lightyear Laser Blast</t>
        </is>
      </c>
      <c r="F29213" s="8" t="inlineStr">
        <is>
          <t>STANDBY</t>
        </is>
      </c>
      <c r="G29213" s="8" t="n">
        <v>45</v>
      </c>
      <c r="H29213" s="8" t="inlineStr">
        <is>
          <t>OPERATING</t>
        </is>
      </c>
    </row>
    <row r="29214">
      <c r="A29214" s="8" t="inlineStr">
        <is>
          <t>2026-08-06</t>
        </is>
      </c>
      <c r="B29214" s="8" t="n">
        <v>11</v>
      </c>
      <c r="C29214" s="8" t="n">
        <v>1</v>
      </c>
      <c r="D29214" s="8" t="inlineStr">
        <is>
          <t>Disneyland Park</t>
        </is>
      </c>
      <c r="E29214" s="8" t="inlineStr">
        <is>
          <t>Disneyland Railroad Discoveryland Station</t>
        </is>
      </c>
      <c r="F29214" s="8" t="inlineStr">
        <is>
          <t>STANDBY</t>
        </is>
      </c>
      <c r="G29214" s="8" t="n">
        <v>0</v>
      </c>
      <c r="H29214" s="8" t="inlineStr">
        <is>
          <t>CLOSED</t>
        </is>
      </c>
    </row>
    <row r="29215">
      <c r="A29215" s="8" t="inlineStr">
        <is>
          <t>2026-08-06</t>
        </is>
      </c>
      <c r="B29215" s="8" t="n">
        <v>11</v>
      </c>
      <c r="C29215" s="8" t="n">
        <v>1</v>
      </c>
      <c r="D29215" s="8" t="inlineStr">
        <is>
          <t>Disneyland Park</t>
        </is>
      </c>
      <c r="E29215" s="8" t="inlineStr">
        <is>
          <t>Les Mystères du Nautilus</t>
        </is>
      </c>
      <c r="F29215" s="8" t="inlineStr">
        <is>
          <t>STANDBY</t>
        </is>
      </c>
      <c r="G29215" s="8" t="n">
        <v>5</v>
      </c>
      <c r="H29215" s="8" t="inlineStr">
        <is>
          <t>OPERATING</t>
        </is>
      </c>
    </row>
    <row r="29216">
      <c r="A29216" s="8" t="inlineStr">
        <is>
          <t>2026-08-06</t>
        </is>
      </c>
      <c r="B29216" s="8" t="n">
        <v>11</v>
      </c>
      <c r="C29216" s="8" t="n">
        <v>1</v>
      </c>
      <c r="D29216" s="8" t="inlineStr">
        <is>
          <t>Disneyland Park</t>
        </is>
      </c>
      <c r="E29216" s="8" t="inlineStr">
        <is>
          <t>Mickey’s PhilharMagic</t>
        </is>
      </c>
      <c r="F29216" s="8" t="inlineStr">
        <is>
          <t>STANDBY</t>
        </is>
      </c>
      <c r="G29216" s="8" t="n">
        <v>0</v>
      </c>
      <c r="H29216" s="8" t="inlineStr">
        <is>
          <t>CLOSED</t>
        </is>
      </c>
    </row>
    <row r="29217">
      <c r="A29217" s="8" t="inlineStr">
        <is>
          <t>2026-08-06</t>
        </is>
      </c>
      <c r="B29217" s="8" t="n">
        <v>11</v>
      </c>
      <c r="C29217" s="8" t="n">
        <v>1</v>
      </c>
      <c r="D29217" s="8" t="inlineStr">
        <is>
          <t>Disneyland Park</t>
        </is>
      </c>
      <c r="E29217" s="8" t="inlineStr">
        <is>
          <t>Orbitron®</t>
        </is>
      </c>
      <c r="F29217" s="8" t="inlineStr">
        <is>
          <t>STANDBY</t>
        </is>
      </c>
      <c r="G29217" s="8" t="n">
        <v>60</v>
      </c>
      <c r="H29217" s="8" t="inlineStr">
        <is>
          <t>OPERATING</t>
        </is>
      </c>
    </row>
    <row r="29218">
      <c r="A29218" s="8" t="inlineStr">
        <is>
          <t>2026-08-06</t>
        </is>
      </c>
      <c r="B29218" s="8" t="n">
        <v>11</v>
      </c>
      <c r="C29218" s="8" t="n">
        <v>1</v>
      </c>
      <c r="D29218" s="8" t="inlineStr">
        <is>
          <t>Disneyland Park</t>
        </is>
      </c>
      <c r="E29218" s="8" t="inlineStr">
        <is>
          <t>Star Tours: The Adventures Continue*</t>
        </is>
      </c>
      <c r="F29218" s="8" t="inlineStr">
        <is>
          <t>STANDBY</t>
        </is>
      </c>
      <c r="G29218" s="8" t="n">
        <v>30</v>
      </c>
      <c r="H29218" s="8" t="inlineStr">
        <is>
          <t>OPERATING</t>
        </is>
      </c>
    </row>
    <row r="29219">
      <c r="A29219" s="8" t="inlineStr">
        <is>
          <t>2026-08-06</t>
        </is>
      </c>
      <c r="B29219" s="8" t="n">
        <v>11</v>
      </c>
      <c r="C29219" s="8" t="n">
        <v>1</v>
      </c>
      <c r="D29219" s="8" t="inlineStr">
        <is>
          <t>Disneyland Park</t>
        </is>
      </c>
      <c r="E29219" s="8" t="inlineStr">
        <is>
          <t>Star Wars Hyperspace Mountain</t>
        </is>
      </c>
      <c r="F29219" s="8" t="inlineStr">
        <is>
          <t>STANDBY</t>
        </is>
      </c>
      <c r="G29219" s="8" t="n">
        <v>40</v>
      </c>
      <c r="H29219" s="8" t="inlineStr">
        <is>
          <t>OPERATING</t>
        </is>
      </c>
    </row>
    <row r="29220">
      <c r="A29220" s="8" t="inlineStr">
        <is>
          <t>2026-08-06</t>
        </is>
      </c>
      <c r="B29220" s="8" t="n">
        <v>11</v>
      </c>
      <c r="C29220" s="8" t="n">
        <v>1</v>
      </c>
      <c r="D29220" s="8" t="inlineStr">
        <is>
          <t>Disneyland Park</t>
        </is>
      </c>
      <c r="E29220" s="8" t="inlineStr">
        <is>
          <t>Star Wars Hyperspace Mountain Single Rider</t>
        </is>
      </c>
      <c r="F29220" s="8" t="inlineStr">
        <is>
          <t>STANDBY</t>
        </is>
      </c>
      <c r="G29220" s="8" t="n">
        <v>30</v>
      </c>
      <c r="H29220" s="8" t="inlineStr">
        <is>
          <t>OPERATING</t>
        </is>
      </c>
    </row>
    <row r="29221">
      <c r="A29221" s="8" t="inlineStr">
        <is>
          <t>2026-08-06</t>
        </is>
      </c>
      <c r="B29221" s="8" t="n">
        <v>11</v>
      </c>
      <c r="C29221" s="8" t="n">
        <v>1</v>
      </c>
      <c r="D29221" s="8" t="inlineStr">
        <is>
          <t>Disneyland Park</t>
        </is>
      </c>
      <c r="E29221" s="8" t="inlineStr">
        <is>
          <t>Welcome to Starport: A Star Wars Encounter</t>
        </is>
      </c>
      <c r="F29221" s="8" t="inlineStr">
        <is>
          <t>STANDBY</t>
        </is>
      </c>
      <c r="G29221" s="8" t="n">
        <v>20</v>
      </c>
      <c r="H29221" s="8" t="inlineStr">
        <is>
          <t>OPERATING</t>
        </is>
      </c>
    </row>
    <row r="29222">
      <c r="A29222" s="8" t="inlineStr">
        <is>
          <t>2026-08-06</t>
        </is>
      </c>
      <c r="B29222" s="8" t="n">
        <v>11</v>
      </c>
      <c r="C29222" s="8" t="n">
        <v>1</v>
      </c>
      <c r="D29222" s="8" t="inlineStr">
        <is>
          <t>Disneyland Park</t>
        </is>
      </c>
      <c r="E29222" s="8" t="inlineStr">
        <is>
          <t>"it's a small world"</t>
        </is>
      </c>
      <c r="F29222" s="8" t="inlineStr">
        <is>
          <t>STANDBY</t>
        </is>
      </c>
      <c r="G29222" s="8" t="n">
        <v>15</v>
      </c>
      <c r="H29222" s="8" t="inlineStr">
        <is>
          <t>OPERATING</t>
        </is>
      </c>
    </row>
    <row r="29223">
      <c r="A29223" s="8" t="inlineStr">
        <is>
          <t>2026-08-06</t>
        </is>
      </c>
      <c r="B29223" s="8" t="n">
        <v>11</v>
      </c>
      <c r="C29223" s="8" t="n">
        <v>1</v>
      </c>
      <c r="D29223" s="8" t="inlineStr">
        <is>
          <t>Disneyland Park</t>
        </is>
      </c>
      <c r="E29223" s="8" t="inlineStr">
        <is>
          <t>Alice's Curious Labyrinth</t>
        </is>
      </c>
      <c r="F29223" s="8" t="inlineStr">
        <is>
          <t>STANDBY</t>
        </is>
      </c>
      <c r="G29223" s="8" t="n">
        <v>5</v>
      </c>
      <c r="H29223" s="8" t="inlineStr">
        <is>
          <t>OPERATING</t>
        </is>
      </c>
    </row>
    <row r="29224">
      <c r="A29224" s="8" t="inlineStr">
        <is>
          <t>2026-08-06</t>
        </is>
      </c>
      <c r="B29224" s="8" t="n">
        <v>11</v>
      </c>
      <c r="C29224" s="8" t="n">
        <v>1</v>
      </c>
      <c r="D29224" s="8" t="inlineStr">
        <is>
          <t>Disneyland Park</t>
        </is>
      </c>
      <c r="E29224" s="8" t="inlineStr">
        <is>
          <t>Blanche-Neige et les Sept Nains®</t>
        </is>
      </c>
      <c r="F29224" s="8" t="inlineStr">
        <is>
          <t>STANDBY</t>
        </is>
      </c>
      <c r="G29224" s="8" t="n">
        <v>35</v>
      </c>
      <c r="H29224" s="8" t="inlineStr">
        <is>
          <t>OPERATING</t>
        </is>
      </c>
    </row>
    <row r="29225">
      <c r="A29225" s="8" t="inlineStr">
        <is>
          <t>2026-08-06</t>
        </is>
      </c>
      <c r="B29225" s="8" t="n">
        <v>11</v>
      </c>
      <c r="C29225" s="8" t="n">
        <v>1</v>
      </c>
      <c r="D29225" s="8" t="inlineStr">
        <is>
          <t>Disneyland Park</t>
        </is>
      </c>
      <c r="E29225" s="8" t="inlineStr">
        <is>
          <t>Casey Jr. – le Petit Train du Cirque</t>
        </is>
      </c>
      <c r="F29225" s="8" t="inlineStr">
        <is>
          <t>STANDBY</t>
        </is>
      </c>
      <c r="G29225" s="8" t="n">
        <v>5</v>
      </c>
      <c r="H29225" s="8" t="inlineStr">
        <is>
          <t>OPERATING</t>
        </is>
      </c>
    </row>
    <row r="29226">
      <c r="A29226" s="8" t="inlineStr">
        <is>
          <t>2026-08-06</t>
        </is>
      </c>
      <c r="B29226" s="8" t="n">
        <v>11</v>
      </c>
      <c r="C29226" s="8" t="n">
        <v>1</v>
      </c>
      <c r="D29226" s="8" t="inlineStr">
        <is>
          <t>Disneyland Park</t>
        </is>
      </c>
      <c r="E29226" s="8" t="inlineStr">
        <is>
          <t>Disneyland Railroad Fantasyland Station</t>
        </is>
      </c>
      <c r="F29226" s="8" t="inlineStr">
        <is>
          <t>STANDBY</t>
        </is>
      </c>
      <c r="G29226" s="8" t="n">
        <v>0</v>
      </c>
      <c r="H29226" s="8" t="inlineStr">
        <is>
          <t>CLOSED</t>
        </is>
      </c>
    </row>
    <row r="29227">
      <c r="A29227" s="8" t="inlineStr">
        <is>
          <t>2026-08-06</t>
        </is>
      </c>
      <c r="B29227" s="8" t="n">
        <v>11</v>
      </c>
      <c r="C29227" s="8" t="n">
        <v>1</v>
      </c>
      <c r="D29227" s="8" t="inlineStr">
        <is>
          <t>Disneyland Park</t>
        </is>
      </c>
      <c r="E29227" s="8" t="inlineStr">
        <is>
          <t>Disneyland Railroad Main Street Station</t>
        </is>
      </c>
      <c r="F29227" s="8" t="inlineStr">
        <is>
          <t>STANDBY</t>
        </is>
      </c>
      <c r="G29227" s="8" t="n">
        <v>0</v>
      </c>
      <c r="H29227" s="8" t="inlineStr">
        <is>
          <t>CLOSED</t>
        </is>
      </c>
    </row>
    <row r="29228">
      <c r="A29228" s="8" t="inlineStr">
        <is>
          <t>2026-08-06</t>
        </is>
      </c>
      <c r="B29228" s="8" t="n">
        <v>11</v>
      </c>
      <c r="C29228" s="8" t="n">
        <v>1</v>
      </c>
      <c r="D29228" s="8" t="inlineStr">
        <is>
          <t>Disneyland Park</t>
        </is>
      </c>
      <c r="E29228" s="8" t="inlineStr">
        <is>
          <t>Dumbo the Flying Elephant</t>
        </is>
      </c>
      <c r="F29228" s="8" t="inlineStr">
        <is>
          <t>STANDBY</t>
        </is>
      </c>
      <c r="G29228" s="8" t="n">
        <v>35</v>
      </c>
      <c r="H29228" s="8" t="inlineStr">
        <is>
          <t>OPERATING</t>
        </is>
      </c>
    </row>
    <row r="29229">
      <c r="A29229" s="8" t="inlineStr">
        <is>
          <t>2026-08-06</t>
        </is>
      </c>
      <c r="B29229" s="8" t="n">
        <v>11</v>
      </c>
      <c r="C29229" s="8" t="n">
        <v>1</v>
      </c>
      <c r="D29229" s="8" t="inlineStr">
        <is>
          <t>Disneyland Park</t>
        </is>
      </c>
      <c r="E29229" s="8" t="inlineStr">
        <is>
          <t>La Tanière du Dragon</t>
        </is>
      </c>
      <c r="F29229" s="8" t="inlineStr">
        <is>
          <t>STANDBY</t>
        </is>
      </c>
      <c r="G29229" s="8" t="n">
        <v>0</v>
      </c>
      <c r="H29229" s="8" t="inlineStr">
        <is>
          <t>OPERATING</t>
        </is>
      </c>
    </row>
    <row r="29230">
      <c r="A29230" s="8" t="inlineStr">
        <is>
          <t>2026-08-06</t>
        </is>
      </c>
      <c r="B29230" s="8" t="n">
        <v>11</v>
      </c>
      <c r="C29230" s="8" t="n">
        <v>1</v>
      </c>
      <c r="D29230" s="8" t="inlineStr">
        <is>
          <t>Disneyland Park</t>
        </is>
      </c>
      <c r="E29230" s="8" t="inlineStr">
        <is>
          <t>Le Carrousel de Lancelot</t>
        </is>
      </c>
      <c r="F29230" s="8" t="inlineStr">
        <is>
          <t>STANDBY</t>
        </is>
      </c>
      <c r="G29230" s="8" t="n">
        <v>15</v>
      </c>
      <c r="H29230" s="8" t="inlineStr">
        <is>
          <t>OPERATING</t>
        </is>
      </c>
    </row>
    <row r="29231">
      <c r="A29231" s="8" t="inlineStr">
        <is>
          <t>2026-08-06</t>
        </is>
      </c>
      <c r="B29231" s="8" t="n">
        <v>11</v>
      </c>
      <c r="C29231" s="8" t="n">
        <v>1</v>
      </c>
      <c r="D29231" s="8" t="inlineStr">
        <is>
          <t>Disneyland Park</t>
        </is>
      </c>
      <c r="E29231" s="8" t="inlineStr">
        <is>
          <t>Le Pays des Contes de Fées, presented by Vittel</t>
        </is>
      </c>
      <c r="F29231" s="8" t="inlineStr">
        <is>
          <t>STANDBY</t>
        </is>
      </c>
      <c r="G29231" s="8" t="n">
        <v>5</v>
      </c>
      <c r="H29231" s="8" t="inlineStr">
        <is>
          <t>OPERATING</t>
        </is>
      </c>
    </row>
    <row r="29232">
      <c r="A29232" s="8" t="inlineStr">
        <is>
          <t>2026-08-06</t>
        </is>
      </c>
      <c r="B29232" s="8" t="n">
        <v>11</v>
      </c>
      <c r="C29232" s="8" t="n">
        <v>1</v>
      </c>
      <c r="D29232" s="8" t="inlineStr">
        <is>
          <t>Disneyland Park</t>
        </is>
      </c>
      <c r="E29232" s="8" t="inlineStr">
        <is>
          <t>Les Voyages de Pinocchio</t>
        </is>
      </c>
      <c r="F29232" s="8" t="inlineStr">
        <is>
          <t>STANDBY</t>
        </is>
      </c>
      <c r="G29232" s="8" t="n">
        <v>15</v>
      </c>
      <c r="H29232" s="8" t="inlineStr">
        <is>
          <t>OPERATING</t>
        </is>
      </c>
    </row>
    <row r="29233">
      <c r="A29233" s="8" t="inlineStr">
        <is>
          <t>2026-08-06</t>
        </is>
      </c>
      <c r="B29233" s="8" t="n">
        <v>11</v>
      </c>
      <c r="C29233" s="8" t="n">
        <v>1</v>
      </c>
      <c r="D29233" s="8" t="inlineStr">
        <is>
          <t>Disneyland Park</t>
        </is>
      </c>
      <c r="E29233" s="8" t="inlineStr">
        <is>
          <t>Mad Hatter's Tea Cups</t>
        </is>
      </c>
      <c r="F29233" s="8" t="inlineStr">
        <is>
          <t>STANDBY</t>
        </is>
      </c>
      <c r="G29233" s="8" t="n">
        <v>10</v>
      </c>
      <c r="H29233" s="8" t="inlineStr">
        <is>
          <t>OPERATING</t>
        </is>
      </c>
    </row>
    <row r="29234">
      <c r="A29234" s="8" t="inlineStr">
        <is>
          <t>2026-08-06</t>
        </is>
      </c>
      <c r="B29234" s="8" t="n">
        <v>11</v>
      </c>
      <c r="C29234" s="8" t="n">
        <v>1</v>
      </c>
      <c r="D29234" s="8" t="inlineStr">
        <is>
          <t>Disneyland Park</t>
        </is>
      </c>
      <c r="E29234" s="8" t="inlineStr">
        <is>
          <t>Meet Mickey Mouse</t>
        </is>
      </c>
      <c r="F29234" s="8" t="inlineStr">
        <is>
          <t>STANDBY</t>
        </is>
      </c>
      <c r="G29234" s="8" t="n">
        <v>0</v>
      </c>
      <c r="H29234" s="8" t="inlineStr">
        <is>
          <t>OPERATING</t>
        </is>
      </c>
    </row>
    <row r="29235">
      <c r="A29235" s="8" t="inlineStr">
        <is>
          <t>2026-08-06</t>
        </is>
      </c>
      <c r="B29235" s="8" t="n">
        <v>11</v>
      </c>
      <c r="C29235" s="8" t="n">
        <v>1</v>
      </c>
      <c r="D29235" s="8" t="inlineStr">
        <is>
          <t>Disneyland Park</t>
        </is>
      </c>
      <c r="E29235" s="8" t="inlineStr">
        <is>
          <t>Peter Pan's Flight</t>
        </is>
      </c>
      <c r="F29235" s="8" t="inlineStr">
        <is>
          <t>STANDBY</t>
        </is>
      </c>
      <c r="G29235" s="8" t="n">
        <v>55</v>
      </c>
      <c r="H29235" s="8" t="inlineStr">
        <is>
          <t>OPERATING</t>
        </is>
      </c>
    </row>
    <row r="29236">
      <c r="A29236" s="8" t="inlineStr">
        <is>
          <t>2026-08-06</t>
        </is>
      </c>
      <c r="B29236" s="8" t="n">
        <v>11</v>
      </c>
      <c r="C29236" s="8" t="n">
        <v>1</v>
      </c>
      <c r="D29236" s="8" t="inlineStr">
        <is>
          <t>Disneyland Park</t>
        </is>
      </c>
      <c r="E29236" s="8" t="inlineStr">
        <is>
          <t>Princess Pavilion</t>
        </is>
      </c>
      <c r="F29236" s="8" t="inlineStr">
        <is>
          <t>STANDBY</t>
        </is>
      </c>
      <c r="G29236" s="8" t="n">
        <v>0</v>
      </c>
      <c r="H29236" s="8" t="inlineStr">
        <is>
          <t>OPERATING</t>
        </is>
      </c>
    </row>
    <row r="29237">
      <c r="A29237" s="8" t="inlineStr">
        <is>
          <t>2026-08-06</t>
        </is>
      </c>
      <c r="B29237" s="8" t="n">
        <v>11</v>
      </c>
      <c r="C29237" s="8" t="n">
        <v>1</v>
      </c>
      <c r="D29237" s="8" t="inlineStr">
        <is>
          <t>Disneyland Park</t>
        </is>
      </c>
      <c r="E29237" s="8" t="inlineStr">
        <is>
          <t>Big Thunder Mountain</t>
        </is>
      </c>
      <c r="F29237" s="8" t="inlineStr">
        <is>
          <t>STANDBY</t>
        </is>
      </c>
      <c r="G29237" s="8" t="n">
        <v>70</v>
      </c>
      <c r="H29237" s="8" t="inlineStr">
        <is>
          <t>OPERATING</t>
        </is>
      </c>
    </row>
    <row r="29238">
      <c r="A29238" s="8" t="inlineStr">
        <is>
          <t>2026-08-06</t>
        </is>
      </c>
      <c r="B29238" s="8" t="n">
        <v>11</v>
      </c>
      <c r="C29238" s="8" t="n">
        <v>1</v>
      </c>
      <c r="D29238" s="8" t="inlineStr">
        <is>
          <t>Disneyland Park</t>
        </is>
      </c>
      <c r="E29238" s="8" t="inlineStr">
        <is>
          <t>Disneyland Railroad Frontierland Depot</t>
        </is>
      </c>
      <c r="F29238" s="8" t="inlineStr">
        <is>
          <t>STANDBY</t>
        </is>
      </c>
      <c r="G29238" s="8" t="n">
        <v>0</v>
      </c>
      <c r="H29238" s="8" t="inlineStr">
        <is>
          <t>CLOSED</t>
        </is>
      </c>
    </row>
    <row r="29239">
      <c r="A29239" s="8" t="inlineStr">
        <is>
          <t>2026-08-06</t>
        </is>
      </c>
      <c r="B29239" s="8" t="n">
        <v>11</v>
      </c>
      <c r="C29239" s="8" t="n">
        <v>1</v>
      </c>
      <c r="D29239" s="8" t="inlineStr">
        <is>
          <t>Disneyland Park</t>
        </is>
      </c>
      <c r="E29239" s="8" t="inlineStr">
        <is>
          <t>Frontierland Playground</t>
        </is>
      </c>
      <c r="F29239" s="8" t="inlineStr">
        <is>
          <t>STANDBY</t>
        </is>
      </c>
      <c r="G29239" s="8" t="n">
        <v>0</v>
      </c>
      <c r="H29239" s="8" t="inlineStr">
        <is>
          <t>OPERATING</t>
        </is>
      </c>
    </row>
    <row r="29240">
      <c r="A29240" s="8" t="inlineStr">
        <is>
          <t>2026-08-06</t>
        </is>
      </c>
      <c r="B29240" s="8" t="n">
        <v>11</v>
      </c>
      <c r="C29240" s="8" t="n">
        <v>1</v>
      </c>
      <c r="D29240" s="8" t="inlineStr">
        <is>
          <t>Disneyland Park</t>
        </is>
      </c>
      <c r="E29240" s="8" t="inlineStr">
        <is>
          <t>Phantom Manor</t>
        </is>
      </c>
      <c r="F29240" s="8" t="inlineStr">
        <is>
          <t>STANDBY</t>
        </is>
      </c>
      <c r="G29240" s="8" t="n">
        <v>15</v>
      </c>
      <c r="H29240" s="8" t="inlineStr">
        <is>
          <t>OPERATING</t>
        </is>
      </c>
    </row>
    <row r="29241">
      <c r="A29241" s="8" t="inlineStr">
        <is>
          <t>2026-08-06</t>
        </is>
      </c>
      <c r="B29241" s="8" t="n">
        <v>11</v>
      </c>
      <c r="C29241" s="8" t="n">
        <v>1</v>
      </c>
      <c r="D29241" s="8" t="inlineStr">
        <is>
          <t>Disneyland Park</t>
        </is>
      </c>
      <c r="E29241" s="8" t="inlineStr">
        <is>
          <t>River Rogue Keelboats</t>
        </is>
      </c>
      <c r="F29241" s="8" t="inlineStr">
        <is>
          <t>STANDBY</t>
        </is>
      </c>
      <c r="G29241" s="8" t="n">
        <v>0</v>
      </c>
      <c r="H29241" s="8" t="inlineStr">
        <is>
          <t>CLOSED</t>
        </is>
      </c>
    </row>
    <row r="29242">
      <c r="A29242" s="8" t="inlineStr">
        <is>
          <t>2026-08-06</t>
        </is>
      </c>
      <c r="B29242" s="8" t="n">
        <v>11</v>
      </c>
      <c r="C29242" s="8" t="n">
        <v>1</v>
      </c>
      <c r="D29242" s="8" t="inlineStr">
        <is>
          <t>Disneyland Park</t>
        </is>
      </c>
      <c r="E29242" s="8" t="inlineStr">
        <is>
          <t>Rustler Roundup Shootin' Gallery</t>
        </is>
      </c>
      <c r="F29242" s="8" t="inlineStr">
        <is>
          <t>STANDBY</t>
        </is>
      </c>
      <c r="G29242" s="8" t="n">
        <v>0</v>
      </c>
      <c r="H29242" s="8" t="inlineStr">
        <is>
          <t>OPERATING</t>
        </is>
      </c>
    </row>
    <row r="29243">
      <c r="A29243" s="8" t="inlineStr">
        <is>
          <t>2026-08-06</t>
        </is>
      </c>
      <c r="B29243" s="8" t="n">
        <v>11</v>
      </c>
      <c r="C29243" s="8" t="n">
        <v>1</v>
      </c>
      <c r="D29243" s="8" t="inlineStr">
        <is>
          <t>Disneyland Park</t>
        </is>
      </c>
      <c r="E29243" s="8" t="inlineStr">
        <is>
          <t>Thunder Mesa Riverboat Landing</t>
        </is>
      </c>
      <c r="F29243" s="8" t="inlineStr">
        <is>
          <t>STANDBY</t>
        </is>
      </c>
      <c r="G29243" s="8" t="n">
        <v>0</v>
      </c>
      <c r="H29243" s="8" t="inlineStr">
        <is>
          <t>OPERATING</t>
        </is>
      </c>
    </row>
    <row r="29244">
      <c r="A29244" s="8" t="inlineStr">
        <is>
          <t>2026-08-06</t>
        </is>
      </c>
      <c r="B29244" s="8" t="n">
        <v>11</v>
      </c>
      <c r="C29244" s="8" t="n">
        <v>1</v>
      </c>
      <c r="D29244" s="8" t="inlineStr">
        <is>
          <t>Disneyland Park</t>
        </is>
      </c>
      <c r="E29244" s="8" t="inlineStr">
        <is>
          <t>Disneyland Railroad Main Street Station</t>
        </is>
      </c>
      <c r="F29244" s="8" t="inlineStr">
        <is>
          <t>STANDBY</t>
        </is>
      </c>
      <c r="G29244" s="8" t="n">
        <v>0</v>
      </c>
      <c r="H29244" s="8" t="inlineStr">
        <is>
          <t>CLOSED</t>
        </is>
      </c>
    </row>
    <row r="29245">
      <c r="A29245" s="8" t="inlineStr">
        <is>
          <t>2026-08-06</t>
        </is>
      </c>
      <c r="B29245" s="8" t="n">
        <v>11</v>
      </c>
      <c r="C29245" s="8" t="n">
        <v>1</v>
      </c>
      <c r="D29245" s="8" t="inlineStr">
        <is>
          <t>Disneyland Park</t>
        </is>
      </c>
      <c r="E29245" s="8" t="inlineStr">
        <is>
          <t>Main Street Vehicles</t>
        </is>
      </c>
      <c r="F29245" s="8" t="inlineStr">
        <is>
          <t>STANDBY</t>
        </is>
      </c>
      <c r="G29245" s="8" t="n">
        <v>0</v>
      </c>
      <c r="H29245" s="8" t="inlineStr">
        <is>
          <t>CLOSED</t>
        </is>
      </c>
    </row>
    <row r="29246">
      <c r="A29246" s="8" t="inlineStr">
        <is>
          <t>2026-08-06</t>
        </is>
      </c>
      <c r="B29246" s="8" t="n">
        <v>11</v>
      </c>
      <c r="C29246" s="8" t="n">
        <v>1</v>
      </c>
      <c r="D29246" s="8" t="inlineStr">
        <is>
          <t>Disney Adventure World</t>
        </is>
      </c>
      <c r="E29246" s="8" t="inlineStr">
        <is>
          <t>Avengers Assemble: Flight Force</t>
        </is>
      </c>
      <c r="F29246" s="8" t="inlineStr">
        <is>
          <t>STANDBY</t>
        </is>
      </c>
      <c r="G29246" s="8" t="n">
        <v>40</v>
      </c>
      <c r="H29246" s="8" t="inlineStr">
        <is>
          <t>OPERATING</t>
        </is>
      </c>
    </row>
    <row r="29247">
      <c r="A29247" s="8" t="inlineStr">
        <is>
          <t>2026-08-06</t>
        </is>
      </c>
      <c r="B29247" s="8" t="n">
        <v>11</v>
      </c>
      <c r="C29247" s="8" t="n">
        <v>1</v>
      </c>
      <c r="D29247" s="8" t="inlineStr">
        <is>
          <t>Disney Adventure World</t>
        </is>
      </c>
      <c r="E29247" s="8" t="inlineStr">
        <is>
          <t>Avengers Assemble: Flight Force Single Rider</t>
        </is>
      </c>
      <c r="F29247" s="8" t="inlineStr">
        <is>
          <t>STANDBY</t>
        </is>
      </c>
      <c r="G29247" s="8" t="n">
        <v>30</v>
      </c>
      <c r="H29247" s="8" t="inlineStr">
        <is>
          <t>OPERATING</t>
        </is>
      </c>
    </row>
    <row r="29248">
      <c r="A29248" s="8" t="inlineStr">
        <is>
          <t>2026-08-06</t>
        </is>
      </c>
      <c r="B29248" s="8" t="n">
        <v>11</v>
      </c>
      <c r="C29248" s="8" t="n">
        <v>1</v>
      </c>
      <c r="D29248" s="8" t="inlineStr">
        <is>
          <t>Disney Adventure World</t>
        </is>
      </c>
      <c r="E29248" s="8" t="inlineStr">
        <is>
          <t>Spider-Man W.E.B. Adventure</t>
        </is>
      </c>
      <c r="F29248" s="8" t="inlineStr">
        <is>
          <t>STANDBY</t>
        </is>
      </c>
      <c r="G29248" s="8" t="n">
        <v>60</v>
      </c>
      <c r="H29248" s="8" t="inlineStr">
        <is>
          <t>OPERATING</t>
        </is>
      </c>
    </row>
    <row r="29249">
      <c r="A29249" s="8" t="inlineStr">
        <is>
          <t>2026-08-06</t>
        </is>
      </c>
      <c r="B29249" s="8" t="n">
        <v>11</v>
      </c>
      <c r="C29249" s="8" t="n">
        <v>1</v>
      </c>
      <c r="D29249" s="8" t="inlineStr">
        <is>
          <t>Disney Adventure World</t>
        </is>
      </c>
      <c r="E29249" s="8" t="inlineStr">
        <is>
          <t>Spider-Man W.E.B. Adventure Single Rider</t>
        </is>
      </c>
      <c r="F29249" s="8" t="inlineStr">
        <is>
          <t>STANDBY</t>
        </is>
      </c>
      <c r="G29249" s="8" t="n">
        <v>20</v>
      </c>
      <c r="H29249" s="8" t="inlineStr">
        <is>
          <t>OPERATING</t>
        </is>
      </c>
    </row>
    <row r="29250">
      <c r="A29250" s="8" t="inlineStr">
        <is>
          <t>2026-08-06</t>
        </is>
      </c>
      <c r="B29250" s="8" t="n">
        <v>11</v>
      </c>
      <c r="C29250" s="8" t="n">
        <v>1</v>
      </c>
      <c r="D29250" s="8" t="inlineStr">
        <is>
          <t>Disney Adventure World</t>
        </is>
      </c>
      <c r="E29250" s="8" t="inlineStr">
        <is>
          <t>The Twilight Zone Tower of Terror</t>
        </is>
      </c>
      <c r="F29250" s="8" t="inlineStr">
        <is>
          <t>STANDBY</t>
        </is>
      </c>
      <c r="G29250" s="8" t="n">
        <v>40</v>
      </c>
      <c r="H29250" s="8" t="inlineStr">
        <is>
          <t>OPERATING</t>
        </is>
      </c>
    </row>
    <row r="29251">
      <c r="A29251" s="8" t="inlineStr">
        <is>
          <t>2026-08-06</t>
        </is>
      </c>
      <c r="B29251" s="8" t="n">
        <v>11</v>
      </c>
      <c r="C29251" s="8" t="n">
        <v>1</v>
      </c>
      <c r="D29251" s="8" t="inlineStr">
        <is>
          <t>Disney Adventure World</t>
        </is>
      </c>
      <c r="E29251" s="8" t="inlineStr">
        <is>
          <t>Cars Quatre Roues Rallye</t>
        </is>
      </c>
      <c r="F29251" s="8" t="inlineStr">
        <is>
          <t>STANDBY</t>
        </is>
      </c>
      <c r="G29251" s="8" t="n">
        <v>30</v>
      </c>
      <c r="H29251" s="8" t="inlineStr">
        <is>
          <t>OPERATING</t>
        </is>
      </c>
    </row>
    <row r="29252">
      <c r="A29252" s="8" t="inlineStr">
        <is>
          <t>2026-08-06</t>
        </is>
      </c>
      <c r="B29252" s="8" t="n">
        <v>11</v>
      </c>
      <c r="C29252" s="8" t="n">
        <v>1</v>
      </c>
      <c r="D29252" s="8" t="inlineStr">
        <is>
          <t>Disney Adventure World</t>
        </is>
      </c>
      <c r="E29252" s="8" t="inlineStr">
        <is>
          <t>Cars ROAD TRIP</t>
        </is>
      </c>
      <c r="F29252" s="8" t="inlineStr">
        <is>
          <t>STANDBY</t>
        </is>
      </c>
      <c r="G29252" s="8" t="n">
        <v>5</v>
      </c>
      <c r="H29252" s="8" t="inlineStr">
        <is>
          <t>OPERATING</t>
        </is>
      </c>
    </row>
    <row r="29253">
      <c r="A29253" s="8" t="inlineStr">
        <is>
          <t>2026-08-06</t>
        </is>
      </c>
      <c r="B29253" s="8" t="n">
        <v>11</v>
      </c>
      <c r="C29253" s="8" t="n">
        <v>1</v>
      </c>
      <c r="D29253" s="8" t="inlineStr">
        <is>
          <t>Disney Adventure World</t>
        </is>
      </c>
      <c r="E29253" s="8" t="inlineStr">
        <is>
          <t>Crush's Coaster</t>
        </is>
      </c>
      <c r="F29253" s="8" t="inlineStr">
        <is>
          <t>STANDBY</t>
        </is>
      </c>
      <c r="G29253" s="8" t="n">
        <v>90</v>
      </c>
      <c r="H29253" s="8" t="inlineStr">
        <is>
          <t>OPERATING</t>
        </is>
      </c>
    </row>
    <row r="29254">
      <c r="A29254" s="8" t="inlineStr">
        <is>
          <t>2026-08-06</t>
        </is>
      </c>
      <c r="B29254" s="8" t="n">
        <v>11</v>
      </c>
      <c r="C29254" s="8" t="n">
        <v>1</v>
      </c>
      <c r="D29254" s="8" t="inlineStr">
        <is>
          <t>Disney Adventure World</t>
        </is>
      </c>
      <c r="E29254" s="8" t="inlineStr">
        <is>
          <t>Crush's Coaster Single Rider</t>
        </is>
      </c>
      <c r="F29254" s="8" t="inlineStr">
        <is>
          <t>STANDBY</t>
        </is>
      </c>
      <c r="G29254" s="8" t="n">
        <v>75</v>
      </c>
      <c r="H29254" s="8" t="inlineStr">
        <is>
          <t>OPERATING</t>
        </is>
      </c>
    </row>
    <row r="29255">
      <c r="A29255" s="8" t="inlineStr">
        <is>
          <t>2026-08-06</t>
        </is>
      </c>
      <c r="B29255" s="8" t="n">
        <v>11</v>
      </c>
      <c r="C29255" s="8" t="n">
        <v>1</v>
      </c>
      <c r="D29255" s="8" t="inlineStr">
        <is>
          <t>Disney Adventure World</t>
        </is>
      </c>
      <c r="E29255" s="8" t="inlineStr">
        <is>
          <t>Les Tapis Volants - Flying Carpets Over Agrabah®</t>
        </is>
      </c>
      <c r="F29255" s="8" t="inlineStr">
        <is>
          <t>STANDBY</t>
        </is>
      </c>
      <c r="G29255" s="8" t="n">
        <v>45</v>
      </c>
      <c r="H29255" s="8" t="inlineStr">
        <is>
          <t>OPERATING</t>
        </is>
      </c>
    </row>
    <row r="29256">
      <c r="A29256" s="8" t="inlineStr">
        <is>
          <t>2026-08-06</t>
        </is>
      </c>
      <c r="B29256" s="8" t="n">
        <v>11</v>
      </c>
      <c r="C29256" s="8" t="n">
        <v>1</v>
      </c>
      <c r="D29256" s="8" t="inlineStr">
        <is>
          <t>Disney Adventure World</t>
        </is>
      </c>
      <c r="E29256" s="8" t="inlineStr">
        <is>
          <t>Ratatouille : L’Aventure Totalement Toquée de Rémy​</t>
        </is>
      </c>
      <c r="F29256" s="8" t="inlineStr">
        <is>
          <t>STANDBY</t>
        </is>
      </c>
      <c r="G29256" s="8" t="n">
        <v>0</v>
      </c>
      <c r="H29256" s="8" t="inlineStr">
        <is>
          <t>CLOSED</t>
        </is>
      </c>
    </row>
    <row r="29257">
      <c r="A29257" s="8" t="inlineStr">
        <is>
          <t>2026-08-06</t>
        </is>
      </c>
      <c r="B29257" s="8" t="n">
        <v>11</v>
      </c>
      <c r="C29257" s="8" t="n">
        <v>1</v>
      </c>
      <c r="D29257" s="8" t="inlineStr">
        <is>
          <t>Disney Adventure World</t>
        </is>
      </c>
      <c r="E29257" s="8" t="inlineStr">
        <is>
          <t>Ratatouille: The Adventure Single Rider</t>
        </is>
      </c>
      <c r="F29257" s="8" t="inlineStr">
        <is>
          <t>STANDBY</t>
        </is>
      </c>
      <c r="G29257" s="8" t="n">
        <v>0</v>
      </c>
      <c r="H29257" s="8" t="inlineStr">
        <is>
          <t>CLOSED</t>
        </is>
      </c>
    </row>
    <row r="29258">
      <c r="A29258" s="8" t="inlineStr">
        <is>
          <t>2026-08-06</t>
        </is>
      </c>
      <c r="B29258" s="8" t="n">
        <v>11</v>
      </c>
      <c r="C29258" s="8" t="n">
        <v>1</v>
      </c>
      <c r="D29258" s="8" t="inlineStr">
        <is>
          <t>Disney Adventure World</t>
        </is>
      </c>
      <c r="E29258" s="8" t="inlineStr">
        <is>
          <t>RC Racer</t>
        </is>
      </c>
      <c r="F29258" s="8" t="inlineStr">
        <is>
          <t>STANDBY</t>
        </is>
      </c>
      <c r="G29258" s="8" t="n">
        <v>55</v>
      </c>
      <c r="H29258" s="8" t="inlineStr">
        <is>
          <t>OPERATING</t>
        </is>
      </c>
    </row>
    <row r="29259">
      <c r="A29259" s="8" t="inlineStr">
        <is>
          <t>2026-08-06</t>
        </is>
      </c>
      <c r="B29259" s="8" t="n">
        <v>11</v>
      </c>
      <c r="C29259" s="8" t="n">
        <v>1</v>
      </c>
      <c r="D29259" s="8" t="inlineStr">
        <is>
          <t>Disney Adventure World</t>
        </is>
      </c>
      <c r="E29259" s="8" t="inlineStr">
        <is>
          <t>RC Racer Single Rider</t>
        </is>
      </c>
      <c r="F29259" s="8" t="inlineStr">
        <is>
          <t>STANDBY</t>
        </is>
      </c>
      <c r="G29259" s="8" t="n">
        <v>35</v>
      </c>
      <c r="H29259" s="8" t="inlineStr">
        <is>
          <t>OPERATING</t>
        </is>
      </c>
    </row>
    <row r="29260">
      <c r="A29260" s="8" t="inlineStr">
        <is>
          <t>2026-08-06</t>
        </is>
      </c>
      <c r="B29260" s="8" t="n">
        <v>11</v>
      </c>
      <c r="C29260" s="8" t="n">
        <v>1</v>
      </c>
      <c r="D29260" s="8" t="inlineStr">
        <is>
          <t>Disney Adventure World</t>
        </is>
      </c>
      <c r="E29260" s="8" t="inlineStr">
        <is>
          <t>Slinky® Dog Zigzag Spin</t>
        </is>
      </c>
      <c r="F29260" s="8" t="inlineStr">
        <is>
          <t>STANDBY</t>
        </is>
      </c>
      <c r="G29260" s="8" t="n">
        <v>30</v>
      </c>
      <c r="H29260" s="8" t="inlineStr">
        <is>
          <t>OPERATING</t>
        </is>
      </c>
    </row>
    <row r="29261">
      <c r="A29261" s="8" t="inlineStr">
        <is>
          <t>2026-08-06</t>
        </is>
      </c>
      <c r="B29261" s="8" t="n">
        <v>11</v>
      </c>
      <c r="C29261" s="8" t="n">
        <v>1</v>
      </c>
      <c r="D29261" s="8" t="inlineStr">
        <is>
          <t>Disney Adventure World</t>
        </is>
      </c>
      <c r="E29261" s="8" t="inlineStr">
        <is>
          <t>Toy Soldiers Parachute Drop</t>
        </is>
      </c>
      <c r="F29261" s="8" t="inlineStr">
        <is>
          <t>STANDBY</t>
        </is>
      </c>
      <c r="G29261" s="8" t="n">
        <v>55</v>
      </c>
      <c r="H29261" s="8" t="inlineStr">
        <is>
          <t>OPERATING</t>
        </is>
      </c>
    </row>
    <row r="29262">
      <c r="A29262" s="8" t="inlineStr">
        <is>
          <t>2026-08-06</t>
        </is>
      </c>
      <c r="B29262" s="8" t="n">
        <v>11</v>
      </c>
      <c r="C29262" s="8" t="n">
        <v>1</v>
      </c>
      <c r="D29262" s="8" t="inlineStr">
        <is>
          <t>Disney Adventure World</t>
        </is>
      </c>
      <c r="E29262" s="8" t="inlineStr">
        <is>
          <t>Toy Soldiers Parachute Drop Single Rider</t>
        </is>
      </c>
      <c r="F29262" s="8" t="inlineStr">
        <is>
          <t>STANDBY</t>
        </is>
      </c>
      <c r="G29262" s="8" t="n">
        <v>25</v>
      </c>
      <c r="H29262" s="8" t="inlineStr">
        <is>
          <t>OPERATING</t>
        </is>
      </c>
    </row>
    <row r="29263">
      <c r="A29263" s="8" t="inlineStr">
        <is>
          <t>2026-08-06</t>
        </is>
      </c>
      <c r="B29263" s="8" t="n">
        <v>11</v>
      </c>
      <c r="C29263" s="8" t="n">
        <v>1</v>
      </c>
      <c r="D29263" s="8" t="inlineStr">
        <is>
          <t>Disney Adventure World</t>
        </is>
      </c>
      <c r="E29263" s="8" t="inlineStr">
        <is>
          <t>Entry to World of Frozen</t>
        </is>
      </c>
      <c r="F29263" s="8" t="inlineStr">
        <is>
          <t>STANDBY</t>
        </is>
      </c>
      <c r="G29263" s="8" t="n">
        <v>0</v>
      </c>
      <c r="H29263" s="8" t="inlineStr">
        <is>
          <t>OPERATING</t>
        </is>
      </c>
    </row>
    <row r="29264">
      <c r="A29264" s="8" t="inlineStr">
        <is>
          <t>2026-08-06</t>
        </is>
      </c>
      <c r="B29264" s="8" t="n">
        <v>11</v>
      </c>
      <c r="C29264" s="8" t="n">
        <v>1</v>
      </c>
      <c r="D29264" s="8" t="inlineStr">
        <is>
          <t>Disney Adventure World</t>
        </is>
      </c>
      <c r="E29264" s="8" t="inlineStr">
        <is>
          <t>Frozen Ever After</t>
        </is>
      </c>
      <c r="F29264" s="8" t="inlineStr">
        <is>
          <t>STANDBY</t>
        </is>
      </c>
      <c r="G29264" s="8" t="n">
        <v>115</v>
      </c>
      <c r="H29264" s="8" t="inlineStr">
        <is>
          <t>OPERATING</t>
        </is>
      </c>
    </row>
    <row r="29265">
      <c r="A29265" s="8" t="inlineStr">
        <is>
          <t>2026-08-06</t>
        </is>
      </c>
      <c r="B29265" s="8" t="n">
        <v>11</v>
      </c>
      <c r="C29265" s="8" t="n">
        <v>1</v>
      </c>
      <c r="D29265" s="8" t="inlineStr">
        <is>
          <t>Disney Adventure World</t>
        </is>
      </c>
      <c r="E29265" s="8" t="inlineStr">
        <is>
          <t>Raiponce Tangled Spin</t>
        </is>
      </c>
      <c r="F29265" s="8" t="inlineStr">
        <is>
          <t>STANDBY</t>
        </is>
      </c>
      <c r="G29265" s="8" t="n">
        <v>40</v>
      </c>
      <c r="H29265" s="8" t="inlineStr">
        <is>
          <t>OPERATING</t>
        </is>
      </c>
    </row>
    <row r="29266">
      <c r="A29266" s="8" t="inlineStr">
        <is>
          <t>2026-08-06</t>
        </is>
      </c>
      <c r="B29266" s="8" t="n">
        <v>11</v>
      </c>
      <c r="C29266" s="8" t="n">
        <v>15</v>
      </c>
      <c r="D29266" s="8" t="inlineStr">
        <is>
          <t>Disneyland Park</t>
        </is>
      </c>
      <c r="E29266" s="8" t="inlineStr">
        <is>
          <t>Adventure Isle</t>
        </is>
      </c>
      <c r="F29266" s="8" t="inlineStr">
        <is>
          <t>STANDBY</t>
        </is>
      </c>
      <c r="G29266" s="8" t="n">
        <v>0</v>
      </c>
      <c r="H29266" s="8" t="inlineStr">
        <is>
          <t>OPERATING</t>
        </is>
      </c>
    </row>
    <row r="29267">
      <c r="A29267" s="8" t="inlineStr">
        <is>
          <t>2026-08-06</t>
        </is>
      </c>
      <c r="B29267" s="8" t="n">
        <v>11</v>
      </c>
      <c r="C29267" s="8" t="n">
        <v>15</v>
      </c>
      <c r="D29267" s="8" t="inlineStr">
        <is>
          <t>Disneyland Park</t>
        </is>
      </c>
      <c r="E29267" s="8" t="inlineStr">
        <is>
          <t>Indiana Jones and the Temple of Peril Single Rider</t>
        </is>
      </c>
      <c r="F29267" s="8" t="inlineStr">
        <is>
          <t>STANDBY</t>
        </is>
      </c>
      <c r="G29267" s="8" t="n">
        <v>20</v>
      </c>
      <c r="H29267" s="8" t="inlineStr">
        <is>
          <t>OPERATING</t>
        </is>
      </c>
    </row>
    <row r="29268">
      <c r="A29268" s="8" t="inlineStr">
        <is>
          <t>2026-08-06</t>
        </is>
      </c>
      <c r="B29268" s="8" t="n">
        <v>11</v>
      </c>
      <c r="C29268" s="8" t="n">
        <v>15</v>
      </c>
      <c r="D29268" s="8" t="inlineStr">
        <is>
          <t>Disneyland Park</t>
        </is>
      </c>
      <c r="E29268" s="8" t="inlineStr">
        <is>
          <t>Indiana Jones™ and the Temple of Peril</t>
        </is>
      </c>
      <c r="F29268" s="8" t="inlineStr">
        <is>
          <t>STANDBY</t>
        </is>
      </c>
      <c r="G29268" s="8" t="n">
        <v>25</v>
      </c>
      <c r="H29268" s="8" t="inlineStr">
        <is>
          <t>OPERATING</t>
        </is>
      </c>
    </row>
    <row r="29269">
      <c r="A29269" s="8" t="inlineStr">
        <is>
          <t>2026-08-06</t>
        </is>
      </c>
      <c r="B29269" s="8" t="n">
        <v>11</v>
      </c>
      <c r="C29269" s="8" t="n">
        <v>15</v>
      </c>
      <c r="D29269" s="8" t="inlineStr">
        <is>
          <t>Disneyland Park</t>
        </is>
      </c>
      <c r="E29269" s="8" t="inlineStr">
        <is>
          <t>La Cabane des Robinson</t>
        </is>
      </c>
      <c r="F29269" s="8" t="inlineStr">
        <is>
          <t>STANDBY</t>
        </is>
      </c>
      <c r="G29269" s="8" t="n">
        <v>5</v>
      </c>
      <c r="H29269" s="8" t="inlineStr">
        <is>
          <t>OPERATING</t>
        </is>
      </c>
    </row>
    <row r="29270">
      <c r="A29270" s="8" t="inlineStr">
        <is>
          <t>2026-08-06</t>
        </is>
      </c>
      <c r="B29270" s="8" t="n">
        <v>11</v>
      </c>
      <c r="C29270" s="8" t="n">
        <v>15</v>
      </c>
      <c r="D29270" s="8" t="inlineStr">
        <is>
          <t>Disneyland Park</t>
        </is>
      </c>
      <c r="E29270" s="8" t="inlineStr">
        <is>
          <t>Le Passage Enchanté d'Aladdin</t>
        </is>
      </c>
      <c r="F29270" s="8" t="inlineStr">
        <is>
          <t>STANDBY</t>
        </is>
      </c>
      <c r="G29270" s="8" t="n">
        <v>0</v>
      </c>
      <c r="H29270" s="8" t="inlineStr">
        <is>
          <t>OPERATING</t>
        </is>
      </c>
    </row>
    <row r="29271">
      <c r="A29271" s="8" t="inlineStr">
        <is>
          <t>2026-08-06</t>
        </is>
      </c>
      <c r="B29271" s="8" t="n">
        <v>11</v>
      </c>
      <c r="C29271" s="8" t="n">
        <v>15</v>
      </c>
      <c r="D29271" s="8" t="inlineStr">
        <is>
          <t>Disneyland Park</t>
        </is>
      </c>
      <c r="E29271" s="8" t="inlineStr">
        <is>
          <t>Pirate Galleon</t>
        </is>
      </c>
      <c r="F29271" s="8" t="inlineStr">
        <is>
          <t>STANDBY</t>
        </is>
      </c>
      <c r="G29271" s="8" t="n">
        <v>0</v>
      </c>
      <c r="H29271" s="8" t="inlineStr">
        <is>
          <t>CLOSED</t>
        </is>
      </c>
    </row>
    <row r="29272">
      <c r="A29272" s="8" t="inlineStr">
        <is>
          <t>2026-08-06</t>
        </is>
      </c>
      <c r="B29272" s="8" t="n">
        <v>11</v>
      </c>
      <c r="C29272" s="8" t="n">
        <v>15</v>
      </c>
      <c r="D29272" s="8" t="inlineStr">
        <is>
          <t>Disneyland Park</t>
        </is>
      </c>
      <c r="E29272" s="8" t="inlineStr">
        <is>
          <t>Pirates of the Caribbean</t>
        </is>
      </c>
      <c r="F29272" s="8" t="inlineStr">
        <is>
          <t>STANDBY</t>
        </is>
      </c>
      <c r="G29272" s="8" t="n">
        <v>25</v>
      </c>
      <c r="H29272" s="8" t="inlineStr">
        <is>
          <t>OPERATING</t>
        </is>
      </c>
    </row>
    <row r="29273">
      <c r="A29273" s="8" t="inlineStr">
        <is>
          <t>2026-08-06</t>
        </is>
      </c>
      <c r="B29273" s="8" t="n">
        <v>11</v>
      </c>
      <c r="C29273" s="8" t="n">
        <v>15</v>
      </c>
      <c r="D29273" s="8" t="inlineStr">
        <is>
          <t>Disneyland Park</t>
        </is>
      </c>
      <c r="E29273" s="8" t="inlineStr">
        <is>
          <t>Pirates' Beach</t>
        </is>
      </c>
      <c r="F29273" s="8" t="inlineStr">
        <is>
          <t>STANDBY</t>
        </is>
      </c>
      <c r="G29273" s="8" t="n">
        <v>0</v>
      </c>
      <c r="H29273" s="8" t="inlineStr">
        <is>
          <t>OPERATING</t>
        </is>
      </c>
    </row>
    <row r="29274">
      <c r="A29274" s="8" t="inlineStr">
        <is>
          <t>2026-08-06</t>
        </is>
      </c>
      <c r="B29274" s="8" t="n">
        <v>11</v>
      </c>
      <c r="C29274" s="8" t="n">
        <v>15</v>
      </c>
      <c r="D29274" s="8" t="inlineStr">
        <is>
          <t>Disneyland Park</t>
        </is>
      </c>
      <c r="E29274" s="8" t="inlineStr">
        <is>
          <t>Autopia, presented by Avis</t>
        </is>
      </c>
      <c r="F29274" s="8" t="inlineStr">
        <is>
          <t>STANDBY</t>
        </is>
      </c>
      <c r="G29274" s="8" t="n">
        <v>40</v>
      </c>
      <c r="H29274" s="8" t="inlineStr">
        <is>
          <t>OPERATING</t>
        </is>
      </c>
    </row>
    <row r="29275">
      <c r="A29275" s="8" t="inlineStr">
        <is>
          <t>2026-08-06</t>
        </is>
      </c>
      <c r="B29275" s="8" t="n">
        <v>11</v>
      </c>
      <c r="C29275" s="8" t="n">
        <v>15</v>
      </c>
      <c r="D29275" s="8" t="inlineStr">
        <is>
          <t>Disneyland Park</t>
        </is>
      </c>
      <c r="E29275" s="8" t="inlineStr">
        <is>
          <t>Buzz Lightyear Laser Blast</t>
        </is>
      </c>
      <c r="F29275" s="8" t="inlineStr">
        <is>
          <t>STANDBY</t>
        </is>
      </c>
      <c r="G29275" s="8" t="n">
        <v>45</v>
      </c>
      <c r="H29275" s="8" t="inlineStr">
        <is>
          <t>OPERATING</t>
        </is>
      </c>
    </row>
    <row r="29276">
      <c r="A29276" s="8" t="inlineStr">
        <is>
          <t>2026-08-06</t>
        </is>
      </c>
      <c r="B29276" s="8" t="n">
        <v>11</v>
      </c>
      <c r="C29276" s="8" t="n">
        <v>15</v>
      </c>
      <c r="D29276" s="8" t="inlineStr">
        <is>
          <t>Disneyland Park</t>
        </is>
      </c>
      <c r="E29276" s="8" t="inlineStr">
        <is>
          <t>Disneyland Railroad Discoveryland Station</t>
        </is>
      </c>
      <c r="F29276" s="8" t="inlineStr">
        <is>
          <t>STANDBY</t>
        </is>
      </c>
      <c r="G29276" s="8" t="n">
        <v>0</v>
      </c>
      <c r="H29276" s="8" t="inlineStr">
        <is>
          <t>CLOSED</t>
        </is>
      </c>
    </row>
    <row r="29277">
      <c r="A29277" s="8" t="inlineStr">
        <is>
          <t>2026-08-06</t>
        </is>
      </c>
      <c r="B29277" s="8" t="n">
        <v>11</v>
      </c>
      <c r="C29277" s="8" t="n">
        <v>15</v>
      </c>
      <c r="D29277" s="8" t="inlineStr">
        <is>
          <t>Disneyland Park</t>
        </is>
      </c>
      <c r="E29277" s="8" t="inlineStr">
        <is>
          <t>Les Mystères du Nautilus</t>
        </is>
      </c>
      <c r="F29277" s="8" t="inlineStr">
        <is>
          <t>STANDBY</t>
        </is>
      </c>
      <c r="G29277" s="8" t="n">
        <v>5</v>
      </c>
      <c r="H29277" s="8" t="inlineStr">
        <is>
          <t>OPERATING</t>
        </is>
      </c>
    </row>
    <row r="29278">
      <c r="A29278" s="8" t="inlineStr">
        <is>
          <t>2026-08-06</t>
        </is>
      </c>
      <c r="B29278" s="8" t="n">
        <v>11</v>
      </c>
      <c r="C29278" s="8" t="n">
        <v>15</v>
      </c>
      <c r="D29278" s="8" t="inlineStr">
        <is>
          <t>Disneyland Park</t>
        </is>
      </c>
      <c r="E29278" s="8" t="inlineStr">
        <is>
          <t>Mickey’s PhilharMagic</t>
        </is>
      </c>
      <c r="F29278" s="8" t="inlineStr">
        <is>
          <t>STANDBY</t>
        </is>
      </c>
      <c r="G29278" s="8" t="n">
        <v>0</v>
      </c>
      <c r="H29278" s="8" t="inlineStr">
        <is>
          <t>CLOSED</t>
        </is>
      </c>
    </row>
    <row r="29279">
      <c r="A29279" s="8" t="inlineStr">
        <is>
          <t>2026-08-06</t>
        </is>
      </c>
      <c r="B29279" s="8" t="n">
        <v>11</v>
      </c>
      <c r="C29279" s="8" t="n">
        <v>15</v>
      </c>
      <c r="D29279" s="8" t="inlineStr">
        <is>
          <t>Disneyland Park</t>
        </is>
      </c>
      <c r="E29279" s="8" t="inlineStr">
        <is>
          <t>Orbitron®</t>
        </is>
      </c>
      <c r="F29279" s="8" t="inlineStr">
        <is>
          <t>STANDBY</t>
        </is>
      </c>
      <c r="G29279" s="8" t="n">
        <v>50</v>
      </c>
      <c r="H29279" s="8" t="inlineStr">
        <is>
          <t>OPERATING</t>
        </is>
      </c>
    </row>
    <row r="29280">
      <c r="A29280" s="8" t="inlineStr">
        <is>
          <t>2026-08-06</t>
        </is>
      </c>
      <c r="B29280" s="8" t="n">
        <v>11</v>
      </c>
      <c r="C29280" s="8" t="n">
        <v>15</v>
      </c>
      <c r="D29280" s="8" t="inlineStr">
        <is>
          <t>Disneyland Park</t>
        </is>
      </c>
      <c r="E29280" s="8" t="inlineStr">
        <is>
          <t>Star Tours: The Adventures Continue*</t>
        </is>
      </c>
      <c r="F29280" s="8" t="inlineStr">
        <is>
          <t>STANDBY</t>
        </is>
      </c>
      <c r="G29280" s="8" t="n">
        <v>40</v>
      </c>
      <c r="H29280" s="8" t="inlineStr">
        <is>
          <t>OPERATING</t>
        </is>
      </c>
    </row>
    <row r="29281">
      <c r="A29281" s="8" t="inlineStr">
        <is>
          <t>2026-08-06</t>
        </is>
      </c>
      <c r="B29281" s="8" t="n">
        <v>11</v>
      </c>
      <c r="C29281" s="8" t="n">
        <v>15</v>
      </c>
      <c r="D29281" s="8" t="inlineStr">
        <is>
          <t>Disneyland Park</t>
        </is>
      </c>
      <c r="E29281" s="8" t="inlineStr">
        <is>
          <t>Star Wars Hyperspace Mountain</t>
        </is>
      </c>
      <c r="F29281" s="8" t="inlineStr">
        <is>
          <t>STANDBY</t>
        </is>
      </c>
      <c r="G29281" s="8" t="n">
        <v>40</v>
      </c>
      <c r="H29281" s="8" t="inlineStr">
        <is>
          <t>OPERATING</t>
        </is>
      </c>
    </row>
    <row r="29282">
      <c r="A29282" s="8" t="inlineStr">
        <is>
          <t>2026-08-06</t>
        </is>
      </c>
      <c r="B29282" s="8" t="n">
        <v>11</v>
      </c>
      <c r="C29282" s="8" t="n">
        <v>15</v>
      </c>
      <c r="D29282" s="8" t="inlineStr">
        <is>
          <t>Disneyland Park</t>
        </is>
      </c>
      <c r="E29282" s="8" t="inlineStr">
        <is>
          <t>Star Wars Hyperspace Mountain Single Rider</t>
        </is>
      </c>
      <c r="F29282" s="8" t="inlineStr">
        <is>
          <t>STANDBY</t>
        </is>
      </c>
      <c r="G29282" s="8" t="n">
        <v>35</v>
      </c>
      <c r="H29282" s="8" t="inlineStr">
        <is>
          <t>OPERATING</t>
        </is>
      </c>
    </row>
    <row r="29283">
      <c r="A29283" s="8" t="inlineStr">
        <is>
          <t>2026-08-06</t>
        </is>
      </c>
      <c r="B29283" s="8" t="n">
        <v>11</v>
      </c>
      <c r="C29283" s="8" t="n">
        <v>15</v>
      </c>
      <c r="D29283" s="8" t="inlineStr">
        <is>
          <t>Disneyland Park</t>
        </is>
      </c>
      <c r="E29283" s="8" t="inlineStr">
        <is>
          <t>Welcome to Starport: A Star Wars Encounter</t>
        </is>
      </c>
      <c r="F29283" s="8" t="inlineStr">
        <is>
          <t>STANDBY</t>
        </is>
      </c>
      <c r="G29283" s="8" t="n">
        <v>10</v>
      </c>
      <c r="H29283" s="8" t="inlineStr">
        <is>
          <t>OPERATING</t>
        </is>
      </c>
    </row>
    <row r="29284">
      <c r="A29284" s="8" t="inlineStr">
        <is>
          <t>2026-08-06</t>
        </is>
      </c>
      <c r="B29284" s="8" t="n">
        <v>11</v>
      </c>
      <c r="C29284" s="8" t="n">
        <v>15</v>
      </c>
      <c r="D29284" s="8" t="inlineStr">
        <is>
          <t>Disneyland Park</t>
        </is>
      </c>
      <c r="E29284" s="8" t="inlineStr">
        <is>
          <t>"it's a small world"</t>
        </is>
      </c>
      <c r="F29284" s="8" t="inlineStr">
        <is>
          <t>STANDBY</t>
        </is>
      </c>
      <c r="G29284" s="8" t="n">
        <v>15</v>
      </c>
      <c r="H29284" s="8" t="inlineStr">
        <is>
          <t>OPERATING</t>
        </is>
      </c>
    </row>
    <row r="29285">
      <c r="A29285" s="8" t="inlineStr">
        <is>
          <t>2026-08-06</t>
        </is>
      </c>
      <c r="B29285" s="8" t="n">
        <v>11</v>
      </c>
      <c r="C29285" s="8" t="n">
        <v>15</v>
      </c>
      <c r="D29285" s="8" t="inlineStr">
        <is>
          <t>Disneyland Park</t>
        </is>
      </c>
      <c r="E29285" s="8" t="inlineStr">
        <is>
          <t>Alice's Curious Labyrinth</t>
        </is>
      </c>
      <c r="F29285" s="8" t="inlineStr">
        <is>
          <t>STANDBY</t>
        </is>
      </c>
      <c r="G29285" s="8" t="n">
        <v>5</v>
      </c>
      <c r="H29285" s="8" t="inlineStr">
        <is>
          <t>OPERATING</t>
        </is>
      </c>
    </row>
    <row r="29286">
      <c r="A29286" s="8" t="inlineStr">
        <is>
          <t>2026-08-06</t>
        </is>
      </c>
      <c r="B29286" s="8" t="n">
        <v>11</v>
      </c>
      <c r="C29286" s="8" t="n">
        <v>15</v>
      </c>
      <c r="D29286" s="8" t="inlineStr">
        <is>
          <t>Disneyland Park</t>
        </is>
      </c>
      <c r="E29286" s="8" t="inlineStr">
        <is>
          <t>Blanche-Neige et les Sept Nains®</t>
        </is>
      </c>
      <c r="F29286" s="8" t="inlineStr">
        <is>
          <t>STANDBY</t>
        </is>
      </c>
      <c r="G29286" s="8" t="n">
        <v>35</v>
      </c>
      <c r="H29286" s="8" t="inlineStr">
        <is>
          <t>OPERATING</t>
        </is>
      </c>
    </row>
    <row r="29287">
      <c r="A29287" s="8" t="inlineStr">
        <is>
          <t>2026-08-06</t>
        </is>
      </c>
      <c r="B29287" s="8" t="n">
        <v>11</v>
      </c>
      <c r="C29287" s="8" t="n">
        <v>15</v>
      </c>
      <c r="D29287" s="8" t="inlineStr">
        <is>
          <t>Disneyland Park</t>
        </is>
      </c>
      <c r="E29287" s="8" t="inlineStr">
        <is>
          <t>Casey Jr. – le Petit Train du Cirque</t>
        </is>
      </c>
      <c r="F29287" s="8" t="inlineStr">
        <is>
          <t>STANDBY</t>
        </is>
      </c>
      <c r="G29287" s="8" t="n">
        <v>5</v>
      </c>
      <c r="H29287" s="8" t="inlineStr">
        <is>
          <t>OPERATING</t>
        </is>
      </c>
    </row>
    <row r="29288">
      <c r="A29288" s="8" t="inlineStr">
        <is>
          <t>2026-08-06</t>
        </is>
      </c>
      <c r="B29288" s="8" t="n">
        <v>11</v>
      </c>
      <c r="C29288" s="8" t="n">
        <v>15</v>
      </c>
      <c r="D29288" s="8" t="inlineStr">
        <is>
          <t>Disneyland Park</t>
        </is>
      </c>
      <c r="E29288" s="8" t="inlineStr">
        <is>
          <t>Disneyland Railroad Fantasyland Station</t>
        </is>
      </c>
      <c r="F29288" s="8" t="inlineStr">
        <is>
          <t>STANDBY</t>
        </is>
      </c>
      <c r="G29288" s="8" t="n">
        <v>0</v>
      </c>
      <c r="H29288" s="8" t="inlineStr">
        <is>
          <t>CLOSED</t>
        </is>
      </c>
    </row>
    <row r="29289">
      <c r="A29289" s="8" t="inlineStr">
        <is>
          <t>2026-08-06</t>
        </is>
      </c>
      <c r="B29289" s="8" t="n">
        <v>11</v>
      </c>
      <c r="C29289" s="8" t="n">
        <v>15</v>
      </c>
      <c r="D29289" s="8" t="inlineStr">
        <is>
          <t>Disneyland Park</t>
        </is>
      </c>
      <c r="E29289" s="8" t="inlineStr">
        <is>
          <t>Disneyland Railroad Main Street Station</t>
        </is>
      </c>
      <c r="F29289" s="8" t="inlineStr">
        <is>
          <t>STANDBY</t>
        </is>
      </c>
      <c r="G29289" s="8" t="n">
        <v>0</v>
      </c>
      <c r="H29289" s="8" t="inlineStr">
        <is>
          <t>CLOSED</t>
        </is>
      </c>
    </row>
    <row r="29290">
      <c r="A29290" s="8" t="inlineStr">
        <is>
          <t>2026-08-06</t>
        </is>
      </c>
      <c r="B29290" s="8" t="n">
        <v>11</v>
      </c>
      <c r="C29290" s="8" t="n">
        <v>15</v>
      </c>
      <c r="D29290" s="8" t="inlineStr">
        <is>
          <t>Disneyland Park</t>
        </is>
      </c>
      <c r="E29290" s="8" t="inlineStr">
        <is>
          <t>Dumbo the Flying Elephant</t>
        </is>
      </c>
      <c r="F29290" s="8" t="inlineStr">
        <is>
          <t>STANDBY</t>
        </is>
      </c>
      <c r="G29290" s="8" t="n">
        <v>25</v>
      </c>
      <c r="H29290" s="8" t="inlineStr">
        <is>
          <t>OPERATING</t>
        </is>
      </c>
    </row>
    <row r="29291">
      <c r="A29291" s="8" t="inlineStr">
        <is>
          <t>2026-08-06</t>
        </is>
      </c>
      <c r="B29291" s="8" t="n">
        <v>11</v>
      </c>
      <c r="C29291" s="8" t="n">
        <v>15</v>
      </c>
      <c r="D29291" s="8" t="inlineStr">
        <is>
          <t>Disneyland Park</t>
        </is>
      </c>
      <c r="E29291" s="8" t="inlineStr">
        <is>
          <t>La Tanière du Dragon</t>
        </is>
      </c>
      <c r="F29291" s="8" t="inlineStr">
        <is>
          <t>STANDBY</t>
        </is>
      </c>
      <c r="G29291" s="8" t="n">
        <v>0</v>
      </c>
      <c r="H29291" s="8" t="inlineStr">
        <is>
          <t>OPERATING</t>
        </is>
      </c>
    </row>
    <row r="29292">
      <c r="A29292" s="8" t="inlineStr">
        <is>
          <t>2026-08-06</t>
        </is>
      </c>
      <c r="B29292" s="8" t="n">
        <v>11</v>
      </c>
      <c r="C29292" s="8" t="n">
        <v>15</v>
      </c>
      <c r="D29292" s="8" t="inlineStr">
        <is>
          <t>Disneyland Park</t>
        </is>
      </c>
      <c r="E29292" s="8" t="inlineStr">
        <is>
          <t>Le Carrousel de Lancelot</t>
        </is>
      </c>
      <c r="F29292" s="8" t="inlineStr">
        <is>
          <t>STANDBY</t>
        </is>
      </c>
      <c r="G29292" s="8" t="n">
        <v>15</v>
      </c>
      <c r="H29292" s="8" t="inlineStr">
        <is>
          <t>OPERATING</t>
        </is>
      </c>
    </row>
    <row r="29293">
      <c r="A29293" s="8" t="inlineStr">
        <is>
          <t>2026-08-06</t>
        </is>
      </c>
      <c r="B29293" s="8" t="n">
        <v>11</v>
      </c>
      <c r="C29293" s="8" t="n">
        <v>15</v>
      </c>
      <c r="D29293" s="8" t="inlineStr">
        <is>
          <t>Disneyland Park</t>
        </is>
      </c>
      <c r="E29293" s="8" t="inlineStr">
        <is>
          <t>Le Pays des Contes de Fées, presented by Vittel</t>
        </is>
      </c>
      <c r="F29293" s="8" t="inlineStr">
        <is>
          <t>STANDBY</t>
        </is>
      </c>
      <c r="G29293" s="8" t="n">
        <v>5</v>
      </c>
      <c r="H29293" s="8" t="inlineStr">
        <is>
          <t>OPERATING</t>
        </is>
      </c>
    </row>
    <row r="29294">
      <c r="A29294" s="8" t="inlineStr">
        <is>
          <t>2026-08-06</t>
        </is>
      </c>
      <c r="B29294" s="8" t="n">
        <v>11</v>
      </c>
      <c r="C29294" s="8" t="n">
        <v>15</v>
      </c>
      <c r="D29294" s="8" t="inlineStr">
        <is>
          <t>Disneyland Park</t>
        </is>
      </c>
      <c r="E29294" s="8" t="inlineStr">
        <is>
          <t>Les Voyages de Pinocchio</t>
        </is>
      </c>
      <c r="F29294" s="8" t="inlineStr">
        <is>
          <t>STANDBY</t>
        </is>
      </c>
      <c r="G29294" s="8" t="n">
        <v>15</v>
      </c>
      <c r="H29294" s="8" t="inlineStr">
        <is>
          <t>OPERATING</t>
        </is>
      </c>
    </row>
    <row r="29295">
      <c r="A29295" s="8" t="inlineStr">
        <is>
          <t>2026-08-06</t>
        </is>
      </c>
      <c r="B29295" s="8" t="n">
        <v>11</v>
      </c>
      <c r="C29295" s="8" t="n">
        <v>15</v>
      </c>
      <c r="D29295" s="8" t="inlineStr">
        <is>
          <t>Disneyland Park</t>
        </is>
      </c>
      <c r="E29295" s="8" t="inlineStr">
        <is>
          <t>Mad Hatter's Tea Cups</t>
        </is>
      </c>
      <c r="F29295" s="8" t="inlineStr">
        <is>
          <t>STANDBY</t>
        </is>
      </c>
      <c r="G29295" s="8" t="n">
        <v>10</v>
      </c>
      <c r="H29295" s="8" t="inlineStr">
        <is>
          <t>OPERATING</t>
        </is>
      </c>
    </row>
    <row r="29296">
      <c r="A29296" s="8" t="inlineStr">
        <is>
          <t>2026-08-06</t>
        </is>
      </c>
      <c r="B29296" s="8" t="n">
        <v>11</v>
      </c>
      <c r="C29296" s="8" t="n">
        <v>15</v>
      </c>
      <c r="D29296" s="8" t="inlineStr">
        <is>
          <t>Disneyland Park</t>
        </is>
      </c>
      <c r="E29296" s="8" t="inlineStr">
        <is>
          <t>Meet Mickey Mouse</t>
        </is>
      </c>
      <c r="F29296" s="8" t="inlineStr">
        <is>
          <t>STANDBY</t>
        </is>
      </c>
      <c r="G29296" s="8" t="n">
        <v>0</v>
      </c>
      <c r="H29296" s="8" t="inlineStr">
        <is>
          <t>OPERATING</t>
        </is>
      </c>
    </row>
    <row r="29297">
      <c r="A29297" s="8" t="inlineStr">
        <is>
          <t>2026-08-06</t>
        </is>
      </c>
      <c r="B29297" s="8" t="n">
        <v>11</v>
      </c>
      <c r="C29297" s="8" t="n">
        <v>15</v>
      </c>
      <c r="D29297" s="8" t="inlineStr">
        <is>
          <t>Disneyland Park</t>
        </is>
      </c>
      <c r="E29297" s="8" t="inlineStr">
        <is>
          <t>Peter Pan's Flight</t>
        </is>
      </c>
      <c r="F29297" s="8" t="inlineStr">
        <is>
          <t>STANDBY</t>
        </is>
      </c>
      <c r="G29297" s="8" t="n">
        <v>45</v>
      </c>
      <c r="H29297" s="8" t="inlineStr">
        <is>
          <t>OPERATING</t>
        </is>
      </c>
    </row>
    <row r="29298">
      <c r="A29298" s="8" t="inlineStr">
        <is>
          <t>2026-08-06</t>
        </is>
      </c>
      <c r="B29298" s="8" t="n">
        <v>11</v>
      </c>
      <c r="C29298" s="8" t="n">
        <v>15</v>
      </c>
      <c r="D29298" s="8" t="inlineStr">
        <is>
          <t>Disneyland Park</t>
        </is>
      </c>
      <c r="E29298" s="8" t="inlineStr">
        <is>
          <t>Princess Pavilion</t>
        </is>
      </c>
      <c r="F29298" s="8" t="inlineStr">
        <is>
          <t>STANDBY</t>
        </is>
      </c>
      <c r="G29298" s="8" t="n">
        <v>0</v>
      </c>
      <c r="H29298" s="8" t="inlineStr">
        <is>
          <t>OPERATING</t>
        </is>
      </c>
    </row>
    <row r="29299">
      <c r="A29299" s="8" t="inlineStr">
        <is>
          <t>2026-08-06</t>
        </is>
      </c>
      <c r="B29299" s="8" t="n">
        <v>11</v>
      </c>
      <c r="C29299" s="8" t="n">
        <v>15</v>
      </c>
      <c r="D29299" s="8" t="inlineStr">
        <is>
          <t>Disneyland Park</t>
        </is>
      </c>
      <c r="E29299" s="8" t="inlineStr">
        <is>
          <t>Big Thunder Mountain</t>
        </is>
      </c>
      <c r="F29299" s="8" t="inlineStr">
        <is>
          <t>STANDBY</t>
        </is>
      </c>
      <c r="G29299" s="8" t="n">
        <v>95</v>
      </c>
      <c r="H29299" s="8" t="inlineStr">
        <is>
          <t>OPERATING</t>
        </is>
      </c>
    </row>
    <row r="29300">
      <c r="A29300" s="8" t="inlineStr">
        <is>
          <t>2026-08-06</t>
        </is>
      </c>
      <c r="B29300" s="8" t="n">
        <v>11</v>
      </c>
      <c r="C29300" s="8" t="n">
        <v>15</v>
      </c>
      <c r="D29300" s="8" t="inlineStr">
        <is>
          <t>Disneyland Park</t>
        </is>
      </c>
      <c r="E29300" s="8" t="inlineStr">
        <is>
          <t>Disneyland Railroad Frontierland Depot</t>
        </is>
      </c>
      <c r="F29300" s="8" t="inlineStr">
        <is>
          <t>STANDBY</t>
        </is>
      </c>
      <c r="G29300" s="8" t="n">
        <v>0</v>
      </c>
      <c r="H29300" s="8" t="inlineStr">
        <is>
          <t>CLOSED</t>
        </is>
      </c>
    </row>
    <row r="29301">
      <c r="A29301" s="8" t="inlineStr">
        <is>
          <t>2026-08-06</t>
        </is>
      </c>
      <c r="B29301" s="8" t="n">
        <v>11</v>
      </c>
      <c r="C29301" s="8" t="n">
        <v>15</v>
      </c>
      <c r="D29301" s="8" t="inlineStr">
        <is>
          <t>Disneyland Park</t>
        </is>
      </c>
      <c r="E29301" s="8" t="inlineStr">
        <is>
          <t>Frontierland Playground</t>
        </is>
      </c>
      <c r="F29301" s="8" t="inlineStr">
        <is>
          <t>STANDBY</t>
        </is>
      </c>
      <c r="G29301" s="8" t="n">
        <v>0</v>
      </c>
      <c r="H29301" s="8" t="inlineStr">
        <is>
          <t>OPERATING</t>
        </is>
      </c>
    </row>
    <row r="29302">
      <c r="A29302" s="8" t="inlineStr">
        <is>
          <t>2026-08-06</t>
        </is>
      </c>
      <c r="B29302" s="8" t="n">
        <v>11</v>
      </c>
      <c r="C29302" s="8" t="n">
        <v>15</v>
      </c>
      <c r="D29302" s="8" t="inlineStr">
        <is>
          <t>Disneyland Park</t>
        </is>
      </c>
      <c r="E29302" s="8" t="inlineStr">
        <is>
          <t>Phantom Manor</t>
        </is>
      </c>
      <c r="F29302" s="8" t="inlineStr">
        <is>
          <t>STANDBY</t>
        </is>
      </c>
      <c r="G29302" s="8" t="n">
        <v>15</v>
      </c>
      <c r="H29302" s="8" t="inlineStr">
        <is>
          <t>OPERATING</t>
        </is>
      </c>
    </row>
    <row r="29303">
      <c r="A29303" s="8" t="inlineStr">
        <is>
          <t>2026-08-06</t>
        </is>
      </c>
      <c r="B29303" s="8" t="n">
        <v>11</v>
      </c>
      <c r="C29303" s="8" t="n">
        <v>15</v>
      </c>
      <c r="D29303" s="8" t="inlineStr">
        <is>
          <t>Disneyland Park</t>
        </is>
      </c>
      <c r="E29303" s="8" t="inlineStr">
        <is>
          <t>River Rogue Keelboats</t>
        </is>
      </c>
      <c r="F29303" s="8" t="inlineStr">
        <is>
          <t>STANDBY</t>
        </is>
      </c>
      <c r="G29303" s="8" t="n">
        <v>0</v>
      </c>
      <c r="H29303" s="8" t="inlineStr">
        <is>
          <t>CLOSED</t>
        </is>
      </c>
    </row>
    <row r="29304">
      <c r="A29304" s="8" t="inlineStr">
        <is>
          <t>2026-08-06</t>
        </is>
      </c>
      <c r="B29304" s="8" t="n">
        <v>11</v>
      </c>
      <c r="C29304" s="8" t="n">
        <v>15</v>
      </c>
      <c r="D29304" s="8" t="inlineStr">
        <is>
          <t>Disneyland Park</t>
        </is>
      </c>
      <c r="E29304" s="8" t="inlineStr">
        <is>
          <t>Rustler Roundup Shootin' Gallery</t>
        </is>
      </c>
      <c r="F29304" s="8" t="inlineStr">
        <is>
          <t>STANDBY</t>
        </is>
      </c>
      <c r="G29304" s="8" t="n">
        <v>0</v>
      </c>
      <c r="H29304" s="8" t="inlineStr">
        <is>
          <t>OPERATING</t>
        </is>
      </c>
    </row>
    <row r="29305">
      <c r="A29305" s="8" t="inlineStr">
        <is>
          <t>2026-08-06</t>
        </is>
      </c>
      <c r="B29305" s="8" t="n">
        <v>11</v>
      </c>
      <c r="C29305" s="8" t="n">
        <v>15</v>
      </c>
      <c r="D29305" s="8" t="inlineStr">
        <is>
          <t>Disneyland Park</t>
        </is>
      </c>
      <c r="E29305" s="8" t="inlineStr">
        <is>
          <t>Thunder Mesa Riverboat Landing</t>
        </is>
      </c>
      <c r="F29305" s="8" t="inlineStr">
        <is>
          <t>STANDBY</t>
        </is>
      </c>
      <c r="G29305" s="8" t="n">
        <v>0</v>
      </c>
      <c r="H29305" s="8" t="inlineStr">
        <is>
          <t>OPERATING</t>
        </is>
      </c>
    </row>
    <row r="29306">
      <c r="A29306" s="8" t="inlineStr">
        <is>
          <t>2026-08-06</t>
        </is>
      </c>
      <c r="B29306" s="8" t="n">
        <v>11</v>
      </c>
      <c r="C29306" s="8" t="n">
        <v>15</v>
      </c>
      <c r="D29306" s="8" t="inlineStr">
        <is>
          <t>Disneyland Park</t>
        </is>
      </c>
      <c r="E29306" s="8" t="inlineStr">
        <is>
          <t>Disneyland Railroad Main Street Station</t>
        </is>
      </c>
      <c r="F29306" s="8" t="inlineStr">
        <is>
          <t>STANDBY</t>
        </is>
      </c>
      <c r="G29306" s="8" t="n">
        <v>0</v>
      </c>
      <c r="H29306" s="8" t="inlineStr">
        <is>
          <t>CLOSED</t>
        </is>
      </c>
    </row>
    <row r="29307">
      <c r="A29307" s="8" t="inlineStr">
        <is>
          <t>2026-08-06</t>
        </is>
      </c>
      <c r="B29307" s="8" t="n">
        <v>11</v>
      </c>
      <c r="C29307" s="8" t="n">
        <v>15</v>
      </c>
      <c r="D29307" s="8" t="inlineStr">
        <is>
          <t>Disneyland Park</t>
        </is>
      </c>
      <c r="E29307" s="8" t="inlineStr">
        <is>
          <t>Main Street Vehicles</t>
        </is>
      </c>
      <c r="F29307" s="8" t="inlineStr">
        <is>
          <t>STANDBY</t>
        </is>
      </c>
      <c r="G29307" s="8" t="n">
        <v>0</v>
      </c>
      <c r="H29307" s="8" t="inlineStr">
        <is>
          <t>CLOSED</t>
        </is>
      </c>
    </row>
    <row r="29308">
      <c r="A29308" s="8" t="inlineStr">
        <is>
          <t>2026-08-06</t>
        </is>
      </c>
      <c r="B29308" s="8" t="n">
        <v>11</v>
      </c>
      <c r="C29308" s="8" t="n">
        <v>15</v>
      </c>
      <c r="D29308" s="8" t="inlineStr">
        <is>
          <t>Disney Adventure World</t>
        </is>
      </c>
      <c r="E29308" s="8" t="inlineStr">
        <is>
          <t>Avengers Assemble: Flight Force</t>
        </is>
      </c>
      <c r="F29308" s="8" t="inlineStr">
        <is>
          <t>STANDBY</t>
        </is>
      </c>
      <c r="G29308" s="8" t="n">
        <v>45</v>
      </c>
      <c r="H29308" s="8" t="inlineStr">
        <is>
          <t>OPERATING</t>
        </is>
      </c>
    </row>
    <row r="29309">
      <c r="A29309" s="8" t="inlineStr">
        <is>
          <t>2026-08-06</t>
        </is>
      </c>
      <c r="B29309" s="8" t="n">
        <v>11</v>
      </c>
      <c r="C29309" s="8" t="n">
        <v>15</v>
      </c>
      <c r="D29309" s="8" t="inlineStr">
        <is>
          <t>Disney Adventure World</t>
        </is>
      </c>
      <c r="E29309" s="8" t="inlineStr">
        <is>
          <t>Avengers Assemble: Flight Force Single Rider</t>
        </is>
      </c>
      <c r="F29309" s="8" t="inlineStr">
        <is>
          <t>STANDBY</t>
        </is>
      </c>
      <c r="G29309" s="8" t="n">
        <v>30</v>
      </c>
      <c r="H29309" s="8" t="inlineStr">
        <is>
          <t>OPERATING</t>
        </is>
      </c>
    </row>
    <row r="29310">
      <c r="A29310" s="8" t="inlineStr">
        <is>
          <t>2026-08-06</t>
        </is>
      </c>
      <c r="B29310" s="8" t="n">
        <v>11</v>
      </c>
      <c r="C29310" s="8" t="n">
        <v>15</v>
      </c>
      <c r="D29310" s="8" t="inlineStr">
        <is>
          <t>Disney Adventure World</t>
        </is>
      </c>
      <c r="E29310" s="8" t="inlineStr">
        <is>
          <t>Spider-Man W.E.B. Adventure</t>
        </is>
      </c>
      <c r="F29310" s="8" t="inlineStr">
        <is>
          <t>STANDBY</t>
        </is>
      </c>
      <c r="G29310" s="8" t="n">
        <v>60</v>
      </c>
      <c r="H29310" s="8" t="inlineStr">
        <is>
          <t>OPERATING</t>
        </is>
      </c>
    </row>
    <row r="29311">
      <c r="A29311" s="8" t="inlineStr">
        <is>
          <t>2026-08-06</t>
        </is>
      </c>
      <c r="B29311" s="8" t="n">
        <v>11</v>
      </c>
      <c r="C29311" s="8" t="n">
        <v>15</v>
      </c>
      <c r="D29311" s="8" t="inlineStr">
        <is>
          <t>Disney Adventure World</t>
        </is>
      </c>
      <c r="E29311" s="8" t="inlineStr">
        <is>
          <t>Spider-Man W.E.B. Adventure Single Rider</t>
        </is>
      </c>
      <c r="F29311" s="8" t="inlineStr">
        <is>
          <t>STANDBY</t>
        </is>
      </c>
      <c r="G29311" s="8" t="n">
        <v>20</v>
      </c>
      <c r="H29311" s="8" t="inlineStr">
        <is>
          <t>OPERATING</t>
        </is>
      </c>
    </row>
    <row r="29312">
      <c r="A29312" s="8" t="inlineStr">
        <is>
          <t>2026-08-06</t>
        </is>
      </c>
      <c r="B29312" s="8" t="n">
        <v>11</v>
      </c>
      <c r="C29312" s="8" t="n">
        <v>15</v>
      </c>
      <c r="D29312" s="8" t="inlineStr">
        <is>
          <t>Disney Adventure World</t>
        </is>
      </c>
      <c r="E29312" s="8" t="inlineStr">
        <is>
          <t>The Twilight Zone Tower of Terror</t>
        </is>
      </c>
      <c r="F29312" s="8" t="inlineStr">
        <is>
          <t>STANDBY</t>
        </is>
      </c>
      <c r="G29312" s="8" t="n">
        <v>60</v>
      </c>
      <c r="H29312" s="8" t="inlineStr">
        <is>
          <t>OPERATING</t>
        </is>
      </c>
    </row>
    <row r="29313">
      <c r="A29313" s="8" t="inlineStr">
        <is>
          <t>2026-08-06</t>
        </is>
      </c>
      <c r="B29313" s="8" t="n">
        <v>11</v>
      </c>
      <c r="C29313" s="8" t="n">
        <v>15</v>
      </c>
      <c r="D29313" s="8" t="inlineStr">
        <is>
          <t>Disney Adventure World</t>
        </is>
      </c>
      <c r="E29313" s="8" t="inlineStr">
        <is>
          <t>Cars Quatre Roues Rallye</t>
        </is>
      </c>
      <c r="F29313" s="8" t="inlineStr">
        <is>
          <t>STANDBY</t>
        </is>
      </c>
      <c r="G29313" s="8" t="n">
        <v>35</v>
      </c>
      <c r="H29313" s="8" t="inlineStr">
        <is>
          <t>OPERATING</t>
        </is>
      </c>
    </row>
    <row r="29314">
      <c r="A29314" s="8" t="inlineStr">
        <is>
          <t>2026-08-06</t>
        </is>
      </c>
      <c r="B29314" s="8" t="n">
        <v>11</v>
      </c>
      <c r="C29314" s="8" t="n">
        <v>15</v>
      </c>
      <c r="D29314" s="8" t="inlineStr">
        <is>
          <t>Disney Adventure World</t>
        </is>
      </c>
      <c r="E29314" s="8" t="inlineStr">
        <is>
          <t>Cars ROAD TRIP</t>
        </is>
      </c>
      <c r="F29314" s="8" t="inlineStr">
        <is>
          <t>STANDBY</t>
        </is>
      </c>
      <c r="G29314" s="8" t="n">
        <v>20</v>
      </c>
      <c r="H29314" s="8" t="inlineStr">
        <is>
          <t>OPERATING</t>
        </is>
      </c>
    </row>
    <row r="29315">
      <c r="A29315" s="8" t="inlineStr">
        <is>
          <t>2026-08-06</t>
        </is>
      </c>
      <c r="B29315" s="8" t="n">
        <v>11</v>
      </c>
      <c r="C29315" s="8" t="n">
        <v>15</v>
      </c>
      <c r="D29315" s="8" t="inlineStr">
        <is>
          <t>Disney Adventure World</t>
        </is>
      </c>
      <c r="E29315" s="8" t="inlineStr">
        <is>
          <t>Crush's Coaster</t>
        </is>
      </c>
      <c r="F29315" s="8" t="inlineStr">
        <is>
          <t>STANDBY</t>
        </is>
      </c>
      <c r="G29315" s="8" t="n">
        <v>90</v>
      </c>
      <c r="H29315" s="8" t="inlineStr">
        <is>
          <t>OPERATING</t>
        </is>
      </c>
    </row>
    <row r="29316">
      <c r="A29316" s="8" t="inlineStr">
        <is>
          <t>2026-08-06</t>
        </is>
      </c>
      <c r="B29316" s="8" t="n">
        <v>11</v>
      </c>
      <c r="C29316" s="8" t="n">
        <v>15</v>
      </c>
      <c r="D29316" s="8" t="inlineStr">
        <is>
          <t>Disney Adventure World</t>
        </is>
      </c>
      <c r="E29316" s="8" t="inlineStr">
        <is>
          <t>Crush's Coaster Single Rider</t>
        </is>
      </c>
      <c r="F29316" s="8" t="inlineStr">
        <is>
          <t>STANDBY</t>
        </is>
      </c>
      <c r="G29316" s="8" t="n">
        <v>50</v>
      </c>
      <c r="H29316" s="8" t="inlineStr">
        <is>
          <t>OPERATING</t>
        </is>
      </c>
    </row>
    <row r="29317">
      <c r="A29317" s="8" t="inlineStr">
        <is>
          <t>2026-08-06</t>
        </is>
      </c>
      <c r="B29317" s="8" t="n">
        <v>11</v>
      </c>
      <c r="C29317" s="8" t="n">
        <v>15</v>
      </c>
      <c r="D29317" s="8" t="inlineStr">
        <is>
          <t>Disney Adventure World</t>
        </is>
      </c>
      <c r="E29317" s="8" t="inlineStr">
        <is>
          <t>Les Tapis Volants - Flying Carpets Over Agrabah®</t>
        </is>
      </c>
      <c r="F29317" s="8" t="inlineStr">
        <is>
          <t>STANDBY</t>
        </is>
      </c>
      <c r="G29317" s="8" t="n">
        <v>40</v>
      </c>
      <c r="H29317" s="8" t="inlineStr">
        <is>
          <t>OPERATING</t>
        </is>
      </c>
    </row>
    <row r="29318">
      <c r="A29318" s="8" t="inlineStr">
        <is>
          <t>2026-08-06</t>
        </is>
      </c>
      <c r="B29318" s="8" t="n">
        <v>11</v>
      </c>
      <c r="C29318" s="8" t="n">
        <v>15</v>
      </c>
      <c r="D29318" s="8" t="inlineStr">
        <is>
          <t>Disney Adventure World</t>
        </is>
      </c>
      <c r="E29318" s="8" t="inlineStr">
        <is>
          <t>Ratatouille : L’Aventure Totalement Toquée de Rémy​</t>
        </is>
      </c>
      <c r="F29318" s="8" t="inlineStr">
        <is>
          <t>STANDBY</t>
        </is>
      </c>
      <c r="G29318" s="8" t="n">
        <v>0</v>
      </c>
      <c r="H29318" s="8" t="inlineStr">
        <is>
          <t>CLOSED</t>
        </is>
      </c>
    </row>
    <row r="29319">
      <c r="A29319" s="8" t="inlineStr">
        <is>
          <t>2026-08-06</t>
        </is>
      </c>
      <c r="B29319" s="8" t="n">
        <v>11</v>
      </c>
      <c r="C29319" s="8" t="n">
        <v>15</v>
      </c>
      <c r="D29319" s="8" t="inlineStr">
        <is>
          <t>Disney Adventure World</t>
        </is>
      </c>
      <c r="E29319" s="8" t="inlineStr">
        <is>
          <t>Ratatouille: The Adventure Single Rider</t>
        </is>
      </c>
      <c r="F29319" s="8" t="inlineStr">
        <is>
          <t>STANDBY</t>
        </is>
      </c>
      <c r="G29319" s="8" t="n">
        <v>0</v>
      </c>
      <c r="H29319" s="8" t="inlineStr">
        <is>
          <t>CLOSED</t>
        </is>
      </c>
    </row>
    <row r="29320">
      <c r="A29320" s="8" t="inlineStr">
        <is>
          <t>2026-08-06</t>
        </is>
      </c>
      <c r="B29320" s="8" t="n">
        <v>11</v>
      </c>
      <c r="C29320" s="8" t="n">
        <v>15</v>
      </c>
      <c r="D29320" s="8" t="inlineStr">
        <is>
          <t>Disney Adventure World</t>
        </is>
      </c>
      <c r="E29320" s="8" t="inlineStr">
        <is>
          <t>RC Racer</t>
        </is>
      </c>
      <c r="F29320" s="8" t="inlineStr">
        <is>
          <t>STANDBY</t>
        </is>
      </c>
      <c r="G29320" s="8" t="n">
        <v>55</v>
      </c>
      <c r="H29320" s="8" t="inlineStr">
        <is>
          <t>OPERATING</t>
        </is>
      </c>
    </row>
    <row r="29321">
      <c r="A29321" s="8" t="inlineStr">
        <is>
          <t>2026-08-06</t>
        </is>
      </c>
      <c r="B29321" s="8" t="n">
        <v>11</v>
      </c>
      <c r="C29321" s="8" t="n">
        <v>15</v>
      </c>
      <c r="D29321" s="8" t="inlineStr">
        <is>
          <t>Disney Adventure World</t>
        </is>
      </c>
      <c r="E29321" s="8" t="inlineStr">
        <is>
          <t>RC Racer Single Rider</t>
        </is>
      </c>
      <c r="F29321" s="8" t="inlineStr">
        <is>
          <t>STANDBY</t>
        </is>
      </c>
      <c r="G29321" s="8" t="n">
        <v>50</v>
      </c>
      <c r="H29321" s="8" t="inlineStr">
        <is>
          <t>OPERATING</t>
        </is>
      </c>
    </row>
    <row r="29322">
      <c r="A29322" s="8" t="inlineStr">
        <is>
          <t>2026-08-06</t>
        </is>
      </c>
      <c r="B29322" s="8" t="n">
        <v>11</v>
      </c>
      <c r="C29322" s="8" t="n">
        <v>15</v>
      </c>
      <c r="D29322" s="8" t="inlineStr">
        <is>
          <t>Disney Adventure World</t>
        </is>
      </c>
      <c r="E29322" s="8" t="inlineStr">
        <is>
          <t>Slinky® Dog Zigzag Spin</t>
        </is>
      </c>
      <c r="F29322" s="8" t="inlineStr">
        <is>
          <t>STANDBY</t>
        </is>
      </c>
      <c r="G29322" s="8" t="n">
        <v>30</v>
      </c>
      <c r="H29322" s="8" t="inlineStr">
        <is>
          <t>OPERATING</t>
        </is>
      </c>
    </row>
    <row r="29323">
      <c r="A29323" s="8" t="inlineStr">
        <is>
          <t>2026-08-06</t>
        </is>
      </c>
      <c r="B29323" s="8" t="n">
        <v>11</v>
      </c>
      <c r="C29323" s="8" t="n">
        <v>15</v>
      </c>
      <c r="D29323" s="8" t="inlineStr">
        <is>
          <t>Disney Adventure World</t>
        </is>
      </c>
      <c r="E29323" s="8" t="inlineStr">
        <is>
          <t>Toy Soldiers Parachute Drop</t>
        </is>
      </c>
      <c r="F29323" s="8" t="inlineStr">
        <is>
          <t>STANDBY</t>
        </is>
      </c>
      <c r="G29323" s="8" t="n">
        <v>70</v>
      </c>
      <c r="H29323" s="8" t="inlineStr">
        <is>
          <t>OPERATING</t>
        </is>
      </c>
    </row>
    <row r="29324">
      <c r="A29324" s="8" t="inlineStr">
        <is>
          <t>2026-08-06</t>
        </is>
      </c>
      <c r="B29324" s="8" t="n">
        <v>11</v>
      </c>
      <c r="C29324" s="8" t="n">
        <v>15</v>
      </c>
      <c r="D29324" s="8" t="inlineStr">
        <is>
          <t>Disney Adventure World</t>
        </is>
      </c>
      <c r="E29324" s="8" t="inlineStr">
        <is>
          <t>Toy Soldiers Parachute Drop Single Rider</t>
        </is>
      </c>
      <c r="F29324" s="8" t="inlineStr">
        <is>
          <t>STANDBY</t>
        </is>
      </c>
      <c r="G29324" s="8" t="n">
        <v>20</v>
      </c>
      <c r="H29324" s="8" t="inlineStr">
        <is>
          <t>OPERATING</t>
        </is>
      </c>
    </row>
    <row r="29325">
      <c r="A29325" s="8" t="inlineStr">
        <is>
          <t>2026-08-06</t>
        </is>
      </c>
      <c r="B29325" s="8" t="n">
        <v>11</v>
      </c>
      <c r="C29325" s="8" t="n">
        <v>15</v>
      </c>
      <c r="D29325" s="8" t="inlineStr">
        <is>
          <t>Disney Adventure World</t>
        </is>
      </c>
      <c r="E29325" s="8" t="inlineStr">
        <is>
          <t>Entry to World of Frozen</t>
        </is>
      </c>
      <c r="F29325" s="8" t="inlineStr">
        <is>
          <t>STANDBY</t>
        </is>
      </c>
      <c r="G29325" s="8" t="n">
        <v>0</v>
      </c>
      <c r="H29325" s="8" t="inlineStr">
        <is>
          <t>OPERATING</t>
        </is>
      </c>
    </row>
    <row r="29326">
      <c r="A29326" s="8" t="inlineStr">
        <is>
          <t>2026-08-06</t>
        </is>
      </c>
      <c r="B29326" s="8" t="n">
        <v>11</v>
      </c>
      <c r="C29326" s="8" t="n">
        <v>15</v>
      </c>
      <c r="D29326" s="8" t="inlineStr">
        <is>
          <t>Disney Adventure World</t>
        </is>
      </c>
      <c r="E29326" s="8" t="inlineStr">
        <is>
          <t>Frozen Ever After</t>
        </is>
      </c>
      <c r="F29326" s="8" t="inlineStr">
        <is>
          <t>STANDBY</t>
        </is>
      </c>
      <c r="G29326" s="8" t="n">
        <v>100</v>
      </c>
      <c r="H29326" s="8" t="inlineStr">
        <is>
          <t>OPERATING</t>
        </is>
      </c>
    </row>
    <row r="29327">
      <c r="A29327" s="8" t="inlineStr">
        <is>
          <t>2026-08-06</t>
        </is>
      </c>
      <c r="B29327" s="8" t="n">
        <v>11</v>
      </c>
      <c r="C29327" s="8" t="n">
        <v>15</v>
      </c>
      <c r="D29327" s="8" t="inlineStr">
        <is>
          <t>Disney Adventure World</t>
        </is>
      </c>
      <c r="E29327" s="8" t="inlineStr">
        <is>
          <t>Raiponce Tangled Spin</t>
        </is>
      </c>
      <c r="F29327" s="8" t="inlineStr">
        <is>
          <t>STANDBY</t>
        </is>
      </c>
      <c r="G29327" s="8" t="n">
        <v>40</v>
      </c>
      <c r="H29327" s="8" t="inlineStr">
        <is>
          <t>OPERATING</t>
        </is>
      </c>
    </row>
    <row r="29328">
      <c r="A29328" s="8" t="inlineStr">
        <is>
          <t>2026-08-06</t>
        </is>
      </c>
      <c r="B29328" s="8" t="n">
        <v>11</v>
      </c>
      <c r="C29328" s="8" t="n">
        <v>31</v>
      </c>
      <c r="D29328" s="8" t="inlineStr">
        <is>
          <t>Disneyland Park</t>
        </is>
      </c>
      <c r="E29328" s="8" t="inlineStr">
        <is>
          <t>Adventure Isle</t>
        </is>
      </c>
      <c r="F29328" s="8" t="inlineStr">
        <is>
          <t>STANDBY</t>
        </is>
      </c>
      <c r="G29328" s="8" t="n">
        <v>0</v>
      </c>
      <c r="H29328" s="8" t="inlineStr">
        <is>
          <t>OPERATING</t>
        </is>
      </c>
    </row>
    <row r="29329">
      <c r="A29329" s="8" t="inlineStr">
        <is>
          <t>2026-08-06</t>
        </is>
      </c>
      <c r="B29329" s="8" t="n">
        <v>11</v>
      </c>
      <c r="C29329" s="8" t="n">
        <v>31</v>
      </c>
      <c r="D29329" s="8" t="inlineStr">
        <is>
          <t>Disneyland Park</t>
        </is>
      </c>
      <c r="E29329" s="8" t="inlineStr">
        <is>
          <t>Indiana Jones and the Temple of Peril Single Rider</t>
        </is>
      </c>
      <c r="F29329" s="8" t="inlineStr">
        <is>
          <t>STANDBY</t>
        </is>
      </c>
      <c r="G29329" s="8" t="n">
        <v>10</v>
      </c>
      <c r="H29329" s="8" t="inlineStr">
        <is>
          <t>OPERATING</t>
        </is>
      </c>
    </row>
    <row r="29330">
      <c r="A29330" s="8" t="inlineStr">
        <is>
          <t>2026-08-06</t>
        </is>
      </c>
      <c r="B29330" s="8" t="n">
        <v>11</v>
      </c>
      <c r="C29330" s="8" t="n">
        <v>31</v>
      </c>
      <c r="D29330" s="8" t="inlineStr">
        <is>
          <t>Disneyland Park</t>
        </is>
      </c>
      <c r="E29330" s="8" t="inlineStr">
        <is>
          <t>Indiana Jones™ and the Temple of Peril</t>
        </is>
      </c>
      <c r="F29330" s="8" t="inlineStr">
        <is>
          <t>STANDBY</t>
        </is>
      </c>
      <c r="G29330" s="8" t="n">
        <v>30</v>
      </c>
      <c r="H29330" s="8" t="inlineStr">
        <is>
          <t>OPERATING</t>
        </is>
      </c>
    </row>
    <row r="29331">
      <c r="A29331" s="8" t="inlineStr">
        <is>
          <t>2026-08-06</t>
        </is>
      </c>
      <c r="B29331" s="8" t="n">
        <v>11</v>
      </c>
      <c r="C29331" s="8" t="n">
        <v>31</v>
      </c>
      <c r="D29331" s="8" t="inlineStr">
        <is>
          <t>Disneyland Park</t>
        </is>
      </c>
      <c r="E29331" s="8" t="inlineStr">
        <is>
          <t>La Cabane des Robinson</t>
        </is>
      </c>
      <c r="F29331" s="8" t="inlineStr">
        <is>
          <t>STANDBY</t>
        </is>
      </c>
      <c r="G29331" s="8" t="n">
        <v>5</v>
      </c>
      <c r="H29331" s="8" t="inlineStr">
        <is>
          <t>OPERATING</t>
        </is>
      </c>
    </row>
    <row r="29332">
      <c r="A29332" s="8" t="inlineStr">
        <is>
          <t>2026-08-06</t>
        </is>
      </c>
      <c r="B29332" s="8" t="n">
        <v>11</v>
      </c>
      <c r="C29332" s="8" t="n">
        <v>31</v>
      </c>
      <c r="D29332" s="8" t="inlineStr">
        <is>
          <t>Disneyland Park</t>
        </is>
      </c>
      <c r="E29332" s="8" t="inlineStr">
        <is>
          <t>Le Passage Enchanté d'Aladdin</t>
        </is>
      </c>
      <c r="F29332" s="8" t="inlineStr">
        <is>
          <t>STANDBY</t>
        </is>
      </c>
      <c r="G29332" s="8" t="n">
        <v>0</v>
      </c>
      <c r="H29332" s="8" t="inlineStr">
        <is>
          <t>OPERATING</t>
        </is>
      </c>
    </row>
    <row r="29333">
      <c r="A29333" s="8" t="inlineStr">
        <is>
          <t>2026-08-06</t>
        </is>
      </c>
      <c r="B29333" s="8" t="n">
        <v>11</v>
      </c>
      <c r="C29333" s="8" t="n">
        <v>31</v>
      </c>
      <c r="D29333" s="8" t="inlineStr">
        <is>
          <t>Disneyland Park</t>
        </is>
      </c>
      <c r="E29333" s="8" t="inlineStr">
        <is>
          <t>Pirate Galleon</t>
        </is>
      </c>
      <c r="F29333" s="8" t="inlineStr">
        <is>
          <t>STANDBY</t>
        </is>
      </c>
      <c r="G29333" s="8" t="n">
        <v>0</v>
      </c>
      <c r="H29333" s="8" t="inlineStr">
        <is>
          <t>CLOSED</t>
        </is>
      </c>
    </row>
    <row r="29334">
      <c r="A29334" s="8" t="inlineStr">
        <is>
          <t>2026-08-06</t>
        </is>
      </c>
      <c r="B29334" s="8" t="n">
        <v>11</v>
      </c>
      <c r="C29334" s="8" t="n">
        <v>31</v>
      </c>
      <c r="D29334" s="8" t="inlineStr">
        <is>
          <t>Disneyland Park</t>
        </is>
      </c>
      <c r="E29334" s="8" t="inlineStr">
        <is>
          <t>Pirates of the Caribbean</t>
        </is>
      </c>
      <c r="F29334" s="8" t="inlineStr">
        <is>
          <t>STANDBY</t>
        </is>
      </c>
      <c r="G29334" s="8" t="n">
        <v>35</v>
      </c>
      <c r="H29334" s="8" t="inlineStr">
        <is>
          <t>OPERATING</t>
        </is>
      </c>
    </row>
    <row r="29335">
      <c r="A29335" s="8" t="inlineStr">
        <is>
          <t>2026-08-06</t>
        </is>
      </c>
      <c r="B29335" s="8" t="n">
        <v>11</v>
      </c>
      <c r="C29335" s="8" t="n">
        <v>31</v>
      </c>
      <c r="D29335" s="8" t="inlineStr">
        <is>
          <t>Disneyland Park</t>
        </is>
      </c>
      <c r="E29335" s="8" t="inlineStr">
        <is>
          <t>Pirates' Beach</t>
        </is>
      </c>
      <c r="F29335" s="8" t="inlineStr">
        <is>
          <t>STANDBY</t>
        </is>
      </c>
      <c r="G29335" s="8" t="n">
        <v>0</v>
      </c>
      <c r="H29335" s="8" t="inlineStr">
        <is>
          <t>OPERATING</t>
        </is>
      </c>
    </row>
    <row r="29336">
      <c r="A29336" s="8" t="inlineStr">
        <is>
          <t>2026-08-06</t>
        </is>
      </c>
      <c r="B29336" s="8" t="n">
        <v>11</v>
      </c>
      <c r="C29336" s="8" t="n">
        <v>31</v>
      </c>
      <c r="D29336" s="8" t="inlineStr">
        <is>
          <t>Disneyland Park</t>
        </is>
      </c>
      <c r="E29336" s="8" t="inlineStr">
        <is>
          <t>Autopia, presented by Avis</t>
        </is>
      </c>
      <c r="F29336" s="8" t="inlineStr">
        <is>
          <t>STANDBY</t>
        </is>
      </c>
      <c r="G29336" s="8" t="n">
        <v>40</v>
      </c>
      <c r="H29336" s="8" t="inlineStr">
        <is>
          <t>OPERATING</t>
        </is>
      </c>
    </row>
    <row r="29337">
      <c r="A29337" s="8" t="inlineStr">
        <is>
          <t>2026-08-06</t>
        </is>
      </c>
      <c r="B29337" s="8" t="n">
        <v>11</v>
      </c>
      <c r="C29337" s="8" t="n">
        <v>31</v>
      </c>
      <c r="D29337" s="8" t="inlineStr">
        <is>
          <t>Disneyland Park</t>
        </is>
      </c>
      <c r="E29337" s="8" t="inlineStr">
        <is>
          <t>Buzz Lightyear Laser Blast</t>
        </is>
      </c>
      <c r="F29337" s="8" t="inlineStr">
        <is>
          <t>STANDBY</t>
        </is>
      </c>
      <c r="G29337" s="8" t="n">
        <v>45</v>
      </c>
      <c r="H29337" s="8" t="inlineStr">
        <is>
          <t>OPERATING</t>
        </is>
      </c>
    </row>
    <row r="29338">
      <c r="A29338" s="8" t="inlineStr">
        <is>
          <t>2026-08-06</t>
        </is>
      </c>
      <c r="B29338" s="8" t="n">
        <v>11</v>
      </c>
      <c r="C29338" s="8" t="n">
        <v>31</v>
      </c>
      <c r="D29338" s="8" t="inlineStr">
        <is>
          <t>Disneyland Park</t>
        </is>
      </c>
      <c r="E29338" s="8" t="inlineStr">
        <is>
          <t>Disneyland Railroad Discoveryland Station</t>
        </is>
      </c>
      <c r="F29338" s="8" t="inlineStr">
        <is>
          <t>STANDBY</t>
        </is>
      </c>
      <c r="G29338" s="8" t="n">
        <v>0</v>
      </c>
      <c r="H29338" s="8" t="inlineStr">
        <is>
          <t>CLOSED</t>
        </is>
      </c>
    </row>
    <row r="29339">
      <c r="A29339" s="8" t="inlineStr">
        <is>
          <t>2026-08-06</t>
        </is>
      </c>
      <c r="B29339" s="8" t="n">
        <v>11</v>
      </c>
      <c r="C29339" s="8" t="n">
        <v>31</v>
      </c>
      <c r="D29339" s="8" t="inlineStr">
        <is>
          <t>Disneyland Park</t>
        </is>
      </c>
      <c r="E29339" s="8" t="inlineStr">
        <is>
          <t>Les Mystères du Nautilus</t>
        </is>
      </c>
      <c r="F29339" s="8" t="inlineStr">
        <is>
          <t>STANDBY</t>
        </is>
      </c>
      <c r="G29339" s="8" t="n">
        <v>5</v>
      </c>
      <c r="H29339" s="8" t="inlineStr">
        <is>
          <t>OPERATING</t>
        </is>
      </c>
    </row>
    <row r="29340">
      <c r="A29340" s="8" t="inlineStr">
        <is>
          <t>2026-08-06</t>
        </is>
      </c>
      <c r="B29340" s="8" t="n">
        <v>11</v>
      </c>
      <c r="C29340" s="8" t="n">
        <v>31</v>
      </c>
      <c r="D29340" s="8" t="inlineStr">
        <is>
          <t>Disneyland Park</t>
        </is>
      </c>
      <c r="E29340" s="8" t="inlineStr">
        <is>
          <t>Mickey’s PhilharMagic</t>
        </is>
      </c>
      <c r="F29340" s="8" t="inlineStr">
        <is>
          <t>STANDBY</t>
        </is>
      </c>
      <c r="G29340" s="8" t="n">
        <v>0</v>
      </c>
      <c r="H29340" s="8" t="inlineStr">
        <is>
          <t>CLOSED</t>
        </is>
      </c>
    </row>
    <row r="29341">
      <c r="A29341" s="8" t="inlineStr">
        <is>
          <t>2026-08-06</t>
        </is>
      </c>
      <c r="B29341" s="8" t="n">
        <v>11</v>
      </c>
      <c r="C29341" s="8" t="n">
        <v>31</v>
      </c>
      <c r="D29341" s="8" t="inlineStr">
        <is>
          <t>Disneyland Park</t>
        </is>
      </c>
      <c r="E29341" s="8" t="inlineStr">
        <is>
          <t>Orbitron®</t>
        </is>
      </c>
      <c r="F29341" s="8" t="inlineStr">
        <is>
          <t>STANDBY</t>
        </is>
      </c>
      <c r="G29341" s="8" t="n">
        <v>55</v>
      </c>
      <c r="H29341" s="8" t="inlineStr">
        <is>
          <t>OPERATING</t>
        </is>
      </c>
    </row>
    <row r="29342">
      <c r="A29342" s="8" t="inlineStr">
        <is>
          <t>2026-08-06</t>
        </is>
      </c>
      <c r="B29342" s="8" t="n">
        <v>11</v>
      </c>
      <c r="C29342" s="8" t="n">
        <v>31</v>
      </c>
      <c r="D29342" s="8" t="inlineStr">
        <is>
          <t>Disneyland Park</t>
        </is>
      </c>
      <c r="E29342" s="8" t="inlineStr">
        <is>
          <t>Star Tours: The Adventures Continue*</t>
        </is>
      </c>
      <c r="F29342" s="8" t="inlineStr">
        <is>
          <t>STANDBY</t>
        </is>
      </c>
      <c r="G29342" s="8" t="n">
        <v>25</v>
      </c>
      <c r="H29342" s="8" t="inlineStr">
        <is>
          <t>OPERATING</t>
        </is>
      </c>
    </row>
    <row r="29343">
      <c r="A29343" s="8" t="inlineStr">
        <is>
          <t>2026-08-06</t>
        </is>
      </c>
      <c r="B29343" s="8" t="n">
        <v>11</v>
      </c>
      <c r="C29343" s="8" t="n">
        <v>31</v>
      </c>
      <c r="D29343" s="8" t="inlineStr">
        <is>
          <t>Disneyland Park</t>
        </is>
      </c>
      <c r="E29343" s="8" t="inlineStr">
        <is>
          <t>Star Wars Hyperspace Mountain</t>
        </is>
      </c>
      <c r="F29343" s="8" t="inlineStr">
        <is>
          <t>STANDBY</t>
        </is>
      </c>
      <c r="G29343" s="8" t="n">
        <v>35</v>
      </c>
      <c r="H29343" s="8" t="inlineStr">
        <is>
          <t>OPERATING</t>
        </is>
      </c>
    </row>
    <row r="29344">
      <c r="A29344" s="8" t="inlineStr">
        <is>
          <t>2026-08-06</t>
        </is>
      </c>
      <c r="B29344" s="8" t="n">
        <v>11</v>
      </c>
      <c r="C29344" s="8" t="n">
        <v>31</v>
      </c>
      <c r="D29344" s="8" t="inlineStr">
        <is>
          <t>Disneyland Park</t>
        </is>
      </c>
      <c r="E29344" s="8" t="inlineStr">
        <is>
          <t>Star Wars Hyperspace Mountain Single Rider</t>
        </is>
      </c>
      <c r="F29344" s="8" t="inlineStr">
        <is>
          <t>STANDBY</t>
        </is>
      </c>
      <c r="G29344" s="8" t="n">
        <v>25</v>
      </c>
      <c r="H29344" s="8" t="inlineStr">
        <is>
          <t>OPERATING</t>
        </is>
      </c>
    </row>
    <row r="29345">
      <c r="A29345" s="8" t="inlineStr">
        <is>
          <t>2026-08-06</t>
        </is>
      </c>
      <c r="B29345" s="8" t="n">
        <v>11</v>
      </c>
      <c r="C29345" s="8" t="n">
        <v>31</v>
      </c>
      <c r="D29345" s="8" t="inlineStr">
        <is>
          <t>Disneyland Park</t>
        </is>
      </c>
      <c r="E29345" s="8" t="inlineStr">
        <is>
          <t>Welcome to Starport: A Star Wars Encounter</t>
        </is>
      </c>
      <c r="F29345" s="8" t="inlineStr">
        <is>
          <t>STANDBY</t>
        </is>
      </c>
      <c r="G29345" s="8" t="n">
        <v>15</v>
      </c>
      <c r="H29345" s="8" t="inlineStr">
        <is>
          <t>OPERATING</t>
        </is>
      </c>
    </row>
    <row r="29346">
      <c r="A29346" s="8" t="inlineStr">
        <is>
          <t>2026-08-06</t>
        </is>
      </c>
      <c r="B29346" s="8" t="n">
        <v>11</v>
      </c>
      <c r="C29346" s="8" t="n">
        <v>31</v>
      </c>
      <c r="D29346" s="8" t="inlineStr">
        <is>
          <t>Disneyland Park</t>
        </is>
      </c>
      <c r="E29346" s="8" t="inlineStr">
        <is>
          <t>"it's a small world"</t>
        </is>
      </c>
      <c r="F29346" s="8" t="inlineStr">
        <is>
          <t>STANDBY</t>
        </is>
      </c>
      <c r="G29346" s="8" t="n">
        <v>15</v>
      </c>
      <c r="H29346" s="8" t="inlineStr">
        <is>
          <t>OPERATING</t>
        </is>
      </c>
    </row>
    <row r="29347">
      <c r="A29347" s="8" t="inlineStr">
        <is>
          <t>2026-08-06</t>
        </is>
      </c>
      <c r="B29347" s="8" t="n">
        <v>11</v>
      </c>
      <c r="C29347" s="8" t="n">
        <v>31</v>
      </c>
      <c r="D29347" s="8" t="inlineStr">
        <is>
          <t>Disneyland Park</t>
        </is>
      </c>
      <c r="E29347" s="8" t="inlineStr">
        <is>
          <t>Alice's Curious Labyrinth</t>
        </is>
      </c>
      <c r="F29347" s="8" t="inlineStr">
        <is>
          <t>STANDBY</t>
        </is>
      </c>
      <c r="G29347" s="8" t="n">
        <v>5</v>
      </c>
      <c r="H29347" s="8" t="inlineStr">
        <is>
          <t>OPERATING</t>
        </is>
      </c>
    </row>
    <row r="29348">
      <c r="A29348" s="8" t="inlineStr">
        <is>
          <t>2026-08-06</t>
        </is>
      </c>
      <c r="B29348" s="8" t="n">
        <v>11</v>
      </c>
      <c r="C29348" s="8" t="n">
        <v>31</v>
      </c>
      <c r="D29348" s="8" t="inlineStr">
        <is>
          <t>Disneyland Park</t>
        </is>
      </c>
      <c r="E29348" s="8" t="inlineStr">
        <is>
          <t>Blanche-Neige et les Sept Nains®</t>
        </is>
      </c>
      <c r="F29348" s="8" t="inlineStr">
        <is>
          <t>STANDBY</t>
        </is>
      </c>
      <c r="G29348" s="8" t="n">
        <v>15</v>
      </c>
      <c r="H29348" s="8" t="inlineStr">
        <is>
          <t>OPERATING</t>
        </is>
      </c>
    </row>
    <row r="29349">
      <c r="A29349" s="8" t="inlineStr">
        <is>
          <t>2026-08-06</t>
        </is>
      </c>
      <c r="B29349" s="8" t="n">
        <v>11</v>
      </c>
      <c r="C29349" s="8" t="n">
        <v>31</v>
      </c>
      <c r="D29349" s="8" t="inlineStr">
        <is>
          <t>Disneyland Park</t>
        </is>
      </c>
      <c r="E29349" s="8" t="inlineStr">
        <is>
          <t>Casey Jr. – le Petit Train du Cirque</t>
        </is>
      </c>
      <c r="F29349" s="8" t="inlineStr">
        <is>
          <t>STANDBY</t>
        </is>
      </c>
      <c r="G29349" s="8" t="n">
        <v>5</v>
      </c>
      <c r="H29349" s="8" t="inlineStr">
        <is>
          <t>OPERATING</t>
        </is>
      </c>
    </row>
    <row r="29350">
      <c r="A29350" s="8" t="inlineStr">
        <is>
          <t>2026-08-06</t>
        </is>
      </c>
      <c r="B29350" s="8" t="n">
        <v>11</v>
      </c>
      <c r="C29350" s="8" t="n">
        <v>31</v>
      </c>
      <c r="D29350" s="8" t="inlineStr">
        <is>
          <t>Disneyland Park</t>
        </is>
      </c>
      <c r="E29350" s="8" t="inlineStr">
        <is>
          <t>Disneyland Railroad Fantasyland Station</t>
        </is>
      </c>
      <c r="F29350" s="8" t="inlineStr">
        <is>
          <t>STANDBY</t>
        </is>
      </c>
      <c r="G29350" s="8" t="n">
        <v>0</v>
      </c>
      <c r="H29350" s="8" t="inlineStr">
        <is>
          <t>CLOSED</t>
        </is>
      </c>
    </row>
    <row r="29351">
      <c r="A29351" s="8" t="inlineStr">
        <is>
          <t>2026-08-06</t>
        </is>
      </c>
      <c r="B29351" s="8" t="n">
        <v>11</v>
      </c>
      <c r="C29351" s="8" t="n">
        <v>31</v>
      </c>
      <c r="D29351" s="8" t="inlineStr">
        <is>
          <t>Disneyland Park</t>
        </is>
      </c>
      <c r="E29351" s="8" t="inlineStr">
        <is>
          <t>Disneyland Railroad Main Street Station</t>
        </is>
      </c>
      <c r="F29351" s="8" t="inlineStr">
        <is>
          <t>STANDBY</t>
        </is>
      </c>
      <c r="G29351" s="8" t="n">
        <v>0</v>
      </c>
      <c r="H29351" s="8" t="inlineStr">
        <is>
          <t>CLOSED</t>
        </is>
      </c>
    </row>
    <row r="29352">
      <c r="A29352" s="8" t="inlineStr">
        <is>
          <t>2026-08-06</t>
        </is>
      </c>
      <c r="B29352" s="8" t="n">
        <v>11</v>
      </c>
      <c r="C29352" s="8" t="n">
        <v>31</v>
      </c>
      <c r="D29352" s="8" t="inlineStr">
        <is>
          <t>Disneyland Park</t>
        </is>
      </c>
      <c r="E29352" s="8" t="inlineStr">
        <is>
          <t>Dumbo the Flying Elephant</t>
        </is>
      </c>
      <c r="F29352" s="8" t="inlineStr">
        <is>
          <t>STANDBY</t>
        </is>
      </c>
      <c r="G29352" s="8" t="n">
        <v>25</v>
      </c>
      <c r="H29352" s="8" t="inlineStr">
        <is>
          <t>OPERATING</t>
        </is>
      </c>
    </row>
    <row r="29353">
      <c r="A29353" s="8" t="inlineStr">
        <is>
          <t>2026-08-06</t>
        </is>
      </c>
      <c r="B29353" s="8" t="n">
        <v>11</v>
      </c>
      <c r="C29353" s="8" t="n">
        <v>31</v>
      </c>
      <c r="D29353" s="8" t="inlineStr">
        <is>
          <t>Disneyland Park</t>
        </is>
      </c>
      <c r="E29353" s="8" t="inlineStr">
        <is>
          <t>La Tanière du Dragon</t>
        </is>
      </c>
      <c r="F29353" s="8" t="inlineStr">
        <is>
          <t>STANDBY</t>
        </is>
      </c>
      <c r="G29353" s="8" t="n">
        <v>0</v>
      </c>
      <c r="H29353" s="8" t="inlineStr">
        <is>
          <t>OPERATING</t>
        </is>
      </c>
    </row>
    <row r="29354">
      <c r="A29354" s="8" t="inlineStr">
        <is>
          <t>2026-08-06</t>
        </is>
      </c>
      <c r="B29354" s="8" t="n">
        <v>11</v>
      </c>
      <c r="C29354" s="8" t="n">
        <v>31</v>
      </c>
      <c r="D29354" s="8" t="inlineStr">
        <is>
          <t>Disneyland Park</t>
        </is>
      </c>
      <c r="E29354" s="8" t="inlineStr">
        <is>
          <t>Le Carrousel de Lancelot</t>
        </is>
      </c>
      <c r="F29354" s="8" t="inlineStr">
        <is>
          <t>STANDBY</t>
        </is>
      </c>
      <c r="G29354" s="8" t="n">
        <v>5</v>
      </c>
      <c r="H29354" s="8" t="inlineStr">
        <is>
          <t>OPERATING</t>
        </is>
      </c>
    </row>
    <row r="29355">
      <c r="A29355" s="8" t="inlineStr">
        <is>
          <t>2026-08-06</t>
        </is>
      </c>
      <c r="B29355" s="8" t="n">
        <v>11</v>
      </c>
      <c r="C29355" s="8" t="n">
        <v>31</v>
      </c>
      <c r="D29355" s="8" t="inlineStr">
        <is>
          <t>Disneyland Park</t>
        </is>
      </c>
      <c r="E29355" s="8" t="inlineStr">
        <is>
          <t>Le Pays des Contes de Fées, presented by Vittel</t>
        </is>
      </c>
      <c r="F29355" s="8" t="inlineStr">
        <is>
          <t>STANDBY</t>
        </is>
      </c>
      <c r="G29355" s="8" t="n">
        <v>5</v>
      </c>
      <c r="H29355" s="8" t="inlineStr">
        <is>
          <t>OPERATING</t>
        </is>
      </c>
    </row>
    <row r="29356">
      <c r="A29356" s="8" t="inlineStr">
        <is>
          <t>2026-08-06</t>
        </is>
      </c>
      <c r="B29356" s="8" t="n">
        <v>11</v>
      </c>
      <c r="C29356" s="8" t="n">
        <v>31</v>
      </c>
      <c r="D29356" s="8" t="inlineStr">
        <is>
          <t>Disneyland Park</t>
        </is>
      </c>
      <c r="E29356" s="8" t="inlineStr">
        <is>
          <t>Les Voyages de Pinocchio</t>
        </is>
      </c>
      <c r="F29356" s="8" t="inlineStr">
        <is>
          <t>STANDBY</t>
        </is>
      </c>
      <c r="G29356" s="8" t="n">
        <v>20</v>
      </c>
      <c r="H29356" s="8" t="inlineStr">
        <is>
          <t>OPERATING</t>
        </is>
      </c>
    </row>
    <row r="29357">
      <c r="A29357" s="8" t="inlineStr">
        <is>
          <t>2026-08-06</t>
        </is>
      </c>
      <c r="B29357" s="8" t="n">
        <v>11</v>
      </c>
      <c r="C29357" s="8" t="n">
        <v>31</v>
      </c>
      <c r="D29357" s="8" t="inlineStr">
        <is>
          <t>Disneyland Park</t>
        </is>
      </c>
      <c r="E29357" s="8" t="inlineStr">
        <is>
          <t>Mad Hatter's Tea Cups</t>
        </is>
      </c>
      <c r="F29357" s="8" t="inlineStr">
        <is>
          <t>STANDBY</t>
        </is>
      </c>
      <c r="G29357" s="8" t="n">
        <v>5</v>
      </c>
      <c r="H29357" s="8" t="inlineStr">
        <is>
          <t>OPERATING</t>
        </is>
      </c>
    </row>
    <row r="29358">
      <c r="A29358" s="8" t="inlineStr">
        <is>
          <t>2026-08-06</t>
        </is>
      </c>
      <c r="B29358" s="8" t="n">
        <v>11</v>
      </c>
      <c r="C29358" s="8" t="n">
        <v>31</v>
      </c>
      <c r="D29358" s="8" t="inlineStr">
        <is>
          <t>Disneyland Park</t>
        </is>
      </c>
      <c r="E29358" s="8" t="inlineStr">
        <is>
          <t>Meet Mickey Mouse</t>
        </is>
      </c>
      <c r="F29358" s="8" t="inlineStr">
        <is>
          <t>STANDBY</t>
        </is>
      </c>
      <c r="G29358" s="8" t="n">
        <v>0</v>
      </c>
      <c r="H29358" s="8" t="inlineStr">
        <is>
          <t>OPERATING</t>
        </is>
      </c>
    </row>
    <row r="29359">
      <c r="A29359" s="8" t="inlineStr">
        <is>
          <t>2026-08-06</t>
        </is>
      </c>
      <c r="B29359" s="8" t="n">
        <v>11</v>
      </c>
      <c r="C29359" s="8" t="n">
        <v>31</v>
      </c>
      <c r="D29359" s="8" t="inlineStr">
        <is>
          <t>Disneyland Park</t>
        </is>
      </c>
      <c r="E29359" s="8" t="inlineStr">
        <is>
          <t>Peter Pan's Flight</t>
        </is>
      </c>
      <c r="F29359" s="8" t="inlineStr">
        <is>
          <t>STANDBY</t>
        </is>
      </c>
      <c r="G29359" s="8" t="n">
        <v>50</v>
      </c>
      <c r="H29359" s="8" t="inlineStr">
        <is>
          <t>OPERATING</t>
        </is>
      </c>
    </row>
    <row r="29360">
      <c r="A29360" s="8" t="inlineStr">
        <is>
          <t>2026-08-06</t>
        </is>
      </c>
      <c r="B29360" s="8" t="n">
        <v>11</v>
      </c>
      <c r="C29360" s="8" t="n">
        <v>31</v>
      </c>
      <c r="D29360" s="8" t="inlineStr">
        <is>
          <t>Disneyland Park</t>
        </is>
      </c>
      <c r="E29360" s="8" t="inlineStr">
        <is>
          <t>Princess Pavilion</t>
        </is>
      </c>
      <c r="F29360" s="8" t="inlineStr">
        <is>
          <t>STANDBY</t>
        </is>
      </c>
      <c r="G29360" s="8" t="n">
        <v>0</v>
      </c>
      <c r="H29360" s="8" t="inlineStr">
        <is>
          <t>OPERATING</t>
        </is>
      </c>
    </row>
    <row r="29361">
      <c r="A29361" s="8" t="inlineStr">
        <is>
          <t>2026-08-06</t>
        </is>
      </c>
      <c r="B29361" s="8" t="n">
        <v>11</v>
      </c>
      <c r="C29361" s="8" t="n">
        <v>31</v>
      </c>
      <c r="D29361" s="8" t="inlineStr">
        <is>
          <t>Disneyland Park</t>
        </is>
      </c>
      <c r="E29361" s="8" t="inlineStr">
        <is>
          <t>Big Thunder Mountain</t>
        </is>
      </c>
      <c r="F29361" s="8" t="inlineStr">
        <is>
          <t>STANDBY</t>
        </is>
      </c>
      <c r="G29361" s="8" t="n">
        <v>75</v>
      </c>
      <c r="H29361" s="8" t="inlineStr">
        <is>
          <t>OPERATING</t>
        </is>
      </c>
    </row>
    <row r="29362">
      <c r="A29362" s="8" t="inlineStr">
        <is>
          <t>2026-08-06</t>
        </is>
      </c>
      <c r="B29362" s="8" t="n">
        <v>11</v>
      </c>
      <c r="C29362" s="8" t="n">
        <v>31</v>
      </c>
      <c r="D29362" s="8" t="inlineStr">
        <is>
          <t>Disneyland Park</t>
        </is>
      </c>
      <c r="E29362" s="8" t="inlineStr">
        <is>
          <t>Disneyland Railroad Frontierland Depot</t>
        </is>
      </c>
      <c r="F29362" s="8" t="inlineStr">
        <is>
          <t>STANDBY</t>
        </is>
      </c>
      <c r="G29362" s="8" t="n">
        <v>0</v>
      </c>
      <c r="H29362" s="8" t="inlineStr">
        <is>
          <t>CLOSED</t>
        </is>
      </c>
    </row>
    <row r="29363">
      <c r="A29363" s="8" t="inlineStr">
        <is>
          <t>2026-08-06</t>
        </is>
      </c>
      <c r="B29363" s="8" t="n">
        <v>11</v>
      </c>
      <c r="C29363" s="8" t="n">
        <v>31</v>
      </c>
      <c r="D29363" s="8" t="inlineStr">
        <is>
          <t>Disneyland Park</t>
        </is>
      </c>
      <c r="E29363" s="8" t="inlineStr">
        <is>
          <t>Frontierland Playground</t>
        </is>
      </c>
      <c r="F29363" s="8" t="inlineStr">
        <is>
          <t>STANDBY</t>
        </is>
      </c>
      <c r="G29363" s="8" t="n">
        <v>0</v>
      </c>
      <c r="H29363" s="8" t="inlineStr">
        <is>
          <t>OPERATING</t>
        </is>
      </c>
    </row>
    <row r="29364">
      <c r="A29364" s="8" t="inlineStr">
        <is>
          <t>2026-08-06</t>
        </is>
      </c>
      <c r="B29364" s="8" t="n">
        <v>11</v>
      </c>
      <c r="C29364" s="8" t="n">
        <v>31</v>
      </c>
      <c r="D29364" s="8" t="inlineStr">
        <is>
          <t>Disneyland Park</t>
        </is>
      </c>
      <c r="E29364" s="8" t="inlineStr">
        <is>
          <t>Phantom Manor</t>
        </is>
      </c>
      <c r="F29364" s="8" t="inlineStr">
        <is>
          <t>STANDBY</t>
        </is>
      </c>
      <c r="G29364" s="8" t="n">
        <v>20</v>
      </c>
      <c r="H29364" s="8" t="inlineStr">
        <is>
          <t>OPERATING</t>
        </is>
      </c>
    </row>
    <row r="29365">
      <c r="A29365" s="8" t="inlineStr">
        <is>
          <t>2026-08-06</t>
        </is>
      </c>
      <c r="B29365" s="8" t="n">
        <v>11</v>
      </c>
      <c r="C29365" s="8" t="n">
        <v>31</v>
      </c>
      <c r="D29365" s="8" t="inlineStr">
        <is>
          <t>Disneyland Park</t>
        </is>
      </c>
      <c r="E29365" s="8" t="inlineStr">
        <is>
          <t>River Rogue Keelboats</t>
        </is>
      </c>
      <c r="F29365" s="8" t="inlineStr">
        <is>
          <t>STANDBY</t>
        </is>
      </c>
      <c r="G29365" s="8" t="n">
        <v>0</v>
      </c>
      <c r="H29365" s="8" t="inlineStr">
        <is>
          <t>CLOSED</t>
        </is>
      </c>
    </row>
    <row r="29366">
      <c r="A29366" s="8" t="inlineStr">
        <is>
          <t>2026-08-06</t>
        </is>
      </c>
      <c r="B29366" s="8" t="n">
        <v>11</v>
      </c>
      <c r="C29366" s="8" t="n">
        <v>31</v>
      </c>
      <c r="D29366" s="8" t="inlineStr">
        <is>
          <t>Disneyland Park</t>
        </is>
      </c>
      <c r="E29366" s="8" t="inlineStr">
        <is>
          <t>Rustler Roundup Shootin' Gallery</t>
        </is>
      </c>
      <c r="F29366" s="8" t="inlineStr">
        <is>
          <t>STANDBY</t>
        </is>
      </c>
      <c r="G29366" s="8" t="n">
        <v>0</v>
      </c>
      <c r="H29366" s="8" t="inlineStr">
        <is>
          <t>OPERATING</t>
        </is>
      </c>
    </row>
    <row r="29367">
      <c r="A29367" s="8" t="inlineStr">
        <is>
          <t>2026-08-06</t>
        </is>
      </c>
      <c r="B29367" s="8" t="n">
        <v>11</v>
      </c>
      <c r="C29367" s="8" t="n">
        <v>31</v>
      </c>
      <c r="D29367" s="8" t="inlineStr">
        <is>
          <t>Disneyland Park</t>
        </is>
      </c>
      <c r="E29367" s="8" t="inlineStr">
        <is>
          <t>Thunder Mesa Riverboat Landing</t>
        </is>
      </c>
      <c r="F29367" s="8" t="inlineStr">
        <is>
          <t>STANDBY</t>
        </is>
      </c>
      <c r="G29367" s="8" t="n">
        <v>20</v>
      </c>
      <c r="H29367" s="8" t="inlineStr">
        <is>
          <t>OPERATING</t>
        </is>
      </c>
    </row>
    <row r="29368">
      <c r="A29368" s="8" t="inlineStr">
        <is>
          <t>2026-08-06</t>
        </is>
      </c>
      <c r="B29368" s="8" t="n">
        <v>11</v>
      </c>
      <c r="C29368" s="8" t="n">
        <v>31</v>
      </c>
      <c r="D29368" s="8" t="inlineStr">
        <is>
          <t>Disneyland Park</t>
        </is>
      </c>
      <c r="E29368" s="8" t="inlineStr">
        <is>
          <t>Disneyland Railroad Main Street Station</t>
        </is>
      </c>
      <c r="F29368" s="8" t="inlineStr">
        <is>
          <t>STANDBY</t>
        </is>
      </c>
      <c r="G29368" s="8" t="n">
        <v>0</v>
      </c>
      <c r="H29368" s="8" t="inlineStr">
        <is>
          <t>CLOSED</t>
        </is>
      </c>
    </row>
    <row r="29369">
      <c r="A29369" s="8" t="inlineStr">
        <is>
          <t>2026-08-06</t>
        </is>
      </c>
      <c r="B29369" s="8" t="n">
        <v>11</v>
      </c>
      <c r="C29369" s="8" t="n">
        <v>31</v>
      </c>
      <c r="D29369" s="8" t="inlineStr">
        <is>
          <t>Disneyland Park</t>
        </is>
      </c>
      <c r="E29369" s="8" t="inlineStr">
        <is>
          <t>Main Street Vehicles</t>
        </is>
      </c>
      <c r="F29369" s="8" t="inlineStr">
        <is>
          <t>STANDBY</t>
        </is>
      </c>
      <c r="G29369" s="8" t="n">
        <v>0</v>
      </c>
      <c r="H29369" s="8" t="inlineStr">
        <is>
          <t>CLOSED</t>
        </is>
      </c>
    </row>
    <row r="29370">
      <c r="A29370" s="8" t="inlineStr">
        <is>
          <t>2026-08-06</t>
        </is>
      </c>
      <c r="B29370" s="8" t="n">
        <v>11</v>
      </c>
      <c r="C29370" s="8" t="n">
        <v>31</v>
      </c>
      <c r="D29370" s="8" t="inlineStr">
        <is>
          <t>Disney Adventure World</t>
        </is>
      </c>
      <c r="E29370" s="8" t="inlineStr">
        <is>
          <t>Avengers Assemble: Flight Force</t>
        </is>
      </c>
      <c r="F29370" s="8" t="inlineStr">
        <is>
          <t>STANDBY</t>
        </is>
      </c>
      <c r="G29370" s="8" t="n">
        <v>50</v>
      </c>
      <c r="H29370" s="8" t="inlineStr">
        <is>
          <t>OPERATING</t>
        </is>
      </c>
    </row>
    <row r="29371">
      <c r="A29371" s="8" t="inlineStr">
        <is>
          <t>2026-08-06</t>
        </is>
      </c>
      <c r="B29371" s="8" t="n">
        <v>11</v>
      </c>
      <c r="C29371" s="8" t="n">
        <v>31</v>
      </c>
      <c r="D29371" s="8" t="inlineStr">
        <is>
          <t>Disney Adventure World</t>
        </is>
      </c>
      <c r="E29371" s="8" t="inlineStr">
        <is>
          <t>Avengers Assemble: Flight Force Single Rider</t>
        </is>
      </c>
      <c r="F29371" s="8" t="inlineStr">
        <is>
          <t>STANDBY</t>
        </is>
      </c>
      <c r="G29371" s="8" t="n">
        <v>30</v>
      </c>
      <c r="H29371" s="8" t="inlineStr">
        <is>
          <t>OPERATING</t>
        </is>
      </c>
    </row>
    <row r="29372">
      <c r="A29372" s="8" t="inlineStr">
        <is>
          <t>2026-08-06</t>
        </is>
      </c>
      <c r="B29372" s="8" t="n">
        <v>11</v>
      </c>
      <c r="C29372" s="8" t="n">
        <v>31</v>
      </c>
      <c r="D29372" s="8" t="inlineStr">
        <is>
          <t>Disney Adventure World</t>
        </is>
      </c>
      <c r="E29372" s="8" t="inlineStr">
        <is>
          <t>Spider-Man W.E.B. Adventure</t>
        </is>
      </c>
      <c r="F29372" s="8" t="inlineStr">
        <is>
          <t>STANDBY</t>
        </is>
      </c>
      <c r="G29372" s="8" t="n">
        <v>80</v>
      </c>
      <c r="H29372" s="8" t="inlineStr">
        <is>
          <t>OPERATING</t>
        </is>
      </c>
    </row>
    <row r="29373">
      <c r="A29373" s="8" t="inlineStr">
        <is>
          <t>2026-08-06</t>
        </is>
      </c>
      <c r="B29373" s="8" t="n">
        <v>11</v>
      </c>
      <c r="C29373" s="8" t="n">
        <v>31</v>
      </c>
      <c r="D29373" s="8" t="inlineStr">
        <is>
          <t>Disney Adventure World</t>
        </is>
      </c>
      <c r="E29373" s="8" t="inlineStr">
        <is>
          <t>Spider-Man W.E.B. Adventure Single Rider</t>
        </is>
      </c>
      <c r="F29373" s="8" t="inlineStr">
        <is>
          <t>STANDBY</t>
        </is>
      </c>
      <c r="G29373" s="8" t="n">
        <v>40</v>
      </c>
      <c r="H29373" s="8" t="inlineStr">
        <is>
          <t>OPERATING</t>
        </is>
      </c>
    </row>
    <row r="29374">
      <c r="A29374" s="8" t="inlineStr">
        <is>
          <t>2026-08-06</t>
        </is>
      </c>
      <c r="B29374" s="8" t="n">
        <v>11</v>
      </c>
      <c r="C29374" s="8" t="n">
        <v>31</v>
      </c>
      <c r="D29374" s="8" t="inlineStr">
        <is>
          <t>Disney Adventure World</t>
        </is>
      </c>
      <c r="E29374" s="8" t="inlineStr">
        <is>
          <t>The Twilight Zone Tower of Terror</t>
        </is>
      </c>
      <c r="F29374" s="8" t="inlineStr">
        <is>
          <t>STANDBY</t>
        </is>
      </c>
      <c r="G29374" s="8" t="n">
        <v>40</v>
      </c>
      <c r="H29374" s="8" t="inlineStr">
        <is>
          <t>OPERATING</t>
        </is>
      </c>
    </row>
    <row r="29375">
      <c r="A29375" s="8" t="inlineStr">
        <is>
          <t>2026-08-06</t>
        </is>
      </c>
      <c r="B29375" s="8" t="n">
        <v>11</v>
      </c>
      <c r="C29375" s="8" t="n">
        <v>31</v>
      </c>
      <c r="D29375" s="8" t="inlineStr">
        <is>
          <t>Disney Adventure World</t>
        </is>
      </c>
      <c r="E29375" s="8" t="inlineStr">
        <is>
          <t>Cars Quatre Roues Rallye</t>
        </is>
      </c>
      <c r="F29375" s="8" t="inlineStr">
        <is>
          <t>STANDBY</t>
        </is>
      </c>
      <c r="G29375" s="8" t="n">
        <v>25</v>
      </c>
      <c r="H29375" s="8" t="inlineStr">
        <is>
          <t>OPERATING</t>
        </is>
      </c>
    </row>
    <row r="29376">
      <c r="A29376" s="8" t="inlineStr">
        <is>
          <t>2026-08-06</t>
        </is>
      </c>
      <c r="B29376" s="8" t="n">
        <v>11</v>
      </c>
      <c r="C29376" s="8" t="n">
        <v>31</v>
      </c>
      <c r="D29376" s="8" t="inlineStr">
        <is>
          <t>Disney Adventure World</t>
        </is>
      </c>
      <c r="E29376" s="8" t="inlineStr">
        <is>
          <t>Cars ROAD TRIP</t>
        </is>
      </c>
      <c r="F29376" s="8" t="inlineStr">
        <is>
          <t>STANDBY</t>
        </is>
      </c>
      <c r="G29376" s="8" t="n">
        <v>45</v>
      </c>
      <c r="H29376" s="8" t="inlineStr">
        <is>
          <t>OPERATING</t>
        </is>
      </c>
    </row>
    <row r="29377">
      <c r="A29377" s="8" t="inlineStr">
        <is>
          <t>2026-08-06</t>
        </is>
      </c>
      <c r="B29377" s="8" t="n">
        <v>11</v>
      </c>
      <c r="C29377" s="8" t="n">
        <v>31</v>
      </c>
      <c r="D29377" s="8" t="inlineStr">
        <is>
          <t>Disney Adventure World</t>
        </is>
      </c>
      <c r="E29377" s="8" t="inlineStr">
        <is>
          <t>Crush's Coaster</t>
        </is>
      </c>
      <c r="F29377" s="8" t="inlineStr">
        <is>
          <t>STANDBY</t>
        </is>
      </c>
      <c r="G29377" s="8" t="n">
        <v>95</v>
      </c>
      <c r="H29377" s="8" t="inlineStr">
        <is>
          <t>OPERATING</t>
        </is>
      </c>
    </row>
    <row r="29378">
      <c r="A29378" s="8" t="inlineStr">
        <is>
          <t>2026-08-06</t>
        </is>
      </c>
      <c r="B29378" s="8" t="n">
        <v>11</v>
      </c>
      <c r="C29378" s="8" t="n">
        <v>31</v>
      </c>
      <c r="D29378" s="8" t="inlineStr">
        <is>
          <t>Disney Adventure World</t>
        </is>
      </c>
      <c r="E29378" s="8" t="inlineStr">
        <is>
          <t>Crush's Coaster Single Rider</t>
        </is>
      </c>
      <c r="F29378" s="8" t="inlineStr">
        <is>
          <t>STANDBY</t>
        </is>
      </c>
      <c r="G29378" s="8" t="n">
        <v>60</v>
      </c>
      <c r="H29378" s="8" t="inlineStr">
        <is>
          <t>OPERATING</t>
        </is>
      </c>
    </row>
    <row r="29379">
      <c r="A29379" s="8" t="inlineStr">
        <is>
          <t>2026-08-06</t>
        </is>
      </c>
      <c r="B29379" s="8" t="n">
        <v>11</v>
      </c>
      <c r="C29379" s="8" t="n">
        <v>31</v>
      </c>
      <c r="D29379" s="8" t="inlineStr">
        <is>
          <t>Disney Adventure World</t>
        </is>
      </c>
      <c r="E29379" s="8" t="inlineStr">
        <is>
          <t>Les Tapis Volants - Flying Carpets Over Agrabah®</t>
        </is>
      </c>
      <c r="F29379" s="8" t="inlineStr">
        <is>
          <t>STANDBY</t>
        </is>
      </c>
      <c r="G29379" s="8" t="n">
        <v>25</v>
      </c>
      <c r="H29379" s="8" t="inlineStr">
        <is>
          <t>OPERATING</t>
        </is>
      </c>
    </row>
    <row r="29380">
      <c r="A29380" s="8" t="inlineStr">
        <is>
          <t>2026-08-06</t>
        </is>
      </c>
      <c r="B29380" s="8" t="n">
        <v>11</v>
      </c>
      <c r="C29380" s="8" t="n">
        <v>31</v>
      </c>
      <c r="D29380" s="8" t="inlineStr">
        <is>
          <t>Disney Adventure World</t>
        </is>
      </c>
      <c r="E29380" s="8" t="inlineStr">
        <is>
          <t>Ratatouille : L’Aventure Totalement Toquée de Rémy​</t>
        </is>
      </c>
      <c r="F29380" s="8" t="inlineStr">
        <is>
          <t>STANDBY</t>
        </is>
      </c>
      <c r="G29380" s="8" t="n">
        <v>0</v>
      </c>
      <c r="H29380" s="8" t="inlineStr">
        <is>
          <t>CLOSED</t>
        </is>
      </c>
    </row>
    <row r="29381">
      <c r="A29381" s="8" t="inlineStr">
        <is>
          <t>2026-08-06</t>
        </is>
      </c>
      <c r="B29381" s="8" t="n">
        <v>11</v>
      </c>
      <c r="C29381" s="8" t="n">
        <v>31</v>
      </c>
      <c r="D29381" s="8" t="inlineStr">
        <is>
          <t>Disney Adventure World</t>
        </is>
      </c>
      <c r="E29381" s="8" t="inlineStr">
        <is>
          <t>Ratatouille: The Adventure Single Rider</t>
        </is>
      </c>
      <c r="F29381" s="8" t="inlineStr">
        <is>
          <t>STANDBY</t>
        </is>
      </c>
      <c r="G29381" s="8" t="n">
        <v>0</v>
      </c>
      <c r="H29381" s="8" t="inlineStr">
        <is>
          <t>CLOSED</t>
        </is>
      </c>
    </row>
    <row r="29382">
      <c r="A29382" s="8" t="inlineStr">
        <is>
          <t>2026-08-06</t>
        </is>
      </c>
      <c r="B29382" s="8" t="n">
        <v>11</v>
      </c>
      <c r="C29382" s="8" t="n">
        <v>31</v>
      </c>
      <c r="D29382" s="8" t="inlineStr">
        <is>
          <t>Disney Adventure World</t>
        </is>
      </c>
      <c r="E29382" s="8" t="inlineStr">
        <is>
          <t>RC Racer</t>
        </is>
      </c>
      <c r="F29382" s="8" t="inlineStr">
        <is>
          <t>STANDBY</t>
        </is>
      </c>
      <c r="G29382" s="8" t="n">
        <v>55</v>
      </c>
      <c r="H29382" s="8" t="inlineStr">
        <is>
          <t>OPERATING</t>
        </is>
      </c>
    </row>
    <row r="29383">
      <c r="A29383" s="8" t="inlineStr">
        <is>
          <t>2026-08-06</t>
        </is>
      </c>
      <c r="B29383" s="8" t="n">
        <v>11</v>
      </c>
      <c r="C29383" s="8" t="n">
        <v>31</v>
      </c>
      <c r="D29383" s="8" t="inlineStr">
        <is>
          <t>Disney Adventure World</t>
        </is>
      </c>
      <c r="E29383" s="8" t="inlineStr">
        <is>
          <t>RC Racer Single Rider</t>
        </is>
      </c>
      <c r="F29383" s="8" t="inlineStr">
        <is>
          <t>STANDBY</t>
        </is>
      </c>
      <c r="G29383" s="8" t="n">
        <v>50</v>
      </c>
      <c r="H29383" s="8" t="inlineStr">
        <is>
          <t>OPERATING</t>
        </is>
      </c>
    </row>
    <row r="29384">
      <c r="A29384" s="8" t="inlineStr">
        <is>
          <t>2026-08-06</t>
        </is>
      </c>
      <c r="B29384" s="8" t="n">
        <v>11</v>
      </c>
      <c r="C29384" s="8" t="n">
        <v>31</v>
      </c>
      <c r="D29384" s="8" t="inlineStr">
        <is>
          <t>Disney Adventure World</t>
        </is>
      </c>
      <c r="E29384" s="8" t="inlineStr">
        <is>
          <t>Slinky® Dog Zigzag Spin</t>
        </is>
      </c>
      <c r="F29384" s="8" t="inlineStr">
        <is>
          <t>STANDBY</t>
        </is>
      </c>
      <c r="G29384" s="8" t="n">
        <v>40</v>
      </c>
      <c r="H29384" s="8" t="inlineStr">
        <is>
          <t>OPERATING</t>
        </is>
      </c>
    </row>
    <row r="29385">
      <c r="A29385" s="8" t="inlineStr">
        <is>
          <t>2026-08-06</t>
        </is>
      </c>
      <c r="B29385" s="8" t="n">
        <v>11</v>
      </c>
      <c r="C29385" s="8" t="n">
        <v>31</v>
      </c>
      <c r="D29385" s="8" t="inlineStr">
        <is>
          <t>Disney Adventure World</t>
        </is>
      </c>
      <c r="E29385" s="8" t="inlineStr">
        <is>
          <t>Toy Soldiers Parachute Drop</t>
        </is>
      </c>
      <c r="F29385" s="8" t="inlineStr">
        <is>
          <t>STANDBY</t>
        </is>
      </c>
      <c r="G29385" s="8" t="n">
        <v>70</v>
      </c>
      <c r="H29385" s="8" t="inlineStr">
        <is>
          <t>OPERATING</t>
        </is>
      </c>
    </row>
    <row r="29386">
      <c r="A29386" s="8" t="inlineStr">
        <is>
          <t>2026-08-06</t>
        </is>
      </c>
      <c r="B29386" s="8" t="n">
        <v>11</v>
      </c>
      <c r="C29386" s="8" t="n">
        <v>31</v>
      </c>
      <c r="D29386" s="8" t="inlineStr">
        <is>
          <t>Disney Adventure World</t>
        </is>
      </c>
      <c r="E29386" s="8" t="inlineStr">
        <is>
          <t>Toy Soldiers Parachute Drop Single Rider</t>
        </is>
      </c>
      <c r="F29386" s="8" t="inlineStr">
        <is>
          <t>STANDBY</t>
        </is>
      </c>
      <c r="G29386" s="8" t="n">
        <v>30</v>
      </c>
      <c r="H29386" s="8" t="inlineStr">
        <is>
          <t>OPERATING</t>
        </is>
      </c>
    </row>
    <row r="29387">
      <c r="A29387" s="8" t="inlineStr">
        <is>
          <t>2026-08-06</t>
        </is>
      </c>
      <c r="B29387" s="8" t="n">
        <v>11</v>
      </c>
      <c r="C29387" s="8" t="n">
        <v>31</v>
      </c>
      <c r="D29387" s="8" t="inlineStr">
        <is>
          <t>Disney Adventure World</t>
        </is>
      </c>
      <c r="E29387" s="8" t="inlineStr">
        <is>
          <t>Entry to World of Frozen</t>
        </is>
      </c>
      <c r="F29387" s="8" t="inlineStr">
        <is>
          <t>STANDBY</t>
        </is>
      </c>
      <c r="G29387" s="8" t="n">
        <v>0</v>
      </c>
      <c r="H29387" s="8" t="inlineStr">
        <is>
          <t>OPERATING</t>
        </is>
      </c>
    </row>
    <row r="29388">
      <c r="A29388" s="8" t="inlineStr">
        <is>
          <t>2026-08-06</t>
        </is>
      </c>
      <c r="B29388" s="8" t="n">
        <v>11</v>
      </c>
      <c r="C29388" s="8" t="n">
        <v>31</v>
      </c>
      <c r="D29388" s="8" t="inlineStr">
        <is>
          <t>Disney Adventure World</t>
        </is>
      </c>
      <c r="E29388" s="8" t="inlineStr">
        <is>
          <t>Frozen Ever After</t>
        </is>
      </c>
      <c r="F29388" s="8" t="inlineStr">
        <is>
          <t>STANDBY</t>
        </is>
      </c>
      <c r="G29388" s="8" t="n">
        <v>80</v>
      </c>
      <c r="H29388" s="8" t="inlineStr">
        <is>
          <t>OPERATING</t>
        </is>
      </c>
    </row>
    <row r="29389">
      <c r="A29389" s="8" t="inlineStr">
        <is>
          <t>2026-08-06</t>
        </is>
      </c>
      <c r="B29389" s="8" t="n">
        <v>11</v>
      </c>
      <c r="C29389" s="8" t="n">
        <v>31</v>
      </c>
      <c r="D29389" s="8" t="inlineStr">
        <is>
          <t>Disney Adventure World</t>
        </is>
      </c>
      <c r="E29389" s="8" t="inlineStr">
        <is>
          <t>Raiponce Tangled Spin</t>
        </is>
      </c>
      <c r="F29389" s="8" t="inlineStr">
        <is>
          <t>STANDBY</t>
        </is>
      </c>
      <c r="G29389" s="8" t="n">
        <v>15</v>
      </c>
      <c r="H29389" s="8" t="inlineStr">
        <is>
          <t>OPERATING</t>
        </is>
      </c>
    </row>
    <row r="29390">
      <c r="A29390" s="8" t="inlineStr">
        <is>
          <t>2026-08-06</t>
        </is>
      </c>
      <c r="B29390" s="8" t="n">
        <v>11</v>
      </c>
      <c r="C29390" s="8" t="n">
        <v>45</v>
      </c>
      <c r="D29390" s="8" t="inlineStr">
        <is>
          <t>Disneyland Park</t>
        </is>
      </c>
      <c r="E29390" s="8" t="inlineStr">
        <is>
          <t>Adventure Isle</t>
        </is>
      </c>
      <c r="F29390" s="8" t="inlineStr">
        <is>
          <t>STANDBY</t>
        </is>
      </c>
      <c r="G29390" s="8" t="n">
        <v>0</v>
      </c>
      <c r="H29390" s="8" t="inlineStr">
        <is>
          <t>OPERATING</t>
        </is>
      </c>
    </row>
    <row r="29391">
      <c r="A29391" s="8" t="inlineStr">
        <is>
          <t>2026-08-06</t>
        </is>
      </c>
      <c r="B29391" s="8" t="n">
        <v>11</v>
      </c>
      <c r="C29391" s="8" t="n">
        <v>45</v>
      </c>
      <c r="D29391" s="8" t="inlineStr">
        <is>
          <t>Disneyland Park</t>
        </is>
      </c>
      <c r="E29391" s="8" t="inlineStr">
        <is>
          <t>Indiana Jones and the Temple of Peril Single Rider</t>
        </is>
      </c>
      <c r="F29391" s="8" t="inlineStr">
        <is>
          <t>STANDBY</t>
        </is>
      </c>
      <c r="G29391" s="8" t="n">
        <v>20</v>
      </c>
      <c r="H29391" s="8" t="inlineStr">
        <is>
          <t>OPERATING</t>
        </is>
      </c>
    </row>
    <row r="29392">
      <c r="A29392" s="8" t="inlineStr">
        <is>
          <t>2026-08-06</t>
        </is>
      </c>
      <c r="B29392" s="8" t="n">
        <v>11</v>
      </c>
      <c r="C29392" s="8" t="n">
        <v>45</v>
      </c>
      <c r="D29392" s="8" t="inlineStr">
        <is>
          <t>Disneyland Park</t>
        </is>
      </c>
      <c r="E29392" s="8" t="inlineStr">
        <is>
          <t>Indiana Jones™ and the Temple of Peril</t>
        </is>
      </c>
      <c r="F29392" s="8" t="inlineStr">
        <is>
          <t>STANDBY</t>
        </is>
      </c>
      <c r="G29392" s="8" t="n">
        <v>30</v>
      </c>
      <c r="H29392" s="8" t="inlineStr">
        <is>
          <t>OPERATING</t>
        </is>
      </c>
    </row>
    <row r="29393">
      <c r="A29393" s="8" t="inlineStr">
        <is>
          <t>2026-08-06</t>
        </is>
      </c>
      <c r="B29393" s="8" t="n">
        <v>11</v>
      </c>
      <c r="C29393" s="8" t="n">
        <v>45</v>
      </c>
      <c r="D29393" s="8" t="inlineStr">
        <is>
          <t>Disneyland Park</t>
        </is>
      </c>
      <c r="E29393" s="8" t="inlineStr">
        <is>
          <t>La Cabane des Robinson</t>
        </is>
      </c>
      <c r="F29393" s="8" t="inlineStr">
        <is>
          <t>STANDBY</t>
        </is>
      </c>
      <c r="G29393" s="8" t="n">
        <v>5</v>
      </c>
      <c r="H29393" s="8" t="inlineStr">
        <is>
          <t>OPERATING</t>
        </is>
      </c>
    </row>
    <row r="29394">
      <c r="A29394" s="8" t="inlineStr">
        <is>
          <t>2026-08-06</t>
        </is>
      </c>
      <c r="B29394" s="8" t="n">
        <v>11</v>
      </c>
      <c r="C29394" s="8" t="n">
        <v>45</v>
      </c>
      <c r="D29394" s="8" t="inlineStr">
        <is>
          <t>Disneyland Park</t>
        </is>
      </c>
      <c r="E29394" s="8" t="inlineStr">
        <is>
          <t>Le Passage Enchanté d'Aladdin</t>
        </is>
      </c>
      <c r="F29394" s="8" t="inlineStr">
        <is>
          <t>STANDBY</t>
        </is>
      </c>
      <c r="G29394" s="8" t="n">
        <v>0</v>
      </c>
      <c r="H29394" s="8" t="inlineStr">
        <is>
          <t>OPERATING</t>
        </is>
      </c>
    </row>
    <row r="29395">
      <c r="A29395" s="8" t="inlineStr">
        <is>
          <t>2026-08-06</t>
        </is>
      </c>
      <c r="B29395" s="8" t="n">
        <v>11</v>
      </c>
      <c r="C29395" s="8" t="n">
        <v>45</v>
      </c>
      <c r="D29395" s="8" t="inlineStr">
        <is>
          <t>Disneyland Park</t>
        </is>
      </c>
      <c r="E29395" s="8" t="inlineStr">
        <is>
          <t>Pirate Galleon</t>
        </is>
      </c>
      <c r="F29395" s="8" t="inlineStr">
        <is>
          <t>STANDBY</t>
        </is>
      </c>
      <c r="G29395" s="8" t="n">
        <v>0</v>
      </c>
      <c r="H29395" s="8" t="inlineStr">
        <is>
          <t>CLOSED</t>
        </is>
      </c>
    </row>
    <row r="29396">
      <c r="A29396" s="8" t="inlineStr">
        <is>
          <t>2026-08-06</t>
        </is>
      </c>
      <c r="B29396" s="8" t="n">
        <v>11</v>
      </c>
      <c r="C29396" s="8" t="n">
        <v>45</v>
      </c>
      <c r="D29396" s="8" t="inlineStr">
        <is>
          <t>Disneyland Park</t>
        </is>
      </c>
      <c r="E29396" s="8" t="inlineStr">
        <is>
          <t>Pirates of the Caribbean</t>
        </is>
      </c>
      <c r="F29396" s="8" t="inlineStr">
        <is>
          <t>STANDBY</t>
        </is>
      </c>
      <c r="G29396" s="8" t="n">
        <v>25</v>
      </c>
      <c r="H29396" s="8" t="inlineStr">
        <is>
          <t>OPERATING</t>
        </is>
      </c>
    </row>
    <row r="29397">
      <c r="A29397" s="8" t="inlineStr">
        <is>
          <t>2026-08-06</t>
        </is>
      </c>
      <c r="B29397" s="8" t="n">
        <v>11</v>
      </c>
      <c r="C29397" s="8" t="n">
        <v>45</v>
      </c>
      <c r="D29397" s="8" t="inlineStr">
        <is>
          <t>Disneyland Park</t>
        </is>
      </c>
      <c r="E29397" s="8" t="inlineStr">
        <is>
          <t>Pirates' Beach</t>
        </is>
      </c>
      <c r="F29397" s="8" t="inlineStr">
        <is>
          <t>STANDBY</t>
        </is>
      </c>
      <c r="G29397" s="8" t="n">
        <v>0</v>
      </c>
      <c r="H29397" s="8" t="inlineStr">
        <is>
          <t>OPERATING</t>
        </is>
      </c>
    </row>
    <row r="29398">
      <c r="A29398" s="8" t="inlineStr">
        <is>
          <t>2026-08-06</t>
        </is>
      </c>
      <c r="B29398" s="8" t="n">
        <v>11</v>
      </c>
      <c r="C29398" s="8" t="n">
        <v>45</v>
      </c>
      <c r="D29398" s="8" t="inlineStr">
        <is>
          <t>Disneyland Park</t>
        </is>
      </c>
      <c r="E29398" s="8" t="inlineStr">
        <is>
          <t>Autopia, presented by Avis</t>
        </is>
      </c>
      <c r="F29398" s="8" t="inlineStr">
        <is>
          <t>STANDBY</t>
        </is>
      </c>
      <c r="G29398" s="8" t="n">
        <v>30</v>
      </c>
      <c r="H29398" s="8" t="inlineStr">
        <is>
          <t>OPERATING</t>
        </is>
      </c>
    </row>
    <row r="29399">
      <c r="A29399" s="8" t="inlineStr">
        <is>
          <t>2026-08-06</t>
        </is>
      </c>
      <c r="B29399" s="8" t="n">
        <v>11</v>
      </c>
      <c r="C29399" s="8" t="n">
        <v>45</v>
      </c>
      <c r="D29399" s="8" t="inlineStr">
        <is>
          <t>Disneyland Park</t>
        </is>
      </c>
      <c r="E29399" s="8" t="inlineStr">
        <is>
          <t>Buzz Lightyear Laser Blast</t>
        </is>
      </c>
      <c r="F29399" s="8" t="inlineStr">
        <is>
          <t>STANDBY</t>
        </is>
      </c>
      <c r="G29399" s="8" t="n">
        <v>40</v>
      </c>
      <c r="H29399" s="8" t="inlineStr">
        <is>
          <t>OPERATING</t>
        </is>
      </c>
    </row>
    <row r="29400">
      <c r="A29400" s="8" t="inlineStr">
        <is>
          <t>2026-08-06</t>
        </is>
      </c>
      <c r="B29400" s="8" t="n">
        <v>11</v>
      </c>
      <c r="C29400" s="8" t="n">
        <v>45</v>
      </c>
      <c r="D29400" s="8" t="inlineStr">
        <is>
          <t>Disneyland Park</t>
        </is>
      </c>
      <c r="E29400" s="8" t="inlineStr">
        <is>
          <t>Disneyland Railroad Discoveryland Station</t>
        </is>
      </c>
      <c r="F29400" s="8" t="inlineStr">
        <is>
          <t>STANDBY</t>
        </is>
      </c>
      <c r="G29400" s="8" t="n">
        <v>0</v>
      </c>
      <c r="H29400" s="8" t="inlineStr">
        <is>
          <t>CLOSED</t>
        </is>
      </c>
    </row>
    <row r="29401">
      <c r="A29401" s="8" t="inlineStr">
        <is>
          <t>2026-08-06</t>
        </is>
      </c>
      <c r="B29401" s="8" t="n">
        <v>11</v>
      </c>
      <c r="C29401" s="8" t="n">
        <v>45</v>
      </c>
      <c r="D29401" s="8" t="inlineStr">
        <is>
          <t>Disneyland Park</t>
        </is>
      </c>
      <c r="E29401" s="8" t="inlineStr">
        <is>
          <t>Les Mystères du Nautilus</t>
        </is>
      </c>
      <c r="F29401" s="8" t="inlineStr">
        <is>
          <t>STANDBY</t>
        </is>
      </c>
      <c r="G29401" s="8" t="n">
        <v>5</v>
      </c>
      <c r="H29401" s="8" t="inlineStr">
        <is>
          <t>OPERATING</t>
        </is>
      </c>
    </row>
    <row r="29402">
      <c r="A29402" s="8" t="inlineStr">
        <is>
          <t>2026-08-06</t>
        </is>
      </c>
      <c r="B29402" s="8" t="n">
        <v>11</v>
      </c>
      <c r="C29402" s="8" t="n">
        <v>45</v>
      </c>
      <c r="D29402" s="8" t="inlineStr">
        <is>
          <t>Disneyland Park</t>
        </is>
      </c>
      <c r="E29402" s="8" t="inlineStr">
        <is>
          <t>Mickey’s PhilharMagic</t>
        </is>
      </c>
      <c r="F29402" s="8" t="inlineStr">
        <is>
          <t>STANDBY</t>
        </is>
      </c>
      <c r="G29402" s="8" t="n">
        <v>0</v>
      </c>
      <c r="H29402" s="8" t="inlineStr">
        <is>
          <t>CLOSED</t>
        </is>
      </c>
    </row>
    <row r="29403">
      <c r="A29403" s="8" t="inlineStr">
        <is>
          <t>2026-08-06</t>
        </is>
      </c>
      <c r="B29403" s="8" t="n">
        <v>11</v>
      </c>
      <c r="C29403" s="8" t="n">
        <v>45</v>
      </c>
      <c r="D29403" s="8" t="inlineStr">
        <is>
          <t>Disneyland Park</t>
        </is>
      </c>
      <c r="E29403" s="8" t="inlineStr">
        <is>
          <t>Orbitron®</t>
        </is>
      </c>
      <c r="F29403" s="8" t="inlineStr">
        <is>
          <t>STANDBY</t>
        </is>
      </c>
      <c r="G29403" s="8" t="n">
        <v>45</v>
      </c>
      <c r="H29403" s="8" t="inlineStr">
        <is>
          <t>OPERATING</t>
        </is>
      </c>
    </row>
    <row r="29404">
      <c r="A29404" s="8" t="inlineStr">
        <is>
          <t>2026-08-06</t>
        </is>
      </c>
      <c r="B29404" s="8" t="n">
        <v>11</v>
      </c>
      <c r="C29404" s="8" t="n">
        <v>45</v>
      </c>
      <c r="D29404" s="8" t="inlineStr">
        <is>
          <t>Disneyland Park</t>
        </is>
      </c>
      <c r="E29404" s="8" t="inlineStr">
        <is>
          <t>Star Tours: The Adventures Continue*</t>
        </is>
      </c>
      <c r="F29404" s="8" t="inlineStr">
        <is>
          <t>STANDBY</t>
        </is>
      </c>
      <c r="G29404" s="8" t="n">
        <v>20</v>
      </c>
      <c r="H29404" s="8" t="inlineStr">
        <is>
          <t>OPERATING</t>
        </is>
      </c>
    </row>
    <row r="29405">
      <c r="A29405" s="8" t="inlineStr">
        <is>
          <t>2026-08-06</t>
        </is>
      </c>
      <c r="B29405" s="8" t="n">
        <v>11</v>
      </c>
      <c r="C29405" s="8" t="n">
        <v>45</v>
      </c>
      <c r="D29405" s="8" t="inlineStr">
        <is>
          <t>Disneyland Park</t>
        </is>
      </c>
      <c r="E29405" s="8" t="inlineStr">
        <is>
          <t>Star Wars Hyperspace Mountain</t>
        </is>
      </c>
      <c r="F29405" s="8" t="inlineStr">
        <is>
          <t>STANDBY</t>
        </is>
      </c>
      <c r="G29405" s="8" t="n">
        <v>30</v>
      </c>
      <c r="H29405" s="8" t="inlineStr">
        <is>
          <t>OPERATING</t>
        </is>
      </c>
    </row>
    <row r="29406">
      <c r="A29406" s="8" t="inlineStr">
        <is>
          <t>2026-08-06</t>
        </is>
      </c>
      <c r="B29406" s="8" t="n">
        <v>11</v>
      </c>
      <c r="C29406" s="8" t="n">
        <v>45</v>
      </c>
      <c r="D29406" s="8" t="inlineStr">
        <is>
          <t>Disneyland Park</t>
        </is>
      </c>
      <c r="E29406" s="8" t="inlineStr">
        <is>
          <t>Star Wars Hyperspace Mountain Single Rider</t>
        </is>
      </c>
      <c r="F29406" s="8" t="inlineStr">
        <is>
          <t>STANDBY</t>
        </is>
      </c>
      <c r="G29406" s="8" t="n">
        <v>25</v>
      </c>
      <c r="H29406" s="8" t="inlineStr">
        <is>
          <t>OPERATING</t>
        </is>
      </c>
    </row>
    <row r="29407">
      <c r="A29407" s="8" t="inlineStr">
        <is>
          <t>2026-08-06</t>
        </is>
      </c>
      <c r="B29407" s="8" t="n">
        <v>11</v>
      </c>
      <c r="C29407" s="8" t="n">
        <v>45</v>
      </c>
      <c r="D29407" s="8" t="inlineStr">
        <is>
          <t>Disneyland Park</t>
        </is>
      </c>
      <c r="E29407" s="8" t="inlineStr">
        <is>
          <t>Welcome to Starport: A Star Wars Encounter</t>
        </is>
      </c>
      <c r="F29407" s="8" t="inlineStr">
        <is>
          <t>STANDBY</t>
        </is>
      </c>
      <c r="G29407" s="8" t="n">
        <v>15</v>
      </c>
      <c r="H29407" s="8" t="inlineStr">
        <is>
          <t>OPERATING</t>
        </is>
      </c>
    </row>
    <row r="29408">
      <c r="A29408" s="8" t="inlineStr">
        <is>
          <t>2026-08-06</t>
        </is>
      </c>
      <c r="B29408" s="8" t="n">
        <v>11</v>
      </c>
      <c r="C29408" s="8" t="n">
        <v>45</v>
      </c>
      <c r="D29408" s="8" t="inlineStr">
        <is>
          <t>Disneyland Park</t>
        </is>
      </c>
      <c r="E29408" s="8" t="inlineStr">
        <is>
          <t>"it's a small world"</t>
        </is>
      </c>
      <c r="F29408" s="8" t="inlineStr">
        <is>
          <t>STANDBY</t>
        </is>
      </c>
      <c r="G29408" s="8" t="n">
        <v>5</v>
      </c>
      <c r="H29408" s="8" t="inlineStr">
        <is>
          <t>OPERATING</t>
        </is>
      </c>
    </row>
    <row r="29409">
      <c r="A29409" s="8" t="inlineStr">
        <is>
          <t>2026-08-06</t>
        </is>
      </c>
      <c r="B29409" s="8" t="n">
        <v>11</v>
      </c>
      <c r="C29409" s="8" t="n">
        <v>45</v>
      </c>
      <c r="D29409" s="8" t="inlineStr">
        <is>
          <t>Disneyland Park</t>
        </is>
      </c>
      <c r="E29409" s="8" t="inlineStr">
        <is>
          <t>Alice's Curious Labyrinth</t>
        </is>
      </c>
      <c r="F29409" s="8" t="inlineStr">
        <is>
          <t>STANDBY</t>
        </is>
      </c>
      <c r="G29409" s="8" t="n">
        <v>5</v>
      </c>
      <c r="H29409" s="8" t="inlineStr">
        <is>
          <t>OPERATING</t>
        </is>
      </c>
    </row>
    <row r="29410">
      <c r="A29410" s="8" t="inlineStr">
        <is>
          <t>2026-08-06</t>
        </is>
      </c>
      <c r="B29410" s="8" t="n">
        <v>11</v>
      </c>
      <c r="C29410" s="8" t="n">
        <v>45</v>
      </c>
      <c r="D29410" s="8" t="inlineStr">
        <is>
          <t>Disneyland Park</t>
        </is>
      </c>
      <c r="E29410" s="8" t="inlineStr">
        <is>
          <t>Blanche-Neige et les Sept Nains®</t>
        </is>
      </c>
      <c r="F29410" s="8" t="inlineStr">
        <is>
          <t>STANDBY</t>
        </is>
      </c>
      <c r="G29410" s="8" t="n">
        <v>15</v>
      </c>
      <c r="H29410" s="8" t="inlineStr">
        <is>
          <t>OPERATING</t>
        </is>
      </c>
    </row>
    <row r="29411">
      <c r="A29411" s="8" t="inlineStr">
        <is>
          <t>2026-08-06</t>
        </is>
      </c>
      <c r="B29411" s="8" t="n">
        <v>11</v>
      </c>
      <c r="C29411" s="8" t="n">
        <v>45</v>
      </c>
      <c r="D29411" s="8" t="inlineStr">
        <is>
          <t>Disneyland Park</t>
        </is>
      </c>
      <c r="E29411" s="8" t="inlineStr">
        <is>
          <t>Casey Jr. – le Petit Train du Cirque</t>
        </is>
      </c>
      <c r="F29411" s="8" t="inlineStr">
        <is>
          <t>STANDBY</t>
        </is>
      </c>
      <c r="G29411" s="8" t="n">
        <v>10</v>
      </c>
      <c r="H29411" s="8" t="inlineStr">
        <is>
          <t>OPERATING</t>
        </is>
      </c>
    </row>
    <row r="29412">
      <c r="A29412" s="8" t="inlineStr">
        <is>
          <t>2026-08-06</t>
        </is>
      </c>
      <c r="B29412" s="8" t="n">
        <v>11</v>
      </c>
      <c r="C29412" s="8" t="n">
        <v>45</v>
      </c>
      <c r="D29412" s="8" t="inlineStr">
        <is>
          <t>Disneyland Park</t>
        </is>
      </c>
      <c r="E29412" s="8" t="inlineStr">
        <is>
          <t>Disneyland Railroad Fantasyland Station</t>
        </is>
      </c>
      <c r="F29412" s="8" t="inlineStr">
        <is>
          <t>STANDBY</t>
        </is>
      </c>
      <c r="G29412" s="8" t="n">
        <v>0</v>
      </c>
      <c r="H29412" s="8" t="inlineStr">
        <is>
          <t>CLOSED</t>
        </is>
      </c>
    </row>
    <row r="29413">
      <c r="A29413" s="8" t="inlineStr">
        <is>
          <t>2026-08-06</t>
        </is>
      </c>
      <c r="B29413" s="8" t="n">
        <v>11</v>
      </c>
      <c r="C29413" s="8" t="n">
        <v>45</v>
      </c>
      <c r="D29413" s="8" t="inlineStr">
        <is>
          <t>Disneyland Park</t>
        </is>
      </c>
      <c r="E29413" s="8" t="inlineStr">
        <is>
          <t>Disneyland Railroad Main Street Station</t>
        </is>
      </c>
      <c r="F29413" s="8" t="inlineStr">
        <is>
          <t>STANDBY</t>
        </is>
      </c>
      <c r="G29413" s="8" t="n">
        <v>0</v>
      </c>
      <c r="H29413" s="8" t="inlineStr">
        <is>
          <t>CLOSED</t>
        </is>
      </c>
    </row>
    <row r="29414">
      <c r="A29414" s="8" t="inlineStr">
        <is>
          <t>2026-08-06</t>
        </is>
      </c>
      <c r="B29414" s="8" t="n">
        <v>11</v>
      </c>
      <c r="C29414" s="8" t="n">
        <v>45</v>
      </c>
      <c r="D29414" s="8" t="inlineStr">
        <is>
          <t>Disneyland Park</t>
        </is>
      </c>
      <c r="E29414" s="8" t="inlineStr">
        <is>
          <t>Dumbo the Flying Elephant</t>
        </is>
      </c>
      <c r="F29414" s="8" t="inlineStr">
        <is>
          <t>STANDBY</t>
        </is>
      </c>
      <c r="G29414" s="8" t="n">
        <v>25</v>
      </c>
      <c r="H29414" s="8" t="inlineStr">
        <is>
          <t>OPERATING</t>
        </is>
      </c>
    </row>
    <row r="29415">
      <c r="A29415" s="8" t="inlineStr">
        <is>
          <t>2026-08-06</t>
        </is>
      </c>
      <c r="B29415" s="8" t="n">
        <v>11</v>
      </c>
      <c r="C29415" s="8" t="n">
        <v>45</v>
      </c>
      <c r="D29415" s="8" t="inlineStr">
        <is>
          <t>Disneyland Park</t>
        </is>
      </c>
      <c r="E29415" s="8" t="inlineStr">
        <is>
          <t>La Tanière du Dragon</t>
        </is>
      </c>
      <c r="F29415" s="8" t="inlineStr">
        <is>
          <t>STANDBY</t>
        </is>
      </c>
      <c r="G29415" s="8" t="n">
        <v>0</v>
      </c>
      <c r="H29415" s="8" t="inlineStr">
        <is>
          <t>OPERATING</t>
        </is>
      </c>
    </row>
    <row r="29416">
      <c r="A29416" s="8" t="inlineStr">
        <is>
          <t>2026-08-06</t>
        </is>
      </c>
      <c r="B29416" s="8" t="n">
        <v>11</v>
      </c>
      <c r="C29416" s="8" t="n">
        <v>45</v>
      </c>
      <c r="D29416" s="8" t="inlineStr">
        <is>
          <t>Disneyland Park</t>
        </is>
      </c>
      <c r="E29416" s="8" t="inlineStr">
        <is>
          <t>Le Carrousel de Lancelot</t>
        </is>
      </c>
      <c r="F29416" s="8" t="inlineStr">
        <is>
          <t>STANDBY</t>
        </is>
      </c>
      <c r="G29416" s="8" t="n">
        <v>5</v>
      </c>
      <c r="H29416" s="8" t="inlineStr">
        <is>
          <t>OPERATING</t>
        </is>
      </c>
    </row>
    <row r="29417">
      <c r="A29417" s="8" t="inlineStr">
        <is>
          <t>2026-08-06</t>
        </is>
      </c>
      <c r="B29417" s="8" t="n">
        <v>11</v>
      </c>
      <c r="C29417" s="8" t="n">
        <v>45</v>
      </c>
      <c r="D29417" s="8" t="inlineStr">
        <is>
          <t>Disneyland Park</t>
        </is>
      </c>
      <c r="E29417" s="8" t="inlineStr">
        <is>
          <t>Le Pays des Contes de Fées, presented by Vittel</t>
        </is>
      </c>
      <c r="F29417" s="8" t="inlineStr">
        <is>
          <t>STANDBY</t>
        </is>
      </c>
      <c r="G29417" s="8" t="n">
        <v>5</v>
      </c>
      <c r="H29417" s="8" t="inlineStr">
        <is>
          <t>OPERATING</t>
        </is>
      </c>
    </row>
    <row r="29418">
      <c r="A29418" s="8" t="inlineStr">
        <is>
          <t>2026-08-06</t>
        </is>
      </c>
      <c r="B29418" s="8" t="n">
        <v>11</v>
      </c>
      <c r="C29418" s="8" t="n">
        <v>45</v>
      </c>
      <c r="D29418" s="8" t="inlineStr">
        <is>
          <t>Disneyland Park</t>
        </is>
      </c>
      <c r="E29418" s="8" t="inlineStr">
        <is>
          <t>Les Voyages de Pinocchio</t>
        </is>
      </c>
      <c r="F29418" s="8" t="inlineStr">
        <is>
          <t>STANDBY</t>
        </is>
      </c>
      <c r="G29418" s="8" t="n">
        <v>20</v>
      </c>
      <c r="H29418" s="8" t="inlineStr">
        <is>
          <t>OPERATING</t>
        </is>
      </c>
    </row>
    <row r="29419">
      <c r="A29419" s="8" t="inlineStr">
        <is>
          <t>2026-08-06</t>
        </is>
      </c>
      <c r="B29419" s="8" t="n">
        <v>11</v>
      </c>
      <c r="C29419" s="8" t="n">
        <v>45</v>
      </c>
      <c r="D29419" s="8" t="inlineStr">
        <is>
          <t>Disneyland Park</t>
        </is>
      </c>
      <c r="E29419" s="8" t="inlineStr">
        <is>
          <t>Mad Hatter's Tea Cups</t>
        </is>
      </c>
      <c r="F29419" s="8" t="inlineStr">
        <is>
          <t>STANDBY</t>
        </is>
      </c>
      <c r="G29419" s="8" t="n">
        <v>5</v>
      </c>
      <c r="H29419" s="8" t="inlineStr">
        <is>
          <t>OPERATING</t>
        </is>
      </c>
    </row>
    <row r="29420">
      <c r="A29420" s="8" t="inlineStr">
        <is>
          <t>2026-08-06</t>
        </is>
      </c>
      <c r="B29420" s="8" t="n">
        <v>11</v>
      </c>
      <c r="C29420" s="8" t="n">
        <v>45</v>
      </c>
      <c r="D29420" s="8" t="inlineStr">
        <is>
          <t>Disneyland Park</t>
        </is>
      </c>
      <c r="E29420" s="8" t="inlineStr">
        <is>
          <t>Meet Mickey Mouse</t>
        </is>
      </c>
      <c r="F29420" s="8" t="inlineStr">
        <is>
          <t>STANDBY</t>
        </is>
      </c>
      <c r="G29420" s="8" t="n">
        <v>0</v>
      </c>
      <c r="H29420" s="8" t="inlineStr">
        <is>
          <t>OPERATING</t>
        </is>
      </c>
    </row>
    <row r="29421">
      <c r="A29421" s="8" t="inlineStr">
        <is>
          <t>2026-08-06</t>
        </is>
      </c>
      <c r="B29421" s="8" t="n">
        <v>11</v>
      </c>
      <c r="C29421" s="8" t="n">
        <v>45</v>
      </c>
      <c r="D29421" s="8" t="inlineStr">
        <is>
          <t>Disneyland Park</t>
        </is>
      </c>
      <c r="E29421" s="8" t="inlineStr">
        <is>
          <t>Peter Pan's Flight</t>
        </is>
      </c>
      <c r="F29421" s="8" t="inlineStr">
        <is>
          <t>STANDBY</t>
        </is>
      </c>
      <c r="G29421" s="8" t="n">
        <v>55</v>
      </c>
      <c r="H29421" s="8" t="inlineStr">
        <is>
          <t>OPERATING</t>
        </is>
      </c>
    </row>
    <row r="29422">
      <c r="A29422" s="8" t="inlineStr">
        <is>
          <t>2026-08-06</t>
        </is>
      </c>
      <c r="B29422" s="8" t="n">
        <v>11</v>
      </c>
      <c r="C29422" s="8" t="n">
        <v>45</v>
      </c>
      <c r="D29422" s="8" t="inlineStr">
        <is>
          <t>Disneyland Park</t>
        </is>
      </c>
      <c r="E29422" s="8" t="inlineStr">
        <is>
          <t>Princess Pavilion</t>
        </is>
      </c>
      <c r="F29422" s="8" t="inlineStr">
        <is>
          <t>STANDBY</t>
        </is>
      </c>
      <c r="G29422" s="8" t="n">
        <v>0</v>
      </c>
      <c r="H29422" s="8" t="inlineStr">
        <is>
          <t>OPERATING</t>
        </is>
      </c>
    </row>
    <row r="29423">
      <c r="A29423" s="8" t="inlineStr">
        <is>
          <t>2026-08-06</t>
        </is>
      </c>
      <c r="B29423" s="8" t="n">
        <v>11</v>
      </c>
      <c r="C29423" s="8" t="n">
        <v>45</v>
      </c>
      <c r="D29423" s="8" t="inlineStr">
        <is>
          <t>Disneyland Park</t>
        </is>
      </c>
      <c r="E29423" s="8" t="inlineStr">
        <is>
          <t>Big Thunder Mountain</t>
        </is>
      </c>
      <c r="F29423" s="8" t="inlineStr">
        <is>
          <t>STANDBY</t>
        </is>
      </c>
      <c r="G29423" s="8" t="n">
        <v>80</v>
      </c>
      <c r="H29423" s="8" t="inlineStr">
        <is>
          <t>OPERATING</t>
        </is>
      </c>
    </row>
    <row r="29424">
      <c r="A29424" s="8" t="inlineStr">
        <is>
          <t>2026-08-06</t>
        </is>
      </c>
      <c r="B29424" s="8" t="n">
        <v>11</v>
      </c>
      <c r="C29424" s="8" t="n">
        <v>45</v>
      </c>
      <c r="D29424" s="8" t="inlineStr">
        <is>
          <t>Disneyland Park</t>
        </is>
      </c>
      <c r="E29424" s="8" t="inlineStr">
        <is>
          <t>Disneyland Railroad Frontierland Depot</t>
        </is>
      </c>
      <c r="F29424" s="8" t="inlineStr">
        <is>
          <t>STANDBY</t>
        </is>
      </c>
      <c r="G29424" s="8" t="n">
        <v>0</v>
      </c>
      <c r="H29424" s="8" t="inlineStr">
        <is>
          <t>CLOSED</t>
        </is>
      </c>
    </row>
    <row r="29425">
      <c r="A29425" s="8" t="inlineStr">
        <is>
          <t>2026-08-06</t>
        </is>
      </c>
      <c r="B29425" s="8" t="n">
        <v>11</v>
      </c>
      <c r="C29425" s="8" t="n">
        <v>45</v>
      </c>
      <c r="D29425" s="8" t="inlineStr">
        <is>
          <t>Disneyland Park</t>
        </is>
      </c>
      <c r="E29425" s="8" t="inlineStr">
        <is>
          <t>Frontierland Playground</t>
        </is>
      </c>
      <c r="F29425" s="8" t="inlineStr">
        <is>
          <t>STANDBY</t>
        </is>
      </c>
      <c r="G29425" s="8" t="n">
        <v>0</v>
      </c>
      <c r="H29425" s="8" t="inlineStr">
        <is>
          <t>OPERATING</t>
        </is>
      </c>
    </row>
    <row r="29426">
      <c r="A29426" s="8" t="inlineStr">
        <is>
          <t>2026-08-06</t>
        </is>
      </c>
      <c r="B29426" s="8" t="n">
        <v>11</v>
      </c>
      <c r="C29426" s="8" t="n">
        <v>45</v>
      </c>
      <c r="D29426" s="8" t="inlineStr">
        <is>
          <t>Disneyland Park</t>
        </is>
      </c>
      <c r="E29426" s="8" t="inlineStr">
        <is>
          <t>Phantom Manor</t>
        </is>
      </c>
      <c r="F29426" s="8" t="inlineStr">
        <is>
          <t>STANDBY</t>
        </is>
      </c>
      <c r="G29426" s="8" t="n">
        <v>20</v>
      </c>
      <c r="H29426" s="8" t="inlineStr">
        <is>
          <t>OPERATING</t>
        </is>
      </c>
    </row>
    <row r="29427">
      <c r="A29427" s="8" t="inlineStr">
        <is>
          <t>2026-08-06</t>
        </is>
      </c>
      <c r="B29427" s="8" t="n">
        <v>11</v>
      </c>
      <c r="C29427" s="8" t="n">
        <v>45</v>
      </c>
      <c r="D29427" s="8" t="inlineStr">
        <is>
          <t>Disneyland Park</t>
        </is>
      </c>
      <c r="E29427" s="8" t="inlineStr">
        <is>
          <t>River Rogue Keelboats</t>
        </is>
      </c>
      <c r="F29427" s="8" t="inlineStr">
        <is>
          <t>STANDBY</t>
        </is>
      </c>
      <c r="G29427" s="8" t="n">
        <v>0</v>
      </c>
      <c r="H29427" s="8" t="inlineStr">
        <is>
          <t>CLOSED</t>
        </is>
      </c>
    </row>
    <row r="29428">
      <c r="A29428" s="8" t="inlineStr">
        <is>
          <t>2026-08-06</t>
        </is>
      </c>
      <c r="B29428" s="8" t="n">
        <v>11</v>
      </c>
      <c r="C29428" s="8" t="n">
        <v>45</v>
      </c>
      <c r="D29428" s="8" t="inlineStr">
        <is>
          <t>Disneyland Park</t>
        </is>
      </c>
      <c r="E29428" s="8" t="inlineStr">
        <is>
          <t>Rustler Roundup Shootin' Gallery</t>
        </is>
      </c>
      <c r="F29428" s="8" t="inlineStr">
        <is>
          <t>STANDBY</t>
        </is>
      </c>
      <c r="G29428" s="8" t="n">
        <v>0</v>
      </c>
      <c r="H29428" s="8" t="inlineStr">
        <is>
          <t>OPERATING</t>
        </is>
      </c>
    </row>
    <row r="29429">
      <c r="A29429" s="8" t="inlineStr">
        <is>
          <t>2026-08-06</t>
        </is>
      </c>
      <c r="B29429" s="8" t="n">
        <v>11</v>
      </c>
      <c r="C29429" s="8" t="n">
        <v>45</v>
      </c>
      <c r="D29429" s="8" t="inlineStr">
        <is>
          <t>Disneyland Park</t>
        </is>
      </c>
      <c r="E29429" s="8" t="inlineStr">
        <is>
          <t>Thunder Mesa Riverboat Landing</t>
        </is>
      </c>
      <c r="F29429" s="8" t="inlineStr">
        <is>
          <t>STANDBY</t>
        </is>
      </c>
      <c r="G29429" s="8" t="n">
        <v>20</v>
      </c>
      <c r="H29429" s="8" t="inlineStr">
        <is>
          <t>OPERATING</t>
        </is>
      </c>
    </row>
    <row r="29430">
      <c r="A29430" s="8" t="inlineStr">
        <is>
          <t>2026-08-06</t>
        </is>
      </c>
      <c r="B29430" s="8" t="n">
        <v>11</v>
      </c>
      <c r="C29430" s="8" t="n">
        <v>45</v>
      </c>
      <c r="D29430" s="8" t="inlineStr">
        <is>
          <t>Disneyland Park</t>
        </is>
      </c>
      <c r="E29430" s="8" t="inlineStr">
        <is>
          <t>Disneyland Railroad Main Street Station</t>
        </is>
      </c>
      <c r="F29430" s="8" t="inlineStr">
        <is>
          <t>STANDBY</t>
        </is>
      </c>
      <c r="G29430" s="8" t="n">
        <v>0</v>
      </c>
      <c r="H29430" s="8" t="inlineStr">
        <is>
          <t>CLOSED</t>
        </is>
      </c>
    </row>
    <row r="29431">
      <c r="A29431" s="8" t="inlineStr">
        <is>
          <t>2026-08-06</t>
        </is>
      </c>
      <c r="B29431" s="8" t="n">
        <v>11</v>
      </c>
      <c r="C29431" s="8" t="n">
        <v>45</v>
      </c>
      <c r="D29431" s="8" t="inlineStr">
        <is>
          <t>Disneyland Park</t>
        </is>
      </c>
      <c r="E29431" s="8" t="inlineStr">
        <is>
          <t>Main Street Vehicles</t>
        </is>
      </c>
      <c r="F29431" s="8" t="inlineStr">
        <is>
          <t>STANDBY</t>
        </is>
      </c>
      <c r="G29431" s="8" t="n">
        <v>0</v>
      </c>
      <c r="H29431" s="8" t="inlineStr">
        <is>
          <t>CLOSED</t>
        </is>
      </c>
    </row>
    <row r="29432">
      <c r="A29432" s="8" t="inlineStr">
        <is>
          <t>2026-08-06</t>
        </is>
      </c>
      <c r="B29432" s="8" t="n">
        <v>11</v>
      </c>
      <c r="C29432" s="8" t="n">
        <v>45</v>
      </c>
      <c r="D29432" s="8" t="inlineStr">
        <is>
          <t>Disney Adventure World</t>
        </is>
      </c>
      <c r="E29432" s="8" t="inlineStr">
        <is>
          <t>Avengers Assemble: Flight Force</t>
        </is>
      </c>
      <c r="F29432" s="8" t="inlineStr">
        <is>
          <t>STANDBY</t>
        </is>
      </c>
      <c r="G29432" s="8" t="n">
        <v>50</v>
      </c>
      <c r="H29432" s="8" t="inlineStr">
        <is>
          <t>OPERATING</t>
        </is>
      </c>
    </row>
    <row r="29433">
      <c r="A29433" s="8" t="inlineStr">
        <is>
          <t>2026-08-06</t>
        </is>
      </c>
      <c r="B29433" s="8" t="n">
        <v>11</v>
      </c>
      <c r="C29433" s="8" t="n">
        <v>45</v>
      </c>
      <c r="D29433" s="8" t="inlineStr">
        <is>
          <t>Disney Adventure World</t>
        </is>
      </c>
      <c r="E29433" s="8" t="inlineStr">
        <is>
          <t>Avengers Assemble: Flight Force Single Rider</t>
        </is>
      </c>
      <c r="F29433" s="8" t="inlineStr">
        <is>
          <t>STANDBY</t>
        </is>
      </c>
      <c r="G29433" s="8" t="n">
        <v>30</v>
      </c>
      <c r="H29433" s="8" t="inlineStr">
        <is>
          <t>OPERATING</t>
        </is>
      </c>
    </row>
    <row r="29434">
      <c r="A29434" s="8" t="inlineStr">
        <is>
          <t>2026-08-06</t>
        </is>
      </c>
      <c r="B29434" s="8" t="n">
        <v>11</v>
      </c>
      <c r="C29434" s="8" t="n">
        <v>45</v>
      </c>
      <c r="D29434" s="8" t="inlineStr">
        <is>
          <t>Disney Adventure World</t>
        </is>
      </c>
      <c r="E29434" s="8" t="inlineStr">
        <is>
          <t>Spider-Man W.E.B. Adventure</t>
        </is>
      </c>
      <c r="F29434" s="8" t="inlineStr">
        <is>
          <t>STANDBY</t>
        </is>
      </c>
      <c r="G29434" s="8" t="n">
        <v>70</v>
      </c>
      <c r="H29434" s="8" t="inlineStr">
        <is>
          <t>OPERATING</t>
        </is>
      </c>
    </row>
    <row r="29435">
      <c r="A29435" s="8" t="inlineStr">
        <is>
          <t>2026-08-06</t>
        </is>
      </c>
      <c r="B29435" s="8" t="n">
        <v>11</v>
      </c>
      <c r="C29435" s="8" t="n">
        <v>45</v>
      </c>
      <c r="D29435" s="8" t="inlineStr">
        <is>
          <t>Disney Adventure World</t>
        </is>
      </c>
      <c r="E29435" s="8" t="inlineStr">
        <is>
          <t>Spider-Man W.E.B. Adventure Single Rider</t>
        </is>
      </c>
      <c r="F29435" s="8" t="inlineStr">
        <is>
          <t>STANDBY</t>
        </is>
      </c>
      <c r="G29435" s="8" t="n">
        <v>25</v>
      </c>
      <c r="H29435" s="8" t="inlineStr">
        <is>
          <t>OPERATING</t>
        </is>
      </c>
    </row>
    <row r="29436">
      <c r="A29436" s="8" t="inlineStr">
        <is>
          <t>2026-08-06</t>
        </is>
      </c>
      <c r="B29436" s="8" t="n">
        <v>11</v>
      </c>
      <c r="C29436" s="8" t="n">
        <v>45</v>
      </c>
      <c r="D29436" s="8" t="inlineStr">
        <is>
          <t>Disney Adventure World</t>
        </is>
      </c>
      <c r="E29436" s="8" t="inlineStr">
        <is>
          <t>The Twilight Zone Tower of Terror</t>
        </is>
      </c>
      <c r="F29436" s="8" t="inlineStr">
        <is>
          <t>STANDBY</t>
        </is>
      </c>
      <c r="G29436" s="8" t="n">
        <v>45</v>
      </c>
      <c r="H29436" s="8" t="inlineStr">
        <is>
          <t>OPERATING</t>
        </is>
      </c>
    </row>
    <row r="29437">
      <c r="A29437" s="8" t="inlineStr">
        <is>
          <t>2026-08-06</t>
        </is>
      </c>
      <c r="B29437" s="8" t="n">
        <v>11</v>
      </c>
      <c r="C29437" s="8" t="n">
        <v>45</v>
      </c>
      <c r="D29437" s="8" t="inlineStr">
        <is>
          <t>Disney Adventure World</t>
        </is>
      </c>
      <c r="E29437" s="8" t="inlineStr">
        <is>
          <t>Cars Quatre Roues Rallye</t>
        </is>
      </c>
      <c r="F29437" s="8" t="inlineStr">
        <is>
          <t>STANDBY</t>
        </is>
      </c>
      <c r="G29437" s="8" t="n">
        <v>20</v>
      </c>
      <c r="H29437" s="8" t="inlineStr">
        <is>
          <t>OPERATING</t>
        </is>
      </c>
    </row>
    <row r="29438">
      <c r="A29438" s="8" t="inlineStr">
        <is>
          <t>2026-08-06</t>
        </is>
      </c>
      <c r="B29438" s="8" t="n">
        <v>11</v>
      </c>
      <c r="C29438" s="8" t="n">
        <v>45</v>
      </c>
      <c r="D29438" s="8" t="inlineStr">
        <is>
          <t>Disney Adventure World</t>
        </is>
      </c>
      <c r="E29438" s="8" t="inlineStr">
        <is>
          <t>Cars ROAD TRIP</t>
        </is>
      </c>
      <c r="F29438" s="8" t="inlineStr">
        <is>
          <t>STANDBY</t>
        </is>
      </c>
      <c r="G29438" s="8" t="n">
        <v>45</v>
      </c>
      <c r="H29438" s="8" t="inlineStr">
        <is>
          <t>OPERATING</t>
        </is>
      </c>
    </row>
    <row r="29439">
      <c r="A29439" s="8" t="inlineStr">
        <is>
          <t>2026-08-06</t>
        </is>
      </c>
      <c r="B29439" s="8" t="n">
        <v>11</v>
      </c>
      <c r="C29439" s="8" t="n">
        <v>45</v>
      </c>
      <c r="D29439" s="8" t="inlineStr">
        <is>
          <t>Disney Adventure World</t>
        </is>
      </c>
      <c r="E29439" s="8" t="inlineStr">
        <is>
          <t>Crush's Coaster</t>
        </is>
      </c>
      <c r="F29439" s="8" t="inlineStr">
        <is>
          <t>STANDBY</t>
        </is>
      </c>
      <c r="G29439" s="8" t="n">
        <v>90</v>
      </c>
      <c r="H29439" s="8" t="inlineStr">
        <is>
          <t>OPERATING</t>
        </is>
      </c>
    </row>
    <row r="29440">
      <c r="A29440" s="8" t="inlineStr">
        <is>
          <t>2026-08-06</t>
        </is>
      </c>
      <c r="B29440" s="8" t="n">
        <v>11</v>
      </c>
      <c r="C29440" s="8" t="n">
        <v>45</v>
      </c>
      <c r="D29440" s="8" t="inlineStr">
        <is>
          <t>Disney Adventure World</t>
        </is>
      </c>
      <c r="E29440" s="8" t="inlineStr">
        <is>
          <t>Crush's Coaster Single Rider</t>
        </is>
      </c>
      <c r="F29440" s="8" t="inlineStr">
        <is>
          <t>STANDBY</t>
        </is>
      </c>
      <c r="G29440" s="8" t="n">
        <v>70</v>
      </c>
      <c r="H29440" s="8" t="inlineStr">
        <is>
          <t>OPERATING</t>
        </is>
      </c>
    </row>
    <row r="29441">
      <c r="A29441" s="8" t="inlineStr">
        <is>
          <t>2026-08-06</t>
        </is>
      </c>
      <c r="B29441" s="8" t="n">
        <v>11</v>
      </c>
      <c r="C29441" s="8" t="n">
        <v>45</v>
      </c>
      <c r="D29441" s="8" t="inlineStr">
        <is>
          <t>Disney Adventure World</t>
        </is>
      </c>
      <c r="E29441" s="8" t="inlineStr">
        <is>
          <t>Les Tapis Volants - Flying Carpets Over Agrabah®</t>
        </is>
      </c>
      <c r="F29441" s="8" t="inlineStr">
        <is>
          <t>STANDBY</t>
        </is>
      </c>
      <c r="G29441" s="8" t="n">
        <v>25</v>
      </c>
      <c r="H29441" s="8" t="inlineStr">
        <is>
          <t>OPERATING</t>
        </is>
      </c>
    </row>
    <row r="29442">
      <c r="A29442" s="8" t="inlineStr">
        <is>
          <t>2026-08-06</t>
        </is>
      </c>
      <c r="B29442" s="8" t="n">
        <v>11</v>
      </c>
      <c r="C29442" s="8" t="n">
        <v>45</v>
      </c>
      <c r="D29442" s="8" t="inlineStr">
        <is>
          <t>Disney Adventure World</t>
        </is>
      </c>
      <c r="E29442" s="8" t="inlineStr">
        <is>
          <t>Ratatouille : L’Aventure Totalement Toquée de Rémy​</t>
        </is>
      </c>
      <c r="F29442" s="8" t="inlineStr">
        <is>
          <t>STANDBY</t>
        </is>
      </c>
      <c r="G29442" s="8" t="n">
        <v>45</v>
      </c>
      <c r="H29442" s="8" t="inlineStr">
        <is>
          <t>OPERATING</t>
        </is>
      </c>
    </row>
    <row r="29443">
      <c r="A29443" s="8" t="inlineStr">
        <is>
          <t>2026-08-06</t>
        </is>
      </c>
      <c r="B29443" s="8" t="n">
        <v>11</v>
      </c>
      <c r="C29443" s="8" t="n">
        <v>45</v>
      </c>
      <c r="D29443" s="8" t="inlineStr">
        <is>
          <t>Disney Adventure World</t>
        </is>
      </c>
      <c r="E29443" s="8" t="inlineStr">
        <is>
          <t>Ratatouille: The Adventure Single Rider</t>
        </is>
      </c>
      <c r="F29443" s="8" t="inlineStr">
        <is>
          <t>STANDBY</t>
        </is>
      </c>
      <c r="G29443" s="8" t="n">
        <v>10</v>
      </c>
      <c r="H29443" s="8" t="inlineStr">
        <is>
          <t>OPERATING</t>
        </is>
      </c>
    </row>
    <row r="29444">
      <c r="A29444" s="8" t="inlineStr">
        <is>
          <t>2026-08-06</t>
        </is>
      </c>
      <c r="B29444" s="8" t="n">
        <v>11</v>
      </c>
      <c r="C29444" s="8" t="n">
        <v>45</v>
      </c>
      <c r="D29444" s="8" t="inlineStr">
        <is>
          <t>Disney Adventure World</t>
        </is>
      </c>
      <c r="E29444" s="8" t="inlineStr">
        <is>
          <t>RC Racer</t>
        </is>
      </c>
      <c r="F29444" s="8" t="inlineStr">
        <is>
          <t>STANDBY</t>
        </is>
      </c>
      <c r="G29444" s="8" t="n">
        <v>55</v>
      </c>
      <c r="H29444" s="8" t="inlineStr">
        <is>
          <t>OPERATING</t>
        </is>
      </c>
    </row>
    <row r="29445">
      <c r="A29445" s="8" t="inlineStr">
        <is>
          <t>2026-08-06</t>
        </is>
      </c>
      <c r="B29445" s="8" t="n">
        <v>11</v>
      </c>
      <c r="C29445" s="8" t="n">
        <v>45</v>
      </c>
      <c r="D29445" s="8" t="inlineStr">
        <is>
          <t>Disney Adventure World</t>
        </is>
      </c>
      <c r="E29445" s="8" t="inlineStr">
        <is>
          <t>RC Racer Single Rider</t>
        </is>
      </c>
      <c r="F29445" s="8" t="inlineStr">
        <is>
          <t>STANDBY</t>
        </is>
      </c>
      <c r="G29445" s="8" t="n">
        <v>50</v>
      </c>
      <c r="H29445" s="8" t="inlineStr">
        <is>
          <t>OPERATING</t>
        </is>
      </c>
    </row>
    <row r="29446">
      <c r="A29446" s="8" t="inlineStr">
        <is>
          <t>2026-08-06</t>
        </is>
      </c>
      <c r="B29446" s="8" t="n">
        <v>11</v>
      </c>
      <c r="C29446" s="8" t="n">
        <v>45</v>
      </c>
      <c r="D29446" s="8" t="inlineStr">
        <is>
          <t>Disney Adventure World</t>
        </is>
      </c>
      <c r="E29446" s="8" t="inlineStr">
        <is>
          <t>Slinky® Dog Zigzag Spin</t>
        </is>
      </c>
      <c r="F29446" s="8" t="inlineStr">
        <is>
          <t>STANDBY</t>
        </is>
      </c>
      <c r="G29446" s="8" t="n">
        <v>30</v>
      </c>
      <c r="H29446" s="8" t="inlineStr">
        <is>
          <t>OPERATING</t>
        </is>
      </c>
    </row>
    <row r="29447">
      <c r="A29447" s="8" t="inlineStr">
        <is>
          <t>2026-08-06</t>
        </is>
      </c>
      <c r="B29447" s="8" t="n">
        <v>11</v>
      </c>
      <c r="C29447" s="8" t="n">
        <v>45</v>
      </c>
      <c r="D29447" s="8" t="inlineStr">
        <is>
          <t>Disney Adventure World</t>
        </is>
      </c>
      <c r="E29447" s="8" t="inlineStr">
        <is>
          <t>Toy Soldiers Parachute Drop</t>
        </is>
      </c>
      <c r="F29447" s="8" t="inlineStr">
        <is>
          <t>STANDBY</t>
        </is>
      </c>
      <c r="G29447" s="8" t="n">
        <v>80</v>
      </c>
      <c r="H29447" s="8" t="inlineStr">
        <is>
          <t>OPERATING</t>
        </is>
      </c>
    </row>
    <row r="29448">
      <c r="A29448" s="8" t="inlineStr">
        <is>
          <t>2026-08-06</t>
        </is>
      </c>
      <c r="B29448" s="8" t="n">
        <v>11</v>
      </c>
      <c r="C29448" s="8" t="n">
        <v>45</v>
      </c>
      <c r="D29448" s="8" t="inlineStr">
        <is>
          <t>Disney Adventure World</t>
        </is>
      </c>
      <c r="E29448" s="8" t="inlineStr">
        <is>
          <t>Toy Soldiers Parachute Drop Single Rider</t>
        </is>
      </c>
      <c r="F29448" s="8" t="inlineStr">
        <is>
          <t>STANDBY</t>
        </is>
      </c>
      <c r="G29448" s="8" t="n">
        <v>35</v>
      </c>
      <c r="H29448" s="8" t="inlineStr">
        <is>
          <t>OPERATING</t>
        </is>
      </c>
    </row>
    <row r="29449">
      <c r="A29449" s="8" t="inlineStr">
        <is>
          <t>2026-08-06</t>
        </is>
      </c>
      <c r="B29449" s="8" t="n">
        <v>11</v>
      </c>
      <c r="C29449" s="8" t="n">
        <v>45</v>
      </c>
      <c r="D29449" s="8" t="inlineStr">
        <is>
          <t>Disney Adventure World</t>
        </is>
      </c>
      <c r="E29449" s="8" t="inlineStr">
        <is>
          <t>Entry to World of Frozen</t>
        </is>
      </c>
      <c r="F29449" s="8" t="inlineStr">
        <is>
          <t>STANDBY</t>
        </is>
      </c>
      <c r="G29449" s="8" t="n">
        <v>0</v>
      </c>
      <c r="H29449" s="8" t="inlineStr">
        <is>
          <t>OPERATING</t>
        </is>
      </c>
    </row>
    <row r="29450">
      <c r="A29450" s="8" t="inlineStr">
        <is>
          <t>2026-08-06</t>
        </is>
      </c>
      <c r="B29450" s="8" t="n">
        <v>11</v>
      </c>
      <c r="C29450" s="8" t="n">
        <v>45</v>
      </c>
      <c r="D29450" s="8" t="inlineStr">
        <is>
          <t>Disney Adventure World</t>
        </is>
      </c>
      <c r="E29450" s="8" t="inlineStr">
        <is>
          <t>Frozen Ever After</t>
        </is>
      </c>
      <c r="F29450" s="8" t="inlineStr">
        <is>
          <t>STANDBY</t>
        </is>
      </c>
      <c r="G29450" s="8" t="n">
        <v>75</v>
      </c>
      <c r="H29450" s="8" t="inlineStr">
        <is>
          <t>OPERATING</t>
        </is>
      </c>
    </row>
    <row r="29451">
      <c r="A29451" s="8" t="inlineStr">
        <is>
          <t>2026-08-06</t>
        </is>
      </c>
      <c r="B29451" s="8" t="n">
        <v>11</v>
      </c>
      <c r="C29451" s="8" t="n">
        <v>45</v>
      </c>
      <c r="D29451" s="8" t="inlineStr">
        <is>
          <t>Disney Adventure World</t>
        </is>
      </c>
      <c r="E29451" s="8" t="inlineStr">
        <is>
          <t>Raiponce Tangled Spin</t>
        </is>
      </c>
      <c r="F29451" s="8" t="inlineStr">
        <is>
          <t>STANDBY</t>
        </is>
      </c>
      <c r="G29451" s="8" t="n">
        <v>15</v>
      </c>
      <c r="H29451" s="8" t="inlineStr">
        <is>
          <t>OPERATING</t>
        </is>
      </c>
    </row>
    <row r="29452">
      <c r="A29452" s="8" t="inlineStr">
        <is>
          <t>2026-08-06</t>
        </is>
      </c>
      <c r="B29452" s="8" t="n">
        <v>12</v>
      </c>
      <c r="C29452" s="8" t="n">
        <v>1</v>
      </c>
      <c r="D29452" s="8" t="inlineStr">
        <is>
          <t>Disneyland Park</t>
        </is>
      </c>
      <c r="E29452" s="8" t="inlineStr">
        <is>
          <t>Adventure Isle</t>
        </is>
      </c>
      <c r="F29452" s="8" t="inlineStr">
        <is>
          <t>STANDBY</t>
        </is>
      </c>
      <c r="G29452" s="8" t="n">
        <v>0</v>
      </c>
      <c r="H29452" s="8" t="inlineStr">
        <is>
          <t>OPERATING</t>
        </is>
      </c>
    </row>
    <row r="29453">
      <c r="A29453" s="8" t="inlineStr">
        <is>
          <t>2026-08-06</t>
        </is>
      </c>
      <c r="B29453" s="8" t="n">
        <v>12</v>
      </c>
      <c r="C29453" s="8" t="n">
        <v>1</v>
      </c>
      <c r="D29453" s="8" t="inlineStr">
        <is>
          <t>Disneyland Park</t>
        </is>
      </c>
      <c r="E29453" s="8" t="inlineStr">
        <is>
          <t>Indiana Jones and the Temple of Peril Single Rider</t>
        </is>
      </c>
      <c r="F29453" s="8" t="inlineStr">
        <is>
          <t>STANDBY</t>
        </is>
      </c>
      <c r="G29453" s="8" t="n">
        <v>15</v>
      </c>
      <c r="H29453" s="8" t="inlineStr">
        <is>
          <t>OPERATING</t>
        </is>
      </c>
    </row>
    <row r="29454">
      <c r="A29454" s="8" t="inlineStr">
        <is>
          <t>2026-08-06</t>
        </is>
      </c>
      <c r="B29454" s="8" t="n">
        <v>12</v>
      </c>
      <c r="C29454" s="8" t="n">
        <v>1</v>
      </c>
      <c r="D29454" s="8" t="inlineStr">
        <is>
          <t>Disneyland Park</t>
        </is>
      </c>
      <c r="E29454" s="8" t="inlineStr">
        <is>
          <t>Indiana Jones™ and the Temple of Peril</t>
        </is>
      </c>
      <c r="F29454" s="8" t="inlineStr">
        <is>
          <t>STANDBY</t>
        </is>
      </c>
      <c r="G29454" s="8" t="n">
        <v>25</v>
      </c>
      <c r="H29454" s="8" t="inlineStr">
        <is>
          <t>OPERATING</t>
        </is>
      </c>
    </row>
    <row r="29455">
      <c r="A29455" s="8" t="inlineStr">
        <is>
          <t>2026-08-06</t>
        </is>
      </c>
      <c r="B29455" s="8" t="n">
        <v>12</v>
      </c>
      <c r="C29455" s="8" t="n">
        <v>1</v>
      </c>
      <c r="D29455" s="8" t="inlineStr">
        <is>
          <t>Disneyland Park</t>
        </is>
      </c>
      <c r="E29455" s="8" t="inlineStr">
        <is>
          <t>La Cabane des Robinson</t>
        </is>
      </c>
      <c r="F29455" s="8" t="inlineStr">
        <is>
          <t>STANDBY</t>
        </is>
      </c>
      <c r="G29455" s="8" t="n">
        <v>5</v>
      </c>
      <c r="H29455" s="8" t="inlineStr">
        <is>
          <t>OPERATING</t>
        </is>
      </c>
    </row>
    <row r="29456">
      <c r="A29456" s="8" t="inlineStr">
        <is>
          <t>2026-08-06</t>
        </is>
      </c>
      <c r="B29456" s="8" t="n">
        <v>12</v>
      </c>
      <c r="C29456" s="8" t="n">
        <v>1</v>
      </c>
      <c r="D29456" s="8" t="inlineStr">
        <is>
          <t>Disneyland Park</t>
        </is>
      </c>
      <c r="E29456" s="8" t="inlineStr">
        <is>
          <t>Le Passage Enchanté d'Aladdin</t>
        </is>
      </c>
      <c r="F29456" s="8" t="inlineStr">
        <is>
          <t>STANDBY</t>
        </is>
      </c>
      <c r="G29456" s="8" t="n">
        <v>0</v>
      </c>
      <c r="H29456" s="8" t="inlineStr">
        <is>
          <t>OPERATING</t>
        </is>
      </c>
    </row>
    <row r="29457">
      <c r="A29457" s="8" t="inlineStr">
        <is>
          <t>2026-08-06</t>
        </is>
      </c>
      <c r="B29457" s="8" t="n">
        <v>12</v>
      </c>
      <c r="C29457" s="8" t="n">
        <v>1</v>
      </c>
      <c r="D29457" s="8" t="inlineStr">
        <is>
          <t>Disneyland Park</t>
        </is>
      </c>
      <c r="E29457" s="8" t="inlineStr">
        <is>
          <t>Pirate Galleon</t>
        </is>
      </c>
      <c r="F29457" s="8" t="inlineStr">
        <is>
          <t>STANDBY</t>
        </is>
      </c>
      <c r="G29457" s="8" t="n">
        <v>0</v>
      </c>
      <c r="H29457" s="8" t="inlineStr">
        <is>
          <t>CLOSED</t>
        </is>
      </c>
    </row>
    <row r="29458">
      <c r="A29458" s="8" t="inlineStr">
        <is>
          <t>2026-08-06</t>
        </is>
      </c>
      <c r="B29458" s="8" t="n">
        <v>12</v>
      </c>
      <c r="C29458" s="8" t="n">
        <v>1</v>
      </c>
      <c r="D29458" s="8" t="inlineStr">
        <is>
          <t>Disneyland Park</t>
        </is>
      </c>
      <c r="E29458" s="8" t="inlineStr">
        <is>
          <t>Pirates of the Caribbean</t>
        </is>
      </c>
      <c r="F29458" s="8" t="inlineStr">
        <is>
          <t>STANDBY</t>
        </is>
      </c>
      <c r="G29458" s="8" t="n">
        <v>25</v>
      </c>
      <c r="H29458" s="8" t="inlineStr">
        <is>
          <t>OPERATING</t>
        </is>
      </c>
    </row>
    <row r="29459">
      <c r="A29459" s="8" t="inlineStr">
        <is>
          <t>2026-08-06</t>
        </is>
      </c>
      <c r="B29459" s="8" t="n">
        <v>12</v>
      </c>
      <c r="C29459" s="8" t="n">
        <v>1</v>
      </c>
      <c r="D29459" s="8" t="inlineStr">
        <is>
          <t>Disneyland Park</t>
        </is>
      </c>
      <c r="E29459" s="8" t="inlineStr">
        <is>
          <t>Pirates' Beach</t>
        </is>
      </c>
      <c r="F29459" s="8" t="inlineStr">
        <is>
          <t>STANDBY</t>
        </is>
      </c>
      <c r="G29459" s="8" t="n">
        <v>0</v>
      </c>
      <c r="H29459" s="8" t="inlineStr">
        <is>
          <t>OPERATING</t>
        </is>
      </c>
    </row>
    <row r="29460">
      <c r="A29460" s="8" t="inlineStr">
        <is>
          <t>2026-08-06</t>
        </is>
      </c>
      <c r="B29460" s="8" t="n">
        <v>12</v>
      </c>
      <c r="C29460" s="8" t="n">
        <v>1</v>
      </c>
      <c r="D29460" s="8" t="inlineStr">
        <is>
          <t>Disneyland Park</t>
        </is>
      </c>
      <c r="E29460" s="8" t="inlineStr">
        <is>
          <t>Autopia, presented by Avis</t>
        </is>
      </c>
      <c r="F29460" s="8" t="inlineStr">
        <is>
          <t>STANDBY</t>
        </is>
      </c>
      <c r="G29460" s="8" t="n">
        <v>30</v>
      </c>
      <c r="H29460" s="8" t="inlineStr">
        <is>
          <t>OPERATING</t>
        </is>
      </c>
    </row>
    <row r="29461">
      <c r="A29461" s="8" t="inlineStr">
        <is>
          <t>2026-08-06</t>
        </is>
      </c>
      <c r="B29461" s="8" t="n">
        <v>12</v>
      </c>
      <c r="C29461" s="8" t="n">
        <v>1</v>
      </c>
      <c r="D29461" s="8" t="inlineStr">
        <is>
          <t>Disneyland Park</t>
        </is>
      </c>
      <c r="E29461" s="8" t="inlineStr">
        <is>
          <t>Buzz Lightyear Laser Blast</t>
        </is>
      </c>
      <c r="F29461" s="8" t="inlineStr">
        <is>
          <t>STANDBY</t>
        </is>
      </c>
      <c r="G29461" s="8" t="n">
        <v>50</v>
      </c>
      <c r="H29461" s="8" t="inlineStr">
        <is>
          <t>OPERATING</t>
        </is>
      </c>
    </row>
    <row r="29462">
      <c r="A29462" s="8" t="inlineStr">
        <is>
          <t>2026-08-06</t>
        </is>
      </c>
      <c r="B29462" s="8" t="n">
        <v>12</v>
      </c>
      <c r="C29462" s="8" t="n">
        <v>1</v>
      </c>
      <c r="D29462" s="8" t="inlineStr">
        <is>
          <t>Disneyland Park</t>
        </is>
      </c>
      <c r="E29462" s="8" t="inlineStr">
        <is>
          <t>Disneyland Railroad Discoveryland Station</t>
        </is>
      </c>
      <c r="F29462" s="8" t="inlineStr">
        <is>
          <t>STANDBY</t>
        </is>
      </c>
      <c r="G29462" s="8" t="n">
        <v>0</v>
      </c>
      <c r="H29462" s="8" t="inlineStr">
        <is>
          <t>CLOSED</t>
        </is>
      </c>
    </row>
    <row r="29463">
      <c r="A29463" s="8" t="inlineStr">
        <is>
          <t>2026-08-06</t>
        </is>
      </c>
      <c r="B29463" s="8" t="n">
        <v>12</v>
      </c>
      <c r="C29463" s="8" t="n">
        <v>1</v>
      </c>
      <c r="D29463" s="8" t="inlineStr">
        <is>
          <t>Disneyland Park</t>
        </is>
      </c>
      <c r="E29463" s="8" t="inlineStr">
        <is>
          <t>Les Mystères du Nautilus</t>
        </is>
      </c>
      <c r="F29463" s="8" t="inlineStr">
        <is>
          <t>STANDBY</t>
        </is>
      </c>
      <c r="G29463" s="8" t="n">
        <v>5</v>
      </c>
      <c r="H29463" s="8" t="inlineStr">
        <is>
          <t>OPERATING</t>
        </is>
      </c>
    </row>
    <row r="29464">
      <c r="A29464" s="8" t="inlineStr">
        <is>
          <t>2026-08-06</t>
        </is>
      </c>
      <c r="B29464" s="8" t="n">
        <v>12</v>
      </c>
      <c r="C29464" s="8" t="n">
        <v>1</v>
      </c>
      <c r="D29464" s="8" t="inlineStr">
        <is>
          <t>Disneyland Park</t>
        </is>
      </c>
      <c r="E29464" s="8" t="inlineStr">
        <is>
          <t>Mickey’s PhilharMagic</t>
        </is>
      </c>
      <c r="F29464" s="8" t="inlineStr">
        <is>
          <t>STANDBY</t>
        </is>
      </c>
      <c r="G29464" s="8" t="n">
        <v>0</v>
      </c>
      <c r="H29464" s="8" t="inlineStr">
        <is>
          <t>CLOSED</t>
        </is>
      </c>
    </row>
    <row r="29465">
      <c r="A29465" s="8" t="inlineStr">
        <is>
          <t>2026-08-06</t>
        </is>
      </c>
      <c r="B29465" s="8" t="n">
        <v>12</v>
      </c>
      <c r="C29465" s="8" t="n">
        <v>1</v>
      </c>
      <c r="D29465" s="8" t="inlineStr">
        <is>
          <t>Disneyland Park</t>
        </is>
      </c>
      <c r="E29465" s="8" t="inlineStr">
        <is>
          <t>Orbitron®</t>
        </is>
      </c>
      <c r="F29465" s="8" t="inlineStr">
        <is>
          <t>STANDBY</t>
        </is>
      </c>
      <c r="G29465" s="8" t="n">
        <v>60</v>
      </c>
      <c r="H29465" s="8" t="inlineStr">
        <is>
          <t>OPERATING</t>
        </is>
      </c>
    </row>
    <row r="29466">
      <c r="A29466" s="8" t="inlineStr">
        <is>
          <t>2026-08-06</t>
        </is>
      </c>
      <c r="B29466" s="8" t="n">
        <v>12</v>
      </c>
      <c r="C29466" s="8" t="n">
        <v>1</v>
      </c>
      <c r="D29466" s="8" t="inlineStr">
        <is>
          <t>Disneyland Park</t>
        </is>
      </c>
      <c r="E29466" s="8" t="inlineStr">
        <is>
          <t>Star Tours: The Adventures Continue*</t>
        </is>
      </c>
      <c r="F29466" s="8" t="inlineStr">
        <is>
          <t>STANDBY</t>
        </is>
      </c>
      <c r="G29466" s="8" t="n">
        <v>20</v>
      </c>
      <c r="H29466" s="8" t="inlineStr">
        <is>
          <t>OPERATING</t>
        </is>
      </c>
    </row>
    <row r="29467">
      <c r="A29467" s="8" t="inlineStr">
        <is>
          <t>2026-08-06</t>
        </is>
      </c>
      <c r="B29467" s="8" t="n">
        <v>12</v>
      </c>
      <c r="C29467" s="8" t="n">
        <v>1</v>
      </c>
      <c r="D29467" s="8" t="inlineStr">
        <is>
          <t>Disneyland Park</t>
        </is>
      </c>
      <c r="E29467" s="8" t="inlineStr">
        <is>
          <t>Star Wars Hyperspace Mountain</t>
        </is>
      </c>
      <c r="F29467" s="8" t="inlineStr">
        <is>
          <t>STANDBY</t>
        </is>
      </c>
      <c r="G29467" s="8" t="n">
        <v>40</v>
      </c>
      <c r="H29467" s="8" t="inlineStr">
        <is>
          <t>OPERATING</t>
        </is>
      </c>
    </row>
    <row r="29468">
      <c r="A29468" s="8" t="inlineStr">
        <is>
          <t>2026-08-06</t>
        </is>
      </c>
      <c r="B29468" s="8" t="n">
        <v>12</v>
      </c>
      <c r="C29468" s="8" t="n">
        <v>1</v>
      </c>
      <c r="D29468" s="8" t="inlineStr">
        <is>
          <t>Disneyland Park</t>
        </is>
      </c>
      <c r="E29468" s="8" t="inlineStr">
        <is>
          <t>Star Wars Hyperspace Mountain Single Rider</t>
        </is>
      </c>
      <c r="F29468" s="8" t="inlineStr">
        <is>
          <t>STANDBY</t>
        </is>
      </c>
      <c r="G29468" s="8" t="n">
        <v>15</v>
      </c>
      <c r="H29468" s="8" t="inlineStr">
        <is>
          <t>OPERATING</t>
        </is>
      </c>
    </row>
    <row r="29469">
      <c r="A29469" s="8" t="inlineStr">
        <is>
          <t>2026-08-06</t>
        </is>
      </c>
      <c r="B29469" s="8" t="n">
        <v>12</v>
      </c>
      <c r="C29469" s="8" t="n">
        <v>1</v>
      </c>
      <c r="D29469" s="8" t="inlineStr">
        <is>
          <t>Disneyland Park</t>
        </is>
      </c>
      <c r="E29469" s="8" t="inlineStr">
        <is>
          <t>Welcome to Starport: A Star Wars Encounter</t>
        </is>
      </c>
      <c r="F29469" s="8" t="inlineStr">
        <is>
          <t>STANDBY</t>
        </is>
      </c>
      <c r="G29469" s="8" t="n">
        <v>30</v>
      </c>
      <c r="H29469" s="8" t="inlineStr">
        <is>
          <t>OPERATING</t>
        </is>
      </c>
    </row>
    <row r="29470">
      <c r="A29470" s="8" t="inlineStr">
        <is>
          <t>2026-08-06</t>
        </is>
      </c>
      <c r="B29470" s="8" t="n">
        <v>12</v>
      </c>
      <c r="C29470" s="8" t="n">
        <v>1</v>
      </c>
      <c r="D29470" s="8" t="inlineStr">
        <is>
          <t>Disneyland Park</t>
        </is>
      </c>
      <c r="E29470" s="8" t="inlineStr">
        <is>
          <t>"it's a small world"</t>
        </is>
      </c>
      <c r="F29470" s="8" t="inlineStr">
        <is>
          <t>STANDBY</t>
        </is>
      </c>
      <c r="G29470" s="8" t="n">
        <v>20</v>
      </c>
      <c r="H29470" s="8" t="inlineStr">
        <is>
          <t>OPERATING</t>
        </is>
      </c>
    </row>
    <row r="29471">
      <c r="A29471" s="8" t="inlineStr">
        <is>
          <t>2026-08-06</t>
        </is>
      </c>
      <c r="B29471" s="8" t="n">
        <v>12</v>
      </c>
      <c r="C29471" s="8" t="n">
        <v>1</v>
      </c>
      <c r="D29471" s="8" t="inlineStr">
        <is>
          <t>Disneyland Park</t>
        </is>
      </c>
      <c r="E29471" s="8" t="inlineStr">
        <is>
          <t>Alice's Curious Labyrinth</t>
        </is>
      </c>
      <c r="F29471" s="8" t="inlineStr">
        <is>
          <t>STANDBY</t>
        </is>
      </c>
      <c r="G29471" s="8" t="n">
        <v>5</v>
      </c>
      <c r="H29471" s="8" t="inlineStr">
        <is>
          <t>OPERATING</t>
        </is>
      </c>
    </row>
    <row r="29472">
      <c r="A29472" s="8" t="inlineStr">
        <is>
          <t>2026-08-06</t>
        </is>
      </c>
      <c r="B29472" s="8" t="n">
        <v>12</v>
      </c>
      <c r="C29472" s="8" t="n">
        <v>1</v>
      </c>
      <c r="D29472" s="8" t="inlineStr">
        <is>
          <t>Disneyland Park</t>
        </is>
      </c>
      <c r="E29472" s="8" t="inlineStr">
        <is>
          <t>Blanche-Neige et les Sept Nains®</t>
        </is>
      </c>
      <c r="F29472" s="8" t="inlineStr">
        <is>
          <t>STANDBY</t>
        </is>
      </c>
      <c r="G29472" s="8" t="n">
        <v>15</v>
      </c>
      <c r="H29472" s="8" t="inlineStr">
        <is>
          <t>OPERATING</t>
        </is>
      </c>
    </row>
    <row r="29473">
      <c r="A29473" s="8" t="inlineStr">
        <is>
          <t>2026-08-06</t>
        </is>
      </c>
      <c r="B29473" s="8" t="n">
        <v>12</v>
      </c>
      <c r="C29473" s="8" t="n">
        <v>1</v>
      </c>
      <c r="D29473" s="8" t="inlineStr">
        <is>
          <t>Disneyland Park</t>
        </is>
      </c>
      <c r="E29473" s="8" t="inlineStr">
        <is>
          <t>Casey Jr. – le Petit Train du Cirque</t>
        </is>
      </c>
      <c r="F29473" s="8" t="inlineStr">
        <is>
          <t>STANDBY</t>
        </is>
      </c>
      <c r="G29473" s="8" t="n">
        <v>5</v>
      </c>
      <c r="H29473" s="8" t="inlineStr">
        <is>
          <t>OPERATING</t>
        </is>
      </c>
    </row>
    <row r="29474">
      <c r="A29474" s="8" t="inlineStr">
        <is>
          <t>2026-08-06</t>
        </is>
      </c>
      <c r="B29474" s="8" t="n">
        <v>12</v>
      </c>
      <c r="C29474" s="8" t="n">
        <v>1</v>
      </c>
      <c r="D29474" s="8" t="inlineStr">
        <is>
          <t>Disneyland Park</t>
        </is>
      </c>
      <c r="E29474" s="8" t="inlineStr">
        <is>
          <t>Disneyland Railroad Fantasyland Station</t>
        </is>
      </c>
      <c r="F29474" s="8" t="inlineStr">
        <is>
          <t>STANDBY</t>
        </is>
      </c>
      <c r="G29474" s="8" t="n">
        <v>0</v>
      </c>
      <c r="H29474" s="8" t="inlineStr">
        <is>
          <t>CLOSED</t>
        </is>
      </c>
    </row>
    <row r="29475">
      <c r="A29475" s="8" t="inlineStr">
        <is>
          <t>2026-08-06</t>
        </is>
      </c>
      <c r="B29475" s="8" t="n">
        <v>12</v>
      </c>
      <c r="C29475" s="8" t="n">
        <v>1</v>
      </c>
      <c r="D29475" s="8" t="inlineStr">
        <is>
          <t>Disneyland Park</t>
        </is>
      </c>
      <c r="E29475" s="8" t="inlineStr">
        <is>
          <t>Disneyland Railroad Main Street Station</t>
        </is>
      </c>
      <c r="F29475" s="8" t="inlineStr">
        <is>
          <t>STANDBY</t>
        </is>
      </c>
      <c r="G29475" s="8" t="n">
        <v>0</v>
      </c>
      <c r="H29475" s="8" t="inlineStr">
        <is>
          <t>CLOSED</t>
        </is>
      </c>
    </row>
    <row r="29476">
      <c r="A29476" s="8" t="inlineStr">
        <is>
          <t>2026-08-06</t>
        </is>
      </c>
      <c r="B29476" s="8" t="n">
        <v>12</v>
      </c>
      <c r="C29476" s="8" t="n">
        <v>1</v>
      </c>
      <c r="D29476" s="8" t="inlineStr">
        <is>
          <t>Disneyland Park</t>
        </is>
      </c>
      <c r="E29476" s="8" t="inlineStr">
        <is>
          <t>Dumbo the Flying Elephant</t>
        </is>
      </c>
      <c r="F29476" s="8" t="inlineStr">
        <is>
          <t>STANDBY</t>
        </is>
      </c>
      <c r="G29476" s="8" t="n">
        <v>35</v>
      </c>
      <c r="H29476" s="8" t="inlineStr">
        <is>
          <t>OPERATING</t>
        </is>
      </c>
    </row>
    <row r="29477">
      <c r="A29477" s="8" t="inlineStr">
        <is>
          <t>2026-08-06</t>
        </is>
      </c>
      <c r="B29477" s="8" t="n">
        <v>12</v>
      </c>
      <c r="C29477" s="8" t="n">
        <v>1</v>
      </c>
      <c r="D29477" s="8" t="inlineStr">
        <is>
          <t>Disneyland Park</t>
        </is>
      </c>
      <c r="E29477" s="8" t="inlineStr">
        <is>
          <t>La Tanière du Dragon</t>
        </is>
      </c>
      <c r="F29477" s="8" t="inlineStr">
        <is>
          <t>STANDBY</t>
        </is>
      </c>
      <c r="G29477" s="8" t="n">
        <v>0</v>
      </c>
      <c r="H29477" s="8" t="inlineStr">
        <is>
          <t>OPERATING</t>
        </is>
      </c>
    </row>
    <row r="29478">
      <c r="A29478" s="8" t="inlineStr">
        <is>
          <t>2026-08-06</t>
        </is>
      </c>
      <c r="B29478" s="8" t="n">
        <v>12</v>
      </c>
      <c r="C29478" s="8" t="n">
        <v>1</v>
      </c>
      <c r="D29478" s="8" t="inlineStr">
        <is>
          <t>Disneyland Park</t>
        </is>
      </c>
      <c r="E29478" s="8" t="inlineStr">
        <is>
          <t>Le Carrousel de Lancelot</t>
        </is>
      </c>
      <c r="F29478" s="8" t="inlineStr">
        <is>
          <t>STANDBY</t>
        </is>
      </c>
      <c r="G29478" s="8" t="n">
        <v>5</v>
      </c>
      <c r="H29478" s="8" t="inlineStr">
        <is>
          <t>OPERATING</t>
        </is>
      </c>
    </row>
    <row r="29479">
      <c r="A29479" s="8" t="inlineStr">
        <is>
          <t>2026-08-06</t>
        </is>
      </c>
      <c r="B29479" s="8" t="n">
        <v>12</v>
      </c>
      <c r="C29479" s="8" t="n">
        <v>1</v>
      </c>
      <c r="D29479" s="8" t="inlineStr">
        <is>
          <t>Disneyland Park</t>
        </is>
      </c>
      <c r="E29479" s="8" t="inlineStr">
        <is>
          <t>Le Pays des Contes de Fées, presented by Vittel</t>
        </is>
      </c>
      <c r="F29479" s="8" t="inlineStr">
        <is>
          <t>STANDBY</t>
        </is>
      </c>
      <c r="G29479" s="8" t="n">
        <v>5</v>
      </c>
      <c r="H29479" s="8" t="inlineStr">
        <is>
          <t>OPERATING</t>
        </is>
      </c>
    </row>
    <row r="29480">
      <c r="A29480" s="8" t="inlineStr">
        <is>
          <t>2026-08-06</t>
        </is>
      </c>
      <c r="B29480" s="8" t="n">
        <v>12</v>
      </c>
      <c r="C29480" s="8" t="n">
        <v>1</v>
      </c>
      <c r="D29480" s="8" t="inlineStr">
        <is>
          <t>Disneyland Park</t>
        </is>
      </c>
      <c r="E29480" s="8" t="inlineStr">
        <is>
          <t>Les Voyages de Pinocchio</t>
        </is>
      </c>
      <c r="F29480" s="8" t="inlineStr">
        <is>
          <t>STANDBY</t>
        </is>
      </c>
      <c r="G29480" s="8" t="n">
        <v>20</v>
      </c>
      <c r="H29480" s="8" t="inlineStr">
        <is>
          <t>OPERATING</t>
        </is>
      </c>
    </row>
    <row r="29481">
      <c r="A29481" s="8" t="inlineStr">
        <is>
          <t>2026-08-06</t>
        </is>
      </c>
      <c r="B29481" s="8" t="n">
        <v>12</v>
      </c>
      <c r="C29481" s="8" t="n">
        <v>1</v>
      </c>
      <c r="D29481" s="8" t="inlineStr">
        <is>
          <t>Disneyland Park</t>
        </is>
      </c>
      <c r="E29481" s="8" t="inlineStr">
        <is>
          <t>Mad Hatter's Tea Cups</t>
        </is>
      </c>
      <c r="F29481" s="8" t="inlineStr">
        <is>
          <t>STANDBY</t>
        </is>
      </c>
      <c r="G29481" s="8" t="n">
        <v>5</v>
      </c>
      <c r="H29481" s="8" t="inlineStr">
        <is>
          <t>OPERATING</t>
        </is>
      </c>
    </row>
    <row r="29482">
      <c r="A29482" s="8" t="inlineStr">
        <is>
          <t>2026-08-06</t>
        </is>
      </c>
      <c r="B29482" s="8" t="n">
        <v>12</v>
      </c>
      <c r="C29482" s="8" t="n">
        <v>1</v>
      </c>
      <c r="D29482" s="8" t="inlineStr">
        <is>
          <t>Disneyland Park</t>
        </is>
      </c>
      <c r="E29482" s="8" t="inlineStr">
        <is>
          <t>Meet Mickey Mouse</t>
        </is>
      </c>
      <c r="F29482" s="8" t="inlineStr">
        <is>
          <t>STANDBY</t>
        </is>
      </c>
      <c r="G29482" s="8" t="n">
        <v>0</v>
      </c>
      <c r="H29482" s="8" t="inlineStr">
        <is>
          <t>OPERATING</t>
        </is>
      </c>
    </row>
    <row r="29483">
      <c r="A29483" s="8" t="inlineStr">
        <is>
          <t>2026-08-06</t>
        </is>
      </c>
      <c r="B29483" s="8" t="n">
        <v>12</v>
      </c>
      <c r="C29483" s="8" t="n">
        <v>1</v>
      </c>
      <c r="D29483" s="8" t="inlineStr">
        <is>
          <t>Disneyland Park</t>
        </is>
      </c>
      <c r="E29483" s="8" t="inlineStr">
        <is>
          <t>Peter Pan's Flight</t>
        </is>
      </c>
      <c r="F29483" s="8" t="inlineStr">
        <is>
          <t>STANDBY</t>
        </is>
      </c>
      <c r="G29483" s="8" t="n">
        <v>65</v>
      </c>
      <c r="H29483" s="8" t="inlineStr">
        <is>
          <t>OPERATING</t>
        </is>
      </c>
    </row>
    <row r="29484">
      <c r="A29484" s="8" t="inlineStr">
        <is>
          <t>2026-08-06</t>
        </is>
      </c>
      <c r="B29484" s="8" t="n">
        <v>12</v>
      </c>
      <c r="C29484" s="8" t="n">
        <v>1</v>
      </c>
      <c r="D29484" s="8" t="inlineStr">
        <is>
          <t>Disneyland Park</t>
        </is>
      </c>
      <c r="E29484" s="8" t="inlineStr">
        <is>
          <t>Princess Pavilion</t>
        </is>
      </c>
      <c r="F29484" s="8" t="inlineStr">
        <is>
          <t>STANDBY</t>
        </is>
      </c>
      <c r="G29484" s="8" t="n">
        <v>0</v>
      </c>
      <c r="H29484" s="8" t="inlineStr">
        <is>
          <t>OPERATING</t>
        </is>
      </c>
    </row>
    <row r="29485">
      <c r="A29485" s="8" t="inlineStr">
        <is>
          <t>2026-08-06</t>
        </is>
      </c>
      <c r="B29485" s="8" t="n">
        <v>12</v>
      </c>
      <c r="C29485" s="8" t="n">
        <v>1</v>
      </c>
      <c r="D29485" s="8" t="inlineStr">
        <is>
          <t>Disneyland Park</t>
        </is>
      </c>
      <c r="E29485" s="8" t="inlineStr">
        <is>
          <t>Big Thunder Mountain</t>
        </is>
      </c>
      <c r="F29485" s="8" t="inlineStr">
        <is>
          <t>STANDBY</t>
        </is>
      </c>
      <c r="G29485" s="8" t="n">
        <v>75</v>
      </c>
      <c r="H29485" s="8" t="inlineStr">
        <is>
          <t>OPERATING</t>
        </is>
      </c>
    </row>
    <row r="29486">
      <c r="A29486" s="8" t="inlineStr">
        <is>
          <t>2026-08-06</t>
        </is>
      </c>
      <c r="B29486" s="8" t="n">
        <v>12</v>
      </c>
      <c r="C29486" s="8" t="n">
        <v>1</v>
      </c>
      <c r="D29486" s="8" t="inlineStr">
        <is>
          <t>Disneyland Park</t>
        </is>
      </c>
      <c r="E29486" s="8" t="inlineStr">
        <is>
          <t>Disneyland Railroad Frontierland Depot</t>
        </is>
      </c>
      <c r="F29486" s="8" t="inlineStr">
        <is>
          <t>STANDBY</t>
        </is>
      </c>
      <c r="G29486" s="8" t="n">
        <v>0</v>
      </c>
      <c r="H29486" s="8" t="inlineStr">
        <is>
          <t>CLOSED</t>
        </is>
      </c>
    </row>
    <row r="29487">
      <c r="A29487" s="8" t="inlineStr">
        <is>
          <t>2026-08-06</t>
        </is>
      </c>
      <c r="B29487" s="8" t="n">
        <v>12</v>
      </c>
      <c r="C29487" s="8" t="n">
        <v>1</v>
      </c>
      <c r="D29487" s="8" t="inlineStr">
        <is>
          <t>Disneyland Park</t>
        </is>
      </c>
      <c r="E29487" s="8" t="inlineStr">
        <is>
          <t>Frontierland Playground</t>
        </is>
      </c>
      <c r="F29487" s="8" t="inlineStr">
        <is>
          <t>STANDBY</t>
        </is>
      </c>
      <c r="G29487" s="8" t="n">
        <v>0</v>
      </c>
      <c r="H29487" s="8" t="inlineStr">
        <is>
          <t>OPERATING</t>
        </is>
      </c>
    </row>
    <row r="29488">
      <c r="A29488" s="8" t="inlineStr">
        <is>
          <t>2026-08-06</t>
        </is>
      </c>
      <c r="B29488" s="8" t="n">
        <v>12</v>
      </c>
      <c r="C29488" s="8" t="n">
        <v>1</v>
      </c>
      <c r="D29488" s="8" t="inlineStr">
        <is>
          <t>Disneyland Park</t>
        </is>
      </c>
      <c r="E29488" s="8" t="inlineStr">
        <is>
          <t>Phantom Manor</t>
        </is>
      </c>
      <c r="F29488" s="8" t="inlineStr">
        <is>
          <t>STANDBY</t>
        </is>
      </c>
      <c r="G29488" s="8" t="n">
        <v>25</v>
      </c>
      <c r="H29488" s="8" t="inlineStr">
        <is>
          <t>OPERATING</t>
        </is>
      </c>
    </row>
    <row r="29489">
      <c r="A29489" s="8" t="inlineStr">
        <is>
          <t>2026-08-06</t>
        </is>
      </c>
      <c r="B29489" s="8" t="n">
        <v>12</v>
      </c>
      <c r="C29489" s="8" t="n">
        <v>1</v>
      </c>
      <c r="D29489" s="8" t="inlineStr">
        <is>
          <t>Disneyland Park</t>
        </is>
      </c>
      <c r="E29489" s="8" t="inlineStr">
        <is>
          <t>River Rogue Keelboats</t>
        </is>
      </c>
      <c r="F29489" s="8" t="inlineStr">
        <is>
          <t>STANDBY</t>
        </is>
      </c>
      <c r="G29489" s="8" t="n">
        <v>0</v>
      </c>
      <c r="H29489" s="8" t="inlineStr">
        <is>
          <t>CLOSED</t>
        </is>
      </c>
    </row>
    <row r="29490">
      <c r="A29490" s="8" t="inlineStr">
        <is>
          <t>2026-08-06</t>
        </is>
      </c>
      <c r="B29490" s="8" t="n">
        <v>12</v>
      </c>
      <c r="C29490" s="8" t="n">
        <v>1</v>
      </c>
      <c r="D29490" s="8" t="inlineStr">
        <is>
          <t>Disneyland Park</t>
        </is>
      </c>
      <c r="E29490" s="8" t="inlineStr">
        <is>
          <t>Rustler Roundup Shootin' Gallery</t>
        </is>
      </c>
      <c r="F29490" s="8" t="inlineStr">
        <is>
          <t>STANDBY</t>
        </is>
      </c>
      <c r="G29490" s="8" t="n">
        <v>0</v>
      </c>
      <c r="H29490" s="8" t="inlineStr">
        <is>
          <t>OPERATING</t>
        </is>
      </c>
    </row>
    <row r="29491">
      <c r="A29491" s="8" t="inlineStr">
        <is>
          <t>2026-08-06</t>
        </is>
      </c>
      <c r="B29491" s="8" t="n">
        <v>12</v>
      </c>
      <c r="C29491" s="8" t="n">
        <v>1</v>
      </c>
      <c r="D29491" s="8" t="inlineStr">
        <is>
          <t>Disneyland Park</t>
        </is>
      </c>
      <c r="E29491" s="8" t="inlineStr">
        <is>
          <t>Thunder Mesa Riverboat Landing</t>
        </is>
      </c>
      <c r="F29491" s="8" t="inlineStr">
        <is>
          <t>STANDBY</t>
        </is>
      </c>
      <c r="G29491" s="8" t="n">
        <v>20</v>
      </c>
      <c r="H29491" s="8" t="inlineStr">
        <is>
          <t>OPERATING</t>
        </is>
      </c>
    </row>
    <row r="29492">
      <c r="A29492" s="8" t="inlineStr">
        <is>
          <t>2026-08-06</t>
        </is>
      </c>
      <c r="B29492" s="8" t="n">
        <v>12</v>
      </c>
      <c r="C29492" s="8" t="n">
        <v>1</v>
      </c>
      <c r="D29492" s="8" t="inlineStr">
        <is>
          <t>Disneyland Park</t>
        </is>
      </c>
      <c r="E29492" s="8" t="inlineStr">
        <is>
          <t>Disneyland Railroad Main Street Station</t>
        </is>
      </c>
      <c r="F29492" s="8" t="inlineStr">
        <is>
          <t>STANDBY</t>
        </is>
      </c>
      <c r="G29492" s="8" t="n">
        <v>0</v>
      </c>
      <c r="H29492" s="8" t="inlineStr">
        <is>
          <t>CLOSED</t>
        </is>
      </c>
    </row>
    <row r="29493">
      <c r="A29493" s="8" t="inlineStr">
        <is>
          <t>2026-08-06</t>
        </is>
      </c>
      <c r="B29493" s="8" t="n">
        <v>12</v>
      </c>
      <c r="C29493" s="8" t="n">
        <v>1</v>
      </c>
      <c r="D29493" s="8" t="inlineStr">
        <is>
          <t>Disneyland Park</t>
        </is>
      </c>
      <c r="E29493" s="8" t="inlineStr">
        <is>
          <t>Main Street Vehicles</t>
        </is>
      </c>
      <c r="F29493" s="8" t="inlineStr">
        <is>
          <t>STANDBY</t>
        </is>
      </c>
      <c r="G29493" s="8" t="n">
        <v>0</v>
      </c>
      <c r="H29493" s="8" t="inlineStr">
        <is>
          <t>CLOSED</t>
        </is>
      </c>
    </row>
    <row r="29494">
      <c r="A29494" s="8" t="inlineStr">
        <is>
          <t>2026-08-06</t>
        </is>
      </c>
      <c r="B29494" s="8" t="n">
        <v>12</v>
      </c>
      <c r="C29494" s="8" t="n">
        <v>1</v>
      </c>
      <c r="D29494" s="8" t="inlineStr">
        <is>
          <t>Disney Adventure World</t>
        </is>
      </c>
      <c r="E29494" s="8" t="inlineStr">
        <is>
          <t>Avengers Assemble: Flight Force</t>
        </is>
      </c>
      <c r="F29494" s="8" t="inlineStr">
        <is>
          <t>STANDBY</t>
        </is>
      </c>
      <c r="G29494" s="8" t="n">
        <v>40</v>
      </c>
      <c r="H29494" s="8" t="inlineStr">
        <is>
          <t>OPERATING</t>
        </is>
      </c>
    </row>
    <row r="29495">
      <c r="A29495" s="8" t="inlineStr">
        <is>
          <t>2026-08-06</t>
        </is>
      </c>
      <c r="B29495" s="8" t="n">
        <v>12</v>
      </c>
      <c r="C29495" s="8" t="n">
        <v>1</v>
      </c>
      <c r="D29495" s="8" t="inlineStr">
        <is>
          <t>Disney Adventure World</t>
        </is>
      </c>
      <c r="E29495" s="8" t="inlineStr">
        <is>
          <t>Avengers Assemble: Flight Force Single Rider</t>
        </is>
      </c>
      <c r="F29495" s="8" t="inlineStr">
        <is>
          <t>STANDBY</t>
        </is>
      </c>
      <c r="G29495" s="8" t="n">
        <v>30</v>
      </c>
      <c r="H29495" s="8" t="inlineStr">
        <is>
          <t>OPERATING</t>
        </is>
      </c>
    </row>
    <row r="29496">
      <c r="A29496" s="8" t="inlineStr">
        <is>
          <t>2026-08-06</t>
        </is>
      </c>
      <c r="B29496" s="8" t="n">
        <v>12</v>
      </c>
      <c r="C29496" s="8" t="n">
        <v>1</v>
      </c>
      <c r="D29496" s="8" t="inlineStr">
        <is>
          <t>Disney Adventure World</t>
        </is>
      </c>
      <c r="E29496" s="8" t="inlineStr">
        <is>
          <t>Spider-Man W.E.B. Adventure</t>
        </is>
      </c>
      <c r="F29496" s="8" t="inlineStr">
        <is>
          <t>STANDBY</t>
        </is>
      </c>
      <c r="G29496" s="8" t="n">
        <v>55</v>
      </c>
      <c r="H29496" s="8" t="inlineStr">
        <is>
          <t>OPERATING</t>
        </is>
      </c>
    </row>
    <row r="29497">
      <c r="A29497" s="8" t="inlineStr">
        <is>
          <t>2026-08-06</t>
        </is>
      </c>
      <c r="B29497" s="8" t="n">
        <v>12</v>
      </c>
      <c r="C29497" s="8" t="n">
        <v>1</v>
      </c>
      <c r="D29497" s="8" t="inlineStr">
        <is>
          <t>Disney Adventure World</t>
        </is>
      </c>
      <c r="E29497" s="8" t="inlineStr">
        <is>
          <t>Spider-Man W.E.B. Adventure Single Rider</t>
        </is>
      </c>
      <c r="F29497" s="8" t="inlineStr">
        <is>
          <t>STANDBY</t>
        </is>
      </c>
      <c r="G29497" s="8" t="n">
        <v>20</v>
      </c>
      <c r="H29497" s="8" t="inlineStr">
        <is>
          <t>OPERATING</t>
        </is>
      </c>
    </row>
    <row r="29498">
      <c r="A29498" s="8" t="inlineStr">
        <is>
          <t>2026-08-06</t>
        </is>
      </c>
      <c r="B29498" s="8" t="n">
        <v>12</v>
      </c>
      <c r="C29498" s="8" t="n">
        <v>1</v>
      </c>
      <c r="D29498" s="8" t="inlineStr">
        <is>
          <t>Disney Adventure World</t>
        </is>
      </c>
      <c r="E29498" s="8" t="inlineStr">
        <is>
          <t>The Twilight Zone Tower of Terror</t>
        </is>
      </c>
      <c r="F29498" s="8" t="inlineStr">
        <is>
          <t>STANDBY</t>
        </is>
      </c>
      <c r="G29498" s="8" t="n">
        <v>45</v>
      </c>
      <c r="H29498" s="8" t="inlineStr">
        <is>
          <t>OPERATING</t>
        </is>
      </c>
    </row>
    <row r="29499">
      <c r="A29499" s="8" t="inlineStr">
        <is>
          <t>2026-08-06</t>
        </is>
      </c>
      <c r="B29499" s="8" t="n">
        <v>12</v>
      </c>
      <c r="C29499" s="8" t="n">
        <v>1</v>
      </c>
      <c r="D29499" s="8" t="inlineStr">
        <is>
          <t>Disney Adventure World</t>
        </is>
      </c>
      <c r="E29499" s="8" t="inlineStr">
        <is>
          <t>Cars Quatre Roues Rallye</t>
        </is>
      </c>
      <c r="F29499" s="8" t="inlineStr">
        <is>
          <t>STANDBY</t>
        </is>
      </c>
      <c r="G29499" s="8" t="n">
        <v>20</v>
      </c>
      <c r="H29499" s="8" t="inlineStr">
        <is>
          <t>OPERATING</t>
        </is>
      </c>
    </row>
    <row r="29500">
      <c r="A29500" s="8" t="inlineStr">
        <is>
          <t>2026-08-06</t>
        </is>
      </c>
      <c r="B29500" s="8" t="n">
        <v>12</v>
      </c>
      <c r="C29500" s="8" t="n">
        <v>1</v>
      </c>
      <c r="D29500" s="8" t="inlineStr">
        <is>
          <t>Disney Adventure World</t>
        </is>
      </c>
      <c r="E29500" s="8" t="inlineStr">
        <is>
          <t>Cars ROAD TRIP</t>
        </is>
      </c>
      <c r="F29500" s="8" t="inlineStr">
        <is>
          <t>STANDBY</t>
        </is>
      </c>
      <c r="G29500" s="8" t="n">
        <v>45</v>
      </c>
      <c r="H29500" s="8" t="inlineStr">
        <is>
          <t>OPERATING</t>
        </is>
      </c>
    </row>
    <row r="29501">
      <c r="A29501" s="8" t="inlineStr">
        <is>
          <t>2026-08-06</t>
        </is>
      </c>
      <c r="B29501" s="8" t="n">
        <v>12</v>
      </c>
      <c r="C29501" s="8" t="n">
        <v>1</v>
      </c>
      <c r="D29501" s="8" t="inlineStr">
        <is>
          <t>Disney Adventure World</t>
        </is>
      </c>
      <c r="E29501" s="8" t="inlineStr">
        <is>
          <t>Crush's Coaster</t>
        </is>
      </c>
      <c r="F29501" s="8" t="inlineStr">
        <is>
          <t>STANDBY</t>
        </is>
      </c>
      <c r="G29501" s="8" t="n">
        <v>100</v>
      </c>
      <c r="H29501" s="8" t="inlineStr">
        <is>
          <t>OPERATING</t>
        </is>
      </c>
    </row>
    <row r="29502">
      <c r="A29502" s="8" t="inlineStr">
        <is>
          <t>2026-08-06</t>
        </is>
      </c>
      <c r="B29502" s="8" t="n">
        <v>12</v>
      </c>
      <c r="C29502" s="8" t="n">
        <v>1</v>
      </c>
      <c r="D29502" s="8" t="inlineStr">
        <is>
          <t>Disney Adventure World</t>
        </is>
      </c>
      <c r="E29502" s="8" t="inlineStr">
        <is>
          <t>Crush's Coaster Single Rider</t>
        </is>
      </c>
      <c r="F29502" s="8" t="inlineStr">
        <is>
          <t>STANDBY</t>
        </is>
      </c>
      <c r="G29502" s="8" t="n">
        <v>60</v>
      </c>
      <c r="H29502" s="8" t="inlineStr">
        <is>
          <t>OPERATING</t>
        </is>
      </c>
    </row>
    <row r="29503">
      <c r="A29503" s="8" t="inlineStr">
        <is>
          <t>2026-08-06</t>
        </is>
      </c>
      <c r="B29503" s="8" t="n">
        <v>12</v>
      </c>
      <c r="C29503" s="8" t="n">
        <v>1</v>
      </c>
      <c r="D29503" s="8" t="inlineStr">
        <is>
          <t>Disney Adventure World</t>
        </is>
      </c>
      <c r="E29503" s="8" t="inlineStr">
        <is>
          <t>Les Tapis Volants - Flying Carpets Over Agrabah®</t>
        </is>
      </c>
      <c r="F29503" s="8" t="inlineStr">
        <is>
          <t>STANDBY</t>
        </is>
      </c>
      <c r="G29503" s="8" t="n">
        <v>30</v>
      </c>
      <c r="H29503" s="8" t="inlineStr">
        <is>
          <t>OPERATING</t>
        </is>
      </c>
    </row>
    <row r="29504">
      <c r="A29504" s="8" t="inlineStr">
        <is>
          <t>2026-08-06</t>
        </is>
      </c>
      <c r="B29504" s="8" t="n">
        <v>12</v>
      </c>
      <c r="C29504" s="8" t="n">
        <v>1</v>
      </c>
      <c r="D29504" s="8" t="inlineStr">
        <is>
          <t>Disney Adventure World</t>
        </is>
      </c>
      <c r="E29504" s="8" t="inlineStr">
        <is>
          <t>Ratatouille : L’Aventure Totalement Toquée de Rémy​</t>
        </is>
      </c>
      <c r="F29504" s="8" t="inlineStr">
        <is>
          <t>STANDBY</t>
        </is>
      </c>
      <c r="G29504" s="8" t="n">
        <v>80</v>
      </c>
      <c r="H29504" s="8" t="inlineStr">
        <is>
          <t>OPERATING</t>
        </is>
      </c>
    </row>
    <row r="29505">
      <c r="A29505" s="8" t="inlineStr">
        <is>
          <t>2026-08-06</t>
        </is>
      </c>
      <c r="B29505" s="8" t="n">
        <v>12</v>
      </c>
      <c r="C29505" s="8" t="n">
        <v>1</v>
      </c>
      <c r="D29505" s="8" t="inlineStr">
        <is>
          <t>Disney Adventure World</t>
        </is>
      </c>
      <c r="E29505" s="8" t="inlineStr">
        <is>
          <t>Ratatouille: The Adventure Single Rider</t>
        </is>
      </c>
      <c r="F29505" s="8" t="inlineStr">
        <is>
          <t>STANDBY</t>
        </is>
      </c>
      <c r="G29505" s="8" t="n">
        <v>30</v>
      </c>
      <c r="H29505" s="8" t="inlineStr">
        <is>
          <t>OPERATING</t>
        </is>
      </c>
    </row>
    <row r="29506">
      <c r="A29506" s="8" t="inlineStr">
        <is>
          <t>2026-08-06</t>
        </is>
      </c>
      <c r="B29506" s="8" t="n">
        <v>12</v>
      </c>
      <c r="C29506" s="8" t="n">
        <v>1</v>
      </c>
      <c r="D29506" s="8" t="inlineStr">
        <is>
          <t>Disney Adventure World</t>
        </is>
      </c>
      <c r="E29506" s="8" t="inlineStr">
        <is>
          <t>RC Racer</t>
        </is>
      </c>
      <c r="F29506" s="8" t="inlineStr">
        <is>
          <t>STANDBY</t>
        </is>
      </c>
      <c r="G29506" s="8" t="n">
        <v>50</v>
      </c>
      <c r="H29506" s="8" t="inlineStr">
        <is>
          <t>OPERATING</t>
        </is>
      </c>
    </row>
    <row r="29507">
      <c r="A29507" s="8" t="inlineStr">
        <is>
          <t>2026-08-06</t>
        </is>
      </c>
      <c r="B29507" s="8" t="n">
        <v>12</v>
      </c>
      <c r="C29507" s="8" t="n">
        <v>1</v>
      </c>
      <c r="D29507" s="8" t="inlineStr">
        <is>
          <t>Disney Adventure World</t>
        </is>
      </c>
      <c r="E29507" s="8" t="inlineStr">
        <is>
          <t>RC Racer Single Rider</t>
        </is>
      </c>
      <c r="F29507" s="8" t="inlineStr">
        <is>
          <t>STANDBY</t>
        </is>
      </c>
      <c r="G29507" s="8" t="n">
        <v>45</v>
      </c>
      <c r="H29507" s="8" t="inlineStr">
        <is>
          <t>OPERATING</t>
        </is>
      </c>
    </row>
    <row r="29508">
      <c r="A29508" s="8" t="inlineStr">
        <is>
          <t>2026-08-06</t>
        </is>
      </c>
      <c r="B29508" s="8" t="n">
        <v>12</v>
      </c>
      <c r="C29508" s="8" t="n">
        <v>1</v>
      </c>
      <c r="D29508" s="8" t="inlineStr">
        <is>
          <t>Disney Adventure World</t>
        </is>
      </c>
      <c r="E29508" s="8" t="inlineStr">
        <is>
          <t>Slinky® Dog Zigzag Spin</t>
        </is>
      </c>
      <c r="F29508" s="8" t="inlineStr">
        <is>
          <t>STANDBY</t>
        </is>
      </c>
      <c r="G29508" s="8" t="n">
        <v>25</v>
      </c>
      <c r="H29508" s="8" t="inlineStr">
        <is>
          <t>OPERATING</t>
        </is>
      </c>
    </row>
    <row r="29509">
      <c r="A29509" s="8" t="inlineStr">
        <is>
          <t>2026-08-06</t>
        </is>
      </c>
      <c r="B29509" s="8" t="n">
        <v>12</v>
      </c>
      <c r="C29509" s="8" t="n">
        <v>1</v>
      </c>
      <c r="D29509" s="8" t="inlineStr">
        <is>
          <t>Disney Adventure World</t>
        </is>
      </c>
      <c r="E29509" s="8" t="inlineStr">
        <is>
          <t>Toy Soldiers Parachute Drop</t>
        </is>
      </c>
      <c r="F29509" s="8" t="inlineStr">
        <is>
          <t>STANDBY</t>
        </is>
      </c>
      <c r="G29509" s="8" t="n">
        <v>60</v>
      </c>
      <c r="H29509" s="8" t="inlineStr">
        <is>
          <t>OPERATING</t>
        </is>
      </c>
    </row>
    <row r="29510">
      <c r="A29510" s="8" t="inlineStr">
        <is>
          <t>2026-08-06</t>
        </is>
      </c>
      <c r="B29510" s="8" t="n">
        <v>12</v>
      </c>
      <c r="C29510" s="8" t="n">
        <v>1</v>
      </c>
      <c r="D29510" s="8" t="inlineStr">
        <is>
          <t>Disney Adventure World</t>
        </is>
      </c>
      <c r="E29510" s="8" t="inlineStr">
        <is>
          <t>Toy Soldiers Parachute Drop Single Rider</t>
        </is>
      </c>
      <c r="F29510" s="8" t="inlineStr">
        <is>
          <t>STANDBY</t>
        </is>
      </c>
      <c r="G29510" s="8" t="n">
        <v>15</v>
      </c>
      <c r="H29510" s="8" t="inlineStr">
        <is>
          <t>OPERATING</t>
        </is>
      </c>
    </row>
    <row r="29511">
      <c r="A29511" s="8" t="inlineStr">
        <is>
          <t>2026-08-06</t>
        </is>
      </c>
      <c r="B29511" s="8" t="n">
        <v>12</v>
      </c>
      <c r="C29511" s="8" t="n">
        <v>1</v>
      </c>
      <c r="D29511" s="8" t="inlineStr">
        <is>
          <t>Disney Adventure World</t>
        </is>
      </c>
      <c r="E29511" s="8" t="inlineStr">
        <is>
          <t>Entry to World of Frozen</t>
        </is>
      </c>
      <c r="F29511" s="8" t="inlineStr">
        <is>
          <t>STANDBY</t>
        </is>
      </c>
      <c r="G29511" s="8" t="n">
        <v>0</v>
      </c>
      <c r="H29511" s="8" t="inlineStr">
        <is>
          <t>OPERATING</t>
        </is>
      </c>
    </row>
    <row r="29512">
      <c r="A29512" s="8" t="inlineStr">
        <is>
          <t>2026-08-06</t>
        </is>
      </c>
      <c r="B29512" s="8" t="n">
        <v>12</v>
      </c>
      <c r="C29512" s="8" t="n">
        <v>1</v>
      </c>
      <c r="D29512" s="8" t="inlineStr">
        <is>
          <t>Disney Adventure World</t>
        </is>
      </c>
      <c r="E29512" s="8" t="inlineStr">
        <is>
          <t>Frozen Ever After</t>
        </is>
      </c>
      <c r="F29512" s="8" t="inlineStr">
        <is>
          <t>STANDBY</t>
        </is>
      </c>
      <c r="G29512" s="8" t="n">
        <v>80</v>
      </c>
      <c r="H29512" s="8" t="inlineStr">
        <is>
          <t>OPERATING</t>
        </is>
      </c>
    </row>
    <row r="29513">
      <c r="A29513" s="8" t="inlineStr">
        <is>
          <t>2026-08-06</t>
        </is>
      </c>
      <c r="B29513" s="8" t="n">
        <v>12</v>
      </c>
      <c r="C29513" s="8" t="n">
        <v>1</v>
      </c>
      <c r="D29513" s="8" t="inlineStr">
        <is>
          <t>Disney Adventure World</t>
        </is>
      </c>
      <c r="E29513" s="8" t="inlineStr">
        <is>
          <t>Raiponce Tangled Spin</t>
        </is>
      </c>
      <c r="F29513" s="8" t="inlineStr">
        <is>
          <t>STANDBY</t>
        </is>
      </c>
      <c r="G29513" s="8" t="n">
        <v>30</v>
      </c>
      <c r="H29513" s="8" t="inlineStr">
        <is>
          <t>OPERATING</t>
        </is>
      </c>
    </row>
  </sheetData>
  <autoFilter ref="A1:H2951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IFERROR(ROUND(AVERAGEIFS(Datos!$G$2:$G$29513,Datos!$E$2:$E$29513,$A5,Datos!$B$2:$B$29513,8,Datos!$C$2:$C$29513,"&lt;30",Datos!$F$2:$F$29513,"STANDBY"),0),"")</f>
        <v/>
      </c>
      <c r="C5" s="7">
        <f>IFERROR(ROUND(AVERAGEIFS(Datos!$G$2:$G$29513,Datos!$E$2:$E$29513,$A5,Datos!$B$2:$B$29513,8,Datos!$C$2:$C$29513,"&gt;=30",Datos!$F$2:$F$29513,"STANDBY"),0),"")</f>
        <v/>
      </c>
      <c r="D5" s="7">
        <f>IFERROR(ROUND(AVERAGEIFS(Datos!$G$2:$G$29513,Datos!$E$2:$E$29513,$A5,Datos!$B$2:$B$29513,9,Datos!$C$2:$C$29513,"&lt;30",Datos!$F$2:$F$29513,"STANDBY"),0),"")</f>
        <v/>
      </c>
      <c r="E5" s="7">
        <f>IFERROR(ROUND(AVERAGEIFS(Datos!$G$2:$G$29513,Datos!$E$2:$E$29513,$A5,Datos!$B$2:$B$29513,9,Datos!$C$2:$C$29513,"&gt;=30",Datos!$F$2:$F$29513,"STANDBY"),0),"")</f>
        <v/>
      </c>
      <c r="F5" s="7">
        <f>IFERROR(ROUND(AVERAGEIFS(Datos!$G$2:$G$29513,Datos!$E$2:$E$29513,$A5,Datos!$B$2:$B$29513,10,Datos!$C$2:$C$29513,"&lt;30",Datos!$F$2:$F$29513,"STANDBY"),0),"")</f>
        <v/>
      </c>
      <c r="G5" s="7">
        <f>IFERROR(ROUND(AVERAGEIFS(Datos!$G$2:$G$29513,Datos!$E$2:$E$29513,$A5,Datos!$B$2:$B$29513,10,Datos!$C$2:$C$29513,"&gt;=30",Datos!$F$2:$F$29513,"STANDBY"),0),"")</f>
        <v/>
      </c>
      <c r="H5" s="7">
        <f>IFERROR(ROUND(AVERAGEIFS(Datos!$G$2:$G$29513,Datos!$E$2:$E$29513,$A5,Datos!$B$2:$B$29513,11,Datos!$C$2:$C$29513,"&lt;30",Datos!$F$2:$F$29513,"STANDBY"),0),"")</f>
        <v/>
      </c>
      <c r="I5" s="7">
        <f>IFERROR(ROUND(AVERAGEIFS(Datos!$G$2:$G$29513,Datos!$E$2:$E$29513,$A5,Datos!$B$2:$B$29513,11,Datos!$C$2:$C$29513,"&gt;=30",Datos!$F$2:$F$29513,"STANDBY"),0),"")</f>
        <v/>
      </c>
      <c r="J5" s="7">
        <f>IFERROR(ROUND(AVERAGEIFS(Datos!$G$2:$G$29513,Datos!$E$2:$E$29513,$A5,Datos!$B$2:$B$29513,12,Datos!$C$2:$C$29513,"&lt;30",Datos!$F$2:$F$29513,"STANDBY"),0),"")</f>
        <v/>
      </c>
      <c r="K5" s="7">
        <f>IFERROR(ROUND(AVERAGEIFS(Datos!$G$2:$G$29513,Datos!$E$2:$E$29513,$A5,Datos!$B$2:$B$29513,12,Datos!$C$2:$C$29513,"&gt;=30",Datos!$F$2:$F$29513,"STANDBY"),0),"")</f>
        <v/>
      </c>
      <c r="L5" s="7">
        <f>IFERROR(ROUND(AVERAGEIFS(Datos!$G$2:$G$29513,Datos!$E$2:$E$29513,$A5,Datos!$B$2:$B$29513,13,Datos!$C$2:$C$29513,"&lt;30",Datos!$F$2:$F$29513,"STANDBY"),0),"")</f>
        <v/>
      </c>
      <c r="M5" s="7">
        <f>IFERROR(ROUND(AVERAGEIFS(Datos!$G$2:$G$29513,Datos!$E$2:$E$29513,$A5,Datos!$B$2:$B$29513,13,Datos!$C$2:$C$29513,"&gt;=30",Datos!$F$2:$F$29513,"STANDBY"),0),"")</f>
        <v/>
      </c>
      <c r="N5" s="7">
        <f>IFERROR(ROUND(AVERAGEIFS(Datos!$G$2:$G$29513,Datos!$E$2:$E$29513,$A5,Datos!$B$2:$B$29513,14,Datos!$C$2:$C$29513,"&lt;30",Datos!$F$2:$F$29513,"STANDBY"),0),"")</f>
        <v/>
      </c>
      <c r="O5" s="7">
        <f>IFERROR(ROUND(AVERAGEIFS(Datos!$G$2:$G$29513,Datos!$E$2:$E$29513,$A5,Datos!$B$2:$B$29513,14,Datos!$C$2:$C$29513,"&gt;=30",Datos!$F$2:$F$29513,"STANDBY"),0),"")</f>
        <v/>
      </c>
      <c r="P5" s="7">
        <f>IFERROR(ROUND(AVERAGEIFS(Datos!$G$2:$G$29513,Datos!$E$2:$E$29513,$A5,Datos!$B$2:$B$29513,15,Datos!$C$2:$C$29513,"&lt;30",Datos!$F$2:$F$29513,"STANDBY"),0),"")</f>
        <v/>
      </c>
      <c r="Q5" s="7">
        <f>IFERROR(ROUND(AVERAGEIFS(Datos!$G$2:$G$29513,Datos!$E$2:$E$29513,$A5,Datos!$B$2:$B$29513,15,Datos!$C$2:$C$29513,"&gt;=30",Datos!$F$2:$F$29513,"STANDBY"),0),"")</f>
        <v/>
      </c>
      <c r="R5" s="7">
        <f>IFERROR(ROUND(AVERAGEIFS(Datos!$G$2:$G$29513,Datos!$E$2:$E$29513,$A5,Datos!$B$2:$B$29513,16,Datos!$C$2:$C$29513,"&lt;30",Datos!$F$2:$F$29513,"STANDBY"),0),"")</f>
        <v/>
      </c>
      <c r="S5" s="7">
        <f>IFERROR(ROUND(AVERAGEIFS(Datos!$G$2:$G$29513,Datos!$E$2:$E$29513,$A5,Datos!$B$2:$B$29513,16,Datos!$C$2:$C$29513,"&gt;=30",Datos!$F$2:$F$29513,"STANDBY"),0),"")</f>
        <v/>
      </c>
      <c r="T5" s="7">
        <f>IFERROR(ROUND(AVERAGEIFS(Datos!$G$2:$G$29513,Datos!$E$2:$E$29513,$A5,Datos!$B$2:$B$29513,17,Datos!$C$2:$C$29513,"&lt;30",Datos!$F$2:$F$29513,"STANDBY"),0),"")</f>
        <v/>
      </c>
      <c r="U5" s="7">
        <f>IFERROR(ROUND(AVERAGEIFS(Datos!$G$2:$G$29513,Datos!$E$2:$E$29513,$A5,Datos!$B$2:$B$29513,17,Datos!$C$2:$C$29513,"&gt;=30",Datos!$F$2:$F$29513,"STANDBY"),0),"")</f>
        <v/>
      </c>
      <c r="V5" s="7">
        <f>IFERROR(ROUND(AVERAGEIFS(Datos!$G$2:$G$29513,Datos!$E$2:$E$29513,$A5,Datos!$B$2:$B$29513,18,Datos!$C$2:$C$29513,"&lt;30",Datos!$F$2:$F$29513,"STANDBY"),0),"")</f>
        <v/>
      </c>
      <c r="W5" s="7">
        <f>IFERROR(ROUND(AVERAGEIFS(Datos!$G$2:$G$29513,Datos!$E$2:$E$29513,$A5,Datos!$B$2:$B$29513,18,Datos!$C$2:$C$29513,"&gt;=30",Datos!$F$2:$F$29513,"STANDBY"),0),"")</f>
        <v/>
      </c>
      <c r="X5" s="7">
        <f>IFERROR(ROUND(AVERAGEIFS(Datos!$G$2:$G$29513,Datos!$E$2:$E$29513,$A5,Datos!$B$2:$B$29513,19,Datos!$C$2:$C$29513,"&lt;30",Datos!$F$2:$F$29513,"STANDBY"),0),"")</f>
        <v/>
      </c>
      <c r="Y5" s="7">
        <f>IFERROR(ROUND(AVERAGEIFS(Datos!$G$2:$G$29513,Datos!$E$2:$E$29513,$A5,Datos!$B$2:$B$29513,19,Datos!$C$2:$C$29513,"&gt;=30",Datos!$F$2:$F$29513,"STANDBY"),0),"")</f>
        <v/>
      </c>
      <c r="Z5" s="7">
        <f>IFERROR(ROUND(AVERAGEIFS(Datos!$G$2:$G$29513,Datos!$E$2:$E$29513,$A5,Datos!$B$2:$B$29513,20,Datos!$C$2:$C$29513,"&lt;30",Datos!$F$2:$F$29513,"STANDBY"),0),"")</f>
        <v/>
      </c>
      <c r="AA5" s="7">
        <f>IFERROR(ROUND(AVERAGEIFS(Datos!$G$2:$G$29513,Datos!$E$2:$E$29513,$A5,Datos!$B$2:$B$29513,20,Datos!$C$2:$C$29513,"&gt;=30",Datos!$F$2:$F$29513,"STANDBY"),0),"")</f>
        <v/>
      </c>
      <c r="AB5" s="7">
        <f>IFERROR(ROUND(AVERAGEIFS(Datos!$G$2:$G$29513,Datos!$E$2:$E$29513,$A5,Datos!$B$2:$B$29513,21,Datos!$C$2:$C$29513,"&lt;30",Datos!$F$2:$F$29513,"STANDBY"),0),"")</f>
        <v/>
      </c>
      <c r="AC5" s="7">
        <f>IFERROR(ROUND(AVERAGEIFS(Datos!$G$2:$G$29513,Datos!$E$2:$E$29513,$A5,Datos!$B$2:$B$29513,21,Datos!$C$2:$C$29513,"&gt;=30",Datos!$F$2:$F$29513,"STANDBY"),0),"")</f>
        <v/>
      </c>
      <c r="AD5" s="7">
        <f>IFERROR(ROUND(AVERAGEIFS(Datos!$G$2:$G$29513,Datos!$E$2:$E$29513,$A5,Datos!$B$2:$B$29513,22,Datos!$C$2:$C$29513,"&lt;30",Datos!$F$2:$F$29513,"STANDBY"),0),"")</f>
        <v/>
      </c>
      <c r="AE5" s="7">
        <f>IFERROR(ROUND(AVERAGEIFS(Datos!$G$2:$G$29513,Datos!$E$2:$E$29513,$A5,Datos!$B$2:$B$29513,22,Datos!$C$2:$C$29513,"&gt;=30",Datos!$F$2:$F$29513,"STANDBY"),0),"")</f>
        <v/>
      </c>
      <c r="AF5" s="7">
        <f>IFERROR(ROUND(AVERAGEIFS(Datos!$G$2:$G$29513,Datos!$E$2:$E$29513,$A5,Datos!$B$2:$B$29513,23,Datos!$C$2:$C$29513,"&lt;30",Datos!$F$2:$F$29513,"STANDBY"),0),"")</f>
        <v/>
      </c>
      <c r="AG5" s="7">
        <f>IFERROR(ROUND(AVERAGEIFS(Datos!$G$2:$G$29513,Datos!$E$2:$E$29513,$A5,Datos!$B$2:$B$29513,23,Datos!$C$2:$C$29513,"&gt;=30",Datos!$F$2:$F$29513,"STANDBY"),0),"")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IFERROR(ROUND(AVERAGEIFS(Datos!$G$2:$G$29513,Datos!$E$2:$E$29513,$A6,Datos!$B$2:$B$29513,8,Datos!$C$2:$C$29513,"&lt;30",Datos!$F$2:$F$29513,"STANDBY"),0),"")</f>
        <v/>
      </c>
      <c r="C6" s="7">
        <f>IFERROR(ROUND(AVERAGEIFS(Datos!$G$2:$G$29513,Datos!$E$2:$E$29513,$A6,Datos!$B$2:$B$29513,8,Datos!$C$2:$C$29513,"&gt;=30",Datos!$F$2:$F$29513,"STANDBY"),0),"")</f>
        <v/>
      </c>
      <c r="D6" s="7">
        <f>IFERROR(ROUND(AVERAGEIFS(Datos!$G$2:$G$29513,Datos!$E$2:$E$29513,$A6,Datos!$B$2:$B$29513,9,Datos!$C$2:$C$29513,"&lt;30",Datos!$F$2:$F$29513,"STANDBY"),0),"")</f>
        <v/>
      </c>
      <c r="E6" s="7">
        <f>IFERROR(ROUND(AVERAGEIFS(Datos!$G$2:$G$29513,Datos!$E$2:$E$29513,$A6,Datos!$B$2:$B$29513,9,Datos!$C$2:$C$29513,"&gt;=30",Datos!$F$2:$F$29513,"STANDBY"),0),"")</f>
        <v/>
      </c>
      <c r="F6" s="7">
        <f>IFERROR(ROUND(AVERAGEIFS(Datos!$G$2:$G$29513,Datos!$E$2:$E$29513,$A6,Datos!$B$2:$B$29513,10,Datos!$C$2:$C$29513,"&lt;30",Datos!$F$2:$F$29513,"STANDBY"),0),"")</f>
        <v/>
      </c>
      <c r="G6" s="7">
        <f>IFERROR(ROUND(AVERAGEIFS(Datos!$G$2:$G$29513,Datos!$E$2:$E$29513,$A6,Datos!$B$2:$B$29513,10,Datos!$C$2:$C$29513,"&gt;=30",Datos!$F$2:$F$29513,"STANDBY"),0),"")</f>
        <v/>
      </c>
      <c r="H6" s="7">
        <f>IFERROR(ROUND(AVERAGEIFS(Datos!$G$2:$G$29513,Datos!$E$2:$E$29513,$A6,Datos!$B$2:$B$29513,11,Datos!$C$2:$C$29513,"&lt;30",Datos!$F$2:$F$29513,"STANDBY"),0),"")</f>
        <v/>
      </c>
      <c r="I6" s="7">
        <f>IFERROR(ROUND(AVERAGEIFS(Datos!$G$2:$G$29513,Datos!$E$2:$E$29513,$A6,Datos!$B$2:$B$29513,11,Datos!$C$2:$C$29513,"&gt;=30",Datos!$F$2:$F$29513,"STANDBY"),0),"")</f>
        <v/>
      </c>
      <c r="J6" s="7">
        <f>IFERROR(ROUND(AVERAGEIFS(Datos!$G$2:$G$29513,Datos!$E$2:$E$29513,$A6,Datos!$B$2:$B$29513,12,Datos!$C$2:$C$29513,"&lt;30",Datos!$F$2:$F$29513,"STANDBY"),0),"")</f>
        <v/>
      </c>
      <c r="K6" s="7">
        <f>IFERROR(ROUND(AVERAGEIFS(Datos!$G$2:$G$29513,Datos!$E$2:$E$29513,$A6,Datos!$B$2:$B$29513,12,Datos!$C$2:$C$29513,"&gt;=30",Datos!$F$2:$F$29513,"STANDBY"),0),"")</f>
        <v/>
      </c>
      <c r="L6" s="7">
        <f>IFERROR(ROUND(AVERAGEIFS(Datos!$G$2:$G$29513,Datos!$E$2:$E$29513,$A6,Datos!$B$2:$B$29513,13,Datos!$C$2:$C$29513,"&lt;30",Datos!$F$2:$F$29513,"STANDBY"),0),"")</f>
        <v/>
      </c>
      <c r="M6" s="7">
        <f>IFERROR(ROUND(AVERAGEIFS(Datos!$G$2:$G$29513,Datos!$E$2:$E$29513,$A6,Datos!$B$2:$B$29513,13,Datos!$C$2:$C$29513,"&gt;=30",Datos!$F$2:$F$29513,"STANDBY"),0),"")</f>
        <v/>
      </c>
      <c r="N6" s="7">
        <f>IFERROR(ROUND(AVERAGEIFS(Datos!$G$2:$G$29513,Datos!$E$2:$E$29513,$A6,Datos!$B$2:$B$29513,14,Datos!$C$2:$C$29513,"&lt;30",Datos!$F$2:$F$29513,"STANDBY"),0),"")</f>
        <v/>
      </c>
      <c r="O6" s="7">
        <f>IFERROR(ROUND(AVERAGEIFS(Datos!$G$2:$G$29513,Datos!$E$2:$E$29513,$A6,Datos!$B$2:$B$29513,14,Datos!$C$2:$C$29513,"&gt;=30",Datos!$F$2:$F$29513,"STANDBY"),0),"")</f>
        <v/>
      </c>
      <c r="P6" s="7">
        <f>IFERROR(ROUND(AVERAGEIFS(Datos!$G$2:$G$29513,Datos!$E$2:$E$29513,$A6,Datos!$B$2:$B$29513,15,Datos!$C$2:$C$29513,"&lt;30",Datos!$F$2:$F$29513,"STANDBY"),0),"")</f>
        <v/>
      </c>
      <c r="Q6" s="7">
        <f>IFERROR(ROUND(AVERAGEIFS(Datos!$G$2:$G$29513,Datos!$E$2:$E$29513,$A6,Datos!$B$2:$B$29513,15,Datos!$C$2:$C$29513,"&gt;=30",Datos!$F$2:$F$29513,"STANDBY"),0),"")</f>
        <v/>
      </c>
      <c r="R6" s="7">
        <f>IFERROR(ROUND(AVERAGEIFS(Datos!$G$2:$G$29513,Datos!$E$2:$E$29513,$A6,Datos!$B$2:$B$29513,16,Datos!$C$2:$C$29513,"&lt;30",Datos!$F$2:$F$29513,"STANDBY"),0),"")</f>
        <v/>
      </c>
      <c r="S6" s="7">
        <f>IFERROR(ROUND(AVERAGEIFS(Datos!$G$2:$G$29513,Datos!$E$2:$E$29513,$A6,Datos!$B$2:$B$29513,16,Datos!$C$2:$C$29513,"&gt;=30",Datos!$F$2:$F$29513,"STANDBY"),0),"")</f>
        <v/>
      </c>
      <c r="T6" s="7">
        <f>IFERROR(ROUND(AVERAGEIFS(Datos!$G$2:$G$29513,Datos!$E$2:$E$29513,$A6,Datos!$B$2:$B$29513,17,Datos!$C$2:$C$29513,"&lt;30",Datos!$F$2:$F$29513,"STANDBY"),0),"")</f>
        <v/>
      </c>
      <c r="U6" s="7">
        <f>IFERROR(ROUND(AVERAGEIFS(Datos!$G$2:$G$29513,Datos!$E$2:$E$29513,$A6,Datos!$B$2:$B$29513,17,Datos!$C$2:$C$29513,"&gt;=30",Datos!$F$2:$F$29513,"STANDBY"),0),"")</f>
        <v/>
      </c>
      <c r="V6" s="7">
        <f>IFERROR(ROUND(AVERAGEIFS(Datos!$G$2:$G$29513,Datos!$E$2:$E$29513,$A6,Datos!$B$2:$B$29513,18,Datos!$C$2:$C$29513,"&lt;30",Datos!$F$2:$F$29513,"STANDBY"),0),"")</f>
        <v/>
      </c>
      <c r="W6" s="7">
        <f>IFERROR(ROUND(AVERAGEIFS(Datos!$G$2:$G$29513,Datos!$E$2:$E$29513,$A6,Datos!$B$2:$B$29513,18,Datos!$C$2:$C$29513,"&gt;=30",Datos!$F$2:$F$29513,"STANDBY"),0),"")</f>
        <v/>
      </c>
      <c r="X6" s="7">
        <f>IFERROR(ROUND(AVERAGEIFS(Datos!$G$2:$G$29513,Datos!$E$2:$E$29513,$A6,Datos!$B$2:$B$29513,19,Datos!$C$2:$C$29513,"&lt;30",Datos!$F$2:$F$29513,"STANDBY"),0),"")</f>
        <v/>
      </c>
      <c r="Y6" s="7">
        <f>IFERROR(ROUND(AVERAGEIFS(Datos!$G$2:$G$29513,Datos!$E$2:$E$29513,$A6,Datos!$B$2:$B$29513,19,Datos!$C$2:$C$29513,"&gt;=30",Datos!$F$2:$F$29513,"STANDBY"),0),"")</f>
        <v/>
      </c>
      <c r="Z6" s="7">
        <f>IFERROR(ROUND(AVERAGEIFS(Datos!$G$2:$G$29513,Datos!$E$2:$E$29513,$A6,Datos!$B$2:$B$29513,20,Datos!$C$2:$C$29513,"&lt;30",Datos!$F$2:$F$29513,"STANDBY"),0),"")</f>
        <v/>
      </c>
      <c r="AA6" s="7">
        <f>IFERROR(ROUND(AVERAGEIFS(Datos!$G$2:$G$29513,Datos!$E$2:$E$29513,$A6,Datos!$B$2:$B$29513,20,Datos!$C$2:$C$29513,"&gt;=30",Datos!$F$2:$F$29513,"STANDBY"),0),"")</f>
        <v/>
      </c>
      <c r="AB6" s="7">
        <f>IFERROR(ROUND(AVERAGEIFS(Datos!$G$2:$G$29513,Datos!$E$2:$E$29513,$A6,Datos!$B$2:$B$29513,21,Datos!$C$2:$C$29513,"&lt;30",Datos!$F$2:$F$29513,"STANDBY"),0),"")</f>
        <v/>
      </c>
      <c r="AC6" s="7">
        <f>IFERROR(ROUND(AVERAGEIFS(Datos!$G$2:$G$29513,Datos!$E$2:$E$29513,$A6,Datos!$B$2:$B$29513,21,Datos!$C$2:$C$29513,"&gt;=30",Datos!$F$2:$F$29513,"STANDBY"),0),"")</f>
        <v/>
      </c>
      <c r="AD6" s="7">
        <f>IFERROR(ROUND(AVERAGEIFS(Datos!$G$2:$G$29513,Datos!$E$2:$E$29513,$A6,Datos!$B$2:$B$29513,22,Datos!$C$2:$C$29513,"&lt;30",Datos!$F$2:$F$29513,"STANDBY"),0),"")</f>
        <v/>
      </c>
      <c r="AE6" s="7">
        <f>IFERROR(ROUND(AVERAGEIFS(Datos!$G$2:$G$29513,Datos!$E$2:$E$29513,$A6,Datos!$B$2:$B$29513,22,Datos!$C$2:$C$29513,"&gt;=30",Datos!$F$2:$F$29513,"STANDBY"),0),"")</f>
        <v/>
      </c>
      <c r="AF6" s="7">
        <f>IFERROR(ROUND(AVERAGEIFS(Datos!$G$2:$G$29513,Datos!$E$2:$E$29513,$A6,Datos!$B$2:$B$29513,23,Datos!$C$2:$C$29513,"&lt;30",Datos!$F$2:$F$29513,"STANDBY"),0),"")</f>
        <v/>
      </c>
      <c r="AG6" s="7">
        <f>IFERROR(ROUND(AVERAGEIFS(Datos!$G$2:$G$29513,Datos!$E$2:$E$29513,$A6,Datos!$B$2:$B$29513,23,Datos!$C$2:$C$29513,"&gt;=30",Datos!$F$2:$F$29513,"STANDBY"),0),"")</f>
        <v/>
      </c>
    </row>
    <row r="7">
      <c r="A7" s="6" t="inlineStr">
        <is>
          <t>Cars Quatre Roues Rallye</t>
        </is>
      </c>
      <c r="B7" s="7">
        <f>IFERROR(ROUND(AVERAGEIFS(Datos!$G$2:$G$29513,Datos!$E$2:$E$29513,$A7,Datos!$B$2:$B$29513,8,Datos!$C$2:$C$29513,"&lt;30",Datos!$F$2:$F$29513,"STANDBY"),0),"")</f>
        <v/>
      </c>
      <c r="C7" s="7">
        <f>IFERROR(ROUND(AVERAGEIFS(Datos!$G$2:$G$29513,Datos!$E$2:$E$29513,$A7,Datos!$B$2:$B$29513,8,Datos!$C$2:$C$29513,"&gt;=30",Datos!$F$2:$F$29513,"STANDBY"),0),"")</f>
        <v/>
      </c>
      <c r="D7" s="7">
        <f>IFERROR(ROUND(AVERAGEIFS(Datos!$G$2:$G$29513,Datos!$E$2:$E$29513,$A7,Datos!$B$2:$B$29513,9,Datos!$C$2:$C$29513,"&lt;30",Datos!$F$2:$F$29513,"STANDBY"),0),"")</f>
        <v/>
      </c>
      <c r="E7" s="7">
        <f>IFERROR(ROUND(AVERAGEIFS(Datos!$G$2:$G$29513,Datos!$E$2:$E$29513,$A7,Datos!$B$2:$B$29513,9,Datos!$C$2:$C$29513,"&gt;=30",Datos!$F$2:$F$29513,"STANDBY"),0),"")</f>
        <v/>
      </c>
      <c r="F7" s="7">
        <f>IFERROR(ROUND(AVERAGEIFS(Datos!$G$2:$G$29513,Datos!$E$2:$E$29513,$A7,Datos!$B$2:$B$29513,10,Datos!$C$2:$C$29513,"&lt;30",Datos!$F$2:$F$29513,"STANDBY"),0),"")</f>
        <v/>
      </c>
      <c r="G7" s="7">
        <f>IFERROR(ROUND(AVERAGEIFS(Datos!$G$2:$G$29513,Datos!$E$2:$E$29513,$A7,Datos!$B$2:$B$29513,10,Datos!$C$2:$C$29513,"&gt;=30",Datos!$F$2:$F$29513,"STANDBY"),0),"")</f>
        <v/>
      </c>
      <c r="H7" s="7">
        <f>IFERROR(ROUND(AVERAGEIFS(Datos!$G$2:$G$29513,Datos!$E$2:$E$29513,$A7,Datos!$B$2:$B$29513,11,Datos!$C$2:$C$29513,"&lt;30",Datos!$F$2:$F$29513,"STANDBY"),0),"")</f>
        <v/>
      </c>
      <c r="I7" s="7">
        <f>IFERROR(ROUND(AVERAGEIFS(Datos!$G$2:$G$29513,Datos!$E$2:$E$29513,$A7,Datos!$B$2:$B$29513,11,Datos!$C$2:$C$29513,"&gt;=30",Datos!$F$2:$F$29513,"STANDBY"),0),"")</f>
        <v/>
      </c>
      <c r="J7" s="7">
        <f>IFERROR(ROUND(AVERAGEIFS(Datos!$G$2:$G$29513,Datos!$E$2:$E$29513,$A7,Datos!$B$2:$B$29513,12,Datos!$C$2:$C$29513,"&lt;30",Datos!$F$2:$F$29513,"STANDBY"),0),"")</f>
        <v/>
      </c>
      <c r="K7" s="7">
        <f>IFERROR(ROUND(AVERAGEIFS(Datos!$G$2:$G$29513,Datos!$E$2:$E$29513,$A7,Datos!$B$2:$B$29513,12,Datos!$C$2:$C$29513,"&gt;=30",Datos!$F$2:$F$29513,"STANDBY"),0),"")</f>
        <v/>
      </c>
      <c r="L7" s="7">
        <f>IFERROR(ROUND(AVERAGEIFS(Datos!$G$2:$G$29513,Datos!$E$2:$E$29513,$A7,Datos!$B$2:$B$29513,13,Datos!$C$2:$C$29513,"&lt;30",Datos!$F$2:$F$29513,"STANDBY"),0),"")</f>
        <v/>
      </c>
      <c r="M7" s="7">
        <f>IFERROR(ROUND(AVERAGEIFS(Datos!$G$2:$G$29513,Datos!$E$2:$E$29513,$A7,Datos!$B$2:$B$29513,13,Datos!$C$2:$C$29513,"&gt;=30",Datos!$F$2:$F$29513,"STANDBY"),0),"")</f>
        <v/>
      </c>
      <c r="N7" s="7">
        <f>IFERROR(ROUND(AVERAGEIFS(Datos!$G$2:$G$29513,Datos!$E$2:$E$29513,$A7,Datos!$B$2:$B$29513,14,Datos!$C$2:$C$29513,"&lt;30",Datos!$F$2:$F$29513,"STANDBY"),0),"")</f>
        <v/>
      </c>
      <c r="O7" s="7">
        <f>IFERROR(ROUND(AVERAGEIFS(Datos!$G$2:$G$29513,Datos!$E$2:$E$29513,$A7,Datos!$B$2:$B$29513,14,Datos!$C$2:$C$29513,"&gt;=30",Datos!$F$2:$F$29513,"STANDBY"),0),"")</f>
        <v/>
      </c>
      <c r="P7" s="7">
        <f>IFERROR(ROUND(AVERAGEIFS(Datos!$G$2:$G$29513,Datos!$E$2:$E$29513,$A7,Datos!$B$2:$B$29513,15,Datos!$C$2:$C$29513,"&lt;30",Datos!$F$2:$F$29513,"STANDBY"),0),"")</f>
        <v/>
      </c>
      <c r="Q7" s="7">
        <f>IFERROR(ROUND(AVERAGEIFS(Datos!$G$2:$G$29513,Datos!$E$2:$E$29513,$A7,Datos!$B$2:$B$29513,15,Datos!$C$2:$C$29513,"&gt;=30",Datos!$F$2:$F$29513,"STANDBY"),0),"")</f>
        <v/>
      </c>
      <c r="R7" s="7">
        <f>IFERROR(ROUND(AVERAGEIFS(Datos!$G$2:$G$29513,Datos!$E$2:$E$29513,$A7,Datos!$B$2:$B$29513,16,Datos!$C$2:$C$29513,"&lt;30",Datos!$F$2:$F$29513,"STANDBY"),0),"")</f>
        <v/>
      </c>
      <c r="S7" s="7">
        <f>IFERROR(ROUND(AVERAGEIFS(Datos!$G$2:$G$29513,Datos!$E$2:$E$29513,$A7,Datos!$B$2:$B$29513,16,Datos!$C$2:$C$29513,"&gt;=30",Datos!$F$2:$F$29513,"STANDBY"),0),"")</f>
        <v/>
      </c>
      <c r="T7" s="7">
        <f>IFERROR(ROUND(AVERAGEIFS(Datos!$G$2:$G$29513,Datos!$E$2:$E$29513,$A7,Datos!$B$2:$B$29513,17,Datos!$C$2:$C$29513,"&lt;30",Datos!$F$2:$F$29513,"STANDBY"),0),"")</f>
        <v/>
      </c>
      <c r="U7" s="7">
        <f>IFERROR(ROUND(AVERAGEIFS(Datos!$G$2:$G$29513,Datos!$E$2:$E$29513,$A7,Datos!$B$2:$B$29513,17,Datos!$C$2:$C$29513,"&gt;=30",Datos!$F$2:$F$29513,"STANDBY"),0),"")</f>
        <v/>
      </c>
      <c r="V7" s="7">
        <f>IFERROR(ROUND(AVERAGEIFS(Datos!$G$2:$G$29513,Datos!$E$2:$E$29513,$A7,Datos!$B$2:$B$29513,18,Datos!$C$2:$C$29513,"&lt;30",Datos!$F$2:$F$29513,"STANDBY"),0),"")</f>
        <v/>
      </c>
      <c r="W7" s="7">
        <f>IFERROR(ROUND(AVERAGEIFS(Datos!$G$2:$G$29513,Datos!$E$2:$E$29513,$A7,Datos!$B$2:$B$29513,18,Datos!$C$2:$C$29513,"&gt;=30",Datos!$F$2:$F$29513,"STANDBY"),0),"")</f>
        <v/>
      </c>
      <c r="X7" s="7">
        <f>IFERROR(ROUND(AVERAGEIFS(Datos!$G$2:$G$29513,Datos!$E$2:$E$29513,$A7,Datos!$B$2:$B$29513,19,Datos!$C$2:$C$29513,"&lt;30",Datos!$F$2:$F$29513,"STANDBY"),0),"")</f>
        <v/>
      </c>
      <c r="Y7" s="7">
        <f>IFERROR(ROUND(AVERAGEIFS(Datos!$G$2:$G$29513,Datos!$E$2:$E$29513,$A7,Datos!$B$2:$B$29513,19,Datos!$C$2:$C$29513,"&gt;=30",Datos!$F$2:$F$29513,"STANDBY"),0),"")</f>
        <v/>
      </c>
      <c r="Z7" s="7">
        <f>IFERROR(ROUND(AVERAGEIFS(Datos!$G$2:$G$29513,Datos!$E$2:$E$29513,$A7,Datos!$B$2:$B$29513,20,Datos!$C$2:$C$29513,"&lt;30",Datos!$F$2:$F$29513,"STANDBY"),0),"")</f>
        <v/>
      </c>
      <c r="AA7" s="7">
        <f>IFERROR(ROUND(AVERAGEIFS(Datos!$G$2:$G$29513,Datos!$E$2:$E$29513,$A7,Datos!$B$2:$B$29513,20,Datos!$C$2:$C$29513,"&gt;=30",Datos!$F$2:$F$29513,"STANDBY"),0),"")</f>
        <v/>
      </c>
      <c r="AB7" s="7">
        <f>IFERROR(ROUND(AVERAGEIFS(Datos!$G$2:$G$29513,Datos!$E$2:$E$29513,$A7,Datos!$B$2:$B$29513,21,Datos!$C$2:$C$29513,"&lt;30",Datos!$F$2:$F$29513,"STANDBY"),0),"")</f>
        <v/>
      </c>
      <c r="AC7" s="7">
        <f>IFERROR(ROUND(AVERAGEIFS(Datos!$G$2:$G$29513,Datos!$E$2:$E$29513,$A7,Datos!$B$2:$B$29513,21,Datos!$C$2:$C$29513,"&gt;=30",Datos!$F$2:$F$29513,"STANDBY"),0),"")</f>
        <v/>
      </c>
      <c r="AD7" s="7">
        <f>IFERROR(ROUND(AVERAGEIFS(Datos!$G$2:$G$29513,Datos!$E$2:$E$29513,$A7,Datos!$B$2:$B$29513,22,Datos!$C$2:$C$29513,"&lt;30",Datos!$F$2:$F$29513,"STANDBY"),0),"")</f>
        <v/>
      </c>
      <c r="AE7" s="7">
        <f>IFERROR(ROUND(AVERAGEIFS(Datos!$G$2:$G$29513,Datos!$E$2:$E$29513,$A7,Datos!$B$2:$B$29513,22,Datos!$C$2:$C$29513,"&gt;=30",Datos!$F$2:$F$29513,"STANDBY"),0),"")</f>
        <v/>
      </c>
      <c r="AF7" s="7">
        <f>IFERROR(ROUND(AVERAGEIFS(Datos!$G$2:$G$29513,Datos!$E$2:$E$29513,$A7,Datos!$B$2:$B$29513,23,Datos!$C$2:$C$29513,"&lt;30",Datos!$F$2:$F$29513,"STANDBY"),0),"")</f>
        <v/>
      </c>
      <c r="AG7" s="7">
        <f>IFERROR(ROUND(AVERAGEIFS(Datos!$G$2:$G$29513,Datos!$E$2:$E$29513,$A7,Datos!$B$2:$B$29513,23,Datos!$C$2:$C$29513,"&gt;=30",Datos!$F$2:$F$29513,"STANDBY"),0),"")</f>
        <v/>
      </c>
    </row>
    <row r="8">
      <c r="A8" s="6" t="inlineStr">
        <is>
          <t>Cars ROAD TRIP</t>
        </is>
      </c>
      <c r="B8" s="7">
        <f>IFERROR(ROUND(AVERAGEIFS(Datos!$G$2:$G$29513,Datos!$E$2:$E$29513,$A8,Datos!$B$2:$B$29513,8,Datos!$C$2:$C$29513,"&lt;30",Datos!$F$2:$F$29513,"STANDBY"),0),"")</f>
        <v/>
      </c>
      <c r="C8" s="7">
        <f>IFERROR(ROUND(AVERAGEIFS(Datos!$G$2:$G$29513,Datos!$E$2:$E$29513,$A8,Datos!$B$2:$B$29513,8,Datos!$C$2:$C$29513,"&gt;=30",Datos!$F$2:$F$29513,"STANDBY"),0),"")</f>
        <v/>
      </c>
      <c r="D8" s="7">
        <f>IFERROR(ROUND(AVERAGEIFS(Datos!$G$2:$G$29513,Datos!$E$2:$E$29513,$A8,Datos!$B$2:$B$29513,9,Datos!$C$2:$C$29513,"&lt;30",Datos!$F$2:$F$29513,"STANDBY"),0),"")</f>
        <v/>
      </c>
      <c r="E8" s="7">
        <f>IFERROR(ROUND(AVERAGEIFS(Datos!$G$2:$G$29513,Datos!$E$2:$E$29513,$A8,Datos!$B$2:$B$29513,9,Datos!$C$2:$C$29513,"&gt;=30",Datos!$F$2:$F$29513,"STANDBY"),0),"")</f>
        <v/>
      </c>
      <c r="F8" s="7">
        <f>IFERROR(ROUND(AVERAGEIFS(Datos!$G$2:$G$29513,Datos!$E$2:$E$29513,$A8,Datos!$B$2:$B$29513,10,Datos!$C$2:$C$29513,"&lt;30",Datos!$F$2:$F$29513,"STANDBY"),0),"")</f>
        <v/>
      </c>
      <c r="G8" s="7">
        <f>IFERROR(ROUND(AVERAGEIFS(Datos!$G$2:$G$29513,Datos!$E$2:$E$29513,$A8,Datos!$B$2:$B$29513,10,Datos!$C$2:$C$29513,"&gt;=30",Datos!$F$2:$F$29513,"STANDBY"),0),"")</f>
        <v/>
      </c>
      <c r="H8" s="7">
        <f>IFERROR(ROUND(AVERAGEIFS(Datos!$G$2:$G$29513,Datos!$E$2:$E$29513,$A8,Datos!$B$2:$B$29513,11,Datos!$C$2:$C$29513,"&lt;30",Datos!$F$2:$F$29513,"STANDBY"),0),"")</f>
        <v/>
      </c>
      <c r="I8" s="7">
        <f>IFERROR(ROUND(AVERAGEIFS(Datos!$G$2:$G$29513,Datos!$E$2:$E$29513,$A8,Datos!$B$2:$B$29513,11,Datos!$C$2:$C$29513,"&gt;=30",Datos!$F$2:$F$29513,"STANDBY"),0),"")</f>
        <v/>
      </c>
      <c r="J8" s="7">
        <f>IFERROR(ROUND(AVERAGEIFS(Datos!$G$2:$G$29513,Datos!$E$2:$E$29513,$A8,Datos!$B$2:$B$29513,12,Datos!$C$2:$C$29513,"&lt;30",Datos!$F$2:$F$29513,"STANDBY"),0),"")</f>
        <v/>
      </c>
      <c r="K8" s="7">
        <f>IFERROR(ROUND(AVERAGEIFS(Datos!$G$2:$G$29513,Datos!$E$2:$E$29513,$A8,Datos!$B$2:$B$29513,12,Datos!$C$2:$C$29513,"&gt;=30",Datos!$F$2:$F$29513,"STANDBY"),0),"")</f>
        <v/>
      </c>
      <c r="L8" s="7">
        <f>IFERROR(ROUND(AVERAGEIFS(Datos!$G$2:$G$29513,Datos!$E$2:$E$29513,$A8,Datos!$B$2:$B$29513,13,Datos!$C$2:$C$29513,"&lt;30",Datos!$F$2:$F$29513,"STANDBY"),0),"")</f>
        <v/>
      </c>
      <c r="M8" s="7">
        <f>IFERROR(ROUND(AVERAGEIFS(Datos!$G$2:$G$29513,Datos!$E$2:$E$29513,$A8,Datos!$B$2:$B$29513,13,Datos!$C$2:$C$29513,"&gt;=30",Datos!$F$2:$F$29513,"STANDBY"),0),"")</f>
        <v/>
      </c>
      <c r="N8" s="7">
        <f>IFERROR(ROUND(AVERAGEIFS(Datos!$G$2:$G$29513,Datos!$E$2:$E$29513,$A8,Datos!$B$2:$B$29513,14,Datos!$C$2:$C$29513,"&lt;30",Datos!$F$2:$F$29513,"STANDBY"),0),"")</f>
        <v/>
      </c>
      <c r="O8" s="7">
        <f>IFERROR(ROUND(AVERAGEIFS(Datos!$G$2:$G$29513,Datos!$E$2:$E$29513,$A8,Datos!$B$2:$B$29513,14,Datos!$C$2:$C$29513,"&gt;=30",Datos!$F$2:$F$29513,"STANDBY"),0),"")</f>
        <v/>
      </c>
      <c r="P8" s="7">
        <f>IFERROR(ROUND(AVERAGEIFS(Datos!$G$2:$G$29513,Datos!$E$2:$E$29513,$A8,Datos!$B$2:$B$29513,15,Datos!$C$2:$C$29513,"&lt;30",Datos!$F$2:$F$29513,"STANDBY"),0),"")</f>
        <v/>
      </c>
      <c r="Q8" s="7">
        <f>IFERROR(ROUND(AVERAGEIFS(Datos!$G$2:$G$29513,Datos!$E$2:$E$29513,$A8,Datos!$B$2:$B$29513,15,Datos!$C$2:$C$29513,"&gt;=30",Datos!$F$2:$F$29513,"STANDBY"),0),"")</f>
        <v/>
      </c>
      <c r="R8" s="7">
        <f>IFERROR(ROUND(AVERAGEIFS(Datos!$G$2:$G$29513,Datos!$E$2:$E$29513,$A8,Datos!$B$2:$B$29513,16,Datos!$C$2:$C$29513,"&lt;30",Datos!$F$2:$F$29513,"STANDBY"),0),"")</f>
        <v/>
      </c>
      <c r="S8" s="7">
        <f>IFERROR(ROUND(AVERAGEIFS(Datos!$G$2:$G$29513,Datos!$E$2:$E$29513,$A8,Datos!$B$2:$B$29513,16,Datos!$C$2:$C$29513,"&gt;=30",Datos!$F$2:$F$29513,"STANDBY"),0),"")</f>
        <v/>
      </c>
      <c r="T8" s="7">
        <f>IFERROR(ROUND(AVERAGEIFS(Datos!$G$2:$G$29513,Datos!$E$2:$E$29513,$A8,Datos!$B$2:$B$29513,17,Datos!$C$2:$C$29513,"&lt;30",Datos!$F$2:$F$29513,"STANDBY"),0),"")</f>
        <v/>
      </c>
      <c r="U8" s="7">
        <f>IFERROR(ROUND(AVERAGEIFS(Datos!$G$2:$G$29513,Datos!$E$2:$E$29513,$A8,Datos!$B$2:$B$29513,17,Datos!$C$2:$C$29513,"&gt;=30",Datos!$F$2:$F$29513,"STANDBY"),0),"")</f>
        <v/>
      </c>
      <c r="V8" s="7">
        <f>IFERROR(ROUND(AVERAGEIFS(Datos!$G$2:$G$29513,Datos!$E$2:$E$29513,$A8,Datos!$B$2:$B$29513,18,Datos!$C$2:$C$29513,"&lt;30",Datos!$F$2:$F$29513,"STANDBY"),0),"")</f>
        <v/>
      </c>
      <c r="W8" s="7">
        <f>IFERROR(ROUND(AVERAGEIFS(Datos!$G$2:$G$29513,Datos!$E$2:$E$29513,$A8,Datos!$B$2:$B$29513,18,Datos!$C$2:$C$29513,"&gt;=30",Datos!$F$2:$F$29513,"STANDBY"),0),"")</f>
        <v/>
      </c>
      <c r="X8" s="7">
        <f>IFERROR(ROUND(AVERAGEIFS(Datos!$G$2:$G$29513,Datos!$E$2:$E$29513,$A8,Datos!$B$2:$B$29513,19,Datos!$C$2:$C$29513,"&lt;30",Datos!$F$2:$F$29513,"STANDBY"),0),"")</f>
        <v/>
      </c>
      <c r="Y8" s="7">
        <f>IFERROR(ROUND(AVERAGEIFS(Datos!$G$2:$G$29513,Datos!$E$2:$E$29513,$A8,Datos!$B$2:$B$29513,19,Datos!$C$2:$C$29513,"&gt;=30",Datos!$F$2:$F$29513,"STANDBY"),0),"")</f>
        <v/>
      </c>
      <c r="Z8" s="7">
        <f>IFERROR(ROUND(AVERAGEIFS(Datos!$G$2:$G$29513,Datos!$E$2:$E$29513,$A8,Datos!$B$2:$B$29513,20,Datos!$C$2:$C$29513,"&lt;30",Datos!$F$2:$F$29513,"STANDBY"),0),"")</f>
        <v/>
      </c>
      <c r="AA8" s="7">
        <f>IFERROR(ROUND(AVERAGEIFS(Datos!$G$2:$G$29513,Datos!$E$2:$E$29513,$A8,Datos!$B$2:$B$29513,20,Datos!$C$2:$C$29513,"&gt;=30",Datos!$F$2:$F$29513,"STANDBY"),0),"")</f>
        <v/>
      </c>
      <c r="AB8" s="7">
        <f>IFERROR(ROUND(AVERAGEIFS(Datos!$G$2:$G$29513,Datos!$E$2:$E$29513,$A8,Datos!$B$2:$B$29513,21,Datos!$C$2:$C$29513,"&lt;30",Datos!$F$2:$F$29513,"STANDBY"),0),"")</f>
        <v/>
      </c>
      <c r="AC8" s="7">
        <f>IFERROR(ROUND(AVERAGEIFS(Datos!$G$2:$G$29513,Datos!$E$2:$E$29513,$A8,Datos!$B$2:$B$29513,21,Datos!$C$2:$C$29513,"&gt;=30",Datos!$F$2:$F$29513,"STANDBY"),0),"")</f>
        <v/>
      </c>
      <c r="AD8" s="7">
        <f>IFERROR(ROUND(AVERAGEIFS(Datos!$G$2:$G$29513,Datos!$E$2:$E$29513,$A8,Datos!$B$2:$B$29513,22,Datos!$C$2:$C$29513,"&lt;30",Datos!$F$2:$F$29513,"STANDBY"),0),"")</f>
        <v/>
      </c>
      <c r="AE8" s="7">
        <f>IFERROR(ROUND(AVERAGEIFS(Datos!$G$2:$G$29513,Datos!$E$2:$E$29513,$A8,Datos!$B$2:$B$29513,22,Datos!$C$2:$C$29513,"&gt;=30",Datos!$F$2:$F$29513,"STANDBY"),0),"")</f>
        <v/>
      </c>
      <c r="AF8" s="7">
        <f>IFERROR(ROUND(AVERAGEIFS(Datos!$G$2:$G$29513,Datos!$E$2:$E$29513,$A8,Datos!$B$2:$B$29513,23,Datos!$C$2:$C$29513,"&lt;30",Datos!$F$2:$F$29513,"STANDBY"),0),"")</f>
        <v/>
      </c>
      <c r="AG8" s="7">
        <f>IFERROR(ROUND(AVERAGEIFS(Datos!$G$2:$G$29513,Datos!$E$2:$E$29513,$A8,Datos!$B$2:$B$29513,23,Datos!$C$2:$C$29513,"&gt;=30",Datos!$F$2:$F$29513,"STANDBY"),0),"")</f>
        <v/>
      </c>
    </row>
    <row r="9">
      <c r="A9" s="6" t="inlineStr">
        <is>
          <t>Crush's Coaster</t>
        </is>
      </c>
      <c r="B9" s="7">
        <f>IFERROR(ROUND(AVERAGEIFS(Datos!$G$2:$G$29513,Datos!$E$2:$E$29513,$A9,Datos!$B$2:$B$29513,8,Datos!$C$2:$C$29513,"&lt;30",Datos!$F$2:$F$29513,"STANDBY"),0),"")</f>
        <v/>
      </c>
      <c r="C9" s="7">
        <f>IFERROR(ROUND(AVERAGEIFS(Datos!$G$2:$G$29513,Datos!$E$2:$E$29513,$A9,Datos!$B$2:$B$29513,8,Datos!$C$2:$C$29513,"&gt;=30",Datos!$F$2:$F$29513,"STANDBY"),0),"")</f>
        <v/>
      </c>
      <c r="D9" s="7">
        <f>IFERROR(ROUND(AVERAGEIFS(Datos!$G$2:$G$29513,Datos!$E$2:$E$29513,$A9,Datos!$B$2:$B$29513,9,Datos!$C$2:$C$29513,"&lt;30",Datos!$F$2:$F$29513,"STANDBY"),0),"")</f>
        <v/>
      </c>
      <c r="E9" s="7">
        <f>IFERROR(ROUND(AVERAGEIFS(Datos!$G$2:$G$29513,Datos!$E$2:$E$29513,$A9,Datos!$B$2:$B$29513,9,Datos!$C$2:$C$29513,"&gt;=30",Datos!$F$2:$F$29513,"STANDBY"),0),"")</f>
        <v/>
      </c>
      <c r="F9" s="7">
        <f>IFERROR(ROUND(AVERAGEIFS(Datos!$G$2:$G$29513,Datos!$E$2:$E$29513,$A9,Datos!$B$2:$B$29513,10,Datos!$C$2:$C$29513,"&lt;30",Datos!$F$2:$F$29513,"STANDBY"),0),"")</f>
        <v/>
      </c>
      <c r="G9" s="7">
        <f>IFERROR(ROUND(AVERAGEIFS(Datos!$G$2:$G$29513,Datos!$E$2:$E$29513,$A9,Datos!$B$2:$B$29513,10,Datos!$C$2:$C$29513,"&gt;=30",Datos!$F$2:$F$29513,"STANDBY"),0),"")</f>
        <v/>
      </c>
      <c r="H9" s="7">
        <f>IFERROR(ROUND(AVERAGEIFS(Datos!$G$2:$G$29513,Datos!$E$2:$E$29513,$A9,Datos!$B$2:$B$29513,11,Datos!$C$2:$C$29513,"&lt;30",Datos!$F$2:$F$29513,"STANDBY"),0),"")</f>
        <v/>
      </c>
      <c r="I9" s="7">
        <f>IFERROR(ROUND(AVERAGEIFS(Datos!$G$2:$G$29513,Datos!$E$2:$E$29513,$A9,Datos!$B$2:$B$29513,11,Datos!$C$2:$C$29513,"&gt;=30",Datos!$F$2:$F$29513,"STANDBY"),0),"")</f>
        <v/>
      </c>
      <c r="J9" s="7">
        <f>IFERROR(ROUND(AVERAGEIFS(Datos!$G$2:$G$29513,Datos!$E$2:$E$29513,$A9,Datos!$B$2:$B$29513,12,Datos!$C$2:$C$29513,"&lt;30",Datos!$F$2:$F$29513,"STANDBY"),0),"")</f>
        <v/>
      </c>
      <c r="K9" s="7">
        <f>IFERROR(ROUND(AVERAGEIFS(Datos!$G$2:$G$29513,Datos!$E$2:$E$29513,$A9,Datos!$B$2:$B$29513,12,Datos!$C$2:$C$29513,"&gt;=30",Datos!$F$2:$F$29513,"STANDBY"),0),"")</f>
        <v/>
      </c>
      <c r="L9" s="7">
        <f>IFERROR(ROUND(AVERAGEIFS(Datos!$G$2:$G$29513,Datos!$E$2:$E$29513,$A9,Datos!$B$2:$B$29513,13,Datos!$C$2:$C$29513,"&lt;30",Datos!$F$2:$F$29513,"STANDBY"),0),"")</f>
        <v/>
      </c>
      <c r="M9" s="7">
        <f>IFERROR(ROUND(AVERAGEIFS(Datos!$G$2:$G$29513,Datos!$E$2:$E$29513,$A9,Datos!$B$2:$B$29513,13,Datos!$C$2:$C$29513,"&gt;=30",Datos!$F$2:$F$29513,"STANDBY"),0),"")</f>
        <v/>
      </c>
      <c r="N9" s="7">
        <f>IFERROR(ROUND(AVERAGEIFS(Datos!$G$2:$G$29513,Datos!$E$2:$E$29513,$A9,Datos!$B$2:$B$29513,14,Datos!$C$2:$C$29513,"&lt;30",Datos!$F$2:$F$29513,"STANDBY"),0),"")</f>
        <v/>
      </c>
      <c r="O9" s="7">
        <f>IFERROR(ROUND(AVERAGEIFS(Datos!$G$2:$G$29513,Datos!$E$2:$E$29513,$A9,Datos!$B$2:$B$29513,14,Datos!$C$2:$C$29513,"&gt;=30",Datos!$F$2:$F$29513,"STANDBY"),0),"")</f>
        <v/>
      </c>
      <c r="P9" s="7">
        <f>IFERROR(ROUND(AVERAGEIFS(Datos!$G$2:$G$29513,Datos!$E$2:$E$29513,$A9,Datos!$B$2:$B$29513,15,Datos!$C$2:$C$29513,"&lt;30",Datos!$F$2:$F$29513,"STANDBY"),0),"")</f>
        <v/>
      </c>
      <c r="Q9" s="7">
        <f>IFERROR(ROUND(AVERAGEIFS(Datos!$G$2:$G$29513,Datos!$E$2:$E$29513,$A9,Datos!$B$2:$B$29513,15,Datos!$C$2:$C$29513,"&gt;=30",Datos!$F$2:$F$29513,"STANDBY"),0),"")</f>
        <v/>
      </c>
      <c r="R9" s="7">
        <f>IFERROR(ROUND(AVERAGEIFS(Datos!$G$2:$G$29513,Datos!$E$2:$E$29513,$A9,Datos!$B$2:$B$29513,16,Datos!$C$2:$C$29513,"&lt;30",Datos!$F$2:$F$29513,"STANDBY"),0),"")</f>
        <v/>
      </c>
      <c r="S9" s="7">
        <f>IFERROR(ROUND(AVERAGEIFS(Datos!$G$2:$G$29513,Datos!$E$2:$E$29513,$A9,Datos!$B$2:$B$29513,16,Datos!$C$2:$C$29513,"&gt;=30",Datos!$F$2:$F$29513,"STANDBY"),0),"")</f>
        <v/>
      </c>
      <c r="T9" s="7">
        <f>IFERROR(ROUND(AVERAGEIFS(Datos!$G$2:$G$29513,Datos!$E$2:$E$29513,$A9,Datos!$B$2:$B$29513,17,Datos!$C$2:$C$29513,"&lt;30",Datos!$F$2:$F$29513,"STANDBY"),0),"")</f>
        <v/>
      </c>
      <c r="U9" s="7">
        <f>IFERROR(ROUND(AVERAGEIFS(Datos!$G$2:$G$29513,Datos!$E$2:$E$29513,$A9,Datos!$B$2:$B$29513,17,Datos!$C$2:$C$29513,"&gt;=30",Datos!$F$2:$F$29513,"STANDBY"),0),"")</f>
        <v/>
      </c>
      <c r="V9" s="7">
        <f>IFERROR(ROUND(AVERAGEIFS(Datos!$G$2:$G$29513,Datos!$E$2:$E$29513,$A9,Datos!$B$2:$B$29513,18,Datos!$C$2:$C$29513,"&lt;30",Datos!$F$2:$F$29513,"STANDBY"),0),"")</f>
        <v/>
      </c>
      <c r="W9" s="7">
        <f>IFERROR(ROUND(AVERAGEIFS(Datos!$G$2:$G$29513,Datos!$E$2:$E$29513,$A9,Datos!$B$2:$B$29513,18,Datos!$C$2:$C$29513,"&gt;=30",Datos!$F$2:$F$29513,"STANDBY"),0),"")</f>
        <v/>
      </c>
      <c r="X9" s="7">
        <f>IFERROR(ROUND(AVERAGEIFS(Datos!$G$2:$G$29513,Datos!$E$2:$E$29513,$A9,Datos!$B$2:$B$29513,19,Datos!$C$2:$C$29513,"&lt;30",Datos!$F$2:$F$29513,"STANDBY"),0),"")</f>
        <v/>
      </c>
      <c r="Y9" s="7">
        <f>IFERROR(ROUND(AVERAGEIFS(Datos!$G$2:$G$29513,Datos!$E$2:$E$29513,$A9,Datos!$B$2:$B$29513,19,Datos!$C$2:$C$29513,"&gt;=30",Datos!$F$2:$F$29513,"STANDBY"),0),"")</f>
        <v/>
      </c>
      <c r="Z9" s="7">
        <f>IFERROR(ROUND(AVERAGEIFS(Datos!$G$2:$G$29513,Datos!$E$2:$E$29513,$A9,Datos!$B$2:$B$29513,20,Datos!$C$2:$C$29513,"&lt;30",Datos!$F$2:$F$29513,"STANDBY"),0),"")</f>
        <v/>
      </c>
      <c r="AA9" s="7">
        <f>IFERROR(ROUND(AVERAGEIFS(Datos!$G$2:$G$29513,Datos!$E$2:$E$29513,$A9,Datos!$B$2:$B$29513,20,Datos!$C$2:$C$29513,"&gt;=30",Datos!$F$2:$F$29513,"STANDBY"),0),"")</f>
        <v/>
      </c>
      <c r="AB9" s="7">
        <f>IFERROR(ROUND(AVERAGEIFS(Datos!$G$2:$G$29513,Datos!$E$2:$E$29513,$A9,Datos!$B$2:$B$29513,21,Datos!$C$2:$C$29513,"&lt;30",Datos!$F$2:$F$29513,"STANDBY"),0),"")</f>
        <v/>
      </c>
      <c r="AC9" s="7">
        <f>IFERROR(ROUND(AVERAGEIFS(Datos!$G$2:$G$29513,Datos!$E$2:$E$29513,$A9,Datos!$B$2:$B$29513,21,Datos!$C$2:$C$29513,"&gt;=30",Datos!$F$2:$F$29513,"STANDBY"),0),"")</f>
        <v/>
      </c>
      <c r="AD9" s="7">
        <f>IFERROR(ROUND(AVERAGEIFS(Datos!$G$2:$G$29513,Datos!$E$2:$E$29513,$A9,Datos!$B$2:$B$29513,22,Datos!$C$2:$C$29513,"&lt;30",Datos!$F$2:$F$29513,"STANDBY"),0),"")</f>
        <v/>
      </c>
      <c r="AE9" s="7">
        <f>IFERROR(ROUND(AVERAGEIFS(Datos!$G$2:$G$29513,Datos!$E$2:$E$29513,$A9,Datos!$B$2:$B$29513,22,Datos!$C$2:$C$29513,"&gt;=30",Datos!$F$2:$F$29513,"STANDBY"),0),"")</f>
        <v/>
      </c>
      <c r="AF9" s="7">
        <f>IFERROR(ROUND(AVERAGEIFS(Datos!$G$2:$G$29513,Datos!$E$2:$E$29513,$A9,Datos!$B$2:$B$29513,23,Datos!$C$2:$C$29513,"&lt;30",Datos!$F$2:$F$29513,"STANDBY"),0),"")</f>
        <v/>
      </c>
      <c r="AG9" s="7">
        <f>IFERROR(ROUND(AVERAGEIFS(Datos!$G$2:$G$29513,Datos!$E$2:$E$29513,$A9,Datos!$B$2:$B$29513,23,Datos!$C$2:$C$29513,"&gt;=30",Datos!$F$2:$F$29513,"STANDBY"),0),"")</f>
        <v/>
      </c>
    </row>
    <row r="10">
      <c r="A10" s="6" t="inlineStr">
        <is>
          <t>Crush's Coaster Single Rider</t>
        </is>
      </c>
      <c r="B10" s="7">
        <f>IFERROR(ROUND(AVERAGEIFS(Datos!$G$2:$G$29513,Datos!$E$2:$E$29513,$A10,Datos!$B$2:$B$29513,8,Datos!$C$2:$C$29513,"&lt;30",Datos!$F$2:$F$29513,"STANDBY"),0),"")</f>
        <v/>
      </c>
      <c r="C10" s="7">
        <f>IFERROR(ROUND(AVERAGEIFS(Datos!$G$2:$G$29513,Datos!$E$2:$E$29513,$A10,Datos!$B$2:$B$29513,8,Datos!$C$2:$C$29513,"&gt;=30",Datos!$F$2:$F$29513,"STANDBY"),0),"")</f>
        <v/>
      </c>
      <c r="D10" s="7">
        <f>IFERROR(ROUND(AVERAGEIFS(Datos!$G$2:$G$29513,Datos!$E$2:$E$29513,$A10,Datos!$B$2:$B$29513,9,Datos!$C$2:$C$29513,"&lt;30",Datos!$F$2:$F$29513,"STANDBY"),0),"")</f>
        <v/>
      </c>
      <c r="E10" s="7">
        <f>IFERROR(ROUND(AVERAGEIFS(Datos!$G$2:$G$29513,Datos!$E$2:$E$29513,$A10,Datos!$B$2:$B$29513,9,Datos!$C$2:$C$29513,"&gt;=30",Datos!$F$2:$F$29513,"STANDBY"),0),"")</f>
        <v/>
      </c>
      <c r="F10" s="7">
        <f>IFERROR(ROUND(AVERAGEIFS(Datos!$G$2:$G$29513,Datos!$E$2:$E$29513,$A10,Datos!$B$2:$B$29513,10,Datos!$C$2:$C$29513,"&lt;30",Datos!$F$2:$F$29513,"STANDBY"),0),"")</f>
        <v/>
      </c>
      <c r="G10" s="7">
        <f>IFERROR(ROUND(AVERAGEIFS(Datos!$G$2:$G$29513,Datos!$E$2:$E$29513,$A10,Datos!$B$2:$B$29513,10,Datos!$C$2:$C$29513,"&gt;=30",Datos!$F$2:$F$29513,"STANDBY"),0),"")</f>
        <v/>
      </c>
      <c r="H10" s="7">
        <f>IFERROR(ROUND(AVERAGEIFS(Datos!$G$2:$G$29513,Datos!$E$2:$E$29513,$A10,Datos!$B$2:$B$29513,11,Datos!$C$2:$C$29513,"&lt;30",Datos!$F$2:$F$29513,"STANDBY"),0),"")</f>
        <v/>
      </c>
      <c r="I10" s="7">
        <f>IFERROR(ROUND(AVERAGEIFS(Datos!$G$2:$G$29513,Datos!$E$2:$E$29513,$A10,Datos!$B$2:$B$29513,11,Datos!$C$2:$C$29513,"&gt;=30",Datos!$F$2:$F$29513,"STANDBY"),0),"")</f>
        <v/>
      </c>
      <c r="J10" s="7">
        <f>IFERROR(ROUND(AVERAGEIFS(Datos!$G$2:$G$29513,Datos!$E$2:$E$29513,$A10,Datos!$B$2:$B$29513,12,Datos!$C$2:$C$29513,"&lt;30",Datos!$F$2:$F$29513,"STANDBY"),0),"")</f>
        <v/>
      </c>
      <c r="K10" s="7">
        <f>IFERROR(ROUND(AVERAGEIFS(Datos!$G$2:$G$29513,Datos!$E$2:$E$29513,$A10,Datos!$B$2:$B$29513,12,Datos!$C$2:$C$29513,"&gt;=30",Datos!$F$2:$F$29513,"STANDBY"),0),"")</f>
        <v/>
      </c>
      <c r="L10" s="7">
        <f>IFERROR(ROUND(AVERAGEIFS(Datos!$G$2:$G$29513,Datos!$E$2:$E$29513,$A10,Datos!$B$2:$B$29513,13,Datos!$C$2:$C$29513,"&lt;30",Datos!$F$2:$F$29513,"STANDBY"),0),"")</f>
        <v/>
      </c>
      <c r="M10" s="7">
        <f>IFERROR(ROUND(AVERAGEIFS(Datos!$G$2:$G$29513,Datos!$E$2:$E$29513,$A10,Datos!$B$2:$B$29513,13,Datos!$C$2:$C$29513,"&gt;=30",Datos!$F$2:$F$29513,"STANDBY"),0),"")</f>
        <v/>
      </c>
      <c r="N10" s="7">
        <f>IFERROR(ROUND(AVERAGEIFS(Datos!$G$2:$G$29513,Datos!$E$2:$E$29513,$A10,Datos!$B$2:$B$29513,14,Datos!$C$2:$C$29513,"&lt;30",Datos!$F$2:$F$29513,"STANDBY"),0),"")</f>
        <v/>
      </c>
      <c r="O10" s="7">
        <f>IFERROR(ROUND(AVERAGEIFS(Datos!$G$2:$G$29513,Datos!$E$2:$E$29513,$A10,Datos!$B$2:$B$29513,14,Datos!$C$2:$C$29513,"&gt;=30",Datos!$F$2:$F$29513,"STANDBY"),0),"")</f>
        <v/>
      </c>
      <c r="P10" s="7">
        <f>IFERROR(ROUND(AVERAGEIFS(Datos!$G$2:$G$29513,Datos!$E$2:$E$29513,$A10,Datos!$B$2:$B$29513,15,Datos!$C$2:$C$29513,"&lt;30",Datos!$F$2:$F$29513,"STANDBY"),0),"")</f>
        <v/>
      </c>
      <c r="Q10" s="7">
        <f>IFERROR(ROUND(AVERAGEIFS(Datos!$G$2:$G$29513,Datos!$E$2:$E$29513,$A10,Datos!$B$2:$B$29513,15,Datos!$C$2:$C$29513,"&gt;=30",Datos!$F$2:$F$29513,"STANDBY"),0),"")</f>
        <v/>
      </c>
      <c r="R10" s="7">
        <f>IFERROR(ROUND(AVERAGEIFS(Datos!$G$2:$G$29513,Datos!$E$2:$E$29513,$A10,Datos!$B$2:$B$29513,16,Datos!$C$2:$C$29513,"&lt;30",Datos!$F$2:$F$29513,"STANDBY"),0),"")</f>
        <v/>
      </c>
      <c r="S10" s="7">
        <f>IFERROR(ROUND(AVERAGEIFS(Datos!$G$2:$G$29513,Datos!$E$2:$E$29513,$A10,Datos!$B$2:$B$29513,16,Datos!$C$2:$C$29513,"&gt;=30",Datos!$F$2:$F$29513,"STANDBY"),0),"")</f>
        <v/>
      </c>
      <c r="T10" s="7">
        <f>IFERROR(ROUND(AVERAGEIFS(Datos!$G$2:$G$29513,Datos!$E$2:$E$29513,$A10,Datos!$B$2:$B$29513,17,Datos!$C$2:$C$29513,"&lt;30",Datos!$F$2:$F$29513,"STANDBY"),0),"")</f>
        <v/>
      </c>
      <c r="U10" s="7">
        <f>IFERROR(ROUND(AVERAGEIFS(Datos!$G$2:$G$29513,Datos!$E$2:$E$29513,$A10,Datos!$B$2:$B$29513,17,Datos!$C$2:$C$29513,"&gt;=30",Datos!$F$2:$F$29513,"STANDBY"),0),"")</f>
        <v/>
      </c>
      <c r="V10" s="7">
        <f>IFERROR(ROUND(AVERAGEIFS(Datos!$G$2:$G$29513,Datos!$E$2:$E$29513,$A10,Datos!$B$2:$B$29513,18,Datos!$C$2:$C$29513,"&lt;30",Datos!$F$2:$F$29513,"STANDBY"),0),"")</f>
        <v/>
      </c>
      <c r="W10" s="7">
        <f>IFERROR(ROUND(AVERAGEIFS(Datos!$G$2:$G$29513,Datos!$E$2:$E$29513,$A10,Datos!$B$2:$B$29513,18,Datos!$C$2:$C$29513,"&gt;=30",Datos!$F$2:$F$29513,"STANDBY"),0),"")</f>
        <v/>
      </c>
      <c r="X10" s="7">
        <f>IFERROR(ROUND(AVERAGEIFS(Datos!$G$2:$G$29513,Datos!$E$2:$E$29513,$A10,Datos!$B$2:$B$29513,19,Datos!$C$2:$C$29513,"&lt;30",Datos!$F$2:$F$29513,"STANDBY"),0),"")</f>
        <v/>
      </c>
      <c r="Y10" s="7">
        <f>IFERROR(ROUND(AVERAGEIFS(Datos!$G$2:$G$29513,Datos!$E$2:$E$29513,$A10,Datos!$B$2:$B$29513,19,Datos!$C$2:$C$29513,"&gt;=30",Datos!$F$2:$F$29513,"STANDBY"),0),"")</f>
        <v/>
      </c>
      <c r="Z10" s="7">
        <f>IFERROR(ROUND(AVERAGEIFS(Datos!$G$2:$G$29513,Datos!$E$2:$E$29513,$A10,Datos!$B$2:$B$29513,20,Datos!$C$2:$C$29513,"&lt;30",Datos!$F$2:$F$29513,"STANDBY"),0),"")</f>
        <v/>
      </c>
      <c r="AA10" s="7">
        <f>IFERROR(ROUND(AVERAGEIFS(Datos!$G$2:$G$29513,Datos!$E$2:$E$29513,$A10,Datos!$B$2:$B$29513,20,Datos!$C$2:$C$29513,"&gt;=30",Datos!$F$2:$F$29513,"STANDBY"),0),"")</f>
        <v/>
      </c>
      <c r="AB10" s="7">
        <f>IFERROR(ROUND(AVERAGEIFS(Datos!$G$2:$G$29513,Datos!$E$2:$E$29513,$A10,Datos!$B$2:$B$29513,21,Datos!$C$2:$C$29513,"&lt;30",Datos!$F$2:$F$29513,"STANDBY"),0),"")</f>
        <v/>
      </c>
      <c r="AC10" s="7">
        <f>IFERROR(ROUND(AVERAGEIFS(Datos!$G$2:$G$29513,Datos!$E$2:$E$29513,$A10,Datos!$B$2:$B$29513,21,Datos!$C$2:$C$29513,"&gt;=30",Datos!$F$2:$F$29513,"STANDBY"),0),"")</f>
        <v/>
      </c>
      <c r="AD10" s="7">
        <f>IFERROR(ROUND(AVERAGEIFS(Datos!$G$2:$G$29513,Datos!$E$2:$E$29513,$A10,Datos!$B$2:$B$29513,22,Datos!$C$2:$C$29513,"&lt;30",Datos!$F$2:$F$29513,"STANDBY"),0),"")</f>
        <v/>
      </c>
      <c r="AE10" s="7">
        <f>IFERROR(ROUND(AVERAGEIFS(Datos!$G$2:$G$29513,Datos!$E$2:$E$29513,$A10,Datos!$B$2:$B$29513,22,Datos!$C$2:$C$29513,"&gt;=30",Datos!$F$2:$F$29513,"STANDBY"),0),"")</f>
        <v/>
      </c>
      <c r="AF10" s="7">
        <f>IFERROR(ROUND(AVERAGEIFS(Datos!$G$2:$G$29513,Datos!$E$2:$E$29513,$A10,Datos!$B$2:$B$29513,23,Datos!$C$2:$C$29513,"&lt;30",Datos!$F$2:$F$29513,"STANDBY"),0),"")</f>
        <v/>
      </c>
      <c r="AG10" s="7">
        <f>IFERROR(ROUND(AVERAGEIFS(Datos!$G$2:$G$29513,Datos!$E$2:$E$29513,$A10,Datos!$B$2:$B$29513,23,Datos!$C$2:$C$29513,"&gt;=30",Datos!$F$2:$F$29513,"STANDBY"),0),"")</f>
        <v/>
      </c>
    </row>
    <row r="11">
      <c r="A11" s="6" t="inlineStr">
        <is>
          <t>Entry to World of Frozen</t>
        </is>
      </c>
      <c r="B11" s="7">
        <f>IFERROR(ROUND(AVERAGEIFS(Datos!$G$2:$G$29513,Datos!$E$2:$E$29513,$A11,Datos!$B$2:$B$29513,8,Datos!$C$2:$C$29513,"&lt;30",Datos!$F$2:$F$29513,"STANDBY"),0),"")</f>
        <v/>
      </c>
      <c r="C11" s="7">
        <f>IFERROR(ROUND(AVERAGEIFS(Datos!$G$2:$G$29513,Datos!$E$2:$E$29513,$A11,Datos!$B$2:$B$29513,8,Datos!$C$2:$C$29513,"&gt;=30",Datos!$F$2:$F$29513,"STANDBY"),0),"")</f>
        <v/>
      </c>
      <c r="D11" s="7">
        <f>IFERROR(ROUND(AVERAGEIFS(Datos!$G$2:$G$29513,Datos!$E$2:$E$29513,$A11,Datos!$B$2:$B$29513,9,Datos!$C$2:$C$29513,"&lt;30",Datos!$F$2:$F$29513,"STANDBY"),0),"")</f>
        <v/>
      </c>
      <c r="E11" s="7">
        <f>IFERROR(ROUND(AVERAGEIFS(Datos!$G$2:$G$29513,Datos!$E$2:$E$29513,$A11,Datos!$B$2:$B$29513,9,Datos!$C$2:$C$29513,"&gt;=30",Datos!$F$2:$F$29513,"STANDBY"),0),"")</f>
        <v/>
      </c>
      <c r="F11" s="7">
        <f>IFERROR(ROUND(AVERAGEIFS(Datos!$G$2:$G$29513,Datos!$E$2:$E$29513,$A11,Datos!$B$2:$B$29513,10,Datos!$C$2:$C$29513,"&lt;30",Datos!$F$2:$F$29513,"STANDBY"),0),"")</f>
        <v/>
      </c>
      <c r="G11" s="7">
        <f>IFERROR(ROUND(AVERAGEIFS(Datos!$G$2:$G$29513,Datos!$E$2:$E$29513,$A11,Datos!$B$2:$B$29513,10,Datos!$C$2:$C$29513,"&gt;=30",Datos!$F$2:$F$29513,"STANDBY"),0),"")</f>
        <v/>
      </c>
      <c r="H11" s="7">
        <f>IFERROR(ROUND(AVERAGEIFS(Datos!$G$2:$G$29513,Datos!$E$2:$E$29513,$A11,Datos!$B$2:$B$29513,11,Datos!$C$2:$C$29513,"&lt;30",Datos!$F$2:$F$29513,"STANDBY"),0),"")</f>
        <v/>
      </c>
      <c r="I11" s="7">
        <f>IFERROR(ROUND(AVERAGEIFS(Datos!$G$2:$G$29513,Datos!$E$2:$E$29513,$A11,Datos!$B$2:$B$29513,11,Datos!$C$2:$C$29513,"&gt;=30",Datos!$F$2:$F$29513,"STANDBY"),0),"")</f>
        <v/>
      </c>
      <c r="J11" s="7">
        <f>IFERROR(ROUND(AVERAGEIFS(Datos!$G$2:$G$29513,Datos!$E$2:$E$29513,$A11,Datos!$B$2:$B$29513,12,Datos!$C$2:$C$29513,"&lt;30",Datos!$F$2:$F$29513,"STANDBY"),0),"")</f>
        <v/>
      </c>
      <c r="K11" s="7">
        <f>IFERROR(ROUND(AVERAGEIFS(Datos!$G$2:$G$29513,Datos!$E$2:$E$29513,$A11,Datos!$B$2:$B$29513,12,Datos!$C$2:$C$29513,"&gt;=30",Datos!$F$2:$F$29513,"STANDBY"),0),"")</f>
        <v/>
      </c>
      <c r="L11" s="7">
        <f>IFERROR(ROUND(AVERAGEIFS(Datos!$G$2:$G$29513,Datos!$E$2:$E$29513,$A11,Datos!$B$2:$B$29513,13,Datos!$C$2:$C$29513,"&lt;30",Datos!$F$2:$F$29513,"STANDBY"),0),"")</f>
        <v/>
      </c>
      <c r="M11" s="7">
        <f>IFERROR(ROUND(AVERAGEIFS(Datos!$G$2:$G$29513,Datos!$E$2:$E$29513,$A11,Datos!$B$2:$B$29513,13,Datos!$C$2:$C$29513,"&gt;=30",Datos!$F$2:$F$29513,"STANDBY"),0),"")</f>
        <v/>
      </c>
      <c r="N11" s="7">
        <f>IFERROR(ROUND(AVERAGEIFS(Datos!$G$2:$G$29513,Datos!$E$2:$E$29513,$A11,Datos!$B$2:$B$29513,14,Datos!$C$2:$C$29513,"&lt;30",Datos!$F$2:$F$29513,"STANDBY"),0),"")</f>
        <v/>
      </c>
      <c r="O11" s="7">
        <f>IFERROR(ROUND(AVERAGEIFS(Datos!$G$2:$G$29513,Datos!$E$2:$E$29513,$A11,Datos!$B$2:$B$29513,14,Datos!$C$2:$C$29513,"&gt;=30",Datos!$F$2:$F$29513,"STANDBY"),0),"")</f>
        <v/>
      </c>
      <c r="P11" s="7">
        <f>IFERROR(ROUND(AVERAGEIFS(Datos!$G$2:$G$29513,Datos!$E$2:$E$29513,$A11,Datos!$B$2:$B$29513,15,Datos!$C$2:$C$29513,"&lt;30",Datos!$F$2:$F$29513,"STANDBY"),0),"")</f>
        <v/>
      </c>
      <c r="Q11" s="7">
        <f>IFERROR(ROUND(AVERAGEIFS(Datos!$G$2:$G$29513,Datos!$E$2:$E$29513,$A11,Datos!$B$2:$B$29513,15,Datos!$C$2:$C$29513,"&gt;=30",Datos!$F$2:$F$29513,"STANDBY"),0),"")</f>
        <v/>
      </c>
      <c r="R11" s="7">
        <f>IFERROR(ROUND(AVERAGEIFS(Datos!$G$2:$G$29513,Datos!$E$2:$E$29513,$A11,Datos!$B$2:$B$29513,16,Datos!$C$2:$C$29513,"&lt;30",Datos!$F$2:$F$29513,"STANDBY"),0),"")</f>
        <v/>
      </c>
      <c r="S11" s="7">
        <f>IFERROR(ROUND(AVERAGEIFS(Datos!$G$2:$G$29513,Datos!$E$2:$E$29513,$A11,Datos!$B$2:$B$29513,16,Datos!$C$2:$C$29513,"&gt;=30",Datos!$F$2:$F$29513,"STANDBY"),0),"")</f>
        <v/>
      </c>
      <c r="T11" s="7">
        <f>IFERROR(ROUND(AVERAGEIFS(Datos!$G$2:$G$29513,Datos!$E$2:$E$29513,$A11,Datos!$B$2:$B$29513,17,Datos!$C$2:$C$29513,"&lt;30",Datos!$F$2:$F$29513,"STANDBY"),0),"")</f>
        <v/>
      </c>
      <c r="U11" s="7">
        <f>IFERROR(ROUND(AVERAGEIFS(Datos!$G$2:$G$29513,Datos!$E$2:$E$29513,$A11,Datos!$B$2:$B$29513,17,Datos!$C$2:$C$29513,"&gt;=30",Datos!$F$2:$F$29513,"STANDBY"),0),"")</f>
        <v/>
      </c>
      <c r="V11" s="7">
        <f>IFERROR(ROUND(AVERAGEIFS(Datos!$G$2:$G$29513,Datos!$E$2:$E$29513,$A11,Datos!$B$2:$B$29513,18,Datos!$C$2:$C$29513,"&lt;30",Datos!$F$2:$F$29513,"STANDBY"),0),"")</f>
        <v/>
      </c>
      <c r="W11" s="7">
        <f>IFERROR(ROUND(AVERAGEIFS(Datos!$G$2:$G$29513,Datos!$E$2:$E$29513,$A11,Datos!$B$2:$B$29513,18,Datos!$C$2:$C$29513,"&gt;=30",Datos!$F$2:$F$29513,"STANDBY"),0),"")</f>
        <v/>
      </c>
      <c r="X11" s="7">
        <f>IFERROR(ROUND(AVERAGEIFS(Datos!$G$2:$G$29513,Datos!$E$2:$E$29513,$A11,Datos!$B$2:$B$29513,19,Datos!$C$2:$C$29513,"&lt;30",Datos!$F$2:$F$29513,"STANDBY"),0),"")</f>
        <v/>
      </c>
      <c r="Y11" s="7">
        <f>IFERROR(ROUND(AVERAGEIFS(Datos!$G$2:$G$29513,Datos!$E$2:$E$29513,$A11,Datos!$B$2:$B$29513,19,Datos!$C$2:$C$29513,"&gt;=30",Datos!$F$2:$F$29513,"STANDBY"),0),"")</f>
        <v/>
      </c>
      <c r="Z11" s="7">
        <f>IFERROR(ROUND(AVERAGEIFS(Datos!$G$2:$G$29513,Datos!$E$2:$E$29513,$A11,Datos!$B$2:$B$29513,20,Datos!$C$2:$C$29513,"&lt;30",Datos!$F$2:$F$29513,"STANDBY"),0),"")</f>
        <v/>
      </c>
      <c r="AA11" s="7">
        <f>IFERROR(ROUND(AVERAGEIFS(Datos!$G$2:$G$29513,Datos!$E$2:$E$29513,$A11,Datos!$B$2:$B$29513,20,Datos!$C$2:$C$29513,"&gt;=30",Datos!$F$2:$F$29513,"STANDBY"),0),"")</f>
        <v/>
      </c>
      <c r="AB11" s="7">
        <f>IFERROR(ROUND(AVERAGEIFS(Datos!$G$2:$G$29513,Datos!$E$2:$E$29513,$A11,Datos!$B$2:$B$29513,21,Datos!$C$2:$C$29513,"&lt;30",Datos!$F$2:$F$29513,"STANDBY"),0),"")</f>
        <v/>
      </c>
      <c r="AC11" s="7">
        <f>IFERROR(ROUND(AVERAGEIFS(Datos!$G$2:$G$29513,Datos!$E$2:$E$29513,$A11,Datos!$B$2:$B$29513,21,Datos!$C$2:$C$29513,"&gt;=30",Datos!$F$2:$F$29513,"STANDBY"),0),"")</f>
        <v/>
      </c>
      <c r="AD11" s="7">
        <f>IFERROR(ROUND(AVERAGEIFS(Datos!$G$2:$G$29513,Datos!$E$2:$E$29513,$A11,Datos!$B$2:$B$29513,22,Datos!$C$2:$C$29513,"&lt;30",Datos!$F$2:$F$29513,"STANDBY"),0),"")</f>
        <v/>
      </c>
      <c r="AE11" s="7">
        <f>IFERROR(ROUND(AVERAGEIFS(Datos!$G$2:$G$29513,Datos!$E$2:$E$29513,$A11,Datos!$B$2:$B$29513,22,Datos!$C$2:$C$29513,"&gt;=30",Datos!$F$2:$F$29513,"STANDBY"),0),"")</f>
        <v/>
      </c>
      <c r="AF11" s="7">
        <f>IFERROR(ROUND(AVERAGEIFS(Datos!$G$2:$G$29513,Datos!$E$2:$E$29513,$A11,Datos!$B$2:$B$29513,23,Datos!$C$2:$C$29513,"&lt;30",Datos!$F$2:$F$29513,"STANDBY"),0),"")</f>
        <v/>
      </c>
      <c r="AG11" s="7">
        <f>IFERROR(ROUND(AVERAGEIFS(Datos!$G$2:$G$29513,Datos!$E$2:$E$29513,$A11,Datos!$B$2:$B$29513,23,Datos!$C$2:$C$29513,"&gt;=30",Datos!$F$2:$F$29513,"STANDBY"),0),"")</f>
        <v/>
      </c>
    </row>
    <row r="12">
      <c r="A12" s="6" t="inlineStr">
        <is>
          <t>Frozen Ever After</t>
        </is>
      </c>
      <c r="B12" s="7">
        <f>IFERROR(ROUND(AVERAGEIFS(Datos!$G$2:$G$29513,Datos!$E$2:$E$29513,$A12,Datos!$B$2:$B$29513,8,Datos!$C$2:$C$29513,"&lt;30",Datos!$F$2:$F$29513,"STANDBY"),0),"")</f>
        <v/>
      </c>
      <c r="C12" s="7">
        <f>IFERROR(ROUND(AVERAGEIFS(Datos!$G$2:$G$29513,Datos!$E$2:$E$29513,$A12,Datos!$B$2:$B$29513,8,Datos!$C$2:$C$29513,"&gt;=30",Datos!$F$2:$F$29513,"STANDBY"),0),"")</f>
        <v/>
      </c>
      <c r="D12" s="7">
        <f>IFERROR(ROUND(AVERAGEIFS(Datos!$G$2:$G$29513,Datos!$E$2:$E$29513,$A12,Datos!$B$2:$B$29513,9,Datos!$C$2:$C$29513,"&lt;30",Datos!$F$2:$F$29513,"STANDBY"),0),"")</f>
        <v/>
      </c>
      <c r="E12" s="7">
        <f>IFERROR(ROUND(AVERAGEIFS(Datos!$G$2:$G$29513,Datos!$E$2:$E$29513,$A12,Datos!$B$2:$B$29513,9,Datos!$C$2:$C$29513,"&gt;=30",Datos!$F$2:$F$29513,"STANDBY"),0),"")</f>
        <v/>
      </c>
      <c r="F12" s="7">
        <f>IFERROR(ROUND(AVERAGEIFS(Datos!$G$2:$G$29513,Datos!$E$2:$E$29513,$A12,Datos!$B$2:$B$29513,10,Datos!$C$2:$C$29513,"&lt;30",Datos!$F$2:$F$29513,"STANDBY"),0),"")</f>
        <v/>
      </c>
      <c r="G12" s="7">
        <f>IFERROR(ROUND(AVERAGEIFS(Datos!$G$2:$G$29513,Datos!$E$2:$E$29513,$A12,Datos!$B$2:$B$29513,10,Datos!$C$2:$C$29513,"&gt;=30",Datos!$F$2:$F$29513,"STANDBY"),0),"")</f>
        <v/>
      </c>
      <c r="H12" s="7">
        <f>IFERROR(ROUND(AVERAGEIFS(Datos!$G$2:$G$29513,Datos!$E$2:$E$29513,$A12,Datos!$B$2:$B$29513,11,Datos!$C$2:$C$29513,"&lt;30",Datos!$F$2:$F$29513,"STANDBY"),0),"")</f>
        <v/>
      </c>
      <c r="I12" s="7">
        <f>IFERROR(ROUND(AVERAGEIFS(Datos!$G$2:$G$29513,Datos!$E$2:$E$29513,$A12,Datos!$B$2:$B$29513,11,Datos!$C$2:$C$29513,"&gt;=30",Datos!$F$2:$F$29513,"STANDBY"),0),"")</f>
        <v/>
      </c>
      <c r="J12" s="7">
        <f>IFERROR(ROUND(AVERAGEIFS(Datos!$G$2:$G$29513,Datos!$E$2:$E$29513,$A12,Datos!$B$2:$B$29513,12,Datos!$C$2:$C$29513,"&lt;30",Datos!$F$2:$F$29513,"STANDBY"),0),"")</f>
        <v/>
      </c>
      <c r="K12" s="7">
        <f>IFERROR(ROUND(AVERAGEIFS(Datos!$G$2:$G$29513,Datos!$E$2:$E$29513,$A12,Datos!$B$2:$B$29513,12,Datos!$C$2:$C$29513,"&gt;=30",Datos!$F$2:$F$29513,"STANDBY"),0),"")</f>
        <v/>
      </c>
      <c r="L12" s="7">
        <f>IFERROR(ROUND(AVERAGEIFS(Datos!$G$2:$G$29513,Datos!$E$2:$E$29513,$A12,Datos!$B$2:$B$29513,13,Datos!$C$2:$C$29513,"&lt;30",Datos!$F$2:$F$29513,"STANDBY"),0),"")</f>
        <v/>
      </c>
      <c r="M12" s="7">
        <f>IFERROR(ROUND(AVERAGEIFS(Datos!$G$2:$G$29513,Datos!$E$2:$E$29513,$A12,Datos!$B$2:$B$29513,13,Datos!$C$2:$C$29513,"&gt;=30",Datos!$F$2:$F$29513,"STANDBY"),0),"")</f>
        <v/>
      </c>
      <c r="N12" s="7">
        <f>IFERROR(ROUND(AVERAGEIFS(Datos!$G$2:$G$29513,Datos!$E$2:$E$29513,$A12,Datos!$B$2:$B$29513,14,Datos!$C$2:$C$29513,"&lt;30",Datos!$F$2:$F$29513,"STANDBY"),0),"")</f>
        <v/>
      </c>
      <c r="O12" s="7">
        <f>IFERROR(ROUND(AVERAGEIFS(Datos!$G$2:$G$29513,Datos!$E$2:$E$29513,$A12,Datos!$B$2:$B$29513,14,Datos!$C$2:$C$29513,"&gt;=30",Datos!$F$2:$F$29513,"STANDBY"),0),"")</f>
        <v/>
      </c>
      <c r="P12" s="7">
        <f>IFERROR(ROUND(AVERAGEIFS(Datos!$G$2:$G$29513,Datos!$E$2:$E$29513,$A12,Datos!$B$2:$B$29513,15,Datos!$C$2:$C$29513,"&lt;30",Datos!$F$2:$F$29513,"STANDBY"),0),"")</f>
        <v/>
      </c>
      <c r="Q12" s="7">
        <f>IFERROR(ROUND(AVERAGEIFS(Datos!$G$2:$G$29513,Datos!$E$2:$E$29513,$A12,Datos!$B$2:$B$29513,15,Datos!$C$2:$C$29513,"&gt;=30",Datos!$F$2:$F$29513,"STANDBY"),0),"")</f>
        <v/>
      </c>
      <c r="R12" s="7">
        <f>IFERROR(ROUND(AVERAGEIFS(Datos!$G$2:$G$29513,Datos!$E$2:$E$29513,$A12,Datos!$B$2:$B$29513,16,Datos!$C$2:$C$29513,"&lt;30",Datos!$F$2:$F$29513,"STANDBY"),0),"")</f>
        <v/>
      </c>
      <c r="S12" s="7">
        <f>IFERROR(ROUND(AVERAGEIFS(Datos!$G$2:$G$29513,Datos!$E$2:$E$29513,$A12,Datos!$B$2:$B$29513,16,Datos!$C$2:$C$29513,"&gt;=30",Datos!$F$2:$F$29513,"STANDBY"),0),"")</f>
        <v/>
      </c>
      <c r="T12" s="7">
        <f>IFERROR(ROUND(AVERAGEIFS(Datos!$G$2:$G$29513,Datos!$E$2:$E$29513,$A12,Datos!$B$2:$B$29513,17,Datos!$C$2:$C$29513,"&lt;30",Datos!$F$2:$F$29513,"STANDBY"),0),"")</f>
        <v/>
      </c>
      <c r="U12" s="7">
        <f>IFERROR(ROUND(AVERAGEIFS(Datos!$G$2:$G$29513,Datos!$E$2:$E$29513,$A12,Datos!$B$2:$B$29513,17,Datos!$C$2:$C$29513,"&gt;=30",Datos!$F$2:$F$29513,"STANDBY"),0),"")</f>
        <v/>
      </c>
      <c r="V12" s="7">
        <f>IFERROR(ROUND(AVERAGEIFS(Datos!$G$2:$G$29513,Datos!$E$2:$E$29513,$A12,Datos!$B$2:$B$29513,18,Datos!$C$2:$C$29513,"&lt;30",Datos!$F$2:$F$29513,"STANDBY"),0),"")</f>
        <v/>
      </c>
      <c r="W12" s="7">
        <f>IFERROR(ROUND(AVERAGEIFS(Datos!$G$2:$G$29513,Datos!$E$2:$E$29513,$A12,Datos!$B$2:$B$29513,18,Datos!$C$2:$C$29513,"&gt;=30",Datos!$F$2:$F$29513,"STANDBY"),0),"")</f>
        <v/>
      </c>
      <c r="X12" s="7">
        <f>IFERROR(ROUND(AVERAGEIFS(Datos!$G$2:$G$29513,Datos!$E$2:$E$29513,$A12,Datos!$B$2:$B$29513,19,Datos!$C$2:$C$29513,"&lt;30",Datos!$F$2:$F$29513,"STANDBY"),0),"")</f>
        <v/>
      </c>
      <c r="Y12" s="7">
        <f>IFERROR(ROUND(AVERAGEIFS(Datos!$G$2:$G$29513,Datos!$E$2:$E$29513,$A12,Datos!$B$2:$B$29513,19,Datos!$C$2:$C$29513,"&gt;=30",Datos!$F$2:$F$29513,"STANDBY"),0),"")</f>
        <v/>
      </c>
      <c r="Z12" s="7">
        <f>IFERROR(ROUND(AVERAGEIFS(Datos!$G$2:$G$29513,Datos!$E$2:$E$29513,$A12,Datos!$B$2:$B$29513,20,Datos!$C$2:$C$29513,"&lt;30",Datos!$F$2:$F$29513,"STANDBY"),0),"")</f>
        <v/>
      </c>
      <c r="AA12" s="7">
        <f>IFERROR(ROUND(AVERAGEIFS(Datos!$G$2:$G$29513,Datos!$E$2:$E$29513,$A12,Datos!$B$2:$B$29513,20,Datos!$C$2:$C$29513,"&gt;=30",Datos!$F$2:$F$29513,"STANDBY"),0),"")</f>
        <v/>
      </c>
      <c r="AB12" s="7">
        <f>IFERROR(ROUND(AVERAGEIFS(Datos!$G$2:$G$29513,Datos!$E$2:$E$29513,$A12,Datos!$B$2:$B$29513,21,Datos!$C$2:$C$29513,"&lt;30",Datos!$F$2:$F$29513,"STANDBY"),0),"")</f>
        <v/>
      </c>
      <c r="AC12" s="7">
        <f>IFERROR(ROUND(AVERAGEIFS(Datos!$G$2:$G$29513,Datos!$E$2:$E$29513,$A12,Datos!$B$2:$B$29513,21,Datos!$C$2:$C$29513,"&gt;=30",Datos!$F$2:$F$29513,"STANDBY"),0),"")</f>
        <v/>
      </c>
      <c r="AD12" s="7">
        <f>IFERROR(ROUND(AVERAGEIFS(Datos!$G$2:$G$29513,Datos!$E$2:$E$29513,$A12,Datos!$B$2:$B$29513,22,Datos!$C$2:$C$29513,"&lt;30",Datos!$F$2:$F$29513,"STANDBY"),0),"")</f>
        <v/>
      </c>
      <c r="AE12" s="7">
        <f>IFERROR(ROUND(AVERAGEIFS(Datos!$G$2:$G$29513,Datos!$E$2:$E$29513,$A12,Datos!$B$2:$B$29513,22,Datos!$C$2:$C$29513,"&gt;=30",Datos!$F$2:$F$29513,"STANDBY"),0),"")</f>
        <v/>
      </c>
      <c r="AF12" s="7">
        <f>IFERROR(ROUND(AVERAGEIFS(Datos!$G$2:$G$29513,Datos!$E$2:$E$29513,$A12,Datos!$B$2:$B$29513,23,Datos!$C$2:$C$29513,"&lt;30",Datos!$F$2:$F$29513,"STANDBY"),0),"")</f>
        <v/>
      </c>
      <c r="AG12" s="7">
        <f>IFERROR(ROUND(AVERAGEIFS(Datos!$G$2:$G$29513,Datos!$E$2:$E$29513,$A12,Datos!$B$2:$B$29513,23,Datos!$C$2:$C$29513,"&gt;=30",Datos!$F$2:$F$29513,"STANDBY"),0),"")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IFERROR(ROUND(AVERAGEIFS(Datos!$G$2:$G$29513,Datos!$E$2:$E$29513,$A13,Datos!$B$2:$B$29513,8,Datos!$C$2:$C$29513,"&lt;30",Datos!$F$2:$F$29513,"STANDBY"),0),"")</f>
        <v/>
      </c>
      <c r="C13" s="7">
        <f>IFERROR(ROUND(AVERAGEIFS(Datos!$G$2:$G$29513,Datos!$E$2:$E$29513,$A13,Datos!$B$2:$B$29513,8,Datos!$C$2:$C$29513,"&gt;=30",Datos!$F$2:$F$29513,"STANDBY"),0),"")</f>
        <v/>
      </c>
      <c r="D13" s="7">
        <f>IFERROR(ROUND(AVERAGEIFS(Datos!$G$2:$G$29513,Datos!$E$2:$E$29513,$A13,Datos!$B$2:$B$29513,9,Datos!$C$2:$C$29513,"&lt;30",Datos!$F$2:$F$29513,"STANDBY"),0),"")</f>
        <v/>
      </c>
      <c r="E13" s="7">
        <f>IFERROR(ROUND(AVERAGEIFS(Datos!$G$2:$G$29513,Datos!$E$2:$E$29513,$A13,Datos!$B$2:$B$29513,9,Datos!$C$2:$C$29513,"&gt;=30",Datos!$F$2:$F$29513,"STANDBY"),0),"")</f>
        <v/>
      </c>
      <c r="F13" s="7">
        <f>IFERROR(ROUND(AVERAGEIFS(Datos!$G$2:$G$29513,Datos!$E$2:$E$29513,$A13,Datos!$B$2:$B$29513,10,Datos!$C$2:$C$29513,"&lt;30",Datos!$F$2:$F$29513,"STANDBY"),0),"")</f>
        <v/>
      </c>
      <c r="G13" s="7">
        <f>IFERROR(ROUND(AVERAGEIFS(Datos!$G$2:$G$29513,Datos!$E$2:$E$29513,$A13,Datos!$B$2:$B$29513,10,Datos!$C$2:$C$29513,"&gt;=30",Datos!$F$2:$F$29513,"STANDBY"),0),"")</f>
        <v/>
      </c>
      <c r="H13" s="7">
        <f>IFERROR(ROUND(AVERAGEIFS(Datos!$G$2:$G$29513,Datos!$E$2:$E$29513,$A13,Datos!$B$2:$B$29513,11,Datos!$C$2:$C$29513,"&lt;30",Datos!$F$2:$F$29513,"STANDBY"),0),"")</f>
        <v/>
      </c>
      <c r="I13" s="7">
        <f>IFERROR(ROUND(AVERAGEIFS(Datos!$G$2:$G$29513,Datos!$E$2:$E$29513,$A13,Datos!$B$2:$B$29513,11,Datos!$C$2:$C$29513,"&gt;=30",Datos!$F$2:$F$29513,"STANDBY"),0),"")</f>
        <v/>
      </c>
      <c r="J13" s="7">
        <f>IFERROR(ROUND(AVERAGEIFS(Datos!$G$2:$G$29513,Datos!$E$2:$E$29513,$A13,Datos!$B$2:$B$29513,12,Datos!$C$2:$C$29513,"&lt;30",Datos!$F$2:$F$29513,"STANDBY"),0),"")</f>
        <v/>
      </c>
      <c r="K13" s="7">
        <f>IFERROR(ROUND(AVERAGEIFS(Datos!$G$2:$G$29513,Datos!$E$2:$E$29513,$A13,Datos!$B$2:$B$29513,12,Datos!$C$2:$C$29513,"&gt;=30",Datos!$F$2:$F$29513,"STANDBY"),0),"")</f>
        <v/>
      </c>
      <c r="L13" s="7">
        <f>IFERROR(ROUND(AVERAGEIFS(Datos!$G$2:$G$29513,Datos!$E$2:$E$29513,$A13,Datos!$B$2:$B$29513,13,Datos!$C$2:$C$29513,"&lt;30",Datos!$F$2:$F$29513,"STANDBY"),0),"")</f>
        <v/>
      </c>
      <c r="M13" s="7">
        <f>IFERROR(ROUND(AVERAGEIFS(Datos!$G$2:$G$29513,Datos!$E$2:$E$29513,$A13,Datos!$B$2:$B$29513,13,Datos!$C$2:$C$29513,"&gt;=30",Datos!$F$2:$F$29513,"STANDBY"),0),"")</f>
        <v/>
      </c>
      <c r="N13" s="7">
        <f>IFERROR(ROUND(AVERAGEIFS(Datos!$G$2:$G$29513,Datos!$E$2:$E$29513,$A13,Datos!$B$2:$B$29513,14,Datos!$C$2:$C$29513,"&lt;30",Datos!$F$2:$F$29513,"STANDBY"),0),"")</f>
        <v/>
      </c>
      <c r="O13" s="7">
        <f>IFERROR(ROUND(AVERAGEIFS(Datos!$G$2:$G$29513,Datos!$E$2:$E$29513,$A13,Datos!$B$2:$B$29513,14,Datos!$C$2:$C$29513,"&gt;=30",Datos!$F$2:$F$29513,"STANDBY"),0),"")</f>
        <v/>
      </c>
      <c r="P13" s="7">
        <f>IFERROR(ROUND(AVERAGEIFS(Datos!$G$2:$G$29513,Datos!$E$2:$E$29513,$A13,Datos!$B$2:$B$29513,15,Datos!$C$2:$C$29513,"&lt;30",Datos!$F$2:$F$29513,"STANDBY"),0),"")</f>
        <v/>
      </c>
      <c r="Q13" s="7">
        <f>IFERROR(ROUND(AVERAGEIFS(Datos!$G$2:$G$29513,Datos!$E$2:$E$29513,$A13,Datos!$B$2:$B$29513,15,Datos!$C$2:$C$29513,"&gt;=30",Datos!$F$2:$F$29513,"STANDBY"),0),"")</f>
        <v/>
      </c>
      <c r="R13" s="7">
        <f>IFERROR(ROUND(AVERAGEIFS(Datos!$G$2:$G$29513,Datos!$E$2:$E$29513,$A13,Datos!$B$2:$B$29513,16,Datos!$C$2:$C$29513,"&lt;30",Datos!$F$2:$F$29513,"STANDBY"),0),"")</f>
        <v/>
      </c>
      <c r="S13" s="7">
        <f>IFERROR(ROUND(AVERAGEIFS(Datos!$G$2:$G$29513,Datos!$E$2:$E$29513,$A13,Datos!$B$2:$B$29513,16,Datos!$C$2:$C$29513,"&gt;=30",Datos!$F$2:$F$29513,"STANDBY"),0),"")</f>
        <v/>
      </c>
      <c r="T13" s="7">
        <f>IFERROR(ROUND(AVERAGEIFS(Datos!$G$2:$G$29513,Datos!$E$2:$E$29513,$A13,Datos!$B$2:$B$29513,17,Datos!$C$2:$C$29513,"&lt;30",Datos!$F$2:$F$29513,"STANDBY"),0),"")</f>
        <v/>
      </c>
      <c r="U13" s="7">
        <f>IFERROR(ROUND(AVERAGEIFS(Datos!$G$2:$G$29513,Datos!$E$2:$E$29513,$A13,Datos!$B$2:$B$29513,17,Datos!$C$2:$C$29513,"&gt;=30",Datos!$F$2:$F$29513,"STANDBY"),0),"")</f>
        <v/>
      </c>
      <c r="V13" s="7">
        <f>IFERROR(ROUND(AVERAGEIFS(Datos!$G$2:$G$29513,Datos!$E$2:$E$29513,$A13,Datos!$B$2:$B$29513,18,Datos!$C$2:$C$29513,"&lt;30",Datos!$F$2:$F$29513,"STANDBY"),0),"")</f>
        <v/>
      </c>
      <c r="W13" s="7">
        <f>IFERROR(ROUND(AVERAGEIFS(Datos!$G$2:$G$29513,Datos!$E$2:$E$29513,$A13,Datos!$B$2:$B$29513,18,Datos!$C$2:$C$29513,"&gt;=30",Datos!$F$2:$F$29513,"STANDBY"),0),"")</f>
        <v/>
      </c>
      <c r="X13" s="7">
        <f>IFERROR(ROUND(AVERAGEIFS(Datos!$G$2:$G$29513,Datos!$E$2:$E$29513,$A13,Datos!$B$2:$B$29513,19,Datos!$C$2:$C$29513,"&lt;30",Datos!$F$2:$F$29513,"STANDBY"),0),"")</f>
        <v/>
      </c>
      <c r="Y13" s="7">
        <f>IFERROR(ROUND(AVERAGEIFS(Datos!$G$2:$G$29513,Datos!$E$2:$E$29513,$A13,Datos!$B$2:$B$29513,19,Datos!$C$2:$C$29513,"&gt;=30",Datos!$F$2:$F$29513,"STANDBY"),0),"")</f>
        <v/>
      </c>
      <c r="Z13" s="7">
        <f>IFERROR(ROUND(AVERAGEIFS(Datos!$G$2:$G$29513,Datos!$E$2:$E$29513,$A13,Datos!$B$2:$B$29513,20,Datos!$C$2:$C$29513,"&lt;30",Datos!$F$2:$F$29513,"STANDBY"),0),"")</f>
        <v/>
      </c>
      <c r="AA13" s="7">
        <f>IFERROR(ROUND(AVERAGEIFS(Datos!$G$2:$G$29513,Datos!$E$2:$E$29513,$A13,Datos!$B$2:$B$29513,20,Datos!$C$2:$C$29513,"&gt;=30",Datos!$F$2:$F$29513,"STANDBY"),0),"")</f>
        <v/>
      </c>
      <c r="AB13" s="7">
        <f>IFERROR(ROUND(AVERAGEIFS(Datos!$G$2:$G$29513,Datos!$E$2:$E$29513,$A13,Datos!$B$2:$B$29513,21,Datos!$C$2:$C$29513,"&lt;30",Datos!$F$2:$F$29513,"STANDBY"),0),"")</f>
        <v/>
      </c>
      <c r="AC13" s="7">
        <f>IFERROR(ROUND(AVERAGEIFS(Datos!$G$2:$G$29513,Datos!$E$2:$E$29513,$A13,Datos!$B$2:$B$29513,21,Datos!$C$2:$C$29513,"&gt;=30",Datos!$F$2:$F$29513,"STANDBY"),0),"")</f>
        <v/>
      </c>
      <c r="AD13" s="7">
        <f>IFERROR(ROUND(AVERAGEIFS(Datos!$G$2:$G$29513,Datos!$E$2:$E$29513,$A13,Datos!$B$2:$B$29513,22,Datos!$C$2:$C$29513,"&lt;30",Datos!$F$2:$F$29513,"STANDBY"),0),"")</f>
        <v/>
      </c>
      <c r="AE13" s="7">
        <f>IFERROR(ROUND(AVERAGEIFS(Datos!$G$2:$G$29513,Datos!$E$2:$E$29513,$A13,Datos!$B$2:$B$29513,22,Datos!$C$2:$C$29513,"&gt;=30",Datos!$F$2:$F$29513,"STANDBY"),0),"")</f>
        <v/>
      </c>
      <c r="AF13" s="7">
        <f>IFERROR(ROUND(AVERAGEIFS(Datos!$G$2:$G$29513,Datos!$E$2:$E$29513,$A13,Datos!$B$2:$B$29513,23,Datos!$C$2:$C$29513,"&lt;30",Datos!$F$2:$F$29513,"STANDBY"),0),"")</f>
        <v/>
      </c>
      <c r="AG13" s="7">
        <f>IFERROR(ROUND(AVERAGEIFS(Datos!$G$2:$G$29513,Datos!$E$2:$E$29513,$A13,Datos!$B$2:$B$29513,23,Datos!$C$2:$C$29513,"&gt;=30",Datos!$F$2:$F$29513,"STANDBY"),0),"")</f>
        <v/>
      </c>
    </row>
    <row r="14">
      <c r="A14" s="6" t="inlineStr">
        <is>
          <t>RC Racer</t>
        </is>
      </c>
      <c r="B14" s="7">
        <f>IFERROR(ROUND(AVERAGEIFS(Datos!$G$2:$G$29513,Datos!$E$2:$E$29513,$A14,Datos!$B$2:$B$29513,8,Datos!$C$2:$C$29513,"&lt;30",Datos!$F$2:$F$29513,"STANDBY"),0),"")</f>
        <v/>
      </c>
      <c r="C14" s="7">
        <f>IFERROR(ROUND(AVERAGEIFS(Datos!$G$2:$G$29513,Datos!$E$2:$E$29513,$A14,Datos!$B$2:$B$29513,8,Datos!$C$2:$C$29513,"&gt;=30",Datos!$F$2:$F$29513,"STANDBY"),0),"")</f>
        <v/>
      </c>
      <c r="D14" s="7">
        <f>IFERROR(ROUND(AVERAGEIFS(Datos!$G$2:$G$29513,Datos!$E$2:$E$29513,$A14,Datos!$B$2:$B$29513,9,Datos!$C$2:$C$29513,"&lt;30",Datos!$F$2:$F$29513,"STANDBY"),0),"")</f>
        <v/>
      </c>
      <c r="E14" s="7">
        <f>IFERROR(ROUND(AVERAGEIFS(Datos!$G$2:$G$29513,Datos!$E$2:$E$29513,$A14,Datos!$B$2:$B$29513,9,Datos!$C$2:$C$29513,"&gt;=30",Datos!$F$2:$F$29513,"STANDBY"),0),"")</f>
        <v/>
      </c>
      <c r="F14" s="7">
        <f>IFERROR(ROUND(AVERAGEIFS(Datos!$G$2:$G$29513,Datos!$E$2:$E$29513,$A14,Datos!$B$2:$B$29513,10,Datos!$C$2:$C$29513,"&lt;30",Datos!$F$2:$F$29513,"STANDBY"),0),"")</f>
        <v/>
      </c>
      <c r="G14" s="7">
        <f>IFERROR(ROUND(AVERAGEIFS(Datos!$G$2:$G$29513,Datos!$E$2:$E$29513,$A14,Datos!$B$2:$B$29513,10,Datos!$C$2:$C$29513,"&gt;=30",Datos!$F$2:$F$29513,"STANDBY"),0),"")</f>
        <v/>
      </c>
      <c r="H14" s="7">
        <f>IFERROR(ROUND(AVERAGEIFS(Datos!$G$2:$G$29513,Datos!$E$2:$E$29513,$A14,Datos!$B$2:$B$29513,11,Datos!$C$2:$C$29513,"&lt;30",Datos!$F$2:$F$29513,"STANDBY"),0),"")</f>
        <v/>
      </c>
      <c r="I14" s="7">
        <f>IFERROR(ROUND(AVERAGEIFS(Datos!$G$2:$G$29513,Datos!$E$2:$E$29513,$A14,Datos!$B$2:$B$29513,11,Datos!$C$2:$C$29513,"&gt;=30",Datos!$F$2:$F$29513,"STANDBY"),0),"")</f>
        <v/>
      </c>
      <c r="J14" s="7">
        <f>IFERROR(ROUND(AVERAGEIFS(Datos!$G$2:$G$29513,Datos!$E$2:$E$29513,$A14,Datos!$B$2:$B$29513,12,Datos!$C$2:$C$29513,"&lt;30",Datos!$F$2:$F$29513,"STANDBY"),0),"")</f>
        <v/>
      </c>
      <c r="K14" s="7">
        <f>IFERROR(ROUND(AVERAGEIFS(Datos!$G$2:$G$29513,Datos!$E$2:$E$29513,$A14,Datos!$B$2:$B$29513,12,Datos!$C$2:$C$29513,"&gt;=30",Datos!$F$2:$F$29513,"STANDBY"),0),"")</f>
        <v/>
      </c>
      <c r="L14" s="7">
        <f>IFERROR(ROUND(AVERAGEIFS(Datos!$G$2:$G$29513,Datos!$E$2:$E$29513,$A14,Datos!$B$2:$B$29513,13,Datos!$C$2:$C$29513,"&lt;30",Datos!$F$2:$F$29513,"STANDBY"),0),"")</f>
        <v/>
      </c>
      <c r="M14" s="7">
        <f>IFERROR(ROUND(AVERAGEIFS(Datos!$G$2:$G$29513,Datos!$E$2:$E$29513,$A14,Datos!$B$2:$B$29513,13,Datos!$C$2:$C$29513,"&gt;=30",Datos!$F$2:$F$29513,"STANDBY"),0),"")</f>
        <v/>
      </c>
      <c r="N14" s="7">
        <f>IFERROR(ROUND(AVERAGEIFS(Datos!$G$2:$G$29513,Datos!$E$2:$E$29513,$A14,Datos!$B$2:$B$29513,14,Datos!$C$2:$C$29513,"&lt;30",Datos!$F$2:$F$29513,"STANDBY"),0),"")</f>
        <v/>
      </c>
      <c r="O14" s="7">
        <f>IFERROR(ROUND(AVERAGEIFS(Datos!$G$2:$G$29513,Datos!$E$2:$E$29513,$A14,Datos!$B$2:$B$29513,14,Datos!$C$2:$C$29513,"&gt;=30",Datos!$F$2:$F$29513,"STANDBY"),0),"")</f>
        <v/>
      </c>
      <c r="P14" s="7">
        <f>IFERROR(ROUND(AVERAGEIFS(Datos!$G$2:$G$29513,Datos!$E$2:$E$29513,$A14,Datos!$B$2:$B$29513,15,Datos!$C$2:$C$29513,"&lt;30",Datos!$F$2:$F$29513,"STANDBY"),0),"")</f>
        <v/>
      </c>
      <c r="Q14" s="7">
        <f>IFERROR(ROUND(AVERAGEIFS(Datos!$G$2:$G$29513,Datos!$E$2:$E$29513,$A14,Datos!$B$2:$B$29513,15,Datos!$C$2:$C$29513,"&gt;=30",Datos!$F$2:$F$29513,"STANDBY"),0),"")</f>
        <v/>
      </c>
      <c r="R14" s="7">
        <f>IFERROR(ROUND(AVERAGEIFS(Datos!$G$2:$G$29513,Datos!$E$2:$E$29513,$A14,Datos!$B$2:$B$29513,16,Datos!$C$2:$C$29513,"&lt;30",Datos!$F$2:$F$29513,"STANDBY"),0),"")</f>
        <v/>
      </c>
      <c r="S14" s="7">
        <f>IFERROR(ROUND(AVERAGEIFS(Datos!$G$2:$G$29513,Datos!$E$2:$E$29513,$A14,Datos!$B$2:$B$29513,16,Datos!$C$2:$C$29513,"&gt;=30",Datos!$F$2:$F$29513,"STANDBY"),0),"")</f>
        <v/>
      </c>
      <c r="T14" s="7">
        <f>IFERROR(ROUND(AVERAGEIFS(Datos!$G$2:$G$29513,Datos!$E$2:$E$29513,$A14,Datos!$B$2:$B$29513,17,Datos!$C$2:$C$29513,"&lt;30",Datos!$F$2:$F$29513,"STANDBY"),0),"")</f>
        <v/>
      </c>
      <c r="U14" s="7">
        <f>IFERROR(ROUND(AVERAGEIFS(Datos!$G$2:$G$29513,Datos!$E$2:$E$29513,$A14,Datos!$B$2:$B$29513,17,Datos!$C$2:$C$29513,"&gt;=30",Datos!$F$2:$F$29513,"STANDBY"),0),"")</f>
        <v/>
      </c>
      <c r="V14" s="7">
        <f>IFERROR(ROUND(AVERAGEIFS(Datos!$G$2:$G$29513,Datos!$E$2:$E$29513,$A14,Datos!$B$2:$B$29513,18,Datos!$C$2:$C$29513,"&lt;30",Datos!$F$2:$F$29513,"STANDBY"),0),"")</f>
        <v/>
      </c>
      <c r="W14" s="7">
        <f>IFERROR(ROUND(AVERAGEIFS(Datos!$G$2:$G$29513,Datos!$E$2:$E$29513,$A14,Datos!$B$2:$B$29513,18,Datos!$C$2:$C$29513,"&gt;=30",Datos!$F$2:$F$29513,"STANDBY"),0),"")</f>
        <v/>
      </c>
      <c r="X14" s="7">
        <f>IFERROR(ROUND(AVERAGEIFS(Datos!$G$2:$G$29513,Datos!$E$2:$E$29513,$A14,Datos!$B$2:$B$29513,19,Datos!$C$2:$C$29513,"&lt;30",Datos!$F$2:$F$29513,"STANDBY"),0),"")</f>
        <v/>
      </c>
      <c r="Y14" s="7">
        <f>IFERROR(ROUND(AVERAGEIFS(Datos!$G$2:$G$29513,Datos!$E$2:$E$29513,$A14,Datos!$B$2:$B$29513,19,Datos!$C$2:$C$29513,"&gt;=30",Datos!$F$2:$F$29513,"STANDBY"),0),"")</f>
        <v/>
      </c>
      <c r="Z14" s="7">
        <f>IFERROR(ROUND(AVERAGEIFS(Datos!$G$2:$G$29513,Datos!$E$2:$E$29513,$A14,Datos!$B$2:$B$29513,20,Datos!$C$2:$C$29513,"&lt;30",Datos!$F$2:$F$29513,"STANDBY"),0),"")</f>
        <v/>
      </c>
      <c r="AA14" s="7">
        <f>IFERROR(ROUND(AVERAGEIFS(Datos!$G$2:$G$29513,Datos!$E$2:$E$29513,$A14,Datos!$B$2:$B$29513,20,Datos!$C$2:$C$29513,"&gt;=30",Datos!$F$2:$F$29513,"STANDBY"),0),"")</f>
        <v/>
      </c>
      <c r="AB14" s="7">
        <f>IFERROR(ROUND(AVERAGEIFS(Datos!$G$2:$G$29513,Datos!$E$2:$E$29513,$A14,Datos!$B$2:$B$29513,21,Datos!$C$2:$C$29513,"&lt;30",Datos!$F$2:$F$29513,"STANDBY"),0),"")</f>
        <v/>
      </c>
      <c r="AC14" s="7">
        <f>IFERROR(ROUND(AVERAGEIFS(Datos!$G$2:$G$29513,Datos!$E$2:$E$29513,$A14,Datos!$B$2:$B$29513,21,Datos!$C$2:$C$29513,"&gt;=30",Datos!$F$2:$F$29513,"STANDBY"),0),"")</f>
        <v/>
      </c>
      <c r="AD14" s="7">
        <f>IFERROR(ROUND(AVERAGEIFS(Datos!$G$2:$G$29513,Datos!$E$2:$E$29513,$A14,Datos!$B$2:$B$29513,22,Datos!$C$2:$C$29513,"&lt;30",Datos!$F$2:$F$29513,"STANDBY"),0),"")</f>
        <v/>
      </c>
      <c r="AE14" s="7">
        <f>IFERROR(ROUND(AVERAGEIFS(Datos!$G$2:$G$29513,Datos!$E$2:$E$29513,$A14,Datos!$B$2:$B$29513,22,Datos!$C$2:$C$29513,"&gt;=30",Datos!$F$2:$F$29513,"STANDBY"),0),"")</f>
        <v/>
      </c>
      <c r="AF14" s="7">
        <f>IFERROR(ROUND(AVERAGEIFS(Datos!$G$2:$G$29513,Datos!$E$2:$E$29513,$A14,Datos!$B$2:$B$29513,23,Datos!$C$2:$C$29513,"&lt;30",Datos!$F$2:$F$29513,"STANDBY"),0),"")</f>
        <v/>
      </c>
      <c r="AG14" s="7">
        <f>IFERROR(ROUND(AVERAGEIFS(Datos!$G$2:$G$29513,Datos!$E$2:$E$29513,$A14,Datos!$B$2:$B$29513,23,Datos!$C$2:$C$29513,"&gt;=30",Datos!$F$2:$F$29513,"STANDBY"),0),"")</f>
        <v/>
      </c>
    </row>
    <row r="15">
      <c r="A15" s="6" t="inlineStr">
        <is>
          <t>RC Racer Single Rider</t>
        </is>
      </c>
      <c r="B15" s="7">
        <f>IFERROR(ROUND(AVERAGEIFS(Datos!$G$2:$G$29513,Datos!$E$2:$E$29513,$A15,Datos!$B$2:$B$29513,8,Datos!$C$2:$C$29513,"&lt;30",Datos!$F$2:$F$29513,"STANDBY"),0),"")</f>
        <v/>
      </c>
      <c r="C15" s="7">
        <f>IFERROR(ROUND(AVERAGEIFS(Datos!$G$2:$G$29513,Datos!$E$2:$E$29513,$A15,Datos!$B$2:$B$29513,8,Datos!$C$2:$C$29513,"&gt;=30",Datos!$F$2:$F$29513,"STANDBY"),0),"")</f>
        <v/>
      </c>
      <c r="D15" s="7">
        <f>IFERROR(ROUND(AVERAGEIFS(Datos!$G$2:$G$29513,Datos!$E$2:$E$29513,$A15,Datos!$B$2:$B$29513,9,Datos!$C$2:$C$29513,"&lt;30",Datos!$F$2:$F$29513,"STANDBY"),0),"")</f>
        <v/>
      </c>
      <c r="E15" s="7">
        <f>IFERROR(ROUND(AVERAGEIFS(Datos!$G$2:$G$29513,Datos!$E$2:$E$29513,$A15,Datos!$B$2:$B$29513,9,Datos!$C$2:$C$29513,"&gt;=30",Datos!$F$2:$F$29513,"STANDBY"),0),"")</f>
        <v/>
      </c>
      <c r="F15" s="7">
        <f>IFERROR(ROUND(AVERAGEIFS(Datos!$G$2:$G$29513,Datos!$E$2:$E$29513,$A15,Datos!$B$2:$B$29513,10,Datos!$C$2:$C$29513,"&lt;30",Datos!$F$2:$F$29513,"STANDBY"),0),"")</f>
        <v/>
      </c>
      <c r="G15" s="7">
        <f>IFERROR(ROUND(AVERAGEIFS(Datos!$G$2:$G$29513,Datos!$E$2:$E$29513,$A15,Datos!$B$2:$B$29513,10,Datos!$C$2:$C$29513,"&gt;=30",Datos!$F$2:$F$29513,"STANDBY"),0),"")</f>
        <v/>
      </c>
      <c r="H15" s="7">
        <f>IFERROR(ROUND(AVERAGEIFS(Datos!$G$2:$G$29513,Datos!$E$2:$E$29513,$A15,Datos!$B$2:$B$29513,11,Datos!$C$2:$C$29513,"&lt;30",Datos!$F$2:$F$29513,"STANDBY"),0),"")</f>
        <v/>
      </c>
      <c r="I15" s="7">
        <f>IFERROR(ROUND(AVERAGEIFS(Datos!$G$2:$G$29513,Datos!$E$2:$E$29513,$A15,Datos!$B$2:$B$29513,11,Datos!$C$2:$C$29513,"&gt;=30",Datos!$F$2:$F$29513,"STANDBY"),0),"")</f>
        <v/>
      </c>
      <c r="J15" s="7">
        <f>IFERROR(ROUND(AVERAGEIFS(Datos!$G$2:$G$29513,Datos!$E$2:$E$29513,$A15,Datos!$B$2:$B$29513,12,Datos!$C$2:$C$29513,"&lt;30",Datos!$F$2:$F$29513,"STANDBY"),0),"")</f>
        <v/>
      </c>
      <c r="K15" s="7">
        <f>IFERROR(ROUND(AVERAGEIFS(Datos!$G$2:$G$29513,Datos!$E$2:$E$29513,$A15,Datos!$B$2:$B$29513,12,Datos!$C$2:$C$29513,"&gt;=30",Datos!$F$2:$F$29513,"STANDBY"),0),"")</f>
        <v/>
      </c>
      <c r="L15" s="7">
        <f>IFERROR(ROUND(AVERAGEIFS(Datos!$G$2:$G$29513,Datos!$E$2:$E$29513,$A15,Datos!$B$2:$B$29513,13,Datos!$C$2:$C$29513,"&lt;30",Datos!$F$2:$F$29513,"STANDBY"),0),"")</f>
        <v/>
      </c>
      <c r="M15" s="7">
        <f>IFERROR(ROUND(AVERAGEIFS(Datos!$G$2:$G$29513,Datos!$E$2:$E$29513,$A15,Datos!$B$2:$B$29513,13,Datos!$C$2:$C$29513,"&gt;=30",Datos!$F$2:$F$29513,"STANDBY"),0),"")</f>
        <v/>
      </c>
      <c r="N15" s="7">
        <f>IFERROR(ROUND(AVERAGEIFS(Datos!$G$2:$G$29513,Datos!$E$2:$E$29513,$A15,Datos!$B$2:$B$29513,14,Datos!$C$2:$C$29513,"&lt;30",Datos!$F$2:$F$29513,"STANDBY"),0),"")</f>
        <v/>
      </c>
      <c r="O15" s="7">
        <f>IFERROR(ROUND(AVERAGEIFS(Datos!$G$2:$G$29513,Datos!$E$2:$E$29513,$A15,Datos!$B$2:$B$29513,14,Datos!$C$2:$C$29513,"&gt;=30",Datos!$F$2:$F$29513,"STANDBY"),0),"")</f>
        <v/>
      </c>
      <c r="P15" s="7">
        <f>IFERROR(ROUND(AVERAGEIFS(Datos!$G$2:$G$29513,Datos!$E$2:$E$29513,$A15,Datos!$B$2:$B$29513,15,Datos!$C$2:$C$29513,"&lt;30",Datos!$F$2:$F$29513,"STANDBY"),0),"")</f>
        <v/>
      </c>
      <c r="Q15" s="7">
        <f>IFERROR(ROUND(AVERAGEIFS(Datos!$G$2:$G$29513,Datos!$E$2:$E$29513,$A15,Datos!$B$2:$B$29513,15,Datos!$C$2:$C$29513,"&gt;=30",Datos!$F$2:$F$29513,"STANDBY"),0),"")</f>
        <v/>
      </c>
      <c r="R15" s="7">
        <f>IFERROR(ROUND(AVERAGEIFS(Datos!$G$2:$G$29513,Datos!$E$2:$E$29513,$A15,Datos!$B$2:$B$29513,16,Datos!$C$2:$C$29513,"&lt;30",Datos!$F$2:$F$29513,"STANDBY"),0),"")</f>
        <v/>
      </c>
      <c r="S15" s="7">
        <f>IFERROR(ROUND(AVERAGEIFS(Datos!$G$2:$G$29513,Datos!$E$2:$E$29513,$A15,Datos!$B$2:$B$29513,16,Datos!$C$2:$C$29513,"&gt;=30",Datos!$F$2:$F$29513,"STANDBY"),0),"")</f>
        <v/>
      </c>
      <c r="T15" s="7">
        <f>IFERROR(ROUND(AVERAGEIFS(Datos!$G$2:$G$29513,Datos!$E$2:$E$29513,$A15,Datos!$B$2:$B$29513,17,Datos!$C$2:$C$29513,"&lt;30",Datos!$F$2:$F$29513,"STANDBY"),0),"")</f>
        <v/>
      </c>
      <c r="U15" s="7">
        <f>IFERROR(ROUND(AVERAGEIFS(Datos!$G$2:$G$29513,Datos!$E$2:$E$29513,$A15,Datos!$B$2:$B$29513,17,Datos!$C$2:$C$29513,"&gt;=30",Datos!$F$2:$F$29513,"STANDBY"),0),"")</f>
        <v/>
      </c>
      <c r="V15" s="7">
        <f>IFERROR(ROUND(AVERAGEIFS(Datos!$G$2:$G$29513,Datos!$E$2:$E$29513,$A15,Datos!$B$2:$B$29513,18,Datos!$C$2:$C$29513,"&lt;30",Datos!$F$2:$F$29513,"STANDBY"),0),"")</f>
        <v/>
      </c>
      <c r="W15" s="7">
        <f>IFERROR(ROUND(AVERAGEIFS(Datos!$G$2:$G$29513,Datos!$E$2:$E$29513,$A15,Datos!$B$2:$B$29513,18,Datos!$C$2:$C$29513,"&gt;=30",Datos!$F$2:$F$29513,"STANDBY"),0),"")</f>
        <v/>
      </c>
      <c r="X15" s="7">
        <f>IFERROR(ROUND(AVERAGEIFS(Datos!$G$2:$G$29513,Datos!$E$2:$E$29513,$A15,Datos!$B$2:$B$29513,19,Datos!$C$2:$C$29513,"&lt;30",Datos!$F$2:$F$29513,"STANDBY"),0),"")</f>
        <v/>
      </c>
      <c r="Y15" s="7">
        <f>IFERROR(ROUND(AVERAGEIFS(Datos!$G$2:$G$29513,Datos!$E$2:$E$29513,$A15,Datos!$B$2:$B$29513,19,Datos!$C$2:$C$29513,"&gt;=30",Datos!$F$2:$F$29513,"STANDBY"),0),"")</f>
        <v/>
      </c>
      <c r="Z15" s="7">
        <f>IFERROR(ROUND(AVERAGEIFS(Datos!$G$2:$G$29513,Datos!$E$2:$E$29513,$A15,Datos!$B$2:$B$29513,20,Datos!$C$2:$C$29513,"&lt;30",Datos!$F$2:$F$29513,"STANDBY"),0),"")</f>
        <v/>
      </c>
      <c r="AA15" s="7">
        <f>IFERROR(ROUND(AVERAGEIFS(Datos!$G$2:$G$29513,Datos!$E$2:$E$29513,$A15,Datos!$B$2:$B$29513,20,Datos!$C$2:$C$29513,"&gt;=30",Datos!$F$2:$F$29513,"STANDBY"),0),"")</f>
        <v/>
      </c>
      <c r="AB15" s="7">
        <f>IFERROR(ROUND(AVERAGEIFS(Datos!$G$2:$G$29513,Datos!$E$2:$E$29513,$A15,Datos!$B$2:$B$29513,21,Datos!$C$2:$C$29513,"&lt;30",Datos!$F$2:$F$29513,"STANDBY"),0),"")</f>
        <v/>
      </c>
      <c r="AC15" s="7">
        <f>IFERROR(ROUND(AVERAGEIFS(Datos!$G$2:$G$29513,Datos!$E$2:$E$29513,$A15,Datos!$B$2:$B$29513,21,Datos!$C$2:$C$29513,"&gt;=30",Datos!$F$2:$F$29513,"STANDBY"),0),"")</f>
        <v/>
      </c>
      <c r="AD15" s="7">
        <f>IFERROR(ROUND(AVERAGEIFS(Datos!$G$2:$G$29513,Datos!$E$2:$E$29513,$A15,Datos!$B$2:$B$29513,22,Datos!$C$2:$C$29513,"&lt;30",Datos!$F$2:$F$29513,"STANDBY"),0),"")</f>
        <v/>
      </c>
      <c r="AE15" s="7">
        <f>IFERROR(ROUND(AVERAGEIFS(Datos!$G$2:$G$29513,Datos!$E$2:$E$29513,$A15,Datos!$B$2:$B$29513,22,Datos!$C$2:$C$29513,"&gt;=30",Datos!$F$2:$F$29513,"STANDBY"),0),"")</f>
        <v/>
      </c>
      <c r="AF15" s="7">
        <f>IFERROR(ROUND(AVERAGEIFS(Datos!$G$2:$G$29513,Datos!$E$2:$E$29513,$A15,Datos!$B$2:$B$29513,23,Datos!$C$2:$C$29513,"&lt;30",Datos!$F$2:$F$29513,"STANDBY"),0),"")</f>
        <v/>
      </c>
      <c r="AG15" s="7">
        <f>IFERROR(ROUND(AVERAGEIFS(Datos!$G$2:$G$29513,Datos!$E$2:$E$29513,$A15,Datos!$B$2:$B$29513,23,Datos!$C$2:$C$29513,"&gt;=30",Datos!$F$2:$F$29513,"STANDBY"),0),"")</f>
        <v/>
      </c>
    </row>
    <row r="16">
      <c r="A16" s="6" t="inlineStr">
        <is>
          <t>Raiponce Tangled Spin</t>
        </is>
      </c>
      <c r="B16" s="7">
        <f>IFERROR(ROUND(AVERAGEIFS(Datos!$G$2:$G$29513,Datos!$E$2:$E$29513,$A16,Datos!$B$2:$B$29513,8,Datos!$C$2:$C$29513,"&lt;30",Datos!$F$2:$F$29513,"STANDBY"),0),"")</f>
        <v/>
      </c>
      <c r="C16" s="7">
        <f>IFERROR(ROUND(AVERAGEIFS(Datos!$G$2:$G$29513,Datos!$E$2:$E$29513,$A16,Datos!$B$2:$B$29513,8,Datos!$C$2:$C$29513,"&gt;=30",Datos!$F$2:$F$29513,"STANDBY"),0),"")</f>
        <v/>
      </c>
      <c r="D16" s="7">
        <f>IFERROR(ROUND(AVERAGEIFS(Datos!$G$2:$G$29513,Datos!$E$2:$E$29513,$A16,Datos!$B$2:$B$29513,9,Datos!$C$2:$C$29513,"&lt;30",Datos!$F$2:$F$29513,"STANDBY"),0),"")</f>
        <v/>
      </c>
      <c r="E16" s="7">
        <f>IFERROR(ROUND(AVERAGEIFS(Datos!$G$2:$G$29513,Datos!$E$2:$E$29513,$A16,Datos!$B$2:$B$29513,9,Datos!$C$2:$C$29513,"&gt;=30",Datos!$F$2:$F$29513,"STANDBY"),0),"")</f>
        <v/>
      </c>
      <c r="F16" s="7">
        <f>IFERROR(ROUND(AVERAGEIFS(Datos!$G$2:$G$29513,Datos!$E$2:$E$29513,$A16,Datos!$B$2:$B$29513,10,Datos!$C$2:$C$29513,"&lt;30",Datos!$F$2:$F$29513,"STANDBY"),0),"")</f>
        <v/>
      </c>
      <c r="G16" s="7">
        <f>IFERROR(ROUND(AVERAGEIFS(Datos!$G$2:$G$29513,Datos!$E$2:$E$29513,$A16,Datos!$B$2:$B$29513,10,Datos!$C$2:$C$29513,"&gt;=30",Datos!$F$2:$F$29513,"STANDBY"),0),"")</f>
        <v/>
      </c>
      <c r="H16" s="7">
        <f>IFERROR(ROUND(AVERAGEIFS(Datos!$G$2:$G$29513,Datos!$E$2:$E$29513,$A16,Datos!$B$2:$B$29513,11,Datos!$C$2:$C$29513,"&lt;30",Datos!$F$2:$F$29513,"STANDBY"),0),"")</f>
        <v/>
      </c>
      <c r="I16" s="7">
        <f>IFERROR(ROUND(AVERAGEIFS(Datos!$G$2:$G$29513,Datos!$E$2:$E$29513,$A16,Datos!$B$2:$B$29513,11,Datos!$C$2:$C$29513,"&gt;=30",Datos!$F$2:$F$29513,"STANDBY"),0),"")</f>
        <v/>
      </c>
      <c r="J16" s="7">
        <f>IFERROR(ROUND(AVERAGEIFS(Datos!$G$2:$G$29513,Datos!$E$2:$E$29513,$A16,Datos!$B$2:$B$29513,12,Datos!$C$2:$C$29513,"&lt;30",Datos!$F$2:$F$29513,"STANDBY"),0),"")</f>
        <v/>
      </c>
      <c r="K16" s="7">
        <f>IFERROR(ROUND(AVERAGEIFS(Datos!$G$2:$G$29513,Datos!$E$2:$E$29513,$A16,Datos!$B$2:$B$29513,12,Datos!$C$2:$C$29513,"&gt;=30",Datos!$F$2:$F$29513,"STANDBY"),0),"")</f>
        <v/>
      </c>
      <c r="L16" s="7">
        <f>IFERROR(ROUND(AVERAGEIFS(Datos!$G$2:$G$29513,Datos!$E$2:$E$29513,$A16,Datos!$B$2:$B$29513,13,Datos!$C$2:$C$29513,"&lt;30",Datos!$F$2:$F$29513,"STANDBY"),0),"")</f>
        <v/>
      </c>
      <c r="M16" s="7">
        <f>IFERROR(ROUND(AVERAGEIFS(Datos!$G$2:$G$29513,Datos!$E$2:$E$29513,$A16,Datos!$B$2:$B$29513,13,Datos!$C$2:$C$29513,"&gt;=30",Datos!$F$2:$F$29513,"STANDBY"),0),"")</f>
        <v/>
      </c>
      <c r="N16" s="7">
        <f>IFERROR(ROUND(AVERAGEIFS(Datos!$G$2:$G$29513,Datos!$E$2:$E$29513,$A16,Datos!$B$2:$B$29513,14,Datos!$C$2:$C$29513,"&lt;30",Datos!$F$2:$F$29513,"STANDBY"),0),"")</f>
        <v/>
      </c>
      <c r="O16" s="7">
        <f>IFERROR(ROUND(AVERAGEIFS(Datos!$G$2:$G$29513,Datos!$E$2:$E$29513,$A16,Datos!$B$2:$B$29513,14,Datos!$C$2:$C$29513,"&gt;=30",Datos!$F$2:$F$29513,"STANDBY"),0),"")</f>
        <v/>
      </c>
      <c r="P16" s="7">
        <f>IFERROR(ROUND(AVERAGEIFS(Datos!$G$2:$G$29513,Datos!$E$2:$E$29513,$A16,Datos!$B$2:$B$29513,15,Datos!$C$2:$C$29513,"&lt;30",Datos!$F$2:$F$29513,"STANDBY"),0),"")</f>
        <v/>
      </c>
      <c r="Q16" s="7">
        <f>IFERROR(ROUND(AVERAGEIFS(Datos!$G$2:$G$29513,Datos!$E$2:$E$29513,$A16,Datos!$B$2:$B$29513,15,Datos!$C$2:$C$29513,"&gt;=30",Datos!$F$2:$F$29513,"STANDBY"),0),"")</f>
        <v/>
      </c>
      <c r="R16" s="7">
        <f>IFERROR(ROUND(AVERAGEIFS(Datos!$G$2:$G$29513,Datos!$E$2:$E$29513,$A16,Datos!$B$2:$B$29513,16,Datos!$C$2:$C$29513,"&lt;30",Datos!$F$2:$F$29513,"STANDBY"),0),"")</f>
        <v/>
      </c>
      <c r="S16" s="7">
        <f>IFERROR(ROUND(AVERAGEIFS(Datos!$G$2:$G$29513,Datos!$E$2:$E$29513,$A16,Datos!$B$2:$B$29513,16,Datos!$C$2:$C$29513,"&gt;=30",Datos!$F$2:$F$29513,"STANDBY"),0),"")</f>
        <v/>
      </c>
      <c r="T16" s="7">
        <f>IFERROR(ROUND(AVERAGEIFS(Datos!$G$2:$G$29513,Datos!$E$2:$E$29513,$A16,Datos!$B$2:$B$29513,17,Datos!$C$2:$C$29513,"&lt;30",Datos!$F$2:$F$29513,"STANDBY"),0),"")</f>
        <v/>
      </c>
      <c r="U16" s="7">
        <f>IFERROR(ROUND(AVERAGEIFS(Datos!$G$2:$G$29513,Datos!$E$2:$E$29513,$A16,Datos!$B$2:$B$29513,17,Datos!$C$2:$C$29513,"&gt;=30",Datos!$F$2:$F$29513,"STANDBY"),0),"")</f>
        <v/>
      </c>
      <c r="V16" s="7">
        <f>IFERROR(ROUND(AVERAGEIFS(Datos!$G$2:$G$29513,Datos!$E$2:$E$29513,$A16,Datos!$B$2:$B$29513,18,Datos!$C$2:$C$29513,"&lt;30",Datos!$F$2:$F$29513,"STANDBY"),0),"")</f>
        <v/>
      </c>
      <c r="W16" s="7">
        <f>IFERROR(ROUND(AVERAGEIFS(Datos!$G$2:$G$29513,Datos!$E$2:$E$29513,$A16,Datos!$B$2:$B$29513,18,Datos!$C$2:$C$29513,"&gt;=30",Datos!$F$2:$F$29513,"STANDBY"),0),"")</f>
        <v/>
      </c>
      <c r="X16" s="7">
        <f>IFERROR(ROUND(AVERAGEIFS(Datos!$G$2:$G$29513,Datos!$E$2:$E$29513,$A16,Datos!$B$2:$B$29513,19,Datos!$C$2:$C$29513,"&lt;30",Datos!$F$2:$F$29513,"STANDBY"),0),"")</f>
        <v/>
      </c>
      <c r="Y16" s="7">
        <f>IFERROR(ROUND(AVERAGEIFS(Datos!$G$2:$G$29513,Datos!$E$2:$E$29513,$A16,Datos!$B$2:$B$29513,19,Datos!$C$2:$C$29513,"&gt;=30",Datos!$F$2:$F$29513,"STANDBY"),0),"")</f>
        <v/>
      </c>
      <c r="Z16" s="7">
        <f>IFERROR(ROUND(AVERAGEIFS(Datos!$G$2:$G$29513,Datos!$E$2:$E$29513,$A16,Datos!$B$2:$B$29513,20,Datos!$C$2:$C$29513,"&lt;30",Datos!$F$2:$F$29513,"STANDBY"),0),"")</f>
        <v/>
      </c>
      <c r="AA16" s="7">
        <f>IFERROR(ROUND(AVERAGEIFS(Datos!$G$2:$G$29513,Datos!$E$2:$E$29513,$A16,Datos!$B$2:$B$29513,20,Datos!$C$2:$C$29513,"&gt;=30",Datos!$F$2:$F$29513,"STANDBY"),0),"")</f>
        <v/>
      </c>
      <c r="AB16" s="7">
        <f>IFERROR(ROUND(AVERAGEIFS(Datos!$G$2:$G$29513,Datos!$E$2:$E$29513,$A16,Datos!$B$2:$B$29513,21,Datos!$C$2:$C$29513,"&lt;30",Datos!$F$2:$F$29513,"STANDBY"),0),"")</f>
        <v/>
      </c>
      <c r="AC16" s="7">
        <f>IFERROR(ROUND(AVERAGEIFS(Datos!$G$2:$G$29513,Datos!$E$2:$E$29513,$A16,Datos!$B$2:$B$29513,21,Datos!$C$2:$C$29513,"&gt;=30",Datos!$F$2:$F$29513,"STANDBY"),0),"")</f>
        <v/>
      </c>
      <c r="AD16" s="7">
        <f>IFERROR(ROUND(AVERAGEIFS(Datos!$G$2:$G$29513,Datos!$E$2:$E$29513,$A16,Datos!$B$2:$B$29513,22,Datos!$C$2:$C$29513,"&lt;30",Datos!$F$2:$F$29513,"STANDBY"),0),"")</f>
        <v/>
      </c>
      <c r="AE16" s="7">
        <f>IFERROR(ROUND(AVERAGEIFS(Datos!$G$2:$G$29513,Datos!$E$2:$E$29513,$A16,Datos!$B$2:$B$29513,22,Datos!$C$2:$C$29513,"&gt;=30",Datos!$F$2:$F$29513,"STANDBY"),0),"")</f>
        <v/>
      </c>
      <c r="AF16" s="7">
        <f>IFERROR(ROUND(AVERAGEIFS(Datos!$G$2:$G$29513,Datos!$E$2:$E$29513,$A16,Datos!$B$2:$B$29513,23,Datos!$C$2:$C$29513,"&lt;30",Datos!$F$2:$F$29513,"STANDBY"),0),"")</f>
        <v/>
      </c>
      <c r="AG16" s="7">
        <f>IFERROR(ROUND(AVERAGEIFS(Datos!$G$2:$G$29513,Datos!$E$2:$E$29513,$A16,Datos!$B$2:$B$29513,23,Datos!$C$2:$C$29513,"&gt;=30",Datos!$F$2:$F$29513,"STANDBY"),0),"")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IFERROR(ROUND(AVERAGEIFS(Datos!$G$2:$G$29513,Datos!$E$2:$E$29513,$A17,Datos!$B$2:$B$29513,8,Datos!$C$2:$C$29513,"&lt;30",Datos!$F$2:$F$29513,"STANDBY"),0),"")</f>
        <v/>
      </c>
      <c r="C17" s="7">
        <f>IFERROR(ROUND(AVERAGEIFS(Datos!$G$2:$G$29513,Datos!$E$2:$E$29513,$A17,Datos!$B$2:$B$29513,8,Datos!$C$2:$C$29513,"&gt;=30",Datos!$F$2:$F$29513,"STANDBY"),0),"")</f>
        <v/>
      </c>
      <c r="D17" s="7">
        <f>IFERROR(ROUND(AVERAGEIFS(Datos!$G$2:$G$29513,Datos!$E$2:$E$29513,$A17,Datos!$B$2:$B$29513,9,Datos!$C$2:$C$29513,"&lt;30",Datos!$F$2:$F$29513,"STANDBY"),0),"")</f>
        <v/>
      </c>
      <c r="E17" s="7">
        <f>IFERROR(ROUND(AVERAGEIFS(Datos!$G$2:$G$29513,Datos!$E$2:$E$29513,$A17,Datos!$B$2:$B$29513,9,Datos!$C$2:$C$29513,"&gt;=30",Datos!$F$2:$F$29513,"STANDBY"),0),"")</f>
        <v/>
      </c>
      <c r="F17" s="7">
        <f>IFERROR(ROUND(AVERAGEIFS(Datos!$G$2:$G$29513,Datos!$E$2:$E$29513,$A17,Datos!$B$2:$B$29513,10,Datos!$C$2:$C$29513,"&lt;30",Datos!$F$2:$F$29513,"STANDBY"),0),"")</f>
        <v/>
      </c>
      <c r="G17" s="7">
        <f>IFERROR(ROUND(AVERAGEIFS(Datos!$G$2:$G$29513,Datos!$E$2:$E$29513,$A17,Datos!$B$2:$B$29513,10,Datos!$C$2:$C$29513,"&gt;=30",Datos!$F$2:$F$29513,"STANDBY"),0),"")</f>
        <v/>
      </c>
      <c r="H17" s="7">
        <f>IFERROR(ROUND(AVERAGEIFS(Datos!$G$2:$G$29513,Datos!$E$2:$E$29513,$A17,Datos!$B$2:$B$29513,11,Datos!$C$2:$C$29513,"&lt;30",Datos!$F$2:$F$29513,"STANDBY"),0),"")</f>
        <v/>
      </c>
      <c r="I17" s="7">
        <f>IFERROR(ROUND(AVERAGEIFS(Datos!$G$2:$G$29513,Datos!$E$2:$E$29513,$A17,Datos!$B$2:$B$29513,11,Datos!$C$2:$C$29513,"&gt;=30",Datos!$F$2:$F$29513,"STANDBY"),0),"")</f>
        <v/>
      </c>
      <c r="J17" s="7">
        <f>IFERROR(ROUND(AVERAGEIFS(Datos!$G$2:$G$29513,Datos!$E$2:$E$29513,$A17,Datos!$B$2:$B$29513,12,Datos!$C$2:$C$29513,"&lt;30",Datos!$F$2:$F$29513,"STANDBY"),0),"")</f>
        <v/>
      </c>
      <c r="K17" s="7">
        <f>IFERROR(ROUND(AVERAGEIFS(Datos!$G$2:$G$29513,Datos!$E$2:$E$29513,$A17,Datos!$B$2:$B$29513,12,Datos!$C$2:$C$29513,"&gt;=30",Datos!$F$2:$F$29513,"STANDBY"),0),"")</f>
        <v/>
      </c>
      <c r="L17" s="7">
        <f>IFERROR(ROUND(AVERAGEIFS(Datos!$G$2:$G$29513,Datos!$E$2:$E$29513,$A17,Datos!$B$2:$B$29513,13,Datos!$C$2:$C$29513,"&lt;30",Datos!$F$2:$F$29513,"STANDBY"),0),"")</f>
        <v/>
      </c>
      <c r="M17" s="7">
        <f>IFERROR(ROUND(AVERAGEIFS(Datos!$G$2:$G$29513,Datos!$E$2:$E$29513,$A17,Datos!$B$2:$B$29513,13,Datos!$C$2:$C$29513,"&gt;=30",Datos!$F$2:$F$29513,"STANDBY"),0),"")</f>
        <v/>
      </c>
      <c r="N17" s="7">
        <f>IFERROR(ROUND(AVERAGEIFS(Datos!$G$2:$G$29513,Datos!$E$2:$E$29513,$A17,Datos!$B$2:$B$29513,14,Datos!$C$2:$C$29513,"&lt;30",Datos!$F$2:$F$29513,"STANDBY"),0),"")</f>
        <v/>
      </c>
      <c r="O17" s="7">
        <f>IFERROR(ROUND(AVERAGEIFS(Datos!$G$2:$G$29513,Datos!$E$2:$E$29513,$A17,Datos!$B$2:$B$29513,14,Datos!$C$2:$C$29513,"&gt;=30",Datos!$F$2:$F$29513,"STANDBY"),0),"")</f>
        <v/>
      </c>
      <c r="P17" s="7">
        <f>IFERROR(ROUND(AVERAGEIFS(Datos!$G$2:$G$29513,Datos!$E$2:$E$29513,$A17,Datos!$B$2:$B$29513,15,Datos!$C$2:$C$29513,"&lt;30",Datos!$F$2:$F$29513,"STANDBY"),0),"")</f>
        <v/>
      </c>
      <c r="Q17" s="7">
        <f>IFERROR(ROUND(AVERAGEIFS(Datos!$G$2:$G$29513,Datos!$E$2:$E$29513,$A17,Datos!$B$2:$B$29513,15,Datos!$C$2:$C$29513,"&gt;=30",Datos!$F$2:$F$29513,"STANDBY"),0),"")</f>
        <v/>
      </c>
      <c r="R17" s="7">
        <f>IFERROR(ROUND(AVERAGEIFS(Datos!$G$2:$G$29513,Datos!$E$2:$E$29513,$A17,Datos!$B$2:$B$29513,16,Datos!$C$2:$C$29513,"&lt;30",Datos!$F$2:$F$29513,"STANDBY"),0),"")</f>
        <v/>
      </c>
      <c r="S17" s="7">
        <f>IFERROR(ROUND(AVERAGEIFS(Datos!$G$2:$G$29513,Datos!$E$2:$E$29513,$A17,Datos!$B$2:$B$29513,16,Datos!$C$2:$C$29513,"&gt;=30",Datos!$F$2:$F$29513,"STANDBY"),0),"")</f>
        <v/>
      </c>
      <c r="T17" s="7">
        <f>IFERROR(ROUND(AVERAGEIFS(Datos!$G$2:$G$29513,Datos!$E$2:$E$29513,$A17,Datos!$B$2:$B$29513,17,Datos!$C$2:$C$29513,"&lt;30",Datos!$F$2:$F$29513,"STANDBY"),0),"")</f>
        <v/>
      </c>
      <c r="U17" s="7">
        <f>IFERROR(ROUND(AVERAGEIFS(Datos!$G$2:$G$29513,Datos!$E$2:$E$29513,$A17,Datos!$B$2:$B$29513,17,Datos!$C$2:$C$29513,"&gt;=30",Datos!$F$2:$F$29513,"STANDBY"),0),"")</f>
        <v/>
      </c>
      <c r="V17" s="7">
        <f>IFERROR(ROUND(AVERAGEIFS(Datos!$G$2:$G$29513,Datos!$E$2:$E$29513,$A17,Datos!$B$2:$B$29513,18,Datos!$C$2:$C$29513,"&lt;30",Datos!$F$2:$F$29513,"STANDBY"),0),"")</f>
        <v/>
      </c>
      <c r="W17" s="7">
        <f>IFERROR(ROUND(AVERAGEIFS(Datos!$G$2:$G$29513,Datos!$E$2:$E$29513,$A17,Datos!$B$2:$B$29513,18,Datos!$C$2:$C$29513,"&gt;=30",Datos!$F$2:$F$29513,"STANDBY"),0),"")</f>
        <v/>
      </c>
      <c r="X17" s="7">
        <f>IFERROR(ROUND(AVERAGEIFS(Datos!$G$2:$G$29513,Datos!$E$2:$E$29513,$A17,Datos!$B$2:$B$29513,19,Datos!$C$2:$C$29513,"&lt;30",Datos!$F$2:$F$29513,"STANDBY"),0),"")</f>
        <v/>
      </c>
      <c r="Y17" s="7">
        <f>IFERROR(ROUND(AVERAGEIFS(Datos!$G$2:$G$29513,Datos!$E$2:$E$29513,$A17,Datos!$B$2:$B$29513,19,Datos!$C$2:$C$29513,"&gt;=30",Datos!$F$2:$F$29513,"STANDBY"),0),"")</f>
        <v/>
      </c>
      <c r="Z17" s="7">
        <f>IFERROR(ROUND(AVERAGEIFS(Datos!$G$2:$G$29513,Datos!$E$2:$E$29513,$A17,Datos!$B$2:$B$29513,20,Datos!$C$2:$C$29513,"&lt;30",Datos!$F$2:$F$29513,"STANDBY"),0),"")</f>
        <v/>
      </c>
      <c r="AA17" s="7">
        <f>IFERROR(ROUND(AVERAGEIFS(Datos!$G$2:$G$29513,Datos!$E$2:$E$29513,$A17,Datos!$B$2:$B$29513,20,Datos!$C$2:$C$29513,"&gt;=30",Datos!$F$2:$F$29513,"STANDBY"),0),"")</f>
        <v/>
      </c>
      <c r="AB17" s="7">
        <f>IFERROR(ROUND(AVERAGEIFS(Datos!$G$2:$G$29513,Datos!$E$2:$E$29513,$A17,Datos!$B$2:$B$29513,21,Datos!$C$2:$C$29513,"&lt;30",Datos!$F$2:$F$29513,"STANDBY"),0),"")</f>
        <v/>
      </c>
      <c r="AC17" s="7">
        <f>IFERROR(ROUND(AVERAGEIFS(Datos!$G$2:$G$29513,Datos!$E$2:$E$29513,$A17,Datos!$B$2:$B$29513,21,Datos!$C$2:$C$29513,"&gt;=30",Datos!$F$2:$F$29513,"STANDBY"),0),"")</f>
        <v/>
      </c>
      <c r="AD17" s="7">
        <f>IFERROR(ROUND(AVERAGEIFS(Datos!$G$2:$G$29513,Datos!$E$2:$E$29513,$A17,Datos!$B$2:$B$29513,22,Datos!$C$2:$C$29513,"&lt;30",Datos!$F$2:$F$29513,"STANDBY"),0),"")</f>
        <v/>
      </c>
      <c r="AE17" s="7">
        <f>IFERROR(ROUND(AVERAGEIFS(Datos!$G$2:$G$29513,Datos!$E$2:$E$29513,$A17,Datos!$B$2:$B$29513,22,Datos!$C$2:$C$29513,"&gt;=30",Datos!$F$2:$F$29513,"STANDBY"),0),"")</f>
        <v/>
      </c>
      <c r="AF17" s="7">
        <f>IFERROR(ROUND(AVERAGEIFS(Datos!$G$2:$G$29513,Datos!$E$2:$E$29513,$A17,Datos!$B$2:$B$29513,23,Datos!$C$2:$C$29513,"&lt;30",Datos!$F$2:$F$29513,"STANDBY"),0),"")</f>
        <v/>
      </c>
      <c r="AG17" s="7">
        <f>IFERROR(ROUND(AVERAGEIFS(Datos!$G$2:$G$29513,Datos!$E$2:$E$29513,$A17,Datos!$B$2:$B$29513,23,Datos!$C$2:$C$29513,"&gt;=30",Datos!$F$2:$F$29513,"STANDBY"),0),"")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IFERROR(ROUND(AVERAGEIFS(Datos!$G$2:$G$29513,Datos!$E$2:$E$29513,$A18,Datos!$B$2:$B$29513,8,Datos!$C$2:$C$29513,"&lt;30",Datos!$F$2:$F$29513,"STANDBY"),0),"")</f>
        <v/>
      </c>
      <c r="C18" s="7">
        <f>IFERROR(ROUND(AVERAGEIFS(Datos!$G$2:$G$29513,Datos!$E$2:$E$29513,$A18,Datos!$B$2:$B$29513,8,Datos!$C$2:$C$29513,"&gt;=30",Datos!$F$2:$F$29513,"STANDBY"),0),"")</f>
        <v/>
      </c>
      <c r="D18" s="7">
        <f>IFERROR(ROUND(AVERAGEIFS(Datos!$G$2:$G$29513,Datos!$E$2:$E$29513,$A18,Datos!$B$2:$B$29513,9,Datos!$C$2:$C$29513,"&lt;30",Datos!$F$2:$F$29513,"STANDBY"),0),"")</f>
        <v/>
      </c>
      <c r="E18" s="7">
        <f>IFERROR(ROUND(AVERAGEIFS(Datos!$G$2:$G$29513,Datos!$E$2:$E$29513,$A18,Datos!$B$2:$B$29513,9,Datos!$C$2:$C$29513,"&gt;=30",Datos!$F$2:$F$29513,"STANDBY"),0),"")</f>
        <v/>
      </c>
      <c r="F18" s="7">
        <f>IFERROR(ROUND(AVERAGEIFS(Datos!$G$2:$G$29513,Datos!$E$2:$E$29513,$A18,Datos!$B$2:$B$29513,10,Datos!$C$2:$C$29513,"&lt;30",Datos!$F$2:$F$29513,"STANDBY"),0),"")</f>
        <v/>
      </c>
      <c r="G18" s="7">
        <f>IFERROR(ROUND(AVERAGEIFS(Datos!$G$2:$G$29513,Datos!$E$2:$E$29513,$A18,Datos!$B$2:$B$29513,10,Datos!$C$2:$C$29513,"&gt;=30",Datos!$F$2:$F$29513,"STANDBY"),0),"")</f>
        <v/>
      </c>
      <c r="H18" s="7">
        <f>IFERROR(ROUND(AVERAGEIFS(Datos!$G$2:$G$29513,Datos!$E$2:$E$29513,$A18,Datos!$B$2:$B$29513,11,Datos!$C$2:$C$29513,"&lt;30",Datos!$F$2:$F$29513,"STANDBY"),0),"")</f>
        <v/>
      </c>
      <c r="I18" s="7">
        <f>IFERROR(ROUND(AVERAGEIFS(Datos!$G$2:$G$29513,Datos!$E$2:$E$29513,$A18,Datos!$B$2:$B$29513,11,Datos!$C$2:$C$29513,"&gt;=30",Datos!$F$2:$F$29513,"STANDBY"),0),"")</f>
        <v/>
      </c>
      <c r="J18" s="7">
        <f>IFERROR(ROUND(AVERAGEIFS(Datos!$G$2:$G$29513,Datos!$E$2:$E$29513,$A18,Datos!$B$2:$B$29513,12,Datos!$C$2:$C$29513,"&lt;30",Datos!$F$2:$F$29513,"STANDBY"),0),"")</f>
        <v/>
      </c>
      <c r="K18" s="7">
        <f>IFERROR(ROUND(AVERAGEIFS(Datos!$G$2:$G$29513,Datos!$E$2:$E$29513,$A18,Datos!$B$2:$B$29513,12,Datos!$C$2:$C$29513,"&gt;=30",Datos!$F$2:$F$29513,"STANDBY"),0),"")</f>
        <v/>
      </c>
      <c r="L18" s="7">
        <f>IFERROR(ROUND(AVERAGEIFS(Datos!$G$2:$G$29513,Datos!$E$2:$E$29513,$A18,Datos!$B$2:$B$29513,13,Datos!$C$2:$C$29513,"&lt;30",Datos!$F$2:$F$29513,"STANDBY"),0),"")</f>
        <v/>
      </c>
      <c r="M18" s="7">
        <f>IFERROR(ROUND(AVERAGEIFS(Datos!$G$2:$G$29513,Datos!$E$2:$E$29513,$A18,Datos!$B$2:$B$29513,13,Datos!$C$2:$C$29513,"&gt;=30",Datos!$F$2:$F$29513,"STANDBY"),0),"")</f>
        <v/>
      </c>
      <c r="N18" s="7">
        <f>IFERROR(ROUND(AVERAGEIFS(Datos!$G$2:$G$29513,Datos!$E$2:$E$29513,$A18,Datos!$B$2:$B$29513,14,Datos!$C$2:$C$29513,"&lt;30",Datos!$F$2:$F$29513,"STANDBY"),0),"")</f>
        <v/>
      </c>
      <c r="O18" s="7">
        <f>IFERROR(ROUND(AVERAGEIFS(Datos!$G$2:$G$29513,Datos!$E$2:$E$29513,$A18,Datos!$B$2:$B$29513,14,Datos!$C$2:$C$29513,"&gt;=30",Datos!$F$2:$F$29513,"STANDBY"),0),"")</f>
        <v/>
      </c>
      <c r="P18" s="7">
        <f>IFERROR(ROUND(AVERAGEIFS(Datos!$G$2:$G$29513,Datos!$E$2:$E$29513,$A18,Datos!$B$2:$B$29513,15,Datos!$C$2:$C$29513,"&lt;30",Datos!$F$2:$F$29513,"STANDBY"),0),"")</f>
        <v/>
      </c>
      <c r="Q18" s="7">
        <f>IFERROR(ROUND(AVERAGEIFS(Datos!$G$2:$G$29513,Datos!$E$2:$E$29513,$A18,Datos!$B$2:$B$29513,15,Datos!$C$2:$C$29513,"&gt;=30",Datos!$F$2:$F$29513,"STANDBY"),0),"")</f>
        <v/>
      </c>
      <c r="R18" s="7">
        <f>IFERROR(ROUND(AVERAGEIFS(Datos!$G$2:$G$29513,Datos!$E$2:$E$29513,$A18,Datos!$B$2:$B$29513,16,Datos!$C$2:$C$29513,"&lt;30",Datos!$F$2:$F$29513,"STANDBY"),0),"")</f>
        <v/>
      </c>
      <c r="S18" s="7">
        <f>IFERROR(ROUND(AVERAGEIFS(Datos!$G$2:$G$29513,Datos!$E$2:$E$29513,$A18,Datos!$B$2:$B$29513,16,Datos!$C$2:$C$29513,"&gt;=30",Datos!$F$2:$F$29513,"STANDBY"),0),"")</f>
        <v/>
      </c>
      <c r="T18" s="7">
        <f>IFERROR(ROUND(AVERAGEIFS(Datos!$G$2:$G$29513,Datos!$E$2:$E$29513,$A18,Datos!$B$2:$B$29513,17,Datos!$C$2:$C$29513,"&lt;30",Datos!$F$2:$F$29513,"STANDBY"),0),"")</f>
        <v/>
      </c>
      <c r="U18" s="7">
        <f>IFERROR(ROUND(AVERAGEIFS(Datos!$G$2:$G$29513,Datos!$E$2:$E$29513,$A18,Datos!$B$2:$B$29513,17,Datos!$C$2:$C$29513,"&gt;=30",Datos!$F$2:$F$29513,"STANDBY"),0),"")</f>
        <v/>
      </c>
      <c r="V18" s="7">
        <f>IFERROR(ROUND(AVERAGEIFS(Datos!$G$2:$G$29513,Datos!$E$2:$E$29513,$A18,Datos!$B$2:$B$29513,18,Datos!$C$2:$C$29513,"&lt;30",Datos!$F$2:$F$29513,"STANDBY"),0),"")</f>
        <v/>
      </c>
      <c r="W18" s="7">
        <f>IFERROR(ROUND(AVERAGEIFS(Datos!$G$2:$G$29513,Datos!$E$2:$E$29513,$A18,Datos!$B$2:$B$29513,18,Datos!$C$2:$C$29513,"&gt;=30",Datos!$F$2:$F$29513,"STANDBY"),0),"")</f>
        <v/>
      </c>
      <c r="X18" s="7">
        <f>IFERROR(ROUND(AVERAGEIFS(Datos!$G$2:$G$29513,Datos!$E$2:$E$29513,$A18,Datos!$B$2:$B$29513,19,Datos!$C$2:$C$29513,"&lt;30",Datos!$F$2:$F$29513,"STANDBY"),0),"")</f>
        <v/>
      </c>
      <c r="Y18" s="7">
        <f>IFERROR(ROUND(AVERAGEIFS(Datos!$G$2:$G$29513,Datos!$E$2:$E$29513,$A18,Datos!$B$2:$B$29513,19,Datos!$C$2:$C$29513,"&gt;=30",Datos!$F$2:$F$29513,"STANDBY"),0),"")</f>
        <v/>
      </c>
      <c r="Z18" s="7">
        <f>IFERROR(ROUND(AVERAGEIFS(Datos!$G$2:$G$29513,Datos!$E$2:$E$29513,$A18,Datos!$B$2:$B$29513,20,Datos!$C$2:$C$29513,"&lt;30",Datos!$F$2:$F$29513,"STANDBY"),0),"")</f>
        <v/>
      </c>
      <c r="AA18" s="7">
        <f>IFERROR(ROUND(AVERAGEIFS(Datos!$G$2:$G$29513,Datos!$E$2:$E$29513,$A18,Datos!$B$2:$B$29513,20,Datos!$C$2:$C$29513,"&gt;=30",Datos!$F$2:$F$29513,"STANDBY"),0),"")</f>
        <v/>
      </c>
      <c r="AB18" s="7">
        <f>IFERROR(ROUND(AVERAGEIFS(Datos!$G$2:$G$29513,Datos!$E$2:$E$29513,$A18,Datos!$B$2:$B$29513,21,Datos!$C$2:$C$29513,"&lt;30",Datos!$F$2:$F$29513,"STANDBY"),0),"")</f>
        <v/>
      </c>
      <c r="AC18" s="7">
        <f>IFERROR(ROUND(AVERAGEIFS(Datos!$G$2:$G$29513,Datos!$E$2:$E$29513,$A18,Datos!$B$2:$B$29513,21,Datos!$C$2:$C$29513,"&gt;=30",Datos!$F$2:$F$29513,"STANDBY"),0),"")</f>
        <v/>
      </c>
      <c r="AD18" s="7">
        <f>IFERROR(ROUND(AVERAGEIFS(Datos!$G$2:$G$29513,Datos!$E$2:$E$29513,$A18,Datos!$B$2:$B$29513,22,Datos!$C$2:$C$29513,"&lt;30",Datos!$F$2:$F$29513,"STANDBY"),0),"")</f>
        <v/>
      </c>
      <c r="AE18" s="7">
        <f>IFERROR(ROUND(AVERAGEIFS(Datos!$G$2:$G$29513,Datos!$E$2:$E$29513,$A18,Datos!$B$2:$B$29513,22,Datos!$C$2:$C$29513,"&gt;=30",Datos!$F$2:$F$29513,"STANDBY"),0),"")</f>
        <v/>
      </c>
      <c r="AF18" s="7">
        <f>IFERROR(ROUND(AVERAGEIFS(Datos!$G$2:$G$29513,Datos!$E$2:$E$29513,$A18,Datos!$B$2:$B$29513,23,Datos!$C$2:$C$29513,"&lt;30",Datos!$F$2:$F$29513,"STANDBY"),0),"")</f>
        <v/>
      </c>
      <c r="AG18" s="7">
        <f>IFERROR(ROUND(AVERAGEIFS(Datos!$G$2:$G$29513,Datos!$E$2:$E$29513,$A18,Datos!$B$2:$B$29513,23,Datos!$C$2:$C$29513,"&gt;=30",Datos!$F$2:$F$29513,"STANDBY"),0),"")</f>
        <v/>
      </c>
    </row>
    <row r="19">
      <c r="A19" s="6" t="inlineStr">
        <is>
          <t>Slinky® Dog Zigzag Spin</t>
        </is>
      </c>
      <c r="B19" s="7">
        <f>IFERROR(ROUND(AVERAGEIFS(Datos!$G$2:$G$29513,Datos!$E$2:$E$29513,$A19,Datos!$B$2:$B$29513,8,Datos!$C$2:$C$29513,"&lt;30",Datos!$F$2:$F$29513,"STANDBY"),0),"")</f>
        <v/>
      </c>
      <c r="C19" s="7">
        <f>IFERROR(ROUND(AVERAGEIFS(Datos!$G$2:$G$29513,Datos!$E$2:$E$29513,$A19,Datos!$B$2:$B$29513,8,Datos!$C$2:$C$29513,"&gt;=30",Datos!$F$2:$F$29513,"STANDBY"),0),"")</f>
        <v/>
      </c>
      <c r="D19" s="7">
        <f>IFERROR(ROUND(AVERAGEIFS(Datos!$G$2:$G$29513,Datos!$E$2:$E$29513,$A19,Datos!$B$2:$B$29513,9,Datos!$C$2:$C$29513,"&lt;30",Datos!$F$2:$F$29513,"STANDBY"),0),"")</f>
        <v/>
      </c>
      <c r="E19" s="7">
        <f>IFERROR(ROUND(AVERAGEIFS(Datos!$G$2:$G$29513,Datos!$E$2:$E$29513,$A19,Datos!$B$2:$B$29513,9,Datos!$C$2:$C$29513,"&gt;=30",Datos!$F$2:$F$29513,"STANDBY"),0),"")</f>
        <v/>
      </c>
      <c r="F19" s="7">
        <f>IFERROR(ROUND(AVERAGEIFS(Datos!$G$2:$G$29513,Datos!$E$2:$E$29513,$A19,Datos!$B$2:$B$29513,10,Datos!$C$2:$C$29513,"&lt;30",Datos!$F$2:$F$29513,"STANDBY"),0),"")</f>
        <v/>
      </c>
      <c r="G19" s="7">
        <f>IFERROR(ROUND(AVERAGEIFS(Datos!$G$2:$G$29513,Datos!$E$2:$E$29513,$A19,Datos!$B$2:$B$29513,10,Datos!$C$2:$C$29513,"&gt;=30",Datos!$F$2:$F$29513,"STANDBY"),0),"")</f>
        <v/>
      </c>
      <c r="H19" s="7">
        <f>IFERROR(ROUND(AVERAGEIFS(Datos!$G$2:$G$29513,Datos!$E$2:$E$29513,$A19,Datos!$B$2:$B$29513,11,Datos!$C$2:$C$29513,"&lt;30",Datos!$F$2:$F$29513,"STANDBY"),0),"")</f>
        <v/>
      </c>
      <c r="I19" s="7">
        <f>IFERROR(ROUND(AVERAGEIFS(Datos!$G$2:$G$29513,Datos!$E$2:$E$29513,$A19,Datos!$B$2:$B$29513,11,Datos!$C$2:$C$29513,"&gt;=30",Datos!$F$2:$F$29513,"STANDBY"),0),"")</f>
        <v/>
      </c>
      <c r="J19" s="7">
        <f>IFERROR(ROUND(AVERAGEIFS(Datos!$G$2:$G$29513,Datos!$E$2:$E$29513,$A19,Datos!$B$2:$B$29513,12,Datos!$C$2:$C$29513,"&lt;30",Datos!$F$2:$F$29513,"STANDBY"),0),"")</f>
        <v/>
      </c>
      <c r="K19" s="7">
        <f>IFERROR(ROUND(AVERAGEIFS(Datos!$G$2:$G$29513,Datos!$E$2:$E$29513,$A19,Datos!$B$2:$B$29513,12,Datos!$C$2:$C$29513,"&gt;=30",Datos!$F$2:$F$29513,"STANDBY"),0),"")</f>
        <v/>
      </c>
      <c r="L19" s="7">
        <f>IFERROR(ROUND(AVERAGEIFS(Datos!$G$2:$G$29513,Datos!$E$2:$E$29513,$A19,Datos!$B$2:$B$29513,13,Datos!$C$2:$C$29513,"&lt;30",Datos!$F$2:$F$29513,"STANDBY"),0),"")</f>
        <v/>
      </c>
      <c r="M19" s="7">
        <f>IFERROR(ROUND(AVERAGEIFS(Datos!$G$2:$G$29513,Datos!$E$2:$E$29513,$A19,Datos!$B$2:$B$29513,13,Datos!$C$2:$C$29513,"&gt;=30",Datos!$F$2:$F$29513,"STANDBY"),0),"")</f>
        <v/>
      </c>
      <c r="N19" s="7">
        <f>IFERROR(ROUND(AVERAGEIFS(Datos!$G$2:$G$29513,Datos!$E$2:$E$29513,$A19,Datos!$B$2:$B$29513,14,Datos!$C$2:$C$29513,"&lt;30",Datos!$F$2:$F$29513,"STANDBY"),0),"")</f>
        <v/>
      </c>
      <c r="O19" s="7">
        <f>IFERROR(ROUND(AVERAGEIFS(Datos!$G$2:$G$29513,Datos!$E$2:$E$29513,$A19,Datos!$B$2:$B$29513,14,Datos!$C$2:$C$29513,"&gt;=30",Datos!$F$2:$F$29513,"STANDBY"),0),"")</f>
        <v/>
      </c>
      <c r="P19" s="7">
        <f>IFERROR(ROUND(AVERAGEIFS(Datos!$G$2:$G$29513,Datos!$E$2:$E$29513,$A19,Datos!$B$2:$B$29513,15,Datos!$C$2:$C$29513,"&lt;30",Datos!$F$2:$F$29513,"STANDBY"),0),"")</f>
        <v/>
      </c>
      <c r="Q19" s="7">
        <f>IFERROR(ROUND(AVERAGEIFS(Datos!$G$2:$G$29513,Datos!$E$2:$E$29513,$A19,Datos!$B$2:$B$29513,15,Datos!$C$2:$C$29513,"&gt;=30",Datos!$F$2:$F$29513,"STANDBY"),0),"")</f>
        <v/>
      </c>
      <c r="R19" s="7">
        <f>IFERROR(ROUND(AVERAGEIFS(Datos!$G$2:$G$29513,Datos!$E$2:$E$29513,$A19,Datos!$B$2:$B$29513,16,Datos!$C$2:$C$29513,"&lt;30",Datos!$F$2:$F$29513,"STANDBY"),0),"")</f>
        <v/>
      </c>
      <c r="S19" s="7">
        <f>IFERROR(ROUND(AVERAGEIFS(Datos!$G$2:$G$29513,Datos!$E$2:$E$29513,$A19,Datos!$B$2:$B$29513,16,Datos!$C$2:$C$29513,"&gt;=30",Datos!$F$2:$F$29513,"STANDBY"),0),"")</f>
        <v/>
      </c>
      <c r="T19" s="7">
        <f>IFERROR(ROUND(AVERAGEIFS(Datos!$G$2:$G$29513,Datos!$E$2:$E$29513,$A19,Datos!$B$2:$B$29513,17,Datos!$C$2:$C$29513,"&lt;30",Datos!$F$2:$F$29513,"STANDBY"),0),"")</f>
        <v/>
      </c>
      <c r="U19" s="7">
        <f>IFERROR(ROUND(AVERAGEIFS(Datos!$G$2:$G$29513,Datos!$E$2:$E$29513,$A19,Datos!$B$2:$B$29513,17,Datos!$C$2:$C$29513,"&gt;=30",Datos!$F$2:$F$29513,"STANDBY"),0),"")</f>
        <v/>
      </c>
      <c r="V19" s="7">
        <f>IFERROR(ROUND(AVERAGEIFS(Datos!$G$2:$G$29513,Datos!$E$2:$E$29513,$A19,Datos!$B$2:$B$29513,18,Datos!$C$2:$C$29513,"&lt;30",Datos!$F$2:$F$29513,"STANDBY"),0),"")</f>
        <v/>
      </c>
      <c r="W19" s="7">
        <f>IFERROR(ROUND(AVERAGEIFS(Datos!$G$2:$G$29513,Datos!$E$2:$E$29513,$A19,Datos!$B$2:$B$29513,18,Datos!$C$2:$C$29513,"&gt;=30",Datos!$F$2:$F$29513,"STANDBY"),0),"")</f>
        <v/>
      </c>
      <c r="X19" s="7">
        <f>IFERROR(ROUND(AVERAGEIFS(Datos!$G$2:$G$29513,Datos!$E$2:$E$29513,$A19,Datos!$B$2:$B$29513,19,Datos!$C$2:$C$29513,"&lt;30",Datos!$F$2:$F$29513,"STANDBY"),0),"")</f>
        <v/>
      </c>
      <c r="Y19" s="7">
        <f>IFERROR(ROUND(AVERAGEIFS(Datos!$G$2:$G$29513,Datos!$E$2:$E$29513,$A19,Datos!$B$2:$B$29513,19,Datos!$C$2:$C$29513,"&gt;=30",Datos!$F$2:$F$29513,"STANDBY"),0),"")</f>
        <v/>
      </c>
      <c r="Z19" s="7">
        <f>IFERROR(ROUND(AVERAGEIFS(Datos!$G$2:$G$29513,Datos!$E$2:$E$29513,$A19,Datos!$B$2:$B$29513,20,Datos!$C$2:$C$29513,"&lt;30",Datos!$F$2:$F$29513,"STANDBY"),0),"")</f>
        <v/>
      </c>
      <c r="AA19" s="7">
        <f>IFERROR(ROUND(AVERAGEIFS(Datos!$G$2:$G$29513,Datos!$E$2:$E$29513,$A19,Datos!$B$2:$B$29513,20,Datos!$C$2:$C$29513,"&gt;=30",Datos!$F$2:$F$29513,"STANDBY"),0),"")</f>
        <v/>
      </c>
      <c r="AB19" s="7">
        <f>IFERROR(ROUND(AVERAGEIFS(Datos!$G$2:$G$29513,Datos!$E$2:$E$29513,$A19,Datos!$B$2:$B$29513,21,Datos!$C$2:$C$29513,"&lt;30",Datos!$F$2:$F$29513,"STANDBY"),0),"")</f>
        <v/>
      </c>
      <c r="AC19" s="7">
        <f>IFERROR(ROUND(AVERAGEIFS(Datos!$G$2:$G$29513,Datos!$E$2:$E$29513,$A19,Datos!$B$2:$B$29513,21,Datos!$C$2:$C$29513,"&gt;=30",Datos!$F$2:$F$29513,"STANDBY"),0),"")</f>
        <v/>
      </c>
      <c r="AD19" s="7">
        <f>IFERROR(ROUND(AVERAGEIFS(Datos!$G$2:$G$29513,Datos!$E$2:$E$29513,$A19,Datos!$B$2:$B$29513,22,Datos!$C$2:$C$29513,"&lt;30",Datos!$F$2:$F$29513,"STANDBY"),0),"")</f>
        <v/>
      </c>
      <c r="AE19" s="7">
        <f>IFERROR(ROUND(AVERAGEIFS(Datos!$G$2:$G$29513,Datos!$E$2:$E$29513,$A19,Datos!$B$2:$B$29513,22,Datos!$C$2:$C$29513,"&gt;=30",Datos!$F$2:$F$29513,"STANDBY"),0),"")</f>
        <v/>
      </c>
      <c r="AF19" s="7">
        <f>IFERROR(ROUND(AVERAGEIFS(Datos!$G$2:$G$29513,Datos!$E$2:$E$29513,$A19,Datos!$B$2:$B$29513,23,Datos!$C$2:$C$29513,"&lt;30",Datos!$F$2:$F$29513,"STANDBY"),0),"")</f>
        <v/>
      </c>
      <c r="AG19" s="7">
        <f>IFERROR(ROUND(AVERAGEIFS(Datos!$G$2:$G$29513,Datos!$E$2:$E$29513,$A19,Datos!$B$2:$B$29513,23,Datos!$C$2:$C$29513,"&gt;=30",Datos!$F$2:$F$29513,"STANDBY"),0),"")</f>
        <v/>
      </c>
    </row>
    <row r="20">
      <c r="A20" s="6" t="inlineStr">
        <is>
          <t>Spider-Man W.E.B. Adventure</t>
        </is>
      </c>
      <c r="B20" s="7">
        <f>IFERROR(ROUND(AVERAGEIFS(Datos!$G$2:$G$29513,Datos!$E$2:$E$29513,$A20,Datos!$B$2:$B$29513,8,Datos!$C$2:$C$29513,"&lt;30",Datos!$F$2:$F$29513,"STANDBY"),0),"")</f>
        <v/>
      </c>
      <c r="C20" s="7">
        <f>IFERROR(ROUND(AVERAGEIFS(Datos!$G$2:$G$29513,Datos!$E$2:$E$29513,$A20,Datos!$B$2:$B$29513,8,Datos!$C$2:$C$29513,"&gt;=30",Datos!$F$2:$F$29513,"STANDBY"),0),"")</f>
        <v/>
      </c>
      <c r="D20" s="7">
        <f>IFERROR(ROUND(AVERAGEIFS(Datos!$G$2:$G$29513,Datos!$E$2:$E$29513,$A20,Datos!$B$2:$B$29513,9,Datos!$C$2:$C$29513,"&lt;30",Datos!$F$2:$F$29513,"STANDBY"),0),"")</f>
        <v/>
      </c>
      <c r="E20" s="7">
        <f>IFERROR(ROUND(AVERAGEIFS(Datos!$G$2:$G$29513,Datos!$E$2:$E$29513,$A20,Datos!$B$2:$B$29513,9,Datos!$C$2:$C$29513,"&gt;=30",Datos!$F$2:$F$29513,"STANDBY"),0),"")</f>
        <v/>
      </c>
      <c r="F20" s="7">
        <f>IFERROR(ROUND(AVERAGEIFS(Datos!$G$2:$G$29513,Datos!$E$2:$E$29513,$A20,Datos!$B$2:$B$29513,10,Datos!$C$2:$C$29513,"&lt;30",Datos!$F$2:$F$29513,"STANDBY"),0),"")</f>
        <v/>
      </c>
      <c r="G20" s="7">
        <f>IFERROR(ROUND(AVERAGEIFS(Datos!$G$2:$G$29513,Datos!$E$2:$E$29513,$A20,Datos!$B$2:$B$29513,10,Datos!$C$2:$C$29513,"&gt;=30",Datos!$F$2:$F$29513,"STANDBY"),0),"")</f>
        <v/>
      </c>
      <c r="H20" s="7">
        <f>IFERROR(ROUND(AVERAGEIFS(Datos!$G$2:$G$29513,Datos!$E$2:$E$29513,$A20,Datos!$B$2:$B$29513,11,Datos!$C$2:$C$29513,"&lt;30",Datos!$F$2:$F$29513,"STANDBY"),0),"")</f>
        <v/>
      </c>
      <c r="I20" s="7">
        <f>IFERROR(ROUND(AVERAGEIFS(Datos!$G$2:$G$29513,Datos!$E$2:$E$29513,$A20,Datos!$B$2:$B$29513,11,Datos!$C$2:$C$29513,"&gt;=30",Datos!$F$2:$F$29513,"STANDBY"),0),"")</f>
        <v/>
      </c>
      <c r="J20" s="7">
        <f>IFERROR(ROUND(AVERAGEIFS(Datos!$G$2:$G$29513,Datos!$E$2:$E$29513,$A20,Datos!$B$2:$B$29513,12,Datos!$C$2:$C$29513,"&lt;30",Datos!$F$2:$F$29513,"STANDBY"),0),"")</f>
        <v/>
      </c>
      <c r="K20" s="7">
        <f>IFERROR(ROUND(AVERAGEIFS(Datos!$G$2:$G$29513,Datos!$E$2:$E$29513,$A20,Datos!$B$2:$B$29513,12,Datos!$C$2:$C$29513,"&gt;=30",Datos!$F$2:$F$29513,"STANDBY"),0),"")</f>
        <v/>
      </c>
      <c r="L20" s="7">
        <f>IFERROR(ROUND(AVERAGEIFS(Datos!$G$2:$G$29513,Datos!$E$2:$E$29513,$A20,Datos!$B$2:$B$29513,13,Datos!$C$2:$C$29513,"&lt;30",Datos!$F$2:$F$29513,"STANDBY"),0),"")</f>
        <v/>
      </c>
      <c r="M20" s="7">
        <f>IFERROR(ROUND(AVERAGEIFS(Datos!$G$2:$G$29513,Datos!$E$2:$E$29513,$A20,Datos!$B$2:$B$29513,13,Datos!$C$2:$C$29513,"&gt;=30",Datos!$F$2:$F$29513,"STANDBY"),0),"")</f>
        <v/>
      </c>
      <c r="N20" s="7">
        <f>IFERROR(ROUND(AVERAGEIFS(Datos!$G$2:$G$29513,Datos!$E$2:$E$29513,$A20,Datos!$B$2:$B$29513,14,Datos!$C$2:$C$29513,"&lt;30",Datos!$F$2:$F$29513,"STANDBY"),0),"")</f>
        <v/>
      </c>
      <c r="O20" s="7">
        <f>IFERROR(ROUND(AVERAGEIFS(Datos!$G$2:$G$29513,Datos!$E$2:$E$29513,$A20,Datos!$B$2:$B$29513,14,Datos!$C$2:$C$29513,"&gt;=30",Datos!$F$2:$F$29513,"STANDBY"),0),"")</f>
        <v/>
      </c>
      <c r="P20" s="7">
        <f>IFERROR(ROUND(AVERAGEIFS(Datos!$G$2:$G$29513,Datos!$E$2:$E$29513,$A20,Datos!$B$2:$B$29513,15,Datos!$C$2:$C$29513,"&lt;30",Datos!$F$2:$F$29513,"STANDBY"),0),"")</f>
        <v/>
      </c>
      <c r="Q20" s="7">
        <f>IFERROR(ROUND(AVERAGEIFS(Datos!$G$2:$G$29513,Datos!$E$2:$E$29513,$A20,Datos!$B$2:$B$29513,15,Datos!$C$2:$C$29513,"&gt;=30",Datos!$F$2:$F$29513,"STANDBY"),0),"")</f>
        <v/>
      </c>
      <c r="R20" s="7">
        <f>IFERROR(ROUND(AVERAGEIFS(Datos!$G$2:$G$29513,Datos!$E$2:$E$29513,$A20,Datos!$B$2:$B$29513,16,Datos!$C$2:$C$29513,"&lt;30",Datos!$F$2:$F$29513,"STANDBY"),0),"")</f>
        <v/>
      </c>
      <c r="S20" s="7">
        <f>IFERROR(ROUND(AVERAGEIFS(Datos!$G$2:$G$29513,Datos!$E$2:$E$29513,$A20,Datos!$B$2:$B$29513,16,Datos!$C$2:$C$29513,"&gt;=30",Datos!$F$2:$F$29513,"STANDBY"),0),"")</f>
        <v/>
      </c>
      <c r="T20" s="7">
        <f>IFERROR(ROUND(AVERAGEIFS(Datos!$G$2:$G$29513,Datos!$E$2:$E$29513,$A20,Datos!$B$2:$B$29513,17,Datos!$C$2:$C$29513,"&lt;30",Datos!$F$2:$F$29513,"STANDBY"),0),"")</f>
        <v/>
      </c>
      <c r="U20" s="7">
        <f>IFERROR(ROUND(AVERAGEIFS(Datos!$G$2:$G$29513,Datos!$E$2:$E$29513,$A20,Datos!$B$2:$B$29513,17,Datos!$C$2:$C$29513,"&gt;=30",Datos!$F$2:$F$29513,"STANDBY"),0),"")</f>
        <v/>
      </c>
      <c r="V20" s="7">
        <f>IFERROR(ROUND(AVERAGEIFS(Datos!$G$2:$G$29513,Datos!$E$2:$E$29513,$A20,Datos!$B$2:$B$29513,18,Datos!$C$2:$C$29513,"&lt;30",Datos!$F$2:$F$29513,"STANDBY"),0),"")</f>
        <v/>
      </c>
      <c r="W20" s="7">
        <f>IFERROR(ROUND(AVERAGEIFS(Datos!$G$2:$G$29513,Datos!$E$2:$E$29513,$A20,Datos!$B$2:$B$29513,18,Datos!$C$2:$C$29513,"&gt;=30",Datos!$F$2:$F$29513,"STANDBY"),0),"")</f>
        <v/>
      </c>
      <c r="X20" s="7">
        <f>IFERROR(ROUND(AVERAGEIFS(Datos!$G$2:$G$29513,Datos!$E$2:$E$29513,$A20,Datos!$B$2:$B$29513,19,Datos!$C$2:$C$29513,"&lt;30",Datos!$F$2:$F$29513,"STANDBY"),0),"")</f>
        <v/>
      </c>
      <c r="Y20" s="7">
        <f>IFERROR(ROUND(AVERAGEIFS(Datos!$G$2:$G$29513,Datos!$E$2:$E$29513,$A20,Datos!$B$2:$B$29513,19,Datos!$C$2:$C$29513,"&gt;=30",Datos!$F$2:$F$29513,"STANDBY"),0),"")</f>
        <v/>
      </c>
      <c r="Z20" s="7">
        <f>IFERROR(ROUND(AVERAGEIFS(Datos!$G$2:$G$29513,Datos!$E$2:$E$29513,$A20,Datos!$B$2:$B$29513,20,Datos!$C$2:$C$29513,"&lt;30",Datos!$F$2:$F$29513,"STANDBY"),0),"")</f>
        <v/>
      </c>
      <c r="AA20" s="7">
        <f>IFERROR(ROUND(AVERAGEIFS(Datos!$G$2:$G$29513,Datos!$E$2:$E$29513,$A20,Datos!$B$2:$B$29513,20,Datos!$C$2:$C$29513,"&gt;=30",Datos!$F$2:$F$29513,"STANDBY"),0),"")</f>
        <v/>
      </c>
      <c r="AB20" s="7">
        <f>IFERROR(ROUND(AVERAGEIFS(Datos!$G$2:$G$29513,Datos!$E$2:$E$29513,$A20,Datos!$B$2:$B$29513,21,Datos!$C$2:$C$29513,"&lt;30",Datos!$F$2:$F$29513,"STANDBY"),0),"")</f>
        <v/>
      </c>
      <c r="AC20" s="7">
        <f>IFERROR(ROUND(AVERAGEIFS(Datos!$G$2:$G$29513,Datos!$E$2:$E$29513,$A20,Datos!$B$2:$B$29513,21,Datos!$C$2:$C$29513,"&gt;=30",Datos!$F$2:$F$29513,"STANDBY"),0),"")</f>
        <v/>
      </c>
      <c r="AD20" s="7">
        <f>IFERROR(ROUND(AVERAGEIFS(Datos!$G$2:$G$29513,Datos!$E$2:$E$29513,$A20,Datos!$B$2:$B$29513,22,Datos!$C$2:$C$29513,"&lt;30",Datos!$F$2:$F$29513,"STANDBY"),0),"")</f>
        <v/>
      </c>
      <c r="AE20" s="7">
        <f>IFERROR(ROUND(AVERAGEIFS(Datos!$G$2:$G$29513,Datos!$E$2:$E$29513,$A20,Datos!$B$2:$B$29513,22,Datos!$C$2:$C$29513,"&gt;=30",Datos!$F$2:$F$29513,"STANDBY"),0),"")</f>
        <v/>
      </c>
      <c r="AF20" s="7">
        <f>IFERROR(ROUND(AVERAGEIFS(Datos!$G$2:$G$29513,Datos!$E$2:$E$29513,$A20,Datos!$B$2:$B$29513,23,Datos!$C$2:$C$29513,"&lt;30",Datos!$F$2:$F$29513,"STANDBY"),0),"")</f>
        <v/>
      </c>
      <c r="AG20" s="7">
        <f>IFERROR(ROUND(AVERAGEIFS(Datos!$G$2:$G$29513,Datos!$E$2:$E$29513,$A20,Datos!$B$2:$B$29513,23,Datos!$C$2:$C$29513,"&gt;=30",Datos!$F$2:$F$29513,"STANDBY"),0),"")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IFERROR(ROUND(AVERAGEIFS(Datos!$G$2:$G$29513,Datos!$E$2:$E$29513,$A21,Datos!$B$2:$B$29513,8,Datos!$C$2:$C$29513,"&lt;30",Datos!$F$2:$F$29513,"STANDBY"),0),"")</f>
        <v/>
      </c>
      <c r="C21" s="7">
        <f>IFERROR(ROUND(AVERAGEIFS(Datos!$G$2:$G$29513,Datos!$E$2:$E$29513,$A21,Datos!$B$2:$B$29513,8,Datos!$C$2:$C$29513,"&gt;=30",Datos!$F$2:$F$29513,"STANDBY"),0),"")</f>
        <v/>
      </c>
      <c r="D21" s="7">
        <f>IFERROR(ROUND(AVERAGEIFS(Datos!$G$2:$G$29513,Datos!$E$2:$E$29513,$A21,Datos!$B$2:$B$29513,9,Datos!$C$2:$C$29513,"&lt;30",Datos!$F$2:$F$29513,"STANDBY"),0),"")</f>
        <v/>
      </c>
      <c r="E21" s="7">
        <f>IFERROR(ROUND(AVERAGEIFS(Datos!$G$2:$G$29513,Datos!$E$2:$E$29513,$A21,Datos!$B$2:$B$29513,9,Datos!$C$2:$C$29513,"&gt;=30",Datos!$F$2:$F$29513,"STANDBY"),0),"")</f>
        <v/>
      </c>
      <c r="F21" s="7">
        <f>IFERROR(ROUND(AVERAGEIFS(Datos!$G$2:$G$29513,Datos!$E$2:$E$29513,$A21,Datos!$B$2:$B$29513,10,Datos!$C$2:$C$29513,"&lt;30",Datos!$F$2:$F$29513,"STANDBY"),0),"")</f>
        <v/>
      </c>
      <c r="G21" s="7">
        <f>IFERROR(ROUND(AVERAGEIFS(Datos!$G$2:$G$29513,Datos!$E$2:$E$29513,$A21,Datos!$B$2:$B$29513,10,Datos!$C$2:$C$29513,"&gt;=30",Datos!$F$2:$F$29513,"STANDBY"),0),"")</f>
        <v/>
      </c>
      <c r="H21" s="7">
        <f>IFERROR(ROUND(AVERAGEIFS(Datos!$G$2:$G$29513,Datos!$E$2:$E$29513,$A21,Datos!$B$2:$B$29513,11,Datos!$C$2:$C$29513,"&lt;30",Datos!$F$2:$F$29513,"STANDBY"),0),"")</f>
        <v/>
      </c>
      <c r="I21" s="7">
        <f>IFERROR(ROUND(AVERAGEIFS(Datos!$G$2:$G$29513,Datos!$E$2:$E$29513,$A21,Datos!$B$2:$B$29513,11,Datos!$C$2:$C$29513,"&gt;=30",Datos!$F$2:$F$29513,"STANDBY"),0),"")</f>
        <v/>
      </c>
      <c r="J21" s="7">
        <f>IFERROR(ROUND(AVERAGEIFS(Datos!$G$2:$G$29513,Datos!$E$2:$E$29513,$A21,Datos!$B$2:$B$29513,12,Datos!$C$2:$C$29513,"&lt;30",Datos!$F$2:$F$29513,"STANDBY"),0),"")</f>
        <v/>
      </c>
      <c r="K21" s="7">
        <f>IFERROR(ROUND(AVERAGEIFS(Datos!$G$2:$G$29513,Datos!$E$2:$E$29513,$A21,Datos!$B$2:$B$29513,12,Datos!$C$2:$C$29513,"&gt;=30",Datos!$F$2:$F$29513,"STANDBY"),0),"")</f>
        <v/>
      </c>
      <c r="L21" s="7">
        <f>IFERROR(ROUND(AVERAGEIFS(Datos!$G$2:$G$29513,Datos!$E$2:$E$29513,$A21,Datos!$B$2:$B$29513,13,Datos!$C$2:$C$29513,"&lt;30",Datos!$F$2:$F$29513,"STANDBY"),0),"")</f>
        <v/>
      </c>
      <c r="M21" s="7">
        <f>IFERROR(ROUND(AVERAGEIFS(Datos!$G$2:$G$29513,Datos!$E$2:$E$29513,$A21,Datos!$B$2:$B$29513,13,Datos!$C$2:$C$29513,"&gt;=30",Datos!$F$2:$F$29513,"STANDBY"),0),"")</f>
        <v/>
      </c>
      <c r="N21" s="7">
        <f>IFERROR(ROUND(AVERAGEIFS(Datos!$G$2:$G$29513,Datos!$E$2:$E$29513,$A21,Datos!$B$2:$B$29513,14,Datos!$C$2:$C$29513,"&lt;30",Datos!$F$2:$F$29513,"STANDBY"),0),"")</f>
        <v/>
      </c>
      <c r="O21" s="7">
        <f>IFERROR(ROUND(AVERAGEIFS(Datos!$G$2:$G$29513,Datos!$E$2:$E$29513,$A21,Datos!$B$2:$B$29513,14,Datos!$C$2:$C$29513,"&gt;=30",Datos!$F$2:$F$29513,"STANDBY"),0),"")</f>
        <v/>
      </c>
      <c r="P21" s="7">
        <f>IFERROR(ROUND(AVERAGEIFS(Datos!$G$2:$G$29513,Datos!$E$2:$E$29513,$A21,Datos!$B$2:$B$29513,15,Datos!$C$2:$C$29513,"&lt;30",Datos!$F$2:$F$29513,"STANDBY"),0),"")</f>
        <v/>
      </c>
      <c r="Q21" s="7">
        <f>IFERROR(ROUND(AVERAGEIFS(Datos!$G$2:$G$29513,Datos!$E$2:$E$29513,$A21,Datos!$B$2:$B$29513,15,Datos!$C$2:$C$29513,"&gt;=30",Datos!$F$2:$F$29513,"STANDBY"),0),"")</f>
        <v/>
      </c>
      <c r="R21" s="7">
        <f>IFERROR(ROUND(AVERAGEIFS(Datos!$G$2:$G$29513,Datos!$E$2:$E$29513,$A21,Datos!$B$2:$B$29513,16,Datos!$C$2:$C$29513,"&lt;30",Datos!$F$2:$F$29513,"STANDBY"),0),"")</f>
        <v/>
      </c>
      <c r="S21" s="7">
        <f>IFERROR(ROUND(AVERAGEIFS(Datos!$G$2:$G$29513,Datos!$E$2:$E$29513,$A21,Datos!$B$2:$B$29513,16,Datos!$C$2:$C$29513,"&gt;=30",Datos!$F$2:$F$29513,"STANDBY"),0),"")</f>
        <v/>
      </c>
      <c r="T21" s="7">
        <f>IFERROR(ROUND(AVERAGEIFS(Datos!$G$2:$G$29513,Datos!$E$2:$E$29513,$A21,Datos!$B$2:$B$29513,17,Datos!$C$2:$C$29513,"&lt;30",Datos!$F$2:$F$29513,"STANDBY"),0),"")</f>
        <v/>
      </c>
      <c r="U21" s="7">
        <f>IFERROR(ROUND(AVERAGEIFS(Datos!$G$2:$G$29513,Datos!$E$2:$E$29513,$A21,Datos!$B$2:$B$29513,17,Datos!$C$2:$C$29513,"&gt;=30",Datos!$F$2:$F$29513,"STANDBY"),0),"")</f>
        <v/>
      </c>
      <c r="V21" s="7">
        <f>IFERROR(ROUND(AVERAGEIFS(Datos!$G$2:$G$29513,Datos!$E$2:$E$29513,$A21,Datos!$B$2:$B$29513,18,Datos!$C$2:$C$29513,"&lt;30",Datos!$F$2:$F$29513,"STANDBY"),0),"")</f>
        <v/>
      </c>
      <c r="W21" s="7">
        <f>IFERROR(ROUND(AVERAGEIFS(Datos!$G$2:$G$29513,Datos!$E$2:$E$29513,$A21,Datos!$B$2:$B$29513,18,Datos!$C$2:$C$29513,"&gt;=30",Datos!$F$2:$F$29513,"STANDBY"),0),"")</f>
        <v/>
      </c>
      <c r="X21" s="7">
        <f>IFERROR(ROUND(AVERAGEIFS(Datos!$G$2:$G$29513,Datos!$E$2:$E$29513,$A21,Datos!$B$2:$B$29513,19,Datos!$C$2:$C$29513,"&lt;30",Datos!$F$2:$F$29513,"STANDBY"),0),"")</f>
        <v/>
      </c>
      <c r="Y21" s="7">
        <f>IFERROR(ROUND(AVERAGEIFS(Datos!$G$2:$G$29513,Datos!$E$2:$E$29513,$A21,Datos!$B$2:$B$29513,19,Datos!$C$2:$C$29513,"&gt;=30",Datos!$F$2:$F$29513,"STANDBY"),0),"")</f>
        <v/>
      </c>
      <c r="Z21" s="7">
        <f>IFERROR(ROUND(AVERAGEIFS(Datos!$G$2:$G$29513,Datos!$E$2:$E$29513,$A21,Datos!$B$2:$B$29513,20,Datos!$C$2:$C$29513,"&lt;30",Datos!$F$2:$F$29513,"STANDBY"),0),"")</f>
        <v/>
      </c>
      <c r="AA21" s="7">
        <f>IFERROR(ROUND(AVERAGEIFS(Datos!$G$2:$G$29513,Datos!$E$2:$E$29513,$A21,Datos!$B$2:$B$29513,20,Datos!$C$2:$C$29513,"&gt;=30",Datos!$F$2:$F$29513,"STANDBY"),0),"")</f>
        <v/>
      </c>
      <c r="AB21" s="7">
        <f>IFERROR(ROUND(AVERAGEIFS(Datos!$G$2:$G$29513,Datos!$E$2:$E$29513,$A21,Datos!$B$2:$B$29513,21,Datos!$C$2:$C$29513,"&lt;30",Datos!$F$2:$F$29513,"STANDBY"),0),"")</f>
        <v/>
      </c>
      <c r="AC21" s="7">
        <f>IFERROR(ROUND(AVERAGEIFS(Datos!$G$2:$G$29513,Datos!$E$2:$E$29513,$A21,Datos!$B$2:$B$29513,21,Datos!$C$2:$C$29513,"&gt;=30",Datos!$F$2:$F$29513,"STANDBY"),0),"")</f>
        <v/>
      </c>
      <c r="AD21" s="7">
        <f>IFERROR(ROUND(AVERAGEIFS(Datos!$G$2:$G$29513,Datos!$E$2:$E$29513,$A21,Datos!$B$2:$B$29513,22,Datos!$C$2:$C$29513,"&lt;30",Datos!$F$2:$F$29513,"STANDBY"),0),"")</f>
        <v/>
      </c>
      <c r="AE21" s="7">
        <f>IFERROR(ROUND(AVERAGEIFS(Datos!$G$2:$G$29513,Datos!$E$2:$E$29513,$A21,Datos!$B$2:$B$29513,22,Datos!$C$2:$C$29513,"&gt;=30",Datos!$F$2:$F$29513,"STANDBY"),0),"")</f>
        <v/>
      </c>
      <c r="AF21" s="7">
        <f>IFERROR(ROUND(AVERAGEIFS(Datos!$G$2:$G$29513,Datos!$E$2:$E$29513,$A21,Datos!$B$2:$B$29513,23,Datos!$C$2:$C$29513,"&lt;30",Datos!$F$2:$F$29513,"STANDBY"),0),"")</f>
        <v/>
      </c>
      <c r="AG21" s="7">
        <f>IFERROR(ROUND(AVERAGEIFS(Datos!$G$2:$G$29513,Datos!$E$2:$E$29513,$A21,Datos!$B$2:$B$29513,23,Datos!$C$2:$C$29513,"&gt;=30",Datos!$F$2:$F$29513,"STANDBY"),0),"")</f>
        <v/>
      </c>
    </row>
    <row r="22">
      <c r="A22" s="6" t="inlineStr">
        <is>
          <t>The Twilight Zone Tower of Terror</t>
        </is>
      </c>
      <c r="B22" s="7">
        <f>IFERROR(ROUND(AVERAGEIFS(Datos!$G$2:$G$29513,Datos!$E$2:$E$29513,$A22,Datos!$B$2:$B$29513,8,Datos!$C$2:$C$29513,"&lt;30",Datos!$F$2:$F$29513,"STANDBY"),0),"")</f>
        <v/>
      </c>
      <c r="C22" s="7">
        <f>IFERROR(ROUND(AVERAGEIFS(Datos!$G$2:$G$29513,Datos!$E$2:$E$29513,$A22,Datos!$B$2:$B$29513,8,Datos!$C$2:$C$29513,"&gt;=30",Datos!$F$2:$F$29513,"STANDBY"),0),"")</f>
        <v/>
      </c>
      <c r="D22" s="7">
        <f>IFERROR(ROUND(AVERAGEIFS(Datos!$G$2:$G$29513,Datos!$E$2:$E$29513,$A22,Datos!$B$2:$B$29513,9,Datos!$C$2:$C$29513,"&lt;30",Datos!$F$2:$F$29513,"STANDBY"),0),"")</f>
        <v/>
      </c>
      <c r="E22" s="7">
        <f>IFERROR(ROUND(AVERAGEIFS(Datos!$G$2:$G$29513,Datos!$E$2:$E$29513,$A22,Datos!$B$2:$B$29513,9,Datos!$C$2:$C$29513,"&gt;=30",Datos!$F$2:$F$29513,"STANDBY"),0),"")</f>
        <v/>
      </c>
      <c r="F22" s="7">
        <f>IFERROR(ROUND(AVERAGEIFS(Datos!$G$2:$G$29513,Datos!$E$2:$E$29513,$A22,Datos!$B$2:$B$29513,10,Datos!$C$2:$C$29513,"&lt;30",Datos!$F$2:$F$29513,"STANDBY"),0),"")</f>
        <v/>
      </c>
      <c r="G22" s="7">
        <f>IFERROR(ROUND(AVERAGEIFS(Datos!$G$2:$G$29513,Datos!$E$2:$E$29513,$A22,Datos!$B$2:$B$29513,10,Datos!$C$2:$C$29513,"&gt;=30",Datos!$F$2:$F$29513,"STANDBY"),0),"")</f>
        <v/>
      </c>
      <c r="H22" s="7">
        <f>IFERROR(ROUND(AVERAGEIFS(Datos!$G$2:$G$29513,Datos!$E$2:$E$29513,$A22,Datos!$B$2:$B$29513,11,Datos!$C$2:$C$29513,"&lt;30",Datos!$F$2:$F$29513,"STANDBY"),0),"")</f>
        <v/>
      </c>
      <c r="I22" s="7">
        <f>IFERROR(ROUND(AVERAGEIFS(Datos!$G$2:$G$29513,Datos!$E$2:$E$29513,$A22,Datos!$B$2:$B$29513,11,Datos!$C$2:$C$29513,"&gt;=30",Datos!$F$2:$F$29513,"STANDBY"),0),"")</f>
        <v/>
      </c>
      <c r="J22" s="7">
        <f>IFERROR(ROUND(AVERAGEIFS(Datos!$G$2:$G$29513,Datos!$E$2:$E$29513,$A22,Datos!$B$2:$B$29513,12,Datos!$C$2:$C$29513,"&lt;30",Datos!$F$2:$F$29513,"STANDBY"),0),"")</f>
        <v/>
      </c>
      <c r="K22" s="7">
        <f>IFERROR(ROUND(AVERAGEIFS(Datos!$G$2:$G$29513,Datos!$E$2:$E$29513,$A22,Datos!$B$2:$B$29513,12,Datos!$C$2:$C$29513,"&gt;=30",Datos!$F$2:$F$29513,"STANDBY"),0),"")</f>
        <v/>
      </c>
      <c r="L22" s="7">
        <f>IFERROR(ROUND(AVERAGEIFS(Datos!$G$2:$G$29513,Datos!$E$2:$E$29513,$A22,Datos!$B$2:$B$29513,13,Datos!$C$2:$C$29513,"&lt;30",Datos!$F$2:$F$29513,"STANDBY"),0),"")</f>
        <v/>
      </c>
      <c r="M22" s="7">
        <f>IFERROR(ROUND(AVERAGEIFS(Datos!$G$2:$G$29513,Datos!$E$2:$E$29513,$A22,Datos!$B$2:$B$29513,13,Datos!$C$2:$C$29513,"&gt;=30",Datos!$F$2:$F$29513,"STANDBY"),0),"")</f>
        <v/>
      </c>
      <c r="N22" s="7">
        <f>IFERROR(ROUND(AVERAGEIFS(Datos!$G$2:$G$29513,Datos!$E$2:$E$29513,$A22,Datos!$B$2:$B$29513,14,Datos!$C$2:$C$29513,"&lt;30",Datos!$F$2:$F$29513,"STANDBY"),0),"")</f>
        <v/>
      </c>
      <c r="O22" s="7">
        <f>IFERROR(ROUND(AVERAGEIFS(Datos!$G$2:$G$29513,Datos!$E$2:$E$29513,$A22,Datos!$B$2:$B$29513,14,Datos!$C$2:$C$29513,"&gt;=30",Datos!$F$2:$F$29513,"STANDBY"),0),"")</f>
        <v/>
      </c>
      <c r="P22" s="7">
        <f>IFERROR(ROUND(AVERAGEIFS(Datos!$G$2:$G$29513,Datos!$E$2:$E$29513,$A22,Datos!$B$2:$B$29513,15,Datos!$C$2:$C$29513,"&lt;30",Datos!$F$2:$F$29513,"STANDBY"),0),"")</f>
        <v/>
      </c>
      <c r="Q22" s="7">
        <f>IFERROR(ROUND(AVERAGEIFS(Datos!$G$2:$G$29513,Datos!$E$2:$E$29513,$A22,Datos!$B$2:$B$29513,15,Datos!$C$2:$C$29513,"&gt;=30",Datos!$F$2:$F$29513,"STANDBY"),0),"")</f>
        <v/>
      </c>
      <c r="R22" s="7">
        <f>IFERROR(ROUND(AVERAGEIFS(Datos!$G$2:$G$29513,Datos!$E$2:$E$29513,$A22,Datos!$B$2:$B$29513,16,Datos!$C$2:$C$29513,"&lt;30",Datos!$F$2:$F$29513,"STANDBY"),0),"")</f>
        <v/>
      </c>
      <c r="S22" s="7">
        <f>IFERROR(ROUND(AVERAGEIFS(Datos!$G$2:$G$29513,Datos!$E$2:$E$29513,$A22,Datos!$B$2:$B$29513,16,Datos!$C$2:$C$29513,"&gt;=30",Datos!$F$2:$F$29513,"STANDBY"),0),"")</f>
        <v/>
      </c>
      <c r="T22" s="7">
        <f>IFERROR(ROUND(AVERAGEIFS(Datos!$G$2:$G$29513,Datos!$E$2:$E$29513,$A22,Datos!$B$2:$B$29513,17,Datos!$C$2:$C$29513,"&lt;30",Datos!$F$2:$F$29513,"STANDBY"),0),"")</f>
        <v/>
      </c>
      <c r="U22" s="7">
        <f>IFERROR(ROUND(AVERAGEIFS(Datos!$G$2:$G$29513,Datos!$E$2:$E$29513,$A22,Datos!$B$2:$B$29513,17,Datos!$C$2:$C$29513,"&gt;=30",Datos!$F$2:$F$29513,"STANDBY"),0),"")</f>
        <v/>
      </c>
      <c r="V22" s="7">
        <f>IFERROR(ROUND(AVERAGEIFS(Datos!$G$2:$G$29513,Datos!$E$2:$E$29513,$A22,Datos!$B$2:$B$29513,18,Datos!$C$2:$C$29513,"&lt;30",Datos!$F$2:$F$29513,"STANDBY"),0),"")</f>
        <v/>
      </c>
      <c r="W22" s="7">
        <f>IFERROR(ROUND(AVERAGEIFS(Datos!$G$2:$G$29513,Datos!$E$2:$E$29513,$A22,Datos!$B$2:$B$29513,18,Datos!$C$2:$C$29513,"&gt;=30",Datos!$F$2:$F$29513,"STANDBY"),0),"")</f>
        <v/>
      </c>
      <c r="X22" s="7">
        <f>IFERROR(ROUND(AVERAGEIFS(Datos!$G$2:$G$29513,Datos!$E$2:$E$29513,$A22,Datos!$B$2:$B$29513,19,Datos!$C$2:$C$29513,"&lt;30",Datos!$F$2:$F$29513,"STANDBY"),0),"")</f>
        <v/>
      </c>
      <c r="Y22" s="7">
        <f>IFERROR(ROUND(AVERAGEIFS(Datos!$G$2:$G$29513,Datos!$E$2:$E$29513,$A22,Datos!$B$2:$B$29513,19,Datos!$C$2:$C$29513,"&gt;=30",Datos!$F$2:$F$29513,"STANDBY"),0),"")</f>
        <v/>
      </c>
      <c r="Z22" s="7">
        <f>IFERROR(ROUND(AVERAGEIFS(Datos!$G$2:$G$29513,Datos!$E$2:$E$29513,$A22,Datos!$B$2:$B$29513,20,Datos!$C$2:$C$29513,"&lt;30",Datos!$F$2:$F$29513,"STANDBY"),0),"")</f>
        <v/>
      </c>
      <c r="AA22" s="7">
        <f>IFERROR(ROUND(AVERAGEIFS(Datos!$G$2:$G$29513,Datos!$E$2:$E$29513,$A22,Datos!$B$2:$B$29513,20,Datos!$C$2:$C$29513,"&gt;=30",Datos!$F$2:$F$29513,"STANDBY"),0),"")</f>
        <v/>
      </c>
      <c r="AB22" s="7">
        <f>IFERROR(ROUND(AVERAGEIFS(Datos!$G$2:$G$29513,Datos!$E$2:$E$29513,$A22,Datos!$B$2:$B$29513,21,Datos!$C$2:$C$29513,"&lt;30",Datos!$F$2:$F$29513,"STANDBY"),0),"")</f>
        <v/>
      </c>
      <c r="AC22" s="7">
        <f>IFERROR(ROUND(AVERAGEIFS(Datos!$G$2:$G$29513,Datos!$E$2:$E$29513,$A22,Datos!$B$2:$B$29513,21,Datos!$C$2:$C$29513,"&gt;=30",Datos!$F$2:$F$29513,"STANDBY"),0),"")</f>
        <v/>
      </c>
      <c r="AD22" s="7">
        <f>IFERROR(ROUND(AVERAGEIFS(Datos!$G$2:$G$29513,Datos!$E$2:$E$29513,$A22,Datos!$B$2:$B$29513,22,Datos!$C$2:$C$29513,"&lt;30",Datos!$F$2:$F$29513,"STANDBY"),0),"")</f>
        <v/>
      </c>
      <c r="AE22" s="7">
        <f>IFERROR(ROUND(AVERAGEIFS(Datos!$G$2:$G$29513,Datos!$E$2:$E$29513,$A22,Datos!$B$2:$B$29513,22,Datos!$C$2:$C$29513,"&gt;=30",Datos!$F$2:$F$29513,"STANDBY"),0),"")</f>
        <v/>
      </c>
      <c r="AF22" s="7">
        <f>IFERROR(ROUND(AVERAGEIFS(Datos!$G$2:$G$29513,Datos!$E$2:$E$29513,$A22,Datos!$B$2:$B$29513,23,Datos!$C$2:$C$29513,"&lt;30",Datos!$F$2:$F$29513,"STANDBY"),0),"")</f>
        <v/>
      </c>
      <c r="AG22" s="7">
        <f>IFERROR(ROUND(AVERAGEIFS(Datos!$G$2:$G$29513,Datos!$E$2:$E$29513,$A22,Datos!$B$2:$B$29513,23,Datos!$C$2:$C$29513,"&gt;=30",Datos!$F$2:$F$29513,"STANDBY"),0),"")</f>
        <v/>
      </c>
    </row>
    <row r="23">
      <c r="A23" s="6" t="inlineStr">
        <is>
          <t>Toy Soldiers Parachute Drop</t>
        </is>
      </c>
      <c r="B23" s="7">
        <f>IFERROR(ROUND(AVERAGEIFS(Datos!$G$2:$G$29513,Datos!$E$2:$E$29513,$A23,Datos!$B$2:$B$29513,8,Datos!$C$2:$C$29513,"&lt;30",Datos!$F$2:$F$29513,"STANDBY"),0),"")</f>
        <v/>
      </c>
      <c r="C23" s="7">
        <f>IFERROR(ROUND(AVERAGEIFS(Datos!$G$2:$G$29513,Datos!$E$2:$E$29513,$A23,Datos!$B$2:$B$29513,8,Datos!$C$2:$C$29513,"&gt;=30",Datos!$F$2:$F$29513,"STANDBY"),0),"")</f>
        <v/>
      </c>
      <c r="D23" s="7">
        <f>IFERROR(ROUND(AVERAGEIFS(Datos!$G$2:$G$29513,Datos!$E$2:$E$29513,$A23,Datos!$B$2:$B$29513,9,Datos!$C$2:$C$29513,"&lt;30",Datos!$F$2:$F$29513,"STANDBY"),0),"")</f>
        <v/>
      </c>
      <c r="E23" s="7">
        <f>IFERROR(ROUND(AVERAGEIFS(Datos!$G$2:$G$29513,Datos!$E$2:$E$29513,$A23,Datos!$B$2:$B$29513,9,Datos!$C$2:$C$29513,"&gt;=30",Datos!$F$2:$F$29513,"STANDBY"),0),"")</f>
        <v/>
      </c>
      <c r="F23" s="7">
        <f>IFERROR(ROUND(AVERAGEIFS(Datos!$G$2:$G$29513,Datos!$E$2:$E$29513,$A23,Datos!$B$2:$B$29513,10,Datos!$C$2:$C$29513,"&lt;30",Datos!$F$2:$F$29513,"STANDBY"),0),"")</f>
        <v/>
      </c>
      <c r="G23" s="7">
        <f>IFERROR(ROUND(AVERAGEIFS(Datos!$G$2:$G$29513,Datos!$E$2:$E$29513,$A23,Datos!$B$2:$B$29513,10,Datos!$C$2:$C$29513,"&gt;=30",Datos!$F$2:$F$29513,"STANDBY"),0),"")</f>
        <v/>
      </c>
      <c r="H23" s="7">
        <f>IFERROR(ROUND(AVERAGEIFS(Datos!$G$2:$G$29513,Datos!$E$2:$E$29513,$A23,Datos!$B$2:$B$29513,11,Datos!$C$2:$C$29513,"&lt;30",Datos!$F$2:$F$29513,"STANDBY"),0),"")</f>
        <v/>
      </c>
      <c r="I23" s="7">
        <f>IFERROR(ROUND(AVERAGEIFS(Datos!$G$2:$G$29513,Datos!$E$2:$E$29513,$A23,Datos!$B$2:$B$29513,11,Datos!$C$2:$C$29513,"&gt;=30",Datos!$F$2:$F$29513,"STANDBY"),0),"")</f>
        <v/>
      </c>
      <c r="J23" s="7">
        <f>IFERROR(ROUND(AVERAGEIFS(Datos!$G$2:$G$29513,Datos!$E$2:$E$29513,$A23,Datos!$B$2:$B$29513,12,Datos!$C$2:$C$29513,"&lt;30",Datos!$F$2:$F$29513,"STANDBY"),0),"")</f>
        <v/>
      </c>
      <c r="K23" s="7">
        <f>IFERROR(ROUND(AVERAGEIFS(Datos!$G$2:$G$29513,Datos!$E$2:$E$29513,$A23,Datos!$B$2:$B$29513,12,Datos!$C$2:$C$29513,"&gt;=30",Datos!$F$2:$F$29513,"STANDBY"),0),"")</f>
        <v/>
      </c>
      <c r="L23" s="7">
        <f>IFERROR(ROUND(AVERAGEIFS(Datos!$G$2:$G$29513,Datos!$E$2:$E$29513,$A23,Datos!$B$2:$B$29513,13,Datos!$C$2:$C$29513,"&lt;30",Datos!$F$2:$F$29513,"STANDBY"),0),"")</f>
        <v/>
      </c>
      <c r="M23" s="7">
        <f>IFERROR(ROUND(AVERAGEIFS(Datos!$G$2:$G$29513,Datos!$E$2:$E$29513,$A23,Datos!$B$2:$B$29513,13,Datos!$C$2:$C$29513,"&gt;=30",Datos!$F$2:$F$29513,"STANDBY"),0),"")</f>
        <v/>
      </c>
      <c r="N23" s="7">
        <f>IFERROR(ROUND(AVERAGEIFS(Datos!$G$2:$G$29513,Datos!$E$2:$E$29513,$A23,Datos!$B$2:$B$29513,14,Datos!$C$2:$C$29513,"&lt;30",Datos!$F$2:$F$29513,"STANDBY"),0),"")</f>
        <v/>
      </c>
      <c r="O23" s="7">
        <f>IFERROR(ROUND(AVERAGEIFS(Datos!$G$2:$G$29513,Datos!$E$2:$E$29513,$A23,Datos!$B$2:$B$29513,14,Datos!$C$2:$C$29513,"&gt;=30",Datos!$F$2:$F$29513,"STANDBY"),0),"")</f>
        <v/>
      </c>
      <c r="P23" s="7">
        <f>IFERROR(ROUND(AVERAGEIFS(Datos!$G$2:$G$29513,Datos!$E$2:$E$29513,$A23,Datos!$B$2:$B$29513,15,Datos!$C$2:$C$29513,"&lt;30",Datos!$F$2:$F$29513,"STANDBY"),0),"")</f>
        <v/>
      </c>
      <c r="Q23" s="7">
        <f>IFERROR(ROUND(AVERAGEIFS(Datos!$G$2:$G$29513,Datos!$E$2:$E$29513,$A23,Datos!$B$2:$B$29513,15,Datos!$C$2:$C$29513,"&gt;=30",Datos!$F$2:$F$29513,"STANDBY"),0),"")</f>
        <v/>
      </c>
      <c r="R23" s="7">
        <f>IFERROR(ROUND(AVERAGEIFS(Datos!$G$2:$G$29513,Datos!$E$2:$E$29513,$A23,Datos!$B$2:$B$29513,16,Datos!$C$2:$C$29513,"&lt;30",Datos!$F$2:$F$29513,"STANDBY"),0),"")</f>
        <v/>
      </c>
      <c r="S23" s="7">
        <f>IFERROR(ROUND(AVERAGEIFS(Datos!$G$2:$G$29513,Datos!$E$2:$E$29513,$A23,Datos!$B$2:$B$29513,16,Datos!$C$2:$C$29513,"&gt;=30",Datos!$F$2:$F$29513,"STANDBY"),0),"")</f>
        <v/>
      </c>
      <c r="T23" s="7">
        <f>IFERROR(ROUND(AVERAGEIFS(Datos!$G$2:$G$29513,Datos!$E$2:$E$29513,$A23,Datos!$B$2:$B$29513,17,Datos!$C$2:$C$29513,"&lt;30",Datos!$F$2:$F$29513,"STANDBY"),0),"")</f>
        <v/>
      </c>
      <c r="U23" s="7">
        <f>IFERROR(ROUND(AVERAGEIFS(Datos!$G$2:$G$29513,Datos!$E$2:$E$29513,$A23,Datos!$B$2:$B$29513,17,Datos!$C$2:$C$29513,"&gt;=30",Datos!$F$2:$F$29513,"STANDBY"),0),"")</f>
        <v/>
      </c>
      <c r="V23" s="7">
        <f>IFERROR(ROUND(AVERAGEIFS(Datos!$G$2:$G$29513,Datos!$E$2:$E$29513,$A23,Datos!$B$2:$B$29513,18,Datos!$C$2:$C$29513,"&lt;30",Datos!$F$2:$F$29513,"STANDBY"),0),"")</f>
        <v/>
      </c>
      <c r="W23" s="7">
        <f>IFERROR(ROUND(AVERAGEIFS(Datos!$G$2:$G$29513,Datos!$E$2:$E$29513,$A23,Datos!$B$2:$B$29513,18,Datos!$C$2:$C$29513,"&gt;=30",Datos!$F$2:$F$29513,"STANDBY"),0),"")</f>
        <v/>
      </c>
      <c r="X23" s="7">
        <f>IFERROR(ROUND(AVERAGEIFS(Datos!$G$2:$G$29513,Datos!$E$2:$E$29513,$A23,Datos!$B$2:$B$29513,19,Datos!$C$2:$C$29513,"&lt;30",Datos!$F$2:$F$29513,"STANDBY"),0),"")</f>
        <v/>
      </c>
      <c r="Y23" s="7">
        <f>IFERROR(ROUND(AVERAGEIFS(Datos!$G$2:$G$29513,Datos!$E$2:$E$29513,$A23,Datos!$B$2:$B$29513,19,Datos!$C$2:$C$29513,"&gt;=30",Datos!$F$2:$F$29513,"STANDBY"),0),"")</f>
        <v/>
      </c>
      <c r="Z23" s="7">
        <f>IFERROR(ROUND(AVERAGEIFS(Datos!$G$2:$G$29513,Datos!$E$2:$E$29513,$A23,Datos!$B$2:$B$29513,20,Datos!$C$2:$C$29513,"&lt;30",Datos!$F$2:$F$29513,"STANDBY"),0),"")</f>
        <v/>
      </c>
      <c r="AA23" s="7">
        <f>IFERROR(ROUND(AVERAGEIFS(Datos!$G$2:$G$29513,Datos!$E$2:$E$29513,$A23,Datos!$B$2:$B$29513,20,Datos!$C$2:$C$29513,"&gt;=30",Datos!$F$2:$F$29513,"STANDBY"),0),"")</f>
        <v/>
      </c>
      <c r="AB23" s="7">
        <f>IFERROR(ROUND(AVERAGEIFS(Datos!$G$2:$G$29513,Datos!$E$2:$E$29513,$A23,Datos!$B$2:$B$29513,21,Datos!$C$2:$C$29513,"&lt;30",Datos!$F$2:$F$29513,"STANDBY"),0),"")</f>
        <v/>
      </c>
      <c r="AC23" s="7">
        <f>IFERROR(ROUND(AVERAGEIFS(Datos!$G$2:$G$29513,Datos!$E$2:$E$29513,$A23,Datos!$B$2:$B$29513,21,Datos!$C$2:$C$29513,"&gt;=30",Datos!$F$2:$F$29513,"STANDBY"),0),"")</f>
        <v/>
      </c>
      <c r="AD23" s="7">
        <f>IFERROR(ROUND(AVERAGEIFS(Datos!$G$2:$G$29513,Datos!$E$2:$E$29513,$A23,Datos!$B$2:$B$29513,22,Datos!$C$2:$C$29513,"&lt;30",Datos!$F$2:$F$29513,"STANDBY"),0),"")</f>
        <v/>
      </c>
      <c r="AE23" s="7">
        <f>IFERROR(ROUND(AVERAGEIFS(Datos!$G$2:$G$29513,Datos!$E$2:$E$29513,$A23,Datos!$B$2:$B$29513,22,Datos!$C$2:$C$29513,"&gt;=30",Datos!$F$2:$F$29513,"STANDBY"),0),"")</f>
        <v/>
      </c>
      <c r="AF23" s="7">
        <f>IFERROR(ROUND(AVERAGEIFS(Datos!$G$2:$G$29513,Datos!$E$2:$E$29513,$A23,Datos!$B$2:$B$29513,23,Datos!$C$2:$C$29513,"&lt;30",Datos!$F$2:$F$29513,"STANDBY"),0),"")</f>
        <v/>
      </c>
      <c r="AG23" s="7">
        <f>IFERROR(ROUND(AVERAGEIFS(Datos!$G$2:$G$29513,Datos!$E$2:$E$29513,$A23,Datos!$B$2:$B$29513,23,Datos!$C$2:$C$29513,"&gt;=30",Datos!$F$2:$F$29513,"STANDBY"),0),"")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IFERROR(ROUND(AVERAGEIFS(Datos!$G$2:$G$29513,Datos!$E$2:$E$29513,$A24,Datos!$B$2:$B$29513,8,Datos!$C$2:$C$29513,"&lt;30",Datos!$F$2:$F$29513,"STANDBY"),0),"")</f>
        <v/>
      </c>
      <c r="C24" s="7">
        <f>IFERROR(ROUND(AVERAGEIFS(Datos!$G$2:$G$29513,Datos!$E$2:$E$29513,$A24,Datos!$B$2:$B$29513,8,Datos!$C$2:$C$29513,"&gt;=30",Datos!$F$2:$F$29513,"STANDBY"),0),"")</f>
        <v/>
      </c>
      <c r="D24" s="7">
        <f>IFERROR(ROUND(AVERAGEIFS(Datos!$G$2:$G$29513,Datos!$E$2:$E$29513,$A24,Datos!$B$2:$B$29513,9,Datos!$C$2:$C$29513,"&lt;30",Datos!$F$2:$F$29513,"STANDBY"),0),"")</f>
        <v/>
      </c>
      <c r="E24" s="7">
        <f>IFERROR(ROUND(AVERAGEIFS(Datos!$G$2:$G$29513,Datos!$E$2:$E$29513,$A24,Datos!$B$2:$B$29513,9,Datos!$C$2:$C$29513,"&gt;=30",Datos!$F$2:$F$29513,"STANDBY"),0),"")</f>
        <v/>
      </c>
      <c r="F24" s="7">
        <f>IFERROR(ROUND(AVERAGEIFS(Datos!$G$2:$G$29513,Datos!$E$2:$E$29513,$A24,Datos!$B$2:$B$29513,10,Datos!$C$2:$C$29513,"&lt;30",Datos!$F$2:$F$29513,"STANDBY"),0),"")</f>
        <v/>
      </c>
      <c r="G24" s="7">
        <f>IFERROR(ROUND(AVERAGEIFS(Datos!$G$2:$G$29513,Datos!$E$2:$E$29513,$A24,Datos!$B$2:$B$29513,10,Datos!$C$2:$C$29513,"&gt;=30",Datos!$F$2:$F$29513,"STANDBY"),0),"")</f>
        <v/>
      </c>
      <c r="H24" s="7">
        <f>IFERROR(ROUND(AVERAGEIFS(Datos!$G$2:$G$29513,Datos!$E$2:$E$29513,$A24,Datos!$B$2:$B$29513,11,Datos!$C$2:$C$29513,"&lt;30",Datos!$F$2:$F$29513,"STANDBY"),0),"")</f>
        <v/>
      </c>
      <c r="I24" s="7">
        <f>IFERROR(ROUND(AVERAGEIFS(Datos!$G$2:$G$29513,Datos!$E$2:$E$29513,$A24,Datos!$B$2:$B$29513,11,Datos!$C$2:$C$29513,"&gt;=30",Datos!$F$2:$F$29513,"STANDBY"),0),"")</f>
        <v/>
      </c>
      <c r="J24" s="7">
        <f>IFERROR(ROUND(AVERAGEIFS(Datos!$G$2:$G$29513,Datos!$E$2:$E$29513,$A24,Datos!$B$2:$B$29513,12,Datos!$C$2:$C$29513,"&lt;30",Datos!$F$2:$F$29513,"STANDBY"),0),"")</f>
        <v/>
      </c>
      <c r="K24" s="7">
        <f>IFERROR(ROUND(AVERAGEIFS(Datos!$G$2:$G$29513,Datos!$E$2:$E$29513,$A24,Datos!$B$2:$B$29513,12,Datos!$C$2:$C$29513,"&gt;=30",Datos!$F$2:$F$29513,"STANDBY"),0),"")</f>
        <v/>
      </c>
      <c r="L24" s="7">
        <f>IFERROR(ROUND(AVERAGEIFS(Datos!$G$2:$G$29513,Datos!$E$2:$E$29513,$A24,Datos!$B$2:$B$29513,13,Datos!$C$2:$C$29513,"&lt;30",Datos!$F$2:$F$29513,"STANDBY"),0),"")</f>
        <v/>
      </c>
      <c r="M24" s="7">
        <f>IFERROR(ROUND(AVERAGEIFS(Datos!$G$2:$G$29513,Datos!$E$2:$E$29513,$A24,Datos!$B$2:$B$29513,13,Datos!$C$2:$C$29513,"&gt;=30",Datos!$F$2:$F$29513,"STANDBY"),0),"")</f>
        <v/>
      </c>
      <c r="N24" s="7">
        <f>IFERROR(ROUND(AVERAGEIFS(Datos!$G$2:$G$29513,Datos!$E$2:$E$29513,$A24,Datos!$B$2:$B$29513,14,Datos!$C$2:$C$29513,"&lt;30",Datos!$F$2:$F$29513,"STANDBY"),0),"")</f>
        <v/>
      </c>
      <c r="O24" s="7">
        <f>IFERROR(ROUND(AVERAGEIFS(Datos!$G$2:$G$29513,Datos!$E$2:$E$29513,$A24,Datos!$B$2:$B$29513,14,Datos!$C$2:$C$29513,"&gt;=30",Datos!$F$2:$F$29513,"STANDBY"),0),"")</f>
        <v/>
      </c>
      <c r="P24" s="7">
        <f>IFERROR(ROUND(AVERAGEIFS(Datos!$G$2:$G$29513,Datos!$E$2:$E$29513,$A24,Datos!$B$2:$B$29513,15,Datos!$C$2:$C$29513,"&lt;30",Datos!$F$2:$F$29513,"STANDBY"),0),"")</f>
        <v/>
      </c>
      <c r="Q24" s="7">
        <f>IFERROR(ROUND(AVERAGEIFS(Datos!$G$2:$G$29513,Datos!$E$2:$E$29513,$A24,Datos!$B$2:$B$29513,15,Datos!$C$2:$C$29513,"&gt;=30",Datos!$F$2:$F$29513,"STANDBY"),0),"")</f>
        <v/>
      </c>
      <c r="R24" s="7">
        <f>IFERROR(ROUND(AVERAGEIFS(Datos!$G$2:$G$29513,Datos!$E$2:$E$29513,$A24,Datos!$B$2:$B$29513,16,Datos!$C$2:$C$29513,"&lt;30",Datos!$F$2:$F$29513,"STANDBY"),0),"")</f>
        <v/>
      </c>
      <c r="S24" s="7">
        <f>IFERROR(ROUND(AVERAGEIFS(Datos!$G$2:$G$29513,Datos!$E$2:$E$29513,$A24,Datos!$B$2:$B$29513,16,Datos!$C$2:$C$29513,"&gt;=30",Datos!$F$2:$F$29513,"STANDBY"),0),"")</f>
        <v/>
      </c>
      <c r="T24" s="7">
        <f>IFERROR(ROUND(AVERAGEIFS(Datos!$G$2:$G$29513,Datos!$E$2:$E$29513,$A24,Datos!$B$2:$B$29513,17,Datos!$C$2:$C$29513,"&lt;30",Datos!$F$2:$F$29513,"STANDBY"),0),"")</f>
        <v/>
      </c>
      <c r="U24" s="7">
        <f>IFERROR(ROUND(AVERAGEIFS(Datos!$G$2:$G$29513,Datos!$E$2:$E$29513,$A24,Datos!$B$2:$B$29513,17,Datos!$C$2:$C$29513,"&gt;=30",Datos!$F$2:$F$29513,"STANDBY"),0),"")</f>
        <v/>
      </c>
      <c r="V24" s="7">
        <f>IFERROR(ROUND(AVERAGEIFS(Datos!$G$2:$G$29513,Datos!$E$2:$E$29513,$A24,Datos!$B$2:$B$29513,18,Datos!$C$2:$C$29513,"&lt;30",Datos!$F$2:$F$29513,"STANDBY"),0),"")</f>
        <v/>
      </c>
      <c r="W24" s="7">
        <f>IFERROR(ROUND(AVERAGEIFS(Datos!$G$2:$G$29513,Datos!$E$2:$E$29513,$A24,Datos!$B$2:$B$29513,18,Datos!$C$2:$C$29513,"&gt;=30",Datos!$F$2:$F$29513,"STANDBY"),0),"")</f>
        <v/>
      </c>
      <c r="X24" s="7">
        <f>IFERROR(ROUND(AVERAGEIFS(Datos!$G$2:$G$29513,Datos!$E$2:$E$29513,$A24,Datos!$B$2:$B$29513,19,Datos!$C$2:$C$29513,"&lt;30",Datos!$F$2:$F$29513,"STANDBY"),0),"")</f>
        <v/>
      </c>
      <c r="Y24" s="7">
        <f>IFERROR(ROUND(AVERAGEIFS(Datos!$G$2:$G$29513,Datos!$E$2:$E$29513,$A24,Datos!$B$2:$B$29513,19,Datos!$C$2:$C$29513,"&gt;=30",Datos!$F$2:$F$29513,"STANDBY"),0),"")</f>
        <v/>
      </c>
      <c r="Z24" s="7">
        <f>IFERROR(ROUND(AVERAGEIFS(Datos!$G$2:$G$29513,Datos!$E$2:$E$29513,$A24,Datos!$B$2:$B$29513,20,Datos!$C$2:$C$29513,"&lt;30",Datos!$F$2:$F$29513,"STANDBY"),0),"")</f>
        <v/>
      </c>
      <c r="AA24" s="7">
        <f>IFERROR(ROUND(AVERAGEIFS(Datos!$G$2:$G$29513,Datos!$E$2:$E$29513,$A24,Datos!$B$2:$B$29513,20,Datos!$C$2:$C$29513,"&gt;=30",Datos!$F$2:$F$29513,"STANDBY"),0),"")</f>
        <v/>
      </c>
      <c r="AB24" s="7">
        <f>IFERROR(ROUND(AVERAGEIFS(Datos!$G$2:$G$29513,Datos!$E$2:$E$29513,$A24,Datos!$B$2:$B$29513,21,Datos!$C$2:$C$29513,"&lt;30",Datos!$F$2:$F$29513,"STANDBY"),0),"")</f>
        <v/>
      </c>
      <c r="AC24" s="7">
        <f>IFERROR(ROUND(AVERAGEIFS(Datos!$G$2:$G$29513,Datos!$E$2:$E$29513,$A24,Datos!$B$2:$B$29513,21,Datos!$C$2:$C$29513,"&gt;=30",Datos!$F$2:$F$29513,"STANDBY"),0),"")</f>
        <v/>
      </c>
      <c r="AD24" s="7">
        <f>IFERROR(ROUND(AVERAGEIFS(Datos!$G$2:$G$29513,Datos!$E$2:$E$29513,$A24,Datos!$B$2:$B$29513,22,Datos!$C$2:$C$29513,"&lt;30",Datos!$F$2:$F$29513,"STANDBY"),0),"")</f>
        <v/>
      </c>
      <c r="AE24" s="7">
        <f>IFERROR(ROUND(AVERAGEIFS(Datos!$G$2:$G$29513,Datos!$E$2:$E$29513,$A24,Datos!$B$2:$B$29513,22,Datos!$C$2:$C$29513,"&gt;=30",Datos!$F$2:$F$29513,"STANDBY"),0),"")</f>
        <v/>
      </c>
      <c r="AF24" s="7">
        <f>IFERROR(ROUND(AVERAGEIFS(Datos!$G$2:$G$29513,Datos!$E$2:$E$29513,$A24,Datos!$B$2:$B$29513,23,Datos!$C$2:$C$29513,"&lt;30",Datos!$F$2:$F$29513,"STANDBY"),0),"")</f>
        <v/>
      </c>
      <c r="AG24" s="7">
        <f>IFERROR(ROUND(AVERAGEIFS(Datos!$G$2:$G$29513,Datos!$E$2:$E$29513,$A24,Datos!$B$2:$B$29513,23,Datos!$C$2:$C$29513,"&gt;=30",Datos!$F$2:$F$29513,"STANDBY"),0),"")</f>
        <v/>
      </c>
    </row>
    <row r="25">
      <c r="A25" s="6" t="inlineStr">
        <is>
          <t>"it's a small world"</t>
        </is>
      </c>
      <c r="B25" s="7">
        <f>IFERROR(ROUND(AVERAGEIFS(Datos!$G$2:$G$29513,Datos!$E$2:$E$29513,$A25,Datos!$B$2:$B$29513,8,Datos!$C$2:$C$29513,"&lt;30",Datos!$F$2:$F$29513,"STANDBY"),0),"")</f>
        <v/>
      </c>
      <c r="C25" s="7">
        <f>IFERROR(ROUND(AVERAGEIFS(Datos!$G$2:$G$29513,Datos!$E$2:$E$29513,$A25,Datos!$B$2:$B$29513,8,Datos!$C$2:$C$29513,"&gt;=30",Datos!$F$2:$F$29513,"STANDBY"),0),"")</f>
        <v/>
      </c>
      <c r="D25" s="7">
        <f>IFERROR(ROUND(AVERAGEIFS(Datos!$G$2:$G$29513,Datos!$E$2:$E$29513,$A25,Datos!$B$2:$B$29513,9,Datos!$C$2:$C$29513,"&lt;30",Datos!$F$2:$F$29513,"STANDBY"),0),"")</f>
        <v/>
      </c>
      <c r="E25" s="7">
        <f>IFERROR(ROUND(AVERAGEIFS(Datos!$G$2:$G$29513,Datos!$E$2:$E$29513,$A25,Datos!$B$2:$B$29513,9,Datos!$C$2:$C$29513,"&gt;=30",Datos!$F$2:$F$29513,"STANDBY"),0),"")</f>
        <v/>
      </c>
      <c r="F25" s="7">
        <f>IFERROR(ROUND(AVERAGEIFS(Datos!$G$2:$G$29513,Datos!$E$2:$E$29513,$A25,Datos!$B$2:$B$29513,10,Datos!$C$2:$C$29513,"&lt;30",Datos!$F$2:$F$29513,"STANDBY"),0),"")</f>
        <v/>
      </c>
      <c r="G25" s="7">
        <f>IFERROR(ROUND(AVERAGEIFS(Datos!$G$2:$G$29513,Datos!$E$2:$E$29513,$A25,Datos!$B$2:$B$29513,10,Datos!$C$2:$C$29513,"&gt;=30",Datos!$F$2:$F$29513,"STANDBY"),0),"")</f>
        <v/>
      </c>
      <c r="H25" s="7">
        <f>IFERROR(ROUND(AVERAGEIFS(Datos!$G$2:$G$29513,Datos!$E$2:$E$29513,$A25,Datos!$B$2:$B$29513,11,Datos!$C$2:$C$29513,"&lt;30",Datos!$F$2:$F$29513,"STANDBY"),0),"")</f>
        <v/>
      </c>
      <c r="I25" s="7">
        <f>IFERROR(ROUND(AVERAGEIFS(Datos!$G$2:$G$29513,Datos!$E$2:$E$29513,$A25,Datos!$B$2:$B$29513,11,Datos!$C$2:$C$29513,"&gt;=30",Datos!$F$2:$F$29513,"STANDBY"),0),"")</f>
        <v/>
      </c>
      <c r="J25" s="7">
        <f>IFERROR(ROUND(AVERAGEIFS(Datos!$G$2:$G$29513,Datos!$E$2:$E$29513,$A25,Datos!$B$2:$B$29513,12,Datos!$C$2:$C$29513,"&lt;30",Datos!$F$2:$F$29513,"STANDBY"),0),"")</f>
        <v/>
      </c>
      <c r="K25" s="7">
        <f>IFERROR(ROUND(AVERAGEIFS(Datos!$G$2:$G$29513,Datos!$E$2:$E$29513,$A25,Datos!$B$2:$B$29513,12,Datos!$C$2:$C$29513,"&gt;=30",Datos!$F$2:$F$29513,"STANDBY"),0),"")</f>
        <v/>
      </c>
      <c r="L25" s="7">
        <f>IFERROR(ROUND(AVERAGEIFS(Datos!$G$2:$G$29513,Datos!$E$2:$E$29513,$A25,Datos!$B$2:$B$29513,13,Datos!$C$2:$C$29513,"&lt;30",Datos!$F$2:$F$29513,"STANDBY"),0),"")</f>
        <v/>
      </c>
      <c r="M25" s="7">
        <f>IFERROR(ROUND(AVERAGEIFS(Datos!$G$2:$G$29513,Datos!$E$2:$E$29513,$A25,Datos!$B$2:$B$29513,13,Datos!$C$2:$C$29513,"&gt;=30",Datos!$F$2:$F$29513,"STANDBY"),0),"")</f>
        <v/>
      </c>
      <c r="N25" s="7">
        <f>IFERROR(ROUND(AVERAGEIFS(Datos!$G$2:$G$29513,Datos!$E$2:$E$29513,$A25,Datos!$B$2:$B$29513,14,Datos!$C$2:$C$29513,"&lt;30",Datos!$F$2:$F$29513,"STANDBY"),0),"")</f>
        <v/>
      </c>
      <c r="O25" s="7">
        <f>IFERROR(ROUND(AVERAGEIFS(Datos!$G$2:$G$29513,Datos!$E$2:$E$29513,$A25,Datos!$B$2:$B$29513,14,Datos!$C$2:$C$29513,"&gt;=30",Datos!$F$2:$F$29513,"STANDBY"),0),"")</f>
        <v/>
      </c>
      <c r="P25" s="7">
        <f>IFERROR(ROUND(AVERAGEIFS(Datos!$G$2:$G$29513,Datos!$E$2:$E$29513,$A25,Datos!$B$2:$B$29513,15,Datos!$C$2:$C$29513,"&lt;30",Datos!$F$2:$F$29513,"STANDBY"),0),"")</f>
        <v/>
      </c>
      <c r="Q25" s="7">
        <f>IFERROR(ROUND(AVERAGEIFS(Datos!$G$2:$G$29513,Datos!$E$2:$E$29513,$A25,Datos!$B$2:$B$29513,15,Datos!$C$2:$C$29513,"&gt;=30",Datos!$F$2:$F$29513,"STANDBY"),0),"")</f>
        <v/>
      </c>
      <c r="R25" s="7">
        <f>IFERROR(ROUND(AVERAGEIFS(Datos!$G$2:$G$29513,Datos!$E$2:$E$29513,$A25,Datos!$B$2:$B$29513,16,Datos!$C$2:$C$29513,"&lt;30",Datos!$F$2:$F$29513,"STANDBY"),0),"")</f>
        <v/>
      </c>
      <c r="S25" s="7">
        <f>IFERROR(ROUND(AVERAGEIFS(Datos!$G$2:$G$29513,Datos!$E$2:$E$29513,$A25,Datos!$B$2:$B$29513,16,Datos!$C$2:$C$29513,"&gt;=30",Datos!$F$2:$F$29513,"STANDBY"),0),"")</f>
        <v/>
      </c>
      <c r="T25" s="7">
        <f>IFERROR(ROUND(AVERAGEIFS(Datos!$G$2:$G$29513,Datos!$E$2:$E$29513,$A25,Datos!$B$2:$B$29513,17,Datos!$C$2:$C$29513,"&lt;30",Datos!$F$2:$F$29513,"STANDBY"),0),"")</f>
        <v/>
      </c>
      <c r="U25" s="7">
        <f>IFERROR(ROUND(AVERAGEIFS(Datos!$G$2:$G$29513,Datos!$E$2:$E$29513,$A25,Datos!$B$2:$B$29513,17,Datos!$C$2:$C$29513,"&gt;=30",Datos!$F$2:$F$29513,"STANDBY"),0),"")</f>
        <v/>
      </c>
      <c r="V25" s="7">
        <f>IFERROR(ROUND(AVERAGEIFS(Datos!$G$2:$G$29513,Datos!$E$2:$E$29513,$A25,Datos!$B$2:$B$29513,18,Datos!$C$2:$C$29513,"&lt;30",Datos!$F$2:$F$29513,"STANDBY"),0),"")</f>
        <v/>
      </c>
      <c r="W25" s="7">
        <f>IFERROR(ROUND(AVERAGEIFS(Datos!$G$2:$G$29513,Datos!$E$2:$E$29513,$A25,Datos!$B$2:$B$29513,18,Datos!$C$2:$C$29513,"&gt;=30",Datos!$F$2:$F$29513,"STANDBY"),0),"")</f>
        <v/>
      </c>
      <c r="X25" s="7">
        <f>IFERROR(ROUND(AVERAGEIFS(Datos!$G$2:$G$29513,Datos!$E$2:$E$29513,$A25,Datos!$B$2:$B$29513,19,Datos!$C$2:$C$29513,"&lt;30",Datos!$F$2:$F$29513,"STANDBY"),0),"")</f>
        <v/>
      </c>
      <c r="Y25" s="7">
        <f>IFERROR(ROUND(AVERAGEIFS(Datos!$G$2:$G$29513,Datos!$E$2:$E$29513,$A25,Datos!$B$2:$B$29513,19,Datos!$C$2:$C$29513,"&gt;=30",Datos!$F$2:$F$29513,"STANDBY"),0),"")</f>
        <v/>
      </c>
      <c r="Z25" s="7">
        <f>IFERROR(ROUND(AVERAGEIFS(Datos!$G$2:$G$29513,Datos!$E$2:$E$29513,$A25,Datos!$B$2:$B$29513,20,Datos!$C$2:$C$29513,"&lt;30",Datos!$F$2:$F$29513,"STANDBY"),0),"")</f>
        <v/>
      </c>
      <c r="AA25" s="7">
        <f>IFERROR(ROUND(AVERAGEIFS(Datos!$G$2:$G$29513,Datos!$E$2:$E$29513,$A25,Datos!$B$2:$B$29513,20,Datos!$C$2:$C$29513,"&gt;=30",Datos!$F$2:$F$29513,"STANDBY"),0),"")</f>
        <v/>
      </c>
      <c r="AB25" s="7">
        <f>IFERROR(ROUND(AVERAGEIFS(Datos!$G$2:$G$29513,Datos!$E$2:$E$29513,$A25,Datos!$B$2:$B$29513,21,Datos!$C$2:$C$29513,"&lt;30",Datos!$F$2:$F$29513,"STANDBY"),0),"")</f>
        <v/>
      </c>
      <c r="AC25" s="7">
        <f>IFERROR(ROUND(AVERAGEIFS(Datos!$G$2:$G$29513,Datos!$E$2:$E$29513,$A25,Datos!$B$2:$B$29513,21,Datos!$C$2:$C$29513,"&gt;=30",Datos!$F$2:$F$29513,"STANDBY"),0),"")</f>
        <v/>
      </c>
      <c r="AD25" s="7">
        <f>IFERROR(ROUND(AVERAGEIFS(Datos!$G$2:$G$29513,Datos!$E$2:$E$29513,$A25,Datos!$B$2:$B$29513,22,Datos!$C$2:$C$29513,"&lt;30",Datos!$F$2:$F$29513,"STANDBY"),0),"")</f>
        <v/>
      </c>
      <c r="AE25" s="7">
        <f>IFERROR(ROUND(AVERAGEIFS(Datos!$G$2:$G$29513,Datos!$E$2:$E$29513,$A25,Datos!$B$2:$B$29513,22,Datos!$C$2:$C$29513,"&gt;=30",Datos!$F$2:$F$29513,"STANDBY"),0),"")</f>
        <v/>
      </c>
      <c r="AF25" s="7">
        <f>IFERROR(ROUND(AVERAGEIFS(Datos!$G$2:$G$29513,Datos!$E$2:$E$29513,$A25,Datos!$B$2:$B$29513,23,Datos!$C$2:$C$29513,"&lt;30",Datos!$F$2:$F$29513,"STANDBY"),0),"")</f>
        <v/>
      </c>
      <c r="AG25" s="7">
        <f>IFERROR(ROUND(AVERAGEIFS(Datos!$G$2:$G$29513,Datos!$E$2:$E$29513,$A25,Datos!$B$2:$B$29513,23,Datos!$C$2:$C$29513,"&gt;=30",Datos!$F$2:$F$29513,"STANDBY"),0),"")</f>
        <v/>
      </c>
    </row>
    <row r="26">
      <c r="A26" s="6" t="inlineStr">
        <is>
          <t>Adventure Isle</t>
        </is>
      </c>
      <c r="B26" s="7">
        <f>IFERROR(ROUND(AVERAGEIFS(Datos!$G$2:$G$29513,Datos!$E$2:$E$29513,$A26,Datos!$B$2:$B$29513,8,Datos!$C$2:$C$29513,"&lt;30",Datos!$F$2:$F$29513,"STANDBY"),0),"")</f>
        <v/>
      </c>
      <c r="C26" s="7">
        <f>IFERROR(ROUND(AVERAGEIFS(Datos!$G$2:$G$29513,Datos!$E$2:$E$29513,$A26,Datos!$B$2:$B$29513,8,Datos!$C$2:$C$29513,"&gt;=30",Datos!$F$2:$F$29513,"STANDBY"),0),"")</f>
        <v/>
      </c>
      <c r="D26" s="7">
        <f>IFERROR(ROUND(AVERAGEIFS(Datos!$G$2:$G$29513,Datos!$E$2:$E$29513,$A26,Datos!$B$2:$B$29513,9,Datos!$C$2:$C$29513,"&lt;30",Datos!$F$2:$F$29513,"STANDBY"),0),"")</f>
        <v/>
      </c>
      <c r="E26" s="7">
        <f>IFERROR(ROUND(AVERAGEIFS(Datos!$G$2:$G$29513,Datos!$E$2:$E$29513,$A26,Datos!$B$2:$B$29513,9,Datos!$C$2:$C$29513,"&gt;=30",Datos!$F$2:$F$29513,"STANDBY"),0),"")</f>
        <v/>
      </c>
      <c r="F26" s="7">
        <f>IFERROR(ROUND(AVERAGEIFS(Datos!$G$2:$G$29513,Datos!$E$2:$E$29513,$A26,Datos!$B$2:$B$29513,10,Datos!$C$2:$C$29513,"&lt;30",Datos!$F$2:$F$29513,"STANDBY"),0),"")</f>
        <v/>
      </c>
      <c r="G26" s="7">
        <f>IFERROR(ROUND(AVERAGEIFS(Datos!$G$2:$G$29513,Datos!$E$2:$E$29513,$A26,Datos!$B$2:$B$29513,10,Datos!$C$2:$C$29513,"&gt;=30",Datos!$F$2:$F$29513,"STANDBY"),0),"")</f>
        <v/>
      </c>
      <c r="H26" s="7">
        <f>IFERROR(ROUND(AVERAGEIFS(Datos!$G$2:$G$29513,Datos!$E$2:$E$29513,$A26,Datos!$B$2:$B$29513,11,Datos!$C$2:$C$29513,"&lt;30",Datos!$F$2:$F$29513,"STANDBY"),0),"")</f>
        <v/>
      </c>
      <c r="I26" s="7">
        <f>IFERROR(ROUND(AVERAGEIFS(Datos!$G$2:$G$29513,Datos!$E$2:$E$29513,$A26,Datos!$B$2:$B$29513,11,Datos!$C$2:$C$29513,"&gt;=30",Datos!$F$2:$F$29513,"STANDBY"),0),"")</f>
        <v/>
      </c>
      <c r="J26" s="7">
        <f>IFERROR(ROUND(AVERAGEIFS(Datos!$G$2:$G$29513,Datos!$E$2:$E$29513,$A26,Datos!$B$2:$B$29513,12,Datos!$C$2:$C$29513,"&lt;30",Datos!$F$2:$F$29513,"STANDBY"),0),"")</f>
        <v/>
      </c>
      <c r="K26" s="7">
        <f>IFERROR(ROUND(AVERAGEIFS(Datos!$G$2:$G$29513,Datos!$E$2:$E$29513,$A26,Datos!$B$2:$B$29513,12,Datos!$C$2:$C$29513,"&gt;=30",Datos!$F$2:$F$29513,"STANDBY"),0),"")</f>
        <v/>
      </c>
      <c r="L26" s="7">
        <f>IFERROR(ROUND(AVERAGEIFS(Datos!$G$2:$G$29513,Datos!$E$2:$E$29513,$A26,Datos!$B$2:$B$29513,13,Datos!$C$2:$C$29513,"&lt;30",Datos!$F$2:$F$29513,"STANDBY"),0),"")</f>
        <v/>
      </c>
      <c r="M26" s="7">
        <f>IFERROR(ROUND(AVERAGEIFS(Datos!$G$2:$G$29513,Datos!$E$2:$E$29513,$A26,Datos!$B$2:$B$29513,13,Datos!$C$2:$C$29513,"&gt;=30",Datos!$F$2:$F$29513,"STANDBY"),0),"")</f>
        <v/>
      </c>
      <c r="N26" s="7">
        <f>IFERROR(ROUND(AVERAGEIFS(Datos!$G$2:$G$29513,Datos!$E$2:$E$29513,$A26,Datos!$B$2:$B$29513,14,Datos!$C$2:$C$29513,"&lt;30",Datos!$F$2:$F$29513,"STANDBY"),0),"")</f>
        <v/>
      </c>
      <c r="O26" s="7">
        <f>IFERROR(ROUND(AVERAGEIFS(Datos!$G$2:$G$29513,Datos!$E$2:$E$29513,$A26,Datos!$B$2:$B$29513,14,Datos!$C$2:$C$29513,"&gt;=30",Datos!$F$2:$F$29513,"STANDBY"),0),"")</f>
        <v/>
      </c>
      <c r="P26" s="7">
        <f>IFERROR(ROUND(AVERAGEIFS(Datos!$G$2:$G$29513,Datos!$E$2:$E$29513,$A26,Datos!$B$2:$B$29513,15,Datos!$C$2:$C$29513,"&lt;30",Datos!$F$2:$F$29513,"STANDBY"),0),"")</f>
        <v/>
      </c>
      <c r="Q26" s="7">
        <f>IFERROR(ROUND(AVERAGEIFS(Datos!$G$2:$G$29513,Datos!$E$2:$E$29513,$A26,Datos!$B$2:$B$29513,15,Datos!$C$2:$C$29513,"&gt;=30",Datos!$F$2:$F$29513,"STANDBY"),0),"")</f>
        <v/>
      </c>
      <c r="R26" s="7">
        <f>IFERROR(ROUND(AVERAGEIFS(Datos!$G$2:$G$29513,Datos!$E$2:$E$29513,$A26,Datos!$B$2:$B$29513,16,Datos!$C$2:$C$29513,"&lt;30",Datos!$F$2:$F$29513,"STANDBY"),0),"")</f>
        <v/>
      </c>
      <c r="S26" s="7">
        <f>IFERROR(ROUND(AVERAGEIFS(Datos!$G$2:$G$29513,Datos!$E$2:$E$29513,$A26,Datos!$B$2:$B$29513,16,Datos!$C$2:$C$29513,"&gt;=30",Datos!$F$2:$F$29513,"STANDBY"),0),"")</f>
        <v/>
      </c>
      <c r="T26" s="7">
        <f>IFERROR(ROUND(AVERAGEIFS(Datos!$G$2:$G$29513,Datos!$E$2:$E$29513,$A26,Datos!$B$2:$B$29513,17,Datos!$C$2:$C$29513,"&lt;30",Datos!$F$2:$F$29513,"STANDBY"),0),"")</f>
        <v/>
      </c>
      <c r="U26" s="7">
        <f>IFERROR(ROUND(AVERAGEIFS(Datos!$G$2:$G$29513,Datos!$E$2:$E$29513,$A26,Datos!$B$2:$B$29513,17,Datos!$C$2:$C$29513,"&gt;=30",Datos!$F$2:$F$29513,"STANDBY"),0),"")</f>
        <v/>
      </c>
      <c r="V26" s="7">
        <f>IFERROR(ROUND(AVERAGEIFS(Datos!$G$2:$G$29513,Datos!$E$2:$E$29513,$A26,Datos!$B$2:$B$29513,18,Datos!$C$2:$C$29513,"&lt;30",Datos!$F$2:$F$29513,"STANDBY"),0),"")</f>
        <v/>
      </c>
      <c r="W26" s="7">
        <f>IFERROR(ROUND(AVERAGEIFS(Datos!$G$2:$G$29513,Datos!$E$2:$E$29513,$A26,Datos!$B$2:$B$29513,18,Datos!$C$2:$C$29513,"&gt;=30",Datos!$F$2:$F$29513,"STANDBY"),0),"")</f>
        <v/>
      </c>
      <c r="X26" s="7">
        <f>IFERROR(ROUND(AVERAGEIFS(Datos!$G$2:$G$29513,Datos!$E$2:$E$29513,$A26,Datos!$B$2:$B$29513,19,Datos!$C$2:$C$29513,"&lt;30",Datos!$F$2:$F$29513,"STANDBY"),0),"")</f>
        <v/>
      </c>
      <c r="Y26" s="7">
        <f>IFERROR(ROUND(AVERAGEIFS(Datos!$G$2:$G$29513,Datos!$E$2:$E$29513,$A26,Datos!$B$2:$B$29513,19,Datos!$C$2:$C$29513,"&gt;=30",Datos!$F$2:$F$29513,"STANDBY"),0),"")</f>
        <v/>
      </c>
      <c r="Z26" s="7">
        <f>IFERROR(ROUND(AVERAGEIFS(Datos!$G$2:$G$29513,Datos!$E$2:$E$29513,$A26,Datos!$B$2:$B$29513,20,Datos!$C$2:$C$29513,"&lt;30",Datos!$F$2:$F$29513,"STANDBY"),0),"")</f>
        <v/>
      </c>
      <c r="AA26" s="7">
        <f>IFERROR(ROUND(AVERAGEIFS(Datos!$G$2:$G$29513,Datos!$E$2:$E$29513,$A26,Datos!$B$2:$B$29513,20,Datos!$C$2:$C$29513,"&gt;=30",Datos!$F$2:$F$29513,"STANDBY"),0),"")</f>
        <v/>
      </c>
      <c r="AB26" s="7">
        <f>IFERROR(ROUND(AVERAGEIFS(Datos!$G$2:$G$29513,Datos!$E$2:$E$29513,$A26,Datos!$B$2:$B$29513,21,Datos!$C$2:$C$29513,"&lt;30",Datos!$F$2:$F$29513,"STANDBY"),0),"")</f>
        <v/>
      </c>
      <c r="AC26" s="7">
        <f>IFERROR(ROUND(AVERAGEIFS(Datos!$G$2:$G$29513,Datos!$E$2:$E$29513,$A26,Datos!$B$2:$B$29513,21,Datos!$C$2:$C$29513,"&gt;=30",Datos!$F$2:$F$29513,"STANDBY"),0),"")</f>
        <v/>
      </c>
      <c r="AD26" s="7">
        <f>IFERROR(ROUND(AVERAGEIFS(Datos!$G$2:$G$29513,Datos!$E$2:$E$29513,$A26,Datos!$B$2:$B$29513,22,Datos!$C$2:$C$29513,"&lt;30",Datos!$F$2:$F$29513,"STANDBY"),0),"")</f>
        <v/>
      </c>
      <c r="AE26" s="7">
        <f>IFERROR(ROUND(AVERAGEIFS(Datos!$G$2:$G$29513,Datos!$E$2:$E$29513,$A26,Datos!$B$2:$B$29513,22,Datos!$C$2:$C$29513,"&gt;=30",Datos!$F$2:$F$29513,"STANDBY"),0),"")</f>
        <v/>
      </c>
      <c r="AF26" s="7">
        <f>IFERROR(ROUND(AVERAGEIFS(Datos!$G$2:$G$29513,Datos!$E$2:$E$29513,$A26,Datos!$B$2:$B$29513,23,Datos!$C$2:$C$29513,"&lt;30",Datos!$F$2:$F$29513,"STANDBY"),0),"")</f>
        <v/>
      </c>
      <c r="AG26" s="7">
        <f>IFERROR(ROUND(AVERAGEIFS(Datos!$G$2:$G$29513,Datos!$E$2:$E$29513,$A26,Datos!$B$2:$B$29513,23,Datos!$C$2:$C$29513,"&gt;=30",Datos!$F$2:$F$29513,"STANDBY"),0),"")</f>
        <v/>
      </c>
    </row>
    <row r="27">
      <c r="A27" s="6" t="inlineStr">
        <is>
          <t>Alice's Curious Labyrinth</t>
        </is>
      </c>
      <c r="B27" s="7">
        <f>IFERROR(ROUND(AVERAGEIFS(Datos!$G$2:$G$29513,Datos!$E$2:$E$29513,$A27,Datos!$B$2:$B$29513,8,Datos!$C$2:$C$29513,"&lt;30",Datos!$F$2:$F$29513,"STANDBY"),0),"")</f>
        <v/>
      </c>
      <c r="C27" s="7">
        <f>IFERROR(ROUND(AVERAGEIFS(Datos!$G$2:$G$29513,Datos!$E$2:$E$29513,$A27,Datos!$B$2:$B$29513,8,Datos!$C$2:$C$29513,"&gt;=30",Datos!$F$2:$F$29513,"STANDBY"),0),"")</f>
        <v/>
      </c>
      <c r="D27" s="7">
        <f>IFERROR(ROUND(AVERAGEIFS(Datos!$G$2:$G$29513,Datos!$E$2:$E$29513,$A27,Datos!$B$2:$B$29513,9,Datos!$C$2:$C$29513,"&lt;30",Datos!$F$2:$F$29513,"STANDBY"),0),"")</f>
        <v/>
      </c>
      <c r="E27" s="7">
        <f>IFERROR(ROUND(AVERAGEIFS(Datos!$G$2:$G$29513,Datos!$E$2:$E$29513,$A27,Datos!$B$2:$B$29513,9,Datos!$C$2:$C$29513,"&gt;=30",Datos!$F$2:$F$29513,"STANDBY"),0),"")</f>
        <v/>
      </c>
      <c r="F27" s="7">
        <f>IFERROR(ROUND(AVERAGEIFS(Datos!$G$2:$G$29513,Datos!$E$2:$E$29513,$A27,Datos!$B$2:$B$29513,10,Datos!$C$2:$C$29513,"&lt;30",Datos!$F$2:$F$29513,"STANDBY"),0),"")</f>
        <v/>
      </c>
      <c r="G27" s="7">
        <f>IFERROR(ROUND(AVERAGEIFS(Datos!$G$2:$G$29513,Datos!$E$2:$E$29513,$A27,Datos!$B$2:$B$29513,10,Datos!$C$2:$C$29513,"&gt;=30",Datos!$F$2:$F$29513,"STANDBY"),0),"")</f>
        <v/>
      </c>
      <c r="H27" s="7">
        <f>IFERROR(ROUND(AVERAGEIFS(Datos!$G$2:$G$29513,Datos!$E$2:$E$29513,$A27,Datos!$B$2:$B$29513,11,Datos!$C$2:$C$29513,"&lt;30",Datos!$F$2:$F$29513,"STANDBY"),0),"")</f>
        <v/>
      </c>
      <c r="I27" s="7">
        <f>IFERROR(ROUND(AVERAGEIFS(Datos!$G$2:$G$29513,Datos!$E$2:$E$29513,$A27,Datos!$B$2:$B$29513,11,Datos!$C$2:$C$29513,"&gt;=30",Datos!$F$2:$F$29513,"STANDBY"),0),"")</f>
        <v/>
      </c>
      <c r="J27" s="7">
        <f>IFERROR(ROUND(AVERAGEIFS(Datos!$G$2:$G$29513,Datos!$E$2:$E$29513,$A27,Datos!$B$2:$B$29513,12,Datos!$C$2:$C$29513,"&lt;30",Datos!$F$2:$F$29513,"STANDBY"),0),"")</f>
        <v/>
      </c>
      <c r="K27" s="7">
        <f>IFERROR(ROUND(AVERAGEIFS(Datos!$G$2:$G$29513,Datos!$E$2:$E$29513,$A27,Datos!$B$2:$B$29513,12,Datos!$C$2:$C$29513,"&gt;=30",Datos!$F$2:$F$29513,"STANDBY"),0),"")</f>
        <v/>
      </c>
      <c r="L27" s="7">
        <f>IFERROR(ROUND(AVERAGEIFS(Datos!$G$2:$G$29513,Datos!$E$2:$E$29513,$A27,Datos!$B$2:$B$29513,13,Datos!$C$2:$C$29513,"&lt;30",Datos!$F$2:$F$29513,"STANDBY"),0),"")</f>
        <v/>
      </c>
      <c r="M27" s="7">
        <f>IFERROR(ROUND(AVERAGEIFS(Datos!$G$2:$G$29513,Datos!$E$2:$E$29513,$A27,Datos!$B$2:$B$29513,13,Datos!$C$2:$C$29513,"&gt;=30",Datos!$F$2:$F$29513,"STANDBY"),0),"")</f>
        <v/>
      </c>
      <c r="N27" s="7">
        <f>IFERROR(ROUND(AVERAGEIFS(Datos!$G$2:$G$29513,Datos!$E$2:$E$29513,$A27,Datos!$B$2:$B$29513,14,Datos!$C$2:$C$29513,"&lt;30",Datos!$F$2:$F$29513,"STANDBY"),0),"")</f>
        <v/>
      </c>
      <c r="O27" s="7">
        <f>IFERROR(ROUND(AVERAGEIFS(Datos!$G$2:$G$29513,Datos!$E$2:$E$29513,$A27,Datos!$B$2:$B$29513,14,Datos!$C$2:$C$29513,"&gt;=30",Datos!$F$2:$F$29513,"STANDBY"),0),"")</f>
        <v/>
      </c>
      <c r="P27" s="7">
        <f>IFERROR(ROUND(AVERAGEIFS(Datos!$G$2:$G$29513,Datos!$E$2:$E$29513,$A27,Datos!$B$2:$B$29513,15,Datos!$C$2:$C$29513,"&lt;30",Datos!$F$2:$F$29513,"STANDBY"),0),"")</f>
        <v/>
      </c>
      <c r="Q27" s="7">
        <f>IFERROR(ROUND(AVERAGEIFS(Datos!$G$2:$G$29513,Datos!$E$2:$E$29513,$A27,Datos!$B$2:$B$29513,15,Datos!$C$2:$C$29513,"&gt;=30",Datos!$F$2:$F$29513,"STANDBY"),0),"")</f>
        <v/>
      </c>
      <c r="R27" s="7">
        <f>IFERROR(ROUND(AVERAGEIFS(Datos!$G$2:$G$29513,Datos!$E$2:$E$29513,$A27,Datos!$B$2:$B$29513,16,Datos!$C$2:$C$29513,"&lt;30",Datos!$F$2:$F$29513,"STANDBY"),0),"")</f>
        <v/>
      </c>
      <c r="S27" s="7">
        <f>IFERROR(ROUND(AVERAGEIFS(Datos!$G$2:$G$29513,Datos!$E$2:$E$29513,$A27,Datos!$B$2:$B$29513,16,Datos!$C$2:$C$29513,"&gt;=30",Datos!$F$2:$F$29513,"STANDBY"),0),"")</f>
        <v/>
      </c>
      <c r="T27" s="7">
        <f>IFERROR(ROUND(AVERAGEIFS(Datos!$G$2:$G$29513,Datos!$E$2:$E$29513,$A27,Datos!$B$2:$B$29513,17,Datos!$C$2:$C$29513,"&lt;30",Datos!$F$2:$F$29513,"STANDBY"),0),"")</f>
        <v/>
      </c>
      <c r="U27" s="7">
        <f>IFERROR(ROUND(AVERAGEIFS(Datos!$G$2:$G$29513,Datos!$E$2:$E$29513,$A27,Datos!$B$2:$B$29513,17,Datos!$C$2:$C$29513,"&gt;=30",Datos!$F$2:$F$29513,"STANDBY"),0),"")</f>
        <v/>
      </c>
      <c r="V27" s="7">
        <f>IFERROR(ROUND(AVERAGEIFS(Datos!$G$2:$G$29513,Datos!$E$2:$E$29513,$A27,Datos!$B$2:$B$29513,18,Datos!$C$2:$C$29513,"&lt;30",Datos!$F$2:$F$29513,"STANDBY"),0),"")</f>
        <v/>
      </c>
      <c r="W27" s="7">
        <f>IFERROR(ROUND(AVERAGEIFS(Datos!$G$2:$G$29513,Datos!$E$2:$E$29513,$A27,Datos!$B$2:$B$29513,18,Datos!$C$2:$C$29513,"&gt;=30",Datos!$F$2:$F$29513,"STANDBY"),0),"")</f>
        <v/>
      </c>
      <c r="X27" s="7">
        <f>IFERROR(ROUND(AVERAGEIFS(Datos!$G$2:$G$29513,Datos!$E$2:$E$29513,$A27,Datos!$B$2:$B$29513,19,Datos!$C$2:$C$29513,"&lt;30",Datos!$F$2:$F$29513,"STANDBY"),0),"")</f>
        <v/>
      </c>
      <c r="Y27" s="7">
        <f>IFERROR(ROUND(AVERAGEIFS(Datos!$G$2:$G$29513,Datos!$E$2:$E$29513,$A27,Datos!$B$2:$B$29513,19,Datos!$C$2:$C$29513,"&gt;=30",Datos!$F$2:$F$29513,"STANDBY"),0),"")</f>
        <v/>
      </c>
      <c r="Z27" s="7">
        <f>IFERROR(ROUND(AVERAGEIFS(Datos!$G$2:$G$29513,Datos!$E$2:$E$29513,$A27,Datos!$B$2:$B$29513,20,Datos!$C$2:$C$29513,"&lt;30",Datos!$F$2:$F$29513,"STANDBY"),0),"")</f>
        <v/>
      </c>
      <c r="AA27" s="7">
        <f>IFERROR(ROUND(AVERAGEIFS(Datos!$G$2:$G$29513,Datos!$E$2:$E$29513,$A27,Datos!$B$2:$B$29513,20,Datos!$C$2:$C$29513,"&gt;=30",Datos!$F$2:$F$29513,"STANDBY"),0),"")</f>
        <v/>
      </c>
      <c r="AB27" s="7">
        <f>IFERROR(ROUND(AVERAGEIFS(Datos!$G$2:$G$29513,Datos!$E$2:$E$29513,$A27,Datos!$B$2:$B$29513,21,Datos!$C$2:$C$29513,"&lt;30",Datos!$F$2:$F$29513,"STANDBY"),0),"")</f>
        <v/>
      </c>
      <c r="AC27" s="7">
        <f>IFERROR(ROUND(AVERAGEIFS(Datos!$G$2:$G$29513,Datos!$E$2:$E$29513,$A27,Datos!$B$2:$B$29513,21,Datos!$C$2:$C$29513,"&gt;=30",Datos!$F$2:$F$29513,"STANDBY"),0),"")</f>
        <v/>
      </c>
      <c r="AD27" s="7">
        <f>IFERROR(ROUND(AVERAGEIFS(Datos!$G$2:$G$29513,Datos!$E$2:$E$29513,$A27,Datos!$B$2:$B$29513,22,Datos!$C$2:$C$29513,"&lt;30",Datos!$F$2:$F$29513,"STANDBY"),0),"")</f>
        <v/>
      </c>
      <c r="AE27" s="7">
        <f>IFERROR(ROUND(AVERAGEIFS(Datos!$G$2:$G$29513,Datos!$E$2:$E$29513,$A27,Datos!$B$2:$B$29513,22,Datos!$C$2:$C$29513,"&gt;=30",Datos!$F$2:$F$29513,"STANDBY"),0),"")</f>
        <v/>
      </c>
      <c r="AF27" s="7">
        <f>IFERROR(ROUND(AVERAGEIFS(Datos!$G$2:$G$29513,Datos!$E$2:$E$29513,$A27,Datos!$B$2:$B$29513,23,Datos!$C$2:$C$29513,"&lt;30",Datos!$F$2:$F$29513,"STANDBY"),0),"")</f>
        <v/>
      </c>
      <c r="AG27" s="7">
        <f>IFERROR(ROUND(AVERAGEIFS(Datos!$G$2:$G$29513,Datos!$E$2:$E$29513,$A27,Datos!$B$2:$B$29513,23,Datos!$C$2:$C$29513,"&gt;=30",Datos!$F$2:$F$29513,"STANDBY"),0),"")</f>
        <v/>
      </c>
    </row>
    <row r="28">
      <c r="A28" s="6" t="inlineStr">
        <is>
          <t>Autopia, presented by Avis</t>
        </is>
      </c>
      <c r="B28" s="7">
        <f>IFERROR(ROUND(AVERAGEIFS(Datos!$G$2:$G$29513,Datos!$E$2:$E$29513,$A28,Datos!$B$2:$B$29513,8,Datos!$C$2:$C$29513,"&lt;30",Datos!$F$2:$F$29513,"STANDBY"),0),"")</f>
        <v/>
      </c>
      <c r="C28" s="7">
        <f>IFERROR(ROUND(AVERAGEIFS(Datos!$G$2:$G$29513,Datos!$E$2:$E$29513,$A28,Datos!$B$2:$B$29513,8,Datos!$C$2:$C$29513,"&gt;=30",Datos!$F$2:$F$29513,"STANDBY"),0),"")</f>
        <v/>
      </c>
      <c r="D28" s="7">
        <f>IFERROR(ROUND(AVERAGEIFS(Datos!$G$2:$G$29513,Datos!$E$2:$E$29513,$A28,Datos!$B$2:$B$29513,9,Datos!$C$2:$C$29513,"&lt;30",Datos!$F$2:$F$29513,"STANDBY"),0),"")</f>
        <v/>
      </c>
      <c r="E28" s="7">
        <f>IFERROR(ROUND(AVERAGEIFS(Datos!$G$2:$G$29513,Datos!$E$2:$E$29513,$A28,Datos!$B$2:$B$29513,9,Datos!$C$2:$C$29513,"&gt;=30",Datos!$F$2:$F$29513,"STANDBY"),0),"")</f>
        <v/>
      </c>
      <c r="F28" s="7">
        <f>IFERROR(ROUND(AVERAGEIFS(Datos!$G$2:$G$29513,Datos!$E$2:$E$29513,$A28,Datos!$B$2:$B$29513,10,Datos!$C$2:$C$29513,"&lt;30",Datos!$F$2:$F$29513,"STANDBY"),0),"")</f>
        <v/>
      </c>
      <c r="G28" s="7">
        <f>IFERROR(ROUND(AVERAGEIFS(Datos!$G$2:$G$29513,Datos!$E$2:$E$29513,$A28,Datos!$B$2:$B$29513,10,Datos!$C$2:$C$29513,"&gt;=30",Datos!$F$2:$F$29513,"STANDBY"),0),"")</f>
        <v/>
      </c>
      <c r="H28" s="7">
        <f>IFERROR(ROUND(AVERAGEIFS(Datos!$G$2:$G$29513,Datos!$E$2:$E$29513,$A28,Datos!$B$2:$B$29513,11,Datos!$C$2:$C$29513,"&lt;30",Datos!$F$2:$F$29513,"STANDBY"),0),"")</f>
        <v/>
      </c>
      <c r="I28" s="7">
        <f>IFERROR(ROUND(AVERAGEIFS(Datos!$G$2:$G$29513,Datos!$E$2:$E$29513,$A28,Datos!$B$2:$B$29513,11,Datos!$C$2:$C$29513,"&gt;=30",Datos!$F$2:$F$29513,"STANDBY"),0),"")</f>
        <v/>
      </c>
      <c r="J28" s="7">
        <f>IFERROR(ROUND(AVERAGEIFS(Datos!$G$2:$G$29513,Datos!$E$2:$E$29513,$A28,Datos!$B$2:$B$29513,12,Datos!$C$2:$C$29513,"&lt;30",Datos!$F$2:$F$29513,"STANDBY"),0),"")</f>
        <v/>
      </c>
      <c r="K28" s="7">
        <f>IFERROR(ROUND(AVERAGEIFS(Datos!$G$2:$G$29513,Datos!$E$2:$E$29513,$A28,Datos!$B$2:$B$29513,12,Datos!$C$2:$C$29513,"&gt;=30",Datos!$F$2:$F$29513,"STANDBY"),0),"")</f>
        <v/>
      </c>
      <c r="L28" s="7">
        <f>IFERROR(ROUND(AVERAGEIFS(Datos!$G$2:$G$29513,Datos!$E$2:$E$29513,$A28,Datos!$B$2:$B$29513,13,Datos!$C$2:$C$29513,"&lt;30",Datos!$F$2:$F$29513,"STANDBY"),0),"")</f>
        <v/>
      </c>
      <c r="M28" s="7">
        <f>IFERROR(ROUND(AVERAGEIFS(Datos!$G$2:$G$29513,Datos!$E$2:$E$29513,$A28,Datos!$B$2:$B$29513,13,Datos!$C$2:$C$29513,"&gt;=30",Datos!$F$2:$F$29513,"STANDBY"),0),"")</f>
        <v/>
      </c>
      <c r="N28" s="7">
        <f>IFERROR(ROUND(AVERAGEIFS(Datos!$G$2:$G$29513,Datos!$E$2:$E$29513,$A28,Datos!$B$2:$B$29513,14,Datos!$C$2:$C$29513,"&lt;30",Datos!$F$2:$F$29513,"STANDBY"),0),"")</f>
        <v/>
      </c>
      <c r="O28" s="7">
        <f>IFERROR(ROUND(AVERAGEIFS(Datos!$G$2:$G$29513,Datos!$E$2:$E$29513,$A28,Datos!$B$2:$B$29513,14,Datos!$C$2:$C$29513,"&gt;=30",Datos!$F$2:$F$29513,"STANDBY"),0),"")</f>
        <v/>
      </c>
      <c r="P28" s="7">
        <f>IFERROR(ROUND(AVERAGEIFS(Datos!$G$2:$G$29513,Datos!$E$2:$E$29513,$A28,Datos!$B$2:$B$29513,15,Datos!$C$2:$C$29513,"&lt;30",Datos!$F$2:$F$29513,"STANDBY"),0),"")</f>
        <v/>
      </c>
      <c r="Q28" s="7">
        <f>IFERROR(ROUND(AVERAGEIFS(Datos!$G$2:$G$29513,Datos!$E$2:$E$29513,$A28,Datos!$B$2:$B$29513,15,Datos!$C$2:$C$29513,"&gt;=30",Datos!$F$2:$F$29513,"STANDBY"),0),"")</f>
        <v/>
      </c>
      <c r="R28" s="7">
        <f>IFERROR(ROUND(AVERAGEIFS(Datos!$G$2:$G$29513,Datos!$E$2:$E$29513,$A28,Datos!$B$2:$B$29513,16,Datos!$C$2:$C$29513,"&lt;30",Datos!$F$2:$F$29513,"STANDBY"),0),"")</f>
        <v/>
      </c>
      <c r="S28" s="7">
        <f>IFERROR(ROUND(AVERAGEIFS(Datos!$G$2:$G$29513,Datos!$E$2:$E$29513,$A28,Datos!$B$2:$B$29513,16,Datos!$C$2:$C$29513,"&gt;=30",Datos!$F$2:$F$29513,"STANDBY"),0),"")</f>
        <v/>
      </c>
      <c r="T28" s="7">
        <f>IFERROR(ROUND(AVERAGEIFS(Datos!$G$2:$G$29513,Datos!$E$2:$E$29513,$A28,Datos!$B$2:$B$29513,17,Datos!$C$2:$C$29513,"&lt;30",Datos!$F$2:$F$29513,"STANDBY"),0),"")</f>
        <v/>
      </c>
      <c r="U28" s="7">
        <f>IFERROR(ROUND(AVERAGEIFS(Datos!$G$2:$G$29513,Datos!$E$2:$E$29513,$A28,Datos!$B$2:$B$29513,17,Datos!$C$2:$C$29513,"&gt;=30",Datos!$F$2:$F$29513,"STANDBY"),0),"")</f>
        <v/>
      </c>
      <c r="V28" s="7">
        <f>IFERROR(ROUND(AVERAGEIFS(Datos!$G$2:$G$29513,Datos!$E$2:$E$29513,$A28,Datos!$B$2:$B$29513,18,Datos!$C$2:$C$29513,"&lt;30",Datos!$F$2:$F$29513,"STANDBY"),0),"")</f>
        <v/>
      </c>
      <c r="W28" s="7">
        <f>IFERROR(ROUND(AVERAGEIFS(Datos!$G$2:$G$29513,Datos!$E$2:$E$29513,$A28,Datos!$B$2:$B$29513,18,Datos!$C$2:$C$29513,"&gt;=30",Datos!$F$2:$F$29513,"STANDBY"),0),"")</f>
        <v/>
      </c>
      <c r="X28" s="7">
        <f>IFERROR(ROUND(AVERAGEIFS(Datos!$G$2:$G$29513,Datos!$E$2:$E$29513,$A28,Datos!$B$2:$B$29513,19,Datos!$C$2:$C$29513,"&lt;30",Datos!$F$2:$F$29513,"STANDBY"),0),"")</f>
        <v/>
      </c>
      <c r="Y28" s="7">
        <f>IFERROR(ROUND(AVERAGEIFS(Datos!$G$2:$G$29513,Datos!$E$2:$E$29513,$A28,Datos!$B$2:$B$29513,19,Datos!$C$2:$C$29513,"&gt;=30",Datos!$F$2:$F$29513,"STANDBY"),0),"")</f>
        <v/>
      </c>
      <c r="Z28" s="7">
        <f>IFERROR(ROUND(AVERAGEIFS(Datos!$G$2:$G$29513,Datos!$E$2:$E$29513,$A28,Datos!$B$2:$B$29513,20,Datos!$C$2:$C$29513,"&lt;30",Datos!$F$2:$F$29513,"STANDBY"),0),"")</f>
        <v/>
      </c>
      <c r="AA28" s="7">
        <f>IFERROR(ROUND(AVERAGEIFS(Datos!$G$2:$G$29513,Datos!$E$2:$E$29513,$A28,Datos!$B$2:$B$29513,20,Datos!$C$2:$C$29513,"&gt;=30",Datos!$F$2:$F$29513,"STANDBY"),0),"")</f>
        <v/>
      </c>
      <c r="AB28" s="7">
        <f>IFERROR(ROUND(AVERAGEIFS(Datos!$G$2:$G$29513,Datos!$E$2:$E$29513,$A28,Datos!$B$2:$B$29513,21,Datos!$C$2:$C$29513,"&lt;30",Datos!$F$2:$F$29513,"STANDBY"),0),"")</f>
        <v/>
      </c>
      <c r="AC28" s="7">
        <f>IFERROR(ROUND(AVERAGEIFS(Datos!$G$2:$G$29513,Datos!$E$2:$E$29513,$A28,Datos!$B$2:$B$29513,21,Datos!$C$2:$C$29513,"&gt;=30",Datos!$F$2:$F$29513,"STANDBY"),0),"")</f>
        <v/>
      </c>
      <c r="AD28" s="7">
        <f>IFERROR(ROUND(AVERAGEIFS(Datos!$G$2:$G$29513,Datos!$E$2:$E$29513,$A28,Datos!$B$2:$B$29513,22,Datos!$C$2:$C$29513,"&lt;30",Datos!$F$2:$F$29513,"STANDBY"),0),"")</f>
        <v/>
      </c>
      <c r="AE28" s="7">
        <f>IFERROR(ROUND(AVERAGEIFS(Datos!$G$2:$G$29513,Datos!$E$2:$E$29513,$A28,Datos!$B$2:$B$29513,22,Datos!$C$2:$C$29513,"&gt;=30",Datos!$F$2:$F$29513,"STANDBY"),0),"")</f>
        <v/>
      </c>
      <c r="AF28" s="7">
        <f>IFERROR(ROUND(AVERAGEIFS(Datos!$G$2:$G$29513,Datos!$E$2:$E$29513,$A28,Datos!$B$2:$B$29513,23,Datos!$C$2:$C$29513,"&lt;30",Datos!$F$2:$F$29513,"STANDBY"),0),"")</f>
        <v/>
      </c>
      <c r="AG28" s="7">
        <f>IFERROR(ROUND(AVERAGEIFS(Datos!$G$2:$G$29513,Datos!$E$2:$E$29513,$A28,Datos!$B$2:$B$29513,23,Datos!$C$2:$C$29513,"&gt;=30",Datos!$F$2:$F$29513,"STANDBY"),0),"")</f>
        <v/>
      </c>
    </row>
    <row r="29">
      <c r="A29" s="6" t="inlineStr">
        <is>
          <t>Big Thunder Mountain</t>
        </is>
      </c>
      <c r="B29" s="7">
        <f>IFERROR(ROUND(AVERAGEIFS(Datos!$G$2:$G$29513,Datos!$E$2:$E$29513,$A29,Datos!$B$2:$B$29513,8,Datos!$C$2:$C$29513,"&lt;30",Datos!$F$2:$F$29513,"STANDBY"),0),"")</f>
        <v/>
      </c>
      <c r="C29" s="7">
        <f>IFERROR(ROUND(AVERAGEIFS(Datos!$G$2:$G$29513,Datos!$E$2:$E$29513,$A29,Datos!$B$2:$B$29513,8,Datos!$C$2:$C$29513,"&gt;=30",Datos!$F$2:$F$29513,"STANDBY"),0),"")</f>
        <v/>
      </c>
      <c r="D29" s="7">
        <f>IFERROR(ROUND(AVERAGEIFS(Datos!$G$2:$G$29513,Datos!$E$2:$E$29513,$A29,Datos!$B$2:$B$29513,9,Datos!$C$2:$C$29513,"&lt;30",Datos!$F$2:$F$29513,"STANDBY"),0),"")</f>
        <v/>
      </c>
      <c r="E29" s="7">
        <f>IFERROR(ROUND(AVERAGEIFS(Datos!$G$2:$G$29513,Datos!$E$2:$E$29513,$A29,Datos!$B$2:$B$29513,9,Datos!$C$2:$C$29513,"&gt;=30",Datos!$F$2:$F$29513,"STANDBY"),0),"")</f>
        <v/>
      </c>
      <c r="F29" s="7">
        <f>IFERROR(ROUND(AVERAGEIFS(Datos!$G$2:$G$29513,Datos!$E$2:$E$29513,$A29,Datos!$B$2:$B$29513,10,Datos!$C$2:$C$29513,"&lt;30",Datos!$F$2:$F$29513,"STANDBY"),0),"")</f>
        <v/>
      </c>
      <c r="G29" s="7">
        <f>IFERROR(ROUND(AVERAGEIFS(Datos!$G$2:$G$29513,Datos!$E$2:$E$29513,$A29,Datos!$B$2:$B$29513,10,Datos!$C$2:$C$29513,"&gt;=30",Datos!$F$2:$F$29513,"STANDBY"),0),"")</f>
        <v/>
      </c>
      <c r="H29" s="7">
        <f>IFERROR(ROUND(AVERAGEIFS(Datos!$G$2:$G$29513,Datos!$E$2:$E$29513,$A29,Datos!$B$2:$B$29513,11,Datos!$C$2:$C$29513,"&lt;30",Datos!$F$2:$F$29513,"STANDBY"),0),"")</f>
        <v/>
      </c>
      <c r="I29" s="7">
        <f>IFERROR(ROUND(AVERAGEIFS(Datos!$G$2:$G$29513,Datos!$E$2:$E$29513,$A29,Datos!$B$2:$B$29513,11,Datos!$C$2:$C$29513,"&gt;=30",Datos!$F$2:$F$29513,"STANDBY"),0),"")</f>
        <v/>
      </c>
      <c r="J29" s="7">
        <f>IFERROR(ROUND(AVERAGEIFS(Datos!$G$2:$G$29513,Datos!$E$2:$E$29513,$A29,Datos!$B$2:$B$29513,12,Datos!$C$2:$C$29513,"&lt;30",Datos!$F$2:$F$29513,"STANDBY"),0),"")</f>
        <v/>
      </c>
      <c r="K29" s="7">
        <f>IFERROR(ROUND(AVERAGEIFS(Datos!$G$2:$G$29513,Datos!$E$2:$E$29513,$A29,Datos!$B$2:$B$29513,12,Datos!$C$2:$C$29513,"&gt;=30",Datos!$F$2:$F$29513,"STANDBY"),0),"")</f>
        <v/>
      </c>
      <c r="L29" s="7">
        <f>IFERROR(ROUND(AVERAGEIFS(Datos!$G$2:$G$29513,Datos!$E$2:$E$29513,$A29,Datos!$B$2:$B$29513,13,Datos!$C$2:$C$29513,"&lt;30",Datos!$F$2:$F$29513,"STANDBY"),0),"")</f>
        <v/>
      </c>
      <c r="M29" s="7">
        <f>IFERROR(ROUND(AVERAGEIFS(Datos!$G$2:$G$29513,Datos!$E$2:$E$29513,$A29,Datos!$B$2:$B$29513,13,Datos!$C$2:$C$29513,"&gt;=30",Datos!$F$2:$F$29513,"STANDBY"),0),"")</f>
        <v/>
      </c>
      <c r="N29" s="7">
        <f>IFERROR(ROUND(AVERAGEIFS(Datos!$G$2:$G$29513,Datos!$E$2:$E$29513,$A29,Datos!$B$2:$B$29513,14,Datos!$C$2:$C$29513,"&lt;30",Datos!$F$2:$F$29513,"STANDBY"),0),"")</f>
        <v/>
      </c>
      <c r="O29" s="7">
        <f>IFERROR(ROUND(AVERAGEIFS(Datos!$G$2:$G$29513,Datos!$E$2:$E$29513,$A29,Datos!$B$2:$B$29513,14,Datos!$C$2:$C$29513,"&gt;=30",Datos!$F$2:$F$29513,"STANDBY"),0),"")</f>
        <v/>
      </c>
      <c r="P29" s="7">
        <f>IFERROR(ROUND(AVERAGEIFS(Datos!$G$2:$G$29513,Datos!$E$2:$E$29513,$A29,Datos!$B$2:$B$29513,15,Datos!$C$2:$C$29513,"&lt;30",Datos!$F$2:$F$29513,"STANDBY"),0),"")</f>
        <v/>
      </c>
      <c r="Q29" s="7">
        <f>IFERROR(ROUND(AVERAGEIFS(Datos!$G$2:$G$29513,Datos!$E$2:$E$29513,$A29,Datos!$B$2:$B$29513,15,Datos!$C$2:$C$29513,"&gt;=30",Datos!$F$2:$F$29513,"STANDBY"),0),"")</f>
        <v/>
      </c>
      <c r="R29" s="7">
        <f>IFERROR(ROUND(AVERAGEIFS(Datos!$G$2:$G$29513,Datos!$E$2:$E$29513,$A29,Datos!$B$2:$B$29513,16,Datos!$C$2:$C$29513,"&lt;30",Datos!$F$2:$F$29513,"STANDBY"),0),"")</f>
        <v/>
      </c>
      <c r="S29" s="7">
        <f>IFERROR(ROUND(AVERAGEIFS(Datos!$G$2:$G$29513,Datos!$E$2:$E$29513,$A29,Datos!$B$2:$B$29513,16,Datos!$C$2:$C$29513,"&gt;=30",Datos!$F$2:$F$29513,"STANDBY"),0),"")</f>
        <v/>
      </c>
      <c r="T29" s="7">
        <f>IFERROR(ROUND(AVERAGEIFS(Datos!$G$2:$G$29513,Datos!$E$2:$E$29513,$A29,Datos!$B$2:$B$29513,17,Datos!$C$2:$C$29513,"&lt;30",Datos!$F$2:$F$29513,"STANDBY"),0),"")</f>
        <v/>
      </c>
      <c r="U29" s="7">
        <f>IFERROR(ROUND(AVERAGEIFS(Datos!$G$2:$G$29513,Datos!$E$2:$E$29513,$A29,Datos!$B$2:$B$29513,17,Datos!$C$2:$C$29513,"&gt;=30",Datos!$F$2:$F$29513,"STANDBY"),0),"")</f>
        <v/>
      </c>
      <c r="V29" s="7">
        <f>IFERROR(ROUND(AVERAGEIFS(Datos!$G$2:$G$29513,Datos!$E$2:$E$29513,$A29,Datos!$B$2:$B$29513,18,Datos!$C$2:$C$29513,"&lt;30",Datos!$F$2:$F$29513,"STANDBY"),0),"")</f>
        <v/>
      </c>
      <c r="W29" s="7">
        <f>IFERROR(ROUND(AVERAGEIFS(Datos!$G$2:$G$29513,Datos!$E$2:$E$29513,$A29,Datos!$B$2:$B$29513,18,Datos!$C$2:$C$29513,"&gt;=30",Datos!$F$2:$F$29513,"STANDBY"),0),"")</f>
        <v/>
      </c>
      <c r="X29" s="7">
        <f>IFERROR(ROUND(AVERAGEIFS(Datos!$G$2:$G$29513,Datos!$E$2:$E$29513,$A29,Datos!$B$2:$B$29513,19,Datos!$C$2:$C$29513,"&lt;30",Datos!$F$2:$F$29513,"STANDBY"),0),"")</f>
        <v/>
      </c>
      <c r="Y29" s="7">
        <f>IFERROR(ROUND(AVERAGEIFS(Datos!$G$2:$G$29513,Datos!$E$2:$E$29513,$A29,Datos!$B$2:$B$29513,19,Datos!$C$2:$C$29513,"&gt;=30",Datos!$F$2:$F$29513,"STANDBY"),0),"")</f>
        <v/>
      </c>
      <c r="Z29" s="7">
        <f>IFERROR(ROUND(AVERAGEIFS(Datos!$G$2:$G$29513,Datos!$E$2:$E$29513,$A29,Datos!$B$2:$B$29513,20,Datos!$C$2:$C$29513,"&lt;30",Datos!$F$2:$F$29513,"STANDBY"),0),"")</f>
        <v/>
      </c>
      <c r="AA29" s="7">
        <f>IFERROR(ROUND(AVERAGEIFS(Datos!$G$2:$G$29513,Datos!$E$2:$E$29513,$A29,Datos!$B$2:$B$29513,20,Datos!$C$2:$C$29513,"&gt;=30",Datos!$F$2:$F$29513,"STANDBY"),0),"")</f>
        <v/>
      </c>
      <c r="AB29" s="7">
        <f>IFERROR(ROUND(AVERAGEIFS(Datos!$G$2:$G$29513,Datos!$E$2:$E$29513,$A29,Datos!$B$2:$B$29513,21,Datos!$C$2:$C$29513,"&lt;30",Datos!$F$2:$F$29513,"STANDBY"),0),"")</f>
        <v/>
      </c>
      <c r="AC29" s="7">
        <f>IFERROR(ROUND(AVERAGEIFS(Datos!$G$2:$G$29513,Datos!$E$2:$E$29513,$A29,Datos!$B$2:$B$29513,21,Datos!$C$2:$C$29513,"&gt;=30",Datos!$F$2:$F$29513,"STANDBY"),0),"")</f>
        <v/>
      </c>
      <c r="AD29" s="7">
        <f>IFERROR(ROUND(AVERAGEIFS(Datos!$G$2:$G$29513,Datos!$E$2:$E$29513,$A29,Datos!$B$2:$B$29513,22,Datos!$C$2:$C$29513,"&lt;30",Datos!$F$2:$F$29513,"STANDBY"),0),"")</f>
        <v/>
      </c>
      <c r="AE29" s="7">
        <f>IFERROR(ROUND(AVERAGEIFS(Datos!$G$2:$G$29513,Datos!$E$2:$E$29513,$A29,Datos!$B$2:$B$29513,22,Datos!$C$2:$C$29513,"&gt;=30",Datos!$F$2:$F$29513,"STANDBY"),0),"")</f>
        <v/>
      </c>
      <c r="AF29" s="7">
        <f>IFERROR(ROUND(AVERAGEIFS(Datos!$G$2:$G$29513,Datos!$E$2:$E$29513,$A29,Datos!$B$2:$B$29513,23,Datos!$C$2:$C$29513,"&lt;30",Datos!$F$2:$F$29513,"STANDBY"),0),"")</f>
        <v/>
      </c>
      <c r="AG29" s="7">
        <f>IFERROR(ROUND(AVERAGEIFS(Datos!$G$2:$G$29513,Datos!$E$2:$E$29513,$A29,Datos!$B$2:$B$29513,23,Datos!$C$2:$C$29513,"&gt;=30",Datos!$F$2:$F$29513,"STANDBY"),0),"")</f>
        <v/>
      </c>
    </row>
    <row r="30">
      <c r="A30" s="6" t="inlineStr">
        <is>
          <t>Blanche-Neige et les Sept Nains®</t>
        </is>
      </c>
      <c r="B30" s="7">
        <f>IFERROR(ROUND(AVERAGEIFS(Datos!$G$2:$G$29513,Datos!$E$2:$E$29513,$A30,Datos!$B$2:$B$29513,8,Datos!$C$2:$C$29513,"&lt;30",Datos!$F$2:$F$29513,"STANDBY"),0),"")</f>
        <v/>
      </c>
      <c r="C30" s="7">
        <f>IFERROR(ROUND(AVERAGEIFS(Datos!$G$2:$G$29513,Datos!$E$2:$E$29513,$A30,Datos!$B$2:$B$29513,8,Datos!$C$2:$C$29513,"&gt;=30",Datos!$F$2:$F$29513,"STANDBY"),0),"")</f>
        <v/>
      </c>
      <c r="D30" s="7">
        <f>IFERROR(ROUND(AVERAGEIFS(Datos!$G$2:$G$29513,Datos!$E$2:$E$29513,$A30,Datos!$B$2:$B$29513,9,Datos!$C$2:$C$29513,"&lt;30",Datos!$F$2:$F$29513,"STANDBY"),0),"")</f>
        <v/>
      </c>
      <c r="E30" s="7">
        <f>IFERROR(ROUND(AVERAGEIFS(Datos!$G$2:$G$29513,Datos!$E$2:$E$29513,$A30,Datos!$B$2:$B$29513,9,Datos!$C$2:$C$29513,"&gt;=30",Datos!$F$2:$F$29513,"STANDBY"),0),"")</f>
        <v/>
      </c>
      <c r="F30" s="7">
        <f>IFERROR(ROUND(AVERAGEIFS(Datos!$G$2:$G$29513,Datos!$E$2:$E$29513,$A30,Datos!$B$2:$B$29513,10,Datos!$C$2:$C$29513,"&lt;30",Datos!$F$2:$F$29513,"STANDBY"),0),"")</f>
        <v/>
      </c>
      <c r="G30" s="7">
        <f>IFERROR(ROUND(AVERAGEIFS(Datos!$G$2:$G$29513,Datos!$E$2:$E$29513,$A30,Datos!$B$2:$B$29513,10,Datos!$C$2:$C$29513,"&gt;=30",Datos!$F$2:$F$29513,"STANDBY"),0),"")</f>
        <v/>
      </c>
      <c r="H30" s="7">
        <f>IFERROR(ROUND(AVERAGEIFS(Datos!$G$2:$G$29513,Datos!$E$2:$E$29513,$A30,Datos!$B$2:$B$29513,11,Datos!$C$2:$C$29513,"&lt;30",Datos!$F$2:$F$29513,"STANDBY"),0),"")</f>
        <v/>
      </c>
      <c r="I30" s="7">
        <f>IFERROR(ROUND(AVERAGEIFS(Datos!$G$2:$G$29513,Datos!$E$2:$E$29513,$A30,Datos!$B$2:$B$29513,11,Datos!$C$2:$C$29513,"&gt;=30",Datos!$F$2:$F$29513,"STANDBY"),0),"")</f>
        <v/>
      </c>
      <c r="J30" s="7">
        <f>IFERROR(ROUND(AVERAGEIFS(Datos!$G$2:$G$29513,Datos!$E$2:$E$29513,$A30,Datos!$B$2:$B$29513,12,Datos!$C$2:$C$29513,"&lt;30",Datos!$F$2:$F$29513,"STANDBY"),0),"")</f>
        <v/>
      </c>
      <c r="K30" s="7">
        <f>IFERROR(ROUND(AVERAGEIFS(Datos!$G$2:$G$29513,Datos!$E$2:$E$29513,$A30,Datos!$B$2:$B$29513,12,Datos!$C$2:$C$29513,"&gt;=30",Datos!$F$2:$F$29513,"STANDBY"),0),"")</f>
        <v/>
      </c>
      <c r="L30" s="7">
        <f>IFERROR(ROUND(AVERAGEIFS(Datos!$G$2:$G$29513,Datos!$E$2:$E$29513,$A30,Datos!$B$2:$B$29513,13,Datos!$C$2:$C$29513,"&lt;30",Datos!$F$2:$F$29513,"STANDBY"),0),"")</f>
        <v/>
      </c>
      <c r="M30" s="7">
        <f>IFERROR(ROUND(AVERAGEIFS(Datos!$G$2:$G$29513,Datos!$E$2:$E$29513,$A30,Datos!$B$2:$B$29513,13,Datos!$C$2:$C$29513,"&gt;=30",Datos!$F$2:$F$29513,"STANDBY"),0),"")</f>
        <v/>
      </c>
      <c r="N30" s="7">
        <f>IFERROR(ROUND(AVERAGEIFS(Datos!$G$2:$G$29513,Datos!$E$2:$E$29513,$A30,Datos!$B$2:$B$29513,14,Datos!$C$2:$C$29513,"&lt;30",Datos!$F$2:$F$29513,"STANDBY"),0),"")</f>
        <v/>
      </c>
      <c r="O30" s="7">
        <f>IFERROR(ROUND(AVERAGEIFS(Datos!$G$2:$G$29513,Datos!$E$2:$E$29513,$A30,Datos!$B$2:$B$29513,14,Datos!$C$2:$C$29513,"&gt;=30",Datos!$F$2:$F$29513,"STANDBY"),0),"")</f>
        <v/>
      </c>
      <c r="P30" s="7">
        <f>IFERROR(ROUND(AVERAGEIFS(Datos!$G$2:$G$29513,Datos!$E$2:$E$29513,$A30,Datos!$B$2:$B$29513,15,Datos!$C$2:$C$29513,"&lt;30",Datos!$F$2:$F$29513,"STANDBY"),0),"")</f>
        <v/>
      </c>
      <c r="Q30" s="7">
        <f>IFERROR(ROUND(AVERAGEIFS(Datos!$G$2:$G$29513,Datos!$E$2:$E$29513,$A30,Datos!$B$2:$B$29513,15,Datos!$C$2:$C$29513,"&gt;=30",Datos!$F$2:$F$29513,"STANDBY"),0),"")</f>
        <v/>
      </c>
      <c r="R30" s="7">
        <f>IFERROR(ROUND(AVERAGEIFS(Datos!$G$2:$G$29513,Datos!$E$2:$E$29513,$A30,Datos!$B$2:$B$29513,16,Datos!$C$2:$C$29513,"&lt;30",Datos!$F$2:$F$29513,"STANDBY"),0),"")</f>
        <v/>
      </c>
      <c r="S30" s="7">
        <f>IFERROR(ROUND(AVERAGEIFS(Datos!$G$2:$G$29513,Datos!$E$2:$E$29513,$A30,Datos!$B$2:$B$29513,16,Datos!$C$2:$C$29513,"&gt;=30",Datos!$F$2:$F$29513,"STANDBY"),0),"")</f>
        <v/>
      </c>
      <c r="T30" s="7">
        <f>IFERROR(ROUND(AVERAGEIFS(Datos!$G$2:$G$29513,Datos!$E$2:$E$29513,$A30,Datos!$B$2:$B$29513,17,Datos!$C$2:$C$29513,"&lt;30",Datos!$F$2:$F$29513,"STANDBY"),0),"")</f>
        <v/>
      </c>
      <c r="U30" s="7">
        <f>IFERROR(ROUND(AVERAGEIFS(Datos!$G$2:$G$29513,Datos!$E$2:$E$29513,$A30,Datos!$B$2:$B$29513,17,Datos!$C$2:$C$29513,"&gt;=30",Datos!$F$2:$F$29513,"STANDBY"),0),"")</f>
        <v/>
      </c>
      <c r="V30" s="7">
        <f>IFERROR(ROUND(AVERAGEIFS(Datos!$G$2:$G$29513,Datos!$E$2:$E$29513,$A30,Datos!$B$2:$B$29513,18,Datos!$C$2:$C$29513,"&lt;30",Datos!$F$2:$F$29513,"STANDBY"),0),"")</f>
        <v/>
      </c>
      <c r="W30" s="7">
        <f>IFERROR(ROUND(AVERAGEIFS(Datos!$G$2:$G$29513,Datos!$E$2:$E$29513,$A30,Datos!$B$2:$B$29513,18,Datos!$C$2:$C$29513,"&gt;=30",Datos!$F$2:$F$29513,"STANDBY"),0),"")</f>
        <v/>
      </c>
      <c r="X30" s="7">
        <f>IFERROR(ROUND(AVERAGEIFS(Datos!$G$2:$G$29513,Datos!$E$2:$E$29513,$A30,Datos!$B$2:$B$29513,19,Datos!$C$2:$C$29513,"&lt;30",Datos!$F$2:$F$29513,"STANDBY"),0),"")</f>
        <v/>
      </c>
      <c r="Y30" s="7">
        <f>IFERROR(ROUND(AVERAGEIFS(Datos!$G$2:$G$29513,Datos!$E$2:$E$29513,$A30,Datos!$B$2:$B$29513,19,Datos!$C$2:$C$29513,"&gt;=30",Datos!$F$2:$F$29513,"STANDBY"),0),"")</f>
        <v/>
      </c>
      <c r="Z30" s="7">
        <f>IFERROR(ROUND(AVERAGEIFS(Datos!$G$2:$G$29513,Datos!$E$2:$E$29513,$A30,Datos!$B$2:$B$29513,20,Datos!$C$2:$C$29513,"&lt;30",Datos!$F$2:$F$29513,"STANDBY"),0),"")</f>
        <v/>
      </c>
      <c r="AA30" s="7">
        <f>IFERROR(ROUND(AVERAGEIFS(Datos!$G$2:$G$29513,Datos!$E$2:$E$29513,$A30,Datos!$B$2:$B$29513,20,Datos!$C$2:$C$29513,"&gt;=30",Datos!$F$2:$F$29513,"STANDBY"),0),"")</f>
        <v/>
      </c>
      <c r="AB30" s="7">
        <f>IFERROR(ROUND(AVERAGEIFS(Datos!$G$2:$G$29513,Datos!$E$2:$E$29513,$A30,Datos!$B$2:$B$29513,21,Datos!$C$2:$C$29513,"&lt;30",Datos!$F$2:$F$29513,"STANDBY"),0),"")</f>
        <v/>
      </c>
      <c r="AC30" s="7">
        <f>IFERROR(ROUND(AVERAGEIFS(Datos!$G$2:$G$29513,Datos!$E$2:$E$29513,$A30,Datos!$B$2:$B$29513,21,Datos!$C$2:$C$29513,"&gt;=30",Datos!$F$2:$F$29513,"STANDBY"),0),"")</f>
        <v/>
      </c>
      <c r="AD30" s="7">
        <f>IFERROR(ROUND(AVERAGEIFS(Datos!$G$2:$G$29513,Datos!$E$2:$E$29513,$A30,Datos!$B$2:$B$29513,22,Datos!$C$2:$C$29513,"&lt;30",Datos!$F$2:$F$29513,"STANDBY"),0),"")</f>
        <v/>
      </c>
      <c r="AE30" s="7">
        <f>IFERROR(ROUND(AVERAGEIFS(Datos!$G$2:$G$29513,Datos!$E$2:$E$29513,$A30,Datos!$B$2:$B$29513,22,Datos!$C$2:$C$29513,"&gt;=30",Datos!$F$2:$F$29513,"STANDBY"),0),"")</f>
        <v/>
      </c>
      <c r="AF30" s="7">
        <f>IFERROR(ROUND(AVERAGEIFS(Datos!$G$2:$G$29513,Datos!$E$2:$E$29513,$A30,Datos!$B$2:$B$29513,23,Datos!$C$2:$C$29513,"&lt;30",Datos!$F$2:$F$29513,"STANDBY"),0),"")</f>
        <v/>
      </c>
      <c r="AG30" s="7">
        <f>IFERROR(ROUND(AVERAGEIFS(Datos!$G$2:$G$29513,Datos!$E$2:$E$29513,$A30,Datos!$B$2:$B$29513,23,Datos!$C$2:$C$29513,"&gt;=30",Datos!$F$2:$F$29513,"STANDBY"),0),"")</f>
        <v/>
      </c>
    </row>
    <row r="31">
      <c r="A31" s="6" t="inlineStr">
        <is>
          <t>Buzz Lightyear Laser Blast</t>
        </is>
      </c>
      <c r="B31" s="7">
        <f>IFERROR(ROUND(AVERAGEIFS(Datos!$G$2:$G$29513,Datos!$E$2:$E$29513,$A31,Datos!$B$2:$B$29513,8,Datos!$C$2:$C$29513,"&lt;30",Datos!$F$2:$F$29513,"STANDBY"),0),"")</f>
        <v/>
      </c>
      <c r="C31" s="7">
        <f>IFERROR(ROUND(AVERAGEIFS(Datos!$G$2:$G$29513,Datos!$E$2:$E$29513,$A31,Datos!$B$2:$B$29513,8,Datos!$C$2:$C$29513,"&gt;=30",Datos!$F$2:$F$29513,"STANDBY"),0),"")</f>
        <v/>
      </c>
      <c r="D31" s="7">
        <f>IFERROR(ROUND(AVERAGEIFS(Datos!$G$2:$G$29513,Datos!$E$2:$E$29513,$A31,Datos!$B$2:$B$29513,9,Datos!$C$2:$C$29513,"&lt;30",Datos!$F$2:$F$29513,"STANDBY"),0),"")</f>
        <v/>
      </c>
      <c r="E31" s="7">
        <f>IFERROR(ROUND(AVERAGEIFS(Datos!$G$2:$G$29513,Datos!$E$2:$E$29513,$A31,Datos!$B$2:$B$29513,9,Datos!$C$2:$C$29513,"&gt;=30",Datos!$F$2:$F$29513,"STANDBY"),0),"")</f>
        <v/>
      </c>
      <c r="F31" s="7">
        <f>IFERROR(ROUND(AVERAGEIFS(Datos!$G$2:$G$29513,Datos!$E$2:$E$29513,$A31,Datos!$B$2:$B$29513,10,Datos!$C$2:$C$29513,"&lt;30",Datos!$F$2:$F$29513,"STANDBY"),0),"")</f>
        <v/>
      </c>
      <c r="G31" s="7">
        <f>IFERROR(ROUND(AVERAGEIFS(Datos!$G$2:$G$29513,Datos!$E$2:$E$29513,$A31,Datos!$B$2:$B$29513,10,Datos!$C$2:$C$29513,"&gt;=30",Datos!$F$2:$F$29513,"STANDBY"),0),"")</f>
        <v/>
      </c>
      <c r="H31" s="7">
        <f>IFERROR(ROUND(AVERAGEIFS(Datos!$G$2:$G$29513,Datos!$E$2:$E$29513,$A31,Datos!$B$2:$B$29513,11,Datos!$C$2:$C$29513,"&lt;30",Datos!$F$2:$F$29513,"STANDBY"),0),"")</f>
        <v/>
      </c>
      <c r="I31" s="7">
        <f>IFERROR(ROUND(AVERAGEIFS(Datos!$G$2:$G$29513,Datos!$E$2:$E$29513,$A31,Datos!$B$2:$B$29513,11,Datos!$C$2:$C$29513,"&gt;=30",Datos!$F$2:$F$29513,"STANDBY"),0),"")</f>
        <v/>
      </c>
      <c r="J31" s="7">
        <f>IFERROR(ROUND(AVERAGEIFS(Datos!$G$2:$G$29513,Datos!$E$2:$E$29513,$A31,Datos!$B$2:$B$29513,12,Datos!$C$2:$C$29513,"&lt;30",Datos!$F$2:$F$29513,"STANDBY"),0),"")</f>
        <v/>
      </c>
      <c r="K31" s="7">
        <f>IFERROR(ROUND(AVERAGEIFS(Datos!$G$2:$G$29513,Datos!$E$2:$E$29513,$A31,Datos!$B$2:$B$29513,12,Datos!$C$2:$C$29513,"&gt;=30",Datos!$F$2:$F$29513,"STANDBY"),0),"")</f>
        <v/>
      </c>
      <c r="L31" s="7">
        <f>IFERROR(ROUND(AVERAGEIFS(Datos!$G$2:$G$29513,Datos!$E$2:$E$29513,$A31,Datos!$B$2:$B$29513,13,Datos!$C$2:$C$29513,"&lt;30",Datos!$F$2:$F$29513,"STANDBY"),0),"")</f>
        <v/>
      </c>
      <c r="M31" s="7">
        <f>IFERROR(ROUND(AVERAGEIFS(Datos!$G$2:$G$29513,Datos!$E$2:$E$29513,$A31,Datos!$B$2:$B$29513,13,Datos!$C$2:$C$29513,"&gt;=30",Datos!$F$2:$F$29513,"STANDBY"),0),"")</f>
        <v/>
      </c>
      <c r="N31" s="7">
        <f>IFERROR(ROUND(AVERAGEIFS(Datos!$G$2:$G$29513,Datos!$E$2:$E$29513,$A31,Datos!$B$2:$B$29513,14,Datos!$C$2:$C$29513,"&lt;30",Datos!$F$2:$F$29513,"STANDBY"),0),"")</f>
        <v/>
      </c>
      <c r="O31" s="7">
        <f>IFERROR(ROUND(AVERAGEIFS(Datos!$G$2:$G$29513,Datos!$E$2:$E$29513,$A31,Datos!$B$2:$B$29513,14,Datos!$C$2:$C$29513,"&gt;=30",Datos!$F$2:$F$29513,"STANDBY"),0),"")</f>
        <v/>
      </c>
      <c r="P31" s="7">
        <f>IFERROR(ROUND(AVERAGEIFS(Datos!$G$2:$G$29513,Datos!$E$2:$E$29513,$A31,Datos!$B$2:$B$29513,15,Datos!$C$2:$C$29513,"&lt;30",Datos!$F$2:$F$29513,"STANDBY"),0),"")</f>
        <v/>
      </c>
      <c r="Q31" s="7">
        <f>IFERROR(ROUND(AVERAGEIFS(Datos!$G$2:$G$29513,Datos!$E$2:$E$29513,$A31,Datos!$B$2:$B$29513,15,Datos!$C$2:$C$29513,"&gt;=30",Datos!$F$2:$F$29513,"STANDBY"),0),"")</f>
        <v/>
      </c>
      <c r="R31" s="7">
        <f>IFERROR(ROUND(AVERAGEIFS(Datos!$G$2:$G$29513,Datos!$E$2:$E$29513,$A31,Datos!$B$2:$B$29513,16,Datos!$C$2:$C$29513,"&lt;30",Datos!$F$2:$F$29513,"STANDBY"),0),"")</f>
        <v/>
      </c>
      <c r="S31" s="7">
        <f>IFERROR(ROUND(AVERAGEIFS(Datos!$G$2:$G$29513,Datos!$E$2:$E$29513,$A31,Datos!$B$2:$B$29513,16,Datos!$C$2:$C$29513,"&gt;=30",Datos!$F$2:$F$29513,"STANDBY"),0),"")</f>
        <v/>
      </c>
      <c r="T31" s="7">
        <f>IFERROR(ROUND(AVERAGEIFS(Datos!$G$2:$G$29513,Datos!$E$2:$E$29513,$A31,Datos!$B$2:$B$29513,17,Datos!$C$2:$C$29513,"&lt;30",Datos!$F$2:$F$29513,"STANDBY"),0),"")</f>
        <v/>
      </c>
      <c r="U31" s="7">
        <f>IFERROR(ROUND(AVERAGEIFS(Datos!$G$2:$G$29513,Datos!$E$2:$E$29513,$A31,Datos!$B$2:$B$29513,17,Datos!$C$2:$C$29513,"&gt;=30",Datos!$F$2:$F$29513,"STANDBY"),0),"")</f>
        <v/>
      </c>
      <c r="V31" s="7">
        <f>IFERROR(ROUND(AVERAGEIFS(Datos!$G$2:$G$29513,Datos!$E$2:$E$29513,$A31,Datos!$B$2:$B$29513,18,Datos!$C$2:$C$29513,"&lt;30",Datos!$F$2:$F$29513,"STANDBY"),0),"")</f>
        <v/>
      </c>
      <c r="W31" s="7">
        <f>IFERROR(ROUND(AVERAGEIFS(Datos!$G$2:$G$29513,Datos!$E$2:$E$29513,$A31,Datos!$B$2:$B$29513,18,Datos!$C$2:$C$29513,"&gt;=30",Datos!$F$2:$F$29513,"STANDBY"),0),"")</f>
        <v/>
      </c>
      <c r="X31" s="7">
        <f>IFERROR(ROUND(AVERAGEIFS(Datos!$G$2:$G$29513,Datos!$E$2:$E$29513,$A31,Datos!$B$2:$B$29513,19,Datos!$C$2:$C$29513,"&lt;30",Datos!$F$2:$F$29513,"STANDBY"),0),"")</f>
        <v/>
      </c>
      <c r="Y31" s="7">
        <f>IFERROR(ROUND(AVERAGEIFS(Datos!$G$2:$G$29513,Datos!$E$2:$E$29513,$A31,Datos!$B$2:$B$29513,19,Datos!$C$2:$C$29513,"&gt;=30",Datos!$F$2:$F$29513,"STANDBY"),0),"")</f>
        <v/>
      </c>
      <c r="Z31" s="7">
        <f>IFERROR(ROUND(AVERAGEIFS(Datos!$G$2:$G$29513,Datos!$E$2:$E$29513,$A31,Datos!$B$2:$B$29513,20,Datos!$C$2:$C$29513,"&lt;30",Datos!$F$2:$F$29513,"STANDBY"),0),"")</f>
        <v/>
      </c>
      <c r="AA31" s="7">
        <f>IFERROR(ROUND(AVERAGEIFS(Datos!$G$2:$G$29513,Datos!$E$2:$E$29513,$A31,Datos!$B$2:$B$29513,20,Datos!$C$2:$C$29513,"&gt;=30",Datos!$F$2:$F$29513,"STANDBY"),0),"")</f>
        <v/>
      </c>
      <c r="AB31" s="7">
        <f>IFERROR(ROUND(AVERAGEIFS(Datos!$G$2:$G$29513,Datos!$E$2:$E$29513,$A31,Datos!$B$2:$B$29513,21,Datos!$C$2:$C$29513,"&lt;30",Datos!$F$2:$F$29513,"STANDBY"),0),"")</f>
        <v/>
      </c>
      <c r="AC31" s="7">
        <f>IFERROR(ROUND(AVERAGEIFS(Datos!$G$2:$G$29513,Datos!$E$2:$E$29513,$A31,Datos!$B$2:$B$29513,21,Datos!$C$2:$C$29513,"&gt;=30",Datos!$F$2:$F$29513,"STANDBY"),0),"")</f>
        <v/>
      </c>
      <c r="AD31" s="7">
        <f>IFERROR(ROUND(AVERAGEIFS(Datos!$G$2:$G$29513,Datos!$E$2:$E$29513,$A31,Datos!$B$2:$B$29513,22,Datos!$C$2:$C$29513,"&lt;30",Datos!$F$2:$F$29513,"STANDBY"),0),"")</f>
        <v/>
      </c>
      <c r="AE31" s="7">
        <f>IFERROR(ROUND(AVERAGEIFS(Datos!$G$2:$G$29513,Datos!$E$2:$E$29513,$A31,Datos!$B$2:$B$29513,22,Datos!$C$2:$C$29513,"&gt;=30",Datos!$F$2:$F$29513,"STANDBY"),0),"")</f>
        <v/>
      </c>
      <c r="AF31" s="7">
        <f>IFERROR(ROUND(AVERAGEIFS(Datos!$G$2:$G$29513,Datos!$E$2:$E$29513,$A31,Datos!$B$2:$B$29513,23,Datos!$C$2:$C$29513,"&lt;30",Datos!$F$2:$F$29513,"STANDBY"),0),"")</f>
        <v/>
      </c>
      <c r="AG31" s="7">
        <f>IFERROR(ROUND(AVERAGEIFS(Datos!$G$2:$G$29513,Datos!$E$2:$E$29513,$A31,Datos!$B$2:$B$29513,23,Datos!$C$2:$C$29513,"&gt;=30",Datos!$F$2:$F$29513,"STANDBY"),0),"")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IFERROR(ROUND(AVERAGEIFS(Datos!$G$2:$G$29513,Datos!$E$2:$E$29513,$A32,Datos!$B$2:$B$29513,8,Datos!$C$2:$C$29513,"&lt;30",Datos!$F$2:$F$29513,"STANDBY"),0),"")</f>
        <v/>
      </c>
      <c r="C32" s="7">
        <f>IFERROR(ROUND(AVERAGEIFS(Datos!$G$2:$G$29513,Datos!$E$2:$E$29513,$A32,Datos!$B$2:$B$29513,8,Datos!$C$2:$C$29513,"&gt;=30",Datos!$F$2:$F$29513,"STANDBY"),0),"")</f>
        <v/>
      </c>
      <c r="D32" s="7">
        <f>IFERROR(ROUND(AVERAGEIFS(Datos!$G$2:$G$29513,Datos!$E$2:$E$29513,$A32,Datos!$B$2:$B$29513,9,Datos!$C$2:$C$29513,"&lt;30",Datos!$F$2:$F$29513,"STANDBY"),0),"")</f>
        <v/>
      </c>
      <c r="E32" s="7">
        <f>IFERROR(ROUND(AVERAGEIFS(Datos!$G$2:$G$29513,Datos!$E$2:$E$29513,$A32,Datos!$B$2:$B$29513,9,Datos!$C$2:$C$29513,"&gt;=30",Datos!$F$2:$F$29513,"STANDBY"),0),"")</f>
        <v/>
      </c>
      <c r="F32" s="7">
        <f>IFERROR(ROUND(AVERAGEIFS(Datos!$G$2:$G$29513,Datos!$E$2:$E$29513,$A32,Datos!$B$2:$B$29513,10,Datos!$C$2:$C$29513,"&lt;30",Datos!$F$2:$F$29513,"STANDBY"),0),"")</f>
        <v/>
      </c>
      <c r="G32" s="7">
        <f>IFERROR(ROUND(AVERAGEIFS(Datos!$G$2:$G$29513,Datos!$E$2:$E$29513,$A32,Datos!$B$2:$B$29513,10,Datos!$C$2:$C$29513,"&gt;=30",Datos!$F$2:$F$29513,"STANDBY"),0),"")</f>
        <v/>
      </c>
      <c r="H32" s="7">
        <f>IFERROR(ROUND(AVERAGEIFS(Datos!$G$2:$G$29513,Datos!$E$2:$E$29513,$A32,Datos!$B$2:$B$29513,11,Datos!$C$2:$C$29513,"&lt;30",Datos!$F$2:$F$29513,"STANDBY"),0),"")</f>
        <v/>
      </c>
      <c r="I32" s="7">
        <f>IFERROR(ROUND(AVERAGEIFS(Datos!$G$2:$G$29513,Datos!$E$2:$E$29513,$A32,Datos!$B$2:$B$29513,11,Datos!$C$2:$C$29513,"&gt;=30",Datos!$F$2:$F$29513,"STANDBY"),0),"")</f>
        <v/>
      </c>
      <c r="J32" s="7">
        <f>IFERROR(ROUND(AVERAGEIFS(Datos!$G$2:$G$29513,Datos!$E$2:$E$29513,$A32,Datos!$B$2:$B$29513,12,Datos!$C$2:$C$29513,"&lt;30",Datos!$F$2:$F$29513,"STANDBY"),0),"")</f>
        <v/>
      </c>
      <c r="K32" s="7">
        <f>IFERROR(ROUND(AVERAGEIFS(Datos!$G$2:$G$29513,Datos!$E$2:$E$29513,$A32,Datos!$B$2:$B$29513,12,Datos!$C$2:$C$29513,"&gt;=30",Datos!$F$2:$F$29513,"STANDBY"),0),"")</f>
        <v/>
      </c>
      <c r="L32" s="7">
        <f>IFERROR(ROUND(AVERAGEIFS(Datos!$G$2:$G$29513,Datos!$E$2:$E$29513,$A32,Datos!$B$2:$B$29513,13,Datos!$C$2:$C$29513,"&lt;30",Datos!$F$2:$F$29513,"STANDBY"),0),"")</f>
        <v/>
      </c>
      <c r="M32" s="7">
        <f>IFERROR(ROUND(AVERAGEIFS(Datos!$G$2:$G$29513,Datos!$E$2:$E$29513,$A32,Datos!$B$2:$B$29513,13,Datos!$C$2:$C$29513,"&gt;=30",Datos!$F$2:$F$29513,"STANDBY"),0),"")</f>
        <v/>
      </c>
      <c r="N32" s="7">
        <f>IFERROR(ROUND(AVERAGEIFS(Datos!$G$2:$G$29513,Datos!$E$2:$E$29513,$A32,Datos!$B$2:$B$29513,14,Datos!$C$2:$C$29513,"&lt;30",Datos!$F$2:$F$29513,"STANDBY"),0),"")</f>
        <v/>
      </c>
      <c r="O32" s="7">
        <f>IFERROR(ROUND(AVERAGEIFS(Datos!$G$2:$G$29513,Datos!$E$2:$E$29513,$A32,Datos!$B$2:$B$29513,14,Datos!$C$2:$C$29513,"&gt;=30",Datos!$F$2:$F$29513,"STANDBY"),0),"")</f>
        <v/>
      </c>
      <c r="P32" s="7">
        <f>IFERROR(ROUND(AVERAGEIFS(Datos!$G$2:$G$29513,Datos!$E$2:$E$29513,$A32,Datos!$B$2:$B$29513,15,Datos!$C$2:$C$29513,"&lt;30",Datos!$F$2:$F$29513,"STANDBY"),0),"")</f>
        <v/>
      </c>
      <c r="Q32" s="7">
        <f>IFERROR(ROUND(AVERAGEIFS(Datos!$G$2:$G$29513,Datos!$E$2:$E$29513,$A32,Datos!$B$2:$B$29513,15,Datos!$C$2:$C$29513,"&gt;=30",Datos!$F$2:$F$29513,"STANDBY"),0),"")</f>
        <v/>
      </c>
      <c r="R32" s="7">
        <f>IFERROR(ROUND(AVERAGEIFS(Datos!$G$2:$G$29513,Datos!$E$2:$E$29513,$A32,Datos!$B$2:$B$29513,16,Datos!$C$2:$C$29513,"&lt;30",Datos!$F$2:$F$29513,"STANDBY"),0),"")</f>
        <v/>
      </c>
      <c r="S32" s="7">
        <f>IFERROR(ROUND(AVERAGEIFS(Datos!$G$2:$G$29513,Datos!$E$2:$E$29513,$A32,Datos!$B$2:$B$29513,16,Datos!$C$2:$C$29513,"&gt;=30",Datos!$F$2:$F$29513,"STANDBY"),0),"")</f>
        <v/>
      </c>
      <c r="T32" s="7">
        <f>IFERROR(ROUND(AVERAGEIFS(Datos!$G$2:$G$29513,Datos!$E$2:$E$29513,$A32,Datos!$B$2:$B$29513,17,Datos!$C$2:$C$29513,"&lt;30",Datos!$F$2:$F$29513,"STANDBY"),0),"")</f>
        <v/>
      </c>
      <c r="U32" s="7">
        <f>IFERROR(ROUND(AVERAGEIFS(Datos!$G$2:$G$29513,Datos!$E$2:$E$29513,$A32,Datos!$B$2:$B$29513,17,Datos!$C$2:$C$29513,"&gt;=30",Datos!$F$2:$F$29513,"STANDBY"),0),"")</f>
        <v/>
      </c>
      <c r="V32" s="7">
        <f>IFERROR(ROUND(AVERAGEIFS(Datos!$G$2:$G$29513,Datos!$E$2:$E$29513,$A32,Datos!$B$2:$B$29513,18,Datos!$C$2:$C$29513,"&lt;30",Datos!$F$2:$F$29513,"STANDBY"),0),"")</f>
        <v/>
      </c>
      <c r="W32" s="7">
        <f>IFERROR(ROUND(AVERAGEIFS(Datos!$G$2:$G$29513,Datos!$E$2:$E$29513,$A32,Datos!$B$2:$B$29513,18,Datos!$C$2:$C$29513,"&gt;=30",Datos!$F$2:$F$29513,"STANDBY"),0),"")</f>
        <v/>
      </c>
      <c r="X32" s="7">
        <f>IFERROR(ROUND(AVERAGEIFS(Datos!$G$2:$G$29513,Datos!$E$2:$E$29513,$A32,Datos!$B$2:$B$29513,19,Datos!$C$2:$C$29513,"&lt;30",Datos!$F$2:$F$29513,"STANDBY"),0),"")</f>
        <v/>
      </c>
      <c r="Y32" s="7">
        <f>IFERROR(ROUND(AVERAGEIFS(Datos!$G$2:$G$29513,Datos!$E$2:$E$29513,$A32,Datos!$B$2:$B$29513,19,Datos!$C$2:$C$29513,"&gt;=30",Datos!$F$2:$F$29513,"STANDBY"),0),"")</f>
        <v/>
      </c>
      <c r="Z32" s="7">
        <f>IFERROR(ROUND(AVERAGEIFS(Datos!$G$2:$G$29513,Datos!$E$2:$E$29513,$A32,Datos!$B$2:$B$29513,20,Datos!$C$2:$C$29513,"&lt;30",Datos!$F$2:$F$29513,"STANDBY"),0),"")</f>
        <v/>
      </c>
      <c r="AA32" s="7">
        <f>IFERROR(ROUND(AVERAGEIFS(Datos!$G$2:$G$29513,Datos!$E$2:$E$29513,$A32,Datos!$B$2:$B$29513,20,Datos!$C$2:$C$29513,"&gt;=30",Datos!$F$2:$F$29513,"STANDBY"),0),"")</f>
        <v/>
      </c>
      <c r="AB32" s="7">
        <f>IFERROR(ROUND(AVERAGEIFS(Datos!$G$2:$G$29513,Datos!$E$2:$E$29513,$A32,Datos!$B$2:$B$29513,21,Datos!$C$2:$C$29513,"&lt;30",Datos!$F$2:$F$29513,"STANDBY"),0),"")</f>
        <v/>
      </c>
      <c r="AC32" s="7">
        <f>IFERROR(ROUND(AVERAGEIFS(Datos!$G$2:$G$29513,Datos!$E$2:$E$29513,$A32,Datos!$B$2:$B$29513,21,Datos!$C$2:$C$29513,"&gt;=30",Datos!$F$2:$F$29513,"STANDBY"),0),"")</f>
        <v/>
      </c>
      <c r="AD32" s="7">
        <f>IFERROR(ROUND(AVERAGEIFS(Datos!$G$2:$G$29513,Datos!$E$2:$E$29513,$A32,Datos!$B$2:$B$29513,22,Datos!$C$2:$C$29513,"&lt;30",Datos!$F$2:$F$29513,"STANDBY"),0),"")</f>
        <v/>
      </c>
      <c r="AE32" s="7">
        <f>IFERROR(ROUND(AVERAGEIFS(Datos!$G$2:$G$29513,Datos!$E$2:$E$29513,$A32,Datos!$B$2:$B$29513,22,Datos!$C$2:$C$29513,"&gt;=30",Datos!$F$2:$F$29513,"STANDBY"),0),"")</f>
        <v/>
      </c>
      <c r="AF32" s="7">
        <f>IFERROR(ROUND(AVERAGEIFS(Datos!$G$2:$G$29513,Datos!$E$2:$E$29513,$A32,Datos!$B$2:$B$29513,23,Datos!$C$2:$C$29513,"&lt;30",Datos!$F$2:$F$29513,"STANDBY"),0),"")</f>
        <v/>
      </c>
      <c r="AG32" s="7">
        <f>IFERROR(ROUND(AVERAGEIFS(Datos!$G$2:$G$29513,Datos!$E$2:$E$29513,$A32,Datos!$B$2:$B$29513,23,Datos!$C$2:$C$29513,"&gt;=30",Datos!$F$2:$F$29513,"STANDBY"),0),"")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IFERROR(ROUND(AVERAGEIFS(Datos!$G$2:$G$29513,Datos!$E$2:$E$29513,$A33,Datos!$B$2:$B$29513,8,Datos!$C$2:$C$29513,"&lt;30",Datos!$F$2:$F$29513,"STANDBY"),0),"")</f>
        <v/>
      </c>
      <c r="C33" s="7">
        <f>IFERROR(ROUND(AVERAGEIFS(Datos!$G$2:$G$29513,Datos!$E$2:$E$29513,$A33,Datos!$B$2:$B$29513,8,Datos!$C$2:$C$29513,"&gt;=30",Datos!$F$2:$F$29513,"STANDBY"),0),"")</f>
        <v/>
      </c>
      <c r="D33" s="7">
        <f>IFERROR(ROUND(AVERAGEIFS(Datos!$G$2:$G$29513,Datos!$E$2:$E$29513,$A33,Datos!$B$2:$B$29513,9,Datos!$C$2:$C$29513,"&lt;30",Datos!$F$2:$F$29513,"STANDBY"),0),"")</f>
        <v/>
      </c>
      <c r="E33" s="7">
        <f>IFERROR(ROUND(AVERAGEIFS(Datos!$G$2:$G$29513,Datos!$E$2:$E$29513,$A33,Datos!$B$2:$B$29513,9,Datos!$C$2:$C$29513,"&gt;=30",Datos!$F$2:$F$29513,"STANDBY"),0),"")</f>
        <v/>
      </c>
      <c r="F33" s="7">
        <f>IFERROR(ROUND(AVERAGEIFS(Datos!$G$2:$G$29513,Datos!$E$2:$E$29513,$A33,Datos!$B$2:$B$29513,10,Datos!$C$2:$C$29513,"&lt;30",Datos!$F$2:$F$29513,"STANDBY"),0),"")</f>
        <v/>
      </c>
      <c r="G33" s="7">
        <f>IFERROR(ROUND(AVERAGEIFS(Datos!$G$2:$G$29513,Datos!$E$2:$E$29513,$A33,Datos!$B$2:$B$29513,10,Datos!$C$2:$C$29513,"&gt;=30",Datos!$F$2:$F$29513,"STANDBY"),0),"")</f>
        <v/>
      </c>
      <c r="H33" s="7">
        <f>IFERROR(ROUND(AVERAGEIFS(Datos!$G$2:$G$29513,Datos!$E$2:$E$29513,$A33,Datos!$B$2:$B$29513,11,Datos!$C$2:$C$29513,"&lt;30",Datos!$F$2:$F$29513,"STANDBY"),0),"")</f>
        <v/>
      </c>
      <c r="I33" s="7">
        <f>IFERROR(ROUND(AVERAGEIFS(Datos!$G$2:$G$29513,Datos!$E$2:$E$29513,$A33,Datos!$B$2:$B$29513,11,Datos!$C$2:$C$29513,"&gt;=30",Datos!$F$2:$F$29513,"STANDBY"),0),"")</f>
        <v/>
      </c>
      <c r="J33" s="7">
        <f>IFERROR(ROUND(AVERAGEIFS(Datos!$G$2:$G$29513,Datos!$E$2:$E$29513,$A33,Datos!$B$2:$B$29513,12,Datos!$C$2:$C$29513,"&lt;30",Datos!$F$2:$F$29513,"STANDBY"),0),"")</f>
        <v/>
      </c>
      <c r="K33" s="7">
        <f>IFERROR(ROUND(AVERAGEIFS(Datos!$G$2:$G$29513,Datos!$E$2:$E$29513,$A33,Datos!$B$2:$B$29513,12,Datos!$C$2:$C$29513,"&gt;=30",Datos!$F$2:$F$29513,"STANDBY"),0),"")</f>
        <v/>
      </c>
      <c r="L33" s="7">
        <f>IFERROR(ROUND(AVERAGEIFS(Datos!$G$2:$G$29513,Datos!$E$2:$E$29513,$A33,Datos!$B$2:$B$29513,13,Datos!$C$2:$C$29513,"&lt;30",Datos!$F$2:$F$29513,"STANDBY"),0),"")</f>
        <v/>
      </c>
      <c r="M33" s="7">
        <f>IFERROR(ROUND(AVERAGEIFS(Datos!$G$2:$G$29513,Datos!$E$2:$E$29513,$A33,Datos!$B$2:$B$29513,13,Datos!$C$2:$C$29513,"&gt;=30",Datos!$F$2:$F$29513,"STANDBY"),0),"")</f>
        <v/>
      </c>
      <c r="N33" s="7">
        <f>IFERROR(ROUND(AVERAGEIFS(Datos!$G$2:$G$29513,Datos!$E$2:$E$29513,$A33,Datos!$B$2:$B$29513,14,Datos!$C$2:$C$29513,"&lt;30",Datos!$F$2:$F$29513,"STANDBY"),0),"")</f>
        <v/>
      </c>
      <c r="O33" s="7">
        <f>IFERROR(ROUND(AVERAGEIFS(Datos!$G$2:$G$29513,Datos!$E$2:$E$29513,$A33,Datos!$B$2:$B$29513,14,Datos!$C$2:$C$29513,"&gt;=30",Datos!$F$2:$F$29513,"STANDBY"),0),"")</f>
        <v/>
      </c>
      <c r="P33" s="7">
        <f>IFERROR(ROUND(AVERAGEIFS(Datos!$G$2:$G$29513,Datos!$E$2:$E$29513,$A33,Datos!$B$2:$B$29513,15,Datos!$C$2:$C$29513,"&lt;30",Datos!$F$2:$F$29513,"STANDBY"),0),"")</f>
        <v/>
      </c>
      <c r="Q33" s="7">
        <f>IFERROR(ROUND(AVERAGEIFS(Datos!$G$2:$G$29513,Datos!$E$2:$E$29513,$A33,Datos!$B$2:$B$29513,15,Datos!$C$2:$C$29513,"&gt;=30",Datos!$F$2:$F$29513,"STANDBY"),0),"")</f>
        <v/>
      </c>
      <c r="R33" s="7">
        <f>IFERROR(ROUND(AVERAGEIFS(Datos!$G$2:$G$29513,Datos!$E$2:$E$29513,$A33,Datos!$B$2:$B$29513,16,Datos!$C$2:$C$29513,"&lt;30",Datos!$F$2:$F$29513,"STANDBY"),0),"")</f>
        <v/>
      </c>
      <c r="S33" s="7">
        <f>IFERROR(ROUND(AVERAGEIFS(Datos!$G$2:$G$29513,Datos!$E$2:$E$29513,$A33,Datos!$B$2:$B$29513,16,Datos!$C$2:$C$29513,"&gt;=30",Datos!$F$2:$F$29513,"STANDBY"),0),"")</f>
        <v/>
      </c>
      <c r="T33" s="7">
        <f>IFERROR(ROUND(AVERAGEIFS(Datos!$G$2:$G$29513,Datos!$E$2:$E$29513,$A33,Datos!$B$2:$B$29513,17,Datos!$C$2:$C$29513,"&lt;30",Datos!$F$2:$F$29513,"STANDBY"),0),"")</f>
        <v/>
      </c>
      <c r="U33" s="7">
        <f>IFERROR(ROUND(AVERAGEIFS(Datos!$G$2:$G$29513,Datos!$E$2:$E$29513,$A33,Datos!$B$2:$B$29513,17,Datos!$C$2:$C$29513,"&gt;=30",Datos!$F$2:$F$29513,"STANDBY"),0),"")</f>
        <v/>
      </c>
      <c r="V33" s="7">
        <f>IFERROR(ROUND(AVERAGEIFS(Datos!$G$2:$G$29513,Datos!$E$2:$E$29513,$A33,Datos!$B$2:$B$29513,18,Datos!$C$2:$C$29513,"&lt;30",Datos!$F$2:$F$29513,"STANDBY"),0),"")</f>
        <v/>
      </c>
      <c r="W33" s="7">
        <f>IFERROR(ROUND(AVERAGEIFS(Datos!$G$2:$G$29513,Datos!$E$2:$E$29513,$A33,Datos!$B$2:$B$29513,18,Datos!$C$2:$C$29513,"&gt;=30",Datos!$F$2:$F$29513,"STANDBY"),0),"")</f>
        <v/>
      </c>
      <c r="X33" s="7">
        <f>IFERROR(ROUND(AVERAGEIFS(Datos!$G$2:$G$29513,Datos!$E$2:$E$29513,$A33,Datos!$B$2:$B$29513,19,Datos!$C$2:$C$29513,"&lt;30",Datos!$F$2:$F$29513,"STANDBY"),0),"")</f>
        <v/>
      </c>
      <c r="Y33" s="7">
        <f>IFERROR(ROUND(AVERAGEIFS(Datos!$G$2:$G$29513,Datos!$E$2:$E$29513,$A33,Datos!$B$2:$B$29513,19,Datos!$C$2:$C$29513,"&gt;=30",Datos!$F$2:$F$29513,"STANDBY"),0),"")</f>
        <v/>
      </c>
      <c r="Z33" s="7">
        <f>IFERROR(ROUND(AVERAGEIFS(Datos!$G$2:$G$29513,Datos!$E$2:$E$29513,$A33,Datos!$B$2:$B$29513,20,Datos!$C$2:$C$29513,"&lt;30",Datos!$F$2:$F$29513,"STANDBY"),0),"")</f>
        <v/>
      </c>
      <c r="AA33" s="7">
        <f>IFERROR(ROUND(AVERAGEIFS(Datos!$G$2:$G$29513,Datos!$E$2:$E$29513,$A33,Datos!$B$2:$B$29513,20,Datos!$C$2:$C$29513,"&gt;=30",Datos!$F$2:$F$29513,"STANDBY"),0),"")</f>
        <v/>
      </c>
      <c r="AB33" s="7">
        <f>IFERROR(ROUND(AVERAGEIFS(Datos!$G$2:$G$29513,Datos!$E$2:$E$29513,$A33,Datos!$B$2:$B$29513,21,Datos!$C$2:$C$29513,"&lt;30",Datos!$F$2:$F$29513,"STANDBY"),0),"")</f>
        <v/>
      </c>
      <c r="AC33" s="7">
        <f>IFERROR(ROUND(AVERAGEIFS(Datos!$G$2:$G$29513,Datos!$E$2:$E$29513,$A33,Datos!$B$2:$B$29513,21,Datos!$C$2:$C$29513,"&gt;=30",Datos!$F$2:$F$29513,"STANDBY"),0),"")</f>
        <v/>
      </c>
      <c r="AD33" s="7">
        <f>IFERROR(ROUND(AVERAGEIFS(Datos!$G$2:$G$29513,Datos!$E$2:$E$29513,$A33,Datos!$B$2:$B$29513,22,Datos!$C$2:$C$29513,"&lt;30",Datos!$F$2:$F$29513,"STANDBY"),0),"")</f>
        <v/>
      </c>
      <c r="AE33" s="7">
        <f>IFERROR(ROUND(AVERAGEIFS(Datos!$G$2:$G$29513,Datos!$E$2:$E$29513,$A33,Datos!$B$2:$B$29513,22,Datos!$C$2:$C$29513,"&gt;=30",Datos!$F$2:$F$29513,"STANDBY"),0),"")</f>
        <v/>
      </c>
      <c r="AF33" s="7">
        <f>IFERROR(ROUND(AVERAGEIFS(Datos!$G$2:$G$29513,Datos!$E$2:$E$29513,$A33,Datos!$B$2:$B$29513,23,Datos!$C$2:$C$29513,"&lt;30",Datos!$F$2:$F$29513,"STANDBY"),0),"")</f>
        <v/>
      </c>
      <c r="AG33" s="7">
        <f>IFERROR(ROUND(AVERAGEIFS(Datos!$G$2:$G$29513,Datos!$E$2:$E$29513,$A33,Datos!$B$2:$B$29513,23,Datos!$C$2:$C$29513,"&gt;=30",Datos!$F$2:$F$29513,"STANDBY"),0),"")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IFERROR(ROUND(AVERAGEIFS(Datos!$G$2:$G$29513,Datos!$E$2:$E$29513,$A34,Datos!$B$2:$B$29513,8,Datos!$C$2:$C$29513,"&lt;30",Datos!$F$2:$F$29513,"STANDBY"),0),"")</f>
        <v/>
      </c>
      <c r="C34" s="7">
        <f>IFERROR(ROUND(AVERAGEIFS(Datos!$G$2:$G$29513,Datos!$E$2:$E$29513,$A34,Datos!$B$2:$B$29513,8,Datos!$C$2:$C$29513,"&gt;=30",Datos!$F$2:$F$29513,"STANDBY"),0),"")</f>
        <v/>
      </c>
      <c r="D34" s="7">
        <f>IFERROR(ROUND(AVERAGEIFS(Datos!$G$2:$G$29513,Datos!$E$2:$E$29513,$A34,Datos!$B$2:$B$29513,9,Datos!$C$2:$C$29513,"&lt;30",Datos!$F$2:$F$29513,"STANDBY"),0),"")</f>
        <v/>
      </c>
      <c r="E34" s="7">
        <f>IFERROR(ROUND(AVERAGEIFS(Datos!$G$2:$G$29513,Datos!$E$2:$E$29513,$A34,Datos!$B$2:$B$29513,9,Datos!$C$2:$C$29513,"&gt;=30",Datos!$F$2:$F$29513,"STANDBY"),0),"")</f>
        <v/>
      </c>
      <c r="F34" s="7">
        <f>IFERROR(ROUND(AVERAGEIFS(Datos!$G$2:$G$29513,Datos!$E$2:$E$29513,$A34,Datos!$B$2:$B$29513,10,Datos!$C$2:$C$29513,"&lt;30",Datos!$F$2:$F$29513,"STANDBY"),0),"")</f>
        <v/>
      </c>
      <c r="G34" s="7">
        <f>IFERROR(ROUND(AVERAGEIFS(Datos!$G$2:$G$29513,Datos!$E$2:$E$29513,$A34,Datos!$B$2:$B$29513,10,Datos!$C$2:$C$29513,"&gt;=30",Datos!$F$2:$F$29513,"STANDBY"),0),"")</f>
        <v/>
      </c>
      <c r="H34" s="7">
        <f>IFERROR(ROUND(AVERAGEIFS(Datos!$G$2:$G$29513,Datos!$E$2:$E$29513,$A34,Datos!$B$2:$B$29513,11,Datos!$C$2:$C$29513,"&lt;30",Datos!$F$2:$F$29513,"STANDBY"),0),"")</f>
        <v/>
      </c>
      <c r="I34" s="7">
        <f>IFERROR(ROUND(AVERAGEIFS(Datos!$G$2:$G$29513,Datos!$E$2:$E$29513,$A34,Datos!$B$2:$B$29513,11,Datos!$C$2:$C$29513,"&gt;=30",Datos!$F$2:$F$29513,"STANDBY"),0),"")</f>
        <v/>
      </c>
      <c r="J34" s="7">
        <f>IFERROR(ROUND(AVERAGEIFS(Datos!$G$2:$G$29513,Datos!$E$2:$E$29513,$A34,Datos!$B$2:$B$29513,12,Datos!$C$2:$C$29513,"&lt;30",Datos!$F$2:$F$29513,"STANDBY"),0),"")</f>
        <v/>
      </c>
      <c r="K34" s="7">
        <f>IFERROR(ROUND(AVERAGEIFS(Datos!$G$2:$G$29513,Datos!$E$2:$E$29513,$A34,Datos!$B$2:$B$29513,12,Datos!$C$2:$C$29513,"&gt;=30",Datos!$F$2:$F$29513,"STANDBY"),0),"")</f>
        <v/>
      </c>
      <c r="L34" s="7">
        <f>IFERROR(ROUND(AVERAGEIFS(Datos!$G$2:$G$29513,Datos!$E$2:$E$29513,$A34,Datos!$B$2:$B$29513,13,Datos!$C$2:$C$29513,"&lt;30",Datos!$F$2:$F$29513,"STANDBY"),0),"")</f>
        <v/>
      </c>
      <c r="M34" s="7">
        <f>IFERROR(ROUND(AVERAGEIFS(Datos!$G$2:$G$29513,Datos!$E$2:$E$29513,$A34,Datos!$B$2:$B$29513,13,Datos!$C$2:$C$29513,"&gt;=30",Datos!$F$2:$F$29513,"STANDBY"),0),"")</f>
        <v/>
      </c>
      <c r="N34" s="7">
        <f>IFERROR(ROUND(AVERAGEIFS(Datos!$G$2:$G$29513,Datos!$E$2:$E$29513,$A34,Datos!$B$2:$B$29513,14,Datos!$C$2:$C$29513,"&lt;30",Datos!$F$2:$F$29513,"STANDBY"),0),"")</f>
        <v/>
      </c>
      <c r="O34" s="7">
        <f>IFERROR(ROUND(AVERAGEIFS(Datos!$G$2:$G$29513,Datos!$E$2:$E$29513,$A34,Datos!$B$2:$B$29513,14,Datos!$C$2:$C$29513,"&gt;=30",Datos!$F$2:$F$29513,"STANDBY"),0),"")</f>
        <v/>
      </c>
      <c r="P34" s="7">
        <f>IFERROR(ROUND(AVERAGEIFS(Datos!$G$2:$G$29513,Datos!$E$2:$E$29513,$A34,Datos!$B$2:$B$29513,15,Datos!$C$2:$C$29513,"&lt;30",Datos!$F$2:$F$29513,"STANDBY"),0),"")</f>
        <v/>
      </c>
      <c r="Q34" s="7">
        <f>IFERROR(ROUND(AVERAGEIFS(Datos!$G$2:$G$29513,Datos!$E$2:$E$29513,$A34,Datos!$B$2:$B$29513,15,Datos!$C$2:$C$29513,"&gt;=30",Datos!$F$2:$F$29513,"STANDBY"),0),"")</f>
        <v/>
      </c>
      <c r="R34" s="7">
        <f>IFERROR(ROUND(AVERAGEIFS(Datos!$G$2:$G$29513,Datos!$E$2:$E$29513,$A34,Datos!$B$2:$B$29513,16,Datos!$C$2:$C$29513,"&lt;30",Datos!$F$2:$F$29513,"STANDBY"),0),"")</f>
        <v/>
      </c>
      <c r="S34" s="7">
        <f>IFERROR(ROUND(AVERAGEIFS(Datos!$G$2:$G$29513,Datos!$E$2:$E$29513,$A34,Datos!$B$2:$B$29513,16,Datos!$C$2:$C$29513,"&gt;=30",Datos!$F$2:$F$29513,"STANDBY"),0),"")</f>
        <v/>
      </c>
      <c r="T34" s="7">
        <f>IFERROR(ROUND(AVERAGEIFS(Datos!$G$2:$G$29513,Datos!$E$2:$E$29513,$A34,Datos!$B$2:$B$29513,17,Datos!$C$2:$C$29513,"&lt;30",Datos!$F$2:$F$29513,"STANDBY"),0),"")</f>
        <v/>
      </c>
      <c r="U34" s="7">
        <f>IFERROR(ROUND(AVERAGEIFS(Datos!$G$2:$G$29513,Datos!$E$2:$E$29513,$A34,Datos!$B$2:$B$29513,17,Datos!$C$2:$C$29513,"&gt;=30",Datos!$F$2:$F$29513,"STANDBY"),0),"")</f>
        <v/>
      </c>
      <c r="V34" s="7">
        <f>IFERROR(ROUND(AVERAGEIFS(Datos!$G$2:$G$29513,Datos!$E$2:$E$29513,$A34,Datos!$B$2:$B$29513,18,Datos!$C$2:$C$29513,"&lt;30",Datos!$F$2:$F$29513,"STANDBY"),0),"")</f>
        <v/>
      </c>
      <c r="W34" s="7">
        <f>IFERROR(ROUND(AVERAGEIFS(Datos!$G$2:$G$29513,Datos!$E$2:$E$29513,$A34,Datos!$B$2:$B$29513,18,Datos!$C$2:$C$29513,"&gt;=30",Datos!$F$2:$F$29513,"STANDBY"),0),"")</f>
        <v/>
      </c>
      <c r="X34" s="7">
        <f>IFERROR(ROUND(AVERAGEIFS(Datos!$G$2:$G$29513,Datos!$E$2:$E$29513,$A34,Datos!$B$2:$B$29513,19,Datos!$C$2:$C$29513,"&lt;30",Datos!$F$2:$F$29513,"STANDBY"),0),"")</f>
        <v/>
      </c>
      <c r="Y34" s="7">
        <f>IFERROR(ROUND(AVERAGEIFS(Datos!$G$2:$G$29513,Datos!$E$2:$E$29513,$A34,Datos!$B$2:$B$29513,19,Datos!$C$2:$C$29513,"&gt;=30",Datos!$F$2:$F$29513,"STANDBY"),0),"")</f>
        <v/>
      </c>
      <c r="Z34" s="7">
        <f>IFERROR(ROUND(AVERAGEIFS(Datos!$G$2:$G$29513,Datos!$E$2:$E$29513,$A34,Datos!$B$2:$B$29513,20,Datos!$C$2:$C$29513,"&lt;30",Datos!$F$2:$F$29513,"STANDBY"),0),"")</f>
        <v/>
      </c>
      <c r="AA34" s="7">
        <f>IFERROR(ROUND(AVERAGEIFS(Datos!$G$2:$G$29513,Datos!$E$2:$E$29513,$A34,Datos!$B$2:$B$29513,20,Datos!$C$2:$C$29513,"&gt;=30",Datos!$F$2:$F$29513,"STANDBY"),0),"")</f>
        <v/>
      </c>
      <c r="AB34" s="7">
        <f>IFERROR(ROUND(AVERAGEIFS(Datos!$G$2:$G$29513,Datos!$E$2:$E$29513,$A34,Datos!$B$2:$B$29513,21,Datos!$C$2:$C$29513,"&lt;30",Datos!$F$2:$F$29513,"STANDBY"),0),"")</f>
        <v/>
      </c>
      <c r="AC34" s="7">
        <f>IFERROR(ROUND(AVERAGEIFS(Datos!$G$2:$G$29513,Datos!$E$2:$E$29513,$A34,Datos!$B$2:$B$29513,21,Datos!$C$2:$C$29513,"&gt;=30",Datos!$F$2:$F$29513,"STANDBY"),0),"")</f>
        <v/>
      </c>
      <c r="AD34" s="7">
        <f>IFERROR(ROUND(AVERAGEIFS(Datos!$G$2:$G$29513,Datos!$E$2:$E$29513,$A34,Datos!$B$2:$B$29513,22,Datos!$C$2:$C$29513,"&lt;30",Datos!$F$2:$F$29513,"STANDBY"),0),"")</f>
        <v/>
      </c>
      <c r="AE34" s="7">
        <f>IFERROR(ROUND(AVERAGEIFS(Datos!$G$2:$G$29513,Datos!$E$2:$E$29513,$A34,Datos!$B$2:$B$29513,22,Datos!$C$2:$C$29513,"&gt;=30",Datos!$F$2:$F$29513,"STANDBY"),0),"")</f>
        <v/>
      </c>
      <c r="AF34" s="7">
        <f>IFERROR(ROUND(AVERAGEIFS(Datos!$G$2:$G$29513,Datos!$E$2:$E$29513,$A34,Datos!$B$2:$B$29513,23,Datos!$C$2:$C$29513,"&lt;30",Datos!$F$2:$F$29513,"STANDBY"),0),"")</f>
        <v/>
      </c>
      <c r="AG34" s="7">
        <f>IFERROR(ROUND(AVERAGEIFS(Datos!$G$2:$G$29513,Datos!$E$2:$E$29513,$A34,Datos!$B$2:$B$29513,23,Datos!$C$2:$C$29513,"&gt;=30",Datos!$F$2:$F$29513,"STANDBY"),0),"")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IFERROR(ROUND(AVERAGEIFS(Datos!$G$2:$G$29513,Datos!$E$2:$E$29513,$A35,Datos!$B$2:$B$29513,8,Datos!$C$2:$C$29513,"&lt;30",Datos!$F$2:$F$29513,"STANDBY"),0),"")</f>
        <v/>
      </c>
      <c r="C35" s="7">
        <f>IFERROR(ROUND(AVERAGEIFS(Datos!$G$2:$G$29513,Datos!$E$2:$E$29513,$A35,Datos!$B$2:$B$29513,8,Datos!$C$2:$C$29513,"&gt;=30",Datos!$F$2:$F$29513,"STANDBY"),0),"")</f>
        <v/>
      </c>
      <c r="D35" s="7">
        <f>IFERROR(ROUND(AVERAGEIFS(Datos!$G$2:$G$29513,Datos!$E$2:$E$29513,$A35,Datos!$B$2:$B$29513,9,Datos!$C$2:$C$29513,"&lt;30",Datos!$F$2:$F$29513,"STANDBY"),0),"")</f>
        <v/>
      </c>
      <c r="E35" s="7">
        <f>IFERROR(ROUND(AVERAGEIFS(Datos!$G$2:$G$29513,Datos!$E$2:$E$29513,$A35,Datos!$B$2:$B$29513,9,Datos!$C$2:$C$29513,"&gt;=30",Datos!$F$2:$F$29513,"STANDBY"),0),"")</f>
        <v/>
      </c>
      <c r="F35" s="7">
        <f>IFERROR(ROUND(AVERAGEIFS(Datos!$G$2:$G$29513,Datos!$E$2:$E$29513,$A35,Datos!$B$2:$B$29513,10,Datos!$C$2:$C$29513,"&lt;30",Datos!$F$2:$F$29513,"STANDBY"),0),"")</f>
        <v/>
      </c>
      <c r="G35" s="7">
        <f>IFERROR(ROUND(AVERAGEIFS(Datos!$G$2:$G$29513,Datos!$E$2:$E$29513,$A35,Datos!$B$2:$B$29513,10,Datos!$C$2:$C$29513,"&gt;=30",Datos!$F$2:$F$29513,"STANDBY"),0),"")</f>
        <v/>
      </c>
      <c r="H35" s="7">
        <f>IFERROR(ROUND(AVERAGEIFS(Datos!$G$2:$G$29513,Datos!$E$2:$E$29513,$A35,Datos!$B$2:$B$29513,11,Datos!$C$2:$C$29513,"&lt;30",Datos!$F$2:$F$29513,"STANDBY"),0),"")</f>
        <v/>
      </c>
      <c r="I35" s="7">
        <f>IFERROR(ROUND(AVERAGEIFS(Datos!$G$2:$G$29513,Datos!$E$2:$E$29513,$A35,Datos!$B$2:$B$29513,11,Datos!$C$2:$C$29513,"&gt;=30",Datos!$F$2:$F$29513,"STANDBY"),0),"")</f>
        <v/>
      </c>
      <c r="J35" s="7">
        <f>IFERROR(ROUND(AVERAGEIFS(Datos!$G$2:$G$29513,Datos!$E$2:$E$29513,$A35,Datos!$B$2:$B$29513,12,Datos!$C$2:$C$29513,"&lt;30",Datos!$F$2:$F$29513,"STANDBY"),0),"")</f>
        <v/>
      </c>
      <c r="K35" s="7">
        <f>IFERROR(ROUND(AVERAGEIFS(Datos!$G$2:$G$29513,Datos!$E$2:$E$29513,$A35,Datos!$B$2:$B$29513,12,Datos!$C$2:$C$29513,"&gt;=30",Datos!$F$2:$F$29513,"STANDBY"),0),"")</f>
        <v/>
      </c>
      <c r="L35" s="7">
        <f>IFERROR(ROUND(AVERAGEIFS(Datos!$G$2:$G$29513,Datos!$E$2:$E$29513,$A35,Datos!$B$2:$B$29513,13,Datos!$C$2:$C$29513,"&lt;30",Datos!$F$2:$F$29513,"STANDBY"),0),"")</f>
        <v/>
      </c>
      <c r="M35" s="7">
        <f>IFERROR(ROUND(AVERAGEIFS(Datos!$G$2:$G$29513,Datos!$E$2:$E$29513,$A35,Datos!$B$2:$B$29513,13,Datos!$C$2:$C$29513,"&gt;=30",Datos!$F$2:$F$29513,"STANDBY"),0),"")</f>
        <v/>
      </c>
      <c r="N35" s="7">
        <f>IFERROR(ROUND(AVERAGEIFS(Datos!$G$2:$G$29513,Datos!$E$2:$E$29513,$A35,Datos!$B$2:$B$29513,14,Datos!$C$2:$C$29513,"&lt;30",Datos!$F$2:$F$29513,"STANDBY"),0),"")</f>
        <v/>
      </c>
      <c r="O35" s="7">
        <f>IFERROR(ROUND(AVERAGEIFS(Datos!$G$2:$G$29513,Datos!$E$2:$E$29513,$A35,Datos!$B$2:$B$29513,14,Datos!$C$2:$C$29513,"&gt;=30",Datos!$F$2:$F$29513,"STANDBY"),0),"")</f>
        <v/>
      </c>
      <c r="P35" s="7">
        <f>IFERROR(ROUND(AVERAGEIFS(Datos!$G$2:$G$29513,Datos!$E$2:$E$29513,$A35,Datos!$B$2:$B$29513,15,Datos!$C$2:$C$29513,"&lt;30",Datos!$F$2:$F$29513,"STANDBY"),0),"")</f>
        <v/>
      </c>
      <c r="Q35" s="7">
        <f>IFERROR(ROUND(AVERAGEIFS(Datos!$G$2:$G$29513,Datos!$E$2:$E$29513,$A35,Datos!$B$2:$B$29513,15,Datos!$C$2:$C$29513,"&gt;=30",Datos!$F$2:$F$29513,"STANDBY"),0),"")</f>
        <v/>
      </c>
      <c r="R35" s="7">
        <f>IFERROR(ROUND(AVERAGEIFS(Datos!$G$2:$G$29513,Datos!$E$2:$E$29513,$A35,Datos!$B$2:$B$29513,16,Datos!$C$2:$C$29513,"&lt;30",Datos!$F$2:$F$29513,"STANDBY"),0),"")</f>
        <v/>
      </c>
      <c r="S35" s="7">
        <f>IFERROR(ROUND(AVERAGEIFS(Datos!$G$2:$G$29513,Datos!$E$2:$E$29513,$A35,Datos!$B$2:$B$29513,16,Datos!$C$2:$C$29513,"&gt;=30",Datos!$F$2:$F$29513,"STANDBY"),0),"")</f>
        <v/>
      </c>
      <c r="T35" s="7">
        <f>IFERROR(ROUND(AVERAGEIFS(Datos!$G$2:$G$29513,Datos!$E$2:$E$29513,$A35,Datos!$B$2:$B$29513,17,Datos!$C$2:$C$29513,"&lt;30",Datos!$F$2:$F$29513,"STANDBY"),0),"")</f>
        <v/>
      </c>
      <c r="U35" s="7">
        <f>IFERROR(ROUND(AVERAGEIFS(Datos!$G$2:$G$29513,Datos!$E$2:$E$29513,$A35,Datos!$B$2:$B$29513,17,Datos!$C$2:$C$29513,"&gt;=30",Datos!$F$2:$F$29513,"STANDBY"),0),"")</f>
        <v/>
      </c>
      <c r="V35" s="7">
        <f>IFERROR(ROUND(AVERAGEIFS(Datos!$G$2:$G$29513,Datos!$E$2:$E$29513,$A35,Datos!$B$2:$B$29513,18,Datos!$C$2:$C$29513,"&lt;30",Datos!$F$2:$F$29513,"STANDBY"),0),"")</f>
        <v/>
      </c>
      <c r="W35" s="7">
        <f>IFERROR(ROUND(AVERAGEIFS(Datos!$G$2:$G$29513,Datos!$E$2:$E$29513,$A35,Datos!$B$2:$B$29513,18,Datos!$C$2:$C$29513,"&gt;=30",Datos!$F$2:$F$29513,"STANDBY"),0),"")</f>
        <v/>
      </c>
      <c r="X35" s="7">
        <f>IFERROR(ROUND(AVERAGEIFS(Datos!$G$2:$G$29513,Datos!$E$2:$E$29513,$A35,Datos!$B$2:$B$29513,19,Datos!$C$2:$C$29513,"&lt;30",Datos!$F$2:$F$29513,"STANDBY"),0),"")</f>
        <v/>
      </c>
      <c r="Y35" s="7">
        <f>IFERROR(ROUND(AVERAGEIFS(Datos!$G$2:$G$29513,Datos!$E$2:$E$29513,$A35,Datos!$B$2:$B$29513,19,Datos!$C$2:$C$29513,"&gt;=30",Datos!$F$2:$F$29513,"STANDBY"),0),"")</f>
        <v/>
      </c>
      <c r="Z35" s="7">
        <f>IFERROR(ROUND(AVERAGEIFS(Datos!$G$2:$G$29513,Datos!$E$2:$E$29513,$A35,Datos!$B$2:$B$29513,20,Datos!$C$2:$C$29513,"&lt;30",Datos!$F$2:$F$29513,"STANDBY"),0),"")</f>
        <v/>
      </c>
      <c r="AA35" s="7">
        <f>IFERROR(ROUND(AVERAGEIFS(Datos!$G$2:$G$29513,Datos!$E$2:$E$29513,$A35,Datos!$B$2:$B$29513,20,Datos!$C$2:$C$29513,"&gt;=30",Datos!$F$2:$F$29513,"STANDBY"),0),"")</f>
        <v/>
      </c>
      <c r="AB35" s="7">
        <f>IFERROR(ROUND(AVERAGEIFS(Datos!$G$2:$G$29513,Datos!$E$2:$E$29513,$A35,Datos!$B$2:$B$29513,21,Datos!$C$2:$C$29513,"&lt;30",Datos!$F$2:$F$29513,"STANDBY"),0),"")</f>
        <v/>
      </c>
      <c r="AC35" s="7">
        <f>IFERROR(ROUND(AVERAGEIFS(Datos!$G$2:$G$29513,Datos!$E$2:$E$29513,$A35,Datos!$B$2:$B$29513,21,Datos!$C$2:$C$29513,"&gt;=30",Datos!$F$2:$F$29513,"STANDBY"),0),"")</f>
        <v/>
      </c>
      <c r="AD35" s="7">
        <f>IFERROR(ROUND(AVERAGEIFS(Datos!$G$2:$G$29513,Datos!$E$2:$E$29513,$A35,Datos!$B$2:$B$29513,22,Datos!$C$2:$C$29513,"&lt;30",Datos!$F$2:$F$29513,"STANDBY"),0),"")</f>
        <v/>
      </c>
      <c r="AE35" s="7">
        <f>IFERROR(ROUND(AVERAGEIFS(Datos!$G$2:$G$29513,Datos!$E$2:$E$29513,$A35,Datos!$B$2:$B$29513,22,Datos!$C$2:$C$29513,"&gt;=30",Datos!$F$2:$F$29513,"STANDBY"),0),"")</f>
        <v/>
      </c>
      <c r="AF35" s="7">
        <f>IFERROR(ROUND(AVERAGEIFS(Datos!$G$2:$G$29513,Datos!$E$2:$E$29513,$A35,Datos!$B$2:$B$29513,23,Datos!$C$2:$C$29513,"&lt;30",Datos!$F$2:$F$29513,"STANDBY"),0),"")</f>
        <v/>
      </c>
      <c r="AG35" s="7">
        <f>IFERROR(ROUND(AVERAGEIFS(Datos!$G$2:$G$29513,Datos!$E$2:$E$29513,$A35,Datos!$B$2:$B$29513,23,Datos!$C$2:$C$29513,"&gt;=30",Datos!$F$2:$F$29513,"STANDBY"),0),"")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IFERROR(ROUND(AVERAGEIFS(Datos!$G$2:$G$29513,Datos!$E$2:$E$29513,$A36,Datos!$B$2:$B$29513,8,Datos!$C$2:$C$29513,"&lt;30",Datos!$F$2:$F$29513,"STANDBY"),0),"")</f>
        <v/>
      </c>
      <c r="C36" s="7">
        <f>IFERROR(ROUND(AVERAGEIFS(Datos!$G$2:$G$29513,Datos!$E$2:$E$29513,$A36,Datos!$B$2:$B$29513,8,Datos!$C$2:$C$29513,"&gt;=30",Datos!$F$2:$F$29513,"STANDBY"),0),"")</f>
        <v/>
      </c>
      <c r="D36" s="7">
        <f>IFERROR(ROUND(AVERAGEIFS(Datos!$G$2:$G$29513,Datos!$E$2:$E$29513,$A36,Datos!$B$2:$B$29513,9,Datos!$C$2:$C$29513,"&lt;30",Datos!$F$2:$F$29513,"STANDBY"),0),"")</f>
        <v/>
      </c>
      <c r="E36" s="7">
        <f>IFERROR(ROUND(AVERAGEIFS(Datos!$G$2:$G$29513,Datos!$E$2:$E$29513,$A36,Datos!$B$2:$B$29513,9,Datos!$C$2:$C$29513,"&gt;=30",Datos!$F$2:$F$29513,"STANDBY"),0),"")</f>
        <v/>
      </c>
      <c r="F36" s="7">
        <f>IFERROR(ROUND(AVERAGEIFS(Datos!$G$2:$G$29513,Datos!$E$2:$E$29513,$A36,Datos!$B$2:$B$29513,10,Datos!$C$2:$C$29513,"&lt;30",Datos!$F$2:$F$29513,"STANDBY"),0),"")</f>
        <v/>
      </c>
      <c r="G36" s="7">
        <f>IFERROR(ROUND(AVERAGEIFS(Datos!$G$2:$G$29513,Datos!$E$2:$E$29513,$A36,Datos!$B$2:$B$29513,10,Datos!$C$2:$C$29513,"&gt;=30",Datos!$F$2:$F$29513,"STANDBY"),0),"")</f>
        <v/>
      </c>
      <c r="H36" s="7">
        <f>IFERROR(ROUND(AVERAGEIFS(Datos!$G$2:$G$29513,Datos!$E$2:$E$29513,$A36,Datos!$B$2:$B$29513,11,Datos!$C$2:$C$29513,"&lt;30",Datos!$F$2:$F$29513,"STANDBY"),0),"")</f>
        <v/>
      </c>
      <c r="I36" s="7">
        <f>IFERROR(ROUND(AVERAGEIFS(Datos!$G$2:$G$29513,Datos!$E$2:$E$29513,$A36,Datos!$B$2:$B$29513,11,Datos!$C$2:$C$29513,"&gt;=30",Datos!$F$2:$F$29513,"STANDBY"),0),"")</f>
        <v/>
      </c>
      <c r="J36" s="7">
        <f>IFERROR(ROUND(AVERAGEIFS(Datos!$G$2:$G$29513,Datos!$E$2:$E$29513,$A36,Datos!$B$2:$B$29513,12,Datos!$C$2:$C$29513,"&lt;30",Datos!$F$2:$F$29513,"STANDBY"),0),"")</f>
        <v/>
      </c>
      <c r="K36" s="7">
        <f>IFERROR(ROUND(AVERAGEIFS(Datos!$G$2:$G$29513,Datos!$E$2:$E$29513,$A36,Datos!$B$2:$B$29513,12,Datos!$C$2:$C$29513,"&gt;=30",Datos!$F$2:$F$29513,"STANDBY"),0),"")</f>
        <v/>
      </c>
      <c r="L36" s="7">
        <f>IFERROR(ROUND(AVERAGEIFS(Datos!$G$2:$G$29513,Datos!$E$2:$E$29513,$A36,Datos!$B$2:$B$29513,13,Datos!$C$2:$C$29513,"&lt;30",Datos!$F$2:$F$29513,"STANDBY"),0),"")</f>
        <v/>
      </c>
      <c r="M36" s="7">
        <f>IFERROR(ROUND(AVERAGEIFS(Datos!$G$2:$G$29513,Datos!$E$2:$E$29513,$A36,Datos!$B$2:$B$29513,13,Datos!$C$2:$C$29513,"&gt;=30",Datos!$F$2:$F$29513,"STANDBY"),0),"")</f>
        <v/>
      </c>
      <c r="N36" s="7">
        <f>IFERROR(ROUND(AVERAGEIFS(Datos!$G$2:$G$29513,Datos!$E$2:$E$29513,$A36,Datos!$B$2:$B$29513,14,Datos!$C$2:$C$29513,"&lt;30",Datos!$F$2:$F$29513,"STANDBY"),0),"")</f>
        <v/>
      </c>
      <c r="O36" s="7">
        <f>IFERROR(ROUND(AVERAGEIFS(Datos!$G$2:$G$29513,Datos!$E$2:$E$29513,$A36,Datos!$B$2:$B$29513,14,Datos!$C$2:$C$29513,"&gt;=30",Datos!$F$2:$F$29513,"STANDBY"),0),"")</f>
        <v/>
      </c>
      <c r="P36" s="7">
        <f>IFERROR(ROUND(AVERAGEIFS(Datos!$G$2:$G$29513,Datos!$E$2:$E$29513,$A36,Datos!$B$2:$B$29513,15,Datos!$C$2:$C$29513,"&lt;30",Datos!$F$2:$F$29513,"STANDBY"),0),"")</f>
        <v/>
      </c>
      <c r="Q36" s="7">
        <f>IFERROR(ROUND(AVERAGEIFS(Datos!$G$2:$G$29513,Datos!$E$2:$E$29513,$A36,Datos!$B$2:$B$29513,15,Datos!$C$2:$C$29513,"&gt;=30",Datos!$F$2:$F$29513,"STANDBY"),0),"")</f>
        <v/>
      </c>
      <c r="R36" s="7">
        <f>IFERROR(ROUND(AVERAGEIFS(Datos!$G$2:$G$29513,Datos!$E$2:$E$29513,$A36,Datos!$B$2:$B$29513,16,Datos!$C$2:$C$29513,"&lt;30",Datos!$F$2:$F$29513,"STANDBY"),0),"")</f>
        <v/>
      </c>
      <c r="S36" s="7">
        <f>IFERROR(ROUND(AVERAGEIFS(Datos!$G$2:$G$29513,Datos!$E$2:$E$29513,$A36,Datos!$B$2:$B$29513,16,Datos!$C$2:$C$29513,"&gt;=30",Datos!$F$2:$F$29513,"STANDBY"),0),"")</f>
        <v/>
      </c>
      <c r="T36" s="7">
        <f>IFERROR(ROUND(AVERAGEIFS(Datos!$G$2:$G$29513,Datos!$E$2:$E$29513,$A36,Datos!$B$2:$B$29513,17,Datos!$C$2:$C$29513,"&lt;30",Datos!$F$2:$F$29513,"STANDBY"),0),"")</f>
        <v/>
      </c>
      <c r="U36" s="7">
        <f>IFERROR(ROUND(AVERAGEIFS(Datos!$G$2:$G$29513,Datos!$E$2:$E$29513,$A36,Datos!$B$2:$B$29513,17,Datos!$C$2:$C$29513,"&gt;=30",Datos!$F$2:$F$29513,"STANDBY"),0),"")</f>
        <v/>
      </c>
      <c r="V36" s="7">
        <f>IFERROR(ROUND(AVERAGEIFS(Datos!$G$2:$G$29513,Datos!$E$2:$E$29513,$A36,Datos!$B$2:$B$29513,18,Datos!$C$2:$C$29513,"&lt;30",Datos!$F$2:$F$29513,"STANDBY"),0),"")</f>
        <v/>
      </c>
      <c r="W36" s="7">
        <f>IFERROR(ROUND(AVERAGEIFS(Datos!$G$2:$G$29513,Datos!$E$2:$E$29513,$A36,Datos!$B$2:$B$29513,18,Datos!$C$2:$C$29513,"&gt;=30",Datos!$F$2:$F$29513,"STANDBY"),0),"")</f>
        <v/>
      </c>
      <c r="X36" s="7">
        <f>IFERROR(ROUND(AVERAGEIFS(Datos!$G$2:$G$29513,Datos!$E$2:$E$29513,$A36,Datos!$B$2:$B$29513,19,Datos!$C$2:$C$29513,"&lt;30",Datos!$F$2:$F$29513,"STANDBY"),0),"")</f>
        <v/>
      </c>
      <c r="Y36" s="7">
        <f>IFERROR(ROUND(AVERAGEIFS(Datos!$G$2:$G$29513,Datos!$E$2:$E$29513,$A36,Datos!$B$2:$B$29513,19,Datos!$C$2:$C$29513,"&gt;=30",Datos!$F$2:$F$29513,"STANDBY"),0),"")</f>
        <v/>
      </c>
      <c r="Z36" s="7">
        <f>IFERROR(ROUND(AVERAGEIFS(Datos!$G$2:$G$29513,Datos!$E$2:$E$29513,$A36,Datos!$B$2:$B$29513,20,Datos!$C$2:$C$29513,"&lt;30",Datos!$F$2:$F$29513,"STANDBY"),0),"")</f>
        <v/>
      </c>
      <c r="AA36" s="7">
        <f>IFERROR(ROUND(AVERAGEIFS(Datos!$G$2:$G$29513,Datos!$E$2:$E$29513,$A36,Datos!$B$2:$B$29513,20,Datos!$C$2:$C$29513,"&gt;=30",Datos!$F$2:$F$29513,"STANDBY"),0),"")</f>
        <v/>
      </c>
      <c r="AB36" s="7">
        <f>IFERROR(ROUND(AVERAGEIFS(Datos!$G$2:$G$29513,Datos!$E$2:$E$29513,$A36,Datos!$B$2:$B$29513,21,Datos!$C$2:$C$29513,"&lt;30",Datos!$F$2:$F$29513,"STANDBY"),0),"")</f>
        <v/>
      </c>
      <c r="AC36" s="7">
        <f>IFERROR(ROUND(AVERAGEIFS(Datos!$G$2:$G$29513,Datos!$E$2:$E$29513,$A36,Datos!$B$2:$B$29513,21,Datos!$C$2:$C$29513,"&gt;=30",Datos!$F$2:$F$29513,"STANDBY"),0),"")</f>
        <v/>
      </c>
      <c r="AD36" s="7">
        <f>IFERROR(ROUND(AVERAGEIFS(Datos!$G$2:$G$29513,Datos!$E$2:$E$29513,$A36,Datos!$B$2:$B$29513,22,Datos!$C$2:$C$29513,"&lt;30",Datos!$F$2:$F$29513,"STANDBY"),0),"")</f>
        <v/>
      </c>
      <c r="AE36" s="7">
        <f>IFERROR(ROUND(AVERAGEIFS(Datos!$G$2:$G$29513,Datos!$E$2:$E$29513,$A36,Datos!$B$2:$B$29513,22,Datos!$C$2:$C$29513,"&gt;=30",Datos!$F$2:$F$29513,"STANDBY"),0),"")</f>
        <v/>
      </c>
      <c r="AF36" s="7">
        <f>IFERROR(ROUND(AVERAGEIFS(Datos!$G$2:$G$29513,Datos!$E$2:$E$29513,$A36,Datos!$B$2:$B$29513,23,Datos!$C$2:$C$29513,"&lt;30",Datos!$F$2:$F$29513,"STANDBY"),0),"")</f>
        <v/>
      </c>
      <c r="AG36" s="7">
        <f>IFERROR(ROUND(AVERAGEIFS(Datos!$G$2:$G$29513,Datos!$E$2:$E$29513,$A36,Datos!$B$2:$B$29513,23,Datos!$C$2:$C$29513,"&gt;=30",Datos!$F$2:$F$29513,"STANDBY"),0),"")</f>
        <v/>
      </c>
    </row>
    <row r="37">
      <c r="A37" s="6" t="inlineStr">
        <is>
          <t>Dumbo the Flying Elephant</t>
        </is>
      </c>
      <c r="B37" s="7">
        <f>IFERROR(ROUND(AVERAGEIFS(Datos!$G$2:$G$29513,Datos!$E$2:$E$29513,$A37,Datos!$B$2:$B$29513,8,Datos!$C$2:$C$29513,"&lt;30",Datos!$F$2:$F$29513,"STANDBY"),0),"")</f>
        <v/>
      </c>
      <c r="C37" s="7">
        <f>IFERROR(ROUND(AVERAGEIFS(Datos!$G$2:$G$29513,Datos!$E$2:$E$29513,$A37,Datos!$B$2:$B$29513,8,Datos!$C$2:$C$29513,"&gt;=30",Datos!$F$2:$F$29513,"STANDBY"),0),"")</f>
        <v/>
      </c>
      <c r="D37" s="7">
        <f>IFERROR(ROUND(AVERAGEIFS(Datos!$G$2:$G$29513,Datos!$E$2:$E$29513,$A37,Datos!$B$2:$B$29513,9,Datos!$C$2:$C$29513,"&lt;30",Datos!$F$2:$F$29513,"STANDBY"),0),"")</f>
        <v/>
      </c>
      <c r="E37" s="7">
        <f>IFERROR(ROUND(AVERAGEIFS(Datos!$G$2:$G$29513,Datos!$E$2:$E$29513,$A37,Datos!$B$2:$B$29513,9,Datos!$C$2:$C$29513,"&gt;=30",Datos!$F$2:$F$29513,"STANDBY"),0),"")</f>
        <v/>
      </c>
      <c r="F37" s="7">
        <f>IFERROR(ROUND(AVERAGEIFS(Datos!$G$2:$G$29513,Datos!$E$2:$E$29513,$A37,Datos!$B$2:$B$29513,10,Datos!$C$2:$C$29513,"&lt;30",Datos!$F$2:$F$29513,"STANDBY"),0),"")</f>
        <v/>
      </c>
      <c r="G37" s="7">
        <f>IFERROR(ROUND(AVERAGEIFS(Datos!$G$2:$G$29513,Datos!$E$2:$E$29513,$A37,Datos!$B$2:$B$29513,10,Datos!$C$2:$C$29513,"&gt;=30",Datos!$F$2:$F$29513,"STANDBY"),0),"")</f>
        <v/>
      </c>
      <c r="H37" s="7">
        <f>IFERROR(ROUND(AVERAGEIFS(Datos!$G$2:$G$29513,Datos!$E$2:$E$29513,$A37,Datos!$B$2:$B$29513,11,Datos!$C$2:$C$29513,"&lt;30",Datos!$F$2:$F$29513,"STANDBY"),0),"")</f>
        <v/>
      </c>
      <c r="I37" s="7">
        <f>IFERROR(ROUND(AVERAGEIFS(Datos!$G$2:$G$29513,Datos!$E$2:$E$29513,$A37,Datos!$B$2:$B$29513,11,Datos!$C$2:$C$29513,"&gt;=30",Datos!$F$2:$F$29513,"STANDBY"),0),"")</f>
        <v/>
      </c>
      <c r="J37" s="7">
        <f>IFERROR(ROUND(AVERAGEIFS(Datos!$G$2:$G$29513,Datos!$E$2:$E$29513,$A37,Datos!$B$2:$B$29513,12,Datos!$C$2:$C$29513,"&lt;30",Datos!$F$2:$F$29513,"STANDBY"),0),"")</f>
        <v/>
      </c>
      <c r="K37" s="7">
        <f>IFERROR(ROUND(AVERAGEIFS(Datos!$G$2:$G$29513,Datos!$E$2:$E$29513,$A37,Datos!$B$2:$B$29513,12,Datos!$C$2:$C$29513,"&gt;=30",Datos!$F$2:$F$29513,"STANDBY"),0),"")</f>
        <v/>
      </c>
      <c r="L37" s="7">
        <f>IFERROR(ROUND(AVERAGEIFS(Datos!$G$2:$G$29513,Datos!$E$2:$E$29513,$A37,Datos!$B$2:$B$29513,13,Datos!$C$2:$C$29513,"&lt;30",Datos!$F$2:$F$29513,"STANDBY"),0),"")</f>
        <v/>
      </c>
      <c r="M37" s="7">
        <f>IFERROR(ROUND(AVERAGEIFS(Datos!$G$2:$G$29513,Datos!$E$2:$E$29513,$A37,Datos!$B$2:$B$29513,13,Datos!$C$2:$C$29513,"&gt;=30",Datos!$F$2:$F$29513,"STANDBY"),0),"")</f>
        <v/>
      </c>
      <c r="N37" s="7">
        <f>IFERROR(ROUND(AVERAGEIFS(Datos!$G$2:$G$29513,Datos!$E$2:$E$29513,$A37,Datos!$B$2:$B$29513,14,Datos!$C$2:$C$29513,"&lt;30",Datos!$F$2:$F$29513,"STANDBY"),0),"")</f>
        <v/>
      </c>
      <c r="O37" s="7">
        <f>IFERROR(ROUND(AVERAGEIFS(Datos!$G$2:$G$29513,Datos!$E$2:$E$29513,$A37,Datos!$B$2:$B$29513,14,Datos!$C$2:$C$29513,"&gt;=30",Datos!$F$2:$F$29513,"STANDBY"),0),"")</f>
        <v/>
      </c>
      <c r="P37" s="7">
        <f>IFERROR(ROUND(AVERAGEIFS(Datos!$G$2:$G$29513,Datos!$E$2:$E$29513,$A37,Datos!$B$2:$B$29513,15,Datos!$C$2:$C$29513,"&lt;30",Datos!$F$2:$F$29513,"STANDBY"),0),"")</f>
        <v/>
      </c>
      <c r="Q37" s="7">
        <f>IFERROR(ROUND(AVERAGEIFS(Datos!$G$2:$G$29513,Datos!$E$2:$E$29513,$A37,Datos!$B$2:$B$29513,15,Datos!$C$2:$C$29513,"&gt;=30",Datos!$F$2:$F$29513,"STANDBY"),0),"")</f>
        <v/>
      </c>
      <c r="R37" s="7">
        <f>IFERROR(ROUND(AVERAGEIFS(Datos!$G$2:$G$29513,Datos!$E$2:$E$29513,$A37,Datos!$B$2:$B$29513,16,Datos!$C$2:$C$29513,"&lt;30",Datos!$F$2:$F$29513,"STANDBY"),0),"")</f>
        <v/>
      </c>
      <c r="S37" s="7">
        <f>IFERROR(ROUND(AVERAGEIFS(Datos!$G$2:$G$29513,Datos!$E$2:$E$29513,$A37,Datos!$B$2:$B$29513,16,Datos!$C$2:$C$29513,"&gt;=30",Datos!$F$2:$F$29513,"STANDBY"),0),"")</f>
        <v/>
      </c>
      <c r="T37" s="7">
        <f>IFERROR(ROUND(AVERAGEIFS(Datos!$G$2:$G$29513,Datos!$E$2:$E$29513,$A37,Datos!$B$2:$B$29513,17,Datos!$C$2:$C$29513,"&lt;30",Datos!$F$2:$F$29513,"STANDBY"),0),"")</f>
        <v/>
      </c>
      <c r="U37" s="7">
        <f>IFERROR(ROUND(AVERAGEIFS(Datos!$G$2:$G$29513,Datos!$E$2:$E$29513,$A37,Datos!$B$2:$B$29513,17,Datos!$C$2:$C$29513,"&gt;=30",Datos!$F$2:$F$29513,"STANDBY"),0),"")</f>
        <v/>
      </c>
      <c r="V37" s="7">
        <f>IFERROR(ROUND(AVERAGEIFS(Datos!$G$2:$G$29513,Datos!$E$2:$E$29513,$A37,Datos!$B$2:$B$29513,18,Datos!$C$2:$C$29513,"&lt;30",Datos!$F$2:$F$29513,"STANDBY"),0),"")</f>
        <v/>
      </c>
      <c r="W37" s="7">
        <f>IFERROR(ROUND(AVERAGEIFS(Datos!$G$2:$G$29513,Datos!$E$2:$E$29513,$A37,Datos!$B$2:$B$29513,18,Datos!$C$2:$C$29513,"&gt;=30",Datos!$F$2:$F$29513,"STANDBY"),0),"")</f>
        <v/>
      </c>
      <c r="X37" s="7">
        <f>IFERROR(ROUND(AVERAGEIFS(Datos!$G$2:$G$29513,Datos!$E$2:$E$29513,$A37,Datos!$B$2:$B$29513,19,Datos!$C$2:$C$29513,"&lt;30",Datos!$F$2:$F$29513,"STANDBY"),0),"")</f>
        <v/>
      </c>
      <c r="Y37" s="7">
        <f>IFERROR(ROUND(AVERAGEIFS(Datos!$G$2:$G$29513,Datos!$E$2:$E$29513,$A37,Datos!$B$2:$B$29513,19,Datos!$C$2:$C$29513,"&gt;=30",Datos!$F$2:$F$29513,"STANDBY"),0),"")</f>
        <v/>
      </c>
      <c r="Z37" s="7">
        <f>IFERROR(ROUND(AVERAGEIFS(Datos!$G$2:$G$29513,Datos!$E$2:$E$29513,$A37,Datos!$B$2:$B$29513,20,Datos!$C$2:$C$29513,"&lt;30",Datos!$F$2:$F$29513,"STANDBY"),0),"")</f>
        <v/>
      </c>
      <c r="AA37" s="7">
        <f>IFERROR(ROUND(AVERAGEIFS(Datos!$G$2:$G$29513,Datos!$E$2:$E$29513,$A37,Datos!$B$2:$B$29513,20,Datos!$C$2:$C$29513,"&gt;=30",Datos!$F$2:$F$29513,"STANDBY"),0),"")</f>
        <v/>
      </c>
      <c r="AB37" s="7">
        <f>IFERROR(ROUND(AVERAGEIFS(Datos!$G$2:$G$29513,Datos!$E$2:$E$29513,$A37,Datos!$B$2:$B$29513,21,Datos!$C$2:$C$29513,"&lt;30",Datos!$F$2:$F$29513,"STANDBY"),0),"")</f>
        <v/>
      </c>
      <c r="AC37" s="7">
        <f>IFERROR(ROUND(AVERAGEIFS(Datos!$G$2:$G$29513,Datos!$E$2:$E$29513,$A37,Datos!$B$2:$B$29513,21,Datos!$C$2:$C$29513,"&gt;=30",Datos!$F$2:$F$29513,"STANDBY"),0),"")</f>
        <v/>
      </c>
      <c r="AD37" s="7">
        <f>IFERROR(ROUND(AVERAGEIFS(Datos!$G$2:$G$29513,Datos!$E$2:$E$29513,$A37,Datos!$B$2:$B$29513,22,Datos!$C$2:$C$29513,"&lt;30",Datos!$F$2:$F$29513,"STANDBY"),0),"")</f>
        <v/>
      </c>
      <c r="AE37" s="7">
        <f>IFERROR(ROUND(AVERAGEIFS(Datos!$G$2:$G$29513,Datos!$E$2:$E$29513,$A37,Datos!$B$2:$B$29513,22,Datos!$C$2:$C$29513,"&gt;=30",Datos!$F$2:$F$29513,"STANDBY"),0),"")</f>
        <v/>
      </c>
      <c r="AF37" s="7">
        <f>IFERROR(ROUND(AVERAGEIFS(Datos!$G$2:$G$29513,Datos!$E$2:$E$29513,$A37,Datos!$B$2:$B$29513,23,Datos!$C$2:$C$29513,"&lt;30",Datos!$F$2:$F$29513,"STANDBY"),0),"")</f>
        <v/>
      </c>
      <c r="AG37" s="7">
        <f>IFERROR(ROUND(AVERAGEIFS(Datos!$G$2:$G$29513,Datos!$E$2:$E$29513,$A37,Datos!$B$2:$B$29513,23,Datos!$C$2:$C$29513,"&gt;=30",Datos!$F$2:$F$29513,"STANDBY"),0),"")</f>
        <v/>
      </c>
    </row>
    <row r="38">
      <c r="A38" s="6" t="inlineStr">
        <is>
          <t>Frontierland Playground</t>
        </is>
      </c>
      <c r="B38" s="7">
        <f>IFERROR(ROUND(AVERAGEIFS(Datos!$G$2:$G$29513,Datos!$E$2:$E$29513,$A38,Datos!$B$2:$B$29513,8,Datos!$C$2:$C$29513,"&lt;30",Datos!$F$2:$F$29513,"STANDBY"),0),"")</f>
        <v/>
      </c>
      <c r="C38" s="7">
        <f>IFERROR(ROUND(AVERAGEIFS(Datos!$G$2:$G$29513,Datos!$E$2:$E$29513,$A38,Datos!$B$2:$B$29513,8,Datos!$C$2:$C$29513,"&gt;=30",Datos!$F$2:$F$29513,"STANDBY"),0),"")</f>
        <v/>
      </c>
      <c r="D38" s="7">
        <f>IFERROR(ROUND(AVERAGEIFS(Datos!$G$2:$G$29513,Datos!$E$2:$E$29513,$A38,Datos!$B$2:$B$29513,9,Datos!$C$2:$C$29513,"&lt;30",Datos!$F$2:$F$29513,"STANDBY"),0),"")</f>
        <v/>
      </c>
      <c r="E38" s="7">
        <f>IFERROR(ROUND(AVERAGEIFS(Datos!$G$2:$G$29513,Datos!$E$2:$E$29513,$A38,Datos!$B$2:$B$29513,9,Datos!$C$2:$C$29513,"&gt;=30",Datos!$F$2:$F$29513,"STANDBY"),0),"")</f>
        <v/>
      </c>
      <c r="F38" s="7">
        <f>IFERROR(ROUND(AVERAGEIFS(Datos!$G$2:$G$29513,Datos!$E$2:$E$29513,$A38,Datos!$B$2:$B$29513,10,Datos!$C$2:$C$29513,"&lt;30",Datos!$F$2:$F$29513,"STANDBY"),0),"")</f>
        <v/>
      </c>
      <c r="G38" s="7">
        <f>IFERROR(ROUND(AVERAGEIFS(Datos!$G$2:$G$29513,Datos!$E$2:$E$29513,$A38,Datos!$B$2:$B$29513,10,Datos!$C$2:$C$29513,"&gt;=30",Datos!$F$2:$F$29513,"STANDBY"),0),"")</f>
        <v/>
      </c>
      <c r="H38" s="7">
        <f>IFERROR(ROUND(AVERAGEIFS(Datos!$G$2:$G$29513,Datos!$E$2:$E$29513,$A38,Datos!$B$2:$B$29513,11,Datos!$C$2:$C$29513,"&lt;30",Datos!$F$2:$F$29513,"STANDBY"),0),"")</f>
        <v/>
      </c>
      <c r="I38" s="7">
        <f>IFERROR(ROUND(AVERAGEIFS(Datos!$G$2:$G$29513,Datos!$E$2:$E$29513,$A38,Datos!$B$2:$B$29513,11,Datos!$C$2:$C$29513,"&gt;=30",Datos!$F$2:$F$29513,"STANDBY"),0),"")</f>
        <v/>
      </c>
      <c r="J38" s="7">
        <f>IFERROR(ROUND(AVERAGEIFS(Datos!$G$2:$G$29513,Datos!$E$2:$E$29513,$A38,Datos!$B$2:$B$29513,12,Datos!$C$2:$C$29513,"&lt;30",Datos!$F$2:$F$29513,"STANDBY"),0),"")</f>
        <v/>
      </c>
      <c r="K38" s="7">
        <f>IFERROR(ROUND(AVERAGEIFS(Datos!$G$2:$G$29513,Datos!$E$2:$E$29513,$A38,Datos!$B$2:$B$29513,12,Datos!$C$2:$C$29513,"&gt;=30",Datos!$F$2:$F$29513,"STANDBY"),0),"")</f>
        <v/>
      </c>
      <c r="L38" s="7">
        <f>IFERROR(ROUND(AVERAGEIFS(Datos!$G$2:$G$29513,Datos!$E$2:$E$29513,$A38,Datos!$B$2:$B$29513,13,Datos!$C$2:$C$29513,"&lt;30",Datos!$F$2:$F$29513,"STANDBY"),0),"")</f>
        <v/>
      </c>
      <c r="M38" s="7">
        <f>IFERROR(ROUND(AVERAGEIFS(Datos!$G$2:$G$29513,Datos!$E$2:$E$29513,$A38,Datos!$B$2:$B$29513,13,Datos!$C$2:$C$29513,"&gt;=30",Datos!$F$2:$F$29513,"STANDBY"),0),"")</f>
        <v/>
      </c>
      <c r="N38" s="7">
        <f>IFERROR(ROUND(AVERAGEIFS(Datos!$G$2:$G$29513,Datos!$E$2:$E$29513,$A38,Datos!$B$2:$B$29513,14,Datos!$C$2:$C$29513,"&lt;30",Datos!$F$2:$F$29513,"STANDBY"),0),"")</f>
        <v/>
      </c>
      <c r="O38" s="7">
        <f>IFERROR(ROUND(AVERAGEIFS(Datos!$G$2:$G$29513,Datos!$E$2:$E$29513,$A38,Datos!$B$2:$B$29513,14,Datos!$C$2:$C$29513,"&gt;=30",Datos!$F$2:$F$29513,"STANDBY"),0),"")</f>
        <v/>
      </c>
      <c r="P38" s="7">
        <f>IFERROR(ROUND(AVERAGEIFS(Datos!$G$2:$G$29513,Datos!$E$2:$E$29513,$A38,Datos!$B$2:$B$29513,15,Datos!$C$2:$C$29513,"&lt;30",Datos!$F$2:$F$29513,"STANDBY"),0),"")</f>
        <v/>
      </c>
      <c r="Q38" s="7">
        <f>IFERROR(ROUND(AVERAGEIFS(Datos!$G$2:$G$29513,Datos!$E$2:$E$29513,$A38,Datos!$B$2:$B$29513,15,Datos!$C$2:$C$29513,"&gt;=30",Datos!$F$2:$F$29513,"STANDBY"),0),"")</f>
        <v/>
      </c>
      <c r="R38" s="7">
        <f>IFERROR(ROUND(AVERAGEIFS(Datos!$G$2:$G$29513,Datos!$E$2:$E$29513,$A38,Datos!$B$2:$B$29513,16,Datos!$C$2:$C$29513,"&lt;30",Datos!$F$2:$F$29513,"STANDBY"),0),"")</f>
        <v/>
      </c>
      <c r="S38" s="7">
        <f>IFERROR(ROUND(AVERAGEIFS(Datos!$G$2:$G$29513,Datos!$E$2:$E$29513,$A38,Datos!$B$2:$B$29513,16,Datos!$C$2:$C$29513,"&gt;=30",Datos!$F$2:$F$29513,"STANDBY"),0),"")</f>
        <v/>
      </c>
      <c r="T38" s="7">
        <f>IFERROR(ROUND(AVERAGEIFS(Datos!$G$2:$G$29513,Datos!$E$2:$E$29513,$A38,Datos!$B$2:$B$29513,17,Datos!$C$2:$C$29513,"&lt;30",Datos!$F$2:$F$29513,"STANDBY"),0),"")</f>
        <v/>
      </c>
      <c r="U38" s="7">
        <f>IFERROR(ROUND(AVERAGEIFS(Datos!$G$2:$G$29513,Datos!$E$2:$E$29513,$A38,Datos!$B$2:$B$29513,17,Datos!$C$2:$C$29513,"&gt;=30",Datos!$F$2:$F$29513,"STANDBY"),0),"")</f>
        <v/>
      </c>
      <c r="V38" s="7">
        <f>IFERROR(ROUND(AVERAGEIFS(Datos!$G$2:$G$29513,Datos!$E$2:$E$29513,$A38,Datos!$B$2:$B$29513,18,Datos!$C$2:$C$29513,"&lt;30",Datos!$F$2:$F$29513,"STANDBY"),0),"")</f>
        <v/>
      </c>
      <c r="W38" s="7">
        <f>IFERROR(ROUND(AVERAGEIFS(Datos!$G$2:$G$29513,Datos!$E$2:$E$29513,$A38,Datos!$B$2:$B$29513,18,Datos!$C$2:$C$29513,"&gt;=30",Datos!$F$2:$F$29513,"STANDBY"),0),"")</f>
        <v/>
      </c>
      <c r="X38" s="7">
        <f>IFERROR(ROUND(AVERAGEIFS(Datos!$G$2:$G$29513,Datos!$E$2:$E$29513,$A38,Datos!$B$2:$B$29513,19,Datos!$C$2:$C$29513,"&lt;30",Datos!$F$2:$F$29513,"STANDBY"),0),"")</f>
        <v/>
      </c>
      <c r="Y38" s="7">
        <f>IFERROR(ROUND(AVERAGEIFS(Datos!$G$2:$G$29513,Datos!$E$2:$E$29513,$A38,Datos!$B$2:$B$29513,19,Datos!$C$2:$C$29513,"&gt;=30",Datos!$F$2:$F$29513,"STANDBY"),0),"")</f>
        <v/>
      </c>
      <c r="Z38" s="7">
        <f>IFERROR(ROUND(AVERAGEIFS(Datos!$G$2:$G$29513,Datos!$E$2:$E$29513,$A38,Datos!$B$2:$B$29513,20,Datos!$C$2:$C$29513,"&lt;30",Datos!$F$2:$F$29513,"STANDBY"),0),"")</f>
        <v/>
      </c>
      <c r="AA38" s="7">
        <f>IFERROR(ROUND(AVERAGEIFS(Datos!$G$2:$G$29513,Datos!$E$2:$E$29513,$A38,Datos!$B$2:$B$29513,20,Datos!$C$2:$C$29513,"&gt;=30",Datos!$F$2:$F$29513,"STANDBY"),0),"")</f>
        <v/>
      </c>
      <c r="AB38" s="7">
        <f>IFERROR(ROUND(AVERAGEIFS(Datos!$G$2:$G$29513,Datos!$E$2:$E$29513,$A38,Datos!$B$2:$B$29513,21,Datos!$C$2:$C$29513,"&lt;30",Datos!$F$2:$F$29513,"STANDBY"),0),"")</f>
        <v/>
      </c>
      <c r="AC38" s="7">
        <f>IFERROR(ROUND(AVERAGEIFS(Datos!$G$2:$G$29513,Datos!$E$2:$E$29513,$A38,Datos!$B$2:$B$29513,21,Datos!$C$2:$C$29513,"&gt;=30",Datos!$F$2:$F$29513,"STANDBY"),0),"")</f>
        <v/>
      </c>
      <c r="AD38" s="7">
        <f>IFERROR(ROUND(AVERAGEIFS(Datos!$G$2:$G$29513,Datos!$E$2:$E$29513,$A38,Datos!$B$2:$B$29513,22,Datos!$C$2:$C$29513,"&lt;30",Datos!$F$2:$F$29513,"STANDBY"),0),"")</f>
        <v/>
      </c>
      <c r="AE38" s="7">
        <f>IFERROR(ROUND(AVERAGEIFS(Datos!$G$2:$G$29513,Datos!$E$2:$E$29513,$A38,Datos!$B$2:$B$29513,22,Datos!$C$2:$C$29513,"&gt;=30",Datos!$F$2:$F$29513,"STANDBY"),0),"")</f>
        <v/>
      </c>
      <c r="AF38" s="7">
        <f>IFERROR(ROUND(AVERAGEIFS(Datos!$G$2:$G$29513,Datos!$E$2:$E$29513,$A38,Datos!$B$2:$B$29513,23,Datos!$C$2:$C$29513,"&lt;30",Datos!$F$2:$F$29513,"STANDBY"),0),"")</f>
        <v/>
      </c>
      <c r="AG38" s="7">
        <f>IFERROR(ROUND(AVERAGEIFS(Datos!$G$2:$G$29513,Datos!$E$2:$E$29513,$A38,Datos!$B$2:$B$29513,23,Datos!$C$2:$C$29513,"&gt;=30",Datos!$F$2:$F$29513,"STANDBY"),0),"")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IFERROR(ROUND(AVERAGEIFS(Datos!$G$2:$G$29513,Datos!$E$2:$E$29513,$A39,Datos!$B$2:$B$29513,8,Datos!$C$2:$C$29513,"&lt;30",Datos!$F$2:$F$29513,"STANDBY"),0),"")</f>
        <v/>
      </c>
      <c r="C39" s="7">
        <f>IFERROR(ROUND(AVERAGEIFS(Datos!$G$2:$G$29513,Datos!$E$2:$E$29513,$A39,Datos!$B$2:$B$29513,8,Datos!$C$2:$C$29513,"&gt;=30",Datos!$F$2:$F$29513,"STANDBY"),0),"")</f>
        <v/>
      </c>
      <c r="D39" s="7">
        <f>IFERROR(ROUND(AVERAGEIFS(Datos!$G$2:$G$29513,Datos!$E$2:$E$29513,$A39,Datos!$B$2:$B$29513,9,Datos!$C$2:$C$29513,"&lt;30",Datos!$F$2:$F$29513,"STANDBY"),0),"")</f>
        <v/>
      </c>
      <c r="E39" s="7">
        <f>IFERROR(ROUND(AVERAGEIFS(Datos!$G$2:$G$29513,Datos!$E$2:$E$29513,$A39,Datos!$B$2:$B$29513,9,Datos!$C$2:$C$29513,"&gt;=30",Datos!$F$2:$F$29513,"STANDBY"),0),"")</f>
        <v/>
      </c>
      <c r="F39" s="7">
        <f>IFERROR(ROUND(AVERAGEIFS(Datos!$G$2:$G$29513,Datos!$E$2:$E$29513,$A39,Datos!$B$2:$B$29513,10,Datos!$C$2:$C$29513,"&lt;30",Datos!$F$2:$F$29513,"STANDBY"),0),"")</f>
        <v/>
      </c>
      <c r="G39" s="7">
        <f>IFERROR(ROUND(AVERAGEIFS(Datos!$G$2:$G$29513,Datos!$E$2:$E$29513,$A39,Datos!$B$2:$B$29513,10,Datos!$C$2:$C$29513,"&gt;=30",Datos!$F$2:$F$29513,"STANDBY"),0),"")</f>
        <v/>
      </c>
      <c r="H39" s="7">
        <f>IFERROR(ROUND(AVERAGEIFS(Datos!$G$2:$G$29513,Datos!$E$2:$E$29513,$A39,Datos!$B$2:$B$29513,11,Datos!$C$2:$C$29513,"&lt;30",Datos!$F$2:$F$29513,"STANDBY"),0),"")</f>
        <v/>
      </c>
      <c r="I39" s="7">
        <f>IFERROR(ROUND(AVERAGEIFS(Datos!$G$2:$G$29513,Datos!$E$2:$E$29513,$A39,Datos!$B$2:$B$29513,11,Datos!$C$2:$C$29513,"&gt;=30",Datos!$F$2:$F$29513,"STANDBY"),0),"")</f>
        <v/>
      </c>
      <c r="J39" s="7">
        <f>IFERROR(ROUND(AVERAGEIFS(Datos!$G$2:$G$29513,Datos!$E$2:$E$29513,$A39,Datos!$B$2:$B$29513,12,Datos!$C$2:$C$29513,"&lt;30",Datos!$F$2:$F$29513,"STANDBY"),0),"")</f>
        <v/>
      </c>
      <c r="K39" s="7">
        <f>IFERROR(ROUND(AVERAGEIFS(Datos!$G$2:$G$29513,Datos!$E$2:$E$29513,$A39,Datos!$B$2:$B$29513,12,Datos!$C$2:$C$29513,"&gt;=30",Datos!$F$2:$F$29513,"STANDBY"),0),"")</f>
        <v/>
      </c>
      <c r="L39" s="7">
        <f>IFERROR(ROUND(AVERAGEIFS(Datos!$G$2:$G$29513,Datos!$E$2:$E$29513,$A39,Datos!$B$2:$B$29513,13,Datos!$C$2:$C$29513,"&lt;30",Datos!$F$2:$F$29513,"STANDBY"),0),"")</f>
        <v/>
      </c>
      <c r="M39" s="7">
        <f>IFERROR(ROUND(AVERAGEIFS(Datos!$G$2:$G$29513,Datos!$E$2:$E$29513,$A39,Datos!$B$2:$B$29513,13,Datos!$C$2:$C$29513,"&gt;=30",Datos!$F$2:$F$29513,"STANDBY"),0),"")</f>
        <v/>
      </c>
      <c r="N39" s="7">
        <f>IFERROR(ROUND(AVERAGEIFS(Datos!$G$2:$G$29513,Datos!$E$2:$E$29513,$A39,Datos!$B$2:$B$29513,14,Datos!$C$2:$C$29513,"&lt;30",Datos!$F$2:$F$29513,"STANDBY"),0),"")</f>
        <v/>
      </c>
      <c r="O39" s="7">
        <f>IFERROR(ROUND(AVERAGEIFS(Datos!$G$2:$G$29513,Datos!$E$2:$E$29513,$A39,Datos!$B$2:$B$29513,14,Datos!$C$2:$C$29513,"&gt;=30",Datos!$F$2:$F$29513,"STANDBY"),0),"")</f>
        <v/>
      </c>
      <c r="P39" s="7">
        <f>IFERROR(ROUND(AVERAGEIFS(Datos!$G$2:$G$29513,Datos!$E$2:$E$29513,$A39,Datos!$B$2:$B$29513,15,Datos!$C$2:$C$29513,"&lt;30",Datos!$F$2:$F$29513,"STANDBY"),0),"")</f>
        <v/>
      </c>
      <c r="Q39" s="7">
        <f>IFERROR(ROUND(AVERAGEIFS(Datos!$G$2:$G$29513,Datos!$E$2:$E$29513,$A39,Datos!$B$2:$B$29513,15,Datos!$C$2:$C$29513,"&gt;=30",Datos!$F$2:$F$29513,"STANDBY"),0),"")</f>
        <v/>
      </c>
      <c r="R39" s="7">
        <f>IFERROR(ROUND(AVERAGEIFS(Datos!$G$2:$G$29513,Datos!$E$2:$E$29513,$A39,Datos!$B$2:$B$29513,16,Datos!$C$2:$C$29513,"&lt;30",Datos!$F$2:$F$29513,"STANDBY"),0),"")</f>
        <v/>
      </c>
      <c r="S39" s="7">
        <f>IFERROR(ROUND(AVERAGEIFS(Datos!$G$2:$G$29513,Datos!$E$2:$E$29513,$A39,Datos!$B$2:$B$29513,16,Datos!$C$2:$C$29513,"&gt;=30",Datos!$F$2:$F$29513,"STANDBY"),0),"")</f>
        <v/>
      </c>
      <c r="T39" s="7">
        <f>IFERROR(ROUND(AVERAGEIFS(Datos!$G$2:$G$29513,Datos!$E$2:$E$29513,$A39,Datos!$B$2:$B$29513,17,Datos!$C$2:$C$29513,"&lt;30",Datos!$F$2:$F$29513,"STANDBY"),0),"")</f>
        <v/>
      </c>
      <c r="U39" s="7">
        <f>IFERROR(ROUND(AVERAGEIFS(Datos!$G$2:$G$29513,Datos!$E$2:$E$29513,$A39,Datos!$B$2:$B$29513,17,Datos!$C$2:$C$29513,"&gt;=30",Datos!$F$2:$F$29513,"STANDBY"),0),"")</f>
        <v/>
      </c>
      <c r="V39" s="7">
        <f>IFERROR(ROUND(AVERAGEIFS(Datos!$G$2:$G$29513,Datos!$E$2:$E$29513,$A39,Datos!$B$2:$B$29513,18,Datos!$C$2:$C$29513,"&lt;30",Datos!$F$2:$F$29513,"STANDBY"),0),"")</f>
        <v/>
      </c>
      <c r="W39" s="7">
        <f>IFERROR(ROUND(AVERAGEIFS(Datos!$G$2:$G$29513,Datos!$E$2:$E$29513,$A39,Datos!$B$2:$B$29513,18,Datos!$C$2:$C$29513,"&gt;=30",Datos!$F$2:$F$29513,"STANDBY"),0),"")</f>
        <v/>
      </c>
      <c r="X39" s="7">
        <f>IFERROR(ROUND(AVERAGEIFS(Datos!$G$2:$G$29513,Datos!$E$2:$E$29513,$A39,Datos!$B$2:$B$29513,19,Datos!$C$2:$C$29513,"&lt;30",Datos!$F$2:$F$29513,"STANDBY"),0),"")</f>
        <v/>
      </c>
      <c r="Y39" s="7">
        <f>IFERROR(ROUND(AVERAGEIFS(Datos!$G$2:$G$29513,Datos!$E$2:$E$29513,$A39,Datos!$B$2:$B$29513,19,Datos!$C$2:$C$29513,"&gt;=30",Datos!$F$2:$F$29513,"STANDBY"),0),"")</f>
        <v/>
      </c>
      <c r="Z39" s="7">
        <f>IFERROR(ROUND(AVERAGEIFS(Datos!$G$2:$G$29513,Datos!$E$2:$E$29513,$A39,Datos!$B$2:$B$29513,20,Datos!$C$2:$C$29513,"&lt;30",Datos!$F$2:$F$29513,"STANDBY"),0),"")</f>
        <v/>
      </c>
      <c r="AA39" s="7">
        <f>IFERROR(ROUND(AVERAGEIFS(Datos!$G$2:$G$29513,Datos!$E$2:$E$29513,$A39,Datos!$B$2:$B$29513,20,Datos!$C$2:$C$29513,"&gt;=30",Datos!$F$2:$F$29513,"STANDBY"),0),"")</f>
        <v/>
      </c>
      <c r="AB39" s="7">
        <f>IFERROR(ROUND(AVERAGEIFS(Datos!$G$2:$G$29513,Datos!$E$2:$E$29513,$A39,Datos!$B$2:$B$29513,21,Datos!$C$2:$C$29513,"&lt;30",Datos!$F$2:$F$29513,"STANDBY"),0),"")</f>
        <v/>
      </c>
      <c r="AC39" s="7">
        <f>IFERROR(ROUND(AVERAGEIFS(Datos!$G$2:$G$29513,Datos!$E$2:$E$29513,$A39,Datos!$B$2:$B$29513,21,Datos!$C$2:$C$29513,"&gt;=30",Datos!$F$2:$F$29513,"STANDBY"),0),"")</f>
        <v/>
      </c>
      <c r="AD39" s="7">
        <f>IFERROR(ROUND(AVERAGEIFS(Datos!$G$2:$G$29513,Datos!$E$2:$E$29513,$A39,Datos!$B$2:$B$29513,22,Datos!$C$2:$C$29513,"&lt;30",Datos!$F$2:$F$29513,"STANDBY"),0),"")</f>
        <v/>
      </c>
      <c r="AE39" s="7">
        <f>IFERROR(ROUND(AVERAGEIFS(Datos!$G$2:$G$29513,Datos!$E$2:$E$29513,$A39,Datos!$B$2:$B$29513,22,Datos!$C$2:$C$29513,"&gt;=30",Datos!$F$2:$F$29513,"STANDBY"),0),"")</f>
        <v/>
      </c>
      <c r="AF39" s="7">
        <f>IFERROR(ROUND(AVERAGEIFS(Datos!$G$2:$G$29513,Datos!$E$2:$E$29513,$A39,Datos!$B$2:$B$29513,23,Datos!$C$2:$C$29513,"&lt;30",Datos!$F$2:$F$29513,"STANDBY"),0),"")</f>
        <v/>
      </c>
      <c r="AG39" s="7">
        <f>IFERROR(ROUND(AVERAGEIFS(Datos!$G$2:$G$29513,Datos!$E$2:$E$29513,$A39,Datos!$B$2:$B$29513,23,Datos!$C$2:$C$29513,"&gt;=30",Datos!$F$2:$F$29513,"STANDBY"),0),"")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IFERROR(ROUND(AVERAGEIFS(Datos!$G$2:$G$29513,Datos!$E$2:$E$29513,$A40,Datos!$B$2:$B$29513,8,Datos!$C$2:$C$29513,"&lt;30",Datos!$F$2:$F$29513,"STANDBY"),0),"")</f>
        <v/>
      </c>
      <c r="C40" s="7">
        <f>IFERROR(ROUND(AVERAGEIFS(Datos!$G$2:$G$29513,Datos!$E$2:$E$29513,$A40,Datos!$B$2:$B$29513,8,Datos!$C$2:$C$29513,"&gt;=30",Datos!$F$2:$F$29513,"STANDBY"),0),"")</f>
        <v/>
      </c>
      <c r="D40" s="7">
        <f>IFERROR(ROUND(AVERAGEIFS(Datos!$G$2:$G$29513,Datos!$E$2:$E$29513,$A40,Datos!$B$2:$B$29513,9,Datos!$C$2:$C$29513,"&lt;30",Datos!$F$2:$F$29513,"STANDBY"),0),"")</f>
        <v/>
      </c>
      <c r="E40" s="7">
        <f>IFERROR(ROUND(AVERAGEIFS(Datos!$G$2:$G$29513,Datos!$E$2:$E$29513,$A40,Datos!$B$2:$B$29513,9,Datos!$C$2:$C$29513,"&gt;=30",Datos!$F$2:$F$29513,"STANDBY"),0),"")</f>
        <v/>
      </c>
      <c r="F40" s="7">
        <f>IFERROR(ROUND(AVERAGEIFS(Datos!$G$2:$G$29513,Datos!$E$2:$E$29513,$A40,Datos!$B$2:$B$29513,10,Datos!$C$2:$C$29513,"&lt;30",Datos!$F$2:$F$29513,"STANDBY"),0),"")</f>
        <v/>
      </c>
      <c r="G40" s="7">
        <f>IFERROR(ROUND(AVERAGEIFS(Datos!$G$2:$G$29513,Datos!$E$2:$E$29513,$A40,Datos!$B$2:$B$29513,10,Datos!$C$2:$C$29513,"&gt;=30",Datos!$F$2:$F$29513,"STANDBY"),0),"")</f>
        <v/>
      </c>
      <c r="H40" s="7">
        <f>IFERROR(ROUND(AVERAGEIFS(Datos!$G$2:$G$29513,Datos!$E$2:$E$29513,$A40,Datos!$B$2:$B$29513,11,Datos!$C$2:$C$29513,"&lt;30",Datos!$F$2:$F$29513,"STANDBY"),0),"")</f>
        <v/>
      </c>
      <c r="I40" s="7">
        <f>IFERROR(ROUND(AVERAGEIFS(Datos!$G$2:$G$29513,Datos!$E$2:$E$29513,$A40,Datos!$B$2:$B$29513,11,Datos!$C$2:$C$29513,"&gt;=30",Datos!$F$2:$F$29513,"STANDBY"),0),"")</f>
        <v/>
      </c>
      <c r="J40" s="7">
        <f>IFERROR(ROUND(AVERAGEIFS(Datos!$G$2:$G$29513,Datos!$E$2:$E$29513,$A40,Datos!$B$2:$B$29513,12,Datos!$C$2:$C$29513,"&lt;30",Datos!$F$2:$F$29513,"STANDBY"),0),"")</f>
        <v/>
      </c>
      <c r="K40" s="7">
        <f>IFERROR(ROUND(AVERAGEIFS(Datos!$G$2:$G$29513,Datos!$E$2:$E$29513,$A40,Datos!$B$2:$B$29513,12,Datos!$C$2:$C$29513,"&gt;=30",Datos!$F$2:$F$29513,"STANDBY"),0),"")</f>
        <v/>
      </c>
      <c r="L40" s="7">
        <f>IFERROR(ROUND(AVERAGEIFS(Datos!$G$2:$G$29513,Datos!$E$2:$E$29513,$A40,Datos!$B$2:$B$29513,13,Datos!$C$2:$C$29513,"&lt;30",Datos!$F$2:$F$29513,"STANDBY"),0),"")</f>
        <v/>
      </c>
      <c r="M40" s="7">
        <f>IFERROR(ROUND(AVERAGEIFS(Datos!$G$2:$G$29513,Datos!$E$2:$E$29513,$A40,Datos!$B$2:$B$29513,13,Datos!$C$2:$C$29513,"&gt;=30",Datos!$F$2:$F$29513,"STANDBY"),0),"")</f>
        <v/>
      </c>
      <c r="N40" s="7">
        <f>IFERROR(ROUND(AVERAGEIFS(Datos!$G$2:$G$29513,Datos!$E$2:$E$29513,$A40,Datos!$B$2:$B$29513,14,Datos!$C$2:$C$29513,"&lt;30",Datos!$F$2:$F$29513,"STANDBY"),0),"")</f>
        <v/>
      </c>
      <c r="O40" s="7">
        <f>IFERROR(ROUND(AVERAGEIFS(Datos!$G$2:$G$29513,Datos!$E$2:$E$29513,$A40,Datos!$B$2:$B$29513,14,Datos!$C$2:$C$29513,"&gt;=30",Datos!$F$2:$F$29513,"STANDBY"),0),"")</f>
        <v/>
      </c>
      <c r="P40" s="7">
        <f>IFERROR(ROUND(AVERAGEIFS(Datos!$G$2:$G$29513,Datos!$E$2:$E$29513,$A40,Datos!$B$2:$B$29513,15,Datos!$C$2:$C$29513,"&lt;30",Datos!$F$2:$F$29513,"STANDBY"),0),"")</f>
        <v/>
      </c>
      <c r="Q40" s="7">
        <f>IFERROR(ROUND(AVERAGEIFS(Datos!$G$2:$G$29513,Datos!$E$2:$E$29513,$A40,Datos!$B$2:$B$29513,15,Datos!$C$2:$C$29513,"&gt;=30",Datos!$F$2:$F$29513,"STANDBY"),0),"")</f>
        <v/>
      </c>
      <c r="R40" s="7">
        <f>IFERROR(ROUND(AVERAGEIFS(Datos!$G$2:$G$29513,Datos!$E$2:$E$29513,$A40,Datos!$B$2:$B$29513,16,Datos!$C$2:$C$29513,"&lt;30",Datos!$F$2:$F$29513,"STANDBY"),0),"")</f>
        <v/>
      </c>
      <c r="S40" s="7">
        <f>IFERROR(ROUND(AVERAGEIFS(Datos!$G$2:$G$29513,Datos!$E$2:$E$29513,$A40,Datos!$B$2:$B$29513,16,Datos!$C$2:$C$29513,"&gt;=30",Datos!$F$2:$F$29513,"STANDBY"),0),"")</f>
        <v/>
      </c>
      <c r="T40" s="7">
        <f>IFERROR(ROUND(AVERAGEIFS(Datos!$G$2:$G$29513,Datos!$E$2:$E$29513,$A40,Datos!$B$2:$B$29513,17,Datos!$C$2:$C$29513,"&lt;30",Datos!$F$2:$F$29513,"STANDBY"),0),"")</f>
        <v/>
      </c>
      <c r="U40" s="7">
        <f>IFERROR(ROUND(AVERAGEIFS(Datos!$G$2:$G$29513,Datos!$E$2:$E$29513,$A40,Datos!$B$2:$B$29513,17,Datos!$C$2:$C$29513,"&gt;=30",Datos!$F$2:$F$29513,"STANDBY"),0),"")</f>
        <v/>
      </c>
      <c r="V40" s="7">
        <f>IFERROR(ROUND(AVERAGEIFS(Datos!$G$2:$G$29513,Datos!$E$2:$E$29513,$A40,Datos!$B$2:$B$29513,18,Datos!$C$2:$C$29513,"&lt;30",Datos!$F$2:$F$29513,"STANDBY"),0),"")</f>
        <v/>
      </c>
      <c r="W40" s="7">
        <f>IFERROR(ROUND(AVERAGEIFS(Datos!$G$2:$G$29513,Datos!$E$2:$E$29513,$A40,Datos!$B$2:$B$29513,18,Datos!$C$2:$C$29513,"&gt;=30",Datos!$F$2:$F$29513,"STANDBY"),0),"")</f>
        <v/>
      </c>
      <c r="X40" s="7">
        <f>IFERROR(ROUND(AVERAGEIFS(Datos!$G$2:$G$29513,Datos!$E$2:$E$29513,$A40,Datos!$B$2:$B$29513,19,Datos!$C$2:$C$29513,"&lt;30",Datos!$F$2:$F$29513,"STANDBY"),0),"")</f>
        <v/>
      </c>
      <c r="Y40" s="7">
        <f>IFERROR(ROUND(AVERAGEIFS(Datos!$G$2:$G$29513,Datos!$E$2:$E$29513,$A40,Datos!$B$2:$B$29513,19,Datos!$C$2:$C$29513,"&gt;=30",Datos!$F$2:$F$29513,"STANDBY"),0),"")</f>
        <v/>
      </c>
      <c r="Z40" s="7">
        <f>IFERROR(ROUND(AVERAGEIFS(Datos!$G$2:$G$29513,Datos!$E$2:$E$29513,$A40,Datos!$B$2:$B$29513,20,Datos!$C$2:$C$29513,"&lt;30",Datos!$F$2:$F$29513,"STANDBY"),0),"")</f>
        <v/>
      </c>
      <c r="AA40" s="7">
        <f>IFERROR(ROUND(AVERAGEIFS(Datos!$G$2:$G$29513,Datos!$E$2:$E$29513,$A40,Datos!$B$2:$B$29513,20,Datos!$C$2:$C$29513,"&gt;=30",Datos!$F$2:$F$29513,"STANDBY"),0),"")</f>
        <v/>
      </c>
      <c r="AB40" s="7">
        <f>IFERROR(ROUND(AVERAGEIFS(Datos!$G$2:$G$29513,Datos!$E$2:$E$29513,$A40,Datos!$B$2:$B$29513,21,Datos!$C$2:$C$29513,"&lt;30",Datos!$F$2:$F$29513,"STANDBY"),0),"")</f>
        <v/>
      </c>
      <c r="AC40" s="7">
        <f>IFERROR(ROUND(AVERAGEIFS(Datos!$G$2:$G$29513,Datos!$E$2:$E$29513,$A40,Datos!$B$2:$B$29513,21,Datos!$C$2:$C$29513,"&gt;=30",Datos!$F$2:$F$29513,"STANDBY"),0),"")</f>
        <v/>
      </c>
      <c r="AD40" s="7">
        <f>IFERROR(ROUND(AVERAGEIFS(Datos!$G$2:$G$29513,Datos!$E$2:$E$29513,$A40,Datos!$B$2:$B$29513,22,Datos!$C$2:$C$29513,"&lt;30",Datos!$F$2:$F$29513,"STANDBY"),0),"")</f>
        <v/>
      </c>
      <c r="AE40" s="7">
        <f>IFERROR(ROUND(AVERAGEIFS(Datos!$G$2:$G$29513,Datos!$E$2:$E$29513,$A40,Datos!$B$2:$B$29513,22,Datos!$C$2:$C$29513,"&gt;=30",Datos!$F$2:$F$29513,"STANDBY"),0),"")</f>
        <v/>
      </c>
      <c r="AF40" s="7">
        <f>IFERROR(ROUND(AVERAGEIFS(Datos!$G$2:$G$29513,Datos!$E$2:$E$29513,$A40,Datos!$B$2:$B$29513,23,Datos!$C$2:$C$29513,"&lt;30",Datos!$F$2:$F$29513,"STANDBY"),0),"")</f>
        <v/>
      </c>
      <c r="AG40" s="7">
        <f>IFERROR(ROUND(AVERAGEIFS(Datos!$G$2:$G$29513,Datos!$E$2:$E$29513,$A40,Datos!$B$2:$B$29513,23,Datos!$C$2:$C$29513,"&gt;=30",Datos!$F$2:$F$29513,"STANDBY"),0),"")</f>
        <v/>
      </c>
    </row>
    <row r="41">
      <c r="A41" s="6" t="inlineStr">
        <is>
          <t>La Cabane des Robinson</t>
        </is>
      </c>
      <c r="B41" s="7">
        <f>IFERROR(ROUND(AVERAGEIFS(Datos!$G$2:$G$29513,Datos!$E$2:$E$29513,$A41,Datos!$B$2:$B$29513,8,Datos!$C$2:$C$29513,"&lt;30",Datos!$F$2:$F$29513,"STANDBY"),0),"")</f>
        <v/>
      </c>
      <c r="C41" s="7">
        <f>IFERROR(ROUND(AVERAGEIFS(Datos!$G$2:$G$29513,Datos!$E$2:$E$29513,$A41,Datos!$B$2:$B$29513,8,Datos!$C$2:$C$29513,"&gt;=30",Datos!$F$2:$F$29513,"STANDBY"),0),"")</f>
        <v/>
      </c>
      <c r="D41" s="7">
        <f>IFERROR(ROUND(AVERAGEIFS(Datos!$G$2:$G$29513,Datos!$E$2:$E$29513,$A41,Datos!$B$2:$B$29513,9,Datos!$C$2:$C$29513,"&lt;30",Datos!$F$2:$F$29513,"STANDBY"),0),"")</f>
        <v/>
      </c>
      <c r="E41" s="7">
        <f>IFERROR(ROUND(AVERAGEIFS(Datos!$G$2:$G$29513,Datos!$E$2:$E$29513,$A41,Datos!$B$2:$B$29513,9,Datos!$C$2:$C$29513,"&gt;=30",Datos!$F$2:$F$29513,"STANDBY"),0),"")</f>
        <v/>
      </c>
      <c r="F41" s="7">
        <f>IFERROR(ROUND(AVERAGEIFS(Datos!$G$2:$G$29513,Datos!$E$2:$E$29513,$A41,Datos!$B$2:$B$29513,10,Datos!$C$2:$C$29513,"&lt;30",Datos!$F$2:$F$29513,"STANDBY"),0),"")</f>
        <v/>
      </c>
      <c r="G41" s="7">
        <f>IFERROR(ROUND(AVERAGEIFS(Datos!$G$2:$G$29513,Datos!$E$2:$E$29513,$A41,Datos!$B$2:$B$29513,10,Datos!$C$2:$C$29513,"&gt;=30",Datos!$F$2:$F$29513,"STANDBY"),0),"")</f>
        <v/>
      </c>
      <c r="H41" s="7">
        <f>IFERROR(ROUND(AVERAGEIFS(Datos!$G$2:$G$29513,Datos!$E$2:$E$29513,$A41,Datos!$B$2:$B$29513,11,Datos!$C$2:$C$29513,"&lt;30",Datos!$F$2:$F$29513,"STANDBY"),0),"")</f>
        <v/>
      </c>
      <c r="I41" s="7">
        <f>IFERROR(ROUND(AVERAGEIFS(Datos!$G$2:$G$29513,Datos!$E$2:$E$29513,$A41,Datos!$B$2:$B$29513,11,Datos!$C$2:$C$29513,"&gt;=30",Datos!$F$2:$F$29513,"STANDBY"),0),"")</f>
        <v/>
      </c>
      <c r="J41" s="7">
        <f>IFERROR(ROUND(AVERAGEIFS(Datos!$G$2:$G$29513,Datos!$E$2:$E$29513,$A41,Datos!$B$2:$B$29513,12,Datos!$C$2:$C$29513,"&lt;30",Datos!$F$2:$F$29513,"STANDBY"),0),"")</f>
        <v/>
      </c>
      <c r="K41" s="7">
        <f>IFERROR(ROUND(AVERAGEIFS(Datos!$G$2:$G$29513,Datos!$E$2:$E$29513,$A41,Datos!$B$2:$B$29513,12,Datos!$C$2:$C$29513,"&gt;=30",Datos!$F$2:$F$29513,"STANDBY"),0),"")</f>
        <v/>
      </c>
      <c r="L41" s="7">
        <f>IFERROR(ROUND(AVERAGEIFS(Datos!$G$2:$G$29513,Datos!$E$2:$E$29513,$A41,Datos!$B$2:$B$29513,13,Datos!$C$2:$C$29513,"&lt;30",Datos!$F$2:$F$29513,"STANDBY"),0),"")</f>
        <v/>
      </c>
      <c r="M41" s="7">
        <f>IFERROR(ROUND(AVERAGEIFS(Datos!$G$2:$G$29513,Datos!$E$2:$E$29513,$A41,Datos!$B$2:$B$29513,13,Datos!$C$2:$C$29513,"&gt;=30",Datos!$F$2:$F$29513,"STANDBY"),0),"")</f>
        <v/>
      </c>
      <c r="N41" s="7">
        <f>IFERROR(ROUND(AVERAGEIFS(Datos!$G$2:$G$29513,Datos!$E$2:$E$29513,$A41,Datos!$B$2:$B$29513,14,Datos!$C$2:$C$29513,"&lt;30",Datos!$F$2:$F$29513,"STANDBY"),0),"")</f>
        <v/>
      </c>
      <c r="O41" s="7">
        <f>IFERROR(ROUND(AVERAGEIFS(Datos!$G$2:$G$29513,Datos!$E$2:$E$29513,$A41,Datos!$B$2:$B$29513,14,Datos!$C$2:$C$29513,"&gt;=30",Datos!$F$2:$F$29513,"STANDBY"),0),"")</f>
        <v/>
      </c>
      <c r="P41" s="7">
        <f>IFERROR(ROUND(AVERAGEIFS(Datos!$G$2:$G$29513,Datos!$E$2:$E$29513,$A41,Datos!$B$2:$B$29513,15,Datos!$C$2:$C$29513,"&lt;30",Datos!$F$2:$F$29513,"STANDBY"),0),"")</f>
        <v/>
      </c>
      <c r="Q41" s="7">
        <f>IFERROR(ROUND(AVERAGEIFS(Datos!$G$2:$G$29513,Datos!$E$2:$E$29513,$A41,Datos!$B$2:$B$29513,15,Datos!$C$2:$C$29513,"&gt;=30",Datos!$F$2:$F$29513,"STANDBY"),0),"")</f>
        <v/>
      </c>
      <c r="R41" s="7">
        <f>IFERROR(ROUND(AVERAGEIFS(Datos!$G$2:$G$29513,Datos!$E$2:$E$29513,$A41,Datos!$B$2:$B$29513,16,Datos!$C$2:$C$29513,"&lt;30",Datos!$F$2:$F$29513,"STANDBY"),0),"")</f>
        <v/>
      </c>
      <c r="S41" s="7">
        <f>IFERROR(ROUND(AVERAGEIFS(Datos!$G$2:$G$29513,Datos!$E$2:$E$29513,$A41,Datos!$B$2:$B$29513,16,Datos!$C$2:$C$29513,"&gt;=30",Datos!$F$2:$F$29513,"STANDBY"),0),"")</f>
        <v/>
      </c>
      <c r="T41" s="7">
        <f>IFERROR(ROUND(AVERAGEIFS(Datos!$G$2:$G$29513,Datos!$E$2:$E$29513,$A41,Datos!$B$2:$B$29513,17,Datos!$C$2:$C$29513,"&lt;30",Datos!$F$2:$F$29513,"STANDBY"),0),"")</f>
        <v/>
      </c>
      <c r="U41" s="7">
        <f>IFERROR(ROUND(AVERAGEIFS(Datos!$G$2:$G$29513,Datos!$E$2:$E$29513,$A41,Datos!$B$2:$B$29513,17,Datos!$C$2:$C$29513,"&gt;=30",Datos!$F$2:$F$29513,"STANDBY"),0),"")</f>
        <v/>
      </c>
      <c r="V41" s="7">
        <f>IFERROR(ROUND(AVERAGEIFS(Datos!$G$2:$G$29513,Datos!$E$2:$E$29513,$A41,Datos!$B$2:$B$29513,18,Datos!$C$2:$C$29513,"&lt;30",Datos!$F$2:$F$29513,"STANDBY"),0),"")</f>
        <v/>
      </c>
      <c r="W41" s="7">
        <f>IFERROR(ROUND(AVERAGEIFS(Datos!$G$2:$G$29513,Datos!$E$2:$E$29513,$A41,Datos!$B$2:$B$29513,18,Datos!$C$2:$C$29513,"&gt;=30",Datos!$F$2:$F$29513,"STANDBY"),0),"")</f>
        <v/>
      </c>
      <c r="X41" s="7">
        <f>IFERROR(ROUND(AVERAGEIFS(Datos!$G$2:$G$29513,Datos!$E$2:$E$29513,$A41,Datos!$B$2:$B$29513,19,Datos!$C$2:$C$29513,"&lt;30",Datos!$F$2:$F$29513,"STANDBY"),0),"")</f>
        <v/>
      </c>
      <c r="Y41" s="7">
        <f>IFERROR(ROUND(AVERAGEIFS(Datos!$G$2:$G$29513,Datos!$E$2:$E$29513,$A41,Datos!$B$2:$B$29513,19,Datos!$C$2:$C$29513,"&gt;=30",Datos!$F$2:$F$29513,"STANDBY"),0),"")</f>
        <v/>
      </c>
      <c r="Z41" s="7">
        <f>IFERROR(ROUND(AVERAGEIFS(Datos!$G$2:$G$29513,Datos!$E$2:$E$29513,$A41,Datos!$B$2:$B$29513,20,Datos!$C$2:$C$29513,"&lt;30",Datos!$F$2:$F$29513,"STANDBY"),0),"")</f>
        <v/>
      </c>
      <c r="AA41" s="7">
        <f>IFERROR(ROUND(AVERAGEIFS(Datos!$G$2:$G$29513,Datos!$E$2:$E$29513,$A41,Datos!$B$2:$B$29513,20,Datos!$C$2:$C$29513,"&gt;=30",Datos!$F$2:$F$29513,"STANDBY"),0),"")</f>
        <v/>
      </c>
      <c r="AB41" s="7">
        <f>IFERROR(ROUND(AVERAGEIFS(Datos!$G$2:$G$29513,Datos!$E$2:$E$29513,$A41,Datos!$B$2:$B$29513,21,Datos!$C$2:$C$29513,"&lt;30",Datos!$F$2:$F$29513,"STANDBY"),0),"")</f>
        <v/>
      </c>
      <c r="AC41" s="7">
        <f>IFERROR(ROUND(AVERAGEIFS(Datos!$G$2:$G$29513,Datos!$E$2:$E$29513,$A41,Datos!$B$2:$B$29513,21,Datos!$C$2:$C$29513,"&gt;=30",Datos!$F$2:$F$29513,"STANDBY"),0),"")</f>
        <v/>
      </c>
      <c r="AD41" s="7">
        <f>IFERROR(ROUND(AVERAGEIFS(Datos!$G$2:$G$29513,Datos!$E$2:$E$29513,$A41,Datos!$B$2:$B$29513,22,Datos!$C$2:$C$29513,"&lt;30",Datos!$F$2:$F$29513,"STANDBY"),0),"")</f>
        <v/>
      </c>
      <c r="AE41" s="7">
        <f>IFERROR(ROUND(AVERAGEIFS(Datos!$G$2:$G$29513,Datos!$E$2:$E$29513,$A41,Datos!$B$2:$B$29513,22,Datos!$C$2:$C$29513,"&gt;=30",Datos!$F$2:$F$29513,"STANDBY"),0),"")</f>
        <v/>
      </c>
      <c r="AF41" s="7">
        <f>IFERROR(ROUND(AVERAGEIFS(Datos!$G$2:$G$29513,Datos!$E$2:$E$29513,$A41,Datos!$B$2:$B$29513,23,Datos!$C$2:$C$29513,"&lt;30",Datos!$F$2:$F$29513,"STANDBY"),0),"")</f>
        <v/>
      </c>
      <c r="AG41" s="7">
        <f>IFERROR(ROUND(AVERAGEIFS(Datos!$G$2:$G$29513,Datos!$E$2:$E$29513,$A41,Datos!$B$2:$B$29513,23,Datos!$C$2:$C$29513,"&gt;=30",Datos!$F$2:$F$29513,"STANDBY"),0),"")</f>
        <v/>
      </c>
    </row>
    <row r="42">
      <c r="A42" s="6" t="inlineStr">
        <is>
          <t>La Tanière du Dragon</t>
        </is>
      </c>
      <c r="B42" s="7">
        <f>IFERROR(ROUND(AVERAGEIFS(Datos!$G$2:$G$29513,Datos!$E$2:$E$29513,$A42,Datos!$B$2:$B$29513,8,Datos!$C$2:$C$29513,"&lt;30",Datos!$F$2:$F$29513,"STANDBY"),0),"")</f>
        <v/>
      </c>
      <c r="C42" s="7">
        <f>IFERROR(ROUND(AVERAGEIFS(Datos!$G$2:$G$29513,Datos!$E$2:$E$29513,$A42,Datos!$B$2:$B$29513,8,Datos!$C$2:$C$29513,"&gt;=30",Datos!$F$2:$F$29513,"STANDBY"),0),"")</f>
        <v/>
      </c>
      <c r="D42" s="7">
        <f>IFERROR(ROUND(AVERAGEIFS(Datos!$G$2:$G$29513,Datos!$E$2:$E$29513,$A42,Datos!$B$2:$B$29513,9,Datos!$C$2:$C$29513,"&lt;30",Datos!$F$2:$F$29513,"STANDBY"),0),"")</f>
        <v/>
      </c>
      <c r="E42" s="7">
        <f>IFERROR(ROUND(AVERAGEIFS(Datos!$G$2:$G$29513,Datos!$E$2:$E$29513,$A42,Datos!$B$2:$B$29513,9,Datos!$C$2:$C$29513,"&gt;=30",Datos!$F$2:$F$29513,"STANDBY"),0),"")</f>
        <v/>
      </c>
      <c r="F42" s="7">
        <f>IFERROR(ROUND(AVERAGEIFS(Datos!$G$2:$G$29513,Datos!$E$2:$E$29513,$A42,Datos!$B$2:$B$29513,10,Datos!$C$2:$C$29513,"&lt;30",Datos!$F$2:$F$29513,"STANDBY"),0),"")</f>
        <v/>
      </c>
      <c r="G42" s="7">
        <f>IFERROR(ROUND(AVERAGEIFS(Datos!$G$2:$G$29513,Datos!$E$2:$E$29513,$A42,Datos!$B$2:$B$29513,10,Datos!$C$2:$C$29513,"&gt;=30",Datos!$F$2:$F$29513,"STANDBY"),0),"")</f>
        <v/>
      </c>
      <c r="H42" s="7">
        <f>IFERROR(ROUND(AVERAGEIFS(Datos!$G$2:$G$29513,Datos!$E$2:$E$29513,$A42,Datos!$B$2:$B$29513,11,Datos!$C$2:$C$29513,"&lt;30",Datos!$F$2:$F$29513,"STANDBY"),0),"")</f>
        <v/>
      </c>
      <c r="I42" s="7">
        <f>IFERROR(ROUND(AVERAGEIFS(Datos!$G$2:$G$29513,Datos!$E$2:$E$29513,$A42,Datos!$B$2:$B$29513,11,Datos!$C$2:$C$29513,"&gt;=30",Datos!$F$2:$F$29513,"STANDBY"),0),"")</f>
        <v/>
      </c>
      <c r="J42" s="7">
        <f>IFERROR(ROUND(AVERAGEIFS(Datos!$G$2:$G$29513,Datos!$E$2:$E$29513,$A42,Datos!$B$2:$B$29513,12,Datos!$C$2:$C$29513,"&lt;30",Datos!$F$2:$F$29513,"STANDBY"),0),"")</f>
        <v/>
      </c>
      <c r="K42" s="7">
        <f>IFERROR(ROUND(AVERAGEIFS(Datos!$G$2:$G$29513,Datos!$E$2:$E$29513,$A42,Datos!$B$2:$B$29513,12,Datos!$C$2:$C$29513,"&gt;=30",Datos!$F$2:$F$29513,"STANDBY"),0),"")</f>
        <v/>
      </c>
      <c r="L42" s="7">
        <f>IFERROR(ROUND(AVERAGEIFS(Datos!$G$2:$G$29513,Datos!$E$2:$E$29513,$A42,Datos!$B$2:$B$29513,13,Datos!$C$2:$C$29513,"&lt;30",Datos!$F$2:$F$29513,"STANDBY"),0),"")</f>
        <v/>
      </c>
      <c r="M42" s="7">
        <f>IFERROR(ROUND(AVERAGEIFS(Datos!$G$2:$G$29513,Datos!$E$2:$E$29513,$A42,Datos!$B$2:$B$29513,13,Datos!$C$2:$C$29513,"&gt;=30",Datos!$F$2:$F$29513,"STANDBY"),0),"")</f>
        <v/>
      </c>
      <c r="N42" s="7">
        <f>IFERROR(ROUND(AVERAGEIFS(Datos!$G$2:$G$29513,Datos!$E$2:$E$29513,$A42,Datos!$B$2:$B$29513,14,Datos!$C$2:$C$29513,"&lt;30",Datos!$F$2:$F$29513,"STANDBY"),0),"")</f>
        <v/>
      </c>
      <c r="O42" s="7">
        <f>IFERROR(ROUND(AVERAGEIFS(Datos!$G$2:$G$29513,Datos!$E$2:$E$29513,$A42,Datos!$B$2:$B$29513,14,Datos!$C$2:$C$29513,"&gt;=30",Datos!$F$2:$F$29513,"STANDBY"),0),"")</f>
        <v/>
      </c>
      <c r="P42" s="7">
        <f>IFERROR(ROUND(AVERAGEIFS(Datos!$G$2:$G$29513,Datos!$E$2:$E$29513,$A42,Datos!$B$2:$B$29513,15,Datos!$C$2:$C$29513,"&lt;30",Datos!$F$2:$F$29513,"STANDBY"),0),"")</f>
        <v/>
      </c>
      <c r="Q42" s="7">
        <f>IFERROR(ROUND(AVERAGEIFS(Datos!$G$2:$G$29513,Datos!$E$2:$E$29513,$A42,Datos!$B$2:$B$29513,15,Datos!$C$2:$C$29513,"&gt;=30",Datos!$F$2:$F$29513,"STANDBY"),0),"")</f>
        <v/>
      </c>
      <c r="R42" s="7">
        <f>IFERROR(ROUND(AVERAGEIFS(Datos!$G$2:$G$29513,Datos!$E$2:$E$29513,$A42,Datos!$B$2:$B$29513,16,Datos!$C$2:$C$29513,"&lt;30",Datos!$F$2:$F$29513,"STANDBY"),0),"")</f>
        <v/>
      </c>
      <c r="S42" s="7">
        <f>IFERROR(ROUND(AVERAGEIFS(Datos!$G$2:$G$29513,Datos!$E$2:$E$29513,$A42,Datos!$B$2:$B$29513,16,Datos!$C$2:$C$29513,"&gt;=30",Datos!$F$2:$F$29513,"STANDBY"),0),"")</f>
        <v/>
      </c>
      <c r="T42" s="7">
        <f>IFERROR(ROUND(AVERAGEIFS(Datos!$G$2:$G$29513,Datos!$E$2:$E$29513,$A42,Datos!$B$2:$B$29513,17,Datos!$C$2:$C$29513,"&lt;30",Datos!$F$2:$F$29513,"STANDBY"),0),"")</f>
        <v/>
      </c>
      <c r="U42" s="7">
        <f>IFERROR(ROUND(AVERAGEIFS(Datos!$G$2:$G$29513,Datos!$E$2:$E$29513,$A42,Datos!$B$2:$B$29513,17,Datos!$C$2:$C$29513,"&gt;=30",Datos!$F$2:$F$29513,"STANDBY"),0),"")</f>
        <v/>
      </c>
      <c r="V42" s="7">
        <f>IFERROR(ROUND(AVERAGEIFS(Datos!$G$2:$G$29513,Datos!$E$2:$E$29513,$A42,Datos!$B$2:$B$29513,18,Datos!$C$2:$C$29513,"&lt;30",Datos!$F$2:$F$29513,"STANDBY"),0),"")</f>
        <v/>
      </c>
      <c r="W42" s="7">
        <f>IFERROR(ROUND(AVERAGEIFS(Datos!$G$2:$G$29513,Datos!$E$2:$E$29513,$A42,Datos!$B$2:$B$29513,18,Datos!$C$2:$C$29513,"&gt;=30",Datos!$F$2:$F$29513,"STANDBY"),0),"")</f>
        <v/>
      </c>
      <c r="X42" s="7">
        <f>IFERROR(ROUND(AVERAGEIFS(Datos!$G$2:$G$29513,Datos!$E$2:$E$29513,$A42,Datos!$B$2:$B$29513,19,Datos!$C$2:$C$29513,"&lt;30",Datos!$F$2:$F$29513,"STANDBY"),0),"")</f>
        <v/>
      </c>
      <c r="Y42" s="7">
        <f>IFERROR(ROUND(AVERAGEIFS(Datos!$G$2:$G$29513,Datos!$E$2:$E$29513,$A42,Datos!$B$2:$B$29513,19,Datos!$C$2:$C$29513,"&gt;=30",Datos!$F$2:$F$29513,"STANDBY"),0),"")</f>
        <v/>
      </c>
      <c r="Z42" s="7">
        <f>IFERROR(ROUND(AVERAGEIFS(Datos!$G$2:$G$29513,Datos!$E$2:$E$29513,$A42,Datos!$B$2:$B$29513,20,Datos!$C$2:$C$29513,"&lt;30",Datos!$F$2:$F$29513,"STANDBY"),0),"")</f>
        <v/>
      </c>
      <c r="AA42" s="7">
        <f>IFERROR(ROUND(AVERAGEIFS(Datos!$G$2:$G$29513,Datos!$E$2:$E$29513,$A42,Datos!$B$2:$B$29513,20,Datos!$C$2:$C$29513,"&gt;=30",Datos!$F$2:$F$29513,"STANDBY"),0),"")</f>
        <v/>
      </c>
      <c r="AB42" s="7">
        <f>IFERROR(ROUND(AVERAGEIFS(Datos!$G$2:$G$29513,Datos!$E$2:$E$29513,$A42,Datos!$B$2:$B$29513,21,Datos!$C$2:$C$29513,"&lt;30",Datos!$F$2:$F$29513,"STANDBY"),0),"")</f>
        <v/>
      </c>
      <c r="AC42" s="7">
        <f>IFERROR(ROUND(AVERAGEIFS(Datos!$G$2:$G$29513,Datos!$E$2:$E$29513,$A42,Datos!$B$2:$B$29513,21,Datos!$C$2:$C$29513,"&gt;=30",Datos!$F$2:$F$29513,"STANDBY"),0),"")</f>
        <v/>
      </c>
      <c r="AD42" s="7">
        <f>IFERROR(ROUND(AVERAGEIFS(Datos!$G$2:$G$29513,Datos!$E$2:$E$29513,$A42,Datos!$B$2:$B$29513,22,Datos!$C$2:$C$29513,"&lt;30",Datos!$F$2:$F$29513,"STANDBY"),0),"")</f>
        <v/>
      </c>
      <c r="AE42" s="7">
        <f>IFERROR(ROUND(AVERAGEIFS(Datos!$G$2:$G$29513,Datos!$E$2:$E$29513,$A42,Datos!$B$2:$B$29513,22,Datos!$C$2:$C$29513,"&gt;=30",Datos!$F$2:$F$29513,"STANDBY"),0),"")</f>
        <v/>
      </c>
      <c r="AF42" s="7">
        <f>IFERROR(ROUND(AVERAGEIFS(Datos!$G$2:$G$29513,Datos!$E$2:$E$29513,$A42,Datos!$B$2:$B$29513,23,Datos!$C$2:$C$29513,"&lt;30",Datos!$F$2:$F$29513,"STANDBY"),0),"")</f>
        <v/>
      </c>
      <c r="AG42" s="7">
        <f>IFERROR(ROUND(AVERAGEIFS(Datos!$G$2:$G$29513,Datos!$E$2:$E$29513,$A42,Datos!$B$2:$B$29513,23,Datos!$C$2:$C$29513,"&gt;=30",Datos!$F$2:$F$29513,"STANDBY"),0),"")</f>
        <v/>
      </c>
    </row>
    <row r="43">
      <c r="A43" s="6" t="inlineStr">
        <is>
          <t>Le Carrousel de Lancelot</t>
        </is>
      </c>
      <c r="B43" s="7">
        <f>IFERROR(ROUND(AVERAGEIFS(Datos!$G$2:$G$29513,Datos!$E$2:$E$29513,$A43,Datos!$B$2:$B$29513,8,Datos!$C$2:$C$29513,"&lt;30",Datos!$F$2:$F$29513,"STANDBY"),0),"")</f>
        <v/>
      </c>
      <c r="C43" s="7">
        <f>IFERROR(ROUND(AVERAGEIFS(Datos!$G$2:$G$29513,Datos!$E$2:$E$29513,$A43,Datos!$B$2:$B$29513,8,Datos!$C$2:$C$29513,"&gt;=30",Datos!$F$2:$F$29513,"STANDBY"),0),"")</f>
        <v/>
      </c>
      <c r="D43" s="7">
        <f>IFERROR(ROUND(AVERAGEIFS(Datos!$G$2:$G$29513,Datos!$E$2:$E$29513,$A43,Datos!$B$2:$B$29513,9,Datos!$C$2:$C$29513,"&lt;30",Datos!$F$2:$F$29513,"STANDBY"),0),"")</f>
        <v/>
      </c>
      <c r="E43" s="7">
        <f>IFERROR(ROUND(AVERAGEIFS(Datos!$G$2:$G$29513,Datos!$E$2:$E$29513,$A43,Datos!$B$2:$B$29513,9,Datos!$C$2:$C$29513,"&gt;=30",Datos!$F$2:$F$29513,"STANDBY"),0),"")</f>
        <v/>
      </c>
      <c r="F43" s="7">
        <f>IFERROR(ROUND(AVERAGEIFS(Datos!$G$2:$G$29513,Datos!$E$2:$E$29513,$A43,Datos!$B$2:$B$29513,10,Datos!$C$2:$C$29513,"&lt;30",Datos!$F$2:$F$29513,"STANDBY"),0),"")</f>
        <v/>
      </c>
      <c r="G43" s="7">
        <f>IFERROR(ROUND(AVERAGEIFS(Datos!$G$2:$G$29513,Datos!$E$2:$E$29513,$A43,Datos!$B$2:$B$29513,10,Datos!$C$2:$C$29513,"&gt;=30",Datos!$F$2:$F$29513,"STANDBY"),0),"")</f>
        <v/>
      </c>
      <c r="H43" s="7">
        <f>IFERROR(ROUND(AVERAGEIFS(Datos!$G$2:$G$29513,Datos!$E$2:$E$29513,$A43,Datos!$B$2:$B$29513,11,Datos!$C$2:$C$29513,"&lt;30",Datos!$F$2:$F$29513,"STANDBY"),0),"")</f>
        <v/>
      </c>
      <c r="I43" s="7">
        <f>IFERROR(ROUND(AVERAGEIFS(Datos!$G$2:$G$29513,Datos!$E$2:$E$29513,$A43,Datos!$B$2:$B$29513,11,Datos!$C$2:$C$29513,"&gt;=30",Datos!$F$2:$F$29513,"STANDBY"),0),"")</f>
        <v/>
      </c>
      <c r="J43" s="7">
        <f>IFERROR(ROUND(AVERAGEIFS(Datos!$G$2:$G$29513,Datos!$E$2:$E$29513,$A43,Datos!$B$2:$B$29513,12,Datos!$C$2:$C$29513,"&lt;30",Datos!$F$2:$F$29513,"STANDBY"),0),"")</f>
        <v/>
      </c>
      <c r="K43" s="7">
        <f>IFERROR(ROUND(AVERAGEIFS(Datos!$G$2:$G$29513,Datos!$E$2:$E$29513,$A43,Datos!$B$2:$B$29513,12,Datos!$C$2:$C$29513,"&gt;=30",Datos!$F$2:$F$29513,"STANDBY"),0),"")</f>
        <v/>
      </c>
      <c r="L43" s="7">
        <f>IFERROR(ROUND(AVERAGEIFS(Datos!$G$2:$G$29513,Datos!$E$2:$E$29513,$A43,Datos!$B$2:$B$29513,13,Datos!$C$2:$C$29513,"&lt;30",Datos!$F$2:$F$29513,"STANDBY"),0),"")</f>
        <v/>
      </c>
      <c r="M43" s="7">
        <f>IFERROR(ROUND(AVERAGEIFS(Datos!$G$2:$G$29513,Datos!$E$2:$E$29513,$A43,Datos!$B$2:$B$29513,13,Datos!$C$2:$C$29513,"&gt;=30",Datos!$F$2:$F$29513,"STANDBY"),0),"")</f>
        <v/>
      </c>
      <c r="N43" s="7">
        <f>IFERROR(ROUND(AVERAGEIFS(Datos!$G$2:$G$29513,Datos!$E$2:$E$29513,$A43,Datos!$B$2:$B$29513,14,Datos!$C$2:$C$29513,"&lt;30",Datos!$F$2:$F$29513,"STANDBY"),0),"")</f>
        <v/>
      </c>
      <c r="O43" s="7">
        <f>IFERROR(ROUND(AVERAGEIFS(Datos!$G$2:$G$29513,Datos!$E$2:$E$29513,$A43,Datos!$B$2:$B$29513,14,Datos!$C$2:$C$29513,"&gt;=30",Datos!$F$2:$F$29513,"STANDBY"),0),"")</f>
        <v/>
      </c>
      <c r="P43" s="7">
        <f>IFERROR(ROUND(AVERAGEIFS(Datos!$G$2:$G$29513,Datos!$E$2:$E$29513,$A43,Datos!$B$2:$B$29513,15,Datos!$C$2:$C$29513,"&lt;30",Datos!$F$2:$F$29513,"STANDBY"),0),"")</f>
        <v/>
      </c>
      <c r="Q43" s="7">
        <f>IFERROR(ROUND(AVERAGEIFS(Datos!$G$2:$G$29513,Datos!$E$2:$E$29513,$A43,Datos!$B$2:$B$29513,15,Datos!$C$2:$C$29513,"&gt;=30",Datos!$F$2:$F$29513,"STANDBY"),0),"")</f>
        <v/>
      </c>
      <c r="R43" s="7">
        <f>IFERROR(ROUND(AVERAGEIFS(Datos!$G$2:$G$29513,Datos!$E$2:$E$29513,$A43,Datos!$B$2:$B$29513,16,Datos!$C$2:$C$29513,"&lt;30",Datos!$F$2:$F$29513,"STANDBY"),0),"")</f>
        <v/>
      </c>
      <c r="S43" s="7">
        <f>IFERROR(ROUND(AVERAGEIFS(Datos!$G$2:$G$29513,Datos!$E$2:$E$29513,$A43,Datos!$B$2:$B$29513,16,Datos!$C$2:$C$29513,"&gt;=30",Datos!$F$2:$F$29513,"STANDBY"),0),"")</f>
        <v/>
      </c>
      <c r="T43" s="7">
        <f>IFERROR(ROUND(AVERAGEIFS(Datos!$G$2:$G$29513,Datos!$E$2:$E$29513,$A43,Datos!$B$2:$B$29513,17,Datos!$C$2:$C$29513,"&lt;30",Datos!$F$2:$F$29513,"STANDBY"),0),"")</f>
        <v/>
      </c>
      <c r="U43" s="7">
        <f>IFERROR(ROUND(AVERAGEIFS(Datos!$G$2:$G$29513,Datos!$E$2:$E$29513,$A43,Datos!$B$2:$B$29513,17,Datos!$C$2:$C$29513,"&gt;=30",Datos!$F$2:$F$29513,"STANDBY"),0),"")</f>
        <v/>
      </c>
      <c r="V43" s="7">
        <f>IFERROR(ROUND(AVERAGEIFS(Datos!$G$2:$G$29513,Datos!$E$2:$E$29513,$A43,Datos!$B$2:$B$29513,18,Datos!$C$2:$C$29513,"&lt;30",Datos!$F$2:$F$29513,"STANDBY"),0),"")</f>
        <v/>
      </c>
      <c r="W43" s="7">
        <f>IFERROR(ROUND(AVERAGEIFS(Datos!$G$2:$G$29513,Datos!$E$2:$E$29513,$A43,Datos!$B$2:$B$29513,18,Datos!$C$2:$C$29513,"&gt;=30",Datos!$F$2:$F$29513,"STANDBY"),0),"")</f>
        <v/>
      </c>
      <c r="X43" s="7">
        <f>IFERROR(ROUND(AVERAGEIFS(Datos!$G$2:$G$29513,Datos!$E$2:$E$29513,$A43,Datos!$B$2:$B$29513,19,Datos!$C$2:$C$29513,"&lt;30",Datos!$F$2:$F$29513,"STANDBY"),0),"")</f>
        <v/>
      </c>
      <c r="Y43" s="7">
        <f>IFERROR(ROUND(AVERAGEIFS(Datos!$G$2:$G$29513,Datos!$E$2:$E$29513,$A43,Datos!$B$2:$B$29513,19,Datos!$C$2:$C$29513,"&gt;=30",Datos!$F$2:$F$29513,"STANDBY"),0),"")</f>
        <v/>
      </c>
      <c r="Z43" s="7">
        <f>IFERROR(ROUND(AVERAGEIFS(Datos!$G$2:$G$29513,Datos!$E$2:$E$29513,$A43,Datos!$B$2:$B$29513,20,Datos!$C$2:$C$29513,"&lt;30",Datos!$F$2:$F$29513,"STANDBY"),0),"")</f>
        <v/>
      </c>
      <c r="AA43" s="7">
        <f>IFERROR(ROUND(AVERAGEIFS(Datos!$G$2:$G$29513,Datos!$E$2:$E$29513,$A43,Datos!$B$2:$B$29513,20,Datos!$C$2:$C$29513,"&gt;=30",Datos!$F$2:$F$29513,"STANDBY"),0),"")</f>
        <v/>
      </c>
      <c r="AB43" s="7">
        <f>IFERROR(ROUND(AVERAGEIFS(Datos!$G$2:$G$29513,Datos!$E$2:$E$29513,$A43,Datos!$B$2:$B$29513,21,Datos!$C$2:$C$29513,"&lt;30",Datos!$F$2:$F$29513,"STANDBY"),0),"")</f>
        <v/>
      </c>
      <c r="AC43" s="7">
        <f>IFERROR(ROUND(AVERAGEIFS(Datos!$G$2:$G$29513,Datos!$E$2:$E$29513,$A43,Datos!$B$2:$B$29513,21,Datos!$C$2:$C$29513,"&gt;=30",Datos!$F$2:$F$29513,"STANDBY"),0),"")</f>
        <v/>
      </c>
      <c r="AD43" s="7">
        <f>IFERROR(ROUND(AVERAGEIFS(Datos!$G$2:$G$29513,Datos!$E$2:$E$29513,$A43,Datos!$B$2:$B$29513,22,Datos!$C$2:$C$29513,"&lt;30",Datos!$F$2:$F$29513,"STANDBY"),0),"")</f>
        <v/>
      </c>
      <c r="AE43" s="7">
        <f>IFERROR(ROUND(AVERAGEIFS(Datos!$G$2:$G$29513,Datos!$E$2:$E$29513,$A43,Datos!$B$2:$B$29513,22,Datos!$C$2:$C$29513,"&gt;=30",Datos!$F$2:$F$29513,"STANDBY"),0),"")</f>
        <v/>
      </c>
      <c r="AF43" s="7">
        <f>IFERROR(ROUND(AVERAGEIFS(Datos!$G$2:$G$29513,Datos!$E$2:$E$29513,$A43,Datos!$B$2:$B$29513,23,Datos!$C$2:$C$29513,"&lt;30",Datos!$F$2:$F$29513,"STANDBY"),0),"")</f>
        <v/>
      </c>
      <c r="AG43" s="7">
        <f>IFERROR(ROUND(AVERAGEIFS(Datos!$G$2:$G$29513,Datos!$E$2:$E$29513,$A43,Datos!$B$2:$B$29513,23,Datos!$C$2:$C$29513,"&gt;=30",Datos!$F$2:$F$29513,"STANDBY"),0),"")</f>
        <v/>
      </c>
    </row>
    <row r="44">
      <c r="A44" s="6" t="inlineStr">
        <is>
          <t>Le Passage Enchanté d'Aladdin</t>
        </is>
      </c>
      <c r="B44" s="7">
        <f>IFERROR(ROUND(AVERAGEIFS(Datos!$G$2:$G$29513,Datos!$E$2:$E$29513,$A44,Datos!$B$2:$B$29513,8,Datos!$C$2:$C$29513,"&lt;30",Datos!$F$2:$F$29513,"STANDBY"),0),"")</f>
        <v/>
      </c>
      <c r="C44" s="7">
        <f>IFERROR(ROUND(AVERAGEIFS(Datos!$G$2:$G$29513,Datos!$E$2:$E$29513,$A44,Datos!$B$2:$B$29513,8,Datos!$C$2:$C$29513,"&gt;=30",Datos!$F$2:$F$29513,"STANDBY"),0),"")</f>
        <v/>
      </c>
      <c r="D44" s="7">
        <f>IFERROR(ROUND(AVERAGEIFS(Datos!$G$2:$G$29513,Datos!$E$2:$E$29513,$A44,Datos!$B$2:$B$29513,9,Datos!$C$2:$C$29513,"&lt;30",Datos!$F$2:$F$29513,"STANDBY"),0),"")</f>
        <v/>
      </c>
      <c r="E44" s="7">
        <f>IFERROR(ROUND(AVERAGEIFS(Datos!$G$2:$G$29513,Datos!$E$2:$E$29513,$A44,Datos!$B$2:$B$29513,9,Datos!$C$2:$C$29513,"&gt;=30",Datos!$F$2:$F$29513,"STANDBY"),0),"")</f>
        <v/>
      </c>
      <c r="F44" s="7">
        <f>IFERROR(ROUND(AVERAGEIFS(Datos!$G$2:$G$29513,Datos!$E$2:$E$29513,$A44,Datos!$B$2:$B$29513,10,Datos!$C$2:$C$29513,"&lt;30",Datos!$F$2:$F$29513,"STANDBY"),0),"")</f>
        <v/>
      </c>
      <c r="G44" s="7">
        <f>IFERROR(ROUND(AVERAGEIFS(Datos!$G$2:$G$29513,Datos!$E$2:$E$29513,$A44,Datos!$B$2:$B$29513,10,Datos!$C$2:$C$29513,"&gt;=30",Datos!$F$2:$F$29513,"STANDBY"),0),"")</f>
        <v/>
      </c>
      <c r="H44" s="7">
        <f>IFERROR(ROUND(AVERAGEIFS(Datos!$G$2:$G$29513,Datos!$E$2:$E$29513,$A44,Datos!$B$2:$B$29513,11,Datos!$C$2:$C$29513,"&lt;30",Datos!$F$2:$F$29513,"STANDBY"),0),"")</f>
        <v/>
      </c>
      <c r="I44" s="7">
        <f>IFERROR(ROUND(AVERAGEIFS(Datos!$G$2:$G$29513,Datos!$E$2:$E$29513,$A44,Datos!$B$2:$B$29513,11,Datos!$C$2:$C$29513,"&gt;=30",Datos!$F$2:$F$29513,"STANDBY"),0),"")</f>
        <v/>
      </c>
      <c r="J44" s="7">
        <f>IFERROR(ROUND(AVERAGEIFS(Datos!$G$2:$G$29513,Datos!$E$2:$E$29513,$A44,Datos!$B$2:$B$29513,12,Datos!$C$2:$C$29513,"&lt;30",Datos!$F$2:$F$29513,"STANDBY"),0),"")</f>
        <v/>
      </c>
      <c r="K44" s="7">
        <f>IFERROR(ROUND(AVERAGEIFS(Datos!$G$2:$G$29513,Datos!$E$2:$E$29513,$A44,Datos!$B$2:$B$29513,12,Datos!$C$2:$C$29513,"&gt;=30",Datos!$F$2:$F$29513,"STANDBY"),0),"")</f>
        <v/>
      </c>
      <c r="L44" s="7">
        <f>IFERROR(ROUND(AVERAGEIFS(Datos!$G$2:$G$29513,Datos!$E$2:$E$29513,$A44,Datos!$B$2:$B$29513,13,Datos!$C$2:$C$29513,"&lt;30",Datos!$F$2:$F$29513,"STANDBY"),0),"")</f>
        <v/>
      </c>
      <c r="M44" s="7">
        <f>IFERROR(ROUND(AVERAGEIFS(Datos!$G$2:$G$29513,Datos!$E$2:$E$29513,$A44,Datos!$B$2:$B$29513,13,Datos!$C$2:$C$29513,"&gt;=30",Datos!$F$2:$F$29513,"STANDBY"),0),"")</f>
        <v/>
      </c>
      <c r="N44" s="7">
        <f>IFERROR(ROUND(AVERAGEIFS(Datos!$G$2:$G$29513,Datos!$E$2:$E$29513,$A44,Datos!$B$2:$B$29513,14,Datos!$C$2:$C$29513,"&lt;30",Datos!$F$2:$F$29513,"STANDBY"),0),"")</f>
        <v/>
      </c>
      <c r="O44" s="7">
        <f>IFERROR(ROUND(AVERAGEIFS(Datos!$G$2:$G$29513,Datos!$E$2:$E$29513,$A44,Datos!$B$2:$B$29513,14,Datos!$C$2:$C$29513,"&gt;=30",Datos!$F$2:$F$29513,"STANDBY"),0),"")</f>
        <v/>
      </c>
      <c r="P44" s="7">
        <f>IFERROR(ROUND(AVERAGEIFS(Datos!$G$2:$G$29513,Datos!$E$2:$E$29513,$A44,Datos!$B$2:$B$29513,15,Datos!$C$2:$C$29513,"&lt;30",Datos!$F$2:$F$29513,"STANDBY"),0),"")</f>
        <v/>
      </c>
      <c r="Q44" s="7">
        <f>IFERROR(ROUND(AVERAGEIFS(Datos!$G$2:$G$29513,Datos!$E$2:$E$29513,$A44,Datos!$B$2:$B$29513,15,Datos!$C$2:$C$29513,"&gt;=30",Datos!$F$2:$F$29513,"STANDBY"),0),"")</f>
        <v/>
      </c>
      <c r="R44" s="7">
        <f>IFERROR(ROUND(AVERAGEIFS(Datos!$G$2:$G$29513,Datos!$E$2:$E$29513,$A44,Datos!$B$2:$B$29513,16,Datos!$C$2:$C$29513,"&lt;30",Datos!$F$2:$F$29513,"STANDBY"),0),"")</f>
        <v/>
      </c>
      <c r="S44" s="7">
        <f>IFERROR(ROUND(AVERAGEIFS(Datos!$G$2:$G$29513,Datos!$E$2:$E$29513,$A44,Datos!$B$2:$B$29513,16,Datos!$C$2:$C$29513,"&gt;=30",Datos!$F$2:$F$29513,"STANDBY"),0),"")</f>
        <v/>
      </c>
      <c r="T44" s="7">
        <f>IFERROR(ROUND(AVERAGEIFS(Datos!$G$2:$G$29513,Datos!$E$2:$E$29513,$A44,Datos!$B$2:$B$29513,17,Datos!$C$2:$C$29513,"&lt;30",Datos!$F$2:$F$29513,"STANDBY"),0),"")</f>
        <v/>
      </c>
      <c r="U44" s="7">
        <f>IFERROR(ROUND(AVERAGEIFS(Datos!$G$2:$G$29513,Datos!$E$2:$E$29513,$A44,Datos!$B$2:$B$29513,17,Datos!$C$2:$C$29513,"&gt;=30",Datos!$F$2:$F$29513,"STANDBY"),0),"")</f>
        <v/>
      </c>
      <c r="V44" s="7">
        <f>IFERROR(ROUND(AVERAGEIFS(Datos!$G$2:$G$29513,Datos!$E$2:$E$29513,$A44,Datos!$B$2:$B$29513,18,Datos!$C$2:$C$29513,"&lt;30",Datos!$F$2:$F$29513,"STANDBY"),0),"")</f>
        <v/>
      </c>
      <c r="W44" s="7">
        <f>IFERROR(ROUND(AVERAGEIFS(Datos!$G$2:$G$29513,Datos!$E$2:$E$29513,$A44,Datos!$B$2:$B$29513,18,Datos!$C$2:$C$29513,"&gt;=30",Datos!$F$2:$F$29513,"STANDBY"),0),"")</f>
        <v/>
      </c>
      <c r="X44" s="7">
        <f>IFERROR(ROUND(AVERAGEIFS(Datos!$G$2:$G$29513,Datos!$E$2:$E$29513,$A44,Datos!$B$2:$B$29513,19,Datos!$C$2:$C$29513,"&lt;30",Datos!$F$2:$F$29513,"STANDBY"),0),"")</f>
        <v/>
      </c>
      <c r="Y44" s="7">
        <f>IFERROR(ROUND(AVERAGEIFS(Datos!$G$2:$G$29513,Datos!$E$2:$E$29513,$A44,Datos!$B$2:$B$29513,19,Datos!$C$2:$C$29513,"&gt;=30",Datos!$F$2:$F$29513,"STANDBY"),0),"")</f>
        <v/>
      </c>
      <c r="Z44" s="7">
        <f>IFERROR(ROUND(AVERAGEIFS(Datos!$G$2:$G$29513,Datos!$E$2:$E$29513,$A44,Datos!$B$2:$B$29513,20,Datos!$C$2:$C$29513,"&lt;30",Datos!$F$2:$F$29513,"STANDBY"),0),"")</f>
        <v/>
      </c>
      <c r="AA44" s="7">
        <f>IFERROR(ROUND(AVERAGEIFS(Datos!$G$2:$G$29513,Datos!$E$2:$E$29513,$A44,Datos!$B$2:$B$29513,20,Datos!$C$2:$C$29513,"&gt;=30",Datos!$F$2:$F$29513,"STANDBY"),0),"")</f>
        <v/>
      </c>
      <c r="AB44" s="7">
        <f>IFERROR(ROUND(AVERAGEIFS(Datos!$G$2:$G$29513,Datos!$E$2:$E$29513,$A44,Datos!$B$2:$B$29513,21,Datos!$C$2:$C$29513,"&lt;30",Datos!$F$2:$F$29513,"STANDBY"),0),"")</f>
        <v/>
      </c>
      <c r="AC44" s="7">
        <f>IFERROR(ROUND(AVERAGEIFS(Datos!$G$2:$G$29513,Datos!$E$2:$E$29513,$A44,Datos!$B$2:$B$29513,21,Datos!$C$2:$C$29513,"&gt;=30",Datos!$F$2:$F$29513,"STANDBY"),0),"")</f>
        <v/>
      </c>
      <c r="AD44" s="7">
        <f>IFERROR(ROUND(AVERAGEIFS(Datos!$G$2:$G$29513,Datos!$E$2:$E$29513,$A44,Datos!$B$2:$B$29513,22,Datos!$C$2:$C$29513,"&lt;30",Datos!$F$2:$F$29513,"STANDBY"),0),"")</f>
        <v/>
      </c>
      <c r="AE44" s="7">
        <f>IFERROR(ROUND(AVERAGEIFS(Datos!$G$2:$G$29513,Datos!$E$2:$E$29513,$A44,Datos!$B$2:$B$29513,22,Datos!$C$2:$C$29513,"&gt;=30",Datos!$F$2:$F$29513,"STANDBY"),0),"")</f>
        <v/>
      </c>
      <c r="AF44" s="7">
        <f>IFERROR(ROUND(AVERAGEIFS(Datos!$G$2:$G$29513,Datos!$E$2:$E$29513,$A44,Datos!$B$2:$B$29513,23,Datos!$C$2:$C$29513,"&lt;30",Datos!$F$2:$F$29513,"STANDBY"),0),"")</f>
        <v/>
      </c>
      <c r="AG44" s="7">
        <f>IFERROR(ROUND(AVERAGEIFS(Datos!$G$2:$G$29513,Datos!$E$2:$E$29513,$A44,Datos!$B$2:$B$29513,23,Datos!$C$2:$C$29513,"&gt;=30",Datos!$F$2:$F$29513,"STANDBY"),0),"")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IFERROR(ROUND(AVERAGEIFS(Datos!$G$2:$G$29513,Datos!$E$2:$E$29513,$A45,Datos!$B$2:$B$29513,8,Datos!$C$2:$C$29513,"&lt;30",Datos!$F$2:$F$29513,"STANDBY"),0),"")</f>
        <v/>
      </c>
      <c r="C45" s="7">
        <f>IFERROR(ROUND(AVERAGEIFS(Datos!$G$2:$G$29513,Datos!$E$2:$E$29513,$A45,Datos!$B$2:$B$29513,8,Datos!$C$2:$C$29513,"&gt;=30",Datos!$F$2:$F$29513,"STANDBY"),0),"")</f>
        <v/>
      </c>
      <c r="D45" s="7">
        <f>IFERROR(ROUND(AVERAGEIFS(Datos!$G$2:$G$29513,Datos!$E$2:$E$29513,$A45,Datos!$B$2:$B$29513,9,Datos!$C$2:$C$29513,"&lt;30",Datos!$F$2:$F$29513,"STANDBY"),0),"")</f>
        <v/>
      </c>
      <c r="E45" s="7">
        <f>IFERROR(ROUND(AVERAGEIFS(Datos!$G$2:$G$29513,Datos!$E$2:$E$29513,$A45,Datos!$B$2:$B$29513,9,Datos!$C$2:$C$29513,"&gt;=30",Datos!$F$2:$F$29513,"STANDBY"),0),"")</f>
        <v/>
      </c>
      <c r="F45" s="7">
        <f>IFERROR(ROUND(AVERAGEIFS(Datos!$G$2:$G$29513,Datos!$E$2:$E$29513,$A45,Datos!$B$2:$B$29513,10,Datos!$C$2:$C$29513,"&lt;30",Datos!$F$2:$F$29513,"STANDBY"),0),"")</f>
        <v/>
      </c>
      <c r="G45" s="7">
        <f>IFERROR(ROUND(AVERAGEIFS(Datos!$G$2:$G$29513,Datos!$E$2:$E$29513,$A45,Datos!$B$2:$B$29513,10,Datos!$C$2:$C$29513,"&gt;=30",Datos!$F$2:$F$29513,"STANDBY"),0),"")</f>
        <v/>
      </c>
      <c r="H45" s="7">
        <f>IFERROR(ROUND(AVERAGEIFS(Datos!$G$2:$G$29513,Datos!$E$2:$E$29513,$A45,Datos!$B$2:$B$29513,11,Datos!$C$2:$C$29513,"&lt;30",Datos!$F$2:$F$29513,"STANDBY"),0),"")</f>
        <v/>
      </c>
      <c r="I45" s="7">
        <f>IFERROR(ROUND(AVERAGEIFS(Datos!$G$2:$G$29513,Datos!$E$2:$E$29513,$A45,Datos!$B$2:$B$29513,11,Datos!$C$2:$C$29513,"&gt;=30",Datos!$F$2:$F$29513,"STANDBY"),0),"")</f>
        <v/>
      </c>
      <c r="J45" s="7">
        <f>IFERROR(ROUND(AVERAGEIFS(Datos!$G$2:$G$29513,Datos!$E$2:$E$29513,$A45,Datos!$B$2:$B$29513,12,Datos!$C$2:$C$29513,"&lt;30",Datos!$F$2:$F$29513,"STANDBY"),0),"")</f>
        <v/>
      </c>
      <c r="K45" s="7">
        <f>IFERROR(ROUND(AVERAGEIFS(Datos!$G$2:$G$29513,Datos!$E$2:$E$29513,$A45,Datos!$B$2:$B$29513,12,Datos!$C$2:$C$29513,"&gt;=30",Datos!$F$2:$F$29513,"STANDBY"),0),"")</f>
        <v/>
      </c>
      <c r="L45" s="7">
        <f>IFERROR(ROUND(AVERAGEIFS(Datos!$G$2:$G$29513,Datos!$E$2:$E$29513,$A45,Datos!$B$2:$B$29513,13,Datos!$C$2:$C$29513,"&lt;30",Datos!$F$2:$F$29513,"STANDBY"),0),"")</f>
        <v/>
      </c>
      <c r="M45" s="7">
        <f>IFERROR(ROUND(AVERAGEIFS(Datos!$G$2:$G$29513,Datos!$E$2:$E$29513,$A45,Datos!$B$2:$B$29513,13,Datos!$C$2:$C$29513,"&gt;=30",Datos!$F$2:$F$29513,"STANDBY"),0),"")</f>
        <v/>
      </c>
      <c r="N45" s="7">
        <f>IFERROR(ROUND(AVERAGEIFS(Datos!$G$2:$G$29513,Datos!$E$2:$E$29513,$A45,Datos!$B$2:$B$29513,14,Datos!$C$2:$C$29513,"&lt;30",Datos!$F$2:$F$29513,"STANDBY"),0),"")</f>
        <v/>
      </c>
      <c r="O45" s="7">
        <f>IFERROR(ROUND(AVERAGEIFS(Datos!$G$2:$G$29513,Datos!$E$2:$E$29513,$A45,Datos!$B$2:$B$29513,14,Datos!$C$2:$C$29513,"&gt;=30",Datos!$F$2:$F$29513,"STANDBY"),0),"")</f>
        <v/>
      </c>
      <c r="P45" s="7">
        <f>IFERROR(ROUND(AVERAGEIFS(Datos!$G$2:$G$29513,Datos!$E$2:$E$29513,$A45,Datos!$B$2:$B$29513,15,Datos!$C$2:$C$29513,"&lt;30",Datos!$F$2:$F$29513,"STANDBY"),0),"")</f>
        <v/>
      </c>
      <c r="Q45" s="7">
        <f>IFERROR(ROUND(AVERAGEIFS(Datos!$G$2:$G$29513,Datos!$E$2:$E$29513,$A45,Datos!$B$2:$B$29513,15,Datos!$C$2:$C$29513,"&gt;=30",Datos!$F$2:$F$29513,"STANDBY"),0),"")</f>
        <v/>
      </c>
      <c r="R45" s="7">
        <f>IFERROR(ROUND(AVERAGEIFS(Datos!$G$2:$G$29513,Datos!$E$2:$E$29513,$A45,Datos!$B$2:$B$29513,16,Datos!$C$2:$C$29513,"&lt;30",Datos!$F$2:$F$29513,"STANDBY"),0),"")</f>
        <v/>
      </c>
      <c r="S45" s="7">
        <f>IFERROR(ROUND(AVERAGEIFS(Datos!$G$2:$G$29513,Datos!$E$2:$E$29513,$A45,Datos!$B$2:$B$29513,16,Datos!$C$2:$C$29513,"&gt;=30",Datos!$F$2:$F$29513,"STANDBY"),0),"")</f>
        <v/>
      </c>
      <c r="T45" s="7">
        <f>IFERROR(ROUND(AVERAGEIFS(Datos!$G$2:$G$29513,Datos!$E$2:$E$29513,$A45,Datos!$B$2:$B$29513,17,Datos!$C$2:$C$29513,"&lt;30",Datos!$F$2:$F$29513,"STANDBY"),0),"")</f>
        <v/>
      </c>
      <c r="U45" s="7">
        <f>IFERROR(ROUND(AVERAGEIFS(Datos!$G$2:$G$29513,Datos!$E$2:$E$29513,$A45,Datos!$B$2:$B$29513,17,Datos!$C$2:$C$29513,"&gt;=30",Datos!$F$2:$F$29513,"STANDBY"),0),"")</f>
        <v/>
      </c>
      <c r="V45" s="7">
        <f>IFERROR(ROUND(AVERAGEIFS(Datos!$G$2:$G$29513,Datos!$E$2:$E$29513,$A45,Datos!$B$2:$B$29513,18,Datos!$C$2:$C$29513,"&lt;30",Datos!$F$2:$F$29513,"STANDBY"),0),"")</f>
        <v/>
      </c>
      <c r="W45" s="7">
        <f>IFERROR(ROUND(AVERAGEIFS(Datos!$G$2:$G$29513,Datos!$E$2:$E$29513,$A45,Datos!$B$2:$B$29513,18,Datos!$C$2:$C$29513,"&gt;=30",Datos!$F$2:$F$29513,"STANDBY"),0),"")</f>
        <v/>
      </c>
      <c r="X45" s="7">
        <f>IFERROR(ROUND(AVERAGEIFS(Datos!$G$2:$G$29513,Datos!$E$2:$E$29513,$A45,Datos!$B$2:$B$29513,19,Datos!$C$2:$C$29513,"&lt;30",Datos!$F$2:$F$29513,"STANDBY"),0),"")</f>
        <v/>
      </c>
      <c r="Y45" s="7">
        <f>IFERROR(ROUND(AVERAGEIFS(Datos!$G$2:$G$29513,Datos!$E$2:$E$29513,$A45,Datos!$B$2:$B$29513,19,Datos!$C$2:$C$29513,"&gt;=30",Datos!$F$2:$F$29513,"STANDBY"),0),"")</f>
        <v/>
      </c>
      <c r="Z45" s="7">
        <f>IFERROR(ROUND(AVERAGEIFS(Datos!$G$2:$G$29513,Datos!$E$2:$E$29513,$A45,Datos!$B$2:$B$29513,20,Datos!$C$2:$C$29513,"&lt;30",Datos!$F$2:$F$29513,"STANDBY"),0),"")</f>
        <v/>
      </c>
      <c r="AA45" s="7">
        <f>IFERROR(ROUND(AVERAGEIFS(Datos!$G$2:$G$29513,Datos!$E$2:$E$29513,$A45,Datos!$B$2:$B$29513,20,Datos!$C$2:$C$29513,"&gt;=30",Datos!$F$2:$F$29513,"STANDBY"),0),"")</f>
        <v/>
      </c>
      <c r="AB45" s="7">
        <f>IFERROR(ROUND(AVERAGEIFS(Datos!$G$2:$G$29513,Datos!$E$2:$E$29513,$A45,Datos!$B$2:$B$29513,21,Datos!$C$2:$C$29513,"&lt;30",Datos!$F$2:$F$29513,"STANDBY"),0),"")</f>
        <v/>
      </c>
      <c r="AC45" s="7">
        <f>IFERROR(ROUND(AVERAGEIFS(Datos!$G$2:$G$29513,Datos!$E$2:$E$29513,$A45,Datos!$B$2:$B$29513,21,Datos!$C$2:$C$29513,"&gt;=30",Datos!$F$2:$F$29513,"STANDBY"),0),"")</f>
        <v/>
      </c>
      <c r="AD45" s="7">
        <f>IFERROR(ROUND(AVERAGEIFS(Datos!$G$2:$G$29513,Datos!$E$2:$E$29513,$A45,Datos!$B$2:$B$29513,22,Datos!$C$2:$C$29513,"&lt;30",Datos!$F$2:$F$29513,"STANDBY"),0),"")</f>
        <v/>
      </c>
      <c r="AE45" s="7">
        <f>IFERROR(ROUND(AVERAGEIFS(Datos!$G$2:$G$29513,Datos!$E$2:$E$29513,$A45,Datos!$B$2:$B$29513,22,Datos!$C$2:$C$29513,"&gt;=30",Datos!$F$2:$F$29513,"STANDBY"),0),"")</f>
        <v/>
      </c>
      <c r="AF45" s="7">
        <f>IFERROR(ROUND(AVERAGEIFS(Datos!$G$2:$G$29513,Datos!$E$2:$E$29513,$A45,Datos!$B$2:$B$29513,23,Datos!$C$2:$C$29513,"&lt;30",Datos!$F$2:$F$29513,"STANDBY"),0),"")</f>
        <v/>
      </c>
      <c r="AG45" s="7">
        <f>IFERROR(ROUND(AVERAGEIFS(Datos!$G$2:$G$29513,Datos!$E$2:$E$29513,$A45,Datos!$B$2:$B$29513,23,Datos!$C$2:$C$29513,"&gt;=30",Datos!$F$2:$F$29513,"STANDBY"),0),"")</f>
        <v/>
      </c>
    </row>
    <row r="46">
      <c r="A46" s="6" t="inlineStr">
        <is>
          <t>Les Mystères du Nautilus</t>
        </is>
      </c>
      <c r="B46" s="7">
        <f>IFERROR(ROUND(AVERAGEIFS(Datos!$G$2:$G$29513,Datos!$E$2:$E$29513,$A46,Datos!$B$2:$B$29513,8,Datos!$C$2:$C$29513,"&lt;30",Datos!$F$2:$F$29513,"STANDBY"),0),"")</f>
        <v/>
      </c>
      <c r="C46" s="7">
        <f>IFERROR(ROUND(AVERAGEIFS(Datos!$G$2:$G$29513,Datos!$E$2:$E$29513,$A46,Datos!$B$2:$B$29513,8,Datos!$C$2:$C$29513,"&gt;=30",Datos!$F$2:$F$29513,"STANDBY"),0),"")</f>
        <v/>
      </c>
      <c r="D46" s="7">
        <f>IFERROR(ROUND(AVERAGEIFS(Datos!$G$2:$G$29513,Datos!$E$2:$E$29513,$A46,Datos!$B$2:$B$29513,9,Datos!$C$2:$C$29513,"&lt;30",Datos!$F$2:$F$29513,"STANDBY"),0),"")</f>
        <v/>
      </c>
      <c r="E46" s="7">
        <f>IFERROR(ROUND(AVERAGEIFS(Datos!$G$2:$G$29513,Datos!$E$2:$E$29513,$A46,Datos!$B$2:$B$29513,9,Datos!$C$2:$C$29513,"&gt;=30",Datos!$F$2:$F$29513,"STANDBY"),0),"")</f>
        <v/>
      </c>
      <c r="F46" s="7">
        <f>IFERROR(ROUND(AVERAGEIFS(Datos!$G$2:$G$29513,Datos!$E$2:$E$29513,$A46,Datos!$B$2:$B$29513,10,Datos!$C$2:$C$29513,"&lt;30",Datos!$F$2:$F$29513,"STANDBY"),0),"")</f>
        <v/>
      </c>
      <c r="G46" s="7">
        <f>IFERROR(ROUND(AVERAGEIFS(Datos!$G$2:$G$29513,Datos!$E$2:$E$29513,$A46,Datos!$B$2:$B$29513,10,Datos!$C$2:$C$29513,"&gt;=30",Datos!$F$2:$F$29513,"STANDBY"),0),"")</f>
        <v/>
      </c>
      <c r="H46" s="7">
        <f>IFERROR(ROUND(AVERAGEIFS(Datos!$G$2:$G$29513,Datos!$E$2:$E$29513,$A46,Datos!$B$2:$B$29513,11,Datos!$C$2:$C$29513,"&lt;30",Datos!$F$2:$F$29513,"STANDBY"),0),"")</f>
        <v/>
      </c>
      <c r="I46" s="7">
        <f>IFERROR(ROUND(AVERAGEIFS(Datos!$G$2:$G$29513,Datos!$E$2:$E$29513,$A46,Datos!$B$2:$B$29513,11,Datos!$C$2:$C$29513,"&gt;=30",Datos!$F$2:$F$29513,"STANDBY"),0),"")</f>
        <v/>
      </c>
      <c r="J46" s="7">
        <f>IFERROR(ROUND(AVERAGEIFS(Datos!$G$2:$G$29513,Datos!$E$2:$E$29513,$A46,Datos!$B$2:$B$29513,12,Datos!$C$2:$C$29513,"&lt;30",Datos!$F$2:$F$29513,"STANDBY"),0),"")</f>
        <v/>
      </c>
      <c r="K46" s="7">
        <f>IFERROR(ROUND(AVERAGEIFS(Datos!$G$2:$G$29513,Datos!$E$2:$E$29513,$A46,Datos!$B$2:$B$29513,12,Datos!$C$2:$C$29513,"&gt;=30",Datos!$F$2:$F$29513,"STANDBY"),0),"")</f>
        <v/>
      </c>
      <c r="L46" s="7">
        <f>IFERROR(ROUND(AVERAGEIFS(Datos!$G$2:$G$29513,Datos!$E$2:$E$29513,$A46,Datos!$B$2:$B$29513,13,Datos!$C$2:$C$29513,"&lt;30",Datos!$F$2:$F$29513,"STANDBY"),0),"")</f>
        <v/>
      </c>
      <c r="M46" s="7">
        <f>IFERROR(ROUND(AVERAGEIFS(Datos!$G$2:$G$29513,Datos!$E$2:$E$29513,$A46,Datos!$B$2:$B$29513,13,Datos!$C$2:$C$29513,"&gt;=30",Datos!$F$2:$F$29513,"STANDBY"),0),"")</f>
        <v/>
      </c>
      <c r="N46" s="7">
        <f>IFERROR(ROUND(AVERAGEIFS(Datos!$G$2:$G$29513,Datos!$E$2:$E$29513,$A46,Datos!$B$2:$B$29513,14,Datos!$C$2:$C$29513,"&lt;30",Datos!$F$2:$F$29513,"STANDBY"),0),"")</f>
        <v/>
      </c>
      <c r="O46" s="7">
        <f>IFERROR(ROUND(AVERAGEIFS(Datos!$G$2:$G$29513,Datos!$E$2:$E$29513,$A46,Datos!$B$2:$B$29513,14,Datos!$C$2:$C$29513,"&gt;=30",Datos!$F$2:$F$29513,"STANDBY"),0),"")</f>
        <v/>
      </c>
      <c r="P46" s="7">
        <f>IFERROR(ROUND(AVERAGEIFS(Datos!$G$2:$G$29513,Datos!$E$2:$E$29513,$A46,Datos!$B$2:$B$29513,15,Datos!$C$2:$C$29513,"&lt;30",Datos!$F$2:$F$29513,"STANDBY"),0),"")</f>
        <v/>
      </c>
      <c r="Q46" s="7">
        <f>IFERROR(ROUND(AVERAGEIFS(Datos!$G$2:$G$29513,Datos!$E$2:$E$29513,$A46,Datos!$B$2:$B$29513,15,Datos!$C$2:$C$29513,"&gt;=30",Datos!$F$2:$F$29513,"STANDBY"),0),"")</f>
        <v/>
      </c>
      <c r="R46" s="7">
        <f>IFERROR(ROUND(AVERAGEIFS(Datos!$G$2:$G$29513,Datos!$E$2:$E$29513,$A46,Datos!$B$2:$B$29513,16,Datos!$C$2:$C$29513,"&lt;30",Datos!$F$2:$F$29513,"STANDBY"),0),"")</f>
        <v/>
      </c>
      <c r="S46" s="7">
        <f>IFERROR(ROUND(AVERAGEIFS(Datos!$G$2:$G$29513,Datos!$E$2:$E$29513,$A46,Datos!$B$2:$B$29513,16,Datos!$C$2:$C$29513,"&gt;=30",Datos!$F$2:$F$29513,"STANDBY"),0),"")</f>
        <v/>
      </c>
      <c r="T46" s="7">
        <f>IFERROR(ROUND(AVERAGEIFS(Datos!$G$2:$G$29513,Datos!$E$2:$E$29513,$A46,Datos!$B$2:$B$29513,17,Datos!$C$2:$C$29513,"&lt;30",Datos!$F$2:$F$29513,"STANDBY"),0),"")</f>
        <v/>
      </c>
      <c r="U46" s="7">
        <f>IFERROR(ROUND(AVERAGEIFS(Datos!$G$2:$G$29513,Datos!$E$2:$E$29513,$A46,Datos!$B$2:$B$29513,17,Datos!$C$2:$C$29513,"&gt;=30",Datos!$F$2:$F$29513,"STANDBY"),0),"")</f>
        <v/>
      </c>
      <c r="V46" s="7">
        <f>IFERROR(ROUND(AVERAGEIFS(Datos!$G$2:$G$29513,Datos!$E$2:$E$29513,$A46,Datos!$B$2:$B$29513,18,Datos!$C$2:$C$29513,"&lt;30",Datos!$F$2:$F$29513,"STANDBY"),0),"")</f>
        <v/>
      </c>
      <c r="W46" s="7">
        <f>IFERROR(ROUND(AVERAGEIFS(Datos!$G$2:$G$29513,Datos!$E$2:$E$29513,$A46,Datos!$B$2:$B$29513,18,Datos!$C$2:$C$29513,"&gt;=30",Datos!$F$2:$F$29513,"STANDBY"),0),"")</f>
        <v/>
      </c>
      <c r="X46" s="7">
        <f>IFERROR(ROUND(AVERAGEIFS(Datos!$G$2:$G$29513,Datos!$E$2:$E$29513,$A46,Datos!$B$2:$B$29513,19,Datos!$C$2:$C$29513,"&lt;30",Datos!$F$2:$F$29513,"STANDBY"),0),"")</f>
        <v/>
      </c>
      <c r="Y46" s="7">
        <f>IFERROR(ROUND(AVERAGEIFS(Datos!$G$2:$G$29513,Datos!$E$2:$E$29513,$A46,Datos!$B$2:$B$29513,19,Datos!$C$2:$C$29513,"&gt;=30",Datos!$F$2:$F$29513,"STANDBY"),0),"")</f>
        <v/>
      </c>
      <c r="Z46" s="7">
        <f>IFERROR(ROUND(AVERAGEIFS(Datos!$G$2:$G$29513,Datos!$E$2:$E$29513,$A46,Datos!$B$2:$B$29513,20,Datos!$C$2:$C$29513,"&lt;30",Datos!$F$2:$F$29513,"STANDBY"),0),"")</f>
        <v/>
      </c>
      <c r="AA46" s="7">
        <f>IFERROR(ROUND(AVERAGEIFS(Datos!$G$2:$G$29513,Datos!$E$2:$E$29513,$A46,Datos!$B$2:$B$29513,20,Datos!$C$2:$C$29513,"&gt;=30",Datos!$F$2:$F$29513,"STANDBY"),0),"")</f>
        <v/>
      </c>
      <c r="AB46" s="7">
        <f>IFERROR(ROUND(AVERAGEIFS(Datos!$G$2:$G$29513,Datos!$E$2:$E$29513,$A46,Datos!$B$2:$B$29513,21,Datos!$C$2:$C$29513,"&lt;30",Datos!$F$2:$F$29513,"STANDBY"),0),"")</f>
        <v/>
      </c>
      <c r="AC46" s="7">
        <f>IFERROR(ROUND(AVERAGEIFS(Datos!$G$2:$G$29513,Datos!$E$2:$E$29513,$A46,Datos!$B$2:$B$29513,21,Datos!$C$2:$C$29513,"&gt;=30",Datos!$F$2:$F$29513,"STANDBY"),0),"")</f>
        <v/>
      </c>
      <c r="AD46" s="7">
        <f>IFERROR(ROUND(AVERAGEIFS(Datos!$G$2:$G$29513,Datos!$E$2:$E$29513,$A46,Datos!$B$2:$B$29513,22,Datos!$C$2:$C$29513,"&lt;30",Datos!$F$2:$F$29513,"STANDBY"),0),"")</f>
        <v/>
      </c>
      <c r="AE46" s="7">
        <f>IFERROR(ROUND(AVERAGEIFS(Datos!$G$2:$G$29513,Datos!$E$2:$E$29513,$A46,Datos!$B$2:$B$29513,22,Datos!$C$2:$C$29513,"&gt;=30",Datos!$F$2:$F$29513,"STANDBY"),0),"")</f>
        <v/>
      </c>
      <c r="AF46" s="7">
        <f>IFERROR(ROUND(AVERAGEIFS(Datos!$G$2:$G$29513,Datos!$E$2:$E$29513,$A46,Datos!$B$2:$B$29513,23,Datos!$C$2:$C$29513,"&lt;30",Datos!$F$2:$F$29513,"STANDBY"),0),"")</f>
        <v/>
      </c>
      <c r="AG46" s="7">
        <f>IFERROR(ROUND(AVERAGEIFS(Datos!$G$2:$G$29513,Datos!$E$2:$E$29513,$A46,Datos!$B$2:$B$29513,23,Datos!$C$2:$C$29513,"&gt;=30",Datos!$F$2:$F$29513,"STANDBY"),0),"")</f>
        <v/>
      </c>
    </row>
    <row r="47">
      <c r="A47" s="6" t="inlineStr">
        <is>
          <t>Les Voyages de Pinocchio</t>
        </is>
      </c>
      <c r="B47" s="7">
        <f>IFERROR(ROUND(AVERAGEIFS(Datos!$G$2:$G$29513,Datos!$E$2:$E$29513,$A47,Datos!$B$2:$B$29513,8,Datos!$C$2:$C$29513,"&lt;30",Datos!$F$2:$F$29513,"STANDBY"),0),"")</f>
        <v/>
      </c>
      <c r="C47" s="7">
        <f>IFERROR(ROUND(AVERAGEIFS(Datos!$G$2:$G$29513,Datos!$E$2:$E$29513,$A47,Datos!$B$2:$B$29513,8,Datos!$C$2:$C$29513,"&gt;=30",Datos!$F$2:$F$29513,"STANDBY"),0),"")</f>
        <v/>
      </c>
      <c r="D47" s="7">
        <f>IFERROR(ROUND(AVERAGEIFS(Datos!$G$2:$G$29513,Datos!$E$2:$E$29513,$A47,Datos!$B$2:$B$29513,9,Datos!$C$2:$C$29513,"&lt;30",Datos!$F$2:$F$29513,"STANDBY"),0),"")</f>
        <v/>
      </c>
      <c r="E47" s="7">
        <f>IFERROR(ROUND(AVERAGEIFS(Datos!$G$2:$G$29513,Datos!$E$2:$E$29513,$A47,Datos!$B$2:$B$29513,9,Datos!$C$2:$C$29513,"&gt;=30",Datos!$F$2:$F$29513,"STANDBY"),0),"")</f>
        <v/>
      </c>
      <c r="F47" s="7">
        <f>IFERROR(ROUND(AVERAGEIFS(Datos!$G$2:$G$29513,Datos!$E$2:$E$29513,$A47,Datos!$B$2:$B$29513,10,Datos!$C$2:$C$29513,"&lt;30",Datos!$F$2:$F$29513,"STANDBY"),0),"")</f>
        <v/>
      </c>
      <c r="G47" s="7">
        <f>IFERROR(ROUND(AVERAGEIFS(Datos!$G$2:$G$29513,Datos!$E$2:$E$29513,$A47,Datos!$B$2:$B$29513,10,Datos!$C$2:$C$29513,"&gt;=30",Datos!$F$2:$F$29513,"STANDBY"),0),"")</f>
        <v/>
      </c>
      <c r="H47" s="7">
        <f>IFERROR(ROUND(AVERAGEIFS(Datos!$G$2:$G$29513,Datos!$E$2:$E$29513,$A47,Datos!$B$2:$B$29513,11,Datos!$C$2:$C$29513,"&lt;30",Datos!$F$2:$F$29513,"STANDBY"),0),"")</f>
        <v/>
      </c>
      <c r="I47" s="7">
        <f>IFERROR(ROUND(AVERAGEIFS(Datos!$G$2:$G$29513,Datos!$E$2:$E$29513,$A47,Datos!$B$2:$B$29513,11,Datos!$C$2:$C$29513,"&gt;=30",Datos!$F$2:$F$29513,"STANDBY"),0),"")</f>
        <v/>
      </c>
      <c r="J47" s="7">
        <f>IFERROR(ROUND(AVERAGEIFS(Datos!$G$2:$G$29513,Datos!$E$2:$E$29513,$A47,Datos!$B$2:$B$29513,12,Datos!$C$2:$C$29513,"&lt;30",Datos!$F$2:$F$29513,"STANDBY"),0),"")</f>
        <v/>
      </c>
      <c r="K47" s="7">
        <f>IFERROR(ROUND(AVERAGEIFS(Datos!$G$2:$G$29513,Datos!$E$2:$E$29513,$A47,Datos!$B$2:$B$29513,12,Datos!$C$2:$C$29513,"&gt;=30",Datos!$F$2:$F$29513,"STANDBY"),0),"")</f>
        <v/>
      </c>
      <c r="L47" s="7">
        <f>IFERROR(ROUND(AVERAGEIFS(Datos!$G$2:$G$29513,Datos!$E$2:$E$29513,$A47,Datos!$B$2:$B$29513,13,Datos!$C$2:$C$29513,"&lt;30",Datos!$F$2:$F$29513,"STANDBY"),0),"")</f>
        <v/>
      </c>
      <c r="M47" s="7">
        <f>IFERROR(ROUND(AVERAGEIFS(Datos!$G$2:$G$29513,Datos!$E$2:$E$29513,$A47,Datos!$B$2:$B$29513,13,Datos!$C$2:$C$29513,"&gt;=30",Datos!$F$2:$F$29513,"STANDBY"),0),"")</f>
        <v/>
      </c>
      <c r="N47" s="7">
        <f>IFERROR(ROUND(AVERAGEIFS(Datos!$G$2:$G$29513,Datos!$E$2:$E$29513,$A47,Datos!$B$2:$B$29513,14,Datos!$C$2:$C$29513,"&lt;30",Datos!$F$2:$F$29513,"STANDBY"),0),"")</f>
        <v/>
      </c>
      <c r="O47" s="7">
        <f>IFERROR(ROUND(AVERAGEIFS(Datos!$G$2:$G$29513,Datos!$E$2:$E$29513,$A47,Datos!$B$2:$B$29513,14,Datos!$C$2:$C$29513,"&gt;=30",Datos!$F$2:$F$29513,"STANDBY"),0),"")</f>
        <v/>
      </c>
      <c r="P47" s="7">
        <f>IFERROR(ROUND(AVERAGEIFS(Datos!$G$2:$G$29513,Datos!$E$2:$E$29513,$A47,Datos!$B$2:$B$29513,15,Datos!$C$2:$C$29513,"&lt;30",Datos!$F$2:$F$29513,"STANDBY"),0),"")</f>
        <v/>
      </c>
      <c r="Q47" s="7">
        <f>IFERROR(ROUND(AVERAGEIFS(Datos!$G$2:$G$29513,Datos!$E$2:$E$29513,$A47,Datos!$B$2:$B$29513,15,Datos!$C$2:$C$29513,"&gt;=30",Datos!$F$2:$F$29513,"STANDBY"),0),"")</f>
        <v/>
      </c>
      <c r="R47" s="7">
        <f>IFERROR(ROUND(AVERAGEIFS(Datos!$G$2:$G$29513,Datos!$E$2:$E$29513,$A47,Datos!$B$2:$B$29513,16,Datos!$C$2:$C$29513,"&lt;30",Datos!$F$2:$F$29513,"STANDBY"),0),"")</f>
        <v/>
      </c>
      <c r="S47" s="7">
        <f>IFERROR(ROUND(AVERAGEIFS(Datos!$G$2:$G$29513,Datos!$E$2:$E$29513,$A47,Datos!$B$2:$B$29513,16,Datos!$C$2:$C$29513,"&gt;=30",Datos!$F$2:$F$29513,"STANDBY"),0),"")</f>
        <v/>
      </c>
      <c r="T47" s="7">
        <f>IFERROR(ROUND(AVERAGEIFS(Datos!$G$2:$G$29513,Datos!$E$2:$E$29513,$A47,Datos!$B$2:$B$29513,17,Datos!$C$2:$C$29513,"&lt;30",Datos!$F$2:$F$29513,"STANDBY"),0),"")</f>
        <v/>
      </c>
      <c r="U47" s="7">
        <f>IFERROR(ROUND(AVERAGEIFS(Datos!$G$2:$G$29513,Datos!$E$2:$E$29513,$A47,Datos!$B$2:$B$29513,17,Datos!$C$2:$C$29513,"&gt;=30",Datos!$F$2:$F$29513,"STANDBY"),0),"")</f>
        <v/>
      </c>
      <c r="V47" s="7">
        <f>IFERROR(ROUND(AVERAGEIFS(Datos!$G$2:$G$29513,Datos!$E$2:$E$29513,$A47,Datos!$B$2:$B$29513,18,Datos!$C$2:$C$29513,"&lt;30",Datos!$F$2:$F$29513,"STANDBY"),0),"")</f>
        <v/>
      </c>
      <c r="W47" s="7">
        <f>IFERROR(ROUND(AVERAGEIFS(Datos!$G$2:$G$29513,Datos!$E$2:$E$29513,$A47,Datos!$B$2:$B$29513,18,Datos!$C$2:$C$29513,"&gt;=30",Datos!$F$2:$F$29513,"STANDBY"),0),"")</f>
        <v/>
      </c>
      <c r="X47" s="7">
        <f>IFERROR(ROUND(AVERAGEIFS(Datos!$G$2:$G$29513,Datos!$E$2:$E$29513,$A47,Datos!$B$2:$B$29513,19,Datos!$C$2:$C$29513,"&lt;30",Datos!$F$2:$F$29513,"STANDBY"),0),"")</f>
        <v/>
      </c>
      <c r="Y47" s="7">
        <f>IFERROR(ROUND(AVERAGEIFS(Datos!$G$2:$G$29513,Datos!$E$2:$E$29513,$A47,Datos!$B$2:$B$29513,19,Datos!$C$2:$C$29513,"&gt;=30",Datos!$F$2:$F$29513,"STANDBY"),0),"")</f>
        <v/>
      </c>
      <c r="Z47" s="7">
        <f>IFERROR(ROUND(AVERAGEIFS(Datos!$G$2:$G$29513,Datos!$E$2:$E$29513,$A47,Datos!$B$2:$B$29513,20,Datos!$C$2:$C$29513,"&lt;30",Datos!$F$2:$F$29513,"STANDBY"),0),"")</f>
        <v/>
      </c>
      <c r="AA47" s="7">
        <f>IFERROR(ROUND(AVERAGEIFS(Datos!$G$2:$G$29513,Datos!$E$2:$E$29513,$A47,Datos!$B$2:$B$29513,20,Datos!$C$2:$C$29513,"&gt;=30",Datos!$F$2:$F$29513,"STANDBY"),0),"")</f>
        <v/>
      </c>
      <c r="AB47" s="7">
        <f>IFERROR(ROUND(AVERAGEIFS(Datos!$G$2:$G$29513,Datos!$E$2:$E$29513,$A47,Datos!$B$2:$B$29513,21,Datos!$C$2:$C$29513,"&lt;30",Datos!$F$2:$F$29513,"STANDBY"),0),"")</f>
        <v/>
      </c>
      <c r="AC47" s="7">
        <f>IFERROR(ROUND(AVERAGEIFS(Datos!$G$2:$G$29513,Datos!$E$2:$E$29513,$A47,Datos!$B$2:$B$29513,21,Datos!$C$2:$C$29513,"&gt;=30",Datos!$F$2:$F$29513,"STANDBY"),0),"")</f>
        <v/>
      </c>
      <c r="AD47" s="7">
        <f>IFERROR(ROUND(AVERAGEIFS(Datos!$G$2:$G$29513,Datos!$E$2:$E$29513,$A47,Datos!$B$2:$B$29513,22,Datos!$C$2:$C$29513,"&lt;30",Datos!$F$2:$F$29513,"STANDBY"),0),"")</f>
        <v/>
      </c>
      <c r="AE47" s="7">
        <f>IFERROR(ROUND(AVERAGEIFS(Datos!$G$2:$G$29513,Datos!$E$2:$E$29513,$A47,Datos!$B$2:$B$29513,22,Datos!$C$2:$C$29513,"&gt;=30",Datos!$F$2:$F$29513,"STANDBY"),0),"")</f>
        <v/>
      </c>
      <c r="AF47" s="7">
        <f>IFERROR(ROUND(AVERAGEIFS(Datos!$G$2:$G$29513,Datos!$E$2:$E$29513,$A47,Datos!$B$2:$B$29513,23,Datos!$C$2:$C$29513,"&lt;30",Datos!$F$2:$F$29513,"STANDBY"),0),"")</f>
        <v/>
      </c>
      <c r="AG47" s="7">
        <f>IFERROR(ROUND(AVERAGEIFS(Datos!$G$2:$G$29513,Datos!$E$2:$E$29513,$A47,Datos!$B$2:$B$29513,23,Datos!$C$2:$C$29513,"&gt;=30",Datos!$F$2:$F$29513,"STANDBY"),0),"")</f>
        <v/>
      </c>
    </row>
    <row r="48">
      <c r="A48" s="6" t="inlineStr">
        <is>
          <t>Mad Hatter's Tea Cups</t>
        </is>
      </c>
      <c r="B48" s="7">
        <f>IFERROR(ROUND(AVERAGEIFS(Datos!$G$2:$G$29513,Datos!$E$2:$E$29513,$A48,Datos!$B$2:$B$29513,8,Datos!$C$2:$C$29513,"&lt;30",Datos!$F$2:$F$29513,"STANDBY"),0),"")</f>
        <v/>
      </c>
      <c r="C48" s="7">
        <f>IFERROR(ROUND(AVERAGEIFS(Datos!$G$2:$G$29513,Datos!$E$2:$E$29513,$A48,Datos!$B$2:$B$29513,8,Datos!$C$2:$C$29513,"&gt;=30",Datos!$F$2:$F$29513,"STANDBY"),0),"")</f>
        <v/>
      </c>
      <c r="D48" s="7">
        <f>IFERROR(ROUND(AVERAGEIFS(Datos!$G$2:$G$29513,Datos!$E$2:$E$29513,$A48,Datos!$B$2:$B$29513,9,Datos!$C$2:$C$29513,"&lt;30",Datos!$F$2:$F$29513,"STANDBY"),0),"")</f>
        <v/>
      </c>
      <c r="E48" s="7">
        <f>IFERROR(ROUND(AVERAGEIFS(Datos!$G$2:$G$29513,Datos!$E$2:$E$29513,$A48,Datos!$B$2:$B$29513,9,Datos!$C$2:$C$29513,"&gt;=30",Datos!$F$2:$F$29513,"STANDBY"),0),"")</f>
        <v/>
      </c>
      <c r="F48" s="7">
        <f>IFERROR(ROUND(AVERAGEIFS(Datos!$G$2:$G$29513,Datos!$E$2:$E$29513,$A48,Datos!$B$2:$B$29513,10,Datos!$C$2:$C$29513,"&lt;30",Datos!$F$2:$F$29513,"STANDBY"),0),"")</f>
        <v/>
      </c>
      <c r="G48" s="7">
        <f>IFERROR(ROUND(AVERAGEIFS(Datos!$G$2:$G$29513,Datos!$E$2:$E$29513,$A48,Datos!$B$2:$B$29513,10,Datos!$C$2:$C$29513,"&gt;=30",Datos!$F$2:$F$29513,"STANDBY"),0),"")</f>
        <v/>
      </c>
      <c r="H48" s="7">
        <f>IFERROR(ROUND(AVERAGEIFS(Datos!$G$2:$G$29513,Datos!$E$2:$E$29513,$A48,Datos!$B$2:$B$29513,11,Datos!$C$2:$C$29513,"&lt;30",Datos!$F$2:$F$29513,"STANDBY"),0),"")</f>
        <v/>
      </c>
      <c r="I48" s="7">
        <f>IFERROR(ROUND(AVERAGEIFS(Datos!$G$2:$G$29513,Datos!$E$2:$E$29513,$A48,Datos!$B$2:$B$29513,11,Datos!$C$2:$C$29513,"&gt;=30",Datos!$F$2:$F$29513,"STANDBY"),0),"")</f>
        <v/>
      </c>
      <c r="J48" s="7">
        <f>IFERROR(ROUND(AVERAGEIFS(Datos!$G$2:$G$29513,Datos!$E$2:$E$29513,$A48,Datos!$B$2:$B$29513,12,Datos!$C$2:$C$29513,"&lt;30",Datos!$F$2:$F$29513,"STANDBY"),0),"")</f>
        <v/>
      </c>
      <c r="K48" s="7">
        <f>IFERROR(ROUND(AVERAGEIFS(Datos!$G$2:$G$29513,Datos!$E$2:$E$29513,$A48,Datos!$B$2:$B$29513,12,Datos!$C$2:$C$29513,"&gt;=30",Datos!$F$2:$F$29513,"STANDBY"),0),"")</f>
        <v/>
      </c>
      <c r="L48" s="7">
        <f>IFERROR(ROUND(AVERAGEIFS(Datos!$G$2:$G$29513,Datos!$E$2:$E$29513,$A48,Datos!$B$2:$B$29513,13,Datos!$C$2:$C$29513,"&lt;30",Datos!$F$2:$F$29513,"STANDBY"),0),"")</f>
        <v/>
      </c>
      <c r="M48" s="7">
        <f>IFERROR(ROUND(AVERAGEIFS(Datos!$G$2:$G$29513,Datos!$E$2:$E$29513,$A48,Datos!$B$2:$B$29513,13,Datos!$C$2:$C$29513,"&gt;=30",Datos!$F$2:$F$29513,"STANDBY"),0),"")</f>
        <v/>
      </c>
      <c r="N48" s="7">
        <f>IFERROR(ROUND(AVERAGEIFS(Datos!$G$2:$G$29513,Datos!$E$2:$E$29513,$A48,Datos!$B$2:$B$29513,14,Datos!$C$2:$C$29513,"&lt;30",Datos!$F$2:$F$29513,"STANDBY"),0),"")</f>
        <v/>
      </c>
      <c r="O48" s="7">
        <f>IFERROR(ROUND(AVERAGEIFS(Datos!$G$2:$G$29513,Datos!$E$2:$E$29513,$A48,Datos!$B$2:$B$29513,14,Datos!$C$2:$C$29513,"&gt;=30",Datos!$F$2:$F$29513,"STANDBY"),0),"")</f>
        <v/>
      </c>
      <c r="P48" s="7">
        <f>IFERROR(ROUND(AVERAGEIFS(Datos!$G$2:$G$29513,Datos!$E$2:$E$29513,$A48,Datos!$B$2:$B$29513,15,Datos!$C$2:$C$29513,"&lt;30",Datos!$F$2:$F$29513,"STANDBY"),0),"")</f>
        <v/>
      </c>
      <c r="Q48" s="7">
        <f>IFERROR(ROUND(AVERAGEIFS(Datos!$G$2:$G$29513,Datos!$E$2:$E$29513,$A48,Datos!$B$2:$B$29513,15,Datos!$C$2:$C$29513,"&gt;=30",Datos!$F$2:$F$29513,"STANDBY"),0),"")</f>
        <v/>
      </c>
      <c r="R48" s="7">
        <f>IFERROR(ROUND(AVERAGEIFS(Datos!$G$2:$G$29513,Datos!$E$2:$E$29513,$A48,Datos!$B$2:$B$29513,16,Datos!$C$2:$C$29513,"&lt;30",Datos!$F$2:$F$29513,"STANDBY"),0),"")</f>
        <v/>
      </c>
      <c r="S48" s="7">
        <f>IFERROR(ROUND(AVERAGEIFS(Datos!$G$2:$G$29513,Datos!$E$2:$E$29513,$A48,Datos!$B$2:$B$29513,16,Datos!$C$2:$C$29513,"&gt;=30",Datos!$F$2:$F$29513,"STANDBY"),0),"")</f>
        <v/>
      </c>
      <c r="T48" s="7">
        <f>IFERROR(ROUND(AVERAGEIFS(Datos!$G$2:$G$29513,Datos!$E$2:$E$29513,$A48,Datos!$B$2:$B$29513,17,Datos!$C$2:$C$29513,"&lt;30",Datos!$F$2:$F$29513,"STANDBY"),0),"")</f>
        <v/>
      </c>
      <c r="U48" s="7">
        <f>IFERROR(ROUND(AVERAGEIFS(Datos!$G$2:$G$29513,Datos!$E$2:$E$29513,$A48,Datos!$B$2:$B$29513,17,Datos!$C$2:$C$29513,"&gt;=30",Datos!$F$2:$F$29513,"STANDBY"),0),"")</f>
        <v/>
      </c>
      <c r="V48" s="7">
        <f>IFERROR(ROUND(AVERAGEIFS(Datos!$G$2:$G$29513,Datos!$E$2:$E$29513,$A48,Datos!$B$2:$B$29513,18,Datos!$C$2:$C$29513,"&lt;30",Datos!$F$2:$F$29513,"STANDBY"),0),"")</f>
        <v/>
      </c>
      <c r="W48" s="7">
        <f>IFERROR(ROUND(AVERAGEIFS(Datos!$G$2:$G$29513,Datos!$E$2:$E$29513,$A48,Datos!$B$2:$B$29513,18,Datos!$C$2:$C$29513,"&gt;=30",Datos!$F$2:$F$29513,"STANDBY"),0),"")</f>
        <v/>
      </c>
      <c r="X48" s="7">
        <f>IFERROR(ROUND(AVERAGEIFS(Datos!$G$2:$G$29513,Datos!$E$2:$E$29513,$A48,Datos!$B$2:$B$29513,19,Datos!$C$2:$C$29513,"&lt;30",Datos!$F$2:$F$29513,"STANDBY"),0),"")</f>
        <v/>
      </c>
      <c r="Y48" s="7">
        <f>IFERROR(ROUND(AVERAGEIFS(Datos!$G$2:$G$29513,Datos!$E$2:$E$29513,$A48,Datos!$B$2:$B$29513,19,Datos!$C$2:$C$29513,"&gt;=30",Datos!$F$2:$F$29513,"STANDBY"),0),"")</f>
        <v/>
      </c>
      <c r="Z48" s="7">
        <f>IFERROR(ROUND(AVERAGEIFS(Datos!$G$2:$G$29513,Datos!$E$2:$E$29513,$A48,Datos!$B$2:$B$29513,20,Datos!$C$2:$C$29513,"&lt;30",Datos!$F$2:$F$29513,"STANDBY"),0),"")</f>
        <v/>
      </c>
      <c r="AA48" s="7">
        <f>IFERROR(ROUND(AVERAGEIFS(Datos!$G$2:$G$29513,Datos!$E$2:$E$29513,$A48,Datos!$B$2:$B$29513,20,Datos!$C$2:$C$29513,"&gt;=30",Datos!$F$2:$F$29513,"STANDBY"),0),"")</f>
        <v/>
      </c>
      <c r="AB48" s="7">
        <f>IFERROR(ROUND(AVERAGEIFS(Datos!$G$2:$G$29513,Datos!$E$2:$E$29513,$A48,Datos!$B$2:$B$29513,21,Datos!$C$2:$C$29513,"&lt;30",Datos!$F$2:$F$29513,"STANDBY"),0),"")</f>
        <v/>
      </c>
      <c r="AC48" s="7">
        <f>IFERROR(ROUND(AVERAGEIFS(Datos!$G$2:$G$29513,Datos!$E$2:$E$29513,$A48,Datos!$B$2:$B$29513,21,Datos!$C$2:$C$29513,"&gt;=30",Datos!$F$2:$F$29513,"STANDBY"),0),"")</f>
        <v/>
      </c>
      <c r="AD48" s="7">
        <f>IFERROR(ROUND(AVERAGEIFS(Datos!$G$2:$G$29513,Datos!$E$2:$E$29513,$A48,Datos!$B$2:$B$29513,22,Datos!$C$2:$C$29513,"&lt;30",Datos!$F$2:$F$29513,"STANDBY"),0),"")</f>
        <v/>
      </c>
      <c r="AE48" s="7">
        <f>IFERROR(ROUND(AVERAGEIFS(Datos!$G$2:$G$29513,Datos!$E$2:$E$29513,$A48,Datos!$B$2:$B$29513,22,Datos!$C$2:$C$29513,"&gt;=30",Datos!$F$2:$F$29513,"STANDBY"),0),"")</f>
        <v/>
      </c>
      <c r="AF48" s="7">
        <f>IFERROR(ROUND(AVERAGEIFS(Datos!$G$2:$G$29513,Datos!$E$2:$E$29513,$A48,Datos!$B$2:$B$29513,23,Datos!$C$2:$C$29513,"&lt;30",Datos!$F$2:$F$29513,"STANDBY"),0),"")</f>
        <v/>
      </c>
      <c r="AG48" s="7">
        <f>IFERROR(ROUND(AVERAGEIFS(Datos!$G$2:$G$29513,Datos!$E$2:$E$29513,$A48,Datos!$B$2:$B$29513,23,Datos!$C$2:$C$29513,"&gt;=30",Datos!$F$2:$F$29513,"STANDBY"),0),"")</f>
        <v/>
      </c>
    </row>
    <row r="49">
      <c r="A49" s="6" t="inlineStr">
        <is>
          <t>Main Street Vehicles</t>
        </is>
      </c>
      <c r="B49" s="7">
        <f>IFERROR(ROUND(AVERAGEIFS(Datos!$G$2:$G$29513,Datos!$E$2:$E$29513,$A49,Datos!$B$2:$B$29513,8,Datos!$C$2:$C$29513,"&lt;30",Datos!$F$2:$F$29513,"STANDBY"),0),"")</f>
        <v/>
      </c>
      <c r="C49" s="7">
        <f>IFERROR(ROUND(AVERAGEIFS(Datos!$G$2:$G$29513,Datos!$E$2:$E$29513,$A49,Datos!$B$2:$B$29513,8,Datos!$C$2:$C$29513,"&gt;=30",Datos!$F$2:$F$29513,"STANDBY"),0),"")</f>
        <v/>
      </c>
      <c r="D49" s="7">
        <f>IFERROR(ROUND(AVERAGEIFS(Datos!$G$2:$G$29513,Datos!$E$2:$E$29513,$A49,Datos!$B$2:$B$29513,9,Datos!$C$2:$C$29513,"&lt;30",Datos!$F$2:$F$29513,"STANDBY"),0),"")</f>
        <v/>
      </c>
      <c r="E49" s="7">
        <f>IFERROR(ROUND(AVERAGEIFS(Datos!$G$2:$G$29513,Datos!$E$2:$E$29513,$A49,Datos!$B$2:$B$29513,9,Datos!$C$2:$C$29513,"&gt;=30",Datos!$F$2:$F$29513,"STANDBY"),0),"")</f>
        <v/>
      </c>
      <c r="F49" s="7">
        <f>IFERROR(ROUND(AVERAGEIFS(Datos!$G$2:$G$29513,Datos!$E$2:$E$29513,$A49,Datos!$B$2:$B$29513,10,Datos!$C$2:$C$29513,"&lt;30",Datos!$F$2:$F$29513,"STANDBY"),0),"")</f>
        <v/>
      </c>
      <c r="G49" s="7">
        <f>IFERROR(ROUND(AVERAGEIFS(Datos!$G$2:$G$29513,Datos!$E$2:$E$29513,$A49,Datos!$B$2:$B$29513,10,Datos!$C$2:$C$29513,"&gt;=30",Datos!$F$2:$F$29513,"STANDBY"),0),"")</f>
        <v/>
      </c>
      <c r="H49" s="7">
        <f>IFERROR(ROUND(AVERAGEIFS(Datos!$G$2:$G$29513,Datos!$E$2:$E$29513,$A49,Datos!$B$2:$B$29513,11,Datos!$C$2:$C$29513,"&lt;30",Datos!$F$2:$F$29513,"STANDBY"),0),"")</f>
        <v/>
      </c>
      <c r="I49" s="7">
        <f>IFERROR(ROUND(AVERAGEIFS(Datos!$G$2:$G$29513,Datos!$E$2:$E$29513,$A49,Datos!$B$2:$B$29513,11,Datos!$C$2:$C$29513,"&gt;=30",Datos!$F$2:$F$29513,"STANDBY"),0),"")</f>
        <v/>
      </c>
      <c r="J49" s="7">
        <f>IFERROR(ROUND(AVERAGEIFS(Datos!$G$2:$G$29513,Datos!$E$2:$E$29513,$A49,Datos!$B$2:$B$29513,12,Datos!$C$2:$C$29513,"&lt;30",Datos!$F$2:$F$29513,"STANDBY"),0),"")</f>
        <v/>
      </c>
      <c r="K49" s="7">
        <f>IFERROR(ROUND(AVERAGEIFS(Datos!$G$2:$G$29513,Datos!$E$2:$E$29513,$A49,Datos!$B$2:$B$29513,12,Datos!$C$2:$C$29513,"&gt;=30",Datos!$F$2:$F$29513,"STANDBY"),0),"")</f>
        <v/>
      </c>
      <c r="L49" s="7">
        <f>IFERROR(ROUND(AVERAGEIFS(Datos!$G$2:$G$29513,Datos!$E$2:$E$29513,$A49,Datos!$B$2:$B$29513,13,Datos!$C$2:$C$29513,"&lt;30",Datos!$F$2:$F$29513,"STANDBY"),0),"")</f>
        <v/>
      </c>
      <c r="M49" s="7">
        <f>IFERROR(ROUND(AVERAGEIFS(Datos!$G$2:$G$29513,Datos!$E$2:$E$29513,$A49,Datos!$B$2:$B$29513,13,Datos!$C$2:$C$29513,"&gt;=30",Datos!$F$2:$F$29513,"STANDBY"),0),"")</f>
        <v/>
      </c>
      <c r="N49" s="7">
        <f>IFERROR(ROUND(AVERAGEIFS(Datos!$G$2:$G$29513,Datos!$E$2:$E$29513,$A49,Datos!$B$2:$B$29513,14,Datos!$C$2:$C$29513,"&lt;30",Datos!$F$2:$F$29513,"STANDBY"),0),"")</f>
        <v/>
      </c>
      <c r="O49" s="7">
        <f>IFERROR(ROUND(AVERAGEIFS(Datos!$G$2:$G$29513,Datos!$E$2:$E$29513,$A49,Datos!$B$2:$B$29513,14,Datos!$C$2:$C$29513,"&gt;=30",Datos!$F$2:$F$29513,"STANDBY"),0),"")</f>
        <v/>
      </c>
      <c r="P49" s="7">
        <f>IFERROR(ROUND(AVERAGEIFS(Datos!$G$2:$G$29513,Datos!$E$2:$E$29513,$A49,Datos!$B$2:$B$29513,15,Datos!$C$2:$C$29513,"&lt;30",Datos!$F$2:$F$29513,"STANDBY"),0),"")</f>
        <v/>
      </c>
      <c r="Q49" s="7">
        <f>IFERROR(ROUND(AVERAGEIFS(Datos!$G$2:$G$29513,Datos!$E$2:$E$29513,$A49,Datos!$B$2:$B$29513,15,Datos!$C$2:$C$29513,"&gt;=30",Datos!$F$2:$F$29513,"STANDBY"),0),"")</f>
        <v/>
      </c>
      <c r="R49" s="7">
        <f>IFERROR(ROUND(AVERAGEIFS(Datos!$G$2:$G$29513,Datos!$E$2:$E$29513,$A49,Datos!$B$2:$B$29513,16,Datos!$C$2:$C$29513,"&lt;30",Datos!$F$2:$F$29513,"STANDBY"),0),"")</f>
        <v/>
      </c>
      <c r="S49" s="7">
        <f>IFERROR(ROUND(AVERAGEIFS(Datos!$G$2:$G$29513,Datos!$E$2:$E$29513,$A49,Datos!$B$2:$B$29513,16,Datos!$C$2:$C$29513,"&gt;=30",Datos!$F$2:$F$29513,"STANDBY"),0),"")</f>
        <v/>
      </c>
      <c r="T49" s="7">
        <f>IFERROR(ROUND(AVERAGEIFS(Datos!$G$2:$G$29513,Datos!$E$2:$E$29513,$A49,Datos!$B$2:$B$29513,17,Datos!$C$2:$C$29513,"&lt;30",Datos!$F$2:$F$29513,"STANDBY"),0),"")</f>
        <v/>
      </c>
      <c r="U49" s="7">
        <f>IFERROR(ROUND(AVERAGEIFS(Datos!$G$2:$G$29513,Datos!$E$2:$E$29513,$A49,Datos!$B$2:$B$29513,17,Datos!$C$2:$C$29513,"&gt;=30",Datos!$F$2:$F$29513,"STANDBY"),0),"")</f>
        <v/>
      </c>
      <c r="V49" s="7">
        <f>IFERROR(ROUND(AVERAGEIFS(Datos!$G$2:$G$29513,Datos!$E$2:$E$29513,$A49,Datos!$B$2:$B$29513,18,Datos!$C$2:$C$29513,"&lt;30",Datos!$F$2:$F$29513,"STANDBY"),0),"")</f>
        <v/>
      </c>
      <c r="W49" s="7">
        <f>IFERROR(ROUND(AVERAGEIFS(Datos!$G$2:$G$29513,Datos!$E$2:$E$29513,$A49,Datos!$B$2:$B$29513,18,Datos!$C$2:$C$29513,"&gt;=30",Datos!$F$2:$F$29513,"STANDBY"),0),"")</f>
        <v/>
      </c>
      <c r="X49" s="7">
        <f>IFERROR(ROUND(AVERAGEIFS(Datos!$G$2:$G$29513,Datos!$E$2:$E$29513,$A49,Datos!$B$2:$B$29513,19,Datos!$C$2:$C$29513,"&lt;30",Datos!$F$2:$F$29513,"STANDBY"),0),"")</f>
        <v/>
      </c>
      <c r="Y49" s="7">
        <f>IFERROR(ROUND(AVERAGEIFS(Datos!$G$2:$G$29513,Datos!$E$2:$E$29513,$A49,Datos!$B$2:$B$29513,19,Datos!$C$2:$C$29513,"&gt;=30",Datos!$F$2:$F$29513,"STANDBY"),0),"")</f>
        <v/>
      </c>
      <c r="Z49" s="7">
        <f>IFERROR(ROUND(AVERAGEIFS(Datos!$G$2:$G$29513,Datos!$E$2:$E$29513,$A49,Datos!$B$2:$B$29513,20,Datos!$C$2:$C$29513,"&lt;30",Datos!$F$2:$F$29513,"STANDBY"),0),"")</f>
        <v/>
      </c>
      <c r="AA49" s="7">
        <f>IFERROR(ROUND(AVERAGEIFS(Datos!$G$2:$G$29513,Datos!$E$2:$E$29513,$A49,Datos!$B$2:$B$29513,20,Datos!$C$2:$C$29513,"&gt;=30",Datos!$F$2:$F$29513,"STANDBY"),0),"")</f>
        <v/>
      </c>
      <c r="AB49" s="7">
        <f>IFERROR(ROUND(AVERAGEIFS(Datos!$G$2:$G$29513,Datos!$E$2:$E$29513,$A49,Datos!$B$2:$B$29513,21,Datos!$C$2:$C$29513,"&lt;30",Datos!$F$2:$F$29513,"STANDBY"),0),"")</f>
        <v/>
      </c>
      <c r="AC49" s="7">
        <f>IFERROR(ROUND(AVERAGEIFS(Datos!$G$2:$G$29513,Datos!$E$2:$E$29513,$A49,Datos!$B$2:$B$29513,21,Datos!$C$2:$C$29513,"&gt;=30",Datos!$F$2:$F$29513,"STANDBY"),0),"")</f>
        <v/>
      </c>
      <c r="AD49" s="7">
        <f>IFERROR(ROUND(AVERAGEIFS(Datos!$G$2:$G$29513,Datos!$E$2:$E$29513,$A49,Datos!$B$2:$B$29513,22,Datos!$C$2:$C$29513,"&lt;30",Datos!$F$2:$F$29513,"STANDBY"),0),"")</f>
        <v/>
      </c>
      <c r="AE49" s="7">
        <f>IFERROR(ROUND(AVERAGEIFS(Datos!$G$2:$G$29513,Datos!$E$2:$E$29513,$A49,Datos!$B$2:$B$29513,22,Datos!$C$2:$C$29513,"&gt;=30",Datos!$F$2:$F$29513,"STANDBY"),0),"")</f>
        <v/>
      </c>
      <c r="AF49" s="7">
        <f>IFERROR(ROUND(AVERAGEIFS(Datos!$G$2:$G$29513,Datos!$E$2:$E$29513,$A49,Datos!$B$2:$B$29513,23,Datos!$C$2:$C$29513,"&lt;30",Datos!$F$2:$F$29513,"STANDBY"),0),"")</f>
        <v/>
      </c>
      <c r="AG49" s="7">
        <f>IFERROR(ROUND(AVERAGEIFS(Datos!$G$2:$G$29513,Datos!$E$2:$E$29513,$A49,Datos!$B$2:$B$29513,23,Datos!$C$2:$C$29513,"&gt;=30",Datos!$F$2:$F$29513,"STANDBY"),0),"")</f>
        <v/>
      </c>
    </row>
    <row r="50">
      <c r="A50" s="6" t="inlineStr">
        <is>
          <t>Meet Mickey Mouse</t>
        </is>
      </c>
      <c r="B50" s="7">
        <f>IFERROR(ROUND(AVERAGEIFS(Datos!$G$2:$G$29513,Datos!$E$2:$E$29513,$A50,Datos!$B$2:$B$29513,8,Datos!$C$2:$C$29513,"&lt;30",Datos!$F$2:$F$29513,"STANDBY"),0),"")</f>
        <v/>
      </c>
      <c r="C50" s="7">
        <f>IFERROR(ROUND(AVERAGEIFS(Datos!$G$2:$G$29513,Datos!$E$2:$E$29513,$A50,Datos!$B$2:$B$29513,8,Datos!$C$2:$C$29513,"&gt;=30",Datos!$F$2:$F$29513,"STANDBY"),0),"")</f>
        <v/>
      </c>
      <c r="D50" s="7">
        <f>IFERROR(ROUND(AVERAGEIFS(Datos!$G$2:$G$29513,Datos!$E$2:$E$29513,$A50,Datos!$B$2:$B$29513,9,Datos!$C$2:$C$29513,"&lt;30",Datos!$F$2:$F$29513,"STANDBY"),0),"")</f>
        <v/>
      </c>
      <c r="E50" s="7">
        <f>IFERROR(ROUND(AVERAGEIFS(Datos!$G$2:$G$29513,Datos!$E$2:$E$29513,$A50,Datos!$B$2:$B$29513,9,Datos!$C$2:$C$29513,"&gt;=30",Datos!$F$2:$F$29513,"STANDBY"),0),"")</f>
        <v/>
      </c>
      <c r="F50" s="7">
        <f>IFERROR(ROUND(AVERAGEIFS(Datos!$G$2:$G$29513,Datos!$E$2:$E$29513,$A50,Datos!$B$2:$B$29513,10,Datos!$C$2:$C$29513,"&lt;30",Datos!$F$2:$F$29513,"STANDBY"),0),"")</f>
        <v/>
      </c>
      <c r="G50" s="7">
        <f>IFERROR(ROUND(AVERAGEIFS(Datos!$G$2:$G$29513,Datos!$E$2:$E$29513,$A50,Datos!$B$2:$B$29513,10,Datos!$C$2:$C$29513,"&gt;=30",Datos!$F$2:$F$29513,"STANDBY"),0),"")</f>
        <v/>
      </c>
      <c r="H50" s="7">
        <f>IFERROR(ROUND(AVERAGEIFS(Datos!$G$2:$G$29513,Datos!$E$2:$E$29513,$A50,Datos!$B$2:$B$29513,11,Datos!$C$2:$C$29513,"&lt;30",Datos!$F$2:$F$29513,"STANDBY"),0),"")</f>
        <v/>
      </c>
      <c r="I50" s="7">
        <f>IFERROR(ROUND(AVERAGEIFS(Datos!$G$2:$G$29513,Datos!$E$2:$E$29513,$A50,Datos!$B$2:$B$29513,11,Datos!$C$2:$C$29513,"&gt;=30",Datos!$F$2:$F$29513,"STANDBY"),0),"")</f>
        <v/>
      </c>
      <c r="J50" s="7">
        <f>IFERROR(ROUND(AVERAGEIFS(Datos!$G$2:$G$29513,Datos!$E$2:$E$29513,$A50,Datos!$B$2:$B$29513,12,Datos!$C$2:$C$29513,"&lt;30",Datos!$F$2:$F$29513,"STANDBY"),0),"")</f>
        <v/>
      </c>
      <c r="K50" s="7">
        <f>IFERROR(ROUND(AVERAGEIFS(Datos!$G$2:$G$29513,Datos!$E$2:$E$29513,$A50,Datos!$B$2:$B$29513,12,Datos!$C$2:$C$29513,"&gt;=30",Datos!$F$2:$F$29513,"STANDBY"),0),"")</f>
        <v/>
      </c>
      <c r="L50" s="7">
        <f>IFERROR(ROUND(AVERAGEIFS(Datos!$G$2:$G$29513,Datos!$E$2:$E$29513,$A50,Datos!$B$2:$B$29513,13,Datos!$C$2:$C$29513,"&lt;30",Datos!$F$2:$F$29513,"STANDBY"),0),"")</f>
        <v/>
      </c>
      <c r="M50" s="7">
        <f>IFERROR(ROUND(AVERAGEIFS(Datos!$G$2:$G$29513,Datos!$E$2:$E$29513,$A50,Datos!$B$2:$B$29513,13,Datos!$C$2:$C$29513,"&gt;=30",Datos!$F$2:$F$29513,"STANDBY"),0),"")</f>
        <v/>
      </c>
      <c r="N50" s="7">
        <f>IFERROR(ROUND(AVERAGEIFS(Datos!$G$2:$G$29513,Datos!$E$2:$E$29513,$A50,Datos!$B$2:$B$29513,14,Datos!$C$2:$C$29513,"&lt;30",Datos!$F$2:$F$29513,"STANDBY"),0),"")</f>
        <v/>
      </c>
      <c r="O50" s="7">
        <f>IFERROR(ROUND(AVERAGEIFS(Datos!$G$2:$G$29513,Datos!$E$2:$E$29513,$A50,Datos!$B$2:$B$29513,14,Datos!$C$2:$C$29513,"&gt;=30",Datos!$F$2:$F$29513,"STANDBY"),0),"")</f>
        <v/>
      </c>
      <c r="P50" s="7">
        <f>IFERROR(ROUND(AVERAGEIFS(Datos!$G$2:$G$29513,Datos!$E$2:$E$29513,$A50,Datos!$B$2:$B$29513,15,Datos!$C$2:$C$29513,"&lt;30",Datos!$F$2:$F$29513,"STANDBY"),0),"")</f>
        <v/>
      </c>
      <c r="Q50" s="7">
        <f>IFERROR(ROUND(AVERAGEIFS(Datos!$G$2:$G$29513,Datos!$E$2:$E$29513,$A50,Datos!$B$2:$B$29513,15,Datos!$C$2:$C$29513,"&gt;=30",Datos!$F$2:$F$29513,"STANDBY"),0),"")</f>
        <v/>
      </c>
      <c r="R50" s="7">
        <f>IFERROR(ROUND(AVERAGEIFS(Datos!$G$2:$G$29513,Datos!$E$2:$E$29513,$A50,Datos!$B$2:$B$29513,16,Datos!$C$2:$C$29513,"&lt;30",Datos!$F$2:$F$29513,"STANDBY"),0),"")</f>
        <v/>
      </c>
      <c r="S50" s="7">
        <f>IFERROR(ROUND(AVERAGEIFS(Datos!$G$2:$G$29513,Datos!$E$2:$E$29513,$A50,Datos!$B$2:$B$29513,16,Datos!$C$2:$C$29513,"&gt;=30",Datos!$F$2:$F$29513,"STANDBY"),0),"")</f>
        <v/>
      </c>
      <c r="T50" s="7">
        <f>IFERROR(ROUND(AVERAGEIFS(Datos!$G$2:$G$29513,Datos!$E$2:$E$29513,$A50,Datos!$B$2:$B$29513,17,Datos!$C$2:$C$29513,"&lt;30",Datos!$F$2:$F$29513,"STANDBY"),0),"")</f>
        <v/>
      </c>
      <c r="U50" s="7">
        <f>IFERROR(ROUND(AVERAGEIFS(Datos!$G$2:$G$29513,Datos!$E$2:$E$29513,$A50,Datos!$B$2:$B$29513,17,Datos!$C$2:$C$29513,"&gt;=30",Datos!$F$2:$F$29513,"STANDBY"),0),"")</f>
        <v/>
      </c>
      <c r="V50" s="7">
        <f>IFERROR(ROUND(AVERAGEIFS(Datos!$G$2:$G$29513,Datos!$E$2:$E$29513,$A50,Datos!$B$2:$B$29513,18,Datos!$C$2:$C$29513,"&lt;30",Datos!$F$2:$F$29513,"STANDBY"),0),"")</f>
        <v/>
      </c>
      <c r="W50" s="7">
        <f>IFERROR(ROUND(AVERAGEIFS(Datos!$G$2:$G$29513,Datos!$E$2:$E$29513,$A50,Datos!$B$2:$B$29513,18,Datos!$C$2:$C$29513,"&gt;=30",Datos!$F$2:$F$29513,"STANDBY"),0),"")</f>
        <v/>
      </c>
      <c r="X50" s="7">
        <f>IFERROR(ROUND(AVERAGEIFS(Datos!$G$2:$G$29513,Datos!$E$2:$E$29513,$A50,Datos!$B$2:$B$29513,19,Datos!$C$2:$C$29513,"&lt;30",Datos!$F$2:$F$29513,"STANDBY"),0),"")</f>
        <v/>
      </c>
      <c r="Y50" s="7">
        <f>IFERROR(ROUND(AVERAGEIFS(Datos!$G$2:$G$29513,Datos!$E$2:$E$29513,$A50,Datos!$B$2:$B$29513,19,Datos!$C$2:$C$29513,"&gt;=30",Datos!$F$2:$F$29513,"STANDBY"),0),"")</f>
        <v/>
      </c>
      <c r="Z50" s="7">
        <f>IFERROR(ROUND(AVERAGEIFS(Datos!$G$2:$G$29513,Datos!$E$2:$E$29513,$A50,Datos!$B$2:$B$29513,20,Datos!$C$2:$C$29513,"&lt;30",Datos!$F$2:$F$29513,"STANDBY"),0),"")</f>
        <v/>
      </c>
      <c r="AA50" s="7">
        <f>IFERROR(ROUND(AVERAGEIFS(Datos!$G$2:$G$29513,Datos!$E$2:$E$29513,$A50,Datos!$B$2:$B$29513,20,Datos!$C$2:$C$29513,"&gt;=30",Datos!$F$2:$F$29513,"STANDBY"),0),"")</f>
        <v/>
      </c>
      <c r="AB50" s="7">
        <f>IFERROR(ROUND(AVERAGEIFS(Datos!$G$2:$G$29513,Datos!$E$2:$E$29513,$A50,Datos!$B$2:$B$29513,21,Datos!$C$2:$C$29513,"&lt;30",Datos!$F$2:$F$29513,"STANDBY"),0),"")</f>
        <v/>
      </c>
      <c r="AC50" s="7">
        <f>IFERROR(ROUND(AVERAGEIFS(Datos!$G$2:$G$29513,Datos!$E$2:$E$29513,$A50,Datos!$B$2:$B$29513,21,Datos!$C$2:$C$29513,"&gt;=30",Datos!$F$2:$F$29513,"STANDBY"),0),"")</f>
        <v/>
      </c>
      <c r="AD50" s="7">
        <f>IFERROR(ROUND(AVERAGEIFS(Datos!$G$2:$G$29513,Datos!$E$2:$E$29513,$A50,Datos!$B$2:$B$29513,22,Datos!$C$2:$C$29513,"&lt;30",Datos!$F$2:$F$29513,"STANDBY"),0),"")</f>
        <v/>
      </c>
      <c r="AE50" s="7">
        <f>IFERROR(ROUND(AVERAGEIFS(Datos!$G$2:$G$29513,Datos!$E$2:$E$29513,$A50,Datos!$B$2:$B$29513,22,Datos!$C$2:$C$29513,"&gt;=30",Datos!$F$2:$F$29513,"STANDBY"),0),"")</f>
        <v/>
      </c>
      <c r="AF50" s="7">
        <f>IFERROR(ROUND(AVERAGEIFS(Datos!$G$2:$G$29513,Datos!$E$2:$E$29513,$A50,Datos!$B$2:$B$29513,23,Datos!$C$2:$C$29513,"&lt;30",Datos!$F$2:$F$29513,"STANDBY"),0),"")</f>
        <v/>
      </c>
      <c r="AG50" s="7">
        <f>IFERROR(ROUND(AVERAGEIFS(Datos!$G$2:$G$29513,Datos!$E$2:$E$29513,$A50,Datos!$B$2:$B$29513,23,Datos!$C$2:$C$29513,"&gt;=30",Datos!$F$2:$F$29513,"STANDBY"),0),"")</f>
        <v/>
      </c>
    </row>
    <row r="51">
      <c r="A51" s="6" t="inlineStr">
        <is>
          <t>Mickey’s PhilharMagic</t>
        </is>
      </c>
      <c r="B51" s="7">
        <f>IFERROR(ROUND(AVERAGEIFS(Datos!$G$2:$G$29513,Datos!$E$2:$E$29513,$A51,Datos!$B$2:$B$29513,8,Datos!$C$2:$C$29513,"&lt;30",Datos!$F$2:$F$29513,"STANDBY"),0),"")</f>
        <v/>
      </c>
      <c r="C51" s="7">
        <f>IFERROR(ROUND(AVERAGEIFS(Datos!$G$2:$G$29513,Datos!$E$2:$E$29513,$A51,Datos!$B$2:$B$29513,8,Datos!$C$2:$C$29513,"&gt;=30",Datos!$F$2:$F$29513,"STANDBY"),0),"")</f>
        <v/>
      </c>
      <c r="D51" s="7">
        <f>IFERROR(ROUND(AVERAGEIFS(Datos!$G$2:$G$29513,Datos!$E$2:$E$29513,$A51,Datos!$B$2:$B$29513,9,Datos!$C$2:$C$29513,"&lt;30",Datos!$F$2:$F$29513,"STANDBY"),0),"")</f>
        <v/>
      </c>
      <c r="E51" s="7">
        <f>IFERROR(ROUND(AVERAGEIFS(Datos!$G$2:$G$29513,Datos!$E$2:$E$29513,$A51,Datos!$B$2:$B$29513,9,Datos!$C$2:$C$29513,"&gt;=30",Datos!$F$2:$F$29513,"STANDBY"),0),"")</f>
        <v/>
      </c>
      <c r="F51" s="7">
        <f>IFERROR(ROUND(AVERAGEIFS(Datos!$G$2:$G$29513,Datos!$E$2:$E$29513,$A51,Datos!$B$2:$B$29513,10,Datos!$C$2:$C$29513,"&lt;30",Datos!$F$2:$F$29513,"STANDBY"),0),"")</f>
        <v/>
      </c>
      <c r="G51" s="7">
        <f>IFERROR(ROUND(AVERAGEIFS(Datos!$G$2:$G$29513,Datos!$E$2:$E$29513,$A51,Datos!$B$2:$B$29513,10,Datos!$C$2:$C$29513,"&gt;=30",Datos!$F$2:$F$29513,"STANDBY"),0),"")</f>
        <v/>
      </c>
      <c r="H51" s="7">
        <f>IFERROR(ROUND(AVERAGEIFS(Datos!$G$2:$G$29513,Datos!$E$2:$E$29513,$A51,Datos!$B$2:$B$29513,11,Datos!$C$2:$C$29513,"&lt;30",Datos!$F$2:$F$29513,"STANDBY"),0),"")</f>
        <v/>
      </c>
      <c r="I51" s="7">
        <f>IFERROR(ROUND(AVERAGEIFS(Datos!$G$2:$G$29513,Datos!$E$2:$E$29513,$A51,Datos!$B$2:$B$29513,11,Datos!$C$2:$C$29513,"&gt;=30",Datos!$F$2:$F$29513,"STANDBY"),0),"")</f>
        <v/>
      </c>
      <c r="J51" s="7">
        <f>IFERROR(ROUND(AVERAGEIFS(Datos!$G$2:$G$29513,Datos!$E$2:$E$29513,$A51,Datos!$B$2:$B$29513,12,Datos!$C$2:$C$29513,"&lt;30",Datos!$F$2:$F$29513,"STANDBY"),0),"")</f>
        <v/>
      </c>
      <c r="K51" s="7">
        <f>IFERROR(ROUND(AVERAGEIFS(Datos!$G$2:$G$29513,Datos!$E$2:$E$29513,$A51,Datos!$B$2:$B$29513,12,Datos!$C$2:$C$29513,"&gt;=30",Datos!$F$2:$F$29513,"STANDBY"),0),"")</f>
        <v/>
      </c>
      <c r="L51" s="7">
        <f>IFERROR(ROUND(AVERAGEIFS(Datos!$G$2:$G$29513,Datos!$E$2:$E$29513,$A51,Datos!$B$2:$B$29513,13,Datos!$C$2:$C$29513,"&lt;30",Datos!$F$2:$F$29513,"STANDBY"),0),"")</f>
        <v/>
      </c>
      <c r="M51" s="7">
        <f>IFERROR(ROUND(AVERAGEIFS(Datos!$G$2:$G$29513,Datos!$E$2:$E$29513,$A51,Datos!$B$2:$B$29513,13,Datos!$C$2:$C$29513,"&gt;=30",Datos!$F$2:$F$29513,"STANDBY"),0),"")</f>
        <v/>
      </c>
      <c r="N51" s="7">
        <f>IFERROR(ROUND(AVERAGEIFS(Datos!$G$2:$G$29513,Datos!$E$2:$E$29513,$A51,Datos!$B$2:$B$29513,14,Datos!$C$2:$C$29513,"&lt;30",Datos!$F$2:$F$29513,"STANDBY"),0),"")</f>
        <v/>
      </c>
      <c r="O51" s="7">
        <f>IFERROR(ROUND(AVERAGEIFS(Datos!$G$2:$G$29513,Datos!$E$2:$E$29513,$A51,Datos!$B$2:$B$29513,14,Datos!$C$2:$C$29513,"&gt;=30",Datos!$F$2:$F$29513,"STANDBY"),0),"")</f>
        <v/>
      </c>
      <c r="P51" s="7">
        <f>IFERROR(ROUND(AVERAGEIFS(Datos!$G$2:$G$29513,Datos!$E$2:$E$29513,$A51,Datos!$B$2:$B$29513,15,Datos!$C$2:$C$29513,"&lt;30",Datos!$F$2:$F$29513,"STANDBY"),0),"")</f>
        <v/>
      </c>
      <c r="Q51" s="7">
        <f>IFERROR(ROUND(AVERAGEIFS(Datos!$G$2:$G$29513,Datos!$E$2:$E$29513,$A51,Datos!$B$2:$B$29513,15,Datos!$C$2:$C$29513,"&gt;=30",Datos!$F$2:$F$29513,"STANDBY"),0),"")</f>
        <v/>
      </c>
      <c r="R51" s="7">
        <f>IFERROR(ROUND(AVERAGEIFS(Datos!$G$2:$G$29513,Datos!$E$2:$E$29513,$A51,Datos!$B$2:$B$29513,16,Datos!$C$2:$C$29513,"&lt;30",Datos!$F$2:$F$29513,"STANDBY"),0),"")</f>
        <v/>
      </c>
      <c r="S51" s="7">
        <f>IFERROR(ROUND(AVERAGEIFS(Datos!$G$2:$G$29513,Datos!$E$2:$E$29513,$A51,Datos!$B$2:$B$29513,16,Datos!$C$2:$C$29513,"&gt;=30",Datos!$F$2:$F$29513,"STANDBY"),0),"")</f>
        <v/>
      </c>
      <c r="T51" s="7">
        <f>IFERROR(ROUND(AVERAGEIFS(Datos!$G$2:$G$29513,Datos!$E$2:$E$29513,$A51,Datos!$B$2:$B$29513,17,Datos!$C$2:$C$29513,"&lt;30",Datos!$F$2:$F$29513,"STANDBY"),0),"")</f>
        <v/>
      </c>
      <c r="U51" s="7">
        <f>IFERROR(ROUND(AVERAGEIFS(Datos!$G$2:$G$29513,Datos!$E$2:$E$29513,$A51,Datos!$B$2:$B$29513,17,Datos!$C$2:$C$29513,"&gt;=30",Datos!$F$2:$F$29513,"STANDBY"),0),"")</f>
        <v/>
      </c>
      <c r="V51" s="7">
        <f>IFERROR(ROUND(AVERAGEIFS(Datos!$G$2:$G$29513,Datos!$E$2:$E$29513,$A51,Datos!$B$2:$B$29513,18,Datos!$C$2:$C$29513,"&lt;30",Datos!$F$2:$F$29513,"STANDBY"),0),"")</f>
        <v/>
      </c>
      <c r="W51" s="7">
        <f>IFERROR(ROUND(AVERAGEIFS(Datos!$G$2:$G$29513,Datos!$E$2:$E$29513,$A51,Datos!$B$2:$B$29513,18,Datos!$C$2:$C$29513,"&gt;=30",Datos!$F$2:$F$29513,"STANDBY"),0),"")</f>
        <v/>
      </c>
      <c r="X51" s="7">
        <f>IFERROR(ROUND(AVERAGEIFS(Datos!$G$2:$G$29513,Datos!$E$2:$E$29513,$A51,Datos!$B$2:$B$29513,19,Datos!$C$2:$C$29513,"&lt;30",Datos!$F$2:$F$29513,"STANDBY"),0),"")</f>
        <v/>
      </c>
      <c r="Y51" s="7">
        <f>IFERROR(ROUND(AVERAGEIFS(Datos!$G$2:$G$29513,Datos!$E$2:$E$29513,$A51,Datos!$B$2:$B$29513,19,Datos!$C$2:$C$29513,"&gt;=30",Datos!$F$2:$F$29513,"STANDBY"),0),"")</f>
        <v/>
      </c>
      <c r="Z51" s="7">
        <f>IFERROR(ROUND(AVERAGEIFS(Datos!$G$2:$G$29513,Datos!$E$2:$E$29513,$A51,Datos!$B$2:$B$29513,20,Datos!$C$2:$C$29513,"&lt;30",Datos!$F$2:$F$29513,"STANDBY"),0),"")</f>
        <v/>
      </c>
      <c r="AA51" s="7">
        <f>IFERROR(ROUND(AVERAGEIFS(Datos!$G$2:$G$29513,Datos!$E$2:$E$29513,$A51,Datos!$B$2:$B$29513,20,Datos!$C$2:$C$29513,"&gt;=30",Datos!$F$2:$F$29513,"STANDBY"),0),"")</f>
        <v/>
      </c>
      <c r="AB51" s="7">
        <f>IFERROR(ROUND(AVERAGEIFS(Datos!$G$2:$G$29513,Datos!$E$2:$E$29513,$A51,Datos!$B$2:$B$29513,21,Datos!$C$2:$C$29513,"&lt;30",Datos!$F$2:$F$29513,"STANDBY"),0),"")</f>
        <v/>
      </c>
      <c r="AC51" s="7">
        <f>IFERROR(ROUND(AVERAGEIFS(Datos!$G$2:$G$29513,Datos!$E$2:$E$29513,$A51,Datos!$B$2:$B$29513,21,Datos!$C$2:$C$29513,"&gt;=30",Datos!$F$2:$F$29513,"STANDBY"),0),"")</f>
        <v/>
      </c>
      <c r="AD51" s="7">
        <f>IFERROR(ROUND(AVERAGEIFS(Datos!$G$2:$G$29513,Datos!$E$2:$E$29513,$A51,Datos!$B$2:$B$29513,22,Datos!$C$2:$C$29513,"&lt;30",Datos!$F$2:$F$29513,"STANDBY"),0),"")</f>
        <v/>
      </c>
      <c r="AE51" s="7">
        <f>IFERROR(ROUND(AVERAGEIFS(Datos!$G$2:$G$29513,Datos!$E$2:$E$29513,$A51,Datos!$B$2:$B$29513,22,Datos!$C$2:$C$29513,"&gt;=30",Datos!$F$2:$F$29513,"STANDBY"),0),"")</f>
        <v/>
      </c>
      <c r="AF51" s="7">
        <f>IFERROR(ROUND(AVERAGEIFS(Datos!$G$2:$G$29513,Datos!$E$2:$E$29513,$A51,Datos!$B$2:$B$29513,23,Datos!$C$2:$C$29513,"&lt;30",Datos!$F$2:$F$29513,"STANDBY"),0),"")</f>
        <v/>
      </c>
      <c r="AG51" s="7">
        <f>IFERROR(ROUND(AVERAGEIFS(Datos!$G$2:$G$29513,Datos!$E$2:$E$29513,$A51,Datos!$B$2:$B$29513,23,Datos!$C$2:$C$29513,"&gt;=30",Datos!$F$2:$F$29513,"STANDBY"),0),"")</f>
        <v/>
      </c>
    </row>
    <row r="52">
      <c r="A52" s="6" t="inlineStr">
        <is>
          <t>Orbitron®</t>
        </is>
      </c>
      <c r="B52" s="7">
        <f>IFERROR(ROUND(AVERAGEIFS(Datos!$G$2:$G$29513,Datos!$E$2:$E$29513,$A52,Datos!$B$2:$B$29513,8,Datos!$C$2:$C$29513,"&lt;30",Datos!$F$2:$F$29513,"STANDBY"),0),"")</f>
        <v/>
      </c>
      <c r="C52" s="7">
        <f>IFERROR(ROUND(AVERAGEIFS(Datos!$G$2:$G$29513,Datos!$E$2:$E$29513,$A52,Datos!$B$2:$B$29513,8,Datos!$C$2:$C$29513,"&gt;=30",Datos!$F$2:$F$29513,"STANDBY"),0),"")</f>
        <v/>
      </c>
      <c r="D52" s="7">
        <f>IFERROR(ROUND(AVERAGEIFS(Datos!$G$2:$G$29513,Datos!$E$2:$E$29513,$A52,Datos!$B$2:$B$29513,9,Datos!$C$2:$C$29513,"&lt;30",Datos!$F$2:$F$29513,"STANDBY"),0),"")</f>
        <v/>
      </c>
      <c r="E52" s="7">
        <f>IFERROR(ROUND(AVERAGEIFS(Datos!$G$2:$G$29513,Datos!$E$2:$E$29513,$A52,Datos!$B$2:$B$29513,9,Datos!$C$2:$C$29513,"&gt;=30",Datos!$F$2:$F$29513,"STANDBY"),0),"")</f>
        <v/>
      </c>
      <c r="F52" s="7">
        <f>IFERROR(ROUND(AVERAGEIFS(Datos!$G$2:$G$29513,Datos!$E$2:$E$29513,$A52,Datos!$B$2:$B$29513,10,Datos!$C$2:$C$29513,"&lt;30",Datos!$F$2:$F$29513,"STANDBY"),0),"")</f>
        <v/>
      </c>
      <c r="G52" s="7">
        <f>IFERROR(ROUND(AVERAGEIFS(Datos!$G$2:$G$29513,Datos!$E$2:$E$29513,$A52,Datos!$B$2:$B$29513,10,Datos!$C$2:$C$29513,"&gt;=30",Datos!$F$2:$F$29513,"STANDBY"),0),"")</f>
        <v/>
      </c>
      <c r="H52" s="7">
        <f>IFERROR(ROUND(AVERAGEIFS(Datos!$G$2:$G$29513,Datos!$E$2:$E$29513,$A52,Datos!$B$2:$B$29513,11,Datos!$C$2:$C$29513,"&lt;30",Datos!$F$2:$F$29513,"STANDBY"),0),"")</f>
        <v/>
      </c>
      <c r="I52" s="7">
        <f>IFERROR(ROUND(AVERAGEIFS(Datos!$G$2:$G$29513,Datos!$E$2:$E$29513,$A52,Datos!$B$2:$B$29513,11,Datos!$C$2:$C$29513,"&gt;=30",Datos!$F$2:$F$29513,"STANDBY"),0),"")</f>
        <v/>
      </c>
      <c r="J52" s="7">
        <f>IFERROR(ROUND(AVERAGEIFS(Datos!$G$2:$G$29513,Datos!$E$2:$E$29513,$A52,Datos!$B$2:$B$29513,12,Datos!$C$2:$C$29513,"&lt;30",Datos!$F$2:$F$29513,"STANDBY"),0),"")</f>
        <v/>
      </c>
      <c r="K52" s="7">
        <f>IFERROR(ROUND(AVERAGEIFS(Datos!$G$2:$G$29513,Datos!$E$2:$E$29513,$A52,Datos!$B$2:$B$29513,12,Datos!$C$2:$C$29513,"&gt;=30",Datos!$F$2:$F$29513,"STANDBY"),0),"")</f>
        <v/>
      </c>
      <c r="L52" s="7">
        <f>IFERROR(ROUND(AVERAGEIFS(Datos!$G$2:$G$29513,Datos!$E$2:$E$29513,$A52,Datos!$B$2:$B$29513,13,Datos!$C$2:$C$29513,"&lt;30",Datos!$F$2:$F$29513,"STANDBY"),0),"")</f>
        <v/>
      </c>
      <c r="M52" s="7">
        <f>IFERROR(ROUND(AVERAGEIFS(Datos!$G$2:$G$29513,Datos!$E$2:$E$29513,$A52,Datos!$B$2:$B$29513,13,Datos!$C$2:$C$29513,"&gt;=30",Datos!$F$2:$F$29513,"STANDBY"),0),"")</f>
        <v/>
      </c>
      <c r="N52" s="7">
        <f>IFERROR(ROUND(AVERAGEIFS(Datos!$G$2:$G$29513,Datos!$E$2:$E$29513,$A52,Datos!$B$2:$B$29513,14,Datos!$C$2:$C$29513,"&lt;30",Datos!$F$2:$F$29513,"STANDBY"),0),"")</f>
        <v/>
      </c>
      <c r="O52" s="7">
        <f>IFERROR(ROUND(AVERAGEIFS(Datos!$G$2:$G$29513,Datos!$E$2:$E$29513,$A52,Datos!$B$2:$B$29513,14,Datos!$C$2:$C$29513,"&gt;=30",Datos!$F$2:$F$29513,"STANDBY"),0),"")</f>
        <v/>
      </c>
      <c r="P52" s="7">
        <f>IFERROR(ROUND(AVERAGEIFS(Datos!$G$2:$G$29513,Datos!$E$2:$E$29513,$A52,Datos!$B$2:$B$29513,15,Datos!$C$2:$C$29513,"&lt;30",Datos!$F$2:$F$29513,"STANDBY"),0),"")</f>
        <v/>
      </c>
      <c r="Q52" s="7">
        <f>IFERROR(ROUND(AVERAGEIFS(Datos!$G$2:$G$29513,Datos!$E$2:$E$29513,$A52,Datos!$B$2:$B$29513,15,Datos!$C$2:$C$29513,"&gt;=30",Datos!$F$2:$F$29513,"STANDBY"),0),"")</f>
        <v/>
      </c>
      <c r="R52" s="7">
        <f>IFERROR(ROUND(AVERAGEIFS(Datos!$G$2:$G$29513,Datos!$E$2:$E$29513,$A52,Datos!$B$2:$B$29513,16,Datos!$C$2:$C$29513,"&lt;30",Datos!$F$2:$F$29513,"STANDBY"),0),"")</f>
        <v/>
      </c>
      <c r="S52" s="7">
        <f>IFERROR(ROUND(AVERAGEIFS(Datos!$G$2:$G$29513,Datos!$E$2:$E$29513,$A52,Datos!$B$2:$B$29513,16,Datos!$C$2:$C$29513,"&gt;=30",Datos!$F$2:$F$29513,"STANDBY"),0),"")</f>
        <v/>
      </c>
      <c r="T52" s="7">
        <f>IFERROR(ROUND(AVERAGEIFS(Datos!$G$2:$G$29513,Datos!$E$2:$E$29513,$A52,Datos!$B$2:$B$29513,17,Datos!$C$2:$C$29513,"&lt;30",Datos!$F$2:$F$29513,"STANDBY"),0),"")</f>
        <v/>
      </c>
      <c r="U52" s="7">
        <f>IFERROR(ROUND(AVERAGEIFS(Datos!$G$2:$G$29513,Datos!$E$2:$E$29513,$A52,Datos!$B$2:$B$29513,17,Datos!$C$2:$C$29513,"&gt;=30",Datos!$F$2:$F$29513,"STANDBY"),0),"")</f>
        <v/>
      </c>
      <c r="V52" s="7">
        <f>IFERROR(ROUND(AVERAGEIFS(Datos!$G$2:$G$29513,Datos!$E$2:$E$29513,$A52,Datos!$B$2:$B$29513,18,Datos!$C$2:$C$29513,"&lt;30",Datos!$F$2:$F$29513,"STANDBY"),0),"")</f>
        <v/>
      </c>
      <c r="W52" s="7">
        <f>IFERROR(ROUND(AVERAGEIFS(Datos!$G$2:$G$29513,Datos!$E$2:$E$29513,$A52,Datos!$B$2:$B$29513,18,Datos!$C$2:$C$29513,"&gt;=30",Datos!$F$2:$F$29513,"STANDBY"),0),"")</f>
        <v/>
      </c>
      <c r="X52" s="7">
        <f>IFERROR(ROUND(AVERAGEIFS(Datos!$G$2:$G$29513,Datos!$E$2:$E$29513,$A52,Datos!$B$2:$B$29513,19,Datos!$C$2:$C$29513,"&lt;30",Datos!$F$2:$F$29513,"STANDBY"),0),"")</f>
        <v/>
      </c>
      <c r="Y52" s="7">
        <f>IFERROR(ROUND(AVERAGEIFS(Datos!$G$2:$G$29513,Datos!$E$2:$E$29513,$A52,Datos!$B$2:$B$29513,19,Datos!$C$2:$C$29513,"&gt;=30",Datos!$F$2:$F$29513,"STANDBY"),0),"")</f>
        <v/>
      </c>
      <c r="Z52" s="7">
        <f>IFERROR(ROUND(AVERAGEIFS(Datos!$G$2:$G$29513,Datos!$E$2:$E$29513,$A52,Datos!$B$2:$B$29513,20,Datos!$C$2:$C$29513,"&lt;30",Datos!$F$2:$F$29513,"STANDBY"),0),"")</f>
        <v/>
      </c>
      <c r="AA52" s="7">
        <f>IFERROR(ROUND(AVERAGEIFS(Datos!$G$2:$G$29513,Datos!$E$2:$E$29513,$A52,Datos!$B$2:$B$29513,20,Datos!$C$2:$C$29513,"&gt;=30",Datos!$F$2:$F$29513,"STANDBY"),0),"")</f>
        <v/>
      </c>
      <c r="AB52" s="7">
        <f>IFERROR(ROUND(AVERAGEIFS(Datos!$G$2:$G$29513,Datos!$E$2:$E$29513,$A52,Datos!$B$2:$B$29513,21,Datos!$C$2:$C$29513,"&lt;30",Datos!$F$2:$F$29513,"STANDBY"),0),"")</f>
        <v/>
      </c>
      <c r="AC52" s="7">
        <f>IFERROR(ROUND(AVERAGEIFS(Datos!$G$2:$G$29513,Datos!$E$2:$E$29513,$A52,Datos!$B$2:$B$29513,21,Datos!$C$2:$C$29513,"&gt;=30",Datos!$F$2:$F$29513,"STANDBY"),0),"")</f>
        <v/>
      </c>
      <c r="AD52" s="7">
        <f>IFERROR(ROUND(AVERAGEIFS(Datos!$G$2:$G$29513,Datos!$E$2:$E$29513,$A52,Datos!$B$2:$B$29513,22,Datos!$C$2:$C$29513,"&lt;30",Datos!$F$2:$F$29513,"STANDBY"),0),"")</f>
        <v/>
      </c>
      <c r="AE52" s="7">
        <f>IFERROR(ROUND(AVERAGEIFS(Datos!$G$2:$G$29513,Datos!$E$2:$E$29513,$A52,Datos!$B$2:$B$29513,22,Datos!$C$2:$C$29513,"&gt;=30",Datos!$F$2:$F$29513,"STANDBY"),0),"")</f>
        <v/>
      </c>
      <c r="AF52" s="7">
        <f>IFERROR(ROUND(AVERAGEIFS(Datos!$G$2:$G$29513,Datos!$E$2:$E$29513,$A52,Datos!$B$2:$B$29513,23,Datos!$C$2:$C$29513,"&lt;30",Datos!$F$2:$F$29513,"STANDBY"),0),"")</f>
        <v/>
      </c>
      <c r="AG52" s="7">
        <f>IFERROR(ROUND(AVERAGEIFS(Datos!$G$2:$G$29513,Datos!$E$2:$E$29513,$A52,Datos!$B$2:$B$29513,23,Datos!$C$2:$C$29513,"&gt;=30",Datos!$F$2:$F$29513,"STANDBY"),0),"")</f>
        <v/>
      </c>
    </row>
    <row r="53">
      <c r="A53" s="6" t="inlineStr">
        <is>
          <t>Peter Pan's Flight</t>
        </is>
      </c>
      <c r="B53" s="7">
        <f>IFERROR(ROUND(AVERAGEIFS(Datos!$G$2:$G$29513,Datos!$E$2:$E$29513,$A53,Datos!$B$2:$B$29513,8,Datos!$C$2:$C$29513,"&lt;30",Datos!$F$2:$F$29513,"STANDBY"),0),"")</f>
        <v/>
      </c>
      <c r="C53" s="7">
        <f>IFERROR(ROUND(AVERAGEIFS(Datos!$G$2:$G$29513,Datos!$E$2:$E$29513,$A53,Datos!$B$2:$B$29513,8,Datos!$C$2:$C$29513,"&gt;=30",Datos!$F$2:$F$29513,"STANDBY"),0),"")</f>
        <v/>
      </c>
      <c r="D53" s="7">
        <f>IFERROR(ROUND(AVERAGEIFS(Datos!$G$2:$G$29513,Datos!$E$2:$E$29513,$A53,Datos!$B$2:$B$29513,9,Datos!$C$2:$C$29513,"&lt;30",Datos!$F$2:$F$29513,"STANDBY"),0),"")</f>
        <v/>
      </c>
      <c r="E53" s="7">
        <f>IFERROR(ROUND(AVERAGEIFS(Datos!$G$2:$G$29513,Datos!$E$2:$E$29513,$A53,Datos!$B$2:$B$29513,9,Datos!$C$2:$C$29513,"&gt;=30",Datos!$F$2:$F$29513,"STANDBY"),0),"")</f>
        <v/>
      </c>
      <c r="F53" s="7">
        <f>IFERROR(ROUND(AVERAGEIFS(Datos!$G$2:$G$29513,Datos!$E$2:$E$29513,$A53,Datos!$B$2:$B$29513,10,Datos!$C$2:$C$29513,"&lt;30",Datos!$F$2:$F$29513,"STANDBY"),0),"")</f>
        <v/>
      </c>
      <c r="G53" s="7">
        <f>IFERROR(ROUND(AVERAGEIFS(Datos!$G$2:$G$29513,Datos!$E$2:$E$29513,$A53,Datos!$B$2:$B$29513,10,Datos!$C$2:$C$29513,"&gt;=30",Datos!$F$2:$F$29513,"STANDBY"),0),"")</f>
        <v/>
      </c>
      <c r="H53" s="7">
        <f>IFERROR(ROUND(AVERAGEIFS(Datos!$G$2:$G$29513,Datos!$E$2:$E$29513,$A53,Datos!$B$2:$B$29513,11,Datos!$C$2:$C$29513,"&lt;30",Datos!$F$2:$F$29513,"STANDBY"),0),"")</f>
        <v/>
      </c>
      <c r="I53" s="7">
        <f>IFERROR(ROUND(AVERAGEIFS(Datos!$G$2:$G$29513,Datos!$E$2:$E$29513,$A53,Datos!$B$2:$B$29513,11,Datos!$C$2:$C$29513,"&gt;=30",Datos!$F$2:$F$29513,"STANDBY"),0),"")</f>
        <v/>
      </c>
      <c r="J53" s="7">
        <f>IFERROR(ROUND(AVERAGEIFS(Datos!$G$2:$G$29513,Datos!$E$2:$E$29513,$A53,Datos!$B$2:$B$29513,12,Datos!$C$2:$C$29513,"&lt;30",Datos!$F$2:$F$29513,"STANDBY"),0),"")</f>
        <v/>
      </c>
      <c r="K53" s="7">
        <f>IFERROR(ROUND(AVERAGEIFS(Datos!$G$2:$G$29513,Datos!$E$2:$E$29513,$A53,Datos!$B$2:$B$29513,12,Datos!$C$2:$C$29513,"&gt;=30",Datos!$F$2:$F$29513,"STANDBY"),0),"")</f>
        <v/>
      </c>
      <c r="L53" s="7">
        <f>IFERROR(ROUND(AVERAGEIFS(Datos!$G$2:$G$29513,Datos!$E$2:$E$29513,$A53,Datos!$B$2:$B$29513,13,Datos!$C$2:$C$29513,"&lt;30",Datos!$F$2:$F$29513,"STANDBY"),0),"")</f>
        <v/>
      </c>
      <c r="M53" s="7">
        <f>IFERROR(ROUND(AVERAGEIFS(Datos!$G$2:$G$29513,Datos!$E$2:$E$29513,$A53,Datos!$B$2:$B$29513,13,Datos!$C$2:$C$29513,"&gt;=30",Datos!$F$2:$F$29513,"STANDBY"),0),"")</f>
        <v/>
      </c>
      <c r="N53" s="7">
        <f>IFERROR(ROUND(AVERAGEIFS(Datos!$G$2:$G$29513,Datos!$E$2:$E$29513,$A53,Datos!$B$2:$B$29513,14,Datos!$C$2:$C$29513,"&lt;30",Datos!$F$2:$F$29513,"STANDBY"),0),"")</f>
        <v/>
      </c>
      <c r="O53" s="7">
        <f>IFERROR(ROUND(AVERAGEIFS(Datos!$G$2:$G$29513,Datos!$E$2:$E$29513,$A53,Datos!$B$2:$B$29513,14,Datos!$C$2:$C$29513,"&gt;=30",Datos!$F$2:$F$29513,"STANDBY"),0),"")</f>
        <v/>
      </c>
      <c r="P53" s="7">
        <f>IFERROR(ROUND(AVERAGEIFS(Datos!$G$2:$G$29513,Datos!$E$2:$E$29513,$A53,Datos!$B$2:$B$29513,15,Datos!$C$2:$C$29513,"&lt;30",Datos!$F$2:$F$29513,"STANDBY"),0),"")</f>
        <v/>
      </c>
      <c r="Q53" s="7">
        <f>IFERROR(ROUND(AVERAGEIFS(Datos!$G$2:$G$29513,Datos!$E$2:$E$29513,$A53,Datos!$B$2:$B$29513,15,Datos!$C$2:$C$29513,"&gt;=30",Datos!$F$2:$F$29513,"STANDBY"),0),"")</f>
        <v/>
      </c>
      <c r="R53" s="7">
        <f>IFERROR(ROUND(AVERAGEIFS(Datos!$G$2:$G$29513,Datos!$E$2:$E$29513,$A53,Datos!$B$2:$B$29513,16,Datos!$C$2:$C$29513,"&lt;30",Datos!$F$2:$F$29513,"STANDBY"),0),"")</f>
        <v/>
      </c>
      <c r="S53" s="7">
        <f>IFERROR(ROUND(AVERAGEIFS(Datos!$G$2:$G$29513,Datos!$E$2:$E$29513,$A53,Datos!$B$2:$B$29513,16,Datos!$C$2:$C$29513,"&gt;=30",Datos!$F$2:$F$29513,"STANDBY"),0),"")</f>
        <v/>
      </c>
      <c r="T53" s="7">
        <f>IFERROR(ROUND(AVERAGEIFS(Datos!$G$2:$G$29513,Datos!$E$2:$E$29513,$A53,Datos!$B$2:$B$29513,17,Datos!$C$2:$C$29513,"&lt;30",Datos!$F$2:$F$29513,"STANDBY"),0),"")</f>
        <v/>
      </c>
      <c r="U53" s="7">
        <f>IFERROR(ROUND(AVERAGEIFS(Datos!$G$2:$G$29513,Datos!$E$2:$E$29513,$A53,Datos!$B$2:$B$29513,17,Datos!$C$2:$C$29513,"&gt;=30",Datos!$F$2:$F$29513,"STANDBY"),0),"")</f>
        <v/>
      </c>
      <c r="V53" s="7">
        <f>IFERROR(ROUND(AVERAGEIFS(Datos!$G$2:$G$29513,Datos!$E$2:$E$29513,$A53,Datos!$B$2:$B$29513,18,Datos!$C$2:$C$29513,"&lt;30",Datos!$F$2:$F$29513,"STANDBY"),0),"")</f>
        <v/>
      </c>
      <c r="W53" s="7">
        <f>IFERROR(ROUND(AVERAGEIFS(Datos!$G$2:$G$29513,Datos!$E$2:$E$29513,$A53,Datos!$B$2:$B$29513,18,Datos!$C$2:$C$29513,"&gt;=30",Datos!$F$2:$F$29513,"STANDBY"),0),"")</f>
        <v/>
      </c>
      <c r="X53" s="7">
        <f>IFERROR(ROUND(AVERAGEIFS(Datos!$G$2:$G$29513,Datos!$E$2:$E$29513,$A53,Datos!$B$2:$B$29513,19,Datos!$C$2:$C$29513,"&lt;30",Datos!$F$2:$F$29513,"STANDBY"),0),"")</f>
        <v/>
      </c>
      <c r="Y53" s="7">
        <f>IFERROR(ROUND(AVERAGEIFS(Datos!$G$2:$G$29513,Datos!$E$2:$E$29513,$A53,Datos!$B$2:$B$29513,19,Datos!$C$2:$C$29513,"&gt;=30",Datos!$F$2:$F$29513,"STANDBY"),0),"")</f>
        <v/>
      </c>
      <c r="Z53" s="7">
        <f>IFERROR(ROUND(AVERAGEIFS(Datos!$G$2:$G$29513,Datos!$E$2:$E$29513,$A53,Datos!$B$2:$B$29513,20,Datos!$C$2:$C$29513,"&lt;30",Datos!$F$2:$F$29513,"STANDBY"),0),"")</f>
        <v/>
      </c>
      <c r="AA53" s="7">
        <f>IFERROR(ROUND(AVERAGEIFS(Datos!$G$2:$G$29513,Datos!$E$2:$E$29513,$A53,Datos!$B$2:$B$29513,20,Datos!$C$2:$C$29513,"&gt;=30",Datos!$F$2:$F$29513,"STANDBY"),0),"")</f>
        <v/>
      </c>
      <c r="AB53" s="7">
        <f>IFERROR(ROUND(AVERAGEIFS(Datos!$G$2:$G$29513,Datos!$E$2:$E$29513,$A53,Datos!$B$2:$B$29513,21,Datos!$C$2:$C$29513,"&lt;30",Datos!$F$2:$F$29513,"STANDBY"),0),"")</f>
        <v/>
      </c>
      <c r="AC53" s="7">
        <f>IFERROR(ROUND(AVERAGEIFS(Datos!$G$2:$G$29513,Datos!$E$2:$E$29513,$A53,Datos!$B$2:$B$29513,21,Datos!$C$2:$C$29513,"&gt;=30",Datos!$F$2:$F$29513,"STANDBY"),0),"")</f>
        <v/>
      </c>
      <c r="AD53" s="7">
        <f>IFERROR(ROUND(AVERAGEIFS(Datos!$G$2:$G$29513,Datos!$E$2:$E$29513,$A53,Datos!$B$2:$B$29513,22,Datos!$C$2:$C$29513,"&lt;30",Datos!$F$2:$F$29513,"STANDBY"),0),"")</f>
        <v/>
      </c>
      <c r="AE53" s="7">
        <f>IFERROR(ROUND(AVERAGEIFS(Datos!$G$2:$G$29513,Datos!$E$2:$E$29513,$A53,Datos!$B$2:$B$29513,22,Datos!$C$2:$C$29513,"&gt;=30",Datos!$F$2:$F$29513,"STANDBY"),0),"")</f>
        <v/>
      </c>
      <c r="AF53" s="7">
        <f>IFERROR(ROUND(AVERAGEIFS(Datos!$G$2:$G$29513,Datos!$E$2:$E$29513,$A53,Datos!$B$2:$B$29513,23,Datos!$C$2:$C$29513,"&lt;30",Datos!$F$2:$F$29513,"STANDBY"),0),"")</f>
        <v/>
      </c>
      <c r="AG53" s="7">
        <f>IFERROR(ROUND(AVERAGEIFS(Datos!$G$2:$G$29513,Datos!$E$2:$E$29513,$A53,Datos!$B$2:$B$29513,23,Datos!$C$2:$C$29513,"&gt;=30",Datos!$F$2:$F$29513,"STANDBY"),0),"")</f>
        <v/>
      </c>
    </row>
    <row r="54">
      <c r="A54" s="6" t="inlineStr">
        <is>
          <t>Phantom Manor</t>
        </is>
      </c>
      <c r="B54" s="7">
        <f>IFERROR(ROUND(AVERAGEIFS(Datos!$G$2:$G$29513,Datos!$E$2:$E$29513,$A54,Datos!$B$2:$B$29513,8,Datos!$C$2:$C$29513,"&lt;30",Datos!$F$2:$F$29513,"STANDBY"),0),"")</f>
        <v/>
      </c>
      <c r="C54" s="7">
        <f>IFERROR(ROUND(AVERAGEIFS(Datos!$G$2:$G$29513,Datos!$E$2:$E$29513,$A54,Datos!$B$2:$B$29513,8,Datos!$C$2:$C$29513,"&gt;=30",Datos!$F$2:$F$29513,"STANDBY"),0),"")</f>
        <v/>
      </c>
      <c r="D54" s="7">
        <f>IFERROR(ROUND(AVERAGEIFS(Datos!$G$2:$G$29513,Datos!$E$2:$E$29513,$A54,Datos!$B$2:$B$29513,9,Datos!$C$2:$C$29513,"&lt;30",Datos!$F$2:$F$29513,"STANDBY"),0),"")</f>
        <v/>
      </c>
      <c r="E54" s="7">
        <f>IFERROR(ROUND(AVERAGEIFS(Datos!$G$2:$G$29513,Datos!$E$2:$E$29513,$A54,Datos!$B$2:$B$29513,9,Datos!$C$2:$C$29513,"&gt;=30",Datos!$F$2:$F$29513,"STANDBY"),0),"")</f>
        <v/>
      </c>
      <c r="F54" s="7">
        <f>IFERROR(ROUND(AVERAGEIFS(Datos!$G$2:$G$29513,Datos!$E$2:$E$29513,$A54,Datos!$B$2:$B$29513,10,Datos!$C$2:$C$29513,"&lt;30",Datos!$F$2:$F$29513,"STANDBY"),0),"")</f>
        <v/>
      </c>
      <c r="G54" s="7">
        <f>IFERROR(ROUND(AVERAGEIFS(Datos!$G$2:$G$29513,Datos!$E$2:$E$29513,$A54,Datos!$B$2:$B$29513,10,Datos!$C$2:$C$29513,"&gt;=30",Datos!$F$2:$F$29513,"STANDBY"),0),"")</f>
        <v/>
      </c>
      <c r="H54" s="7">
        <f>IFERROR(ROUND(AVERAGEIFS(Datos!$G$2:$G$29513,Datos!$E$2:$E$29513,$A54,Datos!$B$2:$B$29513,11,Datos!$C$2:$C$29513,"&lt;30",Datos!$F$2:$F$29513,"STANDBY"),0),"")</f>
        <v/>
      </c>
      <c r="I54" s="7">
        <f>IFERROR(ROUND(AVERAGEIFS(Datos!$G$2:$G$29513,Datos!$E$2:$E$29513,$A54,Datos!$B$2:$B$29513,11,Datos!$C$2:$C$29513,"&gt;=30",Datos!$F$2:$F$29513,"STANDBY"),0),"")</f>
        <v/>
      </c>
      <c r="J54" s="7">
        <f>IFERROR(ROUND(AVERAGEIFS(Datos!$G$2:$G$29513,Datos!$E$2:$E$29513,$A54,Datos!$B$2:$B$29513,12,Datos!$C$2:$C$29513,"&lt;30",Datos!$F$2:$F$29513,"STANDBY"),0),"")</f>
        <v/>
      </c>
      <c r="K54" s="7">
        <f>IFERROR(ROUND(AVERAGEIFS(Datos!$G$2:$G$29513,Datos!$E$2:$E$29513,$A54,Datos!$B$2:$B$29513,12,Datos!$C$2:$C$29513,"&gt;=30",Datos!$F$2:$F$29513,"STANDBY"),0),"")</f>
        <v/>
      </c>
      <c r="L54" s="7">
        <f>IFERROR(ROUND(AVERAGEIFS(Datos!$G$2:$G$29513,Datos!$E$2:$E$29513,$A54,Datos!$B$2:$B$29513,13,Datos!$C$2:$C$29513,"&lt;30",Datos!$F$2:$F$29513,"STANDBY"),0),"")</f>
        <v/>
      </c>
      <c r="M54" s="7">
        <f>IFERROR(ROUND(AVERAGEIFS(Datos!$G$2:$G$29513,Datos!$E$2:$E$29513,$A54,Datos!$B$2:$B$29513,13,Datos!$C$2:$C$29513,"&gt;=30",Datos!$F$2:$F$29513,"STANDBY"),0),"")</f>
        <v/>
      </c>
      <c r="N54" s="7">
        <f>IFERROR(ROUND(AVERAGEIFS(Datos!$G$2:$G$29513,Datos!$E$2:$E$29513,$A54,Datos!$B$2:$B$29513,14,Datos!$C$2:$C$29513,"&lt;30",Datos!$F$2:$F$29513,"STANDBY"),0),"")</f>
        <v/>
      </c>
      <c r="O54" s="7">
        <f>IFERROR(ROUND(AVERAGEIFS(Datos!$G$2:$G$29513,Datos!$E$2:$E$29513,$A54,Datos!$B$2:$B$29513,14,Datos!$C$2:$C$29513,"&gt;=30",Datos!$F$2:$F$29513,"STANDBY"),0),"")</f>
        <v/>
      </c>
      <c r="P54" s="7">
        <f>IFERROR(ROUND(AVERAGEIFS(Datos!$G$2:$G$29513,Datos!$E$2:$E$29513,$A54,Datos!$B$2:$B$29513,15,Datos!$C$2:$C$29513,"&lt;30",Datos!$F$2:$F$29513,"STANDBY"),0),"")</f>
        <v/>
      </c>
      <c r="Q54" s="7">
        <f>IFERROR(ROUND(AVERAGEIFS(Datos!$G$2:$G$29513,Datos!$E$2:$E$29513,$A54,Datos!$B$2:$B$29513,15,Datos!$C$2:$C$29513,"&gt;=30",Datos!$F$2:$F$29513,"STANDBY"),0),"")</f>
        <v/>
      </c>
      <c r="R54" s="7">
        <f>IFERROR(ROUND(AVERAGEIFS(Datos!$G$2:$G$29513,Datos!$E$2:$E$29513,$A54,Datos!$B$2:$B$29513,16,Datos!$C$2:$C$29513,"&lt;30",Datos!$F$2:$F$29513,"STANDBY"),0),"")</f>
        <v/>
      </c>
      <c r="S54" s="7">
        <f>IFERROR(ROUND(AVERAGEIFS(Datos!$G$2:$G$29513,Datos!$E$2:$E$29513,$A54,Datos!$B$2:$B$29513,16,Datos!$C$2:$C$29513,"&gt;=30",Datos!$F$2:$F$29513,"STANDBY"),0),"")</f>
        <v/>
      </c>
      <c r="T54" s="7">
        <f>IFERROR(ROUND(AVERAGEIFS(Datos!$G$2:$G$29513,Datos!$E$2:$E$29513,$A54,Datos!$B$2:$B$29513,17,Datos!$C$2:$C$29513,"&lt;30",Datos!$F$2:$F$29513,"STANDBY"),0),"")</f>
        <v/>
      </c>
      <c r="U54" s="7">
        <f>IFERROR(ROUND(AVERAGEIFS(Datos!$G$2:$G$29513,Datos!$E$2:$E$29513,$A54,Datos!$B$2:$B$29513,17,Datos!$C$2:$C$29513,"&gt;=30",Datos!$F$2:$F$29513,"STANDBY"),0),"")</f>
        <v/>
      </c>
      <c r="V54" s="7">
        <f>IFERROR(ROUND(AVERAGEIFS(Datos!$G$2:$G$29513,Datos!$E$2:$E$29513,$A54,Datos!$B$2:$B$29513,18,Datos!$C$2:$C$29513,"&lt;30",Datos!$F$2:$F$29513,"STANDBY"),0),"")</f>
        <v/>
      </c>
      <c r="W54" s="7">
        <f>IFERROR(ROUND(AVERAGEIFS(Datos!$G$2:$G$29513,Datos!$E$2:$E$29513,$A54,Datos!$B$2:$B$29513,18,Datos!$C$2:$C$29513,"&gt;=30",Datos!$F$2:$F$29513,"STANDBY"),0),"")</f>
        <v/>
      </c>
      <c r="X54" s="7">
        <f>IFERROR(ROUND(AVERAGEIFS(Datos!$G$2:$G$29513,Datos!$E$2:$E$29513,$A54,Datos!$B$2:$B$29513,19,Datos!$C$2:$C$29513,"&lt;30",Datos!$F$2:$F$29513,"STANDBY"),0),"")</f>
        <v/>
      </c>
      <c r="Y54" s="7">
        <f>IFERROR(ROUND(AVERAGEIFS(Datos!$G$2:$G$29513,Datos!$E$2:$E$29513,$A54,Datos!$B$2:$B$29513,19,Datos!$C$2:$C$29513,"&gt;=30",Datos!$F$2:$F$29513,"STANDBY"),0),"")</f>
        <v/>
      </c>
      <c r="Z54" s="7">
        <f>IFERROR(ROUND(AVERAGEIFS(Datos!$G$2:$G$29513,Datos!$E$2:$E$29513,$A54,Datos!$B$2:$B$29513,20,Datos!$C$2:$C$29513,"&lt;30",Datos!$F$2:$F$29513,"STANDBY"),0),"")</f>
        <v/>
      </c>
      <c r="AA54" s="7">
        <f>IFERROR(ROUND(AVERAGEIFS(Datos!$G$2:$G$29513,Datos!$E$2:$E$29513,$A54,Datos!$B$2:$B$29513,20,Datos!$C$2:$C$29513,"&gt;=30",Datos!$F$2:$F$29513,"STANDBY"),0),"")</f>
        <v/>
      </c>
      <c r="AB54" s="7">
        <f>IFERROR(ROUND(AVERAGEIFS(Datos!$G$2:$G$29513,Datos!$E$2:$E$29513,$A54,Datos!$B$2:$B$29513,21,Datos!$C$2:$C$29513,"&lt;30",Datos!$F$2:$F$29513,"STANDBY"),0),"")</f>
        <v/>
      </c>
      <c r="AC54" s="7">
        <f>IFERROR(ROUND(AVERAGEIFS(Datos!$G$2:$G$29513,Datos!$E$2:$E$29513,$A54,Datos!$B$2:$B$29513,21,Datos!$C$2:$C$29513,"&gt;=30",Datos!$F$2:$F$29513,"STANDBY"),0),"")</f>
        <v/>
      </c>
      <c r="AD54" s="7">
        <f>IFERROR(ROUND(AVERAGEIFS(Datos!$G$2:$G$29513,Datos!$E$2:$E$29513,$A54,Datos!$B$2:$B$29513,22,Datos!$C$2:$C$29513,"&lt;30",Datos!$F$2:$F$29513,"STANDBY"),0),"")</f>
        <v/>
      </c>
      <c r="AE54" s="7">
        <f>IFERROR(ROUND(AVERAGEIFS(Datos!$G$2:$G$29513,Datos!$E$2:$E$29513,$A54,Datos!$B$2:$B$29513,22,Datos!$C$2:$C$29513,"&gt;=30",Datos!$F$2:$F$29513,"STANDBY"),0),"")</f>
        <v/>
      </c>
      <c r="AF54" s="7">
        <f>IFERROR(ROUND(AVERAGEIFS(Datos!$G$2:$G$29513,Datos!$E$2:$E$29513,$A54,Datos!$B$2:$B$29513,23,Datos!$C$2:$C$29513,"&lt;30",Datos!$F$2:$F$29513,"STANDBY"),0),"")</f>
        <v/>
      </c>
      <c r="AG54" s="7">
        <f>IFERROR(ROUND(AVERAGEIFS(Datos!$G$2:$G$29513,Datos!$E$2:$E$29513,$A54,Datos!$B$2:$B$29513,23,Datos!$C$2:$C$29513,"&gt;=30",Datos!$F$2:$F$29513,"STANDBY"),0),"")</f>
        <v/>
      </c>
    </row>
    <row r="55">
      <c r="A55" s="6" t="inlineStr">
        <is>
          <t>Pirate Galleon</t>
        </is>
      </c>
      <c r="B55" s="7">
        <f>IFERROR(ROUND(AVERAGEIFS(Datos!$G$2:$G$29513,Datos!$E$2:$E$29513,$A55,Datos!$B$2:$B$29513,8,Datos!$C$2:$C$29513,"&lt;30",Datos!$F$2:$F$29513,"STANDBY"),0),"")</f>
        <v/>
      </c>
      <c r="C55" s="7">
        <f>IFERROR(ROUND(AVERAGEIFS(Datos!$G$2:$G$29513,Datos!$E$2:$E$29513,$A55,Datos!$B$2:$B$29513,8,Datos!$C$2:$C$29513,"&gt;=30",Datos!$F$2:$F$29513,"STANDBY"),0),"")</f>
        <v/>
      </c>
      <c r="D55" s="7">
        <f>IFERROR(ROUND(AVERAGEIFS(Datos!$G$2:$G$29513,Datos!$E$2:$E$29513,$A55,Datos!$B$2:$B$29513,9,Datos!$C$2:$C$29513,"&lt;30",Datos!$F$2:$F$29513,"STANDBY"),0),"")</f>
        <v/>
      </c>
      <c r="E55" s="7">
        <f>IFERROR(ROUND(AVERAGEIFS(Datos!$G$2:$G$29513,Datos!$E$2:$E$29513,$A55,Datos!$B$2:$B$29513,9,Datos!$C$2:$C$29513,"&gt;=30",Datos!$F$2:$F$29513,"STANDBY"),0),"")</f>
        <v/>
      </c>
      <c r="F55" s="7">
        <f>IFERROR(ROUND(AVERAGEIFS(Datos!$G$2:$G$29513,Datos!$E$2:$E$29513,$A55,Datos!$B$2:$B$29513,10,Datos!$C$2:$C$29513,"&lt;30",Datos!$F$2:$F$29513,"STANDBY"),0),"")</f>
        <v/>
      </c>
      <c r="G55" s="7">
        <f>IFERROR(ROUND(AVERAGEIFS(Datos!$G$2:$G$29513,Datos!$E$2:$E$29513,$A55,Datos!$B$2:$B$29513,10,Datos!$C$2:$C$29513,"&gt;=30",Datos!$F$2:$F$29513,"STANDBY"),0),"")</f>
        <v/>
      </c>
      <c r="H55" s="7">
        <f>IFERROR(ROUND(AVERAGEIFS(Datos!$G$2:$G$29513,Datos!$E$2:$E$29513,$A55,Datos!$B$2:$B$29513,11,Datos!$C$2:$C$29513,"&lt;30",Datos!$F$2:$F$29513,"STANDBY"),0),"")</f>
        <v/>
      </c>
      <c r="I55" s="7">
        <f>IFERROR(ROUND(AVERAGEIFS(Datos!$G$2:$G$29513,Datos!$E$2:$E$29513,$A55,Datos!$B$2:$B$29513,11,Datos!$C$2:$C$29513,"&gt;=30",Datos!$F$2:$F$29513,"STANDBY"),0),"")</f>
        <v/>
      </c>
      <c r="J55" s="7">
        <f>IFERROR(ROUND(AVERAGEIFS(Datos!$G$2:$G$29513,Datos!$E$2:$E$29513,$A55,Datos!$B$2:$B$29513,12,Datos!$C$2:$C$29513,"&lt;30",Datos!$F$2:$F$29513,"STANDBY"),0),"")</f>
        <v/>
      </c>
      <c r="K55" s="7">
        <f>IFERROR(ROUND(AVERAGEIFS(Datos!$G$2:$G$29513,Datos!$E$2:$E$29513,$A55,Datos!$B$2:$B$29513,12,Datos!$C$2:$C$29513,"&gt;=30",Datos!$F$2:$F$29513,"STANDBY"),0),"")</f>
        <v/>
      </c>
      <c r="L55" s="7">
        <f>IFERROR(ROUND(AVERAGEIFS(Datos!$G$2:$G$29513,Datos!$E$2:$E$29513,$A55,Datos!$B$2:$B$29513,13,Datos!$C$2:$C$29513,"&lt;30",Datos!$F$2:$F$29513,"STANDBY"),0),"")</f>
        <v/>
      </c>
      <c r="M55" s="7">
        <f>IFERROR(ROUND(AVERAGEIFS(Datos!$G$2:$G$29513,Datos!$E$2:$E$29513,$A55,Datos!$B$2:$B$29513,13,Datos!$C$2:$C$29513,"&gt;=30",Datos!$F$2:$F$29513,"STANDBY"),0),"")</f>
        <v/>
      </c>
      <c r="N55" s="7">
        <f>IFERROR(ROUND(AVERAGEIFS(Datos!$G$2:$G$29513,Datos!$E$2:$E$29513,$A55,Datos!$B$2:$B$29513,14,Datos!$C$2:$C$29513,"&lt;30",Datos!$F$2:$F$29513,"STANDBY"),0),"")</f>
        <v/>
      </c>
      <c r="O55" s="7">
        <f>IFERROR(ROUND(AVERAGEIFS(Datos!$G$2:$G$29513,Datos!$E$2:$E$29513,$A55,Datos!$B$2:$B$29513,14,Datos!$C$2:$C$29513,"&gt;=30",Datos!$F$2:$F$29513,"STANDBY"),0),"")</f>
        <v/>
      </c>
      <c r="P55" s="7">
        <f>IFERROR(ROUND(AVERAGEIFS(Datos!$G$2:$G$29513,Datos!$E$2:$E$29513,$A55,Datos!$B$2:$B$29513,15,Datos!$C$2:$C$29513,"&lt;30",Datos!$F$2:$F$29513,"STANDBY"),0),"")</f>
        <v/>
      </c>
      <c r="Q55" s="7">
        <f>IFERROR(ROUND(AVERAGEIFS(Datos!$G$2:$G$29513,Datos!$E$2:$E$29513,$A55,Datos!$B$2:$B$29513,15,Datos!$C$2:$C$29513,"&gt;=30",Datos!$F$2:$F$29513,"STANDBY"),0),"")</f>
        <v/>
      </c>
      <c r="R55" s="7">
        <f>IFERROR(ROUND(AVERAGEIFS(Datos!$G$2:$G$29513,Datos!$E$2:$E$29513,$A55,Datos!$B$2:$B$29513,16,Datos!$C$2:$C$29513,"&lt;30",Datos!$F$2:$F$29513,"STANDBY"),0),"")</f>
        <v/>
      </c>
      <c r="S55" s="7">
        <f>IFERROR(ROUND(AVERAGEIFS(Datos!$G$2:$G$29513,Datos!$E$2:$E$29513,$A55,Datos!$B$2:$B$29513,16,Datos!$C$2:$C$29513,"&gt;=30",Datos!$F$2:$F$29513,"STANDBY"),0),"")</f>
        <v/>
      </c>
      <c r="T55" s="7">
        <f>IFERROR(ROUND(AVERAGEIFS(Datos!$G$2:$G$29513,Datos!$E$2:$E$29513,$A55,Datos!$B$2:$B$29513,17,Datos!$C$2:$C$29513,"&lt;30",Datos!$F$2:$F$29513,"STANDBY"),0),"")</f>
        <v/>
      </c>
      <c r="U55" s="7">
        <f>IFERROR(ROUND(AVERAGEIFS(Datos!$G$2:$G$29513,Datos!$E$2:$E$29513,$A55,Datos!$B$2:$B$29513,17,Datos!$C$2:$C$29513,"&gt;=30",Datos!$F$2:$F$29513,"STANDBY"),0),"")</f>
        <v/>
      </c>
      <c r="V55" s="7">
        <f>IFERROR(ROUND(AVERAGEIFS(Datos!$G$2:$G$29513,Datos!$E$2:$E$29513,$A55,Datos!$B$2:$B$29513,18,Datos!$C$2:$C$29513,"&lt;30",Datos!$F$2:$F$29513,"STANDBY"),0),"")</f>
        <v/>
      </c>
      <c r="W55" s="7">
        <f>IFERROR(ROUND(AVERAGEIFS(Datos!$G$2:$G$29513,Datos!$E$2:$E$29513,$A55,Datos!$B$2:$B$29513,18,Datos!$C$2:$C$29513,"&gt;=30",Datos!$F$2:$F$29513,"STANDBY"),0),"")</f>
        <v/>
      </c>
      <c r="X55" s="7">
        <f>IFERROR(ROUND(AVERAGEIFS(Datos!$G$2:$G$29513,Datos!$E$2:$E$29513,$A55,Datos!$B$2:$B$29513,19,Datos!$C$2:$C$29513,"&lt;30",Datos!$F$2:$F$29513,"STANDBY"),0),"")</f>
        <v/>
      </c>
      <c r="Y55" s="7">
        <f>IFERROR(ROUND(AVERAGEIFS(Datos!$G$2:$G$29513,Datos!$E$2:$E$29513,$A55,Datos!$B$2:$B$29513,19,Datos!$C$2:$C$29513,"&gt;=30",Datos!$F$2:$F$29513,"STANDBY"),0),"")</f>
        <v/>
      </c>
      <c r="Z55" s="7">
        <f>IFERROR(ROUND(AVERAGEIFS(Datos!$G$2:$G$29513,Datos!$E$2:$E$29513,$A55,Datos!$B$2:$B$29513,20,Datos!$C$2:$C$29513,"&lt;30",Datos!$F$2:$F$29513,"STANDBY"),0),"")</f>
        <v/>
      </c>
      <c r="AA55" s="7">
        <f>IFERROR(ROUND(AVERAGEIFS(Datos!$G$2:$G$29513,Datos!$E$2:$E$29513,$A55,Datos!$B$2:$B$29513,20,Datos!$C$2:$C$29513,"&gt;=30",Datos!$F$2:$F$29513,"STANDBY"),0),"")</f>
        <v/>
      </c>
      <c r="AB55" s="7">
        <f>IFERROR(ROUND(AVERAGEIFS(Datos!$G$2:$G$29513,Datos!$E$2:$E$29513,$A55,Datos!$B$2:$B$29513,21,Datos!$C$2:$C$29513,"&lt;30",Datos!$F$2:$F$29513,"STANDBY"),0),"")</f>
        <v/>
      </c>
      <c r="AC55" s="7">
        <f>IFERROR(ROUND(AVERAGEIFS(Datos!$G$2:$G$29513,Datos!$E$2:$E$29513,$A55,Datos!$B$2:$B$29513,21,Datos!$C$2:$C$29513,"&gt;=30",Datos!$F$2:$F$29513,"STANDBY"),0),"")</f>
        <v/>
      </c>
      <c r="AD55" s="7">
        <f>IFERROR(ROUND(AVERAGEIFS(Datos!$G$2:$G$29513,Datos!$E$2:$E$29513,$A55,Datos!$B$2:$B$29513,22,Datos!$C$2:$C$29513,"&lt;30",Datos!$F$2:$F$29513,"STANDBY"),0),"")</f>
        <v/>
      </c>
      <c r="AE55" s="7">
        <f>IFERROR(ROUND(AVERAGEIFS(Datos!$G$2:$G$29513,Datos!$E$2:$E$29513,$A55,Datos!$B$2:$B$29513,22,Datos!$C$2:$C$29513,"&gt;=30",Datos!$F$2:$F$29513,"STANDBY"),0),"")</f>
        <v/>
      </c>
      <c r="AF55" s="7">
        <f>IFERROR(ROUND(AVERAGEIFS(Datos!$G$2:$G$29513,Datos!$E$2:$E$29513,$A55,Datos!$B$2:$B$29513,23,Datos!$C$2:$C$29513,"&lt;30",Datos!$F$2:$F$29513,"STANDBY"),0),"")</f>
        <v/>
      </c>
      <c r="AG55" s="7">
        <f>IFERROR(ROUND(AVERAGEIFS(Datos!$G$2:$G$29513,Datos!$E$2:$E$29513,$A55,Datos!$B$2:$B$29513,23,Datos!$C$2:$C$29513,"&gt;=30",Datos!$F$2:$F$29513,"STANDBY"),0),"")</f>
        <v/>
      </c>
    </row>
    <row r="56">
      <c r="A56" s="6" t="inlineStr">
        <is>
          <t>Pirates of the Caribbean</t>
        </is>
      </c>
      <c r="B56" s="7">
        <f>IFERROR(ROUND(AVERAGEIFS(Datos!$G$2:$G$29513,Datos!$E$2:$E$29513,$A56,Datos!$B$2:$B$29513,8,Datos!$C$2:$C$29513,"&lt;30",Datos!$F$2:$F$29513,"STANDBY"),0),"")</f>
        <v/>
      </c>
      <c r="C56" s="7">
        <f>IFERROR(ROUND(AVERAGEIFS(Datos!$G$2:$G$29513,Datos!$E$2:$E$29513,$A56,Datos!$B$2:$B$29513,8,Datos!$C$2:$C$29513,"&gt;=30",Datos!$F$2:$F$29513,"STANDBY"),0),"")</f>
        <v/>
      </c>
      <c r="D56" s="7">
        <f>IFERROR(ROUND(AVERAGEIFS(Datos!$G$2:$G$29513,Datos!$E$2:$E$29513,$A56,Datos!$B$2:$B$29513,9,Datos!$C$2:$C$29513,"&lt;30",Datos!$F$2:$F$29513,"STANDBY"),0),"")</f>
        <v/>
      </c>
      <c r="E56" s="7">
        <f>IFERROR(ROUND(AVERAGEIFS(Datos!$G$2:$G$29513,Datos!$E$2:$E$29513,$A56,Datos!$B$2:$B$29513,9,Datos!$C$2:$C$29513,"&gt;=30",Datos!$F$2:$F$29513,"STANDBY"),0),"")</f>
        <v/>
      </c>
      <c r="F56" s="7">
        <f>IFERROR(ROUND(AVERAGEIFS(Datos!$G$2:$G$29513,Datos!$E$2:$E$29513,$A56,Datos!$B$2:$B$29513,10,Datos!$C$2:$C$29513,"&lt;30",Datos!$F$2:$F$29513,"STANDBY"),0),"")</f>
        <v/>
      </c>
      <c r="G56" s="7">
        <f>IFERROR(ROUND(AVERAGEIFS(Datos!$G$2:$G$29513,Datos!$E$2:$E$29513,$A56,Datos!$B$2:$B$29513,10,Datos!$C$2:$C$29513,"&gt;=30",Datos!$F$2:$F$29513,"STANDBY"),0),"")</f>
        <v/>
      </c>
      <c r="H56" s="7">
        <f>IFERROR(ROUND(AVERAGEIFS(Datos!$G$2:$G$29513,Datos!$E$2:$E$29513,$A56,Datos!$B$2:$B$29513,11,Datos!$C$2:$C$29513,"&lt;30",Datos!$F$2:$F$29513,"STANDBY"),0),"")</f>
        <v/>
      </c>
      <c r="I56" s="7">
        <f>IFERROR(ROUND(AVERAGEIFS(Datos!$G$2:$G$29513,Datos!$E$2:$E$29513,$A56,Datos!$B$2:$B$29513,11,Datos!$C$2:$C$29513,"&gt;=30",Datos!$F$2:$F$29513,"STANDBY"),0),"")</f>
        <v/>
      </c>
      <c r="J56" s="7">
        <f>IFERROR(ROUND(AVERAGEIFS(Datos!$G$2:$G$29513,Datos!$E$2:$E$29513,$A56,Datos!$B$2:$B$29513,12,Datos!$C$2:$C$29513,"&lt;30",Datos!$F$2:$F$29513,"STANDBY"),0),"")</f>
        <v/>
      </c>
      <c r="K56" s="7">
        <f>IFERROR(ROUND(AVERAGEIFS(Datos!$G$2:$G$29513,Datos!$E$2:$E$29513,$A56,Datos!$B$2:$B$29513,12,Datos!$C$2:$C$29513,"&gt;=30",Datos!$F$2:$F$29513,"STANDBY"),0),"")</f>
        <v/>
      </c>
      <c r="L56" s="7">
        <f>IFERROR(ROUND(AVERAGEIFS(Datos!$G$2:$G$29513,Datos!$E$2:$E$29513,$A56,Datos!$B$2:$B$29513,13,Datos!$C$2:$C$29513,"&lt;30",Datos!$F$2:$F$29513,"STANDBY"),0),"")</f>
        <v/>
      </c>
      <c r="M56" s="7">
        <f>IFERROR(ROUND(AVERAGEIFS(Datos!$G$2:$G$29513,Datos!$E$2:$E$29513,$A56,Datos!$B$2:$B$29513,13,Datos!$C$2:$C$29513,"&gt;=30",Datos!$F$2:$F$29513,"STANDBY"),0),"")</f>
        <v/>
      </c>
      <c r="N56" s="7">
        <f>IFERROR(ROUND(AVERAGEIFS(Datos!$G$2:$G$29513,Datos!$E$2:$E$29513,$A56,Datos!$B$2:$B$29513,14,Datos!$C$2:$C$29513,"&lt;30",Datos!$F$2:$F$29513,"STANDBY"),0),"")</f>
        <v/>
      </c>
      <c r="O56" s="7">
        <f>IFERROR(ROUND(AVERAGEIFS(Datos!$G$2:$G$29513,Datos!$E$2:$E$29513,$A56,Datos!$B$2:$B$29513,14,Datos!$C$2:$C$29513,"&gt;=30",Datos!$F$2:$F$29513,"STANDBY"),0),"")</f>
        <v/>
      </c>
      <c r="P56" s="7">
        <f>IFERROR(ROUND(AVERAGEIFS(Datos!$G$2:$G$29513,Datos!$E$2:$E$29513,$A56,Datos!$B$2:$B$29513,15,Datos!$C$2:$C$29513,"&lt;30",Datos!$F$2:$F$29513,"STANDBY"),0),"")</f>
        <v/>
      </c>
      <c r="Q56" s="7">
        <f>IFERROR(ROUND(AVERAGEIFS(Datos!$G$2:$G$29513,Datos!$E$2:$E$29513,$A56,Datos!$B$2:$B$29513,15,Datos!$C$2:$C$29513,"&gt;=30",Datos!$F$2:$F$29513,"STANDBY"),0),"")</f>
        <v/>
      </c>
      <c r="R56" s="7">
        <f>IFERROR(ROUND(AVERAGEIFS(Datos!$G$2:$G$29513,Datos!$E$2:$E$29513,$A56,Datos!$B$2:$B$29513,16,Datos!$C$2:$C$29513,"&lt;30",Datos!$F$2:$F$29513,"STANDBY"),0),"")</f>
        <v/>
      </c>
      <c r="S56" s="7">
        <f>IFERROR(ROUND(AVERAGEIFS(Datos!$G$2:$G$29513,Datos!$E$2:$E$29513,$A56,Datos!$B$2:$B$29513,16,Datos!$C$2:$C$29513,"&gt;=30",Datos!$F$2:$F$29513,"STANDBY"),0),"")</f>
        <v/>
      </c>
      <c r="T56" s="7">
        <f>IFERROR(ROUND(AVERAGEIFS(Datos!$G$2:$G$29513,Datos!$E$2:$E$29513,$A56,Datos!$B$2:$B$29513,17,Datos!$C$2:$C$29513,"&lt;30",Datos!$F$2:$F$29513,"STANDBY"),0),"")</f>
        <v/>
      </c>
      <c r="U56" s="7">
        <f>IFERROR(ROUND(AVERAGEIFS(Datos!$G$2:$G$29513,Datos!$E$2:$E$29513,$A56,Datos!$B$2:$B$29513,17,Datos!$C$2:$C$29513,"&gt;=30",Datos!$F$2:$F$29513,"STANDBY"),0),"")</f>
        <v/>
      </c>
      <c r="V56" s="7">
        <f>IFERROR(ROUND(AVERAGEIFS(Datos!$G$2:$G$29513,Datos!$E$2:$E$29513,$A56,Datos!$B$2:$B$29513,18,Datos!$C$2:$C$29513,"&lt;30",Datos!$F$2:$F$29513,"STANDBY"),0),"")</f>
        <v/>
      </c>
      <c r="W56" s="7">
        <f>IFERROR(ROUND(AVERAGEIFS(Datos!$G$2:$G$29513,Datos!$E$2:$E$29513,$A56,Datos!$B$2:$B$29513,18,Datos!$C$2:$C$29513,"&gt;=30",Datos!$F$2:$F$29513,"STANDBY"),0),"")</f>
        <v/>
      </c>
      <c r="X56" s="7">
        <f>IFERROR(ROUND(AVERAGEIFS(Datos!$G$2:$G$29513,Datos!$E$2:$E$29513,$A56,Datos!$B$2:$B$29513,19,Datos!$C$2:$C$29513,"&lt;30",Datos!$F$2:$F$29513,"STANDBY"),0),"")</f>
        <v/>
      </c>
      <c r="Y56" s="7">
        <f>IFERROR(ROUND(AVERAGEIFS(Datos!$G$2:$G$29513,Datos!$E$2:$E$29513,$A56,Datos!$B$2:$B$29513,19,Datos!$C$2:$C$29513,"&gt;=30",Datos!$F$2:$F$29513,"STANDBY"),0),"")</f>
        <v/>
      </c>
      <c r="Z56" s="7">
        <f>IFERROR(ROUND(AVERAGEIFS(Datos!$G$2:$G$29513,Datos!$E$2:$E$29513,$A56,Datos!$B$2:$B$29513,20,Datos!$C$2:$C$29513,"&lt;30",Datos!$F$2:$F$29513,"STANDBY"),0),"")</f>
        <v/>
      </c>
      <c r="AA56" s="7">
        <f>IFERROR(ROUND(AVERAGEIFS(Datos!$G$2:$G$29513,Datos!$E$2:$E$29513,$A56,Datos!$B$2:$B$29513,20,Datos!$C$2:$C$29513,"&gt;=30",Datos!$F$2:$F$29513,"STANDBY"),0),"")</f>
        <v/>
      </c>
      <c r="AB56" s="7">
        <f>IFERROR(ROUND(AVERAGEIFS(Datos!$G$2:$G$29513,Datos!$E$2:$E$29513,$A56,Datos!$B$2:$B$29513,21,Datos!$C$2:$C$29513,"&lt;30",Datos!$F$2:$F$29513,"STANDBY"),0),"")</f>
        <v/>
      </c>
      <c r="AC56" s="7">
        <f>IFERROR(ROUND(AVERAGEIFS(Datos!$G$2:$G$29513,Datos!$E$2:$E$29513,$A56,Datos!$B$2:$B$29513,21,Datos!$C$2:$C$29513,"&gt;=30",Datos!$F$2:$F$29513,"STANDBY"),0),"")</f>
        <v/>
      </c>
      <c r="AD56" s="7">
        <f>IFERROR(ROUND(AVERAGEIFS(Datos!$G$2:$G$29513,Datos!$E$2:$E$29513,$A56,Datos!$B$2:$B$29513,22,Datos!$C$2:$C$29513,"&lt;30",Datos!$F$2:$F$29513,"STANDBY"),0),"")</f>
        <v/>
      </c>
      <c r="AE56" s="7">
        <f>IFERROR(ROUND(AVERAGEIFS(Datos!$G$2:$G$29513,Datos!$E$2:$E$29513,$A56,Datos!$B$2:$B$29513,22,Datos!$C$2:$C$29513,"&gt;=30",Datos!$F$2:$F$29513,"STANDBY"),0),"")</f>
        <v/>
      </c>
      <c r="AF56" s="7">
        <f>IFERROR(ROUND(AVERAGEIFS(Datos!$G$2:$G$29513,Datos!$E$2:$E$29513,$A56,Datos!$B$2:$B$29513,23,Datos!$C$2:$C$29513,"&lt;30",Datos!$F$2:$F$29513,"STANDBY"),0),"")</f>
        <v/>
      </c>
      <c r="AG56" s="7">
        <f>IFERROR(ROUND(AVERAGEIFS(Datos!$G$2:$G$29513,Datos!$E$2:$E$29513,$A56,Datos!$B$2:$B$29513,23,Datos!$C$2:$C$29513,"&gt;=30",Datos!$F$2:$F$29513,"STANDBY"),0),"")</f>
        <v/>
      </c>
    </row>
    <row r="57">
      <c r="A57" s="6" t="inlineStr">
        <is>
          <t>Pirates' Beach</t>
        </is>
      </c>
      <c r="B57" s="7">
        <f>IFERROR(ROUND(AVERAGEIFS(Datos!$G$2:$G$29513,Datos!$E$2:$E$29513,$A57,Datos!$B$2:$B$29513,8,Datos!$C$2:$C$29513,"&lt;30",Datos!$F$2:$F$29513,"STANDBY"),0),"")</f>
        <v/>
      </c>
      <c r="C57" s="7">
        <f>IFERROR(ROUND(AVERAGEIFS(Datos!$G$2:$G$29513,Datos!$E$2:$E$29513,$A57,Datos!$B$2:$B$29513,8,Datos!$C$2:$C$29513,"&gt;=30",Datos!$F$2:$F$29513,"STANDBY"),0),"")</f>
        <v/>
      </c>
      <c r="D57" s="7">
        <f>IFERROR(ROUND(AVERAGEIFS(Datos!$G$2:$G$29513,Datos!$E$2:$E$29513,$A57,Datos!$B$2:$B$29513,9,Datos!$C$2:$C$29513,"&lt;30",Datos!$F$2:$F$29513,"STANDBY"),0),"")</f>
        <v/>
      </c>
      <c r="E57" s="7">
        <f>IFERROR(ROUND(AVERAGEIFS(Datos!$G$2:$G$29513,Datos!$E$2:$E$29513,$A57,Datos!$B$2:$B$29513,9,Datos!$C$2:$C$29513,"&gt;=30",Datos!$F$2:$F$29513,"STANDBY"),0),"")</f>
        <v/>
      </c>
      <c r="F57" s="7">
        <f>IFERROR(ROUND(AVERAGEIFS(Datos!$G$2:$G$29513,Datos!$E$2:$E$29513,$A57,Datos!$B$2:$B$29513,10,Datos!$C$2:$C$29513,"&lt;30",Datos!$F$2:$F$29513,"STANDBY"),0),"")</f>
        <v/>
      </c>
      <c r="G57" s="7">
        <f>IFERROR(ROUND(AVERAGEIFS(Datos!$G$2:$G$29513,Datos!$E$2:$E$29513,$A57,Datos!$B$2:$B$29513,10,Datos!$C$2:$C$29513,"&gt;=30",Datos!$F$2:$F$29513,"STANDBY"),0),"")</f>
        <v/>
      </c>
      <c r="H57" s="7">
        <f>IFERROR(ROUND(AVERAGEIFS(Datos!$G$2:$G$29513,Datos!$E$2:$E$29513,$A57,Datos!$B$2:$B$29513,11,Datos!$C$2:$C$29513,"&lt;30",Datos!$F$2:$F$29513,"STANDBY"),0),"")</f>
        <v/>
      </c>
      <c r="I57" s="7">
        <f>IFERROR(ROUND(AVERAGEIFS(Datos!$G$2:$G$29513,Datos!$E$2:$E$29513,$A57,Datos!$B$2:$B$29513,11,Datos!$C$2:$C$29513,"&gt;=30",Datos!$F$2:$F$29513,"STANDBY"),0),"")</f>
        <v/>
      </c>
      <c r="J57" s="7">
        <f>IFERROR(ROUND(AVERAGEIFS(Datos!$G$2:$G$29513,Datos!$E$2:$E$29513,$A57,Datos!$B$2:$B$29513,12,Datos!$C$2:$C$29513,"&lt;30",Datos!$F$2:$F$29513,"STANDBY"),0),"")</f>
        <v/>
      </c>
      <c r="K57" s="7">
        <f>IFERROR(ROUND(AVERAGEIFS(Datos!$G$2:$G$29513,Datos!$E$2:$E$29513,$A57,Datos!$B$2:$B$29513,12,Datos!$C$2:$C$29513,"&gt;=30",Datos!$F$2:$F$29513,"STANDBY"),0),"")</f>
        <v/>
      </c>
      <c r="L57" s="7">
        <f>IFERROR(ROUND(AVERAGEIFS(Datos!$G$2:$G$29513,Datos!$E$2:$E$29513,$A57,Datos!$B$2:$B$29513,13,Datos!$C$2:$C$29513,"&lt;30",Datos!$F$2:$F$29513,"STANDBY"),0),"")</f>
        <v/>
      </c>
      <c r="M57" s="7">
        <f>IFERROR(ROUND(AVERAGEIFS(Datos!$G$2:$G$29513,Datos!$E$2:$E$29513,$A57,Datos!$B$2:$B$29513,13,Datos!$C$2:$C$29513,"&gt;=30",Datos!$F$2:$F$29513,"STANDBY"),0),"")</f>
        <v/>
      </c>
      <c r="N57" s="7">
        <f>IFERROR(ROUND(AVERAGEIFS(Datos!$G$2:$G$29513,Datos!$E$2:$E$29513,$A57,Datos!$B$2:$B$29513,14,Datos!$C$2:$C$29513,"&lt;30",Datos!$F$2:$F$29513,"STANDBY"),0),"")</f>
        <v/>
      </c>
      <c r="O57" s="7">
        <f>IFERROR(ROUND(AVERAGEIFS(Datos!$G$2:$G$29513,Datos!$E$2:$E$29513,$A57,Datos!$B$2:$B$29513,14,Datos!$C$2:$C$29513,"&gt;=30",Datos!$F$2:$F$29513,"STANDBY"),0),"")</f>
        <v/>
      </c>
      <c r="P57" s="7">
        <f>IFERROR(ROUND(AVERAGEIFS(Datos!$G$2:$G$29513,Datos!$E$2:$E$29513,$A57,Datos!$B$2:$B$29513,15,Datos!$C$2:$C$29513,"&lt;30",Datos!$F$2:$F$29513,"STANDBY"),0),"")</f>
        <v/>
      </c>
      <c r="Q57" s="7">
        <f>IFERROR(ROUND(AVERAGEIFS(Datos!$G$2:$G$29513,Datos!$E$2:$E$29513,$A57,Datos!$B$2:$B$29513,15,Datos!$C$2:$C$29513,"&gt;=30",Datos!$F$2:$F$29513,"STANDBY"),0),"")</f>
        <v/>
      </c>
      <c r="R57" s="7">
        <f>IFERROR(ROUND(AVERAGEIFS(Datos!$G$2:$G$29513,Datos!$E$2:$E$29513,$A57,Datos!$B$2:$B$29513,16,Datos!$C$2:$C$29513,"&lt;30",Datos!$F$2:$F$29513,"STANDBY"),0),"")</f>
        <v/>
      </c>
      <c r="S57" s="7">
        <f>IFERROR(ROUND(AVERAGEIFS(Datos!$G$2:$G$29513,Datos!$E$2:$E$29513,$A57,Datos!$B$2:$B$29513,16,Datos!$C$2:$C$29513,"&gt;=30",Datos!$F$2:$F$29513,"STANDBY"),0),"")</f>
        <v/>
      </c>
      <c r="T57" s="7">
        <f>IFERROR(ROUND(AVERAGEIFS(Datos!$G$2:$G$29513,Datos!$E$2:$E$29513,$A57,Datos!$B$2:$B$29513,17,Datos!$C$2:$C$29513,"&lt;30",Datos!$F$2:$F$29513,"STANDBY"),0),"")</f>
        <v/>
      </c>
      <c r="U57" s="7">
        <f>IFERROR(ROUND(AVERAGEIFS(Datos!$G$2:$G$29513,Datos!$E$2:$E$29513,$A57,Datos!$B$2:$B$29513,17,Datos!$C$2:$C$29513,"&gt;=30",Datos!$F$2:$F$29513,"STANDBY"),0),"")</f>
        <v/>
      </c>
      <c r="V57" s="7">
        <f>IFERROR(ROUND(AVERAGEIFS(Datos!$G$2:$G$29513,Datos!$E$2:$E$29513,$A57,Datos!$B$2:$B$29513,18,Datos!$C$2:$C$29513,"&lt;30",Datos!$F$2:$F$29513,"STANDBY"),0),"")</f>
        <v/>
      </c>
      <c r="W57" s="7">
        <f>IFERROR(ROUND(AVERAGEIFS(Datos!$G$2:$G$29513,Datos!$E$2:$E$29513,$A57,Datos!$B$2:$B$29513,18,Datos!$C$2:$C$29513,"&gt;=30",Datos!$F$2:$F$29513,"STANDBY"),0),"")</f>
        <v/>
      </c>
      <c r="X57" s="7">
        <f>IFERROR(ROUND(AVERAGEIFS(Datos!$G$2:$G$29513,Datos!$E$2:$E$29513,$A57,Datos!$B$2:$B$29513,19,Datos!$C$2:$C$29513,"&lt;30",Datos!$F$2:$F$29513,"STANDBY"),0),"")</f>
        <v/>
      </c>
      <c r="Y57" s="7">
        <f>IFERROR(ROUND(AVERAGEIFS(Datos!$G$2:$G$29513,Datos!$E$2:$E$29513,$A57,Datos!$B$2:$B$29513,19,Datos!$C$2:$C$29513,"&gt;=30",Datos!$F$2:$F$29513,"STANDBY"),0),"")</f>
        <v/>
      </c>
      <c r="Z57" s="7">
        <f>IFERROR(ROUND(AVERAGEIFS(Datos!$G$2:$G$29513,Datos!$E$2:$E$29513,$A57,Datos!$B$2:$B$29513,20,Datos!$C$2:$C$29513,"&lt;30",Datos!$F$2:$F$29513,"STANDBY"),0),"")</f>
        <v/>
      </c>
      <c r="AA57" s="7">
        <f>IFERROR(ROUND(AVERAGEIFS(Datos!$G$2:$G$29513,Datos!$E$2:$E$29513,$A57,Datos!$B$2:$B$29513,20,Datos!$C$2:$C$29513,"&gt;=30",Datos!$F$2:$F$29513,"STANDBY"),0),"")</f>
        <v/>
      </c>
      <c r="AB57" s="7">
        <f>IFERROR(ROUND(AVERAGEIFS(Datos!$G$2:$G$29513,Datos!$E$2:$E$29513,$A57,Datos!$B$2:$B$29513,21,Datos!$C$2:$C$29513,"&lt;30",Datos!$F$2:$F$29513,"STANDBY"),0),"")</f>
        <v/>
      </c>
      <c r="AC57" s="7">
        <f>IFERROR(ROUND(AVERAGEIFS(Datos!$G$2:$G$29513,Datos!$E$2:$E$29513,$A57,Datos!$B$2:$B$29513,21,Datos!$C$2:$C$29513,"&gt;=30",Datos!$F$2:$F$29513,"STANDBY"),0),"")</f>
        <v/>
      </c>
      <c r="AD57" s="7">
        <f>IFERROR(ROUND(AVERAGEIFS(Datos!$G$2:$G$29513,Datos!$E$2:$E$29513,$A57,Datos!$B$2:$B$29513,22,Datos!$C$2:$C$29513,"&lt;30",Datos!$F$2:$F$29513,"STANDBY"),0),"")</f>
        <v/>
      </c>
      <c r="AE57" s="7">
        <f>IFERROR(ROUND(AVERAGEIFS(Datos!$G$2:$G$29513,Datos!$E$2:$E$29513,$A57,Datos!$B$2:$B$29513,22,Datos!$C$2:$C$29513,"&gt;=30",Datos!$F$2:$F$29513,"STANDBY"),0),"")</f>
        <v/>
      </c>
      <c r="AF57" s="7">
        <f>IFERROR(ROUND(AVERAGEIFS(Datos!$G$2:$G$29513,Datos!$E$2:$E$29513,$A57,Datos!$B$2:$B$29513,23,Datos!$C$2:$C$29513,"&lt;30",Datos!$F$2:$F$29513,"STANDBY"),0),"")</f>
        <v/>
      </c>
      <c r="AG57" s="7">
        <f>IFERROR(ROUND(AVERAGEIFS(Datos!$G$2:$G$29513,Datos!$E$2:$E$29513,$A57,Datos!$B$2:$B$29513,23,Datos!$C$2:$C$29513,"&gt;=30",Datos!$F$2:$F$29513,"STANDBY"),0),"")</f>
        <v/>
      </c>
    </row>
    <row r="58">
      <c r="A58" s="6" t="inlineStr">
        <is>
          <t>Princess Pavilion</t>
        </is>
      </c>
      <c r="B58" s="7">
        <f>IFERROR(ROUND(AVERAGEIFS(Datos!$G$2:$G$29513,Datos!$E$2:$E$29513,$A58,Datos!$B$2:$B$29513,8,Datos!$C$2:$C$29513,"&lt;30",Datos!$F$2:$F$29513,"STANDBY"),0),"")</f>
        <v/>
      </c>
      <c r="C58" s="7">
        <f>IFERROR(ROUND(AVERAGEIFS(Datos!$G$2:$G$29513,Datos!$E$2:$E$29513,$A58,Datos!$B$2:$B$29513,8,Datos!$C$2:$C$29513,"&gt;=30",Datos!$F$2:$F$29513,"STANDBY"),0),"")</f>
        <v/>
      </c>
      <c r="D58" s="7">
        <f>IFERROR(ROUND(AVERAGEIFS(Datos!$G$2:$G$29513,Datos!$E$2:$E$29513,$A58,Datos!$B$2:$B$29513,9,Datos!$C$2:$C$29513,"&lt;30",Datos!$F$2:$F$29513,"STANDBY"),0),"")</f>
        <v/>
      </c>
      <c r="E58" s="7">
        <f>IFERROR(ROUND(AVERAGEIFS(Datos!$G$2:$G$29513,Datos!$E$2:$E$29513,$A58,Datos!$B$2:$B$29513,9,Datos!$C$2:$C$29513,"&gt;=30",Datos!$F$2:$F$29513,"STANDBY"),0),"")</f>
        <v/>
      </c>
      <c r="F58" s="7">
        <f>IFERROR(ROUND(AVERAGEIFS(Datos!$G$2:$G$29513,Datos!$E$2:$E$29513,$A58,Datos!$B$2:$B$29513,10,Datos!$C$2:$C$29513,"&lt;30",Datos!$F$2:$F$29513,"STANDBY"),0),"")</f>
        <v/>
      </c>
      <c r="G58" s="7">
        <f>IFERROR(ROUND(AVERAGEIFS(Datos!$G$2:$G$29513,Datos!$E$2:$E$29513,$A58,Datos!$B$2:$B$29513,10,Datos!$C$2:$C$29513,"&gt;=30",Datos!$F$2:$F$29513,"STANDBY"),0),"")</f>
        <v/>
      </c>
      <c r="H58" s="7">
        <f>IFERROR(ROUND(AVERAGEIFS(Datos!$G$2:$G$29513,Datos!$E$2:$E$29513,$A58,Datos!$B$2:$B$29513,11,Datos!$C$2:$C$29513,"&lt;30",Datos!$F$2:$F$29513,"STANDBY"),0),"")</f>
        <v/>
      </c>
      <c r="I58" s="7">
        <f>IFERROR(ROUND(AVERAGEIFS(Datos!$G$2:$G$29513,Datos!$E$2:$E$29513,$A58,Datos!$B$2:$B$29513,11,Datos!$C$2:$C$29513,"&gt;=30",Datos!$F$2:$F$29513,"STANDBY"),0),"")</f>
        <v/>
      </c>
      <c r="J58" s="7">
        <f>IFERROR(ROUND(AVERAGEIFS(Datos!$G$2:$G$29513,Datos!$E$2:$E$29513,$A58,Datos!$B$2:$B$29513,12,Datos!$C$2:$C$29513,"&lt;30",Datos!$F$2:$F$29513,"STANDBY"),0),"")</f>
        <v/>
      </c>
      <c r="K58" s="7">
        <f>IFERROR(ROUND(AVERAGEIFS(Datos!$G$2:$G$29513,Datos!$E$2:$E$29513,$A58,Datos!$B$2:$B$29513,12,Datos!$C$2:$C$29513,"&gt;=30",Datos!$F$2:$F$29513,"STANDBY"),0),"")</f>
        <v/>
      </c>
      <c r="L58" s="7">
        <f>IFERROR(ROUND(AVERAGEIFS(Datos!$G$2:$G$29513,Datos!$E$2:$E$29513,$A58,Datos!$B$2:$B$29513,13,Datos!$C$2:$C$29513,"&lt;30",Datos!$F$2:$F$29513,"STANDBY"),0),"")</f>
        <v/>
      </c>
      <c r="M58" s="7">
        <f>IFERROR(ROUND(AVERAGEIFS(Datos!$G$2:$G$29513,Datos!$E$2:$E$29513,$A58,Datos!$B$2:$B$29513,13,Datos!$C$2:$C$29513,"&gt;=30",Datos!$F$2:$F$29513,"STANDBY"),0),"")</f>
        <v/>
      </c>
      <c r="N58" s="7">
        <f>IFERROR(ROUND(AVERAGEIFS(Datos!$G$2:$G$29513,Datos!$E$2:$E$29513,$A58,Datos!$B$2:$B$29513,14,Datos!$C$2:$C$29513,"&lt;30",Datos!$F$2:$F$29513,"STANDBY"),0),"")</f>
        <v/>
      </c>
      <c r="O58" s="7">
        <f>IFERROR(ROUND(AVERAGEIFS(Datos!$G$2:$G$29513,Datos!$E$2:$E$29513,$A58,Datos!$B$2:$B$29513,14,Datos!$C$2:$C$29513,"&gt;=30",Datos!$F$2:$F$29513,"STANDBY"),0),"")</f>
        <v/>
      </c>
      <c r="P58" s="7">
        <f>IFERROR(ROUND(AVERAGEIFS(Datos!$G$2:$G$29513,Datos!$E$2:$E$29513,$A58,Datos!$B$2:$B$29513,15,Datos!$C$2:$C$29513,"&lt;30",Datos!$F$2:$F$29513,"STANDBY"),0),"")</f>
        <v/>
      </c>
      <c r="Q58" s="7">
        <f>IFERROR(ROUND(AVERAGEIFS(Datos!$G$2:$G$29513,Datos!$E$2:$E$29513,$A58,Datos!$B$2:$B$29513,15,Datos!$C$2:$C$29513,"&gt;=30",Datos!$F$2:$F$29513,"STANDBY"),0),"")</f>
        <v/>
      </c>
      <c r="R58" s="7">
        <f>IFERROR(ROUND(AVERAGEIFS(Datos!$G$2:$G$29513,Datos!$E$2:$E$29513,$A58,Datos!$B$2:$B$29513,16,Datos!$C$2:$C$29513,"&lt;30",Datos!$F$2:$F$29513,"STANDBY"),0),"")</f>
        <v/>
      </c>
      <c r="S58" s="7">
        <f>IFERROR(ROUND(AVERAGEIFS(Datos!$G$2:$G$29513,Datos!$E$2:$E$29513,$A58,Datos!$B$2:$B$29513,16,Datos!$C$2:$C$29513,"&gt;=30",Datos!$F$2:$F$29513,"STANDBY"),0),"")</f>
        <v/>
      </c>
      <c r="T58" s="7">
        <f>IFERROR(ROUND(AVERAGEIFS(Datos!$G$2:$G$29513,Datos!$E$2:$E$29513,$A58,Datos!$B$2:$B$29513,17,Datos!$C$2:$C$29513,"&lt;30",Datos!$F$2:$F$29513,"STANDBY"),0),"")</f>
        <v/>
      </c>
      <c r="U58" s="7">
        <f>IFERROR(ROUND(AVERAGEIFS(Datos!$G$2:$G$29513,Datos!$E$2:$E$29513,$A58,Datos!$B$2:$B$29513,17,Datos!$C$2:$C$29513,"&gt;=30",Datos!$F$2:$F$29513,"STANDBY"),0),"")</f>
        <v/>
      </c>
      <c r="V58" s="7">
        <f>IFERROR(ROUND(AVERAGEIFS(Datos!$G$2:$G$29513,Datos!$E$2:$E$29513,$A58,Datos!$B$2:$B$29513,18,Datos!$C$2:$C$29513,"&lt;30",Datos!$F$2:$F$29513,"STANDBY"),0),"")</f>
        <v/>
      </c>
      <c r="W58" s="7">
        <f>IFERROR(ROUND(AVERAGEIFS(Datos!$G$2:$G$29513,Datos!$E$2:$E$29513,$A58,Datos!$B$2:$B$29513,18,Datos!$C$2:$C$29513,"&gt;=30",Datos!$F$2:$F$29513,"STANDBY"),0),"")</f>
        <v/>
      </c>
      <c r="X58" s="7">
        <f>IFERROR(ROUND(AVERAGEIFS(Datos!$G$2:$G$29513,Datos!$E$2:$E$29513,$A58,Datos!$B$2:$B$29513,19,Datos!$C$2:$C$29513,"&lt;30",Datos!$F$2:$F$29513,"STANDBY"),0),"")</f>
        <v/>
      </c>
      <c r="Y58" s="7">
        <f>IFERROR(ROUND(AVERAGEIFS(Datos!$G$2:$G$29513,Datos!$E$2:$E$29513,$A58,Datos!$B$2:$B$29513,19,Datos!$C$2:$C$29513,"&gt;=30",Datos!$F$2:$F$29513,"STANDBY"),0),"")</f>
        <v/>
      </c>
      <c r="Z58" s="7">
        <f>IFERROR(ROUND(AVERAGEIFS(Datos!$G$2:$G$29513,Datos!$E$2:$E$29513,$A58,Datos!$B$2:$B$29513,20,Datos!$C$2:$C$29513,"&lt;30",Datos!$F$2:$F$29513,"STANDBY"),0),"")</f>
        <v/>
      </c>
      <c r="AA58" s="7">
        <f>IFERROR(ROUND(AVERAGEIFS(Datos!$G$2:$G$29513,Datos!$E$2:$E$29513,$A58,Datos!$B$2:$B$29513,20,Datos!$C$2:$C$29513,"&gt;=30",Datos!$F$2:$F$29513,"STANDBY"),0),"")</f>
        <v/>
      </c>
      <c r="AB58" s="7">
        <f>IFERROR(ROUND(AVERAGEIFS(Datos!$G$2:$G$29513,Datos!$E$2:$E$29513,$A58,Datos!$B$2:$B$29513,21,Datos!$C$2:$C$29513,"&lt;30",Datos!$F$2:$F$29513,"STANDBY"),0),"")</f>
        <v/>
      </c>
      <c r="AC58" s="7">
        <f>IFERROR(ROUND(AVERAGEIFS(Datos!$G$2:$G$29513,Datos!$E$2:$E$29513,$A58,Datos!$B$2:$B$29513,21,Datos!$C$2:$C$29513,"&gt;=30",Datos!$F$2:$F$29513,"STANDBY"),0),"")</f>
        <v/>
      </c>
      <c r="AD58" s="7">
        <f>IFERROR(ROUND(AVERAGEIFS(Datos!$G$2:$G$29513,Datos!$E$2:$E$29513,$A58,Datos!$B$2:$B$29513,22,Datos!$C$2:$C$29513,"&lt;30",Datos!$F$2:$F$29513,"STANDBY"),0),"")</f>
        <v/>
      </c>
      <c r="AE58" s="7">
        <f>IFERROR(ROUND(AVERAGEIFS(Datos!$G$2:$G$29513,Datos!$E$2:$E$29513,$A58,Datos!$B$2:$B$29513,22,Datos!$C$2:$C$29513,"&gt;=30",Datos!$F$2:$F$29513,"STANDBY"),0),"")</f>
        <v/>
      </c>
      <c r="AF58" s="7">
        <f>IFERROR(ROUND(AVERAGEIFS(Datos!$G$2:$G$29513,Datos!$E$2:$E$29513,$A58,Datos!$B$2:$B$29513,23,Datos!$C$2:$C$29513,"&lt;30",Datos!$F$2:$F$29513,"STANDBY"),0),"")</f>
        <v/>
      </c>
      <c r="AG58" s="7">
        <f>IFERROR(ROUND(AVERAGEIFS(Datos!$G$2:$G$29513,Datos!$E$2:$E$29513,$A58,Datos!$B$2:$B$29513,23,Datos!$C$2:$C$29513,"&gt;=30",Datos!$F$2:$F$29513,"STANDBY"),0),"")</f>
        <v/>
      </c>
    </row>
    <row r="59">
      <c r="A59" s="6" t="inlineStr">
        <is>
          <t>River Rogue Keelboats</t>
        </is>
      </c>
      <c r="B59" s="7">
        <f>IFERROR(ROUND(AVERAGEIFS(Datos!$G$2:$G$29513,Datos!$E$2:$E$29513,$A59,Datos!$B$2:$B$29513,8,Datos!$C$2:$C$29513,"&lt;30",Datos!$F$2:$F$29513,"STANDBY"),0),"")</f>
        <v/>
      </c>
      <c r="C59" s="7">
        <f>IFERROR(ROUND(AVERAGEIFS(Datos!$G$2:$G$29513,Datos!$E$2:$E$29513,$A59,Datos!$B$2:$B$29513,8,Datos!$C$2:$C$29513,"&gt;=30",Datos!$F$2:$F$29513,"STANDBY"),0),"")</f>
        <v/>
      </c>
      <c r="D59" s="7">
        <f>IFERROR(ROUND(AVERAGEIFS(Datos!$G$2:$G$29513,Datos!$E$2:$E$29513,$A59,Datos!$B$2:$B$29513,9,Datos!$C$2:$C$29513,"&lt;30",Datos!$F$2:$F$29513,"STANDBY"),0),"")</f>
        <v/>
      </c>
      <c r="E59" s="7">
        <f>IFERROR(ROUND(AVERAGEIFS(Datos!$G$2:$G$29513,Datos!$E$2:$E$29513,$A59,Datos!$B$2:$B$29513,9,Datos!$C$2:$C$29513,"&gt;=30",Datos!$F$2:$F$29513,"STANDBY"),0),"")</f>
        <v/>
      </c>
      <c r="F59" s="7">
        <f>IFERROR(ROUND(AVERAGEIFS(Datos!$G$2:$G$29513,Datos!$E$2:$E$29513,$A59,Datos!$B$2:$B$29513,10,Datos!$C$2:$C$29513,"&lt;30",Datos!$F$2:$F$29513,"STANDBY"),0),"")</f>
        <v/>
      </c>
      <c r="G59" s="7">
        <f>IFERROR(ROUND(AVERAGEIFS(Datos!$G$2:$G$29513,Datos!$E$2:$E$29513,$A59,Datos!$B$2:$B$29513,10,Datos!$C$2:$C$29513,"&gt;=30",Datos!$F$2:$F$29513,"STANDBY"),0),"")</f>
        <v/>
      </c>
      <c r="H59" s="7">
        <f>IFERROR(ROUND(AVERAGEIFS(Datos!$G$2:$G$29513,Datos!$E$2:$E$29513,$A59,Datos!$B$2:$B$29513,11,Datos!$C$2:$C$29513,"&lt;30",Datos!$F$2:$F$29513,"STANDBY"),0),"")</f>
        <v/>
      </c>
      <c r="I59" s="7">
        <f>IFERROR(ROUND(AVERAGEIFS(Datos!$G$2:$G$29513,Datos!$E$2:$E$29513,$A59,Datos!$B$2:$B$29513,11,Datos!$C$2:$C$29513,"&gt;=30",Datos!$F$2:$F$29513,"STANDBY"),0),"")</f>
        <v/>
      </c>
      <c r="J59" s="7">
        <f>IFERROR(ROUND(AVERAGEIFS(Datos!$G$2:$G$29513,Datos!$E$2:$E$29513,$A59,Datos!$B$2:$B$29513,12,Datos!$C$2:$C$29513,"&lt;30",Datos!$F$2:$F$29513,"STANDBY"),0),"")</f>
        <v/>
      </c>
      <c r="K59" s="7">
        <f>IFERROR(ROUND(AVERAGEIFS(Datos!$G$2:$G$29513,Datos!$E$2:$E$29513,$A59,Datos!$B$2:$B$29513,12,Datos!$C$2:$C$29513,"&gt;=30",Datos!$F$2:$F$29513,"STANDBY"),0),"")</f>
        <v/>
      </c>
      <c r="L59" s="7">
        <f>IFERROR(ROUND(AVERAGEIFS(Datos!$G$2:$G$29513,Datos!$E$2:$E$29513,$A59,Datos!$B$2:$B$29513,13,Datos!$C$2:$C$29513,"&lt;30",Datos!$F$2:$F$29513,"STANDBY"),0),"")</f>
        <v/>
      </c>
      <c r="M59" s="7">
        <f>IFERROR(ROUND(AVERAGEIFS(Datos!$G$2:$G$29513,Datos!$E$2:$E$29513,$A59,Datos!$B$2:$B$29513,13,Datos!$C$2:$C$29513,"&gt;=30",Datos!$F$2:$F$29513,"STANDBY"),0),"")</f>
        <v/>
      </c>
      <c r="N59" s="7">
        <f>IFERROR(ROUND(AVERAGEIFS(Datos!$G$2:$G$29513,Datos!$E$2:$E$29513,$A59,Datos!$B$2:$B$29513,14,Datos!$C$2:$C$29513,"&lt;30",Datos!$F$2:$F$29513,"STANDBY"),0),"")</f>
        <v/>
      </c>
      <c r="O59" s="7">
        <f>IFERROR(ROUND(AVERAGEIFS(Datos!$G$2:$G$29513,Datos!$E$2:$E$29513,$A59,Datos!$B$2:$B$29513,14,Datos!$C$2:$C$29513,"&gt;=30",Datos!$F$2:$F$29513,"STANDBY"),0),"")</f>
        <v/>
      </c>
      <c r="P59" s="7">
        <f>IFERROR(ROUND(AVERAGEIFS(Datos!$G$2:$G$29513,Datos!$E$2:$E$29513,$A59,Datos!$B$2:$B$29513,15,Datos!$C$2:$C$29513,"&lt;30",Datos!$F$2:$F$29513,"STANDBY"),0),"")</f>
        <v/>
      </c>
      <c r="Q59" s="7">
        <f>IFERROR(ROUND(AVERAGEIFS(Datos!$G$2:$G$29513,Datos!$E$2:$E$29513,$A59,Datos!$B$2:$B$29513,15,Datos!$C$2:$C$29513,"&gt;=30",Datos!$F$2:$F$29513,"STANDBY"),0),"")</f>
        <v/>
      </c>
      <c r="R59" s="7">
        <f>IFERROR(ROUND(AVERAGEIFS(Datos!$G$2:$G$29513,Datos!$E$2:$E$29513,$A59,Datos!$B$2:$B$29513,16,Datos!$C$2:$C$29513,"&lt;30",Datos!$F$2:$F$29513,"STANDBY"),0),"")</f>
        <v/>
      </c>
      <c r="S59" s="7">
        <f>IFERROR(ROUND(AVERAGEIFS(Datos!$G$2:$G$29513,Datos!$E$2:$E$29513,$A59,Datos!$B$2:$B$29513,16,Datos!$C$2:$C$29513,"&gt;=30",Datos!$F$2:$F$29513,"STANDBY"),0),"")</f>
        <v/>
      </c>
      <c r="T59" s="7">
        <f>IFERROR(ROUND(AVERAGEIFS(Datos!$G$2:$G$29513,Datos!$E$2:$E$29513,$A59,Datos!$B$2:$B$29513,17,Datos!$C$2:$C$29513,"&lt;30",Datos!$F$2:$F$29513,"STANDBY"),0),"")</f>
        <v/>
      </c>
      <c r="U59" s="7">
        <f>IFERROR(ROUND(AVERAGEIFS(Datos!$G$2:$G$29513,Datos!$E$2:$E$29513,$A59,Datos!$B$2:$B$29513,17,Datos!$C$2:$C$29513,"&gt;=30",Datos!$F$2:$F$29513,"STANDBY"),0),"")</f>
        <v/>
      </c>
      <c r="V59" s="7">
        <f>IFERROR(ROUND(AVERAGEIFS(Datos!$G$2:$G$29513,Datos!$E$2:$E$29513,$A59,Datos!$B$2:$B$29513,18,Datos!$C$2:$C$29513,"&lt;30",Datos!$F$2:$F$29513,"STANDBY"),0),"")</f>
        <v/>
      </c>
      <c r="W59" s="7">
        <f>IFERROR(ROUND(AVERAGEIFS(Datos!$G$2:$G$29513,Datos!$E$2:$E$29513,$A59,Datos!$B$2:$B$29513,18,Datos!$C$2:$C$29513,"&gt;=30",Datos!$F$2:$F$29513,"STANDBY"),0),"")</f>
        <v/>
      </c>
      <c r="X59" s="7">
        <f>IFERROR(ROUND(AVERAGEIFS(Datos!$G$2:$G$29513,Datos!$E$2:$E$29513,$A59,Datos!$B$2:$B$29513,19,Datos!$C$2:$C$29513,"&lt;30",Datos!$F$2:$F$29513,"STANDBY"),0),"")</f>
        <v/>
      </c>
      <c r="Y59" s="7">
        <f>IFERROR(ROUND(AVERAGEIFS(Datos!$G$2:$G$29513,Datos!$E$2:$E$29513,$A59,Datos!$B$2:$B$29513,19,Datos!$C$2:$C$29513,"&gt;=30",Datos!$F$2:$F$29513,"STANDBY"),0),"")</f>
        <v/>
      </c>
      <c r="Z59" s="7">
        <f>IFERROR(ROUND(AVERAGEIFS(Datos!$G$2:$G$29513,Datos!$E$2:$E$29513,$A59,Datos!$B$2:$B$29513,20,Datos!$C$2:$C$29513,"&lt;30",Datos!$F$2:$F$29513,"STANDBY"),0),"")</f>
        <v/>
      </c>
      <c r="AA59" s="7">
        <f>IFERROR(ROUND(AVERAGEIFS(Datos!$G$2:$G$29513,Datos!$E$2:$E$29513,$A59,Datos!$B$2:$B$29513,20,Datos!$C$2:$C$29513,"&gt;=30",Datos!$F$2:$F$29513,"STANDBY"),0),"")</f>
        <v/>
      </c>
      <c r="AB59" s="7">
        <f>IFERROR(ROUND(AVERAGEIFS(Datos!$G$2:$G$29513,Datos!$E$2:$E$29513,$A59,Datos!$B$2:$B$29513,21,Datos!$C$2:$C$29513,"&lt;30",Datos!$F$2:$F$29513,"STANDBY"),0),"")</f>
        <v/>
      </c>
      <c r="AC59" s="7">
        <f>IFERROR(ROUND(AVERAGEIFS(Datos!$G$2:$G$29513,Datos!$E$2:$E$29513,$A59,Datos!$B$2:$B$29513,21,Datos!$C$2:$C$29513,"&gt;=30",Datos!$F$2:$F$29513,"STANDBY"),0),"")</f>
        <v/>
      </c>
      <c r="AD59" s="7">
        <f>IFERROR(ROUND(AVERAGEIFS(Datos!$G$2:$G$29513,Datos!$E$2:$E$29513,$A59,Datos!$B$2:$B$29513,22,Datos!$C$2:$C$29513,"&lt;30",Datos!$F$2:$F$29513,"STANDBY"),0),"")</f>
        <v/>
      </c>
      <c r="AE59" s="7">
        <f>IFERROR(ROUND(AVERAGEIFS(Datos!$G$2:$G$29513,Datos!$E$2:$E$29513,$A59,Datos!$B$2:$B$29513,22,Datos!$C$2:$C$29513,"&gt;=30",Datos!$F$2:$F$29513,"STANDBY"),0),"")</f>
        <v/>
      </c>
      <c r="AF59" s="7">
        <f>IFERROR(ROUND(AVERAGEIFS(Datos!$G$2:$G$29513,Datos!$E$2:$E$29513,$A59,Datos!$B$2:$B$29513,23,Datos!$C$2:$C$29513,"&lt;30",Datos!$F$2:$F$29513,"STANDBY"),0),"")</f>
        <v/>
      </c>
      <c r="AG59" s="7">
        <f>IFERROR(ROUND(AVERAGEIFS(Datos!$G$2:$G$29513,Datos!$E$2:$E$29513,$A59,Datos!$B$2:$B$29513,23,Datos!$C$2:$C$29513,"&gt;=30",Datos!$F$2:$F$29513,"STANDBY"),0),"")</f>
        <v/>
      </c>
    </row>
    <row r="60">
      <c r="A60" s="6" t="inlineStr">
        <is>
          <t>Rustler Roundup Shootin' Gallery</t>
        </is>
      </c>
      <c r="B60" s="7">
        <f>IFERROR(ROUND(AVERAGEIFS(Datos!$G$2:$G$29513,Datos!$E$2:$E$29513,$A60,Datos!$B$2:$B$29513,8,Datos!$C$2:$C$29513,"&lt;30",Datos!$F$2:$F$29513,"STANDBY"),0),"")</f>
        <v/>
      </c>
      <c r="C60" s="7">
        <f>IFERROR(ROUND(AVERAGEIFS(Datos!$G$2:$G$29513,Datos!$E$2:$E$29513,$A60,Datos!$B$2:$B$29513,8,Datos!$C$2:$C$29513,"&gt;=30",Datos!$F$2:$F$29513,"STANDBY"),0),"")</f>
        <v/>
      </c>
      <c r="D60" s="7">
        <f>IFERROR(ROUND(AVERAGEIFS(Datos!$G$2:$G$29513,Datos!$E$2:$E$29513,$A60,Datos!$B$2:$B$29513,9,Datos!$C$2:$C$29513,"&lt;30",Datos!$F$2:$F$29513,"STANDBY"),0),"")</f>
        <v/>
      </c>
      <c r="E60" s="7">
        <f>IFERROR(ROUND(AVERAGEIFS(Datos!$G$2:$G$29513,Datos!$E$2:$E$29513,$A60,Datos!$B$2:$B$29513,9,Datos!$C$2:$C$29513,"&gt;=30",Datos!$F$2:$F$29513,"STANDBY"),0),"")</f>
        <v/>
      </c>
      <c r="F60" s="7">
        <f>IFERROR(ROUND(AVERAGEIFS(Datos!$G$2:$G$29513,Datos!$E$2:$E$29513,$A60,Datos!$B$2:$B$29513,10,Datos!$C$2:$C$29513,"&lt;30",Datos!$F$2:$F$29513,"STANDBY"),0),"")</f>
        <v/>
      </c>
      <c r="G60" s="7">
        <f>IFERROR(ROUND(AVERAGEIFS(Datos!$G$2:$G$29513,Datos!$E$2:$E$29513,$A60,Datos!$B$2:$B$29513,10,Datos!$C$2:$C$29513,"&gt;=30",Datos!$F$2:$F$29513,"STANDBY"),0),"")</f>
        <v/>
      </c>
      <c r="H60" s="7">
        <f>IFERROR(ROUND(AVERAGEIFS(Datos!$G$2:$G$29513,Datos!$E$2:$E$29513,$A60,Datos!$B$2:$B$29513,11,Datos!$C$2:$C$29513,"&lt;30",Datos!$F$2:$F$29513,"STANDBY"),0),"")</f>
        <v/>
      </c>
      <c r="I60" s="7">
        <f>IFERROR(ROUND(AVERAGEIFS(Datos!$G$2:$G$29513,Datos!$E$2:$E$29513,$A60,Datos!$B$2:$B$29513,11,Datos!$C$2:$C$29513,"&gt;=30",Datos!$F$2:$F$29513,"STANDBY"),0),"")</f>
        <v/>
      </c>
      <c r="J60" s="7">
        <f>IFERROR(ROUND(AVERAGEIFS(Datos!$G$2:$G$29513,Datos!$E$2:$E$29513,$A60,Datos!$B$2:$B$29513,12,Datos!$C$2:$C$29513,"&lt;30",Datos!$F$2:$F$29513,"STANDBY"),0),"")</f>
        <v/>
      </c>
      <c r="K60" s="7">
        <f>IFERROR(ROUND(AVERAGEIFS(Datos!$G$2:$G$29513,Datos!$E$2:$E$29513,$A60,Datos!$B$2:$B$29513,12,Datos!$C$2:$C$29513,"&gt;=30",Datos!$F$2:$F$29513,"STANDBY"),0),"")</f>
        <v/>
      </c>
      <c r="L60" s="7">
        <f>IFERROR(ROUND(AVERAGEIFS(Datos!$G$2:$G$29513,Datos!$E$2:$E$29513,$A60,Datos!$B$2:$B$29513,13,Datos!$C$2:$C$29513,"&lt;30",Datos!$F$2:$F$29513,"STANDBY"),0),"")</f>
        <v/>
      </c>
      <c r="M60" s="7">
        <f>IFERROR(ROUND(AVERAGEIFS(Datos!$G$2:$G$29513,Datos!$E$2:$E$29513,$A60,Datos!$B$2:$B$29513,13,Datos!$C$2:$C$29513,"&gt;=30",Datos!$F$2:$F$29513,"STANDBY"),0),"")</f>
        <v/>
      </c>
      <c r="N60" s="7">
        <f>IFERROR(ROUND(AVERAGEIFS(Datos!$G$2:$G$29513,Datos!$E$2:$E$29513,$A60,Datos!$B$2:$B$29513,14,Datos!$C$2:$C$29513,"&lt;30",Datos!$F$2:$F$29513,"STANDBY"),0),"")</f>
        <v/>
      </c>
      <c r="O60" s="7">
        <f>IFERROR(ROUND(AVERAGEIFS(Datos!$G$2:$G$29513,Datos!$E$2:$E$29513,$A60,Datos!$B$2:$B$29513,14,Datos!$C$2:$C$29513,"&gt;=30",Datos!$F$2:$F$29513,"STANDBY"),0),"")</f>
        <v/>
      </c>
      <c r="P60" s="7">
        <f>IFERROR(ROUND(AVERAGEIFS(Datos!$G$2:$G$29513,Datos!$E$2:$E$29513,$A60,Datos!$B$2:$B$29513,15,Datos!$C$2:$C$29513,"&lt;30",Datos!$F$2:$F$29513,"STANDBY"),0),"")</f>
        <v/>
      </c>
      <c r="Q60" s="7">
        <f>IFERROR(ROUND(AVERAGEIFS(Datos!$G$2:$G$29513,Datos!$E$2:$E$29513,$A60,Datos!$B$2:$B$29513,15,Datos!$C$2:$C$29513,"&gt;=30",Datos!$F$2:$F$29513,"STANDBY"),0),"")</f>
        <v/>
      </c>
      <c r="R60" s="7">
        <f>IFERROR(ROUND(AVERAGEIFS(Datos!$G$2:$G$29513,Datos!$E$2:$E$29513,$A60,Datos!$B$2:$B$29513,16,Datos!$C$2:$C$29513,"&lt;30",Datos!$F$2:$F$29513,"STANDBY"),0),"")</f>
        <v/>
      </c>
      <c r="S60" s="7">
        <f>IFERROR(ROUND(AVERAGEIFS(Datos!$G$2:$G$29513,Datos!$E$2:$E$29513,$A60,Datos!$B$2:$B$29513,16,Datos!$C$2:$C$29513,"&gt;=30",Datos!$F$2:$F$29513,"STANDBY"),0),"")</f>
        <v/>
      </c>
      <c r="T60" s="7">
        <f>IFERROR(ROUND(AVERAGEIFS(Datos!$G$2:$G$29513,Datos!$E$2:$E$29513,$A60,Datos!$B$2:$B$29513,17,Datos!$C$2:$C$29513,"&lt;30",Datos!$F$2:$F$29513,"STANDBY"),0),"")</f>
        <v/>
      </c>
      <c r="U60" s="7">
        <f>IFERROR(ROUND(AVERAGEIFS(Datos!$G$2:$G$29513,Datos!$E$2:$E$29513,$A60,Datos!$B$2:$B$29513,17,Datos!$C$2:$C$29513,"&gt;=30",Datos!$F$2:$F$29513,"STANDBY"),0),"")</f>
        <v/>
      </c>
      <c r="V60" s="7">
        <f>IFERROR(ROUND(AVERAGEIFS(Datos!$G$2:$G$29513,Datos!$E$2:$E$29513,$A60,Datos!$B$2:$B$29513,18,Datos!$C$2:$C$29513,"&lt;30",Datos!$F$2:$F$29513,"STANDBY"),0),"")</f>
        <v/>
      </c>
      <c r="W60" s="7">
        <f>IFERROR(ROUND(AVERAGEIFS(Datos!$G$2:$G$29513,Datos!$E$2:$E$29513,$A60,Datos!$B$2:$B$29513,18,Datos!$C$2:$C$29513,"&gt;=30",Datos!$F$2:$F$29513,"STANDBY"),0),"")</f>
        <v/>
      </c>
      <c r="X60" s="7">
        <f>IFERROR(ROUND(AVERAGEIFS(Datos!$G$2:$G$29513,Datos!$E$2:$E$29513,$A60,Datos!$B$2:$B$29513,19,Datos!$C$2:$C$29513,"&lt;30",Datos!$F$2:$F$29513,"STANDBY"),0),"")</f>
        <v/>
      </c>
      <c r="Y60" s="7">
        <f>IFERROR(ROUND(AVERAGEIFS(Datos!$G$2:$G$29513,Datos!$E$2:$E$29513,$A60,Datos!$B$2:$B$29513,19,Datos!$C$2:$C$29513,"&gt;=30",Datos!$F$2:$F$29513,"STANDBY"),0),"")</f>
        <v/>
      </c>
      <c r="Z60" s="7">
        <f>IFERROR(ROUND(AVERAGEIFS(Datos!$G$2:$G$29513,Datos!$E$2:$E$29513,$A60,Datos!$B$2:$B$29513,20,Datos!$C$2:$C$29513,"&lt;30",Datos!$F$2:$F$29513,"STANDBY"),0),"")</f>
        <v/>
      </c>
      <c r="AA60" s="7">
        <f>IFERROR(ROUND(AVERAGEIFS(Datos!$G$2:$G$29513,Datos!$E$2:$E$29513,$A60,Datos!$B$2:$B$29513,20,Datos!$C$2:$C$29513,"&gt;=30",Datos!$F$2:$F$29513,"STANDBY"),0),"")</f>
        <v/>
      </c>
      <c r="AB60" s="7">
        <f>IFERROR(ROUND(AVERAGEIFS(Datos!$G$2:$G$29513,Datos!$E$2:$E$29513,$A60,Datos!$B$2:$B$29513,21,Datos!$C$2:$C$29513,"&lt;30",Datos!$F$2:$F$29513,"STANDBY"),0),"")</f>
        <v/>
      </c>
      <c r="AC60" s="7">
        <f>IFERROR(ROUND(AVERAGEIFS(Datos!$G$2:$G$29513,Datos!$E$2:$E$29513,$A60,Datos!$B$2:$B$29513,21,Datos!$C$2:$C$29513,"&gt;=30",Datos!$F$2:$F$29513,"STANDBY"),0),"")</f>
        <v/>
      </c>
      <c r="AD60" s="7">
        <f>IFERROR(ROUND(AVERAGEIFS(Datos!$G$2:$G$29513,Datos!$E$2:$E$29513,$A60,Datos!$B$2:$B$29513,22,Datos!$C$2:$C$29513,"&lt;30",Datos!$F$2:$F$29513,"STANDBY"),0),"")</f>
        <v/>
      </c>
      <c r="AE60" s="7">
        <f>IFERROR(ROUND(AVERAGEIFS(Datos!$G$2:$G$29513,Datos!$E$2:$E$29513,$A60,Datos!$B$2:$B$29513,22,Datos!$C$2:$C$29513,"&gt;=30",Datos!$F$2:$F$29513,"STANDBY"),0),"")</f>
        <v/>
      </c>
      <c r="AF60" s="7">
        <f>IFERROR(ROUND(AVERAGEIFS(Datos!$G$2:$G$29513,Datos!$E$2:$E$29513,$A60,Datos!$B$2:$B$29513,23,Datos!$C$2:$C$29513,"&lt;30",Datos!$F$2:$F$29513,"STANDBY"),0),"")</f>
        <v/>
      </c>
      <c r="AG60" s="7">
        <f>IFERROR(ROUND(AVERAGEIFS(Datos!$G$2:$G$29513,Datos!$E$2:$E$29513,$A60,Datos!$B$2:$B$29513,23,Datos!$C$2:$C$29513,"&gt;=30",Datos!$F$2:$F$29513,"STANDBY"),0),"")</f>
        <v/>
      </c>
    </row>
    <row r="61">
      <c r="A61" s="6" t="inlineStr">
        <is>
          <t>Star Tours: The Adventures Continue*</t>
        </is>
      </c>
      <c r="B61" s="7">
        <f>IFERROR(ROUND(AVERAGEIFS(Datos!$G$2:$G$29513,Datos!$E$2:$E$29513,$A61,Datos!$B$2:$B$29513,8,Datos!$C$2:$C$29513,"&lt;30",Datos!$F$2:$F$29513,"STANDBY"),0),"")</f>
        <v/>
      </c>
      <c r="C61" s="7">
        <f>IFERROR(ROUND(AVERAGEIFS(Datos!$G$2:$G$29513,Datos!$E$2:$E$29513,$A61,Datos!$B$2:$B$29513,8,Datos!$C$2:$C$29513,"&gt;=30",Datos!$F$2:$F$29513,"STANDBY"),0),"")</f>
        <v/>
      </c>
      <c r="D61" s="7">
        <f>IFERROR(ROUND(AVERAGEIFS(Datos!$G$2:$G$29513,Datos!$E$2:$E$29513,$A61,Datos!$B$2:$B$29513,9,Datos!$C$2:$C$29513,"&lt;30",Datos!$F$2:$F$29513,"STANDBY"),0),"")</f>
        <v/>
      </c>
      <c r="E61" s="7">
        <f>IFERROR(ROUND(AVERAGEIFS(Datos!$G$2:$G$29513,Datos!$E$2:$E$29513,$A61,Datos!$B$2:$B$29513,9,Datos!$C$2:$C$29513,"&gt;=30",Datos!$F$2:$F$29513,"STANDBY"),0),"")</f>
        <v/>
      </c>
      <c r="F61" s="7">
        <f>IFERROR(ROUND(AVERAGEIFS(Datos!$G$2:$G$29513,Datos!$E$2:$E$29513,$A61,Datos!$B$2:$B$29513,10,Datos!$C$2:$C$29513,"&lt;30",Datos!$F$2:$F$29513,"STANDBY"),0),"")</f>
        <v/>
      </c>
      <c r="G61" s="7">
        <f>IFERROR(ROUND(AVERAGEIFS(Datos!$G$2:$G$29513,Datos!$E$2:$E$29513,$A61,Datos!$B$2:$B$29513,10,Datos!$C$2:$C$29513,"&gt;=30",Datos!$F$2:$F$29513,"STANDBY"),0),"")</f>
        <v/>
      </c>
      <c r="H61" s="7">
        <f>IFERROR(ROUND(AVERAGEIFS(Datos!$G$2:$G$29513,Datos!$E$2:$E$29513,$A61,Datos!$B$2:$B$29513,11,Datos!$C$2:$C$29513,"&lt;30",Datos!$F$2:$F$29513,"STANDBY"),0),"")</f>
        <v/>
      </c>
      <c r="I61" s="7">
        <f>IFERROR(ROUND(AVERAGEIFS(Datos!$G$2:$G$29513,Datos!$E$2:$E$29513,$A61,Datos!$B$2:$B$29513,11,Datos!$C$2:$C$29513,"&gt;=30",Datos!$F$2:$F$29513,"STANDBY"),0),"")</f>
        <v/>
      </c>
      <c r="J61" s="7">
        <f>IFERROR(ROUND(AVERAGEIFS(Datos!$G$2:$G$29513,Datos!$E$2:$E$29513,$A61,Datos!$B$2:$B$29513,12,Datos!$C$2:$C$29513,"&lt;30",Datos!$F$2:$F$29513,"STANDBY"),0),"")</f>
        <v/>
      </c>
      <c r="K61" s="7">
        <f>IFERROR(ROUND(AVERAGEIFS(Datos!$G$2:$G$29513,Datos!$E$2:$E$29513,$A61,Datos!$B$2:$B$29513,12,Datos!$C$2:$C$29513,"&gt;=30",Datos!$F$2:$F$29513,"STANDBY"),0),"")</f>
        <v/>
      </c>
      <c r="L61" s="7">
        <f>IFERROR(ROUND(AVERAGEIFS(Datos!$G$2:$G$29513,Datos!$E$2:$E$29513,$A61,Datos!$B$2:$B$29513,13,Datos!$C$2:$C$29513,"&lt;30",Datos!$F$2:$F$29513,"STANDBY"),0),"")</f>
        <v/>
      </c>
      <c r="M61" s="7">
        <f>IFERROR(ROUND(AVERAGEIFS(Datos!$G$2:$G$29513,Datos!$E$2:$E$29513,$A61,Datos!$B$2:$B$29513,13,Datos!$C$2:$C$29513,"&gt;=30",Datos!$F$2:$F$29513,"STANDBY"),0),"")</f>
        <v/>
      </c>
      <c r="N61" s="7">
        <f>IFERROR(ROUND(AVERAGEIFS(Datos!$G$2:$G$29513,Datos!$E$2:$E$29513,$A61,Datos!$B$2:$B$29513,14,Datos!$C$2:$C$29513,"&lt;30",Datos!$F$2:$F$29513,"STANDBY"),0),"")</f>
        <v/>
      </c>
      <c r="O61" s="7">
        <f>IFERROR(ROUND(AVERAGEIFS(Datos!$G$2:$G$29513,Datos!$E$2:$E$29513,$A61,Datos!$B$2:$B$29513,14,Datos!$C$2:$C$29513,"&gt;=30",Datos!$F$2:$F$29513,"STANDBY"),0),"")</f>
        <v/>
      </c>
      <c r="P61" s="7">
        <f>IFERROR(ROUND(AVERAGEIFS(Datos!$G$2:$G$29513,Datos!$E$2:$E$29513,$A61,Datos!$B$2:$B$29513,15,Datos!$C$2:$C$29513,"&lt;30",Datos!$F$2:$F$29513,"STANDBY"),0),"")</f>
        <v/>
      </c>
      <c r="Q61" s="7">
        <f>IFERROR(ROUND(AVERAGEIFS(Datos!$G$2:$G$29513,Datos!$E$2:$E$29513,$A61,Datos!$B$2:$B$29513,15,Datos!$C$2:$C$29513,"&gt;=30",Datos!$F$2:$F$29513,"STANDBY"),0),"")</f>
        <v/>
      </c>
      <c r="R61" s="7">
        <f>IFERROR(ROUND(AVERAGEIFS(Datos!$G$2:$G$29513,Datos!$E$2:$E$29513,$A61,Datos!$B$2:$B$29513,16,Datos!$C$2:$C$29513,"&lt;30",Datos!$F$2:$F$29513,"STANDBY"),0),"")</f>
        <v/>
      </c>
      <c r="S61" s="7">
        <f>IFERROR(ROUND(AVERAGEIFS(Datos!$G$2:$G$29513,Datos!$E$2:$E$29513,$A61,Datos!$B$2:$B$29513,16,Datos!$C$2:$C$29513,"&gt;=30",Datos!$F$2:$F$29513,"STANDBY"),0),"")</f>
        <v/>
      </c>
      <c r="T61" s="7">
        <f>IFERROR(ROUND(AVERAGEIFS(Datos!$G$2:$G$29513,Datos!$E$2:$E$29513,$A61,Datos!$B$2:$B$29513,17,Datos!$C$2:$C$29513,"&lt;30",Datos!$F$2:$F$29513,"STANDBY"),0),"")</f>
        <v/>
      </c>
      <c r="U61" s="7">
        <f>IFERROR(ROUND(AVERAGEIFS(Datos!$G$2:$G$29513,Datos!$E$2:$E$29513,$A61,Datos!$B$2:$B$29513,17,Datos!$C$2:$C$29513,"&gt;=30",Datos!$F$2:$F$29513,"STANDBY"),0),"")</f>
        <v/>
      </c>
      <c r="V61" s="7">
        <f>IFERROR(ROUND(AVERAGEIFS(Datos!$G$2:$G$29513,Datos!$E$2:$E$29513,$A61,Datos!$B$2:$B$29513,18,Datos!$C$2:$C$29513,"&lt;30",Datos!$F$2:$F$29513,"STANDBY"),0),"")</f>
        <v/>
      </c>
      <c r="W61" s="7">
        <f>IFERROR(ROUND(AVERAGEIFS(Datos!$G$2:$G$29513,Datos!$E$2:$E$29513,$A61,Datos!$B$2:$B$29513,18,Datos!$C$2:$C$29513,"&gt;=30",Datos!$F$2:$F$29513,"STANDBY"),0),"")</f>
        <v/>
      </c>
      <c r="X61" s="7">
        <f>IFERROR(ROUND(AVERAGEIFS(Datos!$G$2:$G$29513,Datos!$E$2:$E$29513,$A61,Datos!$B$2:$B$29513,19,Datos!$C$2:$C$29513,"&lt;30",Datos!$F$2:$F$29513,"STANDBY"),0),"")</f>
        <v/>
      </c>
      <c r="Y61" s="7">
        <f>IFERROR(ROUND(AVERAGEIFS(Datos!$G$2:$G$29513,Datos!$E$2:$E$29513,$A61,Datos!$B$2:$B$29513,19,Datos!$C$2:$C$29513,"&gt;=30",Datos!$F$2:$F$29513,"STANDBY"),0),"")</f>
        <v/>
      </c>
      <c r="Z61" s="7">
        <f>IFERROR(ROUND(AVERAGEIFS(Datos!$G$2:$G$29513,Datos!$E$2:$E$29513,$A61,Datos!$B$2:$B$29513,20,Datos!$C$2:$C$29513,"&lt;30",Datos!$F$2:$F$29513,"STANDBY"),0),"")</f>
        <v/>
      </c>
      <c r="AA61" s="7">
        <f>IFERROR(ROUND(AVERAGEIFS(Datos!$G$2:$G$29513,Datos!$E$2:$E$29513,$A61,Datos!$B$2:$B$29513,20,Datos!$C$2:$C$29513,"&gt;=30",Datos!$F$2:$F$29513,"STANDBY"),0),"")</f>
        <v/>
      </c>
      <c r="AB61" s="7">
        <f>IFERROR(ROUND(AVERAGEIFS(Datos!$G$2:$G$29513,Datos!$E$2:$E$29513,$A61,Datos!$B$2:$B$29513,21,Datos!$C$2:$C$29513,"&lt;30",Datos!$F$2:$F$29513,"STANDBY"),0),"")</f>
        <v/>
      </c>
      <c r="AC61" s="7">
        <f>IFERROR(ROUND(AVERAGEIFS(Datos!$G$2:$G$29513,Datos!$E$2:$E$29513,$A61,Datos!$B$2:$B$29513,21,Datos!$C$2:$C$29513,"&gt;=30",Datos!$F$2:$F$29513,"STANDBY"),0),"")</f>
        <v/>
      </c>
      <c r="AD61" s="7">
        <f>IFERROR(ROUND(AVERAGEIFS(Datos!$G$2:$G$29513,Datos!$E$2:$E$29513,$A61,Datos!$B$2:$B$29513,22,Datos!$C$2:$C$29513,"&lt;30",Datos!$F$2:$F$29513,"STANDBY"),0),"")</f>
        <v/>
      </c>
      <c r="AE61" s="7">
        <f>IFERROR(ROUND(AVERAGEIFS(Datos!$G$2:$G$29513,Datos!$E$2:$E$29513,$A61,Datos!$B$2:$B$29513,22,Datos!$C$2:$C$29513,"&gt;=30",Datos!$F$2:$F$29513,"STANDBY"),0),"")</f>
        <v/>
      </c>
      <c r="AF61" s="7">
        <f>IFERROR(ROUND(AVERAGEIFS(Datos!$G$2:$G$29513,Datos!$E$2:$E$29513,$A61,Datos!$B$2:$B$29513,23,Datos!$C$2:$C$29513,"&lt;30",Datos!$F$2:$F$29513,"STANDBY"),0),"")</f>
        <v/>
      </c>
      <c r="AG61" s="7">
        <f>IFERROR(ROUND(AVERAGEIFS(Datos!$G$2:$G$29513,Datos!$E$2:$E$29513,$A61,Datos!$B$2:$B$29513,23,Datos!$C$2:$C$29513,"&gt;=30",Datos!$F$2:$F$29513,"STANDBY"),0),"")</f>
        <v/>
      </c>
    </row>
    <row r="62">
      <c r="A62" s="6" t="inlineStr">
        <is>
          <t>Star Wars Hyperspace Mountain</t>
        </is>
      </c>
      <c r="B62" s="7">
        <f>IFERROR(ROUND(AVERAGEIFS(Datos!$G$2:$G$29513,Datos!$E$2:$E$29513,$A62,Datos!$B$2:$B$29513,8,Datos!$C$2:$C$29513,"&lt;30",Datos!$F$2:$F$29513,"STANDBY"),0),"")</f>
        <v/>
      </c>
      <c r="C62" s="7">
        <f>IFERROR(ROUND(AVERAGEIFS(Datos!$G$2:$G$29513,Datos!$E$2:$E$29513,$A62,Datos!$B$2:$B$29513,8,Datos!$C$2:$C$29513,"&gt;=30",Datos!$F$2:$F$29513,"STANDBY"),0),"")</f>
        <v/>
      </c>
      <c r="D62" s="7">
        <f>IFERROR(ROUND(AVERAGEIFS(Datos!$G$2:$G$29513,Datos!$E$2:$E$29513,$A62,Datos!$B$2:$B$29513,9,Datos!$C$2:$C$29513,"&lt;30",Datos!$F$2:$F$29513,"STANDBY"),0),"")</f>
        <v/>
      </c>
      <c r="E62" s="7">
        <f>IFERROR(ROUND(AVERAGEIFS(Datos!$G$2:$G$29513,Datos!$E$2:$E$29513,$A62,Datos!$B$2:$B$29513,9,Datos!$C$2:$C$29513,"&gt;=30",Datos!$F$2:$F$29513,"STANDBY"),0),"")</f>
        <v/>
      </c>
      <c r="F62" s="7">
        <f>IFERROR(ROUND(AVERAGEIFS(Datos!$G$2:$G$29513,Datos!$E$2:$E$29513,$A62,Datos!$B$2:$B$29513,10,Datos!$C$2:$C$29513,"&lt;30",Datos!$F$2:$F$29513,"STANDBY"),0),"")</f>
        <v/>
      </c>
      <c r="G62" s="7">
        <f>IFERROR(ROUND(AVERAGEIFS(Datos!$G$2:$G$29513,Datos!$E$2:$E$29513,$A62,Datos!$B$2:$B$29513,10,Datos!$C$2:$C$29513,"&gt;=30",Datos!$F$2:$F$29513,"STANDBY"),0),"")</f>
        <v/>
      </c>
      <c r="H62" s="7">
        <f>IFERROR(ROUND(AVERAGEIFS(Datos!$G$2:$G$29513,Datos!$E$2:$E$29513,$A62,Datos!$B$2:$B$29513,11,Datos!$C$2:$C$29513,"&lt;30",Datos!$F$2:$F$29513,"STANDBY"),0),"")</f>
        <v/>
      </c>
      <c r="I62" s="7">
        <f>IFERROR(ROUND(AVERAGEIFS(Datos!$G$2:$G$29513,Datos!$E$2:$E$29513,$A62,Datos!$B$2:$B$29513,11,Datos!$C$2:$C$29513,"&gt;=30",Datos!$F$2:$F$29513,"STANDBY"),0),"")</f>
        <v/>
      </c>
      <c r="J62" s="7">
        <f>IFERROR(ROUND(AVERAGEIFS(Datos!$G$2:$G$29513,Datos!$E$2:$E$29513,$A62,Datos!$B$2:$B$29513,12,Datos!$C$2:$C$29513,"&lt;30",Datos!$F$2:$F$29513,"STANDBY"),0),"")</f>
        <v/>
      </c>
      <c r="K62" s="7">
        <f>IFERROR(ROUND(AVERAGEIFS(Datos!$G$2:$G$29513,Datos!$E$2:$E$29513,$A62,Datos!$B$2:$B$29513,12,Datos!$C$2:$C$29513,"&gt;=30",Datos!$F$2:$F$29513,"STANDBY"),0),"")</f>
        <v/>
      </c>
      <c r="L62" s="7">
        <f>IFERROR(ROUND(AVERAGEIFS(Datos!$G$2:$G$29513,Datos!$E$2:$E$29513,$A62,Datos!$B$2:$B$29513,13,Datos!$C$2:$C$29513,"&lt;30",Datos!$F$2:$F$29513,"STANDBY"),0),"")</f>
        <v/>
      </c>
      <c r="M62" s="7">
        <f>IFERROR(ROUND(AVERAGEIFS(Datos!$G$2:$G$29513,Datos!$E$2:$E$29513,$A62,Datos!$B$2:$B$29513,13,Datos!$C$2:$C$29513,"&gt;=30",Datos!$F$2:$F$29513,"STANDBY"),0),"")</f>
        <v/>
      </c>
      <c r="N62" s="7">
        <f>IFERROR(ROUND(AVERAGEIFS(Datos!$G$2:$G$29513,Datos!$E$2:$E$29513,$A62,Datos!$B$2:$B$29513,14,Datos!$C$2:$C$29513,"&lt;30",Datos!$F$2:$F$29513,"STANDBY"),0),"")</f>
        <v/>
      </c>
      <c r="O62" s="7">
        <f>IFERROR(ROUND(AVERAGEIFS(Datos!$G$2:$G$29513,Datos!$E$2:$E$29513,$A62,Datos!$B$2:$B$29513,14,Datos!$C$2:$C$29513,"&gt;=30",Datos!$F$2:$F$29513,"STANDBY"),0),"")</f>
        <v/>
      </c>
      <c r="P62" s="7">
        <f>IFERROR(ROUND(AVERAGEIFS(Datos!$G$2:$G$29513,Datos!$E$2:$E$29513,$A62,Datos!$B$2:$B$29513,15,Datos!$C$2:$C$29513,"&lt;30",Datos!$F$2:$F$29513,"STANDBY"),0),"")</f>
        <v/>
      </c>
      <c r="Q62" s="7">
        <f>IFERROR(ROUND(AVERAGEIFS(Datos!$G$2:$G$29513,Datos!$E$2:$E$29513,$A62,Datos!$B$2:$B$29513,15,Datos!$C$2:$C$29513,"&gt;=30",Datos!$F$2:$F$29513,"STANDBY"),0),"")</f>
        <v/>
      </c>
      <c r="R62" s="7">
        <f>IFERROR(ROUND(AVERAGEIFS(Datos!$G$2:$G$29513,Datos!$E$2:$E$29513,$A62,Datos!$B$2:$B$29513,16,Datos!$C$2:$C$29513,"&lt;30",Datos!$F$2:$F$29513,"STANDBY"),0),"")</f>
        <v/>
      </c>
      <c r="S62" s="7">
        <f>IFERROR(ROUND(AVERAGEIFS(Datos!$G$2:$G$29513,Datos!$E$2:$E$29513,$A62,Datos!$B$2:$B$29513,16,Datos!$C$2:$C$29513,"&gt;=30",Datos!$F$2:$F$29513,"STANDBY"),0),"")</f>
        <v/>
      </c>
      <c r="T62" s="7">
        <f>IFERROR(ROUND(AVERAGEIFS(Datos!$G$2:$G$29513,Datos!$E$2:$E$29513,$A62,Datos!$B$2:$B$29513,17,Datos!$C$2:$C$29513,"&lt;30",Datos!$F$2:$F$29513,"STANDBY"),0),"")</f>
        <v/>
      </c>
      <c r="U62" s="7">
        <f>IFERROR(ROUND(AVERAGEIFS(Datos!$G$2:$G$29513,Datos!$E$2:$E$29513,$A62,Datos!$B$2:$B$29513,17,Datos!$C$2:$C$29513,"&gt;=30",Datos!$F$2:$F$29513,"STANDBY"),0),"")</f>
        <v/>
      </c>
      <c r="V62" s="7">
        <f>IFERROR(ROUND(AVERAGEIFS(Datos!$G$2:$G$29513,Datos!$E$2:$E$29513,$A62,Datos!$B$2:$B$29513,18,Datos!$C$2:$C$29513,"&lt;30",Datos!$F$2:$F$29513,"STANDBY"),0),"")</f>
        <v/>
      </c>
      <c r="W62" s="7">
        <f>IFERROR(ROUND(AVERAGEIFS(Datos!$G$2:$G$29513,Datos!$E$2:$E$29513,$A62,Datos!$B$2:$B$29513,18,Datos!$C$2:$C$29513,"&gt;=30",Datos!$F$2:$F$29513,"STANDBY"),0),"")</f>
        <v/>
      </c>
      <c r="X62" s="7">
        <f>IFERROR(ROUND(AVERAGEIFS(Datos!$G$2:$G$29513,Datos!$E$2:$E$29513,$A62,Datos!$B$2:$B$29513,19,Datos!$C$2:$C$29513,"&lt;30",Datos!$F$2:$F$29513,"STANDBY"),0),"")</f>
        <v/>
      </c>
      <c r="Y62" s="7">
        <f>IFERROR(ROUND(AVERAGEIFS(Datos!$G$2:$G$29513,Datos!$E$2:$E$29513,$A62,Datos!$B$2:$B$29513,19,Datos!$C$2:$C$29513,"&gt;=30",Datos!$F$2:$F$29513,"STANDBY"),0),"")</f>
        <v/>
      </c>
      <c r="Z62" s="7">
        <f>IFERROR(ROUND(AVERAGEIFS(Datos!$G$2:$G$29513,Datos!$E$2:$E$29513,$A62,Datos!$B$2:$B$29513,20,Datos!$C$2:$C$29513,"&lt;30",Datos!$F$2:$F$29513,"STANDBY"),0),"")</f>
        <v/>
      </c>
      <c r="AA62" s="7">
        <f>IFERROR(ROUND(AVERAGEIFS(Datos!$G$2:$G$29513,Datos!$E$2:$E$29513,$A62,Datos!$B$2:$B$29513,20,Datos!$C$2:$C$29513,"&gt;=30",Datos!$F$2:$F$29513,"STANDBY"),0),"")</f>
        <v/>
      </c>
      <c r="AB62" s="7">
        <f>IFERROR(ROUND(AVERAGEIFS(Datos!$G$2:$G$29513,Datos!$E$2:$E$29513,$A62,Datos!$B$2:$B$29513,21,Datos!$C$2:$C$29513,"&lt;30",Datos!$F$2:$F$29513,"STANDBY"),0),"")</f>
        <v/>
      </c>
      <c r="AC62" s="7">
        <f>IFERROR(ROUND(AVERAGEIFS(Datos!$G$2:$G$29513,Datos!$E$2:$E$29513,$A62,Datos!$B$2:$B$29513,21,Datos!$C$2:$C$29513,"&gt;=30",Datos!$F$2:$F$29513,"STANDBY"),0),"")</f>
        <v/>
      </c>
      <c r="AD62" s="7">
        <f>IFERROR(ROUND(AVERAGEIFS(Datos!$G$2:$G$29513,Datos!$E$2:$E$29513,$A62,Datos!$B$2:$B$29513,22,Datos!$C$2:$C$29513,"&lt;30",Datos!$F$2:$F$29513,"STANDBY"),0),"")</f>
        <v/>
      </c>
      <c r="AE62" s="7">
        <f>IFERROR(ROUND(AVERAGEIFS(Datos!$G$2:$G$29513,Datos!$E$2:$E$29513,$A62,Datos!$B$2:$B$29513,22,Datos!$C$2:$C$29513,"&gt;=30",Datos!$F$2:$F$29513,"STANDBY"),0),"")</f>
        <v/>
      </c>
      <c r="AF62" s="7">
        <f>IFERROR(ROUND(AVERAGEIFS(Datos!$G$2:$G$29513,Datos!$E$2:$E$29513,$A62,Datos!$B$2:$B$29513,23,Datos!$C$2:$C$29513,"&lt;30",Datos!$F$2:$F$29513,"STANDBY"),0),"")</f>
        <v/>
      </c>
      <c r="AG62" s="7">
        <f>IFERROR(ROUND(AVERAGEIFS(Datos!$G$2:$G$29513,Datos!$E$2:$E$29513,$A62,Datos!$B$2:$B$29513,23,Datos!$C$2:$C$29513,"&gt;=30",Datos!$F$2:$F$29513,"STANDBY"),0),"")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IFERROR(ROUND(AVERAGEIFS(Datos!$G$2:$G$29513,Datos!$E$2:$E$29513,$A63,Datos!$B$2:$B$29513,8,Datos!$C$2:$C$29513,"&lt;30",Datos!$F$2:$F$29513,"STANDBY"),0),"")</f>
        <v/>
      </c>
      <c r="C63" s="7">
        <f>IFERROR(ROUND(AVERAGEIFS(Datos!$G$2:$G$29513,Datos!$E$2:$E$29513,$A63,Datos!$B$2:$B$29513,8,Datos!$C$2:$C$29513,"&gt;=30",Datos!$F$2:$F$29513,"STANDBY"),0),"")</f>
        <v/>
      </c>
      <c r="D63" s="7">
        <f>IFERROR(ROUND(AVERAGEIFS(Datos!$G$2:$G$29513,Datos!$E$2:$E$29513,$A63,Datos!$B$2:$B$29513,9,Datos!$C$2:$C$29513,"&lt;30",Datos!$F$2:$F$29513,"STANDBY"),0),"")</f>
        <v/>
      </c>
      <c r="E63" s="7">
        <f>IFERROR(ROUND(AVERAGEIFS(Datos!$G$2:$G$29513,Datos!$E$2:$E$29513,$A63,Datos!$B$2:$B$29513,9,Datos!$C$2:$C$29513,"&gt;=30",Datos!$F$2:$F$29513,"STANDBY"),0),"")</f>
        <v/>
      </c>
      <c r="F63" s="7">
        <f>IFERROR(ROUND(AVERAGEIFS(Datos!$G$2:$G$29513,Datos!$E$2:$E$29513,$A63,Datos!$B$2:$B$29513,10,Datos!$C$2:$C$29513,"&lt;30",Datos!$F$2:$F$29513,"STANDBY"),0),"")</f>
        <v/>
      </c>
      <c r="G63" s="7">
        <f>IFERROR(ROUND(AVERAGEIFS(Datos!$G$2:$G$29513,Datos!$E$2:$E$29513,$A63,Datos!$B$2:$B$29513,10,Datos!$C$2:$C$29513,"&gt;=30",Datos!$F$2:$F$29513,"STANDBY"),0),"")</f>
        <v/>
      </c>
      <c r="H63" s="7">
        <f>IFERROR(ROUND(AVERAGEIFS(Datos!$G$2:$G$29513,Datos!$E$2:$E$29513,$A63,Datos!$B$2:$B$29513,11,Datos!$C$2:$C$29513,"&lt;30",Datos!$F$2:$F$29513,"STANDBY"),0),"")</f>
        <v/>
      </c>
      <c r="I63" s="7">
        <f>IFERROR(ROUND(AVERAGEIFS(Datos!$G$2:$G$29513,Datos!$E$2:$E$29513,$A63,Datos!$B$2:$B$29513,11,Datos!$C$2:$C$29513,"&gt;=30",Datos!$F$2:$F$29513,"STANDBY"),0),"")</f>
        <v/>
      </c>
      <c r="J63" s="7">
        <f>IFERROR(ROUND(AVERAGEIFS(Datos!$G$2:$G$29513,Datos!$E$2:$E$29513,$A63,Datos!$B$2:$B$29513,12,Datos!$C$2:$C$29513,"&lt;30",Datos!$F$2:$F$29513,"STANDBY"),0),"")</f>
        <v/>
      </c>
      <c r="K63" s="7">
        <f>IFERROR(ROUND(AVERAGEIFS(Datos!$G$2:$G$29513,Datos!$E$2:$E$29513,$A63,Datos!$B$2:$B$29513,12,Datos!$C$2:$C$29513,"&gt;=30",Datos!$F$2:$F$29513,"STANDBY"),0),"")</f>
        <v/>
      </c>
      <c r="L63" s="7">
        <f>IFERROR(ROUND(AVERAGEIFS(Datos!$G$2:$G$29513,Datos!$E$2:$E$29513,$A63,Datos!$B$2:$B$29513,13,Datos!$C$2:$C$29513,"&lt;30",Datos!$F$2:$F$29513,"STANDBY"),0),"")</f>
        <v/>
      </c>
      <c r="M63" s="7">
        <f>IFERROR(ROUND(AVERAGEIFS(Datos!$G$2:$G$29513,Datos!$E$2:$E$29513,$A63,Datos!$B$2:$B$29513,13,Datos!$C$2:$C$29513,"&gt;=30",Datos!$F$2:$F$29513,"STANDBY"),0),"")</f>
        <v/>
      </c>
      <c r="N63" s="7">
        <f>IFERROR(ROUND(AVERAGEIFS(Datos!$G$2:$G$29513,Datos!$E$2:$E$29513,$A63,Datos!$B$2:$B$29513,14,Datos!$C$2:$C$29513,"&lt;30",Datos!$F$2:$F$29513,"STANDBY"),0),"")</f>
        <v/>
      </c>
      <c r="O63" s="7">
        <f>IFERROR(ROUND(AVERAGEIFS(Datos!$G$2:$G$29513,Datos!$E$2:$E$29513,$A63,Datos!$B$2:$B$29513,14,Datos!$C$2:$C$29513,"&gt;=30",Datos!$F$2:$F$29513,"STANDBY"),0),"")</f>
        <v/>
      </c>
      <c r="P63" s="7">
        <f>IFERROR(ROUND(AVERAGEIFS(Datos!$G$2:$G$29513,Datos!$E$2:$E$29513,$A63,Datos!$B$2:$B$29513,15,Datos!$C$2:$C$29513,"&lt;30",Datos!$F$2:$F$29513,"STANDBY"),0),"")</f>
        <v/>
      </c>
      <c r="Q63" s="7">
        <f>IFERROR(ROUND(AVERAGEIFS(Datos!$G$2:$G$29513,Datos!$E$2:$E$29513,$A63,Datos!$B$2:$B$29513,15,Datos!$C$2:$C$29513,"&gt;=30",Datos!$F$2:$F$29513,"STANDBY"),0),"")</f>
        <v/>
      </c>
      <c r="R63" s="7">
        <f>IFERROR(ROUND(AVERAGEIFS(Datos!$G$2:$G$29513,Datos!$E$2:$E$29513,$A63,Datos!$B$2:$B$29513,16,Datos!$C$2:$C$29513,"&lt;30",Datos!$F$2:$F$29513,"STANDBY"),0),"")</f>
        <v/>
      </c>
      <c r="S63" s="7">
        <f>IFERROR(ROUND(AVERAGEIFS(Datos!$G$2:$G$29513,Datos!$E$2:$E$29513,$A63,Datos!$B$2:$B$29513,16,Datos!$C$2:$C$29513,"&gt;=30",Datos!$F$2:$F$29513,"STANDBY"),0),"")</f>
        <v/>
      </c>
      <c r="T63" s="7">
        <f>IFERROR(ROUND(AVERAGEIFS(Datos!$G$2:$G$29513,Datos!$E$2:$E$29513,$A63,Datos!$B$2:$B$29513,17,Datos!$C$2:$C$29513,"&lt;30",Datos!$F$2:$F$29513,"STANDBY"),0),"")</f>
        <v/>
      </c>
      <c r="U63" s="7">
        <f>IFERROR(ROUND(AVERAGEIFS(Datos!$G$2:$G$29513,Datos!$E$2:$E$29513,$A63,Datos!$B$2:$B$29513,17,Datos!$C$2:$C$29513,"&gt;=30",Datos!$F$2:$F$29513,"STANDBY"),0),"")</f>
        <v/>
      </c>
      <c r="V63" s="7">
        <f>IFERROR(ROUND(AVERAGEIFS(Datos!$G$2:$G$29513,Datos!$E$2:$E$29513,$A63,Datos!$B$2:$B$29513,18,Datos!$C$2:$C$29513,"&lt;30",Datos!$F$2:$F$29513,"STANDBY"),0),"")</f>
        <v/>
      </c>
      <c r="W63" s="7">
        <f>IFERROR(ROUND(AVERAGEIFS(Datos!$G$2:$G$29513,Datos!$E$2:$E$29513,$A63,Datos!$B$2:$B$29513,18,Datos!$C$2:$C$29513,"&gt;=30",Datos!$F$2:$F$29513,"STANDBY"),0),"")</f>
        <v/>
      </c>
      <c r="X63" s="7">
        <f>IFERROR(ROUND(AVERAGEIFS(Datos!$G$2:$G$29513,Datos!$E$2:$E$29513,$A63,Datos!$B$2:$B$29513,19,Datos!$C$2:$C$29513,"&lt;30",Datos!$F$2:$F$29513,"STANDBY"),0),"")</f>
        <v/>
      </c>
      <c r="Y63" s="7">
        <f>IFERROR(ROUND(AVERAGEIFS(Datos!$G$2:$G$29513,Datos!$E$2:$E$29513,$A63,Datos!$B$2:$B$29513,19,Datos!$C$2:$C$29513,"&gt;=30",Datos!$F$2:$F$29513,"STANDBY"),0),"")</f>
        <v/>
      </c>
      <c r="Z63" s="7">
        <f>IFERROR(ROUND(AVERAGEIFS(Datos!$G$2:$G$29513,Datos!$E$2:$E$29513,$A63,Datos!$B$2:$B$29513,20,Datos!$C$2:$C$29513,"&lt;30",Datos!$F$2:$F$29513,"STANDBY"),0),"")</f>
        <v/>
      </c>
      <c r="AA63" s="7">
        <f>IFERROR(ROUND(AVERAGEIFS(Datos!$G$2:$G$29513,Datos!$E$2:$E$29513,$A63,Datos!$B$2:$B$29513,20,Datos!$C$2:$C$29513,"&gt;=30",Datos!$F$2:$F$29513,"STANDBY"),0),"")</f>
        <v/>
      </c>
      <c r="AB63" s="7">
        <f>IFERROR(ROUND(AVERAGEIFS(Datos!$G$2:$G$29513,Datos!$E$2:$E$29513,$A63,Datos!$B$2:$B$29513,21,Datos!$C$2:$C$29513,"&lt;30",Datos!$F$2:$F$29513,"STANDBY"),0),"")</f>
        <v/>
      </c>
      <c r="AC63" s="7">
        <f>IFERROR(ROUND(AVERAGEIFS(Datos!$G$2:$G$29513,Datos!$E$2:$E$29513,$A63,Datos!$B$2:$B$29513,21,Datos!$C$2:$C$29513,"&gt;=30",Datos!$F$2:$F$29513,"STANDBY"),0),"")</f>
        <v/>
      </c>
      <c r="AD63" s="7">
        <f>IFERROR(ROUND(AVERAGEIFS(Datos!$G$2:$G$29513,Datos!$E$2:$E$29513,$A63,Datos!$B$2:$B$29513,22,Datos!$C$2:$C$29513,"&lt;30",Datos!$F$2:$F$29513,"STANDBY"),0),"")</f>
        <v/>
      </c>
      <c r="AE63" s="7">
        <f>IFERROR(ROUND(AVERAGEIFS(Datos!$G$2:$G$29513,Datos!$E$2:$E$29513,$A63,Datos!$B$2:$B$29513,22,Datos!$C$2:$C$29513,"&gt;=30",Datos!$F$2:$F$29513,"STANDBY"),0),"")</f>
        <v/>
      </c>
      <c r="AF63" s="7">
        <f>IFERROR(ROUND(AVERAGEIFS(Datos!$G$2:$G$29513,Datos!$E$2:$E$29513,$A63,Datos!$B$2:$B$29513,23,Datos!$C$2:$C$29513,"&lt;30",Datos!$F$2:$F$29513,"STANDBY"),0),"")</f>
        <v/>
      </c>
      <c r="AG63" s="7">
        <f>IFERROR(ROUND(AVERAGEIFS(Datos!$G$2:$G$29513,Datos!$E$2:$E$29513,$A63,Datos!$B$2:$B$29513,23,Datos!$C$2:$C$29513,"&gt;=30",Datos!$F$2:$F$29513,"STANDBY"),0),"")</f>
        <v/>
      </c>
    </row>
    <row r="64">
      <c r="A64" s="6" t="inlineStr">
        <is>
          <t>Thunder Mesa Riverboat Landing</t>
        </is>
      </c>
      <c r="B64" s="7">
        <f>IFERROR(ROUND(AVERAGEIFS(Datos!$G$2:$G$29513,Datos!$E$2:$E$29513,$A64,Datos!$B$2:$B$29513,8,Datos!$C$2:$C$29513,"&lt;30",Datos!$F$2:$F$29513,"STANDBY"),0),"")</f>
        <v/>
      </c>
      <c r="C64" s="7">
        <f>IFERROR(ROUND(AVERAGEIFS(Datos!$G$2:$G$29513,Datos!$E$2:$E$29513,$A64,Datos!$B$2:$B$29513,8,Datos!$C$2:$C$29513,"&gt;=30",Datos!$F$2:$F$29513,"STANDBY"),0),"")</f>
        <v/>
      </c>
      <c r="D64" s="7">
        <f>IFERROR(ROUND(AVERAGEIFS(Datos!$G$2:$G$29513,Datos!$E$2:$E$29513,$A64,Datos!$B$2:$B$29513,9,Datos!$C$2:$C$29513,"&lt;30",Datos!$F$2:$F$29513,"STANDBY"),0),"")</f>
        <v/>
      </c>
      <c r="E64" s="7">
        <f>IFERROR(ROUND(AVERAGEIFS(Datos!$G$2:$G$29513,Datos!$E$2:$E$29513,$A64,Datos!$B$2:$B$29513,9,Datos!$C$2:$C$29513,"&gt;=30",Datos!$F$2:$F$29513,"STANDBY"),0),"")</f>
        <v/>
      </c>
      <c r="F64" s="7">
        <f>IFERROR(ROUND(AVERAGEIFS(Datos!$G$2:$G$29513,Datos!$E$2:$E$29513,$A64,Datos!$B$2:$B$29513,10,Datos!$C$2:$C$29513,"&lt;30",Datos!$F$2:$F$29513,"STANDBY"),0),"")</f>
        <v/>
      </c>
      <c r="G64" s="7">
        <f>IFERROR(ROUND(AVERAGEIFS(Datos!$G$2:$G$29513,Datos!$E$2:$E$29513,$A64,Datos!$B$2:$B$29513,10,Datos!$C$2:$C$29513,"&gt;=30",Datos!$F$2:$F$29513,"STANDBY"),0),"")</f>
        <v/>
      </c>
      <c r="H64" s="7">
        <f>IFERROR(ROUND(AVERAGEIFS(Datos!$G$2:$G$29513,Datos!$E$2:$E$29513,$A64,Datos!$B$2:$B$29513,11,Datos!$C$2:$C$29513,"&lt;30",Datos!$F$2:$F$29513,"STANDBY"),0),"")</f>
        <v/>
      </c>
      <c r="I64" s="7">
        <f>IFERROR(ROUND(AVERAGEIFS(Datos!$G$2:$G$29513,Datos!$E$2:$E$29513,$A64,Datos!$B$2:$B$29513,11,Datos!$C$2:$C$29513,"&gt;=30",Datos!$F$2:$F$29513,"STANDBY"),0),"")</f>
        <v/>
      </c>
      <c r="J64" s="7">
        <f>IFERROR(ROUND(AVERAGEIFS(Datos!$G$2:$G$29513,Datos!$E$2:$E$29513,$A64,Datos!$B$2:$B$29513,12,Datos!$C$2:$C$29513,"&lt;30",Datos!$F$2:$F$29513,"STANDBY"),0),"")</f>
        <v/>
      </c>
      <c r="K64" s="7">
        <f>IFERROR(ROUND(AVERAGEIFS(Datos!$G$2:$G$29513,Datos!$E$2:$E$29513,$A64,Datos!$B$2:$B$29513,12,Datos!$C$2:$C$29513,"&gt;=30",Datos!$F$2:$F$29513,"STANDBY"),0),"")</f>
        <v/>
      </c>
      <c r="L64" s="7">
        <f>IFERROR(ROUND(AVERAGEIFS(Datos!$G$2:$G$29513,Datos!$E$2:$E$29513,$A64,Datos!$B$2:$B$29513,13,Datos!$C$2:$C$29513,"&lt;30",Datos!$F$2:$F$29513,"STANDBY"),0),"")</f>
        <v/>
      </c>
      <c r="M64" s="7">
        <f>IFERROR(ROUND(AVERAGEIFS(Datos!$G$2:$G$29513,Datos!$E$2:$E$29513,$A64,Datos!$B$2:$B$29513,13,Datos!$C$2:$C$29513,"&gt;=30",Datos!$F$2:$F$29513,"STANDBY"),0),"")</f>
        <v/>
      </c>
      <c r="N64" s="7">
        <f>IFERROR(ROUND(AVERAGEIFS(Datos!$G$2:$G$29513,Datos!$E$2:$E$29513,$A64,Datos!$B$2:$B$29513,14,Datos!$C$2:$C$29513,"&lt;30",Datos!$F$2:$F$29513,"STANDBY"),0),"")</f>
        <v/>
      </c>
      <c r="O64" s="7">
        <f>IFERROR(ROUND(AVERAGEIFS(Datos!$G$2:$G$29513,Datos!$E$2:$E$29513,$A64,Datos!$B$2:$B$29513,14,Datos!$C$2:$C$29513,"&gt;=30",Datos!$F$2:$F$29513,"STANDBY"),0),"")</f>
        <v/>
      </c>
      <c r="P64" s="7">
        <f>IFERROR(ROUND(AVERAGEIFS(Datos!$G$2:$G$29513,Datos!$E$2:$E$29513,$A64,Datos!$B$2:$B$29513,15,Datos!$C$2:$C$29513,"&lt;30",Datos!$F$2:$F$29513,"STANDBY"),0),"")</f>
        <v/>
      </c>
      <c r="Q64" s="7">
        <f>IFERROR(ROUND(AVERAGEIFS(Datos!$G$2:$G$29513,Datos!$E$2:$E$29513,$A64,Datos!$B$2:$B$29513,15,Datos!$C$2:$C$29513,"&gt;=30",Datos!$F$2:$F$29513,"STANDBY"),0),"")</f>
        <v/>
      </c>
      <c r="R64" s="7">
        <f>IFERROR(ROUND(AVERAGEIFS(Datos!$G$2:$G$29513,Datos!$E$2:$E$29513,$A64,Datos!$B$2:$B$29513,16,Datos!$C$2:$C$29513,"&lt;30",Datos!$F$2:$F$29513,"STANDBY"),0),"")</f>
        <v/>
      </c>
      <c r="S64" s="7">
        <f>IFERROR(ROUND(AVERAGEIFS(Datos!$G$2:$G$29513,Datos!$E$2:$E$29513,$A64,Datos!$B$2:$B$29513,16,Datos!$C$2:$C$29513,"&gt;=30",Datos!$F$2:$F$29513,"STANDBY"),0),"")</f>
        <v/>
      </c>
      <c r="T64" s="7">
        <f>IFERROR(ROUND(AVERAGEIFS(Datos!$G$2:$G$29513,Datos!$E$2:$E$29513,$A64,Datos!$B$2:$B$29513,17,Datos!$C$2:$C$29513,"&lt;30",Datos!$F$2:$F$29513,"STANDBY"),0),"")</f>
        <v/>
      </c>
      <c r="U64" s="7">
        <f>IFERROR(ROUND(AVERAGEIFS(Datos!$G$2:$G$29513,Datos!$E$2:$E$29513,$A64,Datos!$B$2:$B$29513,17,Datos!$C$2:$C$29513,"&gt;=30",Datos!$F$2:$F$29513,"STANDBY"),0),"")</f>
        <v/>
      </c>
      <c r="V64" s="7">
        <f>IFERROR(ROUND(AVERAGEIFS(Datos!$G$2:$G$29513,Datos!$E$2:$E$29513,$A64,Datos!$B$2:$B$29513,18,Datos!$C$2:$C$29513,"&lt;30",Datos!$F$2:$F$29513,"STANDBY"),0),"")</f>
        <v/>
      </c>
      <c r="W64" s="7">
        <f>IFERROR(ROUND(AVERAGEIFS(Datos!$G$2:$G$29513,Datos!$E$2:$E$29513,$A64,Datos!$B$2:$B$29513,18,Datos!$C$2:$C$29513,"&gt;=30",Datos!$F$2:$F$29513,"STANDBY"),0),"")</f>
        <v/>
      </c>
      <c r="X64" s="7">
        <f>IFERROR(ROUND(AVERAGEIFS(Datos!$G$2:$G$29513,Datos!$E$2:$E$29513,$A64,Datos!$B$2:$B$29513,19,Datos!$C$2:$C$29513,"&lt;30",Datos!$F$2:$F$29513,"STANDBY"),0),"")</f>
        <v/>
      </c>
      <c r="Y64" s="7">
        <f>IFERROR(ROUND(AVERAGEIFS(Datos!$G$2:$G$29513,Datos!$E$2:$E$29513,$A64,Datos!$B$2:$B$29513,19,Datos!$C$2:$C$29513,"&gt;=30",Datos!$F$2:$F$29513,"STANDBY"),0),"")</f>
        <v/>
      </c>
      <c r="Z64" s="7">
        <f>IFERROR(ROUND(AVERAGEIFS(Datos!$G$2:$G$29513,Datos!$E$2:$E$29513,$A64,Datos!$B$2:$B$29513,20,Datos!$C$2:$C$29513,"&lt;30",Datos!$F$2:$F$29513,"STANDBY"),0),"")</f>
        <v/>
      </c>
      <c r="AA64" s="7">
        <f>IFERROR(ROUND(AVERAGEIFS(Datos!$G$2:$G$29513,Datos!$E$2:$E$29513,$A64,Datos!$B$2:$B$29513,20,Datos!$C$2:$C$29513,"&gt;=30",Datos!$F$2:$F$29513,"STANDBY"),0),"")</f>
        <v/>
      </c>
      <c r="AB64" s="7">
        <f>IFERROR(ROUND(AVERAGEIFS(Datos!$G$2:$G$29513,Datos!$E$2:$E$29513,$A64,Datos!$B$2:$B$29513,21,Datos!$C$2:$C$29513,"&lt;30",Datos!$F$2:$F$29513,"STANDBY"),0),"")</f>
        <v/>
      </c>
      <c r="AC64" s="7">
        <f>IFERROR(ROUND(AVERAGEIFS(Datos!$G$2:$G$29513,Datos!$E$2:$E$29513,$A64,Datos!$B$2:$B$29513,21,Datos!$C$2:$C$29513,"&gt;=30",Datos!$F$2:$F$29513,"STANDBY"),0),"")</f>
        <v/>
      </c>
      <c r="AD64" s="7">
        <f>IFERROR(ROUND(AVERAGEIFS(Datos!$G$2:$G$29513,Datos!$E$2:$E$29513,$A64,Datos!$B$2:$B$29513,22,Datos!$C$2:$C$29513,"&lt;30",Datos!$F$2:$F$29513,"STANDBY"),0),"")</f>
        <v/>
      </c>
      <c r="AE64" s="7">
        <f>IFERROR(ROUND(AVERAGEIFS(Datos!$G$2:$G$29513,Datos!$E$2:$E$29513,$A64,Datos!$B$2:$B$29513,22,Datos!$C$2:$C$29513,"&gt;=30",Datos!$F$2:$F$29513,"STANDBY"),0),"")</f>
        <v/>
      </c>
      <c r="AF64" s="7">
        <f>IFERROR(ROUND(AVERAGEIFS(Datos!$G$2:$G$29513,Datos!$E$2:$E$29513,$A64,Datos!$B$2:$B$29513,23,Datos!$C$2:$C$29513,"&lt;30",Datos!$F$2:$F$29513,"STANDBY"),0),"")</f>
        <v/>
      </c>
      <c r="AG64" s="7">
        <f>IFERROR(ROUND(AVERAGEIFS(Datos!$G$2:$G$29513,Datos!$E$2:$E$29513,$A64,Datos!$B$2:$B$29513,23,Datos!$C$2:$C$29513,"&gt;=30",Datos!$F$2:$F$29513,"STANDBY"),0),"")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IFERROR(ROUND(AVERAGEIFS(Datos!$G$2:$G$29513,Datos!$E$2:$E$29513,$A65,Datos!$B$2:$B$29513,8,Datos!$C$2:$C$29513,"&lt;30",Datos!$F$2:$F$29513,"STANDBY"),0),"")</f>
        <v/>
      </c>
      <c r="C65" s="7">
        <f>IFERROR(ROUND(AVERAGEIFS(Datos!$G$2:$G$29513,Datos!$E$2:$E$29513,$A65,Datos!$B$2:$B$29513,8,Datos!$C$2:$C$29513,"&gt;=30",Datos!$F$2:$F$29513,"STANDBY"),0),"")</f>
        <v/>
      </c>
      <c r="D65" s="7">
        <f>IFERROR(ROUND(AVERAGEIFS(Datos!$G$2:$G$29513,Datos!$E$2:$E$29513,$A65,Datos!$B$2:$B$29513,9,Datos!$C$2:$C$29513,"&lt;30",Datos!$F$2:$F$29513,"STANDBY"),0),"")</f>
        <v/>
      </c>
      <c r="E65" s="7">
        <f>IFERROR(ROUND(AVERAGEIFS(Datos!$G$2:$G$29513,Datos!$E$2:$E$29513,$A65,Datos!$B$2:$B$29513,9,Datos!$C$2:$C$29513,"&gt;=30",Datos!$F$2:$F$29513,"STANDBY"),0),"")</f>
        <v/>
      </c>
      <c r="F65" s="7">
        <f>IFERROR(ROUND(AVERAGEIFS(Datos!$G$2:$G$29513,Datos!$E$2:$E$29513,$A65,Datos!$B$2:$B$29513,10,Datos!$C$2:$C$29513,"&lt;30",Datos!$F$2:$F$29513,"STANDBY"),0),"")</f>
        <v/>
      </c>
      <c r="G65" s="7">
        <f>IFERROR(ROUND(AVERAGEIFS(Datos!$G$2:$G$29513,Datos!$E$2:$E$29513,$A65,Datos!$B$2:$B$29513,10,Datos!$C$2:$C$29513,"&gt;=30",Datos!$F$2:$F$29513,"STANDBY"),0),"")</f>
        <v/>
      </c>
      <c r="H65" s="7">
        <f>IFERROR(ROUND(AVERAGEIFS(Datos!$G$2:$G$29513,Datos!$E$2:$E$29513,$A65,Datos!$B$2:$B$29513,11,Datos!$C$2:$C$29513,"&lt;30",Datos!$F$2:$F$29513,"STANDBY"),0),"")</f>
        <v/>
      </c>
      <c r="I65" s="7">
        <f>IFERROR(ROUND(AVERAGEIFS(Datos!$G$2:$G$29513,Datos!$E$2:$E$29513,$A65,Datos!$B$2:$B$29513,11,Datos!$C$2:$C$29513,"&gt;=30",Datos!$F$2:$F$29513,"STANDBY"),0),"")</f>
        <v/>
      </c>
      <c r="J65" s="7">
        <f>IFERROR(ROUND(AVERAGEIFS(Datos!$G$2:$G$29513,Datos!$E$2:$E$29513,$A65,Datos!$B$2:$B$29513,12,Datos!$C$2:$C$29513,"&lt;30",Datos!$F$2:$F$29513,"STANDBY"),0),"")</f>
        <v/>
      </c>
      <c r="K65" s="7">
        <f>IFERROR(ROUND(AVERAGEIFS(Datos!$G$2:$G$29513,Datos!$E$2:$E$29513,$A65,Datos!$B$2:$B$29513,12,Datos!$C$2:$C$29513,"&gt;=30",Datos!$F$2:$F$29513,"STANDBY"),0),"")</f>
        <v/>
      </c>
      <c r="L65" s="7">
        <f>IFERROR(ROUND(AVERAGEIFS(Datos!$G$2:$G$29513,Datos!$E$2:$E$29513,$A65,Datos!$B$2:$B$29513,13,Datos!$C$2:$C$29513,"&lt;30",Datos!$F$2:$F$29513,"STANDBY"),0),"")</f>
        <v/>
      </c>
      <c r="M65" s="7">
        <f>IFERROR(ROUND(AVERAGEIFS(Datos!$G$2:$G$29513,Datos!$E$2:$E$29513,$A65,Datos!$B$2:$B$29513,13,Datos!$C$2:$C$29513,"&gt;=30",Datos!$F$2:$F$29513,"STANDBY"),0),"")</f>
        <v/>
      </c>
      <c r="N65" s="7">
        <f>IFERROR(ROUND(AVERAGEIFS(Datos!$G$2:$G$29513,Datos!$E$2:$E$29513,$A65,Datos!$B$2:$B$29513,14,Datos!$C$2:$C$29513,"&lt;30",Datos!$F$2:$F$29513,"STANDBY"),0),"")</f>
        <v/>
      </c>
      <c r="O65" s="7">
        <f>IFERROR(ROUND(AVERAGEIFS(Datos!$G$2:$G$29513,Datos!$E$2:$E$29513,$A65,Datos!$B$2:$B$29513,14,Datos!$C$2:$C$29513,"&gt;=30",Datos!$F$2:$F$29513,"STANDBY"),0),"")</f>
        <v/>
      </c>
      <c r="P65" s="7">
        <f>IFERROR(ROUND(AVERAGEIFS(Datos!$G$2:$G$29513,Datos!$E$2:$E$29513,$A65,Datos!$B$2:$B$29513,15,Datos!$C$2:$C$29513,"&lt;30",Datos!$F$2:$F$29513,"STANDBY"),0),"")</f>
        <v/>
      </c>
      <c r="Q65" s="7">
        <f>IFERROR(ROUND(AVERAGEIFS(Datos!$G$2:$G$29513,Datos!$E$2:$E$29513,$A65,Datos!$B$2:$B$29513,15,Datos!$C$2:$C$29513,"&gt;=30",Datos!$F$2:$F$29513,"STANDBY"),0),"")</f>
        <v/>
      </c>
      <c r="R65" s="7">
        <f>IFERROR(ROUND(AVERAGEIFS(Datos!$G$2:$G$29513,Datos!$E$2:$E$29513,$A65,Datos!$B$2:$B$29513,16,Datos!$C$2:$C$29513,"&lt;30",Datos!$F$2:$F$29513,"STANDBY"),0),"")</f>
        <v/>
      </c>
      <c r="S65" s="7">
        <f>IFERROR(ROUND(AVERAGEIFS(Datos!$G$2:$G$29513,Datos!$E$2:$E$29513,$A65,Datos!$B$2:$B$29513,16,Datos!$C$2:$C$29513,"&gt;=30",Datos!$F$2:$F$29513,"STANDBY"),0),"")</f>
        <v/>
      </c>
      <c r="T65" s="7">
        <f>IFERROR(ROUND(AVERAGEIFS(Datos!$G$2:$G$29513,Datos!$E$2:$E$29513,$A65,Datos!$B$2:$B$29513,17,Datos!$C$2:$C$29513,"&lt;30",Datos!$F$2:$F$29513,"STANDBY"),0),"")</f>
        <v/>
      </c>
      <c r="U65" s="7">
        <f>IFERROR(ROUND(AVERAGEIFS(Datos!$G$2:$G$29513,Datos!$E$2:$E$29513,$A65,Datos!$B$2:$B$29513,17,Datos!$C$2:$C$29513,"&gt;=30",Datos!$F$2:$F$29513,"STANDBY"),0),"")</f>
        <v/>
      </c>
      <c r="V65" s="7">
        <f>IFERROR(ROUND(AVERAGEIFS(Datos!$G$2:$G$29513,Datos!$E$2:$E$29513,$A65,Datos!$B$2:$B$29513,18,Datos!$C$2:$C$29513,"&lt;30",Datos!$F$2:$F$29513,"STANDBY"),0),"")</f>
        <v/>
      </c>
      <c r="W65" s="7">
        <f>IFERROR(ROUND(AVERAGEIFS(Datos!$G$2:$G$29513,Datos!$E$2:$E$29513,$A65,Datos!$B$2:$B$29513,18,Datos!$C$2:$C$29513,"&gt;=30",Datos!$F$2:$F$29513,"STANDBY"),0),"")</f>
        <v/>
      </c>
      <c r="X65" s="7">
        <f>IFERROR(ROUND(AVERAGEIFS(Datos!$G$2:$G$29513,Datos!$E$2:$E$29513,$A65,Datos!$B$2:$B$29513,19,Datos!$C$2:$C$29513,"&lt;30",Datos!$F$2:$F$29513,"STANDBY"),0),"")</f>
        <v/>
      </c>
      <c r="Y65" s="7">
        <f>IFERROR(ROUND(AVERAGEIFS(Datos!$G$2:$G$29513,Datos!$E$2:$E$29513,$A65,Datos!$B$2:$B$29513,19,Datos!$C$2:$C$29513,"&gt;=30",Datos!$F$2:$F$29513,"STANDBY"),0),"")</f>
        <v/>
      </c>
      <c r="Z65" s="7">
        <f>IFERROR(ROUND(AVERAGEIFS(Datos!$G$2:$G$29513,Datos!$E$2:$E$29513,$A65,Datos!$B$2:$B$29513,20,Datos!$C$2:$C$29513,"&lt;30",Datos!$F$2:$F$29513,"STANDBY"),0),"")</f>
        <v/>
      </c>
      <c r="AA65" s="7">
        <f>IFERROR(ROUND(AVERAGEIFS(Datos!$G$2:$G$29513,Datos!$E$2:$E$29513,$A65,Datos!$B$2:$B$29513,20,Datos!$C$2:$C$29513,"&gt;=30",Datos!$F$2:$F$29513,"STANDBY"),0),"")</f>
        <v/>
      </c>
      <c r="AB65" s="7">
        <f>IFERROR(ROUND(AVERAGEIFS(Datos!$G$2:$G$29513,Datos!$E$2:$E$29513,$A65,Datos!$B$2:$B$29513,21,Datos!$C$2:$C$29513,"&lt;30",Datos!$F$2:$F$29513,"STANDBY"),0),"")</f>
        <v/>
      </c>
      <c r="AC65" s="7">
        <f>IFERROR(ROUND(AVERAGEIFS(Datos!$G$2:$G$29513,Datos!$E$2:$E$29513,$A65,Datos!$B$2:$B$29513,21,Datos!$C$2:$C$29513,"&gt;=30",Datos!$F$2:$F$29513,"STANDBY"),0),"")</f>
        <v/>
      </c>
      <c r="AD65" s="7">
        <f>IFERROR(ROUND(AVERAGEIFS(Datos!$G$2:$G$29513,Datos!$E$2:$E$29513,$A65,Datos!$B$2:$B$29513,22,Datos!$C$2:$C$29513,"&lt;30",Datos!$F$2:$F$29513,"STANDBY"),0),"")</f>
        <v/>
      </c>
      <c r="AE65" s="7">
        <f>IFERROR(ROUND(AVERAGEIFS(Datos!$G$2:$G$29513,Datos!$E$2:$E$29513,$A65,Datos!$B$2:$B$29513,22,Datos!$C$2:$C$29513,"&gt;=30",Datos!$F$2:$F$29513,"STANDBY"),0),"")</f>
        <v/>
      </c>
      <c r="AF65" s="7">
        <f>IFERROR(ROUND(AVERAGEIFS(Datos!$G$2:$G$29513,Datos!$E$2:$E$29513,$A65,Datos!$B$2:$B$29513,23,Datos!$C$2:$C$29513,"&lt;30",Datos!$F$2:$F$29513,"STANDBY"),0),"")</f>
        <v/>
      </c>
      <c r="AG65" s="7">
        <f>IFERROR(ROUND(AVERAGEIFS(Datos!$G$2:$G$29513,Datos!$E$2:$E$29513,$A65,Datos!$B$2:$B$29513,23,Datos!$C$2:$C$29513,"&gt;=30",Datos!$F$2:$F$29513,"STANDBY"),0),"")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2026-08-06T10:01:26Z</dcterms:created>
  <dcterms:modified xsi:type="dcterms:W3CDTF">2026-08-06T10:01:28Z</dcterms:modified>
</cp:coreProperties>
</file>