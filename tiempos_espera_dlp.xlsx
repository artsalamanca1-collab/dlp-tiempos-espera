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'Datos'!$A$1:$H$27777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IFERROR(ROUND(AVERAGEIFS(Datos!$G$2:$G$27777,Datos!$E$2:$E$27777,$A5,Datos!$D$2:$D$27777,$B5,Datos!$F$2:$F$27777,"STANDBY"),1),"")</f>
        <v/>
      </c>
      <c r="D5" s="5">
        <f>IFERROR(_xlfn.MAXIFS(Datos!$G$2:$G$27777,Datos!$E$2:$E$27777,$A5,Datos!$D$2:$D$27777,$B5,Datos!$F$2:$F$27777,"STANDBY"),"")</f>
        <v/>
      </c>
      <c r="E5" s="5">
        <f>IFERROR(_xlfn.MINIFS(Datos!$G$2:$G$27777,Datos!$E$2:$E$27777,$A5,Datos!$D$2:$D$27777,$B5,Datos!$F$2:$F$27777,"STANDBY"),"")</f>
        <v/>
      </c>
      <c r="F5" s="5">
        <f>IFERROR(ROUND(AVERAGEIFS(Datos!$G$2:$G$27777,Datos!$E$2:$E$27777,$A5,Datos!$D$2:$D$27777,$B5,Datos!$F$2:$F$27777,"SINGLE_RIDER"),1),"")</f>
        <v/>
      </c>
      <c r="G5" s="5">
        <f>COUNTIFS(Datos!$E$2:$E$27777,$A5,Datos!$D$2:$D$27777,$B5,Datos!$F$2:$F$27777,"STANDBY")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IFERROR(ROUND(AVERAGEIFS(Datos!$G$2:$G$27777,Datos!$E$2:$E$27777,$A6,Datos!$D$2:$D$27777,$B6,Datos!$F$2:$F$27777,"STANDBY"),1),"")</f>
        <v/>
      </c>
      <c r="D6" s="7">
        <f>IFERROR(_xlfn.MAXIFS(Datos!$G$2:$G$27777,Datos!$E$2:$E$27777,$A6,Datos!$D$2:$D$27777,$B6,Datos!$F$2:$F$27777,"STANDBY"),"")</f>
        <v/>
      </c>
      <c r="E6" s="7">
        <f>IFERROR(_xlfn.MINIFS(Datos!$G$2:$G$27777,Datos!$E$2:$E$27777,$A6,Datos!$D$2:$D$27777,$B6,Datos!$F$2:$F$27777,"STANDBY"),"")</f>
        <v/>
      </c>
      <c r="F6" s="7">
        <f>IFERROR(ROUND(AVERAGEIFS(Datos!$G$2:$G$27777,Datos!$E$2:$E$27777,$A6,Datos!$D$2:$D$27777,$B6,Datos!$F$2:$F$27777,"SINGLE_RIDER"),1),"")</f>
        <v/>
      </c>
      <c r="G6" s="7">
        <f>COUNTIFS(Datos!$E$2:$E$27777,$A6,Datos!$D$2:$D$27777,$B6,Datos!$F$2:$F$27777,"STANDBY")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IFERROR(ROUND(AVERAGEIFS(Datos!$G$2:$G$27777,Datos!$E$2:$E$27777,$A7,Datos!$D$2:$D$27777,$B7,Datos!$F$2:$F$27777,"STANDBY"),1),"")</f>
        <v/>
      </c>
      <c r="D7" s="5">
        <f>IFERROR(_xlfn.MAXIFS(Datos!$G$2:$G$27777,Datos!$E$2:$E$27777,$A7,Datos!$D$2:$D$27777,$B7,Datos!$F$2:$F$27777,"STANDBY"),"")</f>
        <v/>
      </c>
      <c r="E7" s="5">
        <f>IFERROR(_xlfn.MINIFS(Datos!$G$2:$G$27777,Datos!$E$2:$E$27777,$A7,Datos!$D$2:$D$27777,$B7,Datos!$F$2:$F$27777,"STANDBY"),"")</f>
        <v/>
      </c>
      <c r="F7" s="5">
        <f>IFERROR(ROUND(AVERAGEIFS(Datos!$G$2:$G$27777,Datos!$E$2:$E$27777,$A7,Datos!$D$2:$D$27777,$B7,Datos!$F$2:$F$27777,"SINGLE_RIDER"),1),"")</f>
        <v/>
      </c>
      <c r="G7" s="5">
        <f>COUNTIFS(Datos!$E$2:$E$27777,$A7,Datos!$D$2:$D$27777,$B7,Datos!$F$2:$F$27777,"STANDBY")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IFERROR(ROUND(AVERAGEIFS(Datos!$G$2:$G$27777,Datos!$E$2:$E$27777,$A8,Datos!$D$2:$D$27777,$B8,Datos!$F$2:$F$27777,"STANDBY"),1),"")</f>
        <v/>
      </c>
      <c r="D8" s="7">
        <f>IFERROR(_xlfn.MAXIFS(Datos!$G$2:$G$27777,Datos!$E$2:$E$27777,$A8,Datos!$D$2:$D$27777,$B8,Datos!$F$2:$F$27777,"STANDBY"),"")</f>
        <v/>
      </c>
      <c r="E8" s="7">
        <f>IFERROR(_xlfn.MINIFS(Datos!$G$2:$G$27777,Datos!$E$2:$E$27777,$A8,Datos!$D$2:$D$27777,$B8,Datos!$F$2:$F$27777,"STANDBY"),"")</f>
        <v/>
      </c>
      <c r="F8" s="7">
        <f>IFERROR(ROUND(AVERAGEIFS(Datos!$G$2:$G$27777,Datos!$E$2:$E$27777,$A8,Datos!$D$2:$D$27777,$B8,Datos!$F$2:$F$27777,"SINGLE_RIDER"),1),"")</f>
        <v/>
      </c>
      <c r="G8" s="7">
        <f>COUNTIFS(Datos!$E$2:$E$27777,$A8,Datos!$D$2:$D$27777,$B8,Datos!$F$2:$F$27777,"STANDBY")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IFERROR(ROUND(AVERAGEIFS(Datos!$G$2:$G$27777,Datos!$E$2:$E$27777,$A9,Datos!$D$2:$D$27777,$B9,Datos!$F$2:$F$27777,"STANDBY"),1),"")</f>
        <v/>
      </c>
      <c r="D9" s="5">
        <f>IFERROR(_xlfn.MAXIFS(Datos!$G$2:$G$27777,Datos!$E$2:$E$27777,$A9,Datos!$D$2:$D$27777,$B9,Datos!$F$2:$F$27777,"STANDBY"),"")</f>
        <v/>
      </c>
      <c r="E9" s="5">
        <f>IFERROR(_xlfn.MINIFS(Datos!$G$2:$G$27777,Datos!$E$2:$E$27777,$A9,Datos!$D$2:$D$27777,$B9,Datos!$F$2:$F$27777,"STANDBY"),"")</f>
        <v/>
      </c>
      <c r="F9" s="5">
        <f>IFERROR(ROUND(AVERAGEIFS(Datos!$G$2:$G$27777,Datos!$E$2:$E$27777,$A9,Datos!$D$2:$D$27777,$B9,Datos!$F$2:$F$27777,"SINGLE_RIDER"),1),"")</f>
        <v/>
      </c>
      <c r="G9" s="5">
        <f>COUNTIFS(Datos!$E$2:$E$27777,$A9,Datos!$D$2:$D$27777,$B9,Datos!$F$2:$F$27777,"STANDBY")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IFERROR(ROUND(AVERAGEIFS(Datos!$G$2:$G$27777,Datos!$E$2:$E$27777,$A10,Datos!$D$2:$D$27777,$B10,Datos!$F$2:$F$27777,"STANDBY"),1),"")</f>
        <v/>
      </c>
      <c r="D10" s="7">
        <f>IFERROR(_xlfn.MAXIFS(Datos!$G$2:$G$27777,Datos!$E$2:$E$27777,$A10,Datos!$D$2:$D$27777,$B10,Datos!$F$2:$F$27777,"STANDBY"),"")</f>
        <v/>
      </c>
      <c r="E10" s="7">
        <f>IFERROR(_xlfn.MINIFS(Datos!$G$2:$G$27777,Datos!$E$2:$E$27777,$A10,Datos!$D$2:$D$27777,$B10,Datos!$F$2:$F$27777,"STANDBY"),"")</f>
        <v/>
      </c>
      <c r="F10" s="7">
        <f>IFERROR(ROUND(AVERAGEIFS(Datos!$G$2:$G$27777,Datos!$E$2:$E$27777,$A10,Datos!$D$2:$D$27777,$B10,Datos!$F$2:$F$27777,"SINGLE_RIDER"),1),"")</f>
        <v/>
      </c>
      <c r="G10" s="7">
        <f>COUNTIFS(Datos!$E$2:$E$27777,$A10,Datos!$D$2:$D$27777,$B10,Datos!$F$2:$F$27777,"STANDBY")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IFERROR(ROUND(AVERAGEIFS(Datos!$G$2:$G$27777,Datos!$E$2:$E$27777,$A11,Datos!$D$2:$D$27777,$B11,Datos!$F$2:$F$27777,"STANDBY"),1),"")</f>
        <v/>
      </c>
      <c r="D11" s="5">
        <f>IFERROR(_xlfn.MAXIFS(Datos!$G$2:$G$27777,Datos!$E$2:$E$27777,$A11,Datos!$D$2:$D$27777,$B11,Datos!$F$2:$F$27777,"STANDBY"),"")</f>
        <v/>
      </c>
      <c r="E11" s="5">
        <f>IFERROR(_xlfn.MINIFS(Datos!$G$2:$G$27777,Datos!$E$2:$E$27777,$A11,Datos!$D$2:$D$27777,$B11,Datos!$F$2:$F$27777,"STANDBY"),"")</f>
        <v/>
      </c>
      <c r="F11" s="5">
        <f>IFERROR(ROUND(AVERAGEIFS(Datos!$G$2:$G$27777,Datos!$E$2:$E$27777,$A11,Datos!$D$2:$D$27777,$B11,Datos!$F$2:$F$27777,"SINGLE_RIDER"),1),"")</f>
        <v/>
      </c>
      <c r="G11" s="5">
        <f>COUNTIFS(Datos!$E$2:$E$27777,$A11,Datos!$D$2:$D$27777,$B11,Datos!$F$2:$F$27777,"STANDBY")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IFERROR(ROUND(AVERAGEIFS(Datos!$G$2:$G$27777,Datos!$E$2:$E$27777,$A12,Datos!$D$2:$D$27777,$B12,Datos!$F$2:$F$27777,"STANDBY"),1),"")</f>
        <v/>
      </c>
      <c r="D12" s="7">
        <f>IFERROR(_xlfn.MAXIFS(Datos!$G$2:$G$27777,Datos!$E$2:$E$27777,$A12,Datos!$D$2:$D$27777,$B12,Datos!$F$2:$F$27777,"STANDBY"),"")</f>
        <v/>
      </c>
      <c r="E12" s="7">
        <f>IFERROR(_xlfn.MINIFS(Datos!$G$2:$G$27777,Datos!$E$2:$E$27777,$A12,Datos!$D$2:$D$27777,$B12,Datos!$F$2:$F$27777,"STANDBY"),"")</f>
        <v/>
      </c>
      <c r="F12" s="7">
        <f>IFERROR(ROUND(AVERAGEIFS(Datos!$G$2:$G$27777,Datos!$E$2:$E$27777,$A12,Datos!$D$2:$D$27777,$B12,Datos!$F$2:$F$27777,"SINGLE_RIDER"),1),"")</f>
        <v/>
      </c>
      <c r="G12" s="7">
        <f>COUNTIFS(Datos!$E$2:$E$27777,$A12,Datos!$D$2:$D$27777,$B12,Datos!$F$2:$F$27777,"STANDBY")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IFERROR(ROUND(AVERAGEIFS(Datos!$G$2:$G$27777,Datos!$E$2:$E$27777,$A13,Datos!$D$2:$D$27777,$B13,Datos!$F$2:$F$27777,"STANDBY"),1),"")</f>
        <v/>
      </c>
      <c r="D13" s="5">
        <f>IFERROR(_xlfn.MAXIFS(Datos!$G$2:$G$27777,Datos!$E$2:$E$27777,$A13,Datos!$D$2:$D$27777,$B13,Datos!$F$2:$F$27777,"STANDBY"),"")</f>
        <v/>
      </c>
      <c r="E13" s="5">
        <f>IFERROR(_xlfn.MINIFS(Datos!$G$2:$G$27777,Datos!$E$2:$E$27777,$A13,Datos!$D$2:$D$27777,$B13,Datos!$F$2:$F$27777,"STANDBY"),"")</f>
        <v/>
      </c>
      <c r="F13" s="5">
        <f>IFERROR(ROUND(AVERAGEIFS(Datos!$G$2:$G$27777,Datos!$E$2:$E$27777,$A13,Datos!$D$2:$D$27777,$B13,Datos!$F$2:$F$27777,"SINGLE_RIDER"),1),"")</f>
        <v/>
      </c>
      <c r="G13" s="5">
        <f>COUNTIFS(Datos!$E$2:$E$27777,$A13,Datos!$D$2:$D$27777,$B13,Datos!$F$2:$F$27777,"STANDBY")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IFERROR(ROUND(AVERAGEIFS(Datos!$G$2:$G$27777,Datos!$E$2:$E$27777,$A14,Datos!$D$2:$D$27777,$B14,Datos!$F$2:$F$27777,"STANDBY"),1),"")</f>
        <v/>
      </c>
      <c r="D14" s="7">
        <f>IFERROR(_xlfn.MAXIFS(Datos!$G$2:$G$27777,Datos!$E$2:$E$27777,$A14,Datos!$D$2:$D$27777,$B14,Datos!$F$2:$F$27777,"STANDBY"),"")</f>
        <v/>
      </c>
      <c r="E14" s="7">
        <f>IFERROR(_xlfn.MINIFS(Datos!$G$2:$G$27777,Datos!$E$2:$E$27777,$A14,Datos!$D$2:$D$27777,$B14,Datos!$F$2:$F$27777,"STANDBY"),"")</f>
        <v/>
      </c>
      <c r="F14" s="7">
        <f>IFERROR(ROUND(AVERAGEIFS(Datos!$G$2:$G$27777,Datos!$E$2:$E$27777,$A14,Datos!$D$2:$D$27777,$B14,Datos!$F$2:$F$27777,"SINGLE_RIDER"),1),"")</f>
        <v/>
      </c>
      <c r="G14" s="7">
        <f>COUNTIFS(Datos!$E$2:$E$27777,$A14,Datos!$D$2:$D$27777,$B14,Datos!$F$2:$F$27777,"STANDBY")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IFERROR(ROUND(AVERAGEIFS(Datos!$G$2:$G$27777,Datos!$E$2:$E$27777,$A15,Datos!$D$2:$D$27777,$B15,Datos!$F$2:$F$27777,"STANDBY"),1),"")</f>
        <v/>
      </c>
      <c r="D15" s="5">
        <f>IFERROR(_xlfn.MAXIFS(Datos!$G$2:$G$27777,Datos!$E$2:$E$27777,$A15,Datos!$D$2:$D$27777,$B15,Datos!$F$2:$F$27777,"STANDBY"),"")</f>
        <v/>
      </c>
      <c r="E15" s="5">
        <f>IFERROR(_xlfn.MINIFS(Datos!$G$2:$G$27777,Datos!$E$2:$E$27777,$A15,Datos!$D$2:$D$27777,$B15,Datos!$F$2:$F$27777,"STANDBY"),"")</f>
        <v/>
      </c>
      <c r="F15" s="5">
        <f>IFERROR(ROUND(AVERAGEIFS(Datos!$G$2:$G$27777,Datos!$E$2:$E$27777,$A15,Datos!$D$2:$D$27777,$B15,Datos!$F$2:$F$27777,"SINGLE_RIDER"),1),"")</f>
        <v/>
      </c>
      <c r="G15" s="5">
        <f>COUNTIFS(Datos!$E$2:$E$27777,$A15,Datos!$D$2:$D$27777,$B15,Datos!$F$2:$F$27777,"STANDBY")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IFERROR(ROUND(AVERAGEIFS(Datos!$G$2:$G$27777,Datos!$E$2:$E$27777,$A16,Datos!$D$2:$D$27777,$B16,Datos!$F$2:$F$27777,"STANDBY"),1),"")</f>
        <v/>
      </c>
      <c r="D16" s="7">
        <f>IFERROR(_xlfn.MAXIFS(Datos!$G$2:$G$27777,Datos!$E$2:$E$27777,$A16,Datos!$D$2:$D$27777,$B16,Datos!$F$2:$F$27777,"STANDBY"),"")</f>
        <v/>
      </c>
      <c r="E16" s="7">
        <f>IFERROR(_xlfn.MINIFS(Datos!$G$2:$G$27777,Datos!$E$2:$E$27777,$A16,Datos!$D$2:$D$27777,$B16,Datos!$F$2:$F$27777,"STANDBY"),"")</f>
        <v/>
      </c>
      <c r="F16" s="7">
        <f>IFERROR(ROUND(AVERAGEIFS(Datos!$G$2:$G$27777,Datos!$E$2:$E$27777,$A16,Datos!$D$2:$D$27777,$B16,Datos!$F$2:$F$27777,"SINGLE_RIDER"),1),"")</f>
        <v/>
      </c>
      <c r="G16" s="7">
        <f>COUNTIFS(Datos!$E$2:$E$27777,$A16,Datos!$D$2:$D$27777,$B16,Datos!$F$2:$F$27777,"STANDBY")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IFERROR(ROUND(AVERAGEIFS(Datos!$G$2:$G$27777,Datos!$E$2:$E$27777,$A17,Datos!$D$2:$D$27777,$B17,Datos!$F$2:$F$27777,"STANDBY"),1),"")</f>
        <v/>
      </c>
      <c r="D17" s="5">
        <f>IFERROR(_xlfn.MAXIFS(Datos!$G$2:$G$27777,Datos!$E$2:$E$27777,$A17,Datos!$D$2:$D$27777,$B17,Datos!$F$2:$F$27777,"STANDBY"),"")</f>
        <v/>
      </c>
      <c r="E17" s="5">
        <f>IFERROR(_xlfn.MINIFS(Datos!$G$2:$G$27777,Datos!$E$2:$E$27777,$A17,Datos!$D$2:$D$27777,$B17,Datos!$F$2:$F$27777,"STANDBY"),"")</f>
        <v/>
      </c>
      <c r="F17" s="5">
        <f>IFERROR(ROUND(AVERAGEIFS(Datos!$G$2:$G$27777,Datos!$E$2:$E$27777,$A17,Datos!$D$2:$D$27777,$B17,Datos!$F$2:$F$27777,"SINGLE_RIDER"),1),"")</f>
        <v/>
      </c>
      <c r="G17" s="5">
        <f>COUNTIFS(Datos!$E$2:$E$27777,$A17,Datos!$D$2:$D$27777,$B17,Datos!$F$2:$F$27777,"STANDBY")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IFERROR(ROUND(AVERAGEIFS(Datos!$G$2:$G$27777,Datos!$E$2:$E$27777,$A18,Datos!$D$2:$D$27777,$B18,Datos!$F$2:$F$27777,"STANDBY"),1),"")</f>
        <v/>
      </c>
      <c r="D18" s="7">
        <f>IFERROR(_xlfn.MAXIFS(Datos!$G$2:$G$27777,Datos!$E$2:$E$27777,$A18,Datos!$D$2:$D$27777,$B18,Datos!$F$2:$F$27777,"STANDBY"),"")</f>
        <v/>
      </c>
      <c r="E18" s="7">
        <f>IFERROR(_xlfn.MINIFS(Datos!$G$2:$G$27777,Datos!$E$2:$E$27777,$A18,Datos!$D$2:$D$27777,$B18,Datos!$F$2:$F$27777,"STANDBY"),"")</f>
        <v/>
      </c>
      <c r="F18" s="7">
        <f>IFERROR(ROUND(AVERAGEIFS(Datos!$G$2:$G$27777,Datos!$E$2:$E$27777,$A18,Datos!$D$2:$D$27777,$B18,Datos!$F$2:$F$27777,"SINGLE_RIDER"),1),"")</f>
        <v/>
      </c>
      <c r="G18" s="7">
        <f>COUNTIFS(Datos!$E$2:$E$27777,$A18,Datos!$D$2:$D$27777,$B18,Datos!$F$2:$F$27777,"STANDBY")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IFERROR(ROUND(AVERAGEIFS(Datos!$G$2:$G$27777,Datos!$E$2:$E$27777,$A19,Datos!$D$2:$D$27777,$B19,Datos!$F$2:$F$27777,"STANDBY"),1),"")</f>
        <v/>
      </c>
      <c r="D19" s="5">
        <f>IFERROR(_xlfn.MAXIFS(Datos!$G$2:$G$27777,Datos!$E$2:$E$27777,$A19,Datos!$D$2:$D$27777,$B19,Datos!$F$2:$F$27777,"STANDBY"),"")</f>
        <v/>
      </c>
      <c r="E19" s="5">
        <f>IFERROR(_xlfn.MINIFS(Datos!$G$2:$G$27777,Datos!$E$2:$E$27777,$A19,Datos!$D$2:$D$27777,$B19,Datos!$F$2:$F$27777,"STANDBY"),"")</f>
        <v/>
      </c>
      <c r="F19" s="5">
        <f>IFERROR(ROUND(AVERAGEIFS(Datos!$G$2:$G$27777,Datos!$E$2:$E$27777,$A19,Datos!$D$2:$D$27777,$B19,Datos!$F$2:$F$27777,"SINGLE_RIDER"),1),"")</f>
        <v/>
      </c>
      <c r="G19" s="5">
        <f>COUNTIFS(Datos!$E$2:$E$27777,$A19,Datos!$D$2:$D$27777,$B19,Datos!$F$2:$F$27777,"STANDBY")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IFERROR(ROUND(AVERAGEIFS(Datos!$G$2:$G$27777,Datos!$E$2:$E$27777,$A20,Datos!$D$2:$D$27777,$B20,Datos!$F$2:$F$27777,"STANDBY"),1),"")</f>
        <v/>
      </c>
      <c r="D20" s="7">
        <f>IFERROR(_xlfn.MAXIFS(Datos!$G$2:$G$27777,Datos!$E$2:$E$27777,$A20,Datos!$D$2:$D$27777,$B20,Datos!$F$2:$F$27777,"STANDBY"),"")</f>
        <v/>
      </c>
      <c r="E20" s="7">
        <f>IFERROR(_xlfn.MINIFS(Datos!$G$2:$G$27777,Datos!$E$2:$E$27777,$A20,Datos!$D$2:$D$27777,$B20,Datos!$F$2:$F$27777,"STANDBY"),"")</f>
        <v/>
      </c>
      <c r="F20" s="7">
        <f>IFERROR(ROUND(AVERAGEIFS(Datos!$G$2:$G$27777,Datos!$E$2:$E$27777,$A20,Datos!$D$2:$D$27777,$B20,Datos!$F$2:$F$27777,"SINGLE_RIDER"),1),"")</f>
        <v/>
      </c>
      <c r="G20" s="7">
        <f>COUNTIFS(Datos!$E$2:$E$27777,$A20,Datos!$D$2:$D$27777,$B20,Datos!$F$2:$F$27777,"STANDBY")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IFERROR(ROUND(AVERAGEIFS(Datos!$G$2:$G$27777,Datos!$E$2:$E$27777,$A21,Datos!$D$2:$D$27777,$B21,Datos!$F$2:$F$27777,"STANDBY"),1),"")</f>
        <v/>
      </c>
      <c r="D21" s="5">
        <f>IFERROR(_xlfn.MAXIFS(Datos!$G$2:$G$27777,Datos!$E$2:$E$27777,$A21,Datos!$D$2:$D$27777,$B21,Datos!$F$2:$F$27777,"STANDBY"),"")</f>
        <v/>
      </c>
      <c r="E21" s="5">
        <f>IFERROR(_xlfn.MINIFS(Datos!$G$2:$G$27777,Datos!$E$2:$E$27777,$A21,Datos!$D$2:$D$27777,$B21,Datos!$F$2:$F$27777,"STANDBY"),"")</f>
        <v/>
      </c>
      <c r="F21" s="5">
        <f>IFERROR(ROUND(AVERAGEIFS(Datos!$G$2:$G$27777,Datos!$E$2:$E$27777,$A21,Datos!$D$2:$D$27777,$B21,Datos!$F$2:$F$27777,"SINGLE_RIDER"),1),"")</f>
        <v/>
      </c>
      <c r="G21" s="5">
        <f>COUNTIFS(Datos!$E$2:$E$27777,$A21,Datos!$D$2:$D$27777,$B21,Datos!$F$2:$F$27777,"STANDBY")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IFERROR(ROUND(AVERAGEIFS(Datos!$G$2:$G$27777,Datos!$E$2:$E$27777,$A22,Datos!$D$2:$D$27777,$B22,Datos!$F$2:$F$27777,"STANDBY"),1),"")</f>
        <v/>
      </c>
      <c r="D22" s="7">
        <f>IFERROR(_xlfn.MAXIFS(Datos!$G$2:$G$27777,Datos!$E$2:$E$27777,$A22,Datos!$D$2:$D$27777,$B22,Datos!$F$2:$F$27777,"STANDBY"),"")</f>
        <v/>
      </c>
      <c r="E22" s="7">
        <f>IFERROR(_xlfn.MINIFS(Datos!$G$2:$G$27777,Datos!$E$2:$E$27777,$A22,Datos!$D$2:$D$27777,$B22,Datos!$F$2:$F$27777,"STANDBY"),"")</f>
        <v/>
      </c>
      <c r="F22" s="7">
        <f>IFERROR(ROUND(AVERAGEIFS(Datos!$G$2:$G$27777,Datos!$E$2:$E$27777,$A22,Datos!$D$2:$D$27777,$B22,Datos!$F$2:$F$27777,"SINGLE_RIDER"),1),"")</f>
        <v/>
      </c>
      <c r="G22" s="7">
        <f>COUNTIFS(Datos!$E$2:$E$27777,$A22,Datos!$D$2:$D$27777,$B22,Datos!$F$2:$F$27777,"STANDBY")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IFERROR(ROUND(AVERAGEIFS(Datos!$G$2:$G$27777,Datos!$E$2:$E$27777,$A23,Datos!$D$2:$D$27777,$B23,Datos!$F$2:$F$27777,"STANDBY"),1),"")</f>
        <v/>
      </c>
      <c r="D23" s="5">
        <f>IFERROR(_xlfn.MAXIFS(Datos!$G$2:$G$27777,Datos!$E$2:$E$27777,$A23,Datos!$D$2:$D$27777,$B23,Datos!$F$2:$F$27777,"STANDBY"),"")</f>
        <v/>
      </c>
      <c r="E23" s="5">
        <f>IFERROR(_xlfn.MINIFS(Datos!$G$2:$G$27777,Datos!$E$2:$E$27777,$A23,Datos!$D$2:$D$27777,$B23,Datos!$F$2:$F$27777,"STANDBY"),"")</f>
        <v/>
      </c>
      <c r="F23" s="5">
        <f>IFERROR(ROUND(AVERAGEIFS(Datos!$G$2:$G$27777,Datos!$E$2:$E$27777,$A23,Datos!$D$2:$D$27777,$B23,Datos!$F$2:$F$27777,"SINGLE_RIDER"),1),"")</f>
        <v/>
      </c>
      <c r="G23" s="5">
        <f>COUNTIFS(Datos!$E$2:$E$27777,$A23,Datos!$D$2:$D$27777,$B23,Datos!$F$2:$F$27777,"STANDBY")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IFERROR(ROUND(AVERAGEIFS(Datos!$G$2:$G$27777,Datos!$E$2:$E$27777,$A24,Datos!$D$2:$D$27777,$B24,Datos!$F$2:$F$27777,"STANDBY"),1),"")</f>
        <v/>
      </c>
      <c r="D24" s="7">
        <f>IFERROR(_xlfn.MAXIFS(Datos!$G$2:$G$27777,Datos!$E$2:$E$27777,$A24,Datos!$D$2:$D$27777,$B24,Datos!$F$2:$F$27777,"STANDBY"),"")</f>
        <v/>
      </c>
      <c r="E24" s="7">
        <f>IFERROR(_xlfn.MINIFS(Datos!$G$2:$G$27777,Datos!$E$2:$E$27777,$A24,Datos!$D$2:$D$27777,$B24,Datos!$F$2:$F$27777,"STANDBY"),"")</f>
        <v/>
      </c>
      <c r="F24" s="7">
        <f>IFERROR(ROUND(AVERAGEIFS(Datos!$G$2:$G$27777,Datos!$E$2:$E$27777,$A24,Datos!$D$2:$D$27777,$B24,Datos!$F$2:$F$27777,"SINGLE_RIDER"),1),"")</f>
        <v/>
      </c>
      <c r="G24" s="7">
        <f>COUNTIFS(Datos!$E$2:$E$27777,$A24,Datos!$D$2:$D$27777,$B24,Datos!$F$2:$F$27777,"STANDBY")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IFERROR(ROUND(AVERAGEIFS(Datos!$G$2:$G$27777,Datos!$E$2:$E$27777,$A25,Datos!$D$2:$D$27777,$B25,Datos!$F$2:$F$27777,"STANDBY"),1),"")</f>
        <v/>
      </c>
      <c r="D25" s="5">
        <f>IFERROR(_xlfn.MAXIFS(Datos!$G$2:$G$27777,Datos!$E$2:$E$27777,$A25,Datos!$D$2:$D$27777,$B25,Datos!$F$2:$F$27777,"STANDBY"),"")</f>
        <v/>
      </c>
      <c r="E25" s="5">
        <f>IFERROR(_xlfn.MINIFS(Datos!$G$2:$G$27777,Datos!$E$2:$E$27777,$A25,Datos!$D$2:$D$27777,$B25,Datos!$F$2:$F$27777,"STANDBY"),"")</f>
        <v/>
      </c>
      <c r="F25" s="5">
        <f>IFERROR(ROUND(AVERAGEIFS(Datos!$G$2:$G$27777,Datos!$E$2:$E$27777,$A25,Datos!$D$2:$D$27777,$B25,Datos!$F$2:$F$27777,"SINGLE_RIDER"),1),"")</f>
        <v/>
      </c>
      <c r="G25" s="5">
        <f>COUNTIFS(Datos!$E$2:$E$27777,$A25,Datos!$D$2:$D$27777,$B25,Datos!$F$2:$F$27777,"STANDBY")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IFERROR(ROUND(AVERAGEIFS(Datos!$G$2:$G$27777,Datos!$E$2:$E$27777,$A26,Datos!$D$2:$D$27777,$B26,Datos!$F$2:$F$27777,"STANDBY"),1),"")</f>
        <v/>
      </c>
      <c r="D26" s="7">
        <f>IFERROR(_xlfn.MAXIFS(Datos!$G$2:$G$27777,Datos!$E$2:$E$27777,$A26,Datos!$D$2:$D$27777,$B26,Datos!$F$2:$F$27777,"STANDBY"),"")</f>
        <v/>
      </c>
      <c r="E26" s="7">
        <f>IFERROR(_xlfn.MINIFS(Datos!$G$2:$G$27777,Datos!$E$2:$E$27777,$A26,Datos!$D$2:$D$27777,$B26,Datos!$F$2:$F$27777,"STANDBY"),"")</f>
        <v/>
      </c>
      <c r="F26" s="7">
        <f>IFERROR(ROUND(AVERAGEIFS(Datos!$G$2:$G$27777,Datos!$E$2:$E$27777,$A26,Datos!$D$2:$D$27777,$B26,Datos!$F$2:$F$27777,"SINGLE_RIDER"),1),"")</f>
        <v/>
      </c>
      <c r="G26" s="7">
        <f>COUNTIFS(Datos!$E$2:$E$27777,$A26,Datos!$D$2:$D$27777,$B26,Datos!$F$2:$F$27777,"STANDBY")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IFERROR(ROUND(AVERAGEIFS(Datos!$G$2:$G$27777,Datos!$E$2:$E$27777,$A27,Datos!$D$2:$D$27777,$B27,Datos!$F$2:$F$27777,"STANDBY"),1),"")</f>
        <v/>
      </c>
      <c r="D27" s="5">
        <f>IFERROR(_xlfn.MAXIFS(Datos!$G$2:$G$27777,Datos!$E$2:$E$27777,$A27,Datos!$D$2:$D$27777,$B27,Datos!$F$2:$F$27777,"STANDBY"),"")</f>
        <v/>
      </c>
      <c r="E27" s="5">
        <f>IFERROR(_xlfn.MINIFS(Datos!$G$2:$G$27777,Datos!$E$2:$E$27777,$A27,Datos!$D$2:$D$27777,$B27,Datos!$F$2:$F$27777,"STANDBY"),"")</f>
        <v/>
      </c>
      <c r="F27" s="5">
        <f>IFERROR(ROUND(AVERAGEIFS(Datos!$G$2:$G$27777,Datos!$E$2:$E$27777,$A27,Datos!$D$2:$D$27777,$B27,Datos!$F$2:$F$27777,"SINGLE_RIDER"),1),"")</f>
        <v/>
      </c>
      <c r="G27" s="5">
        <f>COUNTIFS(Datos!$E$2:$E$27777,$A27,Datos!$D$2:$D$27777,$B27,Datos!$F$2:$F$27777,"STANDBY")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IFERROR(ROUND(AVERAGEIFS(Datos!$G$2:$G$27777,Datos!$E$2:$E$27777,$A28,Datos!$D$2:$D$27777,$B28,Datos!$F$2:$F$27777,"STANDBY"),1),"")</f>
        <v/>
      </c>
      <c r="D28" s="7">
        <f>IFERROR(_xlfn.MAXIFS(Datos!$G$2:$G$27777,Datos!$E$2:$E$27777,$A28,Datos!$D$2:$D$27777,$B28,Datos!$F$2:$F$27777,"STANDBY"),"")</f>
        <v/>
      </c>
      <c r="E28" s="7">
        <f>IFERROR(_xlfn.MINIFS(Datos!$G$2:$G$27777,Datos!$E$2:$E$27777,$A28,Datos!$D$2:$D$27777,$B28,Datos!$F$2:$F$27777,"STANDBY"),"")</f>
        <v/>
      </c>
      <c r="F28" s="7">
        <f>IFERROR(ROUND(AVERAGEIFS(Datos!$G$2:$G$27777,Datos!$E$2:$E$27777,$A28,Datos!$D$2:$D$27777,$B28,Datos!$F$2:$F$27777,"SINGLE_RIDER"),1),"")</f>
        <v/>
      </c>
      <c r="G28" s="7">
        <f>COUNTIFS(Datos!$E$2:$E$27777,$A28,Datos!$D$2:$D$27777,$B28,Datos!$F$2:$F$27777,"STANDBY")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IFERROR(ROUND(AVERAGEIFS(Datos!$G$2:$G$27777,Datos!$E$2:$E$27777,$A29,Datos!$D$2:$D$27777,$B29,Datos!$F$2:$F$27777,"STANDBY"),1),"")</f>
        <v/>
      </c>
      <c r="D29" s="5">
        <f>IFERROR(_xlfn.MAXIFS(Datos!$G$2:$G$27777,Datos!$E$2:$E$27777,$A29,Datos!$D$2:$D$27777,$B29,Datos!$F$2:$F$27777,"STANDBY"),"")</f>
        <v/>
      </c>
      <c r="E29" s="5">
        <f>IFERROR(_xlfn.MINIFS(Datos!$G$2:$G$27777,Datos!$E$2:$E$27777,$A29,Datos!$D$2:$D$27777,$B29,Datos!$F$2:$F$27777,"STANDBY"),"")</f>
        <v/>
      </c>
      <c r="F29" s="5">
        <f>IFERROR(ROUND(AVERAGEIFS(Datos!$G$2:$G$27777,Datos!$E$2:$E$27777,$A29,Datos!$D$2:$D$27777,$B29,Datos!$F$2:$F$27777,"SINGLE_RIDER"),1),"")</f>
        <v/>
      </c>
      <c r="G29" s="5">
        <f>COUNTIFS(Datos!$E$2:$E$27777,$A29,Datos!$D$2:$D$27777,$B29,Datos!$F$2:$F$27777,"STANDBY")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IFERROR(ROUND(AVERAGEIFS(Datos!$G$2:$G$27777,Datos!$E$2:$E$27777,$A30,Datos!$D$2:$D$27777,$B30,Datos!$F$2:$F$27777,"STANDBY"),1),"")</f>
        <v/>
      </c>
      <c r="D30" s="7">
        <f>IFERROR(_xlfn.MAXIFS(Datos!$G$2:$G$27777,Datos!$E$2:$E$27777,$A30,Datos!$D$2:$D$27777,$B30,Datos!$F$2:$F$27777,"STANDBY"),"")</f>
        <v/>
      </c>
      <c r="E30" s="7">
        <f>IFERROR(_xlfn.MINIFS(Datos!$G$2:$G$27777,Datos!$E$2:$E$27777,$A30,Datos!$D$2:$D$27777,$B30,Datos!$F$2:$F$27777,"STANDBY"),"")</f>
        <v/>
      </c>
      <c r="F30" s="7">
        <f>IFERROR(ROUND(AVERAGEIFS(Datos!$G$2:$G$27777,Datos!$E$2:$E$27777,$A30,Datos!$D$2:$D$27777,$B30,Datos!$F$2:$F$27777,"SINGLE_RIDER"),1),"")</f>
        <v/>
      </c>
      <c r="G30" s="7">
        <f>COUNTIFS(Datos!$E$2:$E$27777,$A30,Datos!$D$2:$D$27777,$B30,Datos!$F$2:$F$27777,"STANDBY")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IFERROR(ROUND(AVERAGEIFS(Datos!$G$2:$G$27777,Datos!$E$2:$E$27777,$A31,Datos!$D$2:$D$27777,$B31,Datos!$F$2:$F$27777,"STANDBY"),1),"")</f>
        <v/>
      </c>
      <c r="D31" s="5">
        <f>IFERROR(_xlfn.MAXIFS(Datos!$G$2:$G$27777,Datos!$E$2:$E$27777,$A31,Datos!$D$2:$D$27777,$B31,Datos!$F$2:$F$27777,"STANDBY"),"")</f>
        <v/>
      </c>
      <c r="E31" s="5">
        <f>IFERROR(_xlfn.MINIFS(Datos!$G$2:$G$27777,Datos!$E$2:$E$27777,$A31,Datos!$D$2:$D$27777,$B31,Datos!$F$2:$F$27777,"STANDBY"),"")</f>
        <v/>
      </c>
      <c r="F31" s="5">
        <f>IFERROR(ROUND(AVERAGEIFS(Datos!$G$2:$G$27777,Datos!$E$2:$E$27777,$A31,Datos!$D$2:$D$27777,$B31,Datos!$F$2:$F$27777,"SINGLE_RIDER"),1),"")</f>
        <v/>
      </c>
      <c r="G31" s="5">
        <f>COUNTIFS(Datos!$E$2:$E$27777,$A31,Datos!$D$2:$D$27777,$B31,Datos!$F$2:$F$27777,"STANDBY")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IFERROR(ROUND(AVERAGEIFS(Datos!$G$2:$G$27777,Datos!$E$2:$E$27777,$A32,Datos!$D$2:$D$27777,$B32,Datos!$F$2:$F$27777,"STANDBY"),1),"")</f>
        <v/>
      </c>
      <c r="D32" s="7">
        <f>IFERROR(_xlfn.MAXIFS(Datos!$G$2:$G$27777,Datos!$E$2:$E$27777,$A32,Datos!$D$2:$D$27777,$B32,Datos!$F$2:$F$27777,"STANDBY"),"")</f>
        <v/>
      </c>
      <c r="E32" s="7">
        <f>IFERROR(_xlfn.MINIFS(Datos!$G$2:$G$27777,Datos!$E$2:$E$27777,$A32,Datos!$D$2:$D$27777,$B32,Datos!$F$2:$F$27777,"STANDBY"),"")</f>
        <v/>
      </c>
      <c r="F32" s="7">
        <f>IFERROR(ROUND(AVERAGEIFS(Datos!$G$2:$G$27777,Datos!$E$2:$E$27777,$A32,Datos!$D$2:$D$27777,$B32,Datos!$F$2:$F$27777,"SINGLE_RIDER"),1),"")</f>
        <v/>
      </c>
      <c r="G32" s="7">
        <f>COUNTIFS(Datos!$E$2:$E$27777,$A32,Datos!$D$2:$D$27777,$B32,Datos!$F$2:$F$27777,"STANDBY")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IFERROR(ROUND(AVERAGEIFS(Datos!$G$2:$G$27777,Datos!$E$2:$E$27777,$A33,Datos!$D$2:$D$27777,$B33,Datos!$F$2:$F$27777,"STANDBY"),1),"")</f>
        <v/>
      </c>
      <c r="D33" s="5">
        <f>IFERROR(_xlfn.MAXIFS(Datos!$G$2:$G$27777,Datos!$E$2:$E$27777,$A33,Datos!$D$2:$D$27777,$B33,Datos!$F$2:$F$27777,"STANDBY"),"")</f>
        <v/>
      </c>
      <c r="E33" s="5">
        <f>IFERROR(_xlfn.MINIFS(Datos!$G$2:$G$27777,Datos!$E$2:$E$27777,$A33,Datos!$D$2:$D$27777,$B33,Datos!$F$2:$F$27777,"STANDBY"),"")</f>
        <v/>
      </c>
      <c r="F33" s="5">
        <f>IFERROR(ROUND(AVERAGEIFS(Datos!$G$2:$G$27777,Datos!$E$2:$E$27777,$A33,Datos!$D$2:$D$27777,$B33,Datos!$F$2:$F$27777,"SINGLE_RIDER"),1),"")</f>
        <v/>
      </c>
      <c r="G33" s="5">
        <f>COUNTIFS(Datos!$E$2:$E$27777,$A33,Datos!$D$2:$D$27777,$B33,Datos!$F$2:$F$27777,"STANDBY")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IFERROR(ROUND(AVERAGEIFS(Datos!$G$2:$G$27777,Datos!$E$2:$E$27777,$A34,Datos!$D$2:$D$27777,$B34,Datos!$F$2:$F$27777,"STANDBY"),1),"")</f>
        <v/>
      </c>
      <c r="D34" s="7">
        <f>IFERROR(_xlfn.MAXIFS(Datos!$G$2:$G$27777,Datos!$E$2:$E$27777,$A34,Datos!$D$2:$D$27777,$B34,Datos!$F$2:$F$27777,"STANDBY"),"")</f>
        <v/>
      </c>
      <c r="E34" s="7">
        <f>IFERROR(_xlfn.MINIFS(Datos!$G$2:$G$27777,Datos!$E$2:$E$27777,$A34,Datos!$D$2:$D$27777,$B34,Datos!$F$2:$F$27777,"STANDBY"),"")</f>
        <v/>
      </c>
      <c r="F34" s="7">
        <f>IFERROR(ROUND(AVERAGEIFS(Datos!$G$2:$G$27777,Datos!$E$2:$E$27777,$A34,Datos!$D$2:$D$27777,$B34,Datos!$F$2:$F$27777,"SINGLE_RIDER"),1),"")</f>
        <v/>
      </c>
      <c r="G34" s="7">
        <f>COUNTIFS(Datos!$E$2:$E$27777,$A34,Datos!$D$2:$D$27777,$B34,Datos!$F$2:$F$27777,"STANDBY")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IFERROR(ROUND(AVERAGEIFS(Datos!$G$2:$G$27777,Datos!$E$2:$E$27777,$A35,Datos!$D$2:$D$27777,$B35,Datos!$F$2:$F$27777,"STANDBY"),1),"")</f>
        <v/>
      </c>
      <c r="D35" s="5">
        <f>IFERROR(_xlfn.MAXIFS(Datos!$G$2:$G$27777,Datos!$E$2:$E$27777,$A35,Datos!$D$2:$D$27777,$B35,Datos!$F$2:$F$27777,"STANDBY"),"")</f>
        <v/>
      </c>
      <c r="E35" s="5">
        <f>IFERROR(_xlfn.MINIFS(Datos!$G$2:$G$27777,Datos!$E$2:$E$27777,$A35,Datos!$D$2:$D$27777,$B35,Datos!$F$2:$F$27777,"STANDBY"),"")</f>
        <v/>
      </c>
      <c r="F35" s="5">
        <f>IFERROR(ROUND(AVERAGEIFS(Datos!$G$2:$G$27777,Datos!$E$2:$E$27777,$A35,Datos!$D$2:$D$27777,$B35,Datos!$F$2:$F$27777,"SINGLE_RIDER"),1),"")</f>
        <v/>
      </c>
      <c r="G35" s="5">
        <f>COUNTIFS(Datos!$E$2:$E$27777,$A35,Datos!$D$2:$D$27777,$B35,Datos!$F$2:$F$27777,"STANDBY")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IFERROR(ROUND(AVERAGEIFS(Datos!$G$2:$G$27777,Datos!$E$2:$E$27777,$A36,Datos!$D$2:$D$27777,$B36,Datos!$F$2:$F$27777,"STANDBY"),1),"")</f>
        <v/>
      </c>
      <c r="D36" s="7">
        <f>IFERROR(_xlfn.MAXIFS(Datos!$G$2:$G$27777,Datos!$E$2:$E$27777,$A36,Datos!$D$2:$D$27777,$B36,Datos!$F$2:$F$27777,"STANDBY"),"")</f>
        <v/>
      </c>
      <c r="E36" s="7">
        <f>IFERROR(_xlfn.MINIFS(Datos!$G$2:$G$27777,Datos!$E$2:$E$27777,$A36,Datos!$D$2:$D$27777,$B36,Datos!$F$2:$F$27777,"STANDBY"),"")</f>
        <v/>
      </c>
      <c r="F36" s="7">
        <f>IFERROR(ROUND(AVERAGEIFS(Datos!$G$2:$G$27777,Datos!$E$2:$E$27777,$A36,Datos!$D$2:$D$27777,$B36,Datos!$F$2:$F$27777,"SINGLE_RIDER"),1),"")</f>
        <v/>
      </c>
      <c r="G36" s="7">
        <f>COUNTIFS(Datos!$E$2:$E$27777,$A36,Datos!$D$2:$D$27777,$B36,Datos!$F$2:$F$27777,"STANDBY")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IFERROR(ROUND(AVERAGEIFS(Datos!$G$2:$G$27777,Datos!$E$2:$E$27777,$A37,Datos!$D$2:$D$27777,$B37,Datos!$F$2:$F$27777,"STANDBY"),1),"")</f>
        <v/>
      </c>
      <c r="D37" s="5">
        <f>IFERROR(_xlfn.MAXIFS(Datos!$G$2:$G$27777,Datos!$E$2:$E$27777,$A37,Datos!$D$2:$D$27777,$B37,Datos!$F$2:$F$27777,"STANDBY"),"")</f>
        <v/>
      </c>
      <c r="E37" s="5">
        <f>IFERROR(_xlfn.MINIFS(Datos!$G$2:$G$27777,Datos!$E$2:$E$27777,$A37,Datos!$D$2:$D$27777,$B37,Datos!$F$2:$F$27777,"STANDBY"),"")</f>
        <v/>
      </c>
      <c r="F37" s="5">
        <f>IFERROR(ROUND(AVERAGEIFS(Datos!$G$2:$G$27777,Datos!$E$2:$E$27777,$A37,Datos!$D$2:$D$27777,$B37,Datos!$F$2:$F$27777,"SINGLE_RIDER"),1),"")</f>
        <v/>
      </c>
      <c r="G37" s="5">
        <f>COUNTIFS(Datos!$E$2:$E$27777,$A37,Datos!$D$2:$D$27777,$B37,Datos!$F$2:$F$27777,"STANDBY")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IFERROR(ROUND(AVERAGEIFS(Datos!$G$2:$G$27777,Datos!$E$2:$E$27777,$A38,Datos!$D$2:$D$27777,$B38,Datos!$F$2:$F$27777,"STANDBY"),1),"")</f>
        <v/>
      </c>
      <c r="D38" s="7">
        <f>IFERROR(_xlfn.MAXIFS(Datos!$G$2:$G$27777,Datos!$E$2:$E$27777,$A38,Datos!$D$2:$D$27777,$B38,Datos!$F$2:$F$27777,"STANDBY"),"")</f>
        <v/>
      </c>
      <c r="E38" s="7">
        <f>IFERROR(_xlfn.MINIFS(Datos!$G$2:$G$27777,Datos!$E$2:$E$27777,$A38,Datos!$D$2:$D$27777,$B38,Datos!$F$2:$F$27777,"STANDBY"),"")</f>
        <v/>
      </c>
      <c r="F38" s="7">
        <f>IFERROR(ROUND(AVERAGEIFS(Datos!$G$2:$G$27777,Datos!$E$2:$E$27777,$A38,Datos!$D$2:$D$27777,$B38,Datos!$F$2:$F$27777,"SINGLE_RIDER"),1),"")</f>
        <v/>
      </c>
      <c r="G38" s="7">
        <f>COUNTIFS(Datos!$E$2:$E$27777,$A38,Datos!$D$2:$D$27777,$B38,Datos!$F$2:$F$27777,"STANDBY")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IFERROR(ROUND(AVERAGEIFS(Datos!$G$2:$G$27777,Datos!$E$2:$E$27777,$A39,Datos!$D$2:$D$27777,$B39,Datos!$F$2:$F$27777,"STANDBY"),1),"")</f>
        <v/>
      </c>
      <c r="D39" s="5">
        <f>IFERROR(_xlfn.MAXIFS(Datos!$G$2:$G$27777,Datos!$E$2:$E$27777,$A39,Datos!$D$2:$D$27777,$B39,Datos!$F$2:$F$27777,"STANDBY"),"")</f>
        <v/>
      </c>
      <c r="E39" s="5">
        <f>IFERROR(_xlfn.MINIFS(Datos!$G$2:$G$27777,Datos!$E$2:$E$27777,$A39,Datos!$D$2:$D$27777,$B39,Datos!$F$2:$F$27777,"STANDBY"),"")</f>
        <v/>
      </c>
      <c r="F39" s="5">
        <f>IFERROR(ROUND(AVERAGEIFS(Datos!$G$2:$G$27777,Datos!$E$2:$E$27777,$A39,Datos!$D$2:$D$27777,$B39,Datos!$F$2:$F$27777,"SINGLE_RIDER"),1),"")</f>
        <v/>
      </c>
      <c r="G39" s="5">
        <f>COUNTIFS(Datos!$E$2:$E$27777,$A39,Datos!$D$2:$D$27777,$B39,Datos!$F$2:$F$27777,"STANDBY")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IFERROR(ROUND(AVERAGEIFS(Datos!$G$2:$G$27777,Datos!$E$2:$E$27777,$A40,Datos!$D$2:$D$27777,$B40,Datos!$F$2:$F$27777,"STANDBY"),1),"")</f>
        <v/>
      </c>
      <c r="D40" s="7">
        <f>IFERROR(_xlfn.MAXIFS(Datos!$G$2:$G$27777,Datos!$E$2:$E$27777,$A40,Datos!$D$2:$D$27777,$B40,Datos!$F$2:$F$27777,"STANDBY"),"")</f>
        <v/>
      </c>
      <c r="E40" s="7">
        <f>IFERROR(_xlfn.MINIFS(Datos!$G$2:$G$27777,Datos!$E$2:$E$27777,$A40,Datos!$D$2:$D$27777,$B40,Datos!$F$2:$F$27777,"STANDBY"),"")</f>
        <v/>
      </c>
      <c r="F40" s="7">
        <f>IFERROR(ROUND(AVERAGEIFS(Datos!$G$2:$G$27777,Datos!$E$2:$E$27777,$A40,Datos!$D$2:$D$27777,$B40,Datos!$F$2:$F$27777,"SINGLE_RIDER"),1),"")</f>
        <v/>
      </c>
      <c r="G40" s="7">
        <f>COUNTIFS(Datos!$E$2:$E$27777,$A40,Datos!$D$2:$D$27777,$B40,Datos!$F$2:$F$27777,"STANDBY")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IFERROR(ROUND(AVERAGEIFS(Datos!$G$2:$G$27777,Datos!$E$2:$E$27777,$A41,Datos!$D$2:$D$27777,$B41,Datos!$F$2:$F$27777,"STANDBY"),1),"")</f>
        <v/>
      </c>
      <c r="D41" s="5">
        <f>IFERROR(_xlfn.MAXIFS(Datos!$G$2:$G$27777,Datos!$E$2:$E$27777,$A41,Datos!$D$2:$D$27777,$B41,Datos!$F$2:$F$27777,"STANDBY"),"")</f>
        <v/>
      </c>
      <c r="E41" s="5">
        <f>IFERROR(_xlfn.MINIFS(Datos!$G$2:$G$27777,Datos!$E$2:$E$27777,$A41,Datos!$D$2:$D$27777,$B41,Datos!$F$2:$F$27777,"STANDBY"),"")</f>
        <v/>
      </c>
      <c r="F41" s="5">
        <f>IFERROR(ROUND(AVERAGEIFS(Datos!$G$2:$G$27777,Datos!$E$2:$E$27777,$A41,Datos!$D$2:$D$27777,$B41,Datos!$F$2:$F$27777,"SINGLE_RIDER"),1),"")</f>
        <v/>
      </c>
      <c r="G41" s="5">
        <f>COUNTIFS(Datos!$E$2:$E$27777,$A41,Datos!$D$2:$D$27777,$B41,Datos!$F$2:$F$27777,"STANDBY")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IFERROR(ROUND(AVERAGEIFS(Datos!$G$2:$G$27777,Datos!$E$2:$E$27777,$A42,Datos!$D$2:$D$27777,$B42,Datos!$F$2:$F$27777,"STANDBY"),1),"")</f>
        <v/>
      </c>
      <c r="D42" s="7">
        <f>IFERROR(_xlfn.MAXIFS(Datos!$G$2:$G$27777,Datos!$E$2:$E$27777,$A42,Datos!$D$2:$D$27777,$B42,Datos!$F$2:$F$27777,"STANDBY"),"")</f>
        <v/>
      </c>
      <c r="E42" s="7">
        <f>IFERROR(_xlfn.MINIFS(Datos!$G$2:$G$27777,Datos!$E$2:$E$27777,$A42,Datos!$D$2:$D$27777,$B42,Datos!$F$2:$F$27777,"STANDBY"),"")</f>
        <v/>
      </c>
      <c r="F42" s="7">
        <f>IFERROR(ROUND(AVERAGEIFS(Datos!$G$2:$G$27777,Datos!$E$2:$E$27777,$A42,Datos!$D$2:$D$27777,$B42,Datos!$F$2:$F$27777,"SINGLE_RIDER"),1),"")</f>
        <v/>
      </c>
      <c r="G42" s="7">
        <f>COUNTIFS(Datos!$E$2:$E$27777,$A42,Datos!$D$2:$D$27777,$B42,Datos!$F$2:$F$27777,"STANDBY")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IFERROR(ROUND(AVERAGEIFS(Datos!$G$2:$G$27777,Datos!$E$2:$E$27777,$A43,Datos!$D$2:$D$27777,$B43,Datos!$F$2:$F$27777,"STANDBY"),1),"")</f>
        <v/>
      </c>
      <c r="D43" s="5">
        <f>IFERROR(_xlfn.MAXIFS(Datos!$G$2:$G$27777,Datos!$E$2:$E$27777,$A43,Datos!$D$2:$D$27777,$B43,Datos!$F$2:$F$27777,"STANDBY"),"")</f>
        <v/>
      </c>
      <c r="E43" s="5">
        <f>IFERROR(_xlfn.MINIFS(Datos!$G$2:$G$27777,Datos!$E$2:$E$27777,$A43,Datos!$D$2:$D$27777,$B43,Datos!$F$2:$F$27777,"STANDBY"),"")</f>
        <v/>
      </c>
      <c r="F43" s="5">
        <f>IFERROR(ROUND(AVERAGEIFS(Datos!$G$2:$G$27777,Datos!$E$2:$E$27777,$A43,Datos!$D$2:$D$27777,$B43,Datos!$F$2:$F$27777,"SINGLE_RIDER"),1),"")</f>
        <v/>
      </c>
      <c r="G43" s="5">
        <f>COUNTIFS(Datos!$E$2:$E$27777,$A43,Datos!$D$2:$D$27777,$B43,Datos!$F$2:$F$27777,"STANDBY")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IFERROR(ROUND(AVERAGEIFS(Datos!$G$2:$G$27777,Datos!$E$2:$E$27777,$A44,Datos!$D$2:$D$27777,$B44,Datos!$F$2:$F$27777,"STANDBY"),1),"")</f>
        <v/>
      </c>
      <c r="D44" s="7">
        <f>IFERROR(_xlfn.MAXIFS(Datos!$G$2:$G$27777,Datos!$E$2:$E$27777,$A44,Datos!$D$2:$D$27777,$B44,Datos!$F$2:$F$27777,"STANDBY"),"")</f>
        <v/>
      </c>
      <c r="E44" s="7">
        <f>IFERROR(_xlfn.MINIFS(Datos!$G$2:$G$27777,Datos!$E$2:$E$27777,$A44,Datos!$D$2:$D$27777,$B44,Datos!$F$2:$F$27777,"STANDBY"),"")</f>
        <v/>
      </c>
      <c r="F44" s="7">
        <f>IFERROR(ROUND(AVERAGEIFS(Datos!$G$2:$G$27777,Datos!$E$2:$E$27777,$A44,Datos!$D$2:$D$27777,$B44,Datos!$F$2:$F$27777,"SINGLE_RIDER"),1),"")</f>
        <v/>
      </c>
      <c r="G44" s="7">
        <f>COUNTIFS(Datos!$E$2:$E$27777,$A44,Datos!$D$2:$D$27777,$B44,Datos!$F$2:$F$27777,"STANDBY")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IFERROR(ROUND(AVERAGEIFS(Datos!$G$2:$G$27777,Datos!$E$2:$E$27777,$A45,Datos!$D$2:$D$27777,$B45,Datos!$F$2:$F$27777,"STANDBY"),1),"")</f>
        <v/>
      </c>
      <c r="D45" s="5">
        <f>IFERROR(_xlfn.MAXIFS(Datos!$G$2:$G$27777,Datos!$E$2:$E$27777,$A45,Datos!$D$2:$D$27777,$B45,Datos!$F$2:$F$27777,"STANDBY"),"")</f>
        <v/>
      </c>
      <c r="E45" s="5">
        <f>IFERROR(_xlfn.MINIFS(Datos!$G$2:$G$27777,Datos!$E$2:$E$27777,$A45,Datos!$D$2:$D$27777,$B45,Datos!$F$2:$F$27777,"STANDBY"),"")</f>
        <v/>
      </c>
      <c r="F45" s="5">
        <f>IFERROR(ROUND(AVERAGEIFS(Datos!$G$2:$G$27777,Datos!$E$2:$E$27777,$A45,Datos!$D$2:$D$27777,$B45,Datos!$F$2:$F$27777,"SINGLE_RIDER"),1),"")</f>
        <v/>
      </c>
      <c r="G45" s="5">
        <f>COUNTIFS(Datos!$E$2:$E$27777,$A45,Datos!$D$2:$D$27777,$B45,Datos!$F$2:$F$27777,"STANDBY")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IFERROR(ROUND(AVERAGEIFS(Datos!$G$2:$G$27777,Datos!$E$2:$E$27777,$A46,Datos!$D$2:$D$27777,$B46,Datos!$F$2:$F$27777,"STANDBY"),1),"")</f>
        <v/>
      </c>
      <c r="D46" s="7">
        <f>IFERROR(_xlfn.MAXIFS(Datos!$G$2:$G$27777,Datos!$E$2:$E$27777,$A46,Datos!$D$2:$D$27777,$B46,Datos!$F$2:$F$27777,"STANDBY"),"")</f>
        <v/>
      </c>
      <c r="E46" s="7">
        <f>IFERROR(_xlfn.MINIFS(Datos!$G$2:$G$27777,Datos!$E$2:$E$27777,$A46,Datos!$D$2:$D$27777,$B46,Datos!$F$2:$F$27777,"STANDBY"),"")</f>
        <v/>
      </c>
      <c r="F46" s="7">
        <f>IFERROR(ROUND(AVERAGEIFS(Datos!$G$2:$G$27777,Datos!$E$2:$E$27777,$A46,Datos!$D$2:$D$27777,$B46,Datos!$F$2:$F$27777,"SINGLE_RIDER"),1),"")</f>
        <v/>
      </c>
      <c r="G46" s="7">
        <f>COUNTIFS(Datos!$E$2:$E$27777,$A46,Datos!$D$2:$D$27777,$B46,Datos!$F$2:$F$27777,"STANDBY")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IFERROR(ROUND(AVERAGEIFS(Datos!$G$2:$G$27777,Datos!$E$2:$E$27777,$A47,Datos!$D$2:$D$27777,$B47,Datos!$F$2:$F$27777,"STANDBY"),1),"")</f>
        <v/>
      </c>
      <c r="D47" s="5">
        <f>IFERROR(_xlfn.MAXIFS(Datos!$G$2:$G$27777,Datos!$E$2:$E$27777,$A47,Datos!$D$2:$D$27777,$B47,Datos!$F$2:$F$27777,"STANDBY"),"")</f>
        <v/>
      </c>
      <c r="E47" s="5">
        <f>IFERROR(_xlfn.MINIFS(Datos!$G$2:$G$27777,Datos!$E$2:$E$27777,$A47,Datos!$D$2:$D$27777,$B47,Datos!$F$2:$F$27777,"STANDBY"),"")</f>
        <v/>
      </c>
      <c r="F47" s="5">
        <f>IFERROR(ROUND(AVERAGEIFS(Datos!$G$2:$G$27777,Datos!$E$2:$E$27777,$A47,Datos!$D$2:$D$27777,$B47,Datos!$F$2:$F$27777,"SINGLE_RIDER"),1),"")</f>
        <v/>
      </c>
      <c r="G47" s="5">
        <f>COUNTIFS(Datos!$E$2:$E$27777,$A47,Datos!$D$2:$D$27777,$B47,Datos!$F$2:$F$27777,"STANDBY")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IFERROR(ROUND(AVERAGEIFS(Datos!$G$2:$G$27777,Datos!$E$2:$E$27777,$A48,Datos!$D$2:$D$27777,$B48,Datos!$F$2:$F$27777,"STANDBY"),1),"")</f>
        <v/>
      </c>
      <c r="D48" s="7">
        <f>IFERROR(_xlfn.MAXIFS(Datos!$G$2:$G$27777,Datos!$E$2:$E$27777,$A48,Datos!$D$2:$D$27777,$B48,Datos!$F$2:$F$27777,"STANDBY"),"")</f>
        <v/>
      </c>
      <c r="E48" s="7">
        <f>IFERROR(_xlfn.MINIFS(Datos!$G$2:$G$27777,Datos!$E$2:$E$27777,$A48,Datos!$D$2:$D$27777,$B48,Datos!$F$2:$F$27777,"STANDBY"),"")</f>
        <v/>
      </c>
      <c r="F48" s="7">
        <f>IFERROR(ROUND(AVERAGEIFS(Datos!$G$2:$G$27777,Datos!$E$2:$E$27777,$A48,Datos!$D$2:$D$27777,$B48,Datos!$F$2:$F$27777,"SINGLE_RIDER"),1),"")</f>
        <v/>
      </c>
      <c r="G48" s="7">
        <f>COUNTIFS(Datos!$E$2:$E$27777,$A48,Datos!$D$2:$D$27777,$B48,Datos!$F$2:$F$27777,"STANDBY")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IFERROR(ROUND(AVERAGEIFS(Datos!$G$2:$G$27777,Datos!$E$2:$E$27777,$A49,Datos!$D$2:$D$27777,$B49,Datos!$F$2:$F$27777,"STANDBY"),1),"")</f>
        <v/>
      </c>
      <c r="D49" s="5">
        <f>IFERROR(_xlfn.MAXIFS(Datos!$G$2:$G$27777,Datos!$E$2:$E$27777,$A49,Datos!$D$2:$D$27777,$B49,Datos!$F$2:$F$27777,"STANDBY"),"")</f>
        <v/>
      </c>
      <c r="E49" s="5">
        <f>IFERROR(_xlfn.MINIFS(Datos!$G$2:$G$27777,Datos!$E$2:$E$27777,$A49,Datos!$D$2:$D$27777,$B49,Datos!$F$2:$F$27777,"STANDBY"),"")</f>
        <v/>
      </c>
      <c r="F49" s="5">
        <f>IFERROR(ROUND(AVERAGEIFS(Datos!$G$2:$G$27777,Datos!$E$2:$E$27777,$A49,Datos!$D$2:$D$27777,$B49,Datos!$F$2:$F$27777,"SINGLE_RIDER"),1),"")</f>
        <v/>
      </c>
      <c r="G49" s="5">
        <f>COUNTIFS(Datos!$E$2:$E$27777,$A49,Datos!$D$2:$D$27777,$B49,Datos!$F$2:$F$27777,"STANDBY")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IFERROR(ROUND(AVERAGEIFS(Datos!$G$2:$G$27777,Datos!$E$2:$E$27777,$A50,Datos!$D$2:$D$27777,$B50,Datos!$F$2:$F$27777,"STANDBY"),1),"")</f>
        <v/>
      </c>
      <c r="D50" s="7">
        <f>IFERROR(_xlfn.MAXIFS(Datos!$G$2:$G$27777,Datos!$E$2:$E$27777,$A50,Datos!$D$2:$D$27777,$B50,Datos!$F$2:$F$27777,"STANDBY"),"")</f>
        <v/>
      </c>
      <c r="E50" s="7">
        <f>IFERROR(_xlfn.MINIFS(Datos!$G$2:$G$27777,Datos!$E$2:$E$27777,$A50,Datos!$D$2:$D$27777,$B50,Datos!$F$2:$F$27777,"STANDBY"),"")</f>
        <v/>
      </c>
      <c r="F50" s="7">
        <f>IFERROR(ROUND(AVERAGEIFS(Datos!$G$2:$G$27777,Datos!$E$2:$E$27777,$A50,Datos!$D$2:$D$27777,$B50,Datos!$F$2:$F$27777,"SINGLE_RIDER"),1),"")</f>
        <v/>
      </c>
      <c r="G50" s="7">
        <f>COUNTIFS(Datos!$E$2:$E$27777,$A50,Datos!$D$2:$D$27777,$B50,Datos!$F$2:$F$27777,"STANDBY")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IFERROR(ROUND(AVERAGEIFS(Datos!$G$2:$G$27777,Datos!$E$2:$E$27777,$A51,Datos!$D$2:$D$27777,$B51,Datos!$F$2:$F$27777,"STANDBY"),1),"")</f>
        <v/>
      </c>
      <c r="D51" s="5">
        <f>IFERROR(_xlfn.MAXIFS(Datos!$G$2:$G$27777,Datos!$E$2:$E$27777,$A51,Datos!$D$2:$D$27777,$B51,Datos!$F$2:$F$27777,"STANDBY"),"")</f>
        <v/>
      </c>
      <c r="E51" s="5">
        <f>IFERROR(_xlfn.MINIFS(Datos!$G$2:$G$27777,Datos!$E$2:$E$27777,$A51,Datos!$D$2:$D$27777,$B51,Datos!$F$2:$F$27777,"STANDBY"),"")</f>
        <v/>
      </c>
      <c r="F51" s="5">
        <f>IFERROR(ROUND(AVERAGEIFS(Datos!$G$2:$G$27777,Datos!$E$2:$E$27777,$A51,Datos!$D$2:$D$27777,$B51,Datos!$F$2:$F$27777,"SINGLE_RIDER"),1),"")</f>
        <v/>
      </c>
      <c r="G51" s="5">
        <f>COUNTIFS(Datos!$E$2:$E$27777,$A51,Datos!$D$2:$D$27777,$B51,Datos!$F$2:$F$27777,"STANDBY")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IFERROR(ROUND(AVERAGEIFS(Datos!$G$2:$G$27777,Datos!$E$2:$E$27777,$A52,Datos!$D$2:$D$27777,$B52,Datos!$F$2:$F$27777,"STANDBY"),1),"")</f>
        <v/>
      </c>
      <c r="D52" s="7">
        <f>IFERROR(_xlfn.MAXIFS(Datos!$G$2:$G$27777,Datos!$E$2:$E$27777,$A52,Datos!$D$2:$D$27777,$B52,Datos!$F$2:$F$27777,"STANDBY"),"")</f>
        <v/>
      </c>
      <c r="E52" s="7">
        <f>IFERROR(_xlfn.MINIFS(Datos!$G$2:$G$27777,Datos!$E$2:$E$27777,$A52,Datos!$D$2:$D$27777,$B52,Datos!$F$2:$F$27777,"STANDBY"),"")</f>
        <v/>
      </c>
      <c r="F52" s="7">
        <f>IFERROR(ROUND(AVERAGEIFS(Datos!$G$2:$G$27777,Datos!$E$2:$E$27777,$A52,Datos!$D$2:$D$27777,$B52,Datos!$F$2:$F$27777,"SINGLE_RIDER"),1),"")</f>
        <v/>
      </c>
      <c r="G52" s="7">
        <f>COUNTIFS(Datos!$E$2:$E$27777,$A52,Datos!$D$2:$D$27777,$B52,Datos!$F$2:$F$27777,"STANDBY")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IFERROR(ROUND(AVERAGEIFS(Datos!$G$2:$G$27777,Datos!$E$2:$E$27777,$A53,Datos!$D$2:$D$27777,$B53,Datos!$F$2:$F$27777,"STANDBY"),1),"")</f>
        <v/>
      </c>
      <c r="D53" s="5">
        <f>IFERROR(_xlfn.MAXIFS(Datos!$G$2:$G$27777,Datos!$E$2:$E$27777,$A53,Datos!$D$2:$D$27777,$B53,Datos!$F$2:$F$27777,"STANDBY"),"")</f>
        <v/>
      </c>
      <c r="E53" s="5">
        <f>IFERROR(_xlfn.MINIFS(Datos!$G$2:$G$27777,Datos!$E$2:$E$27777,$A53,Datos!$D$2:$D$27777,$B53,Datos!$F$2:$F$27777,"STANDBY"),"")</f>
        <v/>
      </c>
      <c r="F53" s="5">
        <f>IFERROR(ROUND(AVERAGEIFS(Datos!$G$2:$G$27777,Datos!$E$2:$E$27777,$A53,Datos!$D$2:$D$27777,$B53,Datos!$F$2:$F$27777,"SINGLE_RIDER"),1),"")</f>
        <v/>
      </c>
      <c r="G53" s="5">
        <f>COUNTIFS(Datos!$E$2:$E$27777,$A53,Datos!$D$2:$D$27777,$B53,Datos!$F$2:$F$27777,"STANDBY")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IFERROR(ROUND(AVERAGEIFS(Datos!$G$2:$G$27777,Datos!$E$2:$E$27777,$A54,Datos!$D$2:$D$27777,$B54,Datos!$F$2:$F$27777,"STANDBY"),1),"")</f>
        <v/>
      </c>
      <c r="D54" s="7">
        <f>IFERROR(_xlfn.MAXIFS(Datos!$G$2:$G$27777,Datos!$E$2:$E$27777,$A54,Datos!$D$2:$D$27777,$B54,Datos!$F$2:$F$27777,"STANDBY"),"")</f>
        <v/>
      </c>
      <c r="E54" s="7">
        <f>IFERROR(_xlfn.MINIFS(Datos!$G$2:$G$27777,Datos!$E$2:$E$27777,$A54,Datos!$D$2:$D$27777,$B54,Datos!$F$2:$F$27777,"STANDBY"),"")</f>
        <v/>
      </c>
      <c r="F54" s="7">
        <f>IFERROR(ROUND(AVERAGEIFS(Datos!$G$2:$G$27777,Datos!$E$2:$E$27777,$A54,Datos!$D$2:$D$27777,$B54,Datos!$F$2:$F$27777,"SINGLE_RIDER"),1),"")</f>
        <v/>
      </c>
      <c r="G54" s="7">
        <f>COUNTIFS(Datos!$E$2:$E$27777,$A54,Datos!$D$2:$D$27777,$B54,Datos!$F$2:$F$27777,"STANDBY")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IFERROR(ROUND(AVERAGEIFS(Datos!$G$2:$G$27777,Datos!$E$2:$E$27777,$A55,Datos!$D$2:$D$27777,$B55,Datos!$F$2:$F$27777,"STANDBY"),1),"")</f>
        <v/>
      </c>
      <c r="D55" s="5">
        <f>IFERROR(_xlfn.MAXIFS(Datos!$G$2:$G$27777,Datos!$E$2:$E$27777,$A55,Datos!$D$2:$D$27777,$B55,Datos!$F$2:$F$27777,"STANDBY"),"")</f>
        <v/>
      </c>
      <c r="E55" s="5">
        <f>IFERROR(_xlfn.MINIFS(Datos!$G$2:$G$27777,Datos!$E$2:$E$27777,$A55,Datos!$D$2:$D$27777,$B55,Datos!$F$2:$F$27777,"STANDBY"),"")</f>
        <v/>
      </c>
      <c r="F55" s="5">
        <f>IFERROR(ROUND(AVERAGEIFS(Datos!$G$2:$G$27777,Datos!$E$2:$E$27777,$A55,Datos!$D$2:$D$27777,$B55,Datos!$F$2:$F$27777,"SINGLE_RIDER"),1),"")</f>
        <v/>
      </c>
      <c r="G55" s="5">
        <f>COUNTIFS(Datos!$E$2:$E$27777,$A55,Datos!$D$2:$D$27777,$B55,Datos!$F$2:$F$27777,"STANDBY")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IFERROR(ROUND(AVERAGEIFS(Datos!$G$2:$G$27777,Datos!$E$2:$E$27777,$A56,Datos!$D$2:$D$27777,$B56,Datos!$F$2:$F$27777,"STANDBY"),1),"")</f>
        <v/>
      </c>
      <c r="D56" s="7">
        <f>IFERROR(_xlfn.MAXIFS(Datos!$G$2:$G$27777,Datos!$E$2:$E$27777,$A56,Datos!$D$2:$D$27777,$B56,Datos!$F$2:$F$27777,"STANDBY"),"")</f>
        <v/>
      </c>
      <c r="E56" s="7">
        <f>IFERROR(_xlfn.MINIFS(Datos!$G$2:$G$27777,Datos!$E$2:$E$27777,$A56,Datos!$D$2:$D$27777,$B56,Datos!$F$2:$F$27777,"STANDBY"),"")</f>
        <v/>
      </c>
      <c r="F56" s="7">
        <f>IFERROR(ROUND(AVERAGEIFS(Datos!$G$2:$G$27777,Datos!$E$2:$E$27777,$A56,Datos!$D$2:$D$27777,$B56,Datos!$F$2:$F$27777,"SINGLE_RIDER"),1),"")</f>
        <v/>
      </c>
      <c r="G56" s="7">
        <f>COUNTIFS(Datos!$E$2:$E$27777,$A56,Datos!$D$2:$D$27777,$B56,Datos!$F$2:$F$27777,"STANDBY")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IFERROR(ROUND(AVERAGEIFS(Datos!$G$2:$G$27777,Datos!$E$2:$E$27777,$A57,Datos!$D$2:$D$27777,$B57,Datos!$F$2:$F$27777,"STANDBY"),1),"")</f>
        <v/>
      </c>
      <c r="D57" s="5">
        <f>IFERROR(_xlfn.MAXIFS(Datos!$G$2:$G$27777,Datos!$E$2:$E$27777,$A57,Datos!$D$2:$D$27777,$B57,Datos!$F$2:$F$27777,"STANDBY"),"")</f>
        <v/>
      </c>
      <c r="E57" s="5">
        <f>IFERROR(_xlfn.MINIFS(Datos!$G$2:$G$27777,Datos!$E$2:$E$27777,$A57,Datos!$D$2:$D$27777,$B57,Datos!$F$2:$F$27777,"STANDBY"),"")</f>
        <v/>
      </c>
      <c r="F57" s="5">
        <f>IFERROR(ROUND(AVERAGEIFS(Datos!$G$2:$G$27777,Datos!$E$2:$E$27777,$A57,Datos!$D$2:$D$27777,$B57,Datos!$F$2:$F$27777,"SINGLE_RIDER"),1),"")</f>
        <v/>
      </c>
      <c r="G57" s="5">
        <f>COUNTIFS(Datos!$E$2:$E$27777,$A57,Datos!$D$2:$D$27777,$B57,Datos!$F$2:$F$27777,"STANDBY")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IFERROR(ROUND(AVERAGEIFS(Datos!$G$2:$G$27777,Datos!$E$2:$E$27777,$A58,Datos!$D$2:$D$27777,$B58,Datos!$F$2:$F$27777,"STANDBY"),1),"")</f>
        <v/>
      </c>
      <c r="D58" s="7">
        <f>IFERROR(_xlfn.MAXIFS(Datos!$G$2:$G$27777,Datos!$E$2:$E$27777,$A58,Datos!$D$2:$D$27777,$B58,Datos!$F$2:$F$27777,"STANDBY"),"")</f>
        <v/>
      </c>
      <c r="E58" s="7">
        <f>IFERROR(_xlfn.MINIFS(Datos!$G$2:$G$27777,Datos!$E$2:$E$27777,$A58,Datos!$D$2:$D$27777,$B58,Datos!$F$2:$F$27777,"STANDBY"),"")</f>
        <v/>
      </c>
      <c r="F58" s="7">
        <f>IFERROR(ROUND(AVERAGEIFS(Datos!$G$2:$G$27777,Datos!$E$2:$E$27777,$A58,Datos!$D$2:$D$27777,$B58,Datos!$F$2:$F$27777,"SINGLE_RIDER"),1),"")</f>
        <v/>
      </c>
      <c r="G58" s="7">
        <f>COUNTIFS(Datos!$E$2:$E$27777,$A58,Datos!$D$2:$D$27777,$B58,Datos!$F$2:$F$27777,"STANDBY")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IFERROR(ROUND(AVERAGEIFS(Datos!$G$2:$G$27777,Datos!$E$2:$E$27777,$A59,Datos!$D$2:$D$27777,$B59,Datos!$F$2:$F$27777,"STANDBY"),1),"")</f>
        <v/>
      </c>
      <c r="D59" s="5">
        <f>IFERROR(_xlfn.MAXIFS(Datos!$G$2:$G$27777,Datos!$E$2:$E$27777,$A59,Datos!$D$2:$D$27777,$B59,Datos!$F$2:$F$27777,"STANDBY"),"")</f>
        <v/>
      </c>
      <c r="E59" s="5">
        <f>IFERROR(_xlfn.MINIFS(Datos!$G$2:$G$27777,Datos!$E$2:$E$27777,$A59,Datos!$D$2:$D$27777,$B59,Datos!$F$2:$F$27777,"STANDBY"),"")</f>
        <v/>
      </c>
      <c r="F59" s="5">
        <f>IFERROR(ROUND(AVERAGEIFS(Datos!$G$2:$G$27777,Datos!$E$2:$E$27777,$A59,Datos!$D$2:$D$27777,$B59,Datos!$F$2:$F$27777,"SINGLE_RIDER"),1),"")</f>
        <v/>
      </c>
      <c r="G59" s="5">
        <f>COUNTIFS(Datos!$E$2:$E$27777,$A59,Datos!$D$2:$D$27777,$B59,Datos!$F$2:$F$27777,"STANDBY")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IFERROR(ROUND(AVERAGEIFS(Datos!$G$2:$G$27777,Datos!$E$2:$E$27777,$A60,Datos!$D$2:$D$27777,$B60,Datos!$F$2:$F$27777,"STANDBY"),1),"")</f>
        <v/>
      </c>
      <c r="D60" s="7">
        <f>IFERROR(_xlfn.MAXIFS(Datos!$G$2:$G$27777,Datos!$E$2:$E$27777,$A60,Datos!$D$2:$D$27777,$B60,Datos!$F$2:$F$27777,"STANDBY"),"")</f>
        <v/>
      </c>
      <c r="E60" s="7">
        <f>IFERROR(_xlfn.MINIFS(Datos!$G$2:$G$27777,Datos!$E$2:$E$27777,$A60,Datos!$D$2:$D$27777,$B60,Datos!$F$2:$F$27777,"STANDBY"),"")</f>
        <v/>
      </c>
      <c r="F60" s="7">
        <f>IFERROR(ROUND(AVERAGEIFS(Datos!$G$2:$G$27777,Datos!$E$2:$E$27777,$A60,Datos!$D$2:$D$27777,$B60,Datos!$F$2:$F$27777,"SINGLE_RIDER"),1),"")</f>
        <v/>
      </c>
      <c r="G60" s="7">
        <f>COUNTIFS(Datos!$E$2:$E$27777,$A60,Datos!$D$2:$D$27777,$B60,Datos!$F$2:$F$27777,"STANDBY")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IFERROR(ROUND(AVERAGEIFS(Datos!$G$2:$G$27777,Datos!$E$2:$E$27777,$A61,Datos!$D$2:$D$27777,$B61,Datos!$F$2:$F$27777,"STANDBY"),1),"")</f>
        <v/>
      </c>
      <c r="D61" s="5">
        <f>IFERROR(_xlfn.MAXIFS(Datos!$G$2:$G$27777,Datos!$E$2:$E$27777,$A61,Datos!$D$2:$D$27777,$B61,Datos!$F$2:$F$27777,"STANDBY"),"")</f>
        <v/>
      </c>
      <c r="E61" s="5">
        <f>IFERROR(_xlfn.MINIFS(Datos!$G$2:$G$27777,Datos!$E$2:$E$27777,$A61,Datos!$D$2:$D$27777,$B61,Datos!$F$2:$F$27777,"STANDBY"),"")</f>
        <v/>
      </c>
      <c r="F61" s="5">
        <f>IFERROR(ROUND(AVERAGEIFS(Datos!$G$2:$G$27777,Datos!$E$2:$E$27777,$A61,Datos!$D$2:$D$27777,$B61,Datos!$F$2:$F$27777,"SINGLE_RIDER"),1),"")</f>
        <v/>
      </c>
      <c r="G61" s="5">
        <f>COUNTIFS(Datos!$E$2:$E$27777,$A61,Datos!$D$2:$D$27777,$B61,Datos!$F$2:$F$27777,"STANDBY")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IFERROR(ROUND(AVERAGEIFS(Datos!$G$2:$G$27777,Datos!$E$2:$E$27777,$A62,Datos!$D$2:$D$27777,$B62,Datos!$F$2:$F$27777,"STANDBY"),1),"")</f>
        <v/>
      </c>
      <c r="D62" s="7">
        <f>IFERROR(_xlfn.MAXIFS(Datos!$G$2:$G$27777,Datos!$E$2:$E$27777,$A62,Datos!$D$2:$D$27777,$B62,Datos!$F$2:$F$27777,"STANDBY"),"")</f>
        <v/>
      </c>
      <c r="E62" s="7">
        <f>IFERROR(_xlfn.MINIFS(Datos!$G$2:$G$27777,Datos!$E$2:$E$27777,$A62,Datos!$D$2:$D$27777,$B62,Datos!$F$2:$F$27777,"STANDBY"),"")</f>
        <v/>
      </c>
      <c r="F62" s="7">
        <f>IFERROR(ROUND(AVERAGEIFS(Datos!$G$2:$G$27777,Datos!$E$2:$E$27777,$A62,Datos!$D$2:$D$27777,$B62,Datos!$F$2:$F$27777,"SINGLE_RIDER"),1),"")</f>
        <v/>
      </c>
      <c r="G62" s="7">
        <f>COUNTIFS(Datos!$E$2:$E$27777,$A62,Datos!$D$2:$D$27777,$B62,Datos!$F$2:$F$27777,"STANDBY")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IFERROR(ROUND(AVERAGEIFS(Datos!$G$2:$G$27777,Datos!$E$2:$E$27777,$A63,Datos!$D$2:$D$27777,$B63,Datos!$F$2:$F$27777,"STANDBY"),1),"")</f>
        <v/>
      </c>
      <c r="D63" s="5">
        <f>IFERROR(_xlfn.MAXIFS(Datos!$G$2:$G$27777,Datos!$E$2:$E$27777,$A63,Datos!$D$2:$D$27777,$B63,Datos!$F$2:$F$27777,"STANDBY"),"")</f>
        <v/>
      </c>
      <c r="E63" s="5">
        <f>IFERROR(_xlfn.MINIFS(Datos!$G$2:$G$27777,Datos!$E$2:$E$27777,$A63,Datos!$D$2:$D$27777,$B63,Datos!$F$2:$F$27777,"STANDBY"),"")</f>
        <v/>
      </c>
      <c r="F63" s="5">
        <f>IFERROR(ROUND(AVERAGEIFS(Datos!$G$2:$G$27777,Datos!$E$2:$E$27777,$A63,Datos!$D$2:$D$27777,$B63,Datos!$F$2:$F$27777,"SINGLE_RIDER"),1),"")</f>
        <v/>
      </c>
      <c r="G63" s="5">
        <f>COUNTIFS(Datos!$E$2:$E$27777,$A63,Datos!$D$2:$D$27777,$B63,Datos!$F$2:$F$27777,"STANDBY")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IFERROR(ROUND(AVERAGEIFS(Datos!$G$2:$G$27777,Datos!$E$2:$E$27777,$A64,Datos!$D$2:$D$27777,$B64,Datos!$F$2:$F$27777,"STANDBY"),1),"")</f>
        <v/>
      </c>
      <c r="D64" s="7">
        <f>IFERROR(_xlfn.MAXIFS(Datos!$G$2:$G$27777,Datos!$E$2:$E$27777,$A64,Datos!$D$2:$D$27777,$B64,Datos!$F$2:$F$27777,"STANDBY"),"")</f>
        <v/>
      </c>
      <c r="E64" s="7">
        <f>IFERROR(_xlfn.MINIFS(Datos!$G$2:$G$27777,Datos!$E$2:$E$27777,$A64,Datos!$D$2:$D$27777,$B64,Datos!$F$2:$F$27777,"STANDBY"),"")</f>
        <v/>
      </c>
      <c r="F64" s="7">
        <f>IFERROR(ROUND(AVERAGEIFS(Datos!$G$2:$G$27777,Datos!$E$2:$E$27777,$A64,Datos!$D$2:$D$27777,$B64,Datos!$F$2:$F$27777,"SINGLE_RIDER"),1),"")</f>
        <v/>
      </c>
      <c r="G64" s="7">
        <f>COUNTIFS(Datos!$E$2:$E$27777,$A64,Datos!$D$2:$D$27777,$B64,Datos!$F$2:$F$27777,"STANDBY")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IFERROR(ROUND(AVERAGEIFS(Datos!$G$2:$G$27777,Datos!$E$2:$E$27777,$A65,Datos!$D$2:$D$27777,$B65,Datos!$F$2:$F$27777,"STANDBY"),1),"")</f>
        <v/>
      </c>
      <c r="D65" s="5">
        <f>IFERROR(_xlfn.MAXIFS(Datos!$G$2:$G$27777,Datos!$E$2:$E$27777,$A65,Datos!$D$2:$D$27777,$B65,Datos!$F$2:$F$27777,"STANDBY"),"")</f>
        <v/>
      </c>
      <c r="E65" s="5">
        <f>IFERROR(_xlfn.MINIFS(Datos!$G$2:$G$27777,Datos!$E$2:$E$27777,$A65,Datos!$D$2:$D$27777,$B65,Datos!$F$2:$F$27777,"STANDBY"),"")</f>
        <v/>
      </c>
      <c r="F65" s="5">
        <f>IFERROR(ROUND(AVERAGEIFS(Datos!$G$2:$G$27777,Datos!$E$2:$E$27777,$A65,Datos!$D$2:$D$27777,$B65,Datos!$F$2:$F$27777,"SINGLE_RIDER"),1),"")</f>
        <v/>
      </c>
      <c r="G65" s="5">
        <f>COUNTIFS(Datos!$E$2:$E$27777,$A65,Datos!$D$2:$D$27777,$B65,Datos!$F$2:$F$27777,"STANDBY")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77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  <row r="24678">
      <c r="A24678" s="8" t="inlineStr">
        <is>
          <t>2026-08-05</t>
        </is>
      </c>
      <c r="B24678" s="8" t="n">
        <v>13</v>
      </c>
      <c r="C24678" s="8" t="n">
        <v>8</v>
      </c>
      <c r="D24678" s="8" t="inlineStr">
        <is>
          <t>Disneyland Park</t>
        </is>
      </c>
      <c r="E24678" s="8" t="inlineStr">
        <is>
          <t>Adventure Isle</t>
        </is>
      </c>
      <c r="F24678" s="8" t="inlineStr">
        <is>
          <t>STANDBY</t>
        </is>
      </c>
      <c r="G24678" s="8" t="n">
        <v>0</v>
      </c>
      <c r="H24678" s="8" t="inlineStr">
        <is>
          <t>OPERATING</t>
        </is>
      </c>
    </row>
    <row r="24679">
      <c r="A24679" s="8" t="inlineStr">
        <is>
          <t>2026-08-05</t>
        </is>
      </c>
      <c r="B24679" s="8" t="n">
        <v>13</v>
      </c>
      <c r="C24679" s="8" t="n">
        <v>8</v>
      </c>
      <c r="D24679" s="8" t="inlineStr">
        <is>
          <t>Disneyland Park</t>
        </is>
      </c>
      <c r="E24679" s="8" t="inlineStr">
        <is>
          <t>Indiana Jones and the Temple of Peril Single Rider</t>
        </is>
      </c>
      <c r="F24679" s="8" t="inlineStr">
        <is>
          <t>STANDBY</t>
        </is>
      </c>
      <c r="G24679" s="8" t="n">
        <v>15</v>
      </c>
      <c r="H24679" s="8" t="inlineStr">
        <is>
          <t>OPERATING</t>
        </is>
      </c>
    </row>
    <row r="24680">
      <c r="A24680" s="8" t="inlineStr">
        <is>
          <t>2026-08-05</t>
        </is>
      </c>
      <c r="B24680" s="8" t="n">
        <v>13</v>
      </c>
      <c r="C24680" s="8" t="n">
        <v>8</v>
      </c>
      <c r="D24680" s="8" t="inlineStr">
        <is>
          <t>Disneyland Park</t>
        </is>
      </c>
      <c r="E24680" s="8" t="inlineStr">
        <is>
          <t>Indiana Jones™ and the Temple of Peril</t>
        </is>
      </c>
      <c r="F24680" s="8" t="inlineStr">
        <is>
          <t>STANDBY</t>
        </is>
      </c>
      <c r="G24680" s="8" t="n">
        <v>40</v>
      </c>
      <c r="H24680" s="8" t="inlineStr">
        <is>
          <t>OPERATING</t>
        </is>
      </c>
    </row>
    <row r="24681">
      <c r="A24681" s="8" t="inlineStr">
        <is>
          <t>2026-08-05</t>
        </is>
      </c>
      <c r="B24681" s="8" t="n">
        <v>13</v>
      </c>
      <c r="C24681" s="8" t="n">
        <v>8</v>
      </c>
      <c r="D24681" s="8" t="inlineStr">
        <is>
          <t>Disneyland Park</t>
        </is>
      </c>
      <c r="E24681" s="8" t="inlineStr">
        <is>
          <t>La Cabane des Robinson</t>
        </is>
      </c>
      <c r="F24681" s="8" t="inlineStr">
        <is>
          <t>STANDBY</t>
        </is>
      </c>
      <c r="G24681" s="8" t="n">
        <v>5</v>
      </c>
      <c r="H24681" s="8" t="inlineStr">
        <is>
          <t>OPERATING</t>
        </is>
      </c>
    </row>
    <row r="24682">
      <c r="A24682" s="8" t="inlineStr">
        <is>
          <t>2026-08-05</t>
        </is>
      </c>
      <c r="B24682" s="8" t="n">
        <v>13</v>
      </c>
      <c r="C24682" s="8" t="n">
        <v>8</v>
      </c>
      <c r="D24682" s="8" t="inlineStr">
        <is>
          <t>Disneyland Park</t>
        </is>
      </c>
      <c r="E24682" s="8" t="inlineStr">
        <is>
          <t>Le Passage Enchanté d'Aladdin</t>
        </is>
      </c>
      <c r="F24682" s="8" t="inlineStr">
        <is>
          <t>STANDBY</t>
        </is>
      </c>
      <c r="G24682" s="8" t="n">
        <v>0</v>
      </c>
      <c r="H24682" s="8" t="inlineStr">
        <is>
          <t>OPERATING</t>
        </is>
      </c>
    </row>
    <row r="24683">
      <c r="A24683" s="8" t="inlineStr">
        <is>
          <t>2026-08-05</t>
        </is>
      </c>
      <c r="B24683" s="8" t="n">
        <v>13</v>
      </c>
      <c r="C24683" s="8" t="n">
        <v>8</v>
      </c>
      <c r="D24683" s="8" t="inlineStr">
        <is>
          <t>Disneyland Park</t>
        </is>
      </c>
      <c r="E24683" s="8" t="inlineStr">
        <is>
          <t>Pirate Galleon</t>
        </is>
      </c>
      <c r="F24683" s="8" t="inlineStr">
        <is>
          <t>STANDBY</t>
        </is>
      </c>
      <c r="G24683" s="8" t="n">
        <v>0</v>
      </c>
      <c r="H24683" s="8" t="inlineStr">
        <is>
          <t>CLOSED</t>
        </is>
      </c>
    </row>
    <row r="24684">
      <c r="A24684" s="8" t="inlineStr">
        <is>
          <t>2026-08-05</t>
        </is>
      </c>
      <c r="B24684" s="8" t="n">
        <v>13</v>
      </c>
      <c r="C24684" s="8" t="n">
        <v>8</v>
      </c>
      <c r="D24684" s="8" t="inlineStr">
        <is>
          <t>Disneyland Park</t>
        </is>
      </c>
      <c r="E24684" s="8" t="inlineStr">
        <is>
          <t>Pirates of the Caribbean</t>
        </is>
      </c>
      <c r="F24684" s="8" t="inlineStr">
        <is>
          <t>STANDBY</t>
        </is>
      </c>
      <c r="G24684" s="8" t="n">
        <v>25</v>
      </c>
      <c r="H24684" s="8" t="inlineStr">
        <is>
          <t>OPERATING</t>
        </is>
      </c>
    </row>
    <row r="24685">
      <c r="A24685" s="8" t="inlineStr">
        <is>
          <t>2026-08-05</t>
        </is>
      </c>
      <c r="B24685" s="8" t="n">
        <v>13</v>
      </c>
      <c r="C24685" s="8" t="n">
        <v>8</v>
      </c>
      <c r="D24685" s="8" t="inlineStr">
        <is>
          <t>Disneyland Park</t>
        </is>
      </c>
      <c r="E24685" s="8" t="inlineStr">
        <is>
          <t>Pirates' Beach</t>
        </is>
      </c>
      <c r="F24685" s="8" t="inlineStr">
        <is>
          <t>STANDBY</t>
        </is>
      </c>
      <c r="G24685" s="8" t="n">
        <v>0</v>
      </c>
      <c r="H24685" s="8" t="inlineStr">
        <is>
          <t>OPERATING</t>
        </is>
      </c>
    </row>
    <row r="24686">
      <c r="A24686" s="8" t="inlineStr">
        <is>
          <t>2026-08-05</t>
        </is>
      </c>
      <c r="B24686" s="8" t="n">
        <v>13</v>
      </c>
      <c r="C24686" s="8" t="n">
        <v>8</v>
      </c>
      <c r="D24686" s="8" t="inlineStr">
        <is>
          <t>Disneyland Park</t>
        </is>
      </c>
      <c r="E24686" s="8" t="inlineStr">
        <is>
          <t>Autopia, presented by Avis</t>
        </is>
      </c>
      <c r="F24686" s="8" t="inlineStr">
        <is>
          <t>STANDBY</t>
        </is>
      </c>
      <c r="G24686" s="8" t="n">
        <v>40</v>
      </c>
      <c r="H24686" s="8" t="inlineStr">
        <is>
          <t>OPERATING</t>
        </is>
      </c>
    </row>
    <row r="24687">
      <c r="A24687" s="8" t="inlineStr">
        <is>
          <t>2026-08-05</t>
        </is>
      </c>
      <c r="B24687" s="8" t="n">
        <v>13</v>
      </c>
      <c r="C24687" s="8" t="n">
        <v>8</v>
      </c>
      <c r="D24687" s="8" t="inlineStr">
        <is>
          <t>Disneyland Park</t>
        </is>
      </c>
      <c r="E24687" s="8" t="inlineStr">
        <is>
          <t>Buzz Lightyear Laser Blast</t>
        </is>
      </c>
      <c r="F24687" s="8" t="inlineStr">
        <is>
          <t>STANDBY</t>
        </is>
      </c>
      <c r="G24687" s="8" t="n">
        <v>50</v>
      </c>
      <c r="H24687" s="8" t="inlineStr">
        <is>
          <t>OPERATING</t>
        </is>
      </c>
    </row>
    <row r="24688">
      <c r="A24688" s="8" t="inlineStr">
        <is>
          <t>2026-08-05</t>
        </is>
      </c>
      <c r="B24688" s="8" t="n">
        <v>13</v>
      </c>
      <c r="C24688" s="8" t="n">
        <v>8</v>
      </c>
      <c r="D24688" s="8" t="inlineStr">
        <is>
          <t>Disneyland Park</t>
        </is>
      </c>
      <c r="E24688" s="8" t="inlineStr">
        <is>
          <t>Disneyland Railroad Discoveryland Station</t>
        </is>
      </c>
      <c r="F24688" s="8" t="inlineStr">
        <is>
          <t>STANDBY</t>
        </is>
      </c>
      <c r="G24688" s="8" t="n">
        <v>0</v>
      </c>
      <c r="H24688" s="8" t="inlineStr">
        <is>
          <t>CLOSED</t>
        </is>
      </c>
    </row>
    <row r="24689">
      <c r="A24689" s="8" t="inlineStr">
        <is>
          <t>2026-08-05</t>
        </is>
      </c>
      <c r="B24689" s="8" t="n">
        <v>13</v>
      </c>
      <c r="C24689" s="8" t="n">
        <v>8</v>
      </c>
      <c r="D24689" s="8" t="inlineStr">
        <is>
          <t>Disneyland Park</t>
        </is>
      </c>
      <c r="E24689" s="8" t="inlineStr">
        <is>
          <t>Les Mystères du Nautilus</t>
        </is>
      </c>
      <c r="F24689" s="8" t="inlineStr">
        <is>
          <t>STANDBY</t>
        </is>
      </c>
      <c r="G24689" s="8" t="n">
        <v>5</v>
      </c>
      <c r="H24689" s="8" t="inlineStr">
        <is>
          <t>OPERATING</t>
        </is>
      </c>
    </row>
    <row r="24690">
      <c r="A24690" s="8" t="inlineStr">
        <is>
          <t>2026-08-05</t>
        </is>
      </c>
      <c r="B24690" s="8" t="n">
        <v>13</v>
      </c>
      <c r="C24690" s="8" t="n">
        <v>8</v>
      </c>
      <c r="D24690" s="8" t="inlineStr">
        <is>
          <t>Disneyland Park</t>
        </is>
      </c>
      <c r="E24690" s="8" t="inlineStr">
        <is>
          <t>Mickey’s PhilharMagic</t>
        </is>
      </c>
      <c r="F24690" s="8" t="inlineStr">
        <is>
          <t>STANDBY</t>
        </is>
      </c>
      <c r="G24690" s="8" t="n">
        <v>0</v>
      </c>
      <c r="H24690" s="8" t="inlineStr">
        <is>
          <t>OPERATING</t>
        </is>
      </c>
    </row>
    <row r="24691">
      <c r="A24691" s="8" t="inlineStr">
        <is>
          <t>2026-08-05</t>
        </is>
      </c>
      <c r="B24691" s="8" t="n">
        <v>13</v>
      </c>
      <c r="C24691" s="8" t="n">
        <v>8</v>
      </c>
      <c r="D24691" s="8" t="inlineStr">
        <is>
          <t>Disneyland Park</t>
        </is>
      </c>
      <c r="E24691" s="8" t="inlineStr">
        <is>
          <t>Orbitron®</t>
        </is>
      </c>
      <c r="F24691" s="8" t="inlineStr">
        <is>
          <t>STANDBY</t>
        </is>
      </c>
      <c r="G24691" s="8" t="n">
        <v>60</v>
      </c>
      <c r="H24691" s="8" t="inlineStr">
        <is>
          <t>OPERATING</t>
        </is>
      </c>
    </row>
    <row r="24692">
      <c r="A24692" s="8" t="inlineStr">
        <is>
          <t>2026-08-05</t>
        </is>
      </c>
      <c r="B24692" s="8" t="n">
        <v>13</v>
      </c>
      <c r="C24692" s="8" t="n">
        <v>8</v>
      </c>
      <c r="D24692" s="8" t="inlineStr">
        <is>
          <t>Disneyland Park</t>
        </is>
      </c>
      <c r="E24692" s="8" t="inlineStr">
        <is>
          <t>Star Tours: The Adventures Continue*</t>
        </is>
      </c>
      <c r="F24692" s="8" t="inlineStr">
        <is>
          <t>STANDBY</t>
        </is>
      </c>
      <c r="G24692" s="8" t="n">
        <v>20</v>
      </c>
      <c r="H24692" s="8" t="inlineStr">
        <is>
          <t>OPERATING</t>
        </is>
      </c>
    </row>
    <row r="24693">
      <c r="A24693" s="8" t="inlineStr">
        <is>
          <t>2026-08-05</t>
        </is>
      </c>
      <c r="B24693" s="8" t="n">
        <v>13</v>
      </c>
      <c r="C24693" s="8" t="n">
        <v>8</v>
      </c>
      <c r="D24693" s="8" t="inlineStr">
        <is>
          <t>Disneyland Park</t>
        </is>
      </c>
      <c r="E24693" s="8" t="inlineStr">
        <is>
          <t>Star Wars Hyperspace Mountain</t>
        </is>
      </c>
      <c r="F24693" s="8" t="inlineStr">
        <is>
          <t>STANDBY</t>
        </is>
      </c>
      <c r="G24693" s="8" t="n">
        <v>45</v>
      </c>
      <c r="H24693" s="8" t="inlineStr">
        <is>
          <t>OPERATING</t>
        </is>
      </c>
    </row>
    <row r="24694">
      <c r="A24694" s="8" t="inlineStr">
        <is>
          <t>2026-08-05</t>
        </is>
      </c>
      <c r="B24694" s="8" t="n">
        <v>13</v>
      </c>
      <c r="C24694" s="8" t="n">
        <v>8</v>
      </c>
      <c r="D24694" s="8" t="inlineStr">
        <is>
          <t>Disneyland Park</t>
        </is>
      </c>
      <c r="E24694" s="8" t="inlineStr">
        <is>
          <t>Star Wars Hyperspace Mountain Single Rider</t>
        </is>
      </c>
      <c r="F24694" s="8" t="inlineStr">
        <is>
          <t>STANDBY</t>
        </is>
      </c>
      <c r="G24694" s="8" t="n">
        <v>25</v>
      </c>
      <c r="H24694" s="8" t="inlineStr">
        <is>
          <t>OPERATING</t>
        </is>
      </c>
    </row>
    <row r="24695">
      <c r="A24695" s="8" t="inlineStr">
        <is>
          <t>2026-08-05</t>
        </is>
      </c>
      <c r="B24695" s="8" t="n">
        <v>13</v>
      </c>
      <c r="C24695" s="8" t="n">
        <v>8</v>
      </c>
      <c r="D24695" s="8" t="inlineStr">
        <is>
          <t>Disneyland Park</t>
        </is>
      </c>
      <c r="E24695" s="8" t="inlineStr">
        <is>
          <t>Welcome to Starport: A Star Wars Encounter</t>
        </is>
      </c>
      <c r="F24695" s="8" t="inlineStr">
        <is>
          <t>STANDBY</t>
        </is>
      </c>
      <c r="G24695" s="8" t="n">
        <v>30</v>
      </c>
      <c r="H24695" s="8" t="inlineStr">
        <is>
          <t>OPERATING</t>
        </is>
      </c>
    </row>
    <row r="24696">
      <c r="A24696" s="8" t="inlineStr">
        <is>
          <t>2026-08-05</t>
        </is>
      </c>
      <c r="B24696" s="8" t="n">
        <v>13</v>
      </c>
      <c r="C24696" s="8" t="n">
        <v>8</v>
      </c>
      <c r="D24696" s="8" t="inlineStr">
        <is>
          <t>Disneyland Park</t>
        </is>
      </c>
      <c r="E24696" s="8" t="inlineStr">
        <is>
          <t>"it's a small world"</t>
        </is>
      </c>
      <c r="F24696" s="8" t="inlineStr">
        <is>
          <t>STANDBY</t>
        </is>
      </c>
      <c r="G24696" s="8" t="n">
        <v>25</v>
      </c>
      <c r="H24696" s="8" t="inlineStr">
        <is>
          <t>OPERATING</t>
        </is>
      </c>
    </row>
    <row r="24697">
      <c r="A24697" s="8" t="inlineStr">
        <is>
          <t>2026-08-05</t>
        </is>
      </c>
      <c r="B24697" s="8" t="n">
        <v>13</v>
      </c>
      <c r="C24697" s="8" t="n">
        <v>8</v>
      </c>
      <c r="D24697" s="8" t="inlineStr">
        <is>
          <t>Disneyland Park</t>
        </is>
      </c>
      <c r="E24697" s="8" t="inlineStr">
        <is>
          <t>Alice's Curious Labyrinth</t>
        </is>
      </c>
      <c r="F24697" s="8" t="inlineStr">
        <is>
          <t>STANDBY</t>
        </is>
      </c>
      <c r="G24697" s="8" t="n">
        <v>5</v>
      </c>
      <c r="H24697" s="8" t="inlineStr">
        <is>
          <t>OPERATING</t>
        </is>
      </c>
    </row>
    <row r="24698">
      <c r="A24698" s="8" t="inlineStr">
        <is>
          <t>2026-08-05</t>
        </is>
      </c>
      <c r="B24698" s="8" t="n">
        <v>13</v>
      </c>
      <c r="C24698" s="8" t="n">
        <v>8</v>
      </c>
      <c r="D24698" s="8" t="inlineStr">
        <is>
          <t>Disneyland Park</t>
        </is>
      </c>
      <c r="E24698" s="8" t="inlineStr">
        <is>
          <t>Blanche-Neige et les Sept Nains®</t>
        </is>
      </c>
      <c r="F24698" s="8" t="inlineStr">
        <is>
          <t>STANDBY</t>
        </is>
      </c>
      <c r="G24698" s="8" t="n">
        <v>35</v>
      </c>
      <c r="H24698" s="8" t="inlineStr">
        <is>
          <t>OPERATING</t>
        </is>
      </c>
    </row>
    <row r="24699">
      <c r="A24699" s="8" t="inlineStr">
        <is>
          <t>2026-08-05</t>
        </is>
      </c>
      <c r="B24699" s="8" t="n">
        <v>13</v>
      </c>
      <c r="C24699" s="8" t="n">
        <v>8</v>
      </c>
      <c r="D24699" s="8" t="inlineStr">
        <is>
          <t>Disneyland Park</t>
        </is>
      </c>
      <c r="E24699" s="8" t="inlineStr">
        <is>
          <t>Casey Jr. – le Petit Train du Cirque</t>
        </is>
      </c>
      <c r="F24699" s="8" t="inlineStr">
        <is>
          <t>STANDBY</t>
        </is>
      </c>
      <c r="G24699" s="8" t="n">
        <v>15</v>
      </c>
      <c r="H24699" s="8" t="inlineStr">
        <is>
          <t>OPERATING</t>
        </is>
      </c>
    </row>
    <row r="24700">
      <c r="A24700" s="8" t="inlineStr">
        <is>
          <t>2026-08-05</t>
        </is>
      </c>
      <c r="B24700" s="8" t="n">
        <v>13</v>
      </c>
      <c r="C24700" s="8" t="n">
        <v>8</v>
      </c>
      <c r="D24700" s="8" t="inlineStr">
        <is>
          <t>Disneyland Park</t>
        </is>
      </c>
      <c r="E24700" s="8" t="inlineStr">
        <is>
          <t>Disneyland Railroad Fantasyland Station</t>
        </is>
      </c>
      <c r="F24700" s="8" t="inlineStr">
        <is>
          <t>STANDBY</t>
        </is>
      </c>
      <c r="G24700" s="8" t="n">
        <v>0</v>
      </c>
      <c r="H24700" s="8" t="inlineStr">
        <is>
          <t>CLOSED</t>
        </is>
      </c>
    </row>
    <row r="24701">
      <c r="A24701" s="8" t="inlineStr">
        <is>
          <t>2026-08-05</t>
        </is>
      </c>
      <c r="B24701" s="8" t="n">
        <v>13</v>
      </c>
      <c r="C24701" s="8" t="n">
        <v>8</v>
      </c>
      <c r="D24701" s="8" t="inlineStr">
        <is>
          <t>Disneyland Park</t>
        </is>
      </c>
      <c r="E24701" s="8" t="inlineStr">
        <is>
          <t>Disneyland Railroad Main Street Station</t>
        </is>
      </c>
      <c r="F24701" s="8" t="inlineStr">
        <is>
          <t>STANDBY</t>
        </is>
      </c>
      <c r="G24701" s="8" t="n">
        <v>45</v>
      </c>
      <c r="H24701" s="8" t="inlineStr">
        <is>
          <t>OPERATING</t>
        </is>
      </c>
    </row>
    <row r="24702">
      <c r="A24702" s="8" t="inlineStr">
        <is>
          <t>2026-08-05</t>
        </is>
      </c>
      <c r="B24702" s="8" t="n">
        <v>13</v>
      </c>
      <c r="C24702" s="8" t="n">
        <v>8</v>
      </c>
      <c r="D24702" s="8" t="inlineStr">
        <is>
          <t>Disneyland Park</t>
        </is>
      </c>
      <c r="E24702" s="8" t="inlineStr">
        <is>
          <t>Dumbo the Flying Elephant</t>
        </is>
      </c>
      <c r="F24702" s="8" t="inlineStr">
        <is>
          <t>STANDBY</t>
        </is>
      </c>
      <c r="G24702" s="8" t="n">
        <v>35</v>
      </c>
      <c r="H24702" s="8" t="inlineStr">
        <is>
          <t>OPERATING</t>
        </is>
      </c>
    </row>
    <row r="24703">
      <c r="A24703" s="8" t="inlineStr">
        <is>
          <t>2026-08-05</t>
        </is>
      </c>
      <c r="B24703" s="8" t="n">
        <v>13</v>
      </c>
      <c r="C24703" s="8" t="n">
        <v>8</v>
      </c>
      <c r="D24703" s="8" t="inlineStr">
        <is>
          <t>Disneyland Park</t>
        </is>
      </c>
      <c r="E24703" s="8" t="inlineStr">
        <is>
          <t>La Tanière du Dragon</t>
        </is>
      </c>
      <c r="F24703" s="8" t="inlineStr">
        <is>
          <t>STANDBY</t>
        </is>
      </c>
      <c r="G24703" s="8" t="n">
        <v>0</v>
      </c>
      <c r="H24703" s="8" t="inlineStr">
        <is>
          <t>OPERATING</t>
        </is>
      </c>
    </row>
    <row r="24704">
      <c r="A24704" s="8" t="inlineStr">
        <is>
          <t>2026-08-05</t>
        </is>
      </c>
      <c r="B24704" s="8" t="n">
        <v>13</v>
      </c>
      <c r="C24704" s="8" t="n">
        <v>8</v>
      </c>
      <c r="D24704" s="8" t="inlineStr">
        <is>
          <t>Disneyland Park</t>
        </is>
      </c>
      <c r="E24704" s="8" t="inlineStr">
        <is>
          <t>Le Carrousel de Lancelot</t>
        </is>
      </c>
      <c r="F24704" s="8" t="inlineStr">
        <is>
          <t>STANDBY</t>
        </is>
      </c>
      <c r="G24704" s="8" t="n">
        <v>10</v>
      </c>
      <c r="H24704" s="8" t="inlineStr">
        <is>
          <t>OPERATING</t>
        </is>
      </c>
    </row>
    <row r="24705">
      <c r="A24705" s="8" t="inlineStr">
        <is>
          <t>2026-08-05</t>
        </is>
      </c>
      <c r="B24705" s="8" t="n">
        <v>13</v>
      </c>
      <c r="C24705" s="8" t="n">
        <v>8</v>
      </c>
      <c r="D24705" s="8" t="inlineStr">
        <is>
          <t>Disneyland Park</t>
        </is>
      </c>
      <c r="E24705" s="8" t="inlineStr">
        <is>
          <t>Le Pays des Contes de Fées, presented by Vittel</t>
        </is>
      </c>
      <c r="F24705" s="8" t="inlineStr">
        <is>
          <t>STANDBY</t>
        </is>
      </c>
      <c r="G24705" s="8" t="n">
        <v>10</v>
      </c>
      <c r="H24705" s="8" t="inlineStr">
        <is>
          <t>OPERATING</t>
        </is>
      </c>
    </row>
    <row r="24706">
      <c r="A24706" s="8" t="inlineStr">
        <is>
          <t>2026-08-05</t>
        </is>
      </c>
      <c r="B24706" s="8" t="n">
        <v>13</v>
      </c>
      <c r="C24706" s="8" t="n">
        <v>8</v>
      </c>
      <c r="D24706" s="8" t="inlineStr">
        <is>
          <t>Disneyland Park</t>
        </is>
      </c>
      <c r="E24706" s="8" t="inlineStr">
        <is>
          <t>Les Voyages de Pinocchio</t>
        </is>
      </c>
      <c r="F24706" s="8" t="inlineStr">
        <is>
          <t>STANDBY</t>
        </is>
      </c>
      <c r="G24706" s="8" t="n">
        <v>30</v>
      </c>
      <c r="H24706" s="8" t="inlineStr">
        <is>
          <t>OPERATING</t>
        </is>
      </c>
    </row>
    <row r="24707">
      <c r="A24707" s="8" t="inlineStr">
        <is>
          <t>2026-08-05</t>
        </is>
      </c>
      <c r="B24707" s="8" t="n">
        <v>13</v>
      </c>
      <c r="C24707" s="8" t="n">
        <v>8</v>
      </c>
      <c r="D24707" s="8" t="inlineStr">
        <is>
          <t>Disneyland Park</t>
        </is>
      </c>
      <c r="E24707" s="8" t="inlineStr">
        <is>
          <t>Mad Hatter's Tea Cups</t>
        </is>
      </c>
      <c r="F24707" s="8" t="inlineStr">
        <is>
          <t>STANDBY</t>
        </is>
      </c>
      <c r="G24707" s="8" t="n">
        <v>15</v>
      </c>
      <c r="H24707" s="8" t="inlineStr">
        <is>
          <t>OPERATING</t>
        </is>
      </c>
    </row>
    <row r="24708">
      <c r="A24708" s="8" t="inlineStr">
        <is>
          <t>2026-08-05</t>
        </is>
      </c>
      <c r="B24708" s="8" t="n">
        <v>13</v>
      </c>
      <c r="C24708" s="8" t="n">
        <v>8</v>
      </c>
      <c r="D24708" s="8" t="inlineStr">
        <is>
          <t>Disneyland Park</t>
        </is>
      </c>
      <c r="E24708" s="8" t="inlineStr">
        <is>
          <t>Meet Mickey Mouse</t>
        </is>
      </c>
      <c r="F24708" s="8" t="inlineStr">
        <is>
          <t>STANDBY</t>
        </is>
      </c>
      <c r="G24708" s="8" t="n">
        <v>0</v>
      </c>
      <c r="H24708" s="8" t="inlineStr">
        <is>
          <t>OPERATING</t>
        </is>
      </c>
    </row>
    <row r="24709">
      <c r="A24709" s="8" t="inlineStr">
        <is>
          <t>2026-08-05</t>
        </is>
      </c>
      <c r="B24709" s="8" t="n">
        <v>13</v>
      </c>
      <c r="C24709" s="8" t="n">
        <v>8</v>
      </c>
      <c r="D24709" s="8" t="inlineStr">
        <is>
          <t>Disneyland Park</t>
        </is>
      </c>
      <c r="E24709" s="8" t="inlineStr">
        <is>
          <t>Peter Pan's Flight</t>
        </is>
      </c>
      <c r="F24709" s="8" t="inlineStr">
        <is>
          <t>STANDBY</t>
        </is>
      </c>
      <c r="G24709" s="8" t="n">
        <v>80</v>
      </c>
      <c r="H24709" s="8" t="inlineStr">
        <is>
          <t>OPERATING</t>
        </is>
      </c>
    </row>
    <row r="24710">
      <c r="A24710" s="8" t="inlineStr">
        <is>
          <t>2026-08-05</t>
        </is>
      </c>
      <c r="B24710" s="8" t="n">
        <v>13</v>
      </c>
      <c r="C24710" s="8" t="n">
        <v>8</v>
      </c>
      <c r="D24710" s="8" t="inlineStr">
        <is>
          <t>Disneyland Park</t>
        </is>
      </c>
      <c r="E24710" s="8" t="inlineStr">
        <is>
          <t>Princess Pavilion</t>
        </is>
      </c>
      <c r="F24710" s="8" t="inlineStr">
        <is>
          <t>STANDBY</t>
        </is>
      </c>
      <c r="G24710" s="8" t="n">
        <v>0</v>
      </c>
      <c r="H24710" s="8" t="inlineStr">
        <is>
          <t>OPERATING</t>
        </is>
      </c>
    </row>
    <row r="24711">
      <c r="A24711" s="8" t="inlineStr">
        <is>
          <t>2026-08-05</t>
        </is>
      </c>
      <c r="B24711" s="8" t="n">
        <v>13</v>
      </c>
      <c r="C24711" s="8" t="n">
        <v>8</v>
      </c>
      <c r="D24711" s="8" t="inlineStr">
        <is>
          <t>Disneyland Park</t>
        </is>
      </c>
      <c r="E24711" s="8" t="inlineStr">
        <is>
          <t>Big Thunder Mountain</t>
        </is>
      </c>
      <c r="F24711" s="8" t="inlineStr">
        <is>
          <t>STANDBY</t>
        </is>
      </c>
      <c r="G24711" s="8" t="n">
        <v>100</v>
      </c>
      <c r="H24711" s="8" t="inlineStr">
        <is>
          <t>OPERATING</t>
        </is>
      </c>
    </row>
    <row r="24712">
      <c r="A24712" s="8" t="inlineStr">
        <is>
          <t>2026-08-05</t>
        </is>
      </c>
      <c r="B24712" s="8" t="n">
        <v>13</v>
      </c>
      <c r="C24712" s="8" t="n">
        <v>8</v>
      </c>
      <c r="D24712" s="8" t="inlineStr">
        <is>
          <t>Disneyland Park</t>
        </is>
      </c>
      <c r="E24712" s="8" t="inlineStr">
        <is>
          <t>Disneyland Railroad Frontierland Depot</t>
        </is>
      </c>
      <c r="F24712" s="8" t="inlineStr">
        <is>
          <t>STANDBY</t>
        </is>
      </c>
      <c r="G24712" s="8" t="n">
        <v>25</v>
      </c>
      <c r="H24712" s="8" t="inlineStr">
        <is>
          <t>OPERATING</t>
        </is>
      </c>
    </row>
    <row r="24713">
      <c r="A24713" s="8" t="inlineStr">
        <is>
          <t>2026-08-05</t>
        </is>
      </c>
      <c r="B24713" s="8" t="n">
        <v>13</v>
      </c>
      <c r="C24713" s="8" t="n">
        <v>8</v>
      </c>
      <c r="D24713" s="8" t="inlineStr">
        <is>
          <t>Disneyland Park</t>
        </is>
      </c>
      <c r="E24713" s="8" t="inlineStr">
        <is>
          <t>Frontierland Playground</t>
        </is>
      </c>
      <c r="F24713" s="8" t="inlineStr">
        <is>
          <t>STANDBY</t>
        </is>
      </c>
      <c r="G24713" s="8" t="n">
        <v>0</v>
      </c>
      <c r="H24713" s="8" t="inlineStr">
        <is>
          <t>OPERATING</t>
        </is>
      </c>
    </row>
    <row r="24714">
      <c r="A24714" s="8" t="inlineStr">
        <is>
          <t>2026-08-05</t>
        </is>
      </c>
      <c r="B24714" s="8" t="n">
        <v>13</v>
      </c>
      <c r="C24714" s="8" t="n">
        <v>8</v>
      </c>
      <c r="D24714" s="8" t="inlineStr">
        <is>
          <t>Disneyland Park</t>
        </is>
      </c>
      <c r="E24714" s="8" t="inlineStr">
        <is>
          <t>Phantom Manor</t>
        </is>
      </c>
      <c r="F24714" s="8" t="inlineStr">
        <is>
          <t>STANDBY</t>
        </is>
      </c>
      <c r="G24714" s="8" t="n">
        <v>25</v>
      </c>
      <c r="H24714" s="8" t="inlineStr">
        <is>
          <t>OPERATING</t>
        </is>
      </c>
    </row>
    <row r="24715">
      <c r="A24715" s="8" t="inlineStr">
        <is>
          <t>2026-08-05</t>
        </is>
      </c>
      <c r="B24715" s="8" t="n">
        <v>13</v>
      </c>
      <c r="C24715" s="8" t="n">
        <v>8</v>
      </c>
      <c r="D24715" s="8" t="inlineStr">
        <is>
          <t>Disneyland Park</t>
        </is>
      </c>
      <c r="E24715" s="8" t="inlineStr">
        <is>
          <t>River Rogue Keelboats</t>
        </is>
      </c>
      <c r="F24715" s="8" t="inlineStr">
        <is>
          <t>STANDBY</t>
        </is>
      </c>
      <c r="G24715" s="8" t="n">
        <v>0</v>
      </c>
      <c r="H24715" s="8" t="inlineStr">
        <is>
          <t>CLOSED</t>
        </is>
      </c>
    </row>
    <row r="24716">
      <c r="A24716" s="8" t="inlineStr">
        <is>
          <t>2026-08-05</t>
        </is>
      </c>
      <c r="B24716" s="8" t="n">
        <v>13</v>
      </c>
      <c r="C24716" s="8" t="n">
        <v>8</v>
      </c>
      <c r="D24716" s="8" t="inlineStr">
        <is>
          <t>Disneyland Park</t>
        </is>
      </c>
      <c r="E24716" s="8" t="inlineStr">
        <is>
          <t>Rustler Roundup Shootin' Gallery</t>
        </is>
      </c>
      <c r="F24716" s="8" t="inlineStr">
        <is>
          <t>STANDBY</t>
        </is>
      </c>
      <c r="G24716" s="8" t="n">
        <v>0</v>
      </c>
      <c r="H24716" s="8" t="inlineStr">
        <is>
          <t>OPERATING</t>
        </is>
      </c>
    </row>
    <row r="24717">
      <c r="A24717" s="8" t="inlineStr">
        <is>
          <t>2026-08-05</t>
        </is>
      </c>
      <c r="B24717" s="8" t="n">
        <v>13</v>
      </c>
      <c r="C24717" s="8" t="n">
        <v>8</v>
      </c>
      <c r="D24717" s="8" t="inlineStr">
        <is>
          <t>Disneyland Park</t>
        </is>
      </c>
      <c r="E24717" s="8" t="inlineStr">
        <is>
          <t>Thunder Mesa Riverboat Landing</t>
        </is>
      </c>
      <c r="F24717" s="8" t="inlineStr">
        <is>
          <t>STANDBY</t>
        </is>
      </c>
      <c r="G24717" s="8" t="n">
        <v>20</v>
      </c>
      <c r="H24717" s="8" t="inlineStr">
        <is>
          <t>OPERATING</t>
        </is>
      </c>
    </row>
    <row r="24718">
      <c r="A24718" s="8" t="inlineStr">
        <is>
          <t>2026-08-05</t>
        </is>
      </c>
      <c r="B24718" s="8" t="n">
        <v>13</v>
      </c>
      <c r="C24718" s="8" t="n">
        <v>8</v>
      </c>
      <c r="D24718" s="8" t="inlineStr">
        <is>
          <t>Disneyland Park</t>
        </is>
      </c>
      <c r="E24718" s="8" t="inlineStr">
        <is>
          <t>Disneyland Railroad Main Street Station</t>
        </is>
      </c>
      <c r="F24718" s="8" t="inlineStr">
        <is>
          <t>STANDBY</t>
        </is>
      </c>
      <c r="G24718" s="8" t="n">
        <v>0</v>
      </c>
      <c r="H24718" s="8" t="inlineStr">
        <is>
          <t>OPERATING</t>
        </is>
      </c>
    </row>
    <row r="24719">
      <c r="A24719" s="8" t="inlineStr">
        <is>
          <t>2026-08-05</t>
        </is>
      </c>
      <c r="B24719" s="8" t="n">
        <v>13</v>
      </c>
      <c r="C24719" s="8" t="n">
        <v>8</v>
      </c>
      <c r="D24719" s="8" t="inlineStr">
        <is>
          <t>Disneyland Park</t>
        </is>
      </c>
      <c r="E24719" s="8" t="inlineStr">
        <is>
          <t>Main Street Vehicles</t>
        </is>
      </c>
      <c r="F24719" s="8" t="inlineStr">
        <is>
          <t>STANDBY</t>
        </is>
      </c>
      <c r="G24719" s="8" t="n">
        <v>5</v>
      </c>
      <c r="H24719" s="8" t="inlineStr">
        <is>
          <t>OPERATING</t>
        </is>
      </c>
    </row>
    <row r="24720">
      <c r="A24720" s="8" t="inlineStr">
        <is>
          <t>2026-08-05</t>
        </is>
      </c>
      <c r="B24720" s="8" t="n">
        <v>13</v>
      </c>
      <c r="C24720" s="8" t="n">
        <v>8</v>
      </c>
      <c r="D24720" s="8" t="inlineStr">
        <is>
          <t>Disney Adventure World</t>
        </is>
      </c>
      <c r="E24720" s="8" t="inlineStr">
        <is>
          <t>Avengers Assemble: Flight Force</t>
        </is>
      </c>
      <c r="F24720" s="8" t="inlineStr">
        <is>
          <t>STANDBY</t>
        </is>
      </c>
      <c r="G24720" s="8" t="n">
        <v>25</v>
      </c>
      <c r="H24720" s="8" t="inlineStr">
        <is>
          <t>OPERATING</t>
        </is>
      </c>
    </row>
    <row r="24721">
      <c r="A24721" s="8" t="inlineStr">
        <is>
          <t>2026-08-05</t>
        </is>
      </c>
      <c r="B24721" s="8" t="n">
        <v>13</v>
      </c>
      <c r="C24721" s="8" t="n">
        <v>8</v>
      </c>
      <c r="D24721" s="8" t="inlineStr">
        <is>
          <t>Disney Adventure World</t>
        </is>
      </c>
      <c r="E24721" s="8" t="inlineStr">
        <is>
          <t>Avengers Assemble: Flight Force Single Rider</t>
        </is>
      </c>
      <c r="F24721" s="8" t="inlineStr">
        <is>
          <t>STANDBY</t>
        </is>
      </c>
      <c r="G24721" s="8" t="n">
        <v>10</v>
      </c>
      <c r="H24721" s="8" t="inlineStr">
        <is>
          <t>OPERATING</t>
        </is>
      </c>
    </row>
    <row r="24722">
      <c r="A24722" s="8" t="inlineStr">
        <is>
          <t>2026-08-05</t>
        </is>
      </c>
      <c r="B24722" s="8" t="n">
        <v>13</v>
      </c>
      <c r="C24722" s="8" t="n">
        <v>8</v>
      </c>
      <c r="D24722" s="8" t="inlineStr">
        <is>
          <t>Disney Adventure World</t>
        </is>
      </c>
      <c r="E24722" s="8" t="inlineStr">
        <is>
          <t>Spider-Man W.E.B. Adventure</t>
        </is>
      </c>
      <c r="F24722" s="8" t="inlineStr">
        <is>
          <t>STANDBY</t>
        </is>
      </c>
      <c r="G24722" s="8" t="n">
        <v>60</v>
      </c>
      <c r="H24722" s="8" t="inlineStr">
        <is>
          <t>OPERATING</t>
        </is>
      </c>
    </row>
    <row r="24723">
      <c r="A24723" s="8" t="inlineStr">
        <is>
          <t>2026-08-05</t>
        </is>
      </c>
      <c r="B24723" s="8" t="n">
        <v>13</v>
      </c>
      <c r="C24723" s="8" t="n">
        <v>8</v>
      </c>
      <c r="D24723" s="8" t="inlineStr">
        <is>
          <t>Disney Adventure World</t>
        </is>
      </c>
      <c r="E24723" s="8" t="inlineStr">
        <is>
          <t>Spider-Man W.E.B. Adventure Single Rider</t>
        </is>
      </c>
      <c r="F24723" s="8" t="inlineStr">
        <is>
          <t>STANDBY</t>
        </is>
      </c>
      <c r="G24723" s="8" t="n">
        <v>25</v>
      </c>
      <c r="H24723" s="8" t="inlineStr">
        <is>
          <t>OPERATING</t>
        </is>
      </c>
    </row>
    <row r="24724">
      <c r="A24724" s="8" t="inlineStr">
        <is>
          <t>2026-08-05</t>
        </is>
      </c>
      <c r="B24724" s="8" t="n">
        <v>13</v>
      </c>
      <c r="C24724" s="8" t="n">
        <v>8</v>
      </c>
      <c r="D24724" s="8" t="inlineStr">
        <is>
          <t>Disney Adventure World</t>
        </is>
      </c>
      <c r="E24724" s="8" t="inlineStr">
        <is>
          <t>The Twilight Zone Tower of Terror</t>
        </is>
      </c>
      <c r="F24724" s="8" t="inlineStr">
        <is>
          <t>STANDBY</t>
        </is>
      </c>
      <c r="G24724" s="8" t="n">
        <v>30</v>
      </c>
      <c r="H24724" s="8" t="inlineStr">
        <is>
          <t>OPERATING</t>
        </is>
      </c>
    </row>
    <row r="24725">
      <c r="A24725" s="8" t="inlineStr">
        <is>
          <t>2026-08-05</t>
        </is>
      </c>
      <c r="B24725" s="8" t="n">
        <v>13</v>
      </c>
      <c r="C24725" s="8" t="n">
        <v>8</v>
      </c>
      <c r="D24725" s="8" t="inlineStr">
        <is>
          <t>Disney Adventure World</t>
        </is>
      </c>
      <c r="E24725" s="8" t="inlineStr">
        <is>
          <t>Cars Quatre Roues Rallye</t>
        </is>
      </c>
      <c r="F24725" s="8" t="inlineStr">
        <is>
          <t>STANDBY</t>
        </is>
      </c>
      <c r="G24725" s="8" t="n">
        <v>20</v>
      </c>
      <c r="H24725" s="8" t="inlineStr">
        <is>
          <t>OPERATING</t>
        </is>
      </c>
    </row>
    <row r="24726">
      <c r="A24726" s="8" t="inlineStr">
        <is>
          <t>2026-08-05</t>
        </is>
      </c>
      <c r="B24726" s="8" t="n">
        <v>13</v>
      </c>
      <c r="C24726" s="8" t="n">
        <v>8</v>
      </c>
      <c r="D24726" s="8" t="inlineStr">
        <is>
          <t>Disney Adventure World</t>
        </is>
      </c>
      <c r="E24726" s="8" t="inlineStr">
        <is>
          <t>Cars ROAD TRIP</t>
        </is>
      </c>
      <c r="F24726" s="8" t="inlineStr">
        <is>
          <t>STANDBY</t>
        </is>
      </c>
      <c r="G24726" s="8" t="n">
        <v>20</v>
      </c>
      <c r="H24726" s="8" t="inlineStr">
        <is>
          <t>OPERATING</t>
        </is>
      </c>
    </row>
    <row r="24727">
      <c r="A24727" s="8" t="inlineStr">
        <is>
          <t>2026-08-05</t>
        </is>
      </c>
      <c r="B24727" s="8" t="n">
        <v>13</v>
      </c>
      <c r="C24727" s="8" t="n">
        <v>8</v>
      </c>
      <c r="D24727" s="8" t="inlineStr">
        <is>
          <t>Disney Adventure World</t>
        </is>
      </c>
      <c r="E24727" s="8" t="inlineStr">
        <is>
          <t>Crush's Coaster</t>
        </is>
      </c>
      <c r="F24727" s="8" t="inlineStr">
        <is>
          <t>STANDBY</t>
        </is>
      </c>
      <c r="G24727" s="8" t="n">
        <v>75</v>
      </c>
      <c r="H24727" s="8" t="inlineStr">
        <is>
          <t>OPERATING</t>
        </is>
      </c>
    </row>
    <row r="24728">
      <c r="A24728" s="8" t="inlineStr">
        <is>
          <t>2026-08-05</t>
        </is>
      </c>
      <c r="B24728" s="8" t="n">
        <v>13</v>
      </c>
      <c r="C24728" s="8" t="n">
        <v>8</v>
      </c>
      <c r="D24728" s="8" t="inlineStr">
        <is>
          <t>Disney Adventure World</t>
        </is>
      </c>
      <c r="E24728" s="8" t="inlineStr">
        <is>
          <t>Crush's Coaster Single Rider</t>
        </is>
      </c>
      <c r="F24728" s="8" t="inlineStr">
        <is>
          <t>STANDBY</t>
        </is>
      </c>
      <c r="G24728" s="8" t="n">
        <v>60</v>
      </c>
      <c r="H24728" s="8" t="inlineStr">
        <is>
          <t>OPERATING</t>
        </is>
      </c>
    </row>
    <row r="24729">
      <c r="A24729" s="8" t="inlineStr">
        <is>
          <t>2026-08-05</t>
        </is>
      </c>
      <c r="B24729" s="8" t="n">
        <v>13</v>
      </c>
      <c r="C24729" s="8" t="n">
        <v>8</v>
      </c>
      <c r="D24729" s="8" t="inlineStr">
        <is>
          <t>Disney Adventure World</t>
        </is>
      </c>
      <c r="E24729" s="8" t="inlineStr">
        <is>
          <t>Les Tapis Volants - Flying Carpets Over Agrabah®</t>
        </is>
      </c>
      <c r="F24729" s="8" t="inlineStr">
        <is>
          <t>STANDBY</t>
        </is>
      </c>
      <c r="G24729" s="8" t="n">
        <v>15</v>
      </c>
      <c r="H24729" s="8" t="inlineStr">
        <is>
          <t>OPERATING</t>
        </is>
      </c>
    </row>
    <row r="24730">
      <c r="A24730" s="8" t="inlineStr">
        <is>
          <t>2026-08-05</t>
        </is>
      </c>
      <c r="B24730" s="8" t="n">
        <v>13</v>
      </c>
      <c r="C24730" s="8" t="n">
        <v>8</v>
      </c>
      <c r="D24730" s="8" t="inlineStr">
        <is>
          <t>Disney Adventure World</t>
        </is>
      </c>
      <c r="E24730" s="8" t="inlineStr">
        <is>
          <t>Ratatouille : L’Aventure Totalement Toquée de Rémy​</t>
        </is>
      </c>
      <c r="F24730" s="8" t="inlineStr">
        <is>
          <t>STANDBY</t>
        </is>
      </c>
      <c r="G24730" s="8" t="n">
        <v>55</v>
      </c>
      <c r="H24730" s="8" t="inlineStr">
        <is>
          <t>OPERATING</t>
        </is>
      </c>
    </row>
    <row r="24731">
      <c r="A24731" s="8" t="inlineStr">
        <is>
          <t>2026-08-05</t>
        </is>
      </c>
      <c r="B24731" s="8" t="n">
        <v>13</v>
      </c>
      <c r="C24731" s="8" t="n">
        <v>8</v>
      </c>
      <c r="D24731" s="8" t="inlineStr">
        <is>
          <t>Disney Adventure World</t>
        </is>
      </c>
      <c r="E24731" s="8" t="inlineStr">
        <is>
          <t>Ratatouille: The Adventure Single Rider</t>
        </is>
      </c>
      <c r="F24731" s="8" t="inlineStr">
        <is>
          <t>STANDBY</t>
        </is>
      </c>
      <c r="G24731" s="8" t="n">
        <v>20</v>
      </c>
      <c r="H24731" s="8" t="inlineStr">
        <is>
          <t>OPERATING</t>
        </is>
      </c>
    </row>
    <row r="24732">
      <c r="A24732" s="8" t="inlineStr">
        <is>
          <t>2026-08-05</t>
        </is>
      </c>
      <c r="B24732" s="8" t="n">
        <v>13</v>
      </c>
      <c r="C24732" s="8" t="n">
        <v>8</v>
      </c>
      <c r="D24732" s="8" t="inlineStr">
        <is>
          <t>Disney Adventure World</t>
        </is>
      </c>
      <c r="E24732" s="8" t="inlineStr">
        <is>
          <t>RC Racer</t>
        </is>
      </c>
      <c r="F24732" s="8" t="inlineStr">
        <is>
          <t>STANDBY</t>
        </is>
      </c>
      <c r="G24732" s="8" t="n">
        <v>60</v>
      </c>
      <c r="H24732" s="8" t="inlineStr">
        <is>
          <t>OPERATING</t>
        </is>
      </c>
    </row>
    <row r="24733">
      <c r="A24733" s="8" t="inlineStr">
        <is>
          <t>2026-08-05</t>
        </is>
      </c>
      <c r="B24733" s="8" t="n">
        <v>13</v>
      </c>
      <c r="C24733" s="8" t="n">
        <v>8</v>
      </c>
      <c r="D24733" s="8" t="inlineStr">
        <is>
          <t>Disney Adventure World</t>
        </is>
      </c>
      <c r="E24733" s="8" t="inlineStr">
        <is>
          <t>RC Racer Single Rider</t>
        </is>
      </c>
      <c r="F24733" s="8" t="inlineStr">
        <is>
          <t>STANDBY</t>
        </is>
      </c>
      <c r="G24733" s="8" t="n">
        <v>45</v>
      </c>
      <c r="H24733" s="8" t="inlineStr">
        <is>
          <t>OPERATING</t>
        </is>
      </c>
    </row>
    <row r="24734">
      <c r="A24734" s="8" t="inlineStr">
        <is>
          <t>2026-08-05</t>
        </is>
      </c>
      <c r="B24734" s="8" t="n">
        <v>13</v>
      </c>
      <c r="C24734" s="8" t="n">
        <v>8</v>
      </c>
      <c r="D24734" s="8" t="inlineStr">
        <is>
          <t>Disney Adventure World</t>
        </is>
      </c>
      <c r="E24734" s="8" t="inlineStr">
        <is>
          <t>Slinky® Dog Zigzag Spin</t>
        </is>
      </c>
      <c r="F24734" s="8" t="inlineStr">
        <is>
          <t>STANDBY</t>
        </is>
      </c>
      <c r="G24734" s="8" t="n">
        <v>20</v>
      </c>
      <c r="H24734" s="8" t="inlineStr">
        <is>
          <t>OPERATING</t>
        </is>
      </c>
    </row>
    <row r="24735">
      <c r="A24735" s="8" t="inlineStr">
        <is>
          <t>2026-08-05</t>
        </is>
      </c>
      <c r="B24735" s="8" t="n">
        <v>13</v>
      </c>
      <c r="C24735" s="8" t="n">
        <v>8</v>
      </c>
      <c r="D24735" s="8" t="inlineStr">
        <is>
          <t>Disney Adventure World</t>
        </is>
      </c>
      <c r="E24735" s="8" t="inlineStr">
        <is>
          <t>Toy Soldiers Parachute Drop</t>
        </is>
      </c>
      <c r="F24735" s="8" t="inlineStr">
        <is>
          <t>STANDBY</t>
        </is>
      </c>
      <c r="G24735" s="8" t="n">
        <v>60</v>
      </c>
      <c r="H24735" s="8" t="inlineStr">
        <is>
          <t>OPERATING</t>
        </is>
      </c>
    </row>
    <row r="24736">
      <c r="A24736" s="8" t="inlineStr">
        <is>
          <t>2026-08-05</t>
        </is>
      </c>
      <c r="B24736" s="8" t="n">
        <v>13</v>
      </c>
      <c r="C24736" s="8" t="n">
        <v>8</v>
      </c>
      <c r="D24736" s="8" t="inlineStr">
        <is>
          <t>Disney Adventure World</t>
        </is>
      </c>
      <c r="E24736" s="8" t="inlineStr">
        <is>
          <t>Toy Soldiers Parachute Drop Single Rider</t>
        </is>
      </c>
      <c r="F24736" s="8" t="inlineStr">
        <is>
          <t>STANDBY</t>
        </is>
      </c>
      <c r="G24736" s="8" t="n">
        <v>20</v>
      </c>
      <c r="H24736" s="8" t="inlineStr">
        <is>
          <t>OPERATING</t>
        </is>
      </c>
    </row>
    <row r="24737">
      <c r="A24737" s="8" t="inlineStr">
        <is>
          <t>2026-08-05</t>
        </is>
      </c>
      <c r="B24737" s="8" t="n">
        <v>13</v>
      </c>
      <c r="C24737" s="8" t="n">
        <v>8</v>
      </c>
      <c r="D24737" s="8" t="inlineStr">
        <is>
          <t>Disney Adventure World</t>
        </is>
      </c>
      <c r="E24737" s="8" t="inlineStr">
        <is>
          <t>Entry to World of Frozen</t>
        </is>
      </c>
      <c r="F24737" s="8" t="inlineStr">
        <is>
          <t>STANDBY</t>
        </is>
      </c>
      <c r="G24737" s="8" t="n">
        <v>0</v>
      </c>
      <c r="H24737" s="8" t="inlineStr">
        <is>
          <t>OPERATING</t>
        </is>
      </c>
    </row>
    <row r="24738">
      <c r="A24738" s="8" t="inlineStr">
        <is>
          <t>2026-08-05</t>
        </is>
      </c>
      <c r="B24738" s="8" t="n">
        <v>13</v>
      </c>
      <c r="C24738" s="8" t="n">
        <v>8</v>
      </c>
      <c r="D24738" s="8" t="inlineStr">
        <is>
          <t>Disney Adventure World</t>
        </is>
      </c>
      <c r="E24738" s="8" t="inlineStr">
        <is>
          <t>Frozen Ever After</t>
        </is>
      </c>
      <c r="F24738" s="8" t="inlineStr">
        <is>
          <t>STANDBY</t>
        </is>
      </c>
      <c r="G24738" s="8" t="n">
        <v>75</v>
      </c>
      <c r="H24738" s="8" t="inlineStr">
        <is>
          <t>OPERATING</t>
        </is>
      </c>
    </row>
    <row r="24739">
      <c r="A24739" s="8" t="inlineStr">
        <is>
          <t>2026-08-05</t>
        </is>
      </c>
      <c r="B24739" s="8" t="n">
        <v>13</v>
      </c>
      <c r="C24739" s="8" t="n">
        <v>8</v>
      </c>
      <c r="D24739" s="8" t="inlineStr">
        <is>
          <t>Disney Adventure World</t>
        </is>
      </c>
      <c r="E24739" s="8" t="inlineStr">
        <is>
          <t>Raiponce Tangled Spin</t>
        </is>
      </c>
      <c r="F24739" s="8" t="inlineStr">
        <is>
          <t>STANDBY</t>
        </is>
      </c>
      <c r="G24739" s="8" t="n">
        <v>15</v>
      </c>
      <c r="H24739" s="8" t="inlineStr">
        <is>
          <t>OPERATING</t>
        </is>
      </c>
    </row>
    <row r="24740">
      <c r="A24740" s="8" t="inlineStr">
        <is>
          <t>2026-08-05</t>
        </is>
      </c>
      <c r="B24740" s="8" t="n">
        <v>13</v>
      </c>
      <c r="C24740" s="8" t="n">
        <v>15</v>
      </c>
      <c r="D24740" s="8" t="inlineStr">
        <is>
          <t>Disneyland Park</t>
        </is>
      </c>
      <c r="E24740" s="8" t="inlineStr">
        <is>
          <t>Adventure Isle</t>
        </is>
      </c>
      <c r="F24740" s="8" t="inlineStr">
        <is>
          <t>STANDBY</t>
        </is>
      </c>
      <c r="G24740" s="8" t="n">
        <v>0</v>
      </c>
      <c r="H24740" s="8" t="inlineStr">
        <is>
          <t>OPERATING</t>
        </is>
      </c>
    </row>
    <row r="24741">
      <c r="A24741" s="8" t="inlineStr">
        <is>
          <t>2026-08-05</t>
        </is>
      </c>
      <c r="B24741" s="8" t="n">
        <v>13</v>
      </c>
      <c r="C24741" s="8" t="n">
        <v>15</v>
      </c>
      <c r="D24741" s="8" t="inlineStr">
        <is>
          <t>Disneyland Park</t>
        </is>
      </c>
      <c r="E24741" s="8" t="inlineStr">
        <is>
          <t>Indiana Jones and the Temple of Peril Single Rider</t>
        </is>
      </c>
      <c r="F24741" s="8" t="inlineStr">
        <is>
          <t>STANDBY</t>
        </is>
      </c>
      <c r="G24741" s="8" t="n">
        <v>30</v>
      </c>
      <c r="H24741" s="8" t="inlineStr">
        <is>
          <t>OPERATING</t>
        </is>
      </c>
    </row>
    <row r="24742">
      <c r="A24742" s="8" t="inlineStr">
        <is>
          <t>2026-08-05</t>
        </is>
      </c>
      <c r="B24742" s="8" t="n">
        <v>13</v>
      </c>
      <c r="C24742" s="8" t="n">
        <v>15</v>
      </c>
      <c r="D24742" s="8" t="inlineStr">
        <is>
          <t>Disneyland Park</t>
        </is>
      </c>
      <c r="E24742" s="8" t="inlineStr">
        <is>
          <t>Indiana Jones™ and the Temple of Peril</t>
        </is>
      </c>
      <c r="F24742" s="8" t="inlineStr">
        <is>
          <t>STANDBY</t>
        </is>
      </c>
      <c r="G24742" s="8" t="n">
        <v>40</v>
      </c>
      <c r="H24742" s="8" t="inlineStr">
        <is>
          <t>OPERATING</t>
        </is>
      </c>
    </row>
    <row r="24743">
      <c r="A24743" s="8" t="inlineStr">
        <is>
          <t>2026-08-05</t>
        </is>
      </c>
      <c r="B24743" s="8" t="n">
        <v>13</v>
      </c>
      <c r="C24743" s="8" t="n">
        <v>15</v>
      </c>
      <c r="D24743" s="8" t="inlineStr">
        <is>
          <t>Disneyland Park</t>
        </is>
      </c>
      <c r="E24743" s="8" t="inlineStr">
        <is>
          <t>La Cabane des Robinson</t>
        </is>
      </c>
      <c r="F24743" s="8" t="inlineStr">
        <is>
          <t>STANDBY</t>
        </is>
      </c>
      <c r="G24743" s="8" t="n">
        <v>5</v>
      </c>
      <c r="H24743" s="8" t="inlineStr">
        <is>
          <t>OPERATING</t>
        </is>
      </c>
    </row>
    <row r="24744">
      <c r="A24744" s="8" t="inlineStr">
        <is>
          <t>2026-08-05</t>
        </is>
      </c>
      <c r="B24744" s="8" t="n">
        <v>13</v>
      </c>
      <c r="C24744" s="8" t="n">
        <v>15</v>
      </c>
      <c r="D24744" s="8" t="inlineStr">
        <is>
          <t>Disneyland Park</t>
        </is>
      </c>
      <c r="E24744" s="8" t="inlineStr">
        <is>
          <t>Le Passage Enchanté d'Aladdin</t>
        </is>
      </c>
      <c r="F24744" s="8" t="inlineStr">
        <is>
          <t>STANDBY</t>
        </is>
      </c>
      <c r="G24744" s="8" t="n">
        <v>0</v>
      </c>
      <c r="H24744" s="8" t="inlineStr">
        <is>
          <t>OPERATING</t>
        </is>
      </c>
    </row>
    <row r="24745">
      <c r="A24745" s="8" t="inlineStr">
        <is>
          <t>2026-08-05</t>
        </is>
      </c>
      <c r="B24745" s="8" t="n">
        <v>13</v>
      </c>
      <c r="C24745" s="8" t="n">
        <v>15</v>
      </c>
      <c r="D24745" s="8" t="inlineStr">
        <is>
          <t>Disneyland Park</t>
        </is>
      </c>
      <c r="E24745" s="8" t="inlineStr">
        <is>
          <t>Pirate Galleon</t>
        </is>
      </c>
      <c r="F24745" s="8" t="inlineStr">
        <is>
          <t>STANDBY</t>
        </is>
      </c>
      <c r="G24745" s="8" t="n">
        <v>0</v>
      </c>
      <c r="H24745" s="8" t="inlineStr">
        <is>
          <t>CLOSED</t>
        </is>
      </c>
    </row>
    <row r="24746">
      <c r="A24746" s="8" t="inlineStr">
        <is>
          <t>2026-08-05</t>
        </is>
      </c>
      <c r="B24746" s="8" t="n">
        <v>13</v>
      </c>
      <c r="C24746" s="8" t="n">
        <v>15</v>
      </c>
      <c r="D24746" s="8" t="inlineStr">
        <is>
          <t>Disneyland Park</t>
        </is>
      </c>
      <c r="E24746" s="8" t="inlineStr">
        <is>
          <t>Pirates of the Caribbean</t>
        </is>
      </c>
      <c r="F24746" s="8" t="inlineStr">
        <is>
          <t>STANDBY</t>
        </is>
      </c>
      <c r="G24746" s="8" t="n">
        <v>30</v>
      </c>
      <c r="H24746" s="8" t="inlineStr">
        <is>
          <t>OPERATING</t>
        </is>
      </c>
    </row>
    <row r="24747">
      <c r="A24747" s="8" t="inlineStr">
        <is>
          <t>2026-08-05</t>
        </is>
      </c>
      <c r="B24747" s="8" t="n">
        <v>13</v>
      </c>
      <c r="C24747" s="8" t="n">
        <v>15</v>
      </c>
      <c r="D24747" s="8" t="inlineStr">
        <is>
          <t>Disneyland Park</t>
        </is>
      </c>
      <c r="E24747" s="8" t="inlineStr">
        <is>
          <t>Pirates' Beach</t>
        </is>
      </c>
      <c r="F24747" s="8" t="inlineStr">
        <is>
          <t>STANDBY</t>
        </is>
      </c>
      <c r="G24747" s="8" t="n">
        <v>0</v>
      </c>
      <c r="H24747" s="8" t="inlineStr">
        <is>
          <t>OPERATING</t>
        </is>
      </c>
    </row>
    <row r="24748">
      <c r="A24748" s="8" t="inlineStr">
        <is>
          <t>2026-08-05</t>
        </is>
      </c>
      <c r="B24748" s="8" t="n">
        <v>13</v>
      </c>
      <c r="C24748" s="8" t="n">
        <v>15</v>
      </c>
      <c r="D24748" s="8" t="inlineStr">
        <is>
          <t>Disneyland Park</t>
        </is>
      </c>
      <c r="E24748" s="8" t="inlineStr">
        <is>
          <t>Autopia, presented by Avis</t>
        </is>
      </c>
      <c r="F24748" s="8" t="inlineStr">
        <is>
          <t>STANDBY</t>
        </is>
      </c>
      <c r="G24748" s="8" t="n">
        <v>40</v>
      </c>
      <c r="H24748" s="8" t="inlineStr">
        <is>
          <t>OPERATING</t>
        </is>
      </c>
    </row>
    <row r="24749">
      <c r="A24749" s="8" t="inlineStr">
        <is>
          <t>2026-08-05</t>
        </is>
      </c>
      <c r="B24749" s="8" t="n">
        <v>13</v>
      </c>
      <c r="C24749" s="8" t="n">
        <v>15</v>
      </c>
      <c r="D24749" s="8" t="inlineStr">
        <is>
          <t>Disneyland Park</t>
        </is>
      </c>
      <c r="E24749" s="8" t="inlineStr">
        <is>
          <t>Buzz Lightyear Laser Blast</t>
        </is>
      </c>
      <c r="F24749" s="8" t="inlineStr">
        <is>
          <t>STANDBY</t>
        </is>
      </c>
      <c r="G24749" s="8" t="n">
        <v>50</v>
      </c>
      <c r="H24749" s="8" t="inlineStr">
        <is>
          <t>OPERATING</t>
        </is>
      </c>
    </row>
    <row r="24750">
      <c r="A24750" s="8" t="inlineStr">
        <is>
          <t>2026-08-05</t>
        </is>
      </c>
      <c r="B24750" s="8" t="n">
        <v>13</v>
      </c>
      <c r="C24750" s="8" t="n">
        <v>15</v>
      </c>
      <c r="D24750" s="8" t="inlineStr">
        <is>
          <t>Disneyland Park</t>
        </is>
      </c>
      <c r="E24750" s="8" t="inlineStr">
        <is>
          <t>Disneyland Railroad Discoveryland Station</t>
        </is>
      </c>
      <c r="F24750" s="8" t="inlineStr">
        <is>
          <t>STANDBY</t>
        </is>
      </c>
      <c r="G24750" s="8" t="n">
        <v>0</v>
      </c>
      <c r="H24750" s="8" t="inlineStr">
        <is>
          <t>CLOSED</t>
        </is>
      </c>
    </row>
    <row r="24751">
      <c r="A24751" s="8" t="inlineStr">
        <is>
          <t>2026-08-05</t>
        </is>
      </c>
      <c r="B24751" s="8" t="n">
        <v>13</v>
      </c>
      <c r="C24751" s="8" t="n">
        <v>15</v>
      </c>
      <c r="D24751" s="8" t="inlineStr">
        <is>
          <t>Disneyland Park</t>
        </is>
      </c>
      <c r="E24751" s="8" t="inlineStr">
        <is>
          <t>Les Mystères du Nautilus</t>
        </is>
      </c>
      <c r="F24751" s="8" t="inlineStr">
        <is>
          <t>STANDBY</t>
        </is>
      </c>
      <c r="G24751" s="8" t="n">
        <v>5</v>
      </c>
      <c r="H24751" s="8" t="inlineStr">
        <is>
          <t>OPERATING</t>
        </is>
      </c>
    </row>
    <row r="24752">
      <c r="A24752" s="8" t="inlineStr">
        <is>
          <t>2026-08-05</t>
        </is>
      </c>
      <c r="B24752" s="8" t="n">
        <v>13</v>
      </c>
      <c r="C24752" s="8" t="n">
        <v>15</v>
      </c>
      <c r="D24752" s="8" t="inlineStr">
        <is>
          <t>Disneyland Park</t>
        </is>
      </c>
      <c r="E24752" s="8" t="inlineStr">
        <is>
          <t>Mickey’s PhilharMagic</t>
        </is>
      </c>
      <c r="F24752" s="8" t="inlineStr">
        <is>
          <t>STANDBY</t>
        </is>
      </c>
      <c r="G24752" s="8" t="n">
        <v>0</v>
      </c>
      <c r="H24752" s="8" t="inlineStr">
        <is>
          <t>OPERATING</t>
        </is>
      </c>
    </row>
    <row r="24753">
      <c r="A24753" s="8" t="inlineStr">
        <is>
          <t>2026-08-05</t>
        </is>
      </c>
      <c r="B24753" s="8" t="n">
        <v>13</v>
      </c>
      <c r="C24753" s="8" t="n">
        <v>15</v>
      </c>
      <c r="D24753" s="8" t="inlineStr">
        <is>
          <t>Disneyland Park</t>
        </is>
      </c>
      <c r="E24753" s="8" t="inlineStr">
        <is>
          <t>Orbitron®</t>
        </is>
      </c>
      <c r="F24753" s="8" t="inlineStr">
        <is>
          <t>STANDBY</t>
        </is>
      </c>
      <c r="G24753" s="8" t="n">
        <v>65</v>
      </c>
      <c r="H24753" s="8" t="inlineStr">
        <is>
          <t>OPERATING</t>
        </is>
      </c>
    </row>
    <row r="24754">
      <c r="A24754" s="8" t="inlineStr">
        <is>
          <t>2026-08-05</t>
        </is>
      </c>
      <c r="B24754" s="8" t="n">
        <v>13</v>
      </c>
      <c r="C24754" s="8" t="n">
        <v>15</v>
      </c>
      <c r="D24754" s="8" t="inlineStr">
        <is>
          <t>Disneyland Park</t>
        </is>
      </c>
      <c r="E24754" s="8" t="inlineStr">
        <is>
          <t>Star Tours: The Adventures Continue*</t>
        </is>
      </c>
      <c r="F24754" s="8" t="inlineStr">
        <is>
          <t>STANDBY</t>
        </is>
      </c>
      <c r="G24754" s="8" t="n">
        <v>20</v>
      </c>
      <c r="H24754" s="8" t="inlineStr">
        <is>
          <t>OPERATING</t>
        </is>
      </c>
    </row>
    <row r="24755">
      <c r="A24755" s="8" t="inlineStr">
        <is>
          <t>2026-08-05</t>
        </is>
      </c>
      <c r="B24755" s="8" t="n">
        <v>13</v>
      </c>
      <c r="C24755" s="8" t="n">
        <v>15</v>
      </c>
      <c r="D24755" s="8" t="inlineStr">
        <is>
          <t>Disneyland Park</t>
        </is>
      </c>
      <c r="E24755" s="8" t="inlineStr">
        <is>
          <t>Star Wars Hyperspace Mountain</t>
        </is>
      </c>
      <c r="F24755" s="8" t="inlineStr">
        <is>
          <t>STANDBY</t>
        </is>
      </c>
      <c r="G24755" s="8" t="n">
        <v>45</v>
      </c>
      <c r="H24755" s="8" t="inlineStr">
        <is>
          <t>OPERATING</t>
        </is>
      </c>
    </row>
    <row r="24756">
      <c r="A24756" s="8" t="inlineStr">
        <is>
          <t>2026-08-05</t>
        </is>
      </c>
      <c r="B24756" s="8" t="n">
        <v>13</v>
      </c>
      <c r="C24756" s="8" t="n">
        <v>15</v>
      </c>
      <c r="D24756" s="8" t="inlineStr">
        <is>
          <t>Disneyland Park</t>
        </is>
      </c>
      <c r="E24756" s="8" t="inlineStr">
        <is>
          <t>Star Wars Hyperspace Mountain Single Rider</t>
        </is>
      </c>
      <c r="F24756" s="8" t="inlineStr">
        <is>
          <t>STANDBY</t>
        </is>
      </c>
      <c r="G24756" s="8" t="n">
        <v>35</v>
      </c>
      <c r="H24756" s="8" t="inlineStr">
        <is>
          <t>OPERATING</t>
        </is>
      </c>
    </row>
    <row r="24757">
      <c r="A24757" s="8" t="inlineStr">
        <is>
          <t>2026-08-05</t>
        </is>
      </c>
      <c r="B24757" s="8" t="n">
        <v>13</v>
      </c>
      <c r="C24757" s="8" t="n">
        <v>15</v>
      </c>
      <c r="D24757" s="8" t="inlineStr">
        <is>
          <t>Disneyland Park</t>
        </is>
      </c>
      <c r="E24757" s="8" t="inlineStr">
        <is>
          <t>Welcome to Starport: A Star Wars Encounter</t>
        </is>
      </c>
      <c r="F24757" s="8" t="inlineStr">
        <is>
          <t>STANDBY</t>
        </is>
      </c>
      <c r="G24757" s="8" t="n">
        <v>45</v>
      </c>
      <c r="H24757" s="8" t="inlineStr">
        <is>
          <t>OPERATING</t>
        </is>
      </c>
    </row>
    <row r="24758">
      <c r="A24758" s="8" t="inlineStr">
        <is>
          <t>2026-08-05</t>
        </is>
      </c>
      <c r="B24758" s="8" t="n">
        <v>13</v>
      </c>
      <c r="C24758" s="8" t="n">
        <v>15</v>
      </c>
      <c r="D24758" s="8" t="inlineStr">
        <is>
          <t>Disneyland Park</t>
        </is>
      </c>
      <c r="E24758" s="8" t="inlineStr">
        <is>
          <t>"it's a small world"</t>
        </is>
      </c>
      <c r="F24758" s="8" t="inlineStr">
        <is>
          <t>STANDBY</t>
        </is>
      </c>
      <c r="G24758" s="8" t="n">
        <v>25</v>
      </c>
      <c r="H24758" s="8" t="inlineStr">
        <is>
          <t>OPERATING</t>
        </is>
      </c>
    </row>
    <row r="24759">
      <c r="A24759" s="8" t="inlineStr">
        <is>
          <t>2026-08-05</t>
        </is>
      </c>
      <c r="B24759" s="8" t="n">
        <v>13</v>
      </c>
      <c r="C24759" s="8" t="n">
        <v>15</v>
      </c>
      <c r="D24759" s="8" t="inlineStr">
        <is>
          <t>Disneyland Park</t>
        </is>
      </c>
      <c r="E24759" s="8" t="inlineStr">
        <is>
          <t>Alice's Curious Labyrinth</t>
        </is>
      </c>
      <c r="F24759" s="8" t="inlineStr">
        <is>
          <t>STANDBY</t>
        </is>
      </c>
      <c r="G24759" s="8" t="n">
        <v>5</v>
      </c>
      <c r="H24759" s="8" t="inlineStr">
        <is>
          <t>OPERATING</t>
        </is>
      </c>
    </row>
    <row r="24760">
      <c r="A24760" s="8" t="inlineStr">
        <is>
          <t>2026-08-05</t>
        </is>
      </c>
      <c r="B24760" s="8" t="n">
        <v>13</v>
      </c>
      <c r="C24760" s="8" t="n">
        <v>15</v>
      </c>
      <c r="D24760" s="8" t="inlineStr">
        <is>
          <t>Disneyland Park</t>
        </is>
      </c>
      <c r="E24760" s="8" t="inlineStr">
        <is>
          <t>Blanche-Neige et les Sept Nains®</t>
        </is>
      </c>
      <c r="F24760" s="8" t="inlineStr">
        <is>
          <t>STANDBY</t>
        </is>
      </c>
      <c r="G24760" s="8" t="n">
        <v>35</v>
      </c>
      <c r="H24760" s="8" t="inlineStr">
        <is>
          <t>OPERATING</t>
        </is>
      </c>
    </row>
    <row r="24761">
      <c r="A24761" s="8" t="inlineStr">
        <is>
          <t>2026-08-05</t>
        </is>
      </c>
      <c r="B24761" s="8" t="n">
        <v>13</v>
      </c>
      <c r="C24761" s="8" t="n">
        <v>15</v>
      </c>
      <c r="D24761" s="8" t="inlineStr">
        <is>
          <t>Disneyland Park</t>
        </is>
      </c>
      <c r="E24761" s="8" t="inlineStr">
        <is>
          <t>Casey Jr. – le Petit Train du Cirque</t>
        </is>
      </c>
      <c r="F24761" s="8" t="inlineStr">
        <is>
          <t>STANDBY</t>
        </is>
      </c>
      <c r="G24761" s="8" t="n">
        <v>20</v>
      </c>
      <c r="H24761" s="8" t="inlineStr">
        <is>
          <t>OPERATING</t>
        </is>
      </c>
    </row>
    <row r="24762">
      <c r="A24762" s="8" t="inlineStr">
        <is>
          <t>2026-08-05</t>
        </is>
      </c>
      <c r="B24762" s="8" t="n">
        <v>13</v>
      </c>
      <c r="C24762" s="8" t="n">
        <v>15</v>
      </c>
      <c r="D24762" s="8" t="inlineStr">
        <is>
          <t>Disneyland Park</t>
        </is>
      </c>
      <c r="E24762" s="8" t="inlineStr">
        <is>
          <t>Disneyland Railroad Fantasyland Station</t>
        </is>
      </c>
      <c r="F24762" s="8" t="inlineStr">
        <is>
          <t>STANDBY</t>
        </is>
      </c>
      <c r="G24762" s="8" t="n">
        <v>0</v>
      </c>
      <c r="H24762" s="8" t="inlineStr">
        <is>
          <t>CLOSED</t>
        </is>
      </c>
    </row>
    <row r="24763">
      <c r="A24763" s="8" t="inlineStr">
        <is>
          <t>2026-08-05</t>
        </is>
      </c>
      <c r="B24763" s="8" t="n">
        <v>13</v>
      </c>
      <c r="C24763" s="8" t="n">
        <v>15</v>
      </c>
      <c r="D24763" s="8" t="inlineStr">
        <is>
          <t>Disneyland Park</t>
        </is>
      </c>
      <c r="E24763" s="8" t="inlineStr">
        <is>
          <t>Disneyland Railroad Main Street Station</t>
        </is>
      </c>
      <c r="F24763" s="8" t="inlineStr">
        <is>
          <t>STANDBY</t>
        </is>
      </c>
      <c r="G24763" s="8" t="n">
        <v>45</v>
      </c>
      <c r="H24763" s="8" t="inlineStr">
        <is>
          <t>OPERATING</t>
        </is>
      </c>
    </row>
    <row r="24764">
      <c r="A24764" s="8" t="inlineStr">
        <is>
          <t>2026-08-05</t>
        </is>
      </c>
      <c r="B24764" s="8" t="n">
        <v>13</v>
      </c>
      <c r="C24764" s="8" t="n">
        <v>15</v>
      </c>
      <c r="D24764" s="8" t="inlineStr">
        <is>
          <t>Disneyland Park</t>
        </is>
      </c>
      <c r="E24764" s="8" t="inlineStr">
        <is>
          <t>Dumbo the Flying Elephant</t>
        </is>
      </c>
      <c r="F24764" s="8" t="inlineStr">
        <is>
          <t>STANDBY</t>
        </is>
      </c>
      <c r="G24764" s="8" t="n">
        <v>35</v>
      </c>
      <c r="H24764" s="8" t="inlineStr">
        <is>
          <t>OPERATING</t>
        </is>
      </c>
    </row>
    <row r="24765">
      <c r="A24765" s="8" t="inlineStr">
        <is>
          <t>2026-08-05</t>
        </is>
      </c>
      <c r="B24765" s="8" t="n">
        <v>13</v>
      </c>
      <c r="C24765" s="8" t="n">
        <v>15</v>
      </c>
      <c r="D24765" s="8" t="inlineStr">
        <is>
          <t>Disneyland Park</t>
        </is>
      </c>
      <c r="E24765" s="8" t="inlineStr">
        <is>
          <t>La Tanière du Dragon</t>
        </is>
      </c>
      <c r="F24765" s="8" t="inlineStr">
        <is>
          <t>STANDBY</t>
        </is>
      </c>
      <c r="G24765" s="8" t="n">
        <v>0</v>
      </c>
      <c r="H24765" s="8" t="inlineStr">
        <is>
          <t>OPERATING</t>
        </is>
      </c>
    </row>
    <row r="24766">
      <c r="A24766" s="8" t="inlineStr">
        <is>
          <t>2026-08-05</t>
        </is>
      </c>
      <c r="B24766" s="8" t="n">
        <v>13</v>
      </c>
      <c r="C24766" s="8" t="n">
        <v>15</v>
      </c>
      <c r="D24766" s="8" t="inlineStr">
        <is>
          <t>Disneyland Park</t>
        </is>
      </c>
      <c r="E24766" s="8" t="inlineStr">
        <is>
          <t>Le Carrousel de Lancelot</t>
        </is>
      </c>
      <c r="F24766" s="8" t="inlineStr">
        <is>
          <t>STANDBY</t>
        </is>
      </c>
      <c r="G24766" s="8" t="n">
        <v>10</v>
      </c>
      <c r="H24766" s="8" t="inlineStr">
        <is>
          <t>OPERATING</t>
        </is>
      </c>
    </row>
    <row r="24767">
      <c r="A24767" s="8" t="inlineStr">
        <is>
          <t>2026-08-05</t>
        </is>
      </c>
      <c r="B24767" s="8" t="n">
        <v>13</v>
      </c>
      <c r="C24767" s="8" t="n">
        <v>15</v>
      </c>
      <c r="D24767" s="8" t="inlineStr">
        <is>
          <t>Disneyland Park</t>
        </is>
      </c>
      <c r="E24767" s="8" t="inlineStr">
        <is>
          <t>Le Pays des Contes de Fées, presented by Vittel</t>
        </is>
      </c>
      <c r="F24767" s="8" t="inlineStr">
        <is>
          <t>STANDBY</t>
        </is>
      </c>
      <c r="G24767" s="8" t="n">
        <v>10</v>
      </c>
      <c r="H24767" s="8" t="inlineStr">
        <is>
          <t>OPERATING</t>
        </is>
      </c>
    </row>
    <row r="24768">
      <c r="A24768" s="8" t="inlineStr">
        <is>
          <t>2026-08-05</t>
        </is>
      </c>
      <c r="B24768" s="8" t="n">
        <v>13</v>
      </c>
      <c r="C24768" s="8" t="n">
        <v>15</v>
      </c>
      <c r="D24768" s="8" t="inlineStr">
        <is>
          <t>Disneyland Park</t>
        </is>
      </c>
      <c r="E24768" s="8" t="inlineStr">
        <is>
          <t>Les Voyages de Pinocchio</t>
        </is>
      </c>
      <c r="F24768" s="8" t="inlineStr">
        <is>
          <t>STANDBY</t>
        </is>
      </c>
      <c r="G24768" s="8" t="n">
        <v>30</v>
      </c>
      <c r="H24768" s="8" t="inlineStr">
        <is>
          <t>OPERATING</t>
        </is>
      </c>
    </row>
    <row r="24769">
      <c r="A24769" s="8" t="inlineStr">
        <is>
          <t>2026-08-05</t>
        </is>
      </c>
      <c r="B24769" s="8" t="n">
        <v>13</v>
      </c>
      <c r="C24769" s="8" t="n">
        <v>15</v>
      </c>
      <c r="D24769" s="8" t="inlineStr">
        <is>
          <t>Disneyland Park</t>
        </is>
      </c>
      <c r="E24769" s="8" t="inlineStr">
        <is>
          <t>Mad Hatter's Tea Cups</t>
        </is>
      </c>
      <c r="F24769" s="8" t="inlineStr">
        <is>
          <t>STANDBY</t>
        </is>
      </c>
      <c r="G24769" s="8" t="n">
        <v>15</v>
      </c>
      <c r="H24769" s="8" t="inlineStr">
        <is>
          <t>OPERATING</t>
        </is>
      </c>
    </row>
    <row r="24770">
      <c r="A24770" s="8" t="inlineStr">
        <is>
          <t>2026-08-05</t>
        </is>
      </c>
      <c r="B24770" s="8" t="n">
        <v>13</v>
      </c>
      <c r="C24770" s="8" t="n">
        <v>15</v>
      </c>
      <c r="D24770" s="8" t="inlineStr">
        <is>
          <t>Disneyland Park</t>
        </is>
      </c>
      <c r="E24770" s="8" t="inlineStr">
        <is>
          <t>Meet Mickey Mouse</t>
        </is>
      </c>
      <c r="F24770" s="8" t="inlineStr">
        <is>
          <t>STANDBY</t>
        </is>
      </c>
      <c r="G24770" s="8" t="n">
        <v>0</v>
      </c>
      <c r="H24770" s="8" t="inlineStr">
        <is>
          <t>OPERATING</t>
        </is>
      </c>
    </row>
    <row r="24771">
      <c r="A24771" s="8" t="inlineStr">
        <is>
          <t>2026-08-05</t>
        </is>
      </c>
      <c r="B24771" s="8" t="n">
        <v>13</v>
      </c>
      <c r="C24771" s="8" t="n">
        <v>15</v>
      </c>
      <c r="D24771" s="8" t="inlineStr">
        <is>
          <t>Disneyland Park</t>
        </is>
      </c>
      <c r="E24771" s="8" t="inlineStr">
        <is>
          <t>Peter Pan's Flight</t>
        </is>
      </c>
      <c r="F24771" s="8" t="inlineStr">
        <is>
          <t>STANDBY</t>
        </is>
      </c>
      <c r="G24771" s="8" t="n">
        <v>80</v>
      </c>
      <c r="H24771" s="8" t="inlineStr">
        <is>
          <t>OPERATING</t>
        </is>
      </c>
    </row>
    <row r="24772">
      <c r="A24772" s="8" t="inlineStr">
        <is>
          <t>2026-08-05</t>
        </is>
      </c>
      <c r="B24772" s="8" t="n">
        <v>13</v>
      </c>
      <c r="C24772" s="8" t="n">
        <v>15</v>
      </c>
      <c r="D24772" s="8" t="inlineStr">
        <is>
          <t>Disneyland Park</t>
        </is>
      </c>
      <c r="E24772" s="8" t="inlineStr">
        <is>
          <t>Princess Pavilion</t>
        </is>
      </c>
      <c r="F24772" s="8" t="inlineStr">
        <is>
          <t>STANDBY</t>
        </is>
      </c>
      <c r="G24772" s="8" t="n">
        <v>0</v>
      </c>
      <c r="H24772" s="8" t="inlineStr">
        <is>
          <t>OPERATING</t>
        </is>
      </c>
    </row>
    <row r="24773">
      <c r="A24773" s="8" t="inlineStr">
        <is>
          <t>2026-08-05</t>
        </is>
      </c>
      <c r="B24773" s="8" t="n">
        <v>13</v>
      </c>
      <c r="C24773" s="8" t="n">
        <v>15</v>
      </c>
      <c r="D24773" s="8" t="inlineStr">
        <is>
          <t>Disneyland Park</t>
        </is>
      </c>
      <c r="E24773" s="8" t="inlineStr">
        <is>
          <t>Big Thunder Mountain</t>
        </is>
      </c>
      <c r="F24773" s="8" t="inlineStr">
        <is>
          <t>STANDBY</t>
        </is>
      </c>
      <c r="G24773" s="8" t="n">
        <v>100</v>
      </c>
      <c r="H24773" s="8" t="inlineStr">
        <is>
          <t>OPERATING</t>
        </is>
      </c>
    </row>
    <row r="24774">
      <c r="A24774" s="8" t="inlineStr">
        <is>
          <t>2026-08-05</t>
        </is>
      </c>
      <c r="B24774" s="8" t="n">
        <v>13</v>
      </c>
      <c r="C24774" s="8" t="n">
        <v>15</v>
      </c>
      <c r="D24774" s="8" t="inlineStr">
        <is>
          <t>Disneyland Park</t>
        </is>
      </c>
      <c r="E24774" s="8" t="inlineStr">
        <is>
          <t>Disneyland Railroad Frontierland Depot</t>
        </is>
      </c>
      <c r="F24774" s="8" t="inlineStr">
        <is>
          <t>STANDBY</t>
        </is>
      </c>
      <c r="G24774" s="8" t="n">
        <v>40</v>
      </c>
      <c r="H24774" s="8" t="inlineStr">
        <is>
          <t>OPERATING</t>
        </is>
      </c>
    </row>
    <row r="24775">
      <c r="A24775" s="8" t="inlineStr">
        <is>
          <t>2026-08-05</t>
        </is>
      </c>
      <c r="B24775" s="8" t="n">
        <v>13</v>
      </c>
      <c r="C24775" s="8" t="n">
        <v>15</v>
      </c>
      <c r="D24775" s="8" t="inlineStr">
        <is>
          <t>Disneyland Park</t>
        </is>
      </c>
      <c r="E24775" s="8" t="inlineStr">
        <is>
          <t>Frontierland Playground</t>
        </is>
      </c>
      <c r="F24775" s="8" t="inlineStr">
        <is>
          <t>STANDBY</t>
        </is>
      </c>
      <c r="G24775" s="8" t="n">
        <v>0</v>
      </c>
      <c r="H24775" s="8" t="inlineStr">
        <is>
          <t>OPERATING</t>
        </is>
      </c>
    </row>
    <row r="24776">
      <c r="A24776" s="8" t="inlineStr">
        <is>
          <t>2026-08-05</t>
        </is>
      </c>
      <c r="B24776" s="8" t="n">
        <v>13</v>
      </c>
      <c r="C24776" s="8" t="n">
        <v>15</v>
      </c>
      <c r="D24776" s="8" t="inlineStr">
        <is>
          <t>Disneyland Park</t>
        </is>
      </c>
      <c r="E24776" s="8" t="inlineStr">
        <is>
          <t>Phantom Manor</t>
        </is>
      </c>
      <c r="F24776" s="8" t="inlineStr">
        <is>
          <t>STANDBY</t>
        </is>
      </c>
      <c r="G24776" s="8" t="n">
        <v>25</v>
      </c>
      <c r="H24776" s="8" t="inlineStr">
        <is>
          <t>OPERATING</t>
        </is>
      </c>
    </row>
    <row r="24777">
      <c r="A24777" s="8" t="inlineStr">
        <is>
          <t>2026-08-05</t>
        </is>
      </c>
      <c r="B24777" s="8" t="n">
        <v>13</v>
      </c>
      <c r="C24777" s="8" t="n">
        <v>15</v>
      </c>
      <c r="D24777" s="8" t="inlineStr">
        <is>
          <t>Disneyland Park</t>
        </is>
      </c>
      <c r="E24777" s="8" t="inlineStr">
        <is>
          <t>River Rogue Keelboats</t>
        </is>
      </c>
      <c r="F24777" s="8" t="inlineStr">
        <is>
          <t>STANDBY</t>
        </is>
      </c>
      <c r="G24777" s="8" t="n">
        <v>0</v>
      </c>
      <c r="H24777" s="8" t="inlineStr">
        <is>
          <t>CLOSED</t>
        </is>
      </c>
    </row>
    <row r="24778">
      <c r="A24778" s="8" t="inlineStr">
        <is>
          <t>2026-08-05</t>
        </is>
      </c>
      <c r="B24778" s="8" t="n">
        <v>13</v>
      </c>
      <c r="C24778" s="8" t="n">
        <v>15</v>
      </c>
      <c r="D24778" s="8" t="inlineStr">
        <is>
          <t>Disneyland Park</t>
        </is>
      </c>
      <c r="E24778" s="8" t="inlineStr">
        <is>
          <t>Rustler Roundup Shootin' Gallery</t>
        </is>
      </c>
      <c r="F24778" s="8" t="inlineStr">
        <is>
          <t>STANDBY</t>
        </is>
      </c>
      <c r="G24778" s="8" t="n">
        <v>0</v>
      </c>
      <c r="H24778" s="8" t="inlineStr">
        <is>
          <t>OPERATING</t>
        </is>
      </c>
    </row>
    <row r="24779">
      <c r="A24779" s="8" t="inlineStr">
        <is>
          <t>2026-08-05</t>
        </is>
      </c>
      <c r="B24779" s="8" t="n">
        <v>13</v>
      </c>
      <c r="C24779" s="8" t="n">
        <v>15</v>
      </c>
      <c r="D24779" s="8" t="inlineStr">
        <is>
          <t>Disneyland Park</t>
        </is>
      </c>
      <c r="E24779" s="8" t="inlineStr">
        <is>
          <t>Thunder Mesa Riverboat Landing</t>
        </is>
      </c>
      <c r="F24779" s="8" t="inlineStr">
        <is>
          <t>STANDBY</t>
        </is>
      </c>
      <c r="G24779" s="8" t="n">
        <v>20</v>
      </c>
      <c r="H24779" s="8" t="inlineStr">
        <is>
          <t>OPERATING</t>
        </is>
      </c>
    </row>
    <row r="24780">
      <c r="A24780" s="8" t="inlineStr">
        <is>
          <t>2026-08-05</t>
        </is>
      </c>
      <c r="B24780" s="8" t="n">
        <v>13</v>
      </c>
      <c r="C24780" s="8" t="n">
        <v>15</v>
      </c>
      <c r="D24780" s="8" t="inlineStr">
        <is>
          <t>Disneyland Park</t>
        </is>
      </c>
      <c r="E24780" s="8" t="inlineStr">
        <is>
          <t>Disneyland Railroad Main Street Station</t>
        </is>
      </c>
      <c r="F24780" s="8" t="inlineStr">
        <is>
          <t>STANDBY</t>
        </is>
      </c>
      <c r="G24780" s="8" t="n">
        <v>0</v>
      </c>
      <c r="H24780" s="8" t="inlineStr">
        <is>
          <t>OPERATING</t>
        </is>
      </c>
    </row>
    <row r="24781">
      <c r="A24781" s="8" t="inlineStr">
        <is>
          <t>2026-08-05</t>
        </is>
      </c>
      <c r="B24781" s="8" t="n">
        <v>13</v>
      </c>
      <c r="C24781" s="8" t="n">
        <v>15</v>
      </c>
      <c r="D24781" s="8" t="inlineStr">
        <is>
          <t>Disneyland Park</t>
        </is>
      </c>
      <c r="E24781" s="8" t="inlineStr">
        <is>
          <t>Main Street Vehicles</t>
        </is>
      </c>
      <c r="F24781" s="8" t="inlineStr">
        <is>
          <t>STANDBY</t>
        </is>
      </c>
      <c r="G24781" s="8" t="n">
        <v>5</v>
      </c>
      <c r="H24781" s="8" t="inlineStr">
        <is>
          <t>OPERATING</t>
        </is>
      </c>
    </row>
    <row r="24782">
      <c r="A24782" s="8" t="inlineStr">
        <is>
          <t>2026-08-05</t>
        </is>
      </c>
      <c r="B24782" s="8" t="n">
        <v>13</v>
      </c>
      <c r="C24782" s="8" t="n">
        <v>15</v>
      </c>
      <c r="D24782" s="8" t="inlineStr">
        <is>
          <t>Disney Adventure World</t>
        </is>
      </c>
      <c r="E24782" s="8" t="inlineStr">
        <is>
          <t>Avengers Assemble: Flight Force</t>
        </is>
      </c>
      <c r="F24782" s="8" t="inlineStr">
        <is>
          <t>STANDBY</t>
        </is>
      </c>
      <c r="G24782" s="8" t="n">
        <v>25</v>
      </c>
      <c r="H24782" s="8" t="inlineStr">
        <is>
          <t>OPERATING</t>
        </is>
      </c>
    </row>
    <row r="24783">
      <c r="A24783" s="8" t="inlineStr">
        <is>
          <t>2026-08-05</t>
        </is>
      </c>
      <c r="B24783" s="8" t="n">
        <v>13</v>
      </c>
      <c r="C24783" s="8" t="n">
        <v>15</v>
      </c>
      <c r="D24783" s="8" t="inlineStr">
        <is>
          <t>Disney Adventure World</t>
        </is>
      </c>
      <c r="E24783" s="8" t="inlineStr">
        <is>
          <t>Avengers Assemble: Flight Force Single Rider</t>
        </is>
      </c>
      <c r="F24783" s="8" t="inlineStr">
        <is>
          <t>STANDBY</t>
        </is>
      </c>
      <c r="G24783" s="8" t="n">
        <v>10</v>
      </c>
      <c r="H24783" s="8" t="inlineStr">
        <is>
          <t>OPERATING</t>
        </is>
      </c>
    </row>
    <row r="24784">
      <c r="A24784" s="8" t="inlineStr">
        <is>
          <t>2026-08-05</t>
        </is>
      </c>
      <c r="B24784" s="8" t="n">
        <v>13</v>
      </c>
      <c r="C24784" s="8" t="n">
        <v>15</v>
      </c>
      <c r="D24784" s="8" t="inlineStr">
        <is>
          <t>Disney Adventure World</t>
        </is>
      </c>
      <c r="E24784" s="8" t="inlineStr">
        <is>
          <t>Spider-Man W.E.B. Adventure</t>
        </is>
      </c>
      <c r="F24784" s="8" t="inlineStr">
        <is>
          <t>STANDBY</t>
        </is>
      </c>
      <c r="G24784" s="8" t="n">
        <v>45</v>
      </c>
      <c r="H24784" s="8" t="inlineStr">
        <is>
          <t>OPERATING</t>
        </is>
      </c>
    </row>
    <row r="24785">
      <c r="A24785" s="8" t="inlineStr">
        <is>
          <t>2026-08-05</t>
        </is>
      </c>
      <c r="B24785" s="8" t="n">
        <v>13</v>
      </c>
      <c r="C24785" s="8" t="n">
        <v>15</v>
      </c>
      <c r="D24785" s="8" t="inlineStr">
        <is>
          <t>Disney Adventure World</t>
        </is>
      </c>
      <c r="E24785" s="8" t="inlineStr">
        <is>
          <t>Spider-Man W.E.B. Adventure Single Rider</t>
        </is>
      </c>
      <c r="F24785" s="8" t="inlineStr">
        <is>
          <t>STANDBY</t>
        </is>
      </c>
      <c r="G24785" s="8" t="n">
        <v>15</v>
      </c>
      <c r="H24785" s="8" t="inlineStr">
        <is>
          <t>OPERATING</t>
        </is>
      </c>
    </row>
    <row r="24786">
      <c r="A24786" s="8" t="inlineStr">
        <is>
          <t>2026-08-05</t>
        </is>
      </c>
      <c r="B24786" s="8" t="n">
        <v>13</v>
      </c>
      <c r="C24786" s="8" t="n">
        <v>15</v>
      </c>
      <c r="D24786" s="8" t="inlineStr">
        <is>
          <t>Disney Adventure World</t>
        </is>
      </c>
      <c r="E24786" s="8" t="inlineStr">
        <is>
          <t>The Twilight Zone Tower of Terror</t>
        </is>
      </c>
      <c r="F24786" s="8" t="inlineStr">
        <is>
          <t>STANDBY</t>
        </is>
      </c>
      <c r="G24786" s="8" t="n">
        <v>30</v>
      </c>
      <c r="H24786" s="8" t="inlineStr">
        <is>
          <t>OPERATING</t>
        </is>
      </c>
    </row>
    <row r="24787">
      <c r="A24787" s="8" t="inlineStr">
        <is>
          <t>2026-08-05</t>
        </is>
      </c>
      <c r="B24787" s="8" t="n">
        <v>13</v>
      </c>
      <c r="C24787" s="8" t="n">
        <v>15</v>
      </c>
      <c r="D24787" s="8" t="inlineStr">
        <is>
          <t>Disney Adventure World</t>
        </is>
      </c>
      <c r="E24787" s="8" t="inlineStr">
        <is>
          <t>Cars Quatre Roues Rallye</t>
        </is>
      </c>
      <c r="F24787" s="8" t="inlineStr">
        <is>
          <t>STANDBY</t>
        </is>
      </c>
      <c r="G24787" s="8" t="n">
        <v>20</v>
      </c>
      <c r="H24787" s="8" t="inlineStr">
        <is>
          <t>OPERATING</t>
        </is>
      </c>
    </row>
    <row r="24788">
      <c r="A24788" s="8" t="inlineStr">
        <is>
          <t>2026-08-05</t>
        </is>
      </c>
      <c r="B24788" s="8" t="n">
        <v>13</v>
      </c>
      <c r="C24788" s="8" t="n">
        <v>15</v>
      </c>
      <c r="D24788" s="8" t="inlineStr">
        <is>
          <t>Disney Adventure World</t>
        </is>
      </c>
      <c r="E24788" s="8" t="inlineStr">
        <is>
          <t>Cars ROAD TRIP</t>
        </is>
      </c>
      <c r="F24788" s="8" t="inlineStr">
        <is>
          <t>STANDBY</t>
        </is>
      </c>
      <c r="G24788" s="8" t="n">
        <v>20</v>
      </c>
      <c r="H24788" s="8" t="inlineStr">
        <is>
          <t>OPERATING</t>
        </is>
      </c>
    </row>
    <row r="24789">
      <c r="A24789" s="8" t="inlineStr">
        <is>
          <t>2026-08-05</t>
        </is>
      </c>
      <c r="B24789" s="8" t="n">
        <v>13</v>
      </c>
      <c r="C24789" s="8" t="n">
        <v>15</v>
      </c>
      <c r="D24789" s="8" t="inlineStr">
        <is>
          <t>Disney Adventure World</t>
        </is>
      </c>
      <c r="E24789" s="8" t="inlineStr">
        <is>
          <t>Crush's Coaster</t>
        </is>
      </c>
      <c r="F24789" s="8" t="inlineStr">
        <is>
          <t>STANDBY</t>
        </is>
      </c>
      <c r="G24789" s="8" t="n">
        <v>75</v>
      </c>
      <c r="H24789" s="8" t="inlineStr">
        <is>
          <t>OPERATING</t>
        </is>
      </c>
    </row>
    <row r="24790">
      <c r="A24790" s="8" t="inlineStr">
        <is>
          <t>2026-08-05</t>
        </is>
      </c>
      <c r="B24790" s="8" t="n">
        <v>13</v>
      </c>
      <c r="C24790" s="8" t="n">
        <v>15</v>
      </c>
      <c r="D24790" s="8" t="inlineStr">
        <is>
          <t>Disney Adventure World</t>
        </is>
      </c>
      <c r="E24790" s="8" t="inlineStr">
        <is>
          <t>Crush's Coaster Single Rider</t>
        </is>
      </c>
      <c r="F24790" s="8" t="inlineStr">
        <is>
          <t>STANDBY</t>
        </is>
      </c>
      <c r="G24790" s="8" t="n">
        <v>40</v>
      </c>
      <c r="H24790" s="8" t="inlineStr">
        <is>
          <t>OPERATING</t>
        </is>
      </c>
    </row>
    <row r="24791">
      <c r="A24791" s="8" t="inlineStr">
        <is>
          <t>2026-08-05</t>
        </is>
      </c>
      <c r="B24791" s="8" t="n">
        <v>13</v>
      </c>
      <c r="C24791" s="8" t="n">
        <v>15</v>
      </c>
      <c r="D24791" s="8" t="inlineStr">
        <is>
          <t>Disney Adventure World</t>
        </is>
      </c>
      <c r="E24791" s="8" t="inlineStr">
        <is>
          <t>Les Tapis Volants - Flying Carpets Over Agrabah®</t>
        </is>
      </c>
      <c r="F24791" s="8" t="inlineStr">
        <is>
          <t>STANDBY</t>
        </is>
      </c>
      <c r="G24791" s="8" t="n">
        <v>25</v>
      </c>
      <c r="H24791" s="8" t="inlineStr">
        <is>
          <t>OPERATING</t>
        </is>
      </c>
    </row>
    <row r="24792">
      <c r="A24792" s="8" t="inlineStr">
        <is>
          <t>2026-08-05</t>
        </is>
      </c>
      <c r="B24792" s="8" t="n">
        <v>13</v>
      </c>
      <c r="C24792" s="8" t="n">
        <v>15</v>
      </c>
      <c r="D24792" s="8" t="inlineStr">
        <is>
          <t>Disney Adventure World</t>
        </is>
      </c>
      <c r="E24792" s="8" t="inlineStr">
        <is>
          <t>Ratatouille : L’Aventure Totalement Toquée de Rémy​</t>
        </is>
      </c>
      <c r="F24792" s="8" t="inlineStr">
        <is>
          <t>STANDBY</t>
        </is>
      </c>
      <c r="G24792" s="8" t="n">
        <v>65</v>
      </c>
      <c r="H24792" s="8" t="inlineStr">
        <is>
          <t>OPERATING</t>
        </is>
      </c>
    </row>
    <row r="24793">
      <c r="A24793" s="8" t="inlineStr">
        <is>
          <t>2026-08-05</t>
        </is>
      </c>
      <c r="B24793" s="8" t="n">
        <v>13</v>
      </c>
      <c r="C24793" s="8" t="n">
        <v>15</v>
      </c>
      <c r="D24793" s="8" t="inlineStr">
        <is>
          <t>Disney Adventure World</t>
        </is>
      </c>
      <c r="E24793" s="8" t="inlineStr">
        <is>
          <t>Ratatouille: The Adventure Single Rider</t>
        </is>
      </c>
      <c r="F24793" s="8" t="inlineStr">
        <is>
          <t>STANDBY</t>
        </is>
      </c>
      <c r="G24793" s="8" t="n">
        <v>20</v>
      </c>
      <c r="H24793" s="8" t="inlineStr">
        <is>
          <t>OPERATING</t>
        </is>
      </c>
    </row>
    <row r="24794">
      <c r="A24794" s="8" t="inlineStr">
        <is>
          <t>2026-08-05</t>
        </is>
      </c>
      <c r="B24794" s="8" t="n">
        <v>13</v>
      </c>
      <c r="C24794" s="8" t="n">
        <v>15</v>
      </c>
      <c r="D24794" s="8" t="inlineStr">
        <is>
          <t>Disney Adventure World</t>
        </is>
      </c>
      <c r="E24794" s="8" t="inlineStr">
        <is>
          <t>RC Racer</t>
        </is>
      </c>
      <c r="F24794" s="8" t="inlineStr">
        <is>
          <t>STANDBY</t>
        </is>
      </c>
      <c r="G24794" s="8" t="n">
        <v>60</v>
      </c>
      <c r="H24794" s="8" t="inlineStr">
        <is>
          <t>OPERATING</t>
        </is>
      </c>
    </row>
    <row r="24795">
      <c r="A24795" s="8" t="inlineStr">
        <is>
          <t>2026-08-05</t>
        </is>
      </c>
      <c r="B24795" s="8" t="n">
        <v>13</v>
      </c>
      <c r="C24795" s="8" t="n">
        <v>15</v>
      </c>
      <c r="D24795" s="8" t="inlineStr">
        <is>
          <t>Disney Adventure World</t>
        </is>
      </c>
      <c r="E24795" s="8" t="inlineStr">
        <is>
          <t>RC Racer Single Rider</t>
        </is>
      </c>
      <c r="F24795" s="8" t="inlineStr">
        <is>
          <t>STANDBY</t>
        </is>
      </c>
      <c r="G24795" s="8" t="n">
        <v>55</v>
      </c>
      <c r="H24795" s="8" t="inlineStr">
        <is>
          <t>OPERATING</t>
        </is>
      </c>
    </row>
    <row r="24796">
      <c r="A24796" s="8" t="inlineStr">
        <is>
          <t>2026-08-05</t>
        </is>
      </c>
      <c r="B24796" s="8" t="n">
        <v>13</v>
      </c>
      <c r="C24796" s="8" t="n">
        <v>15</v>
      </c>
      <c r="D24796" s="8" t="inlineStr">
        <is>
          <t>Disney Adventure World</t>
        </is>
      </c>
      <c r="E24796" s="8" t="inlineStr">
        <is>
          <t>Slinky® Dog Zigzag Spin</t>
        </is>
      </c>
      <c r="F24796" s="8" t="inlineStr">
        <is>
          <t>STANDBY</t>
        </is>
      </c>
      <c r="G24796" s="8" t="n">
        <v>20</v>
      </c>
      <c r="H24796" s="8" t="inlineStr">
        <is>
          <t>OPERATING</t>
        </is>
      </c>
    </row>
    <row r="24797">
      <c r="A24797" s="8" t="inlineStr">
        <is>
          <t>2026-08-05</t>
        </is>
      </c>
      <c r="B24797" s="8" t="n">
        <v>13</v>
      </c>
      <c r="C24797" s="8" t="n">
        <v>15</v>
      </c>
      <c r="D24797" s="8" t="inlineStr">
        <is>
          <t>Disney Adventure World</t>
        </is>
      </c>
      <c r="E24797" s="8" t="inlineStr">
        <is>
          <t>Toy Soldiers Parachute Drop</t>
        </is>
      </c>
      <c r="F24797" s="8" t="inlineStr">
        <is>
          <t>STANDBY</t>
        </is>
      </c>
      <c r="G24797" s="8" t="n">
        <v>60</v>
      </c>
      <c r="H24797" s="8" t="inlineStr">
        <is>
          <t>OPERATING</t>
        </is>
      </c>
    </row>
    <row r="24798">
      <c r="A24798" s="8" t="inlineStr">
        <is>
          <t>2026-08-05</t>
        </is>
      </c>
      <c r="B24798" s="8" t="n">
        <v>13</v>
      </c>
      <c r="C24798" s="8" t="n">
        <v>15</v>
      </c>
      <c r="D24798" s="8" t="inlineStr">
        <is>
          <t>Disney Adventure World</t>
        </is>
      </c>
      <c r="E24798" s="8" t="inlineStr">
        <is>
          <t>Toy Soldiers Parachute Drop Single Rider</t>
        </is>
      </c>
      <c r="F24798" s="8" t="inlineStr">
        <is>
          <t>STANDBY</t>
        </is>
      </c>
      <c r="G24798" s="8" t="n">
        <v>20</v>
      </c>
      <c r="H24798" s="8" t="inlineStr">
        <is>
          <t>OPERATING</t>
        </is>
      </c>
    </row>
    <row r="24799">
      <c r="A24799" s="8" t="inlineStr">
        <is>
          <t>2026-08-05</t>
        </is>
      </c>
      <c r="B24799" s="8" t="n">
        <v>13</v>
      </c>
      <c r="C24799" s="8" t="n">
        <v>15</v>
      </c>
      <c r="D24799" s="8" t="inlineStr">
        <is>
          <t>Disney Adventure World</t>
        </is>
      </c>
      <c r="E24799" s="8" t="inlineStr">
        <is>
          <t>Entry to World of Frozen</t>
        </is>
      </c>
      <c r="F24799" s="8" t="inlineStr">
        <is>
          <t>STANDBY</t>
        </is>
      </c>
      <c r="G24799" s="8" t="n">
        <v>0</v>
      </c>
      <c r="H24799" s="8" t="inlineStr">
        <is>
          <t>OPERATING</t>
        </is>
      </c>
    </row>
    <row r="24800">
      <c r="A24800" s="8" t="inlineStr">
        <is>
          <t>2026-08-05</t>
        </is>
      </c>
      <c r="B24800" s="8" t="n">
        <v>13</v>
      </c>
      <c r="C24800" s="8" t="n">
        <v>15</v>
      </c>
      <c r="D24800" s="8" t="inlineStr">
        <is>
          <t>Disney Adventure World</t>
        </is>
      </c>
      <c r="E24800" s="8" t="inlineStr">
        <is>
          <t>Frozen Ever After</t>
        </is>
      </c>
      <c r="F24800" s="8" t="inlineStr">
        <is>
          <t>STANDBY</t>
        </is>
      </c>
      <c r="G24800" s="8" t="n">
        <v>75</v>
      </c>
      <c r="H24800" s="8" t="inlineStr">
        <is>
          <t>OPERATING</t>
        </is>
      </c>
    </row>
    <row r="24801">
      <c r="A24801" s="8" t="inlineStr">
        <is>
          <t>2026-08-05</t>
        </is>
      </c>
      <c r="B24801" s="8" t="n">
        <v>13</v>
      </c>
      <c r="C24801" s="8" t="n">
        <v>15</v>
      </c>
      <c r="D24801" s="8" t="inlineStr">
        <is>
          <t>Disney Adventure World</t>
        </is>
      </c>
      <c r="E24801" s="8" t="inlineStr">
        <is>
          <t>Raiponce Tangled Spin</t>
        </is>
      </c>
      <c r="F24801" s="8" t="inlineStr">
        <is>
          <t>STANDBY</t>
        </is>
      </c>
      <c r="G24801" s="8" t="n">
        <v>15</v>
      </c>
      <c r="H24801" s="8" t="inlineStr">
        <is>
          <t>OPERATING</t>
        </is>
      </c>
    </row>
    <row r="24802">
      <c r="A24802" s="8" t="inlineStr">
        <is>
          <t>2026-08-05</t>
        </is>
      </c>
      <c r="B24802" s="8" t="n">
        <v>13</v>
      </c>
      <c r="C24802" s="8" t="n">
        <v>31</v>
      </c>
      <c r="D24802" s="8" t="inlineStr">
        <is>
          <t>Disneyland Park</t>
        </is>
      </c>
      <c r="E24802" s="8" t="inlineStr">
        <is>
          <t>Adventure Isle</t>
        </is>
      </c>
      <c r="F24802" s="8" t="inlineStr">
        <is>
          <t>STANDBY</t>
        </is>
      </c>
      <c r="G24802" s="8" t="n">
        <v>0</v>
      </c>
      <c r="H24802" s="8" t="inlineStr">
        <is>
          <t>OPERATING</t>
        </is>
      </c>
    </row>
    <row r="24803">
      <c r="A24803" s="8" t="inlineStr">
        <is>
          <t>2026-08-05</t>
        </is>
      </c>
      <c r="B24803" s="8" t="n">
        <v>13</v>
      </c>
      <c r="C24803" s="8" t="n">
        <v>31</v>
      </c>
      <c r="D24803" s="8" t="inlineStr">
        <is>
          <t>Disneyland Park</t>
        </is>
      </c>
      <c r="E24803" s="8" t="inlineStr">
        <is>
          <t>Indiana Jones and the Temple of Peril Single Rider</t>
        </is>
      </c>
      <c r="F24803" s="8" t="inlineStr">
        <is>
          <t>STANDBY</t>
        </is>
      </c>
      <c r="G24803" s="8" t="n">
        <v>35</v>
      </c>
      <c r="H24803" s="8" t="inlineStr">
        <is>
          <t>OPERATING</t>
        </is>
      </c>
    </row>
    <row r="24804">
      <c r="A24804" s="8" t="inlineStr">
        <is>
          <t>2026-08-05</t>
        </is>
      </c>
      <c r="B24804" s="8" t="n">
        <v>13</v>
      </c>
      <c r="C24804" s="8" t="n">
        <v>31</v>
      </c>
      <c r="D24804" s="8" t="inlineStr">
        <is>
          <t>Disneyland Park</t>
        </is>
      </c>
      <c r="E24804" s="8" t="inlineStr">
        <is>
          <t>Indiana Jones™ and the Temple of Peril</t>
        </is>
      </c>
      <c r="F24804" s="8" t="inlineStr">
        <is>
          <t>STANDBY</t>
        </is>
      </c>
      <c r="G24804" s="8" t="n">
        <v>40</v>
      </c>
      <c r="H24804" s="8" t="inlineStr">
        <is>
          <t>OPERATING</t>
        </is>
      </c>
    </row>
    <row r="24805">
      <c r="A24805" s="8" t="inlineStr">
        <is>
          <t>2026-08-05</t>
        </is>
      </c>
      <c r="B24805" s="8" t="n">
        <v>13</v>
      </c>
      <c r="C24805" s="8" t="n">
        <v>31</v>
      </c>
      <c r="D24805" s="8" t="inlineStr">
        <is>
          <t>Disneyland Park</t>
        </is>
      </c>
      <c r="E24805" s="8" t="inlineStr">
        <is>
          <t>La Cabane des Robinson</t>
        </is>
      </c>
      <c r="F24805" s="8" t="inlineStr">
        <is>
          <t>STANDBY</t>
        </is>
      </c>
      <c r="G24805" s="8" t="n">
        <v>5</v>
      </c>
      <c r="H24805" s="8" t="inlineStr">
        <is>
          <t>OPERATING</t>
        </is>
      </c>
    </row>
    <row r="24806">
      <c r="A24806" s="8" t="inlineStr">
        <is>
          <t>2026-08-05</t>
        </is>
      </c>
      <c r="B24806" s="8" t="n">
        <v>13</v>
      </c>
      <c r="C24806" s="8" t="n">
        <v>31</v>
      </c>
      <c r="D24806" s="8" t="inlineStr">
        <is>
          <t>Disneyland Park</t>
        </is>
      </c>
      <c r="E24806" s="8" t="inlineStr">
        <is>
          <t>Le Passage Enchanté d'Aladdin</t>
        </is>
      </c>
      <c r="F24806" s="8" t="inlineStr">
        <is>
          <t>STANDBY</t>
        </is>
      </c>
      <c r="G24806" s="8" t="n">
        <v>0</v>
      </c>
      <c r="H24806" s="8" t="inlineStr">
        <is>
          <t>OPERATING</t>
        </is>
      </c>
    </row>
    <row r="24807">
      <c r="A24807" s="8" t="inlineStr">
        <is>
          <t>2026-08-05</t>
        </is>
      </c>
      <c r="B24807" s="8" t="n">
        <v>13</v>
      </c>
      <c r="C24807" s="8" t="n">
        <v>31</v>
      </c>
      <c r="D24807" s="8" t="inlineStr">
        <is>
          <t>Disneyland Park</t>
        </is>
      </c>
      <c r="E24807" s="8" t="inlineStr">
        <is>
          <t>Pirate Galleon</t>
        </is>
      </c>
      <c r="F24807" s="8" t="inlineStr">
        <is>
          <t>STANDBY</t>
        </is>
      </c>
      <c r="G24807" s="8" t="n">
        <v>0</v>
      </c>
      <c r="H24807" s="8" t="inlineStr">
        <is>
          <t>CLOSED</t>
        </is>
      </c>
    </row>
    <row r="24808">
      <c r="A24808" s="8" t="inlineStr">
        <is>
          <t>2026-08-05</t>
        </is>
      </c>
      <c r="B24808" s="8" t="n">
        <v>13</v>
      </c>
      <c r="C24808" s="8" t="n">
        <v>31</v>
      </c>
      <c r="D24808" s="8" t="inlineStr">
        <is>
          <t>Disneyland Park</t>
        </is>
      </c>
      <c r="E24808" s="8" t="inlineStr">
        <is>
          <t>Pirates of the Caribbean</t>
        </is>
      </c>
      <c r="F24808" s="8" t="inlineStr">
        <is>
          <t>STANDBY</t>
        </is>
      </c>
      <c r="G24808" s="8" t="n">
        <v>35</v>
      </c>
      <c r="H24808" s="8" t="inlineStr">
        <is>
          <t>OPERATING</t>
        </is>
      </c>
    </row>
    <row r="24809">
      <c r="A24809" s="8" t="inlineStr">
        <is>
          <t>2026-08-05</t>
        </is>
      </c>
      <c r="B24809" s="8" t="n">
        <v>13</v>
      </c>
      <c r="C24809" s="8" t="n">
        <v>31</v>
      </c>
      <c r="D24809" s="8" t="inlineStr">
        <is>
          <t>Disneyland Park</t>
        </is>
      </c>
      <c r="E24809" s="8" t="inlineStr">
        <is>
          <t>Pirates' Beach</t>
        </is>
      </c>
      <c r="F24809" s="8" t="inlineStr">
        <is>
          <t>STANDBY</t>
        </is>
      </c>
      <c r="G24809" s="8" t="n">
        <v>0</v>
      </c>
      <c r="H24809" s="8" t="inlineStr">
        <is>
          <t>OPERATING</t>
        </is>
      </c>
    </row>
    <row r="24810">
      <c r="A24810" s="8" t="inlineStr">
        <is>
          <t>2026-08-05</t>
        </is>
      </c>
      <c r="B24810" s="8" t="n">
        <v>13</v>
      </c>
      <c r="C24810" s="8" t="n">
        <v>31</v>
      </c>
      <c r="D24810" s="8" t="inlineStr">
        <is>
          <t>Disneyland Park</t>
        </is>
      </c>
      <c r="E24810" s="8" t="inlineStr">
        <is>
          <t>Autopia, presented by Avis</t>
        </is>
      </c>
      <c r="F24810" s="8" t="inlineStr">
        <is>
          <t>STANDBY</t>
        </is>
      </c>
      <c r="G24810" s="8" t="n">
        <v>45</v>
      </c>
      <c r="H24810" s="8" t="inlineStr">
        <is>
          <t>OPERATING</t>
        </is>
      </c>
    </row>
    <row r="24811">
      <c r="A24811" s="8" t="inlineStr">
        <is>
          <t>2026-08-05</t>
        </is>
      </c>
      <c r="B24811" s="8" t="n">
        <v>13</v>
      </c>
      <c r="C24811" s="8" t="n">
        <v>31</v>
      </c>
      <c r="D24811" s="8" t="inlineStr">
        <is>
          <t>Disneyland Park</t>
        </is>
      </c>
      <c r="E24811" s="8" t="inlineStr">
        <is>
          <t>Buzz Lightyear Laser Blast</t>
        </is>
      </c>
      <c r="F24811" s="8" t="inlineStr">
        <is>
          <t>STANDBY</t>
        </is>
      </c>
      <c r="G24811" s="8" t="n">
        <v>45</v>
      </c>
      <c r="H24811" s="8" t="inlineStr">
        <is>
          <t>OPERATING</t>
        </is>
      </c>
    </row>
    <row r="24812">
      <c r="A24812" s="8" t="inlineStr">
        <is>
          <t>2026-08-05</t>
        </is>
      </c>
      <c r="B24812" s="8" t="n">
        <v>13</v>
      </c>
      <c r="C24812" s="8" t="n">
        <v>31</v>
      </c>
      <c r="D24812" s="8" t="inlineStr">
        <is>
          <t>Disneyland Park</t>
        </is>
      </c>
      <c r="E24812" s="8" t="inlineStr">
        <is>
          <t>Disneyland Railroad Discoveryland Station</t>
        </is>
      </c>
      <c r="F24812" s="8" t="inlineStr">
        <is>
          <t>STANDBY</t>
        </is>
      </c>
      <c r="G24812" s="8" t="n">
        <v>0</v>
      </c>
      <c r="H24812" s="8" t="inlineStr">
        <is>
          <t>CLOSED</t>
        </is>
      </c>
    </row>
    <row r="24813">
      <c r="A24813" s="8" t="inlineStr">
        <is>
          <t>2026-08-05</t>
        </is>
      </c>
      <c r="B24813" s="8" t="n">
        <v>13</v>
      </c>
      <c r="C24813" s="8" t="n">
        <v>31</v>
      </c>
      <c r="D24813" s="8" t="inlineStr">
        <is>
          <t>Disneyland Park</t>
        </is>
      </c>
      <c r="E24813" s="8" t="inlineStr">
        <is>
          <t>Les Mystères du Nautilus</t>
        </is>
      </c>
      <c r="F24813" s="8" t="inlineStr">
        <is>
          <t>STANDBY</t>
        </is>
      </c>
      <c r="G24813" s="8" t="n">
        <v>5</v>
      </c>
      <c r="H24813" s="8" t="inlineStr">
        <is>
          <t>OPERATING</t>
        </is>
      </c>
    </row>
    <row r="24814">
      <c r="A24814" s="8" t="inlineStr">
        <is>
          <t>2026-08-05</t>
        </is>
      </c>
      <c r="B24814" s="8" t="n">
        <v>13</v>
      </c>
      <c r="C24814" s="8" t="n">
        <v>31</v>
      </c>
      <c r="D24814" s="8" t="inlineStr">
        <is>
          <t>Disneyland Park</t>
        </is>
      </c>
      <c r="E24814" s="8" t="inlineStr">
        <is>
          <t>Mickey’s PhilharMagic</t>
        </is>
      </c>
      <c r="F24814" s="8" t="inlineStr">
        <is>
          <t>STANDBY</t>
        </is>
      </c>
      <c r="G24814" s="8" t="n">
        <v>0</v>
      </c>
      <c r="H24814" s="8" t="inlineStr">
        <is>
          <t>OPERATING</t>
        </is>
      </c>
    </row>
    <row r="24815">
      <c r="A24815" s="8" t="inlineStr">
        <is>
          <t>2026-08-05</t>
        </is>
      </c>
      <c r="B24815" s="8" t="n">
        <v>13</v>
      </c>
      <c r="C24815" s="8" t="n">
        <v>31</v>
      </c>
      <c r="D24815" s="8" t="inlineStr">
        <is>
          <t>Disneyland Park</t>
        </is>
      </c>
      <c r="E24815" s="8" t="inlineStr">
        <is>
          <t>Orbitron®</t>
        </is>
      </c>
      <c r="F24815" s="8" t="inlineStr">
        <is>
          <t>STANDBY</t>
        </is>
      </c>
      <c r="G24815" s="8" t="n">
        <v>70</v>
      </c>
      <c r="H24815" s="8" t="inlineStr">
        <is>
          <t>OPERATING</t>
        </is>
      </c>
    </row>
    <row r="24816">
      <c r="A24816" s="8" t="inlineStr">
        <is>
          <t>2026-08-05</t>
        </is>
      </c>
      <c r="B24816" s="8" t="n">
        <v>13</v>
      </c>
      <c r="C24816" s="8" t="n">
        <v>31</v>
      </c>
      <c r="D24816" s="8" t="inlineStr">
        <is>
          <t>Disneyland Park</t>
        </is>
      </c>
      <c r="E24816" s="8" t="inlineStr">
        <is>
          <t>Star Tours: The Adventures Continue*</t>
        </is>
      </c>
      <c r="F24816" s="8" t="inlineStr">
        <is>
          <t>STANDBY</t>
        </is>
      </c>
      <c r="G24816" s="8" t="n">
        <v>25</v>
      </c>
      <c r="H24816" s="8" t="inlineStr">
        <is>
          <t>OPERATING</t>
        </is>
      </c>
    </row>
    <row r="24817">
      <c r="A24817" s="8" t="inlineStr">
        <is>
          <t>2026-08-05</t>
        </is>
      </c>
      <c r="B24817" s="8" t="n">
        <v>13</v>
      </c>
      <c r="C24817" s="8" t="n">
        <v>31</v>
      </c>
      <c r="D24817" s="8" t="inlineStr">
        <is>
          <t>Disneyland Park</t>
        </is>
      </c>
      <c r="E24817" s="8" t="inlineStr">
        <is>
          <t>Star Wars Hyperspace Mountain</t>
        </is>
      </c>
      <c r="F24817" s="8" t="inlineStr">
        <is>
          <t>STANDBY</t>
        </is>
      </c>
      <c r="G24817" s="8" t="n">
        <v>50</v>
      </c>
      <c r="H24817" s="8" t="inlineStr">
        <is>
          <t>OPERATING</t>
        </is>
      </c>
    </row>
    <row r="24818">
      <c r="A24818" s="8" t="inlineStr">
        <is>
          <t>2026-08-05</t>
        </is>
      </c>
      <c r="B24818" s="8" t="n">
        <v>13</v>
      </c>
      <c r="C24818" s="8" t="n">
        <v>31</v>
      </c>
      <c r="D24818" s="8" t="inlineStr">
        <is>
          <t>Disneyland Park</t>
        </is>
      </c>
      <c r="E24818" s="8" t="inlineStr">
        <is>
          <t>Star Wars Hyperspace Mountain Single Rider</t>
        </is>
      </c>
      <c r="F24818" s="8" t="inlineStr">
        <is>
          <t>STANDBY</t>
        </is>
      </c>
      <c r="G24818" s="8" t="n">
        <v>45</v>
      </c>
      <c r="H24818" s="8" t="inlineStr">
        <is>
          <t>OPERATING</t>
        </is>
      </c>
    </row>
    <row r="24819">
      <c r="A24819" s="8" t="inlineStr">
        <is>
          <t>2026-08-05</t>
        </is>
      </c>
      <c r="B24819" s="8" t="n">
        <v>13</v>
      </c>
      <c r="C24819" s="8" t="n">
        <v>31</v>
      </c>
      <c r="D24819" s="8" t="inlineStr">
        <is>
          <t>Disneyland Park</t>
        </is>
      </c>
      <c r="E24819" s="8" t="inlineStr">
        <is>
          <t>Welcome to Starport: A Star Wars Encounter</t>
        </is>
      </c>
      <c r="F24819" s="8" t="inlineStr">
        <is>
          <t>STANDBY</t>
        </is>
      </c>
      <c r="G24819" s="8" t="n">
        <v>25</v>
      </c>
      <c r="H24819" s="8" t="inlineStr">
        <is>
          <t>OPERATING</t>
        </is>
      </c>
    </row>
    <row r="24820">
      <c r="A24820" s="8" t="inlineStr">
        <is>
          <t>2026-08-05</t>
        </is>
      </c>
      <c r="B24820" s="8" t="n">
        <v>13</v>
      </c>
      <c r="C24820" s="8" t="n">
        <v>31</v>
      </c>
      <c r="D24820" s="8" t="inlineStr">
        <is>
          <t>Disneyland Park</t>
        </is>
      </c>
      <c r="E24820" s="8" t="inlineStr">
        <is>
          <t>"it's a small world"</t>
        </is>
      </c>
      <c r="F24820" s="8" t="inlineStr">
        <is>
          <t>STANDBY</t>
        </is>
      </c>
      <c r="G24820" s="8" t="n">
        <v>20</v>
      </c>
      <c r="H24820" s="8" t="inlineStr">
        <is>
          <t>OPERATING</t>
        </is>
      </c>
    </row>
    <row r="24821">
      <c r="A24821" s="8" t="inlineStr">
        <is>
          <t>2026-08-05</t>
        </is>
      </c>
      <c r="B24821" s="8" t="n">
        <v>13</v>
      </c>
      <c r="C24821" s="8" t="n">
        <v>31</v>
      </c>
      <c r="D24821" s="8" t="inlineStr">
        <is>
          <t>Disneyland Park</t>
        </is>
      </c>
      <c r="E24821" s="8" t="inlineStr">
        <is>
          <t>Alice's Curious Labyrinth</t>
        </is>
      </c>
      <c r="F24821" s="8" t="inlineStr">
        <is>
          <t>STANDBY</t>
        </is>
      </c>
      <c r="G24821" s="8" t="n">
        <v>5</v>
      </c>
      <c r="H24821" s="8" t="inlineStr">
        <is>
          <t>OPERATING</t>
        </is>
      </c>
    </row>
    <row r="24822">
      <c r="A24822" s="8" t="inlineStr">
        <is>
          <t>2026-08-05</t>
        </is>
      </c>
      <c r="B24822" s="8" t="n">
        <v>13</v>
      </c>
      <c r="C24822" s="8" t="n">
        <v>31</v>
      </c>
      <c r="D24822" s="8" t="inlineStr">
        <is>
          <t>Disneyland Park</t>
        </is>
      </c>
      <c r="E24822" s="8" t="inlineStr">
        <is>
          <t>Blanche-Neige et les Sept Nains®</t>
        </is>
      </c>
      <c r="F24822" s="8" t="inlineStr">
        <is>
          <t>STANDBY</t>
        </is>
      </c>
      <c r="G24822" s="8" t="n">
        <v>35</v>
      </c>
      <c r="H24822" s="8" t="inlineStr">
        <is>
          <t>OPERATING</t>
        </is>
      </c>
    </row>
    <row r="24823">
      <c r="A24823" s="8" t="inlineStr">
        <is>
          <t>2026-08-05</t>
        </is>
      </c>
      <c r="B24823" s="8" t="n">
        <v>13</v>
      </c>
      <c r="C24823" s="8" t="n">
        <v>31</v>
      </c>
      <c r="D24823" s="8" t="inlineStr">
        <is>
          <t>Disneyland Park</t>
        </is>
      </c>
      <c r="E24823" s="8" t="inlineStr">
        <is>
          <t>Casey Jr. – le Petit Train du Cirque</t>
        </is>
      </c>
      <c r="F24823" s="8" t="inlineStr">
        <is>
          <t>STANDBY</t>
        </is>
      </c>
      <c r="G24823" s="8" t="n">
        <v>20</v>
      </c>
      <c r="H24823" s="8" t="inlineStr">
        <is>
          <t>OPERATING</t>
        </is>
      </c>
    </row>
    <row r="24824">
      <c r="A24824" s="8" t="inlineStr">
        <is>
          <t>2026-08-05</t>
        </is>
      </c>
      <c r="B24824" s="8" t="n">
        <v>13</v>
      </c>
      <c r="C24824" s="8" t="n">
        <v>31</v>
      </c>
      <c r="D24824" s="8" t="inlineStr">
        <is>
          <t>Disneyland Park</t>
        </is>
      </c>
      <c r="E24824" s="8" t="inlineStr">
        <is>
          <t>Disneyland Railroad Fantasyland Station</t>
        </is>
      </c>
      <c r="F24824" s="8" t="inlineStr">
        <is>
          <t>STANDBY</t>
        </is>
      </c>
      <c r="G24824" s="8" t="n">
        <v>0</v>
      </c>
      <c r="H24824" s="8" t="inlineStr">
        <is>
          <t>CLOSED</t>
        </is>
      </c>
    </row>
    <row r="24825">
      <c r="A24825" s="8" t="inlineStr">
        <is>
          <t>2026-08-05</t>
        </is>
      </c>
      <c r="B24825" s="8" t="n">
        <v>13</v>
      </c>
      <c r="C24825" s="8" t="n">
        <v>31</v>
      </c>
      <c r="D24825" s="8" t="inlineStr">
        <is>
          <t>Disneyland Park</t>
        </is>
      </c>
      <c r="E24825" s="8" t="inlineStr">
        <is>
          <t>Disneyland Railroad Main Street Station</t>
        </is>
      </c>
      <c r="F24825" s="8" t="inlineStr">
        <is>
          <t>STANDBY</t>
        </is>
      </c>
      <c r="G24825" s="8" t="n">
        <v>45</v>
      </c>
      <c r="H24825" s="8" t="inlineStr">
        <is>
          <t>OPERATING</t>
        </is>
      </c>
    </row>
    <row r="24826">
      <c r="A24826" s="8" t="inlineStr">
        <is>
          <t>2026-08-05</t>
        </is>
      </c>
      <c r="B24826" s="8" t="n">
        <v>13</v>
      </c>
      <c r="C24826" s="8" t="n">
        <v>31</v>
      </c>
      <c r="D24826" s="8" t="inlineStr">
        <is>
          <t>Disneyland Park</t>
        </is>
      </c>
      <c r="E24826" s="8" t="inlineStr">
        <is>
          <t>Dumbo the Flying Elephant</t>
        </is>
      </c>
      <c r="F24826" s="8" t="inlineStr">
        <is>
          <t>STANDBY</t>
        </is>
      </c>
      <c r="G24826" s="8" t="n">
        <v>35</v>
      </c>
      <c r="H24826" s="8" t="inlineStr">
        <is>
          <t>OPERATING</t>
        </is>
      </c>
    </row>
    <row r="24827">
      <c r="A24827" s="8" t="inlineStr">
        <is>
          <t>2026-08-05</t>
        </is>
      </c>
      <c r="B24827" s="8" t="n">
        <v>13</v>
      </c>
      <c r="C24827" s="8" t="n">
        <v>31</v>
      </c>
      <c r="D24827" s="8" t="inlineStr">
        <is>
          <t>Disneyland Park</t>
        </is>
      </c>
      <c r="E24827" s="8" t="inlineStr">
        <is>
          <t>La Tanière du Dragon</t>
        </is>
      </c>
      <c r="F24827" s="8" t="inlineStr">
        <is>
          <t>STANDBY</t>
        </is>
      </c>
      <c r="G24827" s="8" t="n">
        <v>0</v>
      </c>
      <c r="H24827" s="8" t="inlineStr">
        <is>
          <t>OPERATING</t>
        </is>
      </c>
    </row>
    <row r="24828">
      <c r="A24828" s="8" t="inlineStr">
        <is>
          <t>2026-08-05</t>
        </is>
      </c>
      <c r="B24828" s="8" t="n">
        <v>13</v>
      </c>
      <c r="C24828" s="8" t="n">
        <v>31</v>
      </c>
      <c r="D24828" s="8" t="inlineStr">
        <is>
          <t>Disneyland Park</t>
        </is>
      </c>
      <c r="E24828" s="8" t="inlineStr">
        <is>
          <t>Le Carrousel de Lancelot</t>
        </is>
      </c>
      <c r="F24828" s="8" t="inlineStr">
        <is>
          <t>STANDBY</t>
        </is>
      </c>
      <c r="G24828" s="8" t="n">
        <v>10</v>
      </c>
      <c r="H24828" s="8" t="inlineStr">
        <is>
          <t>OPERATING</t>
        </is>
      </c>
    </row>
    <row r="24829">
      <c r="A24829" s="8" t="inlineStr">
        <is>
          <t>2026-08-05</t>
        </is>
      </c>
      <c r="B24829" s="8" t="n">
        <v>13</v>
      </c>
      <c r="C24829" s="8" t="n">
        <v>31</v>
      </c>
      <c r="D24829" s="8" t="inlineStr">
        <is>
          <t>Disneyland Park</t>
        </is>
      </c>
      <c r="E24829" s="8" t="inlineStr">
        <is>
          <t>Le Pays des Contes de Fées, presented by Vittel</t>
        </is>
      </c>
      <c r="F24829" s="8" t="inlineStr">
        <is>
          <t>STANDBY</t>
        </is>
      </c>
      <c r="G24829" s="8" t="n">
        <v>10</v>
      </c>
      <c r="H24829" s="8" t="inlineStr">
        <is>
          <t>OPERATING</t>
        </is>
      </c>
    </row>
    <row r="24830">
      <c r="A24830" s="8" t="inlineStr">
        <is>
          <t>2026-08-05</t>
        </is>
      </c>
      <c r="B24830" s="8" t="n">
        <v>13</v>
      </c>
      <c r="C24830" s="8" t="n">
        <v>31</v>
      </c>
      <c r="D24830" s="8" t="inlineStr">
        <is>
          <t>Disneyland Park</t>
        </is>
      </c>
      <c r="E24830" s="8" t="inlineStr">
        <is>
          <t>Les Voyages de Pinocchio</t>
        </is>
      </c>
      <c r="F24830" s="8" t="inlineStr">
        <is>
          <t>STANDBY</t>
        </is>
      </c>
      <c r="G24830" s="8" t="n">
        <v>30</v>
      </c>
      <c r="H24830" s="8" t="inlineStr">
        <is>
          <t>OPERATING</t>
        </is>
      </c>
    </row>
    <row r="24831">
      <c r="A24831" s="8" t="inlineStr">
        <is>
          <t>2026-08-05</t>
        </is>
      </c>
      <c r="B24831" s="8" t="n">
        <v>13</v>
      </c>
      <c r="C24831" s="8" t="n">
        <v>31</v>
      </c>
      <c r="D24831" s="8" t="inlineStr">
        <is>
          <t>Disneyland Park</t>
        </is>
      </c>
      <c r="E24831" s="8" t="inlineStr">
        <is>
          <t>Mad Hatter's Tea Cups</t>
        </is>
      </c>
      <c r="F24831" s="8" t="inlineStr">
        <is>
          <t>STANDBY</t>
        </is>
      </c>
      <c r="G24831" s="8" t="n">
        <v>15</v>
      </c>
      <c r="H24831" s="8" t="inlineStr">
        <is>
          <t>OPERATING</t>
        </is>
      </c>
    </row>
    <row r="24832">
      <c r="A24832" s="8" t="inlineStr">
        <is>
          <t>2026-08-05</t>
        </is>
      </c>
      <c r="B24832" s="8" t="n">
        <v>13</v>
      </c>
      <c r="C24832" s="8" t="n">
        <v>31</v>
      </c>
      <c r="D24832" s="8" t="inlineStr">
        <is>
          <t>Disneyland Park</t>
        </is>
      </c>
      <c r="E24832" s="8" t="inlineStr">
        <is>
          <t>Meet Mickey Mouse</t>
        </is>
      </c>
      <c r="F24832" s="8" t="inlineStr">
        <is>
          <t>STANDBY</t>
        </is>
      </c>
      <c r="G24832" s="8" t="n">
        <v>0</v>
      </c>
      <c r="H24832" s="8" t="inlineStr">
        <is>
          <t>OPERATING</t>
        </is>
      </c>
    </row>
    <row r="24833">
      <c r="A24833" s="8" t="inlineStr">
        <is>
          <t>2026-08-05</t>
        </is>
      </c>
      <c r="B24833" s="8" t="n">
        <v>13</v>
      </c>
      <c r="C24833" s="8" t="n">
        <v>31</v>
      </c>
      <c r="D24833" s="8" t="inlineStr">
        <is>
          <t>Disneyland Park</t>
        </is>
      </c>
      <c r="E24833" s="8" t="inlineStr">
        <is>
          <t>Peter Pan's Flight</t>
        </is>
      </c>
      <c r="F24833" s="8" t="inlineStr">
        <is>
          <t>STANDBY</t>
        </is>
      </c>
      <c r="G24833" s="8" t="n">
        <v>70</v>
      </c>
      <c r="H24833" s="8" t="inlineStr">
        <is>
          <t>OPERATING</t>
        </is>
      </c>
    </row>
    <row r="24834">
      <c r="A24834" s="8" t="inlineStr">
        <is>
          <t>2026-08-05</t>
        </is>
      </c>
      <c r="B24834" s="8" t="n">
        <v>13</v>
      </c>
      <c r="C24834" s="8" t="n">
        <v>31</v>
      </c>
      <c r="D24834" s="8" t="inlineStr">
        <is>
          <t>Disneyland Park</t>
        </is>
      </c>
      <c r="E24834" s="8" t="inlineStr">
        <is>
          <t>Princess Pavilion</t>
        </is>
      </c>
      <c r="F24834" s="8" t="inlineStr">
        <is>
          <t>STANDBY</t>
        </is>
      </c>
      <c r="G24834" s="8" t="n">
        <v>0</v>
      </c>
      <c r="H24834" s="8" t="inlineStr">
        <is>
          <t>OPERATING</t>
        </is>
      </c>
    </row>
    <row r="24835">
      <c r="A24835" s="8" t="inlineStr">
        <is>
          <t>2026-08-05</t>
        </is>
      </c>
      <c r="B24835" s="8" t="n">
        <v>13</v>
      </c>
      <c r="C24835" s="8" t="n">
        <v>31</v>
      </c>
      <c r="D24835" s="8" t="inlineStr">
        <is>
          <t>Disneyland Park</t>
        </is>
      </c>
      <c r="E24835" s="8" t="inlineStr">
        <is>
          <t>Big Thunder Mountain</t>
        </is>
      </c>
      <c r="F24835" s="8" t="inlineStr">
        <is>
          <t>STANDBY</t>
        </is>
      </c>
      <c r="G24835" s="8" t="n">
        <v>80</v>
      </c>
      <c r="H24835" s="8" t="inlineStr">
        <is>
          <t>OPERATING</t>
        </is>
      </c>
    </row>
    <row r="24836">
      <c r="A24836" s="8" t="inlineStr">
        <is>
          <t>2026-08-05</t>
        </is>
      </c>
      <c r="B24836" s="8" t="n">
        <v>13</v>
      </c>
      <c r="C24836" s="8" t="n">
        <v>31</v>
      </c>
      <c r="D24836" s="8" t="inlineStr">
        <is>
          <t>Disneyland Park</t>
        </is>
      </c>
      <c r="E24836" s="8" t="inlineStr">
        <is>
          <t>Disneyland Railroad Frontierland Depot</t>
        </is>
      </c>
      <c r="F24836" s="8" t="inlineStr">
        <is>
          <t>STANDBY</t>
        </is>
      </c>
      <c r="G24836" s="8" t="n">
        <v>40</v>
      </c>
      <c r="H24836" s="8" t="inlineStr">
        <is>
          <t>OPERATING</t>
        </is>
      </c>
    </row>
    <row r="24837">
      <c r="A24837" s="8" t="inlineStr">
        <is>
          <t>2026-08-05</t>
        </is>
      </c>
      <c r="B24837" s="8" t="n">
        <v>13</v>
      </c>
      <c r="C24837" s="8" t="n">
        <v>31</v>
      </c>
      <c r="D24837" s="8" t="inlineStr">
        <is>
          <t>Disneyland Park</t>
        </is>
      </c>
      <c r="E24837" s="8" t="inlineStr">
        <is>
          <t>Frontierland Playground</t>
        </is>
      </c>
      <c r="F24837" s="8" t="inlineStr">
        <is>
          <t>STANDBY</t>
        </is>
      </c>
      <c r="G24837" s="8" t="n">
        <v>0</v>
      </c>
      <c r="H24837" s="8" t="inlineStr">
        <is>
          <t>OPERATING</t>
        </is>
      </c>
    </row>
    <row r="24838">
      <c r="A24838" s="8" t="inlineStr">
        <is>
          <t>2026-08-05</t>
        </is>
      </c>
      <c r="B24838" s="8" t="n">
        <v>13</v>
      </c>
      <c r="C24838" s="8" t="n">
        <v>31</v>
      </c>
      <c r="D24838" s="8" t="inlineStr">
        <is>
          <t>Disneyland Park</t>
        </is>
      </c>
      <c r="E24838" s="8" t="inlineStr">
        <is>
          <t>Phantom Manor</t>
        </is>
      </c>
      <c r="F24838" s="8" t="inlineStr">
        <is>
          <t>STANDBY</t>
        </is>
      </c>
      <c r="G24838" s="8" t="n">
        <v>25</v>
      </c>
      <c r="H24838" s="8" t="inlineStr">
        <is>
          <t>OPERATING</t>
        </is>
      </c>
    </row>
    <row r="24839">
      <c r="A24839" s="8" t="inlineStr">
        <is>
          <t>2026-08-05</t>
        </is>
      </c>
      <c r="B24839" s="8" t="n">
        <v>13</v>
      </c>
      <c r="C24839" s="8" t="n">
        <v>31</v>
      </c>
      <c r="D24839" s="8" t="inlineStr">
        <is>
          <t>Disneyland Park</t>
        </is>
      </c>
      <c r="E24839" s="8" t="inlineStr">
        <is>
          <t>River Rogue Keelboats</t>
        </is>
      </c>
      <c r="F24839" s="8" t="inlineStr">
        <is>
          <t>STANDBY</t>
        </is>
      </c>
      <c r="G24839" s="8" t="n">
        <v>0</v>
      </c>
      <c r="H24839" s="8" t="inlineStr">
        <is>
          <t>CLOSED</t>
        </is>
      </c>
    </row>
    <row r="24840">
      <c r="A24840" s="8" t="inlineStr">
        <is>
          <t>2026-08-05</t>
        </is>
      </c>
      <c r="B24840" s="8" t="n">
        <v>13</v>
      </c>
      <c r="C24840" s="8" t="n">
        <v>31</v>
      </c>
      <c r="D24840" s="8" t="inlineStr">
        <is>
          <t>Disneyland Park</t>
        </is>
      </c>
      <c r="E24840" s="8" t="inlineStr">
        <is>
          <t>Rustler Roundup Shootin' Gallery</t>
        </is>
      </c>
      <c r="F24840" s="8" t="inlineStr">
        <is>
          <t>STANDBY</t>
        </is>
      </c>
      <c r="G24840" s="8" t="n">
        <v>0</v>
      </c>
      <c r="H24840" s="8" t="inlineStr">
        <is>
          <t>OPERATING</t>
        </is>
      </c>
    </row>
    <row r="24841">
      <c r="A24841" s="8" t="inlineStr">
        <is>
          <t>2026-08-05</t>
        </is>
      </c>
      <c r="B24841" s="8" t="n">
        <v>13</v>
      </c>
      <c r="C24841" s="8" t="n">
        <v>31</v>
      </c>
      <c r="D24841" s="8" t="inlineStr">
        <is>
          <t>Disneyland Park</t>
        </is>
      </c>
      <c r="E24841" s="8" t="inlineStr">
        <is>
          <t>Thunder Mesa Riverboat Landing</t>
        </is>
      </c>
      <c r="F24841" s="8" t="inlineStr">
        <is>
          <t>STANDBY</t>
        </is>
      </c>
      <c r="G24841" s="8" t="n">
        <v>20</v>
      </c>
      <c r="H24841" s="8" t="inlineStr">
        <is>
          <t>OPERATING</t>
        </is>
      </c>
    </row>
    <row r="24842">
      <c r="A24842" s="8" t="inlineStr">
        <is>
          <t>2026-08-05</t>
        </is>
      </c>
      <c r="B24842" s="8" t="n">
        <v>13</v>
      </c>
      <c r="C24842" s="8" t="n">
        <v>31</v>
      </c>
      <c r="D24842" s="8" t="inlineStr">
        <is>
          <t>Disneyland Park</t>
        </is>
      </c>
      <c r="E24842" s="8" t="inlineStr">
        <is>
          <t>Disneyland Railroad Main Street Station</t>
        </is>
      </c>
      <c r="F24842" s="8" t="inlineStr">
        <is>
          <t>STANDBY</t>
        </is>
      </c>
      <c r="G24842" s="8" t="n">
        <v>0</v>
      </c>
      <c r="H24842" s="8" t="inlineStr">
        <is>
          <t>OPERATING</t>
        </is>
      </c>
    </row>
    <row r="24843">
      <c r="A24843" s="8" t="inlineStr">
        <is>
          <t>2026-08-05</t>
        </is>
      </c>
      <c r="B24843" s="8" t="n">
        <v>13</v>
      </c>
      <c r="C24843" s="8" t="n">
        <v>31</v>
      </c>
      <c r="D24843" s="8" t="inlineStr">
        <is>
          <t>Disneyland Park</t>
        </is>
      </c>
      <c r="E24843" s="8" t="inlineStr">
        <is>
          <t>Main Street Vehicles</t>
        </is>
      </c>
      <c r="F24843" s="8" t="inlineStr">
        <is>
          <t>STANDBY</t>
        </is>
      </c>
      <c r="G24843" s="8" t="n">
        <v>5</v>
      </c>
      <c r="H24843" s="8" t="inlineStr">
        <is>
          <t>OPERATING</t>
        </is>
      </c>
    </row>
    <row r="24844">
      <c r="A24844" s="8" t="inlineStr">
        <is>
          <t>2026-08-05</t>
        </is>
      </c>
      <c r="B24844" s="8" t="n">
        <v>13</v>
      </c>
      <c r="C24844" s="8" t="n">
        <v>31</v>
      </c>
      <c r="D24844" s="8" t="inlineStr">
        <is>
          <t>Disney Adventure World</t>
        </is>
      </c>
      <c r="E24844" s="8" t="inlineStr">
        <is>
          <t>Avengers Assemble: Flight Force</t>
        </is>
      </c>
      <c r="F24844" s="8" t="inlineStr">
        <is>
          <t>STANDBY</t>
        </is>
      </c>
      <c r="G24844" s="8" t="n">
        <v>20</v>
      </c>
      <c r="H24844" s="8" t="inlineStr">
        <is>
          <t>OPERATING</t>
        </is>
      </c>
    </row>
    <row r="24845">
      <c r="A24845" s="8" t="inlineStr">
        <is>
          <t>2026-08-05</t>
        </is>
      </c>
      <c r="B24845" s="8" t="n">
        <v>13</v>
      </c>
      <c r="C24845" s="8" t="n">
        <v>31</v>
      </c>
      <c r="D24845" s="8" t="inlineStr">
        <is>
          <t>Disney Adventure World</t>
        </is>
      </c>
      <c r="E24845" s="8" t="inlineStr">
        <is>
          <t>Avengers Assemble: Flight Force Single Rider</t>
        </is>
      </c>
      <c r="F24845" s="8" t="inlineStr">
        <is>
          <t>STANDBY</t>
        </is>
      </c>
      <c r="G24845" s="8" t="n">
        <v>15</v>
      </c>
      <c r="H24845" s="8" t="inlineStr">
        <is>
          <t>OPERATING</t>
        </is>
      </c>
    </row>
    <row r="24846">
      <c r="A24846" s="8" t="inlineStr">
        <is>
          <t>2026-08-05</t>
        </is>
      </c>
      <c r="B24846" s="8" t="n">
        <v>13</v>
      </c>
      <c r="C24846" s="8" t="n">
        <v>31</v>
      </c>
      <c r="D24846" s="8" t="inlineStr">
        <is>
          <t>Disney Adventure World</t>
        </is>
      </c>
      <c r="E24846" s="8" t="inlineStr">
        <is>
          <t>Spider-Man W.E.B. Adventure</t>
        </is>
      </c>
      <c r="F24846" s="8" t="inlineStr">
        <is>
          <t>STANDBY</t>
        </is>
      </c>
      <c r="G24846" s="8" t="n">
        <v>45</v>
      </c>
      <c r="H24846" s="8" t="inlineStr">
        <is>
          <t>OPERATING</t>
        </is>
      </c>
    </row>
    <row r="24847">
      <c r="A24847" s="8" t="inlineStr">
        <is>
          <t>2026-08-05</t>
        </is>
      </c>
      <c r="B24847" s="8" t="n">
        <v>13</v>
      </c>
      <c r="C24847" s="8" t="n">
        <v>31</v>
      </c>
      <c r="D24847" s="8" t="inlineStr">
        <is>
          <t>Disney Adventure World</t>
        </is>
      </c>
      <c r="E24847" s="8" t="inlineStr">
        <is>
          <t>Spider-Man W.E.B. Adventure Single Rider</t>
        </is>
      </c>
      <c r="F24847" s="8" t="inlineStr">
        <is>
          <t>STANDBY</t>
        </is>
      </c>
      <c r="G24847" s="8" t="n">
        <v>25</v>
      </c>
      <c r="H24847" s="8" t="inlineStr">
        <is>
          <t>OPERATING</t>
        </is>
      </c>
    </row>
    <row r="24848">
      <c r="A24848" s="8" t="inlineStr">
        <is>
          <t>2026-08-05</t>
        </is>
      </c>
      <c r="B24848" s="8" t="n">
        <v>13</v>
      </c>
      <c r="C24848" s="8" t="n">
        <v>31</v>
      </c>
      <c r="D24848" s="8" t="inlineStr">
        <is>
          <t>Disney Adventure World</t>
        </is>
      </c>
      <c r="E24848" s="8" t="inlineStr">
        <is>
          <t>The Twilight Zone Tower of Terror</t>
        </is>
      </c>
      <c r="F24848" s="8" t="inlineStr">
        <is>
          <t>STANDBY</t>
        </is>
      </c>
      <c r="G24848" s="8" t="n">
        <v>30</v>
      </c>
      <c r="H24848" s="8" t="inlineStr">
        <is>
          <t>OPERATING</t>
        </is>
      </c>
    </row>
    <row r="24849">
      <c r="A24849" s="8" t="inlineStr">
        <is>
          <t>2026-08-05</t>
        </is>
      </c>
      <c r="B24849" s="8" t="n">
        <v>13</v>
      </c>
      <c r="C24849" s="8" t="n">
        <v>31</v>
      </c>
      <c r="D24849" s="8" t="inlineStr">
        <is>
          <t>Disney Adventure World</t>
        </is>
      </c>
      <c r="E24849" s="8" t="inlineStr">
        <is>
          <t>Cars Quatre Roues Rallye</t>
        </is>
      </c>
      <c r="F24849" s="8" t="inlineStr">
        <is>
          <t>STANDBY</t>
        </is>
      </c>
      <c r="G24849" s="8" t="n">
        <v>10</v>
      </c>
      <c r="H24849" s="8" t="inlineStr">
        <is>
          <t>OPERATING</t>
        </is>
      </c>
    </row>
    <row r="24850">
      <c r="A24850" s="8" t="inlineStr">
        <is>
          <t>2026-08-05</t>
        </is>
      </c>
      <c r="B24850" s="8" t="n">
        <v>13</v>
      </c>
      <c r="C24850" s="8" t="n">
        <v>31</v>
      </c>
      <c r="D24850" s="8" t="inlineStr">
        <is>
          <t>Disney Adventure World</t>
        </is>
      </c>
      <c r="E24850" s="8" t="inlineStr">
        <is>
          <t>Cars ROAD TRIP</t>
        </is>
      </c>
      <c r="F24850" s="8" t="inlineStr">
        <is>
          <t>STANDBY</t>
        </is>
      </c>
      <c r="G24850" s="8" t="n">
        <v>20</v>
      </c>
      <c r="H24850" s="8" t="inlineStr">
        <is>
          <t>OPERATING</t>
        </is>
      </c>
    </row>
    <row r="24851">
      <c r="A24851" s="8" t="inlineStr">
        <is>
          <t>2026-08-05</t>
        </is>
      </c>
      <c r="B24851" s="8" t="n">
        <v>13</v>
      </c>
      <c r="C24851" s="8" t="n">
        <v>31</v>
      </c>
      <c r="D24851" s="8" t="inlineStr">
        <is>
          <t>Disney Adventure World</t>
        </is>
      </c>
      <c r="E24851" s="8" t="inlineStr">
        <is>
          <t>Crush's Coaster</t>
        </is>
      </c>
      <c r="F24851" s="8" t="inlineStr">
        <is>
          <t>STANDBY</t>
        </is>
      </c>
      <c r="G24851" s="8" t="n">
        <v>70</v>
      </c>
      <c r="H24851" s="8" t="inlineStr">
        <is>
          <t>OPERATING</t>
        </is>
      </c>
    </row>
    <row r="24852">
      <c r="A24852" s="8" t="inlineStr">
        <is>
          <t>2026-08-05</t>
        </is>
      </c>
      <c r="B24852" s="8" t="n">
        <v>13</v>
      </c>
      <c r="C24852" s="8" t="n">
        <v>31</v>
      </c>
      <c r="D24852" s="8" t="inlineStr">
        <is>
          <t>Disney Adventure World</t>
        </is>
      </c>
      <c r="E24852" s="8" t="inlineStr">
        <is>
          <t>Crush's Coaster Single Rider</t>
        </is>
      </c>
      <c r="F24852" s="8" t="inlineStr">
        <is>
          <t>STANDBY</t>
        </is>
      </c>
      <c r="G24852" s="8" t="n">
        <v>60</v>
      </c>
      <c r="H24852" s="8" t="inlineStr">
        <is>
          <t>OPERATING</t>
        </is>
      </c>
    </row>
    <row r="24853">
      <c r="A24853" s="8" t="inlineStr">
        <is>
          <t>2026-08-05</t>
        </is>
      </c>
      <c r="B24853" s="8" t="n">
        <v>13</v>
      </c>
      <c r="C24853" s="8" t="n">
        <v>31</v>
      </c>
      <c r="D24853" s="8" t="inlineStr">
        <is>
          <t>Disney Adventure World</t>
        </is>
      </c>
      <c r="E24853" s="8" t="inlineStr">
        <is>
          <t>Les Tapis Volants - Flying Carpets Over Agrabah®</t>
        </is>
      </c>
      <c r="F24853" s="8" t="inlineStr">
        <is>
          <t>STANDBY</t>
        </is>
      </c>
      <c r="G24853" s="8" t="n">
        <v>25</v>
      </c>
      <c r="H24853" s="8" t="inlineStr">
        <is>
          <t>OPERATING</t>
        </is>
      </c>
    </row>
    <row r="24854">
      <c r="A24854" s="8" t="inlineStr">
        <is>
          <t>2026-08-05</t>
        </is>
      </c>
      <c r="B24854" s="8" t="n">
        <v>13</v>
      </c>
      <c r="C24854" s="8" t="n">
        <v>31</v>
      </c>
      <c r="D24854" s="8" t="inlineStr">
        <is>
          <t>Disney Adventure World</t>
        </is>
      </c>
      <c r="E24854" s="8" t="inlineStr">
        <is>
          <t>Ratatouille : L’Aventure Totalement Toquée de Rémy​</t>
        </is>
      </c>
      <c r="F24854" s="8" t="inlineStr">
        <is>
          <t>STANDBY</t>
        </is>
      </c>
      <c r="G24854" s="8" t="n">
        <v>75</v>
      </c>
      <c r="H24854" s="8" t="inlineStr">
        <is>
          <t>OPERATING</t>
        </is>
      </c>
    </row>
    <row r="24855">
      <c r="A24855" s="8" t="inlineStr">
        <is>
          <t>2026-08-05</t>
        </is>
      </c>
      <c r="B24855" s="8" t="n">
        <v>13</v>
      </c>
      <c r="C24855" s="8" t="n">
        <v>31</v>
      </c>
      <c r="D24855" s="8" t="inlineStr">
        <is>
          <t>Disney Adventure World</t>
        </is>
      </c>
      <c r="E24855" s="8" t="inlineStr">
        <is>
          <t>Ratatouille: The Adventure Single Rider</t>
        </is>
      </c>
      <c r="F24855" s="8" t="inlineStr">
        <is>
          <t>STANDBY</t>
        </is>
      </c>
      <c r="G24855" s="8" t="n">
        <v>25</v>
      </c>
      <c r="H24855" s="8" t="inlineStr">
        <is>
          <t>OPERATING</t>
        </is>
      </c>
    </row>
    <row r="24856">
      <c r="A24856" s="8" t="inlineStr">
        <is>
          <t>2026-08-05</t>
        </is>
      </c>
      <c r="B24856" s="8" t="n">
        <v>13</v>
      </c>
      <c r="C24856" s="8" t="n">
        <v>31</v>
      </c>
      <c r="D24856" s="8" t="inlineStr">
        <is>
          <t>Disney Adventure World</t>
        </is>
      </c>
      <c r="E24856" s="8" t="inlineStr">
        <is>
          <t>RC Racer</t>
        </is>
      </c>
      <c r="F24856" s="8" t="inlineStr">
        <is>
          <t>STANDBY</t>
        </is>
      </c>
      <c r="G24856" s="8" t="n">
        <v>60</v>
      </c>
      <c r="H24856" s="8" t="inlineStr">
        <is>
          <t>OPERATING</t>
        </is>
      </c>
    </row>
    <row r="24857">
      <c r="A24857" s="8" t="inlineStr">
        <is>
          <t>2026-08-05</t>
        </is>
      </c>
      <c r="B24857" s="8" t="n">
        <v>13</v>
      </c>
      <c r="C24857" s="8" t="n">
        <v>31</v>
      </c>
      <c r="D24857" s="8" t="inlineStr">
        <is>
          <t>Disney Adventure World</t>
        </is>
      </c>
      <c r="E24857" s="8" t="inlineStr">
        <is>
          <t>RC Racer Single Rider</t>
        </is>
      </c>
      <c r="F24857" s="8" t="inlineStr">
        <is>
          <t>STANDBY</t>
        </is>
      </c>
      <c r="G24857" s="8" t="n">
        <v>55</v>
      </c>
      <c r="H24857" s="8" t="inlineStr">
        <is>
          <t>OPERATING</t>
        </is>
      </c>
    </row>
    <row r="24858">
      <c r="A24858" s="8" t="inlineStr">
        <is>
          <t>2026-08-05</t>
        </is>
      </c>
      <c r="B24858" s="8" t="n">
        <v>13</v>
      </c>
      <c r="C24858" s="8" t="n">
        <v>31</v>
      </c>
      <c r="D24858" s="8" t="inlineStr">
        <is>
          <t>Disney Adventure World</t>
        </is>
      </c>
      <c r="E24858" s="8" t="inlineStr">
        <is>
          <t>Slinky® Dog Zigzag Spin</t>
        </is>
      </c>
      <c r="F24858" s="8" t="inlineStr">
        <is>
          <t>STANDBY</t>
        </is>
      </c>
      <c r="G24858" s="8" t="n">
        <v>20</v>
      </c>
      <c r="H24858" s="8" t="inlineStr">
        <is>
          <t>OPERATING</t>
        </is>
      </c>
    </row>
    <row r="24859">
      <c r="A24859" s="8" t="inlineStr">
        <is>
          <t>2026-08-05</t>
        </is>
      </c>
      <c r="B24859" s="8" t="n">
        <v>13</v>
      </c>
      <c r="C24859" s="8" t="n">
        <v>31</v>
      </c>
      <c r="D24859" s="8" t="inlineStr">
        <is>
          <t>Disney Adventure World</t>
        </is>
      </c>
      <c r="E24859" s="8" t="inlineStr">
        <is>
          <t>Toy Soldiers Parachute Drop</t>
        </is>
      </c>
      <c r="F24859" s="8" t="inlineStr">
        <is>
          <t>STANDBY</t>
        </is>
      </c>
      <c r="G24859" s="8" t="n">
        <v>65</v>
      </c>
      <c r="H24859" s="8" t="inlineStr">
        <is>
          <t>OPERATING</t>
        </is>
      </c>
    </row>
    <row r="24860">
      <c r="A24860" s="8" t="inlineStr">
        <is>
          <t>2026-08-05</t>
        </is>
      </c>
      <c r="B24860" s="8" t="n">
        <v>13</v>
      </c>
      <c r="C24860" s="8" t="n">
        <v>31</v>
      </c>
      <c r="D24860" s="8" t="inlineStr">
        <is>
          <t>Disney Adventure World</t>
        </is>
      </c>
      <c r="E24860" s="8" t="inlineStr">
        <is>
          <t>Toy Soldiers Parachute Drop Single Rider</t>
        </is>
      </c>
      <c r="F24860" s="8" t="inlineStr">
        <is>
          <t>STANDBY</t>
        </is>
      </c>
      <c r="G24860" s="8" t="n">
        <v>30</v>
      </c>
      <c r="H24860" s="8" t="inlineStr">
        <is>
          <t>OPERATING</t>
        </is>
      </c>
    </row>
    <row r="24861">
      <c r="A24861" s="8" t="inlineStr">
        <is>
          <t>2026-08-05</t>
        </is>
      </c>
      <c r="B24861" s="8" t="n">
        <v>13</v>
      </c>
      <c r="C24861" s="8" t="n">
        <v>31</v>
      </c>
      <c r="D24861" s="8" t="inlineStr">
        <is>
          <t>Disney Adventure World</t>
        </is>
      </c>
      <c r="E24861" s="8" t="inlineStr">
        <is>
          <t>Entry to World of Frozen</t>
        </is>
      </c>
      <c r="F24861" s="8" t="inlineStr">
        <is>
          <t>STANDBY</t>
        </is>
      </c>
      <c r="G24861" s="8" t="n">
        <v>0</v>
      </c>
      <c r="H24861" s="8" t="inlineStr">
        <is>
          <t>OPERATING</t>
        </is>
      </c>
    </row>
    <row r="24862">
      <c r="A24862" s="8" t="inlineStr">
        <is>
          <t>2026-08-05</t>
        </is>
      </c>
      <c r="B24862" s="8" t="n">
        <v>13</v>
      </c>
      <c r="C24862" s="8" t="n">
        <v>31</v>
      </c>
      <c r="D24862" s="8" t="inlineStr">
        <is>
          <t>Disney Adventure World</t>
        </is>
      </c>
      <c r="E24862" s="8" t="inlineStr">
        <is>
          <t>Frozen Ever After</t>
        </is>
      </c>
      <c r="F24862" s="8" t="inlineStr">
        <is>
          <t>STANDBY</t>
        </is>
      </c>
      <c r="G24862" s="8" t="n">
        <v>55</v>
      </c>
      <c r="H24862" s="8" t="inlineStr">
        <is>
          <t>OPERATING</t>
        </is>
      </c>
    </row>
    <row r="24863">
      <c r="A24863" s="8" t="inlineStr">
        <is>
          <t>2026-08-05</t>
        </is>
      </c>
      <c r="B24863" s="8" t="n">
        <v>13</v>
      </c>
      <c r="C24863" s="8" t="n">
        <v>31</v>
      </c>
      <c r="D24863" s="8" t="inlineStr">
        <is>
          <t>Disney Adventure World</t>
        </is>
      </c>
      <c r="E24863" s="8" t="inlineStr">
        <is>
          <t>Raiponce Tangled Spin</t>
        </is>
      </c>
      <c r="F24863" s="8" t="inlineStr">
        <is>
          <t>STANDBY</t>
        </is>
      </c>
      <c r="G24863" s="8" t="n">
        <v>15</v>
      </c>
      <c r="H24863" s="8" t="inlineStr">
        <is>
          <t>OPERATING</t>
        </is>
      </c>
    </row>
    <row r="24864">
      <c r="A24864" s="8" t="inlineStr">
        <is>
          <t>2026-08-05</t>
        </is>
      </c>
      <c r="B24864" s="8" t="n">
        <v>13</v>
      </c>
      <c r="C24864" s="8" t="n">
        <v>45</v>
      </c>
      <c r="D24864" s="8" t="inlineStr">
        <is>
          <t>Disneyland Park</t>
        </is>
      </c>
      <c r="E24864" s="8" t="inlineStr">
        <is>
          <t>Adventure Isle</t>
        </is>
      </c>
      <c r="F24864" s="8" t="inlineStr">
        <is>
          <t>STANDBY</t>
        </is>
      </c>
      <c r="G24864" s="8" t="n">
        <v>0</v>
      </c>
      <c r="H24864" s="8" t="inlineStr">
        <is>
          <t>OPERATING</t>
        </is>
      </c>
    </row>
    <row r="24865">
      <c r="A24865" s="8" t="inlineStr">
        <is>
          <t>2026-08-05</t>
        </is>
      </c>
      <c r="B24865" s="8" t="n">
        <v>13</v>
      </c>
      <c r="C24865" s="8" t="n">
        <v>45</v>
      </c>
      <c r="D24865" s="8" t="inlineStr">
        <is>
          <t>Disneyland Park</t>
        </is>
      </c>
      <c r="E24865" s="8" t="inlineStr">
        <is>
          <t>Indiana Jones and the Temple of Peril Single Rider</t>
        </is>
      </c>
      <c r="F24865" s="8" t="inlineStr">
        <is>
          <t>STANDBY</t>
        </is>
      </c>
      <c r="G24865" s="8" t="n">
        <v>15</v>
      </c>
      <c r="H24865" s="8" t="inlineStr">
        <is>
          <t>OPERATING</t>
        </is>
      </c>
    </row>
    <row r="24866">
      <c r="A24866" s="8" t="inlineStr">
        <is>
          <t>2026-08-05</t>
        </is>
      </c>
      <c r="B24866" s="8" t="n">
        <v>13</v>
      </c>
      <c r="C24866" s="8" t="n">
        <v>45</v>
      </c>
      <c r="D24866" s="8" t="inlineStr">
        <is>
          <t>Disneyland Park</t>
        </is>
      </c>
      <c r="E24866" s="8" t="inlineStr">
        <is>
          <t>Indiana Jones™ and the Temple of Peril</t>
        </is>
      </c>
      <c r="F24866" s="8" t="inlineStr">
        <is>
          <t>STANDBY</t>
        </is>
      </c>
      <c r="G24866" s="8" t="n">
        <v>30</v>
      </c>
      <c r="H24866" s="8" t="inlineStr">
        <is>
          <t>OPERATING</t>
        </is>
      </c>
    </row>
    <row r="24867">
      <c r="A24867" s="8" t="inlineStr">
        <is>
          <t>2026-08-05</t>
        </is>
      </c>
      <c r="B24867" s="8" t="n">
        <v>13</v>
      </c>
      <c r="C24867" s="8" t="n">
        <v>45</v>
      </c>
      <c r="D24867" s="8" t="inlineStr">
        <is>
          <t>Disneyland Park</t>
        </is>
      </c>
      <c r="E24867" s="8" t="inlineStr">
        <is>
          <t>La Cabane des Robinson</t>
        </is>
      </c>
      <c r="F24867" s="8" t="inlineStr">
        <is>
          <t>STANDBY</t>
        </is>
      </c>
      <c r="G24867" s="8" t="n">
        <v>5</v>
      </c>
      <c r="H24867" s="8" t="inlineStr">
        <is>
          <t>OPERATING</t>
        </is>
      </c>
    </row>
    <row r="24868">
      <c r="A24868" s="8" t="inlineStr">
        <is>
          <t>2026-08-05</t>
        </is>
      </c>
      <c r="B24868" s="8" t="n">
        <v>13</v>
      </c>
      <c r="C24868" s="8" t="n">
        <v>45</v>
      </c>
      <c r="D24868" s="8" t="inlineStr">
        <is>
          <t>Disneyland Park</t>
        </is>
      </c>
      <c r="E24868" s="8" t="inlineStr">
        <is>
          <t>Le Passage Enchanté d'Aladdin</t>
        </is>
      </c>
      <c r="F24868" s="8" t="inlineStr">
        <is>
          <t>STANDBY</t>
        </is>
      </c>
      <c r="G24868" s="8" t="n">
        <v>0</v>
      </c>
      <c r="H24868" s="8" t="inlineStr">
        <is>
          <t>OPERATING</t>
        </is>
      </c>
    </row>
    <row r="24869">
      <c r="A24869" s="8" t="inlineStr">
        <is>
          <t>2026-08-05</t>
        </is>
      </c>
      <c r="B24869" s="8" t="n">
        <v>13</v>
      </c>
      <c r="C24869" s="8" t="n">
        <v>45</v>
      </c>
      <c r="D24869" s="8" t="inlineStr">
        <is>
          <t>Disneyland Park</t>
        </is>
      </c>
      <c r="E24869" s="8" t="inlineStr">
        <is>
          <t>Pirate Galleon</t>
        </is>
      </c>
      <c r="F24869" s="8" t="inlineStr">
        <is>
          <t>STANDBY</t>
        </is>
      </c>
      <c r="G24869" s="8" t="n">
        <v>0</v>
      </c>
      <c r="H24869" s="8" t="inlineStr">
        <is>
          <t>CLOSED</t>
        </is>
      </c>
    </row>
    <row r="24870">
      <c r="A24870" s="8" t="inlineStr">
        <is>
          <t>2026-08-05</t>
        </is>
      </c>
      <c r="B24870" s="8" t="n">
        <v>13</v>
      </c>
      <c r="C24870" s="8" t="n">
        <v>45</v>
      </c>
      <c r="D24870" s="8" t="inlineStr">
        <is>
          <t>Disneyland Park</t>
        </is>
      </c>
      <c r="E24870" s="8" t="inlineStr">
        <is>
          <t>Pirates of the Caribbean</t>
        </is>
      </c>
      <c r="F24870" s="8" t="inlineStr">
        <is>
          <t>STANDBY</t>
        </is>
      </c>
      <c r="G24870" s="8" t="n">
        <v>35</v>
      </c>
      <c r="H24870" s="8" t="inlineStr">
        <is>
          <t>OPERATING</t>
        </is>
      </c>
    </row>
    <row r="24871">
      <c r="A24871" s="8" t="inlineStr">
        <is>
          <t>2026-08-05</t>
        </is>
      </c>
      <c r="B24871" s="8" t="n">
        <v>13</v>
      </c>
      <c r="C24871" s="8" t="n">
        <v>45</v>
      </c>
      <c r="D24871" s="8" t="inlineStr">
        <is>
          <t>Disneyland Park</t>
        </is>
      </c>
      <c r="E24871" s="8" t="inlineStr">
        <is>
          <t>Pirates' Beach</t>
        </is>
      </c>
      <c r="F24871" s="8" t="inlineStr">
        <is>
          <t>STANDBY</t>
        </is>
      </c>
      <c r="G24871" s="8" t="n">
        <v>0</v>
      </c>
      <c r="H24871" s="8" t="inlineStr">
        <is>
          <t>OPERATING</t>
        </is>
      </c>
    </row>
    <row r="24872">
      <c r="A24872" s="8" t="inlineStr">
        <is>
          <t>2026-08-05</t>
        </is>
      </c>
      <c r="B24872" s="8" t="n">
        <v>13</v>
      </c>
      <c r="C24872" s="8" t="n">
        <v>45</v>
      </c>
      <c r="D24872" s="8" t="inlineStr">
        <is>
          <t>Disneyland Park</t>
        </is>
      </c>
      <c r="E24872" s="8" t="inlineStr">
        <is>
          <t>Autopia, presented by Avis</t>
        </is>
      </c>
      <c r="F24872" s="8" t="inlineStr">
        <is>
          <t>STANDBY</t>
        </is>
      </c>
      <c r="G24872" s="8" t="n">
        <v>40</v>
      </c>
      <c r="H24872" s="8" t="inlineStr">
        <is>
          <t>OPERATING</t>
        </is>
      </c>
    </row>
    <row r="24873">
      <c r="A24873" s="8" t="inlineStr">
        <is>
          <t>2026-08-05</t>
        </is>
      </c>
      <c r="B24873" s="8" t="n">
        <v>13</v>
      </c>
      <c r="C24873" s="8" t="n">
        <v>45</v>
      </c>
      <c r="D24873" s="8" t="inlineStr">
        <is>
          <t>Disneyland Park</t>
        </is>
      </c>
      <c r="E24873" s="8" t="inlineStr">
        <is>
          <t>Buzz Lightyear Laser Blast</t>
        </is>
      </c>
      <c r="F24873" s="8" t="inlineStr">
        <is>
          <t>STANDBY</t>
        </is>
      </c>
      <c r="G24873" s="8" t="n">
        <v>60</v>
      </c>
      <c r="H24873" s="8" t="inlineStr">
        <is>
          <t>OPERATING</t>
        </is>
      </c>
    </row>
    <row r="24874">
      <c r="A24874" s="8" t="inlineStr">
        <is>
          <t>2026-08-05</t>
        </is>
      </c>
      <c r="B24874" s="8" t="n">
        <v>13</v>
      </c>
      <c r="C24874" s="8" t="n">
        <v>45</v>
      </c>
      <c r="D24874" s="8" t="inlineStr">
        <is>
          <t>Disneyland Park</t>
        </is>
      </c>
      <c r="E24874" s="8" t="inlineStr">
        <is>
          <t>Disneyland Railroad Discoveryland Station</t>
        </is>
      </c>
      <c r="F24874" s="8" t="inlineStr">
        <is>
          <t>STANDBY</t>
        </is>
      </c>
      <c r="G24874" s="8" t="n">
        <v>0</v>
      </c>
      <c r="H24874" s="8" t="inlineStr">
        <is>
          <t>CLOSED</t>
        </is>
      </c>
    </row>
    <row r="24875">
      <c r="A24875" s="8" t="inlineStr">
        <is>
          <t>2026-08-05</t>
        </is>
      </c>
      <c r="B24875" s="8" t="n">
        <v>13</v>
      </c>
      <c r="C24875" s="8" t="n">
        <v>45</v>
      </c>
      <c r="D24875" s="8" t="inlineStr">
        <is>
          <t>Disneyland Park</t>
        </is>
      </c>
      <c r="E24875" s="8" t="inlineStr">
        <is>
          <t>Les Mystères du Nautilus</t>
        </is>
      </c>
      <c r="F24875" s="8" t="inlineStr">
        <is>
          <t>STANDBY</t>
        </is>
      </c>
      <c r="G24875" s="8" t="n">
        <v>5</v>
      </c>
      <c r="H24875" s="8" t="inlineStr">
        <is>
          <t>OPERATING</t>
        </is>
      </c>
    </row>
    <row r="24876">
      <c r="A24876" s="8" t="inlineStr">
        <is>
          <t>2026-08-05</t>
        </is>
      </c>
      <c r="B24876" s="8" t="n">
        <v>13</v>
      </c>
      <c r="C24876" s="8" t="n">
        <v>45</v>
      </c>
      <c r="D24876" s="8" t="inlineStr">
        <is>
          <t>Disneyland Park</t>
        </is>
      </c>
      <c r="E24876" s="8" t="inlineStr">
        <is>
          <t>Mickey’s PhilharMagic</t>
        </is>
      </c>
      <c r="F24876" s="8" t="inlineStr">
        <is>
          <t>STANDBY</t>
        </is>
      </c>
      <c r="G24876" s="8" t="n">
        <v>0</v>
      </c>
      <c r="H24876" s="8" t="inlineStr">
        <is>
          <t>OPERATING</t>
        </is>
      </c>
    </row>
    <row r="24877">
      <c r="A24877" s="8" t="inlineStr">
        <is>
          <t>2026-08-05</t>
        </is>
      </c>
      <c r="B24877" s="8" t="n">
        <v>13</v>
      </c>
      <c r="C24877" s="8" t="n">
        <v>45</v>
      </c>
      <c r="D24877" s="8" t="inlineStr">
        <is>
          <t>Disneyland Park</t>
        </is>
      </c>
      <c r="E24877" s="8" t="inlineStr">
        <is>
          <t>Orbitron®</t>
        </is>
      </c>
      <c r="F24877" s="8" t="inlineStr">
        <is>
          <t>STANDBY</t>
        </is>
      </c>
      <c r="G24877" s="8" t="n">
        <v>90</v>
      </c>
      <c r="H24877" s="8" t="inlineStr">
        <is>
          <t>OPERATING</t>
        </is>
      </c>
    </row>
    <row r="24878">
      <c r="A24878" s="8" t="inlineStr">
        <is>
          <t>2026-08-05</t>
        </is>
      </c>
      <c r="B24878" s="8" t="n">
        <v>13</v>
      </c>
      <c r="C24878" s="8" t="n">
        <v>45</v>
      </c>
      <c r="D24878" s="8" t="inlineStr">
        <is>
          <t>Disneyland Park</t>
        </is>
      </c>
      <c r="E24878" s="8" t="inlineStr">
        <is>
          <t>Star Tours: The Adventures Continue*</t>
        </is>
      </c>
      <c r="F24878" s="8" t="inlineStr">
        <is>
          <t>STANDBY</t>
        </is>
      </c>
      <c r="G24878" s="8" t="n">
        <v>25</v>
      </c>
      <c r="H24878" s="8" t="inlineStr">
        <is>
          <t>OPERATING</t>
        </is>
      </c>
    </row>
    <row r="24879">
      <c r="A24879" s="8" t="inlineStr">
        <is>
          <t>2026-08-05</t>
        </is>
      </c>
      <c r="B24879" s="8" t="n">
        <v>13</v>
      </c>
      <c r="C24879" s="8" t="n">
        <v>45</v>
      </c>
      <c r="D24879" s="8" t="inlineStr">
        <is>
          <t>Disneyland Park</t>
        </is>
      </c>
      <c r="E24879" s="8" t="inlineStr">
        <is>
          <t>Star Wars Hyperspace Mountain</t>
        </is>
      </c>
      <c r="F24879" s="8" t="inlineStr">
        <is>
          <t>STANDBY</t>
        </is>
      </c>
      <c r="G24879" s="8" t="n">
        <v>100</v>
      </c>
      <c r="H24879" s="8" t="inlineStr">
        <is>
          <t>OPERATING</t>
        </is>
      </c>
    </row>
    <row r="24880">
      <c r="A24880" s="8" t="inlineStr">
        <is>
          <t>2026-08-05</t>
        </is>
      </c>
      <c r="B24880" s="8" t="n">
        <v>13</v>
      </c>
      <c r="C24880" s="8" t="n">
        <v>45</v>
      </c>
      <c r="D24880" s="8" t="inlineStr">
        <is>
          <t>Disneyland Park</t>
        </is>
      </c>
      <c r="E24880" s="8" t="inlineStr">
        <is>
          <t>Star Wars Hyperspace Mountain Single Rider</t>
        </is>
      </c>
      <c r="F24880" s="8" t="inlineStr">
        <is>
          <t>STANDBY</t>
        </is>
      </c>
      <c r="G24880" s="8" t="n">
        <v>95</v>
      </c>
      <c r="H24880" s="8" t="inlineStr">
        <is>
          <t>OPERATING</t>
        </is>
      </c>
    </row>
    <row r="24881">
      <c r="A24881" s="8" t="inlineStr">
        <is>
          <t>2026-08-05</t>
        </is>
      </c>
      <c r="B24881" s="8" t="n">
        <v>13</v>
      </c>
      <c r="C24881" s="8" t="n">
        <v>45</v>
      </c>
      <c r="D24881" s="8" t="inlineStr">
        <is>
          <t>Disneyland Park</t>
        </is>
      </c>
      <c r="E24881" s="8" t="inlineStr">
        <is>
          <t>Welcome to Starport: A Star Wars Encounter</t>
        </is>
      </c>
      <c r="F24881" s="8" t="inlineStr">
        <is>
          <t>STANDBY</t>
        </is>
      </c>
      <c r="G24881" s="8" t="n">
        <v>25</v>
      </c>
      <c r="H24881" s="8" t="inlineStr">
        <is>
          <t>OPERATING</t>
        </is>
      </c>
    </row>
    <row r="24882">
      <c r="A24882" s="8" t="inlineStr">
        <is>
          <t>2026-08-05</t>
        </is>
      </c>
      <c r="B24882" s="8" t="n">
        <v>13</v>
      </c>
      <c r="C24882" s="8" t="n">
        <v>45</v>
      </c>
      <c r="D24882" s="8" t="inlineStr">
        <is>
          <t>Disneyland Park</t>
        </is>
      </c>
      <c r="E24882" s="8" t="inlineStr">
        <is>
          <t>"it's a small world"</t>
        </is>
      </c>
      <c r="F24882" s="8" t="inlineStr">
        <is>
          <t>STANDBY</t>
        </is>
      </c>
      <c r="G24882" s="8" t="n">
        <v>15</v>
      </c>
      <c r="H24882" s="8" t="inlineStr">
        <is>
          <t>OPERATING</t>
        </is>
      </c>
    </row>
    <row r="24883">
      <c r="A24883" s="8" t="inlineStr">
        <is>
          <t>2026-08-05</t>
        </is>
      </c>
      <c r="B24883" s="8" t="n">
        <v>13</v>
      </c>
      <c r="C24883" s="8" t="n">
        <v>45</v>
      </c>
      <c r="D24883" s="8" t="inlineStr">
        <is>
          <t>Disneyland Park</t>
        </is>
      </c>
      <c r="E24883" s="8" t="inlineStr">
        <is>
          <t>Alice's Curious Labyrinth</t>
        </is>
      </c>
      <c r="F24883" s="8" t="inlineStr">
        <is>
          <t>STANDBY</t>
        </is>
      </c>
      <c r="G24883" s="8" t="n">
        <v>5</v>
      </c>
      <c r="H24883" s="8" t="inlineStr">
        <is>
          <t>OPERATING</t>
        </is>
      </c>
    </row>
    <row r="24884">
      <c r="A24884" s="8" t="inlineStr">
        <is>
          <t>2026-08-05</t>
        </is>
      </c>
      <c r="B24884" s="8" t="n">
        <v>13</v>
      </c>
      <c r="C24884" s="8" t="n">
        <v>45</v>
      </c>
      <c r="D24884" s="8" t="inlineStr">
        <is>
          <t>Disneyland Park</t>
        </is>
      </c>
      <c r="E24884" s="8" t="inlineStr">
        <is>
          <t>Blanche-Neige et les Sept Nains®</t>
        </is>
      </c>
      <c r="F24884" s="8" t="inlineStr">
        <is>
          <t>STANDBY</t>
        </is>
      </c>
      <c r="G24884" s="8" t="n">
        <v>35</v>
      </c>
      <c r="H24884" s="8" t="inlineStr">
        <is>
          <t>OPERATING</t>
        </is>
      </c>
    </row>
    <row r="24885">
      <c r="A24885" s="8" t="inlineStr">
        <is>
          <t>2026-08-05</t>
        </is>
      </c>
      <c r="B24885" s="8" t="n">
        <v>13</v>
      </c>
      <c r="C24885" s="8" t="n">
        <v>45</v>
      </c>
      <c r="D24885" s="8" t="inlineStr">
        <is>
          <t>Disneyland Park</t>
        </is>
      </c>
      <c r="E24885" s="8" t="inlineStr">
        <is>
          <t>Casey Jr. – le Petit Train du Cirque</t>
        </is>
      </c>
      <c r="F24885" s="8" t="inlineStr">
        <is>
          <t>STANDBY</t>
        </is>
      </c>
      <c r="G24885" s="8" t="n">
        <v>20</v>
      </c>
      <c r="H24885" s="8" t="inlineStr">
        <is>
          <t>OPERATING</t>
        </is>
      </c>
    </row>
    <row r="24886">
      <c r="A24886" s="8" t="inlineStr">
        <is>
          <t>2026-08-05</t>
        </is>
      </c>
      <c r="B24886" s="8" t="n">
        <v>13</v>
      </c>
      <c r="C24886" s="8" t="n">
        <v>45</v>
      </c>
      <c r="D24886" s="8" t="inlineStr">
        <is>
          <t>Disneyland Park</t>
        </is>
      </c>
      <c r="E24886" s="8" t="inlineStr">
        <is>
          <t>Disneyland Railroad Fantasyland Station</t>
        </is>
      </c>
      <c r="F24886" s="8" t="inlineStr">
        <is>
          <t>STANDBY</t>
        </is>
      </c>
      <c r="G24886" s="8" t="n">
        <v>0</v>
      </c>
      <c r="H24886" s="8" t="inlineStr">
        <is>
          <t>CLOSED</t>
        </is>
      </c>
    </row>
    <row r="24887">
      <c r="A24887" s="8" t="inlineStr">
        <is>
          <t>2026-08-05</t>
        </is>
      </c>
      <c r="B24887" s="8" t="n">
        <v>13</v>
      </c>
      <c r="C24887" s="8" t="n">
        <v>45</v>
      </c>
      <c r="D24887" s="8" t="inlineStr">
        <is>
          <t>Disneyland Park</t>
        </is>
      </c>
      <c r="E24887" s="8" t="inlineStr">
        <is>
          <t>Disneyland Railroad Main Street Station</t>
        </is>
      </c>
      <c r="F24887" s="8" t="inlineStr">
        <is>
          <t>STANDBY</t>
        </is>
      </c>
      <c r="G24887" s="8" t="n">
        <v>45</v>
      </c>
      <c r="H24887" s="8" t="inlineStr">
        <is>
          <t>OPERATING</t>
        </is>
      </c>
    </row>
    <row r="24888">
      <c r="A24888" s="8" t="inlineStr">
        <is>
          <t>2026-08-05</t>
        </is>
      </c>
      <c r="B24888" s="8" t="n">
        <v>13</v>
      </c>
      <c r="C24888" s="8" t="n">
        <v>45</v>
      </c>
      <c r="D24888" s="8" t="inlineStr">
        <is>
          <t>Disneyland Park</t>
        </is>
      </c>
      <c r="E24888" s="8" t="inlineStr">
        <is>
          <t>Dumbo the Flying Elephant</t>
        </is>
      </c>
      <c r="F24888" s="8" t="inlineStr">
        <is>
          <t>STANDBY</t>
        </is>
      </c>
      <c r="G24888" s="8" t="n">
        <v>45</v>
      </c>
      <c r="H24888" s="8" t="inlineStr">
        <is>
          <t>OPERATING</t>
        </is>
      </c>
    </row>
    <row r="24889">
      <c r="A24889" s="8" t="inlineStr">
        <is>
          <t>2026-08-05</t>
        </is>
      </c>
      <c r="B24889" s="8" t="n">
        <v>13</v>
      </c>
      <c r="C24889" s="8" t="n">
        <v>45</v>
      </c>
      <c r="D24889" s="8" t="inlineStr">
        <is>
          <t>Disneyland Park</t>
        </is>
      </c>
      <c r="E24889" s="8" t="inlineStr">
        <is>
          <t>La Tanière du Dragon</t>
        </is>
      </c>
      <c r="F24889" s="8" t="inlineStr">
        <is>
          <t>STANDBY</t>
        </is>
      </c>
      <c r="G24889" s="8" t="n">
        <v>0</v>
      </c>
      <c r="H24889" s="8" t="inlineStr">
        <is>
          <t>OPERATING</t>
        </is>
      </c>
    </row>
    <row r="24890">
      <c r="A24890" s="8" t="inlineStr">
        <is>
          <t>2026-08-05</t>
        </is>
      </c>
      <c r="B24890" s="8" t="n">
        <v>13</v>
      </c>
      <c r="C24890" s="8" t="n">
        <v>45</v>
      </c>
      <c r="D24890" s="8" t="inlineStr">
        <is>
          <t>Disneyland Park</t>
        </is>
      </c>
      <c r="E24890" s="8" t="inlineStr">
        <is>
          <t>Le Carrousel de Lancelot</t>
        </is>
      </c>
      <c r="F24890" s="8" t="inlineStr">
        <is>
          <t>STANDBY</t>
        </is>
      </c>
      <c r="G24890" s="8" t="n">
        <v>25</v>
      </c>
      <c r="H24890" s="8" t="inlineStr">
        <is>
          <t>OPERATING</t>
        </is>
      </c>
    </row>
    <row r="24891">
      <c r="A24891" s="8" t="inlineStr">
        <is>
          <t>2026-08-05</t>
        </is>
      </c>
      <c r="B24891" s="8" t="n">
        <v>13</v>
      </c>
      <c r="C24891" s="8" t="n">
        <v>45</v>
      </c>
      <c r="D24891" s="8" t="inlineStr">
        <is>
          <t>Disneyland Park</t>
        </is>
      </c>
      <c r="E24891" s="8" t="inlineStr">
        <is>
          <t>Le Pays des Contes de Fées, presented by Vittel</t>
        </is>
      </c>
      <c r="F24891" s="8" t="inlineStr">
        <is>
          <t>STANDBY</t>
        </is>
      </c>
      <c r="G24891" s="8" t="n">
        <v>10</v>
      </c>
      <c r="H24891" s="8" t="inlineStr">
        <is>
          <t>OPERATING</t>
        </is>
      </c>
    </row>
    <row r="24892">
      <c r="A24892" s="8" t="inlineStr">
        <is>
          <t>2026-08-05</t>
        </is>
      </c>
      <c r="B24892" s="8" t="n">
        <v>13</v>
      </c>
      <c r="C24892" s="8" t="n">
        <v>45</v>
      </c>
      <c r="D24892" s="8" t="inlineStr">
        <is>
          <t>Disneyland Park</t>
        </is>
      </c>
      <c r="E24892" s="8" t="inlineStr">
        <is>
          <t>Les Voyages de Pinocchio</t>
        </is>
      </c>
      <c r="F24892" s="8" t="inlineStr">
        <is>
          <t>STANDBY</t>
        </is>
      </c>
      <c r="G24892" s="8" t="n">
        <v>30</v>
      </c>
      <c r="H24892" s="8" t="inlineStr">
        <is>
          <t>OPERATING</t>
        </is>
      </c>
    </row>
    <row r="24893">
      <c r="A24893" s="8" t="inlineStr">
        <is>
          <t>2026-08-05</t>
        </is>
      </c>
      <c r="B24893" s="8" t="n">
        <v>13</v>
      </c>
      <c r="C24893" s="8" t="n">
        <v>45</v>
      </c>
      <c r="D24893" s="8" t="inlineStr">
        <is>
          <t>Disneyland Park</t>
        </is>
      </c>
      <c r="E24893" s="8" t="inlineStr">
        <is>
          <t>Mad Hatter's Tea Cups</t>
        </is>
      </c>
      <c r="F24893" s="8" t="inlineStr">
        <is>
          <t>STANDBY</t>
        </is>
      </c>
      <c r="G24893" s="8" t="n">
        <v>10</v>
      </c>
      <c r="H24893" s="8" t="inlineStr">
        <is>
          <t>OPERATING</t>
        </is>
      </c>
    </row>
    <row r="24894">
      <c r="A24894" s="8" t="inlineStr">
        <is>
          <t>2026-08-05</t>
        </is>
      </c>
      <c r="B24894" s="8" t="n">
        <v>13</v>
      </c>
      <c r="C24894" s="8" t="n">
        <v>45</v>
      </c>
      <c r="D24894" s="8" t="inlineStr">
        <is>
          <t>Disneyland Park</t>
        </is>
      </c>
      <c r="E24894" s="8" t="inlineStr">
        <is>
          <t>Meet Mickey Mouse</t>
        </is>
      </c>
      <c r="F24894" s="8" t="inlineStr">
        <is>
          <t>STANDBY</t>
        </is>
      </c>
      <c r="G24894" s="8" t="n">
        <v>0</v>
      </c>
      <c r="H24894" s="8" t="inlineStr">
        <is>
          <t>OPERATING</t>
        </is>
      </c>
    </row>
    <row r="24895">
      <c r="A24895" s="8" t="inlineStr">
        <is>
          <t>2026-08-05</t>
        </is>
      </c>
      <c r="B24895" s="8" t="n">
        <v>13</v>
      </c>
      <c r="C24895" s="8" t="n">
        <v>45</v>
      </c>
      <c r="D24895" s="8" t="inlineStr">
        <is>
          <t>Disneyland Park</t>
        </is>
      </c>
      <c r="E24895" s="8" t="inlineStr">
        <is>
          <t>Peter Pan's Flight</t>
        </is>
      </c>
      <c r="F24895" s="8" t="inlineStr">
        <is>
          <t>STANDBY</t>
        </is>
      </c>
      <c r="G24895" s="8" t="n">
        <v>60</v>
      </c>
      <c r="H24895" s="8" t="inlineStr">
        <is>
          <t>OPERATING</t>
        </is>
      </c>
    </row>
    <row r="24896">
      <c r="A24896" s="8" t="inlineStr">
        <is>
          <t>2026-08-05</t>
        </is>
      </c>
      <c r="B24896" s="8" t="n">
        <v>13</v>
      </c>
      <c r="C24896" s="8" t="n">
        <v>45</v>
      </c>
      <c r="D24896" s="8" t="inlineStr">
        <is>
          <t>Disneyland Park</t>
        </is>
      </c>
      <c r="E24896" s="8" t="inlineStr">
        <is>
          <t>Princess Pavilion</t>
        </is>
      </c>
      <c r="F24896" s="8" t="inlineStr">
        <is>
          <t>STANDBY</t>
        </is>
      </c>
      <c r="G24896" s="8" t="n">
        <v>0</v>
      </c>
      <c r="H24896" s="8" t="inlineStr">
        <is>
          <t>OPERATING</t>
        </is>
      </c>
    </row>
    <row r="24897">
      <c r="A24897" s="8" t="inlineStr">
        <is>
          <t>2026-08-05</t>
        </is>
      </c>
      <c r="B24897" s="8" t="n">
        <v>13</v>
      </c>
      <c r="C24897" s="8" t="n">
        <v>45</v>
      </c>
      <c r="D24897" s="8" t="inlineStr">
        <is>
          <t>Disneyland Park</t>
        </is>
      </c>
      <c r="E24897" s="8" t="inlineStr">
        <is>
          <t>Big Thunder Mountain</t>
        </is>
      </c>
      <c r="F24897" s="8" t="inlineStr">
        <is>
          <t>STANDBY</t>
        </is>
      </c>
      <c r="G24897" s="8" t="n">
        <v>65</v>
      </c>
      <c r="H24897" s="8" t="inlineStr">
        <is>
          <t>OPERATING</t>
        </is>
      </c>
    </row>
    <row r="24898">
      <c r="A24898" s="8" t="inlineStr">
        <is>
          <t>2026-08-05</t>
        </is>
      </c>
      <c r="B24898" s="8" t="n">
        <v>13</v>
      </c>
      <c r="C24898" s="8" t="n">
        <v>45</v>
      </c>
      <c r="D24898" s="8" t="inlineStr">
        <is>
          <t>Disneyland Park</t>
        </is>
      </c>
      <c r="E24898" s="8" t="inlineStr">
        <is>
          <t>Disneyland Railroad Frontierland Depot</t>
        </is>
      </c>
      <c r="F24898" s="8" t="inlineStr">
        <is>
          <t>STANDBY</t>
        </is>
      </c>
      <c r="G24898" s="8" t="n">
        <v>40</v>
      </c>
      <c r="H24898" s="8" t="inlineStr">
        <is>
          <t>OPERATING</t>
        </is>
      </c>
    </row>
    <row r="24899">
      <c r="A24899" s="8" t="inlineStr">
        <is>
          <t>2026-08-05</t>
        </is>
      </c>
      <c r="B24899" s="8" t="n">
        <v>13</v>
      </c>
      <c r="C24899" s="8" t="n">
        <v>45</v>
      </c>
      <c r="D24899" s="8" t="inlineStr">
        <is>
          <t>Disneyland Park</t>
        </is>
      </c>
      <c r="E24899" s="8" t="inlineStr">
        <is>
          <t>Frontierland Playground</t>
        </is>
      </c>
      <c r="F24899" s="8" t="inlineStr">
        <is>
          <t>STANDBY</t>
        </is>
      </c>
      <c r="G24899" s="8" t="n">
        <v>0</v>
      </c>
      <c r="H24899" s="8" t="inlineStr">
        <is>
          <t>OPERATING</t>
        </is>
      </c>
    </row>
    <row r="24900">
      <c r="A24900" s="8" t="inlineStr">
        <is>
          <t>2026-08-05</t>
        </is>
      </c>
      <c r="B24900" s="8" t="n">
        <v>13</v>
      </c>
      <c r="C24900" s="8" t="n">
        <v>45</v>
      </c>
      <c r="D24900" s="8" t="inlineStr">
        <is>
          <t>Disneyland Park</t>
        </is>
      </c>
      <c r="E24900" s="8" t="inlineStr">
        <is>
          <t>Phantom Manor</t>
        </is>
      </c>
      <c r="F24900" s="8" t="inlineStr">
        <is>
          <t>STANDBY</t>
        </is>
      </c>
      <c r="G24900" s="8" t="n">
        <v>25</v>
      </c>
      <c r="H24900" s="8" t="inlineStr">
        <is>
          <t>OPERATING</t>
        </is>
      </c>
    </row>
    <row r="24901">
      <c r="A24901" s="8" t="inlineStr">
        <is>
          <t>2026-08-05</t>
        </is>
      </c>
      <c r="B24901" s="8" t="n">
        <v>13</v>
      </c>
      <c r="C24901" s="8" t="n">
        <v>45</v>
      </c>
      <c r="D24901" s="8" t="inlineStr">
        <is>
          <t>Disneyland Park</t>
        </is>
      </c>
      <c r="E24901" s="8" t="inlineStr">
        <is>
          <t>River Rogue Keelboats</t>
        </is>
      </c>
      <c r="F24901" s="8" t="inlineStr">
        <is>
          <t>STANDBY</t>
        </is>
      </c>
      <c r="G24901" s="8" t="n">
        <v>0</v>
      </c>
      <c r="H24901" s="8" t="inlineStr">
        <is>
          <t>CLOSED</t>
        </is>
      </c>
    </row>
    <row r="24902">
      <c r="A24902" s="8" t="inlineStr">
        <is>
          <t>2026-08-05</t>
        </is>
      </c>
      <c r="B24902" s="8" t="n">
        <v>13</v>
      </c>
      <c r="C24902" s="8" t="n">
        <v>45</v>
      </c>
      <c r="D24902" s="8" t="inlineStr">
        <is>
          <t>Disneyland Park</t>
        </is>
      </c>
      <c r="E24902" s="8" t="inlineStr">
        <is>
          <t>Rustler Roundup Shootin' Gallery</t>
        </is>
      </c>
      <c r="F24902" s="8" t="inlineStr">
        <is>
          <t>STANDBY</t>
        </is>
      </c>
      <c r="G24902" s="8" t="n">
        <v>0</v>
      </c>
      <c r="H24902" s="8" t="inlineStr">
        <is>
          <t>OPERATING</t>
        </is>
      </c>
    </row>
    <row r="24903">
      <c r="A24903" s="8" t="inlineStr">
        <is>
          <t>2026-08-05</t>
        </is>
      </c>
      <c r="B24903" s="8" t="n">
        <v>13</v>
      </c>
      <c r="C24903" s="8" t="n">
        <v>45</v>
      </c>
      <c r="D24903" s="8" t="inlineStr">
        <is>
          <t>Disneyland Park</t>
        </is>
      </c>
      <c r="E24903" s="8" t="inlineStr">
        <is>
          <t>Thunder Mesa Riverboat Landing</t>
        </is>
      </c>
      <c r="F24903" s="8" t="inlineStr">
        <is>
          <t>STANDBY</t>
        </is>
      </c>
      <c r="G24903" s="8" t="n">
        <v>20</v>
      </c>
      <c r="H24903" s="8" t="inlineStr">
        <is>
          <t>OPERATING</t>
        </is>
      </c>
    </row>
    <row r="24904">
      <c r="A24904" s="8" t="inlineStr">
        <is>
          <t>2026-08-05</t>
        </is>
      </c>
      <c r="B24904" s="8" t="n">
        <v>13</v>
      </c>
      <c r="C24904" s="8" t="n">
        <v>45</v>
      </c>
      <c r="D24904" s="8" t="inlineStr">
        <is>
          <t>Disneyland Park</t>
        </is>
      </c>
      <c r="E24904" s="8" t="inlineStr">
        <is>
          <t>Disneyland Railroad Main Street Station</t>
        </is>
      </c>
      <c r="F24904" s="8" t="inlineStr">
        <is>
          <t>STANDBY</t>
        </is>
      </c>
      <c r="G24904" s="8" t="n">
        <v>0</v>
      </c>
      <c r="H24904" s="8" t="inlineStr">
        <is>
          <t>OPERATING</t>
        </is>
      </c>
    </row>
    <row r="24905">
      <c r="A24905" s="8" t="inlineStr">
        <is>
          <t>2026-08-05</t>
        </is>
      </c>
      <c r="B24905" s="8" t="n">
        <v>13</v>
      </c>
      <c r="C24905" s="8" t="n">
        <v>45</v>
      </c>
      <c r="D24905" s="8" t="inlineStr">
        <is>
          <t>Disneyland Park</t>
        </is>
      </c>
      <c r="E24905" s="8" t="inlineStr">
        <is>
          <t>Main Street Vehicles</t>
        </is>
      </c>
      <c r="F24905" s="8" t="inlineStr">
        <is>
          <t>STANDBY</t>
        </is>
      </c>
      <c r="G24905" s="8" t="n">
        <v>5</v>
      </c>
      <c r="H24905" s="8" t="inlineStr">
        <is>
          <t>OPERATING</t>
        </is>
      </c>
    </row>
    <row r="24906">
      <c r="A24906" s="8" t="inlineStr">
        <is>
          <t>2026-08-05</t>
        </is>
      </c>
      <c r="B24906" s="8" t="n">
        <v>13</v>
      </c>
      <c r="C24906" s="8" t="n">
        <v>45</v>
      </c>
      <c r="D24906" s="8" t="inlineStr">
        <is>
          <t>Disney Adventure World</t>
        </is>
      </c>
      <c r="E24906" s="8" t="inlineStr">
        <is>
          <t>Avengers Assemble: Flight Force</t>
        </is>
      </c>
      <c r="F24906" s="8" t="inlineStr">
        <is>
          <t>STANDBY</t>
        </is>
      </c>
      <c r="G24906" s="8" t="n">
        <v>25</v>
      </c>
      <c r="H24906" s="8" t="inlineStr">
        <is>
          <t>OPERATING</t>
        </is>
      </c>
    </row>
    <row r="24907">
      <c r="A24907" s="8" t="inlineStr">
        <is>
          <t>2026-08-05</t>
        </is>
      </c>
      <c r="B24907" s="8" t="n">
        <v>13</v>
      </c>
      <c r="C24907" s="8" t="n">
        <v>45</v>
      </c>
      <c r="D24907" s="8" t="inlineStr">
        <is>
          <t>Disney Adventure World</t>
        </is>
      </c>
      <c r="E24907" s="8" t="inlineStr">
        <is>
          <t>Avengers Assemble: Flight Force Single Rider</t>
        </is>
      </c>
      <c r="F24907" s="8" t="inlineStr">
        <is>
          <t>STANDBY</t>
        </is>
      </c>
      <c r="G24907" s="8" t="n">
        <v>15</v>
      </c>
      <c r="H24907" s="8" t="inlineStr">
        <is>
          <t>OPERATING</t>
        </is>
      </c>
    </row>
    <row r="24908">
      <c r="A24908" s="8" t="inlineStr">
        <is>
          <t>2026-08-05</t>
        </is>
      </c>
      <c r="B24908" s="8" t="n">
        <v>13</v>
      </c>
      <c r="C24908" s="8" t="n">
        <v>45</v>
      </c>
      <c r="D24908" s="8" t="inlineStr">
        <is>
          <t>Disney Adventure World</t>
        </is>
      </c>
      <c r="E24908" s="8" t="inlineStr">
        <is>
          <t>Spider-Man W.E.B. Adventure</t>
        </is>
      </c>
      <c r="F24908" s="8" t="inlineStr">
        <is>
          <t>STANDBY</t>
        </is>
      </c>
      <c r="G24908" s="8" t="n">
        <v>55</v>
      </c>
      <c r="H24908" s="8" t="inlineStr">
        <is>
          <t>OPERATING</t>
        </is>
      </c>
    </row>
    <row r="24909">
      <c r="A24909" s="8" t="inlineStr">
        <is>
          <t>2026-08-05</t>
        </is>
      </c>
      <c r="B24909" s="8" t="n">
        <v>13</v>
      </c>
      <c r="C24909" s="8" t="n">
        <v>45</v>
      </c>
      <c r="D24909" s="8" t="inlineStr">
        <is>
          <t>Disney Adventure World</t>
        </is>
      </c>
      <c r="E24909" s="8" t="inlineStr">
        <is>
          <t>Spider-Man W.E.B. Adventure Single Rider</t>
        </is>
      </c>
      <c r="F24909" s="8" t="inlineStr">
        <is>
          <t>STANDBY</t>
        </is>
      </c>
      <c r="G24909" s="8" t="n">
        <v>25</v>
      </c>
      <c r="H24909" s="8" t="inlineStr">
        <is>
          <t>OPERATING</t>
        </is>
      </c>
    </row>
    <row r="24910">
      <c r="A24910" s="8" t="inlineStr">
        <is>
          <t>2026-08-05</t>
        </is>
      </c>
      <c r="B24910" s="8" t="n">
        <v>13</v>
      </c>
      <c r="C24910" s="8" t="n">
        <v>45</v>
      </c>
      <c r="D24910" s="8" t="inlineStr">
        <is>
          <t>Disney Adventure World</t>
        </is>
      </c>
      <c r="E24910" s="8" t="inlineStr">
        <is>
          <t>The Twilight Zone Tower of Terror</t>
        </is>
      </c>
      <c r="F24910" s="8" t="inlineStr">
        <is>
          <t>STANDBY</t>
        </is>
      </c>
      <c r="G24910" s="8" t="n">
        <v>45</v>
      </c>
      <c r="H24910" s="8" t="inlineStr">
        <is>
          <t>OPERATING</t>
        </is>
      </c>
    </row>
    <row r="24911">
      <c r="A24911" s="8" t="inlineStr">
        <is>
          <t>2026-08-05</t>
        </is>
      </c>
      <c r="B24911" s="8" t="n">
        <v>13</v>
      </c>
      <c r="C24911" s="8" t="n">
        <v>45</v>
      </c>
      <c r="D24911" s="8" t="inlineStr">
        <is>
          <t>Disney Adventure World</t>
        </is>
      </c>
      <c r="E24911" s="8" t="inlineStr">
        <is>
          <t>Cars Quatre Roues Rallye</t>
        </is>
      </c>
      <c r="F24911" s="8" t="inlineStr">
        <is>
          <t>STANDBY</t>
        </is>
      </c>
      <c r="G24911" s="8" t="n">
        <v>10</v>
      </c>
      <c r="H24911" s="8" t="inlineStr">
        <is>
          <t>OPERATING</t>
        </is>
      </c>
    </row>
    <row r="24912">
      <c r="A24912" s="8" t="inlineStr">
        <is>
          <t>2026-08-05</t>
        </is>
      </c>
      <c r="B24912" s="8" t="n">
        <v>13</v>
      </c>
      <c r="C24912" s="8" t="n">
        <v>45</v>
      </c>
      <c r="D24912" s="8" t="inlineStr">
        <is>
          <t>Disney Adventure World</t>
        </is>
      </c>
      <c r="E24912" s="8" t="inlineStr">
        <is>
          <t>Cars ROAD TRIP</t>
        </is>
      </c>
      <c r="F24912" s="8" t="inlineStr">
        <is>
          <t>STANDBY</t>
        </is>
      </c>
      <c r="G24912" s="8" t="n">
        <v>20</v>
      </c>
      <c r="H24912" s="8" t="inlineStr">
        <is>
          <t>OPERATING</t>
        </is>
      </c>
    </row>
    <row r="24913">
      <c r="A24913" s="8" t="inlineStr">
        <is>
          <t>2026-08-05</t>
        </is>
      </c>
      <c r="B24913" s="8" t="n">
        <v>13</v>
      </c>
      <c r="C24913" s="8" t="n">
        <v>45</v>
      </c>
      <c r="D24913" s="8" t="inlineStr">
        <is>
          <t>Disney Adventure World</t>
        </is>
      </c>
      <c r="E24913" s="8" t="inlineStr">
        <is>
          <t>Crush's Coaster</t>
        </is>
      </c>
      <c r="F24913" s="8" t="inlineStr">
        <is>
          <t>STANDBY</t>
        </is>
      </c>
      <c r="G24913" s="8" t="n">
        <v>70</v>
      </c>
      <c r="H24913" s="8" t="inlineStr">
        <is>
          <t>OPERATING</t>
        </is>
      </c>
    </row>
    <row r="24914">
      <c r="A24914" s="8" t="inlineStr">
        <is>
          <t>2026-08-05</t>
        </is>
      </c>
      <c r="B24914" s="8" t="n">
        <v>13</v>
      </c>
      <c r="C24914" s="8" t="n">
        <v>45</v>
      </c>
      <c r="D24914" s="8" t="inlineStr">
        <is>
          <t>Disney Adventure World</t>
        </is>
      </c>
      <c r="E24914" s="8" t="inlineStr">
        <is>
          <t>Crush's Coaster Single Rider</t>
        </is>
      </c>
      <c r="F24914" s="8" t="inlineStr">
        <is>
          <t>STANDBY</t>
        </is>
      </c>
      <c r="G24914" s="8" t="n">
        <v>50</v>
      </c>
      <c r="H24914" s="8" t="inlineStr">
        <is>
          <t>OPERATING</t>
        </is>
      </c>
    </row>
    <row r="24915">
      <c r="A24915" s="8" t="inlineStr">
        <is>
          <t>2026-08-05</t>
        </is>
      </c>
      <c r="B24915" s="8" t="n">
        <v>13</v>
      </c>
      <c r="C24915" s="8" t="n">
        <v>45</v>
      </c>
      <c r="D24915" s="8" t="inlineStr">
        <is>
          <t>Disney Adventure World</t>
        </is>
      </c>
      <c r="E24915" s="8" t="inlineStr">
        <is>
          <t>Les Tapis Volants - Flying Carpets Over Agrabah®</t>
        </is>
      </c>
      <c r="F24915" s="8" t="inlineStr">
        <is>
          <t>STANDBY</t>
        </is>
      </c>
      <c r="G24915" s="8" t="n">
        <v>15</v>
      </c>
      <c r="H24915" s="8" t="inlineStr">
        <is>
          <t>OPERATING</t>
        </is>
      </c>
    </row>
    <row r="24916">
      <c r="A24916" s="8" t="inlineStr">
        <is>
          <t>2026-08-05</t>
        </is>
      </c>
      <c r="B24916" s="8" t="n">
        <v>13</v>
      </c>
      <c r="C24916" s="8" t="n">
        <v>45</v>
      </c>
      <c r="D24916" s="8" t="inlineStr">
        <is>
          <t>Disney Adventure World</t>
        </is>
      </c>
      <c r="E24916" s="8" t="inlineStr">
        <is>
          <t>Ratatouille : L’Aventure Totalement Toquée de Rémy​</t>
        </is>
      </c>
      <c r="F24916" s="8" t="inlineStr">
        <is>
          <t>STANDBY</t>
        </is>
      </c>
      <c r="G24916" s="8" t="n">
        <v>65</v>
      </c>
      <c r="H24916" s="8" t="inlineStr">
        <is>
          <t>OPERATING</t>
        </is>
      </c>
    </row>
    <row r="24917">
      <c r="A24917" s="8" t="inlineStr">
        <is>
          <t>2026-08-05</t>
        </is>
      </c>
      <c r="B24917" s="8" t="n">
        <v>13</v>
      </c>
      <c r="C24917" s="8" t="n">
        <v>45</v>
      </c>
      <c r="D24917" s="8" t="inlineStr">
        <is>
          <t>Disney Adventure World</t>
        </is>
      </c>
      <c r="E24917" s="8" t="inlineStr">
        <is>
          <t>Ratatouille: The Adventure Single Rider</t>
        </is>
      </c>
      <c r="F24917" s="8" t="inlineStr">
        <is>
          <t>STANDBY</t>
        </is>
      </c>
      <c r="G24917" s="8" t="n">
        <v>30</v>
      </c>
      <c r="H24917" s="8" t="inlineStr">
        <is>
          <t>OPERATING</t>
        </is>
      </c>
    </row>
    <row r="24918">
      <c r="A24918" s="8" t="inlineStr">
        <is>
          <t>2026-08-05</t>
        </is>
      </c>
      <c r="B24918" s="8" t="n">
        <v>13</v>
      </c>
      <c r="C24918" s="8" t="n">
        <v>45</v>
      </c>
      <c r="D24918" s="8" t="inlineStr">
        <is>
          <t>Disney Adventure World</t>
        </is>
      </c>
      <c r="E24918" s="8" t="inlineStr">
        <is>
          <t>RC Racer</t>
        </is>
      </c>
      <c r="F24918" s="8" t="inlineStr">
        <is>
          <t>STANDBY</t>
        </is>
      </c>
      <c r="G24918" s="8" t="n">
        <v>60</v>
      </c>
      <c r="H24918" s="8" t="inlineStr">
        <is>
          <t>OPERATING</t>
        </is>
      </c>
    </row>
    <row r="24919">
      <c r="A24919" s="8" t="inlineStr">
        <is>
          <t>2026-08-05</t>
        </is>
      </c>
      <c r="B24919" s="8" t="n">
        <v>13</v>
      </c>
      <c r="C24919" s="8" t="n">
        <v>45</v>
      </c>
      <c r="D24919" s="8" t="inlineStr">
        <is>
          <t>Disney Adventure World</t>
        </is>
      </c>
      <c r="E24919" s="8" t="inlineStr">
        <is>
          <t>RC Racer Single Rider</t>
        </is>
      </c>
      <c r="F24919" s="8" t="inlineStr">
        <is>
          <t>STANDBY</t>
        </is>
      </c>
      <c r="G24919" s="8" t="n">
        <v>55</v>
      </c>
      <c r="H24919" s="8" t="inlineStr">
        <is>
          <t>OPERATING</t>
        </is>
      </c>
    </row>
    <row r="24920">
      <c r="A24920" s="8" t="inlineStr">
        <is>
          <t>2026-08-05</t>
        </is>
      </c>
      <c r="B24920" s="8" t="n">
        <v>13</v>
      </c>
      <c r="C24920" s="8" t="n">
        <v>45</v>
      </c>
      <c r="D24920" s="8" t="inlineStr">
        <is>
          <t>Disney Adventure World</t>
        </is>
      </c>
      <c r="E24920" s="8" t="inlineStr">
        <is>
          <t>Slinky® Dog Zigzag Spin</t>
        </is>
      </c>
      <c r="F24920" s="8" t="inlineStr">
        <is>
          <t>STANDBY</t>
        </is>
      </c>
      <c r="G24920" s="8" t="n">
        <v>15</v>
      </c>
      <c r="H24920" s="8" t="inlineStr">
        <is>
          <t>OPERATING</t>
        </is>
      </c>
    </row>
    <row r="24921">
      <c r="A24921" s="8" t="inlineStr">
        <is>
          <t>2026-08-05</t>
        </is>
      </c>
      <c r="B24921" s="8" t="n">
        <v>13</v>
      </c>
      <c r="C24921" s="8" t="n">
        <v>45</v>
      </c>
      <c r="D24921" s="8" t="inlineStr">
        <is>
          <t>Disney Adventure World</t>
        </is>
      </c>
      <c r="E24921" s="8" t="inlineStr">
        <is>
          <t>Toy Soldiers Parachute Drop</t>
        </is>
      </c>
      <c r="F24921" s="8" t="inlineStr">
        <is>
          <t>STANDBY</t>
        </is>
      </c>
      <c r="G24921" s="8" t="n">
        <v>50</v>
      </c>
      <c r="H24921" s="8" t="inlineStr">
        <is>
          <t>OPERATING</t>
        </is>
      </c>
    </row>
    <row r="24922">
      <c r="A24922" s="8" t="inlineStr">
        <is>
          <t>2026-08-05</t>
        </is>
      </c>
      <c r="B24922" s="8" t="n">
        <v>13</v>
      </c>
      <c r="C24922" s="8" t="n">
        <v>45</v>
      </c>
      <c r="D24922" s="8" t="inlineStr">
        <is>
          <t>Disney Adventure World</t>
        </is>
      </c>
      <c r="E24922" s="8" t="inlineStr">
        <is>
          <t>Toy Soldiers Parachute Drop Single Rider</t>
        </is>
      </c>
      <c r="F24922" s="8" t="inlineStr">
        <is>
          <t>STANDBY</t>
        </is>
      </c>
      <c r="G24922" s="8" t="n">
        <v>30</v>
      </c>
      <c r="H24922" s="8" t="inlineStr">
        <is>
          <t>OPERATING</t>
        </is>
      </c>
    </row>
    <row r="24923">
      <c r="A24923" s="8" t="inlineStr">
        <is>
          <t>2026-08-05</t>
        </is>
      </c>
      <c r="B24923" s="8" t="n">
        <v>13</v>
      </c>
      <c r="C24923" s="8" t="n">
        <v>45</v>
      </c>
      <c r="D24923" s="8" t="inlineStr">
        <is>
          <t>Disney Adventure World</t>
        </is>
      </c>
      <c r="E24923" s="8" t="inlineStr">
        <is>
          <t>Entry to World of Frozen</t>
        </is>
      </c>
      <c r="F24923" s="8" t="inlineStr">
        <is>
          <t>STANDBY</t>
        </is>
      </c>
      <c r="G24923" s="8" t="n">
        <v>0</v>
      </c>
      <c r="H24923" s="8" t="inlineStr">
        <is>
          <t>OPERATING</t>
        </is>
      </c>
    </row>
    <row r="24924">
      <c r="A24924" s="8" t="inlineStr">
        <is>
          <t>2026-08-05</t>
        </is>
      </c>
      <c r="B24924" s="8" t="n">
        <v>13</v>
      </c>
      <c r="C24924" s="8" t="n">
        <v>45</v>
      </c>
      <c r="D24924" s="8" t="inlineStr">
        <is>
          <t>Disney Adventure World</t>
        </is>
      </c>
      <c r="E24924" s="8" t="inlineStr">
        <is>
          <t>Frozen Ever After</t>
        </is>
      </c>
      <c r="F24924" s="8" t="inlineStr">
        <is>
          <t>STANDBY</t>
        </is>
      </c>
      <c r="G24924" s="8" t="n">
        <v>55</v>
      </c>
      <c r="H24924" s="8" t="inlineStr">
        <is>
          <t>OPERATING</t>
        </is>
      </c>
    </row>
    <row r="24925">
      <c r="A24925" s="8" t="inlineStr">
        <is>
          <t>2026-08-05</t>
        </is>
      </c>
      <c r="B24925" s="8" t="n">
        <v>13</v>
      </c>
      <c r="C24925" s="8" t="n">
        <v>45</v>
      </c>
      <c r="D24925" s="8" t="inlineStr">
        <is>
          <t>Disney Adventure World</t>
        </is>
      </c>
      <c r="E24925" s="8" t="inlineStr">
        <is>
          <t>Raiponce Tangled Spin</t>
        </is>
      </c>
      <c r="F24925" s="8" t="inlineStr">
        <is>
          <t>STANDBY</t>
        </is>
      </c>
      <c r="G24925" s="8" t="n">
        <v>15</v>
      </c>
      <c r="H24925" s="8" t="inlineStr">
        <is>
          <t>OPERATING</t>
        </is>
      </c>
    </row>
    <row r="24926">
      <c r="A24926" s="8" t="inlineStr">
        <is>
          <t>2026-08-05</t>
        </is>
      </c>
      <c r="B24926" s="8" t="n">
        <v>14</v>
      </c>
      <c r="C24926" s="8" t="n">
        <v>1</v>
      </c>
      <c r="D24926" s="8" t="inlineStr">
        <is>
          <t>Disneyland Park</t>
        </is>
      </c>
      <c r="E24926" s="8" t="inlineStr">
        <is>
          <t>Adventure Isle</t>
        </is>
      </c>
      <c r="F24926" s="8" t="inlineStr">
        <is>
          <t>STANDBY</t>
        </is>
      </c>
      <c r="G24926" s="8" t="n">
        <v>0</v>
      </c>
      <c r="H24926" s="8" t="inlineStr">
        <is>
          <t>OPERATING</t>
        </is>
      </c>
    </row>
    <row r="24927">
      <c r="A24927" s="8" t="inlineStr">
        <is>
          <t>2026-08-05</t>
        </is>
      </c>
      <c r="B24927" s="8" t="n">
        <v>14</v>
      </c>
      <c r="C24927" s="8" t="n">
        <v>1</v>
      </c>
      <c r="D24927" s="8" t="inlineStr">
        <is>
          <t>Disneyland Park</t>
        </is>
      </c>
      <c r="E24927" s="8" t="inlineStr">
        <is>
          <t>Indiana Jones and the Temple of Peril Single Rider</t>
        </is>
      </c>
      <c r="F24927" s="8" t="inlineStr">
        <is>
          <t>STANDBY</t>
        </is>
      </c>
      <c r="G24927" s="8" t="n">
        <v>10</v>
      </c>
      <c r="H24927" s="8" t="inlineStr">
        <is>
          <t>OPERATING</t>
        </is>
      </c>
    </row>
    <row r="24928">
      <c r="A24928" s="8" t="inlineStr">
        <is>
          <t>2026-08-05</t>
        </is>
      </c>
      <c r="B24928" s="8" t="n">
        <v>14</v>
      </c>
      <c r="C24928" s="8" t="n">
        <v>1</v>
      </c>
      <c r="D24928" s="8" t="inlineStr">
        <is>
          <t>Disneyland Park</t>
        </is>
      </c>
      <c r="E24928" s="8" t="inlineStr">
        <is>
          <t>Indiana Jones™ and the Temple of Peril</t>
        </is>
      </c>
      <c r="F24928" s="8" t="inlineStr">
        <is>
          <t>STANDBY</t>
        </is>
      </c>
      <c r="G24928" s="8" t="n">
        <v>30</v>
      </c>
      <c r="H24928" s="8" t="inlineStr">
        <is>
          <t>OPERATING</t>
        </is>
      </c>
    </row>
    <row r="24929">
      <c r="A24929" s="8" t="inlineStr">
        <is>
          <t>2026-08-05</t>
        </is>
      </c>
      <c r="B24929" s="8" t="n">
        <v>14</v>
      </c>
      <c r="C24929" s="8" t="n">
        <v>1</v>
      </c>
      <c r="D24929" s="8" t="inlineStr">
        <is>
          <t>Disneyland Park</t>
        </is>
      </c>
      <c r="E24929" s="8" t="inlineStr">
        <is>
          <t>La Cabane des Robinson</t>
        </is>
      </c>
      <c r="F24929" s="8" t="inlineStr">
        <is>
          <t>STANDBY</t>
        </is>
      </c>
      <c r="G24929" s="8" t="n">
        <v>5</v>
      </c>
      <c r="H24929" s="8" t="inlineStr">
        <is>
          <t>OPERATING</t>
        </is>
      </c>
    </row>
    <row r="24930">
      <c r="A24930" s="8" t="inlineStr">
        <is>
          <t>2026-08-05</t>
        </is>
      </c>
      <c r="B24930" s="8" t="n">
        <v>14</v>
      </c>
      <c r="C24930" s="8" t="n">
        <v>1</v>
      </c>
      <c r="D24930" s="8" t="inlineStr">
        <is>
          <t>Disneyland Park</t>
        </is>
      </c>
      <c r="E24930" s="8" t="inlineStr">
        <is>
          <t>Le Passage Enchanté d'Aladdin</t>
        </is>
      </c>
      <c r="F24930" s="8" t="inlineStr">
        <is>
          <t>STANDBY</t>
        </is>
      </c>
      <c r="G24930" s="8" t="n">
        <v>0</v>
      </c>
      <c r="H24930" s="8" t="inlineStr">
        <is>
          <t>OPERATING</t>
        </is>
      </c>
    </row>
    <row r="24931">
      <c r="A24931" s="8" t="inlineStr">
        <is>
          <t>2026-08-05</t>
        </is>
      </c>
      <c r="B24931" s="8" t="n">
        <v>14</v>
      </c>
      <c r="C24931" s="8" t="n">
        <v>1</v>
      </c>
      <c r="D24931" s="8" t="inlineStr">
        <is>
          <t>Disneyland Park</t>
        </is>
      </c>
      <c r="E24931" s="8" t="inlineStr">
        <is>
          <t>Pirate Galleon</t>
        </is>
      </c>
      <c r="F24931" s="8" t="inlineStr">
        <is>
          <t>STANDBY</t>
        </is>
      </c>
      <c r="G24931" s="8" t="n">
        <v>0</v>
      </c>
      <c r="H24931" s="8" t="inlineStr">
        <is>
          <t>CLOSED</t>
        </is>
      </c>
    </row>
    <row r="24932">
      <c r="A24932" s="8" t="inlineStr">
        <is>
          <t>2026-08-05</t>
        </is>
      </c>
      <c r="B24932" s="8" t="n">
        <v>14</v>
      </c>
      <c r="C24932" s="8" t="n">
        <v>1</v>
      </c>
      <c r="D24932" s="8" t="inlineStr">
        <is>
          <t>Disneyland Park</t>
        </is>
      </c>
      <c r="E24932" s="8" t="inlineStr">
        <is>
          <t>Pirates of the Caribbean</t>
        </is>
      </c>
      <c r="F24932" s="8" t="inlineStr">
        <is>
          <t>STANDBY</t>
        </is>
      </c>
      <c r="G24932" s="8" t="n">
        <v>35</v>
      </c>
      <c r="H24932" s="8" t="inlineStr">
        <is>
          <t>OPERATING</t>
        </is>
      </c>
    </row>
    <row r="24933">
      <c r="A24933" s="8" t="inlineStr">
        <is>
          <t>2026-08-05</t>
        </is>
      </c>
      <c r="B24933" s="8" t="n">
        <v>14</v>
      </c>
      <c r="C24933" s="8" t="n">
        <v>1</v>
      </c>
      <c r="D24933" s="8" t="inlineStr">
        <is>
          <t>Disneyland Park</t>
        </is>
      </c>
      <c r="E24933" s="8" t="inlineStr">
        <is>
          <t>Pirates' Beach</t>
        </is>
      </c>
      <c r="F24933" s="8" t="inlineStr">
        <is>
          <t>STANDBY</t>
        </is>
      </c>
      <c r="G24933" s="8" t="n">
        <v>0</v>
      </c>
      <c r="H24933" s="8" t="inlineStr">
        <is>
          <t>OPERATING</t>
        </is>
      </c>
    </row>
    <row r="24934">
      <c r="A24934" s="8" t="inlineStr">
        <is>
          <t>2026-08-05</t>
        </is>
      </c>
      <c r="B24934" s="8" t="n">
        <v>14</v>
      </c>
      <c r="C24934" s="8" t="n">
        <v>1</v>
      </c>
      <c r="D24934" s="8" t="inlineStr">
        <is>
          <t>Disneyland Park</t>
        </is>
      </c>
      <c r="E24934" s="8" t="inlineStr">
        <is>
          <t>Autopia, presented by Avis</t>
        </is>
      </c>
      <c r="F24934" s="8" t="inlineStr">
        <is>
          <t>STANDBY</t>
        </is>
      </c>
      <c r="G24934" s="8" t="n">
        <v>30</v>
      </c>
      <c r="H24934" s="8" t="inlineStr">
        <is>
          <t>OPERATING</t>
        </is>
      </c>
    </row>
    <row r="24935">
      <c r="A24935" s="8" t="inlineStr">
        <is>
          <t>2026-08-05</t>
        </is>
      </c>
      <c r="B24935" s="8" t="n">
        <v>14</v>
      </c>
      <c r="C24935" s="8" t="n">
        <v>1</v>
      </c>
      <c r="D24935" s="8" t="inlineStr">
        <is>
          <t>Disneyland Park</t>
        </is>
      </c>
      <c r="E24935" s="8" t="inlineStr">
        <is>
          <t>Buzz Lightyear Laser Blast</t>
        </is>
      </c>
      <c r="F24935" s="8" t="inlineStr">
        <is>
          <t>STANDBY</t>
        </is>
      </c>
      <c r="G24935" s="8" t="n">
        <v>50</v>
      </c>
      <c r="H24935" s="8" t="inlineStr">
        <is>
          <t>OPERATING</t>
        </is>
      </c>
    </row>
    <row r="24936">
      <c r="A24936" s="8" t="inlineStr">
        <is>
          <t>2026-08-05</t>
        </is>
      </c>
      <c r="B24936" s="8" t="n">
        <v>14</v>
      </c>
      <c r="C24936" s="8" t="n">
        <v>1</v>
      </c>
      <c r="D24936" s="8" t="inlineStr">
        <is>
          <t>Disneyland Park</t>
        </is>
      </c>
      <c r="E24936" s="8" t="inlineStr">
        <is>
          <t>Disneyland Railroad Discoveryland Station</t>
        </is>
      </c>
      <c r="F24936" s="8" t="inlineStr">
        <is>
          <t>STANDBY</t>
        </is>
      </c>
      <c r="G24936" s="8" t="n">
        <v>0</v>
      </c>
      <c r="H24936" s="8" t="inlineStr">
        <is>
          <t>CLOSED</t>
        </is>
      </c>
    </row>
    <row r="24937">
      <c r="A24937" s="8" t="inlineStr">
        <is>
          <t>2026-08-05</t>
        </is>
      </c>
      <c r="B24937" s="8" t="n">
        <v>14</v>
      </c>
      <c r="C24937" s="8" t="n">
        <v>1</v>
      </c>
      <c r="D24937" s="8" t="inlineStr">
        <is>
          <t>Disneyland Park</t>
        </is>
      </c>
      <c r="E24937" s="8" t="inlineStr">
        <is>
          <t>Les Mystères du Nautilus</t>
        </is>
      </c>
      <c r="F24937" s="8" t="inlineStr">
        <is>
          <t>STANDBY</t>
        </is>
      </c>
      <c r="G24937" s="8" t="n">
        <v>5</v>
      </c>
      <c r="H24937" s="8" t="inlineStr">
        <is>
          <t>OPERATING</t>
        </is>
      </c>
    </row>
    <row r="24938">
      <c r="A24938" s="8" t="inlineStr">
        <is>
          <t>2026-08-05</t>
        </is>
      </c>
      <c r="B24938" s="8" t="n">
        <v>14</v>
      </c>
      <c r="C24938" s="8" t="n">
        <v>1</v>
      </c>
      <c r="D24938" s="8" t="inlineStr">
        <is>
          <t>Disneyland Park</t>
        </is>
      </c>
      <c r="E24938" s="8" t="inlineStr">
        <is>
          <t>Mickey’s PhilharMagic</t>
        </is>
      </c>
      <c r="F24938" s="8" t="inlineStr">
        <is>
          <t>STANDBY</t>
        </is>
      </c>
      <c r="G24938" s="8" t="n">
        <v>0</v>
      </c>
      <c r="H24938" s="8" t="inlineStr">
        <is>
          <t>OPERATING</t>
        </is>
      </c>
    </row>
    <row r="24939">
      <c r="A24939" s="8" t="inlineStr">
        <is>
          <t>2026-08-05</t>
        </is>
      </c>
      <c r="B24939" s="8" t="n">
        <v>14</v>
      </c>
      <c r="C24939" s="8" t="n">
        <v>1</v>
      </c>
      <c r="D24939" s="8" t="inlineStr">
        <is>
          <t>Disneyland Park</t>
        </is>
      </c>
      <c r="E24939" s="8" t="inlineStr">
        <is>
          <t>Orbitron®</t>
        </is>
      </c>
      <c r="F24939" s="8" t="inlineStr">
        <is>
          <t>STANDBY</t>
        </is>
      </c>
      <c r="G24939" s="8" t="n">
        <v>70</v>
      </c>
      <c r="H24939" s="8" t="inlineStr">
        <is>
          <t>OPERATING</t>
        </is>
      </c>
    </row>
    <row r="24940">
      <c r="A24940" s="8" t="inlineStr">
        <is>
          <t>2026-08-05</t>
        </is>
      </c>
      <c r="B24940" s="8" t="n">
        <v>14</v>
      </c>
      <c r="C24940" s="8" t="n">
        <v>1</v>
      </c>
      <c r="D24940" s="8" t="inlineStr">
        <is>
          <t>Disneyland Park</t>
        </is>
      </c>
      <c r="E24940" s="8" t="inlineStr">
        <is>
          <t>Star Tours: The Adventures Continue*</t>
        </is>
      </c>
      <c r="F24940" s="8" t="inlineStr">
        <is>
          <t>STANDBY</t>
        </is>
      </c>
      <c r="G24940" s="8" t="n">
        <v>15</v>
      </c>
      <c r="H24940" s="8" t="inlineStr">
        <is>
          <t>OPERATING</t>
        </is>
      </c>
    </row>
    <row r="24941">
      <c r="A24941" s="8" t="inlineStr">
        <is>
          <t>2026-08-05</t>
        </is>
      </c>
      <c r="B24941" s="8" t="n">
        <v>14</v>
      </c>
      <c r="C24941" s="8" t="n">
        <v>1</v>
      </c>
      <c r="D24941" s="8" t="inlineStr">
        <is>
          <t>Disneyland Park</t>
        </is>
      </c>
      <c r="E24941" s="8" t="inlineStr">
        <is>
          <t>Star Wars Hyperspace Mountain</t>
        </is>
      </c>
      <c r="F24941" s="8" t="inlineStr">
        <is>
          <t>STANDBY</t>
        </is>
      </c>
      <c r="G24941" s="8" t="n">
        <v>40</v>
      </c>
      <c r="H24941" s="8" t="inlineStr">
        <is>
          <t>OPERATING</t>
        </is>
      </c>
    </row>
    <row r="24942">
      <c r="A24942" s="8" t="inlineStr">
        <is>
          <t>2026-08-05</t>
        </is>
      </c>
      <c r="B24942" s="8" t="n">
        <v>14</v>
      </c>
      <c r="C24942" s="8" t="n">
        <v>1</v>
      </c>
      <c r="D24942" s="8" t="inlineStr">
        <is>
          <t>Disneyland Park</t>
        </is>
      </c>
      <c r="E24942" s="8" t="inlineStr">
        <is>
          <t>Star Wars Hyperspace Mountain Single Rider</t>
        </is>
      </c>
      <c r="F24942" s="8" t="inlineStr">
        <is>
          <t>STANDBY</t>
        </is>
      </c>
      <c r="G24942" s="8" t="n">
        <v>30</v>
      </c>
      <c r="H24942" s="8" t="inlineStr">
        <is>
          <t>OPERATING</t>
        </is>
      </c>
    </row>
    <row r="24943">
      <c r="A24943" s="8" t="inlineStr">
        <is>
          <t>2026-08-05</t>
        </is>
      </c>
      <c r="B24943" s="8" t="n">
        <v>14</v>
      </c>
      <c r="C24943" s="8" t="n">
        <v>1</v>
      </c>
      <c r="D24943" s="8" t="inlineStr">
        <is>
          <t>Disneyland Park</t>
        </is>
      </c>
      <c r="E24943" s="8" t="inlineStr">
        <is>
          <t>Welcome to Starport: A Star Wars Encounter</t>
        </is>
      </c>
      <c r="F24943" s="8" t="inlineStr">
        <is>
          <t>STANDBY</t>
        </is>
      </c>
      <c r="G24943" s="8" t="n">
        <v>25</v>
      </c>
      <c r="H24943" s="8" t="inlineStr">
        <is>
          <t>OPERATING</t>
        </is>
      </c>
    </row>
    <row r="24944">
      <c r="A24944" s="8" t="inlineStr">
        <is>
          <t>2026-08-05</t>
        </is>
      </c>
      <c r="B24944" s="8" t="n">
        <v>14</v>
      </c>
      <c r="C24944" s="8" t="n">
        <v>1</v>
      </c>
      <c r="D24944" s="8" t="inlineStr">
        <is>
          <t>Disneyland Park</t>
        </is>
      </c>
      <c r="E24944" s="8" t="inlineStr">
        <is>
          <t>"it's a small world"</t>
        </is>
      </c>
      <c r="F24944" s="8" t="inlineStr">
        <is>
          <t>STANDBY</t>
        </is>
      </c>
      <c r="G24944" s="8" t="n">
        <v>15</v>
      </c>
      <c r="H24944" s="8" t="inlineStr">
        <is>
          <t>OPERATING</t>
        </is>
      </c>
    </row>
    <row r="24945">
      <c r="A24945" s="8" t="inlineStr">
        <is>
          <t>2026-08-05</t>
        </is>
      </c>
      <c r="B24945" s="8" t="n">
        <v>14</v>
      </c>
      <c r="C24945" s="8" t="n">
        <v>1</v>
      </c>
      <c r="D24945" s="8" t="inlineStr">
        <is>
          <t>Disneyland Park</t>
        </is>
      </c>
      <c r="E24945" s="8" t="inlineStr">
        <is>
          <t>Alice's Curious Labyrinth</t>
        </is>
      </c>
      <c r="F24945" s="8" t="inlineStr">
        <is>
          <t>STANDBY</t>
        </is>
      </c>
      <c r="G24945" s="8" t="n">
        <v>5</v>
      </c>
      <c r="H24945" s="8" t="inlineStr">
        <is>
          <t>OPERATING</t>
        </is>
      </c>
    </row>
    <row r="24946">
      <c r="A24946" s="8" t="inlineStr">
        <is>
          <t>2026-08-05</t>
        </is>
      </c>
      <c r="B24946" s="8" t="n">
        <v>14</v>
      </c>
      <c r="C24946" s="8" t="n">
        <v>1</v>
      </c>
      <c r="D24946" s="8" t="inlineStr">
        <is>
          <t>Disneyland Park</t>
        </is>
      </c>
      <c r="E24946" s="8" t="inlineStr">
        <is>
          <t>Blanche-Neige et les Sept Nains®</t>
        </is>
      </c>
      <c r="F24946" s="8" t="inlineStr">
        <is>
          <t>STANDBY</t>
        </is>
      </c>
      <c r="G24946" s="8" t="n">
        <v>15</v>
      </c>
      <c r="H24946" s="8" t="inlineStr">
        <is>
          <t>OPERATING</t>
        </is>
      </c>
    </row>
    <row r="24947">
      <c r="A24947" s="8" t="inlineStr">
        <is>
          <t>2026-08-05</t>
        </is>
      </c>
      <c r="B24947" s="8" t="n">
        <v>14</v>
      </c>
      <c r="C24947" s="8" t="n">
        <v>1</v>
      </c>
      <c r="D24947" s="8" t="inlineStr">
        <is>
          <t>Disneyland Park</t>
        </is>
      </c>
      <c r="E24947" s="8" t="inlineStr">
        <is>
          <t>Casey Jr. – le Petit Train du Cirque</t>
        </is>
      </c>
      <c r="F24947" s="8" t="inlineStr">
        <is>
          <t>STANDBY</t>
        </is>
      </c>
      <c r="G24947" s="8" t="n">
        <v>20</v>
      </c>
      <c r="H24947" s="8" t="inlineStr">
        <is>
          <t>OPERATING</t>
        </is>
      </c>
    </row>
    <row r="24948">
      <c r="A24948" s="8" t="inlineStr">
        <is>
          <t>2026-08-05</t>
        </is>
      </c>
      <c r="B24948" s="8" t="n">
        <v>14</v>
      </c>
      <c r="C24948" s="8" t="n">
        <v>1</v>
      </c>
      <c r="D24948" s="8" t="inlineStr">
        <is>
          <t>Disneyland Park</t>
        </is>
      </c>
      <c r="E24948" s="8" t="inlineStr">
        <is>
          <t>Disneyland Railroad Fantasyland Station</t>
        </is>
      </c>
      <c r="F24948" s="8" t="inlineStr">
        <is>
          <t>STANDBY</t>
        </is>
      </c>
      <c r="G24948" s="8" t="n">
        <v>0</v>
      </c>
      <c r="H24948" s="8" t="inlineStr">
        <is>
          <t>CLOSED</t>
        </is>
      </c>
    </row>
    <row r="24949">
      <c r="A24949" s="8" t="inlineStr">
        <is>
          <t>2026-08-05</t>
        </is>
      </c>
      <c r="B24949" s="8" t="n">
        <v>14</v>
      </c>
      <c r="C24949" s="8" t="n">
        <v>1</v>
      </c>
      <c r="D24949" s="8" t="inlineStr">
        <is>
          <t>Disneyland Park</t>
        </is>
      </c>
      <c r="E24949" s="8" t="inlineStr">
        <is>
          <t>Disneyland Railroad Main Street Station</t>
        </is>
      </c>
      <c r="F24949" s="8" t="inlineStr">
        <is>
          <t>STANDBY</t>
        </is>
      </c>
      <c r="G24949" s="8" t="n">
        <v>45</v>
      </c>
      <c r="H24949" s="8" t="inlineStr">
        <is>
          <t>OPERATING</t>
        </is>
      </c>
    </row>
    <row r="24950">
      <c r="A24950" s="8" t="inlineStr">
        <is>
          <t>2026-08-05</t>
        </is>
      </c>
      <c r="B24950" s="8" t="n">
        <v>14</v>
      </c>
      <c r="C24950" s="8" t="n">
        <v>1</v>
      </c>
      <c r="D24950" s="8" t="inlineStr">
        <is>
          <t>Disneyland Park</t>
        </is>
      </c>
      <c r="E24950" s="8" t="inlineStr">
        <is>
          <t>Dumbo the Flying Elephant</t>
        </is>
      </c>
      <c r="F24950" s="8" t="inlineStr">
        <is>
          <t>STANDBY</t>
        </is>
      </c>
      <c r="G24950" s="8" t="n">
        <v>55</v>
      </c>
      <c r="H24950" s="8" t="inlineStr">
        <is>
          <t>OPERATING</t>
        </is>
      </c>
    </row>
    <row r="24951">
      <c r="A24951" s="8" t="inlineStr">
        <is>
          <t>2026-08-05</t>
        </is>
      </c>
      <c r="B24951" s="8" t="n">
        <v>14</v>
      </c>
      <c r="C24951" s="8" t="n">
        <v>1</v>
      </c>
      <c r="D24951" s="8" t="inlineStr">
        <is>
          <t>Disneyland Park</t>
        </is>
      </c>
      <c r="E24951" s="8" t="inlineStr">
        <is>
          <t>La Tanière du Dragon</t>
        </is>
      </c>
      <c r="F24951" s="8" t="inlineStr">
        <is>
          <t>STANDBY</t>
        </is>
      </c>
      <c r="G24951" s="8" t="n">
        <v>0</v>
      </c>
      <c r="H24951" s="8" t="inlineStr">
        <is>
          <t>OPERATING</t>
        </is>
      </c>
    </row>
    <row r="24952">
      <c r="A24952" s="8" t="inlineStr">
        <is>
          <t>2026-08-05</t>
        </is>
      </c>
      <c r="B24952" s="8" t="n">
        <v>14</v>
      </c>
      <c r="C24952" s="8" t="n">
        <v>1</v>
      </c>
      <c r="D24952" s="8" t="inlineStr">
        <is>
          <t>Disneyland Park</t>
        </is>
      </c>
      <c r="E24952" s="8" t="inlineStr">
        <is>
          <t>Le Carrousel de Lancelot</t>
        </is>
      </c>
      <c r="F24952" s="8" t="inlineStr">
        <is>
          <t>STANDBY</t>
        </is>
      </c>
      <c r="G24952" s="8" t="n">
        <v>25</v>
      </c>
      <c r="H24952" s="8" t="inlineStr">
        <is>
          <t>OPERATING</t>
        </is>
      </c>
    </row>
    <row r="24953">
      <c r="A24953" s="8" t="inlineStr">
        <is>
          <t>2026-08-05</t>
        </is>
      </c>
      <c r="B24953" s="8" t="n">
        <v>14</v>
      </c>
      <c r="C24953" s="8" t="n">
        <v>1</v>
      </c>
      <c r="D24953" s="8" t="inlineStr">
        <is>
          <t>Disneyland Park</t>
        </is>
      </c>
      <c r="E24953" s="8" t="inlineStr">
        <is>
          <t>Le Pays des Contes de Fées, presented by Vittel</t>
        </is>
      </c>
      <c r="F24953" s="8" t="inlineStr">
        <is>
          <t>STANDBY</t>
        </is>
      </c>
      <c r="G24953" s="8" t="n">
        <v>10</v>
      </c>
      <c r="H24953" s="8" t="inlineStr">
        <is>
          <t>OPERATING</t>
        </is>
      </c>
    </row>
    <row r="24954">
      <c r="A24954" s="8" t="inlineStr">
        <is>
          <t>2026-08-05</t>
        </is>
      </c>
      <c r="B24954" s="8" t="n">
        <v>14</v>
      </c>
      <c r="C24954" s="8" t="n">
        <v>1</v>
      </c>
      <c r="D24954" s="8" t="inlineStr">
        <is>
          <t>Disneyland Park</t>
        </is>
      </c>
      <c r="E24954" s="8" t="inlineStr">
        <is>
          <t>Les Voyages de Pinocchio</t>
        </is>
      </c>
      <c r="F24954" s="8" t="inlineStr">
        <is>
          <t>STANDBY</t>
        </is>
      </c>
      <c r="G24954" s="8" t="n">
        <v>30</v>
      </c>
      <c r="H24954" s="8" t="inlineStr">
        <is>
          <t>OPERATING</t>
        </is>
      </c>
    </row>
    <row r="24955">
      <c r="A24955" s="8" t="inlineStr">
        <is>
          <t>2026-08-05</t>
        </is>
      </c>
      <c r="B24955" s="8" t="n">
        <v>14</v>
      </c>
      <c r="C24955" s="8" t="n">
        <v>1</v>
      </c>
      <c r="D24955" s="8" t="inlineStr">
        <is>
          <t>Disneyland Park</t>
        </is>
      </c>
      <c r="E24955" s="8" t="inlineStr">
        <is>
          <t>Mad Hatter's Tea Cups</t>
        </is>
      </c>
      <c r="F24955" s="8" t="inlineStr">
        <is>
          <t>STANDBY</t>
        </is>
      </c>
      <c r="G24955" s="8" t="n">
        <v>10</v>
      </c>
      <c r="H24955" s="8" t="inlineStr">
        <is>
          <t>OPERATING</t>
        </is>
      </c>
    </row>
    <row r="24956">
      <c r="A24956" s="8" t="inlineStr">
        <is>
          <t>2026-08-05</t>
        </is>
      </c>
      <c r="B24956" s="8" t="n">
        <v>14</v>
      </c>
      <c r="C24956" s="8" t="n">
        <v>1</v>
      </c>
      <c r="D24956" s="8" t="inlineStr">
        <is>
          <t>Disneyland Park</t>
        </is>
      </c>
      <c r="E24956" s="8" t="inlineStr">
        <is>
          <t>Meet Mickey Mouse</t>
        </is>
      </c>
      <c r="F24956" s="8" t="inlineStr">
        <is>
          <t>STANDBY</t>
        </is>
      </c>
      <c r="G24956" s="8" t="n">
        <v>0</v>
      </c>
      <c r="H24956" s="8" t="inlineStr">
        <is>
          <t>OPERATING</t>
        </is>
      </c>
    </row>
    <row r="24957">
      <c r="A24957" s="8" t="inlineStr">
        <is>
          <t>2026-08-05</t>
        </is>
      </c>
      <c r="B24957" s="8" t="n">
        <v>14</v>
      </c>
      <c r="C24957" s="8" t="n">
        <v>1</v>
      </c>
      <c r="D24957" s="8" t="inlineStr">
        <is>
          <t>Disneyland Park</t>
        </is>
      </c>
      <c r="E24957" s="8" t="inlineStr">
        <is>
          <t>Peter Pan's Flight</t>
        </is>
      </c>
      <c r="F24957" s="8" t="inlineStr">
        <is>
          <t>STANDBY</t>
        </is>
      </c>
      <c r="G24957" s="8" t="n">
        <v>55</v>
      </c>
      <c r="H24957" s="8" t="inlineStr">
        <is>
          <t>OPERATING</t>
        </is>
      </c>
    </row>
    <row r="24958">
      <c r="A24958" s="8" t="inlineStr">
        <is>
          <t>2026-08-05</t>
        </is>
      </c>
      <c r="B24958" s="8" t="n">
        <v>14</v>
      </c>
      <c r="C24958" s="8" t="n">
        <v>1</v>
      </c>
      <c r="D24958" s="8" t="inlineStr">
        <is>
          <t>Disneyland Park</t>
        </is>
      </c>
      <c r="E24958" s="8" t="inlineStr">
        <is>
          <t>Princess Pavilion</t>
        </is>
      </c>
      <c r="F24958" s="8" t="inlineStr">
        <is>
          <t>STANDBY</t>
        </is>
      </c>
      <c r="G24958" s="8" t="n">
        <v>0</v>
      </c>
      <c r="H24958" s="8" t="inlineStr">
        <is>
          <t>OPERATING</t>
        </is>
      </c>
    </row>
    <row r="24959">
      <c r="A24959" s="8" t="inlineStr">
        <is>
          <t>2026-08-05</t>
        </is>
      </c>
      <c r="B24959" s="8" t="n">
        <v>14</v>
      </c>
      <c r="C24959" s="8" t="n">
        <v>1</v>
      </c>
      <c r="D24959" s="8" t="inlineStr">
        <is>
          <t>Disneyland Park</t>
        </is>
      </c>
      <c r="E24959" s="8" t="inlineStr">
        <is>
          <t>Big Thunder Mountain</t>
        </is>
      </c>
      <c r="F24959" s="8" t="inlineStr">
        <is>
          <t>STANDBY</t>
        </is>
      </c>
      <c r="G24959" s="8" t="n">
        <v>70</v>
      </c>
      <c r="H24959" s="8" t="inlineStr">
        <is>
          <t>OPERATING</t>
        </is>
      </c>
    </row>
    <row r="24960">
      <c r="A24960" s="8" t="inlineStr">
        <is>
          <t>2026-08-05</t>
        </is>
      </c>
      <c r="B24960" s="8" t="n">
        <v>14</v>
      </c>
      <c r="C24960" s="8" t="n">
        <v>1</v>
      </c>
      <c r="D24960" s="8" t="inlineStr">
        <is>
          <t>Disneyland Park</t>
        </is>
      </c>
      <c r="E24960" s="8" t="inlineStr">
        <is>
          <t>Disneyland Railroad Frontierland Depot</t>
        </is>
      </c>
      <c r="F24960" s="8" t="inlineStr">
        <is>
          <t>STANDBY</t>
        </is>
      </c>
      <c r="G24960" s="8" t="n">
        <v>40</v>
      </c>
      <c r="H24960" s="8" t="inlineStr">
        <is>
          <t>OPERATING</t>
        </is>
      </c>
    </row>
    <row r="24961">
      <c r="A24961" s="8" t="inlineStr">
        <is>
          <t>2026-08-05</t>
        </is>
      </c>
      <c r="B24961" s="8" t="n">
        <v>14</v>
      </c>
      <c r="C24961" s="8" t="n">
        <v>1</v>
      </c>
      <c r="D24961" s="8" t="inlineStr">
        <is>
          <t>Disneyland Park</t>
        </is>
      </c>
      <c r="E24961" s="8" t="inlineStr">
        <is>
          <t>Frontierland Playground</t>
        </is>
      </c>
      <c r="F24961" s="8" t="inlineStr">
        <is>
          <t>STANDBY</t>
        </is>
      </c>
      <c r="G24961" s="8" t="n">
        <v>0</v>
      </c>
      <c r="H24961" s="8" t="inlineStr">
        <is>
          <t>OPERATING</t>
        </is>
      </c>
    </row>
    <row r="24962">
      <c r="A24962" s="8" t="inlineStr">
        <is>
          <t>2026-08-05</t>
        </is>
      </c>
      <c r="B24962" s="8" t="n">
        <v>14</v>
      </c>
      <c r="C24962" s="8" t="n">
        <v>1</v>
      </c>
      <c r="D24962" s="8" t="inlineStr">
        <is>
          <t>Disneyland Park</t>
        </is>
      </c>
      <c r="E24962" s="8" t="inlineStr">
        <is>
          <t>Phantom Manor</t>
        </is>
      </c>
      <c r="F24962" s="8" t="inlineStr">
        <is>
          <t>STANDBY</t>
        </is>
      </c>
      <c r="G24962" s="8" t="n">
        <v>25</v>
      </c>
      <c r="H24962" s="8" t="inlineStr">
        <is>
          <t>OPERATING</t>
        </is>
      </c>
    </row>
    <row r="24963">
      <c r="A24963" s="8" t="inlineStr">
        <is>
          <t>2026-08-05</t>
        </is>
      </c>
      <c r="B24963" s="8" t="n">
        <v>14</v>
      </c>
      <c r="C24963" s="8" t="n">
        <v>1</v>
      </c>
      <c r="D24963" s="8" t="inlineStr">
        <is>
          <t>Disneyland Park</t>
        </is>
      </c>
      <c r="E24963" s="8" t="inlineStr">
        <is>
          <t>River Rogue Keelboats</t>
        </is>
      </c>
      <c r="F24963" s="8" t="inlineStr">
        <is>
          <t>STANDBY</t>
        </is>
      </c>
      <c r="G24963" s="8" t="n">
        <v>0</v>
      </c>
      <c r="H24963" s="8" t="inlineStr">
        <is>
          <t>CLOSED</t>
        </is>
      </c>
    </row>
    <row r="24964">
      <c r="A24964" s="8" t="inlineStr">
        <is>
          <t>2026-08-05</t>
        </is>
      </c>
      <c r="B24964" s="8" t="n">
        <v>14</v>
      </c>
      <c r="C24964" s="8" t="n">
        <v>1</v>
      </c>
      <c r="D24964" s="8" t="inlineStr">
        <is>
          <t>Disneyland Park</t>
        </is>
      </c>
      <c r="E24964" s="8" t="inlineStr">
        <is>
          <t>Rustler Roundup Shootin' Gallery</t>
        </is>
      </c>
      <c r="F24964" s="8" t="inlineStr">
        <is>
          <t>STANDBY</t>
        </is>
      </c>
      <c r="G24964" s="8" t="n">
        <v>0</v>
      </c>
      <c r="H24964" s="8" t="inlineStr">
        <is>
          <t>OPERATING</t>
        </is>
      </c>
    </row>
    <row r="24965">
      <c r="A24965" s="8" t="inlineStr">
        <is>
          <t>2026-08-05</t>
        </is>
      </c>
      <c r="B24965" s="8" t="n">
        <v>14</v>
      </c>
      <c r="C24965" s="8" t="n">
        <v>1</v>
      </c>
      <c r="D24965" s="8" t="inlineStr">
        <is>
          <t>Disneyland Park</t>
        </is>
      </c>
      <c r="E24965" s="8" t="inlineStr">
        <is>
          <t>Thunder Mesa Riverboat Landing</t>
        </is>
      </c>
      <c r="F24965" s="8" t="inlineStr">
        <is>
          <t>STANDBY</t>
        </is>
      </c>
      <c r="G24965" s="8" t="n">
        <v>20</v>
      </c>
      <c r="H24965" s="8" t="inlineStr">
        <is>
          <t>OPERATING</t>
        </is>
      </c>
    </row>
    <row r="24966">
      <c r="A24966" s="8" t="inlineStr">
        <is>
          <t>2026-08-05</t>
        </is>
      </c>
      <c r="B24966" s="8" t="n">
        <v>14</v>
      </c>
      <c r="C24966" s="8" t="n">
        <v>1</v>
      </c>
      <c r="D24966" s="8" t="inlineStr">
        <is>
          <t>Disneyland Park</t>
        </is>
      </c>
      <c r="E24966" s="8" t="inlineStr">
        <is>
          <t>Disneyland Railroad Main Street Station</t>
        </is>
      </c>
      <c r="F24966" s="8" t="inlineStr">
        <is>
          <t>STANDBY</t>
        </is>
      </c>
      <c r="G24966" s="8" t="n">
        <v>0</v>
      </c>
      <c r="H24966" s="8" t="inlineStr">
        <is>
          <t>OPERATING</t>
        </is>
      </c>
    </row>
    <row r="24967">
      <c r="A24967" s="8" t="inlineStr">
        <is>
          <t>2026-08-05</t>
        </is>
      </c>
      <c r="B24967" s="8" t="n">
        <v>14</v>
      </c>
      <c r="C24967" s="8" t="n">
        <v>1</v>
      </c>
      <c r="D24967" s="8" t="inlineStr">
        <is>
          <t>Disneyland Park</t>
        </is>
      </c>
      <c r="E24967" s="8" t="inlineStr">
        <is>
          <t>Main Street Vehicles</t>
        </is>
      </c>
      <c r="F24967" s="8" t="inlineStr">
        <is>
          <t>STANDBY</t>
        </is>
      </c>
      <c r="G24967" s="8" t="n">
        <v>0</v>
      </c>
      <c r="H24967" s="8" t="inlineStr">
        <is>
          <t>CLOSED</t>
        </is>
      </c>
    </row>
    <row r="24968">
      <c r="A24968" s="8" t="inlineStr">
        <is>
          <t>2026-08-05</t>
        </is>
      </c>
      <c r="B24968" s="8" t="n">
        <v>14</v>
      </c>
      <c r="C24968" s="8" t="n">
        <v>1</v>
      </c>
      <c r="D24968" s="8" t="inlineStr">
        <is>
          <t>Disney Adventure World</t>
        </is>
      </c>
      <c r="E24968" s="8" t="inlineStr">
        <is>
          <t>Avengers Assemble: Flight Force</t>
        </is>
      </c>
      <c r="F24968" s="8" t="inlineStr">
        <is>
          <t>STANDBY</t>
        </is>
      </c>
      <c r="G24968" s="8" t="n">
        <v>25</v>
      </c>
      <c r="H24968" s="8" t="inlineStr">
        <is>
          <t>OPERATING</t>
        </is>
      </c>
    </row>
    <row r="24969">
      <c r="A24969" s="8" t="inlineStr">
        <is>
          <t>2026-08-05</t>
        </is>
      </c>
      <c r="B24969" s="8" t="n">
        <v>14</v>
      </c>
      <c r="C24969" s="8" t="n">
        <v>1</v>
      </c>
      <c r="D24969" s="8" t="inlineStr">
        <is>
          <t>Disney Adventure World</t>
        </is>
      </c>
      <c r="E24969" s="8" t="inlineStr">
        <is>
          <t>Avengers Assemble: Flight Force Single Rider</t>
        </is>
      </c>
      <c r="F24969" s="8" t="inlineStr">
        <is>
          <t>STANDBY</t>
        </is>
      </c>
      <c r="G24969" s="8" t="n">
        <v>20</v>
      </c>
      <c r="H24969" s="8" t="inlineStr">
        <is>
          <t>OPERATING</t>
        </is>
      </c>
    </row>
    <row r="24970">
      <c r="A24970" s="8" t="inlineStr">
        <is>
          <t>2026-08-05</t>
        </is>
      </c>
      <c r="B24970" s="8" t="n">
        <v>14</v>
      </c>
      <c r="C24970" s="8" t="n">
        <v>1</v>
      </c>
      <c r="D24970" s="8" t="inlineStr">
        <is>
          <t>Disney Adventure World</t>
        </is>
      </c>
      <c r="E24970" s="8" t="inlineStr">
        <is>
          <t>Spider-Man W.E.B. Adventure</t>
        </is>
      </c>
      <c r="F24970" s="8" t="inlineStr">
        <is>
          <t>STANDBY</t>
        </is>
      </c>
      <c r="G24970" s="8" t="n">
        <v>60</v>
      </c>
      <c r="H24970" s="8" t="inlineStr">
        <is>
          <t>OPERATING</t>
        </is>
      </c>
    </row>
    <row r="24971">
      <c r="A24971" s="8" t="inlineStr">
        <is>
          <t>2026-08-05</t>
        </is>
      </c>
      <c r="B24971" s="8" t="n">
        <v>14</v>
      </c>
      <c r="C24971" s="8" t="n">
        <v>1</v>
      </c>
      <c r="D24971" s="8" t="inlineStr">
        <is>
          <t>Disney Adventure World</t>
        </is>
      </c>
      <c r="E24971" s="8" t="inlineStr">
        <is>
          <t>Spider-Man W.E.B. Adventure Single Rider</t>
        </is>
      </c>
      <c r="F24971" s="8" t="inlineStr">
        <is>
          <t>STANDBY</t>
        </is>
      </c>
      <c r="G24971" s="8" t="n">
        <v>25</v>
      </c>
      <c r="H24971" s="8" t="inlineStr">
        <is>
          <t>OPERATING</t>
        </is>
      </c>
    </row>
    <row r="24972">
      <c r="A24972" s="8" t="inlineStr">
        <is>
          <t>2026-08-05</t>
        </is>
      </c>
      <c r="B24972" s="8" t="n">
        <v>14</v>
      </c>
      <c r="C24972" s="8" t="n">
        <v>1</v>
      </c>
      <c r="D24972" s="8" t="inlineStr">
        <is>
          <t>Disney Adventure World</t>
        </is>
      </c>
      <c r="E24972" s="8" t="inlineStr">
        <is>
          <t>The Twilight Zone Tower of Terror</t>
        </is>
      </c>
      <c r="F24972" s="8" t="inlineStr">
        <is>
          <t>STANDBY</t>
        </is>
      </c>
      <c r="G24972" s="8" t="n">
        <v>20</v>
      </c>
      <c r="H24972" s="8" t="inlineStr">
        <is>
          <t>OPERATING</t>
        </is>
      </c>
    </row>
    <row r="24973">
      <c r="A24973" s="8" t="inlineStr">
        <is>
          <t>2026-08-05</t>
        </is>
      </c>
      <c r="B24973" s="8" t="n">
        <v>14</v>
      </c>
      <c r="C24973" s="8" t="n">
        <v>1</v>
      </c>
      <c r="D24973" s="8" t="inlineStr">
        <is>
          <t>Disney Adventure World</t>
        </is>
      </c>
      <c r="E24973" s="8" t="inlineStr">
        <is>
          <t>Cars Quatre Roues Rallye</t>
        </is>
      </c>
      <c r="F24973" s="8" t="inlineStr">
        <is>
          <t>STANDBY</t>
        </is>
      </c>
      <c r="G24973" s="8" t="n">
        <v>15</v>
      </c>
      <c r="H24973" s="8" t="inlineStr">
        <is>
          <t>OPERATING</t>
        </is>
      </c>
    </row>
    <row r="24974">
      <c r="A24974" s="8" t="inlineStr">
        <is>
          <t>2026-08-05</t>
        </is>
      </c>
      <c r="B24974" s="8" t="n">
        <v>14</v>
      </c>
      <c r="C24974" s="8" t="n">
        <v>1</v>
      </c>
      <c r="D24974" s="8" t="inlineStr">
        <is>
          <t>Disney Adventure World</t>
        </is>
      </c>
      <c r="E24974" s="8" t="inlineStr">
        <is>
          <t>Cars ROAD TRIP</t>
        </is>
      </c>
      <c r="F24974" s="8" t="inlineStr">
        <is>
          <t>STANDBY</t>
        </is>
      </c>
      <c r="G24974" s="8" t="n">
        <v>5</v>
      </c>
      <c r="H24974" s="8" t="inlineStr">
        <is>
          <t>OPERATING</t>
        </is>
      </c>
    </row>
    <row r="24975">
      <c r="A24975" s="8" t="inlineStr">
        <is>
          <t>2026-08-05</t>
        </is>
      </c>
      <c r="B24975" s="8" t="n">
        <v>14</v>
      </c>
      <c r="C24975" s="8" t="n">
        <v>1</v>
      </c>
      <c r="D24975" s="8" t="inlineStr">
        <is>
          <t>Disney Adventure World</t>
        </is>
      </c>
      <c r="E24975" s="8" t="inlineStr">
        <is>
          <t>Crush's Coaster</t>
        </is>
      </c>
      <c r="F24975" s="8" t="inlineStr">
        <is>
          <t>STANDBY</t>
        </is>
      </c>
      <c r="G24975" s="8" t="n">
        <v>75</v>
      </c>
      <c r="H24975" s="8" t="inlineStr">
        <is>
          <t>OPERATING</t>
        </is>
      </c>
    </row>
    <row r="24976">
      <c r="A24976" s="8" t="inlineStr">
        <is>
          <t>2026-08-05</t>
        </is>
      </c>
      <c r="B24976" s="8" t="n">
        <v>14</v>
      </c>
      <c r="C24976" s="8" t="n">
        <v>1</v>
      </c>
      <c r="D24976" s="8" t="inlineStr">
        <is>
          <t>Disney Adventure World</t>
        </is>
      </c>
      <c r="E24976" s="8" t="inlineStr">
        <is>
          <t>Crush's Coaster Single Rider</t>
        </is>
      </c>
      <c r="F24976" s="8" t="inlineStr">
        <is>
          <t>STANDBY</t>
        </is>
      </c>
      <c r="G24976" s="8" t="n">
        <v>65</v>
      </c>
      <c r="H24976" s="8" t="inlineStr">
        <is>
          <t>OPERATING</t>
        </is>
      </c>
    </row>
    <row r="24977">
      <c r="A24977" s="8" t="inlineStr">
        <is>
          <t>2026-08-05</t>
        </is>
      </c>
      <c r="B24977" s="8" t="n">
        <v>14</v>
      </c>
      <c r="C24977" s="8" t="n">
        <v>1</v>
      </c>
      <c r="D24977" s="8" t="inlineStr">
        <is>
          <t>Disney Adventure World</t>
        </is>
      </c>
      <c r="E24977" s="8" t="inlineStr">
        <is>
          <t>Les Tapis Volants - Flying Carpets Over Agrabah®</t>
        </is>
      </c>
      <c r="F24977" s="8" t="inlineStr">
        <is>
          <t>STANDBY</t>
        </is>
      </c>
      <c r="G24977" s="8" t="n">
        <v>20</v>
      </c>
      <c r="H24977" s="8" t="inlineStr">
        <is>
          <t>OPERATING</t>
        </is>
      </c>
    </row>
    <row r="24978">
      <c r="A24978" s="8" t="inlineStr">
        <is>
          <t>2026-08-05</t>
        </is>
      </c>
      <c r="B24978" s="8" t="n">
        <v>14</v>
      </c>
      <c r="C24978" s="8" t="n">
        <v>1</v>
      </c>
      <c r="D24978" s="8" t="inlineStr">
        <is>
          <t>Disney Adventure World</t>
        </is>
      </c>
      <c r="E24978" s="8" t="inlineStr">
        <is>
          <t>Ratatouille : L’Aventure Totalement Toquée de Rémy​</t>
        </is>
      </c>
      <c r="F24978" s="8" t="inlineStr">
        <is>
          <t>STANDBY</t>
        </is>
      </c>
      <c r="G24978" s="8" t="n">
        <v>70</v>
      </c>
      <c r="H24978" s="8" t="inlineStr">
        <is>
          <t>OPERATING</t>
        </is>
      </c>
    </row>
    <row r="24979">
      <c r="A24979" s="8" t="inlineStr">
        <is>
          <t>2026-08-05</t>
        </is>
      </c>
      <c r="B24979" s="8" t="n">
        <v>14</v>
      </c>
      <c r="C24979" s="8" t="n">
        <v>1</v>
      </c>
      <c r="D24979" s="8" t="inlineStr">
        <is>
          <t>Disney Adventure World</t>
        </is>
      </c>
      <c r="E24979" s="8" t="inlineStr">
        <is>
          <t>Ratatouille: The Adventure Single Rider</t>
        </is>
      </c>
      <c r="F24979" s="8" t="inlineStr">
        <is>
          <t>STANDBY</t>
        </is>
      </c>
      <c r="G24979" s="8" t="n">
        <v>15</v>
      </c>
      <c r="H24979" s="8" t="inlineStr">
        <is>
          <t>OPERATING</t>
        </is>
      </c>
    </row>
    <row r="24980">
      <c r="A24980" s="8" t="inlineStr">
        <is>
          <t>2026-08-05</t>
        </is>
      </c>
      <c r="B24980" s="8" t="n">
        <v>14</v>
      </c>
      <c r="C24980" s="8" t="n">
        <v>1</v>
      </c>
      <c r="D24980" s="8" t="inlineStr">
        <is>
          <t>Disney Adventure World</t>
        </is>
      </c>
      <c r="E24980" s="8" t="inlineStr">
        <is>
          <t>RC Racer</t>
        </is>
      </c>
      <c r="F24980" s="8" t="inlineStr">
        <is>
          <t>STANDBY</t>
        </is>
      </c>
      <c r="G24980" s="8" t="n">
        <v>50</v>
      </c>
      <c r="H24980" s="8" t="inlineStr">
        <is>
          <t>OPERATING</t>
        </is>
      </c>
    </row>
    <row r="24981">
      <c r="A24981" s="8" t="inlineStr">
        <is>
          <t>2026-08-05</t>
        </is>
      </c>
      <c r="B24981" s="8" t="n">
        <v>14</v>
      </c>
      <c r="C24981" s="8" t="n">
        <v>1</v>
      </c>
      <c r="D24981" s="8" t="inlineStr">
        <is>
          <t>Disney Adventure World</t>
        </is>
      </c>
      <c r="E24981" s="8" t="inlineStr">
        <is>
          <t>RC Racer Single Rider</t>
        </is>
      </c>
      <c r="F24981" s="8" t="inlineStr">
        <is>
          <t>STANDBY</t>
        </is>
      </c>
      <c r="G24981" s="8" t="n">
        <v>30</v>
      </c>
      <c r="H24981" s="8" t="inlineStr">
        <is>
          <t>OPERATING</t>
        </is>
      </c>
    </row>
    <row r="24982">
      <c r="A24982" s="8" t="inlineStr">
        <is>
          <t>2026-08-05</t>
        </is>
      </c>
      <c r="B24982" s="8" t="n">
        <v>14</v>
      </c>
      <c r="C24982" s="8" t="n">
        <v>1</v>
      </c>
      <c r="D24982" s="8" t="inlineStr">
        <is>
          <t>Disney Adventure World</t>
        </is>
      </c>
      <c r="E24982" s="8" t="inlineStr">
        <is>
          <t>Slinky® Dog Zigzag Spin</t>
        </is>
      </c>
      <c r="F24982" s="8" t="inlineStr">
        <is>
          <t>STANDBY</t>
        </is>
      </c>
      <c r="G24982" s="8" t="n">
        <v>20</v>
      </c>
      <c r="H24982" s="8" t="inlineStr">
        <is>
          <t>OPERATING</t>
        </is>
      </c>
    </row>
    <row r="24983">
      <c r="A24983" s="8" t="inlineStr">
        <is>
          <t>2026-08-05</t>
        </is>
      </c>
      <c r="B24983" s="8" t="n">
        <v>14</v>
      </c>
      <c r="C24983" s="8" t="n">
        <v>1</v>
      </c>
      <c r="D24983" s="8" t="inlineStr">
        <is>
          <t>Disney Adventure World</t>
        </is>
      </c>
      <c r="E24983" s="8" t="inlineStr">
        <is>
          <t>Toy Soldiers Parachute Drop</t>
        </is>
      </c>
      <c r="F24983" s="8" t="inlineStr">
        <is>
          <t>STANDBY</t>
        </is>
      </c>
      <c r="G24983" s="8" t="n">
        <v>55</v>
      </c>
      <c r="H24983" s="8" t="inlineStr">
        <is>
          <t>OPERATING</t>
        </is>
      </c>
    </row>
    <row r="24984">
      <c r="A24984" s="8" t="inlineStr">
        <is>
          <t>2026-08-05</t>
        </is>
      </c>
      <c r="B24984" s="8" t="n">
        <v>14</v>
      </c>
      <c r="C24984" s="8" t="n">
        <v>1</v>
      </c>
      <c r="D24984" s="8" t="inlineStr">
        <is>
          <t>Disney Adventure World</t>
        </is>
      </c>
      <c r="E24984" s="8" t="inlineStr">
        <is>
          <t>Toy Soldiers Parachute Drop Single Rider</t>
        </is>
      </c>
      <c r="F24984" s="8" t="inlineStr">
        <is>
          <t>STANDBY</t>
        </is>
      </c>
      <c r="G24984" s="8" t="n">
        <v>15</v>
      </c>
      <c r="H24984" s="8" t="inlineStr">
        <is>
          <t>OPERATING</t>
        </is>
      </c>
    </row>
    <row r="24985">
      <c r="A24985" s="8" t="inlineStr">
        <is>
          <t>2026-08-05</t>
        </is>
      </c>
      <c r="B24985" s="8" t="n">
        <v>14</v>
      </c>
      <c r="C24985" s="8" t="n">
        <v>1</v>
      </c>
      <c r="D24985" s="8" t="inlineStr">
        <is>
          <t>Disney Adventure World</t>
        </is>
      </c>
      <c r="E24985" s="8" t="inlineStr">
        <is>
          <t>Entry to World of Frozen</t>
        </is>
      </c>
      <c r="F24985" s="8" t="inlineStr">
        <is>
          <t>STANDBY</t>
        </is>
      </c>
      <c r="G24985" s="8" t="n">
        <v>0</v>
      </c>
      <c r="H24985" s="8" t="inlineStr">
        <is>
          <t>OPERATING</t>
        </is>
      </c>
    </row>
    <row r="24986">
      <c r="A24986" s="8" t="inlineStr">
        <is>
          <t>2026-08-05</t>
        </is>
      </c>
      <c r="B24986" s="8" t="n">
        <v>14</v>
      </c>
      <c r="C24986" s="8" t="n">
        <v>1</v>
      </c>
      <c r="D24986" s="8" t="inlineStr">
        <is>
          <t>Disney Adventure World</t>
        </is>
      </c>
      <c r="E24986" s="8" t="inlineStr">
        <is>
          <t>Frozen Ever After</t>
        </is>
      </c>
      <c r="F24986" s="8" t="inlineStr">
        <is>
          <t>STANDBY</t>
        </is>
      </c>
      <c r="G24986" s="8" t="n">
        <v>70</v>
      </c>
      <c r="H24986" s="8" t="inlineStr">
        <is>
          <t>OPERATING</t>
        </is>
      </c>
    </row>
    <row r="24987">
      <c r="A24987" s="8" t="inlineStr">
        <is>
          <t>2026-08-05</t>
        </is>
      </c>
      <c r="B24987" s="8" t="n">
        <v>14</v>
      </c>
      <c r="C24987" s="8" t="n">
        <v>1</v>
      </c>
      <c r="D24987" s="8" t="inlineStr">
        <is>
          <t>Disney Adventure World</t>
        </is>
      </c>
      <c r="E24987" s="8" t="inlineStr">
        <is>
          <t>Raiponce Tangled Spin</t>
        </is>
      </c>
      <c r="F24987" s="8" t="inlineStr">
        <is>
          <t>STANDBY</t>
        </is>
      </c>
      <c r="G24987" s="8" t="n">
        <v>15</v>
      </c>
      <c r="H24987" s="8" t="inlineStr">
        <is>
          <t>OPERATING</t>
        </is>
      </c>
    </row>
    <row r="24988">
      <c r="A24988" s="8" t="inlineStr">
        <is>
          <t>2026-08-05</t>
        </is>
      </c>
      <c r="B24988" s="8" t="n">
        <v>14</v>
      </c>
      <c r="C24988" s="8" t="n">
        <v>15</v>
      </c>
      <c r="D24988" s="8" t="inlineStr">
        <is>
          <t>Disneyland Park</t>
        </is>
      </c>
      <c r="E24988" s="8" t="inlineStr">
        <is>
          <t>Adventure Isle</t>
        </is>
      </c>
      <c r="F24988" s="8" t="inlineStr">
        <is>
          <t>STANDBY</t>
        </is>
      </c>
      <c r="G24988" s="8" t="n">
        <v>0</v>
      </c>
      <c r="H24988" s="8" t="inlineStr">
        <is>
          <t>OPERATING</t>
        </is>
      </c>
    </row>
    <row r="24989">
      <c r="A24989" s="8" t="inlineStr">
        <is>
          <t>2026-08-05</t>
        </is>
      </c>
      <c r="B24989" s="8" t="n">
        <v>14</v>
      </c>
      <c r="C24989" s="8" t="n">
        <v>15</v>
      </c>
      <c r="D24989" s="8" t="inlineStr">
        <is>
          <t>Disneyland Park</t>
        </is>
      </c>
      <c r="E24989" s="8" t="inlineStr">
        <is>
          <t>Indiana Jones and the Temple of Peril Single Rider</t>
        </is>
      </c>
      <c r="F24989" s="8" t="inlineStr">
        <is>
          <t>STANDBY</t>
        </is>
      </c>
      <c r="G24989" s="8" t="n">
        <v>15</v>
      </c>
      <c r="H24989" s="8" t="inlineStr">
        <is>
          <t>OPERATING</t>
        </is>
      </c>
    </row>
    <row r="24990">
      <c r="A24990" s="8" t="inlineStr">
        <is>
          <t>2026-08-05</t>
        </is>
      </c>
      <c r="B24990" s="8" t="n">
        <v>14</v>
      </c>
      <c r="C24990" s="8" t="n">
        <v>15</v>
      </c>
      <c r="D24990" s="8" t="inlineStr">
        <is>
          <t>Disneyland Park</t>
        </is>
      </c>
      <c r="E24990" s="8" t="inlineStr">
        <is>
          <t>Indiana Jones™ and the Temple of Peril</t>
        </is>
      </c>
      <c r="F24990" s="8" t="inlineStr">
        <is>
          <t>STANDBY</t>
        </is>
      </c>
      <c r="G24990" s="8" t="n">
        <v>30</v>
      </c>
      <c r="H24990" s="8" t="inlineStr">
        <is>
          <t>OPERATING</t>
        </is>
      </c>
    </row>
    <row r="24991">
      <c r="A24991" s="8" t="inlineStr">
        <is>
          <t>2026-08-05</t>
        </is>
      </c>
      <c r="B24991" s="8" t="n">
        <v>14</v>
      </c>
      <c r="C24991" s="8" t="n">
        <v>15</v>
      </c>
      <c r="D24991" s="8" t="inlineStr">
        <is>
          <t>Disneyland Park</t>
        </is>
      </c>
      <c r="E24991" s="8" t="inlineStr">
        <is>
          <t>La Cabane des Robinson</t>
        </is>
      </c>
      <c r="F24991" s="8" t="inlineStr">
        <is>
          <t>STANDBY</t>
        </is>
      </c>
      <c r="G24991" s="8" t="n">
        <v>10</v>
      </c>
      <c r="H24991" s="8" t="inlineStr">
        <is>
          <t>OPERATING</t>
        </is>
      </c>
    </row>
    <row r="24992">
      <c r="A24992" s="8" t="inlineStr">
        <is>
          <t>2026-08-05</t>
        </is>
      </c>
      <c r="B24992" s="8" t="n">
        <v>14</v>
      </c>
      <c r="C24992" s="8" t="n">
        <v>15</v>
      </c>
      <c r="D24992" s="8" t="inlineStr">
        <is>
          <t>Disneyland Park</t>
        </is>
      </c>
      <c r="E24992" s="8" t="inlineStr">
        <is>
          <t>Le Passage Enchanté d'Aladdin</t>
        </is>
      </c>
      <c r="F24992" s="8" t="inlineStr">
        <is>
          <t>STANDBY</t>
        </is>
      </c>
      <c r="G24992" s="8" t="n">
        <v>0</v>
      </c>
      <c r="H24992" s="8" t="inlineStr">
        <is>
          <t>OPERATING</t>
        </is>
      </c>
    </row>
    <row r="24993">
      <c r="A24993" s="8" t="inlineStr">
        <is>
          <t>2026-08-05</t>
        </is>
      </c>
      <c r="B24993" s="8" t="n">
        <v>14</v>
      </c>
      <c r="C24993" s="8" t="n">
        <v>15</v>
      </c>
      <c r="D24993" s="8" t="inlineStr">
        <is>
          <t>Disneyland Park</t>
        </is>
      </c>
      <c r="E24993" s="8" t="inlineStr">
        <is>
          <t>Pirate Galleon</t>
        </is>
      </c>
      <c r="F24993" s="8" t="inlineStr">
        <is>
          <t>STANDBY</t>
        </is>
      </c>
      <c r="G24993" s="8" t="n">
        <v>0</v>
      </c>
      <c r="H24993" s="8" t="inlineStr">
        <is>
          <t>CLOSED</t>
        </is>
      </c>
    </row>
    <row r="24994">
      <c r="A24994" s="8" t="inlineStr">
        <is>
          <t>2026-08-05</t>
        </is>
      </c>
      <c r="B24994" s="8" t="n">
        <v>14</v>
      </c>
      <c r="C24994" s="8" t="n">
        <v>15</v>
      </c>
      <c r="D24994" s="8" t="inlineStr">
        <is>
          <t>Disneyland Park</t>
        </is>
      </c>
      <c r="E24994" s="8" t="inlineStr">
        <is>
          <t>Pirates of the Caribbean</t>
        </is>
      </c>
      <c r="F24994" s="8" t="inlineStr">
        <is>
          <t>STANDBY</t>
        </is>
      </c>
      <c r="G24994" s="8" t="n">
        <v>35</v>
      </c>
      <c r="H24994" s="8" t="inlineStr">
        <is>
          <t>OPERATING</t>
        </is>
      </c>
    </row>
    <row r="24995">
      <c r="A24995" s="8" t="inlineStr">
        <is>
          <t>2026-08-05</t>
        </is>
      </c>
      <c r="B24995" s="8" t="n">
        <v>14</v>
      </c>
      <c r="C24995" s="8" t="n">
        <v>15</v>
      </c>
      <c r="D24995" s="8" t="inlineStr">
        <is>
          <t>Disneyland Park</t>
        </is>
      </c>
      <c r="E24995" s="8" t="inlineStr">
        <is>
          <t>Pirates' Beach</t>
        </is>
      </c>
      <c r="F24995" s="8" t="inlineStr">
        <is>
          <t>STANDBY</t>
        </is>
      </c>
      <c r="G24995" s="8" t="n">
        <v>0</v>
      </c>
      <c r="H24995" s="8" t="inlineStr">
        <is>
          <t>OPERATING</t>
        </is>
      </c>
    </row>
    <row r="24996">
      <c r="A24996" s="8" t="inlineStr">
        <is>
          <t>2026-08-05</t>
        </is>
      </c>
      <c r="B24996" s="8" t="n">
        <v>14</v>
      </c>
      <c r="C24996" s="8" t="n">
        <v>15</v>
      </c>
      <c r="D24996" s="8" t="inlineStr">
        <is>
          <t>Disneyland Park</t>
        </is>
      </c>
      <c r="E24996" s="8" t="inlineStr">
        <is>
          <t>Autopia, presented by Avis</t>
        </is>
      </c>
      <c r="F24996" s="8" t="inlineStr">
        <is>
          <t>STANDBY</t>
        </is>
      </c>
      <c r="G24996" s="8" t="n">
        <v>40</v>
      </c>
      <c r="H24996" s="8" t="inlineStr">
        <is>
          <t>OPERATING</t>
        </is>
      </c>
    </row>
    <row r="24997">
      <c r="A24997" s="8" t="inlineStr">
        <is>
          <t>2026-08-05</t>
        </is>
      </c>
      <c r="B24997" s="8" t="n">
        <v>14</v>
      </c>
      <c r="C24997" s="8" t="n">
        <v>15</v>
      </c>
      <c r="D24997" s="8" t="inlineStr">
        <is>
          <t>Disneyland Park</t>
        </is>
      </c>
      <c r="E24997" s="8" t="inlineStr">
        <is>
          <t>Buzz Lightyear Laser Blast</t>
        </is>
      </c>
      <c r="F24997" s="8" t="inlineStr">
        <is>
          <t>STANDBY</t>
        </is>
      </c>
      <c r="G24997" s="8" t="n">
        <v>45</v>
      </c>
      <c r="H24997" s="8" t="inlineStr">
        <is>
          <t>OPERATING</t>
        </is>
      </c>
    </row>
    <row r="24998">
      <c r="A24998" s="8" t="inlineStr">
        <is>
          <t>2026-08-05</t>
        </is>
      </c>
      <c r="B24998" s="8" t="n">
        <v>14</v>
      </c>
      <c r="C24998" s="8" t="n">
        <v>15</v>
      </c>
      <c r="D24998" s="8" t="inlineStr">
        <is>
          <t>Disneyland Park</t>
        </is>
      </c>
      <c r="E24998" s="8" t="inlineStr">
        <is>
          <t>Disneyland Railroad Discoveryland Station</t>
        </is>
      </c>
      <c r="F24998" s="8" t="inlineStr">
        <is>
          <t>STANDBY</t>
        </is>
      </c>
      <c r="G24998" s="8" t="n">
        <v>0</v>
      </c>
      <c r="H24998" s="8" t="inlineStr">
        <is>
          <t>CLOSED</t>
        </is>
      </c>
    </row>
    <row r="24999">
      <c r="A24999" s="8" t="inlineStr">
        <is>
          <t>2026-08-05</t>
        </is>
      </c>
      <c r="B24999" s="8" t="n">
        <v>14</v>
      </c>
      <c r="C24999" s="8" t="n">
        <v>15</v>
      </c>
      <c r="D24999" s="8" t="inlineStr">
        <is>
          <t>Disneyland Park</t>
        </is>
      </c>
      <c r="E24999" s="8" t="inlineStr">
        <is>
          <t>Les Mystères du Nautilus</t>
        </is>
      </c>
      <c r="F24999" s="8" t="inlineStr">
        <is>
          <t>STANDBY</t>
        </is>
      </c>
      <c r="G24999" s="8" t="n">
        <v>5</v>
      </c>
      <c r="H24999" s="8" t="inlineStr">
        <is>
          <t>OPERATING</t>
        </is>
      </c>
    </row>
    <row r="25000">
      <c r="A25000" s="8" t="inlineStr">
        <is>
          <t>2026-08-05</t>
        </is>
      </c>
      <c r="B25000" s="8" t="n">
        <v>14</v>
      </c>
      <c r="C25000" s="8" t="n">
        <v>15</v>
      </c>
      <c r="D25000" s="8" t="inlineStr">
        <is>
          <t>Disneyland Park</t>
        </is>
      </c>
      <c r="E25000" s="8" t="inlineStr">
        <is>
          <t>Mickey’s PhilharMagic</t>
        </is>
      </c>
      <c r="F25000" s="8" t="inlineStr">
        <is>
          <t>STANDBY</t>
        </is>
      </c>
      <c r="G25000" s="8" t="n">
        <v>0</v>
      </c>
      <c r="H25000" s="8" t="inlineStr">
        <is>
          <t>OPERATING</t>
        </is>
      </c>
    </row>
    <row r="25001">
      <c r="A25001" s="8" t="inlineStr">
        <is>
          <t>2026-08-05</t>
        </is>
      </c>
      <c r="B25001" s="8" t="n">
        <v>14</v>
      </c>
      <c r="C25001" s="8" t="n">
        <v>15</v>
      </c>
      <c r="D25001" s="8" t="inlineStr">
        <is>
          <t>Disneyland Park</t>
        </is>
      </c>
      <c r="E25001" s="8" t="inlineStr">
        <is>
          <t>Orbitron®</t>
        </is>
      </c>
      <c r="F25001" s="8" t="inlineStr">
        <is>
          <t>STANDBY</t>
        </is>
      </c>
      <c r="G25001" s="8" t="n">
        <v>55</v>
      </c>
      <c r="H25001" s="8" t="inlineStr">
        <is>
          <t>OPERATING</t>
        </is>
      </c>
    </row>
    <row r="25002">
      <c r="A25002" s="8" t="inlineStr">
        <is>
          <t>2026-08-05</t>
        </is>
      </c>
      <c r="B25002" s="8" t="n">
        <v>14</v>
      </c>
      <c r="C25002" s="8" t="n">
        <v>15</v>
      </c>
      <c r="D25002" s="8" t="inlineStr">
        <is>
          <t>Disneyland Park</t>
        </is>
      </c>
      <c r="E25002" s="8" t="inlineStr">
        <is>
          <t>Star Tours: The Adventures Continue*</t>
        </is>
      </c>
      <c r="F25002" s="8" t="inlineStr">
        <is>
          <t>STANDBY</t>
        </is>
      </c>
      <c r="G25002" s="8" t="n">
        <v>15</v>
      </c>
      <c r="H25002" s="8" t="inlineStr">
        <is>
          <t>OPERATING</t>
        </is>
      </c>
    </row>
    <row r="25003">
      <c r="A25003" s="8" t="inlineStr">
        <is>
          <t>2026-08-05</t>
        </is>
      </c>
      <c r="B25003" s="8" t="n">
        <v>14</v>
      </c>
      <c r="C25003" s="8" t="n">
        <v>15</v>
      </c>
      <c r="D25003" s="8" t="inlineStr">
        <is>
          <t>Disneyland Park</t>
        </is>
      </c>
      <c r="E25003" s="8" t="inlineStr">
        <is>
          <t>Star Wars Hyperspace Mountain</t>
        </is>
      </c>
      <c r="F25003" s="8" t="inlineStr">
        <is>
          <t>STANDBY</t>
        </is>
      </c>
      <c r="G25003" s="8" t="n">
        <v>35</v>
      </c>
      <c r="H25003" s="8" t="inlineStr">
        <is>
          <t>OPERATING</t>
        </is>
      </c>
    </row>
    <row r="25004">
      <c r="A25004" s="8" t="inlineStr">
        <is>
          <t>2026-08-05</t>
        </is>
      </c>
      <c r="B25004" s="8" t="n">
        <v>14</v>
      </c>
      <c r="C25004" s="8" t="n">
        <v>15</v>
      </c>
      <c r="D25004" s="8" t="inlineStr">
        <is>
          <t>Disneyland Park</t>
        </is>
      </c>
      <c r="E25004" s="8" t="inlineStr">
        <is>
          <t>Star Wars Hyperspace Mountain Single Rider</t>
        </is>
      </c>
      <c r="F25004" s="8" t="inlineStr">
        <is>
          <t>STANDBY</t>
        </is>
      </c>
      <c r="G25004" s="8" t="n">
        <v>30</v>
      </c>
      <c r="H25004" s="8" t="inlineStr">
        <is>
          <t>OPERATING</t>
        </is>
      </c>
    </row>
    <row r="25005">
      <c r="A25005" s="8" t="inlineStr">
        <is>
          <t>2026-08-05</t>
        </is>
      </c>
      <c r="B25005" s="8" t="n">
        <v>14</v>
      </c>
      <c r="C25005" s="8" t="n">
        <v>15</v>
      </c>
      <c r="D25005" s="8" t="inlineStr">
        <is>
          <t>Disneyland Park</t>
        </is>
      </c>
      <c r="E25005" s="8" t="inlineStr">
        <is>
          <t>Welcome to Starport: A Star Wars Encounter</t>
        </is>
      </c>
      <c r="F25005" s="8" t="inlineStr">
        <is>
          <t>STANDBY</t>
        </is>
      </c>
      <c r="G25005" s="8" t="n">
        <v>15</v>
      </c>
      <c r="H25005" s="8" t="inlineStr">
        <is>
          <t>OPERATING</t>
        </is>
      </c>
    </row>
    <row r="25006">
      <c r="A25006" s="8" t="inlineStr">
        <is>
          <t>2026-08-05</t>
        </is>
      </c>
      <c r="B25006" s="8" t="n">
        <v>14</v>
      </c>
      <c r="C25006" s="8" t="n">
        <v>15</v>
      </c>
      <c r="D25006" s="8" t="inlineStr">
        <is>
          <t>Disneyland Park</t>
        </is>
      </c>
      <c r="E25006" s="8" t="inlineStr">
        <is>
          <t>"it's a small world"</t>
        </is>
      </c>
      <c r="F25006" s="8" t="inlineStr">
        <is>
          <t>STANDBY</t>
        </is>
      </c>
      <c r="G25006" s="8" t="n">
        <v>20</v>
      </c>
      <c r="H25006" s="8" t="inlineStr">
        <is>
          <t>OPERATING</t>
        </is>
      </c>
    </row>
    <row r="25007">
      <c r="A25007" s="8" t="inlineStr">
        <is>
          <t>2026-08-05</t>
        </is>
      </c>
      <c r="B25007" s="8" t="n">
        <v>14</v>
      </c>
      <c r="C25007" s="8" t="n">
        <v>15</v>
      </c>
      <c r="D25007" s="8" t="inlineStr">
        <is>
          <t>Disneyland Park</t>
        </is>
      </c>
      <c r="E25007" s="8" t="inlineStr">
        <is>
          <t>Alice's Curious Labyrinth</t>
        </is>
      </c>
      <c r="F25007" s="8" t="inlineStr">
        <is>
          <t>STANDBY</t>
        </is>
      </c>
      <c r="G25007" s="8" t="n">
        <v>5</v>
      </c>
      <c r="H25007" s="8" t="inlineStr">
        <is>
          <t>OPERATING</t>
        </is>
      </c>
    </row>
    <row r="25008">
      <c r="A25008" s="8" t="inlineStr">
        <is>
          <t>2026-08-05</t>
        </is>
      </c>
      <c r="B25008" s="8" t="n">
        <v>14</v>
      </c>
      <c r="C25008" s="8" t="n">
        <v>15</v>
      </c>
      <c r="D25008" s="8" t="inlineStr">
        <is>
          <t>Disneyland Park</t>
        </is>
      </c>
      <c r="E25008" s="8" t="inlineStr">
        <is>
          <t>Blanche-Neige et les Sept Nains®</t>
        </is>
      </c>
      <c r="F25008" s="8" t="inlineStr">
        <is>
          <t>STANDBY</t>
        </is>
      </c>
      <c r="G25008" s="8" t="n">
        <v>10</v>
      </c>
      <c r="H25008" s="8" t="inlineStr">
        <is>
          <t>OPERATING</t>
        </is>
      </c>
    </row>
    <row r="25009">
      <c r="A25009" s="8" t="inlineStr">
        <is>
          <t>2026-08-05</t>
        </is>
      </c>
      <c r="B25009" s="8" t="n">
        <v>14</v>
      </c>
      <c r="C25009" s="8" t="n">
        <v>15</v>
      </c>
      <c r="D25009" s="8" t="inlineStr">
        <is>
          <t>Disneyland Park</t>
        </is>
      </c>
      <c r="E25009" s="8" t="inlineStr">
        <is>
          <t>Casey Jr. – le Petit Train du Cirque</t>
        </is>
      </c>
      <c r="F25009" s="8" t="inlineStr">
        <is>
          <t>STANDBY</t>
        </is>
      </c>
      <c r="G25009" s="8" t="n">
        <v>20</v>
      </c>
      <c r="H25009" s="8" t="inlineStr">
        <is>
          <t>OPERATING</t>
        </is>
      </c>
    </row>
    <row r="25010">
      <c r="A25010" s="8" t="inlineStr">
        <is>
          <t>2026-08-05</t>
        </is>
      </c>
      <c r="B25010" s="8" t="n">
        <v>14</v>
      </c>
      <c r="C25010" s="8" t="n">
        <v>15</v>
      </c>
      <c r="D25010" s="8" t="inlineStr">
        <is>
          <t>Disneyland Park</t>
        </is>
      </c>
      <c r="E25010" s="8" t="inlineStr">
        <is>
          <t>Disneyland Railroad Fantasyland Station</t>
        </is>
      </c>
      <c r="F25010" s="8" t="inlineStr">
        <is>
          <t>STANDBY</t>
        </is>
      </c>
      <c r="G25010" s="8" t="n">
        <v>0</v>
      </c>
      <c r="H25010" s="8" t="inlineStr">
        <is>
          <t>CLOSED</t>
        </is>
      </c>
    </row>
    <row r="25011">
      <c r="A25011" s="8" t="inlineStr">
        <is>
          <t>2026-08-05</t>
        </is>
      </c>
      <c r="B25011" s="8" t="n">
        <v>14</v>
      </c>
      <c r="C25011" s="8" t="n">
        <v>15</v>
      </c>
      <c r="D25011" s="8" t="inlineStr">
        <is>
          <t>Disneyland Park</t>
        </is>
      </c>
      <c r="E25011" s="8" t="inlineStr">
        <is>
          <t>Disneyland Railroad Main Street Station</t>
        </is>
      </c>
      <c r="F25011" s="8" t="inlineStr">
        <is>
          <t>STANDBY</t>
        </is>
      </c>
      <c r="G25011" s="8" t="n">
        <v>45</v>
      </c>
      <c r="H25011" s="8" t="inlineStr">
        <is>
          <t>OPERATING</t>
        </is>
      </c>
    </row>
    <row r="25012">
      <c r="A25012" s="8" t="inlineStr">
        <is>
          <t>2026-08-05</t>
        </is>
      </c>
      <c r="B25012" s="8" t="n">
        <v>14</v>
      </c>
      <c r="C25012" s="8" t="n">
        <v>15</v>
      </c>
      <c r="D25012" s="8" t="inlineStr">
        <is>
          <t>Disneyland Park</t>
        </is>
      </c>
      <c r="E25012" s="8" t="inlineStr">
        <is>
          <t>Dumbo the Flying Elephant</t>
        </is>
      </c>
      <c r="F25012" s="8" t="inlineStr">
        <is>
          <t>STANDBY</t>
        </is>
      </c>
      <c r="G25012" s="8" t="n">
        <v>55</v>
      </c>
      <c r="H25012" s="8" t="inlineStr">
        <is>
          <t>OPERATING</t>
        </is>
      </c>
    </row>
    <row r="25013">
      <c r="A25013" s="8" t="inlineStr">
        <is>
          <t>2026-08-05</t>
        </is>
      </c>
      <c r="B25013" s="8" t="n">
        <v>14</v>
      </c>
      <c r="C25013" s="8" t="n">
        <v>15</v>
      </c>
      <c r="D25013" s="8" t="inlineStr">
        <is>
          <t>Disneyland Park</t>
        </is>
      </c>
      <c r="E25013" s="8" t="inlineStr">
        <is>
          <t>La Tanière du Dragon</t>
        </is>
      </c>
      <c r="F25013" s="8" t="inlineStr">
        <is>
          <t>STANDBY</t>
        </is>
      </c>
      <c r="G25013" s="8" t="n">
        <v>0</v>
      </c>
      <c r="H25013" s="8" t="inlineStr">
        <is>
          <t>OPERATING</t>
        </is>
      </c>
    </row>
    <row r="25014">
      <c r="A25014" s="8" t="inlineStr">
        <is>
          <t>2026-08-05</t>
        </is>
      </c>
      <c r="B25014" s="8" t="n">
        <v>14</v>
      </c>
      <c r="C25014" s="8" t="n">
        <v>15</v>
      </c>
      <c r="D25014" s="8" t="inlineStr">
        <is>
          <t>Disneyland Park</t>
        </is>
      </c>
      <c r="E25014" s="8" t="inlineStr">
        <is>
          <t>Le Carrousel de Lancelot</t>
        </is>
      </c>
      <c r="F25014" s="8" t="inlineStr">
        <is>
          <t>STANDBY</t>
        </is>
      </c>
      <c r="G25014" s="8" t="n">
        <v>25</v>
      </c>
      <c r="H25014" s="8" t="inlineStr">
        <is>
          <t>OPERATING</t>
        </is>
      </c>
    </row>
    <row r="25015">
      <c r="A25015" s="8" t="inlineStr">
        <is>
          <t>2026-08-05</t>
        </is>
      </c>
      <c r="B25015" s="8" t="n">
        <v>14</v>
      </c>
      <c r="C25015" s="8" t="n">
        <v>15</v>
      </c>
      <c r="D25015" s="8" t="inlineStr">
        <is>
          <t>Disneyland Park</t>
        </is>
      </c>
      <c r="E25015" s="8" t="inlineStr">
        <is>
          <t>Le Pays des Contes de Fées, presented by Vittel</t>
        </is>
      </c>
      <c r="F25015" s="8" t="inlineStr">
        <is>
          <t>STANDBY</t>
        </is>
      </c>
      <c r="G25015" s="8" t="n">
        <v>5</v>
      </c>
      <c r="H25015" s="8" t="inlineStr">
        <is>
          <t>OPERATING</t>
        </is>
      </c>
    </row>
    <row r="25016">
      <c r="A25016" s="8" t="inlineStr">
        <is>
          <t>2026-08-05</t>
        </is>
      </c>
      <c r="B25016" s="8" t="n">
        <v>14</v>
      </c>
      <c r="C25016" s="8" t="n">
        <v>15</v>
      </c>
      <c r="D25016" s="8" t="inlineStr">
        <is>
          <t>Disneyland Park</t>
        </is>
      </c>
      <c r="E25016" s="8" t="inlineStr">
        <is>
          <t>Les Voyages de Pinocchio</t>
        </is>
      </c>
      <c r="F25016" s="8" t="inlineStr">
        <is>
          <t>STANDBY</t>
        </is>
      </c>
      <c r="G25016" s="8" t="n">
        <v>30</v>
      </c>
      <c r="H25016" s="8" t="inlineStr">
        <is>
          <t>OPERATING</t>
        </is>
      </c>
    </row>
    <row r="25017">
      <c r="A25017" s="8" t="inlineStr">
        <is>
          <t>2026-08-05</t>
        </is>
      </c>
      <c r="B25017" s="8" t="n">
        <v>14</v>
      </c>
      <c r="C25017" s="8" t="n">
        <v>15</v>
      </c>
      <c r="D25017" s="8" t="inlineStr">
        <is>
          <t>Disneyland Park</t>
        </is>
      </c>
      <c r="E25017" s="8" t="inlineStr">
        <is>
          <t>Mad Hatter's Tea Cups</t>
        </is>
      </c>
      <c r="F25017" s="8" t="inlineStr">
        <is>
          <t>STANDBY</t>
        </is>
      </c>
      <c r="G25017" s="8" t="n">
        <v>10</v>
      </c>
      <c r="H25017" s="8" t="inlineStr">
        <is>
          <t>OPERATING</t>
        </is>
      </c>
    </row>
    <row r="25018">
      <c r="A25018" s="8" t="inlineStr">
        <is>
          <t>2026-08-05</t>
        </is>
      </c>
      <c r="B25018" s="8" t="n">
        <v>14</v>
      </c>
      <c r="C25018" s="8" t="n">
        <v>15</v>
      </c>
      <c r="D25018" s="8" t="inlineStr">
        <is>
          <t>Disneyland Park</t>
        </is>
      </c>
      <c r="E25018" s="8" t="inlineStr">
        <is>
          <t>Meet Mickey Mouse</t>
        </is>
      </c>
      <c r="F25018" s="8" t="inlineStr">
        <is>
          <t>STANDBY</t>
        </is>
      </c>
      <c r="G25018" s="8" t="n">
        <v>0</v>
      </c>
      <c r="H25018" s="8" t="inlineStr">
        <is>
          <t>OPERATING</t>
        </is>
      </c>
    </row>
    <row r="25019">
      <c r="A25019" s="8" t="inlineStr">
        <is>
          <t>2026-08-05</t>
        </is>
      </c>
      <c r="B25019" s="8" t="n">
        <v>14</v>
      </c>
      <c r="C25019" s="8" t="n">
        <v>15</v>
      </c>
      <c r="D25019" s="8" t="inlineStr">
        <is>
          <t>Disneyland Park</t>
        </is>
      </c>
      <c r="E25019" s="8" t="inlineStr">
        <is>
          <t>Peter Pan's Flight</t>
        </is>
      </c>
      <c r="F25019" s="8" t="inlineStr">
        <is>
          <t>STANDBY</t>
        </is>
      </c>
      <c r="G25019" s="8" t="n">
        <v>65</v>
      </c>
      <c r="H25019" s="8" t="inlineStr">
        <is>
          <t>OPERATING</t>
        </is>
      </c>
    </row>
    <row r="25020">
      <c r="A25020" s="8" t="inlineStr">
        <is>
          <t>2026-08-05</t>
        </is>
      </c>
      <c r="B25020" s="8" t="n">
        <v>14</v>
      </c>
      <c r="C25020" s="8" t="n">
        <v>15</v>
      </c>
      <c r="D25020" s="8" t="inlineStr">
        <is>
          <t>Disneyland Park</t>
        </is>
      </c>
      <c r="E25020" s="8" t="inlineStr">
        <is>
          <t>Princess Pavilion</t>
        </is>
      </c>
      <c r="F25020" s="8" t="inlineStr">
        <is>
          <t>STANDBY</t>
        </is>
      </c>
      <c r="G25020" s="8" t="n">
        <v>0</v>
      </c>
      <c r="H25020" s="8" t="inlineStr">
        <is>
          <t>OPERATING</t>
        </is>
      </c>
    </row>
    <row r="25021">
      <c r="A25021" s="8" t="inlineStr">
        <is>
          <t>2026-08-05</t>
        </is>
      </c>
      <c r="B25021" s="8" t="n">
        <v>14</v>
      </c>
      <c r="C25021" s="8" t="n">
        <v>15</v>
      </c>
      <c r="D25021" s="8" t="inlineStr">
        <is>
          <t>Disneyland Park</t>
        </is>
      </c>
      <c r="E25021" s="8" t="inlineStr">
        <is>
          <t>Big Thunder Mountain</t>
        </is>
      </c>
      <c r="F25021" s="8" t="inlineStr">
        <is>
          <t>STANDBY</t>
        </is>
      </c>
      <c r="G25021" s="8" t="n">
        <v>80</v>
      </c>
      <c r="H25021" s="8" t="inlineStr">
        <is>
          <t>OPERATING</t>
        </is>
      </c>
    </row>
    <row r="25022">
      <c r="A25022" s="8" t="inlineStr">
        <is>
          <t>2026-08-05</t>
        </is>
      </c>
      <c r="B25022" s="8" t="n">
        <v>14</v>
      </c>
      <c r="C25022" s="8" t="n">
        <v>15</v>
      </c>
      <c r="D25022" s="8" t="inlineStr">
        <is>
          <t>Disneyland Park</t>
        </is>
      </c>
      <c r="E25022" s="8" t="inlineStr">
        <is>
          <t>Disneyland Railroad Frontierland Depot</t>
        </is>
      </c>
      <c r="F25022" s="8" t="inlineStr">
        <is>
          <t>STANDBY</t>
        </is>
      </c>
      <c r="G25022" s="8" t="n">
        <v>40</v>
      </c>
      <c r="H25022" s="8" t="inlineStr">
        <is>
          <t>OPERATING</t>
        </is>
      </c>
    </row>
    <row r="25023">
      <c r="A25023" s="8" t="inlineStr">
        <is>
          <t>2026-08-05</t>
        </is>
      </c>
      <c r="B25023" s="8" t="n">
        <v>14</v>
      </c>
      <c r="C25023" s="8" t="n">
        <v>15</v>
      </c>
      <c r="D25023" s="8" t="inlineStr">
        <is>
          <t>Disneyland Park</t>
        </is>
      </c>
      <c r="E25023" s="8" t="inlineStr">
        <is>
          <t>Frontierland Playground</t>
        </is>
      </c>
      <c r="F25023" s="8" t="inlineStr">
        <is>
          <t>STANDBY</t>
        </is>
      </c>
      <c r="G25023" s="8" t="n">
        <v>0</v>
      </c>
      <c r="H25023" s="8" t="inlineStr">
        <is>
          <t>OPERATING</t>
        </is>
      </c>
    </row>
    <row r="25024">
      <c r="A25024" s="8" t="inlineStr">
        <is>
          <t>2026-08-05</t>
        </is>
      </c>
      <c r="B25024" s="8" t="n">
        <v>14</v>
      </c>
      <c r="C25024" s="8" t="n">
        <v>15</v>
      </c>
      <c r="D25024" s="8" t="inlineStr">
        <is>
          <t>Disneyland Park</t>
        </is>
      </c>
      <c r="E25024" s="8" t="inlineStr">
        <is>
          <t>Phantom Manor</t>
        </is>
      </c>
      <c r="F25024" s="8" t="inlineStr">
        <is>
          <t>STANDBY</t>
        </is>
      </c>
      <c r="G25024" s="8" t="n">
        <v>20</v>
      </c>
      <c r="H25024" s="8" t="inlineStr">
        <is>
          <t>OPERATING</t>
        </is>
      </c>
    </row>
    <row r="25025">
      <c r="A25025" s="8" t="inlineStr">
        <is>
          <t>2026-08-05</t>
        </is>
      </c>
      <c r="B25025" s="8" t="n">
        <v>14</v>
      </c>
      <c r="C25025" s="8" t="n">
        <v>15</v>
      </c>
      <c r="D25025" s="8" t="inlineStr">
        <is>
          <t>Disneyland Park</t>
        </is>
      </c>
      <c r="E25025" s="8" t="inlineStr">
        <is>
          <t>River Rogue Keelboats</t>
        </is>
      </c>
      <c r="F25025" s="8" t="inlineStr">
        <is>
          <t>STANDBY</t>
        </is>
      </c>
      <c r="G25025" s="8" t="n">
        <v>0</v>
      </c>
      <c r="H25025" s="8" t="inlineStr">
        <is>
          <t>CLOSED</t>
        </is>
      </c>
    </row>
    <row r="25026">
      <c r="A25026" s="8" t="inlineStr">
        <is>
          <t>2026-08-05</t>
        </is>
      </c>
      <c r="B25026" s="8" t="n">
        <v>14</v>
      </c>
      <c r="C25026" s="8" t="n">
        <v>15</v>
      </c>
      <c r="D25026" s="8" t="inlineStr">
        <is>
          <t>Disneyland Park</t>
        </is>
      </c>
      <c r="E25026" s="8" t="inlineStr">
        <is>
          <t>Rustler Roundup Shootin' Gallery</t>
        </is>
      </c>
      <c r="F25026" s="8" t="inlineStr">
        <is>
          <t>STANDBY</t>
        </is>
      </c>
      <c r="G25026" s="8" t="n">
        <v>0</v>
      </c>
      <c r="H25026" s="8" t="inlineStr">
        <is>
          <t>OPERATING</t>
        </is>
      </c>
    </row>
    <row r="25027">
      <c r="A25027" s="8" t="inlineStr">
        <is>
          <t>2026-08-05</t>
        </is>
      </c>
      <c r="B25027" s="8" t="n">
        <v>14</v>
      </c>
      <c r="C25027" s="8" t="n">
        <v>15</v>
      </c>
      <c r="D25027" s="8" t="inlineStr">
        <is>
          <t>Disneyland Park</t>
        </is>
      </c>
      <c r="E25027" s="8" t="inlineStr">
        <is>
          <t>Thunder Mesa Riverboat Landing</t>
        </is>
      </c>
      <c r="F25027" s="8" t="inlineStr">
        <is>
          <t>STANDBY</t>
        </is>
      </c>
      <c r="G25027" s="8" t="n">
        <v>20</v>
      </c>
      <c r="H25027" s="8" t="inlineStr">
        <is>
          <t>OPERATING</t>
        </is>
      </c>
    </row>
    <row r="25028">
      <c r="A25028" s="8" t="inlineStr">
        <is>
          <t>2026-08-05</t>
        </is>
      </c>
      <c r="B25028" s="8" t="n">
        <v>14</v>
      </c>
      <c r="C25028" s="8" t="n">
        <v>15</v>
      </c>
      <c r="D25028" s="8" t="inlineStr">
        <is>
          <t>Disneyland Park</t>
        </is>
      </c>
      <c r="E25028" s="8" t="inlineStr">
        <is>
          <t>Disneyland Railroad Main Street Station</t>
        </is>
      </c>
      <c r="F25028" s="8" t="inlineStr">
        <is>
          <t>STANDBY</t>
        </is>
      </c>
      <c r="G25028" s="8" t="n">
        <v>0</v>
      </c>
      <c r="H25028" s="8" t="inlineStr">
        <is>
          <t>OPERATING</t>
        </is>
      </c>
    </row>
    <row r="25029">
      <c r="A25029" s="8" t="inlineStr">
        <is>
          <t>2026-08-05</t>
        </is>
      </c>
      <c r="B25029" s="8" t="n">
        <v>14</v>
      </c>
      <c r="C25029" s="8" t="n">
        <v>15</v>
      </c>
      <c r="D25029" s="8" t="inlineStr">
        <is>
          <t>Disneyland Park</t>
        </is>
      </c>
      <c r="E25029" s="8" t="inlineStr">
        <is>
          <t>Main Street Vehicles</t>
        </is>
      </c>
      <c r="F25029" s="8" t="inlineStr">
        <is>
          <t>STANDBY</t>
        </is>
      </c>
      <c r="G25029" s="8" t="n">
        <v>0</v>
      </c>
      <c r="H25029" s="8" t="inlineStr">
        <is>
          <t>CLOSED</t>
        </is>
      </c>
    </row>
    <row r="25030">
      <c r="A25030" s="8" t="inlineStr">
        <is>
          <t>2026-08-05</t>
        </is>
      </c>
      <c r="B25030" s="8" t="n">
        <v>14</v>
      </c>
      <c r="C25030" s="8" t="n">
        <v>15</v>
      </c>
      <c r="D25030" s="8" t="inlineStr">
        <is>
          <t>Disney Adventure World</t>
        </is>
      </c>
      <c r="E25030" s="8" t="inlineStr">
        <is>
          <t>Avengers Assemble: Flight Force</t>
        </is>
      </c>
      <c r="F25030" s="8" t="inlineStr">
        <is>
          <t>STANDBY</t>
        </is>
      </c>
      <c r="G25030" s="8" t="n">
        <v>30</v>
      </c>
      <c r="H25030" s="8" t="inlineStr">
        <is>
          <t>OPERATING</t>
        </is>
      </c>
    </row>
    <row r="25031">
      <c r="A25031" s="8" t="inlineStr">
        <is>
          <t>2026-08-05</t>
        </is>
      </c>
      <c r="B25031" s="8" t="n">
        <v>14</v>
      </c>
      <c r="C25031" s="8" t="n">
        <v>15</v>
      </c>
      <c r="D25031" s="8" t="inlineStr">
        <is>
          <t>Disney Adventure World</t>
        </is>
      </c>
      <c r="E25031" s="8" t="inlineStr">
        <is>
          <t>Avengers Assemble: Flight Force Single Rider</t>
        </is>
      </c>
      <c r="F25031" s="8" t="inlineStr">
        <is>
          <t>STANDBY</t>
        </is>
      </c>
      <c r="G25031" s="8" t="n">
        <v>20</v>
      </c>
      <c r="H25031" s="8" t="inlineStr">
        <is>
          <t>OPERATING</t>
        </is>
      </c>
    </row>
    <row r="25032">
      <c r="A25032" s="8" t="inlineStr">
        <is>
          <t>2026-08-05</t>
        </is>
      </c>
      <c r="B25032" s="8" t="n">
        <v>14</v>
      </c>
      <c r="C25032" s="8" t="n">
        <v>15</v>
      </c>
      <c r="D25032" s="8" t="inlineStr">
        <is>
          <t>Disney Adventure World</t>
        </is>
      </c>
      <c r="E25032" s="8" t="inlineStr">
        <is>
          <t>Spider-Man W.E.B. Adventure</t>
        </is>
      </c>
      <c r="F25032" s="8" t="inlineStr">
        <is>
          <t>STANDBY</t>
        </is>
      </c>
      <c r="G25032" s="8" t="n">
        <v>55</v>
      </c>
      <c r="H25032" s="8" t="inlineStr">
        <is>
          <t>OPERATING</t>
        </is>
      </c>
    </row>
    <row r="25033">
      <c r="A25033" s="8" t="inlineStr">
        <is>
          <t>2026-08-05</t>
        </is>
      </c>
      <c r="B25033" s="8" t="n">
        <v>14</v>
      </c>
      <c r="C25033" s="8" t="n">
        <v>15</v>
      </c>
      <c r="D25033" s="8" t="inlineStr">
        <is>
          <t>Disney Adventure World</t>
        </is>
      </c>
      <c r="E25033" s="8" t="inlineStr">
        <is>
          <t>Spider-Man W.E.B. Adventure Single Rider</t>
        </is>
      </c>
      <c r="F25033" s="8" t="inlineStr">
        <is>
          <t>STANDBY</t>
        </is>
      </c>
      <c r="G25033" s="8" t="n">
        <v>25</v>
      </c>
      <c r="H25033" s="8" t="inlineStr">
        <is>
          <t>OPERATING</t>
        </is>
      </c>
    </row>
    <row r="25034">
      <c r="A25034" s="8" t="inlineStr">
        <is>
          <t>2026-08-05</t>
        </is>
      </c>
      <c r="B25034" s="8" t="n">
        <v>14</v>
      </c>
      <c r="C25034" s="8" t="n">
        <v>15</v>
      </c>
      <c r="D25034" s="8" t="inlineStr">
        <is>
          <t>Disney Adventure World</t>
        </is>
      </c>
      <c r="E25034" s="8" t="inlineStr">
        <is>
          <t>The Twilight Zone Tower of Terror</t>
        </is>
      </c>
      <c r="F25034" s="8" t="inlineStr">
        <is>
          <t>STANDBY</t>
        </is>
      </c>
      <c r="G25034" s="8" t="n">
        <v>40</v>
      </c>
      <c r="H25034" s="8" t="inlineStr">
        <is>
          <t>OPERATING</t>
        </is>
      </c>
    </row>
    <row r="25035">
      <c r="A25035" s="8" t="inlineStr">
        <is>
          <t>2026-08-05</t>
        </is>
      </c>
      <c r="B25035" s="8" t="n">
        <v>14</v>
      </c>
      <c r="C25035" s="8" t="n">
        <v>15</v>
      </c>
      <c r="D25035" s="8" t="inlineStr">
        <is>
          <t>Disney Adventure World</t>
        </is>
      </c>
      <c r="E25035" s="8" t="inlineStr">
        <is>
          <t>Cars Quatre Roues Rallye</t>
        </is>
      </c>
      <c r="F25035" s="8" t="inlineStr">
        <is>
          <t>STANDBY</t>
        </is>
      </c>
      <c r="G25035" s="8" t="n">
        <v>20</v>
      </c>
      <c r="H25035" s="8" t="inlineStr">
        <is>
          <t>OPERATING</t>
        </is>
      </c>
    </row>
    <row r="25036">
      <c r="A25036" s="8" t="inlineStr">
        <is>
          <t>2026-08-05</t>
        </is>
      </c>
      <c r="B25036" s="8" t="n">
        <v>14</v>
      </c>
      <c r="C25036" s="8" t="n">
        <v>15</v>
      </c>
      <c r="D25036" s="8" t="inlineStr">
        <is>
          <t>Disney Adventure World</t>
        </is>
      </c>
      <c r="E25036" s="8" t="inlineStr">
        <is>
          <t>Cars ROAD TRIP</t>
        </is>
      </c>
      <c r="F25036" s="8" t="inlineStr">
        <is>
          <t>STANDBY</t>
        </is>
      </c>
      <c r="G25036" s="8" t="n">
        <v>5</v>
      </c>
      <c r="H25036" s="8" t="inlineStr">
        <is>
          <t>OPERATING</t>
        </is>
      </c>
    </row>
    <row r="25037">
      <c r="A25037" s="8" t="inlineStr">
        <is>
          <t>2026-08-05</t>
        </is>
      </c>
      <c r="B25037" s="8" t="n">
        <v>14</v>
      </c>
      <c r="C25037" s="8" t="n">
        <v>15</v>
      </c>
      <c r="D25037" s="8" t="inlineStr">
        <is>
          <t>Disney Adventure World</t>
        </is>
      </c>
      <c r="E25037" s="8" t="inlineStr">
        <is>
          <t>Crush's Coaster</t>
        </is>
      </c>
      <c r="F25037" s="8" t="inlineStr">
        <is>
          <t>STANDBY</t>
        </is>
      </c>
      <c r="G25037" s="8" t="n">
        <v>75</v>
      </c>
      <c r="H25037" s="8" t="inlineStr">
        <is>
          <t>OPERATING</t>
        </is>
      </c>
    </row>
    <row r="25038">
      <c r="A25038" s="8" t="inlineStr">
        <is>
          <t>2026-08-05</t>
        </is>
      </c>
      <c r="B25038" s="8" t="n">
        <v>14</v>
      </c>
      <c r="C25038" s="8" t="n">
        <v>15</v>
      </c>
      <c r="D25038" s="8" t="inlineStr">
        <is>
          <t>Disney Adventure World</t>
        </is>
      </c>
      <c r="E25038" s="8" t="inlineStr">
        <is>
          <t>Crush's Coaster Single Rider</t>
        </is>
      </c>
      <c r="F25038" s="8" t="inlineStr">
        <is>
          <t>STANDBY</t>
        </is>
      </c>
      <c r="G25038" s="8" t="n">
        <v>50</v>
      </c>
      <c r="H25038" s="8" t="inlineStr">
        <is>
          <t>OPERATING</t>
        </is>
      </c>
    </row>
    <row r="25039">
      <c r="A25039" s="8" t="inlineStr">
        <is>
          <t>2026-08-05</t>
        </is>
      </c>
      <c r="B25039" s="8" t="n">
        <v>14</v>
      </c>
      <c r="C25039" s="8" t="n">
        <v>15</v>
      </c>
      <c r="D25039" s="8" t="inlineStr">
        <is>
          <t>Disney Adventure World</t>
        </is>
      </c>
      <c r="E25039" s="8" t="inlineStr">
        <is>
          <t>Les Tapis Volants - Flying Carpets Over Agrabah®</t>
        </is>
      </c>
      <c r="F25039" s="8" t="inlineStr">
        <is>
          <t>STANDBY</t>
        </is>
      </c>
      <c r="G25039" s="8" t="n">
        <v>25</v>
      </c>
      <c r="H25039" s="8" t="inlineStr">
        <is>
          <t>OPERATING</t>
        </is>
      </c>
    </row>
    <row r="25040">
      <c r="A25040" s="8" t="inlineStr">
        <is>
          <t>2026-08-05</t>
        </is>
      </c>
      <c r="B25040" s="8" t="n">
        <v>14</v>
      </c>
      <c r="C25040" s="8" t="n">
        <v>15</v>
      </c>
      <c r="D25040" s="8" t="inlineStr">
        <is>
          <t>Disney Adventure World</t>
        </is>
      </c>
      <c r="E25040" s="8" t="inlineStr">
        <is>
          <t>Ratatouille : L’Aventure Totalement Toquée de Rémy​</t>
        </is>
      </c>
      <c r="F25040" s="8" t="inlineStr">
        <is>
          <t>STANDBY</t>
        </is>
      </c>
      <c r="G25040" s="8" t="n">
        <v>55</v>
      </c>
      <c r="H25040" s="8" t="inlineStr">
        <is>
          <t>OPERATING</t>
        </is>
      </c>
    </row>
    <row r="25041">
      <c r="A25041" s="8" t="inlineStr">
        <is>
          <t>2026-08-05</t>
        </is>
      </c>
      <c r="B25041" s="8" t="n">
        <v>14</v>
      </c>
      <c r="C25041" s="8" t="n">
        <v>15</v>
      </c>
      <c r="D25041" s="8" t="inlineStr">
        <is>
          <t>Disney Adventure World</t>
        </is>
      </c>
      <c r="E25041" s="8" t="inlineStr">
        <is>
          <t>Ratatouille: The Adventure Single Rider</t>
        </is>
      </c>
      <c r="F25041" s="8" t="inlineStr">
        <is>
          <t>STANDBY</t>
        </is>
      </c>
      <c r="G25041" s="8" t="n">
        <v>30</v>
      </c>
      <c r="H25041" s="8" t="inlineStr">
        <is>
          <t>OPERATING</t>
        </is>
      </c>
    </row>
    <row r="25042">
      <c r="A25042" s="8" t="inlineStr">
        <is>
          <t>2026-08-05</t>
        </is>
      </c>
      <c r="B25042" s="8" t="n">
        <v>14</v>
      </c>
      <c r="C25042" s="8" t="n">
        <v>15</v>
      </c>
      <c r="D25042" s="8" t="inlineStr">
        <is>
          <t>Disney Adventure World</t>
        </is>
      </c>
      <c r="E25042" s="8" t="inlineStr">
        <is>
          <t>RC Racer</t>
        </is>
      </c>
      <c r="F25042" s="8" t="inlineStr">
        <is>
          <t>STANDBY</t>
        </is>
      </c>
      <c r="G25042" s="8" t="n">
        <v>50</v>
      </c>
      <c r="H25042" s="8" t="inlineStr">
        <is>
          <t>OPERATING</t>
        </is>
      </c>
    </row>
    <row r="25043">
      <c r="A25043" s="8" t="inlineStr">
        <is>
          <t>2026-08-05</t>
        </is>
      </c>
      <c r="B25043" s="8" t="n">
        <v>14</v>
      </c>
      <c r="C25043" s="8" t="n">
        <v>15</v>
      </c>
      <c r="D25043" s="8" t="inlineStr">
        <is>
          <t>Disney Adventure World</t>
        </is>
      </c>
      <c r="E25043" s="8" t="inlineStr">
        <is>
          <t>RC Racer Single Rider</t>
        </is>
      </c>
      <c r="F25043" s="8" t="inlineStr">
        <is>
          <t>STANDBY</t>
        </is>
      </c>
      <c r="G25043" s="8" t="n">
        <v>45</v>
      </c>
      <c r="H25043" s="8" t="inlineStr">
        <is>
          <t>OPERATING</t>
        </is>
      </c>
    </row>
    <row r="25044">
      <c r="A25044" s="8" t="inlineStr">
        <is>
          <t>2026-08-05</t>
        </is>
      </c>
      <c r="B25044" s="8" t="n">
        <v>14</v>
      </c>
      <c r="C25044" s="8" t="n">
        <v>15</v>
      </c>
      <c r="D25044" s="8" t="inlineStr">
        <is>
          <t>Disney Adventure World</t>
        </is>
      </c>
      <c r="E25044" s="8" t="inlineStr">
        <is>
          <t>Slinky® Dog Zigzag Spin</t>
        </is>
      </c>
      <c r="F25044" s="8" t="inlineStr">
        <is>
          <t>STANDBY</t>
        </is>
      </c>
      <c r="G25044" s="8" t="n">
        <v>25</v>
      </c>
      <c r="H25044" s="8" t="inlineStr">
        <is>
          <t>OPERATING</t>
        </is>
      </c>
    </row>
    <row r="25045">
      <c r="A25045" s="8" t="inlineStr">
        <is>
          <t>2026-08-05</t>
        </is>
      </c>
      <c r="B25045" s="8" t="n">
        <v>14</v>
      </c>
      <c r="C25045" s="8" t="n">
        <v>15</v>
      </c>
      <c r="D25045" s="8" t="inlineStr">
        <is>
          <t>Disney Adventure World</t>
        </is>
      </c>
      <c r="E25045" s="8" t="inlineStr">
        <is>
          <t>Toy Soldiers Parachute Drop</t>
        </is>
      </c>
      <c r="F25045" s="8" t="inlineStr">
        <is>
          <t>STANDBY</t>
        </is>
      </c>
      <c r="G25045" s="8" t="n">
        <v>55</v>
      </c>
      <c r="H25045" s="8" t="inlineStr">
        <is>
          <t>OPERATING</t>
        </is>
      </c>
    </row>
    <row r="25046">
      <c r="A25046" s="8" t="inlineStr">
        <is>
          <t>2026-08-05</t>
        </is>
      </c>
      <c r="B25046" s="8" t="n">
        <v>14</v>
      </c>
      <c r="C25046" s="8" t="n">
        <v>15</v>
      </c>
      <c r="D25046" s="8" t="inlineStr">
        <is>
          <t>Disney Adventure World</t>
        </is>
      </c>
      <c r="E25046" s="8" t="inlineStr">
        <is>
          <t>Toy Soldiers Parachute Drop Single Rider</t>
        </is>
      </c>
      <c r="F25046" s="8" t="inlineStr">
        <is>
          <t>STANDBY</t>
        </is>
      </c>
      <c r="G25046" s="8" t="n">
        <v>25</v>
      </c>
      <c r="H25046" s="8" t="inlineStr">
        <is>
          <t>OPERATING</t>
        </is>
      </c>
    </row>
    <row r="25047">
      <c r="A25047" s="8" t="inlineStr">
        <is>
          <t>2026-08-05</t>
        </is>
      </c>
      <c r="B25047" s="8" t="n">
        <v>14</v>
      </c>
      <c r="C25047" s="8" t="n">
        <v>15</v>
      </c>
      <c r="D25047" s="8" t="inlineStr">
        <is>
          <t>Disney Adventure World</t>
        </is>
      </c>
      <c r="E25047" s="8" t="inlineStr">
        <is>
          <t>Entry to World of Frozen</t>
        </is>
      </c>
      <c r="F25047" s="8" t="inlineStr">
        <is>
          <t>STANDBY</t>
        </is>
      </c>
      <c r="G25047" s="8" t="n">
        <v>0</v>
      </c>
      <c r="H25047" s="8" t="inlineStr">
        <is>
          <t>OPERATING</t>
        </is>
      </c>
    </row>
    <row r="25048">
      <c r="A25048" s="8" t="inlineStr">
        <is>
          <t>2026-08-05</t>
        </is>
      </c>
      <c r="B25048" s="8" t="n">
        <v>14</v>
      </c>
      <c r="C25048" s="8" t="n">
        <v>15</v>
      </c>
      <c r="D25048" s="8" t="inlineStr">
        <is>
          <t>Disney Adventure World</t>
        </is>
      </c>
      <c r="E25048" s="8" t="inlineStr">
        <is>
          <t>Frozen Ever After</t>
        </is>
      </c>
      <c r="F25048" s="8" t="inlineStr">
        <is>
          <t>STANDBY</t>
        </is>
      </c>
      <c r="G25048" s="8" t="n">
        <v>70</v>
      </c>
      <c r="H25048" s="8" t="inlineStr">
        <is>
          <t>OPERATING</t>
        </is>
      </c>
    </row>
    <row r="25049">
      <c r="A25049" s="8" t="inlineStr">
        <is>
          <t>2026-08-05</t>
        </is>
      </c>
      <c r="B25049" s="8" t="n">
        <v>14</v>
      </c>
      <c r="C25049" s="8" t="n">
        <v>15</v>
      </c>
      <c r="D25049" s="8" t="inlineStr">
        <is>
          <t>Disney Adventure World</t>
        </is>
      </c>
      <c r="E25049" s="8" t="inlineStr">
        <is>
          <t>Raiponce Tangled Spin</t>
        </is>
      </c>
      <c r="F25049" s="8" t="inlineStr">
        <is>
          <t>STANDBY</t>
        </is>
      </c>
      <c r="G25049" s="8" t="n">
        <v>10</v>
      </c>
      <c r="H25049" s="8" t="inlineStr">
        <is>
          <t>OPERATING</t>
        </is>
      </c>
    </row>
    <row r="25050">
      <c r="A25050" s="8" t="inlineStr">
        <is>
          <t>2026-08-05</t>
        </is>
      </c>
      <c r="B25050" s="8" t="n">
        <v>14</v>
      </c>
      <c r="C25050" s="8" t="n">
        <v>31</v>
      </c>
      <c r="D25050" s="8" t="inlineStr">
        <is>
          <t>Disneyland Park</t>
        </is>
      </c>
      <c r="E25050" s="8" t="inlineStr">
        <is>
          <t>Adventure Isle</t>
        </is>
      </c>
      <c r="F25050" s="8" t="inlineStr">
        <is>
          <t>STANDBY</t>
        </is>
      </c>
      <c r="G25050" s="8" t="n">
        <v>0</v>
      </c>
      <c r="H25050" s="8" t="inlineStr">
        <is>
          <t>OPERATING</t>
        </is>
      </c>
    </row>
    <row r="25051">
      <c r="A25051" s="8" t="inlineStr">
        <is>
          <t>2026-08-05</t>
        </is>
      </c>
      <c r="B25051" s="8" t="n">
        <v>14</v>
      </c>
      <c r="C25051" s="8" t="n">
        <v>31</v>
      </c>
      <c r="D25051" s="8" t="inlineStr">
        <is>
          <t>Disneyland Park</t>
        </is>
      </c>
      <c r="E25051" s="8" t="inlineStr">
        <is>
          <t>Indiana Jones and the Temple of Peril Single Rider</t>
        </is>
      </c>
      <c r="F25051" s="8" t="inlineStr">
        <is>
          <t>STANDBY</t>
        </is>
      </c>
      <c r="G25051" s="8" t="n">
        <v>30</v>
      </c>
      <c r="H25051" s="8" t="inlineStr">
        <is>
          <t>OPERATING</t>
        </is>
      </c>
    </row>
    <row r="25052">
      <c r="A25052" s="8" t="inlineStr">
        <is>
          <t>2026-08-05</t>
        </is>
      </c>
      <c r="B25052" s="8" t="n">
        <v>14</v>
      </c>
      <c r="C25052" s="8" t="n">
        <v>31</v>
      </c>
      <c r="D25052" s="8" t="inlineStr">
        <is>
          <t>Disneyland Park</t>
        </is>
      </c>
      <c r="E25052" s="8" t="inlineStr">
        <is>
          <t>Indiana Jones™ and the Temple of Peril</t>
        </is>
      </c>
      <c r="F25052" s="8" t="inlineStr">
        <is>
          <t>STANDBY</t>
        </is>
      </c>
      <c r="G25052" s="8" t="n">
        <v>40</v>
      </c>
      <c r="H25052" s="8" t="inlineStr">
        <is>
          <t>OPERATING</t>
        </is>
      </c>
    </row>
    <row r="25053">
      <c r="A25053" s="8" t="inlineStr">
        <is>
          <t>2026-08-05</t>
        </is>
      </c>
      <c r="B25053" s="8" t="n">
        <v>14</v>
      </c>
      <c r="C25053" s="8" t="n">
        <v>31</v>
      </c>
      <c r="D25053" s="8" t="inlineStr">
        <is>
          <t>Disneyland Park</t>
        </is>
      </c>
      <c r="E25053" s="8" t="inlineStr">
        <is>
          <t>La Cabane des Robinson</t>
        </is>
      </c>
      <c r="F25053" s="8" t="inlineStr">
        <is>
          <t>STANDBY</t>
        </is>
      </c>
      <c r="G25053" s="8" t="n">
        <v>5</v>
      </c>
      <c r="H25053" s="8" t="inlineStr">
        <is>
          <t>OPERATING</t>
        </is>
      </c>
    </row>
    <row r="25054">
      <c r="A25054" s="8" t="inlineStr">
        <is>
          <t>2026-08-05</t>
        </is>
      </c>
      <c r="B25054" s="8" t="n">
        <v>14</v>
      </c>
      <c r="C25054" s="8" t="n">
        <v>31</v>
      </c>
      <c r="D25054" s="8" t="inlineStr">
        <is>
          <t>Disneyland Park</t>
        </is>
      </c>
      <c r="E25054" s="8" t="inlineStr">
        <is>
          <t>Le Passage Enchanté d'Aladdin</t>
        </is>
      </c>
      <c r="F25054" s="8" t="inlineStr">
        <is>
          <t>STANDBY</t>
        </is>
      </c>
      <c r="G25054" s="8" t="n">
        <v>0</v>
      </c>
      <c r="H25054" s="8" t="inlineStr">
        <is>
          <t>OPERATING</t>
        </is>
      </c>
    </row>
    <row r="25055">
      <c r="A25055" s="8" t="inlineStr">
        <is>
          <t>2026-08-05</t>
        </is>
      </c>
      <c r="B25055" s="8" t="n">
        <v>14</v>
      </c>
      <c r="C25055" s="8" t="n">
        <v>31</v>
      </c>
      <c r="D25055" s="8" t="inlineStr">
        <is>
          <t>Disneyland Park</t>
        </is>
      </c>
      <c r="E25055" s="8" t="inlineStr">
        <is>
          <t>Pirate Galleon</t>
        </is>
      </c>
      <c r="F25055" s="8" t="inlineStr">
        <is>
          <t>STANDBY</t>
        </is>
      </c>
      <c r="G25055" s="8" t="n">
        <v>0</v>
      </c>
      <c r="H25055" s="8" t="inlineStr">
        <is>
          <t>CLOSED</t>
        </is>
      </c>
    </row>
    <row r="25056">
      <c r="A25056" s="8" t="inlineStr">
        <is>
          <t>2026-08-05</t>
        </is>
      </c>
      <c r="B25056" s="8" t="n">
        <v>14</v>
      </c>
      <c r="C25056" s="8" t="n">
        <v>31</v>
      </c>
      <c r="D25056" s="8" t="inlineStr">
        <is>
          <t>Disneyland Park</t>
        </is>
      </c>
      <c r="E25056" s="8" t="inlineStr">
        <is>
          <t>Pirates of the Caribbean</t>
        </is>
      </c>
      <c r="F25056" s="8" t="inlineStr">
        <is>
          <t>STANDBY</t>
        </is>
      </c>
      <c r="G25056" s="8" t="n">
        <v>35</v>
      </c>
      <c r="H25056" s="8" t="inlineStr">
        <is>
          <t>OPERATING</t>
        </is>
      </c>
    </row>
    <row r="25057">
      <c r="A25057" s="8" t="inlineStr">
        <is>
          <t>2026-08-05</t>
        </is>
      </c>
      <c r="B25057" s="8" t="n">
        <v>14</v>
      </c>
      <c r="C25057" s="8" t="n">
        <v>31</v>
      </c>
      <c r="D25057" s="8" t="inlineStr">
        <is>
          <t>Disneyland Park</t>
        </is>
      </c>
      <c r="E25057" s="8" t="inlineStr">
        <is>
          <t>Pirates' Beach</t>
        </is>
      </c>
      <c r="F25057" s="8" t="inlineStr">
        <is>
          <t>STANDBY</t>
        </is>
      </c>
      <c r="G25057" s="8" t="n">
        <v>0</v>
      </c>
      <c r="H25057" s="8" t="inlineStr">
        <is>
          <t>OPERATING</t>
        </is>
      </c>
    </row>
    <row r="25058">
      <c r="A25058" s="8" t="inlineStr">
        <is>
          <t>2026-08-05</t>
        </is>
      </c>
      <c r="B25058" s="8" t="n">
        <v>14</v>
      </c>
      <c r="C25058" s="8" t="n">
        <v>31</v>
      </c>
      <c r="D25058" s="8" t="inlineStr">
        <is>
          <t>Disneyland Park</t>
        </is>
      </c>
      <c r="E25058" s="8" t="inlineStr">
        <is>
          <t>Autopia, presented by Avis</t>
        </is>
      </c>
      <c r="F25058" s="8" t="inlineStr">
        <is>
          <t>STANDBY</t>
        </is>
      </c>
      <c r="G25058" s="8" t="n">
        <v>40</v>
      </c>
      <c r="H25058" s="8" t="inlineStr">
        <is>
          <t>OPERATING</t>
        </is>
      </c>
    </row>
    <row r="25059">
      <c r="A25059" s="8" t="inlineStr">
        <is>
          <t>2026-08-05</t>
        </is>
      </c>
      <c r="B25059" s="8" t="n">
        <v>14</v>
      </c>
      <c r="C25059" s="8" t="n">
        <v>31</v>
      </c>
      <c r="D25059" s="8" t="inlineStr">
        <is>
          <t>Disneyland Park</t>
        </is>
      </c>
      <c r="E25059" s="8" t="inlineStr">
        <is>
          <t>Buzz Lightyear Laser Blast</t>
        </is>
      </c>
      <c r="F25059" s="8" t="inlineStr">
        <is>
          <t>STANDBY</t>
        </is>
      </c>
      <c r="G25059" s="8" t="n">
        <v>40</v>
      </c>
      <c r="H25059" s="8" t="inlineStr">
        <is>
          <t>OPERATING</t>
        </is>
      </c>
    </row>
    <row r="25060">
      <c r="A25060" s="8" t="inlineStr">
        <is>
          <t>2026-08-05</t>
        </is>
      </c>
      <c r="B25060" s="8" t="n">
        <v>14</v>
      </c>
      <c r="C25060" s="8" t="n">
        <v>31</v>
      </c>
      <c r="D25060" s="8" t="inlineStr">
        <is>
          <t>Disneyland Park</t>
        </is>
      </c>
      <c r="E25060" s="8" t="inlineStr">
        <is>
          <t>Disneyland Railroad Discoveryland Station</t>
        </is>
      </c>
      <c r="F25060" s="8" t="inlineStr">
        <is>
          <t>STANDBY</t>
        </is>
      </c>
      <c r="G25060" s="8" t="n">
        <v>0</v>
      </c>
      <c r="H25060" s="8" t="inlineStr">
        <is>
          <t>CLOSED</t>
        </is>
      </c>
    </row>
    <row r="25061">
      <c r="A25061" s="8" t="inlineStr">
        <is>
          <t>2026-08-05</t>
        </is>
      </c>
      <c r="B25061" s="8" t="n">
        <v>14</v>
      </c>
      <c r="C25061" s="8" t="n">
        <v>31</v>
      </c>
      <c r="D25061" s="8" t="inlineStr">
        <is>
          <t>Disneyland Park</t>
        </is>
      </c>
      <c r="E25061" s="8" t="inlineStr">
        <is>
          <t>Les Mystères du Nautilus</t>
        </is>
      </c>
      <c r="F25061" s="8" t="inlineStr">
        <is>
          <t>STANDBY</t>
        </is>
      </c>
      <c r="G25061" s="8" t="n">
        <v>5</v>
      </c>
      <c r="H25061" s="8" t="inlineStr">
        <is>
          <t>OPERATING</t>
        </is>
      </c>
    </row>
    <row r="25062">
      <c r="A25062" s="8" t="inlineStr">
        <is>
          <t>2026-08-05</t>
        </is>
      </c>
      <c r="B25062" s="8" t="n">
        <v>14</v>
      </c>
      <c r="C25062" s="8" t="n">
        <v>31</v>
      </c>
      <c r="D25062" s="8" t="inlineStr">
        <is>
          <t>Disneyland Park</t>
        </is>
      </c>
      <c r="E25062" s="8" t="inlineStr">
        <is>
          <t>Mickey’s PhilharMagic</t>
        </is>
      </c>
      <c r="F25062" s="8" t="inlineStr">
        <is>
          <t>STANDBY</t>
        </is>
      </c>
      <c r="G25062" s="8" t="n">
        <v>0</v>
      </c>
      <c r="H25062" s="8" t="inlineStr">
        <is>
          <t>OPERATING</t>
        </is>
      </c>
    </row>
    <row r="25063">
      <c r="A25063" s="8" t="inlineStr">
        <is>
          <t>2026-08-05</t>
        </is>
      </c>
      <c r="B25063" s="8" t="n">
        <v>14</v>
      </c>
      <c r="C25063" s="8" t="n">
        <v>31</v>
      </c>
      <c r="D25063" s="8" t="inlineStr">
        <is>
          <t>Disneyland Park</t>
        </is>
      </c>
      <c r="E25063" s="8" t="inlineStr">
        <is>
          <t>Orbitron®</t>
        </is>
      </c>
      <c r="F25063" s="8" t="inlineStr">
        <is>
          <t>STANDBY</t>
        </is>
      </c>
      <c r="G25063" s="8" t="n">
        <v>50</v>
      </c>
      <c r="H25063" s="8" t="inlineStr">
        <is>
          <t>OPERATING</t>
        </is>
      </c>
    </row>
    <row r="25064">
      <c r="A25064" s="8" t="inlineStr">
        <is>
          <t>2026-08-05</t>
        </is>
      </c>
      <c r="B25064" s="8" t="n">
        <v>14</v>
      </c>
      <c r="C25064" s="8" t="n">
        <v>31</v>
      </c>
      <c r="D25064" s="8" t="inlineStr">
        <is>
          <t>Disneyland Park</t>
        </is>
      </c>
      <c r="E25064" s="8" t="inlineStr">
        <is>
          <t>Star Tours: The Adventures Continue*</t>
        </is>
      </c>
      <c r="F25064" s="8" t="inlineStr">
        <is>
          <t>STANDBY</t>
        </is>
      </c>
      <c r="G25064" s="8" t="n">
        <v>15</v>
      </c>
      <c r="H25064" s="8" t="inlineStr">
        <is>
          <t>OPERATING</t>
        </is>
      </c>
    </row>
    <row r="25065">
      <c r="A25065" s="8" t="inlineStr">
        <is>
          <t>2026-08-05</t>
        </is>
      </c>
      <c r="B25065" s="8" t="n">
        <v>14</v>
      </c>
      <c r="C25065" s="8" t="n">
        <v>31</v>
      </c>
      <c r="D25065" s="8" t="inlineStr">
        <is>
          <t>Disneyland Park</t>
        </is>
      </c>
      <c r="E25065" s="8" t="inlineStr">
        <is>
          <t>Star Wars Hyperspace Mountain</t>
        </is>
      </c>
      <c r="F25065" s="8" t="inlineStr">
        <is>
          <t>STANDBY</t>
        </is>
      </c>
      <c r="G25065" s="8" t="n">
        <v>45</v>
      </c>
      <c r="H25065" s="8" t="inlineStr">
        <is>
          <t>OPERATING</t>
        </is>
      </c>
    </row>
    <row r="25066">
      <c r="A25066" s="8" t="inlineStr">
        <is>
          <t>2026-08-05</t>
        </is>
      </c>
      <c r="B25066" s="8" t="n">
        <v>14</v>
      </c>
      <c r="C25066" s="8" t="n">
        <v>31</v>
      </c>
      <c r="D25066" s="8" t="inlineStr">
        <is>
          <t>Disneyland Park</t>
        </is>
      </c>
      <c r="E25066" s="8" t="inlineStr">
        <is>
          <t>Star Wars Hyperspace Mountain Single Rider</t>
        </is>
      </c>
      <c r="F25066" s="8" t="inlineStr">
        <is>
          <t>STANDBY</t>
        </is>
      </c>
      <c r="G25066" s="8" t="n">
        <v>30</v>
      </c>
      <c r="H25066" s="8" t="inlineStr">
        <is>
          <t>OPERATING</t>
        </is>
      </c>
    </row>
    <row r="25067">
      <c r="A25067" s="8" t="inlineStr">
        <is>
          <t>2026-08-05</t>
        </is>
      </c>
      <c r="B25067" s="8" t="n">
        <v>14</v>
      </c>
      <c r="C25067" s="8" t="n">
        <v>31</v>
      </c>
      <c r="D25067" s="8" t="inlineStr">
        <is>
          <t>Disneyland Park</t>
        </is>
      </c>
      <c r="E25067" s="8" t="inlineStr">
        <is>
          <t>Welcome to Starport: A Star Wars Encounter</t>
        </is>
      </c>
      <c r="F25067" s="8" t="inlineStr">
        <is>
          <t>STANDBY</t>
        </is>
      </c>
      <c r="G25067" s="8" t="n">
        <v>15</v>
      </c>
      <c r="H25067" s="8" t="inlineStr">
        <is>
          <t>OPERATING</t>
        </is>
      </c>
    </row>
    <row r="25068">
      <c r="A25068" s="8" t="inlineStr">
        <is>
          <t>2026-08-05</t>
        </is>
      </c>
      <c r="B25068" s="8" t="n">
        <v>14</v>
      </c>
      <c r="C25068" s="8" t="n">
        <v>31</v>
      </c>
      <c r="D25068" s="8" t="inlineStr">
        <is>
          <t>Disneyland Park</t>
        </is>
      </c>
      <c r="E25068" s="8" t="inlineStr">
        <is>
          <t>"it's a small world"</t>
        </is>
      </c>
      <c r="F25068" s="8" t="inlineStr">
        <is>
          <t>STANDBY</t>
        </is>
      </c>
      <c r="G25068" s="8" t="n">
        <v>15</v>
      </c>
      <c r="H25068" s="8" t="inlineStr">
        <is>
          <t>OPERATING</t>
        </is>
      </c>
    </row>
    <row r="25069">
      <c r="A25069" s="8" t="inlineStr">
        <is>
          <t>2026-08-05</t>
        </is>
      </c>
      <c r="B25069" s="8" t="n">
        <v>14</v>
      </c>
      <c r="C25069" s="8" t="n">
        <v>31</v>
      </c>
      <c r="D25069" s="8" t="inlineStr">
        <is>
          <t>Disneyland Park</t>
        </is>
      </c>
      <c r="E25069" s="8" t="inlineStr">
        <is>
          <t>Alice's Curious Labyrinth</t>
        </is>
      </c>
      <c r="F25069" s="8" t="inlineStr">
        <is>
          <t>STANDBY</t>
        </is>
      </c>
      <c r="G25069" s="8" t="n">
        <v>5</v>
      </c>
      <c r="H25069" s="8" t="inlineStr">
        <is>
          <t>OPERATING</t>
        </is>
      </c>
    </row>
    <row r="25070">
      <c r="A25070" s="8" t="inlineStr">
        <is>
          <t>2026-08-05</t>
        </is>
      </c>
      <c r="B25070" s="8" t="n">
        <v>14</v>
      </c>
      <c r="C25070" s="8" t="n">
        <v>31</v>
      </c>
      <c r="D25070" s="8" t="inlineStr">
        <is>
          <t>Disneyland Park</t>
        </is>
      </c>
      <c r="E25070" s="8" t="inlineStr">
        <is>
          <t>Blanche-Neige et les Sept Nains®</t>
        </is>
      </c>
      <c r="F25070" s="8" t="inlineStr">
        <is>
          <t>STANDBY</t>
        </is>
      </c>
      <c r="G25070" s="8" t="n">
        <v>0</v>
      </c>
      <c r="H25070" s="8" t="inlineStr">
        <is>
          <t>CLOSED</t>
        </is>
      </c>
    </row>
    <row r="25071">
      <c r="A25071" s="8" t="inlineStr">
        <is>
          <t>2026-08-05</t>
        </is>
      </c>
      <c r="B25071" s="8" t="n">
        <v>14</v>
      </c>
      <c r="C25071" s="8" t="n">
        <v>31</v>
      </c>
      <c r="D25071" s="8" t="inlineStr">
        <is>
          <t>Disneyland Park</t>
        </is>
      </c>
      <c r="E25071" s="8" t="inlineStr">
        <is>
          <t>Casey Jr. – le Petit Train du Cirque</t>
        </is>
      </c>
      <c r="F25071" s="8" t="inlineStr">
        <is>
          <t>STANDBY</t>
        </is>
      </c>
      <c r="G25071" s="8" t="n">
        <v>20</v>
      </c>
      <c r="H25071" s="8" t="inlineStr">
        <is>
          <t>OPERATING</t>
        </is>
      </c>
    </row>
    <row r="25072">
      <c r="A25072" s="8" t="inlineStr">
        <is>
          <t>2026-08-05</t>
        </is>
      </c>
      <c r="B25072" s="8" t="n">
        <v>14</v>
      </c>
      <c r="C25072" s="8" t="n">
        <v>31</v>
      </c>
      <c r="D25072" s="8" t="inlineStr">
        <is>
          <t>Disneyland Park</t>
        </is>
      </c>
      <c r="E25072" s="8" t="inlineStr">
        <is>
          <t>Disneyland Railroad Fantasyland Station</t>
        </is>
      </c>
      <c r="F25072" s="8" t="inlineStr">
        <is>
          <t>STANDBY</t>
        </is>
      </c>
      <c r="G25072" s="8" t="n">
        <v>0</v>
      </c>
      <c r="H25072" s="8" t="inlineStr">
        <is>
          <t>CLOSED</t>
        </is>
      </c>
    </row>
    <row r="25073">
      <c r="A25073" s="8" t="inlineStr">
        <is>
          <t>2026-08-05</t>
        </is>
      </c>
      <c r="B25073" s="8" t="n">
        <v>14</v>
      </c>
      <c r="C25073" s="8" t="n">
        <v>31</v>
      </c>
      <c r="D25073" s="8" t="inlineStr">
        <is>
          <t>Disneyland Park</t>
        </is>
      </c>
      <c r="E25073" s="8" t="inlineStr">
        <is>
          <t>Disneyland Railroad Main Street Station</t>
        </is>
      </c>
      <c r="F25073" s="8" t="inlineStr">
        <is>
          <t>STANDBY</t>
        </is>
      </c>
      <c r="G25073" s="8" t="n">
        <v>10</v>
      </c>
      <c r="H25073" s="8" t="inlineStr">
        <is>
          <t>OPERATING</t>
        </is>
      </c>
    </row>
    <row r="25074">
      <c r="A25074" s="8" t="inlineStr">
        <is>
          <t>2026-08-05</t>
        </is>
      </c>
      <c r="B25074" s="8" t="n">
        <v>14</v>
      </c>
      <c r="C25074" s="8" t="n">
        <v>31</v>
      </c>
      <c r="D25074" s="8" t="inlineStr">
        <is>
          <t>Disneyland Park</t>
        </is>
      </c>
      <c r="E25074" s="8" t="inlineStr">
        <is>
          <t>Dumbo the Flying Elephant</t>
        </is>
      </c>
      <c r="F25074" s="8" t="inlineStr">
        <is>
          <t>STANDBY</t>
        </is>
      </c>
      <c r="G25074" s="8" t="n">
        <v>55</v>
      </c>
      <c r="H25074" s="8" t="inlineStr">
        <is>
          <t>OPERATING</t>
        </is>
      </c>
    </row>
    <row r="25075">
      <c r="A25075" s="8" t="inlineStr">
        <is>
          <t>2026-08-05</t>
        </is>
      </c>
      <c r="B25075" s="8" t="n">
        <v>14</v>
      </c>
      <c r="C25075" s="8" t="n">
        <v>31</v>
      </c>
      <c r="D25075" s="8" t="inlineStr">
        <is>
          <t>Disneyland Park</t>
        </is>
      </c>
      <c r="E25075" s="8" t="inlineStr">
        <is>
          <t>La Tanière du Dragon</t>
        </is>
      </c>
      <c r="F25075" s="8" t="inlineStr">
        <is>
          <t>STANDBY</t>
        </is>
      </c>
      <c r="G25075" s="8" t="n">
        <v>0</v>
      </c>
      <c r="H25075" s="8" t="inlineStr">
        <is>
          <t>OPERATING</t>
        </is>
      </c>
    </row>
    <row r="25076">
      <c r="A25076" s="8" t="inlineStr">
        <is>
          <t>2026-08-05</t>
        </is>
      </c>
      <c r="B25076" s="8" t="n">
        <v>14</v>
      </c>
      <c r="C25076" s="8" t="n">
        <v>31</v>
      </c>
      <c r="D25076" s="8" t="inlineStr">
        <is>
          <t>Disneyland Park</t>
        </is>
      </c>
      <c r="E25076" s="8" t="inlineStr">
        <is>
          <t>Le Carrousel de Lancelot</t>
        </is>
      </c>
      <c r="F25076" s="8" t="inlineStr">
        <is>
          <t>STANDBY</t>
        </is>
      </c>
      <c r="G25076" s="8" t="n">
        <v>25</v>
      </c>
      <c r="H25076" s="8" t="inlineStr">
        <is>
          <t>OPERATING</t>
        </is>
      </c>
    </row>
    <row r="25077">
      <c r="A25077" s="8" t="inlineStr">
        <is>
          <t>2026-08-05</t>
        </is>
      </c>
      <c r="B25077" s="8" t="n">
        <v>14</v>
      </c>
      <c r="C25077" s="8" t="n">
        <v>31</v>
      </c>
      <c r="D25077" s="8" t="inlineStr">
        <is>
          <t>Disneyland Park</t>
        </is>
      </c>
      <c r="E25077" s="8" t="inlineStr">
        <is>
          <t>Le Pays des Contes de Fées, presented by Vittel</t>
        </is>
      </c>
      <c r="F25077" s="8" t="inlineStr">
        <is>
          <t>STANDBY</t>
        </is>
      </c>
      <c r="G25077" s="8" t="n">
        <v>5</v>
      </c>
      <c r="H25077" s="8" t="inlineStr">
        <is>
          <t>OPERATING</t>
        </is>
      </c>
    </row>
    <row r="25078">
      <c r="A25078" s="8" t="inlineStr">
        <is>
          <t>2026-08-05</t>
        </is>
      </c>
      <c r="B25078" s="8" t="n">
        <v>14</v>
      </c>
      <c r="C25078" s="8" t="n">
        <v>31</v>
      </c>
      <c r="D25078" s="8" t="inlineStr">
        <is>
          <t>Disneyland Park</t>
        </is>
      </c>
      <c r="E25078" s="8" t="inlineStr">
        <is>
          <t>Les Voyages de Pinocchio</t>
        </is>
      </c>
      <c r="F25078" s="8" t="inlineStr">
        <is>
          <t>STANDBY</t>
        </is>
      </c>
      <c r="G25078" s="8" t="n">
        <v>30</v>
      </c>
      <c r="H25078" s="8" t="inlineStr">
        <is>
          <t>OPERATING</t>
        </is>
      </c>
    </row>
    <row r="25079">
      <c r="A25079" s="8" t="inlineStr">
        <is>
          <t>2026-08-05</t>
        </is>
      </c>
      <c r="B25079" s="8" t="n">
        <v>14</v>
      </c>
      <c r="C25079" s="8" t="n">
        <v>31</v>
      </c>
      <c r="D25079" s="8" t="inlineStr">
        <is>
          <t>Disneyland Park</t>
        </is>
      </c>
      <c r="E25079" s="8" t="inlineStr">
        <is>
          <t>Mad Hatter's Tea Cups</t>
        </is>
      </c>
      <c r="F25079" s="8" t="inlineStr">
        <is>
          <t>STANDBY</t>
        </is>
      </c>
      <c r="G25079" s="8" t="n">
        <v>10</v>
      </c>
      <c r="H25079" s="8" t="inlineStr">
        <is>
          <t>OPERATING</t>
        </is>
      </c>
    </row>
    <row r="25080">
      <c r="A25080" s="8" t="inlineStr">
        <is>
          <t>2026-08-05</t>
        </is>
      </c>
      <c r="B25080" s="8" t="n">
        <v>14</v>
      </c>
      <c r="C25080" s="8" t="n">
        <v>31</v>
      </c>
      <c r="D25080" s="8" t="inlineStr">
        <is>
          <t>Disneyland Park</t>
        </is>
      </c>
      <c r="E25080" s="8" t="inlineStr">
        <is>
          <t>Meet Mickey Mouse</t>
        </is>
      </c>
      <c r="F25080" s="8" t="inlineStr">
        <is>
          <t>STANDBY</t>
        </is>
      </c>
      <c r="G25080" s="8" t="n">
        <v>0</v>
      </c>
      <c r="H25080" s="8" t="inlineStr">
        <is>
          <t>OPERATING</t>
        </is>
      </c>
    </row>
    <row r="25081">
      <c r="A25081" s="8" t="inlineStr">
        <is>
          <t>2026-08-05</t>
        </is>
      </c>
      <c r="B25081" s="8" t="n">
        <v>14</v>
      </c>
      <c r="C25081" s="8" t="n">
        <v>31</v>
      </c>
      <c r="D25081" s="8" t="inlineStr">
        <is>
          <t>Disneyland Park</t>
        </is>
      </c>
      <c r="E25081" s="8" t="inlineStr">
        <is>
          <t>Peter Pan's Flight</t>
        </is>
      </c>
      <c r="F25081" s="8" t="inlineStr">
        <is>
          <t>STANDBY</t>
        </is>
      </c>
      <c r="G25081" s="8" t="n">
        <v>60</v>
      </c>
      <c r="H25081" s="8" t="inlineStr">
        <is>
          <t>OPERATING</t>
        </is>
      </c>
    </row>
    <row r="25082">
      <c r="A25082" s="8" t="inlineStr">
        <is>
          <t>2026-08-05</t>
        </is>
      </c>
      <c r="B25082" s="8" t="n">
        <v>14</v>
      </c>
      <c r="C25082" s="8" t="n">
        <v>31</v>
      </c>
      <c r="D25082" s="8" t="inlineStr">
        <is>
          <t>Disneyland Park</t>
        </is>
      </c>
      <c r="E25082" s="8" t="inlineStr">
        <is>
          <t>Princess Pavilion</t>
        </is>
      </c>
      <c r="F25082" s="8" t="inlineStr">
        <is>
          <t>STANDBY</t>
        </is>
      </c>
      <c r="G25082" s="8" t="n">
        <v>0</v>
      </c>
      <c r="H25082" s="8" t="inlineStr">
        <is>
          <t>OPERATING</t>
        </is>
      </c>
    </row>
    <row r="25083">
      <c r="A25083" s="8" t="inlineStr">
        <is>
          <t>2026-08-05</t>
        </is>
      </c>
      <c r="B25083" s="8" t="n">
        <v>14</v>
      </c>
      <c r="C25083" s="8" t="n">
        <v>31</v>
      </c>
      <c r="D25083" s="8" t="inlineStr">
        <is>
          <t>Disneyland Park</t>
        </is>
      </c>
      <c r="E25083" s="8" t="inlineStr">
        <is>
          <t>Big Thunder Mountain</t>
        </is>
      </c>
      <c r="F25083" s="8" t="inlineStr">
        <is>
          <t>STANDBY</t>
        </is>
      </c>
      <c r="G25083" s="8" t="n">
        <v>80</v>
      </c>
      <c r="H25083" s="8" t="inlineStr">
        <is>
          <t>OPERATING</t>
        </is>
      </c>
    </row>
    <row r="25084">
      <c r="A25084" s="8" t="inlineStr">
        <is>
          <t>2026-08-05</t>
        </is>
      </c>
      <c r="B25084" s="8" t="n">
        <v>14</v>
      </c>
      <c r="C25084" s="8" t="n">
        <v>31</v>
      </c>
      <c r="D25084" s="8" t="inlineStr">
        <is>
          <t>Disneyland Park</t>
        </is>
      </c>
      <c r="E25084" s="8" t="inlineStr">
        <is>
          <t>Disneyland Railroad Frontierland Depot</t>
        </is>
      </c>
      <c r="F25084" s="8" t="inlineStr">
        <is>
          <t>STANDBY</t>
        </is>
      </c>
      <c r="G25084" s="8" t="n">
        <v>20</v>
      </c>
      <c r="H25084" s="8" t="inlineStr">
        <is>
          <t>OPERATING</t>
        </is>
      </c>
    </row>
    <row r="25085">
      <c r="A25085" s="8" t="inlineStr">
        <is>
          <t>2026-08-05</t>
        </is>
      </c>
      <c r="B25085" s="8" t="n">
        <v>14</v>
      </c>
      <c r="C25085" s="8" t="n">
        <v>31</v>
      </c>
      <c r="D25085" s="8" t="inlineStr">
        <is>
          <t>Disneyland Park</t>
        </is>
      </c>
      <c r="E25085" s="8" t="inlineStr">
        <is>
          <t>Frontierland Playground</t>
        </is>
      </c>
      <c r="F25085" s="8" t="inlineStr">
        <is>
          <t>STANDBY</t>
        </is>
      </c>
      <c r="G25085" s="8" t="n">
        <v>0</v>
      </c>
      <c r="H25085" s="8" t="inlineStr">
        <is>
          <t>OPERATING</t>
        </is>
      </c>
    </row>
    <row r="25086">
      <c r="A25086" s="8" t="inlineStr">
        <is>
          <t>2026-08-05</t>
        </is>
      </c>
      <c r="B25086" s="8" t="n">
        <v>14</v>
      </c>
      <c r="C25086" s="8" t="n">
        <v>31</v>
      </c>
      <c r="D25086" s="8" t="inlineStr">
        <is>
          <t>Disneyland Park</t>
        </is>
      </c>
      <c r="E25086" s="8" t="inlineStr">
        <is>
          <t>Phantom Manor</t>
        </is>
      </c>
      <c r="F25086" s="8" t="inlineStr">
        <is>
          <t>STANDBY</t>
        </is>
      </c>
      <c r="G25086" s="8" t="n">
        <v>20</v>
      </c>
      <c r="H25086" s="8" t="inlineStr">
        <is>
          <t>OPERATING</t>
        </is>
      </c>
    </row>
    <row r="25087">
      <c r="A25087" s="8" t="inlineStr">
        <is>
          <t>2026-08-05</t>
        </is>
      </c>
      <c r="B25087" s="8" t="n">
        <v>14</v>
      </c>
      <c r="C25087" s="8" t="n">
        <v>31</v>
      </c>
      <c r="D25087" s="8" t="inlineStr">
        <is>
          <t>Disneyland Park</t>
        </is>
      </c>
      <c r="E25087" s="8" t="inlineStr">
        <is>
          <t>River Rogue Keelboats</t>
        </is>
      </c>
      <c r="F25087" s="8" t="inlineStr">
        <is>
          <t>STANDBY</t>
        </is>
      </c>
      <c r="G25087" s="8" t="n">
        <v>0</v>
      </c>
      <c r="H25087" s="8" t="inlineStr">
        <is>
          <t>CLOSED</t>
        </is>
      </c>
    </row>
    <row r="25088">
      <c r="A25088" s="8" t="inlineStr">
        <is>
          <t>2026-08-05</t>
        </is>
      </c>
      <c r="B25088" s="8" t="n">
        <v>14</v>
      </c>
      <c r="C25088" s="8" t="n">
        <v>31</v>
      </c>
      <c r="D25088" s="8" t="inlineStr">
        <is>
          <t>Disneyland Park</t>
        </is>
      </c>
      <c r="E25088" s="8" t="inlineStr">
        <is>
          <t>Rustler Roundup Shootin' Gallery</t>
        </is>
      </c>
      <c r="F25088" s="8" t="inlineStr">
        <is>
          <t>STANDBY</t>
        </is>
      </c>
      <c r="G25088" s="8" t="n">
        <v>0</v>
      </c>
      <c r="H25088" s="8" t="inlineStr">
        <is>
          <t>OPERATING</t>
        </is>
      </c>
    </row>
    <row r="25089">
      <c r="A25089" s="8" t="inlineStr">
        <is>
          <t>2026-08-05</t>
        </is>
      </c>
      <c r="B25089" s="8" t="n">
        <v>14</v>
      </c>
      <c r="C25089" s="8" t="n">
        <v>31</v>
      </c>
      <c r="D25089" s="8" t="inlineStr">
        <is>
          <t>Disneyland Park</t>
        </is>
      </c>
      <c r="E25089" s="8" t="inlineStr">
        <is>
          <t>Thunder Mesa Riverboat Landing</t>
        </is>
      </c>
      <c r="F25089" s="8" t="inlineStr">
        <is>
          <t>STANDBY</t>
        </is>
      </c>
      <c r="G25089" s="8" t="n">
        <v>20</v>
      </c>
      <c r="H25089" s="8" t="inlineStr">
        <is>
          <t>OPERATING</t>
        </is>
      </c>
    </row>
    <row r="25090">
      <c r="A25090" s="8" t="inlineStr">
        <is>
          <t>2026-08-05</t>
        </is>
      </c>
      <c r="B25090" s="8" t="n">
        <v>14</v>
      </c>
      <c r="C25090" s="8" t="n">
        <v>31</v>
      </c>
      <c r="D25090" s="8" t="inlineStr">
        <is>
          <t>Disneyland Park</t>
        </is>
      </c>
      <c r="E25090" s="8" t="inlineStr">
        <is>
          <t>Disneyland Railroad Main Street Station</t>
        </is>
      </c>
      <c r="F25090" s="8" t="inlineStr">
        <is>
          <t>STANDBY</t>
        </is>
      </c>
      <c r="G25090" s="8" t="n">
        <v>0</v>
      </c>
      <c r="H25090" s="8" t="inlineStr">
        <is>
          <t>OPERATING</t>
        </is>
      </c>
    </row>
    <row r="25091">
      <c r="A25091" s="8" t="inlineStr">
        <is>
          <t>2026-08-05</t>
        </is>
      </c>
      <c r="B25091" s="8" t="n">
        <v>14</v>
      </c>
      <c r="C25091" s="8" t="n">
        <v>31</v>
      </c>
      <c r="D25091" s="8" t="inlineStr">
        <is>
          <t>Disneyland Park</t>
        </is>
      </c>
      <c r="E25091" s="8" t="inlineStr">
        <is>
          <t>Main Street Vehicles</t>
        </is>
      </c>
      <c r="F25091" s="8" t="inlineStr">
        <is>
          <t>STANDBY</t>
        </is>
      </c>
      <c r="G25091" s="8" t="n">
        <v>0</v>
      </c>
      <c r="H25091" s="8" t="inlineStr">
        <is>
          <t>CLOSED</t>
        </is>
      </c>
    </row>
    <row r="25092">
      <c r="A25092" s="8" t="inlineStr">
        <is>
          <t>2026-08-05</t>
        </is>
      </c>
      <c r="B25092" s="8" t="n">
        <v>14</v>
      </c>
      <c r="C25092" s="8" t="n">
        <v>31</v>
      </c>
      <c r="D25092" s="8" t="inlineStr">
        <is>
          <t>Disney Adventure World</t>
        </is>
      </c>
      <c r="E25092" s="8" t="inlineStr">
        <is>
          <t>Avengers Assemble: Flight Force</t>
        </is>
      </c>
      <c r="F25092" s="8" t="inlineStr">
        <is>
          <t>STANDBY</t>
        </is>
      </c>
      <c r="G25092" s="8" t="n">
        <v>35</v>
      </c>
      <c r="H25092" s="8" t="inlineStr">
        <is>
          <t>OPERATING</t>
        </is>
      </c>
    </row>
    <row r="25093">
      <c r="A25093" s="8" t="inlineStr">
        <is>
          <t>2026-08-05</t>
        </is>
      </c>
      <c r="B25093" s="8" t="n">
        <v>14</v>
      </c>
      <c r="C25093" s="8" t="n">
        <v>31</v>
      </c>
      <c r="D25093" s="8" t="inlineStr">
        <is>
          <t>Disney Adventure World</t>
        </is>
      </c>
      <c r="E25093" s="8" t="inlineStr">
        <is>
          <t>Avengers Assemble: Flight Force Single Rider</t>
        </is>
      </c>
      <c r="F25093" s="8" t="inlineStr">
        <is>
          <t>STANDBY</t>
        </is>
      </c>
      <c r="G25093" s="8" t="n">
        <v>25</v>
      </c>
      <c r="H25093" s="8" t="inlineStr">
        <is>
          <t>OPERATING</t>
        </is>
      </c>
    </row>
    <row r="25094">
      <c r="A25094" s="8" t="inlineStr">
        <is>
          <t>2026-08-05</t>
        </is>
      </c>
      <c r="B25094" s="8" t="n">
        <v>14</v>
      </c>
      <c r="C25094" s="8" t="n">
        <v>31</v>
      </c>
      <c r="D25094" s="8" t="inlineStr">
        <is>
          <t>Disney Adventure World</t>
        </is>
      </c>
      <c r="E25094" s="8" t="inlineStr">
        <is>
          <t>Spider-Man W.E.B. Adventure</t>
        </is>
      </c>
      <c r="F25094" s="8" t="inlineStr">
        <is>
          <t>STANDBY</t>
        </is>
      </c>
      <c r="G25094" s="8" t="n">
        <v>45</v>
      </c>
      <c r="H25094" s="8" t="inlineStr">
        <is>
          <t>OPERATING</t>
        </is>
      </c>
    </row>
    <row r="25095">
      <c r="A25095" s="8" t="inlineStr">
        <is>
          <t>2026-08-05</t>
        </is>
      </c>
      <c r="B25095" s="8" t="n">
        <v>14</v>
      </c>
      <c r="C25095" s="8" t="n">
        <v>31</v>
      </c>
      <c r="D25095" s="8" t="inlineStr">
        <is>
          <t>Disney Adventure World</t>
        </is>
      </c>
      <c r="E25095" s="8" t="inlineStr">
        <is>
          <t>Spider-Man W.E.B. Adventure Single Rider</t>
        </is>
      </c>
      <c r="F25095" s="8" t="inlineStr">
        <is>
          <t>STANDBY</t>
        </is>
      </c>
      <c r="G25095" s="8" t="n">
        <v>25</v>
      </c>
      <c r="H25095" s="8" t="inlineStr">
        <is>
          <t>OPERATING</t>
        </is>
      </c>
    </row>
    <row r="25096">
      <c r="A25096" s="8" t="inlineStr">
        <is>
          <t>2026-08-05</t>
        </is>
      </c>
      <c r="B25096" s="8" t="n">
        <v>14</v>
      </c>
      <c r="C25096" s="8" t="n">
        <v>31</v>
      </c>
      <c r="D25096" s="8" t="inlineStr">
        <is>
          <t>Disney Adventure World</t>
        </is>
      </c>
      <c r="E25096" s="8" t="inlineStr">
        <is>
          <t>The Twilight Zone Tower of Terror</t>
        </is>
      </c>
      <c r="F25096" s="8" t="inlineStr">
        <is>
          <t>STANDBY</t>
        </is>
      </c>
      <c r="G25096" s="8" t="n">
        <v>70</v>
      </c>
      <c r="H25096" s="8" t="inlineStr">
        <is>
          <t>OPERATING</t>
        </is>
      </c>
    </row>
    <row r="25097">
      <c r="A25097" s="8" t="inlineStr">
        <is>
          <t>2026-08-05</t>
        </is>
      </c>
      <c r="B25097" s="8" t="n">
        <v>14</v>
      </c>
      <c r="C25097" s="8" t="n">
        <v>31</v>
      </c>
      <c r="D25097" s="8" t="inlineStr">
        <is>
          <t>Disney Adventure World</t>
        </is>
      </c>
      <c r="E25097" s="8" t="inlineStr">
        <is>
          <t>Cars Quatre Roues Rallye</t>
        </is>
      </c>
      <c r="F25097" s="8" t="inlineStr">
        <is>
          <t>STANDBY</t>
        </is>
      </c>
      <c r="G25097" s="8" t="n">
        <v>20</v>
      </c>
      <c r="H25097" s="8" t="inlineStr">
        <is>
          <t>OPERATING</t>
        </is>
      </c>
    </row>
    <row r="25098">
      <c r="A25098" s="8" t="inlineStr">
        <is>
          <t>2026-08-05</t>
        </is>
      </c>
      <c r="B25098" s="8" t="n">
        <v>14</v>
      </c>
      <c r="C25098" s="8" t="n">
        <v>31</v>
      </c>
      <c r="D25098" s="8" t="inlineStr">
        <is>
          <t>Disney Adventure World</t>
        </is>
      </c>
      <c r="E25098" s="8" t="inlineStr">
        <is>
          <t>Cars ROAD TRIP</t>
        </is>
      </c>
      <c r="F25098" s="8" t="inlineStr">
        <is>
          <t>STANDBY</t>
        </is>
      </c>
      <c r="G25098" s="8" t="n">
        <v>15</v>
      </c>
      <c r="H25098" s="8" t="inlineStr">
        <is>
          <t>OPERATING</t>
        </is>
      </c>
    </row>
    <row r="25099">
      <c r="A25099" s="8" t="inlineStr">
        <is>
          <t>2026-08-05</t>
        </is>
      </c>
      <c r="B25099" s="8" t="n">
        <v>14</v>
      </c>
      <c r="C25099" s="8" t="n">
        <v>31</v>
      </c>
      <c r="D25099" s="8" t="inlineStr">
        <is>
          <t>Disney Adventure World</t>
        </is>
      </c>
      <c r="E25099" s="8" t="inlineStr">
        <is>
          <t>Crush's Coaster</t>
        </is>
      </c>
      <c r="F25099" s="8" t="inlineStr">
        <is>
          <t>STANDBY</t>
        </is>
      </c>
      <c r="G25099" s="8" t="n">
        <v>70</v>
      </c>
      <c r="H25099" s="8" t="inlineStr">
        <is>
          <t>OPERATING</t>
        </is>
      </c>
    </row>
    <row r="25100">
      <c r="A25100" s="8" t="inlineStr">
        <is>
          <t>2026-08-05</t>
        </is>
      </c>
      <c r="B25100" s="8" t="n">
        <v>14</v>
      </c>
      <c r="C25100" s="8" t="n">
        <v>31</v>
      </c>
      <c r="D25100" s="8" t="inlineStr">
        <is>
          <t>Disney Adventure World</t>
        </is>
      </c>
      <c r="E25100" s="8" t="inlineStr">
        <is>
          <t>Crush's Coaster Single Rider</t>
        </is>
      </c>
      <c r="F25100" s="8" t="inlineStr">
        <is>
          <t>STANDBY</t>
        </is>
      </c>
      <c r="G25100" s="8" t="n">
        <v>45</v>
      </c>
      <c r="H25100" s="8" t="inlineStr">
        <is>
          <t>OPERATING</t>
        </is>
      </c>
    </row>
    <row r="25101">
      <c r="A25101" s="8" t="inlineStr">
        <is>
          <t>2026-08-05</t>
        </is>
      </c>
      <c r="B25101" s="8" t="n">
        <v>14</v>
      </c>
      <c r="C25101" s="8" t="n">
        <v>31</v>
      </c>
      <c r="D25101" s="8" t="inlineStr">
        <is>
          <t>Disney Adventure World</t>
        </is>
      </c>
      <c r="E25101" s="8" t="inlineStr">
        <is>
          <t>Les Tapis Volants - Flying Carpets Over Agrabah®</t>
        </is>
      </c>
      <c r="F25101" s="8" t="inlineStr">
        <is>
          <t>STANDBY</t>
        </is>
      </c>
      <c r="G25101" s="8" t="n">
        <v>25</v>
      </c>
      <c r="H25101" s="8" t="inlineStr">
        <is>
          <t>OPERATING</t>
        </is>
      </c>
    </row>
    <row r="25102">
      <c r="A25102" s="8" t="inlineStr">
        <is>
          <t>2026-08-05</t>
        </is>
      </c>
      <c r="B25102" s="8" t="n">
        <v>14</v>
      </c>
      <c r="C25102" s="8" t="n">
        <v>31</v>
      </c>
      <c r="D25102" s="8" t="inlineStr">
        <is>
          <t>Disney Adventure World</t>
        </is>
      </c>
      <c r="E25102" s="8" t="inlineStr">
        <is>
          <t>Ratatouille : L’Aventure Totalement Toquée de Rémy​</t>
        </is>
      </c>
      <c r="F25102" s="8" t="inlineStr">
        <is>
          <t>STANDBY</t>
        </is>
      </c>
      <c r="G25102" s="8" t="n">
        <v>70</v>
      </c>
      <c r="H25102" s="8" t="inlineStr">
        <is>
          <t>OPERATING</t>
        </is>
      </c>
    </row>
    <row r="25103">
      <c r="A25103" s="8" t="inlineStr">
        <is>
          <t>2026-08-05</t>
        </is>
      </c>
      <c r="B25103" s="8" t="n">
        <v>14</v>
      </c>
      <c r="C25103" s="8" t="n">
        <v>31</v>
      </c>
      <c r="D25103" s="8" t="inlineStr">
        <is>
          <t>Disney Adventure World</t>
        </is>
      </c>
      <c r="E25103" s="8" t="inlineStr">
        <is>
          <t>Ratatouille: The Adventure Single Rider</t>
        </is>
      </c>
      <c r="F25103" s="8" t="inlineStr">
        <is>
          <t>STANDBY</t>
        </is>
      </c>
      <c r="G25103" s="8" t="n">
        <v>30</v>
      </c>
      <c r="H25103" s="8" t="inlineStr">
        <is>
          <t>OPERATING</t>
        </is>
      </c>
    </row>
    <row r="25104">
      <c r="A25104" s="8" t="inlineStr">
        <is>
          <t>2026-08-05</t>
        </is>
      </c>
      <c r="B25104" s="8" t="n">
        <v>14</v>
      </c>
      <c r="C25104" s="8" t="n">
        <v>31</v>
      </c>
      <c r="D25104" s="8" t="inlineStr">
        <is>
          <t>Disney Adventure World</t>
        </is>
      </c>
      <c r="E25104" s="8" t="inlineStr">
        <is>
          <t>RC Racer</t>
        </is>
      </c>
      <c r="F25104" s="8" t="inlineStr">
        <is>
          <t>STANDBY</t>
        </is>
      </c>
      <c r="G25104" s="8" t="n">
        <v>50</v>
      </c>
      <c r="H25104" s="8" t="inlineStr">
        <is>
          <t>OPERATING</t>
        </is>
      </c>
    </row>
    <row r="25105">
      <c r="A25105" s="8" t="inlineStr">
        <is>
          <t>2026-08-05</t>
        </is>
      </c>
      <c r="B25105" s="8" t="n">
        <v>14</v>
      </c>
      <c r="C25105" s="8" t="n">
        <v>31</v>
      </c>
      <c r="D25105" s="8" t="inlineStr">
        <is>
          <t>Disney Adventure World</t>
        </is>
      </c>
      <c r="E25105" s="8" t="inlineStr">
        <is>
          <t>RC Racer Single Rider</t>
        </is>
      </c>
      <c r="F25105" s="8" t="inlineStr">
        <is>
          <t>STANDBY</t>
        </is>
      </c>
      <c r="G25105" s="8" t="n">
        <v>45</v>
      </c>
      <c r="H25105" s="8" t="inlineStr">
        <is>
          <t>OPERATING</t>
        </is>
      </c>
    </row>
    <row r="25106">
      <c r="A25106" s="8" t="inlineStr">
        <is>
          <t>2026-08-05</t>
        </is>
      </c>
      <c r="B25106" s="8" t="n">
        <v>14</v>
      </c>
      <c r="C25106" s="8" t="n">
        <v>31</v>
      </c>
      <c r="D25106" s="8" t="inlineStr">
        <is>
          <t>Disney Adventure World</t>
        </is>
      </c>
      <c r="E25106" s="8" t="inlineStr">
        <is>
          <t>Slinky® Dog Zigzag Spin</t>
        </is>
      </c>
      <c r="F25106" s="8" t="inlineStr">
        <is>
          <t>STANDBY</t>
        </is>
      </c>
      <c r="G25106" s="8" t="n">
        <v>35</v>
      </c>
      <c r="H25106" s="8" t="inlineStr">
        <is>
          <t>OPERATING</t>
        </is>
      </c>
    </row>
    <row r="25107">
      <c r="A25107" s="8" t="inlineStr">
        <is>
          <t>2026-08-05</t>
        </is>
      </c>
      <c r="B25107" s="8" t="n">
        <v>14</v>
      </c>
      <c r="C25107" s="8" t="n">
        <v>31</v>
      </c>
      <c r="D25107" s="8" t="inlineStr">
        <is>
          <t>Disney Adventure World</t>
        </is>
      </c>
      <c r="E25107" s="8" t="inlineStr">
        <is>
          <t>Toy Soldiers Parachute Drop</t>
        </is>
      </c>
      <c r="F25107" s="8" t="inlineStr">
        <is>
          <t>STANDBY</t>
        </is>
      </c>
      <c r="G25107" s="8" t="n">
        <v>55</v>
      </c>
      <c r="H25107" s="8" t="inlineStr">
        <is>
          <t>OPERATING</t>
        </is>
      </c>
    </row>
    <row r="25108">
      <c r="A25108" s="8" t="inlineStr">
        <is>
          <t>2026-08-05</t>
        </is>
      </c>
      <c r="B25108" s="8" t="n">
        <v>14</v>
      </c>
      <c r="C25108" s="8" t="n">
        <v>31</v>
      </c>
      <c r="D25108" s="8" t="inlineStr">
        <is>
          <t>Disney Adventure World</t>
        </is>
      </c>
      <c r="E25108" s="8" t="inlineStr">
        <is>
          <t>Toy Soldiers Parachute Drop Single Rider</t>
        </is>
      </c>
      <c r="F25108" s="8" t="inlineStr">
        <is>
          <t>STANDBY</t>
        </is>
      </c>
      <c r="G25108" s="8" t="n">
        <v>20</v>
      </c>
      <c r="H25108" s="8" t="inlineStr">
        <is>
          <t>OPERATING</t>
        </is>
      </c>
    </row>
    <row r="25109">
      <c r="A25109" s="8" t="inlineStr">
        <is>
          <t>2026-08-05</t>
        </is>
      </c>
      <c r="B25109" s="8" t="n">
        <v>14</v>
      </c>
      <c r="C25109" s="8" t="n">
        <v>31</v>
      </c>
      <c r="D25109" s="8" t="inlineStr">
        <is>
          <t>Disney Adventure World</t>
        </is>
      </c>
      <c r="E25109" s="8" t="inlineStr">
        <is>
          <t>Entry to World of Frozen</t>
        </is>
      </c>
      <c r="F25109" s="8" t="inlineStr">
        <is>
          <t>STANDBY</t>
        </is>
      </c>
      <c r="G25109" s="8" t="n">
        <v>0</v>
      </c>
      <c r="H25109" s="8" t="inlineStr">
        <is>
          <t>OPERATING</t>
        </is>
      </c>
    </row>
    <row r="25110">
      <c r="A25110" s="8" t="inlineStr">
        <is>
          <t>2026-08-05</t>
        </is>
      </c>
      <c r="B25110" s="8" t="n">
        <v>14</v>
      </c>
      <c r="C25110" s="8" t="n">
        <v>31</v>
      </c>
      <c r="D25110" s="8" t="inlineStr">
        <is>
          <t>Disney Adventure World</t>
        </is>
      </c>
      <c r="E25110" s="8" t="inlineStr">
        <is>
          <t>Frozen Ever After</t>
        </is>
      </c>
      <c r="F25110" s="8" t="inlineStr">
        <is>
          <t>STANDBY</t>
        </is>
      </c>
      <c r="G25110" s="8" t="n">
        <v>50</v>
      </c>
      <c r="H25110" s="8" t="inlineStr">
        <is>
          <t>OPERATING</t>
        </is>
      </c>
    </row>
    <row r="25111">
      <c r="A25111" s="8" t="inlineStr">
        <is>
          <t>2026-08-05</t>
        </is>
      </c>
      <c r="B25111" s="8" t="n">
        <v>14</v>
      </c>
      <c r="C25111" s="8" t="n">
        <v>31</v>
      </c>
      <c r="D25111" s="8" t="inlineStr">
        <is>
          <t>Disney Adventure World</t>
        </is>
      </c>
      <c r="E25111" s="8" t="inlineStr">
        <is>
          <t>Raiponce Tangled Spin</t>
        </is>
      </c>
      <c r="F25111" s="8" t="inlineStr">
        <is>
          <t>STANDBY</t>
        </is>
      </c>
      <c r="G25111" s="8" t="n">
        <v>15</v>
      </c>
      <c r="H25111" s="8" t="inlineStr">
        <is>
          <t>OPERATING</t>
        </is>
      </c>
    </row>
    <row r="25112">
      <c r="A25112" s="8" t="inlineStr">
        <is>
          <t>2026-08-05</t>
        </is>
      </c>
      <c r="B25112" s="8" t="n">
        <v>14</v>
      </c>
      <c r="C25112" s="8" t="n">
        <v>45</v>
      </c>
      <c r="D25112" s="8" t="inlineStr">
        <is>
          <t>Disneyland Park</t>
        </is>
      </c>
      <c r="E25112" s="8" t="inlineStr">
        <is>
          <t>Adventure Isle</t>
        </is>
      </c>
      <c r="F25112" s="8" t="inlineStr">
        <is>
          <t>STANDBY</t>
        </is>
      </c>
      <c r="G25112" s="8" t="n">
        <v>0</v>
      </c>
      <c r="H25112" s="8" t="inlineStr">
        <is>
          <t>OPERATING</t>
        </is>
      </c>
    </row>
    <row r="25113">
      <c r="A25113" s="8" t="inlineStr">
        <is>
          <t>2026-08-05</t>
        </is>
      </c>
      <c r="B25113" s="8" t="n">
        <v>14</v>
      </c>
      <c r="C25113" s="8" t="n">
        <v>45</v>
      </c>
      <c r="D25113" s="8" t="inlineStr">
        <is>
          <t>Disneyland Park</t>
        </is>
      </c>
      <c r="E25113" s="8" t="inlineStr">
        <is>
          <t>Indiana Jones and the Temple of Peril Single Rider</t>
        </is>
      </c>
      <c r="F25113" s="8" t="inlineStr">
        <is>
          <t>STANDBY</t>
        </is>
      </c>
      <c r="G25113" s="8" t="n">
        <v>20</v>
      </c>
      <c r="H25113" s="8" t="inlineStr">
        <is>
          <t>OPERATING</t>
        </is>
      </c>
    </row>
    <row r="25114">
      <c r="A25114" s="8" t="inlineStr">
        <is>
          <t>2026-08-05</t>
        </is>
      </c>
      <c r="B25114" s="8" t="n">
        <v>14</v>
      </c>
      <c r="C25114" s="8" t="n">
        <v>45</v>
      </c>
      <c r="D25114" s="8" t="inlineStr">
        <is>
          <t>Disneyland Park</t>
        </is>
      </c>
      <c r="E25114" s="8" t="inlineStr">
        <is>
          <t>Indiana Jones™ and the Temple of Peril</t>
        </is>
      </c>
      <c r="F25114" s="8" t="inlineStr">
        <is>
          <t>STANDBY</t>
        </is>
      </c>
      <c r="G25114" s="8" t="n">
        <v>40</v>
      </c>
      <c r="H25114" s="8" t="inlineStr">
        <is>
          <t>OPERATING</t>
        </is>
      </c>
    </row>
    <row r="25115">
      <c r="A25115" s="8" t="inlineStr">
        <is>
          <t>2026-08-05</t>
        </is>
      </c>
      <c r="B25115" s="8" t="n">
        <v>14</v>
      </c>
      <c r="C25115" s="8" t="n">
        <v>45</v>
      </c>
      <c r="D25115" s="8" t="inlineStr">
        <is>
          <t>Disneyland Park</t>
        </is>
      </c>
      <c r="E25115" s="8" t="inlineStr">
        <is>
          <t>La Cabane des Robinson</t>
        </is>
      </c>
      <c r="F25115" s="8" t="inlineStr">
        <is>
          <t>STANDBY</t>
        </is>
      </c>
      <c r="G25115" s="8" t="n">
        <v>5</v>
      </c>
      <c r="H25115" s="8" t="inlineStr">
        <is>
          <t>OPERATING</t>
        </is>
      </c>
    </row>
    <row r="25116">
      <c r="A25116" s="8" t="inlineStr">
        <is>
          <t>2026-08-05</t>
        </is>
      </c>
      <c r="B25116" s="8" t="n">
        <v>14</v>
      </c>
      <c r="C25116" s="8" t="n">
        <v>45</v>
      </c>
      <c r="D25116" s="8" t="inlineStr">
        <is>
          <t>Disneyland Park</t>
        </is>
      </c>
      <c r="E25116" s="8" t="inlineStr">
        <is>
          <t>Le Passage Enchanté d'Aladdin</t>
        </is>
      </c>
      <c r="F25116" s="8" t="inlineStr">
        <is>
          <t>STANDBY</t>
        </is>
      </c>
      <c r="G25116" s="8" t="n">
        <v>0</v>
      </c>
      <c r="H25116" s="8" t="inlineStr">
        <is>
          <t>OPERATING</t>
        </is>
      </c>
    </row>
    <row r="25117">
      <c r="A25117" s="8" t="inlineStr">
        <is>
          <t>2026-08-05</t>
        </is>
      </c>
      <c r="B25117" s="8" t="n">
        <v>14</v>
      </c>
      <c r="C25117" s="8" t="n">
        <v>45</v>
      </c>
      <c r="D25117" s="8" t="inlineStr">
        <is>
          <t>Disneyland Park</t>
        </is>
      </c>
      <c r="E25117" s="8" t="inlineStr">
        <is>
          <t>Pirate Galleon</t>
        </is>
      </c>
      <c r="F25117" s="8" t="inlineStr">
        <is>
          <t>STANDBY</t>
        </is>
      </c>
      <c r="G25117" s="8" t="n">
        <v>0</v>
      </c>
      <c r="H25117" s="8" t="inlineStr">
        <is>
          <t>CLOSED</t>
        </is>
      </c>
    </row>
    <row r="25118">
      <c r="A25118" s="8" t="inlineStr">
        <is>
          <t>2026-08-05</t>
        </is>
      </c>
      <c r="B25118" s="8" t="n">
        <v>14</v>
      </c>
      <c r="C25118" s="8" t="n">
        <v>45</v>
      </c>
      <c r="D25118" s="8" t="inlineStr">
        <is>
          <t>Disneyland Park</t>
        </is>
      </c>
      <c r="E25118" s="8" t="inlineStr">
        <is>
          <t>Pirates of the Caribbean</t>
        </is>
      </c>
      <c r="F25118" s="8" t="inlineStr">
        <is>
          <t>STANDBY</t>
        </is>
      </c>
      <c r="G25118" s="8" t="n">
        <v>45</v>
      </c>
      <c r="H25118" s="8" t="inlineStr">
        <is>
          <t>OPERATING</t>
        </is>
      </c>
    </row>
    <row r="25119">
      <c r="A25119" s="8" t="inlineStr">
        <is>
          <t>2026-08-05</t>
        </is>
      </c>
      <c r="B25119" s="8" t="n">
        <v>14</v>
      </c>
      <c r="C25119" s="8" t="n">
        <v>45</v>
      </c>
      <c r="D25119" s="8" t="inlineStr">
        <is>
          <t>Disneyland Park</t>
        </is>
      </c>
      <c r="E25119" s="8" t="inlineStr">
        <is>
          <t>Pirates' Beach</t>
        </is>
      </c>
      <c r="F25119" s="8" t="inlineStr">
        <is>
          <t>STANDBY</t>
        </is>
      </c>
      <c r="G25119" s="8" t="n">
        <v>0</v>
      </c>
      <c r="H25119" s="8" t="inlineStr">
        <is>
          <t>OPERATING</t>
        </is>
      </c>
    </row>
    <row r="25120">
      <c r="A25120" s="8" t="inlineStr">
        <is>
          <t>2026-08-05</t>
        </is>
      </c>
      <c r="B25120" s="8" t="n">
        <v>14</v>
      </c>
      <c r="C25120" s="8" t="n">
        <v>45</v>
      </c>
      <c r="D25120" s="8" t="inlineStr">
        <is>
          <t>Disneyland Park</t>
        </is>
      </c>
      <c r="E25120" s="8" t="inlineStr">
        <is>
          <t>Autopia, presented by Avis</t>
        </is>
      </c>
      <c r="F25120" s="8" t="inlineStr">
        <is>
          <t>STANDBY</t>
        </is>
      </c>
      <c r="G25120" s="8" t="n">
        <v>45</v>
      </c>
      <c r="H25120" s="8" t="inlineStr">
        <is>
          <t>OPERATING</t>
        </is>
      </c>
    </row>
    <row r="25121">
      <c r="A25121" s="8" t="inlineStr">
        <is>
          <t>2026-08-05</t>
        </is>
      </c>
      <c r="B25121" s="8" t="n">
        <v>14</v>
      </c>
      <c r="C25121" s="8" t="n">
        <v>45</v>
      </c>
      <c r="D25121" s="8" t="inlineStr">
        <is>
          <t>Disneyland Park</t>
        </is>
      </c>
      <c r="E25121" s="8" t="inlineStr">
        <is>
          <t>Buzz Lightyear Laser Blast</t>
        </is>
      </c>
      <c r="F25121" s="8" t="inlineStr">
        <is>
          <t>STANDBY</t>
        </is>
      </c>
      <c r="G25121" s="8" t="n">
        <v>35</v>
      </c>
      <c r="H25121" s="8" t="inlineStr">
        <is>
          <t>OPERATING</t>
        </is>
      </c>
    </row>
    <row r="25122">
      <c r="A25122" s="8" t="inlineStr">
        <is>
          <t>2026-08-05</t>
        </is>
      </c>
      <c r="B25122" s="8" t="n">
        <v>14</v>
      </c>
      <c r="C25122" s="8" t="n">
        <v>45</v>
      </c>
      <c r="D25122" s="8" t="inlineStr">
        <is>
          <t>Disneyland Park</t>
        </is>
      </c>
      <c r="E25122" s="8" t="inlineStr">
        <is>
          <t>Disneyland Railroad Discoveryland Station</t>
        </is>
      </c>
      <c r="F25122" s="8" t="inlineStr">
        <is>
          <t>STANDBY</t>
        </is>
      </c>
      <c r="G25122" s="8" t="n">
        <v>0</v>
      </c>
      <c r="H25122" s="8" t="inlineStr">
        <is>
          <t>CLOSED</t>
        </is>
      </c>
    </row>
    <row r="25123">
      <c r="A25123" s="8" t="inlineStr">
        <is>
          <t>2026-08-05</t>
        </is>
      </c>
      <c r="B25123" s="8" t="n">
        <v>14</v>
      </c>
      <c r="C25123" s="8" t="n">
        <v>45</v>
      </c>
      <c r="D25123" s="8" t="inlineStr">
        <is>
          <t>Disneyland Park</t>
        </is>
      </c>
      <c r="E25123" s="8" t="inlineStr">
        <is>
          <t>Les Mystères du Nautilus</t>
        </is>
      </c>
      <c r="F25123" s="8" t="inlineStr">
        <is>
          <t>STANDBY</t>
        </is>
      </c>
      <c r="G25123" s="8" t="n">
        <v>5</v>
      </c>
      <c r="H25123" s="8" t="inlineStr">
        <is>
          <t>OPERATING</t>
        </is>
      </c>
    </row>
    <row r="25124">
      <c r="A25124" s="8" t="inlineStr">
        <is>
          <t>2026-08-05</t>
        </is>
      </c>
      <c r="B25124" s="8" t="n">
        <v>14</v>
      </c>
      <c r="C25124" s="8" t="n">
        <v>45</v>
      </c>
      <c r="D25124" s="8" t="inlineStr">
        <is>
          <t>Disneyland Park</t>
        </is>
      </c>
      <c r="E25124" s="8" t="inlineStr">
        <is>
          <t>Mickey’s PhilharMagic</t>
        </is>
      </c>
      <c r="F25124" s="8" t="inlineStr">
        <is>
          <t>STANDBY</t>
        </is>
      </c>
      <c r="G25124" s="8" t="n">
        <v>0</v>
      </c>
      <c r="H25124" s="8" t="inlineStr">
        <is>
          <t>OPERATING</t>
        </is>
      </c>
    </row>
    <row r="25125">
      <c r="A25125" s="8" t="inlineStr">
        <is>
          <t>2026-08-05</t>
        </is>
      </c>
      <c r="B25125" s="8" t="n">
        <v>14</v>
      </c>
      <c r="C25125" s="8" t="n">
        <v>45</v>
      </c>
      <c r="D25125" s="8" t="inlineStr">
        <is>
          <t>Disneyland Park</t>
        </is>
      </c>
      <c r="E25125" s="8" t="inlineStr">
        <is>
          <t>Orbitron®</t>
        </is>
      </c>
      <c r="F25125" s="8" t="inlineStr">
        <is>
          <t>STANDBY</t>
        </is>
      </c>
      <c r="G25125" s="8" t="n">
        <v>60</v>
      </c>
      <c r="H25125" s="8" t="inlineStr">
        <is>
          <t>OPERATING</t>
        </is>
      </c>
    </row>
    <row r="25126">
      <c r="A25126" s="8" t="inlineStr">
        <is>
          <t>2026-08-05</t>
        </is>
      </c>
      <c r="B25126" s="8" t="n">
        <v>14</v>
      </c>
      <c r="C25126" s="8" t="n">
        <v>45</v>
      </c>
      <c r="D25126" s="8" t="inlineStr">
        <is>
          <t>Disneyland Park</t>
        </is>
      </c>
      <c r="E25126" s="8" t="inlineStr">
        <is>
          <t>Star Tours: The Adventures Continue*</t>
        </is>
      </c>
      <c r="F25126" s="8" t="inlineStr">
        <is>
          <t>STANDBY</t>
        </is>
      </c>
      <c r="G25126" s="8" t="n">
        <v>30</v>
      </c>
      <c r="H25126" s="8" t="inlineStr">
        <is>
          <t>OPERATING</t>
        </is>
      </c>
    </row>
    <row r="25127">
      <c r="A25127" s="8" t="inlineStr">
        <is>
          <t>2026-08-05</t>
        </is>
      </c>
      <c r="B25127" s="8" t="n">
        <v>14</v>
      </c>
      <c r="C25127" s="8" t="n">
        <v>45</v>
      </c>
      <c r="D25127" s="8" t="inlineStr">
        <is>
          <t>Disneyland Park</t>
        </is>
      </c>
      <c r="E25127" s="8" t="inlineStr">
        <is>
          <t>Star Wars Hyperspace Mountain</t>
        </is>
      </c>
      <c r="F25127" s="8" t="inlineStr">
        <is>
          <t>STANDBY</t>
        </is>
      </c>
      <c r="G25127" s="8" t="n">
        <v>45</v>
      </c>
      <c r="H25127" s="8" t="inlineStr">
        <is>
          <t>OPERATING</t>
        </is>
      </c>
    </row>
    <row r="25128">
      <c r="A25128" s="8" t="inlineStr">
        <is>
          <t>2026-08-05</t>
        </is>
      </c>
      <c r="B25128" s="8" t="n">
        <v>14</v>
      </c>
      <c r="C25128" s="8" t="n">
        <v>45</v>
      </c>
      <c r="D25128" s="8" t="inlineStr">
        <is>
          <t>Disneyland Park</t>
        </is>
      </c>
      <c r="E25128" s="8" t="inlineStr">
        <is>
          <t>Star Wars Hyperspace Mountain Single Rider</t>
        </is>
      </c>
      <c r="F25128" s="8" t="inlineStr">
        <is>
          <t>STANDBY</t>
        </is>
      </c>
      <c r="G25128" s="8" t="n">
        <v>30</v>
      </c>
      <c r="H25128" s="8" t="inlineStr">
        <is>
          <t>OPERATING</t>
        </is>
      </c>
    </row>
    <row r="25129">
      <c r="A25129" s="8" t="inlineStr">
        <is>
          <t>2026-08-05</t>
        </is>
      </c>
      <c r="B25129" s="8" t="n">
        <v>14</v>
      </c>
      <c r="C25129" s="8" t="n">
        <v>45</v>
      </c>
      <c r="D25129" s="8" t="inlineStr">
        <is>
          <t>Disneyland Park</t>
        </is>
      </c>
      <c r="E25129" s="8" t="inlineStr">
        <is>
          <t>Welcome to Starport: A Star Wars Encounter</t>
        </is>
      </c>
      <c r="F25129" s="8" t="inlineStr">
        <is>
          <t>STANDBY</t>
        </is>
      </c>
      <c r="G25129" s="8" t="n">
        <v>40</v>
      </c>
      <c r="H25129" s="8" t="inlineStr">
        <is>
          <t>OPERATING</t>
        </is>
      </c>
    </row>
    <row r="25130">
      <c r="A25130" s="8" t="inlineStr">
        <is>
          <t>2026-08-05</t>
        </is>
      </c>
      <c r="B25130" s="8" t="n">
        <v>14</v>
      </c>
      <c r="C25130" s="8" t="n">
        <v>45</v>
      </c>
      <c r="D25130" s="8" t="inlineStr">
        <is>
          <t>Disneyland Park</t>
        </is>
      </c>
      <c r="E25130" s="8" t="inlineStr">
        <is>
          <t>"it's a small world"</t>
        </is>
      </c>
      <c r="F25130" s="8" t="inlineStr">
        <is>
          <t>STANDBY</t>
        </is>
      </c>
      <c r="G25130" s="8" t="n">
        <v>10</v>
      </c>
      <c r="H25130" s="8" t="inlineStr">
        <is>
          <t>OPERATING</t>
        </is>
      </c>
    </row>
    <row r="25131">
      <c r="A25131" s="8" t="inlineStr">
        <is>
          <t>2026-08-05</t>
        </is>
      </c>
      <c r="B25131" s="8" t="n">
        <v>14</v>
      </c>
      <c r="C25131" s="8" t="n">
        <v>45</v>
      </c>
      <c r="D25131" s="8" t="inlineStr">
        <is>
          <t>Disneyland Park</t>
        </is>
      </c>
      <c r="E25131" s="8" t="inlineStr">
        <is>
          <t>Alice's Curious Labyrinth</t>
        </is>
      </c>
      <c r="F25131" s="8" t="inlineStr">
        <is>
          <t>STANDBY</t>
        </is>
      </c>
      <c r="G25131" s="8" t="n">
        <v>5</v>
      </c>
      <c r="H25131" s="8" t="inlineStr">
        <is>
          <t>OPERATING</t>
        </is>
      </c>
    </row>
    <row r="25132">
      <c r="A25132" s="8" t="inlineStr">
        <is>
          <t>2026-08-05</t>
        </is>
      </c>
      <c r="B25132" s="8" t="n">
        <v>14</v>
      </c>
      <c r="C25132" s="8" t="n">
        <v>45</v>
      </c>
      <c r="D25132" s="8" t="inlineStr">
        <is>
          <t>Disneyland Park</t>
        </is>
      </c>
      <c r="E25132" s="8" t="inlineStr">
        <is>
          <t>Blanche-Neige et les Sept Nains®</t>
        </is>
      </c>
      <c r="F25132" s="8" t="inlineStr">
        <is>
          <t>STANDBY</t>
        </is>
      </c>
      <c r="G25132" s="8" t="n">
        <v>0</v>
      </c>
      <c r="H25132" s="8" t="inlineStr">
        <is>
          <t>CLOSED</t>
        </is>
      </c>
    </row>
    <row r="25133">
      <c r="A25133" s="8" t="inlineStr">
        <is>
          <t>2026-08-05</t>
        </is>
      </c>
      <c r="B25133" s="8" t="n">
        <v>14</v>
      </c>
      <c r="C25133" s="8" t="n">
        <v>45</v>
      </c>
      <c r="D25133" s="8" t="inlineStr">
        <is>
          <t>Disneyland Park</t>
        </is>
      </c>
      <c r="E25133" s="8" t="inlineStr">
        <is>
          <t>Casey Jr. – le Petit Train du Cirque</t>
        </is>
      </c>
      <c r="F25133" s="8" t="inlineStr">
        <is>
          <t>STANDBY</t>
        </is>
      </c>
      <c r="G25133" s="8" t="n">
        <v>20</v>
      </c>
      <c r="H25133" s="8" t="inlineStr">
        <is>
          <t>OPERATING</t>
        </is>
      </c>
    </row>
    <row r="25134">
      <c r="A25134" s="8" t="inlineStr">
        <is>
          <t>2026-08-05</t>
        </is>
      </c>
      <c r="B25134" s="8" t="n">
        <v>14</v>
      </c>
      <c r="C25134" s="8" t="n">
        <v>45</v>
      </c>
      <c r="D25134" s="8" t="inlineStr">
        <is>
          <t>Disneyland Park</t>
        </is>
      </c>
      <c r="E25134" s="8" t="inlineStr">
        <is>
          <t>Disneyland Railroad Fantasyland Station</t>
        </is>
      </c>
      <c r="F25134" s="8" t="inlineStr">
        <is>
          <t>STANDBY</t>
        </is>
      </c>
      <c r="G25134" s="8" t="n">
        <v>0</v>
      </c>
      <c r="H25134" s="8" t="inlineStr">
        <is>
          <t>CLOSED</t>
        </is>
      </c>
    </row>
    <row r="25135">
      <c r="A25135" s="8" t="inlineStr">
        <is>
          <t>2026-08-05</t>
        </is>
      </c>
      <c r="B25135" s="8" t="n">
        <v>14</v>
      </c>
      <c r="C25135" s="8" t="n">
        <v>45</v>
      </c>
      <c r="D25135" s="8" t="inlineStr">
        <is>
          <t>Disneyland Park</t>
        </is>
      </c>
      <c r="E25135" s="8" t="inlineStr">
        <is>
          <t>Disneyland Railroad Main Street Station</t>
        </is>
      </c>
      <c r="F25135" s="8" t="inlineStr">
        <is>
          <t>STANDBY</t>
        </is>
      </c>
      <c r="G25135" s="8" t="n">
        <v>10</v>
      </c>
      <c r="H25135" s="8" t="inlineStr">
        <is>
          <t>OPERATING</t>
        </is>
      </c>
    </row>
    <row r="25136">
      <c r="A25136" s="8" t="inlineStr">
        <is>
          <t>2026-08-05</t>
        </is>
      </c>
      <c r="B25136" s="8" t="n">
        <v>14</v>
      </c>
      <c r="C25136" s="8" t="n">
        <v>45</v>
      </c>
      <c r="D25136" s="8" t="inlineStr">
        <is>
          <t>Disneyland Park</t>
        </is>
      </c>
      <c r="E25136" s="8" t="inlineStr">
        <is>
          <t>Dumbo the Flying Elephant</t>
        </is>
      </c>
      <c r="F25136" s="8" t="inlineStr">
        <is>
          <t>STANDBY</t>
        </is>
      </c>
      <c r="G25136" s="8" t="n">
        <v>35</v>
      </c>
      <c r="H25136" s="8" t="inlineStr">
        <is>
          <t>OPERATING</t>
        </is>
      </c>
    </row>
    <row r="25137">
      <c r="A25137" s="8" t="inlineStr">
        <is>
          <t>2026-08-05</t>
        </is>
      </c>
      <c r="B25137" s="8" t="n">
        <v>14</v>
      </c>
      <c r="C25137" s="8" t="n">
        <v>45</v>
      </c>
      <c r="D25137" s="8" t="inlineStr">
        <is>
          <t>Disneyland Park</t>
        </is>
      </c>
      <c r="E25137" s="8" t="inlineStr">
        <is>
          <t>La Tanière du Dragon</t>
        </is>
      </c>
      <c r="F25137" s="8" t="inlineStr">
        <is>
          <t>STANDBY</t>
        </is>
      </c>
      <c r="G25137" s="8" t="n">
        <v>0</v>
      </c>
      <c r="H25137" s="8" t="inlineStr">
        <is>
          <t>OPERATING</t>
        </is>
      </c>
    </row>
    <row r="25138">
      <c r="A25138" s="8" t="inlineStr">
        <is>
          <t>2026-08-05</t>
        </is>
      </c>
      <c r="B25138" s="8" t="n">
        <v>14</v>
      </c>
      <c r="C25138" s="8" t="n">
        <v>45</v>
      </c>
      <c r="D25138" s="8" t="inlineStr">
        <is>
          <t>Disneyland Park</t>
        </is>
      </c>
      <c r="E25138" s="8" t="inlineStr">
        <is>
          <t>Le Carrousel de Lancelot</t>
        </is>
      </c>
      <c r="F25138" s="8" t="inlineStr">
        <is>
          <t>STANDBY</t>
        </is>
      </c>
      <c r="G25138" s="8" t="n">
        <v>25</v>
      </c>
      <c r="H25138" s="8" t="inlineStr">
        <is>
          <t>OPERATING</t>
        </is>
      </c>
    </row>
    <row r="25139">
      <c r="A25139" s="8" t="inlineStr">
        <is>
          <t>2026-08-05</t>
        </is>
      </c>
      <c r="B25139" s="8" t="n">
        <v>14</v>
      </c>
      <c r="C25139" s="8" t="n">
        <v>45</v>
      </c>
      <c r="D25139" s="8" t="inlineStr">
        <is>
          <t>Disneyland Park</t>
        </is>
      </c>
      <c r="E25139" s="8" t="inlineStr">
        <is>
          <t>Le Pays des Contes de Fées, presented by Vittel</t>
        </is>
      </c>
      <c r="F25139" s="8" t="inlineStr">
        <is>
          <t>STANDBY</t>
        </is>
      </c>
      <c r="G25139" s="8" t="n">
        <v>5</v>
      </c>
      <c r="H25139" s="8" t="inlineStr">
        <is>
          <t>OPERATING</t>
        </is>
      </c>
    </row>
    <row r="25140">
      <c r="A25140" s="8" t="inlineStr">
        <is>
          <t>2026-08-05</t>
        </is>
      </c>
      <c r="B25140" s="8" t="n">
        <v>14</v>
      </c>
      <c r="C25140" s="8" t="n">
        <v>45</v>
      </c>
      <c r="D25140" s="8" t="inlineStr">
        <is>
          <t>Disneyland Park</t>
        </is>
      </c>
      <c r="E25140" s="8" t="inlineStr">
        <is>
          <t>Les Voyages de Pinocchio</t>
        </is>
      </c>
      <c r="F25140" s="8" t="inlineStr">
        <is>
          <t>STANDBY</t>
        </is>
      </c>
      <c r="G25140" s="8" t="n">
        <v>30</v>
      </c>
      <c r="H25140" s="8" t="inlineStr">
        <is>
          <t>OPERATING</t>
        </is>
      </c>
    </row>
    <row r="25141">
      <c r="A25141" s="8" t="inlineStr">
        <is>
          <t>2026-08-05</t>
        </is>
      </c>
      <c r="B25141" s="8" t="n">
        <v>14</v>
      </c>
      <c r="C25141" s="8" t="n">
        <v>45</v>
      </c>
      <c r="D25141" s="8" t="inlineStr">
        <is>
          <t>Disneyland Park</t>
        </is>
      </c>
      <c r="E25141" s="8" t="inlineStr">
        <is>
          <t>Mad Hatter's Tea Cups</t>
        </is>
      </c>
      <c r="F25141" s="8" t="inlineStr">
        <is>
          <t>STANDBY</t>
        </is>
      </c>
      <c r="G25141" s="8" t="n">
        <v>10</v>
      </c>
      <c r="H25141" s="8" t="inlineStr">
        <is>
          <t>OPERATING</t>
        </is>
      </c>
    </row>
    <row r="25142">
      <c r="A25142" s="8" t="inlineStr">
        <is>
          <t>2026-08-05</t>
        </is>
      </c>
      <c r="B25142" s="8" t="n">
        <v>14</v>
      </c>
      <c r="C25142" s="8" t="n">
        <v>45</v>
      </c>
      <c r="D25142" s="8" t="inlineStr">
        <is>
          <t>Disneyland Park</t>
        </is>
      </c>
      <c r="E25142" s="8" t="inlineStr">
        <is>
          <t>Meet Mickey Mouse</t>
        </is>
      </c>
      <c r="F25142" s="8" t="inlineStr">
        <is>
          <t>STANDBY</t>
        </is>
      </c>
      <c r="G25142" s="8" t="n">
        <v>0</v>
      </c>
      <c r="H25142" s="8" t="inlineStr">
        <is>
          <t>OPERATING</t>
        </is>
      </c>
    </row>
    <row r="25143">
      <c r="A25143" s="8" t="inlineStr">
        <is>
          <t>2026-08-05</t>
        </is>
      </c>
      <c r="B25143" s="8" t="n">
        <v>14</v>
      </c>
      <c r="C25143" s="8" t="n">
        <v>45</v>
      </c>
      <c r="D25143" s="8" t="inlineStr">
        <is>
          <t>Disneyland Park</t>
        </is>
      </c>
      <c r="E25143" s="8" t="inlineStr">
        <is>
          <t>Peter Pan's Flight</t>
        </is>
      </c>
      <c r="F25143" s="8" t="inlineStr">
        <is>
          <t>STANDBY</t>
        </is>
      </c>
      <c r="G25143" s="8" t="n">
        <v>60</v>
      </c>
      <c r="H25143" s="8" t="inlineStr">
        <is>
          <t>OPERATING</t>
        </is>
      </c>
    </row>
    <row r="25144">
      <c r="A25144" s="8" t="inlineStr">
        <is>
          <t>2026-08-05</t>
        </is>
      </c>
      <c r="B25144" s="8" t="n">
        <v>14</v>
      </c>
      <c r="C25144" s="8" t="n">
        <v>45</v>
      </c>
      <c r="D25144" s="8" t="inlineStr">
        <is>
          <t>Disneyland Park</t>
        </is>
      </c>
      <c r="E25144" s="8" t="inlineStr">
        <is>
          <t>Princess Pavilion</t>
        </is>
      </c>
      <c r="F25144" s="8" t="inlineStr">
        <is>
          <t>STANDBY</t>
        </is>
      </c>
      <c r="G25144" s="8" t="n">
        <v>0</v>
      </c>
      <c r="H25144" s="8" t="inlineStr">
        <is>
          <t>OPERATING</t>
        </is>
      </c>
    </row>
    <row r="25145">
      <c r="A25145" s="8" t="inlineStr">
        <is>
          <t>2026-08-05</t>
        </is>
      </c>
      <c r="B25145" s="8" t="n">
        <v>14</v>
      </c>
      <c r="C25145" s="8" t="n">
        <v>45</v>
      </c>
      <c r="D25145" s="8" t="inlineStr">
        <is>
          <t>Disneyland Park</t>
        </is>
      </c>
      <c r="E25145" s="8" t="inlineStr">
        <is>
          <t>Big Thunder Mountain</t>
        </is>
      </c>
      <c r="F25145" s="8" t="inlineStr">
        <is>
          <t>STANDBY</t>
        </is>
      </c>
      <c r="G25145" s="8" t="n">
        <v>80</v>
      </c>
      <c r="H25145" s="8" t="inlineStr">
        <is>
          <t>OPERATING</t>
        </is>
      </c>
    </row>
    <row r="25146">
      <c r="A25146" s="8" t="inlineStr">
        <is>
          <t>2026-08-05</t>
        </is>
      </c>
      <c r="B25146" s="8" t="n">
        <v>14</v>
      </c>
      <c r="C25146" s="8" t="n">
        <v>45</v>
      </c>
      <c r="D25146" s="8" t="inlineStr">
        <is>
          <t>Disneyland Park</t>
        </is>
      </c>
      <c r="E25146" s="8" t="inlineStr">
        <is>
          <t>Disneyland Railroad Frontierland Depot</t>
        </is>
      </c>
      <c r="F25146" s="8" t="inlineStr">
        <is>
          <t>STANDBY</t>
        </is>
      </c>
      <c r="G25146" s="8" t="n">
        <v>10</v>
      </c>
      <c r="H25146" s="8" t="inlineStr">
        <is>
          <t>OPERATING</t>
        </is>
      </c>
    </row>
    <row r="25147">
      <c r="A25147" s="8" t="inlineStr">
        <is>
          <t>2026-08-05</t>
        </is>
      </c>
      <c r="B25147" s="8" t="n">
        <v>14</v>
      </c>
      <c r="C25147" s="8" t="n">
        <v>45</v>
      </c>
      <c r="D25147" s="8" t="inlineStr">
        <is>
          <t>Disneyland Park</t>
        </is>
      </c>
      <c r="E25147" s="8" t="inlineStr">
        <is>
          <t>Frontierland Playground</t>
        </is>
      </c>
      <c r="F25147" s="8" t="inlineStr">
        <is>
          <t>STANDBY</t>
        </is>
      </c>
      <c r="G25147" s="8" t="n">
        <v>0</v>
      </c>
      <c r="H25147" s="8" t="inlineStr">
        <is>
          <t>OPERATING</t>
        </is>
      </c>
    </row>
    <row r="25148">
      <c r="A25148" s="8" t="inlineStr">
        <is>
          <t>2026-08-05</t>
        </is>
      </c>
      <c r="B25148" s="8" t="n">
        <v>14</v>
      </c>
      <c r="C25148" s="8" t="n">
        <v>45</v>
      </c>
      <c r="D25148" s="8" t="inlineStr">
        <is>
          <t>Disneyland Park</t>
        </is>
      </c>
      <c r="E25148" s="8" t="inlineStr">
        <is>
          <t>Phantom Manor</t>
        </is>
      </c>
      <c r="F25148" s="8" t="inlineStr">
        <is>
          <t>STANDBY</t>
        </is>
      </c>
      <c r="G25148" s="8" t="n">
        <v>15</v>
      </c>
      <c r="H25148" s="8" t="inlineStr">
        <is>
          <t>OPERATING</t>
        </is>
      </c>
    </row>
    <row r="25149">
      <c r="A25149" s="8" t="inlineStr">
        <is>
          <t>2026-08-05</t>
        </is>
      </c>
      <c r="B25149" s="8" t="n">
        <v>14</v>
      </c>
      <c r="C25149" s="8" t="n">
        <v>45</v>
      </c>
      <c r="D25149" s="8" t="inlineStr">
        <is>
          <t>Disneyland Park</t>
        </is>
      </c>
      <c r="E25149" s="8" t="inlineStr">
        <is>
          <t>River Rogue Keelboats</t>
        </is>
      </c>
      <c r="F25149" s="8" t="inlineStr">
        <is>
          <t>STANDBY</t>
        </is>
      </c>
      <c r="G25149" s="8" t="n">
        <v>0</v>
      </c>
      <c r="H25149" s="8" t="inlineStr">
        <is>
          <t>CLOSED</t>
        </is>
      </c>
    </row>
    <row r="25150">
      <c r="A25150" s="8" t="inlineStr">
        <is>
          <t>2026-08-05</t>
        </is>
      </c>
      <c r="B25150" s="8" t="n">
        <v>14</v>
      </c>
      <c r="C25150" s="8" t="n">
        <v>45</v>
      </c>
      <c r="D25150" s="8" t="inlineStr">
        <is>
          <t>Disneyland Park</t>
        </is>
      </c>
      <c r="E25150" s="8" t="inlineStr">
        <is>
          <t>Rustler Roundup Shootin' Gallery</t>
        </is>
      </c>
      <c r="F25150" s="8" t="inlineStr">
        <is>
          <t>STANDBY</t>
        </is>
      </c>
      <c r="G25150" s="8" t="n">
        <v>0</v>
      </c>
      <c r="H25150" s="8" t="inlineStr">
        <is>
          <t>OPERATING</t>
        </is>
      </c>
    </row>
    <row r="25151">
      <c r="A25151" s="8" t="inlineStr">
        <is>
          <t>2026-08-05</t>
        </is>
      </c>
      <c r="B25151" s="8" t="n">
        <v>14</v>
      </c>
      <c r="C25151" s="8" t="n">
        <v>45</v>
      </c>
      <c r="D25151" s="8" t="inlineStr">
        <is>
          <t>Disneyland Park</t>
        </is>
      </c>
      <c r="E25151" s="8" t="inlineStr">
        <is>
          <t>Thunder Mesa Riverboat Landing</t>
        </is>
      </c>
      <c r="F25151" s="8" t="inlineStr">
        <is>
          <t>STANDBY</t>
        </is>
      </c>
      <c r="G25151" s="8" t="n">
        <v>20</v>
      </c>
      <c r="H25151" s="8" t="inlineStr">
        <is>
          <t>OPERATING</t>
        </is>
      </c>
    </row>
    <row r="25152">
      <c r="A25152" s="8" t="inlineStr">
        <is>
          <t>2026-08-05</t>
        </is>
      </c>
      <c r="B25152" s="8" t="n">
        <v>14</v>
      </c>
      <c r="C25152" s="8" t="n">
        <v>45</v>
      </c>
      <c r="D25152" s="8" t="inlineStr">
        <is>
          <t>Disneyland Park</t>
        </is>
      </c>
      <c r="E25152" s="8" t="inlineStr">
        <is>
          <t>Disneyland Railroad Main Street Station</t>
        </is>
      </c>
      <c r="F25152" s="8" t="inlineStr">
        <is>
          <t>STANDBY</t>
        </is>
      </c>
      <c r="G25152" s="8" t="n">
        <v>0</v>
      </c>
      <c r="H25152" s="8" t="inlineStr">
        <is>
          <t>OPERATING</t>
        </is>
      </c>
    </row>
    <row r="25153">
      <c r="A25153" s="8" t="inlineStr">
        <is>
          <t>2026-08-05</t>
        </is>
      </c>
      <c r="B25153" s="8" t="n">
        <v>14</v>
      </c>
      <c r="C25153" s="8" t="n">
        <v>45</v>
      </c>
      <c r="D25153" s="8" t="inlineStr">
        <is>
          <t>Disneyland Park</t>
        </is>
      </c>
      <c r="E25153" s="8" t="inlineStr">
        <is>
          <t>Main Street Vehicles</t>
        </is>
      </c>
      <c r="F25153" s="8" t="inlineStr">
        <is>
          <t>STANDBY</t>
        </is>
      </c>
      <c r="G25153" s="8" t="n">
        <v>0</v>
      </c>
      <c r="H25153" s="8" t="inlineStr">
        <is>
          <t>CLOSED</t>
        </is>
      </c>
    </row>
    <row r="25154">
      <c r="A25154" s="8" t="inlineStr">
        <is>
          <t>2026-08-05</t>
        </is>
      </c>
      <c r="B25154" s="8" t="n">
        <v>14</v>
      </c>
      <c r="C25154" s="8" t="n">
        <v>45</v>
      </c>
      <c r="D25154" s="8" t="inlineStr">
        <is>
          <t>Disney Adventure World</t>
        </is>
      </c>
      <c r="E25154" s="8" t="inlineStr">
        <is>
          <t>Avengers Assemble: Flight Force</t>
        </is>
      </c>
      <c r="F25154" s="8" t="inlineStr">
        <is>
          <t>STANDBY</t>
        </is>
      </c>
      <c r="G25154" s="8" t="n">
        <v>30</v>
      </c>
      <c r="H25154" s="8" t="inlineStr">
        <is>
          <t>OPERATING</t>
        </is>
      </c>
    </row>
    <row r="25155">
      <c r="A25155" s="8" t="inlineStr">
        <is>
          <t>2026-08-05</t>
        </is>
      </c>
      <c r="B25155" s="8" t="n">
        <v>14</v>
      </c>
      <c r="C25155" s="8" t="n">
        <v>45</v>
      </c>
      <c r="D25155" s="8" t="inlineStr">
        <is>
          <t>Disney Adventure World</t>
        </is>
      </c>
      <c r="E25155" s="8" t="inlineStr">
        <is>
          <t>Avengers Assemble: Flight Force Single Rider</t>
        </is>
      </c>
      <c r="F25155" s="8" t="inlineStr">
        <is>
          <t>STANDBY</t>
        </is>
      </c>
      <c r="G25155" s="8" t="n">
        <v>25</v>
      </c>
      <c r="H25155" s="8" t="inlineStr">
        <is>
          <t>OPERATING</t>
        </is>
      </c>
    </row>
    <row r="25156">
      <c r="A25156" s="8" t="inlineStr">
        <is>
          <t>2026-08-05</t>
        </is>
      </c>
      <c r="B25156" s="8" t="n">
        <v>14</v>
      </c>
      <c r="C25156" s="8" t="n">
        <v>45</v>
      </c>
      <c r="D25156" s="8" t="inlineStr">
        <is>
          <t>Disney Adventure World</t>
        </is>
      </c>
      <c r="E25156" s="8" t="inlineStr">
        <is>
          <t>Spider-Man W.E.B. Adventure</t>
        </is>
      </c>
      <c r="F25156" s="8" t="inlineStr">
        <is>
          <t>STANDBY</t>
        </is>
      </c>
      <c r="G25156" s="8" t="n">
        <v>45</v>
      </c>
      <c r="H25156" s="8" t="inlineStr">
        <is>
          <t>OPERATING</t>
        </is>
      </c>
    </row>
    <row r="25157">
      <c r="A25157" s="8" t="inlineStr">
        <is>
          <t>2026-08-05</t>
        </is>
      </c>
      <c r="B25157" s="8" t="n">
        <v>14</v>
      </c>
      <c r="C25157" s="8" t="n">
        <v>45</v>
      </c>
      <c r="D25157" s="8" t="inlineStr">
        <is>
          <t>Disney Adventure World</t>
        </is>
      </c>
      <c r="E25157" s="8" t="inlineStr">
        <is>
          <t>Spider-Man W.E.B. Adventure Single Rider</t>
        </is>
      </c>
      <c r="F25157" s="8" t="inlineStr">
        <is>
          <t>STANDBY</t>
        </is>
      </c>
      <c r="G25157" s="8" t="n">
        <v>30</v>
      </c>
      <c r="H25157" s="8" t="inlineStr">
        <is>
          <t>OPERATING</t>
        </is>
      </c>
    </row>
    <row r="25158">
      <c r="A25158" s="8" t="inlineStr">
        <is>
          <t>2026-08-05</t>
        </is>
      </c>
      <c r="B25158" s="8" t="n">
        <v>14</v>
      </c>
      <c r="C25158" s="8" t="n">
        <v>45</v>
      </c>
      <c r="D25158" s="8" t="inlineStr">
        <is>
          <t>Disney Adventure World</t>
        </is>
      </c>
      <c r="E25158" s="8" t="inlineStr">
        <is>
          <t>The Twilight Zone Tower of Terror</t>
        </is>
      </c>
      <c r="F25158" s="8" t="inlineStr">
        <is>
          <t>STANDBY</t>
        </is>
      </c>
      <c r="G25158" s="8" t="n">
        <v>60</v>
      </c>
      <c r="H25158" s="8" t="inlineStr">
        <is>
          <t>OPERATING</t>
        </is>
      </c>
    </row>
    <row r="25159">
      <c r="A25159" s="8" t="inlineStr">
        <is>
          <t>2026-08-05</t>
        </is>
      </c>
      <c r="B25159" s="8" t="n">
        <v>14</v>
      </c>
      <c r="C25159" s="8" t="n">
        <v>45</v>
      </c>
      <c r="D25159" s="8" t="inlineStr">
        <is>
          <t>Disney Adventure World</t>
        </is>
      </c>
      <c r="E25159" s="8" t="inlineStr">
        <is>
          <t>Cars Quatre Roues Rallye</t>
        </is>
      </c>
      <c r="F25159" s="8" t="inlineStr">
        <is>
          <t>STANDBY</t>
        </is>
      </c>
      <c r="G25159" s="8" t="n">
        <v>20</v>
      </c>
      <c r="H25159" s="8" t="inlineStr">
        <is>
          <t>OPERATING</t>
        </is>
      </c>
    </row>
    <row r="25160">
      <c r="A25160" s="8" t="inlineStr">
        <is>
          <t>2026-08-05</t>
        </is>
      </c>
      <c r="B25160" s="8" t="n">
        <v>14</v>
      </c>
      <c r="C25160" s="8" t="n">
        <v>45</v>
      </c>
      <c r="D25160" s="8" t="inlineStr">
        <is>
          <t>Disney Adventure World</t>
        </is>
      </c>
      <c r="E25160" s="8" t="inlineStr">
        <is>
          <t>Cars ROAD TRIP</t>
        </is>
      </c>
      <c r="F25160" s="8" t="inlineStr">
        <is>
          <t>STANDBY</t>
        </is>
      </c>
      <c r="G25160" s="8" t="n">
        <v>20</v>
      </c>
      <c r="H25160" s="8" t="inlineStr">
        <is>
          <t>OPERATING</t>
        </is>
      </c>
    </row>
    <row r="25161">
      <c r="A25161" s="8" t="inlineStr">
        <is>
          <t>2026-08-05</t>
        </is>
      </c>
      <c r="B25161" s="8" t="n">
        <v>14</v>
      </c>
      <c r="C25161" s="8" t="n">
        <v>45</v>
      </c>
      <c r="D25161" s="8" t="inlineStr">
        <is>
          <t>Disney Adventure World</t>
        </is>
      </c>
      <c r="E25161" s="8" t="inlineStr">
        <is>
          <t>Crush's Coaster</t>
        </is>
      </c>
      <c r="F25161" s="8" t="inlineStr">
        <is>
          <t>STANDBY</t>
        </is>
      </c>
      <c r="G25161" s="8" t="n">
        <v>80</v>
      </c>
      <c r="H25161" s="8" t="inlineStr">
        <is>
          <t>OPERATING</t>
        </is>
      </c>
    </row>
    <row r="25162">
      <c r="A25162" s="8" t="inlineStr">
        <is>
          <t>2026-08-05</t>
        </is>
      </c>
      <c r="B25162" s="8" t="n">
        <v>14</v>
      </c>
      <c r="C25162" s="8" t="n">
        <v>45</v>
      </c>
      <c r="D25162" s="8" t="inlineStr">
        <is>
          <t>Disney Adventure World</t>
        </is>
      </c>
      <c r="E25162" s="8" t="inlineStr">
        <is>
          <t>Crush's Coaster Single Rider</t>
        </is>
      </c>
      <c r="F25162" s="8" t="inlineStr">
        <is>
          <t>STANDBY</t>
        </is>
      </c>
      <c r="G25162" s="8" t="n">
        <v>70</v>
      </c>
      <c r="H25162" s="8" t="inlineStr">
        <is>
          <t>OPERATING</t>
        </is>
      </c>
    </row>
    <row r="25163">
      <c r="A25163" s="8" t="inlineStr">
        <is>
          <t>2026-08-05</t>
        </is>
      </c>
      <c r="B25163" s="8" t="n">
        <v>14</v>
      </c>
      <c r="C25163" s="8" t="n">
        <v>45</v>
      </c>
      <c r="D25163" s="8" t="inlineStr">
        <is>
          <t>Disney Adventure World</t>
        </is>
      </c>
      <c r="E25163" s="8" t="inlineStr">
        <is>
          <t>Les Tapis Volants - Flying Carpets Over Agrabah®</t>
        </is>
      </c>
      <c r="F25163" s="8" t="inlineStr">
        <is>
          <t>STANDBY</t>
        </is>
      </c>
      <c r="G25163" s="8" t="n">
        <v>20</v>
      </c>
      <c r="H25163" s="8" t="inlineStr">
        <is>
          <t>OPERATING</t>
        </is>
      </c>
    </row>
    <row r="25164">
      <c r="A25164" s="8" t="inlineStr">
        <is>
          <t>2026-08-05</t>
        </is>
      </c>
      <c r="B25164" s="8" t="n">
        <v>14</v>
      </c>
      <c r="C25164" s="8" t="n">
        <v>45</v>
      </c>
      <c r="D25164" s="8" t="inlineStr">
        <is>
          <t>Disney Adventure World</t>
        </is>
      </c>
      <c r="E25164" s="8" t="inlineStr">
        <is>
          <t>Ratatouille : L’Aventure Totalement Toquée de Rémy​</t>
        </is>
      </c>
      <c r="F25164" s="8" t="inlineStr">
        <is>
          <t>STANDBY</t>
        </is>
      </c>
      <c r="G25164" s="8" t="n">
        <v>70</v>
      </c>
      <c r="H25164" s="8" t="inlineStr">
        <is>
          <t>OPERATING</t>
        </is>
      </c>
    </row>
    <row r="25165">
      <c r="A25165" s="8" t="inlineStr">
        <is>
          <t>2026-08-05</t>
        </is>
      </c>
      <c r="B25165" s="8" t="n">
        <v>14</v>
      </c>
      <c r="C25165" s="8" t="n">
        <v>45</v>
      </c>
      <c r="D25165" s="8" t="inlineStr">
        <is>
          <t>Disney Adventure World</t>
        </is>
      </c>
      <c r="E25165" s="8" t="inlineStr">
        <is>
          <t>Ratatouille: The Adventure Single Rider</t>
        </is>
      </c>
      <c r="F25165" s="8" t="inlineStr">
        <is>
          <t>STANDBY</t>
        </is>
      </c>
      <c r="G25165" s="8" t="n">
        <v>25</v>
      </c>
      <c r="H25165" s="8" t="inlineStr">
        <is>
          <t>OPERATING</t>
        </is>
      </c>
    </row>
    <row r="25166">
      <c r="A25166" s="8" t="inlineStr">
        <is>
          <t>2026-08-05</t>
        </is>
      </c>
      <c r="B25166" s="8" t="n">
        <v>14</v>
      </c>
      <c r="C25166" s="8" t="n">
        <v>45</v>
      </c>
      <c r="D25166" s="8" t="inlineStr">
        <is>
          <t>Disney Adventure World</t>
        </is>
      </c>
      <c r="E25166" s="8" t="inlineStr">
        <is>
          <t>RC Racer</t>
        </is>
      </c>
      <c r="F25166" s="8" t="inlineStr">
        <is>
          <t>STANDBY</t>
        </is>
      </c>
      <c r="G25166" s="8" t="n">
        <v>50</v>
      </c>
      <c r="H25166" s="8" t="inlineStr">
        <is>
          <t>OPERATING</t>
        </is>
      </c>
    </row>
    <row r="25167">
      <c r="A25167" s="8" t="inlineStr">
        <is>
          <t>2026-08-05</t>
        </is>
      </c>
      <c r="B25167" s="8" t="n">
        <v>14</v>
      </c>
      <c r="C25167" s="8" t="n">
        <v>45</v>
      </c>
      <c r="D25167" s="8" t="inlineStr">
        <is>
          <t>Disney Adventure World</t>
        </is>
      </c>
      <c r="E25167" s="8" t="inlineStr">
        <is>
          <t>RC Racer Single Rider</t>
        </is>
      </c>
      <c r="F25167" s="8" t="inlineStr">
        <is>
          <t>STANDBY</t>
        </is>
      </c>
      <c r="G25167" s="8" t="n">
        <v>45</v>
      </c>
      <c r="H25167" s="8" t="inlineStr">
        <is>
          <t>OPERATING</t>
        </is>
      </c>
    </row>
    <row r="25168">
      <c r="A25168" s="8" t="inlineStr">
        <is>
          <t>2026-08-05</t>
        </is>
      </c>
      <c r="B25168" s="8" t="n">
        <v>14</v>
      </c>
      <c r="C25168" s="8" t="n">
        <v>45</v>
      </c>
      <c r="D25168" s="8" t="inlineStr">
        <is>
          <t>Disney Adventure World</t>
        </is>
      </c>
      <c r="E25168" s="8" t="inlineStr">
        <is>
          <t>Slinky® Dog Zigzag Spin</t>
        </is>
      </c>
      <c r="F25168" s="8" t="inlineStr">
        <is>
          <t>STANDBY</t>
        </is>
      </c>
      <c r="G25168" s="8" t="n">
        <v>25</v>
      </c>
      <c r="H25168" s="8" t="inlineStr">
        <is>
          <t>OPERATING</t>
        </is>
      </c>
    </row>
    <row r="25169">
      <c r="A25169" s="8" t="inlineStr">
        <is>
          <t>2026-08-05</t>
        </is>
      </c>
      <c r="B25169" s="8" t="n">
        <v>14</v>
      </c>
      <c r="C25169" s="8" t="n">
        <v>45</v>
      </c>
      <c r="D25169" s="8" t="inlineStr">
        <is>
          <t>Disney Adventure World</t>
        </is>
      </c>
      <c r="E25169" s="8" t="inlineStr">
        <is>
          <t>Toy Soldiers Parachute Drop</t>
        </is>
      </c>
      <c r="F25169" s="8" t="inlineStr">
        <is>
          <t>STANDBY</t>
        </is>
      </c>
      <c r="G25169" s="8" t="n">
        <v>45</v>
      </c>
      <c r="H25169" s="8" t="inlineStr">
        <is>
          <t>OPERATING</t>
        </is>
      </c>
    </row>
    <row r="25170">
      <c r="A25170" s="8" t="inlineStr">
        <is>
          <t>2026-08-05</t>
        </is>
      </c>
      <c r="B25170" s="8" t="n">
        <v>14</v>
      </c>
      <c r="C25170" s="8" t="n">
        <v>45</v>
      </c>
      <c r="D25170" s="8" t="inlineStr">
        <is>
          <t>Disney Adventure World</t>
        </is>
      </c>
      <c r="E25170" s="8" t="inlineStr">
        <is>
          <t>Toy Soldiers Parachute Drop Single Rider</t>
        </is>
      </c>
      <c r="F25170" s="8" t="inlineStr">
        <is>
          <t>STANDBY</t>
        </is>
      </c>
      <c r="G25170" s="8" t="n">
        <v>20</v>
      </c>
      <c r="H25170" s="8" t="inlineStr">
        <is>
          <t>OPERATING</t>
        </is>
      </c>
    </row>
    <row r="25171">
      <c r="A25171" s="8" t="inlineStr">
        <is>
          <t>2026-08-05</t>
        </is>
      </c>
      <c r="B25171" s="8" t="n">
        <v>14</v>
      </c>
      <c r="C25171" s="8" t="n">
        <v>45</v>
      </c>
      <c r="D25171" s="8" t="inlineStr">
        <is>
          <t>Disney Adventure World</t>
        </is>
      </c>
      <c r="E25171" s="8" t="inlineStr">
        <is>
          <t>Entry to World of Frozen</t>
        </is>
      </c>
      <c r="F25171" s="8" t="inlineStr">
        <is>
          <t>STANDBY</t>
        </is>
      </c>
      <c r="G25171" s="8" t="n">
        <v>0</v>
      </c>
      <c r="H25171" s="8" t="inlineStr">
        <is>
          <t>OPERATING</t>
        </is>
      </c>
    </row>
    <row r="25172">
      <c r="A25172" s="8" t="inlineStr">
        <is>
          <t>2026-08-05</t>
        </is>
      </c>
      <c r="B25172" s="8" t="n">
        <v>14</v>
      </c>
      <c r="C25172" s="8" t="n">
        <v>45</v>
      </c>
      <c r="D25172" s="8" t="inlineStr">
        <is>
          <t>Disney Adventure World</t>
        </is>
      </c>
      <c r="E25172" s="8" t="inlineStr">
        <is>
          <t>Frozen Ever After</t>
        </is>
      </c>
      <c r="F25172" s="8" t="inlineStr">
        <is>
          <t>STANDBY</t>
        </is>
      </c>
      <c r="G25172" s="8" t="n">
        <v>55</v>
      </c>
      <c r="H25172" s="8" t="inlineStr">
        <is>
          <t>OPERATING</t>
        </is>
      </c>
    </row>
    <row r="25173">
      <c r="A25173" s="8" t="inlineStr">
        <is>
          <t>2026-08-05</t>
        </is>
      </c>
      <c r="B25173" s="8" t="n">
        <v>14</v>
      </c>
      <c r="C25173" s="8" t="n">
        <v>45</v>
      </c>
      <c r="D25173" s="8" t="inlineStr">
        <is>
          <t>Disney Adventure World</t>
        </is>
      </c>
      <c r="E25173" s="8" t="inlineStr">
        <is>
          <t>Raiponce Tangled Spin</t>
        </is>
      </c>
      <c r="F25173" s="8" t="inlineStr">
        <is>
          <t>STANDBY</t>
        </is>
      </c>
      <c r="G25173" s="8" t="n">
        <v>15</v>
      </c>
      <c r="H25173" s="8" t="inlineStr">
        <is>
          <t>OPERATING</t>
        </is>
      </c>
    </row>
    <row r="25174">
      <c r="A25174" s="8" t="inlineStr">
        <is>
          <t>2026-08-05</t>
        </is>
      </c>
      <c r="B25174" s="8" t="n">
        <v>15</v>
      </c>
      <c r="C25174" s="8" t="n">
        <v>1</v>
      </c>
      <c r="D25174" s="8" t="inlineStr">
        <is>
          <t>Disneyland Park</t>
        </is>
      </c>
      <c r="E25174" s="8" t="inlineStr">
        <is>
          <t>Adventure Isle</t>
        </is>
      </c>
      <c r="F25174" s="8" t="inlineStr">
        <is>
          <t>STANDBY</t>
        </is>
      </c>
      <c r="G25174" s="8" t="n">
        <v>0</v>
      </c>
      <c r="H25174" s="8" t="inlineStr">
        <is>
          <t>OPERATING</t>
        </is>
      </c>
    </row>
    <row r="25175">
      <c r="A25175" s="8" t="inlineStr">
        <is>
          <t>2026-08-05</t>
        </is>
      </c>
      <c r="B25175" s="8" t="n">
        <v>15</v>
      </c>
      <c r="C25175" s="8" t="n">
        <v>1</v>
      </c>
      <c r="D25175" s="8" t="inlineStr">
        <is>
          <t>Disneyland Park</t>
        </is>
      </c>
      <c r="E25175" s="8" t="inlineStr">
        <is>
          <t>Indiana Jones and the Temple of Peril Single Rider</t>
        </is>
      </c>
      <c r="F25175" s="8" t="inlineStr">
        <is>
          <t>STANDBY</t>
        </is>
      </c>
      <c r="G25175" s="8" t="n">
        <v>20</v>
      </c>
      <c r="H25175" s="8" t="inlineStr">
        <is>
          <t>OPERATING</t>
        </is>
      </c>
    </row>
    <row r="25176">
      <c r="A25176" s="8" t="inlineStr">
        <is>
          <t>2026-08-05</t>
        </is>
      </c>
      <c r="B25176" s="8" t="n">
        <v>15</v>
      </c>
      <c r="C25176" s="8" t="n">
        <v>1</v>
      </c>
      <c r="D25176" s="8" t="inlineStr">
        <is>
          <t>Disneyland Park</t>
        </is>
      </c>
      <c r="E25176" s="8" t="inlineStr">
        <is>
          <t>Indiana Jones™ and the Temple of Peril</t>
        </is>
      </c>
      <c r="F25176" s="8" t="inlineStr">
        <is>
          <t>STANDBY</t>
        </is>
      </c>
      <c r="G25176" s="8" t="n">
        <v>40</v>
      </c>
      <c r="H25176" s="8" t="inlineStr">
        <is>
          <t>OPERATING</t>
        </is>
      </c>
    </row>
    <row r="25177">
      <c r="A25177" s="8" t="inlineStr">
        <is>
          <t>2026-08-05</t>
        </is>
      </c>
      <c r="B25177" s="8" t="n">
        <v>15</v>
      </c>
      <c r="C25177" s="8" t="n">
        <v>1</v>
      </c>
      <c r="D25177" s="8" t="inlineStr">
        <is>
          <t>Disneyland Park</t>
        </is>
      </c>
      <c r="E25177" s="8" t="inlineStr">
        <is>
          <t>La Cabane des Robinson</t>
        </is>
      </c>
      <c r="F25177" s="8" t="inlineStr">
        <is>
          <t>STANDBY</t>
        </is>
      </c>
      <c r="G25177" s="8" t="n">
        <v>5</v>
      </c>
      <c r="H25177" s="8" t="inlineStr">
        <is>
          <t>OPERATING</t>
        </is>
      </c>
    </row>
    <row r="25178">
      <c r="A25178" s="8" t="inlineStr">
        <is>
          <t>2026-08-05</t>
        </is>
      </c>
      <c r="B25178" s="8" t="n">
        <v>15</v>
      </c>
      <c r="C25178" s="8" t="n">
        <v>1</v>
      </c>
      <c r="D25178" s="8" t="inlineStr">
        <is>
          <t>Disneyland Park</t>
        </is>
      </c>
      <c r="E25178" s="8" t="inlineStr">
        <is>
          <t>Le Passage Enchanté d'Aladdin</t>
        </is>
      </c>
      <c r="F25178" s="8" t="inlineStr">
        <is>
          <t>STANDBY</t>
        </is>
      </c>
      <c r="G25178" s="8" t="n">
        <v>0</v>
      </c>
      <c r="H25178" s="8" t="inlineStr">
        <is>
          <t>OPERATING</t>
        </is>
      </c>
    </row>
    <row r="25179">
      <c r="A25179" s="8" t="inlineStr">
        <is>
          <t>2026-08-05</t>
        </is>
      </c>
      <c r="B25179" s="8" t="n">
        <v>15</v>
      </c>
      <c r="C25179" s="8" t="n">
        <v>1</v>
      </c>
      <c r="D25179" s="8" t="inlineStr">
        <is>
          <t>Disneyland Park</t>
        </is>
      </c>
      <c r="E25179" s="8" t="inlineStr">
        <is>
          <t>Pirate Galleon</t>
        </is>
      </c>
      <c r="F25179" s="8" t="inlineStr">
        <is>
          <t>STANDBY</t>
        </is>
      </c>
      <c r="G25179" s="8" t="n">
        <v>0</v>
      </c>
      <c r="H25179" s="8" t="inlineStr">
        <is>
          <t>CLOSED</t>
        </is>
      </c>
    </row>
    <row r="25180">
      <c r="A25180" s="8" t="inlineStr">
        <is>
          <t>2026-08-05</t>
        </is>
      </c>
      <c r="B25180" s="8" t="n">
        <v>15</v>
      </c>
      <c r="C25180" s="8" t="n">
        <v>1</v>
      </c>
      <c r="D25180" s="8" t="inlineStr">
        <is>
          <t>Disneyland Park</t>
        </is>
      </c>
      <c r="E25180" s="8" t="inlineStr">
        <is>
          <t>Pirates of the Caribbean</t>
        </is>
      </c>
      <c r="F25180" s="8" t="inlineStr">
        <is>
          <t>STANDBY</t>
        </is>
      </c>
      <c r="G25180" s="8" t="n">
        <v>30</v>
      </c>
      <c r="H25180" s="8" t="inlineStr">
        <is>
          <t>OPERATING</t>
        </is>
      </c>
    </row>
    <row r="25181">
      <c r="A25181" s="8" t="inlineStr">
        <is>
          <t>2026-08-05</t>
        </is>
      </c>
      <c r="B25181" s="8" t="n">
        <v>15</v>
      </c>
      <c r="C25181" s="8" t="n">
        <v>1</v>
      </c>
      <c r="D25181" s="8" t="inlineStr">
        <is>
          <t>Disneyland Park</t>
        </is>
      </c>
      <c r="E25181" s="8" t="inlineStr">
        <is>
          <t>Pirates' Beach</t>
        </is>
      </c>
      <c r="F25181" s="8" t="inlineStr">
        <is>
          <t>STANDBY</t>
        </is>
      </c>
      <c r="G25181" s="8" t="n">
        <v>0</v>
      </c>
      <c r="H25181" s="8" t="inlineStr">
        <is>
          <t>OPERATING</t>
        </is>
      </c>
    </row>
    <row r="25182">
      <c r="A25182" s="8" t="inlineStr">
        <is>
          <t>2026-08-05</t>
        </is>
      </c>
      <c r="B25182" s="8" t="n">
        <v>15</v>
      </c>
      <c r="C25182" s="8" t="n">
        <v>1</v>
      </c>
      <c r="D25182" s="8" t="inlineStr">
        <is>
          <t>Disneyland Park</t>
        </is>
      </c>
      <c r="E25182" s="8" t="inlineStr">
        <is>
          <t>Autopia, presented by Avis</t>
        </is>
      </c>
      <c r="F25182" s="8" t="inlineStr">
        <is>
          <t>STANDBY</t>
        </is>
      </c>
      <c r="G25182" s="8" t="n">
        <v>40</v>
      </c>
      <c r="H25182" s="8" t="inlineStr">
        <is>
          <t>OPERATING</t>
        </is>
      </c>
    </row>
    <row r="25183">
      <c r="A25183" s="8" t="inlineStr">
        <is>
          <t>2026-08-05</t>
        </is>
      </c>
      <c r="B25183" s="8" t="n">
        <v>15</v>
      </c>
      <c r="C25183" s="8" t="n">
        <v>1</v>
      </c>
      <c r="D25183" s="8" t="inlineStr">
        <is>
          <t>Disneyland Park</t>
        </is>
      </c>
      <c r="E25183" s="8" t="inlineStr">
        <is>
          <t>Buzz Lightyear Laser Blast</t>
        </is>
      </c>
      <c r="F25183" s="8" t="inlineStr">
        <is>
          <t>STANDBY</t>
        </is>
      </c>
      <c r="G25183" s="8" t="n">
        <v>40</v>
      </c>
      <c r="H25183" s="8" t="inlineStr">
        <is>
          <t>OPERATING</t>
        </is>
      </c>
    </row>
    <row r="25184">
      <c r="A25184" s="8" t="inlineStr">
        <is>
          <t>2026-08-05</t>
        </is>
      </c>
      <c r="B25184" s="8" t="n">
        <v>15</v>
      </c>
      <c r="C25184" s="8" t="n">
        <v>1</v>
      </c>
      <c r="D25184" s="8" t="inlineStr">
        <is>
          <t>Disneyland Park</t>
        </is>
      </c>
      <c r="E25184" s="8" t="inlineStr">
        <is>
          <t>Disneyland Railroad Discoveryland Station</t>
        </is>
      </c>
      <c r="F25184" s="8" t="inlineStr">
        <is>
          <t>STANDBY</t>
        </is>
      </c>
      <c r="G25184" s="8" t="n">
        <v>0</v>
      </c>
      <c r="H25184" s="8" t="inlineStr">
        <is>
          <t>CLOSED</t>
        </is>
      </c>
    </row>
    <row r="25185">
      <c r="A25185" s="8" t="inlineStr">
        <is>
          <t>2026-08-05</t>
        </is>
      </c>
      <c r="B25185" s="8" t="n">
        <v>15</v>
      </c>
      <c r="C25185" s="8" t="n">
        <v>1</v>
      </c>
      <c r="D25185" s="8" t="inlineStr">
        <is>
          <t>Disneyland Park</t>
        </is>
      </c>
      <c r="E25185" s="8" t="inlineStr">
        <is>
          <t>Les Mystères du Nautilus</t>
        </is>
      </c>
      <c r="F25185" s="8" t="inlineStr">
        <is>
          <t>STANDBY</t>
        </is>
      </c>
      <c r="G25185" s="8" t="n">
        <v>5</v>
      </c>
      <c r="H25185" s="8" t="inlineStr">
        <is>
          <t>OPERATING</t>
        </is>
      </c>
    </row>
    <row r="25186">
      <c r="A25186" s="8" t="inlineStr">
        <is>
          <t>2026-08-05</t>
        </is>
      </c>
      <c r="B25186" s="8" t="n">
        <v>15</v>
      </c>
      <c r="C25186" s="8" t="n">
        <v>1</v>
      </c>
      <c r="D25186" s="8" t="inlineStr">
        <is>
          <t>Disneyland Park</t>
        </is>
      </c>
      <c r="E25186" s="8" t="inlineStr">
        <is>
          <t>Mickey’s PhilharMagic</t>
        </is>
      </c>
      <c r="F25186" s="8" t="inlineStr">
        <is>
          <t>STANDBY</t>
        </is>
      </c>
      <c r="G25186" s="8" t="n">
        <v>0</v>
      </c>
      <c r="H25186" s="8" t="inlineStr">
        <is>
          <t>OPERATING</t>
        </is>
      </c>
    </row>
    <row r="25187">
      <c r="A25187" s="8" t="inlineStr">
        <is>
          <t>2026-08-05</t>
        </is>
      </c>
      <c r="B25187" s="8" t="n">
        <v>15</v>
      </c>
      <c r="C25187" s="8" t="n">
        <v>1</v>
      </c>
      <c r="D25187" s="8" t="inlineStr">
        <is>
          <t>Disneyland Park</t>
        </is>
      </c>
      <c r="E25187" s="8" t="inlineStr">
        <is>
          <t>Orbitron®</t>
        </is>
      </c>
      <c r="F25187" s="8" t="inlineStr">
        <is>
          <t>STANDBY</t>
        </is>
      </c>
      <c r="G25187" s="8" t="n">
        <v>70</v>
      </c>
      <c r="H25187" s="8" t="inlineStr">
        <is>
          <t>OPERATING</t>
        </is>
      </c>
    </row>
    <row r="25188">
      <c r="A25188" s="8" t="inlineStr">
        <is>
          <t>2026-08-05</t>
        </is>
      </c>
      <c r="B25188" s="8" t="n">
        <v>15</v>
      </c>
      <c r="C25188" s="8" t="n">
        <v>1</v>
      </c>
      <c r="D25188" s="8" t="inlineStr">
        <is>
          <t>Disneyland Park</t>
        </is>
      </c>
      <c r="E25188" s="8" t="inlineStr">
        <is>
          <t>Star Tours: The Adventures Continue*</t>
        </is>
      </c>
      <c r="F25188" s="8" t="inlineStr">
        <is>
          <t>STANDBY</t>
        </is>
      </c>
      <c r="G25188" s="8" t="n">
        <v>30</v>
      </c>
      <c r="H25188" s="8" t="inlineStr">
        <is>
          <t>OPERATING</t>
        </is>
      </c>
    </row>
    <row r="25189">
      <c r="A25189" s="8" t="inlineStr">
        <is>
          <t>2026-08-05</t>
        </is>
      </c>
      <c r="B25189" s="8" t="n">
        <v>15</v>
      </c>
      <c r="C25189" s="8" t="n">
        <v>1</v>
      </c>
      <c r="D25189" s="8" t="inlineStr">
        <is>
          <t>Disneyland Park</t>
        </is>
      </c>
      <c r="E25189" s="8" t="inlineStr">
        <is>
          <t>Star Wars Hyperspace Mountain</t>
        </is>
      </c>
      <c r="F25189" s="8" t="inlineStr">
        <is>
          <t>STANDBY</t>
        </is>
      </c>
      <c r="G25189" s="8" t="n">
        <v>40</v>
      </c>
      <c r="H25189" s="8" t="inlineStr">
        <is>
          <t>OPERATING</t>
        </is>
      </c>
    </row>
    <row r="25190">
      <c r="A25190" s="8" t="inlineStr">
        <is>
          <t>2026-08-05</t>
        </is>
      </c>
      <c r="B25190" s="8" t="n">
        <v>15</v>
      </c>
      <c r="C25190" s="8" t="n">
        <v>1</v>
      </c>
      <c r="D25190" s="8" t="inlineStr">
        <is>
          <t>Disneyland Park</t>
        </is>
      </c>
      <c r="E25190" s="8" t="inlineStr">
        <is>
          <t>Star Wars Hyperspace Mountain Single Rider</t>
        </is>
      </c>
      <c r="F25190" s="8" t="inlineStr">
        <is>
          <t>STANDBY</t>
        </is>
      </c>
      <c r="G25190" s="8" t="n">
        <v>30</v>
      </c>
      <c r="H25190" s="8" t="inlineStr">
        <is>
          <t>OPERATING</t>
        </is>
      </c>
    </row>
    <row r="25191">
      <c r="A25191" s="8" t="inlineStr">
        <is>
          <t>2026-08-05</t>
        </is>
      </c>
      <c r="B25191" s="8" t="n">
        <v>15</v>
      </c>
      <c r="C25191" s="8" t="n">
        <v>1</v>
      </c>
      <c r="D25191" s="8" t="inlineStr">
        <is>
          <t>Disneyland Park</t>
        </is>
      </c>
      <c r="E25191" s="8" t="inlineStr">
        <is>
          <t>Welcome to Starport: A Star Wars Encounter</t>
        </is>
      </c>
      <c r="F25191" s="8" t="inlineStr">
        <is>
          <t>STANDBY</t>
        </is>
      </c>
      <c r="G25191" s="8" t="n">
        <v>40</v>
      </c>
      <c r="H25191" s="8" t="inlineStr">
        <is>
          <t>OPERATING</t>
        </is>
      </c>
    </row>
    <row r="25192">
      <c r="A25192" s="8" t="inlineStr">
        <is>
          <t>2026-08-05</t>
        </is>
      </c>
      <c r="B25192" s="8" t="n">
        <v>15</v>
      </c>
      <c r="C25192" s="8" t="n">
        <v>1</v>
      </c>
      <c r="D25192" s="8" t="inlineStr">
        <is>
          <t>Disneyland Park</t>
        </is>
      </c>
      <c r="E25192" s="8" t="inlineStr">
        <is>
          <t>"it's a small world"</t>
        </is>
      </c>
      <c r="F25192" s="8" t="inlineStr">
        <is>
          <t>STANDBY</t>
        </is>
      </c>
      <c r="G25192" s="8" t="n">
        <v>15</v>
      </c>
      <c r="H25192" s="8" t="inlineStr">
        <is>
          <t>OPERATING</t>
        </is>
      </c>
    </row>
    <row r="25193">
      <c r="A25193" s="8" t="inlineStr">
        <is>
          <t>2026-08-05</t>
        </is>
      </c>
      <c r="B25193" s="8" t="n">
        <v>15</v>
      </c>
      <c r="C25193" s="8" t="n">
        <v>1</v>
      </c>
      <c r="D25193" s="8" t="inlineStr">
        <is>
          <t>Disneyland Park</t>
        </is>
      </c>
      <c r="E25193" s="8" t="inlineStr">
        <is>
          <t>Alice's Curious Labyrinth</t>
        </is>
      </c>
      <c r="F25193" s="8" t="inlineStr">
        <is>
          <t>STANDBY</t>
        </is>
      </c>
      <c r="G25193" s="8" t="n">
        <v>5</v>
      </c>
      <c r="H25193" s="8" t="inlineStr">
        <is>
          <t>OPERATING</t>
        </is>
      </c>
    </row>
    <row r="25194">
      <c r="A25194" s="8" t="inlineStr">
        <is>
          <t>2026-08-05</t>
        </is>
      </c>
      <c r="B25194" s="8" t="n">
        <v>15</v>
      </c>
      <c r="C25194" s="8" t="n">
        <v>1</v>
      </c>
      <c r="D25194" s="8" t="inlineStr">
        <is>
          <t>Disneyland Park</t>
        </is>
      </c>
      <c r="E25194" s="8" t="inlineStr">
        <is>
          <t>Blanche-Neige et les Sept Nains®</t>
        </is>
      </c>
      <c r="F25194" s="8" t="inlineStr">
        <is>
          <t>STANDBY</t>
        </is>
      </c>
      <c r="G25194" s="8" t="n">
        <v>5</v>
      </c>
      <c r="H25194" s="8" t="inlineStr">
        <is>
          <t>OPERATING</t>
        </is>
      </c>
    </row>
    <row r="25195">
      <c r="A25195" s="8" t="inlineStr">
        <is>
          <t>2026-08-05</t>
        </is>
      </c>
      <c r="B25195" s="8" t="n">
        <v>15</v>
      </c>
      <c r="C25195" s="8" t="n">
        <v>1</v>
      </c>
      <c r="D25195" s="8" t="inlineStr">
        <is>
          <t>Disneyland Park</t>
        </is>
      </c>
      <c r="E25195" s="8" t="inlineStr">
        <is>
          <t>Casey Jr. – le Petit Train du Cirque</t>
        </is>
      </c>
      <c r="F25195" s="8" t="inlineStr">
        <is>
          <t>STANDBY</t>
        </is>
      </c>
      <c r="G25195" s="8" t="n">
        <v>20</v>
      </c>
      <c r="H25195" s="8" t="inlineStr">
        <is>
          <t>OPERATING</t>
        </is>
      </c>
    </row>
    <row r="25196">
      <c r="A25196" s="8" t="inlineStr">
        <is>
          <t>2026-08-05</t>
        </is>
      </c>
      <c r="B25196" s="8" t="n">
        <v>15</v>
      </c>
      <c r="C25196" s="8" t="n">
        <v>1</v>
      </c>
      <c r="D25196" s="8" t="inlineStr">
        <is>
          <t>Disneyland Park</t>
        </is>
      </c>
      <c r="E25196" s="8" t="inlineStr">
        <is>
          <t>Disneyland Railroad Fantasyland Station</t>
        </is>
      </c>
      <c r="F25196" s="8" t="inlineStr">
        <is>
          <t>STANDBY</t>
        </is>
      </c>
      <c r="G25196" s="8" t="n">
        <v>0</v>
      </c>
      <c r="H25196" s="8" t="inlineStr">
        <is>
          <t>CLOSED</t>
        </is>
      </c>
    </row>
    <row r="25197">
      <c r="A25197" s="8" t="inlineStr">
        <is>
          <t>2026-08-05</t>
        </is>
      </c>
      <c r="B25197" s="8" t="n">
        <v>15</v>
      </c>
      <c r="C25197" s="8" t="n">
        <v>1</v>
      </c>
      <c r="D25197" s="8" t="inlineStr">
        <is>
          <t>Disneyland Park</t>
        </is>
      </c>
      <c r="E25197" s="8" t="inlineStr">
        <is>
          <t>Disneyland Railroad Main Street Station</t>
        </is>
      </c>
      <c r="F25197" s="8" t="inlineStr">
        <is>
          <t>STANDBY</t>
        </is>
      </c>
      <c r="G25197" s="8" t="n">
        <v>10</v>
      </c>
      <c r="H25197" s="8" t="inlineStr">
        <is>
          <t>OPERATING</t>
        </is>
      </c>
    </row>
    <row r="25198">
      <c r="A25198" s="8" t="inlineStr">
        <is>
          <t>2026-08-05</t>
        </is>
      </c>
      <c r="B25198" s="8" t="n">
        <v>15</v>
      </c>
      <c r="C25198" s="8" t="n">
        <v>1</v>
      </c>
      <c r="D25198" s="8" t="inlineStr">
        <is>
          <t>Disneyland Park</t>
        </is>
      </c>
      <c r="E25198" s="8" t="inlineStr">
        <is>
          <t>Dumbo the Flying Elephant</t>
        </is>
      </c>
      <c r="F25198" s="8" t="inlineStr">
        <is>
          <t>STANDBY</t>
        </is>
      </c>
      <c r="G25198" s="8" t="n">
        <v>35</v>
      </c>
      <c r="H25198" s="8" t="inlineStr">
        <is>
          <t>OPERATING</t>
        </is>
      </c>
    </row>
    <row r="25199">
      <c r="A25199" s="8" t="inlineStr">
        <is>
          <t>2026-08-05</t>
        </is>
      </c>
      <c r="B25199" s="8" t="n">
        <v>15</v>
      </c>
      <c r="C25199" s="8" t="n">
        <v>1</v>
      </c>
      <c r="D25199" s="8" t="inlineStr">
        <is>
          <t>Disneyland Park</t>
        </is>
      </c>
      <c r="E25199" s="8" t="inlineStr">
        <is>
          <t>La Tanière du Dragon</t>
        </is>
      </c>
      <c r="F25199" s="8" t="inlineStr">
        <is>
          <t>STANDBY</t>
        </is>
      </c>
      <c r="G25199" s="8" t="n">
        <v>0</v>
      </c>
      <c r="H25199" s="8" t="inlineStr">
        <is>
          <t>OPERATING</t>
        </is>
      </c>
    </row>
    <row r="25200">
      <c r="A25200" s="8" t="inlineStr">
        <is>
          <t>2026-08-05</t>
        </is>
      </c>
      <c r="B25200" s="8" t="n">
        <v>15</v>
      </c>
      <c r="C25200" s="8" t="n">
        <v>1</v>
      </c>
      <c r="D25200" s="8" t="inlineStr">
        <is>
          <t>Disneyland Park</t>
        </is>
      </c>
      <c r="E25200" s="8" t="inlineStr">
        <is>
          <t>Le Carrousel de Lancelot</t>
        </is>
      </c>
      <c r="F25200" s="8" t="inlineStr">
        <is>
          <t>STANDBY</t>
        </is>
      </c>
      <c r="G25200" s="8" t="n">
        <v>15</v>
      </c>
      <c r="H25200" s="8" t="inlineStr">
        <is>
          <t>OPERATING</t>
        </is>
      </c>
    </row>
    <row r="25201">
      <c r="A25201" s="8" t="inlineStr">
        <is>
          <t>2026-08-05</t>
        </is>
      </c>
      <c r="B25201" s="8" t="n">
        <v>15</v>
      </c>
      <c r="C25201" s="8" t="n">
        <v>1</v>
      </c>
      <c r="D25201" s="8" t="inlineStr">
        <is>
          <t>Disneyland Park</t>
        </is>
      </c>
      <c r="E25201" s="8" t="inlineStr">
        <is>
          <t>Le Pays des Contes de Fées, presented by Vittel</t>
        </is>
      </c>
      <c r="F25201" s="8" t="inlineStr">
        <is>
          <t>STANDBY</t>
        </is>
      </c>
      <c r="G25201" s="8" t="n">
        <v>5</v>
      </c>
      <c r="H25201" s="8" t="inlineStr">
        <is>
          <t>OPERATING</t>
        </is>
      </c>
    </row>
    <row r="25202">
      <c r="A25202" s="8" t="inlineStr">
        <is>
          <t>2026-08-05</t>
        </is>
      </c>
      <c r="B25202" s="8" t="n">
        <v>15</v>
      </c>
      <c r="C25202" s="8" t="n">
        <v>1</v>
      </c>
      <c r="D25202" s="8" t="inlineStr">
        <is>
          <t>Disneyland Park</t>
        </is>
      </c>
      <c r="E25202" s="8" t="inlineStr">
        <is>
          <t>Les Voyages de Pinocchio</t>
        </is>
      </c>
      <c r="F25202" s="8" t="inlineStr">
        <is>
          <t>STANDBY</t>
        </is>
      </c>
      <c r="G25202" s="8" t="n">
        <v>25</v>
      </c>
      <c r="H25202" s="8" t="inlineStr">
        <is>
          <t>OPERATING</t>
        </is>
      </c>
    </row>
    <row r="25203">
      <c r="A25203" s="8" t="inlineStr">
        <is>
          <t>2026-08-05</t>
        </is>
      </c>
      <c r="B25203" s="8" t="n">
        <v>15</v>
      </c>
      <c r="C25203" s="8" t="n">
        <v>1</v>
      </c>
      <c r="D25203" s="8" t="inlineStr">
        <is>
          <t>Disneyland Park</t>
        </is>
      </c>
      <c r="E25203" s="8" t="inlineStr">
        <is>
          <t>Mad Hatter's Tea Cups</t>
        </is>
      </c>
      <c r="F25203" s="8" t="inlineStr">
        <is>
          <t>STANDBY</t>
        </is>
      </c>
      <c r="G25203" s="8" t="n">
        <v>10</v>
      </c>
      <c r="H25203" s="8" t="inlineStr">
        <is>
          <t>OPERATING</t>
        </is>
      </c>
    </row>
    <row r="25204">
      <c r="A25204" s="8" t="inlineStr">
        <is>
          <t>2026-08-05</t>
        </is>
      </c>
      <c r="B25204" s="8" t="n">
        <v>15</v>
      </c>
      <c r="C25204" s="8" t="n">
        <v>1</v>
      </c>
      <c r="D25204" s="8" t="inlineStr">
        <is>
          <t>Disneyland Park</t>
        </is>
      </c>
      <c r="E25204" s="8" t="inlineStr">
        <is>
          <t>Meet Mickey Mouse</t>
        </is>
      </c>
      <c r="F25204" s="8" t="inlineStr">
        <is>
          <t>STANDBY</t>
        </is>
      </c>
      <c r="G25204" s="8" t="n">
        <v>0</v>
      </c>
      <c r="H25204" s="8" t="inlineStr">
        <is>
          <t>OPERATING</t>
        </is>
      </c>
    </row>
    <row r="25205">
      <c r="A25205" s="8" t="inlineStr">
        <is>
          <t>2026-08-05</t>
        </is>
      </c>
      <c r="B25205" s="8" t="n">
        <v>15</v>
      </c>
      <c r="C25205" s="8" t="n">
        <v>1</v>
      </c>
      <c r="D25205" s="8" t="inlineStr">
        <is>
          <t>Disneyland Park</t>
        </is>
      </c>
      <c r="E25205" s="8" t="inlineStr">
        <is>
          <t>Peter Pan's Flight</t>
        </is>
      </c>
      <c r="F25205" s="8" t="inlineStr">
        <is>
          <t>STANDBY</t>
        </is>
      </c>
      <c r="G25205" s="8" t="n">
        <v>70</v>
      </c>
      <c r="H25205" s="8" t="inlineStr">
        <is>
          <t>OPERATING</t>
        </is>
      </c>
    </row>
    <row r="25206">
      <c r="A25206" s="8" t="inlineStr">
        <is>
          <t>2026-08-05</t>
        </is>
      </c>
      <c r="B25206" s="8" t="n">
        <v>15</v>
      </c>
      <c r="C25206" s="8" t="n">
        <v>1</v>
      </c>
      <c r="D25206" s="8" t="inlineStr">
        <is>
          <t>Disneyland Park</t>
        </is>
      </c>
      <c r="E25206" s="8" t="inlineStr">
        <is>
          <t>Princess Pavilion</t>
        </is>
      </c>
      <c r="F25206" s="8" t="inlineStr">
        <is>
          <t>STANDBY</t>
        </is>
      </c>
      <c r="G25206" s="8" t="n">
        <v>0</v>
      </c>
      <c r="H25206" s="8" t="inlineStr">
        <is>
          <t>OPERATING</t>
        </is>
      </c>
    </row>
    <row r="25207">
      <c r="A25207" s="8" t="inlineStr">
        <is>
          <t>2026-08-05</t>
        </is>
      </c>
      <c r="B25207" s="8" t="n">
        <v>15</v>
      </c>
      <c r="C25207" s="8" t="n">
        <v>1</v>
      </c>
      <c r="D25207" s="8" t="inlineStr">
        <is>
          <t>Disneyland Park</t>
        </is>
      </c>
      <c r="E25207" s="8" t="inlineStr">
        <is>
          <t>Big Thunder Mountain</t>
        </is>
      </c>
      <c r="F25207" s="8" t="inlineStr">
        <is>
          <t>STANDBY</t>
        </is>
      </c>
      <c r="G25207" s="8" t="n">
        <v>80</v>
      </c>
      <c r="H25207" s="8" t="inlineStr">
        <is>
          <t>OPERATING</t>
        </is>
      </c>
    </row>
    <row r="25208">
      <c r="A25208" s="8" t="inlineStr">
        <is>
          <t>2026-08-05</t>
        </is>
      </c>
      <c r="B25208" s="8" t="n">
        <v>15</v>
      </c>
      <c r="C25208" s="8" t="n">
        <v>1</v>
      </c>
      <c r="D25208" s="8" t="inlineStr">
        <is>
          <t>Disneyland Park</t>
        </is>
      </c>
      <c r="E25208" s="8" t="inlineStr">
        <is>
          <t>Disneyland Railroad Frontierland Depot</t>
        </is>
      </c>
      <c r="F25208" s="8" t="inlineStr">
        <is>
          <t>STANDBY</t>
        </is>
      </c>
      <c r="G25208" s="8" t="n">
        <v>10</v>
      </c>
      <c r="H25208" s="8" t="inlineStr">
        <is>
          <t>OPERATING</t>
        </is>
      </c>
    </row>
    <row r="25209">
      <c r="A25209" s="8" t="inlineStr">
        <is>
          <t>2026-08-05</t>
        </is>
      </c>
      <c r="B25209" s="8" t="n">
        <v>15</v>
      </c>
      <c r="C25209" s="8" t="n">
        <v>1</v>
      </c>
      <c r="D25209" s="8" t="inlineStr">
        <is>
          <t>Disneyland Park</t>
        </is>
      </c>
      <c r="E25209" s="8" t="inlineStr">
        <is>
          <t>Frontierland Playground</t>
        </is>
      </c>
      <c r="F25209" s="8" t="inlineStr">
        <is>
          <t>STANDBY</t>
        </is>
      </c>
      <c r="G25209" s="8" t="n">
        <v>0</v>
      </c>
      <c r="H25209" s="8" t="inlineStr">
        <is>
          <t>OPERATING</t>
        </is>
      </c>
    </row>
    <row r="25210">
      <c r="A25210" s="8" t="inlineStr">
        <is>
          <t>2026-08-05</t>
        </is>
      </c>
      <c r="B25210" s="8" t="n">
        <v>15</v>
      </c>
      <c r="C25210" s="8" t="n">
        <v>1</v>
      </c>
      <c r="D25210" s="8" t="inlineStr">
        <is>
          <t>Disneyland Park</t>
        </is>
      </c>
      <c r="E25210" s="8" t="inlineStr">
        <is>
          <t>Phantom Manor</t>
        </is>
      </c>
      <c r="F25210" s="8" t="inlineStr">
        <is>
          <t>STANDBY</t>
        </is>
      </c>
      <c r="G25210" s="8" t="n">
        <v>20</v>
      </c>
      <c r="H25210" s="8" t="inlineStr">
        <is>
          <t>OPERATING</t>
        </is>
      </c>
    </row>
    <row r="25211">
      <c r="A25211" s="8" t="inlineStr">
        <is>
          <t>2026-08-05</t>
        </is>
      </c>
      <c r="B25211" s="8" t="n">
        <v>15</v>
      </c>
      <c r="C25211" s="8" t="n">
        <v>1</v>
      </c>
      <c r="D25211" s="8" t="inlineStr">
        <is>
          <t>Disneyland Park</t>
        </is>
      </c>
      <c r="E25211" s="8" t="inlineStr">
        <is>
          <t>River Rogue Keelboats</t>
        </is>
      </c>
      <c r="F25211" s="8" t="inlineStr">
        <is>
          <t>STANDBY</t>
        </is>
      </c>
      <c r="G25211" s="8" t="n">
        <v>0</v>
      </c>
      <c r="H25211" s="8" t="inlineStr">
        <is>
          <t>CLOSED</t>
        </is>
      </c>
    </row>
    <row r="25212">
      <c r="A25212" s="8" t="inlineStr">
        <is>
          <t>2026-08-05</t>
        </is>
      </c>
      <c r="B25212" s="8" t="n">
        <v>15</v>
      </c>
      <c r="C25212" s="8" t="n">
        <v>1</v>
      </c>
      <c r="D25212" s="8" t="inlineStr">
        <is>
          <t>Disneyland Park</t>
        </is>
      </c>
      <c r="E25212" s="8" t="inlineStr">
        <is>
          <t>Rustler Roundup Shootin' Gallery</t>
        </is>
      </c>
      <c r="F25212" s="8" t="inlineStr">
        <is>
          <t>STANDBY</t>
        </is>
      </c>
      <c r="G25212" s="8" t="n">
        <v>0</v>
      </c>
      <c r="H25212" s="8" t="inlineStr">
        <is>
          <t>OPERATING</t>
        </is>
      </c>
    </row>
    <row r="25213">
      <c r="A25213" s="8" t="inlineStr">
        <is>
          <t>2026-08-05</t>
        </is>
      </c>
      <c r="B25213" s="8" t="n">
        <v>15</v>
      </c>
      <c r="C25213" s="8" t="n">
        <v>1</v>
      </c>
      <c r="D25213" s="8" t="inlineStr">
        <is>
          <t>Disneyland Park</t>
        </is>
      </c>
      <c r="E25213" s="8" t="inlineStr">
        <is>
          <t>Thunder Mesa Riverboat Landing</t>
        </is>
      </c>
      <c r="F25213" s="8" t="inlineStr">
        <is>
          <t>STANDBY</t>
        </is>
      </c>
      <c r="G25213" s="8" t="n">
        <v>20</v>
      </c>
      <c r="H25213" s="8" t="inlineStr">
        <is>
          <t>OPERATING</t>
        </is>
      </c>
    </row>
    <row r="25214">
      <c r="A25214" s="8" t="inlineStr">
        <is>
          <t>2026-08-05</t>
        </is>
      </c>
      <c r="B25214" s="8" t="n">
        <v>15</v>
      </c>
      <c r="C25214" s="8" t="n">
        <v>1</v>
      </c>
      <c r="D25214" s="8" t="inlineStr">
        <is>
          <t>Disneyland Park</t>
        </is>
      </c>
      <c r="E25214" s="8" t="inlineStr">
        <is>
          <t>Disneyland Railroad Main Street Station</t>
        </is>
      </c>
      <c r="F25214" s="8" t="inlineStr">
        <is>
          <t>STANDBY</t>
        </is>
      </c>
      <c r="G25214" s="8" t="n">
        <v>0</v>
      </c>
      <c r="H25214" s="8" t="inlineStr">
        <is>
          <t>OPERATING</t>
        </is>
      </c>
    </row>
    <row r="25215">
      <c r="A25215" s="8" t="inlineStr">
        <is>
          <t>2026-08-05</t>
        </is>
      </c>
      <c r="B25215" s="8" t="n">
        <v>15</v>
      </c>
      <c r="C25215" s="8" t="n">
        <v>1</v>
      </c>
      <c r="D25215" s="8" t="inlineStr">
        <is>
          <t>Disneyland Park</t>
        </is>
      </c>
      <c r="E25215" s="8" t="inlineStr">
        <is>
          <t>Main Street Vehicles</t>
        </is>
      </c>
      <c r="F25215" s="8" t="inlineStr">
        <is>
          <t>STANDBY</t>
        </is>
      </c>
      <c r="G25215" s="8" t="n">
        <v>0</v>
      </c>
      <c r="H25215" s="8" t="inlineStr">
        <is>
          <t>CLOSED</t>
        </is>
      </c>
    </row>
    <row r="25216">
      <c r="A25216" s="8" t="inlineStr">
        <is>
          <t>2026-08-05</t>
        </is>
      </c>
      <c r="B25216" s="8" t="n">
        <v>15</v>
      </c>
      <c r="C25216" s="8" t="n">
        <v>1</v>
      </c>
      <c r="D25216" s="8" t="inlineStr">
        <is>
          <t>Disney Adventure World</t>
        </is>
      </c>
      <c r="E25216" s="8" t="inlineStr">
        <is>
          <t>Avengers Assemble: Flight Force</t>
        </is>
      </c>
      <c r="F25216" s="8" t="inlineStr">
        <is>
          <t>STANDBY</t>
        </is>
      </c>
      <c r="G25216" s="8" t="n">
        <v>30</v>
      </c>
      <c r="H25216" s="8" t="inlineStr">
        <is>
          <t>OPERATING</t>
        </is>
      </c>
    </row>
    <row r="25217">
      <c r="A25217" s="8" t="inlineStr">
        <is>
          <t>2026-08-05</t>
        </is>
      </c>
      <c r="B25217" s="8" t="n">
        <v>15</v>
      </c>
      <c r="C25217" s="8" t="n">
        <v>1</v>
      </c>
      <c r="D25217" s="8" t="inlineStr">
        <is>
          <t>Disney Adventure World</t>
        </is>
      </c>
      <c r="E25217" s="8" t="inlineStr">
        <is>
          <t>Avengers Assemble: Flight Force Single Rider</t>
        </is>
      </c>
      <c r="F25217" s="8" t="inlineStr">
        <is>
          <t>STANDBY</t>
        </is>
      </c>
      <c r="G25217" s="8" t="n">
        <v>25</v>
      </c>
      <c r="H25217" s="8" t="inlineStr">
        <is>
          <t>OPERATING</t>
        </is>
      </c>
    </row>
    <row r="25218">
      <c r="A25218" s="8" t="inlineStr">
        <is>
          <t>2026-08-05</t>
        </is>
      </c>
      <c r="B25218" s="8" t="n">
        <v>15</v>
      </c>
      <c r="C25218" s="8" t="n">
        <v>1</v>
      </c>
      <c r="D25218" s="8" t="inlineStr">
        <is>
          <t>Disney Adventure World</t>
        </is>
      </c>
      <c r="E25218" s="8" t="inlineStr">
        <is>
          <t>Spider-Man W.E.B. Adventure</t>
        </is>
      </c>
      <c r="F25218" s="8" t="inlineStr">
        <is>
          <t>STANDBY</t>
        </is>
      </c>
      <c r="G25218" s="8" t="n">
        <v>60</v>
      </c>
      <c r="H25218" s="8" t="inlineStr">
        <is>
          <t>OPERATING</t>
        </is>
      </c>
    </row>
    <row r="25219">
      <c r="A25219" s="8" t="inlineStr">
        <is>
          <t>2026-08-05</t>
        </is>
      </c>
      <c r="B25219" s="8" t="n">
        <v>15</v>
      </c>
      <c r="C25219" s="8" t="n">
        <v>1</v>
      </c>
      <c r="D25219" s="8" t="inlineStr">
        <is>
          <t>Disney Adventure World</t>
        </is>
      </c>
      <c r="E25219" s="8" t="inlineStr">
        <is>
          <t>Spider-Man W.E.B. Adventure Single Rider</t>
        </is>
      </c>
      <c r="F25219" s="8" t="inlineStr">
        <is>
          <t>STANDBY</t>
        </is>
      </c>
      <c r="G25219" s="8" t="n">
        <v>30</v>
      </c>
      <c r="H25219" s="8" t="inlineStr">
        <is>
          <t>OPERATING</t>
        </is>
      </c>
    </row>
    <row r="25220">
      <c r="A25220" s="8" t="inlineStr">
        <is>
          <t>2026-08-05</t>
        </is>
      </c>
      <c r="B25220" s="8" t="n">
        <v>15</v>
      </c>
      <c r="C25220" s="8" t="n">
        <v>1</v>
      </c>
      <c r="D25220" s="8" t="inlineStr">
        <is>
          <t>Disney Adventure World</t>
        </is>
      </c>
      <c r="E25220" s="8" t="inlineStr">
        <is>
          <t>The Twilight Zone Tower of Terror</t>
        </is>
      </c>
      <c r="F25220" s="8" t="inlineStr">
        <is>
          <t>STANDBY</t>
        </is>
      </c>
      <c r="G25220" s="8" t="n">
        <v>25</v>
      </c>
      <c r="H25220" s="8" t="inlineStr">
        <is>
          <t>OPERATING</t>
        </is>
      </c>
    </row>
    <row r="25221">
      <c r="A25221" s="8" t="inlineStr">
        <is>
          <t>2026-08-05</t>
        </is>
      </c>
      <c r="B25221" s="8" t="n">
        <v>15</v>
      </c>
      <c r="C25221" s="8" t="n">
        <v>1</v>
      </c>
      <c r="D25221" s="8" t="inlineStr">
        <is>
          <t>Disney Adventure World</t>
        </is>
      </c>
      <c r="E25221" s="8" t="inlineStr">
        <is>
          <t>Cars Quatre Roues Rallye</t>
        </is>
      </c>
      <c r="F25221" s="8" t="inlineStr">
        <is>
          <t>STANDBY</t>
        </is>
      </c>
      <c r="G25221" s="8" t="n">
        <v>20</v>
      </c>
      <c r="H25221" s="8" t="inlineStr">
        <is>
          <t>OPERATING</t>
        </is>
      </c>
    </row>
    <row r="25222">
      <c r="A25222" s="8" t="inlineStr">
        <is>
          <t>2026-08-05</t>
        </is>
      </c>
      <c r="B25222" s="8" t="n">
        <v>15</v>
      </c>
      <c r="C25222" s="8" t="n">
        <v>1</v>
      </c>
      <c r="D25222" s="8" t="inlineStr">
        <is>
          <t>Disney Adventure World</t>
        </is>
      </c>
      <c r="E25222" s="8" t="inlineStr">
        <is>
          <t>Cars ROAD TRIP</t>
        </is>
      </c>
      <c r="F25222" s="8" t="inlineStr">
        <is>
          <t>STANDBY</t>
        </is>
      </c>
      <c r="G25222" s="8" t="n">
        <v>20</v>
      </c>
      <c r="H25222" s="8" t="inlineStr">
        <is>
          <t>OPERATING</t>
        </is>
      </c>
    </row>
    <row r="25223">
      <c r="A25223" s="8" t="inlineStr">
        <is>
          <t>2026-08-05</t>
        </is>
      </c>
      <c r="B25223" s="8" t="n">
        <v>15</v>
      </c>
      <c r="C25223" s="8" t="n">
        <v>1</v>
      </c>
      <c r="D25223" s="8" t="inlineStr">
        <is>
          <t>Disney Adventure World</t>
        </is>
      </c>
      <c r="E25223" s="8" t="inlineStr">
        <is>
          <t>Crush's Coaster</t>
        </is>
      </c>
      <c r="F25223" s="8" t="inlineStr">
        <is>
          <t>STANDBY</t>
        </is>
      </c>
      <c r="G25223" s="8" t="n">
        <v>80</v>
      </c>
      <c r="H25223" s="8" t="inlineStr">
        <is>
          <t>OPERATING</t>
        </is>
      </c>
    </row>
    <row r="25224">
      <c r="A25224" s="8" t="inlineStr">
        <is>
          <t>2026-08-05</t>
        </is>
      </c>
      <c r="B25224" s="8" t="n">
        <v>15</v>
      </c>
      <c r="C25224" s="8" t="n">
        <v>1</v>
      </c>
      <c r="D25224" s="8" t="inlineStr">
        <is>
          <t>Disney Adventure World</t>
        </is>
      </c>
      <c r="E25224" s="8" t="inlineStr">
        <is>
          <t>Crush's Coaster Single Rider</t>
        </is>
      </c>
      <c r="F25224" s="8" t="inlineStr">
        <is>
          <t>STANDBY</t>
        </is>
      </c>
      <c r="G25224" s="8" t="n">
        <v>70</v>
      </c>
      <c r="H25224" s="8" t="inlineStr">
        <is>
          <t>OPERATING</t>
        </is>
      </c>
    </row>
    <row r="25225">
      <c r="A25225" s="8" t="inlineStr">
        <is>
          <t>2026-08-05</t>
        </is>
      </c>
      <c r="B25225" s="8" t="n">
        <v>15</v>
      </c>
      <c r="C25225" s="8" t="n">
        <v>1</v>
      </c>
      <c r="D25225" s="8" t="inlineStr">
        <is>
          <t>Disney Adventure World</t>
        </is>
      </c>
      <c r="E25225" s="8" t="inlineStr">
        <is>
          <t>Les Tapis Volants - Flying Carpets Over Agrabah®</t>
        </is>
      </c>
      <c r="F25225" s="8" t="inlineStr">
        <is>
          <t>STANDBY</t>
        </is>
      </c>
      <c r="G25225" s="8" t="n">
        <v>35</v>
      </c>
      <c r="H25225" s="8" t="inlineStr">
        <is>
          <t>OPERATING</t>
        </is>
      </c>
    </row>
    <row r="25226">
      <c r="A25226" s="8" t="inlineStr">
        <is>
          <t>2026-08-05</t>
        </is>
      </c>
      <c r="B25226" s="8" t="n">
        <v>15</v>
      </c>
      <c r="C25226" s="8" t="n">
        <v>1</v>
      </c>
      <c r="D25226" s="8" t="inlineStr">
        <is>
          <t>Disney Adventure World</t>
        </is>
      </c>
      <c r="E25226" s="8" t="inlineStr">
        <is>
          <t>Ratatouille : L’Aventure Totalement Toquée de Rémy​</t>
        </is>
      </c>
      <c r="F25226" s="8" t="inlineStr">
        <is>
          <t>STANDBY</t>
        </is>
      </c>
      <c r="G25226" s="8" t="n">
        <v>65</v>
      </c>
      <c r="H25226" s="8" t="inlineStr">
        <is>
          <t>OPERATING</t>
        </is>
      </c>
    </row>
    <row r="25227">
      <c r="A25227" s="8" t="inlineStr">
        <is>
          <t>2026-08-05</t>
        </is>
      </c>
      <c r="B25227" s="8" t="n">
        <v>15</v>
      </c>
      <c r="C25227" s="8" t="n">
        <v>1</v>
      </c>
      <c r="D25227" s="8" t="inlineStr">
        <is>
          <t>Disney Adventure World</t>
        </is>
      </c>
      <c r="E25227" s="8" t="inlineStr">
        <is>
          <t>Ratatouille: The Adventure Single Rider</t>
        </is>
      </c>
      <c r="F25227" s="8" t="inlineStr">
        <is>
          <t>STANDBY</t>
        </is>
      </c>
      <c r="G25227" s="8" t="n">
        <v>20</v>
      </c>
      <c r="H25227" s="8" t="inlineStr">
        <is>
          <t>OPERATING</t>
        </is>
      </c>
    </row>
    <row r="25228">
      <c r="A25228" s="8" t="inlineStr">
        <is>
          <t>2026-08-05</t>
        </is>
      </c>
      <c r="B25228" s="8" t="n">
        <v>15</v>
      </c>
      <c r="C25228" s="8" t="n">
        <v>1</v>
      </c>
      <c r="D25228" s="8" t="inlineStr">
        <is>
          <t>Disney Adventure World</t>
        </is>
      </c>
      <c r="E25228" s="8" t="inlineStr">
        <is>
          <t>RC Racer</t>
        </is>
      </c>
      <c r="F25228" s="8" t="inlineStr">
        <is>
          <t>STANDBY</t>
        </is>
      </c>
      <c r="G25228" s="8" t="n">
        <v>55</v>
      </c>
      <c r="H25228" s="8" t="inlineStr">
        <is>
          <t>OPERATING</t>
        </is>
      </c>
    </row>
    <row r="25229">
      <c r="A25229" s="8" t="inlineStr">
        <is>
          <t>2026-08-05</t>
        </is>
      </c>
      <c r="B25229" s="8" t="n">
        <v>15</v>
      </c>
      <c r="C25229" s="8" t="n">
        <v>1</v>
      </c>
      <c r="D25229" s="8" t="inlineStr">
        <is>
          <t>Disney Adventure World</t>
        </is>
      </c>
      <c r="E25229" s="8" t="inlineStr">
        <is>
          <t>RC Racer Single Rider</t>
        </is>
      </c>
      <c r="F25229" s="8" t="inlineStr">
        <is>
          <t>STANDBY</t>
        </is>
      </c>
      <c r="G25229" s="8" t="n">
        <v>50</v>
      </c>
      <c r="H25229" s="8" t="inlineStr">
        <is>
          <t>OPERATING</t>
        </is>
      </c>
    </row>
    <row r="25230">
      <c r="A25230" s="8" t="inlineStr">
        <is>
          <t>2026-08-05</t>
        </is>
      </c>
      <c r="B25230" s="8" t="n">
        <v>15</v>
      </c>
      <c r="C25230" s="8" t="n">
        <v>1</v>
      </c>
      <c r="D25230" s="8" t="inlineStr">
        <is>
          <t>Disney Adventure World</t>
        </is>
      </c>
      <c r="E25230" s="8" t="inlineStr">
        <is>
          <t>Slinky® Dog Zigzag Spin</t>
        </is>
      </c>
      <c r="F25230" s="8" t="inlineStr">
        <is>
          <t>STANDBY</t>
        </is>
      </c>
      <c r="G25230" s="8" t="n">
        <v>15</v>
      </c>
      <c r="H25230" s="8" t="inlineStr">
        <is>
          <t>OPERATING</t>
        </is>
      </c>
    </row>
    <row r="25231">
      <c r="A25231" s="8" t="inlineStr">
        <is>
          <t>2026-08-05</t>
        </is>
      </c>
      <c r="B25231" s="8" t="n">
        <v>15</v>
      </c>
      <c r="C25231" s="8" t="n">
        <v>1</v>
      </c>
      <c r="D25231" s="8" t="inlineStr">
        <is>
          <t>Disney Adventure World</t>
        </is>
      </c>
      <c r="E25231" s="8" t="inlineStr">
        <is>
          <t>Toy Soldiers Parachute Drop</t>
        </is>
      </c>
      <c r="F25231" s="8" t="inlineStr">
        <is>
          <t>STANDBY</t>
        </is>
      </c>
      <c r="G25231" s="8" t="n">
        <v>50</v>
      </c>
      <c r="H25231" s="8" t="inlineStr">
        <is>
          <t>OPERATING</t>
        </is>
      </c>
    </row>
    <row r="25232">
      <c r="A25232" s="8" t="inlineStr">
        <is>
          <t>2026-08-05</t>
        </is>
      </c>
      <c r="B25232" s="8" t="n">
        <v>15</v>
      </c>
      <c r="C25232" s="8" t="n">
        <v>1</v>
      </c>
      <c r="D25232" s="8" t="inlineStr">
        <is>
          <t>Disney Adventure World</t>
        </is>
      </c>
      <c r="E25232" s="8" t="inlineStr">
        <is>
          <t>Toy Soldiers Parachute Drop Single Rider</t>
        </is>
      </c>
      <c r="F25232" s="8" t="inlineStr">
        <is>
          <t>STANDBY</t>
        </is>
      </c>
      <c r="G25232" s="8" t="n">
        <v>20</v>
      </c>
      <c r="H25232" s="8" t="inlineStr">
        <is>
          <t>OPERATING</t>
        </is>
      </c>
    </row>
    <row r="25233">
      <c r="A25233" s="8" t="inlineStr">
        <is>
          <t>2026-08-05</t>
        </is>
      </c>
      <c r="B25233" s="8" t="n">
        <v>15</v>
      </c>
      <c r="C25233" s="8" t="n">
        <v>1</v>
      </c>
      <c r="D25233" s="8" t="inlineStr">
        <is>
          <t>Disney Adventure World</t>
        </is>
      </c>
      <c r="E25233" s="8" t="inlineStr">
        <is>
          <t>Entry to World of Frozen</t>
        </is>
      </c>
      <c r="F25233" s="8" t="inlineStr">
        <is>
          <t>STANDBY</t>
        </is>
      </c>
      <c r="G25233" s="8" t="n">
        <v>0</v>
      </c>
      <c r="H25233" s="8" t="inlineStr">
        <is>
          <t>OPERATING</t>
        </is>
      </c>
    </row>
    <row r="25234">
      <c r="A25234" s="8" t="inlineStr">
        <is>
          <t>2026-08-05</t>
        </is>
      </c>
      <c r="B25234" s="8" t="n">
        <v>15</v>
      </c>
      <c r="C25234" s="8" t="n">
        <v>1</v>
      </c>
      <c r="D25234" s="8" t="inlineStr">
        <is>
          <t>Disney Adventure World</t>
        </is>
      </c>
      <c r="E25234" s="8" t="inlineStr">
        <is>
          <t>Frozen Ever After</t>
        </is>
      </c>
      <c r="F25234" s="8" t="inlineStr">
        <is>
          <t>STANDBY</t>
        </is>
      </c>
      <c r="G25234" s="8" t="n">
        <v>65</v>
      </c>
      <c r="H25234" s="8" t="inlineStr">
        <is>
          <t>OPERATING</t>
        </is>
      </c>
    </row>
    <row r="25235">
      <c r="A25235" s="8" t="inlineStr">
        <is>
          <t>2026-08-05</t>
        </is>
      </c>
      <c r="B25235" s="8" t="n">
        <v>15</v>
      </c>
      <c r="C25235" s="8" t="n">
        <v>1</v>
      </c>
      <c r="D25235" s="8" t="inlineStr">
        <is>
          <t>Disney Adventure World</t>
        </is>
      </c>
      <c r="E25235" s="8" t="inlineStr">
        <is>
          <t>Raiponce Tangled Spin</t>
        </is>
      </c>
      <c r="F25235" s="8" t="inlineStr">
        <is>
          <t>STANDBY</t>
        </is>
      </c>
      <c r="G25235" s="8" t="n">
        <v>15</v>
      </c>
      <c r="H25235" s="8" t="inlineStr">
        <is>
          <t>OPERATING</t>
        </is>
      </c>
    </row>
    <row r="25236">
      <c r="A25236" s="8" t="inlineStr">
        <is>
          <t>2026-08-05</t>
        </is>
      </c>
      <c r="B25236" s="8" t="n">
        <v>15</v>
      </c>
      <c r="C25236" s="8" t="n">
        <v>4</v>
      </c>
      <c r="D25236" s="8" t="inlineStr">
        <is>
          <t>Disneyland Park</t>
        </is>
      </c>
      <c r="E25236" s="8" t="inlineStr">
        <is>
          <t>Adventure Isle</t>
        </is>
      </c>
      <c r="F25236" s="8" t="inlineStr">
        <is>
          <t>STANDBY</t>
        </is>
      </c>
      <c r="G25236" s="8" t="n">
        <v>0</v>
      </c>
      <c r="H25236" s="8" t="inlineStr">
        <is>
          <t>OPERATING</t>
        </is>
      </c>
    </row>
    <row r="25237">
      <c r="A25237" s="8" t="inlineStr">
        <is>
          <t>2026-08-05</t>
        </is>
      </c>
      <c r="B25237" s="8" t="n">
        <v>15</v>
      </c>
      <c r="C25237" s="8" t="n">
        <v>4</v>
      </c>
      <c r="D25237" s="8" t="inlineStr">
        <is>
          <t>Disneyland Park</t>
        </is>
      </c>
      <c r="E25237" s="8" t="inlineStr">
        <is>
          <t>Indiana Jones and the Temple of Peril Single Rider</t>
        </is>
      </c>
      <c r="F25237" s="8" t="inlineStr">
        <is>
          <t>STANDBY</t>
        </is>
      </c>
      <c r="G25237" s="8" t="n">
        <v>20</v>
      </c>
      <c r="H25237" s="8" t="inlineStr">
        <is>
          <t>OPERATING</t>
        </is>
      </c>
    </row>
    <row r="25238">
      <c r="A25238" s="8" t="inlineStr">
        <is>
          <t>2026-08-05</t>
        </is>
      </c>
      <c r="B25238" s="8" t="n">
        <v>15</v>
      </c>
      <c r="C25238" s="8" t="n">
        <v>4</v>
      </c>
      <c r="D25238" s="8" t="inlineStr">
        <is>
          <t>Disneyland Park</t>
        </is>
      </c>
      <c r="E25238" s="8" t="inlineStr">
        <is>
          <t>Indiana Jones™ and the Temple of Peril</t>
        </is>
      </c>
      <c r="F25238" s="8" t="inlineStr">
        <is>
          <t>STANDBY</t>
        </is>
      </c>
      <c r="G25238" s="8" t="n">
        <v>40</v>
      </c>
      <c r="H25238" s="8" t="inlineStr">
        <is>
          <t>OPERATING</t>
        </is>
      </c>
    </row>
    <row r="25239">
      <c r="A25239" s="8" t="inlineStr">
        <is>
          <t>2026-08-05</t>
        </is>
      </c>
      <c r="B25239" s="8" t="n">
        <v>15</v>
      </c>
      <c r="C25239" s="8" t="n">
        <v>4</v>
      </c>
      <c r="D25239" s="8" t="inlineStr">
        <is>
          <t>Disneyland Park</t>
        </is>
      </c>
      <c r="E25239" s="8" t="inlineStr">
        <is>
          <t>La Cabane des Robinson</t>
        </is>
      </c>
      <c r="F25239" s="8" t="inlineStr">
        <is>
          <t>STANDBY</t>
        </is>
      </c>
      <c r="G25239" s="8" t="n">
        <v>5</v>
      </c>
      <c r="H25239" s="8" t="inlineStr">
        <is>
          <t>OPERATING</t>
        </is>
      </c>
    </row>
    <row r="25240">
      <c r="A25240" s="8" t="inlineStr">
        <is>
          <t>2026-08-05</t>
        </is>
      </c>
      <c r="B25240" s="8" t="n">
        <v>15</v>
      </c>
      <c r="C25240" s="8" t="n">
        <v>4</v>
      </c>
      <c r="D25240" s="8" t="inlineStr">
        <is>
          <t>Disneyland Park</t>
        </is>
      </c>
      <c r="E25240" s="8" t="inlineStr">
        <is>
          <t>Le Passage Enchanté d'Aladdin</t>
        </is>
      </c>
      <c r="F25240" s="8" t="inlineStr">
        <is>
          <t>STANDBY</t>
        </is>
      </c>
      <c r="G25240" s="8" t="n">
        <v>0</v>
      </c>
      <c r="H25240" s="8" t="inlineStr">
        <is>
          <t>OPERATING</t>
        </is>
      </c>
    </row>
    <row r="25241">
      <c r="A25241" s="8" t="inlineStr">
        <is>
          <t>2026-08-05</t>
        </is>
      </c>
      <c r="B25241" s="8" t="n">
        <v>15</v>
      </c>
      <c r="C25241" s="8" t="n">
        <v>4</v>
      </c>
      <c r="D25241" s="8" t="inlineStr">
        <is>
          <t>Disneyland Park</t>
        </is>
      </c>
      <c r="E25241" s="8" t="inlineStr">
        <is>
          <t>Pirate Galleon</t>
        </is>
      </c>
      <c r="F25241" s="8" t="inlineStr">
        <is>
          <t>STANDBY</t>
        </is>
      </c>
      <c r="G25241" s="8" t="n">
        <v>0</v>
      </c>
      <c r="H25241" s="8" t="inlineStr">
        <is>
          <t>CLOSED</t>
        </is>
      </c>
    </row>
    <row r="25242">
      <c r="A25242" s="8" t="inlineStr">
        <is>
          <t>2026-08-05</t>
        </is>
      </c>
      <c r="B25242" s="8" t="n">
        <v>15</v>
      </c>
      <c r="C25242" s="8" t="n">
        <v>4</v>
      </c>
      <c r="D25242" s="8" t="inlineStr">
        <is>
          <t>Disneyland Park</t>
        </is>
      </c>
      <c r="E25242" s="8" t="inlineStr">
        <is>
          <t>Pirates of the Caribbean</t>
        </is>
      </c>
      <c r="F25242" s="8" t="inlineStr">
        <is>
          <t>STANDBY</t>
        </is>
      </c>
      <c r="G25242" s="8" t="n">
        <v>30</v>
      </c>
      <c r="H25242" s="8" t="inlineStr">
        <is>
          <t>OPERATING</t>
        </is>
      </c>
    </row>
    <row r="25243">
      <c r="A25243" s="8" t="inlineStr">
        <is>
          <t>2026-08-05</t>
        </is>
      </c>
      <c r="B25243" s="8" t="n">
        <v>15</v>
      </c>
      <c r="C25243" s="8" t="n">
        <v>4</v>
      </c>
      <c r="D25243" s="8" t="inlineStr">
        <is>
          <t>Disneyland Park</t>
        </is>
      </c>
      <c r="E25243" s="8" t="inlineStr">
        <is>
          <t>Pirates' Beach</t>
        </is>
      </c>
      <c r="F25243" s="8" t="inlineStr">
        <is>
          <t>STANDBY</t>
        </is>
      </c>
      <c r="G25243" s="8" t="n">
        <v>0</v>
      </c>
      <c r="H25243" s="8" t="inlineStr">
        <is>
          <t>OPERATING</t>
        </is>
      </c>
    </row>
    <row r="25244">
      <c r="A25244" s="8" t="inlineStr">
        <is>
          <t>2026-08-05</t>
        </is>
      </c>
      <c r="B25244" s="8" t="n">
        <v>15</v>
      </c>
      <c r="C25244" s="8" t="n">
        <v>4</v>
      </c>
      <c r="D25244" s="8" t="inlineStr">
        <is>
          <t>Disneyland Park</t>
        </is>
      </c>
      <c r="E25244" s="8" t="inlineStr">
        <is>
          <t>Autopia, presented by Avis</t>
        </is>
      </c>
      <c r="F25244" s="8" t="inlineStr">
        <is>
          <t>STANDBY</t>
        </is>
      </c>
      <c r="G25244" s="8" t="n">
        <v>40</v>
      </c>
      <c r="H25244" s="8" t="inlineStr">
        <is>
          <t>OPERATING</t>
        </is>
      </c>
    </row>
    <row r="25245">
      <c r="A25245" s="8" t="inlineStr">
        <is>
          <t>2026-08-05</t>
        </is>
      </c>
      <c r="B25245" s="8" t="n">
        <v>15</v>
      </c>
      <c r="C25245" s="8" t="n">
        <v>4</v>
      </c>
      <c r="D25245" s="8" t="inlineStr">
        <is>
          <t>Disneyland Park</t>
        </is>
      </c>
      <c r="E25245" s="8" t="inlineStr">
        <is>
          <t>Buzz Lightyear Laser Blast</t>
        </is>
      </c>
      <c r="F25245" s="8" t="inlineStr">
        <is>
          <t>STANDBY</t>
        </is>
      </c>
      <c r="G25245" s="8" t="n">
        <v>40</v>
      </c>
      <c r="H25245" s="8" t="inlineStr">
        <is>
          <t>OPERATING</t>
        </is>
      </c>
    </row>
    <row r="25246">
      <c r="A25246" s="8" t="inlineStr">
        <is>
          <t>2026-08-05</t>
        </is>
      </c>
      <c r="B25246" s="8" t="n">
        <v>15</v>
      </c>
      <c r="C25246" s="8" t="n">
        <v>4</v>
      </c>
      <c r="D25246" s="8" t="inlineStr">
        <is>
          <t>Disneyland Park</t>
        </is>
      </c>
      <c r="E25246" s="8" t="inlineStr">
        <is>
          <t>Disneyland Railroad Discoveryland Station</t>
        </is>
      </c>
      <c r="F25246" s="8" t="inlineStr">
        <is>
          <t>STANDBY</t>
        </is>
      </c>
      <c r="G25246" s="8" t="n">
        <v>0</v>
      </c>
      <c r="H25246" s="8" t="inlineStr">
        <is>
          <t>CLOSED</t>
        </is>
      </c>
    </row>
    <row r="25247">
      <c r="A25247" s="8" t="inlineStr">
        <is>
          <t>2026-08-05</t>
        </is>
      </c>
      <c r="B25247" s="8" t="n">
        <v>15</v>
      </c>
      <c r="C25247" s="8" t="n">
        <v>4</v>
      </c>
      <c r="D25247" s="8" t="inlineStr">
        <is>
          <t>Disneyland Park</t>
        </is>
      </c>
      <c r="E25247" s="8" t="inlineStr">
        <is>
          <t>Les Mystères du Nautilus</t>
        </is>
      </c>
      <c r="F25247" s="8" t="inlineStr">
        <is>
          <t>STANDBY</t>
        </is>
      </c>
      <c r="G25247" s="8" t="n">
        <v>5</v>
      </c>
      <c r="H25247" s="8" t="inlineStr">
        <is>
          <t>OPERATING</t>
        </is>
      </c>
    </row>
    <row r="25248">
      <c r="A25248" s="8" t="inlineStr">
        <is>
          <t>2026-08-05</t>
        </is>
      </c>
      <c r="B25248" s="8" t="n">
        <v>15</v>
      </c>
      <c r="C25248" s="8" t="n">
        <v>4</v>
      </c>
      <c r="D25248" s="8" t="inlineStr">
        <is>
          <t>Disneyland Park</t>
        </is>
      </c>
      <c r="E25248" s="8" t="inlineStr">
        <is>
          <t>Mickey’s PhilharMagic</t>
        </is>
      </c>
      <c r="F25248" s="8" t="inlineStr">
        <is>
          <t>STANDBY</t>
        </is>
      </c>
      <c r="G25248" s="8" t="n">
        <v>0</v>
      </c>
      <c r="H25248" s="8" t="inlineStr">
        <is>
          <t>OPERATING</t>
        </is>
      </c>
    </row>
    <row r="25249">
      <c r="A25249" s="8" t="inlineStr">
        <is>
          <t>2026-08-05</t>
        </is>
      </c>
      <c r="B25249" s="8" t="n">
        <v>15</v>
      </c>
      <c r="C25249" s="8" t="n">
        <v>4</v>
      </c>
      <c r="D25249" s="8" t="inlineStr">
        <is>
          <t>Disneyland Park</t>
        </is>
      </c>
      <c r="E25249" s="8" t="inlineStr">
        <is>
          <t>Orbitron®</t>
        </is>
      </c>
      <c r="F25249" s="8" t="inlineStr">
        <is>
          <t>STANDBY</t>
        </is>
      </c>
      <c r="G25249" s="8" t="n">
        <v>70</v>
      </c>
      <c r="H25249" s="8" t="inlineStr">
        <is>
          <t>OPERATING</t>
        </is>
      </c>
    </row>
    <row r="25250">
      <c r="A25250" s="8" t="inlineStr">
        <is>
          <t>2026-08-05</t>
        </is>
      </c>
      <c r="B25250" s="8" t="n">
        <v>15</v>
      </c>
      <c r="C25250" s="8" t="n">
        <v>4</v>
      </c>
      <c r="D25250" s="8" t="inlineStr">
        <is>
          <t>Disneyland Park</t>
        </is>
      </c>
      <c r="E25250" s="8" t="inlineStr">
        <is>
          <t>Star Tours: The Adventures Continue*</t>
        </is>
      </c>
      <c r="F25250" s="8" t="inlineStr">
        <is>
          <t>STANDBY</t>
        </is>
      </c>
      <c r="G25250" s="8" t="n">
        <v>30</v>
      </c>
      <c r="H25250" s="8" t="inlineStr">
        <is>
          <t>OPERATING</t>
        </is>
      </c>
    </row>
    <row r="25251">
      <c r="A25251" s="8" t="inlineStr">
        <is>
          <t>2026-08-05</t>
        </is>
      </c>
      <c r="B25251" s="8" t="n">
        <v>15</v>
      </c>
      <c r="C25251" s="8" t="n">
        <v>4</v>
      </c>
      <c r="D25251" s="8" t="inlineStr">
        <is>
          <t>Disneyland Park</t>
        </is>
      </c>
      <c r="E25251" s="8" t="inlineStr">
        <is>
          <t>Star Wars Hyperspace Mountain</t>
        </is>
      </c>
      <c r="F25251" s="8" t="inlineStr">
        <is>
          <t>STANDBY</t>
        </is>
      </c>
      <c r="G25251" s="8" t="n">
        <v>40</v>
      </c>
      <c r="H25251" s="8" t="inlineStr">
        <is>
          <t>OPERATING</t>
        </is>
      </c>
    </row>
    <row r="25252">
      <c r="A25252" s="8" t="inlineStr">
        <is>
          <t>2026-08-05</t>
        </is>
      </c>
      <c r="B25252" s="8" t="n">
        <v>15</v>
      </c>
      <c r="C25252" s="8" t="n">
        <v>4</v>
      </c>
      <c r="D25252" s="8" t="inlineStr">
        <is>
          <t>Disneyland Park</t>
        </is>
      </c>
      <c r="E25252" s="8" t="inlineStr">
        <is>
          <t>Star Wars Hyperspace Mountain Single Rider</t>
        </is>
      </c>
      <c r="F25252" s="8" t="inlineStr">
        <is>
          <t>STANDBY</t>
        </is>
      </c>
      <c r="G25252" s="8" t="n">
        <v>30</v>
      </c>
      <c r="H25252" s="8" t="inlineStr">
        <is>
          <t>OPERATING</t>
        </is>
      </c>
    </row>
    <row r="25253">
      <c r="A25253" s="8" t="inlineStr">
        <is>
          <t>2026-08-05</t>
        </is>
      </c>
      <c r="B25253" s="8" t="n">
        <v>15</v>
      </c>
      <c r="C25253" s="8" t="n">
        <v>4</v>
      </c>
      <c r="D25253" s="8" t="inlineStr">
        <is>
          <t>Disneyland Park</t>
        </is>
      </c>
      <c r="E25253" s="8" t="inlineStr">
        <is>
          <t>Welcome to Starport: A Star Wars Encounter</t>
        </is>
      </c>
      <c r="F25253" s="8" t="inlineStr">
        <is>
          <t>STANDBY</t>
        </is>
      </c>
      <c r="G25253" s="8" t="n">
        <v>40</v>
      </c>
      <c r="H25253" s="8" t="inlineStr">
        <is>
          <t>OPERATING</t>
        </is>
      </c>
    </row>
    <row r="25254">
      <c r="A25254" s="8" t="inlineStr">
        <is>
          <t>2026-08-05</t>
        </is>
      </c>
      <c r="B25254" s="8" t="n">
        <v>15</v>
      </c>
      <c r="C25254" s="8" t="n">
        <v>4</v>
      </c>
      <c r="D25254" s="8" t="inlineStr">
        <is>
          <t>Disneyland Park</t>
        </is>
      </c>
      <c r="E25254" s="8" t="inlineStr">
        <is>
          <t>"it's a small world"</t>
        </is>
      </c>
      <c r="F25254" s="8" t="inlineStr">
        <is>
          <t>STANDBY</t>
        </is>
      </c>
      <c r="G25254" s="8" t="n">
        <v>15</v>
      </c>
      <c r="H25254" s="8" t="inlineStr">
        <is>
          <t>OPERATING</t>
        </is>
      </c>
    </row>
    <row r="25255">
      <c r="A25255" s="8" t="inlineStr">
        <is>
          <t>2026-08-05</t>
        </is>
      </c>
      <c r="B25255" s="8" t="n">
        <v>15</v>
      </c>
      <c r="C25255" s="8" t="n">
        <v>4</v>
      </c>
      <c r="D25255" s="8" t="inlineStr">
        <is>
          <t>Disneyland Park</t>
        </is>
      </c>
      <c r="E25255" s="8" t="inlineStr">
        <is>
          <t>Alice's Curious Labyrinth</t>
        </is>
      </c>
      <c r="F25255" s="8" t="inlineStr">
        <is>
          <t>STANDBY</t>
        </is>
      </c>
      <c r="G25255" s="8" t="n">
        <v>5</v>
      </c>
      <c r="H25255" s="8" t="inlineStr">
        <is>
          <t>OPERATING</t>
        </is>
      </c>
    </row>
    <row r="25256">
      <c r="A25256" s="8" t="inlineStr">
        <is>
          <t>2026-08-05</t>
        </is>
      </c>
      <c r="B25256" s="8" t="n">
        <v>15</v>
      </c>
      <c r="C25256" s="8" t="n">
        <v>4</v>
      </c>
      <c r="D25256" s="8" t="inlineStr">
        <is>
          <t>Disneyland Park</t>
        </is>
      </c>
      <c r="E25256" s="8" t="inlineStr">
        <is>
          <t>Blanche-Neige et les Sept Nains®</t>
        </is>
      </c>
      <c r="F25256" s="8" t="inlineStr">
        <is>
          <t>STANDBY</t>
        </is>
      </c>
      <c r="G25256" s="8" t="n">
        <v>5</v>
      </c>
      <c r="H25256" s="8" t="inlineStr">
        <is>
          <t>OPERATING</t>
        </is>
      </c>
    </row>
    <row r="25257">
      <c r="A25257" s="8" t="inlineStr">
        <is>
          <t>2026-08-05</t>
        </is>
      </c>
      <c r="B25257" s="8" t="n">
        <v>15</v>
      </c>
      <c r="C25257" s="8" t="n">
        <v>4</v>
      </c>
      <c r="D25257" s="8" t="inlineStr">
        <is>
          <t>Disneyland Park</t>
        </is>
      </c>
      <c r="E25257" s="8" t="inlineStr">
        <is>
          <t>Casey Jr. – le Petit Train du Cirque</t>
        </is>
      </c>
      <c r="F25257" s="8" t="inlineStr">
        <is>
          <t>STANDBY</t>
        </is>
      </c>
      <c r="G25257" s="8" t="n">
        <v>20</v>
      </c>
      <c r="H25257" s="8" t="inlineStr">
        <is>
          <t>OPERATING</t>
        </is>
      </c>
    </row>
    <row r="25258">
      <c r="A25258" s="8" t="inlineStr">
        <is>
          <t>2026-08-05</t>
        </is>
      </c>
      <c r="B25258" s="8" t="n">
        <v>15</v>
      </c>
      <c r="C25258" s="8" t="n">
        <v>4</v>
      </c>
      <c r="D25258" s="8" t="inlineStr">
        <is>
          <t>Disneyland Park</t>
        </is>
      </c>
      <c r="E25258" s="8" t="inlineStr">
        <is>
          <t>Disneyland Railroad Fantasyland Station</t>
        </is>
      </c>
      <c r="F25258" s="8" t="inlineStr">
        <is>
          <t>STANDBY</t>
        </is>
      </c>
      <c r="G25258" s="8" t="n">
        <v>0</v>
      </c>
      <c r="H25258" s="8" t="inlineStr">
        <is>
          <t>CLOSED</t>
        </is>
      </c>
    </row>
    <row r="25259">
      <c r="A25259" s="8" t="inlineStr">
        <is>
          <t>2026-08-05</t>
        </is>
      </c>
      <c r="B25259" s="8" t="n">
        <v>15</v>
      </c>
      <c r="C25259" s="8" t="n">
        <v>4</v>
      </c>
      <c r="D25259" s="8" t="inlineStr">
        <is>
          <t>Disneyland Park</t>
        </is>
      </c>
      <c r="E25259" s="8" t="inlineStr">
        <is>
          <t>Disneyland Railroad Main Street Station</t>
        </is>
      </c>
      <c r="F25259" s="8" t="inlineStr">
        <is>
          <t>STANDBY</t>
        </is>
      </c>
      <c r="G25259" s="8" t="n">
        <v>10</v>
      </c>
      <c r="H25259" s="8" t="inlineStr">
        <is>
          <t>OPERATING</t>
        </is>
      </c>
    </row>
    <row r="25260">
      <c r="A25260" s="8" t="inlineStr">
        <is>
          <t>2026-08-05</t>
        </is>
      </c>
      <c r="B25260" s="8" t="n">
        <v>15</v>
      </c>
      <c r="C25260" s="8" t="n">
        <v>4</v>
      </c>
      <c r="D25260" s="8" t="inlineStr">
        <is>
          <t>Disneyland Park</t>
        </is>
      </c>
      <c r="E25260" s="8" t="inlineStr">
        <is>
          <t>Dumbo the Flying Elephant</t>
        </is>
      </c>
      <c r="F25260" s="8" t="inlineStr">
        <is>
          <t>STANDBY</t>
        </is>
      </c>
      <c r="G25260" s="8" t="n">
        <v>35</v>
      </c>
      <c r="H25260" s="8" t="inlineStr">
        <is>
          <t>OPERATING</t>
        </is>
      </c>
    </row>
    <row r="25261">
      <c r="A25261" s="8" t="inlineStr">
        <is>
          <t>2026-08-05</t>
        </is>
      </c>
      <c r="B25261" s="8" t="n">
        <v>15</v>
      </c>
      <c r="C25261" s="8" t="n">
        <v>4</v>
      </c>
      <c r="D25261" s="8" t="inlineStr">
        <is>
          <t>Disneyland Park</t>
        </is>
      </c>
      <c r="E25261" s="8" t="inlineStr">
        <is>
          <t>La Tanière du Dragon</t>
        </is>
      </c>
      <c r="F25261" s="8" t="inlineStr">
        <is>
          <t>STANDBY</t>
        </is>
      </c>
      <c r="G25261" s="8" t="n">
        <v>0</v>
      </c>
      <c r="H25261" s="8" t="inlineStr">
        <is>
          <t>OPERATING</t>
        </is>
      </c>
    </row>
    <row r="25262">
      <c r="A25262" s="8" t="inlineStr">
        <is>
          <t>2026-08-05</t>
        </is>
      </c>
      <c r="B25262" s="8" t="n">
        <v>15</v>
      </c>
      <c r="C25262" s="8" t="n">
        <v>4</v>
      </c>
      <c r="D25262" s="8" t="inlineStr">
        <is>
          <t>Disneyland Park</t>
        </is>
      </c>
      <c r="E25262" s="8" t="inlineStr">
        <is>
          <t>Le Carrousel de Lancelot</t>
        </is>
      </c>
      <c r="F25262" s="8" t="inlineStr">
        <is>
          <t>STANDBY</t>
        </is>
      </c>
      <c r="G25262" s="8" t="n">
        <v>15</v>
      </c>
      <c r="H25262" s="8" t="inlineStr">
        <is>
          <t>OPERATING</t>
        </is>
      </c>
    </row>
    <row r="25263">
      <c r="A25263" s="8" t="inlineStr">
        <is>
          <t>2026-08-05</t>
        </is>
      </c>
      <c r="B25263" s="8" t="n">
        <v>15</v>
      </c>
      <c r="C25263" s="8" t="n">
        <v>4</v>
      </c>
      <c r="D25263" s="8" t="inlineStr">
        <is>
          <t>Disneyland Park</t>
        </is>
      </c>
      <c r="E25263" s="8" t="inlineStr">
        <is>
          <t>Le Pays des Contes de Fées, presented by Vittel</t>
        </is>
      </c>
      <c r="F25263" s="8" t="inlineStr">
        <is>
          <t>STANDBY</t>
        </is>
      </c>
      <c r="G25263" s="8" t="n">
        <v>5</v>
      </c>
      <c r="H25263" s="8" t="inlineStr">
        <is>
          <t>OPERATING</t>
        </is>
      </c>
    </row>
    <row r="25264">
      <c r="A25264" s="8" t="inlineStr">
        <is>
          <t>2026-08-05</t>
        </is>
      </c>
      <c r="B25264" s="8" t="n">
        <v>15</v>
      </c>
      <c r="C25264" s="8" t="n">
        <v>4</v>
      </c>
      <c r="D25264" s="8" t="inlineStr">
        <is>
          <t>Disneyland Park</t>
        </is>
      </c>
      <c r="E25264" s="8" t="inlineStr">
        <is>
          <t>Les Voyages de Pinocchio</t>
        </is>
      </c>
      <c r="F25264" s="8" t="inlineStr">
        <is>
          <t>STANDBY</t>
        </is>
      </c>
      <c r="G25264" s="8" t="n">
        <v>25</v>
      </c>
      <c r="H25264" s="8" t="inlineStr">
        <is>
          <t>OPERATING</t>
        </is>
      </c>
    </row>
    <row r="25265">
      <c r="A25265" s="8" t="inlineStr">
        <is>
          <t>2026-08-05</t>
        </is>
      </c>
      <c r="B25265" s="8" t="n">
        <v>15</v>
      </c>
      <c r="C25265" s="8" t="n">
        <v>4</v>
      </c>
      <c r="D25265" s="8" t="inlineStr">
        <is>
          <t>Disneyland Park</t>
        </is>
      </c>
      <c r="E25265" s="8" t="inlineStr">
        <is>
          <t>Mad Hatter's Tea Cups</t>
        </is>
      </c>
      <c r="F25265" s="8" t="inlineStr">
        <is>
          <t>STANDBY</t>
        </is>
      </c>
      <c r="G25265" s="8" t="n">
        <v>10</v>
      </c>
      <c r="H25265" s="8" t="inlineStr">
        <is>
          <t>OPERATING</t>
        </is>
      </c>
    </row>
    <row r="25266">
      <c r="A25266" s="8" t="inlineStr">
        <is>
          <t>2026-08-05</t>
        </is>
      </c>
      <c r="B25266" s="8" t="n">
        <v>15</v>
      </c>
      <c r="C25266" s="8" t="n">
        <v>4</v>
      </c>
      <c r="D25266" s="8" t="inlineStr">
        <is>
          <t>Disneyland Park</t>
        </is>
      </c>
      <c r="E25266" s="8" t="inlineStr">
        <is>
          <t>Meet Mickey Mouse</t>
        </is>
      </c>
      <c r="F25266" s="8" t="inlineStr">
        <is>
          <t>STANDBY</t>
        </is>
      </c>
      <c r="G25266" s="8" t="n">
        <v>0</v>
      </c>
      <c r="H25266" s="8" t="inlineStr">
        <is>
          <t>OPERATING</t>
        </is>
      </c>
    </row>
    <row r="25267">
      <c r="A25267" s="8" t="inlineStr">
        <is>
          <t>2026-08-05</t>
        </is>
      </c>
      <c r="B25267" s="8" t="n">
        <v>15</v>
      </c>
      <c r="C25267" s="8" t="n">
        <v>4</v>
      </c>
      <c r="D25267" s="8" t="inlineStr">
        <is>
          <t>Disneyland Park</t>
        </is>
      </c>
      <c r="E25267" s="8" t="inlineStr">
        <is>
          <t>Peter Pan's Flight</t>
        </is>
      </c>
      <c r="F25267" s="8" t="inlineStr">
        <is>
          <t>STANDBY</t>
        </is>
      </c>
      <c r="G25267" s="8" t="n">
        <v>70</v>
      </c>
      <c r="H25267" s="8" t="inlineStr">
        <is>
          <t>OPERATING</t>
        </is>
      </c>
    </row>
    <row r="25268">
      <c r="A25268" s="8" t="inlineStr">
        <is>
          <t>2026-08-05</t>
        </is>
      </c>
      <c r="B25268" s="8" t="n">
        <v>15</v>
      </c>
      <c r="C25268" s="8" t="n">
        <v>4</v>
      </c>
      <c r="D25268" s="8" t="inlineStr">
        <is>
          <t>Disneyland Park</t>
        </is>
      </c>
      <c r="E25268" s="8" t="inlineStr">
        <is>
          <t>Princess Pavilion</t>
        </is>
      </c>
      <c r="F25268" s="8" t="inlineStr">
        <is>
          <t>STANDBY</t>
        </is>
      </c>
      <c r="G25268" s="8" t="n">
        <v>0</v>
      </c>
      <c r="H25268" s="8" t="inlineStr">
        <is>
          <t>OPERATING</t>
        </is>
      </c>
    </row>
    <row r="25269">
      <c r="A25269" s="8" t="inlineStr">
        <is>
          <t>2026-08-05</t>
        </is>
      </c>
      <c r="B25269" s="8" t="n">
        <v>15</v>
      </c>
      <c r="C25269" s="8" t="n">
        <v>4</v>
      </c>
      <c r="D25269" s="8" t="inlineStr">
        <is>
          <t>Disneyland Park</t>
        </is>
      </c>
      <c r="E25269" s="8" t="inlineStr">
        <is>
          <t>Big Thunder Mountain</t>
        </is>
      </c>
      <c r="F25269" s="8" t="inlineStr">
        <is>
          <t>STANDBY</t>
        </is>
      </c>
      <c r="G25269" s="8" t="n">
        <v>80</v>
      </c>
      <c r="H25269" s="8" t="inlineStr">
        <is>
          <t>OPERATING</t>
        </is>
      </c>
    </row>
    <row r="25270">
      <c r="A25270" s="8" t="inlineStr">
        <is>
          <t>2026-08-05</t>
        </is>
      </c>
      <c r="B25270" s="8" t="n">
        <v>15</v>
      </c>
      <c r="C25270" s="8" t="n">
        <v>4</v>
      </c>
      <c r="D25270" s="8" t="inlineStr">
        <is>
          <t>Disneyland Park</t>
        </is>
      </c>
      <c r="E25270" s="8" t="inlineStr">
        <is>
          <t>Disneyland Railroad Frontierland Depot</t>
        </is>
      </c>
      <c r="F25270" s="8" t="inlineStr">
        <is>
          <t>STANDBY</t>
        </is>
      </c>
      <c r="G25270" s="8" t="n">
        <v>10</v>
      </c>
      <c r="H25270" s="8" t="inlineStr">
        <is>
          <t>OPERATING</t>
        </is>
      </c>
    </row>
    <row r="25271">
      <c r="A25271" s="8" t="inlineStr">
        <is>
          <t>2026-08-05</t>
        </is>
      </c>
      <c r="B25271" s="8" t="n">
        <v>15</v>
      </c>
      <c r="C25271" s="8" t="n">
        <v>4</v>
      </c>
      <c r="D25271" s="8" t="inlineStr">
        <is>
          <t>Disneyland Park</t>
        </is>
      </c>
      <c r="E25271" s="8" t="inlineStr">
        <is>
          <t>Frontierland Playground</t>
        </is>
      </c>
      <c r="F25271" s="8" t="inlineStr">
        <is>
          <t>STANDBY</t>
        </is>
      </c>
      <c r="G25271" s="8" t="n">
        <v>0</v>
      </c>
      <c r="H25271" s="8" t="inlineStr">
        <is>
          <t>OPERATING</t>
        </is>
      </c>
    </row>
    <row r="25272">
      <c r="A25272" s="8" t="inlineStr">
        <is>
          <t>2026-08-05</t>
        </is>
      </c>
      <c r="B25272" s="8" t="n">
        <v>15</v>
      </c>
      <c r="C25272" s="8" t="n">
        <v>4</v>
      </c>
      <c r="D25272" s="8" t="inlineStr">
        <is>
          <t>Disneyland Park</t>
        </is>
      </c>
      <c r="E25272" s="8" t="inlineStr">
        <is>
          <t>Phantom Manor</t>
        </is>
      </c>
      <c r="F25272" s="8" t="inlineStr">
        <is>
          <t>STANDBY</t>
        </is>
      </c>
      <c r="G25272" s="8" t="n">
        <v>20</v>
      </c>
      <c r="H25272" s="8" t="inlineStr">
        <is>
          <t>OPERATING</t>
        </is>
      </c>
    </row>
    <row r="25273">
      <c r="A25273" s="8" t="inlineStr">
        <is>
          <t>2026-08-05</t>
        </is>
      </c>
      <c r="B25273" s="8" t="n">
        <v>15</v>
      </c>
      <c r="C25273" s="8" t="n">
        <v>4</v>
      </c>
      <c r="D25273" s="8" t="inlineStr">
        <is>
          <t>Disneyland Park</t>
        </is>
      </c>
      <c r="E25273" s="8" t="inlineStr">
        <is>
          <t>River Rogue Keelboats</t>
        </is>
      </c>
      <c r="F25273" s="8" t="inlineStr">
        <is>
          <t>STANDBY</t>
        </is>
      </c>
      <c r="G25273" s="8" t="n">
        <v>0</v>
      </c>
      <c r="H25273" s="8" t="inlineStr">
        <is>
          <t>CLOSED</t>
        </is>
      </c>
    </row>
    <row r="25274">
      <c r="A25274" s="8" t="inlineStr">
        <is>
          <t>2026-08-05</t>
        </is>
      </c>
      <c r="B25274" s="8" t="n">
        <v>15</v>
      </c>
      <c r="C25274" s="8" t="n">
        <v>4</v>
      </c>
      <c r="D25274" s="8" t="inlineStr">
        <is>
          <t>Disneyland Park</t>
        </is>
      </c>
      <c r="E25274" s="8" t="inlineStr">
        <is>
          <t>Rustler Roundup Shootin' Gallery</t>
        </is>
      </c>
      <c r="F25274" s="8" t="inlineStr">
        <is>
          <t>STANDBY</t>
        </is>
      </c>
      <c r="G25274" s="8" t="n">
        <v>0</v>
      </c>
      <c r="H25274" s="8" t="inlineStr">
        <is>
          <t>OPERATING</t>
        </is>
      </c>
    </row>
    <row r="25275">
      <c r="A25275" s="8" t="inlineStr">
        <is>
          <t>2026-08-05</t>
        </is>
      </c>
      <c r="B25275" s="8" t="n">
        <v>15</v>
      </c>
      <c r="C25275" s="8" t="n">
        <v>4</v>
      </c>
      <c r="D25275" s="8" t="inlineStr">
        <is>
          <t>Disneyland Park</t>
        </is>
      </c>
      <c r="E25275" s="8" t="inlineStr">
        <is>
          <t>Thunder Mesa Riverboat Landing</t>
        </is>
      </c>
      <c r="F25275" s="8" t="inlineStr">
        <is>
          <t>STANDBY</t>
        </is>
      </c>
      <c r="G25275" s="8" t="n">
        <v>20</v>
      </c>
      <c r="H25275" s="8" t="inlineStr">
        <is>
          <t>OPERATING</t>
        </is>
      </c>
    </row>
    <row r="25276">
      <c r="A25276" s="8" t="inlineStr">
        <is>
          <t>2026-08-05</t>
        </is>
      </c>
      <c r="B25276" s="8" t="n">
        <v>15</v>
      </c>
      <c r="C25276" s="8" t="n">
        <v>4</v>
      </c>
      <c r="D25276" s="8" t="inlineStr">
        <is>
          <t>Disneyland Park</t>
        </is>
      </c>
      <c r="E25276" s="8" t="inlineStr">
        <is>
          <t>Disneyland Railroad Main Street Station</t>
        </is>
      </c>
      <c r="F25276" s="8" t="inlineStr">
        <is>
          <t>STANDBY</t>
        </is>
      </c>
      <c r="G25276" s="8" t="n">
        <v>0</v>
      </c>
      <c r="H25276" s="8" t="inlineStr">
        <is>
          <t>OPERATING</t>
        </is>
      </c>
    </row>
    <row r="25277">
      <c r="A25277" s="8" t="inlineStr">
        <is>
          <t>2026-08-05</t>
        </is>
      </c>
      <c r="B25277" s="8" t="n">
        <v>15</v>
      </c>
      <c r="C25277" s="8" t="n">
        <v>4</v>
      </c>
      <c r="D25277" s="8" t="inlineStr">
        <is>
          <t>Disneyland Park</t>
        </is>
      </c>
      <c r="E25277" s="8" t="inlineStr">
        <is>
          <t>Main Street Vehicles</t>
        </is>
      </c>
      <c r="F25277" s="8" t="inlineStr">
        <is>
          <t>STANDBY</t>
        </is>
      </c>
      <c r="G25277" s="8" t="n">
        <v>0</v>
      </c>
      <c r="H25277" s="8" t="inlineStr">
        <is>
          <t>CLOSED</t>
        </is>
      </c>
    </row>
    <row r="25278">
      <c r="A25278" s="8" t="inlineStr">
        <is>
          <t>2026-08-05</t>
        </is>
      </c>
      <c r="B25278" s="8" t="n">
        <v>15</v>
      </c>
      <c r="C25278" s="8" t="n">
        <v>4</v>
      </c>
      <c r="D25278" s="8" t="inlineStr">
        <is>
          <t>Disney Adventure World</t>
        </is>
      </c>
      <c r="E25278" s="8" t="inlineStr">
        <is>
          <t>Avengers Assemble: Flight Force</t>
        </is>
      </c>
      <c r="F25278" s="8" t="inlineStr">
        <is>
          <t>STANDBY</t>
        </is>
      </c>
      <c r="G25278" s="8" t="n">
        <v>30</v>
      </c>
      <c r="H25278" s="8" t="inlineStr">
        <is>
          <t>OPERATING</t>
        </is>
      </c>
    </row>
    <row r="25279">
      <c r="A25279" s="8" t="inlineStr">
        <is>
          <t>2026-08-05</t>
        </is>
      </c>
      <c r="B25279" s="8" t="n">
        <v>15</v>
      </c>
      <c r="C25279" s="8" t="n">
        <v>4</v>
      </c>
      <c r="D25279" s="8" t="inlineStr">
        <is>
          <t>Disney Adventure World</t>
        </is>
      </c>
      <c r="E25279" s="8" t="inlineStr">
        <is>
          <t>Avengers Assemble: Flight Force Single Rider</t>
        </is>
      </c>
      <c r="F25279" s="8" t="inlineStr">
        <is>
          <t>STANDBY</t>
        </is>
      </c>
      <c r="G25279" s="8" t="n">
        <v>25</v>
      </c>
      <c r="H25279" s="8" t="inlineStr">
        <is>
          <t>OPERATING</t>
        </is>
      </c>
    </row>
    <row r="25280">
      <c r="A25280" s="8" t="inlineStr">
        <is>
          <t>2026-08-05</t>
        </is>
      </c>
      <c r="B25280" s="8" t="n">
        <v>15</v>
      </c>
      <c r="C25280" s="8" t="n">
        <v>4</v>
      </c>
      <c r="D25280" s="8" t="inlineStr">
        <is>
          <t>Disney Adventure World</t>
        </is>
      </c>
      <c r="E25280" s="8" t="inlineStr">
        <is>
          <t>Spider-Man W.E.B. Adventure</t>
        </is>
      </c>
      <c r="F25280" s="8" t="inlineStr">
        <is>
          <t>STANDBY</t>
        </is>
      </c>
      <c r="G25280" s="8" t="n">
        <v>60</v>
      </c>
      <c r="H25280" s="8" t="inlineStr">
        <is>
          <t>OPERATING</t>
        </is>
      </c>
    </row>
    <row r="25281">
      <c r="A25281" s="8" t="inlineStr">
        <is>
          <t>2026-08-05</t>
        </is>
      </c>
      <c r="B25281" s="8" t="n">
        <v>15</v>
      </c>
      <c r="C25281" s="8" t="n">
        <v>4</v>
      </c>
      <c r="D25281" s="8" t="inlineStr">
        <is>
          <t>Disney Adventure World</t>
        </is>
      </c>
      <c r="E25281" s="8" t="inlineStr">
        <is>
          <t>Spider-Man W.E.B. Adventure Single Rider</t>
        </is>
      </c>
      <c r="F25281" s="8" t="inlineStr">
        <is>
          <t>STANDBY</t>
        </is>
      </c>
      <c r="G25281" s="8" t="n">
        <v>30</v>
      </c>
      <c r="H25281" s="8" t="inlineStr">
        <is>
          <t>OPERATING</t>
        </is>
      </c>
    </row>
    <row r="25282">
      <c r="A25282" s="8" t="inlineStr">
        <is>
          <t>2026-08-05</t>
        </is>
      </c>
      <c r="B25282" s="8" t="n">
        <v>15</v>
      </c>
      <c r="C25282" s="8" t="n">
        <v>4</v>
      </c>
      <c r="D25282" s="8" t="inlineStr">
        <is>
          <t>Disney Adventure World</t>
        </is>
      </c>
      <c r="E25282" s="8" t="inlineStr">
        <is>
          <t>The Twilight Zone Tower of Terror</t>
        </is>
      </c>
      <c r="F25282" s="8" t="inlineStr">
        <is>
          <t>STANDBY</t>
        </is>
      </c>
      <c r="G25282" s="8" t="n">
        <v>25</v>
      </c>
      <c r="H25282" s="8" t="inlineStr">
        <is>
          <t>OPERATING</t>
        </is>
      </c>
    </row>
    <row r="25283">
      <c r="A25283" s="8" t="inlineStr">
        <is>
          <t>2026-08-05</t>
        </is>
      </c>
      <c r="B25283" s="8" t="n">
        <v>15</v>
      </c>
      <c r="C25283" s="8" t="n">
        <v>4</v>
      </c>
      <c r="D25283" s="8" t="inlineStr">
        <is>
          <t>Disney Adventure World</t>
        </is>
      </c>
      <c r="E25283" s="8" t="inlineStr">
        <is>
          <t>Cars Quatre Roues Rallye</t>
        </is>
      </c>
      <c r="F25283" s="8" t="inlineStr">
        <is>
          <t>STANDBY</t>
        </is>
      </c>
      <c r="G25283" s="8" t="n">
        <v>20</v>
      </c>
      <c r="H25283" s="8" t="inlineStr">
        <is>
          <t>OPERATING</t>
        </is>
      </c>
    </row>
    <row r="25284">
      <c r="A25284" s="8" t="inlineStr">
        <is>
          <t>2026-08-05</t>
        </is>
      </c>
      <c r="B25284" s="8" t="n">
        <v>15</v>
      </c>
      <c r="C25284" s="8" t="n">
        <v>4</v>
      </c>
      <c r="D25284" s="8" t="inlineStr">
        <is>
          <t>Disney Adventure World</t>
        </is>
      </c>
      <c r="E25284" s="8" t="inlineStr">
        <is>
          <t>Cars ROAD TRIP</t>
        </is>
      </c>
      <c r="F25284" s="8" t="inlineStr">
        <is>
          <t>STANDBY</t>
        </is>
      </c>
      <c r="G25284" s="8" t="n">
        <v>20</v>
      </c>
      <c r="H25284" s="8" t="inlineStr">
        <is>
          <t>OPERATING</t>
        </is>
      </c>
    </row>
    <row r="25285">
      <c r="A25285" s="8" t="inlineStr">
        <is>
          <t>2026-08-05</t>
        </is>
      </c>
      <c r="B25285" s="8" t="n">
        <v>15</v>
      </c>
      <c r="C25285" s="8" t="n">
        <v>4</v>
      </c>
      <c r="D25285" s="8" t="inlineStr">
        <is>
          <t>Disney Adventure World</t>
        </is>
      </c>
      <c r="E25285" s="8" t="inlineStr">
        <is>
          <t>Crush's Coaster</t>
        </is>
      </c>
      <c r="F25285" s="8" t="inlineStr">
        <is>
          <t>STANDBY</t>
        </is>
      </c>
      <c r="G25285" s="8" t="n">
        <v>80</v>
      </c>
      <c r="H25285" s="8" t="inlineStr">
        <is>
          <t>OPERATING</t>
        </is>
      </c>
    </row>
    <row r="25286">
      <c r="A25286" s="8" t="inlineStr">
        <is>
          <t>2026-08-05</t>
        </is>
      </c>
      <c r="B25286" s="8" t="n">
        <v>15</v>
      </c>
      <c r="C25286" s="8" t="n">
        <v>4</v>
      </c>
      <c r="D25286" s="8" t="inlineStr">
        <is>
          <t>Disney Adventure World</t>
        </is>
      </c>
      <c r="E25286" s="8" t="inlineStr">
        <is>
          <t>Crush's Coaster Single Rider</t>
        </is>
      </c>
      <c r="F25286" s="8" t="inlineStr">
        <is>
          <t>STANDBY</t>
        </is>
      </c>
      <c r="G25286" s="8" t="n">
        <v>70</v>
      </c>
      <c r="H25286" s="8" t="inlineStr">
        <is>
          <t>OPERATING</t>
        </is>
      </c>
    </row>
    <row r="25287">
      <c r="A25287" s="8" t="inlineStr">
        <is>
          <t>2026-08-05</t>
        </is>
      </c>
      <c r="B25287" s="8" t="n">
        <v>15</v>
      </c>
      <c r="C25287" s="8" t="n">
        <v>4</v>
      </c>
      <c r="D25287" s="8" t="inlineStr">
        <is>
          <t>Disney Adventure World</t>
        </is>
      </c>
      <c r="E25287" s="8" t="inlineStr">
        <is>
          <t>Les Tapis Volants - Flying Carpets Over Agrabah®</t>
        </is>
      </c>
      <c r="F25287" s="8" t="inlineStr">
        <is>
          <t>STANDBY</t>
        </is>
      </c>
      <c r="G25287" s="8" t="n">
        <v>35</v>
      </c>
      <c r="H25287" s="8" t="inlineStr">
        <is>
          <t>OPERATING</t>
        </is>
      </c>
    </row>
    <row r="25288">
      <c r="A25288" s="8" t="inlineStr">
        <is>
          <t>2026-08-05</t>
        </is>
      </c>
      <c r="B25288" s="8" t="n">
        <v>15</v>
      </c>
      <c r="C25288" s="8" t="n">
        <v>4</v>
      </c>
      <c r="D25288" s="8" t="inlineStr">
        <is>
          <t>Disney Adventure World</t>
        </is>
      </c>
      <c r="E25288" s="8" t="inlineStr">
        <is>
          <t>Ratatouille : L’Aventure Totalement Toquée de Rémy​</t>
        </is>
      </c>
      <c r="F25288" s="8" t="inlineStr">
        <is>
          <t>STANDBY</t>
        </is>
      </c>
      <c r="G25288" s="8" t="n">
        <v>65</v>
      </c>
      <c r="H25288" s="8" t="inlineStr">
        <is>
          <t>OPERATING</t>
        </is>
      </c>
    </row>
    <row r="25289">
      <c r="A25289" s="8" t="inlineStr">
        <is>
          <t>2026-08-05</t>
        </is>
      </c>
      <c r="B25289" s="8" t="n">
        <v>15</v>
      </c>
      <c r="C25289" s="8" t="n">
        <v>4</v>
      </c>
      <c r="D25289" s="8" t="inlineStr">
        <is>
          <t>Disney Adventure World</t>
        </is>
      </c>
      <c r="E25289" s="8" t="inlineStr">
        <is>
          <t>Ratatouille: The Adventure Single Rider</t>
        </is>
      </c>
      <c r="F25289" s="8" t="inlineStr">
        <is>
          <t>STANDBY</t>
        </is>
      </c>
      <c r="G25289" s="8" t="n">
        <v>20</v>
      </c>
      <c r="H25289" s="8" t="inlineStr">
        <is>
          <t>OPERATING</t>
        </is>
      </c>
    </row>
    <row r="25290">
      <c r="A25290" s="8" t="inlineStr">
        <is>
          <t>2026-08-05</t>
        </is>
      </c>
      <c r="B25290" s="8" t="n">
        <v>15</v>
      </c>
      <c r="C25290" s="8" t="n">
        <v>4</v>
      </c>
      <c r="D25290" s="8" t="inlineStr">
        <is>
          <t>Disney Adventure World</t>
        </is>
      </c>
      <c r="E25290" s="8" t="inlineStr">
        <is>
          <t>RC Racer</t>
        </is>
      </c>
      <c r="F25290" s="8" t="inlineStr">
        <is>
          <t>STANDBY</t>
        </is>
      </c>
      <c r="G25290" s="8" t="n">
        <v>55</v>
      </c>
      <c r="H25290" s="8" t="inlineStr">
        <is>
          <t>OPERATING</t>
        </is>
      </c>
    </row>
    <row r="25291">
      <c r="A25291" s="8" t="inlineStr">
        <is>
          <t>2026-08-05</t>
        </is>
      </c>
      <c r="B25291" s="8" t="n">
        <v>15</v>
      </c>
      <c r="C25291" s="8" t="n">
        <v>4</v>
      </c>
      <c r="D25291" s="8" t="inlineStr">
        <is>
          <t>Disney Adventure World</t>
        </is>
      </c>
      <c r="E25291" s="8" t="inlineStr">
        <is>
          <t>RC Racer Single Rider</t>
        </is>
      </c>
      <c r="F25291" s="8" t="inlineStr">
        <is>
          <t>STANDBY</t>
        </is>
      </c>
      <c r="G25291" s="8" t="n">
        <v>50</v>
      </c>
      <c r="H25291" s="8" t="inlineStr">
        <is>
          <t>OPERATING</t>
        </is>
      </c>
    </row>
    <row r="25292">
      <c r="A25292" s="8" t="inlineStr">
        <is>
          <t>2026-08-05</t>
        </is>
      </c>
      <c r="B25292" s="8" t="n">
        <v>15</v>
      </c>
      <c r="C25292" s="8" t="n">
        <v>4</v>
      </c>
      <c r="D25292" s="8" t="inlineStr">
        <is>
          <t>Disney Adventure World</t>
        </is>
      </c>
      <c r="E25292" s="8" t="inlineStr">
        <is>
          <t>Slinky® Dog Zigzag Spin</t>
        </is>
      </c>
      <c r="F25292" s="8" t="inlineStr">
        <is>
          <t>STANDBY</t>
        </is>
      </c>
      <c r="G25292" s="8" t="n">
        <v>15</v>
      </c>
      <c r="H25292" s="8" t="inlineStr">
        <is>
          <t>OPERATING</t>
        </is>
      </c>
    </row>
    <row r="25293">
      <c r="A25293" s="8" t="inlineStr">
        <is>
          <t>2026-08-05</t>
        </is>
      </c>
      <c r="B25293" s="8" t="n">
        <v>15</v>
      </c>
      <c r="C25293" s="8" t="n">
        <v>4</v>
      </c>
      <c r="D25293" s="8" t="inlineStr">
        <is>
          <t>Disney Adventure World</t>
        </is>
      </c>
      <c r="E25293" s="8" t="inlineStr">
        <is>
          <t>Toy Soldiers Parachute Drop</t>
        </is>
      </c>
      <c r="F25293" s="8" t="inlineStr">
        <is>
          <t>STANDBY</t>
        </is>
      </c>
      <c r="G25293" s="8" t="n">
        <v>50</v>
      </c>
      <c r="H25293" s="8" t="inlineStr">
        <is>
          <t>OPERATING</t>
        </is>
      </c>
    </row>
    <row r="25294">
      <c r="A25294" s="8" t="inlineStr">
        <is>
          <t>2026-08-05</t>
        </is>
      </c>
      <c r="B25294" s="8" t="n">
        <v>15</v>
      </c>
      <c r="C25294" s="8" t="n">
        <v>4</v>
      </c>
      <c r="D25294" s="8" t="inlineStr">
        <is>
          <t>Disney Adventure World</t>
        </is>
      </c>
      <c r="E25294" s="8" t="inlineStr">
        <is>
          <t>Toy Soldiers Parachute Drop Single Rider</t>
        </is>
      </c>
      <c r="F25294" s="8" t="inlineStr">
        <is>
          <t>STANDBY</t>
        </is>
      </c>
      <c r="G25294" s="8" t="n">
        <v>20</v>
      </c>
      <c r="H25294" s="8" t="inlineStr">
        <is>
          <t>OPERATING</t>
        </is>
      </c>
    </row>
    <row r="25295">
      <c r="A25295" s="8" t="inlineStr">
        <is>
          <t>2026-08-05</t>
        </is>
      </c>
      <c r="B25295" s="8" t="n">
        <v>15</v>
      </c>
      <c r="C25295" s="8" t="n">
        <v>4</v>
      </c>
      <c r="D25295" s="8" t="inlineStr">
        <is>
          <t>Disney Adventure World</t>
        </is>
      </c>
      <c r="E25295" s="8" t="inlineStr">
        <is>
          <t>Entry to World of Frozen</t>
        </is>
      </c>
      <c r="F25295" s="8" t="inlineStr">
        <is>
          <t>STANDBY</t>
        </is>
      </c>
      <c r="G25295" s="8" t="n">
        <v>0</v>
      </c>
      <c r="H25295" s="8" t="inlineStr">
        <is>
          <t>OPERATING</t>
        </is>
      </c>
    </row>
    <row r="25296">
      <c r="A25296" s="8" t="inlineStr">
        <is>
          <t>2026-08-05</t>
        </is>
      </c>
      <c r="B25296" s="8" t="n">
        <v>15</v>
      </c>
      <c r="C25296" s="8" t="n">
        <v>4</v>
      </c>
      <c r="D25296" s="8" t="inlineStr">
        <is>
          <t>Disney Adventure World</t>
        </is>
      </c>
      <c r="E25296" s="8" t="inlineStr">
        <is>
          <t>Frozen Ever After</t>
        </is>
      </c>
      <c r="F25296" s="8" t="inlineStr">
        <is>
          <t>STANDBY</t>
        </is>
      </c>
      <c r="G25296" s="8" t="n">
        <v>65</v>
      </c>
      <c r="H25296" s="8" t="inlineStr">
        <is>
          <t>OPERATING</t>
        </is>
      </c>
    </row>
    <row r="25297">
      <c r="A25297" s="8" t="inlineStr">
        <is>
          <t>2026-08-05</t>
        </is>
      </c>
      <c r="B25297" s="8" t="n">
        <v>15</v>
      </c>
      <c r="C25297" s="8" t="n">
        <v>4</v>
      </c>
      <c r="D25297" s="8" t="inlineStr">
        <is>
          <t>Disney Adventure World</t>
        </is>
      </c>
      <c r="E25297" s="8" t="inlineStr">
        <is>
          <t>Raiponce Tangled Spin</t>
        </is>
      </c>
      <c r="F25297" s="8" t="inlineStr">
        <is>
          <t>STANDBY</t>
        </is>
      </c>
      <c r="G25297" s="8" t="n">
        <v>15</v>
      </c>
      <c r="H25297" s="8" t="inlineStr">
        <is>
          <t>OPERATING</t>
        </is>
      </c>
    </row>
    <row r="25298">
      <c r="A25298" s="8" t="inlineStr">
        <is>
          <t>2026-08-05</t>
        </is>
      </c>
      <c r="B25298" s="8" t="n">
        <v>15</v>
      </c>
      <c r="C25298" s="8" t="n">
        <v>15</v>
      </c>
      <c r="D25298" s="8" t="inlineStr">
        <is>
          <t>Disneyland Park</t>
        </is>
      </c>
      <c r="E25298" s="8" t="inlineStr">
        <is>
          <t>Adventure Isle</t>
        </is>
      </c>
      <c r="F25298" s="8" t="inlineStr">
        <is>
          <t>STANDBY</t>
        </is>
      </c>
      <c r="G25298" s="8" t="n">
        <v>0</v>
      </c>
      <c r="H25298" s="8" t="inlineStr">
        <is>
          <t>OPERATING</t>
        </is>
      </c>
    </row>
    <row r="25299">
      <c r="A25299" s="8" t="inlineStr">
        <is>
          <t>2026-08-05</t>
        </is>
      </c>
      <c r="B25299" s="8" t="n">
        <v>15</v>
      </c>
      <c r="C25299" s="8" t="n">
        <v>15</v>
      </c>
      <c r="D25299" s="8" t="inlineStr">
        <is>
          <t>Disneyland Park</t>
        </is>
      </c>
      <c r="E25299" s="8" t="inlineStr">
        <is>
          <t>Indiana Jones and the Temple of Peril Single Rider</t>
        </is>
      </c>
      <c r="F25299" s="8" t="inlineStr">
        <is>
          <t>STANDBY</t>
        </is>
      </c>
      <c r="G25299" s="8" t="n">
        <v>30</v>
      </c>
      <c r="H25299" s="8" t="inlineStr">
        <is>
          <t>OPERATING</t>
        </is>
      </c>
    </row>
    <row r="25300">
      <c r="A25300" s="8" t="inlineStr">
        <is>
          <t>2026-08-05</t>
        </is>
      </c>
      <c r="B25300" s="8" t="n">
        <v>15</v>
      </c>
      <c r="C25300" s="8" t="n">
        <v>15</v>
      </c>
      <c r="D25300" s="8" t="inlineStr">
        <is>
          <t>Disneyland Park</t>
        </is>
      </c>
      <c r="E25300" s="8" t="inlineStr">
        <is>
          <t>Indiana Jones™ and the Temple of Peril</t>
        </is>
      </c>
      <c r="F25300" s="8" t="inlineStr">
        <is>
          <t>STANDBY</t>
        </is>
      </c>
      <c r="G25300" s="8" t="n">
        <v>40</v>
      </c>
      <c r="H25300" s="8" t="inlineStr">
        <is>
          <t>OPERATING</t>
        </is>
      </c>
    </row>
    <row r="25301">
      <c r="A25301" s="8" t="inlineStr">
        <is>
          <t>2026-08-05</t>
        </is>
      </c>
      <c r="B25301" s="8" t="n">
        <v>15</v>
      </c>
      <c r="C25301" s="8" t="n">
        <v>15</v>
      </c>
      <c r="D25301" s="8" t="inlineStr">
        <is>
          <t>Disneyland Park</t>
        </is>
      </c>
      <c r="E25301" s="8" t="inlineStr">
        <is>
          <t>La Cabane des Robinson</t>
        </is>
      </c>
      <c r="F25301" s="8" t="inlineStr">
        <is>
          <t>STANDBY</t>
        </is>
      </c>
      <c r="G25301" s="8" t="n">
        <v>5</v>
      </c>
      <c r="H25301" s="8" t="inlineStr">
        <is>
          <t>OPERATING</t>
        </is>
      </c>
    </row>
    <row r="25302">
      <c r="A25302" s="8" t="inlineStr">
        <is>
          <t>2026-08-05</t>
        </is>
      </c>
      <c r="B25302" s="8" t="n">
        <v>15</v>
      </c>
      <c r="C25302" s="8" t="n">
        <v>15</v>
      </c>
      <c r="D25302" s="8" t="inlineStr">
        <is>
          <t>Disneyland Park</t>
        </is>
      </c>
      <c r="E25302" s="8" t="inlineStr">
        <is>
          <t>Le Passage Enchanté d'Aladdin</t>
        </is>
      </c>
      <c r="F25302" s="8" t="inlineStr">
        <is>
          <t>STANDBY</t>
        </is>
      </c>
      <c r="G25302" s="8" t="n">
        <v>0</v>
      </c>
      <c r="H25302" s="8" t="inlineStr">
        <is>
          <t>OPERATING</t>
        </is>
      </c>
    </row>
    <row r="25303">
      <c r="A25303" s="8" t="inlineStr">
        <is>
          <t>2026-08-05</t>
        </is>
      </c>
      <c r="B25303" s="8" t="n">
        <v>15</v>
      </c>
      <c r="C25303" s="8" t="n">
        <v>15</v>
      </c>
      <c r="D25303" s="8" t="inlineStr">
        <is>
          <t>Disneyland Park</t>
        </is>
      </c>
      <c r="E25303" s="8" t="inlineStr">
        <is>
          <t>Pirate Galleon</t>
        </is>
      </c>
      <c r="F25303" s="8" t="inlineStr">
        <is>
          <t>STANDBY</t>
        </is>
      </c>
      <c r="G25303" s="8" t="n">
        <v>0</v>
      </c>
      <c r="H25303" s="8" t="inlineStr">
        <is>
          <t>CLOSED</t>
        </is>
      </c>
    </row>
    <row r="25304">
      <c r="A25304" s="8" t="inlineStr">
        <is>
          <t>2026-08-05</t>
        </is>
      </c>
      <c r="B25304" s="8" t="n">
        <v>15</v>
      </c>
      <c r="C25304" s="8" t="n">
        <v>15</v>
      </c>
      <c r="D25304" s="8" t="inlineStr">
        <is>
          <t>Disneyland Park</t>
        </is>
      </c>
      <c r="E25304" s="8" t="inlineStr">
        <is>
          <t>Pirates of the Caribbean</t>
        </is>
      </c>
      <c r="F25304" s="8" t="inlineStr">
        <is>
          <t>STANDBY</t>
        </is>
      </c>
      <c r="G25304" s="8" t="n">
        <v>30</v>
      </c>
      <c r="H25304" s="8" t="inlineStr">
        <is>
          <t>OPERATING</t>
        </is>
      </c>
    </row>
    <row r="25305">
      <c r="A25305" s="8" t="inlineStr">
        <is>
          <t>2026-08-05</t>
        </is>
      </c>
      <c r="B25305" s="8" t="n">
        <v>15</v>
      </c>
      <c r="C25305" s="8" t="n">
        <v>15</v>
      </c>
      <c r="D25305" s="8" t="inlineStr">
        <is>
          <t>Disneyland Park</t>
        </is>
      </c>
      <c r="E25305" s="8" t="inlineStr">
        <is>
          <t>Pirates' Beach</t>
        </is>
      </c>
      <c r="F25305" s="8" t="inlineStr">
        <is>
          <t>STANDBY</t>
        </is>
      </c>
      <c r="G25305" s="8" t="n">
        <v>0</v>
      </c>
      <c r="H25305" s="8" t="inlineStr">
        <is>
          <t>OPERATING</t>
        </is>
      </c>
    </row>
    <row r="25306">
      <c r="A25306" s="8" t="inlineStr">
        <is>
          <t>2026-08-05</t>
        </is>
      </c>
      <c r="B25306" s="8" t="n">
        <v>15</v>
      </c>
      <c r="C25306" s="8" t="n">
        <v>15</v>
      </c>
      <c r="D25306" s="8" t="inlineStr">
        <is>
          <t>Disneyland Park</t>
        </is>
      </c>
      <c r="E25306" s="8" t="inlineStr">
        <is>
          <t>Autopia, presented by Avis</t>
        </is>
      </c>
      <c r="F25306" s="8" t="inlineStr">
        <is>
          <t>STANDBY</t>
        </is>
      </c>
      <c r="G25306" s="8" t="n">
        <v>40</v>
      </c>
      <c r="H25306" s="8" t="inlineStr">
        <is>
          <t>OPERATING</t>
        </is>
      </c>
    </row>
    <row r="25307">
      <c r="A25307" s="8" t="inlineStr">
        <is>
          <t>2026-08-05</t>
        </is>
      </c>
      <c r="B25307" s="8" t="n">
        <v>15</v>
      </c>
      <c r="C25307" s="8" t="n">
        <v>15</v>
      </c>
      <c r="D25307" s="8" t="inlineStr">
        <is>
          <t>Disneyland Park</t>
        </is>
      </c>
      <c r="E25307" s="8" t="inlineStr">
        <is>
          <t>Buzz Lightyear Laser Blast</t>
        </is>
      </c>
      <c r="F25307" s="8" t="inlineStr">
        <is>
          <t>STANDBY</t>
        </is>
      </c>
      <c r="G25307" s="8" t="n">
        <v>40</v>
      </c>
      <c r="H25307" s="8" t="inlineStr">
        <is>
          <t>OPERATING</t>
        </is>
      </c>
    </row>
    <row r="25308">
      <c r="A25308" s="8" t="inlineStr">
        <is>
          <t>2026-08-05</t>
        </is>
      </c>
      <c r="B25308" s="8" t="n">
        <v>15</v>
      </c>
      <c r="C25308" s="8" t="n">
        <v>15</v>
      </c>
      <c r="D25308" s="8" t="inlineStr">
        <is>
          <t>Disneyland Park</t>
        </is>
      </c>
      <c r="E25308" s="8" t="inlineStr">
        <is>
          <t>Disneyland Railroad Discoveryland Station</t>
        </is>
      </c>
      <c r="F25308" s="8" t="inlineStr">
        <is>
          <t>STANDBY</t>
        </is>
      </c>
      <c r="G25308" s="8" t="n">
        <v>0</v>
      </c>
      <c r="H25308" s="8" t="inlineStr">
        <is>
          <t>CLOSED</t>
        </is>
      </c>
    </row>
    <row r="25309">
      <c r="A25309" s="8" t="inlineStr">
        <is>
          <t>2026-08-05</t>
        </is>
      </c>
      <c r="B25309" s="8" t="n">
        <v>15</v>
      </c>
      <c r="C25309" s="8" t="n">
        <v>15</v>
      </c>
      <c r="D25309" s="8" t="inlineStr">
        <is>
          <t>Disneyland Park</t>
        </is>
      </c>
      <c r="E25309" s="8" t="inlineStr">
        <is>
          <t>Les Mystères du Nautilus</t>
        </is>
      </c>
      <c r="F25309" s="8" t="inlineStr">
        <is>
          <t>STANDBY</t>
        </is>
      </c>
      <c r="G25309" s="8" t="n">
        <v>5</v>
      </c>
      <c r="H25309" s="8" t="inlineStr">
        <is>
          <t>OPERATING</t>
        </is>
      </c>
    </row>
    <row r="25310">
      <c r="A25310" s="8" t="inlineStr">
        <is>
          <t>2026-08-05</t>
        </is>
      </c>
      <c r="B25310" s="8" t="n">
        <v>15</v>
      </c>
      <c r="C25310" s="8" t="n">
        <v>15</v>
      </c>
      <c r="D25310" s="8" t="inlineStr">
        <is>
          <t>Disneyland Park</t>
        </is>
      </c>
      <c r="E25310" s="8" t="inlineStr">
        <is>
          <t>Mickey’s PhilharMagic</t>
        </is>
      </c>
      <c r="F25310" s="8" t="inlineStr">
        <is>
          <t>STANDBY</t>
        </is>
      </c>
      <c r="G25310" s="8" t="n">
        <v>0</v>
      </c>
      <c r="H25310" s="8" t="inlineStr">
        <is>
          <t>OPERATING</t>
        </is>
      </c>
    </row>
    <row r="25311">
      <c r="A25311" s="8" t="inlineStr">
        <is>
          <t>2026-08-05</t>
        </is>
      </c>
      <c r="B25311" s="8" t="n">
        <v>15</v>
      </c>
      <c r="C25311" s="8" t="n">
        <v>15</v>
      </c>
      <c r="D25311" s="8" t="inlineStr">
        <is>
          <t>Disneyland Park</t>
        </is>
      </c>
      <c r="E25311" s="8" t="inlineStr">
        <is>
          <t>Orbitron®</t>
        </is>
      </c>
      <c r="F25311" s="8" t="inlineStr">
        <is>
          <t>STANDBY</t>
        </is>
      </c>
      <c r="G25311" s="8" t="n">
        <v>70</v>
      </c>
      <c r="H25311" s="8" t="inlineStr">
        <is>
          <t>OPERATING</t>
        </is>
      </c>
    </row>
    <row r="25312">
      <c r="A25312" s="8" t="inlineStr">
        <is>
          <t>2026-08-05</t>
        </is>
      </c>
      <c r="B25312" s="8" t="n">
        <v>15</v>
      </c>
      <c r="C25312" s="8" t="n">
        <v>15</v>
      </c>
      <c r="D25312" s="8" t="inlineStr">
        <is>
          <t>Disneyland Park</t>
        </is>
      </c>
      <c r="E25312" s="8" t="inlineStr">
        <is>
          <t>Star Tours: The Adventures Continue*</t>
        </is>
      </c>
      <c r="F25312" s="8" t="inlineStr">
        <is>
          <t>STANDBY</t>
        </is>
      </c>
      <c r="G25312" s="8" t="n">
        <v>30</v>
      </c>
      <c r="H25312" s="8" t="inlineStr">
        <is>
          <t>OPERATING</t>
        </is>
      </c>
    </row>
    <row r="25313">
      <c r="A25313" s="8" t="inlineStr">
        <is>
          <t>2026-08-05</t>
        </is>
      </c>
      <c r="B25313" s="8" t="n">
        <v>15</v>
      </c>
      <c r="C25313" s="8" t="n">
        <v>15</v>
      </c>
      <c r="D25313" s="8" t="inlineStr">
        <is>
          <t>Disneyland Park</t>
        </is>
      </c>
      <c r="E25313" s="8" t="inlineStr">
        <is>
          <t>Star Wars Hyperspace Mountain</t>
        </is>
      </c>
      <c r="F25313" s="8" t="inlineStr">
        <is>
          <t>STANDBY</t>
        </is>
      </c>
      <c r="G25313" s="8" t="n">
        <v>45</v>
      </c>
      <c r="H25313" s="8" t="inlineStr">
        <is>
          <t>OPERATING</t>
        </is>
      </c>
    </row>
    <row r="25314">
      <c r="A25314" s="8" t="inlineStr">
        <is>
          <t>2026-08-05</t>
        </is>
      </c>
      <c r="B25314" s="8" t="n">
        <v>15</v>
      </c>
      <c r="C25314" s="8" t="n">
        <v>15</v>
      </c>
      <c r="D25314" s="8" t="inlineStr">
        <is>
          <t>Disneyland Park</t>
        </is>
      </c>
      <c r="E25314" s="8" t="inlineStr">
        <is>
          <t>Star Wars Hyperspace Mountain Single Rider</t>
        </is>
      </c>
      <c r="F25314" s="8" t="inlineStr">
        <is>
          <t>STANDBY</t>
        </is>
      </c>
      <c r="G25314" s="8" t="n">
        <v>40</v>
      </c>
      <c r="H25314" s="8" t="inlineStr">
        <is>
          <t>OPERATING</t>
        </is>
      </c>
    </row>
    <row r="25315">
      <c r="A25315" s="8" t="inlineStr">
        <is>
          <t>2026-08-05</t>
        </is>
      </c>
      <c r="B25315" s="8" t="n">
        <v>15</v>
      </c>
      <c r="C25315" s="8" t="n">
        <v>15</v>
      </c>
      <c r="D25315" s="8" t="inlineStr">
        <is>
          <t>Disneyland Park</t>
        </is>
      </c>
      <c r="E25315" s="8" t="inlineStr">
        <is>
          <t>Welcome to Starport: A Star Wars Encounter</t>
        </is>
      </c>
      <c r="F25315" s="8" t="inlineStr">
        <is>
          <t>STANDBY</t>
        </is>
      </c>
      <c r="G25315" s="8" t="n">
        <v>30</v>
      </c>
      <c r="H25315" s="8" t="inlineStr">
        <is>
          <t>OPERATING</t>
        </is>
      </c>
    </row>
    <row r="25316">
      <c r="A25316" s="8" t="inlineStr">
        <is>
          <t>2026-08-05</t>
        </is>
      </c>
      <c r="B25316" s="8" t="n">
        <v>15</v>
      </c>
      <c r="C25316" s="8" t="n">
        <v>15</v>
      </c>
      <c r="D25316" s="8" t="inlineStr">
        <is>
          <t>Disneyland Park</t>
        </is>
      </c>
      <c r="E25316" s="8" t="inlineStr">
        <is>
          <t>"it's a small world"</t>
        </is>
      </c>
      <c r="F25316" s="8" t="inlineStr">
        <is>
          <t>STANDBY</t>
        </is>
      </c>
      <c r="G25316" s="8" t="n">
        <v>15</v>
      </c>
      <c r="H25316" s="8" t="inlineStr">
        <is>
          <t>OPERATING</t>
        </is>
      </c>
    </row>
    <row r="25317">
      <c r="A25317" s="8" t="inlineStr">
        <is>
          <t>2026-08-05</t>
        </is>
      </c>
      <c r="B25317" s="8" t="n">
        <v>15</v>
      </c>
      <c r="C25317" s="8" t="n">
        <v>15</v>
      </c>
      <c r="D25317" s="8" t="inlineStr">
        <is>
          <t>Disneyland Park</t>
        </is>
      </c>
      <c r="E25317" s="8" t="inlineStr">
        <is>
          <t>Alice's Curious Labyrinth</t>
        </is>
      </c>
      <c r="F25317" s="8" t="inlineStr">
        <is>
          <t>STANDBY</t>
        </is>
      </c>
      <c r="G25317" s="8" t="n">
        <v>5</v>
      </c>
      <c r="H25317" s="8" t="inlineStr">
        <is>
          <t>OPERATING</t>
        </is>
      </c>
    </row>
    <row r="25318">
      <c r="A25318" s="8" t="inlineStr">
        <is>
          <t>2026-08-05</t>
        </is>
      </c>
      <c r="B25318" s="8" t="n">
        <v>15</v>
      </c>
      <c r="C25318" s="8" t="n">
        <v>15</v>
      </c>
      <c r="D25318" s="8" t="inlineStr">
        <is>
          <t>Disneyland Park</t>
        </is>
      </c>
      <c r="E25318" s="8" t="inlineStr">
        <is>
          <t>Blanche-Neige et les Sept Nains®</t>
        </is>
      </c>
      <c r="F25318" s="8" t="inlineStr">
        <is>
          <t>STANDBY</t>
        </is>
      </c>
      <c r="G25318" s="8" t="n">
        <v>15</v>
      </c>
      <c r="H25318" s="8" t="inlineStr">
        <is>
          <t>OPERATING</t>
        </is>
      </c>
    </row>
    <row r="25319">
      <c r="A25319" s="8" t="inlineStr">
        <is>
          <t>2026-08-05</t>
        </is>
      </c>
      <c r="B25319" s="8" t="n">
        <v>15</v>
      </c>
      <c r="C25319" s="8" t="n">
        <v>15</v>
      </c>
      <c r="D25319" s="8" t="inlineStr">
        <is>
          <t>Disneyland Park</t>
        </is>
      </c>
      <c r="E25319" s="8" t="inlineStr">
        <is>
          <t>Casey Jr. – le Petit Train du Cirque</t>
        </is>
      </c>
      <c r="F25319" s="8" t="inlineStr">
        <is>
          <t>STANDBY</t>
        </is>
      </c>
      <c r="G25319" s="8" t="n">
        <v>20</v>
      </c>
      <c r="H25319" s="8" t="inlineStr">
        <is>
          <t>OPERATING</t>
        </is>
      </c>
    </row>
    <row r="25320">
      <c r="A25320" s="8" t="inlineStr">
        <is>
          <t>2026-08-05</t>
        </is>
      </c>
      <c r="B25320" s="8" t="n">
        <v>15</v>
      </c>
      <c r="C25320" s="8" t="n">
        <v>15</v>
      </c>
      <c r="D25320" s="8" t="inlineStr">
        <is>
          <t>Disneyland Park</t>
        </is>
      </c>
      <c r="E25320" s="8" t="inlineStr">
        <is>
          <t>Disneyland Railroad Fantasyland Station</t>
        </is>
      </c>
      <c r="F25320" s="8" t="inlineStr">
        <is>
          <t>STANDBY</t>
        </is>
      </c>
      <c r="G25320" s="8" t="n">
        <v>0</v>
      </c>
      <c r="H25320" s="8" t="inlineStr">
        <is>
          <t>CLOSED</t>
        </is>
      </c>
    </row>
    <row r="25321">
      <c r="A25321" s="8" t="inlineStr">
        <is>
          <t>2026-08-05</t>
        </is>
      </c>
      <c r="B25321" s="8" t="n">
        <v>15</v>
      </c>
      <c r="C25321" s="8" t="n">
        <v>15</v>
      </c>
      <c r="D25321" s="8" t="inlineStr">
        <is>
          <t>Disneyland Park</t>
        </is>
      </c>
      <c r="E25321" s="8" t="inlineStr">
        <is>
          <t>Disneyland Railroad Main Street Station</t>
        </is>
      </c>
      <c r="F25321" s="8" t="inlineStr">
        <is>
          <t>STANDBY</t>
        </is>
      </c>
      <c r="G25321" s="8" t="n">
        <v>10</v>
      </c>
      <c r="H25321" s="8" t="inlineStr">
        <is>
          <t>OPERATING</t>
        </is>
      </c>
    </row>
    <row r="25322">
      <c r="A25322" s="8" t="inlineStr">
        <is>
          <t>2026-08-05</t>
        </is>
      </c>
      <c r="B25322" s="8" t="n">
        <v>15</v>
      </c>
      <c r="C25322" s="8" t="n">
        <v>15</v>
      </c>
      <c r="D25322" s="8" t="inlineStr">
        <is>
          <t>Disneyland Park</t>
        </is>
      </c>
      <c r="E25322" s="8" t="inlineStr">
        <is>
          <t>Dumbo the Flying Elephant</t>
        </is>
      </c>
      <c r="F25322" s="8" t="inlineStr">
        <is>
          <t>STANDBY</t>
        </is>
      </c>
      <c r="G25322" s="8" t="n">
        <v>35</v>
      </c>
      <c r="H25322" s="8" t="inlineStr">
        <is>
          <t>OPERATING</t>
        </is>
      </c>
    </row>
    <row r="25323">
      <c r="A25323" s="8" t="inlineStr">
        <is>
          <t>2026-08-05</t>
        </is>
      </c>
      <c r="B25323" s="8" t="n">
        <v>15</v>
      </c>
      <c r="C25323" s="8" t="n">
        <v>15</v>
      </c>
      <c r="D25323" s="8" t="inlineStr">
        <is>
          <t>Disneyland Park</t>
        </is>
      </c>
      <c r="E25323" s="8" t="inlineStr">
        <is>
          <t>La Tanière du Dragon</t>
        </is>
      </c>
      <c r="F25323" s="8" t="inlineStr">
        <is>
          <t>STANDBY</t>
        </is>
      </c>
      <c r="G25323" s="8" t="n">
        <v>0</v>
      </c>
      <c r="H25323" s="8" t="inlineStr">
        <is>
          <t>OPERATING</t>
        </is>
      </c>
    </row>
    <row r="25324">
      <c r="A25324" s="8" t="inlineStr">
        <is>
          <t>2026-08-05</t>
        </is>
      </c>
      <c r="B25324" s="8" t="n">
        <v>15</v>
      </c>
      <c r="C25324" s="8" t="n">
        <v>15</v>
      </c>
      <c r="D25324" s="8" t="inlineStr">
        <is>
          <t>Disneyland Park</t>
        </is>
      </c>
      <c r="E25324" s="8" t="inlineStr">
        <is>
          <t>Le Carrousel de Lancelot</t>
        </is>
      </c>
      <c r="F25324" s="8" t="inlineStr">
        <is>
          <t>STANDBY</t>
        </is>
      </c>
      <c r="G25324" s="8" t="n">
        <v>15</v>
      </c>
      <c r="H25324" s="8" t="inlineStr">
        <is>
          <t>OPERATING</t>
        </is>
      </c>
    </row>
    <row r="25325">
      <c r="A25325" s="8" t="inlineStr">
        <is>
          <t>2026-08-05</t>
        </is>
      </c>
      <c r="B25325" s="8" t="n">
        <v>15</v>
      </c>
      <c r="C25325" s="8" t="n">
        <v>15</v>
      </c>
      <c r="D25325" s="8" t="inlineStr">
        <is>
          <t>Disneyland Park</t>
        </is>
      </c>
      <c r="E25325" s="8" t="inlineStr">
        <is>
          <t>Le Pays des Contes de Fées, presented by Vittel</t>
        </is>
      </c>
      <c r="F25325" s="8" t="inlineStr">
        <is>
          <t>STANDBY</t>
        </is>
      </c>
      <c r="G25325" s="8" t="n">
        <v>5</v>
      </c>
      <c r="H25325" s="8" t="inlineStr">
        <is>
          <t>OPERATING</t>
        </is>
      </c>
    </row>
    <row r="25326">
      <c r="A25326" s="8" t="inlineStr">
        <is>
          <t>2026-08-05</t>
        </is>
      </c>
      <c r="B25326" s="8" t="n">
        <v>15</v>
      </c>
      <c r="C25326" s="8" t="n">
        <v>15</v>
      </c>
      <c r="D25326" s="8" t="inlineStr">
        <is>
          <t>Disneyland Park</t>
        </is>
      </c>
      <c r="E25326" s="8" t="inlineStr">
        <is>
          <t>Les Voyages de Pinocchio</t>
        </is>
      </c>
      <c r="F25326" s="8" t="inlineStr">
        <is>
          <t>STANDBY</t>
        </is>
      </c>
      <c r="G25326" s="8" t="n">
        <v>25</v>
      </c>
      <c r="H25326" s="8" t="inlineStr">
        <is>
          <t>OPERATING</t>
        </is>
      </c>
    </row>
    <row r="25327">
      <c r="A25327" s="8" t="inlineStr">
        <is>
          <t>2026-08-05</t>
        </is>
      </c>
      <c r="B25327" s="8" t="n">
        <v>15</v>
      </c>
      <c r="C25327" s="8" t="n">
        <v>15</v>
      </c>
      <c r="D25327" s="8" t="inlineStr">
        <is>
          <t>Disneyland Park</t>
        </is>
      </c>
      <c r="E25327" s="8" t="inlineStr">
        <is>
          <t>Mad Hatter's Tea Cups</t>
        </is>
      </c>
      <c r="F25327" s="8" t="inlineStr">
        <is>
          <t>STANDBY</t>
        </is>
      </c>
      <c r="G25327" s="8" t="n">
        <v>10</v>
      </c>
      <c r="H25327" s="8" t="inlineStr">
        <is>
          <t>OPERATING</t>
        </is>
      </c>
    </row>
    <row r="25328">
      <c r="A25328" s="8" t="inlineStr">
        <is>
          <t>2026-08-05</t>
        </is>
      </c>
      <c r="B25328" s="8" t="n">
        <v>15</v>
      </c>
      <c r="C25328" s="8" t="n">
        <v>15</v>
      </c>
      <c r="D25328" s="8" t="inlineStr">
        <is>
          <t>Disneyland Park</t>
        </is>
      </c>
      <c r="E25328" s="8" t="inlineStr">
        <is>
          <t>Meet Mickey Mouse</t>
        </is>
      </c>
      <c r="F25328" s="8" t="inlineStr">
        <is>
          <t>STANDBY</t>
        </is>
      </c>
      <c r="G25328" s="8" t="n">
        <v>0</v>
      </c>
      <c r="H25328" s="8" t="inlineStr">
        <is>
          <t>OPERATING</t>
        </is>
      </c>
    </row>
    <row r="25329">
      <c r="A25329" s="8" t="inlineStr">
        <is>
          <t>2026-08-05</t>
        </is>
      </c>
      <c r="B25329" s="8" t="n">
        <v>15</v>
      </c>
      <c r="C25329" s="8" t="n">
        <v>15</v>
      </c>
      <c r="D25329" s="8" t="inlineStr">
        <is>
          <t>Disneyland Park</t>
        </is>
      </c>
      <c r="E25329" s="8" t="inlineStr">
        <is>
          <t>Peter Pan's Flight</t>
        </is>
      </c>
      <c r="F25329" s="8" t="inlineStr">
        <is>
          <t>STANDBY</t>
        </is>
      </c>
      <c r="G25329" s="8" t="n">
        <v>60</v>
      </c>
      <c r="H25329" s="8" t="inlineStr">
        <is>
          <t>OPERATING</t>
        </is>
      </c>
    </row>
    <row r="25330">
      <c r="A25330" s="8" t="inlineStr">
        <is>
          <t>2026-08-05</t>
        </is>
      </c>
      <c r="B25330" s="8" t="n">
        <v>15</v>
      </c>
      <c r="C25330" s="8" t="n">
        <v>15</v>
      </c>
      <c r="D25330" s="8" t="inlineStr">
        <is>
          <t>Disneyland Park</t>
        </is>
      </c>
      <c r="E25330" s="8" t="inlineStr">
        <is>
          <t>Princess Pavilion</t>
        </is>
      </c>
      <c r="F25330" s="8" t="inlineStr">
        <is>
          <t>STANDBY</t>
        </is>
      </c>
      <c r="G25330" s="8" t="n">
        <v>0</v>
      </c>
      <c r="H25330" s="8" t="inlineStr">
        <is>
          <t>OPERATING</t>
        </is>
      </c>
    </row>
    <row r="25331">
      <c r="A25331" s="8" t="inlineStr">
        <is>
          <t>2026-08-05</t>
        </is>
      </c>
      <c r="B25331" s="8" t="n">
        <v>15</v>
      </c>
      <c r="C25331" s="8" t="n">
        <v>15</v>
      </c>
      <c r="D25331" s="8" t="inlineStr">
        <is>
          <t>Disneyland Park</t>
        </is>
      </c>
      <c r="E25331" s="8" t="inlineStr">
        <is>
          <t>Big Thunder Mountain</t>
        </is>
      </c>
      <c r="F25331" s="8" t="inlineStr">
        <is>
          <t>STANDBY</t>
        </is>
      </c>
      <c r="G25331" s="8" t="n">
        <v>80</v>
      </c>
      <c r="H25331" s="8" t="inlineStr">
        <is>
          <t>OPERATING</t>
        </is>
      </c>
    </row>
    <row r="25332">
      <c r="A25332" s="8" t="inlineStr">
        <is>
          <t>2026-08-05</t>
        </is>
      </c>
      <c r="B25332" s="8" t="n">
        <v>15</v>
      </c>
      <c r="C25332" s="8" t="n">
        <v>15</v>
      </c>
      <c r="D25332" s="8" t="inlineStr">
        <is>
          <t>Disneyland Park</t>
        </is>
      </c>
      <c r="E25332" s="8" t="inlineStr">
        <is>
          <t>Disneyland Railroad Frontierland Depot</t>
        </is>
      </c>
      <c r="F25332" s="8" t="inlineStr">
        <is>
          <t>STANDBY</t>
        </is>
      </c>
      <c r="G25332" s="8" t="n">
        <v>10</v>
      </c>
      <c r="H25332" s="8" t="inlineStr">
        <is>
          <t>OPERATING</t>
        </is>
      </c>
    </row>
    <row r="25333">
      <c r="A25333" s="8" t="inlineStr">
        <is>
          <t>2026-08-05</t>
        </is>
      </c>
      <c r="B25333" s="8" t="n">
        <v>15</v>
      </c>
      <c r="C25333" s="8" t="n">
        <v>15</v>
      </c>
      <c r="D25333" s="8" t="inlineStr">
        <is>
          <t>Disneyland Park</t>
        </is>
      </c>
      <c r="E25333" s="8" t="inlineStr">
        <is>
          <t>Frontierland Playground</t>
        </is>
      </c>
      <c r="F25333" s="8" t="inlineStr">
        <is>
          <t>STANDBY</t>
        </is>
      </c>
      <c r="G25333" s="8" t="n">
        <v>0</v>
      </c>
      <c r="H25333" s="8" t="inlineStr">
        <is>
          <t>OPERATING</t>
        </is>
      </c>
    </row>
    <row r="25334">
      <c r="A25334" s="8" t="inlineStr">
        <is>
          <t>2026-08-05</t>
        </is>
      </c>
      <c r="B25334" s="8" t="n">
        <v>15</v>
      </c>
      <c r="C25334" s="8" t="n">
        <v>15</v>
      </c>
      <c r="D25334" s="8" t="inlineStr">
        <is>
          <t>Disneyland Park</t>
        </is>
      </c>
      <c r="E25334" s="8" t="inlineStr">
        <is>
          <t>Phantom Manor</t>
        </is>
      </c>
      <c r="F25334" s="8" t="inlineStr">
        <is>
          <t>STANDBY</t>
        </is>
      </c>
      <c r="G25334" s="8" t="n">
        <v>20</v>
      </c>
      <c r="H25334" s="8" t="inlineStr">
        <is>
          <t>OPERATING</t>
        </is>
      </c>
    </row>
    <row r="25335">
      <c r="A25335" s="8" t="inlineStr">
        <is>
          <t>2026-08-05</t>
        </is>
      </c>
      <c r="B25335" s="8" t="n">
        <v>15</v>
      </c>
      <c r="C25335" s="8" t="n">
        <v>15</v>
      </c>
      <c r="D25335" s="8" t="inlineStr">
        <is>
          <t>Disneyland Park</t>
        </is>
      </c>
      <c r="E25335" s="8" t="inlineStr">
        <is>
          <t>River Rogue Keelboats</t>
        </is>
      </c>
      <c r="F25335" s="8" t="inlineStr">
        <is>
          <t>STANDBY</t>
        </is>
      </c>
      <c r="G25335" s="8" t="n">
        <v>0</v>
      </c>
      <c r="H25335" s="8" t="inlineStr">
        <is>
          <t>CLOSED</t>
        </is>
      </c>
    </row>
    <row r="25336">
      <c r="A25336" s="8" t="inlineStr">
        <is>
          <t>2026-08-05</t>
        </is>
      </c>
      <c r="B25336" s="8" t="n">
        <v>15</v>
      </c>
      <c r="C25336" s="8" t="n">
        <v>15</v>
      </c>
      <c r="D25336" s="8" t="inlineStr">
        <is>
          <t>Disneyland Park</t>
        </is>
      </c>
      <c r="E25336" s="8" t="inlineStr">
        <is>
          <t>Rustler Roundup Shootin' Gallery</t>
        </is>
      </c>
      <c r="F25336" s="8" t="inlineStr">
        <is>
          <t>STANDBY</t>
        </is>
      </c>
      <c r="G25336" s="8" t="n">
        <v>0</v>
      </c>
      <c r="H25336" s="8" t="inlineStr">
        <is>
          <t>OPERATING</t>
        </is>
      </c>
    </row>
    <row r="25337">
      <c r="A25337" s="8" t="inlineStr">
        <is>
          <t>2026-08-05</t>
        </is>
      </c>
      <c r="B25337" s="8" t="n">
        <v>15</v>
      </c>
      <c r="C25337" s="8" t="n">
        <v>15</v>
      </c>
      <c r="D25337" s="8" t="inlineStr">
        <is>
          <t>Disneyland Park</t>
        </is>
      </c>
      <c r="E25337" s="8" t="inlineStr">
        <is>
          <t>Thunder Mesa Riverboat Landing</t>
        </is>
      </c>
      <c r="F25337" s="8" t="inlineStr">
        <is>
          <t>STANDBY</t>
        </is>
      </c>
      <c r="G25337" s="8" t="n">
        <v>20</v>
      </c>
      <c r="H25337" s="8" t="inlineStr">
        <is>
          <t>OPERATING</t>
        </is>
      </c>
    </row>
    <row r="25338">
      <c r="A25338" s="8" t="inlineStr">
        <is>
          <t>2026-08-05</t>
        </is>
      </c>
      <c r="B25338" s="8" t="n">
        <v>15</v>
      </c>
      <c r="C25338" s="8" t="n">
        <v>15</v>
      </c>
      <c r="D25338" s="8" t="inlineStr">
        <is>
          <t>Disneyland Park</t>
        </is>
      </c>
      <c r="E25338" s="8" t="inlineStr">
        <is>
          <t>Disneyland Railroad Main Street Station</t>
        </is>
      </c>
      <c r="F25338" s="8" t="inlineStr">
        <is>
          <t>STANDBY</t>
        </is>
      </c>
      <c r="G25338" s="8" t="n">
        <v>0</v>
      </c>
      <c r="H25338" s="8" t="inlineStr">
        <is>
          <t>OPERATING</t>
        </is>
      </c>
    </row>
    <row r="25339">
      <c r="A25339" s="8" t="inlineStr">
        <is>
          <t>2026-08-05</t>
        </is>
      </c>
      <c r="B25339" s="8" t="n">
        <v>15</v>
      </c>
      <c r="C25339" s="8" t="n">
        <v>15</v>
      </c>
      <c r="D25339" s="8" t="inlineStr">
        <is>
          <t>Disneyland Park</t>
        </is>
      </c>
      <c r="E25339" s="8" t="inlineStr">
        <is>
          <t>Main Street Vehicles</t>
        </is>
      </c>
      <c r="F25339" s="8" t="inlineStr">
        <is>
          <t>STANDBY</t>
        </is>
      </c>
      <c r="G25339" s="8" t="n">
        <v>0</v>
      </c>
      <c r="H25339" s="8" t="inlineStr">
        <is>
          <t>CLOSED</t>
        </is>
      </c>
    </row>
    <row r="25340">
      <c r="A25340" s="8" t="inlineStr">
        <is>
          <t>2026-08-05</t>
        </is>
      </c>
      <c r="B25340" s="8" t="n">
        <v>15</v>
      </c>
      <c r="C25340" s="8" t="n">
        <v>15</v>
      </c>
      <c r="D25340" s="8" t="inlineStr">
        <is>
          <t>Disney Adventure World</t>
        </is>
      </c>
      <c r="E25340" s="8" t="inlineStr">
        <is>
          <t>Avengers Assemble: Flight Force</t>
        </is>
      </c>
      <c r="F25340" s="8" t="inlineStr">
        <is>
          <t>STANDBY</t>
        </is>
      </c>
      <c r="G25340" s="8" t="n">
        <v>30</v>
      </c>
      <c r="H25340" s="8" t="inlineStr">
        <is>
          <t>OPERATING</t>
        </is>
      </c>
    </row>
    <row r="25341">
      <c r="A25341" s="8" t="inlineStr">
        <is>
          <t>2026-08-05</t>
        </is>
      </c>
      <c r="B25341" s="8" t="n">
        <v>15</v>
      </c>
      <c r="C25341" s="8" t="n">
        <v>15</v>
      </c>
      <c r="D25341" s="8" t="inlineStr">
        <is>
          <t>Disney Adventure World</t>
        </is>
      </c>
      <c r="E25341" s="8" t="inlineStr">
        <is>
          <t>Avengers Assemble: Flight Force Single Rider</t>
        </is>
      </c>
      <c r="F25341" s="8" t="inlineStr">
        <is>
          <t>STANDBY</t>
        </is>
      </c>
      <c r="G25341" s="8" t="n">
        <v>20</v>
      </c>
      <c r="H25341" s="8" t="inlineStr">
        <is>
          <t>OPERATING</t>
        </is>
      </c>
    </row>
    <row r="25342">
      <c r="A25342" s="8" t="inlineStr">
        <is>
          <t>2026-08-05</t>
        </is>
      </c>
      <c r="B25342" s="8" t="n">
        <v>15</v>
      </c>
      <c r="C25342" s="8" t="n">
        <v>15</v>
      </c>
      <c r="D25342" s="8" t="inlineStr">
        <is>
          <t>Disney Adventure World</t>
        </is>
      </c>
      <c r="E25342" s="8" t="inlineStr">
        <is>
          <t>Spider-Man W.E.B. Adventure</t>
        </is>
      </c>
      <c r="F25342" s="8" t="inlineStr">
        <is>
          <t>STANDBY</t>
        </is>
      </c>
      <c r="G25342" s="8" t="n">
        <v>60</v>
      </c>
      <c r="H25342" s="8" t="inlineStr">
        <is>
          <t>OPERATING</t>
        </is>
      </c>
    </row>
    <row r="25343">
      <c r="A25343" s="8" t="inlineStr">
        <is>
          <t>2026-08-05</t>
        </is>
      </c>
      <c r="B25343" s="8" t="n">
        <v>15</v>
      </c>
      <c r="C25343" s="8" t="n">
        <v>15</v>
      </c>
      <c r="D25343" s="8" t="inlineStr">
        <is>
          <t>Disney Adventure World</t>
        </is>
      </c>
      <c r="E25343" s="8" t="inlineStr">
        <is>
          <t>Spider-Man W.E.B. Adventure Single Rider</t>
        </is>
      </c>
      <c r="F25343" s="8" t="inlineStr">
        <is>
          <t>STANDBY</t>
        </is>
      </c>
      <c r="G25343" s="8" t="n">
        <v>30</v>
      </c>
      <c r="H25343" s="8" t="inlineStr">
        <is>
          <t>OPERATING</t>
        </is>
      </c>
    </row>
    <row r="25344">
      <c r="A25344" s="8" t="inlineStr">
        <is>
          <t>2026-08-05</t>
        </is>
      </c>
      <c r="B25344" s="8" t="n">
        <v>15</v>
      </c>
      <c r="C25344" s="8" t="n">
        <v>15</v>
      </c>
      <c r="D25344" s="8" t="inlineStr">
        <is>
          <t>Disney Adventure World</t>
        </is>
      </c>
      <c r="E25344" s="8" t="inlineStr">
        <is>
          <t>The Twilight Zone Tower of Terror</t>
        </is>
      </c>
      <c r="F25344" s="8" t="inlineStr">
        <is>
          <t>STANDBY</t>
        </is>
      </c>
      <c r="G25344" s="8" t="n">
        <v>25</v>
      </c>
      <c r="H25344" s="8" t="inlineStr">
        <is>
          <t>OPERATING</t>
        </is>
      </c>
    </row>
    <row r="25345">
      <c r="A25345" s="8" t="inlineStr">
        <is>
          <t>2026-08-05</t>
        </is>
      </c>
      <c r="B25345" s="8" t="n">
        <v>15</v>
      </c>
      <c r="C25345" s="8" t="n">
        <v>15</v>
      </c>
      <c r="D25345" s="8" t="inlineStr">
        <is>
          <t>Disney Adventure World</t>
        </is>
      </c>
      <c r="E25345" s="8" t="inlineStr">
        <is>
          <t>Cars Quatre Roues Rallye</t>
        </is>
      </c>
      <c r="F25345" s="8" t="inlineStr">
        <is>
          <t>STANDBY</t>
        </is>
      </c>
      <c r="G25345" s="8" t="n">
        <v>20</v>
      </c>
      <c r="H25345" s="8" t="inlineStr">
        <is>
          <t>OPERATING</t>
        </is>
      </c>
    </row>
    <row r="25346">
      <c r="A25346" s="8" t="inlineStr">
        <is>
          <t>2026-08-05</t>
        </is>
      </c>
      <c r="B25346" s="8" t="n">
        <v>15</v>
      </c>
      <c r="C25346" s="8" t="n">
        <v>15</v>
      </c>
      <c r="D25346" s="8" t="inlineStr">
        <is>
          <t>Disney Adventure World</t>
        </is>
      </c>
      <c r="E25346" s="8" t="inlineStr">
        <is>
          <t>Cars ROAD TRIP</t>
        </is>
      </c>
      <c r="F25346" s="8" t="inlineStr">
        <is>
          <t>STANDBY</t>
        </is>
      </c>
      <c r="G25346" s="8" t="n">
        <v>20</v>
      </c>
      <c r="H25346" s="8" t="inlineStr">
        <is>
          <t>OPERATING</t>
        </is>
      </c>
    </row>
    <row r="25347">
      <c r="A25347" s="8" t="inlineStr">
        <is>
          <t>2026-08-05</t>
        </is>
      </c>
      <c r="B25347" s="8" t="n">
        <v>15</v>
      </c>
      <c r="C25347" s="8" t="n">
        <v>15</v>
      </c>
      <c r="D25347" s="8" t="inlineStr">
        <is>
          <t>Disney Adventure World</t>
        </is>
      </c>
      <c r="E25347" s="8" t="inlineStr">
        <is>
          <t>Crush's Coaster</t>
        </is>
      </c>
      <c r="F25347" s="8" t="inlineStr">
        <is>
          <t>STANDBY</t>
        </is>
      </c>
      <c r="G25347" s="8" t="n">
        <v>80</v>
      </c>
      <c r="H25347" s="8" t="inlineStr">
        <is>
          <t>OPERATING</t>
        </is>
      </c>
    </row>
    <row r="25348">
      <c r="A25348" s="8" t="inlineStr">
        <is>
          <t>2026-08-05</t>
        </is>
      </c>
      <c r="B25348" s="8" t="n">
        <v>15</v>
      </c>
      <c r="C25348" s="8" t="n">
        <v>15</v>
      </c>
      <c r="D25348" s="8" t="inlineStr">
        <is>
          <t>Disney Adventure World</t>
        </is>
      </c>
      <c r="E25348" s="8" t="inlineStr">
        <is>
          <t>Crush's Coaster Single Rider</t>
        </is>
      </c>
      <c r="F25348" s="8" t="inlineStr">
        <is>
          <t>STANDBY</t>
        </is>
      </c>
      <c r="G25348" s="8" t="n">
        <v>60</v>
      </c>
      <c r="H25348" s="8" t="inlineStr">
        <is>
          <t>OPERATING</t>
        </is>
      </c>
    </row>
    <row r="25349">
      <c r="A25349" s="8" t="inlineStr">
        <is>
          <t>2026-08-05</t>
        </is>
      </c>
      <c r="B25349" s="8" t="n">
        <v>15</v>
      </c>
      <c r="C25349" s="8" t="n">
        <v>15</v>
      </c>
      <c r="D25349" s="8" t="inlineStr">
        <is>
          <t>Disney Adventure World</t>
        </is>
      </c>
      <c r="E25349" s="8" t="inlineStr">
        <is>
          <t>Les Tapis Volants - Flying Carpets Over Agrabah®</t>
        </is>
      </c>
      <c r="F25349" s="8" t="inlineStr">
        <is>
          <t>STANDBY</t>
        </is>
      </c>
      <c r="G25349" s="8" t="n">
        <v>30</v>
      </c>
      <c r="H25349" s="8" t="inlineStr">
        <is>
          <t>OPERATING</t>
        </is>
      </c>
    </row>
    <row r="25350">
      <c r="A25350" s="8" t="inlineStr">
        <is>
          <t>2026-08-05</t>
        </is>
      </c>
      <c r="B25350" s="8" t="n">
        <v>15</v>
      </c>
      <c r="C25350" s="8" t="n">
        <v>15</v>
      </c>
      <c r="D25350" s="8" t="inlineStr">
        <is>
          <t>Disney Adventure World</t>
        </is>
      </c>
      <c r="E25350" s="8" t="inlineStr">
        <is>
          <t>Ratatouille : L’Aventure Totalement Toquée de Rémy​</t>
        </is>
      </c>
      <c r="F25350" s="8" t="inlineStr">
        <is>
          <t>STANDBY</t>
        </is>
      </c>
      <c r="G25350" s="8" t="n">
        <v>55</v>
      </c>
      <c r="H25350" s="8" t="inlineStr">
        <is>
          <t>OPERATING</t>
        </is>
      </c>
    </row>
    <row r="25351">
      <c r="A25351" s="8" t="inlineStr">
        <is>
          <t>2026-08-05</t>
        </is>
      </c>
      <c r="B25351" s="8" t="n">
        <v>15</v>
      </c>
      <c r="C25351" s="8" t="n">
        <v>15</v>
      </c>
      <c r="D25351" s="8" t="inlineStr">
        <is>
          <t>Disney Adventure World</t>
        </is>
      </c>
      <c r="E25351" s="8" t="inlineStr">
        <is>
          <t>Ratatouille: The Adventure Single Rider</t>
        </is>
      </c>
      <c r="F25351" s="8" t="inlineStr">
        <is>
          <t>STANDBY</t>
        </is>
      </c>
      <c r="G25351" s="8" t="n">
        <v>15</v>
      </c>
      <c r="H25351" s="8" t="inlineStr">
        <is>
          <t>OPERATING</t>
        </is>
      </c>
    </row>
    <row r="25352">
      <c r="A25352" s="8" t="inlineStr">
        <is>
          <t>2026-08-05</t>
        </is>
      </c>
      <c r="B25352" s="8" t="n">
        <v>15</v>
      </c>
      <c r="C25352" s="8" t="n">
        <v>15</v>
      </c>
      <c r="D25352" s="8" t="inlineStr">
        <is>
          <t>Disney Adventure World</t>
        </is>
      </c>
      <c r="E25352" s="8" t="inlineStr">
        <is>
          <t>RC Racer</t>
        </is>
      </c>
      <c r="F25352" s="8" t="inlineStr">
        <is>
          <t>STANDBY</t>
        </is>
      </c>
      <c r="G25352" s="8" t="n">
        <v>55</v>
      </c>
      <c r="H25352" s="8" t="inlineStr">
        <is>
          <t>OPERATING</t>
        </is>
      </c>
    </row>
    <row r="25353">
      <c r="A25353" s="8" t="inlineStr">
        <is>
          <t>2026-08-05</t>
        </is>
      </c>
      <c r="B25353" s="8" t="n">
        <v>15</v>
      </c>
      <c r="C25353" s="8" t="n">
        <v>15</v>
      </c>
      <c r="D25353" s="8" t="inlineStr">
        <is>
          <t>Disney Adventure World</t>
        </is>
      </c>
      <c r="E25353" s="8" t="inlineStr">
        <is>
          <t>RC Racer Single Rider</t>
        </is>
      </c>
      <c r="F25353" s="8" t="inlineStr">
        <is>
          <t>STANDBY</t>
        </is>
      </c>
      <c r="G25353" s="8" t="n">
        <v>50</v>
      </c>
      <c r="H25353" s="8" t="inlineStr">
        <is>
          <t>OPERATING</t>
        </is>
      </c>
    </row>
    <row r="25354">
      <c r="A25354" s="8" t="inlineStr">
        <is>
          <t>2026-08-05</t>
        </is>
      </c>
      <c r="B25354" s="8" t="n">
        <v>15</v>
      </c>
      <c r="C25354" s="8" t="n">
        <v>15</v>
      </c>
      <c r="D25354" s="8" t="inlineStr">
        <is>
          <t>Disney Adventure World</t>
        </is>
      </c>
      <c r="E25354" s="8" t="inlineStr">
        <is>
          <t>Slinky® Dog Zigzag Spin</t>
        </is>
      </c>
      <c r="F25354" s="8" t="inlineStr">
        <is>
          <t>STANDBY</t>
        </is>
      </c>
      <c r="G25354" s="8" t="n">
        <v>15</v>
      </c>
      <c r="H25354" s="8" t="inlineStr">
        <is>
          <t>OPERATING</t>
        </is>
      </c>
    </row>
    <row r="25355">
      <c r="A25355" s="8" t="inlineStr">
        <is>
          <t>2026-08-05</t>
        </is>
      </c>
      <c r="B25355" s="8" t="n">
        <v>15</v>
      </c>
      <c r="C25355" s="8" t="n">
        <v>15</v>
      </c>
      <c r="D25355" s="8" t="inlineStr">
        <is>
          <t>Disney Adventure World</t>
        </is>
      </c>
      <c r="E25355" s="8" t="inlineStr">
        <is>
          <t>Toy Soldiers Parachute Drop</t>
        </is>
      </c>
      <c r="F25355" s="8" t="inlineStr">
        <is>
          <t>STANDBY</t>
        </is>
      </c>
      <c r="G25355" s="8" t="n">
        <v>50</v>
      </c>
      <c r="H25355" s="8" t="inlineStr">
        <is>
          <t>OPERATING</t>
        </is>
      </c>
    </row>
    <row r="25356">
      <c r="A25356" s="8" t="inlineStr">
        <is>
          <t>2026-08-05</t>
        </is>
      </c>
      <c r="B25356" s="8" t="n">
        <v>15</v>
      </c>
      <c r="C25356" s="8" t="n">
        <v>15</v>
      </c>
      <c r="D25356" s="8" t="inlineStr">
        <is>
          <t>Disney Adventure World</t>
        </is>
      </c>
      <c r="E25356" s="8" t="inlineStr">
        <is>
          <t>Toy Soldiers Parachute Drop Single Rider</t>
        </is>
      </c>
      <c r="F25356" s="8" t="inlineStr">
        <is>
          <t>STANDBY</t>
        </is>
      </c>
      <c r="G25356" s="8" t="n">
        <v>15</v>
      </c>
      <c r="H25356" s="8" t="inlineStr">
        <is>
          <t>OPERATING</t>
        </is>
      </c>
    </row>
    <row r="25357">
      <c r="A25357" s="8" t="inlineStr">
        <is>
          <t>2026-08-05</t>
        </is>
      </c>
      <c r="B25357" s="8" t="n">
        <v>15</v>
      </c>
      <c r="C25357" s="8" t="n">
        <v>15</v>
      </c>
      <c r="D25357" s="8" t="inlineStr">
        <is>
          <t>Disney Adventure World</t>
        </is>
      </c>
      <c r="E25357" s="8" t="inlineStr">
        <is>
          <t>Entry to World of Frozen</t>
        </is>
      </c>
      <c r="F25357" s="8" t="inlineStr">
        <is>
          <t>STANDBY</t>
        </is>
      </c>
      <c r="G25357" s="8" t="n">
        <v>0</v>
      </c>
      <c r="H25357" s="8" t="inlineStr">
        <is>
          <t>OPERATING</t>
        </is>
      </c>
    </row>
    <row r="25358">
      <c r="A25358" s="8" t="inlineStr">
        <is>
          <t>2026-08-05</t>
        </is>
      </c>
      <c r="B25358" s="8" t="n">
        <v>15</v>
      </c>
      <c r="C25358" s="8" t="n">
        <v>15</v>
      </c>
      <c r="D25358" s="8" t="inlineStr">
        <is>
          <t>Disney Adventure World</t>
        </is>
      </c>
      <c r="E25358" s="8" t="inlineStr">
        <is>
          <t>Frozen Ever After</t>
        </is>
      </c>
      <c r="F25358" s="8" t="inlineStr">
        <is>
          <t>STANDBY</t>
        </is>
      </c>
      <c r="G25358" s="8" t="n">
        <v>65</v>
      </c>
      <c r="H25358" s="8" t="inlineStr">
        <is>
          <t>OPERATING</t>
        </is>
      </c>
    </row>
    <row r="25359">
      <c r="A25359" s="8" t="inlineStr">
        <is>
          <t>2026-08-05</t>
        </is>
      </c>
      <c r="B25359" s="8" t="n">
        <v>15</v>
      </c>
      <c r="C25359" s="8" t="n">
        <v>15</v>
      </c>
      <c r="D25359" s="8" t="inlineStr">
        <is>
          <t>Disney Adventure World</t>
        </is>
      </c>
      <c r="E25359" s="8" t="inlineStr">
        <is>
          <t>Raiponce Tangled Spin</t>
        </is>
      </c>
      <c r="F25359" s="8" t="inlineStr">
        <is>
          <t>STANDBY</t>
        </is>
      </c>
      <c r="G25359" s="8" t="n">
        <v>15</v>
      </c>
      <c r="H25359" s="8" t="inlineStr">
        <is>
          <t>OPERATING</t>
        </is>
      </c>
    </row>
    <row r="25360">
      <c r="A25360" s="8" t="inlineStr">
        <is>
          <t>2026-08-05</t>
        </is>
      </c>
      <c r="B25360" s="8" t="n">
        <v>15</v>
      </c>
      <c r="C25360" s="8" t="n">
        <v>31</v>
      </c>
      <c r="D25360" s="8" t="inlineStr">
        <is>
          <t>Disneyland Park</t>
        </is>
      </c>
      <c r="E25360" s="8" t="inlineStr">
        <is>
          <t>Adventure Isle</t>
        </is>
      </c>
      <c r="F25360" s="8" t="inlineStr">
        <is>
          <t>STANDBY</t>
        </is>
      </c>
      <c r="G25360" s="8" t="n">
        <v>0</v>
      </c>
      <c r="H25360" s="8" t="inlineStr">
        <is>
          <t>OPERATING</t>
        </is>
      </c>
    </row>
    <row r="25361">
      <c r="A25361" s="8" t="inlineStr">
        <is>
          <t>2026-08-05</t>
        </is>
      </c>
      <c r="B25361" s="8" t="n">
        <v>15</v>
      </c>
      <c r="C25361" s="8" t="n">
        <v>31</v>
      </c>
      <c r="D25361" s="8" t="inlineStr">
        <is>
          <t>Disneyland Park</t>
        </is>
      </c>
      <c r="E25361" s="8" t="inlineStr">
        <is>
          <t>Indiana Jones and the Temple of Peril Single Rider</t>
        </is>
      </c>
      <c r="F25361" s="8" t="inlineStr">
        <is>
          <t>STANDBY</t>
        </is>
      </c>
      <c r="G25361" s="8" t="n">
        <v>25</v>
      </c>
      <c r="H25361" s="8" t="inlineStr">
        <is>
          <t>OPERATING</t>
        </is>
      </c>
    </row>
    <row r="25362">
      <c r="A25362" s="8" t="inlineStr">
        <is>
          <t>2026-08-05</t>
        </is>
      </c>
      <c r="B25362" s="8" t="n">
        <v>15</v>
      </c>
      <c r="C25362" s="8" t="n">
        <v>31</v>
      </c>
      <c r="D25362" s="8" t="inlineStr">
        <is>
          <t>Disneyland Park</t>
        </is>
      </c>
      <c r="E25362" s="8" t="inlineStr">
        <is>
          <t>Indiana Jones™ and the Temple of Peril</t>
        </is>
      </c>
      <c r="F25362" s="8" t="inlineStr">
        <is>
          <t>STANDBY</t>
        </is>
      </c>
      <c r="G25362" s="8" t="n">
        <v>40</v>
      </c>
      <c r="H25362" s="8" t="inlineStr">
        <is>
          <t>OPERATING</t>
        </is>
      </c>
    </row>
    <row r="25363">
      <c r="A25363" s="8" t="inlineStr">
        <is>
          <t>2026-08-05</t>
        </is>
      </c>
      <c r="B25363" s="8" t="n">
        <v>15</v>
      </c>
      <c r="C25363" s="8" t="n">
        <v>31</v>
      </c>
      <c r="D25363" s="8" t="inlineStr">
        <is>
          <t>Disneyland Park</t>
        </is>
      </c>
      <c r="E25363" s="8" t="inlineStr">
        <is>
          <t>La Cabane des Robinson</t>
        </is>
      </c>
      <c r="F25363" s="8" t="inlineStr">
        <is>
          <t>STANDBY</t>
        </is>
      </c>
      <c r="G25363" s="8" t="n">
        <v>5</v>
      </c>
      <c r="H25363" s="8" t="inlineStr">
        <is>
          <t>OPERATING</t>
        </is>
      </c>
    </row>
    <row r="25364">
      <c r="A25364" s="8" t="inlineStr">
        <is>
          <t>2026-08-05</t>
        </is>
      </c>
      <c r="B25364" s="8" t="n">
        <v>15</v>
      </c>
      <c r="C25364" s="8" t="n">
        <v>31</v>
      </c>
      <c r="D25364" s="8" t="inlineStr">
        <is>
          <t>Disneyland Park</t>
        </is>
      </c>
      <c r="E25364" s="8" t="inlineStr">
        <is>
          <t>Le Passage Enchanté d'Aladdin</t>
        </is>
      </c>
      <c r="F25364" s="8" t="inlineStr">
        <is>
          <t>STANDBY</t>
        </is>
      </c>
      <c r="G25364" s="8" t="n">
        <v>0</v>
      </c>
      <c r="H25364" s="8" t="inlineStr">
        <is>
          <t>OPERATING</t>
        </is>
      </c>
    </row>
    <row r="25365">
      <c r="A25365" s="8" t="inlineStr">
        <is>
          <t>2026-08-05</t>
        </is>
      </c>
      <c r="B25365" s="8" t="n">
        <v>15</v>
      </c>
      <c r="C25365" s="8" t="n">
        <v>31</v>
      </c>
      <c r="D25365" s="8" t="inlineStr">
        <is>
          <t>Disneyland Park</t>
        </is>
      </c>
      <c r="E25365" s="8" t="inlineStr">
        <is>
          <t>Pirate Galleon</t>
        </is>
      </c>
      <c r="F25365" s="8" t="inlineStr">
        <is>
          <t>STANDBY</t>
        </is>
      </c>
      <c r="G25365" s="8" t="n">
        <v>0</v>
      </c>
      <c r="H25365" s="8" t="inlineStr">
        <is>
          <t>CLOSED</t>
        </is>
      </c>
    </row>
    <row r="25366">
      <c r="A25366" s="8" t="inlineStr">
        <is>
          <t>2026-08-05</t>
        </is>
      </c>
      <c r="B25366" s="8" t="n">
        <v>15</v>
      </c>
      <c r="C25366" s="8" t="n">
        <v>31</v>
      </c>
      <c r="D25366" s="8" t="inlineStr">
        <is>
          <t>Disneyland Park</t>
        </is>
      </c>
      <c r="E25366" s="8" t="inlineStr">
        <is>
          <t>Pirates of the Caribbean</t>
        </is>
      </c>
      <c r="F25366" s="8" t="inlineStr">
        <is>
          <t>STANDBY</t>
        </is>
      </c>
      <c r="G25366" s="8" t="n">
        <v>35</v>
      </c>
      <c r="H25366" s="8" t="inlineStr">
        <is>
          <t>OPERATING</t>
        </is>
      </c>
    </row>
    <row r="25367">
      <c r="A25367" s="8" t="inlineStr">
        <is>
          <t>2026-08-05</t>
        </is>
      </c>
      <c r="B25367" s="8" t="n">
        <v>15</v>
      </c>
      <c r="C25367" s="8" t="n">
        <v>31</v>
      </c>
      <c r="D25367" s="8" t="inlineStr">
        <is>
          <t>Disneyland Park</t>
        </is>
      </c>
      <c r="E25367" s="8" t="inlineStr">
        <is>
          <t>Pirates' Beach</t>
        </is>
      </c>
      <c r="F25367" s="8" t="inlineStr">
        <is>
          <t>STANDBY</t>
        </is>
      </c>
      <c r="G25367" s="8" t="n">
        <v>0</v>
      </c>
      <c r="H25367" s="8" t="inlineStr">
        <is>
          <t>OPERATING</t>
        </is>
      </c>
    </row>
    <row r="25368">
      <c r="A25368" s="8" t="inlineStr">
        <is>
          <t>2026-08-05</t>
        </is>
      </c>
      <c r="B25368" s="8" t="n">
        <v>15</v>
      </c>
      <c r="C25368" s="8" t="n">
        <v>31</v>
      </c>
      <c r="D25368" s="8" t="inlineStr">
        <is>
          <t>Disneyland Park</t>
        </is>
      </c>
      <c r="E25368" s="8" t="inlineStr">
        <is>
          <t>Autopia, presented by Avis</t>
        </is>
      </c>
      <c r="F25368" s="8" t="inlineStr">
        <is>
          <t>STANDBY</t>
        </is>
      </c>
      <c r="G25368" s="8" t="n">
        <v>30</v>
      </c>
      <c r="H25368" s="8" t="inlineStr">
        <is>
          <t>OPERATING</t>
        </is>
      </c>
    </row>
    <row r="25369">
      <c r="A25369" s="8" t="inlineStr">
        <is>
          <t>2026-08-05</t>
        </is>
      </c>
      <c r="B25369" s="8" t="n">
        <v>15</v>
      </c>
      <c r="C25369" s="8" t="n">
        <v>31</v>
      </c>
      <c r="D25369" s="8" t="inlineStr">
        <is>
          <t>Disneyland Park</t>
        </is>
      </c>
      <c r="E25369" s="8" t="inlineStr">
        <is>
          <t>Buzz Lightyear Laser Blast</t>
        </is>
      </c>
      <c r="F25369" s="8" t="inlineStr">
        <is>
          <t>STANDBY</t>
        </is>
      </c>
      <c r="G25369" s="8" t="n">
        <v>60</v>
      </c>
      <c r="H25369" s="8" t="inlineStr">
        <is>
          <t>OPERATING</t>
        </is>
      </c>
    </row>
    <row r="25370">
      <c r="A25370" s="8" t="inlineStr">
        <is>
          <t>2026-08-05</t>
        </is>
      </c>
      <c r="B25370" s="8" t="n">
        <v>15</v>
      </c>
      <c r="C25370" s="8" t="n">
        <v>31</v>
      </c>
      <c r="D25370" s="8" t="inlineStr">
        <is>
          <t>Disneyland Park</t>
        </is>
      </c>
      <c r="E25370" s="8" t="inlineStr">
        <is>
          <t>Disneyland Railroad Discoveryland Station</t>
        </is>
      </c>
      <c r="F25370" s="8" t="inlineStr">
        <is>
          <t>STANDBY</t>
        </is>
      </c>
      <c r="G25370" s="8" t="n">
        <v>0</v>
      </c>
      <c r="H25370" s="8" t="inlineStr">
        <is>
          <t>CLOSED</t>
        </is>
      </c>
    </row>
    <row r="25371">
      <c r="A25371" s="8" t="inlineStr">
        <is>
          <t>2026-08-05</t>
        </is>
      </c>
      <c r="B25371" s="8" t="n">
        <v>15</v>
      </c>
      <c r="C25371" s="8" t="n">
        <v>31</v>
      </c>
      <c r="D25371" s="8" t="inlineStr">
        <is>
          <t>Disneyland Park</t>
        </is>
      </c>
      <c r="E25371" s="8" t="inlineStr">
        <is>
          <t>Les Mystères du Nautilus</t>
        </is>
      </c>
      <c r="F25371" s="8" t="inlineStr">
        <is>
          <t>STANDBY</t>
        </is>
      </c>
      <c r="G25371" s="8" t="n">
        <v>5</v>
      </c>
      <c r="H25371" s="8" t="inlineStr">
        <is>
          <t>OPERATING</t>
        </is>
      </c>
    </row>
    <row r="25372">
      <c r="A25372" s="8" t="inlineStr">
        <is>
          <t>2026-08-05</t>
        </is>
      </c>
      <c r="B25372" s="8" t="n">
        <v>15</v>
      </c>
      <c r="C25372" s="8" t="n">
        <v>31</v>
      </c>
      <c r="D25372" s="8" t="inlineStr">
        <is>
          <t>Disneyland Park</t>
        </is>
      </c>
      <c r="E25372" s="8" t="inlineStr">
        <is>
          <t>Mickey’s PhilharMagic</t>
        </is>
      </c>
      <c r="F25372" s="8" t="inlineStr">
        <is>
          <t>STANDBY</t>
        </is>
      </c>
      <c r="G25372" s="8" t="n">
        <v>0</v>
      </c>
      <c r="H25372" s="8" t="inlineStr">
        <is>
          <t>OPERATING</t>
        </is>
      </c>
    </row>
    <row r="25373">
      <c r="A25373" s="8" t="inlineStr">
        <is>
          <t>2026-08-05</t>
        </is>
      </c>
      <c r="B25373" s="8" t="n">
        <v>15</v>
      </c>
      <c r="C25373" s="8" t="n">
        <v>31</v>
      </c>
      <c r="D25373" s="8" t="inlineStr">
        <is>
          <t>Disneyland Park</t>
        </is>
      </c>
      <c r="E25373" s="8" t="inlineStr">
        <is>
          <t>Orbitron®</t>
        </is>
      </c>
      <c r="F25373" s="8" t="inlineStr">
        <is>
          <t>STANDBY</t>
        </is>
      </c>
      <c r="G25373" s="8" t="n">
        <v>50</v>
      </c>
      <c r="H25373" s="8" t="inlineStr">
        <is>
          <t>OPERATING</t>
        </is>
      </c>
    </row>
    <row r="25374">
      <c r="A25374" s="8" t="inlineStr">
        <is>
          <t>2026-08-05</t>
        </is>
      </c>
      <c r="B25374" s="8" t="n">
        <v>15</v>
      </c>
      <c r="C25374" s="8" t="n">
        <v>31</v>
      </c>
      <c r="D25374" s="8" t="inlineStr">
        <is>
          <t>Disneyland Park</t>
        </is>
      </c>
      <c r="E25374" s="8" t="inlineStr">
        <is>
          <t>Star Tours: The Adventures Continue*</t>
        </is>
      </c>
      <c r="F25374" s="8" t="inlineStr">
        <is>
          <t>STANDBY</t>
        </is>
      </c>
      <c r="G25374" s="8" t="n">
        <v>15</v>
      </c>
      <c r="H25374" s="8" t="inlineStr">
        <is>
          <t>OPERATING</t>
        </is>
      </c>
    </row>
    <row r="25375">
      <c r="A25375" s="8" t="inlineStr">
        <is>
          <t>2026-08-05</t>
        </is>
      </c>
      <c r="B25375" s="8" t="n">
        <v>15</v>
      </c>
      <c r="C25375" s="8" t="n">
        <v>31</v>
      </c>
      <c r="D25375" s="8" t="inlineStr">
        <is>
          <t>Disneyland Park</t>
        </is>
      </c>
      <c r="E25375" s="8" t="inlineStr">
        <is>
          <t>Star Wars Hyperspace Mountain</t>
        </is>
      </c>
      <c r="F25375" s="8" t="inlineStr">
        <is>
          <t>STANDBY</t>
        </is>
      </c>
      <c r="G25375" s="8" t="n">
        <v>45</v>
      </c>
      <c r="H25375" s="8" t="inlineStr">
        <is>
          <t>OPERATING</t>
        </is>
      </c>
    </row>
    <row r="25376">
      <c r="A25376" s="8" t="inlineStr">
        <is>
          <t>2026-08-05</t>
        </is>
      </c>
      <c r="B25376" s="8" t="n">
        <v>15</v>
      </c>
      <c r="C25376" s="8" t="n">
        <v>31</v>
      </c>
      <c r="D25376" s="8" t="inlineStr">
        <is>
          <t>Disneyland Park</t>
        </is>
      </c>
      <c r="E25376" s="8" t="inlineStr">
        <is>
          <t>Star Wars Hyperspace Mountain Single Rider</t>
        </is>
      </c>
      <c r="F25376" s="8" t="inlineStr">
        <is>
          <t>STANDBY</t>
        </is>
      </c>
      <c r="G25376" s="8" t="n">
        <v>40</v>
      </c>
      <c r="H25376" s="8" t="inlineStr">
        <is>
          <t>OPERATING</t>
        </is>
      </c>
    </row>
    <row r="25377">
      <c r="A25377" s="8" t="inlineStr">
        <is>
          <t>2026-08-05</t>
        </is>
      </c>
      <c r="B25377" s="8" t="n">
        <v>15</v>
      </c>
      <c r="C25377" s="8" t="n">
        <v>31</v>
      </c>
      <c r="D25377" s="8" t="inlineStr">
        <is>
          <t>Disneyland Park</t>
        </is>
      </c>
      <c r="E25377" s="8" t="inlineStr">
        <is>
          <t>Welcome to Starport: A Star Wars Encounter</t>
        </is>
      </c>
      <c r="F25377" s="8" t="inlineStr">
        <is>
          <t>STANDBY</t>
        </is>
      </c>
      <c r="G25377" s="8" t="n">
        <v>45</v>
      </c>
      <c r="H25377" s="8" t="inlineStr">
        <is>
          <t>OPERATING</t>
        </is>
      </c>
    </row>
    <row r="25378">
      <c r="A25378" s="8" t="inlineStr">
        <is>
          <t>2026-08-05</t>
        </is>
      </c>
      <c r="B25378" s="8" t="n">
        <v>15</v>
      </c>
      <c r="C25378" s="8" t="n">
        <v>31</v>
      </c>
      <c r="D25378" s="8" t="inlineStr">
        <is>
          <t>Disneyland Park</t>
        </is>
      </c>
      <c r="E25378" s="8" t="inlineStr">
        <is>
          <t>"it's a small world"</t>
        </is>
      </c>
      <c r="F25378" s="8" t="inlineStr">
        <is>
          <t>STANDBY</t>
        </is>
      </c>
      <c r="G25378" s="8" t="n">
        <v>15</v>
      </c>
      <c r="H25378" s="8" t="inlineStr">
        <is>
          <t>OPERATING</t>
        </is>
      </c>
    </row>
    <row r="25379">
      <c r="A25379" s="8" t="inlineStr">
        <is>
          <t>2026-08-05</t>
        </is>
      </c>
      <c r="B25379" s="8" t="n">
        <v>15</v>
      </c>
      <c r="C25379" s="8" t="n">
        <v>31</v>
      </c>
      <c r="D25379" s="8" t="inlineStr">
        <is>
          <t>Disneyland Park</t>
        </is>
      </c>
      <c r="E25379" s="8" t="inlineStr">
        <is>
          <t>Alice's Curious Labyrinth</t>
        </is>
      </c>
      <c r="F25379" s="8" t="inlineStr">
        <is>
          <t>STANDBY</t>
        </is>
      </c>
      <c r="G25379" s="8" t="n">
        <v>5</v>
      </c>
      <c r="H25379" s="8" t="inlineStr">
        <is>
          <t>OPERATING</t>
        </is>
      </c>
    </row>
    <row r="25380">
      <c r="A25380" s="8" t="inlineStr">
        <is>
          <t>2026-08-05</t>
        </is>
      </c>
      <c r="B25380" s="8" t="n">
        <v>15</v>
      </c>
      <c r="C25380" s="8" t="n">
        <v>31</v>
      </c>
      <c r="D25380" s="8" t="inlineStr">
        <is>
          <t>Disneyland Park</t>
        </is>
      </c>
      <c r="E25380" s="8" t="inlineStr">
        <is>
          <t>Blanche-Neige et les Sept Nains®</t>
        </is>
      </c>
      <c r="F25380" s="8" t="inlineStr">
        <is>
          <t>STANDBY</t>
        </is>
      </c>
      <c r="G25380" s="8" t="n">
        <v>15</v>
      </c>
      <c r="H25380" s="8" t="inlineStr">
        <is>
          <t>OPERATING</t>
        </is>
      </c>
    </row>
    <row r="25381">
      <c r="A25381" s="8" t="inlineStr">
        <is>
          <t>2026-08-05</t>
        </is>
      </c>
      <c r="B25381" s="8" t="n">
        <v>15</v>
      </c>
      <c r="C25381" s="8" t="n">
        <v>31</v>
      </c>
      <c r="D25381" s="8" t="inlineStr">
        <is>
          <t>Disneyland Park</t>
        </is>
      </c>
      <c r="E25381" s="8" t="inlineStr">
        <is>
          <t>Casey Jr. – le Petit Train du Cirque</t>
        </is>
      </c>
      <c r="F25381" s="8" t="inlineStr">
        <is>
          <t>STANDBY</t>
        </is>
      </c>
      <c r="G25381" s="8" t="n">
        <v>0</v>
      </c>
      <c r="H25381" s="8" t="inlineStr">
        <is>
          <t>CLOSED</t>
        </is>
      </c>
    </row>
    <row r="25382">
      <c r="A25382" s="8" t="inlineStr">
        <is>
          <t>2026-08-05</t>
        </is>
      </c>
      <c r="B25382" s="8" t="n">
        <v>15</v>
      </c>
      <c r="C25382" s="8" t="n">
        <v>31</v>
      </c>
      <c r="D25382" s="8" t="inlineStr">
        <is>
          <t>Disneyland Park</t>
        </is>
      </c>
      <c r="E25382" s="8" t="inlineStr">
        <is>
          <t>Disneyland Railroad Fantasyland Station</t>
        </is>
      </c>
      <c r="F25382" s="8" t="inlineStr">
        <is>
          <t>STANDBY</t>
        </is>
      </c>
      <c r="G25382" s="8" t="n">
        <v>0</v>
      </c>
      <c r="H25382" s="8" t="inlineStr">
        <is>
          <t>CLOSED</t>
        </is>
      </c>
    </row>
    <row r="25383">
      <c r="A25383" s="8" t="inlineStr">
        <is>
          <t>2026-08-05</t>
        </is>
      </c>
      <c r="B25383" s="8" t="n">
        <v>15</v>
      </c>
      <c r="C25383" s="8" t="n">
        <v>31</v>
      </c>
      <c r="D25383" s="8" t="inlineStr">
        <is>
          <t>Disneyland Park</t>
        </is>
      </c>
      <c r="E25383" s="8" t="inlineStr">
        <is>
          <t>Disneyland Railroad Main Street Station</t>
        </is>
      </c>
      <c r="F25383" s="8" t="inlineStr">
        <is>
          <t>STANDBY</t>
        </is>
      </c>
      <c r="G25383" s="8" t="n">
        <v>20</v>
      </c>
      <c r="H25383" s="8" t="inlineStr">
        <is>
          <t>OPERATING</t>
        </is>
      </c>
    </row>
    <row r="25384">
      <c r="A25384" s="8" t="inlineStr">
        <is>
          <t>2026-08-05</t>
        </is>
      </c>
      <c r="B25384" s="8" t="n">
        <v>15</v>
      </c>
      <c r="C25384" s="8" t="n">
        <v>31</v>
      </c>
      <c r="D25384" s="8" t="inlineStr">
        <is>
          <t>Disneyland Park</t>
        </is>
      </c>
      <c r="E25384" s="8" t="inlineStr">
        <is>
          <t>Dumbo the Flying Elephant</t>
        </is>
      </c>
      <c r="F25384" s="8" t="inlineStr">
        <is>
          <t>STANDBY</t>
        </is>
      </c>
      <c r="G25384" s="8" t="n">
        <v>35</v>
      </c>
      <c r="H25384" s="8" t="inlineStr">
        <is>
          <t>OPERATING</t>
        </is>
      </c>
    </row>
    <row r="25385">
      <c r="A25385" s="8" t="inlineStr">
        <is>
          <t>2026-08-05</t>
        </is>
      </c>
      <c r="B25385" s="8" t="n">
        <v>15</v>
      </c>
      <c r="C25385" s="8" t="n">
        <v>31</v>
      </c>
      <c r="D25385" s="8" t="inlineStr">
        <is>
          <t>Disneyland Park</t>
        </is>
      </c>
      <c r="E25385" s="8" t="inlineStr">
        <is>
          <t>La Tanière du Dragon</t>
        </is>
      </c>
      <c r="F25385" s="8" t="inlineStr">
        <is>
          <t>STANDBY</t>
        </is>
      </c>
      <c r="G25385" s="8" t="n">
        <v>0</v>
      </c>
      <c r="H25385" s="8" t="inlineStr">
        <is>
          <t>OPERATING</t>
        </is>
      </c>
    </row>
    <row r="25386">
      <c r="A25386" s="8" t="inlineStr">
        <is>
          <t>2026-08-05</t>
        </is>
      </c>
      <c r="B25386" s="8" t="n">
        <v>15</v>
      </c>
      <c r="C25386" s="8" t="n">
        <v>31</v>
      </c>
      <c r="D25386" s="8" t="inlineStr">
        <is>
          <t>Disneyland Park</t>
        </is>
      </c>
      <c r="E25386" s="8" t="inlineStr">
        <is>
          <t>Le Carrousel de Lancelot</t>
        </is>
      </c>
      <c r="F25386" s="8" t="inlineStr">
        <is>
          <t>STANDBY</t>
        </is>
      </c>
      <c r="G25386" s="8" t="n">
        <v>15</v>
      </c>
      <c r="H25386" s="8" t="inlineStr">
        <is>
          <t>OPERATING</t>
        </is>
      </c>
    </row>
    <row r="25387">
      <c r="A25387" s="8" t="inlineStr">
        <is>
          <t>2026-08-05</t>
        </is>
      </c>
      <c r="B25387" s="8" t="n">
        <v>15</v>
      </c>
      <c r="C25387" s="8" t="n">
        <v>31</v>
      </c>
      <c r="D25387" s="8" t="inlineStr">
        <is>
          <t>Disneyland Park</t>
        </is>
      </c>
      <c r="E25387" s="8" t="inlineStr">
        <is>
          <t>Le Pays des Contes de Fées, presented by Vittel</t>
        </is>
      </c>
      <c r="F25387" s="8" t="inlineStr">
        <is>
          <t>STANDBY</t>
        </is>
      </c>
      <c r="G25387" s="8" t="n">
        <v>5</v>
      </c>
      <c r="H25387" s="8" t="inlineStr">
        <is>
          <t>OPERATING</t>
        </is>
      </c>
    </row>
    <row r="25388">
      <c r="A25388" s="8" t="inlineStr">
        <is>
          <t>2026-08-05</t>
        </is>
      </c>
      <c r="B25388" s="8" t="n">
        <v>15</v>
      </c>
      <c r="C25388" s="8" t="n">
        <v>31</v>
      </c>
      <c r="D25388" s="8" t="inlineStr">
        <is>
          <t>Disneyland Park</t>
        </is>
      </c>
      <c r="E25388" s="8" t="inlineStr">
        <is>
          <t>Les Voyages de Pinocchio</t>
        </is>
      </c>
      <c r="F25388" s="8" t="inlineStr">
        <is>
          <t>STANDBY</t>
        </is>
      </c>
      <c r="G25388" s="8" t="n">
        <v>20</v>
      </c>
      <c r="H25388" s="8" t="inlineStr">
        <is>
          <t>OPERATING</t>
        </is>
      </c>
    </row>
    <row r="25389">
      <c r="A25389" s="8" t="inlineStr">
        <is>
          <t>2026-08-05</t>
        </is>
      </c>
      <c r="B25389" s="8" t="n">
        <v>15</v>
      </c>
      <c r="C25389" s="8" t="n">
        <v>31</v>
      </c>
      <c r="D25389" s="8" t="inlineStr">
        <is>
          <t>Disneyland Park</t>
        </is>
      </c>
      <c r="E25389" s="8" t="inlineStr">
        <is>
          <t>Mad Hatter's Tea Cups</t>
        </is>
      </c>
      <c r="F25389" s="8" t="inlineStr">
        <is>
          <t>STANDBY</t>
        </is>
      </c>
      <c r="G25389" s="8" t="n">
        <v>10</v>
      </c>
      <c r="H25389" s="8" t="inlineStr">
        <is>
          <t>OPERATING</t>
        </is>
      </c>
    </row>
    <row r="25390">
      <c r="A25390" s="8" t="inlineStr">
        <is>
          <t>2026-08-05</t>
        </is>
      </c>
      <c r="B25390" s="8" t="n">
        <v>15</v>
      </c>
      <c r="C25390" s="8" t="n">
        <v>31</v>
      </c>
      <c r="D25390" s="8" t="inlineStr">
        <is>
          <t>Disneyland Park</t>
        </is>
      </c>
      <c r="E25390" s="8" t="inlineStr">
        <is>
          <t>Meet Mickey Mouse</t>
        </is>
      </c>
      <c r="F25390" s="8" t="inlineStr">
        <is>
          <t>STANDBY</t>
        </is>
      </c>
      <c r="G25390" s="8" t="n">
        <v>0</v>
      </c>
      <c r="H25390" s="8" t="inlineStr">
        <is>
          <t>OPERATING</t>
        </is>
      </c>
    </row>
    <row r="25391">
      <c r="A25391" s="8" t="inlineStr">
        <is>
          <t>2026-08-05</t>
        </is>
      </c>
      <c r="B25391" s="8" t="n">
        <v>15</v>
      </c>
      <c r="C25391" s="8" t="n">
        <v>31</v>
      </c>
      <c r="D25391" s="8" t="inlineStr">
        <is>
          <t>Disneyland Park</t>
        </is>
      </c>
      <c r="E25391" s="8" t="inlineStr">
        <is>
          <t>Peter Pan's Flight</t>
        </is>
      </c>
      <c r="F25391" s="8" t="inlineStr">
        <is>
          <t>STANDBY</t>
        </is>
      </c>
      <c r="G25391" s="8" t="n">
        <v>60</v>
      </c>
      <c r="H25391" s="8" t="inlineStr">
        <is>
          <t>OPERATING</t>
        </is>
      </c>
    </row>
    <row r="25392">
      <c r="A25392" s="8" t="inlineStr">
        <is>
          <t>2026-08-05</t>
        </is>
      </c>
      <c r="B25392" s="8" t="n">
        <v>15</v>
      </c>
      <c r="C25392" s="8" t="n">
        <v>31</v>
      </c>
      <c r="D25392" s="8" t="inlineStr">
        <is>
          <t>Disneyland Park</t>
        </is>
      </c>
      <c r="E25392" s="8" t="inlineStr">
        <is>
          <t>Princess Pavilion</t>
        </is>
      </c>
      <c r="F25392" s="8" t="inlineStr">
        <is>
          <t>STANDBY</t>
        </is>
      </c>
      <c r="G25392" s="8" t="n">
        <v>0</v>
      </c>
      <c r="H25392" s="8" t="inlineStr">
        <is>
          <t>OPERATING</t>
        </is>
      </c>
    </row>
    <row r="25393">
      <c r="A25393" s="8" t="inlineStr">
        <is>
          <t>2026-08-05</t>
        </is>
      </c>
      <c r="B25393" s="8" t="n">
        <v>15</v>
      </c>
      <c r="C25393" s="8" t="n">
        <v>31</v>
      </c>
      <c r="D25393" s="8" t="inlineStr">
        <is>
          <t>Disneyland Park</t>
        </is>
      </c>
      <c r="E25393" s="8" t="inlineStr">
        <is>
          <t>Big Thunder Mountain</t>
        </is>
      </c>
      <c r="F25393" s="8" t="inlineStr">
        <is>
          <t>STANDBY</t>
        </is>
      </c>
      <c r="G25393" s="8" t="n">
        <v>80</v>
      </c>
      <c r="H25393" s="8" t="inlineStr">
        <is>
          <t>OPERATING</t>
        </is>
      </c>
    </row>
    <row r="25394">
      <c r="A25394" s="8" t="inlineStr">
        <is>
          <t>2026-08-05</t>
        </is>
      </c>
      <c r="B25394" s="8" t="n">
        <v>15</v>
      </c>
      <c r="C25394" s="8" t="n">
        <v>31</v>
      </c>
      <c r="D25394" s="8" t="inlineStr">
        <is>
          <t>Disneyland Park</t>
        </is>
      </c>
      <c r="E25394" s="8" t="inlineStr">
        <is>
          <t>Disneyland Railroad Frontierland Depot</t>
        </is>
      </c>
      <c r="F25394" s="8" t="inlineStr">
        <is>
          <t>STANDBY</t>
        </is>
      </c>
      <c r="G25394" s="8" t="n">
        <v>10</v>
      </c>
      <c r="H25394" s="8" t="inlineStr">
        <is>
          <t>OPERATING</t>
        </is>
      </c>
    </row>
    <row r="25395">
      <c r="A25395" s="8" t="inlineStr">
        <is>
          <t>2026-08-05</t>
        </is>
      </c>
      <c r="B25395" s="8" t="n">
        <v>15</v>
      </c>
      <c r="C25395" s="8" t="n">
        <v>31</v>
      </c>
      <c r="D25395" s="8" t="inlineStr">
        <is>
          <t>Disneyland Park</t>
        </is>
      </c>
      <c r="E25395" s="8" t="inlineStr">
        <is>
          <t>Frontierland Playground</t>
        </is>
      </c>
      <c r="F25395" s="8" t="inlineStr">
        <is>
          <t>STANDBY</t>
        </is>
      </c>
      <c r="G25395" s="8" t="n">
        <v>0</v>
      </c>
      <c r="H25395" s="8" t="inlineStr">
        <is>
          <t>OPERATING</t>
        </is>
      </c>
    </row>
    <row r="25396">
      <c r="A25396" s="8" t="inlineStr">
        <is>
          <t>2026-08-05</t>
        </is>
      </c>
      <c r="B25396" s="8" t="n">
        <v>15</v>
      </c>
      <c r="C25396" s="8" t="n">
        <v>31</v>
      </c>
      <c r="D25396" s="8" t="inlineStr">
        <is>
          <t>Disneyland Park</t>
        </is>
      </c>
      <c r="E25396" s="8" t="inlineStr">
        <is>
          <t>Phantom Manor</t>
        </is>
      </c>
      <c r="F25396" s="8" t="inlineStr">
        <is>
          <t>STANDBY</t>
        </is>
      </c>
      <c r="G25396" s="8" t="n">
        <v>0</v>
      </c>
      <c r="H25396" s="8" t="inlineStr">
        <is>
          <t>CLOSED</t>
        </is>
      </c>
    </row>
    <row r="25397">
      <c r="A25397" s="8" t="inlineStr">
        <is>
          <t>2026-08-05</t>
        </is>
      </c>
      <c r="B25397" s="8" t="n">
        <v>15</v>
      </c>
      <c r="C25397" s="8" t="n">
        <v>31</v>
      </c>
      <c r="D25397" s="8" t="inlineStr">
        <is>
          <t>Disneyland Park</t>
        </is>
      </c>
      <c r="E25397" s="8" t="inlineStr">
        <is>
          <t>River Rogue Keelboats</t>
        </is>
      </c>
      <c r="F25397" s="8" t="inlineStr">
        <is>
          <t>STANDBY</t>
        </is>
      </c>
      <c r="G25397" s="8" t="n">
        <v>0</v>
      </c>
      <c r="H25397" s="8" t="inlineStr">
        <is>
          <t>CLOSED</t>
        </is>
      </c>
    </row>
    <row r="25398">
      <c r="A25398" s="8" t="inlineStr">
        <is>
          <t>2026-08-05</t>
        </is>
      </c>
      <c r="B25398" s="8" t="n">
        <v>15</v>
      </c>
      <c r="C25398" s="8" t="n">
        <v>31</v>
      </c>
      <c r="D25398" s="8" t="inlineStr">
        <is>
          <t>Disneyland Park</t>
        </is>
      </c>
      <c r="E25398" s="8" t="inlineStr">
        <is>
          <t>Rustler Roundup Shootin' Gallery</t>
        </is>
      </c>
      <c r="F25398" s="8" t="inlineStr">
        <is>
          <t>STANDBY</t>
        </is>
      </c>
      <c r="G25398" s="8" t="n">
        <v>0</v>
      </c>
      <c r="H25398" s="8" t="inlineStr">
        <is>
          <t>OPERATING</t>
        </is>
      </c>
    </row>
    <row r="25399">
      <c r="A25399" s="8" t="inlineStr">
        <is>
          <t>2026-08-05</t>
        </is>
      </c>
      <c r="B25399" s="8" t="n">
        <v>15</v>
      </c>
      <c r="C25399" s="8" t="n">
        <v>31</v>
      </c>
      <c r="D25399" s="8" t="inlineStr">
        <is>
          <t>Disneyland Park</t>
        </is>
      </c>
      <c r="E25399" s="8" t="inlineStr">
        <is>
          <t>Thunder Mesa Riverboat Landing</t>
        </is>
      </c>
      <c r="F25399" s="8" t="inlineStr">
        <is>
          <t>STANDBY</t>
        </is>
      </c>
      <c r="G25399" s="8" t="n">
        <v>20</v>
      </c>
      <c r="H25399" s="8" t="inlineStr">
        <is>
          <t>OPERATING</t>
        </is>
      </c>
    </row>
    <row r="25400">
      <c r="A25400" s="8" t="inlineStr">
        <is>
          <t>2026-08-05</t>
        </is>
      </c>
      <c r="B25400" s="8" t="n">
        <v>15</v>
      </c>
      <c r="C25400" s="8" t="n">
        <v>31</v>
      </c>
      <c r="D25400" s="8" t="inlineStr">
        <is>
          <t>Disneyland Park</t>
        </is>
      </c>
      <c r="E25400" s="8" t="inlineStr">
        <is>
          <t>Disneyland Railroad Main Street Station</t>
        </is>
      </c>
      <c r="F25400" s="8" t="inlineStr">
        <is>
          <t>STANDBY</t>
        </is>
      </c>
      <c r="G25400" s="8" t="n">
        <v>0</v>
      </c>
      <c r="H25400" s="8" t="inlineStr">
        <is>
          <t>OPERATING</t>
        </is>
      </c>
    </row>
    <row r="25401">
      <c r="A25401" s="8" t="inlineStr">
        <is>
          <t>2026-08-05</t>
        </is>
      </c>
      <c r="B25401" s="8" t="n">
        <v>15</v>
      </c>
      <c r="C25401" s="8" t="n">
        <v>31</v>
      </c>
      <c r="D25401" s="8" t="inlineStr">
        <is>
          <t>Disneyland Park</t>
        </is>
      </c>
      <c r="E25401" s="8" t="inlineStr">
        <is>
          <t>Main Street Vehicles</t>
        </is>
      </c>
      <c r="F25401" s="8" t="inlineStr">
        <is>
          <t>STANDBY</t>
        </is>
      </c>
      <c r="G25401" s="8" t="n">
        <v>0</v>
      </c>
      <c r="H25401" s="8" t="inlineStr">
        <is>
          <t>CLOSED</t>
        </is>
      </c>
    </row>
    <row r="25402">
      <c r="A25402" s="8" t="inlineStr">
        <is>
          <t>2026-08-05</t>
        </is>
      </c>
      <c r="B25402" s="8" t="n">
        <v>15</v>
      </c>
      <c r="C25402" s="8" t="n">
        <v>31</v>
      </c>
      <c r="D25402" s="8" t="inlineStr">
        <is>
          <t>Disney Adventure World</t>
        </is>
      </c>
      <c r="E25402" s="8" t="inlineStr">
        <is>
          <t>Avengers Assemble: Flight Force</t>
        </is>
      </c>
      <c r="F25402" s="8" t="inlineStr">
        <is>
          <t>STANDBY</t>
        </is>
      </c>
      <c r="G25402" s="8" t="n">
        <v>15</v>
      </c>
      <c r="H25402" s="8" t="inlineStr">
        <is>
          <t>OPERATING</t>
        </is>
      </c>
    </row>
    <row r="25403">
      <c r="A25403" s="8" t="inlineStr">
        <is>
          <t>2026-08-05</t>
        </is>
      </c>
      <c r="B25403" s="8" t="n">
        <v>15</v>
      </c>
      <c r="C25403" s="8" t="n">
        <v>31</v>
      </c>
      <c r="D25403" s="8" t="inlineStr">
        <is>
          <t>Disney Adventure World</t>
        </is>
      </c>
      <c r="E25403" s="8" t="inlineStr">
        <is>
          <t>Avengers Assemble: Flight Force Single Rider</t>
        </is>
      </c>
      <c r="F25403" s="8" t="inlineStr">
        <is>
          <t>STANDBY</t>
        </is>
      </c>
      <c r="G25403" s="8" t="n">
        <v>10</v>
      </c>
      <c r="H25403" s="8" t="inlineStr">
        <is>
          <t>OPERATING</t>
        </is>
      </c>
    </row>
    <row r="25404">
      <c r="A25404" s="8" t="inlineStr">
        <is>
          <t>2026-08-05</t>
        </is>
      </c>
      <c r="B25404" s="8" t="n">
        <v>15</v>
      </c>
      <c r="C25404" s="8" t="n">
        <v>31</v>
      </c>
      <c r="D25404" s="8" t="inlineStr">
        <is>
          <t>Disney Adventure World</t>
        </is>
      </c>
      <c r="E25404" s="8" t="inlineStr">
        <is>
          <t>Spider-Man W.E.B. Adventure</t>
        </is>
      </c>
      <c r="F25404" s="8" t="inlineStr">
        <is>
          <t>STANDBY</t>
        </is>
      </c>
      <c r="G25404" s="8" t="n">
        <v>50</v>
      </c>
      <c r="H25404" s="8" t="inlineStr">
        <is>
          <t>OPERATING</t>
        </is>
      </c>
    </row>
    <row r="25405">
      <c r="A25405" s="8" t="inlineStr">
        <is>
          <t>2026-08-05</t>
        </is>
      </c>
      <c r="B25405" s="8" t="n">
        <v>15</v>
      </c>
      <c r="C25405" s="8" t="n">
        <v>31</v>
      </c>
      <c r="D25405" s="8" t="inlineStr">
        <is>
          <t>Disney Adventure World</t>
        </is>
      </c>
      <c r="E25405" s="8" t="inlineStr">
        <is>
          <t>Spider-Man W.E.B. Adventure Single Rider</t>
        </is>
      </c>
      <c r="F25405" s="8" t="inlineStr">
        <is>
          <t>STANDBY</t>
        </is>
      </c>
      <c r="G25405" s="8" t="n">
        <v>20</v>
      </c>
      <c r="H25405" s="8" t="inlineStr">
        <is>
          <t>OPERATING</t>
        </is>
      </c>
    </row>
    <row r="25406">
      <c r="A25406" s="8" t="inlineStr">
        <is>
          <t>2026-08-05</t>
        </is>
      </c>
      <c r="B25406" s="8" t="n">
        <v>15</v>
      </c>
      <c r="C25406" s="8" t="n">
        <v>31</v>
      </c>
      <c r="D25406" s="8" t="inlineStr">
        <is>
          <t>Disney Adventure World</t>
        </is>
      </c>
      <c r="E25406" s="8" t="inlineStr">
        <is>
          <t>The Twilight Zone Tower of Terror</t>
        </is>
      </c>
      <c r="F25406" s="8" t="inlineStr">
        <is>
          <t>STANDBY</t>
        </is>
      </c>
      <c r="G25406" s="8" t="n">
        <v>30</v>
      </c>
      <c r="H25406" s="8" t="inlineStr">
        <is>
          <t>OPERATING</t>
        </is>
      </c>
    </row>
    <row r="25407">
      <c r="A25407" s="8" t="inlineStr">
        <is>
          <t>2026-08-05</t>
        </is>
      </c>
      <c r="B25407" s="8" t="n">
        <v>15</v>
      </c>
      <c r="C25407" s="8" t="n">
        <v>31</v>
      </c>
      <c r="D25407" s="8" t="inlineStr">
        <is>
          <t>Disney Adventure World</t>
        </is>
      </c>
      <c r="E25407" s="8" t="inlineStr">
        <is>
          <t>Cars Quatre Roues Rallye</t>
        </is>
      </c>
      <c r="F25407" s="8" t="inlineStr">
        <is>
          <t>STANDBY</t>
        </is>
      </c>
      <c r="G25407" s="8" t="n">
        <v>20</v>
      </c>
      <c r="H25407" s="8" t="inlineStr">
        <is>
          <t>OPERATING</t>
        </is>
      </c>
    </row>
    <row r="25408">
      <c r="A25408" s="8" t="inlineStr">
        <is>
          <t>2026-08-05</t>
        </is>
      </c>
      <c r="B25408" s="8" t="n">
        <v>15</v>
      </c>
      <c r="C25408" s="8" t="n">
        <v>31</v>
      </c>
      <c r="D25408" s="8" t="inlineStr">
        <is>
          <t>Disney Adventure World</t>
        </is>
      </c>
      <c r="E25408" s="8" t="inlineStr">
        <is>
          <t>Cars ROAD TRIP</t>
        </is>
      </c>
      <c r="F25408" s="8" t="inlineStr">
        <is>
          <t>STANDBY</t>
        </is>
      </c>
      <c r="G25408" s="8" t="n">
        <v>20</v>
      </c>
      <c r="H25408" s="8" t="inlineStr">
        <is>
          <t>OPERATING</t>
        </is>
      </c>
    </row>
    <row r="25409">
      <c r="A25409" s="8" t="inlineStr">
        <is>
          <t>2026-08-05</t>
        </is>
      </c>
      <c r="B25409" s="8" t="n">
        <v>15</v>
      </c>
      <c r="C25409" s="8" t="n">
        <v>31</v>
      </c>
      <c r="D25409" s="8" t="inlineStr">
        <is>
          <t>Disney Adventure World</t>
        </is>
      </c>
      <c r="E25409" s="8" t="inlineStr">
        <is>
          <t>Crush's Coaster</t>
        </is>
      </c>
      <c r="F25409" s="8" t="inlineStr">
        <is>
          <t>STANDBY</t>
        </is>
      </c>
      <c r="G25409" s="8" t="n">
        <v>80</v>
      </c>
      <c r="H25409" s="8" t="inlineStr">
        <is>
          <t>OPERATING</t>
        </is>
      </c>
    </row>
    <row r="25410">
      <c r="A25410" s="8" t="inlineStr">
        <is>
          <t>2026-08-05</t>
        </is>
      </c>
      <c r="B25410" s="8" t="n">
        <v>15</v>
      </c>
      <c r="C25410" s="8" t="n">
        <v>31</v>
      </c>
      <c r="D25410" s="8" t="inlineStr">
        <is>
          <t>Disney Adventure World</t>
        </is>
      </c>
      <c r="E25410" s="8" t="inlineStr">
        <is>
          <t>Crush's Coaster Single Rider</t>
        </is>
      </c>
      <c r="F25410" s="8" t="inlineStr">
        <is>
          <t>STANDBY</t>
        </is>
      </c>
      <c r="G25410" s="8" t="n">
        <v>70</v>
      </c>
      <c r="H25410" s="8" t="inlineStr">
        <is>
          <t>OPERATING</t>
        </is>
      </c>
    </row>
    <row r="25411">
      <c r="A25411" s="8" t="inlineStr">
        <is>
          <t>2026-08-05</t>
        </is>
      </c>
      <c r="B25411" s="8" t="n">
        <v>15</v>
      </c>
      <c r="C25411" s="8" t="n">
        <v>31</v>
      </c>
      <c r="D25411" s="8" t="inlineStr">
        <is>
          <t>Disney Adventure World</t>
        </is>
      </c>
      <c r="E25411" s="8" t="inlineStr">
        <is>
          <t>Les Tapis Volants - Flying Carpets Over Agrabah®</t>
        </is>
      </c>
      <c r="F25411" s="8" t="inlineStr">
        <is>
          <t>STANDBY</t>
        </is>
      </c>
      <c r="G25411" s="8" t="n">
        <v>15</v>
      </c>
      <c r="H25411" s="8" t="inlineStr">
        <is>
          <t>OPERATING</t>
        </is>
      </c>
    </row>
    <row r="25412">
      <c r="A25412" s="8" t="inlineStr">
        <is>
          <t>2026-08-05</t>
        </is>
      </c>
      <c r="B25412" s="8" t="n">
        <v>15</v>
      </c>
      <c r="C25412" s="8" t="n">
        <v>31</v>
      </c>
      <c r="D25412" s="8" t="inlineStr">
        <is>
          <t>Disney Adventure World</t>
        </is>
      </c>
      <c r="E25412" s="8" t="inlineStr">
        <is>
          <t>Ratatouille : L’Aventure Totalement Toquée de Rémy​</t>
        </is>
      </c>
      <c r="F25412" s="8" t="inlineStr">
        <is>
          <t>STANDBY</t>
        </is>
      </c>
      <c r="G25412" s="8" t="n">
        <v>50</v>
      </c>
      <c r="H25412" s="8" t="inlineStr">
        <is>
          <t>OPERATING</t>
        </is>
      </c>
    </row>
    <row r="25413">
      <c r="A25413" s="8" t="inlineStr">
        <is>
          <t>2026-08-05</t>
        </is>
      </c>
      <c r="B25413" s="8" t="n">
        <v>15</v>
      </c>
      <c r="C25413" s="8" t="n">
        <v>31</v>
      </c>
      <c r="D25413" s="8" t="inlineStr">
        <is>
          <t>Disney Adventure World</t>
        </is>
      </c>
      <c r="E25413" s="8" t="inlineStr">
        <is>
          <t>Ratatouille: The Adventure Single Rider</t>
        </is>
      </c>
      <c r="F25413" s="8" t="inlineStr">
        <is>
          <t>STANDBY</t>
        </is>
      </c>
      <c r="G25413" s="8" t="n">
        <v>25</v>
      </c>
      <c r="H25413" s="8" t="inlineStr">
        <is>
          <t>OPERATING</t>
        </is>
      </c>
    </row>
    <row r="25414">
      <c r="A25414" s="8" t="inlineStr">
        <is>
          <t>2026-08-05</t>
        </is>
      </c>
      <c r="B25414" s="8" t="n">
        <v>15</v>
      </c>
      <c r="C25414" s="8" t="n">
        <v>31</v>
      </c>
      <c r="D25414" s="8" t="inlineStr">
        <is>
          <t>Disney Adventure World</t>
        </is>
      </c>
      <c r="E25414" s="8" t="inlineStr">
        <is>
          <t>RC Racer</t>
        </is>
      </c>
      <c r="F25414" s="8" t="inlineStr">
        <is>
          <t>STANDBY</t>
        </is>
      </c>
      <c r="G25414" s="8" t="n">
        <v>50</v>
      </c>
      <c r="H25414" s="8" t="inlineStr">
        <is>
          <t>OPERATING</t>
        </is>
      </c>
    </row>
    <row r="25415">
      <c r="A25415" s="8" t="inlineStr">
        <is>
          <t>2026-08-05</t>
        </is>
      </c>
      <c r="B25415" s="8" t="n">
        <v>15</v>
      </c>
      <c r="C25415" s="8" t="n">
        <v>31</v>
      </c>
      <c r="D25415" s="8" t="inlineStr">
        <is>
          <t>Disney Adventure World</t>
        </is>
      </c>
      <c r="E25415" s="8" t="inlineStr">
        <is>
          <t>RC Racer Single Rider</t>
        </is>
      </c>
      <c r="F25415" s="8" t="inlineStr">
        <is>
          <t>STANDBY</t>
        </is>
      </c>
      <c r="G25415" s="8" t="n">
        <v>40</v>
      </c>
      <c r="H25415" s="8" t="inlineStr">
        <is>
          <t>OPERATING</t>
        </is>
      </c>
    </row>
    <row r="25416">
      <c r="A25416" s="8" t="inlineStr">
        <is>
          <t>2026-08-05</t>
        </is>
      </c>
      <c r="B25416" s="8" t="n">
        <v>15</v>
      </c>
      <c r="C25416" s="8" t="n">
        <v>31</v>
      </c>
      <c r="D25416" s="8" t="inlineStr">
        <is>
          <t>Disney Adventure World</t>
        </is>
      </c>
      <c r="E25416" s="8" t="inlineStr">
        <is>
          <t>Slinky® Dog Zigzag Spin</t>
        </is>
      </c>
      <c r="F25416" s="8" t="inlineStr">
        <is>
          <t>STANDBY</t>
        </is>
      </c>
      <c r="G25416" s="8" t="n">
        <v>15</v>
      </c>
      <c r="H25416" s="8" t="inlineStr">
        <is>
          <t>OPERATING</t>
        </is>
      </c>
    </row>
    <row r="25417">
      <c r="A25417" s="8" t="inlineStr">
        <is>
          <t>2026-08-05</t>
        </is>
      </c>
      <c r="B25417" s="8" t="n">
        <v>15</v>
      </c>
      <c r="C25417" s="8" t="n">
        <v>31</v>
      </c>
      <c r="D25417" s="8" t="inlineStr">
        <is>
          <t>Disney Adventure World</t>
        </is>
      </c>
      <c r="E25417" s="8" t="inlineStr">
        <is>
          <t>Toy Soldiers Parachute Drop</t>
        </is>
      </c>
      <c r="F25417" s="8" t="inlineStr">
        <is>
          <t>STANDBY</t>
        </is>
      </c>
      <c r="G25417" s="8" t="n">
        <v>50</v>
      </c>
      <c r="H25417" s="8" t="inlineStr">
        <is>
          <t>OPERATING</t>
        </is>
      </c>
    </row>
    <row r="25418">
      <c r="A25418" s="8" t="inlineStr">
        <is>
          <t>2026-08-05</t>
        </is>
      </c>
      <c r="B25418" s="8" t="n">
        <v>15</v>
      </c>
      <c r="C25418" s="8" t="n">
        <v>31</v>
      </c>
      <c r="D25418" s="8" t="inlineStr">
        <is>
          <t>Disney Adventure World</t>
        </is>
      </c>
      <c r="E25418" s="8" t="inlineStr">
        <is>
          <t>Toy Soldiers Parachute Drop Single Rider</t>
        </is>
      </c>
      <c r="F25418" s="8" t="inlineStr">
        <is>
          <t>STANDBY</t>
        </is>
      </c>
      <c r="G25418" s="8" t="n">
        <v>20</v>
      </c>
      <c r="H25418" s="8" t="inlineStr">
        <is>
          <t>OPERATING</t>
        </is>
      </c>
    </row>
    <row r="25419">
      <c r="A25419" s="8" t="inlineStr">
        <is>
          <t>2026-08-05</t>
        </is>
      </c>
      <c r="B25419" s="8" t="n">
        <v>15</v>
      </c>
      <c r="C25419" s="8" t="n">
        <v>31</v>
      </c>
      <c r="D25419" s="8" t="inlineStr">
        <is>
          <t>Disney Adventure World</t>
        </is>
      </c>
      <c r="E25419" s="8" t="inlineStr">
        <is>
          <t>Entry to World of Frozen</t>
        </is>
      </c>
      <c r="F25419" s="8" t="inlineStr">
        <is>
          <t>STANDBY</t>
        </is>
      </c>
      <c r="G25419" s="8" t="n">
        <v>0</v>
      </c>
      <c r="H25419" s="8" t="inlineStr">
        <is>
          <t>OPERATING</t>
        </is>
      </c>
    </row>
    <row r="25420">
      <c r="A25420" s="8" t="inlineStr">
        <is>
          <t>2026-08-05</t>
        </is>
      </c>
      <c r="B25420" s="8" t="n">
        <v>15</v>
      </c>
      <c r="C25420" s="8" t="n">
        <v>31</v>
      </c>
      <c r="D25420" s="8" t="inlineStr">
        <is>
          <t>Disney Adventure World</t>
        </is>
      </c>
      <c r="E25420" s="8" t="inlineStr">
        <is>
          <t>Frozen Ever After</t>
        </is>
      </c>
      <c r="F25420" s="8" t="inlineStr">
        <is>
          <t>STANDBY</t>
        </is>
      </c>
      <c r="G25420" s="8" t="n">
        <v>45</v>
      </c>
      <c r="H25420" s="8" t="inlineStr">
        <is>
          <t>OPERATING</t>
        </is>
      </c>
    </row>
    <row r="25421">
      <c r="A25421" s="8" t="inlineStr">
        <is>
          <t>2026-08-05</t>
        </is>
      </c>
      <c r="B25421" s="8" t="n">
        <v>15</v>
      </c>
      <c r="C25421" s="8" t="n">
        <v>31</v>
      </c>
      <c r="D25421" s="8" t="inlineStr">
        <is>
          <t>Disney Adventure World</t>
        </is>
      </c>
      <c r="E25421" s="8" t="inlineStr">
        <is>
          <t>Raiponce Tangled Spin</t>
        </is>
      </c>
      <c r="F25421" s="8" t="inlineStr">
        <is>
          <t>STANDBY</t>
        </is>
      </c>
      <c r="G25421" s="8" t="n">
        <v>10</v>
      </c>
      <c r="H25421" s="8" t="inlineStr">
        <is>
          <t>OPERATING</t>
        </is>
      </c>
    </row>
    <row r="25422">
      <c r="A25422" s="8" t="inlineStr">
        <is>
          <t>2026-08-05</t>
        </is>
      </c>
      <c r="B25422" s="8" t="n">
        <v>15</v>
      </c>
      <c r="C25422" s="8" t="n">
        <v>45</v>
      </c>
      <c r="D25422" s="8" t="inlineStr">
        <is>
          <t>Disneyland Park</t>
        </is>
      </c>
      <c r="E25422" s="8" t="inlineStr">
        <is>
          <t>Adventure Isle</t>
        </is>
      </c>
      <c r="F25422" s="8" t="inlineStr">
        <is>
          <t>STANDBY</t>
        </is>
      </c>
      <c r="G25422" s="8" t="n">
        <v>0</v>
      </c>
      <c r="H25422" s="8" t="inlineStr">
        <is>
          <t>OPERATING</t>
        </is>
      </c>
    </row>
    <row r="25423">
      <c r="A25423" s="8" t="inlineStr">
        <is>
          <t>2026-08-05</t>
        </is>
      </c>
      <c r="B25423" s="8" t="n">
        <v>15</v>
      </c>
      <c r="C25423" s="8" t="n">
        <v>45</v>
      </c>
      <c r="D25423" s="8" t="inlineStr">
        <is>
          <t>Disneyland Park</t>
        </is>
      </c>
      <c r="E25423" s="8" t="inlineStr">
        <is>
          <t>Indiana Jones and the Temple of Peril Single Rider</t>
        </is>
      </c>
      <c r="F25423" s="8" t="inlineStr">
        <is>
          <t>STANDBY</t>
        </is>
      </c>
      <c r="G25423" s="8" t="n">
        <v>10</v>
      </c>
      <c r="H25423" s="8" t="inlineStr">
        <is>
          <t>OPERATING</t>
        </is>
      </c>
    </row>
    <row r="25424">
      <c r="A25424" s="8" t="inlineStr">
        <is>
          <t>2026-08-05</t>
        </is>
      </c>
      <c r="B25424" s="8" t="n">
        <v>15</v>
      </c>
      <c r="C25424" s="8" t="n">
        <v>45</v>
      </c>
      <c r="D25424" s="8" t="inlineStr">
        <is>
          <t>Disneyland Park</t>
        </is>
      </c>
      <c r="E25424" s="8" t="inlineStr">
        <is>
          <t>Indiana Jones™ and the Temple of Peril</t>
        </is>
      </c>
      <c r="F25424" s="8" t="inlineStr">
        <is>
          <t>STANDBY</t>
        </is>
      </c>
      <c r="G25424" s="8" t="n">
        <v>30</v>
      </c>
      <c r="H25424" s="8" t="inlineStr">
        <is>
          <t>OPERATING</t>
        </is>
      </c>
    </row>
    <row r="25425">
      <c r="A25425" s="8" t="inlineStr">
        <is>
          <t>2026-08-05</t>
        </is>
      </c>
      <c r="B25425" s="8" t="n">
        <v>15</v>
      </c>
      <c r="C25425" s="8" t="n">
        <v>45</v>
      </c>
      <c r="D25425" s="8" t="inlineStr">
        <is>
          <t>Disneyland Park</t>
        </is>
      </c>
      <c r="E25425" s="8" t="inlineStr">
        <is>
          <t>La Cabane des Robinson</t>
        </is>
      </c>
      <c r="F25425" s="8" t="inlineStr">
        <is>
          <t>STANDBY</t>
        </is>
      </c>
      <c r="G25425" s="8" t="n">
        <v>5</v>
      </c>
      <c r="H25425" s="8" t="inlineStr">
        <is>
          <t>OPERATING</t>
        </is>
      </c>
    </row>
    <row r="25426">
      <c r="A25426" s="8" t="inlineStr">
        <is>
          <t>2026-08-05</t>
        </is>
      </c>
      <c r="B25426" s="8" t="n">
        <v>15</v>
      </c>
      <c r="C25426" s="8" t="n">
        <v>45</v>
      </c>
      <c r="D25426" s="8" t="inlineStr">
        <is>
          <t>Disneyland Park</t>
        </is>
      </c>
      <c r="E25426" s="8" t="inlineStr">
        <is>
          <t>Le Passage Enchanté d'Aladdin</t>
        </is>
      </c>
      <c r="F25426" s="8" t="inlineStr">
        <is>
          <t>STANDBY</t>
        </is>
      </c>
      <c r="G25426" s="8" t="n">
        <v>0</v>
      </c>
      <c r="H25426" s="8" t="inlineStr">
        <is>
          <t>OPERATING</t>
        </is>
      </c>
    </row>
    <row r="25427">
      <c r="A25427" s="8" t="inlineStr">
        <is>
          <t>2026-08-05</t>
        </is>
      </c>
      <c r="B25427" s="8" t="n">
        <v>15</v>
      </c>
      <c r="C25427" s="8" t="n">
        <v>45</v>
      </c>
      <c r="D25427" s="8" t="inlineStr">
        <is>
          <t>Disneyland Park</t>
        </is>
      </c>
      <c r="E25427" s="8" t="inlineStr">
        <is>
          <t>Pirate Galleon</t>
        </is>
      </c>
      <c r="F25427" s="8" t="inlineStr">
        <is>
          <t>STANDBY</t>
        </is>
      </c>
      <c r="G25427" s="8" t="n">
        <v>0</v>
      </c>
      <c r="H25427" s="8" t="inlineStr">
        <is>
          <t>CLOSED</t>
        </is>
      </c>
    </row>
    <row r="25428">
      <c r="A25428" s="8" t="inlineStr">
        <is>
          <t>2026-08-05</t>
        </is>
      </c>
      <c r="B25428" s="8" t="n">
        <v>15</v>
      </c>
      <c r="C25428" s="8" t="n">
        <v>45</v>
      </c>
      <c r="D25428" s="8" t="inlineStr">
        <is>
          <t>Disneyland Park</t>
        </is>
      </c>
      <c r="E25428" s="8" t="inlineStr">
        <is>
          <t>Pirates of the Caribbean</t>
        </is>
      </c>
      <c r="F25428" s="8" t="inlineStr">
        <is>
          <t>STANDBY</t>
        </is>
      </c>
      <c r="G25428" s="8" t="n">
        <v>30</v>
      </c>
      <c r="H25428" s="8" t="inlineStr">
        <is>
          <t>OPERATING</t>
        </is>
      </c>
    </row>
    <row r="25429">
      <c r="A25429" s="8" t="inlineStr">
        <is>
          <t>2026-08-05</t>
        </is>
      </c>
      <c r="B25429" s="8" t="n">
        <v>15</v>
      </c>
      <c r="C25429" s="8" t="n">
        <v>45</v>
      </c>
      <c r="D25429" s="8" t="inlineStr">
        <is>
          <t>Disneyland Park</t>
        </is>
      </c>
      <c r="E25429" s="8" t="inlineStr">
        <is>
          <t>Pirates' Beach</t>
        </is>
      </c>
      <c r="F25429" s="8" t="inlineStr">
        <is>
          <t>STANDBY</t>
        </is>
      </c>
      <c r="G25429" s="8" t="n">
        <v>0</v>
      </c>
      <c r="H25429" s="8" t="inlineStr">
        <is>
          <t>OPERATING</t>
        </is>
      </c>
    </row>
    <row r="25430">
      <c r="A25430" s="8" t="inlineStr">
        <is>
          <t>2026-08-05</t>
        </is>
      </c>
      <c r="B25430" s="8" t="n">
        <v>15</v>
      </c>
      <c r="C25430" s="8" t="n">
        <v>45</v>
      </c>
      <c r="D25430" s="8" t="inlineStr">
        <is>
          <t>Disneyland Park</t>
        </is>
      </c>
      <c r="E25430" s="8" t="inlineStr">
        <is>
          <t>Autopia, presented by Avis</t>
        </is>
      </c>
      <c r="F25430" s="8" t="inlineStr">
        <is>
          <t>STANDBY</t>
        </is>
      </c>
      <c r="G25430" s="8" t="n">
        <v>30</v>
      </c>
      <c r="H25430" s="8" t="inlineStr">
        <is>
          <t>OPERATING</t>
        </is>
      </c>
    </row>
    <row r="25431">
      <c r="A25431" s="8" t="inlineStr">
        <is>
          <t>2026-08-05</t>
        </is>
      </c>
      <c r="B25431" s="8" t="n">
        <v>15</v>
      </c>
      <c r="C25431" s="8" t="n">
        <v>45</v>
      </c>
      <c r="D25431" s="8" t="inlineStr">
        <is>
          <t>Disneyland Park</t>
        </is>
      </c>
      <c r="E25431" s="8" t="inlineStr">
        <is>
          <t>Buzz Lightyear Laser Blast</t>
        </is>
      </c>
      <c r="F25431" s="8" t="inlineStr">
        <is>
          <t>STANDBY</t>
        </is>
      </c>
      <c r="G25431" s="8" t="n">
        <v>40</v>
      </c>
      <c r="H25431" s="8" t="inlineStr">
        <is>
          <t>OPERATING</t>
        </is>
      </c>
    </row>
    <row r="25432">
      <c r="A25432" s="8" t="inlineStr">
        <is>
          <t>2026-08-05</t>
        </is>
      </c>
      <c r="B25432" s="8" t="n">
        <v>15</v>
      </c>
      <c r="C25432" s="8" t="n">
        <v>45</v>
      </c>
      <c r="D25432" s="8" t="inlineStr">
        <is>
          <t>Disneyland Park</t>
        </is>
      </c>
      <c r="E25432" s="8" t="inlineStr">
        <is>
          <t>Disneyland Railroad Discoveryland Station</t>
        </is>
      </c>
      <c r="F25432" s="8" t="inlineStr">
        <is>
          <t>STANDBY</t>
        </is>
      </c>
      <c r="G25432" s="8" t="n">
        <v>0</v>
      </c>
      <c r="H25432" s="8" t="inlineStr">
        <is>
          <t>CLOSED</t>
        </is>
      </c>
    </row>
    <row r="25433">
      <c r="A25433" s="8" t="inlineStr">
        <is>
          <t>2026-08-05</t>
        </is>
      </c>
      <c r="B25433" s="8" t="n">
        <v>15</v>
      </c>
      <c r="C25433" s="8" t="n">
        <v>45</v>
      </c>
      <c r="D25433" s="8" t="inlineStr">
        <is>
          <t>Disneyland Park</t>
        </is>
      </c>
      <c r="E25433" s="8" t="inlineStr">
        <is>
          <t>Les Mystères du Nautilus</t>
        </is>
      </c>
      <c r="F25433" s="8" t="inlineStr">
        <is>
          <t>STANDBY</t>
        </is>
      </c>
      <c r="G25433" s="8" t="n">
        <v>5</v>
      </c>
      <c r="H25433" s="8" t="inlineStr">
        <is>
          <t>OPERATING</t>
        </is>
      </c>
    </row>
    <row r="25434">
      <c r="A25434" s="8" t="inlineStr">
        <is>
          <t>2026-08-05</t>
        </is>
      </c>
      <c r="B25434" s="8" t="n">
        <v>15</v>
      </c>
      <c r="C25434" s="8" t="n">
        <v>45</v>
      </c>
      <c r="D25434" s="8" t="inlineStr">
        <is>
          <t>Disneyland Park</t>
        </is>
      </c>
      <c r="E25434" s="8" t="inlineStr">
        <is>
          <t>Mickey’s PhilharMagic</t>
        </is>
      </c>
      <c r="F25434" s="8" t="inlineStr">
        <is>
          <t>STANDBY</t>
        </is>
      </c>
      <c r="G25434" s="8" t="n">
        <v>0</v>
      </c>
      <c r="H25434" s="8" t="inlineStr">
        <is>
          <t>OPERATING</t>
        </is>
      </c>
    </row>
    <row r="25435">
      <c r="A25435" s="8" t="inlineStr">
        <is>
          <t>2026-08-05</t>
        </is>
      </c>
      <c r="B25435" s="8" t="n">
        <v>15</v>
      </c>
      <c r="C25435" s="8" t="n">
        <v>45</v>
      </c>
      <c r="D25435" s="8" t="inlineStr">
        <is>
          <t>Disneyland Park</t>
        </is>
      </c>
      <c r="E25435" s="8" t="inlineStr">
        <is>
          <t>Orbitron®</t>
        </is>
      </c>
      <c r="F25435" s="8" t="inlineStr">
        <is>
          <t>STANDBY</t>
        </is>
      </c>
      <c r="G25435" s="8" t="n">
        <v>45</v>
      </c>
      <c r="H25435" s="8" t="inlineStr">
        <is>
          <t>OPERATING</t>
        </is>
      </c>
    </row>
    <row r="25436">
      <c r="A25436" s="8" t="inlineStr">
        <is>
          <t>2026-08-05</t>
        </is>
      </c>
      <c r="B25436" s="8" t="n">
        <v>15</v>
      </c>
      <c r="C25436" s="8" t="n">
        <v>45</v>
      </c>
      <c r="D25436" s="8" t="inlineStr">
        <is>
          <t>Disneyland Park</t>
        </is>
      </c>
      <c r="E25436" s="8" t="inlineStr">
        <is>
          <t>Star Tours: The Adventures Continue*</t>
        </is>
      </c>
      <c r="F25436" s="8" t="inlineStr">
        <is>
          <t>STANDBY</t>
        </is>
      </c>
      <c r="G25436" s="8" t="n">
        <v>15</v>
      </c>
      <c r="H25436" s="8" t="inlineStr">
        <is>
          <t>OPERATING</t>
        </is>
      </c>
    </row>
    <row r="25437">
      <c r="A25437" s="8" t="inlineStr">
        <is>
          <t>2026-08-05</t>
        </is>
      </c>
      <c r="B25437" s="8" t="n">
        <v>15</v>
      </c>
      <c r="C25437" s="8" t="n">
        <v>45</v>
      </c>
      <c r="D25437" s="8" t="inlineStr">
        <is>
          <t>Disneyland Park</t>
        </is>
      </c>
      <c r="E25437" s="8" t="inlineStr">
        <is>
          <t>Star Wars Hyperspace Mountain</t>
        </is>
      </c>
      <c r="F25437" s="8" t="inlineStr">
        <is>
          <t>STANDBY</t>
        </is>
      </c>
      <c r="G25437" s="8" t="n">
        <v>75</v>
      </c>
      <c r="H25437" s="8" t="inlineStr">
        <is>
          <t>OPERATING</t>
        </is>
      </c>
    </row>
    <row r="25438">
      <c r="A25438" s="8" t="inlineStr">
        <is>
          <t>2026-08-05</t>
        </is>
      </c>
      <c r="B25438" s="8" t="n">
        <v>15</v>
      </c>
      <c r="C25438" s="8" t="n">
        <v>45</v>
      </c>
      <c r="D25438" s="8" t="inlineStr">
        <is>
          <t>Disneyland Park</t>
        </is>
      </c>
      <c r="E25438" s="8" t="inlineStr">
        <is>
          <t>Star Wars Hyperspace Mountain Single Rider</t>
        </is>
      </c>
      <c r="F25438" s="8" t="inlineStr">
        <is>
          <t>STANDBY</t>
        </is>
      </c>
      <c r="G25438" s="8" t="n">
        <v>65</v>
      </c>
      <c r="H25438" s="8" t="inlineStr">
        <is>
          <t>OPERATING</t>
        </is>
      </c>
    </row>
    <row r="25439">
      <c r="A25439" s="8" t="inlineStr">
        <is>
          <t>2026-08-05</t>
        </is>
      </c>
      <c r="B25439" s="8" t="n">
        <v>15</v>
      </c>
      <c r="C25439" s="8" t="n">
        <v>45</v>
      </c>
      <c r="D25439" s="8" t="inlineStr">
        <is>
          <t>Disneyland Park</t>
        </is>
      </c>
      <c r="E25439" s="8" t="inlineStr">
        <is>
          <t>Welcome to Starport: A Star Wars Encounter</t>
        </is>
      </c>
      <c r="F25439" s="8" t="inlineStr">
        <is>
          <t>STANDBY</t>
        </is>
      </c>
      <c r="G25439" s="8" t="n">
        <v>20</v>
      </c>
      <c r="H25439" s="8" t="inlineStr">
        <is>
          <t>OPERATING</t>
        </is>
      </c>
    </row>
    <row r="25440">
      <c r="A25440" s="8" t="inlineStr">
        <is>
          <t>2026-08-05</t>
        </is>
      </c>
      <c r="B25440" s="8" t="n">
        <v>15</v>
      </c>
      <c r="C25440" s="8" t="n">
        <v>45</v>
      </c>
      <c r="D25440" s="8" t="inlineStr">
        <is>
          <t>Disneyland Park</t>
        </is>
      </c>
      <c r="E25440" s="8" t="inlineStr">
        <is>
          <t>"it's a small world"</t>
        </is>
      </c>
      <c r="F25440" s="8" t="inlineStr">
        <is>
          <t>STANDBY</t>
        </is>
      </c>
      <c r="G25440" s="8" t="n">
        <v>10</v>
      </c>
      <c r="H25440" s="8" t="inlineStr">
        <is>
          <t>OPERATING</t>
        </is>
      </c>
    </row>
    <row r="25441">
      <c r="A25441" s="8" t="inlineStr">
        <is>
          <t>2026-08-05</t>
        </is>
      </c>
      <c r="B25441" s="8" t="n">
        <v>15</v>
      </c>
      <c r="C25441" s="8" t="n">
        <v>45</v>
      </c>
      <c r="D25441" s="8" t="inlineStr">
        <is>
          <t>Disneyland Park</t>
        </is>
      </c>
      <c r="E25441" s="8" t="inlineStr">
        <is>
          <t>Alice's Curious Labyrinth</t>
        </is>
      </c>
      <c r="F25441" s="8" t="inlineStr">
        <is>
          <t>STANDBY</t>
        </is>
      </c>
      <c r="G25441" s="8" t="n">
        <v>5</v>
      </c>
      <c r="H25441" s="8" t="inlineStr">
        <is>
          <t>OPERATING</t>
        </is>
      </c>
    </row>
    <row r="25442">
      <c r="A25442" s="8" t="inlineStr">
        <is>
          <t>2026-08-05</t>
        </is>
      </c>
      <c r="B25442" s="8" t="n">
        <v>15</v>
      </c>
      <c r="C25442" s="8" t="n">
        <v>45</v>
      </c>
      <c r="D25442" s="8" t="inlineStr">
        <is>
          <t>Disneyland Park</t>
        </is>
      </c>
      <c r="E25442" s="8" t="inlineStr">
        <is>
          <t>Blanche-Neige et les Sept Nains®</t>
        </is>
      </c>
      <c r="F25442" s="8" t="inlineStr">
        <is>
          <t>STANDBY</t>
        </is>
      </c>
      <c r="G25442" s="8" t="n">
        <v>15</v>
      </c>
      <c r="H25442" s="8" t="inlineStr">
        <is>
          <t>OPERATING</t>
        </is>
      </c>
    </row>
    <row r="25443">
      <c r="A25443" s="8" t="inlineStr">
        <is>
          <t>2026-08-05</t>
        </is>
      </c>
      <c r="B25443" s="8" t="n">
        <v>15</v>
      </c>
      <c r="C25443" s="8" t="n">
        <v>45</v>
      </c>
      <c r="D25443" s="8" t="inlineStr">
        <is>
          <t>Disneyland Park</t>
        </is>
      </c>
      <c r="E25443" s="8" t="inlineStr">
        <is>
          <t>Casey Jr. – le Petit Train du Cirque</t>
        </is>
      </c>
      <c r="F25443" s="8" t="inlineStr">
        <is>
          <t>STANDBY</t>
        </is>
      </c>
      <c r="G25443" s="8" t="n">
        <v>0</v>
      </c>
      <c r="H25443" s="8" t="inlineStr">
        <is>
          <t>CLOSED</t>
        </is>
      </c>
    </row>
    <row r="25444">
      <c r="A25444" s="8" t="inlineStr">
        <is>
          <t>2026-08-05</t>
        </is>
      </c>
      <c r="B25444" s="8" t="n">
        <v>15</v>
      </c>
      <c r="C25444" s="8" t="n">
        <v>45</v>
      </c>
      <c r="D25444" s="8" t="inlineStr">
        <is>
          <t>Disneyland Park</t>
        </is>
      </c>
      <c r="E25444" s="8" t="inlineStr">
        <is>
          <t>Disneyland Railroad Fantasyland Station</t>
        </is>
      </c>
      <c r="F25444" s="8" t="inlineStr">
        <is>
          <t>STANDBY</t>
        </is>
      </c>
      <c r="G25444" s="8" t="n">
        <v>0</v>
      </c>
      <c r="H25444" s="8" t="inlineStr">
        <is>
          <t>CLOSED</t>
        </is>
      </c>
    </row>
    <row r="25445">
      <c r="A25445" s="8" t="inlineStr">
        <is>
          <t>2026-08-05</t>
        </is>
      </c>
      <c r="B25445" s="8" t="n">
        <v>15</v>
      </c>
      <c r="C25445" s="8" t="n">
        <v>45</v>
      </c>
      <c r="D25445" s="8" t="inlineStr">
        <is>
          <t>Disneyland Park</t>
        </is>
      </c>
      <c r="E25445" s="8" t="inlineStr">
        <is>
          <t>Disneyland Railroad Main Street Station</t>
        </is>
      </c>
      <c r="F25445" s="8" t="inlineStr">
        <is>
          <t>STANDBY</t>
        </is>
      </c>
      <c r="G25445" s="8" t="n">
        <v>20</v>
      </c>
      <c r="H25445" s="8" t="inlineStr">
        <is>
          <t>OPERATING</t>
        </is>
      </c>
    </row>
    <row r="25446">
      <c r="A25446" s="8" t="inlineStr">
        <is>
          <t>2026-08-05</t>
        </is>
      </c>
      <c r="B25446" s="8" t="n">
        <v>15</v>
      </c>
      <c r="C25446" s="8" t="n">
        <v>45</v>
      </c>
      <c r="D25446" s="8" t="inlineStr">
        <is>
          <t>Disneyland Park</t>
        </is>
      </c>
      <c r="E25446" s="8" t="inlineStr">
        <is>
          <t>Dumbo the Flying Elephant</t>
        </is>
      </c>
      <c r="F25446" s="8" t="inlineStr">
        <is>
          <t>STANDBY</t>
        </is>
      </c>
      <c r="G25446" s="8" t="n">
        <v>35</v>
      </c>
      <c r="H25446" s="8" t="inlineStr">
        <is>
          <t>OPERATING</t>
        </is>
      </c>
    </row>
    <row r="25447">
      <c r="A25447" s="8" t="inlineStr">
        <is>
          <t>2026-08-05</t>
        </is>
      </c>
      <c r="B25447" s="8" t="n">
        <v>15</v>
      </c>
      <c r="C25447" s="8" t="n">
        <v>45</v>
      </c>
      <c r="D25447" s="8" t="inlineStr">
        <is>
          <t>Disneyland Park</t>
        </is>
      </c>
      <c r="E25447" s="8" t="inlineStr">
        <is>
          <t>La Tanière du Dragon</t>
        </is>
      </c>
      <c r="F25447" s="8" t="inlineStr">
        <is>
          <t>STANDBY</t>
        </is>
      </c>
      <c r="G25447" s="8" t="n">
        <v>0</v>
      </c>
      <c r="H25447" s="8" t="inlineStr">
        <is>
          <t>OPERATING</t>
        </is>
      </c>
    </row>
    <row r="25448">
      <c r="A25448" s="8" t="inlineStr">
        <is>
          <t>2026-08-05</t>
        </is>
      </c>
      <c r="B25448" s="8" t="n">
        <v>15</v>
      </c>
      <c r="C25448" s="8" t="n">
        <v>45</v>
      </c>
      <c r="D25448" s="8" t="inlineStr">
        <is>
          <t>Disneyland Park</t>
        </is>
      </c>
      <c r="E25448" s="8" t="inlineStr">
        <is>
          <t>Le Carrousel de Lancelot</t>
        </is>
      </c>
      <c r="F25448" s="8" t="inlineStr">
        <is>
          <t>STANDBY</t>
        </is>
      </c>
      <c r="G25448" s="8" t="n">
        <v>15</v>
      </c>
      <c r="H25448" s="8" t="inlineStr">
        <is>
          <t>OPERATING</t>
        </is>
      </c>
    </row>
    <row r="25449">
      <c r="A25449" s="8" t="inlineStr">
        <is>
          <t>2026-08-05</t>
        </is>
      </c>
      <c r="B25449" s="8" t="n">
        <v>15</v>
      </c>
      <c r="C25449" s="8" t="n">
        <v>45</v>
      </c>
      <c r="D25449" s="8" t="inlineStr">
        <is>
          <t>Disneyland Park</t>
        </is>
      </c>
      <c r="E25449" s="8" t="inlineStr">
        <is>
          <t>Le Pays des Contes de Fées, presented by Vittel</t>
        </is>
      </c>
      <c r="F25449" s="8" t="inlineStr">
        <is>
          <t>STANDBY</t>
        </is>
      </c>
      <c r="G25449" s="8" t="n">
        <v>10</v>
      </c>
      <c r="H25449" s="8" t="inlineStr">
        <is>
          <t>OPERATING</t>
        </is>
      </c>
    </row>
    <row r="25450">
      <c r="A25450" s="8" t="inlineStr">
        <is>
          <t>2026-08-05</t>
        </is>
      </c>
      <c r="B25450" s="8" t="n">
        <v>15</v>
      </c>
      <c r="C25450" s="8" t="n">
        <v>45</v>
      </c>
      <c r="D25450" s="8" t="inlineStr">
        <is>
          <t>Disneyland Park</t>
        </is>
      </c>
      <c r="E25450" s="8" t="inlineStr">
        <is>
          <t>Les Voyages de Pinocchio</t>
        </is>
      </c>
      <c r="F25450" s="8" t="inlineStr">
        <is>
          <t>STANDBY</t>
        </is>
      </c>
      <c r="G25450" s="8" t="n">
        <v>20</v>
      </c>
      <c r="H25450" s="8" t="inlineStr">
        <is>
          <t>OPERATING</t>
        </is>
      </c>
    </row>
    <row r="25451">
      <c r="A25451" s="8" t="inlineStr">
        <is>
          <t>2026-08-05</t>
        </is>
      </c>
      <c r="B25451" s="8" t="n">
        <v>15</v>
      </c>
      <c r="C25451" s="8" t="n">
        <v>45</v>
      </c>
      <c r="D25451" s="8" t="inlineStr">
        <is>
          <t>Disneyland Park</t>
        </is>
      </c>
      <c r="E25451" s="8" t="inlineStr">
        <is>
          <t>Mad Hatter's Tea Cups</t>
        </is>
      </c>
      <c r="F25451" s="8" t="inlineStr">
        <is>
          <t>STANDBY</t>
        </is>
      </c>
      <c r="G25451" s="8" t="n">
        <v>10</v>
      </c>
      <c r="H25451" s="8" t="inlineStr">
        <is>
          <t>OPERATING</t>
        </is>
      </c>
    </row>
    <row r="25452">
      <c r="A25452" s="8" t="inlineStr">
        <is>
          <t>2026-08-05</t>
        </is>
      </c>
      <c r="B25452" s="8" t="n">
        <v>15</v>
      </c>
      <c r="C25452" s="8" t="n">
        <v>45</v>
      </c>
      <c r="D25452" s="8" t="inlineStr">
        <is>
          <t>Disneyland Park</t>
        </is>
      </c>
      <c r="E25452" s="8" t="inlineStr">
        <is>
          <t>Meet Mickey Mouse</t>
        </is>
      </c>
      <c r="F25452" s="8" t="inlineStr">
        <is>
          <t>STANDBY</t>
        </is>
      </c>
      <c r="G25452" s="8" t="n">
        <v>0</v>
      </c>
      <c r="H25452" s="8" t="inlineStr">
        <is>
          <t>OPERATING</t>
        </is>
      </c>
    </row>
    <row r="25453">
      <c r="A25453" s="8" t="inlineStr">
        <is>
          <t>2026-08-05</t>
        </is>
      </c>
      <c r="B25453" s="8" t="n">
        <v>15</v>
      </c>
      <c r="C25453" s="8" t="n">
        <v>45</v>
      </c>
      <c r="D25453" s="8" t="inlineStr">
        <is>
          <t>Disneyland Park</t>
        </is>
      </c>
      <c r="E25453" s="8" t="inlineStr">
        <is>
          <t>Peter Pan's Flight</t>
        </is>
      </c>
      <c r="F25453" s="8" t="inlineStr">
        <is>
          <t>STANDBY</t>
        </is>
      </c>
      <c r="G25453" s="8" t="n">
        <v>50</v>
      </c>
      <c r="H25453" s="8" t="inlineStr">
        <is>
          <t>OPERATING</t>
        </is>
      </c>
    </row>
    <row r="25454">
      <c r="A25454" s="8" t="inlineStr">
        <is>
          <t>2026-08-05</t>
        </is>
      </c>
      <c r="B25454" s="8" t="n">
        <v>15</v>
      </c>
      <c r="C25454" s="8" t="n">
        <v>45</v>
      </c>
      <c r="D25454" s="8" t="inlineStr">
        <is>
          <t>Disneyland Park</t>
        </is>
      </c>
      <c r="E25454" s="8" t="inlineStr">
        <is>
          <t>Princess Pavilion</t>
        </is>
      </c>
      <c r="F25454" s="8" t="inlineStr">
        <is>
          <t>STANDBY</t>
        </is>
      </c>
      <c r="G25454" s="8" t="n">
        <v>0</v>
      </c>
      <c r="H25454" s="8" t="inlineStr">
        <is>
          <t>OPERATING</t>
        </is>
      </c>
    </row>
    <row r="25455">
      <c r="A25455" s="8" t="inlineStr">
        <is>
          <t>2026-08-05</t>
        </is>
      </c>
      <c r="B25455" s="8" t="n">
        <v>15</v>
      </c>
      <c r="C25455" s="8" t="n">
        <v>45</v>
      </c>
      <c r="D25455" s="8" t="inlineStr">
        <is>
          <t>Disneyland Park</t>
        </is>
      </c>
      <c r="E25455" s="8" t="inlineStr">
        <is>
          <t>Big Thunder Mountain</t>
        </is>
      </c>
      <c r="F25455" s="8" t="inlineStr">
        <is>
          <t>STANDBY</t>
        </is>
      </c>
      <c r="G25455" s="8" t="n">
        <v>85</v>
      </c>
      <c r="H25455" s="8" t="inlineStr">
        <is>
          <t>OPERATING</t>
        </is>
      </c>
    </row>
    <row r="25456">
      <c r="A25456" s="8" t="inlineStr">
        <is>
          <t>2026-08-05</t>
        </is>
      </c>
      <c r="B25456" s="8" t="n">
        <v>15</v>
      </c>
      <c r="C25456" s="8" t="n">
        <v>45</v>
      </c>
      <c r="D25456" s="8" t="inlineStr">
        <is>
          <t>Disneyland Park</t>
        </is>
      </c>
      <c r="E25456" s="8" t="inlineStr">
        <is>
          <t>Disneyland Railroad Frontierland Depot</t>
        </is>
      </c>
      <c r="F25456" s="8" t="inlineStr">
        <is>
          <t>STANDBY</t>
        </is>
      </c>
      <c r="G25456" s="8" t="n">
        <v>20</v>
      </c>
      <c r="H25456" s="8" t="inlineStr">
        <is>
          <t>OPERATING</t>
        </is>
      </c>
    </row>
    <row r="25457">
      <c r="A25457" s="8" t="inlineStr">
        <is>
          <t>2026-08-05</t>
        </is>
      </c>
      <c r="B25457" s="8" t="n">
        <v>15</v>
      </c>
      <c r="C25457" s="8" t="n">
        <v>45</v>
      </c>
      <c r="D25457" s="8" t="inlineStr">
        <is>
          <t>Disneyland Park</t>
        </is>
      </c>
      <c r="E25457" s="8" t="inlineStr">
        <is>
          <t>Frontierland Playground</t>
        </is>
      </c>
      <c r="F25457" s="8" t="inlineStr">
        <is>
          <t>STANDBY</t>
        </is>
      </c>
      <c r="G25457" s="8" t="n">
        <v>0</v>
      </c>
      <c r="H25457" s="8" t="inlineStr">
        <is>
          <t>OPERATING</t>
        </is>
      </c>
    </row>
    <row r="25458">
      <c r="A25458" s="8" t="inlineStr">
        <is>
          <t>2026-08-05</t>
        </is>
      </c>
      <c r="B25458" s="8" t="n">
        <v>15</v>
      </c>
      <c r="C25458" s="8" t="n">
        <v>45</v>
      </c>
      <c r="D25458" s="8" t="inlineStr">
        <is>
          <t>Disneyland Park</t>
        </is>
      </c>
      <c r="E25458" s="8" t="inlineStr">
        <is>
          <t>Phantom Manor</t>
        </is>
      </c>
      <c r="F25458" s="8" t="inlineStr">
        <is>
          <t>STANDBY</t>
        </is>
      </c>
      <c r="G25458" s="8" t="n">
        <v>30</v>
      </c>
      <c r="H25458" s="8" t="inlineStr">
        <is>
          <t>OPERATING</t>
        </is>
      </c>
    </row>
    <row r="25459">
      <c r="A25459" s="8" t="inlineStr">
        <is>
          <t>2026-08-05</t>
        </is>
      </c>
      <c r="B25459" s="8" t="n">
        <v>15</v>
      </c>
      <c r="C25459" s="8" t="n">
        <v>45</v>
      </c>
      <c r="D25459" s="8" t="inlineStr">
        <is>
          <t>Disneyland Park</t>
        </is>
      </c>
      <c r="E25459" s="8" t="inlineStr">
        <is>
          <t>River Rogue Keelboats</t>
        </is>
      </c>
      <c r="F25459" s="8" t="inlineStr">
        <is>
          <t>STANDBY</t>
        </is>
      </c>
      <c r="G25459" s="8" t="n">
        <v>0</v>
      </c>
      <c r="H25459" s="8" t="inlineStr">
        <is>
          <t>CLOSED</t>
        </is>
      </c>
    </row>
    <row r="25460">
      <c r="A25460" s="8" t="inlineStr">
        <is>
          <t>2026-08-05</t>
        </is>
      </c>
      <c r="B25460" s="8" t="n">
        <v>15</v>
      </c>
      <c r="C25460" s="8" t="n">
        <v>45</v>
      </c>
      <c r="D25460" s="8" t="inlineStr">
        <is>
          <t>Disneyland Park</t>
        </is>
      </c>
      <c r="E25460" s="8" t="inlineStr">
        <is>
          <t>Rustler Roundup Shootin' Gallery</t>
        </is>
      </c>
      <c r="F25460" s="8" t="inlineStr">
        <is>
          <t>STANDBY</t>
        </is>
      </c>
      <c r="G25460" s="8" t="n">
        <v>0</v>
      </c>
      <c r="H25460" s="8" t="inlineStr">
        <is>
          <t>OPERATING</t>
        </is>
      </c>
    </row>
    <row r="25461">
      <c r="A25461" s="8" t="inlineStr">
        <is>
          <t>2026-08-05</t>
        </is>
      </c>
      <c r="B25461" s="8" t="n">
        <v>15</v>
      </c>
      <c r="C25461" s="8" t="n">
        <v>45</v>
      </c>
      <c r="D25461" s="8" t="inlineStr">
        <is>
          <t>Disneyland Park</t>
        </is>
      </c>
      <c r="E25461" s="8" t="inlineStr">
        <is>
          <t>Thunder Mesa Riverboat Landing</t>
        </is>
      </c>
      <c r="F25461" s="8" t="inlineStr">
        <is>
          <t>STANDBY</t>
        </is>
      </c>
      <c r="G25461" s="8" t="n">
        <v>20</v>
      </c>
      <c r="H25461" s="8" t="inlineStr">
        <is>
          <t>OPERATING</t>
        </is>
      </c>
    </row>
    <row r="25462">
      <c r="A25462" s="8" t="inlineStr">
        <is>
          <t>2026-08-05</t>
        </is>
      </c>
      <c r="B25462" s="8" t="n">
        <v>15</v>
      </c>
      <c r="C25462" s="8" t="n">
        <v>45</v>
      </c>
      <c r="D25462" s="8" t="inlineStr">
        <is>
          <t>Disneyland Park</t>
        </is>
      </c>
      <c r="E25462" s="8" t="inlineStr">
        <is>
          <t>Disneyland Railroad Main Street Station</t>
        </is>
      </c>
      <c r="F25462" s="8" t="inlineStr">
        <is>
          <t>STANDBY</t>
        </is>
      </c>
      <c r="G25462" s="8" t="n">
        <v>0</v>
      </c>
      <c r="H25462" s="8" t="inlineStr">
        <is>
          <t>OPERATING</t>
        </is>
      </c>
    </row>
    <row r="25463">
      <c r="A25463" s="8" t="inlineStr">
        <is>
          <t>2026-08-05</t>
        </is>
      </c>
      <c r="B25463" s="8" t="n">
        <v>15</v>
      </c>
      <c r="C25463" s="8" t="n">
        <v>45</v>
      </c>
      <c r="D25463" s="8" t="inlineStr">
        <is>
          <t>Disneyland Park</t>
        </is>
      </c>
      <c r="E25463" s="8" t="inlineStr">
        <is>
          <t>Main Street Vehicles</t>
        </is>
      </c>
      <c r="F25463" s="8" t="inlineStr">
        <is>
          <t>STANDBY</t>
        </is>
      </c>
      <c r="G25463" s="8" t="n">
        <v>0</v>
      </c>
      <c r="H25463" s="8" t="inlineStr">
        <is>
          <t>CLOSED</t>
        </is>
      </c>
    </row>
    <row r="25464">
      <c r="A25464" s="8" t="inlineStr">
        <is>
          <t>2026-08-05</t>
        </is>
      </c>
      <c r="B25464" s="8" t="n">
        <v>15</v>
      </c>
      <c r="C25464" s="8" t="n">
        <v>45</v>
      </c>
      <c r="D25464" s="8" t="inlineStr">
        <is>
          <t>Disney Adventure World</t>
        </is>
      </c>
      <c r="E25464" s="8" t="inlineStr">
        <is>
          <t>Avengers Assemble: Flight Force</t>
        </is>
      </c>
      <c r="F25464" s="8" t="inlineStr">
        <is>
          <t>STANDBY</t>
        </is>
      </c>
      <c r="G25464" s="8" t="n">
        <v>15</v>
      </c>
      <c r="H25464" s="8" t="inlineStr">
        <is>
          <t>OPERATING</t>
        </is>
      </c>
    </row>
    <row r="25465">
      <c r="A25465" s="8" t="inlineStr">
        <is>
          <t>2026-08-05</t>
        </is>
      </c>
      <c r="B25465" s="8" t="n">
        <v>15</v>
      </c>
      <c r="C25465" s="8" t="n">
        <v>45</v>
      </c>
      <c r="D25465" s="8" t="inlineStr">
        <is>
          <t>Disney Adventure World</t>
        </is>
      </c>
      <c r="E25465" s="8" t="inlineStr">
        <is>
          <t>Avengers Assemble: Flight Force Single Rider</t>
        </is>
      </c>
      <c r="F25465" s="8" t="inlineStr">
        <is>
          <t>STANDBY</t>
        </is>
      </c>
      <c r="G25465" s="8" t="n">
        <v>10</v>
      </c>
      <c r="H25465" s="8" t="inlineStr">
        <is>
          <t>OPERATING</t>
        </is>
      </c>
    </row>
    <row r="25466">
      <c r="A25466" s="8" t="inlineStr">
        <is>
          <t>2026-08-05</t>
        </is>
      </c>
      <c r="B25466" s="8" t="n">
        <v>15</v>
      </c>
      <c r="C25466" s="8" t="n">
        <v>45</v>
      </c>
      <c r="D25466" s="8" t="inlineStr">
        <is>
          <t>Disney Adventure World</t>
        </is>
      </c>
      <c r="E25466" s="8" t="inlineStr">
        <is>
          <t>Spider-Man W.E.B. Adventure</t>
        </is>
      </c>
      <c r="F25466" s="8" t="inlineStr">
        <is>
          <t>STANDBY</t>
        </is>
      </c>
      <c r="G25466" s="8" t="n">
        <v>55</v>
      </c>
      <c r="H25466" s="8" t="inlineStr">
        <is>
          <t>OPERATING</t>
        </is>
      </c>
    </row>
    <row r="25467">
      <c r="A25467" s="8" t="inlineStr">
        <is>
          <t>2026-08-05</t>
        </is>
      </c>
      <c r="B25467" s="8" t="n">
        <v>15</v>
      </c>
      <c r="C25467" s="8" t="n">
        <v>45</v>
      </c>
      <c r="D25467" s="8" t="inlineStr">
        <is>
          <t>Disney Adventure World</t>
        </is>
      </c>
      <c r="E25467" s="8" t="inlineStr">
        <is>
          <t>Spider-Man W.E.B. Adventure Single Rider</t>
        </is>
      </c>
      <c r="F25467" s="8" t="inlineStr">
        <is>
          <t>STANDBY</t>
        </is>
      </c>
      <c r="G25467" s="8" t="n">
        <v>20</v>
      </c>
      <c r="H25467" s="8" t="inlineStr">
        <is>
          <t>OPERATING</t>
        </is>
      </c>
    </row>
    <row r="25468">
      <c r="A25468" s="8" t="inlineStr">
        <is>
          <t>2026-08-05</t>
        </is>
      </c>
      <c r="B25468" s="8" t="n">
        <v>15</v>
      </c>
      <c r="C25468" s="8" t="n">
        <v>45</v>
      </c>
      <c r="D25468" s="8" t="inlineStr">
        <is>
          <t>Disney Adventure World</t>
        </is>
      </c>
      <c r="E25468" s="8" t="inlineStr">
        <is>
          <t>The Twilight Zone Tower of Terror</t>
        </is>
      </c>
      <c r="F25468" s="8" t="inlineStr">
        <is>
          <t>STANDBY</t>
        </is>
      </c>
      <c r="G25468" s="8" t="n">
        <v>25</v>
      </c>
      <c r="H25468" s="8" t="inlineStr">
        <is>
          <t>OPERATING</t>
        </is>
      </c>
    </row>
    <row r="25469">
      <c r="A25469" s="8" t="inlineStr">
        <is>
          <t>2026-08-05</t>
        </is>
      </c>
      <c r="B25469" s="8" t="n">
        <v>15</v>
      </c>
      <c r="C25469" s="8" t="n">
        <v>45</v>
      </c>
      <c r="D25469" s="8" t="inlineStr">
        <is>
          <t>Disney Adventure World</t>
        </is>
      </c>
      <c r="E25469" s="8" t="inlineStr">
        <is>
          <t>Cars Quatre Roues Rallye</t>
        </is>
      </c>
      <c r="F25469" s="8" t="inlineStr">
        <is>
          <t>STANDBY</t>
        </is>
      </c>
      <c r="G25469" s="8" t="n">
        <v>20</v>
      </c>
      <c r="H25469" s="8" t="inlineStr">
        <is>
          <t>OPERATING</t>
        </is>
      </c>
    </row>
    <row r="25470">
      <c r="A25470" s="8" t="inlineStr">
        <is>
          <t>2026-08-05</t>
        </is>
      </c>
      <c r="B25470" s="8" t="n">
        <v>15</v>
      </c>
      <c r="C25470" s="8" t="n">
        <v>45</v>
      </c>
      <c r="D25470" s="8" t="inlineStr">
        <is>
          <t>Disney Adventure World</t>
        </is>
      </c>
      <c r="E25470" s="8" t="inlineStr">
        <is>
          <t>Cars ROAD TRIP</t>
        </is>
      </c>
      <c r="F25470" s="8" t="inlineStr">
        <is>
          <t>STANDBY</t>
        </is>
      </c>
      <c r="G25470" s="8" t="n">
        <v>20</v>
      </c>
      <c r="H25470" s="8" t="inlineStr">
        <is>
          <t>OPERATING</t>
        </is>
      </c>
    </row>
    <row r="25471">
      <c r="A25471" s="8" t="inlineStr">
        <is>
          <t>2026-08-05</t>
        </is>
      </c>
      <c r="B25471" s="8" t="n">
        <v>15</v>
      </c>
      <c r="C25471" s="8" t="n">
        <v>45</v>
      </c>
      <c r="D25471" s="8" t="inlineStr">
        <is>
          <t>Disney Adventure World</t>
        </is>
      </c>
      <c r="E25471" s="8" t="inlineStr">
        <is>
          <t>Crush's Coaster</t>
        </is>
      </c>
      <c r="F25471" s="8" t="inlineStr">
        <is>
          <t>STANDBY</t>
        </is>
      </c>
      <c r="G25471" s="8" t="n">
        <v>80</v>
      </c>
      <c r="H25471" s="8" t="inlineStr">
        <is>
          <t>OPERATING</t>
        </is>
      </c>
    </row>
    <row r="25472">
      <c r="A25472" s="8" t="inlineStr">
        <is>
          <t>2026-08-05</t>
        </is>
      </c>
      <c r="B25472" s="8" t="n">
        <v>15</v>
      </c>
      <c r="C25472" s="8" t="n">
        <v>45</v>
      </c>
      <c r="D25472" s="8" t="inlineStr">
        <is>
          <t>Disney Adventure World</t>
        </is>
      </c>
      <c r="E25472" s="8" t="inlineStr">
        <is>
          <t>Crush's Coaster Single Rider</t>
        </is>
      </c>
      <c r="F25472" s="8" t="inlineStr">
        <is>
          <t>STANDBY</t>
        </is>
      </c>
      <c r="G25472" s="8" t="n">
        <v>45</v>
      </c>
      <c r="H25472" s="8" t="inlineStr">
        <is>
          <t>OPERATING</t>
        </is>
      </c>
    </row>
    <row r="25473">
      <c r="A25473" s="8" t="inlineStr">
        <is>
          <t>2026-08-05</t>
        </is>
      </c>
      <c r="B25473" s="8" t="n">
        <v>15</v>
      </c>
      <c r="C25473" s="8" t="n">
        <v>45</v>
      </c>
      <c r="D25473" s="8" t="inlineStr">
        <is>
          <t>Disney Adventure World</t>
        </is>
      </c>
      <c r="E25473" s="8" t="inlineStr">
        <is>
          <t>Les Tapis Volants - Flying Carpets Over Agrabah®</t>
        </is>
      </c>
      <c r="F25473" s="8" t="inlineStr">
        <is>
          <t>STANDBY</t>
        </is>
      </c>
      <c r="G25473" s="8" t="n">
        <v>15</v>
      </c>
      <c r="H25473" s="8" t="inlineStr">
        <is>
          <t>OPERATING</t>
        </is>
      </c>
    </row>
    <row r="25474">
      <c r="A25474" s="8" t="inlineStr">
        <is>
          <t>2026-08-05</t>
        </is>
      </c>
      <c r="B25474" s="8" t="n">
        <v>15</v>
      </c>
      <c r="C25474" s="8" t="n">
        <v>45</v>
      </c>
      <c r="D25474" s="8" t="inlineStr">
        <is>
          <t>Disney Adventure World</t>
        </is>
      </c>
      <c r="E25474" s="8" t="inlineStr">
        <is>
          <t>Ratatouille : L’Aventure Totalement Toquée de Rémy​</t>
        </is>
      </c>
      <c r="F25474" s="8" t="inlineStr">
        <is>
          <t>STANDBY</t>
        </is>
      </c>
      <c r="G25474" s="8" t="n">
        <v>60</v>
      </c>
      <c r="H25474" s="8" t="inlineStr">
        <is>
          <t>OPERATING</t>
        </is>
      </c>
    </row>
    <row r="25475">
      <c r="A25475" s="8" t="inlineStr">
        <is>
          <t>2026-08-05</t>
        </is>
      </c>
      <c r="B25475" s="8" t="n">
        <v>15</v>
      </c>
      <c r="C25475" s="8" t="n">
        <v>45</v>
      </c>
      <c r="D25475" s="8" t="inlineStr">
        <is>
          <t>Disney Adventure World</t>
        </is>
      </c>
      <c r="E25475" s="8" t="inlineStr">
        <is>
          <t>Ratatouille: The Adventure Single Rider</t>
        </is>
      </c>
      <c r="F25475" s="8" t="inlineStr">
        <is>
          <t>STANDBY</t>
        </is>
      </c>
      <c r="G25475" s="8" t="n">
        <v>30</v>
      </c>
      <c r="H25475" s="8" t="inlineStr">
        <is>
          <t>OPERATING</t>
        </is>
      </c>
    </row>
    <row r="25476">
      <c r="A25476" s="8" t="inlineStr">
        <is>
          <t>2026-08-05</t>
        </is>
      </c>
      <c r="B25476" s="8" t="n">
        <v>15</v>
      </c>
      <c r="C25476" s="8" t="n">
        <v>45</v>
      </c>
      <c r="D25476" s="8" t="inlineStr">
        <is>
          <t>Disney Adventure World</t>
        </is>
      </c>
      <c r="E25476" s="8" t="inlineStr">
        <is>
          <t>RC Racer</t>
        </is>
      </c>
      <c r="F25476" s="8" t="inlineStr">
        <is>
          <t>STANDBY</t>
        </is>
      </c>
      <c r="G25476" s="8" t="n">
        <v>50</v>
      </c>
      <c r="H25476" s="8" t="inlineStr">
        <is>
          <t>OPERATING</t>
        </is>
      </c>
    </row>
    <row r="25477">
      <c r="A25477" s="8" t="inlineStr">
        <is>
          <t>2026-08-05</t>
        </is>
      </c>
      <c r="B25477" s="8" t="n">
        <v>15</v>
      </c>
      <c r="C25477" s="8" t="n">
        <v>45</v>
      </c>
      <c r="D25477" s="8" t="inlineStr">
        <is>
          <t>Disney Adventure World</t>
        </is>
      </c>
      <c r="E25477" s="8" t="inlineStr">
        <is>
          <t>RC Racer Single Rider</t>
        </is>
      </c>
      <c r="F25477" s="8" t="inlineStr">
        <is>
          <t>STANDBY</t>
        </is>
      </c>
      <c r="G25477" s="8" t="n">
        <v>45</v>
      </c>
      <c r="H25477" s="8" t="inlineStr">
        <is>
          <t>OPERATING</t>
        </is>
      </c>
    </row>
    <row r="25478">
      <c r="A25478" s="8" t="inlineStr">
        <is>
          <t>2026-08-05</t>
        </is>
      </c>
      <c r="B25478" s="8" t="n">
        <v>15</v>
      </c>
      <c r="C25478" s="8" t="n">
        <v>45</v>
      </c>
      <c r="D25478" s="8" t="inlineStr">
        <is>
          <t>Disney Adventure World</t>
        </is>
      </c>
      <c r="E25478" s="8" t="inlineStr">
        <is>
          <t>Slinky® Dog Zigzag Spin</t>
        </is>
      </c>
      <c r="F25478" s="8" t="inlineStr">
        <is>
          <t>STANDBY</t>
        </is>
      </c>
      <c r="G25478" s="8" t="n">
        <v>15</v>
      </c>
      <c r="H25478" s="8" t="inlineStr">
        <is>
          <t>OPERATING</t>
        </is>
      </c>
    </row>
    <row r="25479">
      <c r="A25479" s="8" t="inlineStr">
        <is>
          <t>2026-08-05</t>
        </is>
      </c>
      <c r="B25479" s="8" t="n">
        <v>15</v>
      </c>
      <c r="C25479" s="8" t="n">
        <v>45</v>
      </c>
      <c r="D25479" s="8" t="inlineStr">
        <is>
          <t>Disney Adventure World</t>
        </is>
      </c>
      <c r="E25479" s="8" t="inlineStr">
        <is>
          <t>Toy Soldiers Parachute Drop</t>
        </is>
      </c>
      <c r="F25479" s="8" t="inlineStr">
        <is>
          <t>STANDBY</t>
        </is>
      </c>
      <c r="G25479" s="8" t="n">
        <v>50</v>
      </c>
      <c r="H25479" s="8" t="inlineStr">
        <is>
          <t>OPERATING</t>
        </is>
      </c>
    </row>
    <row r="25480">
      <c r="A25480" s="8" t="inlineStr">
        <is>
          <t>2026-08-05</t>
        </is>
      </c>
      <c r="B25480" s="8" t="n">
        <v>15</v>
      </c>
      <c r="C25480" s="8" t="n">
        <v>45</v>
      </c>
      <c r="D25480" s="8" t="inlineStr">
        <is>
          <t>Disney Adventure World</t>
        </is>
      </c>
      <c r="E25480" s="8" t="inlineStr">
        <is>
          <t>Toy Soldiers Parachute Drop Single Rider</t>
        </is>
      </c>
      <c r="F25480" s="8" t="inlineStr">
        <is>
          <t>STANDBY</t>
        </is>
      </c>
      <c r="G25480" s="8" t="n">
        <v>20</v>
      </c>
      <c r="H25480" s="8" t="inlineStr">
        <is>
          <t>OPERATING</t>
        </is>
      </c>
    </row>
    <row r="25481">
      <c r="A25481" s="8" t="inlineStr">
        <is>
          <t>2026-08-05</t>
        </is>
      </c>
      <c r="B25481" s="8" t="n">
        <v>15</v>
      </c>
      <c r="C25481" s="8" t="n">
        <v>45</v>
      </c>
      <c r="D25481" s="8" t="inlineStr">
        <is>
          <t>Disney Adventure World</t>
        </is>
      </c>
      <c r="E25481" s="8" t="inlineStr">
        <is>
          <t>Entry to World of Frozen</t>
        </is>
      </c>
      <c r="F25481" s="8" t="inlineStr">
        <is>
          <t>STANDBY</t>
        </is>
      </c>
      <c r="G25481" s="8" t="n">
        <v>0</v>
      </c>
      <c r="H25481" s="8" t="inlineStr">
        <is>
          <t>OPERATING</t>
        </is>
      </c>
    </row>
    <row r="25482">
      <c r="A25482" s="8" t="inlineStr">
        <is>
          <t>2026-08-05</t>
        </is>
      </c>
      <c r="B25482" s="8" t="n">
        <v>15</v>
      </c>
      <c r="C25482" s="8" t="n">
        <v>45</v>
      </c>
      <c r="D25482" s="8" t="inlineStr">
        <is>
          <t>Disney Adventure World</t>
        </is>
      </c>
      <c r="E25482" s="8" t="inlineStr">
        <is>
          <t>Frozen Ever After</t>
        </is>
      </c>
      <c r="F25482" s="8" t="inlineStr">
        <is>
          <t>STANDBY</t>
        </is>
      </c>
      <c r="G25482" s="8" t="n">
        <v>55</v>
      </c>
      <c r="H25482" s="8" t="inlineStr">
        <is>
          <t>OPERATING</t>
        </is>
      </c>
    </row>
    <row r="25483">
      <c r="A25483" s="8" t="inlineStr">
        <is>
          <t>2026-08-05</t>
        </is>
      </c>
      <c r="B25483" s="8" t="n">
        <v>15</v>
      </c>
      <c r="C25483" s="8" t="n">
        <v>45</v>
      </c>
      <c r="D25483" s="8" t="inlineStr">
        <is>
          <t>Disney Adventure World</t>
        </is>
      </c>
      <c r="E25483" s="8" t="inlineStr">
        <is>
          <t>Raiponce Tangled Spin</t>
        </is>
      </c>
      <c r="F25483" s="8" t="inlineStr">
        <is>
          <t>STANDBY</t>
        </is>
      </c>
      <c r="G25483" s="8" t="n">
        <v>10</v>
      </c>
      <c r="H25483" s="8" t="inlineStr">
        <is>
          <t>OPERATING</t>
        </is>
      </c>
    </row>
    <row r="25484">
      <c r="A25484" s="8" t="inlineStr">
        <is>
          <t>2026-08-05</t>
        </is>
      </c>
      <c r="B25484" s="8" t="n">
        <v>16</v>
      </c>
      <c r="C25484" s="8" t="n">
        <v>1</v>
      </c>
      <c r="D25484" s="8" t="inlineStr">
        <is>
          <t>Disneyland Park</t>
        </is>
      </c>
      <c r="E25484" s="8" t="inlineStr">
        <is>
          <t>Adventure Isle</t>
        </is>
      </c>
      <c r="F25484" s="8" t="inlineStr">
        <is>
          <t>STANDBY</t>
        </is>
      </c>
      <c r="G25484" s="8" t="n">
        <v>0</v>
      </c>
      <c r="H25484" s="8" t="inlineStr">
        <is>
          <t>OPERATING</t>
        </is>
      </c>
    </row>
    <row r="25485">
      <c r="A25485" s="8" t="inlineStr">
        <is>
          <t>2026-08-05</t>
        </is>
      </c>
      <c r="B25485" s="8" t="n">
        <v>16</v>
      </c>
      <c r="C25485" s="8" t="n">
        <v>1</v>
      </c>
      <c r="D25485" s="8" t="inlineStr">
        <is>
          <t>Disneyland Park</t>
        </is>
      </c>
      <c r="E25485" s="8" t="inlineStr">
        <is>
          <t>Indiana Jones and the Temple of Peril Single Rider</t>
        </is>
      </c>
      <c r="F25485" s="8" t="inlineStr">
        <is>
          <t>STANDBY</t>
        </is>
      </c>
      <c r="G25485" s="8" t="n">
        <v>20</v>
      </c>
      <c r="H25485" s="8" t="inlineStr">
        <is>
          <t>OPERATING</t>
        </is>
      </c>
    </row>
    <row r="25486">
      <c r="A25486" s="8" t="inlineStr">
        <is>
          <t>2026-08-05</t>
        </is>
      </c>
      <c r="B25486" s="8" t="n">
        <v>16</v>
      </c>
      <c r="C25486" s="8" t="n">
        <v>1</v>
      </c>
      <c r="D25486" s="8" t="inlineStr">
        <is>
          <t>Disneyland Park</t>
        </is>
      </c>
      <c r="E25486" s="8" t="inlineStr">
        <is>
          <t>Indiana Jones™ and the Temple of Peril</t>
        </is>
      </c>
      <c r="F25486" s="8" t="inlineStr">
        <is>
          <t>STANDBY</t>
        </is>
      </c>
      <c r="G25486" s="8" t="n">
        <v>30</v>
      </c>
      <c r="H25486" s="8" t="inlineStr">
        <is>
          <t>OPERATING</t>
        </is>
      </c>
    </row>
    <row r="25487">
      <c r="A25487" s="8" t="inlineStr">
        <is>
          <t>2026-08-05</t>
        </is>
      </c>
      <c r="B25487" s="8" t="n">
        <v>16</v>
      </c>
      <c r="C25487" s="8" t="n">
        <v>1</v>
      </c>
      <c r="D25487" s="8" t="inlineStr">
        <is>
          <t>Disneyland Park</t>
        </is>
      </c>
      <c r="E25487" s="8" t="inlineStr">
        <is>
          <t>La Cabane des Robinson</t>
        </is>
      </c>
      <c r="F25487" s="8" t="inlineStr">
        <is>
          <t>STANDBY</t>
        </is>
      </c>
      <c r="G25487" s="8" t="n">
        <v>5</v>
      </c>
      <c r="H25487" s="8" t="inlineStr">
        <is>
          <t>OPERATING</t>
        </is>
      </c>
    </row>
    <row r="25488">
      <c r="A25488" s="8" t="inlineStr">
        <is>
          <t>2026-08-05</t>
        </is>
      </c>
      <c r="B25488" s="8" t="n">
        <v>16</v>
      </c>
      <c r="C25488" s="8" t="n">
        <v>1</v>
      </c>
      <c r="D25488" s="8" t="inlineStr">
        <is>
          <t>Disneyland Park</t>
        </is>
      </c>
      <c r="E25488" s="8" t="inlineStr">
        <is>
          <t>Le Passage Enchanté d'Aladdin</t>
        </is>
      </c>
      <c r="F25488" s="8" t="inlineStr">
        <is>
          <t>STANDBY</t>
        </is>
      </c>
      <c r="G25488" s="8" t="n">
        <v>0</v>
      </c>
      <c r="H25488" s="8" t="inlineStr">
        <is>
          <t>OPERATING</t>
        </is>
      </c>
    </row>
    <row r="25489">
      <c r="A25489" s="8" t="inlineStr">
        <is>
          <t>2026-08-05</t>
        </is>
      </c>
      <c r="B25489" s="8" t="n">
        <v>16</v>
      </c>
      <c r="C25489" s="8" t="n">
        <v>1</v>
      </c>
      <c r="D25489" s="8" t="inlineStr">
        <is>
          <t>Disneyland Park</t>
        </is>
      </c>
      <c r="E25489" s="8" t="inlineStr">
        <is>
          <t>Pirate Galleon</t>
        </is>
      </c>
      <c r="F25489" s="8" t="inlineStr">
        <is>
          <t>STANDBY</t>
        </is>
      </c>
      <c r="G25489" s="8" t="n">
        <v>0</v>
      </c>
      <c r="H25489" s="8" t="inlineStr">
        <is>
          <t>CLOSED</t>
        </is>
      </c>
    </row>
    <row r="25490">
      <c r="A25490" s="8" t="inlineStr">
        <is>
          <t>2026-08-05</t>
        </is>
      </c>
      <c r="B25490" s="8" t="n">
        <v>16</v>
      </c>
      <c r="C25490" s="8" t="n">
        <v>1</v>
      </c>
      <c r="D25490" s="8" t="inlineStr">
        <is>
          <t>Disneyland Park</t>
        </is>
      </c>
      <c r="E25490" s="8" t="inlineStr">
        <is>
          <t>Pirates of the Caribbean</t>
        </is>
      </c>
      <c r="F25490" s="8" t="inlineStr">
        <is>
          <t>STANDBY</t>
        </is>
      </c>
      <c r="G25490" s="8" t="n">
        <v>25</v>
      </c>
      <c r="H25490" s="8" t="inlineStr">
        <is>
          <t>OPERATING</t>
        </is>
      </c>
    </row>
    <row r="25491">
      <c r="A25491" s="8" t="inlineStr">
        <is>
          <t>2026-08-05</t>
        </is>
      </c>
      <c r="B25491" s="8" t="n">
        <v>16</v>
      </c>
      <c r="C25491" s="8" t="n">
        <v>1</v>
      </c>
      <c r="D25491" s="8" t="inlineStr">
        <is>
          <t>Disneyland Park</t>
        </is>
      </c>
      <c r="E25491" s="8" t="inlineStr">
        <is>
          <t>Pirates' Beach</t>
        </is>
      </c>
      <c r="F25491" s="8" t="inlineStr">
        <is>
          <t>STANDBY</t>
        </is>
      </c>
      <c r="G25491" s="8" t="n">
        <v>0</v>
      </c>
      <c r="H25491" s="8" t="inlineStr">
        <is>
          <t>OPERATING</t>
        </is>
      </c>
    </row>
    <row r="25492">
      <c r="A25492" s="8" t="inlineStr">
        <is>
          <t>2026-08-05</t>
        </is>
      </c>
      <c r="B25492" s="8" t="n">
        <v>16</v>
      </c>
      <c r="C25492" s="8" t="n">
        <v>1</v>
      </c>
      <c r="D25492" s="8" t="inlineStr">
        <is>
          <t>Disneyland Park</t>
        </is>
      </c>
      <c r="E25492" s="8" t="inlineStr">
        <is>
          <t>Autopia, presented by Avis</t>
        </is>
      </c>
      <c r="F25492" s="8" t="inlineStr">
        <is>
          <t>STANDBY</t>
        </is>
      </c>
      <c r="G25492" s="8" t="n">
        <v>40</v>
      </c>
      <c r="H25492" s="8" t="inlineStr">
        <is>
          <t>OPERATING</t>
        </is>
      </c>
    </row>
    <row r="25493">
      <c r="A25493" s="8" t="inlineStr">
        <is>
          <t>2026-08-05</t>
        </is>
      </c>
      <c r="B25493" s="8" t="n">
        <v>16</v>
      </c>
      <c r="C25493" s="8" t="n">
        <v>1</v>
      </c>
      <c r="D25493" s="8" t="inlineStr">
        <is>
          <t>Disneyland Park</t>
        </is>
      </c>
      <c r="E25493" s="8" t="inlineStr">
        <is>
          <t>Buzz Lightyear Laser Blast</t>
        </is>
      </c>
      <c r="F25493" s="8" t="inlineStr">
        <is>
          <t>STANDBY</t>
        </is>
      </c>
      <c r="G25493" s="8" t="n">
        <v>45</v>
      </c>
      <c r="H25493" s="8" t="inlineStr">
        <is>
          <t>OPERATING</t>
        </is>
      </c>
    </row>
    <row r="25494">
      <c r="A25494" s="8" t="inlineStr">
        <is>
          <t>2026-08-05</t>
        </is>
      </c>
      <c r="B25494" s="8" t="n">
        <v>16</v>
      </c>
      <c r="C25494" s="8" t="n">
        <v>1</v>
      </c>
      <c r="D25494" s="8" t="inlineStr">
        <is>
          <t>Disneyland Park</t>
        </is>
      </c>
      <c r="E25494" s="8" t="inlineStr">
        <is>
          <t>Disneyland Railroad Discoveryland Station</t>
        </is>
      </c>
      <c r="F25494" s="8" t="inlineStr">
        <is>
          <t>STANDBY</t>
        </is>
      </c>
      <c r="G25494" s="8" t="n">
        <v>0</v>
      </c>
      <c r="H25494" s="8" t="inlineStr">
        <is>
          <t>CLOSED</t>
        </is>
      </c>
    </row>
    <row r="25495">
      <c r="A25495" s="8" t="inlineStr">
        <is>
          <t>2026-08-05</t>
        </is>
      </c>
      <c r="B25495" s="8" t="n">
        <v>16</v>
      </c>
      <c r="C25495" s="8" t="n">
        <v>1</v>
      </c>
      <c r="D25495" s="8" t="inlineStr">
        <is>
          <t>Disneyland Park</t>
        </is>
      </c>
      <c r="E25495" s="8" t="inlineStr">
        <is>
          <t>Les Mystères du Nautilus</t>
        </is>
      </c>
      <c r="F25495" s="8" t="inlineStr">
        <is>
          <t>STANDBY</t>
        </is>
      </c>
      <c r="G25495" s="8" t="n">
        <v>5</v>
      </c>
      <c r="H25495" s="8" t="inlineStr">
        <is>
          <t>OPERATING</t>
        </is>
      </c>
    </row>
    <row r="25496">
      <c r="A25496" s="8" t="inlineStr">
        <is>
          <t>2026-08-05</t>
        </is>
      </c>
      <c r="B25496" s="8" t="n">
        <v>16</v>
      </c>
      <c r="C25496" s="8" t="n">
        <v>1</v>
      </c>
      <c r="D25496" s="8" t="inlineStr">
        <is>
          <t>Disneyland Park</t>
        </is>
      </c>
      <c r="E25496" s="8" t="inlineStr">
        <is>
          <t>Mickey’s PhilharMagic</t>
        </is>
      </c>
      <c r="F25496" s="8" t="inlineStr">
        <is>
          <t>STANDBY</t>
        </is>
      </c>
      <c r="G25496" s="8" t="n">
        <v>0</v>
      </c>
      <c r="H25496" s="8" t="inlineStr">
        <is>
          <t>OPERATING</t>
        </is>
      </c>
    </row>
    <row r="25497">
      <c r="A25497" s="8" t="inlineStr">
        <is>
          <t>2026-08-05</t>
        </is>
      </c>
      <c r="B25497" s="8" t="n">
        <v>16</v>
      </c>
      <c r="C25497" s="8" t="n">
        <v>1</v>
      </c>
      <c r="D25497" s="8" t="inlineStr">
        <is>
          <t>Disneyland Park</t>
        </is>
      </c>
      <c r="E25497" s="8" t="inlineStr">
        <is>
          <t>Orbitron®</t>
        </is>
      </c>
      <c r="F25497" s="8" t="inlineStr">
        <is>
          <t>STANDBY</t>
        </is>
      </c>
      <c r="G25497" s="8" t="n">
        <v>45</v>
      </c>
      <c r="H25497" s="8" t="inlineStr">
        <is>
          <t>OPERATING</t>
        </is>
      </c>
    </row>
    <row r="25498">
      <c r="A25498" s="8" t="inlineStr">
        <is>
          <t>2026-08-05</t>
        </is>
      </c>
      <c r="B25498" s="8" t="n">
        <v>16</v>
      </c>
      <c r="C25498" s="8" t="n">
        <v>1</v>
      </c>
      <c r="D25498" s="8" t="inlineStr">
        <is>
          <t>Disneyland Park</t>
        </is>
      </c>
      <c r="E25498" s="8" t="inlineStr">
        <is>
          <t>Star Tours: The Adventures Continue*</t>
        </is>
      </c>
      <c r="F25498" s="8" t="inlineStr">
        <is>
          <t>STANDBY</t>
        </is>
      </c>
      <c r="G25498" s="8" t="n">
        <v>10</v>
      </c>
      <c r="H25498" s="8" t="inlineStr">
        <is>
          <t>OPERATING</t>
        </is>
      </c>
    </row>
    <row r="25499">
      <c r="A25499" s="8" t="inlineStr">
        <is>
          <t>2026-08-05</t>
        </is>
      </c>
      <c r="B25499" s="8" t="n">
        <v>16</v>
      </c>
      <c r="C25499" s="8" t="n">
        <v>1</v>
      </c>
      <c r="D25499" s="8" t="inlineStr">
        <is>
          <t>Disneyland Park</t>
        </is>
      </c>
      <c r="E25499" s="8" t="inlineStr">
        <is>
          <t>Star Wars Hyperspace Mountain</t>
        </is>
      </c>
      <c r="F25499" s="8" t="inlineStr">
        <is>
          <t>STANDBY</t>
        </is>
      </c>
      <c r="G25499" s="8" t="n">
        <v>45</v>
      </c>
      <c r="H25499" s="8" t="inlineStr">
        <is>
          <t>OPERATING</t>
        </is>
      </c>
    </row>
    <row r="25500">
      <c r="A25500" s="8" t="inlineStr">
        <is>
          <t>2026-08-05</t>
        </is>
      </c>
      <c r="B25500" s="8" t="n">
        <v>16</v>
      </c>
      <c r="C25500" s="8" t="n">
        <v>1</v>
      </c>
      <c r="D25500" s="8" t="inlineStr">
        <is>
          <t>Disneyland Park</t>
        </is>
      </c>
      <c r="E25500" s="8" t="inlineStr">
        <is>
          <t>Star Wars Hyperspace Mountain Single Rider</t>
        </is>
      </c>
      <c r="F25500" s="8" t="inlineStr">
        <is>
          <t>STANDBY</t>
        </is>
      </c>
      <c r="G25500" s="8" t="n">
        <v>25</v>
      </c>
      <c r="H25500" s="8" t="inlineStr">
        <is>
          <t>OPERATING</t>
        </is>
      </c>
    </row>
    <row r="25501">
      <c r="A25501" s="8" t="inlineStr">
        <is>
          <t>2026-08-05</t>
        </is>
      </c>
      <c r="B25501" s="8" t="n">
        <v>16</v>
      </c>
      <c r="C25501" s="8" t="n">
        <v>1</v>
      </c>
      <c r="D25501" s="8" t="inlineStr">
        <is>
          <t>Disneyland Park</t>
        </is>
      </c>
      <c r="E25501" s="8" t="inlineStr">
        <is>
          <t>Welcome to Starport: A Star Wars Encounter</t>
        </is>
      </c>
      <c r="F25501" s="8" t="inlineStr">
        <is>
          <t>STANDBY</t>
        </is>
      </c>
      <c r="G25501" s="8" t="n">
        <v>20</v>
      </c>
      <c r="H25501" s="8" t="inlineStr">
        <is>
          <t>OPERATING</t>
        </is>
      </c>
    </row>
    <row r="25502">
      <c r="A25502" s="8" t="inlineStr">
        <is>
          <t>2026-08-05</t>
        </is>
      </c>
      <c r="B25502" s="8" t="n">
        <v>16</v>
      </c>
      <c r="C25502" s="8" t="n">
        <v>1</v>
      </c>
      <c r="D25502" s="8" t="inlineStr">
        <is>
          <t>Disneyland Park</t>
        </is>
      </c>
      <c r="E25502" s="8" t="inlineStr">
        <is>
          <t>"it's a small world"</t>
        </is>
      </c>
      <c r="F25502" s="8" t="inlineStr">
        <is>
          <t>STANDBY</t>
        </is>
      </c>
      <c r="G25502" s="8" t="n">
        <v>10</v>
      </c>
      <c r="H25502" s="8" t="inlineStr">
        <is>
          <t>OPERATING</t>
        </is>
      </c>
    </row>
    <row r="25503">
      <c r="A25503" s="8" t="inlineStr">
        <is>
          <t>2026-08-05</t>
        </is>
      </c>
      <c r="B25503" s="8" t="n">
        <v>16</v>
      </c>
      <c r="C25503" s="8" t="n">
        <v>1</v>
      </c>
      <c r="D25503" s="8" t="inlineStr">
        <is>
          <t>Disneyland Park</t>
        </is>
      </c>
      <c r="E25503" s="8" t="inlineStr">
        <is>
          <t>Alice's Curious Labyrinth</t>
        </is>
      </c>
      <c r="F25503" s="8" t="inlineStr">
        <is>
          <t>STANDBY</t>
        </is>
      </c>
      <c r="G25503" s="8" t="n">
        <v>5</v>
      </c>
      <c r="H25503" s="8" t="inlineStr">
        <is>
          <t>OPERATING</t>
        </is>
      </c>
    </row>
    <row r="25504">
      <c r="A25504" s="8" t="inlineStr">
        <is>
          <t>2026-08-05</t>
        </is>
      </c>
      <c r="B25504" s="8" t="n">
        <v>16</v>
      </c>
      <c r="C25504" s="8" t="n">
        <v>1</v>
      </c>
      <c r="D25504" s="8" t="inlineStr">
        <is>
          <t>Disneyland Park</t>
        </is>
      </c>
      <c r="E25504" s="8" t="inlineStr">
        <is>
          <t>Blanche-Neige et les Sept Nains®</t>
        </is>
      </c>
      <c r="F25504" s="8" t="inlineStr">
        <is>
          <t>STANDBY</t>
        </is>
      </c>
      <c r="G25504" s="8" t="n">
        <v>15</v>
      </c>
      <c r="H25504" s="8" t="inlineStr">
        <is>
          <t>OPERATING</t>
        </is>
      </c>
    </row>
    <row r="25505">
      <c r="A25505" s="8" t="inlineStr">
        <is>
          <t>2026-08-05</t>
        </is>
      </c>
      <c r="B25505" s="8" t="n">
        <v>16</v>
      </c>
      <c r="C25505" s="8" t="n">
        <v>1</v>
      </c>
      <c r="D25505" s="8" t="inlineStr">
        <is>
          <t>Disneyland Park</t>
        </is>
      </c>
      <c r="E25505" s="8" t="inlineStr">
        <is>
          <t>Casey Jr. – le Petit Train du Cirque</t>
        </is>
      </c>
      <c r="F25505" s="8" t="inlineStr">
        <is>
          <t>STANDBY</t>
        </is>
      </c>
      <c r="G25505" s="8" t="n">
        <v>0</v>
      </c>
      <c r="H25505" s="8" t="inlineStr">
        <is>
          <t>CLOSED</t>
        </is>
      </c>
    </row>
    <row r="25506">
      <c r="A25506" s="8" t="inlineStr">
        <is>
          <t>2026-08-05</t>
        </is>
      </c>
      <c r="B25506" s="8" t="n">
        <v>16</v>
      </c>
      <c r="C25506" s="8" t="n">
        <v>1</v>
      </c>
      <c r="D25506" s="8" t="inlineStr">
        <is>
          <t>Disneyland Park</t>
        </is>
      </c>
      <c r="E25506" s="8" t="inlineStr">
        <is>
          <t>Disneyland Railroad Fantasyland Station</t>
        </is>
      </c>
      <c r="F25506" s="8" t="inlineStr">
        <is>
          <t>STANDBY</t>
        </is>
      </c>
      <c r="G25506" s="8" t="n">
        <v>0</v>
      </c>
      <c r="H25506" s="8" t="inlineStr">
        <is>
          <t>CLOSED</t>
        </is>
      </c>
    </row>
    <row r="25507">
      <c r="A25507" s="8" t="inlineStr">
        <is>
          <t>2026-08-05</t>
        </is>
      </c>
      <c r="B25507" s="8" t="n">
        <v>16</v>
      </c>
      <c r="C25507" s="8" t="n">
        <v>1</v>
      </c>
      <c r="D25507" s="8" t="inlineStr">
        <is>
          <t>Disneyland Park</t>
        </is>
      </c>
      <c r="E25507" s="8" t="inlineStr">
        <is>
          <t>Disneyland Railroad Main Street Station</t>
        </is>
      </c>
      <c r="F25507" s="8" t="inlineStr">
        <is>
          <t>STANDBY</t>
        </is>
      </c>
      <c r="G25507" s="8" t="n">
        <v>20</v>
      </c>
      <c r="H25507" s="8" t="inlineStr">
        <is>
          <t>OPERATING</t>
        </is>
      </c>
    </row>
    <row r="25508">
      <c r="A25508" s="8" t="inlineStr">
        <is>
          <t>2026-08-05</t>
        </is>
      </c>
      <c r="B25508" s="8" t="n">
        <v>16</v>
      </c>
      <c r="C25508" s="8" t="n">
        <v>1</v>
      </c>
      <c r="D25508" s="8" t="inlineStr">
        <is>
          <t>Disneyland Park</t>
        </is>
      </c>
      <c r="E25508" s="8" t="inlineStr">
        <is>
          <t>Dumbo the Flying Elephant</t>
        </is>
      </c>
      <c r="F25508" s="8" t="inlineStr">
        <is>
          <t>STANDBY</t>
        </is>
      </c>
      <c r="G25508" s="8" t="n">
        <v>35</v>
      </c>
      <c r="H25508" s="8" t="inlineStr">
        <is>
          <t>OPERATING</t>
        </is>
      </c>
    </row>
    <row r="25509">
      <c r="A25509" s="8" t="inlineStr">
        <is>
          <t>2026-08-05</t>
        </is>
      </c>
      <c r="B25509" s="8" t="n">
        <v>16</v>
      </c>
      <c r="C25509" s="8" t="n">
        <v>1</v>
      </c>
      <c r="D25509" s="8" t="inlineStr">
        <is>
          <t>Disneyland Park</t>
        </is>
      </c>
      <c r="E25509" s="8" t="inlineStr">
        <is>
          <t>La Tanière du Dragon</t>
        </is>
      </c>
      <c r="F25509" s="8" t="inlineStr">
        <is>
          <t>STANDBY</t>
        </is>
      </c>
      <c r="G25509" s="8" t="n">
        <v>0</v>
      </c>
      <c r="H25509" s="8" t="inlineStr">
        <is>
          <t>OPERATING</t>
        </is>
      </c>
    </row>
    <row r="25510">
      <c r="A25510" s="8" t="inlineStr">
        <is>
          <t>2026-08-05</t>
        </is>
      </c>
      <c r="B25510" s="8" t="n">
        <v>16</v>
      </c>
      <c r="C25510" s="8" t="n">
        <v>1</v>
      </c>
      <c r="D25510" s="8" t="inlineStr">
        <is>
          <t>Disneyland Park</t>
        </is>
      </c>
      <c r="E25510" s="8" t="inlineStr">
        <is>
          <t>Le Carrousel de Lancelot</t>
        </is>
      </c>
      <c r="F25510" s="8" t="inlineStr">
        <is>
          <t>STANDBY</t>
        </is>
      </c>
      <c r="G25510" s="8" t="n">
        <v>15</v>
      </c>
      <c r="H25510" s="8" t="inlineStr">
        <is>
          <t>OPERATING</t>
        </is>
      </c>
    </row>
    <row r="25511">
      <c r="A25511" s="8" t="inlineStr">
        <is>
          <t>2026-08-05</t>
        </is>
      </c>
      <c r="B25511" s="8" t="n">
        <v>16</v>
      </c>
      <c r="C25511" s="8" t="n">
        <v>1</v>
      </c>
      <c r="D25511" s="8" t="inlineStr">
        <is>
          <t>Disneyland Park</t>
        </is>
      </c>
      <c r="E25511" s="8" t="inlineStr">
        <is>
          <t>Le Pays des Contes de Fées, presented by Vittel</t>
        </is>
      </c>
      <c r="F25511" s="8" t="inlineStr">
        <is>
          <t>STANDBY</t>
        </is>
      </c>
      <c r="G25511" s="8" t="n">
        <v>5</v>
      </c>
      <c r="H25511" s="8" t="inlineStr">
        <is>
          <t>OPERATING</t>
        </is>
      </c>
    </row>
    <row r="25512">
      <c r="A25512" s="8" t="inlineStr">
        <is>
          <t>2026-08-05</t>
        </is>
      </c>
      <c r="B25512" s="8" t="n">
        <v>16</v>
      </c>
      <c r="C25512" s="8" t="n">
        <v>1</v>
      </c>
      <c r="D25512" s="8" t="inlineStr">
        <is>
          <t>Disneyland Park</t>
        </is>
      </c>
      <c r="E25512" s="8" t="inlineStr">
        <is>
          <t>Les Voyages de Pinocchio</t>
        </is>
      </c>
      <c r="F25512" s="8" t="inlineStr">
        <is>
          <t>STANDBY</t>
        </is>
      </c>
      <c r="G25512" s="8" t="n">
        <v>30</v>
      </c>
      <c r="H25512" s="8" t="inlineStr">
        <is>
          <t>OPERATING</t>
        </is>
      </c>
    </row>
    <row r="25513">
      <c r="A25513" s="8" t="inlineStr">
        <is>
          <t>2026-08-05</t>
        </is>
      </c>
      <c r="B25513" s="8" t="n">
        <v>16</v>
      </c>
      <c r="C25513" s="8" t="n">
        <v>1</v>
      </c>
      <c r="D25513" s="8" t="inlineStr">
        <is>
          <t>Disneyland Park</t>
        </is>
      </c>
      <c r="E25513" s="8" t="inlineStr">
        <is>
          <t>Mad Hatter's Tea Cups</t>
        </is>
      </c>
      <c r="F25513" s="8" t="inlineStr">
        <is>
          <t>STANDBY</t>
        </is>
      </c>
      <c r="G25513" s="8" t="n">
        <v>10</v>
      </c>
      <c r="H25513" s="8" t="inlineStr">
        <is>
          <t>OPERATING</t>
        </is>
      </c>
    </row>
    <row r="25514">
      <c r="A25514" s="8" t="inlineStr">
        <is>
          <t>2026-08-05</t>
        </is>
      </c>
      <c r="B25514" s="8" t="n">
        <v>16</v>
      </c>
      <c r="C25514" s="8" t="n">
        <v>1</v>
      </c>
      <c r="D25514" s="8" t="inlineStr">
        <is>
          <t>Disneyland Park</t>
        </is>
      </c>
      <c r="E25514" s="8" t="inlineStr">
        <is>
          <t>Meet Mickey Mouse</t>
        </is>
      </c>
      <c r="F25514" s="8" t="inlineStr">
        <is>
          <t>STANDBY</t>
        </is>
      </c>
      <c r="G25514" s="8" t="n">
        <v>0</v>
      </c>
      <c r="H25514" s="8" t="inlineStr">
        <is>
          <t>OPERATING</t>
        </is>
      </c>
    </row>
    <row r="25515">
      <c r="A25515" s="8" t="inlineStr">
        <is>
          <t>2026-08-05</t>
        </is>
      </c>
      <c r="B25515" s="8" t="n">
        <v>16</v>
      </c>
      <c r="C25515" s="8" t="n">
        <v>1</v>
      </c>
      <c r="D25515" s="8" t="inlineStr">
        <is>
          <t>Disneyland Park</t>
        </is>
      </c>
      <c r="E25515" s="8" t="inlineStr">
        <is>
          <t>Peter Pan's Flight</t>
        </is>
      </c>
      <c r="F25515" s="8" t="inlineStr">
        <is>
          <t>STANDBY</t>
        </is>
      </c>
      <c r="G25515" s="8" t="n">
        <v>60</v>
      </c>
      <c r="H25515" s="8" t="inlineStr">
        <is>
          <t>OPERATING</t>
        </is>
      </c>
    </row>
    <row r="25516">
      <c r="A25516" s="8" t="inlineStr">
        <is>
          <t>2026-08-05</t>
        </is>
      </c>
      <c r="B25516" s="8" t="n">
        <v>16</v>
      </c>
      <c r="C25516" s="8" t="n">
        <v>1</v>
      </c>
      <c r="D25516" s="8" t="inlineStr">
        <is>
          <t>Disneyland Park</t>
        </is>
      </c>
      <c r="E25516" s="8" t="inlineStr">
        <is>
          <t>Princess Pavilion</t>
        </is>
      </c>
      <c r="F25516" s="8" t="inlineStr">
        <is>
          <t>STANDBY</t>
        </is>
      </c>
      <c r="G25516" s="8" t="n">
        <v>0</v>
      </c>
      <c r="H25516" s="8" t="inlineStr">
        <is>
          <t>OPERATING</t>
        </is>
      </c>
    </row>
    <row r="25517">
      <c r="A25517" s="8" t="inlineStr">
        <is>
          <t>2026-08-05</t>
        </is>
      </c>
      <c r="B25517" s="8" t="n">
        <v>16</v>
      </c>
      <c r="C25517" s="8" t="n">
        <v>1</v>
      </c>
      <c r="D25517" s="8" t="inlineStr">
        <is>
          <t>Disneyland Park</t>
        </is>
      </c>
      <c r="E25517" s="8" t="inlineStr">
        <is>
          <t>Big Thunder Mountain</t>
        </is>
      </c>
      <c r="F25517" s="8" t="inlineStr">
        <is>
          <t>STANDBY</t>
        </is>
      </c>
      <c r="G25517" s="8" t="n">
        <v>60</v>
      </c>
      <c r="H25517" s="8" t="inlineStr">
        <is>
          <t>OPERATING</t>
        </is>
      </c>
    </row>
    <row r="25518">
      <c r="A25518" s="8" t="inlineStr">
        <is>
          <t>2026-08-05</t>
        </is>
      </c>
      <c r="B25518" s="8" t="n">
        <v>16</v>
      </c>
      <c r="C25518" s="8" t="n">
        <v>1</v>
      </c>
      <c r="D25518" s="8" t="inlineStr">
        <is>
          <t>Disneyland Park</t>
        </is>
      </c>
      <c r="E25518" s="8" t="inlineStr">
        <is>
          <t>Disneyland Railroad Frontierland Depot</t>
        </is>
      </c>
      <c r="F25518" s="8" t="inlineStr">
        <is>
          <t>STANDBY</t>
        </is>
      </c>
      <c r="G25518" s="8" t="n">
        <v>20</v>
      </c>
      <c r="H25518" s="8" t="inlineStr">
        <is>
          <t>OPERATING</t>
        </is>
      </c>
    </row>
    <row r="25519">
      <c r="A25519" s="8" t="inlineStr">
        <is>
          <t>2026-08-05</t>
        </is>
      </c>
      <c r="B25519" s="8" t="n">
        <v>16</v>
      </c>
      <c r="C25519" s="8" t="n">
        <v>1</v>
      </c>
      <c r="D25519" s="8" t="inlineStr">
        <is>
          <t>Disneyland Park</t>
        </is>
      </c>
      <c r="E25519" s="8" t="inlineStr">
        <is>
          <t>Frontierland Playground</t>
        </is>
      </c>
      <c r="F25519" s="8" t="inlineStr">
        <is>
          <t>STANDBY</t>
        </is>
      </c>
      <c r="G25519" s="8" t="n">
        <v>0</v>
      </c>
      <c r="H25519" s="8" t="inlineStr">
        <is>
          <t>OPERATING</t>
        </is>
      </c>
    </row>
    <row r="25520">
      <c r="A25520" s="8" t="inlineStr">
        <is>
          <t>2026-08-05</t>
        </is>
      </c>
      <c r="B25520" s="8" t="n">
        <v>16</v>
      </c>
      <c r="C25520" s="8" t="n">
        <v>1</v>
      </c>
      <c r="D25520" s="8" t="inlineStr">
        <is>
          <t>Disneyland Park</t>
        </is>
      </c>
      <c r="E25520" s="8" t="inlineStr">
        <is>
          <t>Phantom Manor</t>
        </is>
      </c>
      <c r="F25520" s="8" t="inlineStr">
        <is>
          <t>STANDBY</t>
        </is>
      </c>
      <c r="G25520" s="8" t="n">
        <v>30</v>
      </c>
      <c r="H25520" s="8" t="inlineStr">
        <is>
          <t>OPERATING</t>
        </is>
      </c>
    </row>
    <row r="25521">
      <c r="A25521" s="8" t="inlineStr">
        <is>
          <t>2026-08-05</t>
        </is>
      </c>
      <c r="B25521" s="8" t="n">
        <v>16</v>
      </c>
      <c r="C25521" s="8" t="n">
        <v>1</v>
      </c>
      <c r="D25521" s="8" t="inlineStr">
        <is>
          <t>Disneyland Park</t>
        </is>
      </c>
      <c r="E25521" s="8" t="inlineStr">
        <is>
          <t>River Rogue Keelboats</t>
        </is>
      </c>
      <c r="F25521" s="8" t="inlineStr">
        <is>
          <t>STANDBY</t>
        </is>
      </c>
      <c r="G25521" s="8" t="n">
        <v>0</v>
      </c>
      <c r="H25521" s="8" t="inlineStr">
        <is>
          <t>CLOSED</t>
        </is>
      </c>
    </row>
    <row r="25522">
      <c r="A25522" s="8" t="inlineStr">
        <is>
          <t>2026-08-05</t>
        </is>
      </c>
      <c r="B25522" s="8" t="n">
        <v>16</v>
      </c>
      <c r="C25522" s="8" t="n">
        <v>1</v>
      </c>
      <c r="D25522" s="8" t="inlineStr">
        <is>
          <t>Disneyland Park</t>
        </is>
      </c>
      <c r="E25522" s="8" t="inlineStr">
        <is>
          <t>Rustler Roundup Shootin' Gallery</t>
        </is>
      </c>
      <c r="F25522" s="8" t="inlineStr">
        <is>
          <t>STANDBY</t>
        </is>
      </c>
      <c r="G25522" s="8" t="n">
        <v>0</v>
      </c>
      <c r="H25522" s="8" t="inlineStr">
        <is>
          <t>OPERATING</t>
        </is>
      </c>
    </row>
    <row r="25523">
      <c r="A25523" s="8" t="inlineStr">
        <is>
          <t>2026-08-05</t>
        </is>
      </c>
      <c r="B25523" s="8" t="n">
        <v>16</v>
      </c>
      <c r="C25523" s="8" t="n">
        <v>1</v>
      </c>
      <c r="D25523" s="8" t="inlineStr">
        <is>
          <t>Disneyland Park</t>
        </is>
      </c>
      <c r="E25523" s="8" t="inlineStr">
        <is>
          <t>Thunder Mesa Riverboat Landing</t>
        </is>
      </c>
      <c r="F25523" s="8" t="inlineStr">
        <is>
          <t>STANDBY</t>
        </is>
      </c>
      <c r="G25523" s="8" t="n">
        <v>20</v>
      </c>
      <c r="H25523" s="8" t="inlineStr">
        <is>
          <t>OPERATING</t>
        </is>
      </c>
    </row>
    <row r="25524">
      <c r="A25524" s="8" t="inlineStr">
        <is>
          <t>2026-08-05</t>
        </is>
      </c>
      <c r="B25524" s="8" t="n">
        <v>16</v>
      </c>
      <c r="C25524" s="8" t="n">
        <v>1</v>
      </c>
      <c r="D25524" s="8" t="inlineStr">
        <is>
          <t>Disneyland Park</t>
        </is>
      </c>
      <c r="E25524" s="8" t="inlineStr">
        <is>
          <t>Disneyland Railroad Main Street Station</t>
        </is>
      </c>
      <c r="F25524" s="8" t="inlineStr">
        <is>
          <t>STANDBY</t>
        </is>
      </c>
      <c r="G25524" s="8" t="n">
        <v>0</v>
      </c>
      <c r="H25524" s="8" t="inlineStr">
        <is>
          <t>OPERATING</t>
        </is>
      </c>
    </row>
    <row r="25525">
      <c r="A25525" s="8" t="inlineStr">
        <is>
          <t>2026-08-05</t>
        </is>
      </c>
      <c r="B25525" s="8" t="n">
        <v>16</v>
      </c>
      <c r="C25525" s="8" t="n">
        <v>1</v>
      </c>
      <c r="D25525" s="8" t="inlineStr">
        <is>
          <t>Disneyland Park</t>
        </is>
      </c>
      <c r="E25525" s="8" t="inlineStr">
        <is>
          <t>Main Street Vehicles</t>
        </is>
      </c>
      <c r="F25525" s="8" t="inlineStr">
        <is>
          <t>STANDBY</t>
        </is>
      </c>
      <c r="G25525" s="8" t="n">
        <v>0</v>
      </c>
      <c r="H25525" s="8" t="inlineStr">
        <is>
          <t>CLOSED</t>
        </is>
      </c>
    </row>
    <row r="25526">
      <c r="A25526" s="8" t="inlineStr">
        <is>
          <t>2026-08-05</t>
        </is>
      </c>
      <c r="B25526" s="8" t="n">
        <v>16</v>
      </c>
      <c r="C25526" s="8" t="n">
        <v>1</v>
      </c>
      <c r="D25526" s="8" t="inlineStr">
        <is>
          <t>Disney Adventure World</t>
        </is>
      </c>
      <c r="E25526" s="8" t="inlineStr">
        <is>
          <t>Avengers Assemble: Flight Force</t>
        </is>
      </c>
      <c r="F25526" s="8" t="inlineStr">
        <is>
          <t>STANDBY</t>
        </is>
      </c>
      <c r="G25526" s="8" t="n">
        <v>25</v>
      </c>
      <c r="H25526" s="8" t="inlineStr">
        <is>
          <t>OPERATING</t>
        </is>
      </c>
    </row>
    <row r="25527">
      <c r="A25527" s="8" t="inlineStr">
        <is>
          <t>2026-08-05</t>
        </is>
      </c>
      <c r="B25527" s="8" t="n">
        <v>16</v>
      </c>
      <c r="C25527" s="8" t="n">
        <v>1</v>
      </c>
      <c r="D25527" s="8" t="inlineStr">
        <is>
          <t>Disney Adventure World</t>
        </is>
      </c>
      <c r="E25527" s="8" t="inlineStr">
        <is>
          <t>Avengers Assemble: Flight Force Single Rider</t>
        </is>
      </c>
      <c r="F25527" s="8" t="inlineStr">
        <is>
          <t>STANDBY</t>
        </is>
      </c>
      <c r="G25527" s="8" t="n">
        <v>15</v>
      </c>
      <c r="H25527" s="8" t="inlineStr">
        <is>
          <t>OPERATING</t>
        </is>
      </c>
    </row>
    <row r="25528">
      <c r="A25528" s="8" t="inlineStr">
        <is>
          <t>2026-08-05</t>
        </is>
      </c>
      <c r="B25528" s="8" t="n">
        <v>16</v>
      </c>
      <c r="C25528" s="8" t="n">
        <v>1</v>
      </c>
      <c r="D25528" s="8" t="inlineStr">
        <is>
          <t>Disney Adventure World</t>
        </is>
      </c>
      <c r="E25528" s="8" t="inlineStr">
        <is>
          <t>Spider-Man W.E.B. Adventure</t>
        </is>
      </c>
      <c r="F25528" s="8" t="inlineStr">
        <is>
          <t>STANDBY</t>
        </is>
      </c>
      <c r="G25528" s="8" t="n">
        <v>45</v>
      </c>
      <c r="H25528" s="8" t="inlineStr">
        <is>
          <t>OPERATING</t>
        </is>
      </c>
    </row>
    <row r="25529">
      <c r="A25529" s="8" t="inlineStr">
        <is>
          <t>2026-08-05</t>
        </is>
      </c>
      <c r="B25529" s="8" t="n">
        <v>16</v>
      </c>
      <c r="C25529" s="8" t="n">
        <v>1</v>
      </c>
      <c r="D25529" s="8" t="inlineStr">
        <is>
          <t>Disney Adventure World</t>
        </is>
      </c>
      <c r="E25529" s="8" t="inlineStr">
        <is>
          <t>Spider-Man W.E.B. Adventure Single Rider</t>
        </is>
      </c>
      <c r="F25529" s="8" t="inlineStr">
        <is>
          <t>STANDBY</t>
        </is>
      </c>
      <c r="G25529" s="8" t="n">
        <v>25</v>
      </c>
      <c r="H25529" s="8" t="inlineStr">
        <is>
          <t>OPERATING</t>
        </is>
      </c>
    </row>
    <row r="25530">
      <c r="A25530" s="8" t="inlineStr">
        <is>
          <t>2026-08-05</t>
        </is>
      </c>
      <c r="B25530" s="8" t="n">
        <v>16</v>
      </c>
      <c r="C25530" s="8" t="n">
        <v>1</v>
      </c>
      <c r="D25530" s="8" t="inlineStr">
        <is>
          <t>Disney Adventure World</t>
        </is>
      </c>
      <c r="E25530" s="8" t="inlineStr">
        <is>
          <t>The Twilight Zone Tower of Terror</t>
        </is>
      </c>
      <c r="F25530" s="8" t="inlineStr">
        <is>
          <t>STANDBY</t>
        </is>
      </c>
      <c r="G25530" s="8" t="n">
        <v>50</v>
      </c>
      <c r="H25530" s="8" t="inlineStr">
        <is>
          <t>OPERATING</t>
        </is>
      </c>
    </row>
    <row r="25531">
      <c r="A25531" s="8" t="inlineStr">
        <is>
          <t>2026-08-05</t>
        </is>
      </c>
      <c r="B25531" s="8" t="n">
        <v>16</v>
      </c>
      <c r="C25531" s="8" t="n">
        <v>1</v>
      </c>
      <c r="D25531" s="8" t="inlineStr">
        <is>
          <t>Disney Adventure World</t>
        </is>
      </c>
      <c r="E25531" s="8" t="inlineStr">
        <is>
          <t>Cars Quatre Roues Rallye</t>
        </is>
      </c>
      <c r="F25531" s="8" t="inlineStr">
        <is>
          <t>STANDBY</t>
        </is>
      </c>
      <c r="G25531" s="8" t="n">
        <v>20</v>
      </c>
      <c r="H25531" s="8" t="inlineStr">
        <is>
          <t>OPERATING</t>
        </is>
      </c>
    </row>
    <row r="25532">
      <c r="A25532" s="8" t="inlineStr">
        <is>
          <t>2026-08-05</t>
        </is>
      </c>
      <c r="B25532" s="8" t="n">
        <v>16</v>
      </c>
      <c r="C25532" s="8" t="n">
        <v>1</v>
      </c>
      <c r="D25532" s="8" t="inlineStr">
        <is>
          <t>Disney Adventure World</t>
        </is>
      </c>
      <c r="E25532" s="8" t="inlineStr">
        <is>
          <t>Cars ROAD TRIP</t>
        </is>
      </c>
      <c r="F25532" s="8" t="inlineStr">
        <is>
          <t>STANDBY</t>
        </is>
      </c>
      <c r="G25532" s="8" t="n">
        <v>10</v>
      </c>
      <c r="H25532" s="8" t="inlineStr">
        <is>
          <t>OPERATING</t>
        </is>
      </c>
    </row>
    <row r="25533">
      <c r="A25533" s="8" t="inlineStr">
        <is>
          <t>2026-08-05</t>
        </is>
      </c>
      <c r="B25533" s="8" t="n">
        <v>16</v>
      </c>
      <c r="C25533" s="8" t="n">
        <v>1</v>
      </c>
      <c r="D25533" s="8" t="inlineStr">
        <is>
          <t>Disney Adventure World</t>
        </is>
      </c>
      <c r="E25533" s="8" t="inlineStr">
        <is>
          <t>Crush's Coaster</t>
        </is>
      </c>
      <c r="F25533" s="8" t="inlineStr">
        <is>
          <t>STANDBY</t>
        </is>
      </c>
      <c r="G25533" s="8" t="n">
        <v>80</v>
      </c>
      <c r="H25533" s="8" t="inlineStr">
        <is>
          <t>OPERATING</t>
        </is>
      </c>
    </row>
    <row r="25534">
      <c r="A25534" s="8" t="inlineStr">
        <is>
          <t>2026-08-05</t>
        </is>
      </c>
      <c r="B25534" s="8" t="n">
        <v>16</v>
      </c>
      <c r="C25534" s="8" t="n">
        <v>1</v>
      </c>
      <c r="D25534" s="8" t="inlineStr">
        <is>
          <t>Disney Adventure World</t>
        </is>
      </c>
      <c r="E25534" s="8" t="inlineStr">
        <is>
          <t>Crush's Coaster Single Rider</t>
        </is>
      </c>
      <c r="F25534" s="8" t="inlineStr">
        <is>
          <t>STANDBY</t>
        </is>
      </c>
      <c r="G25534" s="8" t="n">
        <v>70</v>
      </c>
      <c r="H25534" s="8" t="inlineStr">
        <is>
          <t>OPERATING</t>
        </is>
      </c>
    </row>
    <row r="25535">
      <c r="A25535" s="8" t="inlineStr">
        <is>
          <t>2026-08-05</t>
        </is>
      </c>
      <c r="B25535" s="8" t="n">
        <v>16</v>
      </c>
      <c r="C25535" s="8" t="n">
        <v>1</v>
      </c>
      <c r="D25535" s="8" t="inlineStr">
        <is>
          <t>Disney Adventure World</t>
        </is>
      </c>
      <c r="E25535" s="8" t="inlineStr">
        <is>
          <t>Les Tapis Volants - Flying Carpets Over Agrabah®</t>
        </is>
      </c>
      <c r="F25535" s="8" t="inlineStr">
        <is>
          <t>STANDBY</t>
        </is>
      </c>
      <c r="G25535" s="8" t="n">
        <v>25</v>
      </c>
      <c r="H25535" s="8" t="inlineStr">
        <is>
          <t>OPERATING</t>
        </is>
      </c>
    </row>
    <row r="25536">
      <c r="A25536" s="8" t="inlineStr">
        <is>
          <t>2026-08-05</t>
        </is>
      </c>
      <c r="B25536" s="8" t="n">
        <v>16</v>
      </c>
      <c r="C25536" s="8" t="n">
        <v>1</v>
      </c>
      <c r="D25536" s="8" t="inlineStr">
        <is>
          <t>Disney Adventure World</t>
        </is>
      </c>
      <c r="E25536" s="8" t="inlineStr">
        <is>
          <t>Ratatouille : L’Aventure Totalement Toquée de Rémy​</t>
        </is>
      </c>
      <c r="F25536" s="8" t="inlineStr">
        <is>
          <t>STANDBY</t>
        </is>
      </c>
      <c r="G25536" s="8" t="n">
        <v>65</v>
      </c>
      <c r="H25536" s="8" t="inlineStr">
        <is>
          <t>OPERATING</t>
        </is>
      </c>
    </row>
    <row r="25537">
      <c r="A25537" s="8" t="inlineStr">
        <is>
          <t>2026-08-05</t>
        </is>
      </c>
      <c r="B25537" s="8" t="n">
        <v>16</v>
      </c>
      <c r="C25537" s="8" t="n">
        <v>1</v>
      </c>
      <c r="D25537" s="8" t="inlineStr">
        <is>
          <t>Disney Adventure World</t>
        </is>
      </c>
      <c r="E25537" s="8" t="inlineStr">
        <is>
          <t>Ratatouille: The Adventure Single Rider</t>
        </is>
      </c>
      <c r="F25537" s="8" t="inlineStr">
        <is>
          <t>STANDBY</t>
        </is>
      </c>
      <c r="G25537" s="8" t="n">
        <v>20</v>
      </c>
      <c r="H25537" s="8" t="inlineStr">
        <is>
          <t>OPERATING</t>
        </is>
      </c>
    </row>
    <row r="25538">
      <c r="A25538" s="8" t="inlineStr">
        <is>
          <t>2026-08-05</t>
        </is>
      </c>
      <c r="B25538" s="8" t="n">
        <v>16</v>
      </c>
      <c r="C25538" s="8" t="n">
        <v>1</v>
      </c>
      <c r="D25538" s="8" t="inlineStr">
        <is>
          <t>Disney Adventure World</t>
        </is>
      </c>
      <c r="E25538" s="8" t="inlineStr">
        <is>
          <t>RC Racer</t>
        </is>
      </c>
      <c r="F25538" s="8" t="inlineStr">
        <is>
          <t>STANDBY</t>
        </is>
      </c>
      <c r="G25538" s="8" t="n">
        <v>55</v>
      </c>
      <c r="H25538" s="8" t="inlineStr">
        <is>
          <t>OPERATING</t>
        </is>
      </c>
    </row>
    <row r="25539">
      <c r="A25539" s="8" t="inlineStr">
        <is>
          <t>2026-08-05</t>
        </is>
      </c>
      <c r="B25539" s="8" t="n">
        <v>16</v>
      </c>
      <c r="C25539" s="8" t="n">
        <v>1</v>
      </c>
      <c r="D25539" s="8" t="inlineStr">
        <is>
          <t>Disney Adventure World</t>
        </is>
      </c>
      <c r="E25539" s="8" t="inlineStr">
        <is>
          <t>RC Racer Single Rider</t>
        </is>
      </c>
      <c r="F25539" s="8" t="inlineStr">
        <is>
          <t>STANDBY</t>
        </is>
      </c>
      <c r="G25539" s="8" t="n">
        <v>50</v>
      </c>
      <c r="H25539" s="8" t="inlineStr">
        <is>
          <t>OPERATING</t>
        </is>
      </c>
    </row>
    <row r="25540">
      <c r="A25540" s="8" t="inlineStr">
        <is>
          <t>2026-08-05</t>
        </is>
      </c>
      <c r="B25540" s="8" t="n">
        <v>16</v>
      </c>
      <c r="C25540" s="8" t="n">
        <v>1</v>
      </c>
      <c r="D25540" s="8" t="inlineStr">
        <is>
          <t>Disney Adventure World</t>
        </is>
      </c>
      <c r="E25540" s="8" t="inlineStr">
        <is>
          <t>Slinky® Dog Zigzag Spin</t>
        </is>
      </c>
      <c r="F25540" s="8" t="inlineStr">
        <is>
          <t>STANDBY</t>
        </is>
      </c>
      <c r="G25540" s="8" t="n">
        <v>25</v>
      </c>
      <c r="H25540" s="8" t="inlineStr">
        <is>
          <t>OPERATING</t>
        </is>
      </c>
    </row>
    <row r="25541">
      <c r="A25541" s="8" t="inlineStr">
        <is>
          <t>2026-08-05</t>
        </is>
      </c>
      <c r="B25541" s="8" t="n">
        <v>16</v>
      </c>
      <c r="C25541" s="8" t="n">
        <v>1</v>
      </c>
      <c r="D25541" s="8" t="inlineStr">
        <is>
          <t>Disney Adventure World</t>
        </is>
      </c>
      <c r="E25541" s="8" t="inlineStr">
        <is>
          <t>Toy Soldiers Parachute Drop</t>
        </is>
      </c>
      <c r="F25541" s="8" t="inlineStr">
        <is>
          <t>STANDBY</t>
        </is>
      </c>
      <c r="G25541" s="8" t="n">
        <v>50</v>
      </c>
      <c r="H25541" s="8" t="inlineStr">
        <is>
          <t>OPERATING</t>
        </is>
      </c>
    </row>
    <row r="25542">
      <c r="A25542" s="8" t="inlineStr">
        <is>
          <t>2026-08-05</t>
        </is>
      </c>
      <c r="B25542" s="8" t="n">
        <v>16</v>
      </c>
      <c r="C25542" s="8" t="n">
        <v>1</v>
      </c>
      <c r="D25542" s="8" t="inlineStr">
        <is>
          <t>Disney Adventure World</t>
        </is>
      </c>
      <c r="E25542" s="8" t="inlineStr">
        <is>
          <t>Toy Soldiers Parachute Drop Single Rider</t>
        </is>
      </c>
      <c r="F25542" s="8" t="inlineStr">
        <is>
          <t>STANDBY</t>
        </is>
      </c>
      <c r="G25542" s="8" t="n">
        <v>15</v>
      </c>
      <c r="H25542" s="8" t="inlineStr">
        <is>
          <t>OPERATING</t>
        </is>
      </c>
    </row>
    <row r="25543">
      <c r="A25543" s="8" t="inlineStr">
        <is>
          <t>2026-08-05</t>
        </is>
      </c>
      <c r="B25543" s="8" t="n">
        <v>16</v>
      </c>
      <c r="C25543" s="8" t="n">
        <v>1</v>
      </c>
      <c r="D25543" s="8" t="inlineStr">
        <is>
          <t>Disney Adventure World</t>
        </is>
      </c>
      <c r="E25543" s="8" t="inlineStr">
        <is>
          <t>Entry to World of Frozen</t>
        </is>
      </c>
      <c r="F25543" s="8" t="inlineStr">
        <is>
          <t>STANDBY</t>
        </is>
      </c>
      <c r="G25543" s="8" t="n">
        <v>0</v>
      </c>
      <c r="H25543" s="8" t="inlineStr">
        <is>
          <t>OPERATING</t>
        </is>
      </c>
    </row>
    <row r="25544">
      <c r="A25544" s="8" t="inlineStr">
        <is>
          <t>2026-08-05</t>
        </is>
      </c>
      <c r="B25544" s="8" t="n">
        <v>16</v>
      </c>
      <c r="C25544" s="8" t="n">
        <v>1</v>
      </c>
      <c r="D25544" s="8" t="inlineStr">
        <is>
          <t>Disney Adventure World</t>
        </is>
      </c>
      <c r="E25544" s="8" t="inlineStr">
        <is>
          <t>Frozen Ever After</t>
        </is>
      </c>
      <c r="F25544" s="8" t="inlineStr">
        <is>
          <t>STANDBY</t>
        </is>
      </c>
      <c r="G25544" s="8" t="n">
        <v>80</v>
      </c>
      <c r="H25544" s="8" t="inlineStr">
        <is>
          <t>OPERATING</t>
        </is>
      </c>
    </row>
    <row r="25545">
      <c r="A25545" s="8" t="inlineStr">
        <is>
          <t>2026-08-05</t>
        </is>
      </c>
      <c r="B25545" s="8" t="n">
        <v>16</v>
      </c>
      <c r="C25545" s="8" t="n">
        <v>1</v>
      </c>
      <c r="D25545" s="8" t="inlineStr">
        <is>
          <t>Disney Adventure World</t>
        </is>
      </c>
      <c r="E25545" s="8" t="inlineStr">
        <is>
          <t>Raiponce Tangled Spin</t>
        </is>
      </c>
      <c r="F25545" s="8" t="inlineStr">
        <is>
          <t>STANDBY</t>
        </is>
      </c>
      <c r="G25545" s="8" t="n">
        <v>15</v>
      </c>
      <c r="H25545" s="8" t="inlineStr">
        <is>
          <t>OPERATING</t>
        </is>
      </c>
    </row>
    <row r="25546">
      <c r="A25546" s="8" t="inlineStr">
        <is>
          <t>2026-08-05</t>
        </is>
      </c>
      <c r="B25546" s="8" t="n">
        <v>16</v>
      </c>
      <c r="C25546" s="8" t="n">
        <v>15</v>
      </c>
      <c r="D25546" s="8" t="inlineStr">
        <is>
          <t>Disneyland Park</t>
        </is>
      </c>
      <c r="E25546" s="8" t="inlineStr">
        <is>
          <t>Adventure Isle</t>
        </is>
      </c>
      <c r="F25546" s="8" t="inlineStr">
        <is>
          <t>STANDBY</t>
        </is>
      </c>
      <c r="G25546" s="8" t="n">
        <v>0</v>
      </c>
      <c r="H25546" s="8" t="inlineStr">
        <is>
          <t>OPERATING</t>
        </is>
      </c>
    </row>
    <row r="25547">
      <c r="A25547" s="8" t="inlineStr">
        <is>
          <t>2026-08-05</t>
        </is>
      </c>
      <c r="B25547" s="8" t="n">
        <v>16</v>
      </c>
      <c r="C25547" s="8" t="n">
        <v>15</v>
      </c>
      <c r="D25547" s="8" t="inlineStr">
        <is>
          <t>Disneyland Park</t>
        </is>
      </c>
      <c r="E25547" s="8" t="inlineStr">
        <is>
          <t>Indiana Jones and the Temple of Peril Single Rider</t>
        </is>
      </c>
      <c r="F25547" s="8" t="inlineStr">
        <is>
          <t>STANDBY</t>
        </is>
      </c>
      <c r="G25547" s="8" t="n">
        <v>15</v>
      </c>
      <c r="H25547" s="8" t="inlineStr">
        <is>
          <t>OPERATING</t>
        </is>
      </c>
    </row>
    <row r="25548">
      <c r="A25548" s="8" t="inlineStr">
        <is>
          <t>2026-08-05</t>
        </is>
      </c>
      <c r="B25548" s="8" t="n">
        <v>16</v>
      </c>
      <c r="C25548" s="8" t="n">
        <v>15</v>
      </c>
      <c r="D25548" s="8" t="inlineStr">
        <is>
          <t>Disneyland Park</t>
        </is>
      </c>
      <c r="E25548" s="8" t="inlineStr">
        <is>
          <t>Indiana Jones™ and the Temple of Peril</t>
        </is>
      </c>
      <c r="F25548" s="8" t="inlineStr">
        <is>
          <t>STANDBY</t>
        </is>
      </c>
      <c r="G25548" s="8" t="n">
        <v>30</v>
      </c>
      <c r="H25548" s="8" t="inlineStr">
        <is>
          <t>OPERATING</t>
        </is>
      </c>
    </row>
    <row r="25549">
      <c r="A25549" s="8" t="inlineStr">
        <is>
          <t>2026-08-05</t>
        </is>
      </c>
      <c r="B25549" s="8" t="n">
        <v>16</v>
      </c>
      <c r="C25549" s="8" t="n">
        <v>15</v>
      </c>
      <c r="D25549" s="8" t="inlineStr">
        <is>
          <t>Disneyland Park</t>
        </is>
      </c>
      <c r="E25549" s="8" t="inlineStr">
        <is>
          <t>La Cabane des Robinson</t>
        </is>
      </c>
      <c r="F25549" s="8" t="inlineStr">
        <is>
          <t>STANDBY</t>
        </is>
      </c>
      <c r="G25549" s="8" t="n">
        <v>5</v>
      </c>
      <c r="H25549" s="8" t="inlineStr">
        <is>
          <t>OPERATING</t>
        </is>
      </c>
    </row>
    <row r="25550">
      <c r="A25550" s="8" t="inlineStr">
        <is>
          <t>2026-08-05</t>
        </is>
      </c>
      <c r="B25550" s="8" t="n">
        <v>16</v>
      </c>
      <c r="C25550" s="8" t="n">
        <v>15</v>
      </c>
      <c r="D25550" s="8" t="inlineStr">
        <is>
          <t>Disneyland Park</t>
        </is>
      </c>
      <c r="E25550" s="8" t="inlineStr">
        <is>
          <t>Le Passage Enchanté d'Aladdin</t>
        </is>
      </c>
      <c r="F25550" s="8" t="inlineStr">
        <is>
          <t>STANDBY</t>
        </is>
      </c>
      <c r="G25550" s="8" t="n">
        <v>0</v>
      </c>
      <c r="H25550" s="8" t="inlineStr">
        <is>
          <t>OPERATING</t>
        </is>
      </c>
    </row>
    <row r="25551">
      <c r="A25551" s="8" t="inlineStr">
        <is>
          <t>2026-08-05</t>
        </is>
      </c>
      <c r="B25551" s="8" t="n">
        <v>16</v>
      </c>
      <c r="C25551" s="8" t="n">
        <v>15</v>
      </c>
      <c r="D25551" s="8" t="inlineStr">
        <is>
          <t>Disneyland Park</t>
        </is>
      </c>
      <c r="E25551" s="8" t="inlineStr">
        <is>
          <t>Pirate Galleon</t>
        </is>
      </c>
      <c r="F25551" s="8" t="inlineStr">
        <is>
          <t>STANDBY</t>
        </is>
      </c>
      <c r="G25551" s="8" t="n">
        <v>0</v>
      </c>
      <c r="H25551" s="8" t="inlineStr">
        <is>
          <t>CLOSED</t>
        </is>
      </c>
    </row>
    <row r="25552">
      <c r="A25552" s="8" t="inlineStr">
        <is>
          <t>2026-08-05</t>
        </is>
      </c>
      <c r="B25552" s="8" t="n">
        <v>16</v>
      </c>
      <c r="C25552" s="8" t="n">
        <v>15</v>
      </c>
      <c r="D25552" s="8" t="inlineStr">
        <is>
          <t>Disneyland Park</t>
        </is>
      </c>
      <c r="E25552" s="8" t="inlineStr">
        <is>
          <t>Pirates of the Caribbean</t>
        </is>
      </c>
      <c r="F25552" s="8" t="inlineStr">
        <is>
          <t>STANDBY</t>
        </is>
      </c>
      <c r="G25552" s="8" t="n">
        <v>25</v>
      </c>
      <c r="H25552" s="8" t="inlineStr">
        <is>
          <t>OPERATING</t>
        </is>
      </c>
    </row>
    <row r="25553">
      <c r="A25553" s="8" t="inlineStr">
        <is>
          <t>2026-08-05</t>
        </is>
      </c>
      <c r="B25553" s="8" t="n">
        <v>16</v>
      </c>
      <c r="C25553" s="8" t="n">
        <v>15</v>
      </c>
      <c r="D25553" s="8" t="inlineStr">
        <is>
          <t>Disneyland Park</t>
        </is>
      </c>
      <c r="E25553" s="8" t="inlineStr">
        <is>
          <t>Pirates' Beach</t>
        </is>
      </c>
      <c r="F25553" s="8" t="inlineStr">
        <is>
          <t>STANDBY</t>
        </is>
      </c>
      <c r="G25553" s="8" t="n">
        <v>0</v>
      </c>
      <c r="H25553" s="8" t="inlineStr">
        <is>
          <t>OPERATING</t>
        </is>
      </c>
    </row>
    <row r="25554">
      <c r="A25554" s="8" t="inlineStr">
        <is>
          <t>2026-08-05</t>
        </is>
      </c>
      <c r="B25554" s="8" t="n">
        <v>16</v>
      </c>
      <c r="C25554" s="8" t="n">
        <v>15</v>
      </c>
      <c r="D25554" s="8" t="inlineStr">
        <is>
          <t>Disneyland Park</t>
        </is>
      </c>
      <c r="E25554" s="8" t="inlineStr">
        <is>
          <t>Autopia, presented by Avis</t>
        </is>
      </c>
      <c r="F25554" s="8" t="inlineStr">
        <is>
          <t>STANDBY</t>
        </is>
      </c>
      <c r="G25554" s="8" t="n">
        <v>40</v>
      </c>
      <c r="H25554" s="8" t="inlineStr">
        <is>
          <t>OPERATING</t>
        </is>
      </c>
    </row>
    <row r="25555">
      <c r="A25555" s="8" t="inlineStr">
        <is>
          <t>2026-08-05</t>
        </is>
      </c>
      <c r="B25555" s="8" t="n">
        <v>16</v>
      </c>
      <c r="C25555" s="8" t="n">
        <v>15</v>
      </c>
      <c r="D25555" s="8" t="inlineStr">
        <is>
          <t>Disneyland Park</t>
        </is>
      </c>
      <c r="E25555" s="8" t="inlineStr">
        <is>
          <t>Buzz Lightyear Laser Blast</t>
        </is>
      </c>
      <c r="F25555" s="8" t="inlineStr">
        <is>
          <t>STANDBY</t>
        </is>
      </c>
      <c r="G25555" s="8" t="n">
        <v>45</v>
      </c>
      <c r="H25555" s="8" t="inlineStr">
        <is>
          <t>OPERATING</t>
        </is>
      </c>
    </row>
    <row r="25556">
      <c r="A25556" s="8" t="inlineStr">
        <is>
          <t>2026-08-05</t>
        </is>
      </c>
      <c r="B25556" s="8" t="n">
        <v>16</v>
      </c>
      <c r="C25556" s="8" t="n">
        <v>15</v>
      </c>
      <c r="D25556" s="8" t="inlineStr">
        <is>
          <t>Disneyland Park</t>
        </is>
      </c>
      <c r="E25556" s="8" t="inlineStr">
        <is>
          <t>Disneyland Railroad Discoveryland Station</t>
        </is>
      </c>
      <c r="F25556" s="8" t="inlineStr">
        <is>
          <t>STANDBY</t>
        </is>
      </c>
      <c r="G25556" s="8" t="n">
        <v>0</v>
      </c>
      <c r="H25556" s="8" t="inlineStr">
        <is>
          <t>CLOSED</t>
        </is>
      </c>
    </row>
    <row r="25557">
      <c r="A25557" s="8" t="inlineStr">
        <is>
          <t>2026-08-05</t>
        </is>
      </c>
      <c r="B25557" s="8" t="n">
        <v>16</v>
      </c>
      <c r="C25557" s="8" t="n">
        <v>15</v>
      </c>
      <c r="D25557" s="8" t="inlineStr">
        <is>
          <t>Disneyland Park</t>
        </is>
      </c>
      <c r="E25557" s="8" t="inlineStr">
        <is>
          <t>Les Mystères du Nautilus</t>
        </is>
      </c>
      <c r="F25557" s="8" t="inlineStr">
        <is>
          <t>STANDBY</t>
        </is>
      </c>
      <c r="G25557" s="8" t="n">
        <v>5</v>
      </c>
      <c r="H25557" s="8" t="inlineStr">
        <is>
          <t>OPERATING</t>
        </is>
      </c>
    </row>
    <row r="25558">
      <c r="A25558" s="8" t="inlineStr">
        <is>
          <t>2026-08-05</t>
        </is>
      </c>
      <c r="B25558" s="8" t="n">
        <v>16</v>
      </c>
      <c r="C25558" s="8" t="n">
        <v>15</v>
      </c>
      <c r="D25558" s="8" t="inlineStr">
        <is>
          <t>Disneyland Park</t>
        </is>
      </c>
      <c r="E25558" s="8" t="inlineStr">
        <is>
          <t>Mickey’s PhilharMagic</t>
        </is>
      </c>
      <c r="F25558" s="8" t="inlineStr">
        <is>
          <t>STANDBY</t>
        </is>
      </c>
      <c r="G25558" s="8" t="n">
        <v>0</v>
      </c>
      <c r="H25558" s="8" t="inlineStr">
        <is>
          <t>OPERATING</t>
        </is>
      </c>
    </row>
    <row r="25559">
      <c r="A25559" s="8" t="inlineStr">
        <is>
          <t>2026-08-05</t>
        </is>
      </c>
      <c r="B25559" s="8" t="n">
        <v>16</v>
      </c>
      <c r="C25559" s="8" t="n">
        <v>15</v>
      </c>
      <c r="D25559" s="8" t="inlineStr">
        <is>
          <t>Disneyland Park</t>
        </is>
      </c>
      <c r="E25559" s="8" t="inlineStr">
        <is>
          <t>Orbitron®</t>
        </is>
      </c>
      <c r="F25559" s="8" t="inlineStr">
        <is>
          <t>STANDBY</t>
        </is>
      </c>
      <c r="G25559" s="8" t="n">
        <v>45</v>
      </c>
      <c r="H25559" s="8" t="inlineStr">
        <is>
          <t>OPERATING</t>
        </is>
      </c>
    </row>
    <row r="25560">
      <c r="A25560" s="8" t="inlineStr">
        <is>
          <t>2026-08-05</t>
        </is>
      </c>
      <c r="B25560" s="8" t="n">
        <v>16</v>
      </c>
      <c r="C25560" s="8" t="n">
        <v>15</v>
      </c>
      <c r="D25560" s="8" t="inlineStr">
        <is>
          <t>Disneyland Park</t>
        </is>
      </c>
      <c r="E25560" s="8" t="inlineStr">
        <is>
          <t>Star Tours: The Adventures Continue*</t>
        </is>
      </c>
      <c r="F25560" s="8" t="inlineStr">
        <is>
          <t>STANDBY</t>
        </is>
      </c>
      <c r="G25560" s="8" t="n">
        <v>15</v>
      </c>
      <c r="H25560" s="8" t="inlineStr">
        <is>
          <t>OPERATING</t>
        </is>
      </c>
    </row>
    <row r="25561">
      <c r="A25561" s="8" t="inlineStr">
        <is>
          <t>2026-08-05</t>
        </is>
      </c>
      <c r="B25561" s="8" t="n">
        <v>16</v>
      </c>
      <c r="C25561" s="8" t="n">
        <v>15</v>
      </c>
      <c r="D25561" s="8" t="inlineStr">
        <is>
          <t>Disneyland Park</t>
        </is>
      </c>
      <c r="E25561" s="8" t="inlineStr">
        <is>
          <t>Star Wars Hyperspace Mountain</t>
        </is>
      </c>
      <c r="F25561" s="8" t="inlineStr">
        <is>
          <t>STANDBY</t>
        </is>
      </c>
      <c r="G25561" s="8" t="n">
        <v>45</v>
      </c>
      <c r="H25561" s="8" t="inlineStr">
        <is>
          <t>OPERATING</t>
        </is>
      </c>
    </row>
    <row r="25562">
      <c r="A25562" s="8" t="inlineStr">
        <is>
          <t>2026-08-05</t>
        </is>
      </c>
      <c r="B25562" s="8" t="n">
        <v>16</v>
      </c>
      <c r="C25562" s="8" t="n">
        <v>15</v>
      </c>
      <c r="D25562" s="8" t="inlineStr">
        <is>
          <t>Disneyland Park</t>
        </is>
      </c>
      <c r="E25562" s="8" t="inlineStr">
        <is>
          <t>Star Wars Hyperspace Mountain Single Rider</t>
        </is>
      </c>
      <c r="F25562" s="8" t="inlineStr">
        <is>
          <t>STANDBY</t>
        </is>
      </c>
      <c r="G25562" s="8" t="n">
        <v>40</v>
      </c>
      <c r="H25562" s="8" t="inlineStr">
        <is>
          <t>OPERATING</t>
        </is>
      </c>
    </row>
    <row r="25563">
      <c r="A25563" s="8" t="inlineStr">
        <is>
          <t>2026-08-05</t>
        </is>
      </c>
      <c r="B25563" s="8" t="n">
        <v>16</v>
      </c>
      <c r="C25563" s="8" t="n">
        <v>15</v>
      </c>
      <c r="D25563" s="8" t="inlineStr">
        <is>
          <t>Disneyland Park</t>
        </is>
      </c>
      <c r="E25563" s="8" t="inlineStr">
        <is>
          <t>Welcome to Starport: A Star Wars Encounter</t>
        </is>
      </c>
      <c r="F25563" s="8" t="inlineStr">
        <is>
          <t>STANDBY</t>
        </is>
      </c>
      <c r="G25563" s="8" t="n">
        <v>20</v>
      </c>
      <c r="H25563" s="8" t="inlineStr">
        <is>
          <t>OPERATING</t>
        </is>
      </c>
    </row>
    <row r="25564">
      <c r="A25564" s="8" t="inlineStr">
        <is>
          <t>2026-08-05</t>
        </is>
      </c>
      <c r="B25564" s="8" t="n">
        <v>16</v>
      </c>
      <c r="C25564" s="8" t="n">
        <v>15</v>
      </c>
      <c r="D25564" s="8" t="inlineStr">
        <is>
          <t>Disneyland Park</t>
        </is>
      </c>
      <c r="E25564" s="8" t="inlineStr">
        <is>
          <t>"it's a small world"</t>
        </is>
      </c>
      <c r="F25564" s="8" t="inlineStr">
        <is>
          <t>STANDBY</t>
        </is>
      </c>
      <c r="G25564" s="8" t="n">
        <v>10</v>
      </c>
      <c r="H25564" s="8" t="inlineStr">
        <is>
          <t>OPERATING</t>
        </is>
      </c>
    </row>
    <row r="25565">
      <c r="A25565" s="8" t="inlineStr">
        <is>
          <t>2026-08-05</t>
        </is>
      </c>
      <c r="B25565" s="8" t="n">
        <v>16</v>
      </c>
      <c r="C25565" s="8" t="n">
        <v>15</v>
      </c>
      <c r="D25565" s="8" t="inlineStr">
        <is>
          <t>Disneyland Park</t>
        </is>
      </c>
      <c r="E25565" s="8" t="inlineStr">
        <is>
          <t>Alice's Curious Labyrinth</t>
        </is>
      </c>
      <c r="F25565" s="8" t="inlineStr">
        <is>
          <t>STANDBY</t>
        </is>
      </c>
      <c r="G25565" s="8" t="n">
        <v>5</v>
      </c>
      <c r="H25565" s="8" t="inlineStr">
        <is>
          <t>OPERATING</t>
        </is>
      </c>
    </row>
    <row r="25566">
      <c r="A25566" s="8" t="inlineStr">
        <is>
          <t>2026-08-05</t>
        </is>
      </c>
      <c r="B25566" s="8" t="n">
        <v>16</v>
      </c>
      <c r="C25566" s="8" t="n">
        <v>15</v>
      </c>
      <c r="D25566" s="8" t="inlineStr">
        <is>
          <t>Disneyland Park</t>
        </is>
      </c>
      <c r="E25566" s="8" t="inlineStr">
        <is>
          <t>Blanche-Neige et les Sept Nains®</t>
        </is>
      </c>
      <c r="F25566" s="8" t="inlineStr">
        <is>
          <t>STANDBY</t>
        </is>
      </c>
      <c r="G25566" s="8" t="n">
        <v>15</v>
      </c>
      <c r="H25566" s="8" t="inlineStr">
        <is>
          <t>OPERATING</t>
        </is>
      </c>
    </row>
    <row r="25567">
      <c r="A25567" s="8" t="inlineStr">
        <is>
          <t>2026-08-05</t>
        </is>
      </c>
      <c r="B25567" s="8" t="n">
        <v>16</v>
      </c>
      <c r="C25567" s="8" t="n">
        <v>15</v>
      </c>
      <c r="D25567" s="8" t="inlineStr">
        <is>
          <t>Disneyland Park</t>
        </is>
      </c>
      <c r="E25567" s="8" t="inlineStr">
        <is>
          <t>Casey Jr. – le Petit Train du Cirque</t>
        </is>
      </c>
      <c r="F25567" s="8" t="inlineStr">
        <is>
          <t>STANDBY</t>
        </is>
      </c>
      <c r="G25567" s="8" t="n">
        <v>0</v>
      </c>
      <c r="H25567" s="8" t="inlineStr">
        <is>
          <t>CLOSED</t>
        </is>
      </c>
    </row>
    <row r="25568">
      <c r="A25568" s="8" t="inlineStr">
        <is>
          <t>2026-08-05</t>
        </is>
      </c>
      <c r="B25568" s="8" t="n">
        <v>16</v>
      </c>
      <c r="C25568" s="8" t="n">
        <v>15</v>
      </c>
      <c r="D25568" s="8" t="inlineStr">
        <is>
          <t>Disneyland Park</t>
        </is>
      </c>
      <c r="E25568" s="8" t="inlineStr">
        <is>
          <t>Disneyland Railroad Fantasyland Station</t>
        </is>
      </c>
      <c r="F25568" s="8" t="inlineStr">
        <is>
          <t>STANDBY</t>
        </is>
      </c>
      <c r="G25568" s="8" t="n">
        <v>0</v>
      </c>
      <c r="H25568" s="8" t="inlineStr">
        <is>
          <t>CLOSED</t>
        </is>
      </c>
    </row>
    <row r="25569">
      <c r="A25569" s="8" t="inlineStr">
        <is>
          <t>2026-08-05</t>
        </is>
      </c>
      <c r="B25569" s="8" t="n">
        <v>16</v>
      </c>
      <c r="C25569" s="8" t="n">
        <v>15</v>
      </c>
      <c r="D25569" s="8" t="inlineStr">
        <is>
          <t>Disneyland Park</t>
        </is>
      </c>
      <c r="E25569" s="8" t="inlineStr">
        <is>
          <t>Disneyland Railroad Main Street Station</t>
        </is>
      </c>
      <c r="F25569" s="8" t="inlineStr">
        <is>
          <t>STANDBY</t>
        </is>
      </c>
      <c r="G25569" s="8" t="n">
        <v>20</v>
      </c>
      <c r="H25569" s="8" t="inlineStr">
        <is>
          <t>OPERATING</t>
        </is>
      </c>
    </row>
    <row r="25570">
      <c r="A25570" s="8" t="inlineStr">
        <is>
          <t>2026-08-05</t>
        </is>
      </c>
      <c r="B25570" s="8" t="n">
        <v>16</v>
      </c>
      <c r="C25570" s="8" t="n">
        <v>15</v>
      </c>
      <c r="D25570" s="8" t="inlineStr">
        <is>
          <t>Disneyland Park</t>
        </is>
      </c>
      <c r="E25570" s="8" t="inlineStr">
        <is>
          <t>Dumbo the Flying Elephant</t>
        </is>
      </c>
      <c r="F25570" s="8" t="inlineStr">
        <is>
          <t>STANDBY</t>
        </is>
      </c>
      <c r="G25570" s="8" t="n">
        <v>35</v>
      </c>
      <c r="H25570" s="8" t="inlineStr">
        <is>
          <t>OPERATING</t>
        </is>
      </c>
    </row>
    <row r="25571">
      <c r="A25571" s="8" t="inlineStr">
        <is>
          <t>2026-08-05</t>
        </is>
      </c>
      <c r="B25571" s="8" t="n">
        <v>16</v>
      </c>
      <c r="C25571" s="8" t="n">
        <v>15</v>
      </c>
      <c r="D25571" s="8" t="inlineStr">
        <is>
          <t>Disneyland Park</t>
        </is>
      </c>
      <c r="E25571" s="8" t="inlineStr">
        <is>
          <t>La Tanière du Dragon</t>
        </is>
      </c>
      <c r="F25571" s="8" t="inlineStr">
        <is>
          <t>STANDBY</t>
        </is>
      </c>
      <c r="G25571" s="8" t="n">
        <v>0</v>
      </c>
      <c r="H25571" s="8" t="inlineStr">
        <is>
          <t>OPERATING</t>
        </is>
      </c>
    </row>
    <row r="25572">
      <c r="A25572" s="8" t="inlineStr">
        <is>
          <t>2026-08-05</t>
        </is>
      </c>
      <c r="B25572" s="8" t="n">
        <v>16</v>
      </c>
      <c r="C25572" s="8" t="n">
        <v>15</v>
      </c>
      <c r="D25572" s="8" t="inlineStr">
        <is>
          <t>Disneyland Park</t>
        </is>
      </c>
      <c r="E25572" s="8" t="inlineStr">
        <is>
          <t>Le Carrousel de Lancelot</t>
        </is>
      </c>
      <c r="F25572" s="8" t="inlineStr">
        <is>
          <t>STANDBY</t>
        </is>
      </c>
      <c r="G25572" s="8" t="n">
        <v>15</v>
      </c>
      <c r="H25572" s="8" t="inlineStr">
        <is>
          <t>OPERATING</t>
        </is>
      </c>
    </row>
    <row r="25573">
      <c r="A25573" s="8" t="inlineStr">
        <is>
          <t>2026-08-05</t>
        </is>
      </c>
      <c r="B25573" s="8" t="n">
        <v>16</v>
      </c>
      <c r="C25573" s="8" t="n">
        <v>15</v>
      </c>
      <c r="D25573" s="8" t="inlineStr">
        <is>
          <t>Disneyland Park</t>
        </is>
      </c>
      <c r="E25573" s="8" t="inlineStr">
        <is>
          <t>Le Pays des Contes de Fées, presented by Vittel</t>
        </is>
      </c>
      <c r="F25573" s="8" t="inlineStr">
        <is>
          <t>STANDBY</t>
        </is>
      </c>
      <c r="G25573" s="8" t="n">
        <v>5</v>
      </c>
      <c r="H25573" s="8" t="inlineStr">
        <is>
          <t>OPERATING</t>
        </is>
      </c>
    </row>
    <row r="25574">
      <c r="A25574" s="8" t="inlineStr">
        <is>
          <t>2026-08-05</t>
        </is>
      </c>
      <c r="B25574" s="8" t="n">
        <v>16</v>
      </c>
      <c r="C25574" s="8" t="n">
        <v>15</v>
      </c>
      <c r="D25574" s="8" t="inlineStr">
        <is>
          <t>Disneyland Park</t>
        </is>
      </c>
      <c r="E25574" s="8" t="inlineStr">
        <is>
          <t>Les Voyages de Pinocchio</t>
        </is>
      </c>
      <c r="F25574" s="8" t="inlineStr">
        <is>
          <t>STANDBY</t>
        </is>
      </c>
      <c r="G25574" s="8" t="n">
        <v>30</v>
      </c>
      <c r="H25574" s="8" t="inlineStr">
        <is>
          <t>OPERATING</t>
        </is>
      </c>
    </row>
    <row r="25575">
      <c r="A25575" s="8" t="inlineStr">
        <is>
          <t>2026-08-05</t>
        </is>
      </c>
      <c r="B25575" s="8" t="n">
        <v>16</v>
      </c>
      <c r="C25575" s="8" t="n">
        <v>15</v>
      </c>
      <c r="D25575" s="8" t="inlineStr">
        <is>
          <t>Disneyland Park</t>
        </is>
      </c>
      <c r="E25575" s="8" t="inlineStr">
        <is>
          <t>Mad Hatter's Tea Cups</t>
        </is>
      </c>
      <c r="F25575" s="8" t="inlineStr">
        <is>
          <t>STANDBY</t>
        </is>
      </c>
      <c r="G25575" s="8" t="n">
        <v>10</v>
      </c>
      <c r="H25575" s="8" t="inlineStr">
        <is>
          <t>OPERATING</t>
        </is>
      </c>
    </row>
    <row r="25576">
      <c r="A25576" s="8" t="inlineStr">
        <is>
          <t>2026-08-05</t>
        </is>
      </c>
      <c r="B25576" s="8" t="n">
        <v>16</v>
      </c>
      <c r="C25576" s="8" t="n">
        <v>15</v>
      </c>
      <c r="D25576" s="8" t="inlineStr">
        <is>
          <t>Disneyland Park</t>
        </is>
      </c>
      <c r="E25576" s="8" t="inlineStr">
        <is>
          <t>Meet Mickey Mouse</t>
        </is>
      </c>
      <c r="F25576" s="8" t="inlineStr">
        <is>
          <t>STANDBY</t>
        </is>
      </c>
      <c r="G25576" s="8" t="n">
        <v>0</v>
      </c>
      <c r="H25576" s="8" t="inlineStr">
        <is>
          <t>OPERATING</t>
        </is>
      </c>
    </row>
    <row r="25577">
      <c r="A25577" s="8" t="inlineStr">
        <is>
          <t>2026-08-05</t>
        </is>
      </c>
      <c r="B25577" s="8" t="n">
        <v>16</v>
      </c>
      <c r="C25577" s="8" t="n">
        <v>15</v>
      </c>
      <c r="D25577" s="8" t="inlineStr">
        <is>
          <t>Disneyland Park</t>
        </is>
      </c>
      <c r="E25577" s="8" t="inlineStr">
        <is>
          <t>Peter Pan's Flight</t>
        </is>
      </c>
      <c r="F25577" s="8" t="inlineStr">
        <is>
          <t>STANDBY</t>
        </is>
      </c>
      <c r="G25577" s="8" t="n">
        <v>70</v>
      </c>
      <c r="H25577" s="8" t="inlineStr">
        <is>
          <t>OPERATING</t>
        </is>
      </c>
    </row>
    <row r="25578">
      <c r="A25578" s="8" t="inlineStr">
        <is>
          <t>2026-08-05</t>
        </is>
      </c>
      <c r="B25578" s="8" t="n">
        <v>16</v>
      </c>
      <c r="C25578" s="8" t="n">
        <v>15</v>
      </c>
      <c r="D25578" s="8" t="inlineStr">
        <is>
          <t>Disneyland Park</t>
        </is>
      </c>
      <c r="E25578" s="8" t="inlineStr">
        <is>
          <t>Princess Pavilion</t>
        </is>
      </c>
      <c r="F25578" s="8" t="inlineStr">
        <is>
          <t>STANDBY</t>
        </is>
      </c>
      <c r="G25578" s="8" t="n">
        <v>0</v>
      </c>
      <c r="H25578" s="8" t="inlineStr">
        <is>
          <t>OPERATING</t>
        </is>
      </c>
    </row>
    <row r="25579">
      <c r="A25579" s="8" t="inlineStr">
        <is>
          <t>2026-08-05</t>
        </is>
      </c>
      <c r="B25579" s="8" t="n">
        <v>16</v>
      </c>
      <c r="C25579" s="8" t="n">
        <v>15</v>
      </c>
      <c r="D25579" s="8" t="inlineStr">
        <is>
          <t>Disneyland Park</t>
        </is>
      </c>
      <c r="E25579" s="8" t="inlineStr">
        <is>
          <t>Big Thunder Mountain</t>
        </is>
      </c>
      <c r="F25579" s="8" t="inlineStr">
        <is>
          <t>STANDBY</t>
        </is>
      </c>
      <c r="G25579" s="8" t="n">
        <v>45</v>
      </c>
      <c r="H25579" s="8" t="inlineStr">
        <is>
          <t>OPERATING</t>
        </is>
      </c>
    </row>
    <row r="25580">
      <c r="A25580" s="8" t="inlineStr">
        <is>
          <t>2026-08-05</t>
        </is>
      </c>
      <c r="B25580" s="8" t="n">
        <v>16</v>
      </c>
      <c r="C25580" s="8" t="n">
        <v>15</v>
      </c>
      <c r="D25580" s="8" t="inlineStr">
        <is>
          <t>Disneyland Park</t>
        </is>
      </c>
      <c r="E25580" s="8" t="inlineStr">
        <is>
          <t>Disneyland Railroad Frontierland Depot</t>
        </is>
      </c>
      <c r="F25580" s="8" t="inlineStr">
        <is>
          <t>STANDBY</t>
        </is>
      </c>
      <c r="G25580" s="8" t="n">
        <v>20</v>
      </c>
      <c r="H25580" s="8" t="inlineStr">
        <is>
          <t>OPERATING</t>
        </is>
      </c>
    </row>
    <row r="25581">
      <c r="A25581" s="8" t="inlineStr">
        <is>
          <t>2026-08-05</t>
        </is>
      </c>
      <c r="B25581" s="8" t="n">
        <v>16</v>
      </c>
      <c r="C25581" s="8" t="n">
        <v>15</v>
      </c>
      <c r="D25581" s="8" t="inlineStr">
        <is>
          <t>Disneyland Park</t>
        </is>
      </c>
      <c r="E25581" s="8" t="inlineStr">
        <is>
          <t>Frontierland Playground</t>
        </is>
      </c>
      <c r="F25581" s="8" t="inlineStr">
        <is>
          <t>STANDBY</t>
        </is>
      </c>
      <c r="G25581" s="8" t="n">
        <v>0</v>
      </c>
      <c r="H25581" s="8" t="inlineStr">
        <is>
          <t>OPERATING</t>
        </is>
      </c>
    </row>
    <row r="25582">
      <c r="A25582" s="8" t="inlineStr">
        <is>
          <t>2026-08-05</t>
        </is>
      </c>
      <c r="B25582" s="8" t="n">
        <v>16</v>
      </c>
      <c r="C25582" s="8" t="n">
        <v>15</v>
      </c>
      <c r="D25582" s="8" t="inlineStr">
        <is>
          <t>Disneyland Park</t>
        </is>
      </c>
      <c r="E25582" s="8" t="inlineStr">
        <is>
          <t>Phantom Manor</t>
        </is>
      </c>
      <c r="F25582" s="8" t="inlineStr">
        <is>
          <t>STANDBY</t>
        </is>
      </c>
      <c r="G25582" s="8" t="n">
        <v>30</v>
      </c>
      <c r="H25582" s="8" t="inlineStr">
        <is>
          <t>OPERATING</t>
        </is>
      </c>
    </row>
    <row r="25583">
      <c r="A25583" s="8" t="inlineStr">
        <is>
          <t>2026-08-05</t>
        </is>
      </c>
      <c r="B25583" s="8" t="n">
        <v>16</v>
      </c>
      <c r="C25583" s="8" t="n">
        <v>15</v>
      </c>
      <c r="D25583" s="8" t="inlineStr">
        <is>
          <t>Disneyland Park</t>
        </is>
      </c>
      <c r="E25583" s="8" t="inlineStr">
        <is>
          <t>River Rogue Keelboats</t>
        </is>
      </c>
      <c r="F25583" s="8" t="inlineStr">
        <is>
          <t>STANDBY</t>
        </is>
      </c>
      <c r="G25583" s="8" t="n">
        <v>0</v>
      </c>
      <c r="H25583" s="8" t="inlineStr">
        <is>
          <t>CLOSED</t>
        </is>
      </c>
    </row>
    <row r="25584">
      <c r="A25584" s="8" t="inlineStr">
        <is>
          <t>2026-08-05</t>
        </is>
      </c>
      <c r="B25584" s="8" t="n">
        <v>16</v>
      </c>
      <c r="C25584" s="8" t="n">
        <v>15</v>
      </c>
      <c r="D25584" s="8" t="inlineStr">
        <is>
          <t>Disneyland Park</t>
        </is>
      </c>
      <c r="E25584" s="8" t="inlineStr">
        <is>
          <t>Rustler Roundup Shootin' Gallery</t>
        </is>
      </c>
      <c r="F25584" s="8" t="inlineStr">
        <is>
          <t>STANDBY</t>
        </is>
      </c>
      <c r="G25584" s="8" t="n">
        <v>0</v>
      </c>
      <c r="H25584" s="8" t="inlineStr">
        <is>
          <t>OPERATING</t>
        </is>
      </c>
    </row>
    <row r="25585">
      <c r="A25585" s="8" t="inlineStr">
        <is>
          <t>2026-08-05</t>
        </is>
      </c>
      <c r="B25585" s="8" t="n">
        <v>16</v>
      </c>
      <c r="C25585" s="8" t="n">
        <v>15</v>
      </c>
      <c r="D25585" s="8" t="inlineStr">
        <is>
          <t>Disneyland Park</t>
        </is>
      </c>
      <c r="E25585" s="8" t="inlineStr">
        <is>
          <t>Thunder Mesa Riverboat Landing</t>
        </is>
      </c>
      <c r="F25585" s="8" t="inlineStr">
        <is>
          <t>STANDBY</t>
        </is>
      </c>
      <c r="G25585" s="8" t="n">
        <v>20</v>
      </c>
      <c r="H25585" s="8" t="inlineStr">
        <is>
          <t>OPERATING</t>
        </is>
      </c>
    </row>
    <row r="25586">
      <c r="A25586" s="8" t="inlineStr">
        <is>
          <t>2026-08-05</t>
        </is>
      </c>
      <c r="B25586" s="8" t="n">
        <v>16</v>
      </c>
      <c r="C25586" s="8" t="n">
        <v>15</v>
      </c>
      <c r="D25586" s="8" t="inlineStr">
        <is>
          <t>Disneyland Park</t>
        </is>
      </c>
      <c r="E25586" s="8" t="inlineStr">
        <is>
          <t>Disneyland Railroad Main Street Station</t>
        </is>
      </c>
      <c r="F25586" s="8" t="inlineStr">
        <is>
          <t>STANDBY</t>
        </is>
      </c>
      <c r="G25586" s="8" t="n">
        <v>0</v>
      </c>
      <c r="H25586" s="8" t="inlineStr">
        <is>
          <t>OPERATING</t>
        </is>
      </c>
    </row>
    <row r="25587">
      <c r="A25587" s="8" t="inlineStr">
        <is>
          <t>2026-08-05</t>
        </is>
      </c>
      <c r="B25587" s="8" t="n">
        <v>16</v>
      </c>
      <c r="C25587" s="8" t="n">
        <v>15</v>
      </c>
      <c r="D25587" s="8" t="inlineStr">
        <is>
          <t>Disneyland Park</t>
        </is>
      </c>
      <c r="E25587" s="8" t="inlineStr">
        <is>
          <t>Main Street Vehicles</t>
        </is>
      </c>
      <c r="F25587" s="8" t="inlineStr">
        <is>
          <t>STANDBY</t>
        </is>
      </c>
      <c r="G25587" s="8" t="n">
        <v>0</v>
      </c>
      <c r="H25587" s="8" t="inlineStr">
        <is>
          <t>CLOSED</t>
        </is>
      </c>
    </row>
    <row r="25588">
      <c r="A25588" s="8" t="inlineStr">
        <is>
          <t>2026-08-05</t>
        </is>
      </c>
      <c r="B25588" s="8" t="n">
        <v>16</v>
      </c>
      <c r="C25588" s="8" t="n">
        <v>15</v>
      </c>
      <c r="D25588" s="8" t="inlineStr">
        <is>
          <t>Disney Adventure World</t>
        </is>
      </c>
      <c r="E25588" s="8" t="inlineStr">
        <is>
          <t>Avengers Assemble: Flight Force</t>
        </is>
      </c>
      <c r="F25588" s="8" t="inlineStr">
        <is>
          <t>STANDBY</t>
        </is>
      </c>
      <c r="G25588" s="8" t="n">
        <v>20</v>
      </c>
      <c r="H25588" s="8" t="inlineStr">
        <is>
          <t>OPERATING</t>
        </is>
      </c>
    </row>
    <row r="25589">
      <c r="A25589" s="8" t="inlineStr">
        <is>
          <t>2026-08-05</t>
        </is>
      </c>
      <c r="B25589" s="8" t="n">
        <v>16</v>
      </c>
      <c r="C25589" s="8" t="n">
        <v>15</v>
      </c>
      <c r="D25589" s="8" t="inlineStr">
        <is>
          <t>Disney Adventure World</t>
        </is>
      </c>
      <c r="E25589" s="8" t="inlineStr">
        <is>
          <t>Avengers Assemble: Flight Force Single Rider</t>
        </is>
      </c>
      <c r="F25589" s="8" t="inlineStr">
        <is>
          <t>STANDBY</t>
        </is>
      </c>
      <c r="G25589" s="8" t="n">
        <v>15</v>
      </c>
      <c r="H25589" s="8" t="inlineStr">
        <is>
          <t>OPERATING</t>
        </is>
      </c>
    </row>
    <row r="25590">
      <c r="A25590" s="8" t="inlineStr">
        <is>
          <t>2026-08-05</t>
        </is>
      </c>
      <c r="B25590" s="8" t="n">
        <v>16</v>
      </c>
      <c r="C25590" s="8" t="n">
        <v>15</v>
      </c>
      <c r="D25590" s="8" t="inlineStr">
        <is>
          <t>Disney Adventure World</t>
        </is>
      </c>
      <c r="E25590" s="8" t="inlineStr">
        <is>
          <t>Spider-Man W.E.B. Adventure</t>
        </is>
      </c>
      <c r="F25590" s="8" t="inlineStr">
        <is>
          <t>STANDBY</t>
        </is>
      </c>
      <c r="G25590" s="8" t="n">
        <v>50</v>
      </c>
      <c r="H25590" s="8" t="inlineStr">
        <is>
          <t>OPERATING</t>
        </is>
      </c>
    </row>
    <row r="25591">
      <c r="A25591" s="8" t="inlineStr">
        <is>
          <t>2026-08-05</t>
        </is>
      </c>
      <c r="B25591" s="8" t="n">
        <v>16</v>
      </c>
      <c r="C25591" s="8" t="n">
        <v>15</v>
      </c>
      <c r="D25591" s="8" t="inlineStr">
        <is>
          <t>Disney Adventure World</t>
        </is>
      </c>
      <c r="E25591" s="8" t="inlineStr">
        <is>
          <t>Spider-Man W.E.B. Adventure Single Rider</t>
        </is>
      </c>
      <c r="F25591" s="8" t="inlineStr">
        <is>
          <t>STANDBY</t>
        </is>
      </c>
      <c r="G25591" s="8" t="n">
        <v>20</v>
      </c>
      <c r="H25591" s="8" t="inlineStr">
        <is>
          <t>OPERATING</t>
        </is>
      </c>
    </row>
    <row r="25592">
      <c r="A25592" s="8" t="inlineStr">
        <is>
          <t>2026-08-05</t>
        </is>
      </c>
      <c r="B25592" s="8" t="n">
        <v>16</v>
      </c>
      <c r="C25592" s="8" t="n">
        <v>15</v>
      </c>
      <c r="D25592" s="8" t="inlineStr">
        <is>
          <t>Disney Adventure World</t>
        </is>
      </c>
      <c r="E25592" s="8" t="inlineStr">
        <is>
          <t>The Twilight Zone Tower of Terror</t>
        </is>
      </c>
      <c r="F25592" s="8" t="inlineStr">
        <is>
          <t>STANDBY</t>
        </is>
      </c>
      <c r="G25592" s="8" t="n">
        <v>45</v>
      </c>
      <c r="H25592" s="8" t="inlineStr">
        <is>
          <t>OPERATING</t>
        </is>
      </c>
    </row>
    <row r="25593">
      <c r="A25593" s="8" t="inlineStr">
        <is>
          <t>2026-08-05</t>
        </is>
      </c>
      <c r="B25593" s="8" t="n">
        <v>16</v>
      </c>
      <c r="C25593" s="8" t="n">
        <v>15</v>
      </c>
      <c r="D25593" s="8" t="inlineStr">
        <is>
          <t>Disney Adventure World</t>
        </is>
      </c>
      <c r="E25593" s="8" t="inlineStr">
        <is>
          <t>Cars Quatre Roues Rallye</t>
        </is>
      </c>
      <c r="F25593" s="8" t="inlineStr">
        <is>
          <t>STANDBY</t>
        </is>
      </c>
      <c r="G25593" s="8" t="n">
        <v>10</v>
      </c>
      <c r="H25593" s="8" t="inlineStr">
        <is>
          <t>OPERATING</t>
        </is>
      </c>
    </row>
    <row r="25594">
      <c r="A25594" s="8" t="inlineStr">
        <is>
          <t>2026-08-05</t>
        </is>
      </c>
      <c r="B25594" s="8" t="n">
        <v>16</v>
      </c>
      <c r="C25594" s="8" t="n">
        <v>15</v>
      </c>
      <c r="D25594" s="8" t="inlineStr">
        <is>
          <t>Disney Adventure World</t>
        </is>
      </c>
      <c r="E25594" s="8" t="inlineStr">
        <is>
          <t>Cars ROAD TRIP</t>
        </is>
      </c>
      <c r="F25594" s="8" t="inlineStr">
        <is>
          <t>STANDBY</t>
        </is>
      </c>
      <c r="G25594" s="8" t="n">
        <v>10</v>
      </c>
      <c r="H25594" s="8" t="inlineStr">
        <is>
          <t>OPERATING</t>
        </is>
      </c>
    </row>
    <row r="25595">
      <c r="A25595" s="8" t="inlineStr">
        <is>
          <t>2026-08-05</t>
        </is>
      </c>
      <c r="B25595" s="8" t="n">
        <v>16</v>
      </c>
      <c r="C25595" s="8" t="n">
        <v>15</v>
      </c>
      <c r="D25595" s="8" t="inlineStr">
        <is>
          <t>Disney Adventure World</t>
        </is>
      </c>
      <c r="E25595" s="8" t="inlineStr">
        <is>
          <t>Crush's Coaster</t>
        </is>
      </c>
      <c r="F25595" s="8" t="inlineStr">
        <is>
          <t>STANDBY</t>
        </is>
      </c>
      <c r="G25595" s="8" t="n">
        <v>75</v>
      </c>
      <c r="H25595" s="8" t="inlineStr">
        <is>
          <t>OPERATING</t>
        </is>
      </c>
    </row>
    <row r="25596">
      <c r="A25596" s="8" t="inlineStr">
        <is>
          <t>2026-08-05</t>
        </is>
      </c>
      <c r="B25596" s="8" t="n">
        <v>16</v>
      </c>
      <c r="C25596" s="8" t="n">
        <v>15</v>
      </c>
      <c r="D25596" s="8" t="inlineStr">
        <is>
          <t>Disney Adventure World</t>
        </is>
      </c>
      <c r="E25596" s="8" t="inlineStr">
        <is>
          <t>Crush's Coaster Single Rider</t>
        </is>
      </c>
      <c r="F25596" s="8" t="inlineStr">
        <is>
          <t>STANDBY</t>
        </is>
      </c>
      <c r="G25596" s="8" t="n">
        <v>50</v>
      </c>
      <c r="H25596" s="8" t="inlineStr">
        <is>
          <t>OPERATING</t>
        </is>
      </c>
    </row>
    <row r="25597">
      <c r="A25597" s="8" t="inlineStr">
        <is>
          <t>2026-08-05</t>
        </is>
      </c>
      <c r="B25597" s="8" t="n">
        <v>16</v>
      </c>
      <c r="C25597" s="8" t="n">
        <v>15</v>
      </c>
      <c r="D25597" s="8" t="inlineStr">
        <is>
          <t>Disney Adventure World</t>
        </is>
      </c>
      <c r="E25597" s="8" t="inlineStr">
        <is>
          <t>Les Tapis Volants - Flying Carpets Over Agrabah®</t>
        </is>
      </c>
      <c r="F25597" s="8" t="inlineStr">
        <is>
          <t>STANDBY</t>
        </is>
      </c>
      <c r="G25597" s="8" t="n">
        <v>25</v>
      </c>
      <c r="H25597" s="8" t="inlineStr">
        <is>
          <t>OPERATING</t>
        </is>
      </c>
    </row>
    <row r="25598">
      <c r="A25598" s="8" t="inlineStr">
        <is>
          <t>2026-08-05</t>
        </is>
      </c>
      <c r="B25598" s="8" t="n">
        <v>16</v>
      </c>
      <c r="C25598" s="8" t="n">
        <v>15</v>
      </c>
      <c r="D25598" s="8" t="inlineStr">
        <is>
          <t>Disney Adventure World</t>
        </is>
      </c>
      <c r="E25598" s="8" t="inlineStr">
        <is>
          <t>Ratatouille : L’Aventure Totalement Toquée de Rémy​</t>
        </is>
      </c>
      <c r="F25598" s="8" t="inlineStr">
        <is>
          <t>STANDBY</t>
        </is>
      </c>
      <c r="G25598" s="8" t="n">
        <v>50</v>
      </c>
      <c r="H25598" s="8" t="inlineStr">
        <is>
          <t>OPERATING</t>
        </is>
      </c>
    </row>
    <row r="25599">
      <c r="A25599" s="8" t="inlineStr">
        <is>
          <t>2026-08-05</t>
        </is>
      </c>
      <c r="B25599" s="8" t="n">
        <v>16</v>
      </c>
      <c r="C25599" s="8" t="n">
        <v>15</v>
      </c>
      <c r="D25599" s="8" t="inlineStr">
        <is>
          <t>Disney Adventure World</t>
        </is>
      </c>
      <c r="E25599" s="8" t="inlineStr">
        <is>
          <t>Ratatouille: The Adventure Single Rider</t>
        </is>
      </c>
      <c r="F25599" s="8" t="inlineStr">
        <is>
          <t>STANDBY</t>
        </is>
      </c>
      <c r="G25599" s="8" t="n">
        <v>35</v>
      </c>
      <c r="H25599" s="8" t="inlineStr">
        <is>
          <t>OPERATING</t>
        </is>
      </c>
    </row>
    <row r="25600">
      <c r="A25600" s="8" t="inlineStr">
        <is>
          <t>2026-08-05</t>
        </is>
      </c>
      <c r="B25600" s="8" t="n">
        <v>16</v>
      </c>
      <c r="C25600" s="8" t="n">
        <v>15</v>
      </c>
      <c r="D25600" s="8" t="inlineStr">
        <is>
          <t>Disney Adventure World</t>
        </is>
      </c>
      <c r="E25600" s="8" t="inlineStr">
        <is>
          <t>RC Racer</t>
        </is>
      </c>
      <c r="F25600" s="8" t="inlineStr">
        <is>
          <t>STANDBY</t>
        </is>
      </c>
      <c r="G25600" s="8" t="n">
        <v>50</v>
      </c>
      <c r="H25600" s="8" t="inlineStr">
        <is>
          <t>OPERATING</t>
        </is>
      </c>
    </row>
    <row r="25601">
      <c r="A25601" s="8" t="inlineStr">
        <is>
          <t>2026-08-05</t>
        </is>
      </c>
      <c r="B25601" s="8" t="n">
        <v>16</v>
      </c>
      <c r="C25601" s="8" t="n">
        <v>15</v>
      </c>
      <c r="D25601" s="8" t="inlineStr">
        <is>
          <t>Disney Adventure World</t>
        </is>
      </c>
      <c r="E25601" s="8" t="inlineStr">
        <is>
          <t>RC Racer Single Rider</t>
        </is>
      </c>
      <c r="F25601" s="8" t="inlineStr">
        <is>
          <t>STANDBY</t>
        </is>
      </c>
      <c r="G25601" s="8" t="n">
        <v>45</v>
      </c>
      <c r="H25601" s="8" t="inlineStr">
        <is>
          <t>OPERATING</t>
        </is>
      </c>
    </row>
    <row r="25602">
      <c r="A25602" s="8" t="inlineStr">
        <is>
          <t>2026-08-05</t>
        </is>
      </c>
      <c r="B25602" s="8" t="n">
        <v>16</v>
      </c>
      <c r="C25602" s="8" t="n">
        <v>15</v>
      </c>
      <c r="D25602" s="8" t="inlineStr">
        <is>
          <t>Disney Adventure World</t>
        </is>
      </c>
      <c r="E25602" s="8" t="inlineStr">
        <is>
          <t>Slinky® Dog Zigzag Spin</t>
        </is>
      </c>
      <c r="F25602" s="8" t="inlineStr">
        <is>
          <t>STANDBY</t>
        </is>
      </c>
      <c r="G25602" s="8" t="n">
        <v>15</v>
      </c>
      <c r="H25602" s="8" t="inlineStr">
        <is>
          <t>OPERATING</t>
        </is>
      </c>
    </row>
    <row r="25603">
      <c r="A25603" s="8" t="inlineStr">
        <is>
          <t>2026-08-05</t>
        </is>
      </c>
      <c r="B25603" s="8" t="n">
        <v>16</v>
      </c>
      <c r="C25603" s="8" t="n">
        <v>15</v>
      </c>
      <c r="D25603" s="8" t="inlineStr">
        <is>
          <t>Disney Adventure World</t>
        </is>
      </c>
      <c r="E25603" s="8" t="inlineStr">
        <is>
          <t>Toy Soldiers Parachute Drop</t>
        </is>
      </c>
      <c r="F25603" s="8" t="inlineStr">
        <is>
          <t>STANDBY</t>
        </is>
      </c>
      <c r="G25603" s="8" t="n">
        <v>35</v>
      </c>
      <c r="H25603" s="8" t="inlineStr">
        <is>
          <t>OPERATING</t>
        </is>
      </c>
    </row>
    <row r="25604">
      <c r="A25604" s="8" t="inlineStr">
        <is>
          <t>2026-08-05</t>
        </is>
      </c>
      <c r="B25604" s="8" t="n">
        <v>16</v>
      </c>
      <c r="C25604" s="8" t="n">
        <v>15</v>
      </c>
      <c r="D25604" s="8" t="inlineStr">
        <is>
          <t>Disney Adventure World</t>
        </is>
      </c>
      <c r="E25604" s="8" t="inlineStr">
        <is>
          <t>Toy Soldiers Parachute Drop Single Rider</t>
        </is>
      </c>
      <c r="F25604" s="8" t="inlineStr">
        <is>
          <t>STANDBY</t>
        </is>
      </c>
      <c r="G25604" s="8" t="n">
        <v>15</v>
      </c>
      <c r="H25604" s="8" t="inlineStr">
        <is>
          <t>OPERATING</t>
        </is>
      </c>
    </row>
    <row r="25605">
      <c r="A25605" s="8" t="inlineStr">
        <is>
          <t>2026-08-05</t>
        </is>
      </c>
      <c r="B25605" s="8" t="n">
        <v>16</v>
      </c>
      <c r="C25605" s="8" t="n">
        <v>15</v>
      </c>
      <c r="D25605" s="8" t="inlineStr">
        <is>
          <t>Disney Adventure World</t>
        </is>
      </c>
      <c r="E25605" s="8" t="inlineStr">
        <is>
          <t>Entry to World of Frozen</t>
        </is>
      </c>
      <c r="F25605" s="8" t="inlineStr">
        <is>
          <t>STANDBY</t>
        </is>
      </c>
      <c r="G25605" s="8" t="n">
        <v>0</v>
      </c>
      <c r="H25605" s="8" t="inlineStr">
        <is>
          <t>OPERATING</t>
        </is>
      </c>
    </row>
    <row r="25606">
      <c r="A25606" s="8" t="inlineStr">
        <is>
          <t>2026-08-05</t>
        </is>
      </c>
      <c r="B25606" s="8" t="n">
        <v>16</v>
      </c>
      <c r="C25606" s="8" t="n">
        <v>15</v>
      </c>
      <c r="D25606" s="8" t="inlineStr">
        <is>
          <t>Disney Adventure World</t>
        </is>
      </c>
      <c r="E25606" s="8" t="inlineStr">
        <is>
          <t>Frozen Ever After</t>
        </is>
      </c>
      <c r="F25606" s="8" t="inlineStr">
        <is>
          <t>STANDBY</t>
        </is>
      </c>
      <c r="G25606" s="8" t="n">
        <v>80</v>
      </c>
      <c r="H25606" s="8" t="inlineStr">
        <is>
          <t>OPERATING</t>
        </is>
      </c>
    </row>
    <row r="25607">
      <c r="A25607" s="8" t="inlineStr">
        <is>
          <t>2026-08-05</t>
        </is>
      </c>
      <c r="B25607" s="8" t="n">
        <v>16</v>
      </c>
      <c r="C25607" s="8" t="n">
        <v>15</v>
      </c>
      <c r="D25607" s="8" t="inlineStr">
        <is>
          <t>Disney Adventure World</t>
        </is>
      </c>
      <c r="E25607" s="8" t="inlineStr">
        <is>
          <t>Raiponce Tangled Spin</t>
        </is>
      </c>
      <c r="F25607" s="8" t="inlineStr">
        <is>
          <t>STANDBY</t>
        </is>
      </c>
      <c r="G25607" s="8" t="n">
        <v>10</v>
      </c>
      <c r="H25607" s="8" t="inlineStr">
        <is>
          <t>OPERATING</t>
        </is>
      </c>
    </row>
    <row r="25608">
      <c r="A25608" s="8" t="inlineStr">
        <is>
          <t>2026-08-05</t>
        </is>
      </c>
      <c r="B25608" s="8" t="n">
        <v>16</v>
      </c>
      <c r="C25608" s="8" t="n">
        <v>31</v>
      </c>
      <c r="D25608" s="8" t="inlineStr">
        <is>
          <t>Disneyland Park</t>
        </is>
      </c>
      <c r="E25608" s="8" t="inlineStr">
        <is>
          <t>Adventure Isle</t>
        </is>
      </c>
      <c r="F25608" s="8" t="inlineStr">
        <is>
          <t>STANDBY</t>
        </is>
      </c>
      <c r="G25608" s="8" t="n">
        <v>0</v>
      </c>
      <c r="H25608" s="8" t="inlineStr">
        <is>
          <t>OPERATING</t>
        </is>
      </c>
    </row>
    <row r="25609">
      <c r="A25609" s="8" t="inlineStr">
        <is>
          <t>2026-08-05</t>
        </is>
      </c>
      <c r="B25609" s="8" t="n">
        <v>16</v>
      </c>
      <c r="C25609" s="8" t="n">
        <v>31</v>
      </c>
      <c r="D25609" s="8" t="inlineStr">
        <is>
          <t>Disneyland Park</t>
        </is>
      </c>
      <c r="E25609" s="8" t="inlineStr">
        <is>
          <t>Indiana Jones and the Temple of Peril Single Rider</t>
        </is>
      </c>
      <c r="F25609" s="8" t="inlineStr">
        <is>
          <t>STANDBY</t>
        </is>
      </c>
      <c r="G25609" s="8" t="n">
        <v>20</v>
      </c>
      <c r="H25609" s="8" t="inlineStr">
        <is>
          <t>OPERATING</t>
        </is>
      </c>
    </row>
    <row r="25610">
      <c r="A25610" s="8" t="inlineStr">
        <is>
          <t>2026-08-05</t>
        </is>
      </c>
      <c r="B25610" s="8" t="n">
        <v>16</v>
      </c>
      <c r="C25610" s="8" t="n">
        <v>31</v>
      </c>
      <c r="D25610" s="8" t="inlineStr">
        <is>
          <t>Disneyland Park</t>
        </is>
      </c>
      <c r="E25610" s="8" t="inlineStr">
        <is>
          <t>Indiana Jones™ and the Temple of Peril</t>
        </is>
      </c>
      <c r="F25610" s="8" t="inlineStr">
        <is>
          <t>STANDBY</t>
        </is>
      </c>
      <c r="G25610" s="8" t="n">
        <v>25</v>
      </c>
      <c r="H25610" s="8" t="inlineStr">
        <is>
          <t>OPERATING</t>
        </is>
      </c>
    </row>
    <row r="25611">
      <c r="A25611" s="8" t="inlineStr">
        <is>
          <t>2026-08-05</t>
        </is>
      </c>
      <c r="B25611" s="8" t="n">
        <v>16</v>
      </c>
      <c r="C25611" s="8" t="n">
        <v>31</v>
      </c>
      <c r="D25611" s="8" t="inlineStr">
        <is>
          <t>Disneyland Park</t>
        </is>
      </c>
      <c r="E25611" s="8" t="inlineStr">
        <is>
          <t>La Cabane des Robinson</t>
        </is>
      </c>
      <c r="F25611" s="8" t="inlineStr">
        <is>
          <t>STANDBY</t>
        </is>
      </c>
      <c r="G25611" s="8" t="n">
        <v>5</v>
      </c>
      <c r="H25611" s="8" t="inlineStr">
        <is>
          <t>OPERATING</t>
        </is>
      </c>
    </row>
    <row r="25612">
      <c r="A25612" s="8" t="inlineStr">
        <is>
          <t>2026-08-05</t>
        </is>
      </c>
      <c r="B25612" s="8" t="n">
        <v>16</v>
      </c>
      <c r="C25612" s="8" t="n">
        <v>31</v>
      </c>
      <c r="D25612" s="8" t="inlineStr">
        <is>
          <t>Disneyland Park</t>
        </is>
      </c>
      <c r="E25612" s="8" t="inlineStr">
        <is>
          <t>Le Passage Enchanté d'Aladdin</t>
        </is>
      </c>
      <c r="F25612" s="8" t="inlineStr">
        <is>
          <t>STANDBY</t>
        </is>
      </c>
      <c r="G25612" s="8" t="n">
        <v>0</v>
      </c>
      <c r="H25612" s="8" t="inlineStr">
        <is>
          <t>OPERATING</t>
        </is>
      </c>
    </row>
    <row r="25613">
      <c r="A25613" s="8" t="inlineStr">
        <is>
          <t>2026-08-05</t>
        </is>
      </c>
      <c r="B25613" s="8" t="n">
        <v>16</v>
      </c>
      <c r="C25613" s="8" t="n">
        <v>31</v>
      </c>
      <c r="D25613" s="8" t="inlineStr">
        <is>
          <t>Disneyland Park</t>
        </is>
      </c>
      <c r="E25613" s="8" t="inlineStr">
        <is>
          <t>Pirate Galleon</t>
        </is>
      </c>
      <c r="F25613" s="8" t="inlineStr">
        <is>
          <t>STANDBY</t>
        </is>
      </c>
      <c r="G25613" s="8" t="n">
        <v>0</v>
      </c>
      <c r="H25613" s="8" t="inlineStr">
        <is>
          <t>CLOSED</t>
        </is>
      </c>
    </row>
    <row r="25614">
      <c r="A25614" s="8" t="inlineStr">
        <is>
          <t>2026-08-05</t>
        </is>
      </c>
      <c r="B25614" s="8" t="n">
        <v>16</v>
      </c>
      <c r="C25614" s="8" t="n">
        <v>31</v>
      </c>
      <c r="D25614" s="8" t="inlineStr">
        <is>
          <t>Disneyland Park</t>
        </is>
      </c>
      <c r="E25614" s="8" t="inlineStr">
        <is>
          <t>Pirates of the Caribbean</t>
        </is>
      </c>
      <c r="F25614" s="8" t="inlineStr">
        <is>
          <t>STANDBY</t>
        </is>
      </c>
      <c r="G25614" s="8" t="n">
        <v>20</v>
      </c>
      <c r="H25614" s="8" t="inlineStr">
        <is>
          <t>OPERATING</t>
        </is>
      </c>
    </row>
    <row r="25615">
      <c r="A25615" s="8" t="inlineStr">
        <is>
          <t>2026-08-05</t>
        </is>
      </c>
      <c r="B25615" s="8" t="n">
        <v>16</v>
      </c>
      <c r="C25615" s="8" t="n">
        <v>31</v>
      </c>
      <c r="D25615" s="8" t="inlineStr">
        <is>
          <t>Disneyland Park</t>
        </is>
      </c>
      <c r="E25615" s="8" t="inlineStr">
        <is>
          <t>Pirates' Beach</t>
        </is>
      </c>
      <c r="F25615" s="8" t="inlineStr">
        <is>
          <t>STANDBY</t>
        </is>
      </c>
      <c r="G25615" s="8" t="n">
        <v>0</v>
      </c>
      <c r="H25615" s="8" t="inlineStr">
        <is>
          <t>OPERATING</t>
        </is>
      </c>
    </row>
    <row r="25616">
      <c r="A25616" s="8" t="inlineStr">
        <is>
          <t>2026-08-05</t>
        </is>
      </c>
      <c r="B25616" s="8" t="n">
        <v>16</v>
      </c>
      <c r="C25616" s="8" t="n">
        <v>31</v>
      </c>
      <c r="D25616" s="8" t="inlineStr">
        <is>
          <t>Disneyland Park</t>
        </is>
      </c>
      <c r="E25616" s="8" t="inlineStr">
        <is>
          <t>Autopia, presented by Avis</t>
        </is>
      </c>
      <c r="F25616" s="8" t="inlineStr">
        <is>
          <t>STANDBY</t>
        </is>
      </c>
      <c r="G25616" s="8" t="n">
        <v>25</v>
      </c>
      <c r="H25616" s="8" t="inlineStr">
        <is>
          <t>OPERATING</t>
        </is>
      </c>
    </row>
    <row r="25617">
      <c r="A25617" s="8" t="inlineStr">
        <is>
          <t>2026-08-05</t>
        </is>
      </c>
      <c r="B25617" s="8" t="n">
        <v>16</v>
      </c>
      <c r="C25617" s="8" t="n">
        <v>31</v>
      </c>
      <c r="D25617" s="8" t="inlineStr">
        <is>
          <t>Disneyland Park</t>
        </is>
      </c>
      <c r="E25617" s="8" t="inlineStr">
        <is>
          <t>Buzz Lightyear Laser Blast</t>
        </is>
      </c>
      <c r="F25617" s="8" t="inlineStr">
        <is>
          <t>STANDBY</t>
        </is>
      </c>
      <c r="G25617" s="8" t="n">
        <v>30</v>
      </c>
      <c r="H25617" s="8" t="inlineStr">
        <is>
          <t>OPERATING</t>
        </is>
      </c>
    </row>
    <row r="25618">
      <c r="A25618" s="8" t="inlineStr">
        <is>
          <t>2026-08-05</t>
        </is>
      </c>
      <c r="B25618" s="8" t="n">
        <v>16</v>
      </c>
      <c r="C25618" s="8" t="n">
        <v>31</v>
      </c>
      <c r="D25618" s="8" t="inlineStr">
        <is>
          <t>Disneyland Park</t>
        </is>
      </c>
      <c r="E25618" s="8" t="inlineStr">
        <is>
          <t>Disneyland Railroad Discoveryland Station</t>
        </is>
      </c>
      <c r="F25618" s="8" t="inlineStr">
        <is>
          <t>STANDBY</t>
        </is>
      </c>
      <c r="G25618" s="8" t="n">
        <v>0</v>
      </c>
      <c r="H25618" s="8" t="inlineStr">
        <is>
          <t>CLOSED</t>
        </is>
      </c>
    </row>
    <row r="25619">
      <c r="A25619" s="8" t="inlineStr">
        <is>
          <t>2026-08-05</t>
        </is>
      </c>
      <c r="B25619" s="8" t="n">
        <v>16</v>
      </c>
      <c r="C25619" s="8" t="n">
        <v>31</v>
      </c>
      <c r="D25619" s="8" t="inlineStr">
        <is>
          <t>Disneyland Park</t>
        </is>
      </c>
      <c r="E25619" s="8" t="inlineStr">
        <is>
          <t>Les Mystères du Nautilus</t>
        </is>
      </c>
      <c r="F25619" s="8" t="inlineStr">
        <is>
          <t>STANDBY</t>
        </is>
      </c>
      <c r="G25619" s="8" t="n">
        <v>5</v>
      </c>
      <c r="H25619" s="8" t="inlineStr">
        <is>
          <t>OPERATING</t>
        </is>
      </c>
    </row>
    <row r="25620">
      <c r="A25620" s="8" t="inlineStr">
        <is>
          <t>2026-08-05</t>
        </is>
      </c>
      <c r="B25620" s="8" t="n">
        <v>16</v>
      </c>
      <c r="C25620" s="8" t="n">
        <v>31</v>
      </c>
      <c r="D25620" s="8" t="inlineStr">
        <is>
          <t>Disneyland Park</t>
        </is>
      </c>
      <c r="E25620" s="8" t="inlineStr">
        <is>
          <t>Mickey’s PhilharMagic</t>
        </is>
      </c>
      <c r="F25620" s="8" t="inlineStr">
        <is>
          <t>STANDBY</t>
        </is>
      </c>
      <c r="G25620" s="8" t="n">
        <v>0</v>
      </c>
      <c r="H25620" s="8" t="inlineStr">
        <is>
          <t>OPERATING</t>
        </is>
      </c>
    </row>
    <row r="25621">
      <c r="A25621" s="8" t="inlineStr">
        <is>
          <t>2026-08-05</t>
        </is>
      </c>
      <c r="B25621" s="8" t="n">
        <v>16</v>
      </c>
      <c r="C25621" s="8" t="n">
        <v>31</v>
      </c>
      <c r="D25621" s="8" t="inlineStr">
        <is>
          <t>Disneyland Park</t>
        </is>
      </c>
      <c r="E25621" s="8" t="inlineStr">
        <is>
          <t>Orbitron®</t>
        </is>
      </c>
      <c r="F25621" s="8" t="inlineStr">
        <is>
          <t>STANDBY</t>
        </is>
      </c>
      <c r="G25621" s="8" t="n">
        <v>50</v>
      </c>
      <c r="H25621" s="8" t="inlineStr">
        <is>
          <t>OPERATING</t>
        </is>
      </c>
    </row>
    <row r="25622">
      <c r="A25622" s="8" t="inlineStr">
        <is>
          <t>2026-08-05</t>
        </is>
      </c>
      <c r="B25622" s="8" t="n">
        <v>16</v>
      </c>
      <c r="C25622" s="8" t="n">
        <v>31</v>
      </c>
      <c r="D25622" s="8" t="inlineStr">
        <is>
          <t>Disneyland Park</t>
        </is>
      </c>
      <c r="E25622" s="8" t="inlineStr">
        <is>
          <t>Star Tours: The Adventures Continue*</t>
        </is>
      </c>
      <c r="F25622" s="8" t="inlineStr">
        <is>
          <t>STANDBY</t>
        </is>
      </c>
      <c r="G25622" s="8" t="n">
        <v>15</v>
      </c>
      <c r="H25622" s="8" t="inlineStr">
        <is>
          <t>OPERATING</t>
        </is>
      </c>
    </row>
    <row r="25623">
      <c r="A25623" s="8" t="inlineStr">
        <is>
          <t>2026-08-05</t>
        </is>
      </c>
      <c r="B25623" s="8" t="n">
        <v>16</v>
      </c>
      <c r="C25623" s="8" t="n">
        <v>31</v>
      </c>
      <c r="D25623" s="8" t="inlineStr">
        <is>
          <t>Disneyland Park</t>
        </is>
      </c>
      <c r="E25623" s="8" t="inlineStr">
        <is>
          <t>Star Wars Hyperspace Mountain</t>
        </is>
      </c>
      <c r="F25623" s="8" t="inlineStr">
        <is>
          <t>STANDBY</t>
        </is>
      </c>
      <c r="G25623" s="8" t="n">
        <v>40</v>
      </c>
      <c r="H25623" s="8" t="inlineStr">
        <is>
          <t>OPERATING</t>
        </is>
      </c>
    </row>
    <row r="25624">
      <c r="A25624" s="8" t="inlineStr">
        <is>
          <t>2026-08-05</t>
        </is>
      </c>
      <c r="B25624" s="8" t="n">
        <v>16</v>
      </c>
      <c r="C25624" s="8" t="n">
        <v>31</v>
      </c>
      <c r="D25624" s="8" t="inlineStr">
        <is>
          <t>Disneyland Park</t>
        </is>
      </c>
      <c r="E25624" s="8" t="inlineStr">
        <is>
          <t>Star Wars Hyperspace Mountain Single Rider</t>
        </is>
      </c>
      <c r="F25624" s="8" t="inlineStr">
        <is>
          <t>STANDBY</t>
        </is>
      </c>
      <c r="G25624" s="8" t="n">
        <v>30</v>
      </c>
      <c r="H25624" s="8" t="inlineStr">
        <is>
          <t>OPERATING</t>
        </is>
      </c>
    </row>
    <row r="25625">
      <c r="A25625" s="8" t="inlineStr">
        <is>
          <t>2026-08-05</t>
        </is>
      </c>
      <c r="B25625" s="8" t="n">
        <v>16</v>
      </c>
      <c r="C25625" s="8" t="n">
        <v>31</v>
      </c>
      <c r="D25625" s="8" t="inlineStr">
        <is>
          <t>Disneyland Park</t>
        </is>
      </c>
      <c r="E25625" s="8" t="inlineStr">
        <is>
          <t>Welcome to Starport: A Star Wars Encounter</t>
        </is>
      </c>
      <c r="F25625" s="8" t="inlineStr">
        <is>
          <t>STANDBY</t>
        </is>
      </c>
      <c r="G25625" s="8" t="n">
        <v>20</v>
      </c>
      <c r="H25625" s="8" t="inlineStr">
        <is>
          <t>OPERATING</t>
        </is>
      </c>
    </row>
    <row r="25626">
      <c r="A25626" s="8" t="inlineStr">
        <is>
          <t>2026-08-05</t>
        </is>
      </c>
      <c r="B25626" s="8" t="n">
        <v>16</v>
      </c>
      <c r="C25626" s="8" t="n">
        <v>31</v>
      </c>
      <c r="D25626" s="8" t="inlineStr">
        <is>
          <t>Disneyland Park</t>
        </is>
      </c>
      <c r="E25626" s="8" t="inlineStr">
        <is>
          <t>"it's a small world"</t>
        </is>
      </c>
      <c r="F25626" s="8" t="inlineStr">
        <is>
          <t>STANDBY</t>
        </is>
      </c>
      <c r="G25626" s="8" t="n">
        <v>10</v>
      </c>
      <c r="H25626" s="8" t="inlineStr">
        <is>
          <t>OPERATING</t>
        </is>
      </c>
    </row>
    <row r="25627">
      <c r="A25627" s="8" t="inlineStr">
        <is>
          <t>2026-08-05</t>
        </is>
      </c>
      <c r="B25627" s="8" t="n">
        <v>16</v>
      </c>
      <c r="C25627" s="8" t="n">
        <v>31</v>
      </c>
      <c r="D25627" s="8" t="inlineStr">
        <is>
          <t>Disneyland Park</t>
        </is>
      </c>
      <c r="E25627" s="8" t="inlineStr">
        <is>
          <t>Alice's Curious Labyrinth</t>
        </is>
      </c>
      <c r="F25627" s="8" t="inlineStr">
        <is>
          <t>STANDBY</t>
        </is>
      </c>
      <c r="G25627" s="8" t="n">
        <v>5</v>
      </c>
      <c r="H25627" s="8" t="inlineStr">
        <is>
          <t>OPERATING</t>
        </is>
      </c>
    </row>
    <row r="25628">
      <c r="A25628" s="8" t="inlineStr">
        <is>
          <t>2026-08-05</t>
        </is>
      </c>
      <c r="B25628" s="8" t="n">
        <v>16</v>
      </c>
      <c r="C25628" s="8" t="n">
        <v>31</v>
      </c>
      <c r="D25628" s="8" t="inlineStr">
        <is>
          <t>Disneyland Park</t>
        </is>
      </c>
      <c r="E25628" s="8" t="inlineStr">
        <is>
          <t>Blanche-Neige et les Sept Nains®</t>
        </is>
      </c>
      <c r="F25628" s="8" t="inlineStr">
        <is>
          <t>STANDBY</t>
        </is>
      </c>
      <c r="G25628" s="8" t="n">
        <v>15</v>
      </c>
      <c r="H25628" s="8" t="inlineStr">
        <is>
          <t>OPERATING</t>
        </is>
      </c>
    </row>
    <row r="25629">
      <c r="A25629" s="8" t="inlineStr">
        <is>
          <t>2026-08-05</t>
        </is>
      </c>
      <c r="B25629" s="8" t="n">
        <v>16</v>
      </c>
      <c r="C25629" s="8" t="n">
        <v>31</v>
      </c>
      <c r="D25629" s="8" t="inlineStr">
        <is>
          <t>Disneyland Park</t>
        </is>
      </c>
      <c r="E25629" s="8" t="inlineStr">
        <is>
          <t>Casey Jr. – le Petit Train du Cirque</t>
        </is>
      </c>
      <c r="F25629" s="8" t="inlineStr">
        <is>
          <t>STANDBY</t>
        </is>
      </c>
      <c r="G25629" s="8" t="n">
        <v>20</v>
      </c>
      <c r="H25629" s="8" t="inlineStr">
        <is>
          <t>OPERATING</t>
        </is>
      </c>
    </row>
    <row r="25630">
      <c r="A25630" s="8" t="inlineStr">
        <is>
          <t>2026-08-05</t>
        </is>
      </c>
      <c r="B25630" s="8" t="n">
        <v>16</v>
      </c>
      <c r="C25630" s="8" t="n">
        <v>31</v>
      </c>
      <c r="D25630" s="8" t="inlineStr">
        <is>
          <t>Disneyland Park</t>
        </is>
      </c>
      <c r="E25630" s="8" t="inlineStr">
        <is>
          <t>Disneyland Railroad Fantasyland Station</t>
        </is>
      </c>
      <c r="F25630" s="8" t="inlineStr">
        <is>
          <t>STANDBY</t>
        </is>
      </c>
      <c r="G25630" s="8" t="n">
        <v>0</v>
      </c>
      <c r="H25630" s="8" t="inlineStr">
        <is>
          <t>CLOSED</t>
        </is>
      </c>
    </row>
    <row r="25631">
      <c r="A25631" s="8" t="inlineStr">
        <is>
          <t>2026-08-05</t>
        </is>
      </c>
      <c r="B25631" s="8" t="n">
        <v>16</v>
      </c>
      <c r="C25631" s="8" t="n">
        <v>31</v>
      </c>
      <c r="D25631" s="8" t="inlineStr">
        <is>
          <t>Disneyland Park</t>
        </is>
      </c>
      <c r="E25631" s="8" t="inlineStr">
        <is>
          <t>Disneyland Railroad Main Street Station</t>
        </is>
      </c>
      <c r="F25631" s="8" t="inlineStr">
        <is>
          <t>STANDBY</t>
        </is>
      </c>
      <c r="G25631" s="8" t="n">
        <v>20</v>
      </c>
      <c r="H25631" s="8" t="inlineStr">
        <is>
          <t>OPERATING</t>
        </is>
      </c>
    </row>
    <row r="25632">
      <c r="A25632" s="8" t="inlineStr">
        <is>
          <t>2026-08-05</t>
        </is>
      </c>
      <c r="B25632" s="8" t="n">
        <v>16</v>
      </c>
      <c r="C25632" s="8" t="n">
        <v>31</v>
      </c>
      <c r="D25632" s="8" t="inlineStr">
        <is>
          <t>Disneyland Park</t>
        </is>
      </c>
      <c r="E25632" s="8" t="inlineStr">
        <is>
          <t>Dumbo the Flying Elephant</t>
        </is>
      </c>
      <c r="F25632" s="8" t="inlineStr">
        <is>
          <t>STANDBY</t>
        </is>
      </c>
      <c r="G25632" s="8" t="n">
        <v>35</v>
      </c>
      <c r="H25632" s="8" t="inlineStr">
        <is>
          <t>OPERATING</t>
        </is>
      </c>
    </row>
    <row r="25633">
      <c r="A25633" s="8" t="inlineStr">
        <is>
          <t>2026-08-05</t>
        </is>
      </c>
      <c r="B25633" s="8" t="n">
        <v>16</v>
      </c>
      <c r="C25633" s="8" t="n">
        <v>31</v>
      </c>
      <c r="D25633" s="8" t="inlineStr">
        <is>
          <t>Disneyland Park</t>
        </is>
      </c>
      <c r="E25633" s="8" t="inlineStr">
        <is>
          <t>La Tanière du Dragon</t>
        </is>
      </c>
      <c r="F25633" s="8" t="inlineStr">
        <is>
          <t>STANDBY</t>
        </is>
      </c>
      <c r="G25633" s="8" t="n">
        <v>0</v>
      </c>
      <c r="H25633" s="8" t="inlineStr">
        <is>
          <t>OPERATING</t>
        </is>
      </c>
    </row>
    <row r="25634">
      <c r="A25634" s="8" t="inlineStr">
        <is>
          <t>2026-08-05</t>
        </is>
      </c>
      <c r="B25634" s="8" t="n">
        <v>16</v>
      </c>
      <c r="C25634" s="8" t="n">
        <v>31</v>
      </c>
      <c r="D25634" s="8" t="inlineStr">
        <is>
          <t>Disneyland Park</t>
        </is>
      </c>
      <c r="E25634" s="8" t="inlineStr">
        <is>
          <t>Le Carrousel de Lancelot</t>
        </is>
      </c>
      <c r="F25634" s="8" t="inlineStr">
        <is>
          <t>STANDBY</t>
        </is>
      </c>
      <c r="G25634" s="8" t="n">
        <v>15</v>
      </c>
      <c r="H25634" s="8" t="inlineStr">
        <is>
          <t>OPERATING</t>
        </is>
      </c>
    </row>
    <row r="25635">
      <c r="A25635" s="8" t="inlineStr">
        <is>
          <t>2026-08-05</t>
        </is>
      </c>
      <c r="B25635" s="8" t="n">
        <v>16</v>
      </c>
      <c r="C25635" s="8" t="n">
        <v>31</v>
      </c>
      <c r="D25635" s="8" t="inlineStr">
        <is>
          <t>Disneyland Park</t>
        </is>
      </c>
      <c r="E25635" s="8" t="inlineStr">
        <is>
          <t>Le Pays des Contes de Fées, presented by Vittel</t>
        </is>
      </c>
      <c r="F25635" s="8" t="inlineStr">
        <is>
          <t>STANDBY</t>
        </is>
      </c>
      <c r="G25635" s="8" t="n">
        <v>5</v>
      </c>
      <c r="H25635" s="8" t="inlineStr">
        <is>
          <t>OPERATING</t>
        </is>
      </c>
    </row>
    <row r="25636">
      <c r="A25636" s="8" t="inlineStr">
        <is>
          <t>2026-08-05</t>
        </is>
      </c>
      <c r="B25636" s="8" t="n">
        <v>16</v>
      </c>
      <c r="C25636" s="8" t="n">
        <v>31</v>
      </c>
      <c r="D25636" s="8" t="inlineStr">
        <is>
          <t>Disneyland Park</t>
        </is>
      </c>
      <c r="E25636" s="8" t="inlineStr">
        <is>
          <t>Les Voyages de Pinocchio</t>
        </is>
      </c>
      <c r="F25636" s="8" t="inlineStr">
        <is>
          <t>STANDBY</t>
        </is>
      </c>
      <c r="G25636" s="8" t="n">
        <v>30</v>
      </c>
      <c r="H25636" s="8" t="inlineStr">
        <is>
          <t>OPERATING</t>
        </is>
      </c>
    </row>
    <row r="25637">
      <c r="A25637" s="8" t="inlineStr">
        <is>
          <t>2026-08-05</t>
        </is>
      </c>
      <c r="B25637" s="8" t="n">
        <v>16</v>
      </c>
      <c r="C25637" s="8" t="n">
        <v>31</v>
      </c>
      <c r="D25637" s="8" t="inlineStr">
        <is>
          <t>Disneyland Park</t>
        </is>
      </c>
      <c r="E25637" s="8" t="inlineStr">
        <is>
          <t>Mad Hatter's Tea Cups</t>
        </is>
      </c>
      <c r="F25637" s="8" t="inlineStr">
        <is>
          <t>STANDBY</t>
        </is>
      </c>
      <c r="G25637" s="8" t="n">
        <v>10</v>
      </c>
      <c r="H25637" s="8" t="inlineStr">
        <is>
          <t>OPERATING</t>
        </is>
      </c>
    </row>
    <row r="25638">
      <c r="A25638" s="8" t="inlineStr">
        <is>
          <t>2026-08-05</t>
        </is>
      </c>
      <c r="B25638" s="8" t="n">
        <v>16</v>
      </c>
      <c r="C25638" s="8" t="n">
        <v>31</v>
      </c>
      <c r="D25638" s="8" t="inlineStr">
        <is>
          <t>Disneyland Park</t>
        </is>
      </c>
      <c r="E25638" s="8" t="inlineStr">
        <is>
          <t>Meet Mickey Mouse</t>
        </is>
      </c>
      <c r="F25638" s="8" t="inlineStr">
        <is>
          <t>STANDBY</t>
        </is>
      </c>
      <c r="G25638" s="8" t="n">
        <v>0</v>
      </c>
      <c r="H25638" s="8" t="inlineStr">
        <is>
          <t>OPERATING</t>
        </is>
      </c>
    </row>
    <row r="25639">
      <c r="A25639" s="8" t="inlineStr">
        <is>
          <t>2026-08-05</t>
        </is>
      </c>
      <c r="B25639" s="8" t="n">
        <v>16</v>
      </c>
      <c r="C25639" s="8" t="n">
        <v>31</v>
      </c>
      <c r="D25639" s="8" t="inlineStr">
        <is>
          <t>Disneyland Park</t>
        </is>
      </c>
      <c r="E25639" s="8" t="inlineStr">
        <is>
          <t>Peter Pan's Flight</t>
        </is>
      </c>
      <c r="F25639" s="8" t="inlineStr">
        <is>
          <t>STANDBY</t>
        </is>
      </c>
      <c r="G25639" s="8" t="n">
        <v>70</v>
      </c>
      <c r="H25639" s="8" t="inlineStr">
        <is>
          <t>OPERATING</t>
        </is>
      </c>
    </row>
    <row r="25640">
      <c r="A25640" s="8" t="inlineStr">
        <is>
          <t>2026-08-05</t>
        </is>
      </c>
      <c r="B25640" s="8" t="n">
        <v>16</v>
      </c>
      <c r="C25640" s="8" t="n">
        <v>31</v>
      </c>
      <c r="D25640" s="8" t="inlineStr">
        <is>
          <t>Disneyland Park</t>
        </is>
      </c>
      <c r="E25640" s="8" t="inlineStr">
        <is>
          <t>Princess Pavilion</t>
        </is>
      </c>
      <c r="F25640" s="8" t="inlineStr">
        <is>
          <t>STANDBY</t>
        </is>
      </c>
      <c r="G25640" s="8" t="n">
        <v>0</v>
      </c>
      <c r="H25640" s="8" t="inlineStr">
        <is>
          <t>OPERATING</t>
        </is>
      </c>
    </row>
    <row r="25641">
      <c r="A25641" s="8" t="inlineStr">
        <is>
          <t>2026-08-05</t>
        </is>
      </c>
      <c r="B25641" s="8" t="n">
        <v>16</v>
      </c>
      <c r="C25641" s="8" t="n">
        <v>31</v>
      </c>
      <c r="D25641" s="8" t="inlineStr">
        <is>
          <t>Disneyland Park</t>
        </is>
      </c>
      <c r="E25641" s="8" t="inlineStr">
        <is>
          <t>Big Thunder Mountain</t>
        </is>
      </c>
      <c r="F25641" s="8" t="inlineStr">
        <is>
          <t>STANDBY</t>
        </is>
      </c>
      <c r="G25641" s="8" t="n">
        <v>60</v>
      </c>
      <c r="H25641" s="8" t="inlineStr">
        <is>
          <t>OPERATING</t>
        </is>
      </c>
    </row>
    <row r="25642">
      <c r="A25642" s="8" t="inlineStr">
        <is>
          <t>2026-08-05</t>
        </is>
      </c>
      <c r="B25642" s="8" t="n">
        <v>16</v>
      </c>
      <c r="C25642" s="8" t="n">
        <v>31</v>
      </c>
      <c r="D25642" s="8" t="inlineStr">
        <is>
          <t>Disneyland Park</t>
        </is>
      </c>
      <c r="E25642" s="8" t="inlineStr">
        <is>
          <t>Disneyland Railroad Frontierland Depot</t>
        </is>
      </c>
      <c r="F25642" s="8" t="inlineStr">
        <is>
          <t>STANDBY</t>
        </is>
      </c>
      <c r="G25642" s="8" t="n">
        <v>20</v>
      </c>
      <c r="H25642" s="8" t="inlineStr">
        <is>
          <t>OPERATING</t>
        </is>
      </c>
    </row>
    <row r="25643">
      <c r="A25643" s="8" t="inlineStr">
        <is>
          <t>2026-08-05</t>
        </is>
      </c>
      <c r="B25643" s="8" t="n">
        <v>16</v>
      </c>
      <c r="C25643" s="8" t="n">
        <v>31</v>
      </c>
      <c r="D25643" s="8" t="inlineStr">
        <is>
          <t>Disneyland Park</t>
        </is>
      </c>
      <c r="E25643" s="8" t="inlineStr">
        <is>
          <t>Frontierland Playground</t>
        </is>
      </c>
      <c r="F25643" s="8" t="inlineStr">
        <is>
          <t>STANDBY</t>
        </is>
      </c>
      <c r="G25643" s="8" t="n">
        <v>0</v>
      </c>
      <c r="H25643" s="8" t="inlineStr">
        <is>
          <t>OPERATING</t>
        </is>
      </c>
    </row>
    <row r="25644">
      <c r="A25644" s="8" t="inlineStr">
        <is>
          <t>2026-08-05</t>
        </is>
      </c>
      <c r="B25644" s="8" t="n">
        <v>16</v>
      </c>
      <c r="C25644" s="8" t="n">
        <v>31</v>
      </c>
      <c r="D25644" s="8" t="inlineStr">
        <is>
          <t>Disneyland Park</t>
        </is>
      </c>
      <c r="E25644" s="8" t="inlineStr">
        <is>
          <t>Phantom Manor</t>
        </is>
      </c>
      <c r="F25644" s="8" t="inlineStr">
        <is>
          <t>STANDBY</t>
        </is>
      </c>
      <c r="G25644" s="8" t="n">
        <v>25</v>
      </c>
      <c r="H25644" s="8" t="inlineStr">
        <is>
          <t>OPERATING</t>
        </is>
      </c>
    </row>
    <row r="25645">
      <c r="A25645" s="8" t="inlineStr">
        <is>
          <t>2026-08-05</t>
        </is>
      </c>
      <c r="B25645" s="8" t="n">
        <v>16</v>
      </c>
      <c r="C25645" s="8" t="n">
        <v>31</v>
      </c>
      <c r="D25645" s="8" t="inlineStr">
        <is>
          <t>Disneyland Park</t>
        </is>
      </c>
      <c r="E25645" s="8" t="inlineStr">
        <is>
          <t>River Rogue Keelboats</t>
        </is>
      </c>
      <c r="F25645" s="8" t="inlineStr">
        <is>
          <t>STANDBY</t>
        </is>
      </c>
      <c r="G25645" s="8" t="n">
        <v>0</v>
      </c>
      <c r="H25645" s="8" t="inlineStr">
        <is>
          <t>CLOSED</t>
        </is>
      </c>
    </row>
    <row r="25646">
      <c r="A25646" s="8" t="inlineStr">
        <is>
          <t>2026-08-05</t>
        </is>
      </c>
      <c r="B25646" s="8" t="n">
        <v>16</v>
      </c>
      <c r="C25646" s="8" t="n">
        <v>31</v>
      </c>
      <c r="D25646" s="8" t="inlineStr">
        <is>
          <t>Disneyland Park</t>
        </is>
      </c>
      <c r="E25646" s="8" t="inlineStr">
        <is>
          <t>Rustler Roundup Shootin' Gallery</t>
        </is>
      </c>
      <c r="F25646" s="8" t="inlineStr">
        <is>
          <t>STANDBY</t>
        </is>
      </c>
      <c r="G25646" s="8" t="n">
        <v>0</v>
      </c>
      <c r="H25646" s="8" t="inlineStr">
        <is>
          <t>OPERATING</t>
        </is>
      </c>
    </row>
    <row r="25647">
      <c r="A25647" s="8" t="inlineStr">
        <is>
          <t>2026-08-05</t>
        </is>
      </c>
      <c r="B25647" s="8" t="n">
        <v>16</v>
      </c>
      <c r="C25647" s="8" t="n">
        <v>31</v>
      </c>
      <c r="D25647" s="8" t="inlineStr">
        <is>
          <t>Disneyland Park</t>
        </is>
      </c>
      <c r="E25647" s="8" t="inlineStr">
        <is>
          <t>Thunder Mesa Riverboat Landing</t>
        </is>
      </c>
      <c r="F25647" s="8" t="inlineStr">
        <is>
          <t>STANDBY</t>
        </is>
      </c>
      <c r="G25647" s="8" t="n">
        <v>20</v>
      </c>
      <c r="H25647" s="8" t="inlineStr">
        <is>
          <t>OPERATING</t>
        </is>
      </c>
    </row>
    <row r="25648">
      <c r="A25648" s="8" t="inlineStr">
        <is>
          <t>2026-08-05</t>
        </is>
      </c>
      <c r="B25648" s="8" t="n">
        <v>16</v>
      </c>
      <c r="C25648" s="8" t="n">
        <v>31</v>
      </c>
      <c r="D25648" s="8" t="inlineStr">
        <is>
          <t>Disneyland Park</t>
        </is>
      </c>
      <c r="E25648" s="8" t="inlineStr">
        <is>
          <t>Disneyland Railroad Main Street Station</t>
        </is>
      </c>
      <c r="F25648" s="8" t="inlineStr">
        <is>
          <t>STANDBY</t>
        </is>
      </c>
      <c r="G25648" s="8" t="n">
        <v>0</v>
      </c>
      <c r="H25648" s="8" t="inlineStr">
        <is>
          <t>OPERATING</t>
        </is>
      </c>
    </row>
    <row r="25649">
      <c r="A25649" s="8" t="inlineStr">
        <is>
          <t>2026-08-05</t>
        </is>
      </c>
      <c r="B25649" s="8" t="n">
        <v>16</v>
      </c>
      <c r="C25649" s="8" t="n">
        <v>31</v>
      </c>
      <c r="D25649" s="8" t="inlineStr">
        <is>
          <t>Disneyland Park</t>
        </is>
      </c>
      <c r="E25649" s="8" t="inlineStr">
        <is>
          <t>Main Street Vehicles</t>
        </is>
      </c>
      <c r="F25649" s="8" t="inlineStr">
        <is>
          <t>STANDBY</t>
        </is>
      </c>
      <c r="G25649" s="8" t="n">
        <v>0</v>
      </c>
      <c r="H25649" s="8" t="inlineStr">
        <is>
          <t>CLOSED</t>
        </is>
      </c>
    </row>
    <row r="25650">
      <c r="A25650" s="8" t="inlineStr">
        <is>
          <t>2026-08-05</t>
        </is>
      </c>
      <c r="B25650" s="8" t="n">
        <v>16</v>
      </c>
      <c r="C25650" s="8" t="n">
        <v>31</v>
      </c>
      <c r="D25650" s="8" t="inlineStr">
        <is>
          <t>Disney Adventure World</t>
        </is>
      </c>
      <c r="E25650" s="8" t="inlineStr">
        <is>
          <t>Avengers Assemble: Flight Force</t>
        </is>
      </c>
      <c r="F25650" s="8" t="inlineStr">
        <is>
          <t>STANDBY</t>
        </is>
      </c>
      <c r="G25650" s="8" t="n">
        <v>30</v>
      </c>
      <c r="H25650" s="8" t="inlineStr">
        <is>
          <t>OPERATING</t>
        </is>
      </c>
    </row>
    <row r="25651">
      <c r="A25651" s="8" t="inlineStr">
        <is>
          <t>2026-08-05</t>
        </is>
      </c>
      <c r="B25651" s="8" t="n">
        <v>16</v>
      </c>
      <c r="C25651" s="8" t="n">
        <v>31</v>
      </c>
      <c r="D25651" s="8" t="inlineStr">
        <is>
          <t>Disney Adventure World</t>
        </is>
      </c>
      <c r="E25651" s="8" t="inlineStr">
        <is>
          <t>Avengers Assemble: Flight Force Single Rider</t>
        </is>
      </c>
      <c r="F25651" s="8" t="inlineStr">
        <is>
          <t>STANDBY</t>
        </is>
      </c>
      <c r="G25651" s="8" t="n">
        <v>20</v>
      </c>
      <c r="H25651" s="8" t="inlineStr">
        <is>
          <t>OPERATING</t>
        </is>
      </c>
    </row>
    <row r="25652">
      <c r="A25652" s="8" t="inlineStr">
        <is>
          <t>2026-08-05</t>
        </is>
      </c>
      <c r="B25652" s="8" t="n">
        <v>16</v>
      </c>
      <c r="C25652" s="8" t="n">
        <v>31</v>
      </c>
      <c r="D25652" s="8" t="inlineStr">
        <is>
          <t>Disney Adventure World</t>
        </is>
      </c>
      <c r="E25652" s="8" t="inlineStr">
        <is>
          <t>Spider-Man W.E.B. Adventure</t>
        </is>
      </c>
      <c r="F25652" s="8" t="inlineStr">
        <is>
          <t>STANDBY</t>
        </is>
      </c>
      <c r="G25652" s="8" t="n">
        <v>45</v>
      </c>
      <c r="H25652" s="8" t="inlineStr">
        <is>
          <t>OPERATING</t>
        </is>
      </c>
    </row>
    <row r="25653">
      <c r="A25653" s="8" t="inlineStr">
        <is>
          <t>2026-08-05</t>
        </is>
      </c>
      <c r="B25653" s="8" t="n">
        <v>16</v>
      </c>
      <c r="C25653" s="8" t="n">
        <v>31</v>
      </c>
      <c r="D25653" s="8" t="inlineStr">
        <is>
          <t>Disney Adventure World</t>
        </is>
      </c>
      <c r="E25653" s="8" t="inlineStr">
        <is>
          <t>Spider-Man W.E.B. Adventure Single Rider</t>
        </is>
      </c>
      <c r="F25653" s="8" t="inlineStr">
        <is>
          <t>STANDBY</t>
        </is>
      </c>
      <c r="G25653" s="8" t="n">
        <v>25</v>
      </c>
      <c r="H25653" s="8" t="inlineStr">
        <is>
          <t>OPERATING</t>
        </is>
      </c>
    </row>
    <row r="25654">
      <c r="A25654" s="8" t="inlineStr">
        <is>
          <t>2026-08-05</t>
        </is>
      </c>
      <c r="B25654" s="8" t="n">
        <v>16</v>
      </c>
      <c r="C25654" s="8" t="n">
        <v>31</v>
      </c>
      <c r="D25654" s="8" t="inlineStr">
        <is>
          <t>Disney Adventure World</t>
        </is>
      </c>
      <c r="E25654" s="8" t="inlineStr">
        <is>
          <t>The Twilight Zone Tower of Terror</t>
        </is>
      </c>
      <c r="F25654" s="8" t="inlineStr">
        <is>
          <t>STANDBY</t>
        </is>
      </c>
      <c r="G25654" s="8" t="n">
        <v>45</v>
      </c>
      <c r="H25654" s="8" t="inlineStr">
        <is>
          <t>OPERATING</t>
        </is>
      </c>
    </row>
    <row r="25655">
      <c r="A25655" s="8" t="inlineStr">
        <is>
          <t>2026-08-05</t>
        </is>
      </c>
      <c r="B25655" s="8" t="n">
        <v>16</v>
      </c>
      <c r="C25655" s="8" t="n">
        <v>31</v>
      </c>
      <c r="D25655" s="8" t="inlineStr">
        <is>
          <t>Disney Adventure World</t>
        </is>
      </c>
      <c r="E25655" s="8" t="inlineStr">
        <is>
          <t>Cars Quatre Roues Rallye</t>
        </is>
      </c>
      <c r="F25655" s="8" t="inlineStr">
        <is>
          <t>STANDBY</t>
        </is>
      </c>
      <c r="G25655" s="8" t="n">
        <v>10</v>
      </c>
      <c r="H25655" s="8" t="inlineStr">
        <is>
          <t>OPERATING</t>
        </is>
      </c>
    </row>
    <row r="25656">
      <c r="A25656" s="8" t="inlineStr">
        <is>
          <t>2026-08-05</t>
        </is>
      </c>
      <c r="B25656" s="8" t="n">
        <v>16</v>
      </c>
      <c r="C25656" s="8" t="n">
        <v>31</v>
      </c>
      <c r="D25656" s="8" t="inlineStr">
        <is>
          <t>Disney Adventure World</t>
        </is>
      </c>
      <c r="E25656" s="8" t="inlineStr">
        <is>
          <t>Cars ROAD TRIP</t>
        </is>
      </c>
      <c r="F25656" s="8" t="inlineStr">
        <is>
          <t>STANDBY</t>
        </is>
      </c>
      <c r="G25656" s="8" t="n">
        <v>20</v>
      </c>
      <c r="H25656" s="8" t="inlineStr">
        <is>
          <t>OPERATING</t>
        </is>
      </c>
    </row>
    <row r="25657">
      <c r="A25657" s="8" t="inlineStr">
        <is>
          <t>2026-08-05</t>
        </is>
      </c>
      <c r="B25657" s="8" t="n">
        <v>16</v>
      </c>
      <c r="C25657" s="8" t="n">
        <v>31</v>
      </c>
      <c r="D25657" s="8" t="inlineStr">
        <is>
          <t>Disney Adventure World</t>
        </is>
      </c>
      <c r="E25657" s="8" t="inlineStr">
        <is>
          <t>Crush's Coaster</t>
        </is>
      </c>
      <c r="F25657" s="8" t="inlineStr">
        <is>
          <t>STANDBY</t>
        </is>
      </c>
      <c r="G25657" s="8" t="n">
        <v>75</v>
      </c>
      <c r="H25657" s="8" t="inlineStr">
        <is>
          <t>OPERATING</t>
        </is>
      </c>
    </row>
    <row r="25658">
      <c r="A25658" s="8" t="inlineStr">
        <is>
          <t>2026-08-05</t>
        </is>
      </c>
      <c r="B25658" s="8" t="n">
        <v>16</v>
      </c>
      <c r="C25658" s="8" t="n">
        <v>31</v>
      </c>
      <c r="D25658" s="8" t="inlineStr">
        <is>
          <t>Disney Adventure World</t>
        </is>
      </c>
      <c r="E25658" s="8" t="inlineStr">
        <is>
          <t>Crush's Coaster Single Rider</t>
        </is>
      </c>
      <c r="F25658" s="8" t="inlineStr">
        <is>
          <t>STANDBY</t>
        </is>
      </c>
      <c r="G25658" s="8" t="n">
        <v>40</v>
      </c>
      <c r="H25658" s="8" t="inlineStr">
        <is>
          <t>OPERATING</t>
        </is>
      </c>
    </row>
    <row r="25659">
      <c r="A25659" s="8" t="inlineStr">
        <is>
          <t>2026-08-05</t>
        </is>
      </c>
      <c r="B25659" s="8" t="n">
        <v>16</v>
      </c>
      <c r="C25659" s="8" t="n">
        <v>31</v>
      </c>
      <c r="D25659" s="8" t="inlineStr">
        <is>
          <t>Disney Adventure World</t>
        </is>
      </c>
      <c r="E25659" s="8" t="inlineStr">
        <is>
          <t>Les Tapis Volants - Flying Carpets Over Agrabah®</t>
        </is>
      </c>
      <c r="F25659" s="8" t="inlineStr">
        <is>
          <t>STANDBY</t>
        </is>
      </c>
      <c r="G25659" s="8" t="n">
        <v>20</v>
      </c>
      <c r="H25659" s="8" t="inlineStr">
        <is>
          <t>OPERATING</t>
        </is>
      </c>
    </row>
    <row r="25660">
      <c r="A25660" s="8" t="inlineStr">
        <is>
          <t>2026-08-05</t>
        </is>
      </c>
      <c r="B25660" s="8" t="n">
        <v>16</v>
      </c>
      <c r="C25660" s="8" t="n">
        <v>31</v>
      </c>
      <c r="D25660" s="8" t="inlineStr">
        <is>
          <t>Disney Adventure World</t>
        </is>
      </c>
      <c r="E25660" s="8" t="inlineStr">
        <is>
          <t>Ratatouille : L’Aventure Totalement Toquée de Rémy​</t>
        </is>
      </c>
      <c r="F25660" s="8" t="inlineStr">
        <is>
          <t>STANDBY</t>
        </is>
      </c>
      <c r="G25660" s="8" t="n">
        <v>80</v>
      </c>
      <c r="H25660" s="8" t="inlineStr">
        <is>
          <t>OPERATING</t>
        </is>
      </c>
    </row>
    <row r="25661">
      <c r="A25661" s="8" t="inlineStr">
        <is>
          <t>2026-08-05</t>
        </is>
      </c>
      <c r="B25661" s="8" t="n">
        <v>16</v>
      </c>
      <c r="C25661" s="8" t="n">
        <v>31</v>
      </c>
      <c r="D25661" s="8" t="inlineStr">
        <is>
          <t>Disney Adventure World</t>
        </is>
      </c>
      <c r="E25661" s="8" t="inlineStr">
        <is>
          <t>Ratatouille: The Adventure Single Rider</t>
        </is>
      </c>
      <c r="F25661" s="8" t="inlineStr">
        <is>
          <t>STANDBY</t>
        </is>
      </c>
      <c r="G25661" s="8" t="n">
        <v>35</v>
      </c>
      <c r="H25661" s="8" t="inlineStr">
        <is>
          <t>OPERATING</t>
        </is>
      </c>
    </row>
    <row r="25662">
      <c r="A25662" s="8" t="inlineStr">
        <is>
          <t>2026-08-05</t>
        </is>
      </c>
      <c r="B25662" s="8" t="n">
        <v>16</v>
      </c>
      <c r="C25662" s="8" t="n">
        <v>31</v>
      </c>
      <c r="D25662" s="8" t="inlineStr">
        <is>
          <t>Disney Adventure World</t>
        </is>
      </c>
      <c r="E25662" s="8" t="inlineStr">
        <is>
          <t>RC Racer</t>
        </is>
      </c>
      <c r="F25662" s="8" t="inlineStr">
        <is>
          <t>STANDBY</t>
        </is>
      </c>
      <c r="G25662" s="8" t="n">
        <v>45</v>
      </c>
      <c r="H25662" s="8" t="inlineStr">
        <is>
          <t>OPERATING</t>
        </is>
      </c>
    </row>
    <row r="25663">
      <c r="A25663" s="8" t="inlineStr">
        <is>
          <t>2026-08-05</t>
        </is>
      </c>
      <c r="B25663" s="8" t="n">
        <v>16</v>
      </c>
      <c r="C25663" s="8" t="n">
        <v>31</v>
      </c>
      <c r="D25663" s="8" t="inlineStr">
        <is>
          <t>Disney Adventure World</t>
        </is>
      </c>
      <c r="E25663" s="8" t="inlineStr">
        <is>
          <t>RC Racer Single Rider</t>
        </is>
      </c>
      <c r="F25663" s="8" t="inlineStr">
        <is>
          <t>STANDBY</t>
        </is>
      </c>
      <c r="G25663" s="8" t="n">
        <v>40</v>
      </c>
      <c r="H25663" s="8" t="inlineStr">
        <is>
          <t>OPERATING</t>
        </is>
      </c>
    </row>
    <row r="25664">
      <c r="A25664" s="8" t="inlineStr">
        <is>
          <t>2026-08-05</t>
        </is>
      </c>
      <c r="B25664" s="8" t="n">
        <v>16</v>
      </c>
      <c r="C25664" s="8" t="n">
        <v>31</v>
      </c>
      <c r="D25664" s="8" t="inlineStr">
        <is>
          <t>Disney Adventure World</t>
        </is>
      </c>
      <c r="E25664" s="8" t="inlineStr">
        <is>
          <t>Slinky® Dog Zigzag Spin</t>
        </is>
      </c>
      <c r="F25664" s="8" t="inlineStr">
        <is>
          <t>STANDBY</t>
        </is>
      </c>
      <c r="G25664" s="8" t="n">
        <v>25</v>
      </c>
      <c r="H25664" s="8" t="inlineStr">
        <is>
          <t>OPERATING</t>
        </is>
      </c>
    </row>
    <row r="25665">
      <c r="A25665" s="8" t="inlineStr">
        <is>
          <t>2026-08-05</t>
        </is>
      </c>
      <c r="B25665" s="8" t="n">
        <v>16</v>
      </c>
      <c r="C25665" s="8" t="n">
        <v>31</v>
      </c>
      <c r="D25665" s="8" t="inlineStr">
        <is>
          <t>Disney Adventure World</t>
        </is>
      </c>
      <c r="E25665" s="8" t="inlineStr">
        <is>
          <t>Toy Soldiers Parachute Drop</t>
        </is>
      </c>
      <c r="F25665" s="8" t="inlineStr">
        <is>
          <t>STANDBY</t>
        </is>
      </c>
      <c r="G25665" s="8" t="n">
        <v>60</v>
      </c>
      <c r="H25665" s="8" t="inlineStr">
        <is>
          <t>OPERATING</t>
        </is>
      </c>
    </row>
    <row r="25666">
      <c r="A25666" s="8" t="inlineStr">
        <is>
          <t>2026-08-05</t>
        </is>
      </c>
      <c r="B25666" s="8" t="n">
        <v>16</v>
      </c>
      <c r="C25666" s="8" t="n">
        <v>31</v>
      </c>
      <c r="D25666" s="8" t="inlineStr">
        <is>
          <t>Disney Adventure World</t>
        </is>
      </c>
      <c r="E25666" s="8" t="inlineStr">
        <is>
          <t>Toy Soldiers Parachute Drop Single Rider</t>
        </is>
      </c>
      <c r="F25666" s="8" t="inlineStr">
        <is>
          <t>STANDBY</t>
        </is>
      </c>
      <c r="G25666" s="8" t="n">
        <v>20</v>
      </c>
      <c r="H25666" s="8" t="inlineStr">
        <is>
          <t>OPERATING</t>
        </is>
      </c>
    </row>
    <row r="25667">
      <c r="A25667" s="8" t="inlineStr">
        <is>
          <t>2026-08-05</t>
        </is>
      </c>
      <c r="B25667" s="8" t="n">
        <v>16</v>
      </c>
      <c r="C25667" s="8" t="n">
        <v>31</v>
      </c>
      <c r="D25667" s="8" t="inlineStr">
        <is>
          <t>Disney Adventure World</t>
        </is>
      </c>
      <c r="E25667" s="8" t="inlineStr">
        <is>
          <t>Entry to World of Frozen</t>
        </is>
      </c>
      <c r="F25667" s="8" t="inlineStr">
        <is>
          <t>STANDBY</t>
        </is>
      </c>
      <c r="G25667" s="8" t="n">
        <v>0</v>
      </c>
      <c r="H25667" s="8" t="inlineStr">
        <is>
          <t>OPERATING</t>
        </is>
      </c>
    </row>
    <row r="25668">
      <c r="A25668" s="8" t="inlineStr">
        <is>
          <t>2026-08-05</t>
        </is>
      </c>
      <c r="B25668" s="8" t="n">
        <v>16</v>
      </c>
      <c r="C25668" s="8" t="n">
        <v>31</v>
      </c>
      <c r="D25668" s="8" t="inlineStr">
        <is>
          <t>Disney Adventure World</t>
        </is>
      </c>
      <c r="E25668" s="8" t="inlineStr">
        <is>
          <t>Frozen Ever After</t>
        </is>
      </c>
      <c r="F25668" s="8" t="inlineStr">
        <is>
          <t>STANDBY</t>
        </is>
      </c>
      <c r="G25668" s="8" t="n">
        <v>75</v>
      </c>
      <c r="H25668" s="8" t="inlineStr">
        <is>
          <t>OPERATING</t>
        </is>
      </c>
    </row>
    <row r="25669">
      <c r="A25669" s="8" t="inlineStr">
        <is>
          <t>2026-08-05</t>
        </is>
      </c>
      <c r="B25669" s="8" t="n">
        <v>16</v>
      </c>
      <c r="C25669" s="8" t="n">
        <v>31</v>
      </c>
      <c r="D25669" s="8" t="inlineStr">
        <is>
          <t>Disney Adventure World</t>
        </is>
      </c>
      <c r="E25669" s="8" t="inlineStr">
        <is>
          <t>Raiponce Tangled Spin</t>
        </is>
      </c>
      <c r="F25669" s="8" t="inlineStr">
        <is>
          <t>STANDBY</t>
        </is>
      </c>
      <c r="G25669" s="8" t="n">
        <v>10</v>
      </c>
      <c r="H25669" s="8" t="inlineStr">
        <is>
          <t>OPERATING</t>
        </is>
      </c>
    </row>
    <row r="25670">
      <c r="A25670" s="8" t="inlineStr">
        <is>
          <t>2026-08-05</t>
        </is>
      </c>
      <c r="B25670" s="8" t="n">
        <v>16</v>
      </c>
      <c r="C25670" s="8" t="n">
        <v>45</v>
      </c>
      <c r="D25670" s="8" t="inlineStr">
        <is>
          <t>Disneyland Park</t>
        </is>
      </c>
      <c r="E25670" s="8" t="inlineStr">
        <is>
          <t>Adventure Isle</t>
        </is>
      </c>
      <c r="F25670" s="8" t="inlineStr">
        <is>
          <t>STANDBY</t>
        </is>
      </c>
      <c r="G25670" s="8" t="n">
        <v>0</v>
      </c>
      <c r="H25670" s="8" t="inlineStr">
        <is>
          <t>OPERATING</t>
        </is>
      </c>
    </row>
    <row r="25671">
      <c r="A25671" s="8" t="inlineStr">
        <is>
          <t>2026-08-05</t>
        </is>
      </c>
      <c r="B25671" s="8" t="n">
        <v>16</v>
      </c>
      <c r="C25671" s="8" t="n">
        <v>45</v>
      </c>
      <c r="D25671" s="8" t="inlineStr">
        <is>
          <t>Disneyland Park</t>
        </is>
      </c>
      <c r="E25671" s="8" t="inlineStr">
        <is>
          <t>Indiana Jones and the Temple of Peril Single Rider</t>
        </is>
      </c>
      <c r="F25671" s="8" t="inlineStr">
        <is>
          <t>STANDBY</t>
        </is>
      </c>
      <c r="G25671" s="8" t="n">
        <v>15</v>
      </c>
      <c r="H25671" s="8" t="inlineStr">
        <is>
          <t>OPERATING</t>
        </is>
      </c>
    </row>
    <row r="25672">
      <c r="A25672" s="8" t="inlineStr">
        <is>
          <t>2026-08-05</t>
        </is>
      </c>
      <c r="B25672" s="8" t="n">
        <v>16</v>
      </c>
      <c r="C25672" s="8" t="n">
        <v>45</v>
      </c>
      <c r="D25672" s="8" t="inlineStr">
        <is>
          <t>Disneyland Park</t>
        </is>
      </c>
      <c r="E25672" s="8" t="inlineStr">
        <is>
          <t>Indiana Jones™ and the Temple of Peril</t>
        </is>
      </c>
      <c r="F25672" s="8" t="inlineStr">
        <is>
          <t>STANDBY</t>
        </is>
      </c>
      <c r="G25672" s="8" t="n">
        <v>30</v>
      </c>
      <c r="H25672" s="8" t="inlineStr">
        <is>
          <t>OPERATING</t>
        </is>
      </c>
    </row>
    <row r="25673">
      <c r="A25673" s="8" t="inlineStr">
        <is>
          <t>2026-08-05</t>
        </is>
      </c>
      <c r="B25673" s="8" t="n">
        <v>16</v>
      </c>
      <c r="C25673" s="8" t="n">
        <v>45</v>
      </c>
      <c r="D25673" s="8" t="inlineStr">
        <is>
          <t>Disneyland Park</t>
        </is>
      </c>
      <c r="E25673" s="8" t="inlineStr">
        <is>
          <t>La Cabane des Robinson</t>
        </is>
      </c>
      <c r="F25673" s="8" t="inlineStr">
        <is>
          <t>STANDBY</t>
        </is>
      </c>
      <c r="G25673" s="8" t="n">
        <v>5</v>
      </c>
      <c r="H25673" s="8" t="inlineStr">
        <is>
          <t>OPERATING</t>
        </is>
      </c>
    </row>
    <row r="25674">
      <c r="A25674" s="8" t="inlineStr">
        <is>
          <t>2026-08-05</t>
        </is>
      </c>
      <c r="B25674" s="8" t="n">
        <v>16</v>
      </c>
      <c r="C25674" s="8" t="n">
        <v>45</v>
      </c>
      <c r="D25674" s="8" t="inlineStr">
        <is>
          <t>Disneyland Park</t>
        </is>
      </c>
      <c r="E25674" s="8" t="inlineStr">
        <is>
          <t>Le Passage Enchanté d'Aladdin</t>
        </is>
      </c>
      <c r="F25674" s="8" t="inlineStr">
        <is>
          <t>STANDBY</t>
        </is>
      </c>
      <c r="G25674" s="8" t="n">
        <v>0</v>
      </c>
      <c r="H25674" s="8" t="inlineStr">
        <is>
          <t>OPERATING</t>
        </is>
      </c>
    </row>
    <row r="25675">
      <c r="A25675" s="8" t="inlineStr">
        <is>
          <t>2026-08-05</t>
        </is>
      </c>
      <c r="B25675" s="8" t="n">
        <v>16</v>
      </c>
      <c r="C25675" s="8" t="n">
        <v>45</v>
      </c>
      <c r="D25675" s="8" t="inlineStr">
        <is>
          <t>Disneyland Park</t>
        </is>
      </c>
      <c r="E25675" s="8" t="inlineStr">
        <is>
          <t>Pirate Galleon</t>
        </is>
      </c>
      <c r="F25675" s="8" t="inlineStr">
        <is>
          <t>STANDBY</t>
        </is>
      </c>
      <c r="G25675" s="8" t="n">
        <v>0</v>
      </c>
      <c r="H25675" s="8" t="inlineStr">
        <is>
          <t>CLOSED</t>
        </is>
      </c>
    </row>
    <row r="25676">
      <c r="A25676" s="8" t="inlineStr">
        <is>
          <t>2026-08-05</t>
        </is>
      </c>
      <c r="B25676" s="8" t="n">
        <v>16</v>
      </c>
      <c r="C25676" s="8" t="n">
        <v>45</v>
      </c>
      <c r="D25676" s="8" t="inlineStr">
        <is>
          <t>Disneyland Park</t>
        </is>
      </c>
      <c r="E25676" s="8" t="inlineStr">
        <is>
          <t>Pirates of the Caribbean</t>
        </is>
      </c>
      <c r="F25676" s="8" t="inlineStr">
        <is>
          <t>STANDBY</t>
        </is>
      </c>
      <c r="G25676" s="8" t="n">
        <v>15</v>
      </c>
      <c r="H25676" s="8" t="inlineStr">
        <is>
          <t>OPERATING</t>
        </is>
      </c>
    </row>
    <row r="25677">
      <c r="A25677" s="8" t="inlineStr">
        <is>
          <t>2026-08-05</t>
        </is>
      </c>
      <c r="B25677" s="8" t="n">
        <v>16</v>
      </c>
      <c r="C25677" s="8" t="n">
        <v>45</v>
      </c>
      <c r="D25677" s="8" t="inlineStr">
        <is>
          <t>Disneyland Park</t>
        </is>
      </c>
      <c r="E25677" s="8" t="inlineStr">
        <is>
          <t>Pirates' Beach</t>
        </is>
      </c>
      <c r="F25677" s="8" t="inlineStr">
        <is>
          <t>STANDBY</t>
        </is>
      </c>
      <c r="G25677" s="8" t="n">
        <v>0</v>
      </c>
      <c r="H25677" s="8" t="inlineStr">
        <is>
          <t>OPERATING</t>
        </is>
      </c>
    </row>
    <row r="25678">
      <c r="A25678" s="8" t="inlineStr">
        <is>
          <t>2026-08-05</t>
        </is>
      </c>
      <c r="B25678" s="8" t="n">
        <v>16</v>
      </c>
      <c r="C25678" s="8" t="n">
        <v>45</v>
      </c>
      <c r="D25678" s="8" t="inlineStr">
        <is>
          <t>Disneyland Park</t>
        </is>
      </c>
      <c r="E25678" s="8" t="inlineStr">
        <is>
          <t>Autopia, presented by Avis</t>
        </is>
      </c>
      <c r="F25678" s="8" t="inlineStr">
        <is>
          <t>STANDBY</t>
        </is>
      </c>
      <c r="G25678" s="8" t="n">
        <v>35</v>
      </c>
      <c r="H25678" s="8" t="inlineStr">
        <is>
          <t>OPERATING</t>
        </is>
      </c>
    </row>
    <row r="25679">
      <c r="A25679" s="8" t="inlineStr">
        <is>
          <t>2026-08-05</t>
        </is>
      </c>
      <c r="B25679" s="8" t="n">
        <v>16</v>
      </c>
      <c r="C25679" s="8" t="n">
        <v>45</v>
      </c>
      <c r="D25679" s="8" t="inlineStr">
        <is>
          <t>Disneyland Park</t>
        </is>
      </c>
      <c r="E25679" s="8" t="inlineStr">
        <is>
          <t>Buzz Lightyear Laser Blast</t>
        </is>
      </c>
      <c r="F25679" s="8" t="inlineStr">
        <is>
          <t>STANDBY</t>
        </is>
      </c>
      <c r="G25679" s="8" t="n">
        <v>50</v>
      </c>
      <c r="H25679" s="8" t="inlineStr">
        <is>
          <t>OPERATING</t>
        </is>
      </c>
    </row>
    <row r="25680">
      <c r="A25680" s="8" t="inlineStr">
        <is>
          <t>2026-08-05</t>
        </is>
      </c>
      <c r="B25680" s="8" t="n">
        <v>16</v>
      </c>
      <c r="C25680" s="8" t="n">
        <v>45</v>
      </c>
      <c r="D25680" s="8" t="inlineStr">
        <is>
          <t>Disneyland Park</t>
        </is>
      </c>
      <c r="E25680" s="8" t="inlineStr">
        <is>
          <t>Disneyland Railroad Discoveryland Station</t>
        </is>
      </c>
      <c r="F25680" s="8" t="inlineStr">
        <is>
          <t>STANDBY</t>
        </is>
      </c>
      <c r="G25680" s="8" t="n">
        <v>0</v>
      </c>
      <c r="H25680" s="8" t="inlineStr">
        <is>
          <t>CLOSED</t>
        </is>
      </c>
    </row>
    <row r="25681">
      <c r="A25681" s="8" t="inlineStr">
        <is>
          <t>2026-08-05</t>
        </is>
      </c>
      <c r="B25681" s="8" t="n">
        <v>16</v>
      </c>
      <c r="C25681" s="8" t="n">
        <v>45</v>
      </c>
      <c r="D25681" s="8" t="inlineStr">
        <is>
          <t>Disneyland Park</t>
        </is>
      </c>
      <c r="E25681" s="8" t="inlineStr">
        <is>
          <t>Les Mystères du Nautilus</t>
        </is>
      </c>
      <c r="F25681" s="8" t="inlineStr">
        <is>
          <t>STANDBY</t>
        </is>
      </c>
      <c r="G25681" s="8" t="n">
        <v>5</v>
      </c>
      <c r="H25681" s="8" t="inlineStr">
        <is>
          <t>OPERATING</t>
        </is>
      </c>
    </row>
    <row r="25682">
      <c r="A25682" s="8" t="inlineStr">
        <is>
          <t>2026-08-05</t>
        </is>
      </c>
      <c r="B25682" s="8" t="n">
        <v>16</v>
      </c>
      <c r="C25682" s="8" t="n">
        <v>45</v>
      </c>
      <c r="D25682" s="8" t="inlineStr">
        <is>
          <t>Disneyland Park</t>
        </is>
      </c>
      <c r="E25682" s="8" t="inlineStr">
        <is>
          <t>Mickey’s PhilharMagic</t>
        </is>
      </c>
      <c r="F25682" s="8" t="inlineStr">
        <is>
          <t>STANDBY</t>
        </is>
      </c>
      <c r="G25682" s="8" t="n">
        <v>0</v>
      </c>
      <c r="H25682" s="8" t="inlineStr">
        <is>
          <t>OPERATING</t>
        </is>
      </c>
    </row>
    <row r="25683">
      <c r="A25683" s="8" t="inlineStr">
        <is>
          <t>2026-08-05</t>
        </is>
      </c>
      <c r="B25683" s="8" t="n">
        <v>16</v>
      </c>
      <c r="C25683" s="8" t="n">
        <v>45</v>
      </c>
      <c r="D25683" s="8" t="inlineStr">
        <is>
          <t>Disneyland Park</t>
        </is>
      </c>
      <c r="E25683" s="8" t="inlineStr">
        <is>
          <t>Orbitron®</t>
        </is>
      </c>
      <c r="F25683" s="8" t="inlineStr">
        <is>
          <t>STANDBY</t>
        </is>
      </c>
      <c r="G25683" s="8" t="n">
        <v>45</v>
      </c>
      <c r="H25683" s="8" t="inlineStr">
        <is>
          <t>OPERATING</t>
        </is>
      </c>
    </row>
    <row r="25684">
      <c r="A25684" s="8" t="inlineStr">
        <is>
          <t>2026-08-05</t>
        </is>
      </c>
      <c r="B25684" s="8" t="n">
        <v>16</v>
      </c>
      <c r="C25684" s="8" t="n">
        <v>45</v>
      </c>
      <c r="D25684" s="8" t="inlineStr">
        <is>
          <t>Disneyland Park</t>
        </is>
      </c>
      <c r="E25684" s="8" t="inlineStr">
        <is>
          <t>Star Tours: The Adventures Continue*</t>
        </is>
      </c>
      <c r="F25684" s="8" t="inlineStr">
        <is>
          <t>STANDBY</t>
        </is>
      </c>
      <c r="G25684" s="8" t="n">
        <v>10</v>
      </c>
      <c r="H25684" s="8" t="inlineStr">
        <is>
          <t>OPERATING</t>
        </is>
      </c>
    </row>
    <row r="25685">
      <c r="A25685" s="8" t="inlineStr">
        <is>
          <t>2026-08-05</t>
        </is>
      </c>
      <c r="B25685" s="8" t="n">
        <v>16</v>
      </c>
      <c r="C25685" s="8" t="n">
        <v>45</v>
      </c>
      <c r="D25685" s="8" t="inlineStr">
        <is>
          <t>Disneyland Park</t>
        </is>
      </c>
      <c r="E25685" s="8" t="inlineStr">
        <is>
          <t>Star Wars Hyperspace Mountain</t>
        </is>
      </c>
      <c r="F25685" s="8" t="inlineStr">
        <is>
          <t>STANDBY</t>
        </is>
      </c>
      <c r="G25685" s="8" t="n">
        <v>40</v>
      </c>
      <c r="H25685" s="8" t="inlineStr">
        <is>
          <t>OPERATING</t>
        </is>
      </c>
    </row>
    <row r="25686">
      <c r="A25686" s="8" t="inlineStr">
        <is>
          <t>2026-08-05</t>
        </is>
      </c>
      <c r="B25686" s="8" t="n">
        <v>16</v>
      </c>
      <c r="C25686" s="8" t="n">
        <v>45</v>
      </c>
      <c r="D25686" s="8" t="inlineStr">
        <is>
          <t>Disneyland Park</t>
        </is>
      </c>
      <c r="E25686" s="8" t="inlineStr">
        <is>
          <t>Star Wars Hyperspace Mountain Single Rider</t>
        </is>
      </c>
      <c r="F25686" s="8" t="inlineStr">
        <is>
          <t>STANDBY</t>
        </is>
      </c>
      <c r="G25686" s="8" t="n">
        <v>35</v>
      </c>
      <c r="H25686" s="8" t="inlineStr">
        <is>
          <t>OPERATING</t>
        </is>
      </c>
    </row>
    <row r="25687">
      <c r="A25687" s="8" t="inlineStr">
        <is>
          <t>2026-08-05</t>
        </is>
      </c>
      <c r="B25687" s="8" t="n">
        <v>16</v>
      </c>
      <c r="C25687" s="8" t="n">
        <v>45</v>
      </c>
      <c r="D25687" s="8" t="inlineStr">
        <is>
          <t>Disneyland Park</t>
        </is>
      </c>
      <c r="E25687" s="8" t="inlineStr">
        <is>
          <t>Welcome to Starport: A Star Wars Encounter</t>
        </is>
      </c>
      <c r="F25687" s="8" t="inlineStr">
        <is>
          <t>STANDBY</t>
        </is>
      </c>
      <c r="G25687" s="8" t="n">
        <v>20</v>
      </c>
      <c r="H25687" s="8" t="inlineStr">
        <is>
          <t>OPERATING</t>
        </is>
      </c>
    </row>
    <row r="25688">
      <c r="A25688" s="8" t="inlineStr">
        <is>
          <t>2026-08-05</t>
        </is>
      </c>
      <c r="B25688" s="8" t="n">
        <v>16</v>
      </c>
      <c r="C25688" s="8" t="n">
        <v>45</v>
      </c>
      <c r="D25688" s="8" t="inlineStr">
        <is>
          <t>Disneyland Park</t>
        </is>
      </c>
      <c r="E25688" s="8" t="inlineStr">
        <is>
          <t>"it's a small world"</t>
        </is>
      </c>
      <c r="F25688" s="8" t="inlineStr">
        <is>
          <t>STANDBY</t>
        </is>
      </c>
      <c r="G25688" s="8" t="n">
        <v>5</v>
      </c>
      <c r="H25688" s="8" t="inlineStr">
        <is>
          <t>OPERATING</t>
        </is>
      </c>
    </row>
    <row r="25689">
      <c r="A25689" s="8" t="inlineStr">
        <is>
          <t>2026-08-05</t>
        </is>
      </c>
      <c r="B25689" s="8" t="n">
        <v>16</v>
      </c>
      <c r="C25689" s="8" t="n">
        <v>45</v>
      </c>
      <c r="D25689" s="8" t="inlineStr">
        <is>
          <t>Disneyland Park</t>
        </is>
      </c>
      <c r="E25689" s="8" t="inlineStr">
        <is>
          <t>Alice's Curious Labyrinth</t>
        </is>
      </c>
      <c r="F25689" s="8" t="inlineStr">
        <is>
          <t>STANDBY</t>
        </is>
      </c>
      <c r="G25689" s="8" t="n">
        <v>5</v>
      </c>
      <c r="H25689" s="8" t="inlineStr">
        <is>
          <t>OPERATING</t>
        </is>
      </c>
    </row>
    <row r="25690">
      <c r="A25690" s="8" t="inlineStr">
        <is>
          <t>2026-08-05</t>
        </is>
      </c>
      <c r="B25690" s="8" t="n">
        <v>16</v>
      </c>
      <c r="C25690" s="8" t="n">
        <v>45</v>
      </c>
      <c r="D25690" s="8" t="inlineStr">
        <is>
          <t>Disneyland Park</t>
        </is>
      </c>
      <c r="E25690" s="8" t="inlineStr">
        <is>
          <t>Blanche-Neige et les Sept Nains®</t>
        </is>
      </c>
      <c r="F25690" s="8" t="inlineStr">
        <is>
          <t>STANDBY</t>
        </is>
      </c>
      <c r="G25690" s="8" t="n">
        <v>30</v>
      </c>
      <c r="H25690" s="8" t="inlineStr">
        <is>
          <t>OPERATING</t>
        </is>
      </c>
    </row>
    <row r="25691">
      <c r="A25691" s="8" t="inlineStr">
        <is>
          <t>2026-08-05</t>
        </is>
      </c>
      <c r="B25691" s="8" t="n">
        <v>16</v>
      </c>
      <c r="C25691" s="8" t="n">
        <v>45</v>
      </c>
      <c r="D25691" s="8" t="inlineStr">
        <is>
          <t>Disneyland Park</t>
        </is>
      </c>
      <c r="E25691" s="8" t="inlineStr">
        <is>
          <t>Casey Jr. – le Petit Train du Cirque</t>
        </is>
      </c>
      <c r="F25691" s="8" t="inlineStr">
        <is>
          <t>STANDBY</t>
        </is>
      </c>
      <c r="G25691" s="8" t="n">
        <v>10</v>
      </c>
      <c r="H25691" s="8" t="inlineStr">
        <is>
          <t>OPERATING</t>
        </is>
      </c>
    </row>
    <row r="25692">
      <c r="A25692" s="8" t="inlineStr">
        <is>
          <t>2026-08-05</t>
        </is>
      </c>
      <c r="B25692" s="8" t="n">
        <v>16</v>
      </c>
      <c r="C25692" s="8" t="n">
        <v>45</v>
      </c>
      <c r="D25692" s="8" t="inlineStr">
        <is>
          <t>Disneyland Park</t>
        </is>
      </c>
      <c r="E25692" s="8" t="inlineStr">
        <is>
          <t>Disneyland Railroad Fantasyland Station</t>
        </is>
      </c>
      <c r="F25692" s="8" t="inlineStr">
        <is>
          <t>STANDBY</t>
        </is>
      </c>
      <c r="G25692" s="8" t="n">
        <v>0</v>
      </c>
      <c r="H25692" s="8" t="inlineStr">
        <is>
          <t>CLOSED</t>
        </is>
      </c>
    </row>
    <row r="25693">
      <c r="A25693" s="8" t="inlineStr">
        <is>
          <t>2026-08-05</t>
        </is>
      </c>
      <c r="B25693" s="8" t="n">
        <v>16</v>
      </c>
      <c r="C25693" s="8" t="n">
        <v>45</v>
      </c>
      <c r="D25693" s="8" t="inlineStr">
        <is>
          <t>Disneyland Park</t>
        </is>
      </c>
      <c r="E25693" s="8" t="inlineStr">
        <is>
          <t>Disneyland Railroad Main Street Station</t>
        </is>
      </c>
      <c r="F25693" s="8" t="inlineStr">
        <is>
          <t>STANDBY</t>
        </is>
      </c>
      <c r="G25693" s="8" t="n">
        <v>20</v>
      </c>
      <c r="H25693" s="8" t="inlineStr">
        <is>
          <t>OPERATING</t>
        </is>
      </c>
    </row>
    <row r="25694">
      <c r="A25694" s="8" t="inlineStr">
        <is>
          <t>2026-08-05</t>
        </is>
      </c>
      <c r="B25694" s="8" t="n">
        <v>16</v>
      </c>
      <c r="C25694" s="8" t="n">
        <v>45</v>
      </c>
      <c r="D25694" s="8" t="inlineStr">
        <is>
          <t>Disneyland Park</t>
        </is>
      </c>
      <c r="E25694" s="8" t="inlineStr">
        <is>
          <t>Dumbo the Flying Elephant</t>
        </is>
      </c>
      <c r="F25694" s="8" t="inlineStr">
        <is>
          <t>STANDBY</t>
        </is>
      </c>
      <c r="G25694" s="8" t="n">
        <v>35</v>
      </c>
      <c r="H25694" s="8" t="inlineStr">
        <is>
          <t>OPERATING</t>
        </is>
      </c>
    </row>
    <row r="25695">
      <c r="A25695" s="8" t="inlineStr">
        <is>
          <t>2026-08-05</t>
        </is>
      </c>
      <c r="B25695" s="8" t="n">
        <v>16</v>
      </c>
      <c r="C25695" s="8" t="n">
        <v>45</v>
      </c>
      <c r="D25695" s="8" t="inlineStr">
        <is>
          <t>Disneyland Park</t>
        </is>
      </c>
      <c r="E25695" s="8" t="inlineStr">
        <is>
          <t>La Tanière du Dragon</t>
        </is>
      </c>
      <c r="F25695" s="8" t="inlineStr">
        <is>
          <t>STANDBY</t>
        </is>
      </c>
      <c r="G25695" s="8" t="n">
        <v>0</v>
      </c>
      <c r="H25695" s="8" t="inlineStr">
        <is>
          <t>OPERATING</t>
        </is>
      </c>
    </row>
    <row r="25696">
      <c r="A25696" s="8" t="inlineStr">
        <is>
          <t>2026-08-05</t>
        </is>
      </c>
      <c r="B25696" s="8" t="n">
        <v>16</v>
      </c>
      <c r="C25696" s="8" t="n">
        <v>45</v>
      </c>
      <c r="D25696" s="8" t="inlineStr">
        <is>
          <t>Disneyland Park</t>
        </is>
      </c>
      <c r="E25696" s="8" t="inlineStr">
        <is>
          <t>Le Carrousel de Lancelot</t>
        </is>
      </c>
      <c r="F25696" s="8" t="inlineStr">
        <is>
          <t>STANDBY</t>
        </is>
      </c>
      <c r="G25696" s="8" t="n">
        <v>15</v>
      </c>
      <c r="H25696" s="8" t="inlineStr">
        <is>
          <t>OPERATING</t>
        </is>
      </c>
    </row>
    <row r="25697">
      <c r="A25697" s="8" t="inlineStr">
        <is>
          <t>2026-08-05</t>
        </is>
      </c>
      <c r="B25697" s="8" t="n">
        <v>16</v>
      </c>
      <c r="C25697" s="8" t="n">
        <v>45</v>
      </c>
      <c r="D25697" s="8" t="inlineStr">
        <is>
          <t>Disneyland Park</t>
        </is>
      </c>
      <c r="E25697" s="8" t="inlineStr">
        <is>
          <t>Le Pays des Contes de Fées, presented by Vittel</t>
        </is>
      </c>
      <c r="F25697" s="8" t="inlineStr">
        <is>
          <t>STANDBY</t>
        </is>
      </c>
      <c r="G25697" s="8" t="n">
        <v>5</v>
      </c>
      <c r="H25697" s="8" t="inlineStr">
        <is>
          <t>OPERATING</t>
        </is>
      </c>
    </row>
    <row r="25698">
      <c r="A25698" s="8" t="inlineStr">
        <is>
          <t>2026-08-05</t>
        </is>
      </c>
      <c r="B25698" s="8" t="n">
        <v>16</v>
      </c>
      <c r="C25698" s="8" t="n">
        <v>45</v>
      </c>
      <c r="D25698" s="8" t="inlineStr">
        <is>
          <t>Disneyland Park</t>
        </is>
      </c>
      <c r="E25698" s="8" t="inlineStr">
        <is>
          <t>Les Voyages de Pinocchio</t>
        </is>
      </c>
      <c r="F25698" s="8" t="inlineStr">
        <is>
          <t>STANDBY</t>
        </is>
      </c>
      <c r="G25698" s="8" t="n">
        <v>30</v>
      </c>
      <c r="H25698" s="8" t="inlineStr">
        <is>
          <t>OPERATING</t>
        </is>
      </c>
    </row>
    <row r="25699">
      <c r="A25699" s="8" t="inlineStr">
        <is>
          <t>2026-08-05</t>
        </is>
      </c>
      <c r="B25699" s="8" t="n">
        <v>16</v>
      </c>
      <c r="C25699" s="8" t="n">
        <v>45</v>
      </c>
      <c r="D25699" s="8" t="inlineStr">
        <is>
          <t>Disneyland Park</t>
        </is>
      </c>
      <c r="E25699" s="8" t="inlineStr">
        <is>
          <t>Mad Hatter's Tea Cups</t>
        </is>
      </c>
      <c r="F25699" s="8" t="inlineStr">
        <is>
          <t>STANDBY</t>
        </is>
      </c>
      <c r="G25699" s="8" t="n">
        <v>10</v>
      </c>
      <c r="H25699" s="8" t="inlineStr">
        <is>
          <t>OPERATING</t>
        </is>
      </c>
    </row>
    <row r="25700">
      <c r="A25700" s="8" t="inlineStr">
        <is>
          <t>2026-08-05</t>
        </is>
      </c>
      <c r="B25700" s="8" t="n">
        <v>16</v>
      </c>
      <c r="C25700" s="8" t="n">
        <v>45</v>
      </c>
      <c r="D25700" s="8" t="inlineStr">
        <is>
          <t>Disneyland Park</t>
        </is>
      </c>
      <c r="E25700" s="8" t="inlineStr">
        <is>
          <t>Meet Mickey Mouse</t>
        </is>
      </c>
      <c r="F25700" s="8" t="inlineStr">
        <is>
          <t>STANDBY</t>
        </is>
      </c>
      <c r="G25700" s="8" t="n">
        <v>0</v>
      </c>
      <c r="H25700" s="8" t="inlineStr">
        <is>
          <t>OPERATING</t>
        </is>
      </c>
    </row>
    <row r="25701">
      <c r="A25701" s="8" t="inlineStr">
        <is>
          <t>2026-08-05</t>
        </is>
      </c>
      <c r="B25701" s="8" t="n">
        <v>16</v>
      </c>
      <c r="C25701" s="8" t="n">
        <v>45</v>
      </c>
      <c r="D25701" s="8" t="inlineStr">
        <is>
          <t>Disneyland Park</t>
        </is>
      </c>
      <c r="E25701" s="8" t="inlineStr">
        <is>
          <t>Peter Pan's Flight</t>
        </is>
      </c>
      <c r="F25701" s="8" t="inlineStr">
        <is>
          <t>STANDBY</t>
        </is>
      </c>
      <c r="G25701" s="8" t="n">
        <v>65</v>
      </c>
      <c r="H25701" s="8" t="inlineStr">
        <is>
          <t>OPERATING</t>
        </is>
      </c>
    </row>
    <row r="25702">
      <c r="A25702" s="8" t="inlineStr">
        <is>
          <t>2026-08-05</t>
        </is>
      </c>
      <c r="B25702" s="8" t="n">
        <v>16</v>
      </c>
      <c r="C25702" s="8" t="n">
        <v>45</v>
      </c>
      <c r="D25702" s="8" t="inlineStr">
        <is>
          <t>Disneyland Park</t>
        </is>
      </c>
      <c r="E25702" s="8" t="inlineStr">
        <is>
          <t>Princess Pavilion</t>
        </is>
      </c>
      <c r="F25702" s="8" t="inlineStr">
        <is>
          <t>STANDBY</t>
        </is>
      </c>
      <c r="G25702" s="8" t="n">
        <v>0</v>
      </c>
      <c r="H25702" s="8" t="inlineStr">
        <is>
          <t>OPERATING</t>
        </is>
      </c>
    </row>
    <row r="25703">
      <c r="A25703" s="8" t="inlineStr">
        <is>
          <t>2026-08-05</t>
        </is>
      </c>
      <c r="B25703" s="8" t="n">
        <v>16</v>
      </c>
      <c r="C25703" s="8" t="n">
        <v>45</v>
      </c>
      <c r="D25703" s="8" t="inlineStr">
        <is>
          <t>Disneyland Park</t>
        </is>
      </c>
      <c r="E25703" s="8" t="inlineStr">
        <is>
          <t>Big Thunder Mountain</t>
        </is>
      </c>
      <c r="F25703" s="8" t="inlineStr">
        <is>
          <t>STANDBY</t>
        </is>
      </c>
      <c r="G25703" s="8" t="n">
        <v>60</v>
      </c>
      <c r="H25703" s="8" t="inlineStr">
        <is>
          <t>OPERATING</t>
        </is>
      </c>
    </row>
    <row r="25704">
      <c r="A25704" s="8" t="inlineStr">
        <is>
          <t>2026-08-05</t>
        </is>
      </c>
      <c r="B25704" s="8" t="n">
        <v>16</v>
      </c>
      <c r="C25704" s="8" t="n">
        <v>45</v>
      </c>
      <c r="D25704" s="8" t="inlineStr">
        <is>
          <t>Disneyland Park</t>
        </is>
      </c>
      <c r="E25704" s="8" t="inlineStr">
        <is>
          <t>Disneyland Railroad Frontierland Depot</t>
        </is>
      </c>
      <c r="F25704" s="8" t="inlineStr">
        <is>
          <t>STANDBY</t>
        </is>
      </c>
      <c r="G25704" s="8" t="n">
        <v>20</v>
      </c>
      <c r="H25704" s="8" t="inlineStr">
        <is>
          <t>OPERATING</t>
        </is>
      </c>
    </row>
    <row r="25705">
      <c r="A25705" s="8" t="inlineStr">
        <is>
          <t>2026-08-05</t>
        </is>
      </c>
      <c r="B25705" s="8" t="n">
        <v>16</v>
      </c>
      <c r="C25705" s="8" t="n">
        <v>45</v>
      </c>
      <c r="D25705" s="8" t="inlineStr">
        <is>
          <t>Disneyland Park</t>
        </is>
      </c>
      <c r="E25705" s="8" t="inlineStr">
        <is>
          <t>Frontierland Playground</t>
        </is>
      </c>
      <c r="F25705" s="8" t="inlineStr">
        <is>
          <t>STANDBY</t>
        </is>
      </c>
      <c r="G25705" s="8" t="n">
        <v>0</v>
      </c>
      <c r="H25705" s="8" t="inlineStr">
        <is>
          <t>OPERATING</t>
        </is>
      </c>
    </row>
    <row r="25706">
      <c r="A25706" s="8" t="inlineStr">
        <is>
          <t>2026-08-05</t>
        </is>
      </c>
      <c r="B25706" s="8" t="n">
        <v>16</v>
      </c>
      <c r="C25706" s="8" t="n">
        <v>45</v>
      </c>
      <c r="D25706" s="8" t="inlineStr">
        <is>
          <t>Disneyland Park</t>
        </is>
      </c>
      <c r="E25706" s="8" t="inlineStr">
        <is>
          <t>Phantom Manor</t>
        </is>
      </c>
      <c r="F25706" s="8" t="inlineStr">
        <is>
          <t>STANDBY</t>
        </is>
      </c>
      <c r="G25706" s="8" t="n">
        <v>25</v>
      </c>
      <c r="H25706" s="8" t="inlineStr">
        <is>
          <t>OPERATING</t>
        </is>
      </c>
    </row>
    <row r="25707">
      <c r="A25707" s="8" t="inlineStr">
        <is>
          <t>2026-08-05</t>
        </is>
      </c>
      <c r="B25707" s="8" t="n">
        <v>16</v>
      </c>
      <c r="C25707" s="8" t="n">
        <v>45</v>
      </c>
      <c r="D25707" s="8" t="inlineStr">
        <is>
          <t>Disneyland Park</t>
        </is>
      </c>
      <c r="E25707" s="8" t="inlineStr">
        <is>
          <t>River Rogue Keelboats</t>
        </is>
      </c>
      <c r="F25707" s="8" t="inlineStr">
        <is>
          <t>STANDBY</t>
        </is>
      </c>
      <c r="G25707" s="8" t="n">
        <v>0</v>
      </c>
      <c r="H25707" s="8" t="inlineStr">
        <is>
          <t>CLOSED</t>
        </is>
      </c>
    </row>
    <row r="25708">
      <c r="A25708" s="8" t="inlineStr">
        <is>
          <t>2026-08-05</t>
        </is>
      </c>
      <c r="B25708" s="8" t="n">
        <v>16</v>
      </c>
      <c r="C25708" s="8" t="n">
        <v>45</v>
      </c>
      <c r="D25708" s="8" t="inlineStr">
        <is>
          <t>Disneyland Park</t>
        </is>
      </c>
      <c r="E25708" s="8" t="inlineStr">
        <is>
          <t>Rustler Roundup Shootin' Gallery</t>
        </is>
      </c>
      <c r="F25708" s="8" t="inlineStr">
        <is>
          <t>STANDBY</t>
        </is>
      </c>
      <c r="G25708" s="8" t="n">
        <v>0</v>
      </c>
      <c r="H25708" s="8" t="inlineStr">
        <is>
          <t>OPERATING</t>
        </is>
      </c>
    </row>
    <row r="25709">
      <c r="A25709" s="8" t="inlineStr">
        <is>
          <t>2026-08-05</t>
        </is>
      </c>
      <c r="B25709" s="8" t="n">
        <v>16</v>
      </c>
      <c r="C25709" s="8" t="n">
        <v>45</v>
      </c>
      <c r="D25709" s="8" t="inlineStr">
        <is>
          <t>Disneyland Park</t>
        </is>
      </c>
      <c r="E25709" s="8" t="inlineStr">
        <is>
          <t>Thunder Mesa Riverboat Landing</t>
        </is>
      </c>
      <c r="F25709" s="8" t="inlineStr">
        <is>
          <t>STANDBY</t>
        </is>
      </c>
      <c r="G25709" s="8" t="n">
        <v>20</v>
      </c>
      <c r="H25709" s="8" t="inlineStr">
        <is>
          <t>OPERATING</t>
        </is>
      </c>
    </row>
    <row r="25710">
      <c r="A25710" s="8" t="inlineStr">
        <is>
          <t>2026-08-05</t>
        </is>
      </c>
      <c r="B25710" s="8" t="n">
        <v>16</v>
      </c>
      <c r="C25710" s="8" t="n">
        <v>45</v>
      </c>
      <c r="D25710" s="8" t="inlineStr">
        <is>
          <t>Disneyland Park</t>
        </is>
      </c>
      <c r="E25710" s="8" t="inlineStr">
        <is>
          <t>Disneyland Railroad Main Street Station</t>
        </is>
      </c>
      <c r="F25710" s="8" t="inlineStr">
        <is>
          <t>STANDBY</t>
        </is>
      </c>
      <c r="G25710" s="8" t="n">
        <v>0</v>
      </c>
      <c r="H25710" s="8" t="inlineStr">
        <is>
          <t>OPERATING</t>
        </is>
      </c>
    </row>
    <row r="25711">
      <c r="A25711" s="8" t="inlineStr">
        <is>
          <t>2026-08-05</t>
        </is>
      </c>
      <c r="B25711" s="8" t="n">
        <v>16</v>
      </c>
      <c r="C25711" s="8" t="n">
        <v>45</v>
      </c>
      <c r="D25711" s="8" t="inlineStr">
        <is>
          <t>Disneyland Park</t>
        </is>
      </c>
      <c r="E25711" s="8" t="inlineStr">
        <is>
          <t>Main Street Vehicles</t>
        </is>
      </c>
      <c r="F25711" s="8" t="inlineStr">
        <is>
          <t>STANDBY</t>
        </is>
      </c>
      <c r="G25711" s="8" t="n">
        <v>0</v>
      </c>
      <c r="H25711" s="8" t="inlineStr">
        <is>
          <t>CLOSED</t>
        </is>
      </c>
    </row>
    <row r="25712">
      <c r="A25712" s="8" t="inlineStr">
        <is>
          <t>2026-08-05</t>
        </is>
      </c>
      <c r="B25712" s="8" t="n">
        <v>16</v>
      </c>
      <c r="C25712" s="8" t="n">
        <v>45</v>
      </c>
      <c r="D25712" s="8" t="inlineStr">
        <is>
          <t>Disney Adventure World</t>
        </is>
      </c>
      <c r="E25712" s="8" t="inlineStr">
        <is>
          <t>Avengers Assemble: Flight Force</t>
        </is>
      </c>
      <c r="F25712" s="8" t="inlineStr">
        <is>
          <t>STANDBY</t>
        </is>
      </c>
      <c r="G25712" s="8" t="n">
        <v>25</v>
      </c>
      <c r="H25712" s="8" t="inlineStr">
        <is>
          <t>OPERATING</t>
        </is>
      </c>
    </row>
    <row r="25713">
      <c r="A25713" s="8" t="inlineStr">
        <is>
          <t>2026-08-05</t>
        </is>
      </c>
      <c r="B25713" s="8" t="n">
        <v>16</v>
      </c>
      <c r="C25713" s="8" t="n">
        <v>45</v>
      </c>
      <c r="D25713" s="8" t="inlineStr">
        <is>
          <t>Disney Adventure World</t>
        </is>
      </c>
      <c r="E25713" s="8" t="inlineStr">
        <is>
          <t>Avengers Assemble: Flight Force Single Rider</t>
        </is>
      </c>
      <c r="F25713" s="8" t="inlineStr">
        <is>
          <t>STANDBY</t>
        </is>
      </c>
      <c r="G25713" s="8" t="n">
        <v>20</v>
      </c>
      <c r="H25713" s="8" t="inlineStr">
        <is>
          <t>OPERATING</t>
        </is>
      </c>
    </row>
    <row r="25714">
      <c r="A25714" s="8" t="inlineStr">
        <is>
          <t>2026-08-05</t>
        </is>
      </c>
      <c r="B25714" s="8" t="n">
        <v>16</v>
      </c>
      <c r="C25714" s="8" t="n">
        <v>45</v>
      </c>
      <c r="D25714" s="8" t="inlineStr">
        <is>
          <t>Disney Adventure World</t>
        </is>
      </c>
      <c r="E25714" s="8" t="inlineStr">
        <is>
          <t>Spider-Man W.E.B. Adventure</t>
        </is>
      </c>
      <c r="F25714" s="8" t="inlineStr">
        <is>
          <t>STANDBY</t>
        </is>
      </c>
      <c r="G25714" s="8" t="n">
        <v>50</v>
      </c>
      <c r="H25714" s="8" t="inlineStr">
        <is>
          <t>OPERATING</t>
        </is>
      </c>
    </row>
    <row r="25715">
      <c r="A25715" s="8" t="inlineStr">
        <is>
          <t>2026-08-05</t>
        </is>
      </c>
      <c r="B25715" s="8" t="n">
        <v>16</v>
      </c>
      <c r="C25715" s="8" t="n">
        <v>45</v>
      </c>
      <c r="D25715" s="8" t="inlineStr">
        <is>
          <t>Disney Adventure World</t>
        </is>
      </c>
      <c r="E25715" s="8" t="inlineStr">
        <is>
          <t>Spider-Man W.E.B. Adventure Single Rider</t>
        </is>
      </c>
      <c r="F25715" s="8" t="inlineStr">
        <is>
          <t>STANDBY</t>
        </is>
      </c>
      <c r="G25715" s="8" t="n">
        <v>15</v>
      </c>
      <c r="H25715" s="8" t="inlineStr">
        <is>
          <t>OPERATING</t>
        </is>
      </c>
    </row>
    <row r="25716">
      <c r="A25716" s="8" t="inlineStr">
        <is>
          <t>2026-08-05</t>
        </is>
      </c>
      <c r="B25716" s="8" t="n">
        <v>16</v>
      </c>
      <c r="C25716" s="8" t="n">
        <v>45</v>
      </c>
      <c r="D25716" s="8" t="inlineStr">
        <is>
          <t>Disney Adventure World</t>
        </is>
      </c>
      <c r="E25716" s="8" t="inlineStr">
        <is>
          <t>The Twilight Zone Tower of Terror</t>
        </is>
      </c>
      <c r="F25716" s="8" t="inlineStr">
        <is>
          <t>STANDBY</t>
        </is>
      </c>
      <c r="G25716" s="8" t="n">
        <v>25</v>
      </c>
      <c r="H25716" s="8" t="inlineStr">
        <is>
          <t>OPERATING</t>
        </is>
      </c>
    </row>
    <row r="25717">
      <c r="A25717" s="8" t="inlineStr">
        <is>
          <t>2026-08-05</t>
        </is>
      </c>
      <c r="B25717" s="8" t="n">
        <v>16</v>
      </c>
      <c r="C25717" s="8" t="n">
        <v>45</v>
      </c>
      <c r="D25717" s="8" t="inlineStr">
        <is>
          <t>Disney Adventure World</t>
        </is>
      </c>
      <c r="E25717" s="8" t="inlineStr">
        <is>
          <t>Cars Quatre Roues Rallye</t>
        </is>
      </c>
      <c r="F25717" s="8" t="inlineStr">
        <is>
          <t>STANDBY</t>
        </is>
      </c>
      <c r="G25717" s="8" t="n">
        <v>15</v>
      </c>
      <c r="H25717" s="8" t="inlineStr">
        <is>
          <t>OPERATING</t>
        </is>
      </c>
    </row>
    <row r="25718">
      <c r="A25718" s="8" t="inlineStr">
        <is>
          <t>2026-08-05</t>
        </is>
      </c>
      <c r="B25718" s="8" t="n">
        <v>16</v>
      </c>
      <c r="C25718" s="8" t="n">
        <v>45</v>
      </c>
      <c r="D25718" s="8" t="inlineStr">
        <is>
          <t>Disney Adventure World</t>
        </is>
      </c>
      <c r="E25718" s="8" t="inlineStr">
        <is>
          <t>Cars ROAD TRIP</t>
        </is>
      </c>
      <c r="F25718" s="8" t="inlineStr">
        <is>
          <t>STANDBY</t>
        </is>
      </c>
      <c r="G25718" s="8" t="n">
        <v>20</v>
      </c>
      <c r="H25718" s="8" t="inlineStr">
        <is>
          <t>OPERATING</t>
        </is>
      </c>
    </row>
    <row r="25719">
      <c r="A25719" s="8" t="inlineStr">
        <is>
          <t>2026-08-05</t>
        </is>
      </c>
      <c r="B25719" s="8" t="n">
        <v>16</v>
      </c>
      <c r="C25719" s="8" t="n">
        <v>45</v>
      </c>
      <c r="D25719" s="8" t="inlineStr">
        <is>
          <t>Disney Adventure World</t>
        </is>
      </c>
      <c r="E25719" s="8" t="inlineStr">
        <is>
          <t>Crush's Coaster</t>
        </is>
      </c>
      <c r="F25719" s="8" t="inlineStr">
        <is>
          <t>STANDBY</t>
        </is>
      </c>
      <c r="G25719" s="8" t="n">
        <v>75</v>
      </c>
      <c r="H25719" s="8" t="inlineStr">
        <is>
          <t>OPERATING</t>
        </is>
      </c>
    </row>
    <row r="25720">
      <c r="A25720" s="8" t="inlineStr">
        <is>
          <t>2026-08-05</t>
        </is>
      </c>
      <c r="B25720" s="8" t="n">
        <v>16</v>
      </c>
      <c r="C25720" s="8" t="n">
        <v>45</v>
      </c>
      <c r="D25720" s="8" t="inlineStr">
        <is>
          <t>Disney Adventure World</t>
        </is>
      </c>
      <c r="E25720" s="8" t="inlineStr">
        <is>
          <t>Crush's Coaster Single Rider</t>
        </is>
      </c>
      <c r="F25720" s="8" t="inlineStr">
        <is>
          <t>STANDBY</t>
        </is>
      </c>
      <c r="G25720" s="8" t="n">
        <v>60</v>
      </c>
      <c r="H25720" s="8" t="inlineStr">
        <is>
          <t>OPERATING</t>
        </is>
      </c>
    </row>
    <row r="25721">
      <c r="A25721" s="8" t="inlineStr">
        <is>
          <t>2026-08-05</t>
        </is>
      </c>
      <c r="B25721" s="8" t="n">
        <v>16</v>
      </c>
      <c r="C25721" s="8" t="n">
        <v>45</v>
      </c>
      <c r="D25721" s="8" t="inlineStr">
        <is>
          <t>Disney Adventure World</t>
        </is>
      </c>
      <c r="E25721" s="8" t="inlineStr">
        <is>
          <t>Les Tapis Volants - Flying Carpets Over Agrabah®</t>
        </is>
      </c>
      <c r="F25721" s="8" t="inlineStr">
        <is>
          <t>STANDBY</t>
        </is>
      </c>
      <c r="G25721" s="8" t="n">
        <v>15</v>
      </c>
      <c r="H25721" s="8" t="inlineStr">
        <is>
          <t>OPERATING</t>
        </is>
      </c>
    </row>
    <row r="25722">
      <c r="A25722" s="8" t="inlineStr">
        <is>
          <t>2026-08-05</t>
        </is>
      </c>
      <c r="B25722" s="8" t="n">
        <v>16</v>
      </c>
      <c r="C25722" s="8" t="n">
        <v>45</v>
      </c>
      <c r="D25722" s="8" t="inlineStr">
        <is>
          <t>Disney Adventure World</t>
        </is>
      </c>
      <c r="E25722" s="8" t="inlineStr">
        <is>
          <t>Ratatouille : L’Aventure Totalement Toquée de Rémy​</t>
        </is>
      </c>
      <c r="F25722" s="8" t="inlineStr">
        <is>
          <t>STANDBY</t>
        </is>
      </c>
      <c r="G25722" s="8" t="n">
        <v>65</v>
      </c>
      <c r="H25722" s="8" t="inlineStr">
        <is>
          <t>OPERATING</t>
        </is>
      </c>
    </row>
    <row r="25723">
      <c r="A25723" s="8" t="inlineStr">
        <is>
          <t>2026-08-05</t>
        </is>
      </c>
      <c r="B25723" s="8" t="n">
        <v>16</v>
      </c>
      <c r="C25723" s="8" t="n">
        <v>45</v>
      </c>
      <c r="D25723" s="8" t="inlineStr">
        <is>
          <t>Disney Adventure World</t>
        </is>
      </c>
      <c r="E25723" s="8" t="inlineStr">
        <is>
          <t>Ratatouille: The Adventure Single Rider</t>
        </is>
      </c>
      <c r="F25723" s="8" t="inlineStr">
        <is>
          <t>STANDBY</t>
        </is>
      </c>
      <c r="G25723" s="8" t="n">
        <v>15</v>
      </c>
      <c r="H25723" s="8" t="inlineStr">
        <is>
          <t>OPERATING</t>
        </is>
      </c>
    </row>
    <row r="25724">
      <c r="A25724" s="8" t="inlineStr">
        <is>
          <t>2026-08-05</t>
        </is>
      </c>
      <c r="B25724" s="8" t="n">
        <v>16</v>
      </c>
      <c r="C25724" s="8" t="n">
        <v>45</v>
      </c>
      <c r="D25724" s="8" t="inlineStr">
        <is>
          <t>Disney Adventure World</t>
        </is>
      </c>
      <c r="E25724" s="8" t="inlineStr">
        <is>
          <t>RC Racer</t>
        </is>
      </c>
      <c r="F25724" s="8" t="inlineStr">
        <is>
          <t>STANDBY</t>
        </is>
      </c>
      <c r="G25724" s="8" t="n">
        <v>55</v>
      </c>
      <c r="H25724" s="8" t="inlineStr">
        <is>
          <t>OPERATING</t>
        </is>
      </c>
    </row>
    <row r="25725">
      <c r="A25725" s="8" t="inlineStr">
        <is>
          <t>2026-08-05</t>
        </is>
      </c>
      <c r="B25725" s="8" t="n">
        <v>16</v>
      </c>
      <c r="C25725" s="8" t="n">
        <v>45</v>
      </c>
      <c r="D25725" s="8" t="inlineStr">
        <is>
          <t>Disney Adventure World</t>
        </is>
      </c>
      <c r="E25725" s="8" t="inlineStr">
        <is>
          <t>RC Racer Single Rider</t>
        </is>
      </c>
      <c r="F25725" s="8" t="inlineStr">
        <is>
          <t>STANDBY</t>
        </is>
      </c>
      <c r="G25725" s="8" t="n">
        <v>50</v>
      </c>
      <c r="H25725" s="8" t="inlineStr">
        <is>
          <t>OPERATING</t>
        </is>
      </c>
    </row>
    <row r="25726">
      <c r="A25726" s="8" t="inlineStr">
        <is>
          <t>2026-08-05</t>
        </is>
      </c>
      <c r="B25726" s="8" t="n">
        <v>16</v>
      </c>
      <c r="C25726" s="8" t="n">
        <v>45</v>
      </c>
      <c r="D25726" s="8" t="inlineStr">
        <is>
          <t>Disney Adventure World</t>
        </is>
      </c>
      <c r="E25726" s="8" t="inlineStr">
        <is>
          <t>Slinky® Dog Zigzag Spin</t>
        </is>
      </c>
      <c r="F25726" s="8" t="inlineStr">
        <is>
          <t>STANDBY</t>
        </is>
      </c>
      <c r="G25726" s="8" t="n">
        <v>15</v>
      </c>
      <c r="H25726" s="8" t="inlineStr">
        <is>
          <t>OPERATING</t>
        </is>
      </c>
    </row>
    <row r="25727">
      <c r="A25727" s="8" t="inlineStr">
        <is>
          <t>2026-08-05</t>
        </is>
      </c>
      <c r="B25727" s="8" t="n">
        <v>16</v>
      </c>
      <c r="C25727" s="8" t="n">
        <v>45</v>
      </c>
      <c r="D25727" s="8" t="inlineStr">
        <is>
          <t>Disney Adventure World</t>
        </is>
      </c>
      <c r="E25727" s="8" t="inlineStr">
        <is>
          <t>Toy Soldiers Parachute Drop</t>
        </is>
      </c>
      <c r="F25727" s="8" t="inlineStr">
        <is>
          <t>STANDBY</t>
        </is>
      </c>
      <c r="G25727" s="8" t="n">
        <v>60</v>
      </c>
      <c r="H25727" s="8" t="inlineStr">
        <is>
          <t>OPERATING</t>
        </is>
      </c>
    </row>
    <row r="25728">
      <c r="A25728" s="8" t="inlineStr">
        <is>
          <t>2026-08-05</t>
        </is>
      </c>
      <c r="B25728" s="8" t="n">
        <v>16</v>
      </c>
      <c r="C25728" s="8" t="n">
        <v>45</v>
      </c>
      <c r="D25728" s="8" t="inlineStr">
        <is>
          <t>Disney Adventure World</t>
        </is>
      </c>
      <c r="E25728" s="8" t="inlineStr">
        <is>
          <t>Toy Soldiers Parachute Drop Single Rider</t>
        </is>
      </c>
      <c r="F25728" s="8" t="inlineStr">
        <is>
          <t>STANDBY</t>
        </is>
      </c>
      <c r="G25728" s="8" t="n">
        <v>35</v>
      </c>
      <c r="H25728" s="8" t="inlineStr">
        <is>
          <t>OPERATING</t>
        </is>
      </c>
    </row>
    <row r="25729">
      <c r="A25729" s="8" t="inlineStr">
        <is>
          <t>2026-08-05</t>
        </is>
      </c>
      <c r="B25729" s="8" t="n">
        <v>16</v>
      </c>
      <c r="C25729" s="8" t="n">
        <v>45</v>
      </c>
      <c r="D25729" s="8" t="inlineStr">
        <is>
          <t>Disney Adventure World</t>
        </is>
      </c>
      <c r="E25729" s="8" t="inlineStr">
        <is>
          <t>Entry to World of Frozen</t>
        </is>
      </c>
      <c r="F25729" s="8" t="inlineStr">
        <is>
          <t>STANDBY</t>
        </is>
      </c>
      <c r="G25729" s="8" t="n">
        <v>0</v>
      </c>
      <c r="H25729" s="8" t="inlineStr">
        <is>
          <t>OPERATING</t>
        </is>
      </c>
    </row>
    <row r="25730">
      <c r="A25730" s="8" t="inlineStr">
        <is>
          <t>2026-08-05</t>
        </is>
      </c>
      <c r="B25730" s="8" t="n">
        <v>16</v>
      </c>
      <c r="C25730" s="8" t="n">
        <v>45</v>
      </c>
      <c r="D25730" s="8" t="inlineStr">
        <is>
          <t>Disney Adventure World</t>
        </is>
      </c>
      <c r="E25730" s="8" t="inlineStr">
        <is>
          <t>Frozen Ever After</t>
        </is>
      </c>
      <c r="F25730" s="8" t="inlineStr">
        <is>
          <t>STANDBY</t>
        </is>
      </c>
      <c r="G25730" s="8" t="n">
        <v>0</v>
      </c>
      <c r="H25730" s="8" t="inlineStr">
        <is>
          <t>CLOSED</t>
        </is>
      </c>
    </row>
    <row r="25731">
      <c r="A25731" s="8" t="inlineStr">
        <is>
          <t>2026-08-05</t>
        </is>
      </c>
      <c r="B25731" s="8" t="n">
        <v>16</v>
      </c>
      <c r="C25731" s="8" t="n">
        <v>45</v>
      </c>
      <c r="D25731" s="8" t="inlineStr">
        <is>
          <t>Disney Adventure World</t>
        </is>
      </c>
      <c r="E25731" s="8" t="inlineStr">
        <is>
          <t>Raiponce Tangled Spin</t>
        </is>
      </c>
      <c r="F25731" s="8" t="inlineStr">
        <is>
          <t>STANDBY</t>
        </is>
      </c>
      <c r="G25731" s="8" t="n">
        <v>15</v>
      </c>
      <c r="H25731" s="8" t="inlineStr">
        <is>
          <t>OPERATING</t>
        </is>
      </c>
    </row>
    <row r="25732">
      <c r="A25732" s="8" t="inlineStr">
        <is>
          <t>2026-08-05</t>
        </is>
      </c>
      <c r="B25732" s="8" t="n">
        <v>17</v>
      </c>
      <c r="C25732" s="8" t="n">
        <v>1</v>
      </c>
      <c r="D25732" s="8" t="inlineStr">
        <is>
          <t>Disneyland Park</t>
        </is>
      </c>
      <c r="E25732" s="8" t="inlineStr">
        <is>
          <t>Adventure Isle</t>
        </is>
      </c>
      <c r="F25732" s="8" t="inlineStr">
        <is>
          <t>STANDBY</t>
        </is>
      </c>
      <c r="G25732" s="8" t="n">
        <v>0</v>
      </c>
      <c r="H25732" s="8" t="inlineStr">
        <is>
          <t>OPERATING</t>
        </is>
      </c>
    </row>
    <row r="25733">
      <c r="A25733" s="8" t="inlineStr">
        <is>
          <t>2026-08-05</t>
        </is>
      </c>
      <c r="B25733" s="8" t="n">
        <v>17</v>
      </c>
      <c r="C25733" s="8" t="n">
        <v>1</v>
      </c>
      <c r="D25733" s="8" t="inlineStr">
        <is>
          <t>Disneyland Park</t>
        </is>
      </c>
      <c r="E25733" s="8" t="inlineStr">
        <is>
          <t>Indiana Jones and the Temple of Peril Single Rider</t>
        </is>
      </c>
      <c r="F25733" s="8" t="inlineStr">
        <is>
          <t>STANDBY</t>
        </is>
      </c>
      <c r="G25733" s="8" t="n">
        <v>15</v>
      </c>
      <c r="H25733" s="8" t="inlineStr">
        <is>
          <t>OPERATING</t>
        </is>
      </c>
    </row>
    <row r="25734">
      <c r="A25734" s="8" t="inlineStr">
        <is>
          <t>2026-08-05</t>
        </is>
      </c>
      <c r="B25734" s="8" t="n">
        <v>17</v>
      </c>
      <c r="C25734" s="8" t="n">
        <v>1</v>
      </c>
      <c r="D25734" s="8" t="inlineStr">
        <is>
          <t>Disneyland Park</t>
        </is>
      </c>
      <c r="E25734" s="8" t="inlineStr">
        <is>
          <t>Indiana Jones™ and the Temple of Peril</t>
        </is>
      </c>
      <c r="F25734" s="8" t="inlineStr">
        <is>
          <t>STANDBY</t>
        </is>
      </c>
      <c r="G25734" s="8" t="n">
        <v>20</v>
      </c>
      <c r="H25734" s="8" t="inlineStr">
        <is>
          <t>OPERATING</t>
        </is>
      </c>
    </row>
    <row r="25735">
      <c r="A25735" s="8" t="inlineStr">
        <is>
          <t>2026-08-05</t>
        </is>
      </c>
      <c r="B25735" s="8" t="n">
        <v>17</v>
      </c>
      <c r="C25735" s="8" t="n">
        <v>1</v>
      </c>
      <c r="D25735" s="8" t="inlineStr">
        <is>
          <t>Disneyland Park</t>
        </is>
      </c>
      <c r="E25735" s="8" t="inlineStr">
        <is>
          <t>La Cabane des Robinson</t>
        </is>
      </c>
      <c r="F25735" s="8" t="inlineStr">
        <is>
          <t>STANDBY</t>
        </is>
      </c>
      <c r="G25735" s="8" t="n">
        <v>5</v>
      </c>
      <c r="H25735" s="8" t="inlineStr">
        <is>
          <t>OPERATING</t>
        </is>
      </c>
    </row>
    <row r="25736">
      <c r="A25736" s="8" t="inlineStr">
        <is>
          <t>2026-08-05</t>
        </is>
      </c>
      <c r="B25736" s="8" t="n">
        <v>17</v>
      </c>
      <c r="C25736" s="8" t="n">
        <v>1</v>
      </c>
      <c r="D25736" s="8" t="inlineStr">
        <is>
          <t>Disneyland Park</t>
        </is>
      </c>
      <c r="E25736" s="8" t="inlineStr">
        <is>
          <t>Le Passage Enchanté d'Aladdin</t>
        </is>
      </c>
      <c r="F25736" s="8" t="inlineStr">
        <is>
          <t>STANDBY</t>
        </is>
      </c>
      <c r="G25736" s="8" t="n">
        <v>0</v>
      </c>
      <c r="H25736" s="8" t="inlineStr">
        <is>
          <t>OPERATING</t>
        </is>
      </c>
    </row>
    <row r="25737">
      <c r="A25737" s="8" t="inlineStr">
        <is>
          <t>2026-08-05</t>
        </is>
      </c>
      <c r="B25737" s="8" t="n">
        <v>17</v>
      </c>
      <c r="C25737" s="8" t="n">
        <v>1</v>
      </c>
      <c r="D25737" s="8" t="inlineStr">
        <is>
          <t>Disneyland Park</t>
        </is>
      </c>
      <c r="E25737" s="8" t="inlineStr">
        <is>
          <t>Pirate Galleon</t>
        </is>
      </c>
      <c r="F25737" s="8" t="inlineStr">
        <is>
          <t>STANDBY</t>
        </is>
      </c>
      <c r="G25737" s="8" t="n">
        <v>0</v>
      </c>
      <c r="H25737" s="8" t="inlineStr">
        <is>
          <t>CLOSED</t>
        </is>
      </c>
    </row>
    <row r="25738">
      <c r="A25738" s="8" t="inlineStr">
        <is>
          <t>2026-08-05</t>
        </is>
      </c>
      <c r="B25738" s="8" t="n">
        <v>17</v>
      </c>
      <c r="C25738" s="8" t="n">
        <v>1</v>
      </c>
      <c r="D25738" s="8" t="inlineStr">
        <is>
          <t>Disneyland Park</t>
        </is>
      </c>
      <c r="E25738" s="8" t="inlineStr">
        <is>
          <t>Pirates of the Caribbean</t>
        </is>
      </c>
      <c r="F25738" s="8" t="inlineStr">
        <is>
          <t>STANDBY</t>
        </is>
      </c>
      <c r="G25738" s="8" t="n">
        <v>20</v>
      </c>
      <c r="H25738" s="8" t="inlineStr">
        <is>
          <t>OPERATING</t>
        </is>
      </c>
    </row>
    <row r="25739">
      <c r="A25739" s="8" t="inlineStr">
        <is>
          <t>2026-08-05</t>
        </is>
      </c>
      <c r="B25739" s="8" t="n">
        <v>17</v>
      </c>
      <c r="C25739" s="8" t="n">
        <v>1</v>
      </c>
      <c r="D25739" s="8" t="inlineStr">
        <is>
          <t>Disneyland Park</t>
        </is>
      </c>
      <c r="E25739" s="8" t="inlineStr">
        <is>
          <t>Pirates' Beach</t>
        </is>
      </c>
      <c r="F25739" s="8" t="inlineStr">
        <is>
          <t>STANDBY</t>
        </is>
      </c>
      <c r="G25739" s="8" t="n">
        <v>0</v>
      </c>
      <c r="H25739" s="8" t="inlineStr">
        <is>
          <t>OPERATING</t>
        </is>
      </c>
    </row>
    <row r="25740">
      <c r="A25740" s="8" t="inlineStr">
        <is>
          <t>2026-08-05</t>
        </is>
      </c>
      <c r="B25740" s="8" t="n">
        <v>17</v>
      </c>
      <c r="C25740" s="8" t="n">
        <v>1</v>
      </c>
      <c r="D25740" s="8" t="inlineStr">
        <is>
          <t>Disneyland Park</t>
        </is>
      </c>
      <c r="E25740" s="8" t="inlineStr">
        <is>
          <t>Autopia, presented by Avis</t>
        </is>
      </c>
      <c r="F25740" s="8" t="inlineStr">
        <is>
          <t>STANDBY</t>
        </is>
      </c>
      <c r="G25740" s="8" t="n">
        <v>35</v>
      </c>
      <c r="H25740" s="8" t="inlineStr">
        <is>
          <t>OPERATING</t>
        </is>
      </c>
    </row>
    <row r="25741">
      <c r="A25741" s="8" t="inlineStr">
        <is>
          <t>2026-08-05</t>
        </is>
      </c>
      <c r="B25741" s="8" t="n">
        <v>17</v>
      </c>
      <c r="C25741" s="8" t="n">
        <v>1</v>
      </c>
      <c r="D25741" s="8" t="inlineStr">
        <is>
          <t>Disneyland Park</t>
        </is>
      </c>
      <c r="E25741" s="8" t="inlineStr">
        <is>
          <t>Buzz Lightyear Laser Blast</t>
        </is>
      </c>
      <c r="F25741" s="8" t="inlineStr">
        <is>
          <t>STANDBY</t>
        </is>
      </c>
      <c r="G25741" s="8" t="n">
        <v>35</v>
      </c>
      <c r="H25741" s="8" t="inlineStr">
        <is>
          <t>OPERATING</t>
        </is>
      </c>
    </row>
    <row r="25742">
      <c r="A25742" s="8" t="inlineStr">
        <is>
          <t>2026-08-05</t>
        </is>
      </c>
      <c r="B25742" s="8" t="n">
        <v>17</v>
      </c>
      <c r="C25742" s="8" t="n">
        <v>1</v>
      </c>
      <c r="D25742" s="8" t="inlineStr">
        <is>
          <t>Disneyland Park</t>
        </is>
      </c>
      <c r="E25742" s="8" t="inlineStr">
        <is>
          <t>Disneyland Railroad Discoveryland Station</t>
        </is>
      </c>
      <c r="F25742" s="8" t="inlineStr">
        <is>
          <t>STANDBY</t>
        </is>
      </c>
      <c r="G25742" s="8" t="n">
        <v>0</v>
      </c>
      <c r="H25742" s="8" t="inlineStr">
        <is>
          <t>CLOSED</t>
        </is>
      </c>
    </row>
    <row r="25743">
      <c r="A25743" s="8" t="inlineStr">
        <is>
          <t>2026-08-05</t>
        </is>
      </c>
      <c r="B25743" s="8" t="n">
        <v>17</v>
      </c>
      <c r="C25743" s="8" t="n">
        <v>1</v>
      </c>
      <c r="D25743" s="8" t="inlineStr">
        <is>
          <t>Disneyland Park</t>
        </is>
      </c>
      <c r="E25743" s="8" t="inlineStr">
        <is>
          <t>Les Mystères du Nautilus</t>
        </is>
      </c>
      <c r="F25743" s="8" t="inlineStr">
        <is>
          <t>STANDBY</t>
        </is>
      </c>
      <c r="G25743" s="8" t="n">
        <v>5</v>
      </c>
      <c r="H25743" s="8" t="inlineStr">
        <is>
          <t>OPERATING</t>
        </is>
      </c>
    </row>
    <row r="25744">
      <c r="A25744" s="8" t="inlineStr">
        <is>
          <t>2026-08-05</t>
        </is>
      </c>
      <c r="B25744" s="8" t="n">
        <v>17</v>
      </c>
      <c r="C25744" s="8" t="n">
        <v>1</v>
      </c>
      <c r="D25744" s="8" t="inlineStr">
        <is>
          <t>Disneyland Park</t>
        </is>
      </c>
      <c r="E25744" s="8" t="inlineStr">
        <is>
          <t>Mickey’s PhilharMagic</t>
        </is>
      </c>
      <c r="F25744" s="8" t="inlineStr">
        <is>
          <t>STANDBY</t>
        </is>
      </c>
      <c r="G25744" s="8" t="n">
        <v>0</v>
      </c>
      <c r="H25744" s="8" t="inlineStr">
        <is>
          <t>OPERATING</t>
        </is>
      </c>
    </row>
    <row r="25745">
      <c r="A25745" s="8" t="inlineStr">
        <is>
          <t>2026-08-05</t>
        </is>
      </c>
      <c r="B25745" s="8" t="n">
        <v>17</v>
      </c>
      <c r="C25745" s="8" t="n">
        <v>1</v>
      </c>
      <c r="D25745" s="8" t="inlineStr">
        <is>
          <t>Disneyland Park</t>
        </is>
      </c>
      <c r="E25745" s="8" t="inlineStr">
        <is>
          <t>Orbitron®</t>
        </is>
      </c>
      <c r="F25745" s="8" t="inlineStr">
        <is>
          <t>STANDBY</t>
        </is>
      </c>
      <c r="G25745" s="8" t="n">
        <v>45</v>
      </c>
      <c r="H25745" s="8" t="inlineStr">
        <is>
          <t>OPERATING</t>
        </is>
      </c>
    </row>
    <row r="25746">
      <c r="A25746" s="8" t="inlineStr">
        <is>
          <t>2026-08-05</t>
        </is>
      </c>
      <c r="B25746" s="8" t="n">
        <v>17</v>
      </c>
      <c r="C25746" s="8" t="n">
        <v>1</v>
      </c>
      <c r="D25746" s="8" t="inlineStr">
        <is>
          <t>Disneyland Park</t>
        </is>
      </c>
      <c r="E25746" s="8" t="inlineStr">
        <is>
          <t>Star Tours: The Adventures Continue*</t>
        </is>
      </c>
      <c r="F25746" s="8" t="inlineStr">
        <is>
          <t>STANDBY</t>
        </is>
      </c>
      <c r="G25746" s="8" t="n">
        <v>10</v>
      </c>
      <c r="H25746" s="8" t="inlineStr">
        <is>
          <t>OPERATING</t>
        </is>
      </c>
    </row>
    <row r="25747">
      <c r="A25747" s="8" t="inlineStr">
        <is>
          <t>2026-08-05</t>
        </is>
      </c>
      <c r="B25747" s="8" t="n">
        <v>17</v>
      </c>
      <c r="C25747" s="8" t="n">
        <v>1</v>
      </c>
      <c r="D25747" s="8" t="inlineStr">
        <is>
          <t>Disneyland Park</t>
        </is>
      </c>
      <c r="E25747" s="8" t="inlineStr">
        <is>
          <t>Star Wars Hyperspace Mountain</t>
        </is>
      </c>
      <c r="F25747" s="8" t="inlineStr">
        <is>
          <t>STANDBY</t>
        </is>
      </c>
      <c r="G25747" s="8" t="n">
        <v>40</v>
      </c>
      <c r="H25747" s="8" t="inlineStr">
        <is>
          <t>OPERATING</t>
        </is>
      </c>
    </row>
    <row r="25748">
      <c r="A25748" s="8" t="inlineStr">
        <is>
          <t>2026-08-05</t>
        </is>
      </c>
      <c r="B25748" s="8" t="n">
        <v>17</v>
      </c>
      <c r="C25748" s="8" t="n">
        <v>1</v>
      </c>
      <c r="D25748" s="8" t="inlineStr">
        <is>
          <t>Disneyland Park</t>
        </is>
      </c>
      <c r="E25748" s="8" t="inlineStr">
        <is>
          <t>Star Wars Hyperspace Mountain Single Rider</t>
        </is>
      </c>
      <c r="F25748" s="8" t="inlineStr">
        <is>
          <t>STANDBY</t>
        </is>
      </c>
      <c r="G25748" s="8" t="n">
        <v>25</v>
      </c>
      <c r="H25748" s="8" t="inlineStr">
        <is>
          <t>OPERATING</t>
        </is>
      </c>
    </row>
    <row r="25749">
      <c r="A25749" s="8" t="inlineStr">
        <is>
          <t>2026-08-05</t>
        </is>
      </c>
      <c r="B25749" s="8" t="n">
        <v>17</v>
      </c>
      <c r="C25749" s="8" t="n">
        <v>1</v>
      </c>
      <c r="D25749" s="8" t="inlineStr">
        <is>
          <t>Disneyland Park</t>
        </is>
      </c>
      <c r="E25749" s="8" t="inlineStr">
        <is>
          <t>Welcome to Starport: A Star Wars Encounter</t>
        </is>
      </c>
      <c r="F25749" s="8" t="inlineStr">
        <is>
          <t>STANDBY</t>
        </is>
      </c>
      <c r="G25749" s="8" t="n">
        <v>20</v>
      </c>
      <c r="H25749" s="8" t="inlineStr">
        <is>
          <t>OPERATING</t>
        </is>
      </c>
    </row>
    <row r="25750">
      <c r="A25750" s="8" t="inlineStr">
        <is>
          <t>2026-08-05</t>
        </is>
      </c>
      <c r="B25750" s="8" t="n">
        <v>17</v>
      </c>
      <c r="C25750" s="8" t="n">
        <v>1</v>
      </c>
      <c r="D25750" s="8" t="inlineStr">
        <is>
          <t>Disneyland Park</t>
        </is>
      </c>
      <c r="E25750" s="8" t="inlineStr">
        <is>
          <t>"it's a small world"</t>
        </is>
      </c>
      <c r="F25750" s="8" t="inlineStr">
        <is>
          <t>STANDBY</t>
        </is>
      </c>
      <c r="G25750" s="8" t="n">
        <v>5</v>
      </c>
      <c r="H25750" s="8" t="inlineStr">
        <is>
          <t>OPERATING</t>
        </is>
      </c>
    </row>
    <row r="25751">
      <c r="A25751" s="8" t="inlineStr">
        <is>
          <t>2026-08-05</t>
        </is>
      </c>
      <c r="B25751" s="8" t="n">
        <v>17</v>
      </c>
      <c r="C25751" s="8" t="n">
        <v>1</v>
      </c>
      <c r="D25751" s="8" t="inlineStr">
        <is>
          <t>Disneyland Park</t>
        </is>
      </c>
      <c r="E25751" s="8" t="inlineStr">
        <is>
          <t>Alice's Curious Labyrinth</t>
        </is>
      </c>
      <c r="F25751" s="8" t="inlineStr">
        <is>
          <t>STANDBY</t>
        </is>
      </c>
      <c r="G25751" s="8" t="n">
        <v>5</v>
      </c>
      <c r="H25751" s="8" t="inlineStr">
        <is>
          <t>OPERATING</t>
        </is>
      </c>
    </row>
    <row r="25752">
      <c r="A25752" s="8" t="inlineStr">
        <is>
          <t>2026-08-05</t>
        </is>
      </c>
      <c r="B25752" s="8" t="n">
        <v>17</v>
      </c>
      <c r="C25752" s="8" t="n">
        <v>1</v>
      </c>
      <c r="D25752" s="8" t="inlineStr">
        <is>
          <t>Disneyland Park</t>
        </is>
      </c>
      <c r="E25752" s="8" t="inlineStr">
        <is>
          <t>Blanche-Neige et les Sept Nains®</t>
        </is>
      </c>
      <c r="F25752" s="8" t="inlineStr">
        <is>
          <t>STANDBY</t>
        </is>
      </c>
      <c r="G25752" s="8" t="n">
        <v>30</v>
      </c>
      <c r="H25752" s="8" t="inlineStr">
        <is>
          <t>OPERATING</t>
        </is>
      </c>
    </row>
    <row r="25753">
      <c r="A25753" s="8" t="inlineStr">
        <is>
          <t>2026-08-05</t>
        </is>
      </c>
      <c r="B25753" s="8" t="n">
        <v>17</v>
      </c>
      <c r="C25753" s="8" t="n">
        <v>1</v>
      </c>
      <c r="D25753" s="8" t="inlineStr">
        <is>
          <t>Disneyland Park</t>
        </is>
      </c>
      <c r="E25753" s="8" t="inlineStr">
        <is>
          <t>Casey Jr. – le Petit Train du Cirque</t>
        </is>
      </c>
      <c r="F25753" s="8" t="inlineStr">
        <is>
          <t>STANDBY</t>
        </is>
      </c>
      <c r="G25753" s="8" t="n">
        <v>20</v>
      </c>
      <c r="H25753" s="8" t="inlineStr">
        <is>
          <t>OPERATING</t>
        </is>
      </c>
    </row>
    <row r="25754">
      <c r="A25754" s="8" t="inlineStr">
        <is>
          <t>2026-08-05</t>
        </is>
      </c>
      <c r="B25754" s="8" t="n">
        <v>17</v>
      </c>
      <c r="C25754" s="8" t="n">
        <v>1</v>
      </c>
      <c r="D25754" s="8" t="inlineStr">
        <is>
          <t>Disneyland Park</t>
        </is>
      </c>
      <c r="E25754" s="8" t="inlineStr">
        <is>
          <t>Disneyland Railroad Fantasyland Station</t>
        </is>
      </c>
      <c r="F25754" s="8" t="inlineStr">
        <is>
          <t>STANDBY</t>
        </is>
      </c>
      <c r="G25754" s="8" t="n">
        <v>0</v>
      </c>
      <c r="H25754" s="8" t="inlineStr">
        <is>
          <t>CLOSED</t>
        </is>
      </c>
    </row>
    <row r="25755">
      <c r="A25755" s="8" t="inlineStr">
        <is>
          <t>2026-08-05</t>
        </is>
      </c>
      <c r="B25755" s="8" t="n">
        <v>17</v>
      </c>
      <c r="C25755" s="8" t="n">
        <v>1</v>
      </c>
      <c r="D25755" s="8" t="inlineStr">
        <is>
          <t>Disneyland Park</t>
        </is>
      </c>
      <c r="E25755" s="8" t="inlineStr">
        <is>
          <t>Disneyland Railroad Main Street Station</t>
        </is>
      </c>
      <c r="F25755" s="8" t="inlineStr">
        <is>
          <t>STANDBY</t>
        </is>
      </c>
      <c r="G25755" s="8" t="n">
        <v>20</v>
      </c>
      <c r="H25755" s="8" t="inlineStr">
        <is>
          <t>OPERATING</t>
        </is>
      </c>
    </row>
    <row r="25756">
      <c r="A25756" s="8" t="inlineStr">
        <is>
          <t>2026-08-05</t>
        </is>
      </c>
      <c r="B25756" s="8" t="n">
        <v>17</v>
      </c>
      <c r="C25756" s="8" t="n">
        <v>1</v>
      </c>
      <c r="D25756" s="8" t="inlineStr">
        <is>
          <t>Disneyland Park</t>
        </is>
      </c>
      <c r="E25756" s="8" t="inlineStr">
        <is>
          <t>Dumbo the Flying Elephant</t>
        </is>
      </c>
      <c r="F25756" s="8" t="inlineStr">
        <is>
          <t>STANDBY</t>
        </is>
      </c>
      <c r="G25756" s="8" t="n">
        <v>35</v>
      </c>
      <c r="H25756" s="8" t="inlineStr">
        <is>
          <t>OPERATING</t>
        </is>
      </c>
    </row>
    <row r="25757">
      <c r="A25757" s="8" t="inlineStr">
        <is>
          <t>2026-08-05</t>
        </is>
      </c>
      <c r="B25757" s="8" t="n">
        <v>17</v>
      </c>
      <c r="C25757" s="8" t="n">
        <v>1</v>
      </c>
      <c r="D25757" s="8" t="inlineStr">
        <is>
          <t>Disneyland Park</t>
        </is>
      </c>
      <c r="E25757" s="8" t="inlineStr">
        <is>
          <t>La Tanière du Dragon</t>
        </is>
      </c>
      <c r="F25757" s="8" t="inlineStr">
        <is>
          <t>STANDBY</t>
        </is>
      </c>
      <c r="G25757" s="8" t="n">
        <v>0</v>
      </c>
      <c r="H25757" s="8" t="inlineStr">
        <is>
          <t>OPERATING</t>
        </is>
      </c>
    </row>
    <row r="25758">
      <c r="A25758" s="8" t="inlineStr">
        <is>
          <t>2026-08-05</t>
        </is>
      </c>
      <c r="B25758" s="8" t="n">
        <v>17</v>
      </c>
      <c r="C25758" s="8" t="n">
        <v>1</v>
      </c>
      <c r="D25758" s="8" t="inlineStr">
        <is>
          <t>Disneyland Park</t>
        </is>
      </c>
      <c r="E25758" s="8" t="inlineStr">
        <is>
          <t>Le Carrousel de Lancelot</t>
        </is>
      </c>
      <c r="F25758" s="8" t="inlineStr">
        <is>
          <t>STANDBY</t>
        </is>
      </c>
      <c r="G25758" s="8" t="n">
        <v>15</v>
      </c>
      <c r="H25758" s="8" t="inlineStr">
        <is>
          <t>OPERATING</t>
        </is>
      </c>
    </row>
    <row r="25759">
      <c r="A25759" s="8" t="inlineStr">
        <is>
          <t>2026-08-05</t>
        </is>
      </c>
      <c r="B25759" s="8" t="n">
        <v>17</v>
      </c>
      <c r="C25759" s="8" t="n">
        <v>1</v>
      </c>
      <c r="D25759" s="8" t="inlineStr">
        <is>
          <t>Disneyland Park</t>
        </is>
      </c>
      <c r="E25759" s="8" t="inlineStr">
        <is>
          <t>Le Pays des Contes de Fées, presented by Vittel</t>
        </is>
      </c>
      <c r="F25759" s="8" t="inlineStr">
        <is>
          <t>STANDBY</t>
        </is>
      </c>
      <c r="G25759" s="8" t="n">
        <v>5</v>
      </c>
      <c r="H25759" s="8" t="inlineStr">
        <is>
          <t>OPERATING</t>
        </is>
      </c>
    </row>
    <row r="25760">
      <c r="A25760" s="8" t="inlineStr">
        <is>
          <t>2026-08-05</t>
        </is>
      </c>
      <c r="B25760" s="8" t="n">
        <v>17</v>
      </c>
      <c r="C25760" s="8" t="n">
        <v>1</v>
      </c>
      <c r="D25760" s="8" t="inlineStr">
        <is>
          <t>Disneyland Park</t>
        </is>
      </c>
      <c r="E25760" s="8" t="inlineStr">
        <is>
          <t>Les Voyages de Pinocchio</t>
        </is>
      </c>
      <c r="F25760" s="8" t="inlineStr">
        <is>
          <t>STANDBY</t>
        </is>
      </c>
      <c r="G25760" s="8" t="n">
        <v>15</v>
      </c>
      <c r="H25760" s="8" t="inlineStr">
        <is>
          <t>OPERATING</t>
        </is>
      </c>
    </row>
    <row r="25761">
      <c r="A25761" s="8" t="inlineStr">
        <is>
          <t>2026-08-05</t>
        </is>
      </c>
      <c r="B25761" s="8" t="n">
        <v>17</v>
      </c>
      <c r="C25761" s="8" t="n">
        <v>1</v>
      </c>
      <c r="D25761" s="8" t="inlineStr">
        <is>
          <t>Disneyland Park</t>
        </is>
      </c>
      <c r="E25761" s="8" t="inlineStr">
        <is>
          <t>Mad Hatter's Tea Cups</t>
        </is>
      </c>
      <c r="F25761" s="8" t="inlineStr">
        <is>
          <t>STANDBY</t>
        </is>
      </c>
      <c r="G25761" s="8" t="n">
        <v>10</v>
      </c>
      <c r="H25761" s="8" t="inlineStr">
        <is>
          <t>OPERATING</t>
        </is>
      </c>
    </row>
    <row r="25762">
      <c r="A25762" s="8" t="inlineStr">
        <is>
          <t>2026-08-05</t>
        </is>
      </c>
      <c r="B25762" s="8" t="n">
        <v>17</v>
      </c>
      <c r="C25762" s="8" t="n">
        <v>1</v>
      </c>
      <c r="D25762" s="8" t="inlineStr">
        <is>
          <t>Disneyland Park</t>
        </is>
      </c>
      <c r="E25762" s="8" t="inlineStr">
        <is>
          <t>Meet Mickey Mouse</t>
        </is>
      </c>
      <c r="F25762" s="8" t="inlineStr">
        <is>
          <t>STANDBY</t>
        </is>
      </c>
      <c r="G25762" s="8" t="n">
        <v>0</v>
      </c>
      <c r="H25762" s="8" t="inlineStr">
        <is>
          <t>OPERATING</t>
        </is>
      </c>
    </row>
    <row r="25763">
      <c r="A25763" s="8" t="inlineStr">
        <is>
          <t>2026-08-05</t>
        </is>
      </c>
      <c r="B25763" s="8" t="n">
        <v>17</v>
      </c>
      <c r="C25763" s="8" t="n">
        <v>1</v>
      </c>
      <c r="D25763" s="8" t="inlineStr">
        <is>
          <t>Disneyland Park</t>
        </is>
      </c>
      <c r="E25763" s="8" t="inlineStr">
        <is>
          <t>Peter Pan's Flight</t>
        </is>
      </c>
      <c r="F25763" s="8" t="inlineStr">
        <is>
          <t>STANDBY</t>
        </is>
      </c>
      <c r="G25763" s="8" t="n">
        <v>60</v>
      </c>
      <c r="H25763" s="8" t="inlineStr">
        <is>
          <t>OPERATING</t>
        </is>
      </c>
    </row>
    <row r="25764">
      <c r="A25764" s="8" t="inlineStr">
        <is>
          <t>2026-08-05</t>
        </is>
      </c>
      <c r="B25764" s="8" t="n">
        <v>17</v>
      </c>
      <c r="C25764" s="8" t="n">
        <v>1</v>
      </c>
      <c r="D25764" s="8" t="inlineStr">
        <is>
          <t>Disneyland Park</t>
        </is>
      </c>
      <c r="E25764" s="8" t="inlineStr">
        <is>
          <t>Princess Pavilion</t>
        </is>
      </c>
      <c r="F25764" s="8" t="inlineStr">
        <is>
          <t>STANDBY</t>
        </is>
      </c>
      <c r="G25764" s="8" t="n">
        <v>0</v>
      </c>
      <c r="H25764" s="8" t="inlineStr">
        <is>
          <t>OPERATING</t>
        </is>
      </c>
    </row>
    <row r="25765">
      <c r="A25765" s="8" t="inlineStr">
        <is>
          <t>2026-08-05</t>
        </is>
      </c>
      <c r="B25765" s="8" t="n">
        <v>17</v>
      </c>
      <c r="C25765" s="8" t="n">
        <v>1</v>
      </c>
      <c r="D25765" s="8" t="inlineStr">
        <is>
          <t>Disneyland Park</t>
        </is>
      </c>
      <c r="E25765" s="8" t="inlineStr">
        <is>
          <t>Big Thunder Mountain</t>
        </is>
      </c>
      <c r="F25765" s="8" t="inlineStr">
        <is>
          <t>STANDBY</t>
        </is>
      </c>
      <c r="G25765" s="8" t="n">
        <v>100</v>
      </c>
      <c r="H25765" s="8" t="inlineStr">
        <is>
          <t>OPERATING</t>
        </is>
      </c>
    </row>
    <row r="25766">
      <c r="A25766" s="8" t="inlineStr">
        <is>
          <t>2026-08-05</t>
        </is>
      </c>
      <c r="B25766" s="8" t="n">
        <v>17</v>
      </c>
      <c r="C25766" s="8" t="n">
        <v>1</v>
      </c>
      <c r="D25766" s="8" t="inlineStr">
        <is>
          <t>Disneyland Park</t>
        </is>
      </c>
      <c r="E25766" s="8" t="inlineStr">
        <is>
          <t>Disneyland Railroad Frontierland Depot</t>
        </is>
      </c>
      <c r="F25766" s="8" t="inlineStr">
        <is>
          <t>STANDBY</t>
        </is>
      </c>
      <c r="G25766" s="8" t="n">
        <v>30</v>
      </c>
      <c r="H25766" s="8" t="inlineStr">
        <is>
          <t>OPERATING</t>
        </is>
      </c>
    </row>
    <row r="25767">
      <c r="A25767" s="8" t="inlineStr">
        <is>
          <t>2026-08-05</t>
        </is>
      </c>
      <c r="B25767" s="8" t="n">
        <v>17</v>
      </c>
      <c r="C25767" s="8" t="n">
        <v>1</v>
      </c>
      <c r="D25767" s="8" t="inlineStr">
        <is>
          <t>Disneyland Park</t>
        </is>
      </c>
      <c r="E25767" s="8" t="inlineStr">
        <is>
          <t>Frontierland Playground</t>
        </is>
      </c>
      <c r="F25767" s="8" t="inlineStr">
        <is>
          <t>STANDBY</t>
        </is>
      </c>
      <c r="G25767" s="8" t="n">
        <v>0</v>
      </c>
      <c r="H25767" s="8" t="inlineStr">
        <is>
          <t>OPERATING</t>
        </is>
      </c>
    </row>
    <row r="25768">
      <c r="A25768" s="8" t="inlineStr">
        <is>
          <t>2026-08-05</t>
        </is>
      </c>
      <c r="B25768" s="8" t="n">
        <v>17</v>
      </c>
      <c r="C25768" s="8" t="n">
        <v>1</v>
      </c>
      <c r="D25768" s="8" t="inlineStr">
        <is>
          <t>Disneyland Park</t>
        </is>
      </c>
      <c r="E25768" s="8" t="inlineStr">
        <is>
          <t>Phantom Manor</t>
        </is>
      </c>
      <c r="F25768" s="8" t="inlineStr">
        <is>
          <t>STANDBY</t>
        </is>
      </c>
      <c r="G25768" s="8" t="n">
        <v>20</v>
      </c>
      <c r="H25768" s="8" t="inlineStr">
        <is>
          <t>OPERATING</t>
        </is>
      </c>
    </row>
    <row r="25769">
      <c r="A25769" s="8" t="inlineStr">
        <is>
          <t>2026-08-05</t>
        </is>
      </c>
      <c r="B25769" s="8" t="n">
        <v>17</v>
      </c>
      <c r="C25769" s="8" t="n">
        <v>1</v>
      </c>
      <c r="D25769" s="8" t="inlineStr">
        <is>
          <t>Disneyland Park</t>
        </is>
      </c>
      <c r="E25769" s="8" t="inlineStr">
        <is>
          <t>River Rogue Keelboats</t>
        </is>
      </c>
      <c r="F25769" s="8" t="inlineStr">
        <is>
          <t>STANDBY</t>
        </is>
      </c>
      <c r="G25769" s="8" t="n">
        <v>0</v>
      </c>
      <c r="H25769" s="8" t="inlineStr">
        <is>
          <t>CLOSED</t>
        </is>
      </c>
    </row>
    <row r="25770">
      <c r="A25770" s="8" t="inlineStr">
        <is>
          <t>2026-08-05</t>
        </is>
      </c>
      <c r="B25770" s="8" t="n">
        <v>17</v>
      </c>
      <c r="C25770" s="8" t="n">
        <v>1</v>
      </c>
      <c r="D25770" s="8" t="inlineStr">
        <is>
          <t>Disneyland Park</t>
        </is>
      </c>
      <c r="E25770" s="8" t="inlineStr">
        <is>
          <t>Rustler Roundup Shootin' Gallery</t>
        </is>
      </c>
      <c r="F25770" s="8" t="inlineStr">
        <is>
          <t>STANDBY</t>
        </is>
      </c>
      <c r="G25770" s="8" t="n">
        <v>0</v>
      </c>
      <c r="H25770" s="8" t="inlineStr">
        <is>
          <t>OPERATING</t>
        </is>
      </c>
    </row>
    <row r="25771">
      <c r="A25771" s="8" t="inlineStr">
        <is>
          <t>2026-08-05</t>
        </is>
      </c>
      <c r="B25771" s="8" t="n">
        <v>17</v>
      </c>
      <c r="C25771" s="8" t="n">
        <v>1</v>
      </c>
      <c r="D25771" s="8" t="inlineStr">
        <is>
          <t>Disneyland Park</t>
        </is>
      </c>
      <c r="E25771" s="8" t="inlineStr">
        <is>
          <t>Thunder Mesa Riverboat Landing</t>
        </is>
      </c>
      <c r="F25771" s="8" t="inlineStr">
        <is>
          <t>STANDBY</t>
        </is>
      </c>
      <c r="G25771" s="8" t="n">
        <v>20</v>
      </c>
      <c r="H25771" s="8" t="inlineStr">
        <is>
          <t>OPERATING</t>
        </is>
      </c>
    </row>
    <row r="25772">
      <c r="A25772" s="8" t="inlineStr">
        <is>
          <t>2026-08-05</t>
        </is>
      </c>
      <c r="B25772" s="8" t="n">
        <v>17</v>
      </c>
      <c r="C25772" s="8" t="n">
        <v>1</v>
      </c>
      <c r="D25772" s="8" t="inlineStr">
        <is>
          <t>Disneyland Park</t>
        </is>
      </c>
      <c r="E25772" s="8" t="inlineStr">
        <is>
          <t>Disneyland Railroad Main Street Station</t>
        </is>
      </c>
      <c r="F25772" s="8" t="inlineStr">
        <is>
          <t>STANDBY</t>
        </is>
      </c>
      <c r="G25772" s="8" t="n">
        <v>0</v>
      </c>
      <c r="H25772" s="8" t="inlineStr">
        <is>
          <t>OPERATING</t>
        </is>
      </c>
    </row>
    <row r="25773">
      <c r="A25773" s="8" t="inlineStr">
        <is>
          <t>2026-08-05</t>
        </is>
      </c>
      <c r="B25773" s="8" t="n">
        <v>17</v>
      </c>
      <c r="C25773" s="8" t="n">
        <v>1</v>
      </c>
      <c r="D25773" s="8" t="inlineStr">
        <is>
          <t>Disneyland Park</t>
        </is>
      </c>
      <c r="E25773" s="8" t="inlineStr">
        <is>
          <t>Main Street Vehicles</t>
        </is>
      </c>
      <c r="F25773" s="8" t="inlineStr">
        <is>
          <t>STANDBY</t>
        </is>
      </c>
      <c r="G25773" s="8" t="n">
        <v>0</v>
      </c>
      <c r="H25773" s="8" t="inlineStr">
        <is>
          <t>CLOSED</t>
        </is>
      </c>
    </row>
    <row r="25774">
      <c r="A25774" s="8" t="inlineStr">
        <is>
          <t>2026-08-05</t>
        </is>
      </c>
      <c r="B25774" s="8" t="n">
        <v>17</v>
      </c>
      <c r="C25774" s="8" t="n">
        <v>1</v>
      </c>
      <c r="D25774" s="8" t="inlineStr">
        <is>
          <t>Disney Adventure World</t>
        </is>
      </c>
      <c r="E25774" s="8" t="inlineStr">
        <is>
          <t>Avengers Assemble: Flight Force</t>
        </is>
      </c>
      <c r="F25774" s="8" t="inlineStr">
        <is>
          <t>STANDBY</t>
        </is>
      </c>
      <c r="G25774" s="8" t="n">
        <v>25</v>
      </c>
      <c r="H25774" s="8" t="inlineStr">
        <is>
          <t>OPERATING</t>
        </is>
      </c>
    </row>
    <row r="25775">
      <c r="A25775" s="8" t="inlineStr">
        <is>
          <t>2026-08-05</t>
        </is>
      </c>
      <c r="B25775" s="8" t="n">
        <v>17</v>
      </c>
      <c r="C25775" s="8" t="n">
        <v>1</v>
      </c>
      <c r="D25775" s="8" t="inlineStr">
        <is>
          <t>Disney Adventure World</t>
        </is>
      </c>
      <c r="E25775" s="8" t="inlineStr">
        <is>
          <t>Avengers Assemble: Flight Force Single Rider</t>
        </is>
      </c>
      <c r="F25775" s="8" t="inlineStr">
        <is>
          <t>STANDBY</t>
        </is>
      </c>
      <c r="G25775" s="8" t="n">
        <v>20</v>
      </c>
      <c r="H25775" s="8" t="inlineStr">
        <is>
          <t>OPERATING</t>
        </is>
      </c>
    </row>
    <row r="25776">
      <c r="A25776" s="8" t="inlineStr">
        <is>
          <t>2026-08-05</t>
        </is>
      </c>
      <c r="B25776" s="8" t="n">
        <v>17</v>
      </c>
      <c r="C25776" s="8" t="n">
        <v>1</v>
      </c>
      <c r="D25776" s="8" t="inlineStr">
        <is>
          <t>Disney Adventure World</t>
        </is>
      </c>
      <c r="E25776" s="8" t="inlineStr">
        <is>
          <t>Spider-Man W.E.B. Adventure</t>
        </is>
      </c>
      <c r="F25776" s="8" t="inlineStr">
        <is>
          <t>STANDBY</t>
        </is>
      </c>
      <c r="G25776" s="8" t="n">
        <v>60</v>
      </c>
      <c r="H25776" s="8" t="inlineStr">
        <is>
          <t>OPERATING</t>
        </is>
      </c>
    </row>
    <row r="25777">
      <c r="A25777" s="8" t="inlineStr">
        <is>
          <t>2026-08-05</t>
        </is>
      </c>
      <c r="B25777" s="8" t="n">
        <v>17</v>
      </c>
      <c r="C25777" s="8" t="n">
        <v>1</v>
      </c>
      <c r="D25777" s="8" t="inlineStr">
        <is>
          <t>Disney Adventure World</t>
        </is>
      </c>
      <c r="E25777" s="8" t="inlineStr">
        <is>
          <t>Spider-Man W.E.B. Adventure Single Rider</t>
        </is>
      </c>
      <c r="F25777" s="8" t="inlineStr">
        <is>
          <t>STANDBY</t>
        </is>
      </c>
      <c r="G25777" s="8" t="n">
        <v>25</v>
      </c>
      <c r="H25777" s="8" t="inlineStr">
        <is>
          <t>OPERATING</t>
        </is>
      </c>
    </row>
    <row r="25778">
      <c r="A25778" s="8" t="inlineStr">
        <is>
          <t>2026-08-05</t>
        </is>
      </c>
      <c r="B25778" s="8" t="n">
        <v>17</v>
      </c>
      <c r="C25778" s="8" t="n">
        <v>1</v>
      </c>
      <c r="D25778" s="8" t="inlineStr">
        <is>
          <t>Disney Adventure World</t>
        </is>
      </c>
      <c r="E25778" s="8" t="inlineStr">
        <is>
          <t>The Twilight Zone Tower of Terror</t>
        </is>
      </c>
      <c r="F25778" s="8" t="inlineStr">
        <is>
          <t>STANDBY</t>
        </is>
      </c>
      <c r="G25778" s="8" t="n">
        <v>25</v>
      </c>
      <c r="H25778" s="8" t="inlineStr">
        <is>
          <t>OPERATING</t>
        </is>
      </c>
    </row>
    <row r="25779">
      <c r="A25779" s="8" t="inlineStr">
        <is>
          <t>2026-08-05</t>
        </is>
      </c>
      <c r="B25779" s="8" t="n">
        <v>17</v>
      </c>
      <c r="C25779" s="8" t="n">
        <v>1</v>
      </c>
      <c r="D25779" s="8" t="inlineStr">
        <is>
          <t>Disney Adventure World</t>
        </is>
      </c>
      <c r="E25779" s="8" t="inlineStr">
        <is>
          <t>Cars Quatre Roues Rallye</t>
        </is>
      </c>
      <c r="F25779" s="8" t="inlineStr">
        <is>
          <t>STANDBY</t>
        </is>
      </c>
      <c r="G25779" s="8" t="n">
        <v>15</v>
      </c>
      <c r="H25779" s="8" t="inlineStr">
        <is>
          <t>OPERATING</t>
        </is>
      </c>
    </row>
    <row r="25780">
      <c r="A25780" s="8" t="inlineStr">
        <is>
          <t>2026-08-05</t>
        </is>
      </c>
      <c r="B25780" s="8" t="n">
        <v>17</v>
      </c>
      <c r="C25780" s="8" t="n">
        <v>1</v>
      </c>
      <c r="D25780" s="8" t="inlineStr">
        <is>
          <t>Disney Adventure World</t>
        </is>
      </c>
      <c r="E25780" s="8" t="inlineStr">
        <is>
          <t>Cars ROAD TRIP</t>
        </is>
      </c>
      <c r="F25780" s="8" t="inlineStr">
        <is>
          <t>STANDBY</t>
        </is>
      </c>
      <c r="G25780" s="8" t="n">
        <v>20</v>
      </c>
      <c r="H25780" s="8" t="inlineStr">
        <is>
          <t>OPERATING</t>
        </is>
      </c>
    </row>
    <row r="25781">
      <c r="A25781" s="8" t="inlineStr">
        <is>
          <t>2026-08-05</t>
        </is>
      </c>
      <c r="B25781" s="8" t="n">
        <v>17</v>
      </c>
      <c r="C25781" s="8" t="n">
        <v>1</v>
      </c>
      <c r="D25781" s="8" t="inlineStr">
        <is>
          <t>Disney Adventure World</t>
        </is>
      </c>
      <c r="E25781" s="8" t="inlineStr">
        <is>
          <t>Crush's Coaster</t>
        </is>
      </c>
      <c r="F25781" s="8" t="inlineStr">
        <is>
          <t>STANDBY</t>
        </is>
      </c>
      <c r="G25781" s="8" t="n">
        <v>85</v>
      </c>
      <c r="H25781" s="8" t="inlineStr">
        <is>
          <t>OPERATING</t>
        </is>
      </c>
    </row>
    <row r="25782">
      <c r="A25782" s="8" t="inlineStr">
        <is>
          <t>2026-08-05</t>
        </is>
      </c>
      <c r="B25782" s="8" t="n">
        <v>17</v>
      </c>
      <c r="C25782" s="8" t="n">
        <v>1</v>
      </c>
      <c r="D25782" s="8" t="inlineStr">
        <is>
          <t>Disney Adventure World</t>
        </is>
      </c>
      <c r="E25782" s="8" t="inlineStr">
        <is>
          <t>Crush's Coaster Single Rider</t>
        </is>
      </c>
      <c r="F25782" s="8" t="inlineStr">
        <is>
          <t>STANDBY</t>
        </is>
      </c>
      <c r="G25782" s="8" t="n">
        <v>45</v>
      </c>
      <c r="H25782" s="8" t="inlineStr">
        <is>
          <t>OPERATING</t>
        </is>
      </c>
    </row>
    <row r="25783">
      <c r="A25783" s="8" t="inlineStr">
        <is>
          <t>2026-08-05</t>
        </is>
      </c>
      <c r="B25783" s="8" t="n">
        <v>17</v>
      </c>
      <c r="C25783" s="8" t="n">
        <v>1</v>
      </c>
      <c r="D25783" s="8" t="inlineStr">
        <is>
          <t>Disney Adventure World</t>
        </is>
      </c>
      <c r="E25783" s="8" t="inlineStr">
        <is>
          <t>Les Tapis Volants - Flying Carpets Over Agrabah®</t>
        </is>
      </c>
      <c r="F25783" s="8" t="inlineStr">
        <is>
          <t>STANDBY</t>
        </is>
      </c>
      <c r="G25783" s="8" t="n">
        <v>25</v>
      </c>
      <c r="H25783" s="8" t="inlineStr">
        <is>
          <t>OPERATING</t>
        </is>
      </c>
    </row>
    <row r="25784">
      <c r="A25784" s="8" t="inlineStr">
        <is>
          <t>2026-08-05</t>
        </is>
      </c>
      <c r="B25784" s="8" t="n">
        <v>17</v>
      </c>
      <c r="C25784" s="8" t="n">
        <v>1</v>
      </c>
      <c r="D25784" s="8" t="inlineStr">
        <is>
          <t>Disney Adventure World</t>
        </is>
      </c>
      <c r="E25784" s="8" t="inlineStr">
        <is>
          <t>Ratatouille : L’Aventure Totalement Toquée de Rémy​</t>
        </is>
      </c>
      <c r="F25784" s="8" t="inlineStr">
        <is>
          <t>STANDBY</t>
        </is>
      </c>
      <c r="G25784" s="8" t="n">
        <v>45</v>
      </c>
      <c r="H25784" s="8" t="inlineStr">
        <is>
          <t>OPERATING</t>
        </is>
      </c>
    </row>
    <row r="25785">
      <c r="A25785" s="8" t="inlineStr">
        <is>
          <t>2026-08-05</t>
        </is>
      </c>
      <c r="B25785" s="8" t="n">
        <v>17</v>
      </c>
      <c r="C25785" s="8" t="n">
        <v>1</v>
      </c>
      <c r="D25785" s="8" t="inlineStr">
        <is>
          <t>Disney Adventure World</t>
        </is>
      </c>
      <c r="E25785" s="8" t="inlineStr">
        <is>
          <t>Ratatouille: The Adventure Single Rider</t>
        </is>
      </c>
      <c r="F25785" s="8" t="inlineStr">
        <is>
          <t>STANDBY</t>
        </is>
      </c>
      <c r="G25785" s="8" t="n">
        <v>20</v>
      </c>
      <c r="H25785" s="8" t="inlineStr">
        <is>
          <t>OPERATING</t>
        </is>
      </c>
    </row>
    <row r="25786">
      <c r="A25786" s="8" t="inlineStr">
        <is>
          <t>2026-08-05</t>
        </is>
      </c>
      <c r="B25786" s="8" t="n">
        <v>17</v>
      </c>
      <c r="C25786" s="8" t="n">
        <v>1</v>
      </c>
      <c r="D25786" s="8" t="inlineStr">
        <is>
          <t>Disney Adventure World</t>
        </is>
      </c>
      <c r="E25786" s="8" t="inlineStr">
        <is>
          <t>RC Racer</t>
        </is>
      </c>
      <c r="F25786" s="8" t="inlineStr">
        <is>
          <t>STANDBY</t>
        </is>
      </c>
      <c r="G25786" s="8" t="n">
        <v>55</v>
      </c>
      <c r="H25786" s="8" t="inlineStr">
        <is>
          <t>OPERATING</t>
        </is>
      </c>
    </row>
    <row r="25787">
      <c r="A25787" s="8" t="inlineStr">
        <is>
          <t>2026-08-05</t>
        </is>
      </c>
      <c r="B25787" s="8" t="n">
        <v>17</v>
      </c>
      <c r="C25787" s="8" t="n">
        <v>1</v>
      </c>
      <c r="D25787" s="8" t="inlineStr">
        <is>
          <t>Disney Adventure World</t>
        </is>
      </c>
      <c r="E25787" s="8" t="inlineStr">
        <is>
          <t>RC Racer Single Rider</t>
        </is>
      </c>
      <c r="F25787" s="8" t="inlineStr">
        <is>
          <t>STANDBY</t>
        </is>
      </c>
      <c r="G25787" s="8" t="n">
        <v>50</v>
      </c>
      <c r="H25787" s="8" t="inlineStr">
        <is>
          <t>OPERATING</t>
        </is>
      </c>
    </row>
    <row r="25788">
      <c r="A25788" s="8" t="inlineStr">
        <is>
          <t>2026-08-05</t>
        </is>
      </c>
      <c r="B25788" s="8" t="n">
        <v>17</v>
      </c>
      <c r="C25788" s="8" t="n">
        <v>1</v>
      </c>
      <c r="D25788" s="8" t="inlineStr">
        <is>
          <t>Disney Adventure World</t>
        </is>
      </c>
      <c r="E25788" s="8" t="inlineStr">
        <is>
          <t>Slinky® Dog Zigzag Spin</t>
        </is>
      </c>
      <c r="F25788" s="8" t="inlineStr">
        <is>
          <t>STANDBY</t>
        </is>
      </c>
      <c r="G25788" s="8" t="n">
        <v>15</v>
      </c>
      <c r="H25788" s="8" t="inlineStr">
        <is>
          <t>OPERATING</t>
        </is>
      </c>
    </row>
    <row r="25789">
      <c r="A25789" s="8" t="inlineStr">
        <is>
          <t>2026-08-05</t>
        </is>
      </c>
      <c r="B25789" s="8" t="n">
        <v>17</v>
      </c>
      <c r="C25789" s="8" t="n">
        <v>1</v>
      </c>
      <c r="D25789" s="8" t="inlineStr">
        <is>
          <t>Disney Adventure World</t>
        </is>
      </c>
      <c r="E25789" s="8" t="inlineStr">
        <is>
          <t>Toy Soldiers Parachute Drop</t>
        </is>
      </c>
      <c r="F25789" s="8" t="inlineStr">
        <is>
          <t>STANDBY</t>
        </is>
      </c>
      <c r="G25789" s="8" t="n">
        <v>50</v>
      </c>
      <c r="H25789" s="8" t="inlineStr">
        <is>
          <t>OPERATING</t>
        </is>
      </c>
    </row>
    <row r="25790">
      <c r="A25790" s="8" t="inlineStr">
        <is>
          <t>2026-08-05</t>
        </is>
      </c>
      <c r="B25790" s="8" t="n">
        <v>17</v>
      </c>
      <c r="C25790" s="8" t="n">
        <v>1</v>
      </c>
      <c r="D25790" s="8" t="inlineStr">
        <is>
          <t>Disney Adventure World</t>
        </is>
      </c>
      <c r="E25790" s="8" t="inlineStr">
        <is>
          <t>Toy Soldiers Parachute Drop Single Rider</t>
        </is>
      </c>
      <c r="F25790" s="8" t="inlineStr">
        <is>
          <t>STANDBY</t>
        </is>
      </c>
      <c r="G25790" s="8" t="n">
        <v>35</v>
      </c>
      <c r="H25790" s="8" t="inlineStr">
        <is>
          <t>OPERATING</t>
        </is>
      </c>
    </row>
    <row r="25791">
      <c r="A25791" s="8" t="inlineStr">
        <is>
          <t>2026-08-05</t>
        </is>
      </c>
      <c r="B25791" s="8" t="n">
        <v>17</v>
      </c>
      <c r="C25791" s="8" t="n">
        <v>1</v>
      </c>
      <c r="D25791" s="8" t="inlineStr">
        <is>
          <t>Disney Adventure World</t>
        </is>
      </c>
      <c r="E25791" s="8" t="inlineStr">
        <is>
          <t>Entry to World of Frozen</t>
        </is>
      </c>
      <c r="F25791" s="8" t="inlineStr">
        <is>
          <t>STANDBY</t>
        </is>
      </c>
      <c r="G25791" s="8" t="n">
        <v>0</v>
      </c>
      <c r="H25791" s="8" t="inlineStr">
        <is>
          <t>OPERATING</t>
        </is>
      </c>
    </row>
    <row r="25792">
      <c r="A25792" s="8" t="inlineStr">
        <is>
          <t>2026-08-05</t>
        </is>
      </c>
      <c r="B25792" s="8" t="n">
        <v>17</v>
      </c>
      <c r="C25792" s="8" t="n">
        <v>1</v>
      </c>
      <c r="D25792" s="8" t="inlineStr">
        <is>
          <t>Disney Adventure World</t>
        </is>
      </c>
      <c r="E25792" s="8" t="inlineStr">
        <is>
          <t>Frozen Ever After</t>
        </is>
      </c>
      <c r="F25792" s="8" t="inlineStr">
        <is>
          <t>STANDBY</t>
        </is>
      </c>
      <c r="G25792" s="8" t="n">
        <v>0</v>
      </c>
      <c r="H25792" s="8" t="inlineStr">
        <is>
          <t>CLOSED</t>
        </is>
      </c>
    </row>
    <row r="25793">
      <c r="A25793" s="8" t="inlineStr">
        <is>
          <t>2026-08-05</t>
        </is>
      </c>
      <c r="B25793" s="8" t="n">
        <v>17</v>
      </c>
      <c r="C25793" s="8" t="n">
        <v>1</v>
      </c>
      <c r="D25793" s="8" t="inlineStr">
        <is>
          <t>Disney Adventure World</t>
        </is>
      </c>
      <c r="E25793" s="8" t="inlineStr">
        <is>
          <t>Raiponce Tangled Spin</t>
        </is>
      </c>
      <c r="F25793" s="8" t="inlineStr">
        <is>
          <t>STANDBY</t>
        </is>
      </c>
      <c r="G25793" s="8" t="n">
        <v>5</v>
      </c>
      <c r="H25793" s="8" t="inlineStr">
        <is>
          <t>OPERATING</t>
        </is>
      </c>
    </row>
    <row r="25794">
      <c r="A25794" s="8" t="inlineStr">
        <is>
          <t>2026-08-05</t>
        </is>
      </c>
      <c r="B25794" s="8" t="n">
        <v>17</v>
      </c>
      <c r="C25794" s="8" t="n">
        <v>15</v>
      </c>
      <c r="D25794" s="8" t="inlineStr">
        <is>
          <t>Disneyland Park</t>
        </is>
      </c>
      <c r="E25794" s="8" t="inlineStr">
        <is>
          <t>Adventure Isle</t>
        </is>
      </c>
      <c r="F25794" s="8" t="inlineStr">
        <is>
          <t>STANDBY</t>
        </is>
      </c>
      <c r="G25794" s="8" t="n">
        <v>0</v>
      </c>
      <c r="H25794" s="8" t="inlineStr">
        <is>
          <t>OPERATING</t>
        </is>
      </c>
    </row>
    <row r="25795">
      <c r="A25795" s="8" t="inlineStr">
        <is>
          <t>2026-08-05</t>
        </is>
      </c>
      <c r="B25795" s="8" t="n">
        <v>17</v>
      </c>
      <c r="C25795" s="8" t="n">
        <v>15</v>
      </c>
      <c r="D25795" s="8" t="inlineStr">
        <is>
          <t>Disneyland Park</t>
        </is>
      </c>
      <c r="E25795" s="8" t="inlineStr">
        <is>
          <t>Indiana Jones and the Temple of Peril Single Rider</t>
        </is>
      </c>
      <c r="F25795" s="8" t="inlineStr">
        <is>
          <t>STANDBY</t>
        </is>
      </c>
      <c r="G25795" s="8" t="n">
        <v>15</v>
      </c>
      <c r="H25795" s="8" t="inlineStr">
        <is>
          <t>OPERATING</t>
        </is>
      </c>
    </row>
    <row r="25796">
      <c r="A25796" s="8" t="inlineStr">
        <is>
          <t>2026-08-05</t>
        </is>
      </c>
      <c r="B25796" s="8" t="n">
        <v>17</v>
      </c>
      <c r="C25796" s="8" t="n">
        <v>15</v>
      </c>
      <c r="D25796" s="8" t="inlineStr">
        <is>
          <t>Disneyland Park</t>
        </is>
      </c>
      <c r="E25796" s="8" t="inlineStr">
        <is>
          <t>Indiana Jones™ and the Temple of Peril</t>
        </is>
      </c>
      <c r="F25796" s="8" t="inlineStr">
        <is>
          <t>STANDBY</t>
        </is>
      </c>
      <c r="G25796" s="8" t="n">
        <v>20</v>
      </c>
      <c r="H25796" s="8" t="inlineStr">
        <is>
          <t>OPERATING</t>
        </is>
      </c>
    </row>
    <row r="25797">
      <c r="A25797" s="8" t="inlineStr">
        <is>
          <t>2026-08-05</t>
        </is>
      </c>
      <c r="B25797" s="8" t="n">
        <v>17</v>
      </c>
      <c r="C25797" s="8" t="n">
        <v>15</v>
      </c>
      <c r="D25797" s="8" t="inlineStr">
        <is>
          <t>Disneyland Park</t>
        </is>
      </c>
      <c r="E25797" s="8" t="inlineStr">
        <is>
          <t>La Cabane des Robinson</t>
        </is>
      </c>
      <c r="F25797" s="8" t="inlineStr">
        <is>
          <t>STANDBY</t>
        </is>
      </c>
      <c r="G25797" s="8" t="n">
        <v>5</v>
      </c>
      <c r="H25797" s="8" t="inlineStr">
        <is>
          <t>OPERATING</t>
        </is>
      </c>
    </row>
    <row r="25798">
      <c r="A25798" s="8" t="inlineStr">
        <is>
          <t>2026-08-05</t>
        </is>
      </c>
      <c r="B25798" s="8" t="n">
        <v>17</v>
      </c>
      <c r="C25798" s="8" t="n">
        <v>15</v>
      </c>
      <c r="D25798" s="8" t="inlineStr">
        <is>
          <t>Disneyland Park</t>
        </is>
      </c>
      <c r="E25798" s="8" t="inlineStr">
        <is>
          <t>Le Passage Enchanté d'Aladdin</t>
        </is>
      </c>
      <c r="F25798" s="8" t="inlineStr">
        <is>
          <t>STANDBY</t>
        </is>
      </c>
      <c r="G25798" s="8" t="n">
        <v>0</v>
      </c>
      <c r="H25798" s="8" t="inlineStr">
        <is>
          <t>OPERATING</t>
        </is>
      </c>
    </row>
    <row r="25799">
      <c r="A25799" s="8" t="inlineStr">
        <is>
          <t>2026-08-05</t>
        </is>
      </c>
      <c r="B25799" s="8" t="n">
        <v>17</v>
      </c>
      <c r="C25799" s="8" t="n">
        <v>15</v>
      </c>
      <c r="D25799" s="8" t="inlineStr">
        <is>
          <t>Disneyland Park</t>
        </is>
      </c>
      <c r="E25799" s="8" t="inlineStr">
        <is>
          <t>Pirate Galleon</t>
        </is>
      </c>
      <c r="F25799" s="8" t="inlineStr">
        <is>
          <t>STANDBY</t>
        </is>
      </c>
      <c r="G25799" s="8" t="n">
        <v>0</v>
      </c>
      <c r="H25799" s="8" t="inlineStr">
        <is>
          <t>CLOSED</t>
        </is>
      </c>
    </row>
    <row r="25800">
      <c r="A25800" s="8" t="inlineStr">
        <is>
          <t>2026-08-05</t>
        </is>
      </c>
      <c r="B25800" s="8" t="n">
        <v>17</v>
      </c>
      <c r="C25800" s="8" t="n">
        <v>15</v>
      </c>
      <c r="D25800" s="8" t="inlineStr">
        <is>
          <t>Disneyland Park</t>
        </is>
      </c>
      <c r="E25800" s="8" t="inlineStr">
        <is>
          <t>Pirates of the Caribbean</t>
        </is>
      </c>
      <c r="F25800" s="8" t="inlineStr">
        <is>
          <t>STANDBY</t>
        </is>
      </c>
      <c r="G25800" s="8" t="n">
        <v>15</v>
      </c>
      <c r="H25800" s="8" t="inlineStr">
        <is>
          <t>OPERATING</t>
        </is>
      </c>
    </row>
    <row r="25801">
      <c r="A25801" s="8" t="inlineStr">
        <is>
          <t>2026-08-05</t>
        </is>
      </c>
      <c r="B25801" s="8" t="n">
        <v>17</v>
      </c>
      <c r="C25801" s="8" t="n">
        <v>15</v>
      </c>
      <c r="D25801" s="8" t="inlineStr">
        <is>
          <t>Disneyland Park</t>
        </is>
      </c>
      <c r="E25801" s="8" t="inlineStr">
        <is>
          <t>Pirates' Beach</t>
        </is>
      </c>
      <c r="F25801" s="8" t="inlineStr">
        <is>
          <t>STANDBY</t>
        </is>
      </c>
      <c r="G25801" s="8" t="n">
        <v>0</v>
      </c>
      <c r="H25801" s="8" t="inlineStr">
        <is>
          <t>OPERATING</t>
        </is>
      </c>
    </row>
    <row r="25802">
      <c r="A25802" s="8" t="inlineStr">
        <is>
          <t>2026-08-05</t>
        </is>
      </c>
      <c r="B25802" s="8" t="n">
        <v>17</v>
      </c>
      <c r="C25802" s="8" t="n">
        <v>15</v>
      </c>
      <c r="D25802" s="8" t="inlineStr">
        <is>
          <t>Disneyland Park</t>
        </is>
      </c>
      <c r="E25802" s="8" t="inlineStr">
        <is>
          <t>Autopia, presented by Avis</t>
        </is>
      </c>
      <c r="F25802" s="8" t="inlineStr">
        <is>
          <t>STANDBY</t>
        </is>
      </c>
      <c r="G25802" s="8" t="n">
        <v>35</v>
      </c>
      <c r="H25802" s="8" t="inlineStr">
        <is>
          <t>OPERATING</t>
        </is>
      </c>
    </row>
    <row r="25803">
      <c r="A25803" s="8" t="inlineStr">
        <is>
          <t>2026-08-05</t>
        </is>
      </c>
      <c r="B25803" s="8" t="n">
        <v>17</v>
      </c>
      <c r="C25803" s="8" t="n">
        <v>15</v>
      </c>
      <c r="D25803" s="8" t="inlineStr">
        <is>
          <t>Disneyland Park</t>
        </is>
      </c>
      <c r="E25803" s="8" t="inlineStr">
        <is>
          <t>Buzz Lightyear Laser Blast</t>
        </is>
      </c>
      <c r="F25803" s="8" t="inlineStr">
        <is>
          <t>STANDBY</t>
        </is>
      </c>
      <c r="G25803" s="8" t="n">
        <v>35</v>
      </c>
      <c r="H25803" s="8" t="inlineStr">
        <is>
          <t>OPERATING</t>
        </is>
      </c>
    </row>
    <row r="25804">
      <c r="A25804" s="8" t="inlineStr">
        <is>
          <t>2026-08-05</t>
        </is>
      </c>
      <c r="B25804" s="8" t="n">
        <v>17</v>
      </c>
      <c r="C25804" s="8" t="n">
        <v>15</v>
      </c>
      <c r="D25804" s="8" t="inlineStr">
        <is>
          <t>Disneyland Park</t>
        </is>
      </c>
      <c r="E25804" s="8" t="inlineStr">
        <is>
          <t>Disneyland Railroad Discoveryland Station</t>
        </is>
      </c>
      <c r="F25804" s="8" t="inlineStr">
        <is>
          <t>STANDBY</t>
        </is>
      </c>
      <c r="G25804" s="8" t="n">
        <v>0</v>
      </c>
      <c r="H25804" s="8" t="inlineStr">
        <is>
          <t>CLOSED</t>
        </is>
      </c>
    </row>
    <row r="25805">
      <c r="A25805" s="8" t="inlineStr">
        <is>
          <t>2026-08-05</t>
        </is>
      </c>
      <c r="B25805" s="8" t="n">
        <v>17</v>
      </c>
      <c r="C25805" s="8" t="n">
        <v>15</v>
      </c>
      <c r="D25805" s="8" t="inlineStr">
        <is>
          <t>Disneyland Park</t>
        </is>
      </c>
      <c r="E25805" s="8" t="inlineStr">
        <is>
          <t>Les Mystères du Nautilus</t>
        </is>
      </c>
      <c r="F25805" s="8" t="inlineStr">
        <is>
          <t>STANDBY</t>
        </is>
      </c>
      <c r="G25805" s="8" t="n">
        <v>5</v>
      </c>
      <c r="H25805" s="8" t="inlineStr">
        <is>
          <t>OPERATING</t>
        </is>
      </c>
    </row>
    <row r="25806">
      <c r="A25806" s="8" t="inlineStr">
        <is>
          <t>2026-08-05</t>
        </is>
      </c>
      <c r="B25806" s="8" t="n">
        <v>17</v>
      </c>
      <c r="C25806" s="8" t="n">
        <v>15</v>
      </c>
      <c r="D25806" s="8" t="inlineStr">
        <is>
          <t>Disneyland Park</t>
        </is>
      </c>
      <c r="E25806" s="8" t="inlineStr">
        <is>
          <t>Mickey’s PhilharMagic</t>
        </is>
      </c>
      <c r="F25806" s="8" t="inlineStr">
        <is>
          <t>STANDBY</t>
        </is>
      </c>
      <c r="G25806" s="8" t="n">
        <v>0</v>
      </c>
      <c r="H25806" s="8" t="inlineStr">
        <is>
          <t>OPERATING</t>
        </is>
      </c>
    </row>
    <row r="25807">
      <c r="A25807" s="8" t="inlineStr">
        <is>
          <t>2026-08-05</t>
        </is>
      </c>
      <c r="B25807" s="8" t="n">
        <v>17</v>
      </c>
      <c r="C25807" s="8" t="n">
        <v>15</v>
      </c>
      <c r="D25807" s="8" t="inlineStr">
        <is>
          <t>Disneyland Park</t>
        </is>
      </c>
      <c r="E25807" s="8" t="inlineStr">
        <is>
          <t>Orbitron®</t>
        </is>
      </c>
      <c r="F25807" s="8" t="inlineStr">
        <is>
          <t>STANDBY</t>
        </is>
      </c>
      <c r="G25807" s="8" t="n">
        <v>40</v>
      </c>
      <c r="H25807" s="8" t="inlineStr">
        <is>
          <t>OPERATING</t>
        </is>
      </c>
    </row>
    <row r="25808">
      <c r="A25808" s="8" t="inlineStr">
        <is>
          <t>2026-08-05</t>
        </is>
      </c>
      <c r="B25808" s="8" t="n">
        <v>17</v>
      </c>
      <c r="C25808" s="8" t="n">
        <v>15</v>
      </c>
      <c r="D25808" s="8" t="inlineStr">
        <is>
          <t>Disneyland Park</t>
        </is>
      </c>
      <c r="E25808" s="8" t="inlineStr">
        <is>
          <t>Star Tours: The Adventures Continue*</t>
        </is>
      </c>
      <c r="F25808" s="8" t="inlineStr">
        <is>
          <t>STANDBY</t>
        </is>
      </c>
      <c r="G25808" s="8" t="n">
        <v>10</v>
      </c>
      <c r="H25808" s="8" t="inlineStr">
        <is>
          <t>OPERATING</t>
        </is>
      </c>
    </row>
    <row r="25809">
      <c r="A25809" s="8" t="inlineStr">
        <is>
          <t>2026-08-05</t>
        </is>
      </c>
      <c r="B25809" s="8" t="n">
        <v>17</v>
      </c>
      <c r="C25809" s="8" t="n">
        <v>15</v>
      </c>
      <c r="D25809" s="8" t="inlineStr">
        <is>
          <t>Disneyland Park</t>
        </is>
      </c>
      <c r="E25809" s="8" t="inlineStr">
        <is>
          <t>Star Wars Hyperspace Mountain</t>
        </is>
      </c>
      <c r="F25809" s="8" t="inlineStr">
        <is>
          <t>STANDBY</t>
        </is>
      </c>
      <c r="G25809" s="8" t="n">
        <v>40</v>
      </c>
      <c r="H25809" s="8" t="inlineStr">
        <is>
          <t>OPERATING</t>
        </is>
      </c>
    </row>
    <row r="25810">
      <c r="A25810" s="8" t="inlineStr">
        <is>
          <t>2026-08-05</t>
        </is>
      </c>
      <c r="B25810" s="8" t="n">
        <v>17</v>
      </c>
      <c r="C25810" s="8" t="n">
        <v>15</v>
      </c>
      <c r="D25810" s="8" t="inlineStr">
        <is>
          <t>Disneyland Park</t>
        </is>
      </c>
      <c r="E25810" s="8" t="inlineStr">
        <is>
          <t>Star Wars Hyperspace Mountain Single Rider</t>
        </is>
      </c>
      <c r="F25810" s="8" t="inlineStr">
        <is>
          <t>STANDBY</t>
        </is>
      </c>
      <c r="G25810" s="8" t="n">
        <v>30</v>
      </c>
      <c r="H25810" s="8" t="inlineStr">
        <is>
          <t>OPERATING</t>
        </is>
      </c>
    </row>
    <row r="25811">
      <c r="A25811" s="8" t="inlineStr">
        <is>
          <t>2026-08-05</t>
        </is>
      </c>
      <c r="B25811" s="8" t="n">
        <v>17</v>
      </c>
      <c r="C25811" s="8" t="n">
        <v>15</v>
      </c>
      <c r="D25811" s="8" t="inlineStr">
        <is>
          <t>Disneyland Park</t>
        </is>
      </c>
      <c r="E25811" s="8" t="inlineStr">
        <is>
          <t>Welcome to Starport: A Star Wars Encounter</t>
        </is>
      </c>
      <c r="F25811" s="8" t="inlineStr">
        <is>
          <t>STANDBY</t>
        </is>
      </c>
      <c r="G25811" s="8" t="n">
        <v>0</v>
      </c>
      <c r="H25811" s="8" t="inlineStr">
        <is>
          <t>CLOSED</t>
        </is>
      </c>
    </row>
    <row r="25812">
      <c r="A25812" s="8" t="inlineStr">
        <is>
          <t>2026-08-05</t>
        </is>
      </c>
      <c r="B25812" s="8" t="n">
        <v>17</v>
      </c>
      <c r="C25812" s="8" t="n">
        <v>15</v>
      </c>
      <c r="D25812" s="8" t="inlineStr">
        <is>
          <t>Disneyland Park</t>
        </is>
      </c>
      <c r="E25812" s="8" t="inlineStr">
        <is>
          <t>"it's a small world"</t>
        </is>
      </c>
      <c r="F25812" s="8" t="inlineStr">
        <is>
          <t>STANDBY</t>
        </is>
      </c>
      <c r="G25812" s="8" t="n">
        <v>5</v>
      </c>
      <c r="H25812" s="8" t="inlineStr">
        <is>
          <t>OPERATING</t>
        </is>
      </c>
    </row>
    <row r="25813">
      <c r="A25813" s="8" t="inlineStr">
        <is>
          <t>2026-08-05</t>
        </is>
      </c>
      <c r="B25813" s="8" t="n">
        <v>17</v>
      </c>
      <c r="C25813" s="8" t="n">
        <v>15</v>
      </c>
      <c r="D25813" s="8" t="inlineStr">
        <is>
          <t>Disneyland Park</t>
        </is>
      </c>
      <c r="E25813" s="8" t="inlineStr">
        <is>
          <t>Alice's Curious Labyrinth</t>
        </is>
      </c>
      <c r="F25813" s="8" t="inlineStr">
        <is>
          <t>STANDBY</t>
        </is>
      </c>
      <c r="G25813" s="8" t="n">
        <v>5</v>
      </c>
      <c r="H25813" s="8" t="inlineStr">
        <is>
          <t>OPERATING</t>
        </is>
      </c>
    </row>
    <row r="25814">
      <c r="A25814" s="8" t="inlineStr">
        <is>
          <t>2026-08-05</t>
        </is>
      </c>
      <c r="B25814" s="8" t="n">
        <v>17</v>
      </c>
      <c r="C25814" s="8" t="n">
        <v>15</v>
      </c>
      <c r="D25814" s="8" t="inlineStr">
        <is>
          <t>Disneyland Park</t>
        </is>
      </c>
      <c r="E25814" s="8" t="inlineStr">
        <is>
          <t>Blanche-Neige et les Sept Nains®</t>
        </is>
      </c>
      <c r="F25814" s="8" t="inlineStr">
        <is>
          <t>STANDBY</t>
        </is>
      </c>
      <c r="G25814" s="8" t="n">
        <v>30</v>
      </c>
      <c r="H25814" s="8" t="inlineStr">
        <is>
          <t>OPERATING</t>
        </is>
      </c>
    </row>
    <row r="25815">
      <c r="A25815" s="8" t="inlineStr">
        <is>
          <t>2026-08-05</t>
        </is>
      </c>
      <c r="B25815" s="8" t="n">
        <v>17</v>
      </c>
      <c r="C25815" s="8" t="n">
        <v>15</v>
      </c>
      <c r="D25815" s="8" t="inlineStr">
        <is>
          <t>Disneyland Park</t>
        </is>
      </c>
      <c r="E25815" s="8" t="inlineStr">
        <is>
          <t>Casey Jr. – le Petit Train du Cirque</t>
        </is>
      </c>
      <c r="F25815" s="8" t="inlineStr">
        <is>
          <t>STANDBY</t>
        </is>
      </c>
      <c r="G25815" s="8" t="n">
        <v>20</v>
      </c>
      <c r="H25815" s="8" t="inlineStr">
        <is>
          <t>OPERATING</t>
        </is>
      </c>
    </row>
    <row r="25816">
      <c r="A25816" s="8" t="inlineStr">
        <is>
          <t>2026-08-05</t>
        </is>
      </c>
      <c r="B25816" s="8" t="n">
        <v>17</v>
      </c>
      <c r="C25816" s="8" t="n">
        <v>15</v>
      </c>
      <c r="D25816" s="8" t="inlineStr">
        <is>
          <t>Disneyland Park</t>
        </is>
      </c>
      <c r="E25816" s="8" t="inlineStr">
        <is>
          <t>Disneyland Railroad Fantasyland Station</t>
        </is>
      </c>
      <c r="F25816" s="8" t="inlineStr">
        <is>
          <t>STANDBY</t>
        </is>
      </c>
      <c r="G25816" s="8" t="n">
        <v>0</v>
      </c>
      <c r="H25816" s="8" t="inlineStr">
        <is>
          <t>CLOSED</t>
        </is>
      </c>
    </row>
    <row r="25817">
      <c r="A25817" s="8" t="inlineStr">
        <is>
          <t>2026-08-05</t>
        </is>
      </c>
      <c r="B25817" s="8" t="n">
        <v>17</v>
      </c>
      <c r="C25817" s="8" t="n">
        <v>15</v>
      </c>
      <c r="D25817" s="8" t="inlineStr">
        <is>
          <t>Disneyland Park</t>
        </is>
      </c>
      <c r="E25817" s="8" t="inlineStr">
        <is>
          <t>Disneyland Railroad Main Street Station</t>
        </is>
      </c>
      <c r="F25817" s="8" t="inlineStr">
        <is>
          <t>STANDBY</t>
        </is>
      </c>
      <c r="G25817" s="8" t="n">
        <v>20</v>
      </c>
      <c r="H25817" s="8" t="inlineStr">
        <is>
          <t>OPERATING</t>
        </is>
      </c>
    </row>
    <row r="25818">
      <c r="A25818" s="8" t="inlineStr">
        <is>
          <t>2026-08-05</t>
        </is>
      </c>
      <c r="B25818" s="8" t="n">
        <v>17</v>
      </c>
      <c r="C25818" s="8" t="n">
        <v>15</v>
      </c>
      <c r="D25818" s="8" t="inlineStr">
        <is>
          <t>Disneyland Park</t>
        </is>
      </c>
      <c r="E25818" s="8" t="inlineStr">
        <is>
          <t>Dumbo the Flying Elephant</t>
        </is>
      </c>
      <c r="F25818" s="8" t="inlineStr">
        <is>
          <t>STANDBY</t>
        </is>
      </c>
      <c r="G25818" s="8" t="n">
        <v>35</v>
      </c>
      <c r="H25818" s="8" t="inlineStr">
        <is>
          <t>OPERATING</t>
        </is>
      </c>
    </row>
    <row r="25819">
      <c r="A25819" s="8" t="inlineStr">
        <is>
          <t>2026-08-05</t>
        </is>
      </c>
      <c r="B25819" s="8" t="n">
        <v>17</v>
      </c>
      <c r="C25819" s="8" t="n">
        <v>15</v>
      </c>
      <c r="D25819" s="8" t="inlineStr">
        <is>
          <t>Disneyland Park</t>
        </is>
      </c>
      <c r="E25819" s="8" t="inlineStr">
        <is>
          <t>La Tanière du Dragon</t>
        </is>
      </c>
      <c r="F25819" s="8" t="inlineStr">
        <is>
          <t>STANDBY</t>
        </is>
      </c>
      <c r="G25819" s="8" t="n">
        <v>0</v>
      </c>
      <c r="H25819" s="8" t="inlineStr">
        <is>
          <t>OPERATING</t>
        </is>
      </c>
    </row>
    <row r="25820">
      <c r="A25820" s="8" t="inlineStr">
        <is>
          <t>2026-08-05</t>
        </is>
      </c>
      <c r="B25820" s="8" t="n">
        <v>17</v>
      </c>
      <c r="C25820" s="8" t="n">
        <v>15</v>
      </c>
      <c r="D25820" s="8" t="inlineStr">
        <is>
          <t>Disneyland Park</t>
        </is>
      </c>
      <c r="E25820" s="8" t="inlineStr">
        <is>
          <t>Le Carrousel de Lancelot</t>
        </is>
      </c>
      <c r="F25820" s="8" t="inlineStr">
        <is>
          <t>STANDBY</t>
        </is>
      </c>
      <c r="G25820" s="8" t="n">
        <v>15</v>
      </c>
      <c r="H25820" s="8" t="inlineStr">
        <is>
          <t>OPERATING</t>
        </is>
      </c>
    </row>
    <row r="25821">
      <c r="A25821" s="8" t="inlineStr">
        <is>
          <t>2026-08-05</t>
        </is>
      </c>
      <c r="B25821" s="8" t="n">
        <v>17</v>
      </c>
      <c r="C25821" s="8" t="n">
        <v>15</v>
      </c>
      <c r="D25821" s="8" t="inlineStr">
        <is>
          <t>Disneyland Park</t>
        </is>
      </c>
      <c r="E25821" s="8" t="inlineStr">
        <is>
          <t>Le Pays des Contes de Fées, presented by Vittel</t>
        </is>
      </c>
      <c r="F25821" s="8" t="inlineStr">
        <is>
          <t>STANDBY</t>
        </is>
      </c>
      <c r="G25821" s="8" t="n">
        <v>5</v>
      </c>
      <c r="H25821" s="8" t="inlineStr">
        <is>
          <t>OPERATING</t>
        </is>
      </c>
    </row>
    <row r="25822">
      <c r="A25822" s="8" t="inlineStr">
        <is>
          <t>2026-08-05</t>
        </is>
      </c>
      <c r="B25822" s="8" t="n">
        <v>17</v>
      </c>
      <c r="C25822" s="8" t="n">
        <v>15</v>
      </c>
      <c r="D25822" s="8" t="inlineStr">
        <is>
          <t>Disneyland Park</t>
        </is>
      </c>
      <c r="E25822" s="8" t="inlineStr">
        <is>
          <t>Les Voyages de Pinocchio</t>
        </is>
      </c>
      <c r="F25822" s="8" t="inlineStr">
        <is>
          <t>STANDBY</t>
        </is>
      </c>
      <c r="G25822" s="8" t="n">
        <v>25</v>
      </c>
      <c r="H25822" s="8" t="inlineStr">
        <is>
          <t>OPERATING</t>
        </is>
      </c>
    </row>
    <row r="25823">
      <c r="A25823" s="8" t="inlineStr">
        <is>
          <t>2026-08-05</t>
        </is>
      </c>
      <c r="B25823" s="8" t="n">
        <v>17</v>
      </c>
      <c r="C25823" s="8" t="n">
        <v>15</v>
      </c>
      <c r="D25823" s="8" t="inlineStr">
        <is>
          <t>Disneyland Park</t>
        </is>
      </c>
      <c r="E25823" s="8" t="inlineStr">
        <is>
          <t>Mad Hatter's Tea Cups</t>
        </is>
      </c>
      <c r="F25823" s="8" t="inlineStr">
        <is>
          <t>STANDBY</t>
        </is>
      </c>
      <c r="G25823" s="8" t="n">
        <v>5</v>
      </c>
      <c r="H25823" s="8" t="inlineStr">
        <is>
          <t>OPERATING</t>
        </is>
      </c>
    </row>
    <row r="25824">
      <c r="A25824" s="8" t="inlineStr">
        <is>
          <t>2026-08-05</t>
        </is>
      </c>
      <c r="B25824" s="8" t="n">
        <v>17</v>
      </c>
      <c r="C25824" s="8" t="n">
        <v>15</v>
      </c>
      <c r="D25824" s="8" t="inlineStr">
        <is>
          <t>Disneyland Park</t>
        </is>
      </c>
      <c r="E25824" s="8" t="inlineStr">
        <is>
          <t>Meet Mickey Mouse</t>
        </is>
      </c>
      <c r="F25824" s="8" t="inlineStr">
        <is>
          <t>STANDBY</t>
        </is>
      </c>
      <c r="G25824" s="8" t="n">
        <v>0</v>
      </c>
      <c r="H25824" s="8" t="inlineStr">
        <is>
          <t>OPERATING</t>
        </is>
      </c>
    </row>
    <row r="25825">
      <c r="A25825" s="8" t="inlineStr">
        <is>
          <t>2026-08-05</t>
        </is>
      </c>
      <c r="B25825" s="8" t="n">
        <v>17</v>
      </c>
      <c r="C25825" s="8" t="n">
        <v>15</v>
      </c>
      <c r="D25825" s="8" t="inlineStr">
        <is>
          <t>Disneyland Park</t>
        </is>
      </c>
      <c r="E25825" s="8" t="inlineStr">
        <is>
          <t>Peter Pan's Flight</t>
        </is>
      </c>
      <c r="F25825" s="8" t="inlineStr">
        <is>
          <t>STANDBY</t>
        </is>
      </c>
      <c r="G25825" s="8" t="n">
        <v>60</v>
      </c>
      <c r="H25825" s="8" t="inlineStr">
        <is>
          <t>OPERATING</t>
        </is>
      </c>
    </row>
    <row r="25826">
      <c r="A25826" s="8" t="inlineStr">
        <is>
          <t>2026-08-05</t>
        </is>
      </c>
      <c r="B25826" s="8" t="n">
        <v>17</v>
      </c>
      <c r="C25826" s="8" t="n">
        <v>15</v>
      </c>
      <c r="D25826" s="8" t="inlineStr">
        <is>
          <t>Disneyland Park</t>
        </is>
      </c>
      <c r="E25826" s="8" t="inlineStr">
        <is>
          <t>Princess Pavilion</t>
        </is>
      </c>
      <c r="F25826" s="8" t="inlineStr">
        <is>
          <t>STANDBY</t>
        </is>
      </c>
      <c r="G25826" s="8" t="n">
        <v>0</v>
      </c>
      <c r="H25826" s="8" t="inlineStr">
        <is>
          <t>OPERATING</t>
        </is>
      </c>
    </row>
    <row r="25827">
      <c r="A25827" s="8" t="inlineStr">
        <is>
          <t>2026-08-05</t>
        </is>
      </c>
      <c r="B25827" s="8" t="n">
        <v>17</v>
      </c>
      <c r="C25827" s="8" t="n">
        <v>15</v>
      </c>
      <c r="D25827" s="8" t="inlineStr">
        <is>
          <t>Disneyland Park</t>
        </is>
      </c>
      <c r="E25827" s="8" t="inlineStr">
        <is>
          <t>Big Thunder Mountain</t>
        </is>
      </c>
      <c r="F25827" s="8" t="inlineStr">
        <is>
          <t>STANDBY</t>
        </is>
      </c>
      <c r="G25827" s="8" t="n">
        <v>100</v>
      </c>
      <c r="H25827" s="8" t="inlineStr">
        <is>
          <t>OPERATING</t>
        </is>
      </c>
    </row>
    <row r="25828">
      <c r="A25828" s="8" t="inlineStr">
        <is>
          <t>2026-08-05</t>
        </is>
      </c>
      <c r="B25828" s="8" t="n">
        <v>17</v>
      </c>
      <c r="C25828" s="8" t="n">
        <v>15</v>
      </c>
      <c r="D25828" s="8" t="inlineStr">
        <is>
          <t>Disneyland Park</t>
        </is>
      </c>
      <c r="E25828" s="8" t="inlineStr">
        <is>
          <t>Disneyland Railroad Frontierland Depot</t>
        </is>
      </c>
      <c r="F25828" s="8" t="inlineStr">
        <is>
          <t>STANDBY</t>
        </is>
      </c>
      <c r="G25828" s="8" t="n">
        <v>30</v>
      </c>
      <c r="H25828" s="8" t="inlineStr">
        <is>
          <t>OPERATING</t>
        </is>
      </c>
    </row>
    <row r="25829">
      <c r="A25829" s="8" t="inlineStr">
        <is>
          <t>2026-08-05</t>
        </is>
      </c>
      <c r="B25829" s="8" t="n">
        <v>17</v>
      </c>
      <c r="C25829" s="8" t="n">
        <v>15</v>
      </c>
      <c r="D25829" s="8" t="inlineStr">
        <is>
          <t>Disneyland Park</t>
        </is>
      </c>
      <c r="E25829" s="8" t="inlineStr">
        <is>
          <t>Frontierland Playground</t>
        </is>
      </c>
      <c r="F25829" s="8" t="inlineStr">
        <is>
          <t>STANDBY</t>
        </is>
      </c>
      <c r="G25829" s="8" t="n">
        <v>0</v>
      </c>
      <c r="H25829" s="8" t="inlineStr">
        <is>
          <t>OPERATING</t>
        </is>
      </c>
    </row>
    <row r="25830">
      <c r="A25830" s="8" t="inlineStr">
        <is>
          <t>2026-08-05</t>
        </is>
      </c>
      <c r="B25830" s="8" t="n">
        <v>17</v>
      </c>
      <c r="C25830" s="8" t="n">
        <v>15</v>
      </c>
      <c r="D25830" s="8" t="inlineStr">
        <is>
          <t>Disneyland Park</t>
        </is>
      </c>
      <c r="E25830" s="8" t="inlineStr">
        <is>
          <t>Phantom Manor</t>
        </is>
      </c>
      <c r="F25830" s="8" t="inlineStr">
        <is>
          <t>STANDBY</t>
        </is>
      </c>
      <c r="G25830" s="8" t="n">
        <v>20</v>
      </c>
      <c r="H25830" s="8" t="inlineStr">
        <is>
          <t>OPERATING</t>
        </is>
      </c>
    </row>
    <row r="25831">
      <c r="A25831" s="8" t="inlineStr">
        <is>
          <t>2026-08-05</t>
        </is>
      </c>
      <c r="B25831" s="8" t="n">
        <v>17</v>
      </c>
      <c r="C25831" s="8" t="n">
        <v>15</v>
      </c>
      <c r="D25831" s="8" t="inlineStr">
        <is>
          <t>Disneyland Park</t>
        </is>
      </c>
      <c r="E25831" s="8" t="inlineStr">
        <is>
          <t>River Rogue Keelboats</t>
        </is>
      </c>
      <c r="F25831" s="8" t="inlineStr">
        <is>
          <t>STANDBY</t>
        </is>
      </c>
      <c r="G25831" s="8" t="n">
        <v>0</v>
      </c>
      <c r="H25831" s="8" t="inlineStr">
        <is>
          <t>CLOSED</t>
        </is>
      </c>
    </row>
    <row r="25832">
      <c r="A25832" s="8" t="inlineStr">
        <is>
          <t>2026-08-05</t>
        </is>
      </c>
      <c r="B25832" s="8" t="n">
        <v>17</v>
      </c>
      <c r="C25832" s="8" t="n">
        <v>15</v>
      </c>
      <c r="D25832" s="8" t="inlineStr">
        <is>
          <t>Disneyland Park</t>
        </is>
      </c>
      <c r="E25832" s="8" t="inlineStr">
        <is>
          <t>Rustler Roundup Shootin' Gallery</t>
        </is>
      </c>
      <c r="F25832" s="8" t="inlineStr">
        <is>
          <t>STANDBY</t>
        </is>
      </c>
      <c r="G25832" s="8" t="n">
        <v>0</v>
      </c>
      <c r="H25832" s="8" t="inlineStr">
        <is>
          <t>OPERATING</t>
        </is>
      </c>
    </row>
    <row r="25833">
      <c r="A25833" s="8" t="inlineStr">
        <is>
          <t>2026-08-05</t>
        </is>
      </c>
      <c r="B25833" s="8" t="n">
        <v>17</v>
      </c>
      <c r="C25833" s="8" t="n">
        <v>15</v>
      </c>
      <c r="D25833" s="8" t="inlineStr">
        <is>
          <t>Disneyland Park</t>
        </is>
      </c>
      <c r="E25833" s="8" t="inlineStr">
        <is>
          <t>Thunder Mesa Riverboat Landing</t>
        </is>
      </c>
      <c r="F25833" s="8" t="inlineStr">
        <is>
          <t>STANDBY</t>
        </is>
      </c>
      <c r="G25833" s="8" t="n">
        <v>20</v>
      </c>
      <c r="H25833" s="8" t="inlineStr">
        <is>
          <t>OPERATING</t>
        </is>
      </c>
    </row>
    <row r="25834">
      <c r="A25834" s="8" t="inlineStr">
        <is>
          <t>2026-08-05</t>
        </is>
      </c>
      <c r="B25834" s="8" t="n">
        <v>17</v>
      </c>
      <c r="C25834" s="8" t="n">
        <v>15</v>
      </c>
      <c r="D25834" s="8" t="inlineStr">
        <is>
          <t>Disneyland Park</t>
        </is>
      </c>
      <c r="E25834" s="8" t="inlineStr">
        <is>
          <t>Disneyland Railroad Main Street Station</t>
        </is>
      </c>
      <c r="F25834" s="8" t="inlineStr">
        <is>
          <t>STANDBY</t>
        </is>
      </c>
      <c r="G25834" s="8" t="n">
        <v>0</v>
      </c>
      <c r="H25834" s="8" t="inlineStr">
        <is>
          <t>OPERATING</t>
        </is>
      </c>
    </row>
    <row r="25835">
      <c r="A25835" s="8" t="inlineStr">
        <is>
          <t>2026-08-05</t>
        </is>
      </c>
      <c r="B25835" s="8" t="n">
        <v>17</v>
      </c>
      <c r="C25835" s="8" t="n">
        <v>15</v>
      </c>
      <c r="D25835" s="8" t="inlineStr">
        <is>
          <t>Disneyland Park</t>
        </is>
      </c>
      <c r="E25835" s="8" t="inlineStr">
        <is>
          <t>Main Street Vehicles</t>
        </is>
      </c>
      <c r="F25835" s="8" t="inlineStr">
        <is>
          <t>STANDBY</t>
        </is>
      </c>
      <c r="G25835" s="8" t="n">
        <v>0</v>
      </c>
      <c r="H25835" s="8" t="inlineStr">
        <is>
          <t>CLOSED</t>
        </is>
      </c>
    </row>
    <row r="25836">
      <c r="A25836" s="8" t="inlineStr">
        <is>
          <t>2026-08-05</t>
        </is>
      </c>
      <c r="B25836" s="8" t="n">
        <v>17</v>
      </c>
      <c r="C25836" s="8" t="n">
        <v>15</v>
      </c>
      <c r="D25836" s="8" t="inlineStr">
        <is>
          <t>Disney Adventure World</t>
        </is>
      </c>
      <c r="E25836" s="8" t="inlineStr">
        <is>
          <t>Avengers Assemble: Flight Force</t>
        </is>
      </c>
      <c r="F25836" s="8" t="inlineStr">
        <is>
          <t>STANDBY</t>
        </is>
      </c>
      <c r="G25836" s="8" t="n">
        <v>25</v>
      </c>
      <c r="H25836" s="8" t="inlineStr">
        <is>
          <t>OPERATING</t>
        </is>
      </c>
    </row>
    <row r="25837">
      <c r="A25837" s="8" t="inlineStr">
        <is>
          <t>2026-08-05</t>
        </is>
      </c>
      <c r="B25837" s="8" t="n">
        <v>17</v>
      </c>
      <c r="C25837" s="8" t="n">
        <v>15</v>
      </c>
      <c r="D25837" s="8" t="inlineStr">
        <is>
          <t>Disney Adventure World</t>
        </is>
      </c>
      <c r="E25837" s="8" t="inlineStr">
        <is>
          <t>Avengers Assemble: Flight Force Single Rider</t>
        </is>
      </c>
      <c r="F25837" s="8" t="inlineStr">
        <is>
          <t>STANDBY</t>
        </is>
      </c>
      <c r="G25837" s="8" t="n">
        <v>20</v>
      </c>
      <c r="H25837" s="8" t="inlineStr">
        <is>
          <t>OPERATING</t>
        </is>
      </c>
    </row>
    <row r="25838">
      <c r="A25838" s="8" t="inlineStr">
        <is>
          <t>2026-08-05</t>
        </is>
      </c>
      <c r="B25838" s="8" t="n">
        <v>17</v>
      </c>
      <c r="C25838" s="8" t="n">
        <v>15</v>
      </c>
      <c r="D25838" s="8" t="inlineStr">
        <is>
          <t>Disney Adventure World</t>
        </is>
      </c>
      <c r="E25838" s="8" t="inlineStr">
        <is>
          <t>Spider-Man W.E.B. Adventure</t>
        </is>
      </c>
      <c r="F25838" s="8" t="inlineStr">
        <is>
          <t>STANDBY</t>
        </is>
      </c>
      <c r="G25838" s="8" t="n">
        <v>60</v>
      </c>
      <c r="H25838" s="8" t="inlineStr">
        <is>
          <t>OPERATING</t>
        </is>
      </c>
    </row>
    <row r="25839">
      <c r="A25839" s="8" t="inlineStr">
        <is>
          <t>2026-08-05</t>
        </is>
      </c>
      <c r="B25839" s="8" t="n">
        <v>17</v>
      </c>
      <c r="C25839" s="8" t="n">
        <v>15</v>
      </c>
      <c r="D25839" s="8" t="inlineStr">
        <is>
          <t>Disney Adventure World</t>
        </is>
      </c>
      <c r="E25839" s="8" t="inlineStr">
        <is>
          <t>Spider-Man W.E.B. Adventure Single Rider</t>
        </is>
      </c>
      <c r="F25839" s="8" t="inlineStr">
        <is>
          <t>STANDBY</t>
        </is>
      </c>
      <c r="G25839" s="8" t="n">
        <v>15</v>
      </c>
      <c r="H25839" s="8" t="inlineStr">
        <is>
          <t>OPERATING</t>
        </is>
      </c>
    </row>
    <row r="25840">
      <c r="A25840" s="8" t="inlineStr">
        <is>
          <t>2026-08-05</t>
        </is>
      </c>
      <c r="B25840" s="8" t="n">
        <v>17</v>
      </c>
      <c r="C25840" s="8" t="n">
        <v>15</v>
      </c>
      <c r="D25840" s="8" t="inlineStr">
        <is>
          <t>Disney Adventure World</t>
        </is>
      </c>
      <c r="E25840" s="8" t="inlineStr">
        <is>
          <t>The Twilight Zone Tower of Terror</t>
        </is>
      </c>
      <c r="F25840" s="8" t="inlineStr">
        <is>
          <t>STANDBY</t>
        </is>
      </c>
      <c r="G25840" s="8" t="n">
        <v>25</v>
      </c>
      <c r="H25840" s="8" t="inlineStr">
        <is>
          <t>OPERATING</t>
        </is>
      </c>
    </row>
    <row r="25841">
      <c r="A25841" s="8" t="inlineStr">
        <is>
          <t>2026-08-05</t>
        </is>
      </c>
      <c r="B25841" s="8" t="n">
        <v>17</v>
      </c>
      <c r="C25841" s="8" t="n">
        <v>15</v>
      </c>
      <c r="D25841" s="8" t="inlineStr">
        <is>
          <t>Disney Adventure World</t>
        </is>
      </c>
      <c r="E25841" s="8" t="inlineStr">
        <is>
          <t>Cars Quatre Roues Rallye</t>
        </is>
      </c>
      <c r="F25841" s="8" t="inlineStr">
        <is>
          <t>STANDBY</t>
        </is>
      </c>
      <c r="G25841" s="8" t="n">
        <v>15</v>
      </c>
      <c r="H25841" s="8" t="inlineStr">
        <is>
          <t>OPERATING</t>
        </is>
      </c>
    </row>
    <row r="25842">
      <c r="A25842" s="8" t="inlineStr">
        <is>
          <t>2026-08-05</t>
        </is>
      </c>
      <c r="B25842" s="8" t="n">
        <v>17</v>
      </c>
      <c r="C25842" s="8" t="n">
        <v>15</v>
      </c>
      <c r="D25842" s="8" t="inlineStr">
        <is>
          <t>Disney Adventure World</t>
        </is>
      </c>
      <c r="E25842" s="8" t="inlineStr">
        <is>
          <t>Cars ROAD TRIP</t>
        </is>
      </c>
      <c r="F25842" s="8" t="inlineStr">
        <is>
          <t>STANDBY</t>
        </is>
      </c>
      <c r="G25842" s="8" t="n">
        <v>20</v>
      </c>
      <c r="H25842" s="8" t="inlineStr">
        <is>
          <t>OPERATING</t>
        </is>
      </c>
    </row>
    <row r="25843">
      <c r="A25843" s="8" t="inlineStr">
        <is>
          <t>2026-08-05</t>
        </is>
      </c>
      <c r="B25843" s="8" t="n">
        <v>17</v>
      </c>
      <c r="C25843" s="8" t="n">
        <v>15</v>
      </c>
      <c r="D25843" s="8" t="inlineStr">
        <is>
          <t>Disney Adventure World</t>
        </is>
      </c>
      <c r="E25843" s="8" t="inlineStr">
        <is>
          <t>Crush's Coaster</t>
        </is>
      </c>
      <c r="F25843" s="8" t="inlineStr">
        <is>
          <t>STANDBY</t>
        </is>
      </c>
      <c r="G25843" s="8" t="n">
        <v>80</v>
      </c>
      <c r="H25843" s="8" t="inlineStr">
        <is>
          <t>OPERATING</t>
        </is>
      </c>
    </row>
    <row r="25844">
      <c r="A25844" s="8" t="inlineStr">
        <is>
          <t>2026-08-05</t>
        </is>
      </c>
      <c r="B25844" s="8" t="n">
        <v>17</v>
      </c>
      <c r="C25844" s="8" t="n">
        <v>15</v>
      </c>
      <c r="D25844" s="8" t="inlineStr">
        <is>
          <t>Disney Adventure World</t>
        </is>
      </c>
      <c r="E25844" s="8" t="inlineStr">
        <is>
          <t>Crush's Coaster Single Rider</t>
        </is>
      </c>
      <c r="F25844" s="8" t="inlineStr">
        <is>
          <t>STANDBY</t>
        </is>
      </c>
      <c r="G25844" s="8" t="n">
        <v>60</v>
      </c>
      <c r="H25844" s="8" t="inlineStr">
        <is>
          <t>OPERATING</t>
        </is>
      </c>
    </row>
    <row r="25845">
      <c r="A25845" s="8" t="inlineStr">
        <is>
          <t>2026-08-05</t>
        </is>
      </c>
      <c r="B25845" s="8" t="n">
        <v>17</v>
      </c>
      <c r="C25845" s="8" t="n">
        <v>15</v>
      </c>
      <c r="D25845" s="8" t="inlineStr">
        <is>
          <t>Disney Adventure World</t>
        </is>
      </c>
      <c r="E25845" s="8" t="inlineStr">
        <is>
          <t>Les Tapis Volants - Flying Carpets Over Agrabah®</t>
        </is>
      </c>
      <c r="F25845" s="8" t="inlineStr">
        <is>
          <t>STANDBY</t>
        </is>
      </c>
      <c r="G25845" s="8" t="n">
        <v>15</v>
      </c>
      <c r="H25845" s="8" t="inlineStr">
        <is>
          <t>OPERATING</t>
        </is>
      </c>
    </row>
    <row r="25846">
      <c r="A25846" s="8" t="inlineStr">
        <is>
          <t>2026-08-05</t>
        </is>
      </c>
      <c r="B25846" s="8" t="n">
        <v>17</v>
      </c>
      <c r="C25846" s="8" t="n">
        <v>15</v>
      </c>
      <c r="D25846" s="8" t="inlineStr">
        <is>
          <t>Disney Adventure World</t>
        </is>
      </c>
      <c r="E25846" s="8" t="inlineStr">
        <is>
          <t>Ratatouille : L’Aventure Totalement Toquée de Rémy​</t>
        </is>
      </c>
      <c r="F25846" s="8" t="inlineStr">
        <is>
          <t>STANDBY</t>
        </is>
      </c>
      <c r="G25846" s="8" t="n">
        <v>50</v>
      </c>
      <c r="H25846" s="8" t="inlineStr">
        <is>
          <t>OPERATING</t>
        </is>
      </c>
    </row>
    <row r="25847">
      <c r="A25847" s="8" t="inlineStr">
        <is>
          <t>2026-08-05</t>
        </is>
      </c>
      <c r="B25847" s="8" t="n">
        <v>17</v>
      </c>
      <c r="C25847" s="8" t="n">
        <v>15</v>
      </c>
      <c r="D25847" s="8" t="inlineStr">
        <is>
          <t>Disney Adventure World</t>
        </is>
      </c>
      <c r="E25847" s="8" t="inlineStr">
        <is>
          <t>Ratatouille: The Adventure Single Rider</t>
        </is>
      </c>
      <c r="F25847" s="8" t="inlineStr">
        <is>
          <t>STANDBY</t>
        </is>
      </c>
      <c r="G25847" s="8" t="n">
        <v>40</v>
      </c>
      <c r="H25847" s="8" t="inlineStr">
        <is>
          <t>OPERATING</t>
        </is>
      </c>
    </row>
    <row r="25848">
      <c r="A25848" s="8" t="inlineStr">
        <is>
          <t>2026-08-05</t>
        </is>
      </c>
      <c r="B25848" s="8" t="n">
        <v>17</v>
      </c>
      <c r="C25848" s="8" t="n">
        <v>15</v>
      </c>
      <c r="D25848" s="8" t="inlineStr">
        <is>
          <t>Disney Adventure World</t>
        </is>
      </c>
      <c r="E25848" s="8" t="inlineStr">
        <is>
          <t>RC Racer</t>
        </is>
      </c>
      <c r="F25848" s="8" t="inlineStr">
        <is>
          <t>STANDBY</t>
        </is>
      </c>
      <c r="G25848" s="8" t="n">
        <v>40</v>
      </c>
      <c r="H25848" s="8" t="inlineStr">
        <is>
          <t>OPERATING</t>
        </is>
      </c>
    </row>
    <row r="25849">
      <c r="A25849" s="8" t="inlineStr">
        <is>
          <t>2026-08-05</t>
        </is>
      </c>
      <c r="B25849" s="8" t="n">
        <v>17</v>
      </c>
      <c r="C25849" s="8" t="n">
        <v>15</v>
      </c>
      <c r="D25849" s="8" t="inlineStr">
        <is>
          <t>Disney Adventure World</t>
        </is>
      </c>
      <c r="E25849" s="8" t="inlineStr">
        <is>
          <t>RC Racer Single Rider</t>
        </is>
      </c>
      <c r="F25849" s="8" t="inlineStr">
        <is>
          <t>STANDBY</t>
        </is>
      </c>
      <c r="G25849" s="8" t="n">
        <v>35</v>
      </c>
      <c r="H25849" s="8" t="inlineStr">
        <is>
          <t>OPERATING</t>
        </is>
      </c>
    </row>
    <row r="25850">
      <c r="A25850" s="8" t="inlineStr">
        <is>
          <t>2026-08-05</t>
        </is>
      </c>
      <c r="B25850" s="8" t="n">
        <v>17</v>
      </c>
      <c r="C25850" s="8" t="n">
        <v>15</v>
      </c>
      <c r="D25850" s="8" t="inlineStr">
        <is>
          <t>Disney Adventure World</t>
        </is>
      </c>
      <c r="E25850" s="8" t="inlineStr">
        <is>
          <t>Slinky® Dog Zigzag Spin</t>
        </is>
      </c>
      <c r="F25850" s="8" t="inlineStr">
        <is>
          <t>STANDBY</t>
        </is>
      </c>
      <c r="G25850" s="8" t="n">
        <v>15</v>
      </c>
      <c r="H25850" s="8" t="inlineStr">
        <is>
          <t>OPERATING</t>
        </is>
      </c>
    </row>
    <row r="25851">
      <c r="A25851" s="8" t="inlineStr">
        <is>
          <t>2026-08-05</t>
        </is>
      </c>
      <c r="B25851" s="8" t="n">
        <v>17</v>
      </c>
      <c r="C25851" s="8" t="n">
        <v>15</v>
      </c>
      <c r="D25851" s="8" t="inlineStr">
        <is>
          <t>Disney Adventure World</t>
        </is>
      </c>
      <c r="E25851" s="8" t="inlineStr">
        <is>
          <t>Toy Soldiers Parachute Drop</t>
        </is>
      </c>
      <c r="F25851" s="8" t="inlineStr">
        <is>
          <t>STANDBY</t>
        </is>
      </c>
      <c r="G25851" s="8" t="n">
        <v>50</v>
      </c>
      <c r="H25851" s="8" t="inlineStr">
        <is>
          <t>OPERATING</t>
        </is>
      </c>
    </row>
    <row r="25852">
      <c r="A25852" s="8" t="inlineStr">
        <is>
          <t>2026-08-05</t>
        </is>
      </c>
      <c r="B25852" s="8" t="n">
        <v>17</v>
      </c>
      <c r="C25852" s="8" t="n">
        <v>15</v>
      </c>
      <c r="D25852" s="8" t="inlineStr">
        <is>
          <t>Disney Adventure World</t>
        </is>
      </c>
      <c r="E25852" s="8" t="inlineStr">
        <is>
          <t>Toy Soldiers Parachute Drop Single Rider</t>
        </is>
      </c>
      <c r="F25852" s="8" t="inlineStr">
        <is>
          <t>STANDBY</t>
        </is>
      </c>
      <c r="G25852" s="8" t="n">
        <v>35</v>
      </c>
      <c r="H25852" s="8" t="inlineStr">
        <is>
          <t>OPERATING</t>
        </is>
      </c>
    </row>
    <row r="25853">
      <c r="A25853" s="8" t="inlineStr">
        <is>
          <t>2026-08-05</t>
        </is>
      </c>
      <c r="B25853" s="8" t="n">
        <v>17</v>
      </c>
      <c r="C25853" s="8" t="n">
        <v>15</v>
      </c>
      <c r="D25853" s="8" t="inlineStr">
        <is>
          <t>Disney Adventure World</t>
        </is>
      </c>
      <c r="E25853" s="8" t="inlineStr">
        <is>
          <t>Entry to World of Frozen</t>
        </is>
      </c>
      <c r="F25853" s="8" t="inlineStr">
        <is>
          <t>STANDBY</t>
        </is>
      </c>
      <c r="G25853" s="8" t="n">
        <v>0</v>
      </c>
      <c r="H25853" s="8" t="inlineStr">
        <is>
          <t>OPERATING</t>
        </is>
      </c>
    </row>
    <row r="25854">
      <c r="A25854" s="8" t="inlineStr">
        <is>
          <t>2026-08-05</t>
        </is>
      </c>
      <c r="B25854" s="8" t="n">
        <v>17</v>
      </c>
      <c r="C25854" s="8" t="n">
        <v>15</v>
      </c>
      <c r="D25854" s="8" t="inlineStr">
        <is>
          <t>Disney Adventure World</t>
        </is>
      </c>
      <c r="E25854" s="8" t="inlineStr">
        <is>
          <t>Frozen Ever After</t>
        </is>
      </c>
      <c r="F25854" s="8" t="inlineStr">
        <is>
          <t>STANDBY</t>
        </is>
      </c>
      <c r="G25854" s="8" t="n">
        <v>0</v>
      </c>
      <c r="H25854" s="8" t="inlineStr">
        <is>
          <t>CLOSED</t>
        </is>
      </c>
    </row>
    <row r="25855">
      <c r="A25855" s="8" t="inlineStr">
        <is>
          <t>2026-08-05</t>
        </is>
      </c>
      <c r="B25855" s="8" t="n">
        <v>17</v>
      </c>
      <c r="C25855" s="8" t="n">
        <v>15</v>
      </c>
      <c r="D25855" s="8" t="inlineStr">
        <is>
          <t>Disney Adventure World</t>
        </is>
      </c>
      <c r="E25855" s="8" t="inlineStr">
        <is>
          <t>Raiponce Tangled Spin</t>
        </is>
      </c>
      <c r="F25855" s="8" t="inlineStr">
        <is>
          <t>STANDBY</t>
        </is>
      </c>
      <c r="G25855" s="8" t="n">
        <v>10</v>
      </c>
      <c r="H25855" s="8" t="inlineStr">
        <is>
          <t>OPERATING</t>
        </is>
      </c>
    </row>
    <row r="25856">
      <c r="A25856" s="8" t="inlineStr">
        <is>
          <t>2026-08-05</t>
        </is>
      </c>
      <c r="B25856" s="8" t="n">
        <v>17</v>
      </c>
      <c r="C25856" s="8" t="n">
        <v>24</v>
      </c>
      <c r="D25856" s="8" t="inlineStr">
        <is>
          <t>Disneyland Park</t>
        </is>
      </c>
      <c r="E25856" s="8" t="inlineStr">
        <is>
          <t>Adventure Isle</t>
        </is>
      </c>
      <c r="F25856" s="8" t="inlineStr">
        <is>
          <t>STANDBY</t>
        </is>
      </c>
      <c r="G25856" s="8" t="n">
        <v>0</v>
      </c>
      <c r="H25856" s="8" t="inlineStr">
        <is>
          <t>OPERATING</t>
        </is>
      </c>
    </row>
    <row r="25857">
      <c r="A25857" s="8" t="inlineStr">
        <is>
          <t>2026-08-05</t>
        </is>
      </c>
      <c r="B25857" s="8" t="n">
        <v>17</v>
      </c>
      <c r="C25857" s="8" t="n">
        <v>24</v>
      </c>
      <c r="D25857" s="8" t="inlineStr">
        <is>
          <t>Disneyland Park</t>
        </is>
      </c>
      <c r="E25857" s="8" t="inlineStr">
        <is>
          <t>Indiana Jones and the Temple of Peril Single Rider</t>
        </is>
      </c>
      <c r="F25857" s="8" t="inlineStr">
        <is>
          <t>STANDBY</t>
        </is>
      </c>
      <c r="G25857" s="8" t="n">
        <v>15</v>
      </c>
      <c r="H25857" s="8" t="inlineStr">
        <is>
          <t>OPERATING</t>
        </is>
      </c>
    </row>
    <row r="25858">
      <c r="A25858" s="8" t="inlineStr">
        <is>
          <t>2026-08-05</t>
        </is>
      </c>
      <c r="B25858" s="8" t="n">
        <v>17</v>
      </c>
      <c r="C25858" s="8" t="n">
        <v>24</v>
      </c>
      <c r="D25858" s="8" t="inlineStr">
        <is>
          <t>Disneyland Park</t>
        </is>
      </c>
      <c r="E25858" s="8" t="inlineStr">
        <is>
          <t>Indiana Jones™ and the Temple of Peril</t>
        </is>
      </c>
      <c r="F25858" s="8" t="inlineStr">
        <is>
          <t>STANDBY</t>
        </is>
      </c>
      <c r="G25858" s="8" t="n">
        <v>20</v>
      </c>
      <c r="H25858" s="8" t="inlineStr">
        <is>
          <t>OPERATING</t>
        </is>
      </c>
    </row>
    <row r="25859">
      <c r="A25859" s="8" t="inlineStr">
        <is>
          <t>2026-08-05</t>
        </is>
      </c>
      <c r="B25859" s="8" t="n">
        <v>17</v>
      </c>
      <c r="C25859" s="8" t="n">
        <v>24</v>
      </c>
      <c r="D25859" s="8" t="inlineStr">
        <is>
          <t>Disneyland Park</t>
        </is>
      </c>
      <c r="E25859" s="8" t="inlineStr">
        <is>
          <t>La Cabane des Robinson</t>
        </is>
      </c>
      <c r="F25859" s="8" t="inlineStr">
        <is>
          <t>STANDBY</t>
        </is>
      </c>
      <c r="G25859" s="8" t="n">
        <v>5</v>
      </c>
      <c r="H25859" s="8" t="inlineStr">
        <is>
          <t>OPERATING</t>
        </is>
      </c>
    </row>
    <row r="25860">
      <c r="A25860" s="8" t="inlineStr">
        <is>
          <t>2026-08-05</t>
        </is>
      </c>
      <c r="B25860" s="8" t="n">
        <v>17</v>
      </c>
      <c r="C25860" s="8" t="n">
        <v>24</v>
      </c>
      <c r="D25860" s="8" t="inlineStr">
        <is>
          <t>Disneyland Park</t>
        </is>
      </c>
      <c r="E25860" s="8" t="inlineStr">
        <is>
          <t>Le Passage Enchanté d'Aladdin</t>
        </is>
      </c>
      <c r="F25860" s="8" t="inlineStr">
        <is>
          <t>STANDBY</t>
        </is>
      </c>
      <c r="G25860" s="8" t="n">
        <v>0</v>
      </c>
      <c r="H25860" s="8" t="inlineStr">
        <is>
          <t>OPERATING</t>
        </is>
      </c>
    </row>
    <row r="25861">
      <c r="A25861" s="8" t="inlineStr">
        <is>
          <t>2026-08-05</t>
        </is>
      </c>
      <c r="B25861" s="8" t="n">
        <v>17</v>
      </c>
      <c r="C25861" s="8" t="n">
        <v>24</v>
      </c>
      <c r="D25861" s="8" t="inlineStr">
        <is>
          <t>Disneyland Park</t>
        </is>
      </c>
      <c r="E25861" s="8" t="inlineStr">
        <is>
          <t>Pirate Galleon</t>
        </is>
      </c>
      <c r="F25861" s="8" t="inlineStr">
        <is>
          <t>STANDBY</t>
        </is>
      </c>
      <c r="G25861" s="8" t="n">
        <v>0</v>
      </c>
      <c r="H25861" s="8" t="inlineStr">
        <is>
          <t>CLOSED</t>
        </is>
      </c>
    </row>
    <row r="25862">
      <c r="A25862" s="8" t="inlineStr">
        <is>
          <t>2026-08-05</t>
        </is>
      </c>
      <c r="B25862" s="8" t="n">
        <v>17</v>
      </c>
      <c r="C25862" s="8" t="n">
        <v>24</v>
      </c>
      <c r="D25862" s="8" t="inlineStr">
        <is>
          <t>Disneyland Park</t>
        </is>
      </c>
      <c r="E25862" s="8" t="inlineStr">
        <is>
          <t>Pirates of the Caribbean</t>
        </is>
      </c>
      <c r="F25862" s="8" t="inlineStr">
        <is>
          <t>STANDBY</t>
        </is>
      </c>
      <c r="G25862" s="8" t="n">
        <v>15</v>
      </c>
      <c r="H25862" s="8" t="inlineStr">
        <is>
          <t>OPERATING</t>
        </is>
      </c>
    </row>
    <row r="25863">
      <c r="A25863" s="8" t="inlineStr">
        <is>
          <t>2026-08-05</t>
        </is>
      </c>
      <c r="B25863" s="8" t="n">
        <v>17</v>
      </c>
      <c r="C25863" s="8" t="n">
        <v>24</v>
      </c>
      <c r="D25863" s="8" t="inlineStr">
        <is>
          <t>Disneyland Park</t>
        </is>
      </c>
      <c r="E25863" s="8" t="inlineStr">
        <is>
          <t>Pirates' Beach</t>
        </is>
      </c>
      <c r="F25863" s="8" t="inlineStr">
        <is>
          <t>STANDBY</t>
        </is>
      </c>
      <c r="G25863" s="8" t="n">
        <v>0</v>
      </c>
      <c r="H25863" s="8" t="inlineStr">
        <is>
          <t>OPERATING</t>
        </is>
      </c>
    </row>
    <row r="25864">
      <c r="A25864" s="8" t="inlineStr">
        <is>
          <t>2026-08-05</t>
        </is>
      </c>
      <c r="B25864" s="8" t="n">
        <v>17</v>
      </c>
      <c r="C25864" s="8" t="n">
        <v>24</v>
      </c>
      <c r="D25864" s="8" t="inlineStr">
        <is>
          <t>Disneyland Park</t>
        </is>
      </c>
      <c r="E25864" s="8" t="inlineStr">
        <is>
          <t>Autopia, presented by Avis</t>
        </is>
      </c>
      <c r="F25864" s="8" t="inlineStr">
        <is>
          <t>STANDBY</t>
        </is>
      </c>
      <c r="G25864" s="8" t="n">
        <v>40</v>
      </c>
      <c r="H25864" s="8" t="inlineStr">
        <is>
          <t>OPERATING</t>
        </is>
      </c>
    </row>
    <row r="25865">
      <c r="A25865" s="8" t="inlineStr">
        <is>
          <t>2026-08-05</t>
        </is>
      </c>
      <c r="B25865" s="8" t="n">
        <v>17</v>
      </c>
      <c r="C25865" s="8" t="n">
        <v>24</v>
      </c>
      <c r="D25865" s="8" t="inlineStr">
        <is>
          <t>Disneyland Park</t>
        </is>
      </c>
      <c r="E25865" s="8" t="inlineStr">
        <is>
          <t>Buzz Lightyear Laser Blast</t>
        </is>
      </c>
      <c r="F25865" s="8" t="inlineStr">
        <is>
          <t>STANDBY</t>
        </is>
      </c>
      <c r="G25865" s="8" t="n">
        <v>45</v>
      </c>
      <c r="H25865" s="8" t="inlineStr">
        <is>
          <t>OPERATING</t>
        </is>
      </c>
    </row>
    <row r="25866">
      <c r="A25866" s="8" t="inlineStr">
        <is>
          <t>2026-08-05</t>
        </is>
      </c>
      <c r="B25866" s="8" t="n">
        <v>17</v>
      </c>
      <c r="C25866" s="8" t="n">
        <v>24</v>
      </c>
      <c r="D25866" s="8" t="inlineStr">
        <is>
          <t>Disneyland Park</t>
        </is>
      </c>
      <c r="E25866" s="8" t="inlineStr">
        <is>
          <t>Disneyland Railroad Discoveryland Station</t>
        </is>
      </c>
      <c r="F25866" s="8" t="inlineStr">
        <is>
          <t>STANDBY</t>
        </is>
      </c>
      <c r="G25866" s="8" t="n">
        <v>0</v>
      </c>
      <c r="H25866" s="8" t="inlineStr">
        <is>
          <t>CLOSED</t>
        </is>
      </c>
    </row>
    <row r="25867">
      <c r="A25867" s="8" t="inlineStr">
        <is>
          <t>2026-08-05</t>
        </is>
      </c>
      <c r="B25867" s="8" t="n">
        <v>17</v>
      </c>
      <c r="C25867" s="8" t="n">
        <v>24</v>
      </c>
      <c r="D25867" s="8" t="inlineStr">
        <is>
          <t>Disneyland Park</t>
        </is>
      </c>
      <c r="E25867" s="8" t="inlineStr">
        <is>
          <t>Les Mystères du Nautilus</t>
        </is>
      </c>
      <c r="F25867" s="8" t="inlineStr">
        <is>
          <t>STANDBY</t>
        </is>
      </c>
      <c r="G25867" s="8" t="n">
        <v>5</v>
      </c>
      <c r="H25867" s="8" t="inlineStr">
        <is>
          <t>OPERATING</t>
        </is>
      </c>
    </row>
    <row r="25868">
      <c r="A25868" s="8" t="inlineStr">
        <is>
          <t>2026-08-05</t>
        </is>
      </c>
      <c r="B25868" s="8" t="n">
        <v>17</v>
      </c>
      <c r="C25868" s="8" t="n">
        <v>24</v>
      </c>
      <c r="D25868" s="8" t="inlineStr">
        <is>
          <t>Disneyland Park</t>
        </is>
      </c>
      <c r="E25868" s="8" t="inlineStr">
        <is>
          <t>Mickey’s PhilharMagic</t>
        </is>
      </c>
      <c r="F25868" s="8" t="inlineStr">
        <is>
          <t>STANDBY</t>
        </is>
      </c>
      <c r="G25868" s="8" t="n">
        <v>0</v>
      </c>
      <c r="H25868" s="8" t="inlineStr">
        <is>
          <t>OPERATING</t>
        </is>
      </c>
    </row>
    <row r="25869">
      <c r="A25869" s="8" t="inlineStr">
        <is>
          <t>2026-08-05</t>
        </is>
      </c>
      <c r="B25869" s="8" t="n">
        <v>17</v>
      </c>
      <c r="C25869" s="8" t="n">
        <v>24</v>
      </c>
      <c r="D25869" s="8" t="inlineStr">
        <is>
          <t>Disneyland Park</t>
        </is>
      </c>
      <c r="E25869" s="8" t="inlineStr">
        <is>
          <t>Orbitron®</t>
        </is>
      </c>
      <c r="F25869" s="8" t="inlineStr">
        <is>
          <t>STANDBY</t>
        </is>
      </c>
      <c r="G25869" s="8" t="n">
        <v>40</v>
      </c>
      <c r="H25869" s="8" t="inlineStr">
        <is>
          <t>OPERATING</t>
        </is>
      </c>
    </row>
    <row r="25870">
      <c r="A25870" s="8" t="inlineStr">
        <is>
          <t>2026-08-05</t>
        </is>
      </c>
      <c r="B25870" s="8" t="n">
        <v>17</v>
      </c>
      <c r="C25870" s="8" t="n">
        <v>24</v>
      </c>
      <c r="D25870" s="8" t="inlineStr">
        <is>
          <t>Disneyland Park</t>
        </is>
      </c>
      <c r="E25870" s="8" t="inlineStr">
        <is>
          <t>Star Tours: The Adventures Continue*</t>
        </is>
      </c>
      <c r="F25870" s="8" t="inlineStr">
        <is>
          <t>STANDBY</t>
        </is>
      </c>
      <c r="G25870" s="8" t="n">
        <v>10</v>
      </c>
      <c r="H25870" s="8" t="inlineStr">
        <is>
          <t>OPERATING</t>
        </is>
      </c>
    </row>
    <row r="25871">
      <c r="A25871" s="8" t="inlineStr">
        <is>
          <t>2026-08-05</t>
        </is>
      </c>
      <c r="B25871" s="8" t="n">
        <v>17</v>
      </c>
      <c r="C25871" s="8" t="n">
        <v>24</v>
      </c>
      <c r="D25871" s="8" t="inlineStr">
        <is>
          <t>Disneyland Park</t>
        </is>
      </c>
      <c r="E25871" s="8" t="inlineStr">
        <is>
          <t>Star Wars Hyperspace Mountain</t>
        </is>
      </c>
      <c r="F25871" s="8" t="inlineStr">
        <is>
          <t>STANDBY</t>
        </is>
      </c>
      <c r="G25871" s="8" t="n">
        <v>40</v>
      </c>
      <c r="H25871" s="8" t="inlineStr">
        <is>
          <t>OPERATING</t>
        </is>
      </c>
    </row>
    <row r="25872">
      <c r="A25872" s="8" t="inlineStr">
        <is>
          <t>2026-08-05</t>
        </is>
      </c>
      <c r="B25872" s="8" t="n">
        <v>17</v>
      </c>
      <c r="C25872" s="8" t="n">
        <v>24</v>
      </c>
      <c r="D25872" s="8" t="inlineStr">
        <is>
          <t>Disneyland Park</t>
        </is>
      </c>
      <c r="E25872" s="8" t="inlineStr">
        <is>
          <t>Star Wars Hyperspace Mountain Single Rider</t>
        </is>
      </c>
      <c r="F25872" s="8" t="inlineStr">
        <is>
          <t>STANDBY</t>
        </is>
      </c>
      <c r="G25872" s="8" t="n">
        <v>30</v>
      </c>
      <c r="H25872" s="8" t="inlineStr">
        <is>
          <t>OPERATING</t>
        </is>
      </c>
    </row>
    <row r="25873">
      <c r="A25873" s="8" t="inlineStr">
        <is>
          <t>2026-08-05</t>
        </is>
      </c>
      <c r="B25873" s="8" t="n">
        <v>17</v>
      </c>
      <c r="C25873" s="8" t="n">
        <v>24</v>
      </c>
      <c r="D25873" s="8" t="inlineStr">
        <is>
          <t>Disneyland Park</t>
        </is>
      </c>
      <c r="E25873" s="8" t="inlineStr">
        <is>
          <t>Welcome to Starport: A Star Wars Encounter</t>
        </is>
      </c>
      <c r="F25873" s="8" t="inlineStr">
        <is>
          <t>STANDBY</t>
        </is>
      </c>
      <c r="G25873" s="8" t="n">
        <v>0</v>
      </c>
      <c r="H25873" s="8" t="inlineStr">
        <is>
          <t>CLOSED</t>
        </is>
      </c>
    </row>
    <row r="25874">
      <c r="A25874" s="8" t="inlineStr">
        <is>
          <t>2026-08-05</t>
        </is>
      </c>
      <c r="B25874" s="8" t="n">
        <v>17</v>
      </c>
      <c r="C25874" s="8" t="n">
        <v>24</v>
      </c>
      <c r="D25874" s="8" t="inlineStr">
        <is>
          <t>Disneyland Park</t>
        </is>
      </c>
      <c r="E25874" s="8" t="inlineStr">
        <is>
          <t>"it's a small world"</t>
        </is>
      </c>
      <c r="F25874" s="8" t="inlineStr">
        <is>
          <t>STANDBY</t>
        </is>
      </c>
      <c r="G25874" s="8" t="n">
        <v>5</v>
      </c>
      <c r="H25874" s="8" t="inlineStr">
        <is>
          <t>OPERATING</t>
        </is>
      </c>
    </row>
    <row r="25875">
      <c r="A25875" s="8" t="inlineStr">
        <is>
          <t>2026-08-05</t>
        </is>
      </c>
      <c r="B25875" s="8" t="n">
        <v>17</v>
      </c>
      <c r="C25875" s="8" t="n">
        <v>24</v>
      </c>
      <c r="D25875" s="8" t="inlineStr">
        <is>
          <t>Disneyland Park</t>
        </is>
      </c>
      <c r="E25875" s="8" t="inlineStr">
        <is>
          <t>Alice's Curious Labyrinth</t>
        </is>
      </c>
      <c r="F25875" s="8" t="inlineStr">
        <is>
          <t>STANDBY</t>
        </is>
      </c>
      <c r="G25875" s="8" t="n">
        <v>5</v>
      </c>
      <c r="H25875" s="8" t="inlineStr">
        <is>
          <t>OPERATING</t>
        </is>
      </c>
    </row>
    <row r="25876">
      <c r="A25876" s="8" t="inlineStr">
        <is>
          <t>2026-08-05</t>
        </is>
      </c>
      <c r="B25876" s="8" t="n">
        <v>17</v>
      </c>
      <c r="C25876" s="8" t="n">
        <v>24</v>
      </c>
      <c r="D25876" s="8" t="inlineStr">
        <is>
          <t>Disneyland Park</t>
        </is>
      </c>
      <c r="E25876" s="8" t="inlineStr">
        <is>
          <t>Blanche-Neige et les Sept Nains®</t>
        </is>
      </c>
      <c r="F25876" s="8" t="inlineStr">
        <is>
          <t>STANDBY</t>
        </is>
      </c>
      <c r="G25876" s="8" t="n">
        <v>30</v>
      </c>
      <c r="H25876" s="8" t="inlineStr">
        <is>
          <t>OPERATING</t>
        </is>
      </c>
    </row>
    <row r="25877">
      <c r="A25877" s="8" t="inlineStr">
        <is>
          <t>2026-08-05</t>
        </is>
      </c>
      <c r="B25877" s="8" t="n">
        <v>17</v>
      </c>
      <c r="C25877" s="8" t="n">
        <v>24</v>
      </c>
      <c r="D25877" s="8" t="inlineStr">
        <is>
          <t>Disneyland Park</t>
        </is>
      </c>
      <c r="E25877" s="8" t="inlineStr">
        <is>
          <t>Casey Jr. – le Petit Train du Cirque</t>
        </is>
      </c>
      <c r="F25877" s="8" t="inlineStr">
        <is>
          <t>STANDBY</t>
        </is>
      </c>
      <c r="G25877" s="8" t="n">
        <v>20</v>
      </c>
      <c r="H25877" s="8" t="inlineStr">
        <is>
          <t>OPERATING</t>
        </is>
      </c>
    </row>
    <row r="25878">
      <c r="A25878" s="8" t="inlineStr">
        <is>
          <t>2026-08-05</t>
        </is>
      </c>
      <c r="B25878" s="8" t="n">
        <v>17</v>
      </c>
      <c r="C25878" s="8" t="n">
        <v>24</v>
      </c>
      <c r="D25878" s="8" t="inlineStr">
        <is>
          <t>Disneyland Park</t>
        </is>
      </c>
      <c r="E25878" s="8" t="inlineStr">
        <is>
          <t>Disneyland Railroad Fantasyland Station</t>
        </is>
      </c>
      <c r="F25878" s="8" t="inlineStr">
        <is>
          <t>STANDBY</t>
        </is>
      </c>
      <c r="G25878" s="8" t="n">
        <v>0</v>
      </c>
      <c r="H25878" s="8" t="inlineStr">
        <is>
          <t>CLOSED</t>
        </is>
      </c>
    </row>
    <row r="25879">
      <c r="A25879" s="8" t="inlineStr">
        <is>
          <t>2026-08-05</t>
        </is>
      </c>
      <c r="B25879" s="8" t="n">
        <v>17</v>
      </c>
      <c r="C25879" s="8" t="n">
        <v>24</v>
      </c>
      <c r="D25879" s="8" t="inlineStr">
        <is>
          <t>Disneyland Park</t>
        </is>
      </c>
      <c r="E25879" s="8" t="inlineStr">
        <is>
          <t>Disneyland Railroad Main Street Station</t>
        </is>
      </c>
      <c r="F25879" s="8" t="inlineStr">
        <is>
          <t>STANDBY</t>
        </is>
      </c>
      <c r="G25879" s="8" t="n">
        <v>20</v>
      </c>
      <c r="H25879" s="8" t="inlineStr">
        <is>
          <t>OPERATING</t>
        </is>
      </c>
    </row>
    <row r="25880">
      <c r="A25880" s="8" t="inlineStr">
        <is>
          <t>2026-08-05</t>
        </is>
      </c>
      <c r="B25880" s="8" t="n">
        <v>17</v>
      </c>
      <c r="C25880" s="8" t="n">
        <v>24</v>
      </c>
      <c r="D25880" s="8" t="inlineStr">
        <is>
          <t>Disneyland Park</t>
        </is>
      </c>
      <c r="E25880" s="8" t="inlineStr">
        <is>
          <t>Dumbo the Flying Elephant</t>
        </is>
      </c>
      <c r="F25880" s="8" t="inlineStr">
        <is>
          <t>STANDBY</t>
        </is>
      </c>
      <c r="G25880" s="8" t="n">
        <v>35</v>
      </c>
      <c r="H25880" s="8" t="inlineStr">
        <is>
          <t>OPERATING</t>
        </is>
      </c>
    </row>
    <row r="25881">
      <c r="A25881" s="8" t="inlineStr">
        <is>
          <t>2026-08-05</t>
        </is>
      </c>
      <c r="B25881" s="8" t="n">
        <v>17</v>
      </c>
      <c r="C25881" s="8" t="n">
        <v>24</v>
      </c>
      <c r="D25881" s="8" t="inlineStr">
        <is>
          <t>Disneyland Park</t>
        </is>
      </c>
      <c r="E25881" s="8" t="inlineStr">
        <is>
          <t>La Tanière du Dragon</t>
        </is>
      </c>
      <c r="F25881" s="8" t="inlineStr">
        <is>
          <t>STANDBY</t>
        </is>
      </c>
      <c r="G25881" s="8" t="n">
        <v>0</v>
      </c>
      <c r="H25881" s="8" t="inlineStr">
        <is>
          <t>OPERATING</t>
        </is>
      </c>
    </row>
    <row r="25882">
      <c r="A25882" s="8" t="inlineStr">
        <is>
          <t>2026-08-05</t>
        </is>
      </c>
      <c r="B25882" s="8" t="n">
        <v>17</v>
      </c>
      <c r="C25882" s="8" t="n">
        <v>24</v>
      </c>
      <c r="D25882" s="8" t="inlineStr">
        <is>
          <t>Disneyland Park</t>
        </is>
      </c>
      <c r="E25882" s="8" t="inlineStr">
        <is>
          <t>Le Carrousel de Lancelot</t>
        </is>
      </c>
      <c r="F25882" s="8" t="inlineStr">
        <is>
          <t>STANDBY</t>
        </is>
      </c>
      <c r="G25882" s="8" t="n">
        <v>15</v>
      </c>
      <c r="H25882" s="8" t="inlineStr">
        <is>
          <t>OPERATING</t>
        </is>
      </c>
    </row>
    <row r="25883">
      <c r="A25883" s="8" t="inlineStr">
        <is>
          <t>2026-08-05</t>
        </is>
      </c>
      <c r="B25883" s="8" t="n">
        <v>17</v>
      </c>
      <c r="C25883" s="8" t="n">
        <v>24</v>
      </c>
      <c r="D25883" s="8" t="inlineStr">
        <is>
          <t>Disneyland Park</t>
        </is>
      </c>
      <c r="E25883" s="8" t="inlineStr">
        <is>
          <t>Le Pays des Contes de Fées, presented by Vittel</t>
        </is>
      </c>
      <c r="F25883" s="8" t="inlineStr">
        <is>
          <t>STANDBY</t>
        </is>
      </c>
      <c r="G25883" s="8" t="n">
        <v>5</v>
      </c>
      <c r="H25883" s="8" t="inlineStr">
        <is>
          <t>OPERATING</t>
        </is>
      </c>
    </row>
    <row r="25884">
      <c r="A25884" s="8" t="inlineStr">
        <is>
          <t>2026-08-05</t>
        </is>
      </c>
      <c r="B25884" s="8" t="n">
        <v>17</v>
      </c>
      <c r="C25884" s="8" t="n">
        <v>24</v>
      </c>
      <c r="D25884" s="8" t="inlineStr">
        <is>
          <t>Disneyland Park</t>
        </is>
      </c>
      <c r="E25884" s="8" t="inlineStr">
        <is>
          <t>Les Voyages de Pinocchio</t>
        </is>
      </c>
      <c r="F25884" s="8" t="inlineStr">
        <is>
          <t>STANDBY</t>
        </is>
      </c>
      <c r="G25884" s="8" t="n">
        <v>25</v>
      </c>
      <c r="H25884" s="8" t="inlineStr">
        <is>
          <t>OPERATING</t>
        </is>
      </c>
    </row>
    <row r="25885">
      <c r="A25885" s="8" t="inlineStr">
        <is>
          <t>2026-08-05</t>
        </is>
      </c>
      <c r="B25885" s="8" t="n">
        <v>17</v>
      </c>
      <c r="C25885" s="8" t="n">
        <v>24</v>
      </c>
      <c r="D25885" s="8" t="inlineStr">
        <is>
          <t>Disneyland Park</t>
        </is>
      </c>
      <c r="E25885" s="8" t="inlineStr">
        <is>
          <t>Mad Hatter's Tea Cups</t>
        </is>
      </c>
      <c r="F25885" s="8" t="inlineStr">
        <is>
          <t>STANDBY</t>
        </is>
      </c>
      <c r="G25885" s="8" t="n">
        <v>5</v>
      </c>
      <c r="H25885" s="8" t="inlineStr">
        <is>
          <t>OPERATING</t>
        </is>
      </c>
    </row>
    <row r="25886">
      <c r="A25886" s="8" t="inlineStr">
        <is>
          <t>2026-08-05</t>
        </is>
      </c>
      <c r="B25886" s="8" t="n">
        <v>17</v>
      </c>
      <c r="C25886" s="8" t="n">
        <v>24</v>
      </c>
      <c r="D25886" s="8" t="inlineStr">
        <is>
          <t>Disneyland Park</t>
        </is>
      </c>
      <c r="E25886" s="8" t="inlineStr">
        <is>
          <t>Meet Mickey Mouse</t>
        </is>
      </c>
      <c r="F25886" s="8" t="inlineStr">
        <is>
          <t>STANDBY</t>
        </is>
      </c>
      <c r="G25886" s="8" t="n">
        <v>0</v>
      </c>
      <c r="H25886" s="8" t="inlineStr">
        <is>
          <t>OPERATING</t>
        </is>
      </c>
    </row>
    <row r="25887">
      <c r="A25887" s="8" t="inlineStr">
        <is>
          <t>2026-08-05</t>
        </is>
      </c>
      <c r="B25887" s="8" t="n">
        <v>17</v>
      </c>
      <c r="C25887" s="8" t="n">
        <v>24</v>
      </c>
      <c r="D25887" s="8" t="inlineStr">
        <is>
          <t>Disneyland Park</t>
        </is>
      </c>
      <c r="E25887" s="8" t="inlineStr">
        <is>
          <t>Peter Pan's Flight</t>
        </is>
      </c>
      <c r="F25887" s="8" t="inlineStr">
        <is>
          <t>STANDBY</t>
        </is>
      </c>
      <c r="G25887" s="8" t="n">
        <v>60</v>
      </c>
      <c r="H25887" s="8" t="inlineStr">
        <is>
          <t>OPERATING</t>
        </is>
      </c>
    </row>
    <row r="25888">
      <c r="A25888" s="8" t="inlineStr">
        <is>
          <t>2026-08-05</t>
        </is>
      </c>
      <c r="B25888" s="8" t="n">
        <v>17</v>
      </c>
      <c r="C25888" s="8" t="n">
        <v>24</v>
      </c>
      <c r="D25888" s="8" t="inlineStr">
        <is>
          <t>Disneyland Park</t>
        </is>
      </c>
      <c r="E25888" s="8" t="inlineStr">
        <is>
          <t>Princess Pavilion</t>
        </is>
      </c>
      <c r="F25888" s="8" t="inlineStr">
        <is>
          <t>STANDBY</t>
        </is>
      </c>
      <c r="G25888" s="8" t="n">
        <v>0</v>
      </c>
      <c r="H25888" s="8" t="inlineStr">
        <is>
          <t>OPERATING</t>
        </is>
      </c>
    </row>
    <row r="25889">
      <c r="A25889" s="8" t="inlineStr">
        <is>
          <t>2026-08-05</t>
        </is>
      </c>
      <c r="B25889" s="8" t="n">
        <v>17</v>
      </c>
      <c r="C25889" s="8" t="n">
        <v>24</v>
      </c>
      <c r="D25889" s="8" t="inlineStr">
        <is>
          <t>Disneyland Park</t>
        </is>
      </c>
      <c r="E25889" s="8" t="inlineStr">
        <is>
          <t>Big Thunder Mountain</t>
        </is>
      </c>
      <c r="F25889" s="8" t="inlineStr">
        <is>
          <t>STANDBY</t>
        </is>
      </c>
      <c r="G25889" s="8" t="n">
        <v>100</v>
      </c>
      <c r="H25889" s="8" t="inlineStr">
        <is>
          <t>OPERATING</t>
        </is>
      </c>
    </row>
    <row r="25890">
      <c r="A25890" s="8" t="inlineStr">
        <is>
          <t>2026-08-05</t>
        </is>
      </c>
      <c r="B25890" s="8" t="n">
        <v>17</v>
      </c>
      <c r="C25890" s="8" t="n">
        <v>24</v>
      </c>
      <c r="D25890" s="8" t="inlineStr">
        <is>
          <t>Disneyland Park</t>
        </is>
      </c>
      <c r="E25890" s="8" t="inlineStr">
        <is>
          <t>Disneyland Railroad Frontierland Depot</t>
        </is>
      </c>
      <c r="F25890" s="8" t="inlineStr">
        <is>
          <t>STANDBY</t>
        </is>
      </c>
      <c r="G25890" s="8" t="n">
        <v>30</v>
      </c>
      <c r="H25890" s="8" t="inlineStr">
        <is>
          <t>OPERATING</t>
        </is>
      </c>
    </row>
    <row r="25891">
      <c r="A25891" s="8" t="inlineStr">
        <is>
          <t>2026-08-05</t>
        </is>
      </c>
      <c r="B25891" s="8" t="n">
        <v>17</v>
      </c>
      <c r="C25891" s="8" t="n">
        <v>24</v>
      </c>
      <c r="D25891" s="8" t="inlineStr">
        <is>
          <t>Disneyland Park</t>
        </is>
      </c>
      <c r="E25891" s="8" t="inlineStr">
        <is>
          <t>Frontierland Playground</t>
        </is>
      </c>
      <c r="F25891" s="8" t="inlineStr">
        <is>
          <t>STANDBY</t>
        </is>
      </c>
      <c r="G25891" s="8" t="n">
        <v>0</v>
      </c>
      <c r="H25891" s="8" t="inlineStr">
        <is>
          <t>OPERATING</t>
        </is>
      </c>
    </row>
    <row r="25892">
      <c r="A25892" s="8" t="inlineStr">
        <is>
          <t>2026-08-05</t>
        </is>
      </c>
      <c r="B25892" s="8" t="n">
        <v>17</v>
      </c>
      <c r="C25892" s="8" t="n">
        <v>24</v>
      </c>
      <c r="D25892" s="8" t="inlineStr">
        <is>
          <t>Disneyland Park</t>
        </is>
      </c>
      <c r="E25892" s="8" t="inlineStr">
        <is>
          <t>Phantom Manor</t>
        </is>
      </c>
      <c r="F25892" s="8" t="inlineStr">
        <is>
          <t>STANDBY</t>
        </is>
      </c>
      <c r="G25892" s="8" t="n">
        <v>20</v>
      </c>
      <c r="H25892" s="8" t="inlineStr">
        <is>
          <t>OPERATING</t>
        </is>
      </c>
    </row>
    <row r="25893">
      <c r="A25893" s="8" t="inlineStr">
        <is>
          <t>2026-08-05</t>
        </is>
      </c>
      <c r="B25893" s="8" t="n">
        <v>17</v>
      </c>
      <c r="C25893" s="8" t="n">
        <v>24</v>
      </c>
      <c r="D25893" s="8" t="inlineStr">
        <is>
          <t>Disneyland Park</t>
        </is>
      </c>
      <c r="E25893" s="8" t="inlineStr">
        <is>
          <t>River Rogue Keelboats</t>
        </is>
      </c>
      <c r="F25893" s="8" t="inlineStr">
        <is>
          <t>STANDBY</t>
        </is>
      </c>
      <c r="G25893" s="8" t="n">
        <v>0</v>
      </c>
      <c r="H25893" s="8" t="inlineStr">
        <is>
          <t>CLOSED</t>
        </is>
      </c>
    </row>
    <row r="25894">
      <c r="A25894" s="8" t="inlineStr">
        <is>
          <t>2026-08-05</t>
        </is>
      </c>
      <c r="B25894" s="8" t="n">
        <v>17</v>
      </c>
      <c r="C25894" s="8" t="n">
        <v>24</v>
      </c>
      <c r="D25894" s="8" t="inlineStr">
        <is>
          <t>Disneyland Park</t>
        </is>
      </c>
      <c r="E25894" s="8" t="inlineStr">
        <is>
          <t>Rustler Roundup Shootin' Gallery</t>
        </is>
      </c>
      <c r="F25894" s="8" t="inlineStr">
        <is>
          <t>STANDBY</t>
        </is>
      </c>
      <c r="G25894" s="8" t="n">
        <v>0</v>
      </c>
      <c r="H25894" s="8" t="inlineStr">
        <is>
          <t>OPERATING</t>
        </is>
      </c>
    </row>
    <row r="25895">
      <c r="A25895" s="8" t="inlineStr">
        <is>
          <t>2026-08-05</t>
        </is>
      </c>
      <c r="B25895" s="8" t="n">
        <v>17</v>
      </c>
      <c r="C25895" s="8" t="n">
        <v>24</v>
      </c>
      <c r="D25895" s="8" t="inlineStr">
        <is>
          <t>Disneyland Park</t>
        </is>
      </c>
      <c r="E25895" s="8" t="inlineStr">
        <is>
          <t>Thunder Mesa Riverboat Landing</t>
        </is>
      </c>
      <c r="F25895" s="8" t="inlineStr">
        <is>
          <t>STANDBY</t>
        </is>
      </c>
      <c r="G25895" s="8" t="n">
        <v>20</v>
      </c>
      <c r="H25895" s="8" t="inlineStr">
        <is>
          <t>OPERATING</t>
        </is>
      </c>
    </row>
    <row r="25896">
      <c r="A25896" s="8" t="inlineStr">
        <is>
          <t>2026-08-05</t>
        </is>
      </c>
      <c r="B25896" s="8" t="n">
        <v>17</v>
      </c>
      <c r="C25896" s="8" t="n">
        <v>24</v>
      </c>
      <c r="D25896" s="8" t="inlineStr">
        <is>
          <t>Disneyland Park</t>
        </is>
      </c>
      <c r="E25896" s="8" t="inlineStr">
        <is>
          <t>Disneyland Railroad Main Street Station</t>
        </is>
      </c>
      <c r="F25896" s="8" t="inlineStr">
        <is>
          <t>STANDBY</t>
        </is>
      </c>
      <c r="G25896" s="8" t="n">
        <v>0</v>
      </c>
      <c r="H25896" s="8" t="inlineStr">
        <is>
          <t>OPERATING</t>
        </is>
      </c>
    </row>
    <row r="25897">
      <c r="A25897" s="8" t="inlineStr">
        <is>
          <t>2026-08-05</t>
        </is>
      </c>
      <c r="B25897" s="8" t="n">
        <v>17</v>
      </c>
      <c r="C25897" s="8" t="n">
        <v>24</v>
      </c>
      <c r="D25897" s="8" t="inlineStr">
        <is>
          <t>Disneyland Park</t>
        </is>
      </c>
      <c r="E25897" s="8" t="inlineStr">
        <is>
          <t>Main Street Vehicles</t>
        </is>
      </c>
      <c r="F25897" s="8" t="inlineStr">
        <is>
          <t>STANDBY</t>
        </is>
      </c>
      <c r="G25897" s="8" t="n">
        <v>0</v>
      </c>
      <c r="H25897" s="8" t="inlineStr">
        <is>
          <t>CLOSED</t>
        </is>
      </c>
    </row>
    <row r="25898">
      <c r="A25898" s="8" t="inlineStr">
        <is>
          <t>2026-08-05</t>
        </is>
      </c>
      <c r="B25898" s="8" t="n">
        <v>17</v>
      </c>
      <c r="C25898" s="8" t="n">
        <v>24</v>
      </c>
      <c r="D25898" s="8" t="inlineStr">
        <is>
          <t>Disney Adventure World</t>
        </is>
      </c>
      <c r="E25898" s="8" t="inlineStr">
        <is>
          <t>Avengers Assemble: Flight Force</t>
        </is>
      </c>
      <c r="F25898" s="8" t="inlineStr">
        <is>
          <t>STANDBY</t>
        </is>
      </c>
      <c r="G25898" s="8" t="n">
        <v>25</v>
      </c>
      <c r="H25898" s="8" t="inlineStr">
        <is>
          <t>OPERATING</t>
        </is>
      </c>
    </row>
    <row r="25899">
      <c r="A25899" s="8" t="inlineStr">
        <is>
          <t>2026-08-05</t>
        </is>
      </c>
      <c r="B25899" s="8" t="n">
        <v>17</v>
      </c>
      <c r="C25899" s="8" t="n">
        <v>24</v>
      </c>
      <c r="D25899" s="8" t="inlineStr">
        <is>
          <t>Disney Adventure World</t>
        </is>
      </c>
      <c r="E25899" s="8" t="inlineStr">
        <is>
          <t>Avengers Assemble: Flight Force Single Rider</t>
        </is>
      </c>
      <c r="F25899" s="8" t="inlineStr">
        <is>
          <t>STANDBY</t>
        </is>
      </c>
      <c r="G25899" s="8" t="n">
        <v>20</v>
      </c>
      <c r="H25899" s="8" t="inlineStr">
        <is>
          <t>OPERATING</t>
        </is>
      </c>
    </row>
    <row r="25900">
      <c r="A25900" s="8" t="inlineStr">
        <is>
          <t>2026-08-05</t>
        </is>
      </c>
      <c r="B25900" s="8" t="n">
        <v>17</v>
      </c>
      <c r="C25900" s="8" t="n">
        <v>24</v>
      </c>
      <c r="D25900" s="8" t="inlineStr">
        <is>
          <t>Disney Adventure World</t>
        </is>
      </c>
      <c r="E25900" s="8" t="inlineStr">
        <is>
          <t>Spider-Man W.E.B. Adventure</t>
        </is>
      </c>
      <c r="F25900" s="8" t="inlineStr">
        <is>
          <t>STANDBY</t>
        </is>
      </c>
      <c r="G25900" s="8" t="n">
        <v>60</v>
      </c>
      <c r="H25900" s="8" t="inlineStr">
        <is>
          <t>OPERATING</t>
        </is>
      </c>
    </row>
    <row r="25901">
      <c r="A25901" s="8" t="inlineStr">
        <is>
          <t>2026-08-05</t>
        </is>
      </c>
      <c r="B25901" s="8" t="n">
        <v>17</v>
      </c>
      <c r="C25901" s="8" t="n">
        <v>24</v>
      </c>
      <c r="D25901" s="8" t="inlineStr">
        <is>
          <t>Disney Adventure World</t>
        </is>
      </c>
      <c r="E25901" s="8" t="inlineStr">
        <is>
          <t>Spider-Man W.E.B. Adventure Single Rider</t>
        </is>
      </c>
      <c r="F25901" s="8" t="inlineStr">
        <is>
          <t>STANDBY</t>
        </is>
      </c>
      <c r="G25901" s="8" t="n">
        <v>15</v>
      </c>
      <c r="H25901" s="8" t="inlineStr">
        <is>
          <t>OPERATING</t>
        </is>
      </c>
    </row>
    <row r="25902">
      <c r="A25902" s="8" t="inlineStr">
        <is>
          <t>2026-08-05</t>
        </is>
      </c>
      <c r="B25902" s="8" t="n">
        <v>17</v>
      </c>
      <c r="C25902" s="8" t="n">
        <v>24</v>
      </c>
      <c r="D25902" s="8" t="inlineStr">
        <is>
          <t>Disney Adventure World</t>
        </is>
      </c>
      <c r="E25902" s="8" t="inlineStr">
        <is>
          <t>The Twilight Zone Tower of Terror</t>
        </is>
      </c>
      <c r="F25902" s="8" t="inlineStr">
        <is>
          <t>STANDBY</t>
        </is>
      </c>
      <c r="G25902" s="8" t="n">
        <v>25</v>
      </c>
      <c r="H25902" s="8" t="inlineStr">
        <is>
          <t>OPERATING</t>
        </is>
      </c>
    </row>
    <row r="25903">
      <c r="A25903" s="8" t="inlineStr">
        <is>
          <t>2026-08-05</t>
        </is>
      </c>
      <c r="B25903" s="8" t="n">
        <v>17</v>
      </c>
      <c r="C25903" s="8" t="n">
        <v>24</v>
      </c>
      <c r="D25903" s="8" t="inlineStr">
        <is>
          <t>Disney Adventure World</t>
        </is>
      </c>
      <c r="E25903" s="8" t="inlineStr">
        <is>
          <t>Cars Quatre Roues Rallye</t>
        </is>
      </c>
      <c r="F25903" s="8" t="inlineStr">
        <is>
          <t>STANDBY</t>
        </is>
      </c>
      <c r="G25903" s="8" t="n">
        <v>15</v>
      </c>
      <c r="H25903" s="8" t="inlineStr">
        <is>
          <t>OPERATING</t>
        </is>
      </c>
    </row>
    <row r="25904">
      <c r="A25904" s="8" t="inlineStr">
        <is>
          <t>2026-08-05</t>
        </is>
      </c>
      <c r="B25904" s="8" t="n">
        <v>17</v>
      </c>
      <c r="C25904" s="8" t="n">
        <v>24</v>
      </c>
      <c r="D25904" s="8" t="inlineStr">
        <is>
          <t>Disney Adventure World</t>
        </is>
      </c>
      <c r="E25904" s="8" t="inlineStr">
        <is>
          <t>Cars ROAD TRIP</t>
        </is>
      </c>
      <c r="F25904" s="8" t="inlineStr">
        <is>
          <t>STANDBY</t>
        </is>
      </c>
      <c r="G25904" s="8" t="n">
        <v>20</v>
      </c>
      <c r="H25904" s="8" t="inlineStr">
        <is>
          <t>OPERATING</t>
        </is>
      </c>
    </row>
    <row r="25905">
      <c r="A25905" s="8" t="inlineStr">
        <is>
          <t>2026-08-05</t>
        </is>
      </c>
      <c r="B25905" s="8" t="n">
        <v>17</v>
      </c>
      <c r="C25905" s="8" t="n">
        <v>24</v>
      </c>
      <c r="D25905" s="8" t="inlineStr">
        <is>
          <t>Disney Adventure World</t>
        </is>
      </c>
      <c r="E25905" s="8" t="inlineStr">
        <is>
          <t>Crush's Coaster</t>
        </is>
      </c>
      <c r="F25905" s="8" t="inlineStr">
        <is>
          <t>STANDBY</t>
        </is>
      </c>
      <c r="G25905" s="8" t="n">
        <v>85</v>
      </c>
      <c r="H25905" s="8" t="inlineStr">
        <is>
          <t>OPERATING</t>
        </is>
      </c>
    </row>
    <row r="25906">
      <c r="A25906" s="8" t="inlineStr">
        <is>
          <t>2026-08-05</t>
        </is>
      </c>
      <c r="B25906" s="8" t="n">
        <v>17</v>
      </c>
      <c r="C25906" s="8" t="n">
        <v>24</v>
      </c>
      <c r="D25906" s="8" t="inlineStr">
        <is>
          <t>Disney Adventure World</t>
        </is>
      </c>
      <c r="E25906" s="8" t="inlineStr">
        <is>
          <t>Crush's Coaster Single Rider</t>
        </is>
      </c>
      <c r="F25906" s="8" t="inlineStr">
        <is>
          <t>STANDBY</t>
        </is>
      </c>
      <c r="G25906" s="8" t="n">
        <v>60</v>
      </c>
      <c r="H25906" s="8" t="inlineStr">
        <is>
          <t>OPERATING</t>
        </is>
      </c>
    </row>
    <row r="25907">
      <c r="A25907" s="8" t="inlineStr">
        <is>
          <t>2026-08-05</t>
        </is>
      </c>
      <c r="B25907" s="8" t="n">
        <v>17</v>
      </c>
      <c r="C25907" s="8" t="n">
        <v>24</v>
      </c>
      <c r="D25907" s="8" t="inlineStr">
        <is>
          <t>Disney Adventure World</t>
        </is>
      </c>
      <c r="E25907" s="8" t="inlineStr">
        <is>
          <t>Les Tapis Volants - Flying Carpets Over Agrabah®</t>
        </is>
      </c>
      <c r="F25907" s="8" t="inlineStr">
        <is>
          <t>STANDBY</t>
        </is>
      </c>
      <c r="G25907" s="8" t="n">
        <v>15</v>
      </c>
      <c r="H25907" s="8" t="inlineStr">
        <is>
          <t>OPERATING</t>
        </is>
      </c>
    </row>
    <row r="25908">
      <c r="A25908" s="8" t="inlineStr">
        <is>
          <t>2026-08-05</t>
        </is>
      </c>
      <c r="B25908" s="8" t="n">
        <v>17</v>
      </c>
      <c r="C25908" s="8" t="n">
        <v>24</v>
      </c>
      <c r="D25908" s="8" t="inlineStr">
        <is>
          <t>Disney Adventure World</t>
        </is>
      </c>
      <c r="E25908" s="8" t="inlineStr">
        <is>
          <t>Ratatouille : L’Aventure Totalement Toquée de Rémy​</t>
        </is>
      </c>
      <c r="F25908" s="8" t="inlineStr">
        <is>
          <t>STANDBY</t>
        </is>
      </c>
      <c r="G25908" s="8" t="n">
        <v>50</v>
      </c>
      <c r="H25908" s="8" t="inlineStr">
        <is>
          <t>OPERATING</t>
        </is>
      </c>
    </row>
    <row r="25909">
      <c r="A25909" s="8" t="inlineStr">
        <is>
          <t>2026-08-05</t>
        </is>
      </c>
      <c r="B25909" s="8" t="n">
        <v>17</v>
      </c>
      <c r="C25909" s="8" t="n">
        <v>24</v>
      </c>
      <c r="D25909" s="8" t="inlineStr">
        <is>
          <t>Disney Adventure World</t>
        </is>
      </c>
      <c r="E25909" s="8" t="inlineStr">
        <is>
          <t>Ratatouille: The Adventure Single Rider</t>
        </is>
      </c>
      <c r="F25909" s="8" t="inlineStr">
        <is>
          <t>STANDBY</t>
        </is>
      </c>
      <c r="G25909" s="8" t="n">
        <v>20</v>
      </c>
      <c r="H25909" s="8" t="inlineStr">
        <is>
          <t>OPERATING</t>
        </is>
      </c>
    </row>
    <row r="25910">
      <c r="A25910" s="8" t="inlineStr">
        <is>
          <t>2026-08-05</t>
        </is>
      </c>
      <c r="B25910" s="8" t="n">
        <v>17</v>
      </c>
      <c r="C25910" s="8" t="n">
        <v>24</v>
      </c>
      <c r="D25910" s="8" t="inlineStr">
        <is>
          <t>Disney Adventure World</t>
        </is>
      </c>
      <c r="E25910" s="8" t="inlineStr">
        <is>
          <t>RC Racer</t>
        </is>
      </c>
      <c r="F25910" s="8" t="inlineStr">
        <is>
          <t>STANDBY</t>
        </is>
      </c>
      <c r="G25910" s="8" t="n">
        <v>40</v>
      </c>
      <c r="H25910" s="8" t="inlineStr">
        <is>
          <t>OPERATING</t>
        </is>
      </c>
    </row>
    <row r="25911">
      <c r="A25911" s="8" t="inlineStr">
        <is>
          <t>2026-08-05</t>
        </is>
      </c>
      <c r="B25911" s="8" t="n">
        <v>17</v>
      </c>
      <c r="C25911" s="8" t="n">
        <v>24</v>
      </c>
      <c r="D25911" s="8" t="inlineStr">
        <is>
          <t>Disney Adventure World</t>
        </is>
      </c>
      <c r="E25911" s="8" t="inlineStr">
        <is>
          <t>RC Racer Single Rider</t>
        </is>
      </c>
      <c r="F25911" s="8" t="inlineStr">
        <is>
          <t>STANDBY</t>
        </is>
      </c>
      <c r="G25911" s="8" t="n">
        <v>35</v>
      </c>
      <c r="H25911" s="8" t="inlineStr">
        <is>
          <t>OPERATING</t>
        </is>
      </c>
    </row>
    <row r="25912">
      <c r="A25912" s="8" t="inlineStr">
        <is>
          <t>2026-08-05</t>
        </is>
      </c>
      <c r="B25912" s="8" t="n">
        <v>17</v>
      </c>
      <c r="C25912" s="8" t="n">
        <v>24</v>
      </c>
      <c r="D25912" s="8" t="inlineStr">
        <is>
          <t>Disney Adventure World</t>
        </is>
      </c>
      <c r="E25912" s="8" t="inlineStr">
        <is>
          <t>Slinky® Dog Zigzag Spin</t>
        </is>
      </c>
      <c r="F25912" s="8" t="inlineStr">
        <is>
          <t>STANDBY</t>
        </is>
      </c>
      <c r="G25912" s="8" t="n">
        <v>15</v>
      </c>
      <c r="H25912" s="8" t="inlineStr">
        <is>
          <t>OPERATING</t>
        </is>
      </c>
    </row>
    <row r="25913">
      <c r="A25913" s="8" t="inlineStr">
        <is>
          <t>2026-08-05</t>
        </is>
      </c>
      <c r="B25913" s="8" t="n">
        <v>17</v>
      </c>
      <c r="C25913" s="8" t="n">
        <v>24</v>
      </c>
      <c r="D25913" s="8" t="inlineStr">
        <is>
          <t>Disney Adventure World</t>
        </is>
      </c>
      <c r="E25913" s="8" t="inlineStr">
        <is>
          <t>Toy Soldiers Parachute Drop</t>
        </is>
      </c>
      <c r="F25913" s="8" t="inlineStr">
        <is>
          <t>STANDBY</t>
        </is>
      </c>
      <c r="G25913" s="8" t="n">
        <v>50</v>
      </c>
      <c r="H25913" s="8" t="inlineStr">
        <is>
          <t>OPERATING</t>
        </is>
      </c>
    </row>
    <row r="25914">
      <c r="A25914" s="8" t="inlineStr">
        <is>
          <t>2026-08-05</t>
        </is>
      </c>
      <c r="B25914" s="8" t="n">
        <v>17</v>
      </c>
      <c r="C25914" s="8" t="n">
        <v>24</v>
      </c>
      <c r="D25914" s="8" t="inlineStr">
        <is>
          <t>Disney Adventure World</t>
        </is>
      </c>
      <c r="E25914" s="8" t="inlineStr">
        <is>
          <t>Toy Soldiers Parachute Drop Single Rider</t>
        </is>
      </c>
      <c r="F25914" s="8" t="inlineStr">
        <is>
          <t>STANDBY</t>
        </is>
      </c>
      <c r="G25914" s="8" t="n">
        <v>35</v>
      </c>
      <c r="H25914" s="8" t="inlineStr">
        <is>
          <t>OPERATING</t>
        </is>
      </c>
    </row>
    <row r="25915">
      <c r="A25915" s="8" t="inlineStr">
        <is>
          <t>2026-08-05</t>
        </is>
      </c>
      <c r="B25915" s="8" t="n">
        <v>17</v>
      </c>
      <c r="C25915" s="8" t="n">
        <v>24</v>
      </c>
      <c r="D25915" s="8" t="inlineStr">
        <is>
          <t>Disney Adventure World</t>
        </is>
      </c>
      <c r="E25915" s="8" t="inlineStr">
        <is>
          <t>Entry to World of Frozen</t>
        </is>
      </c>
      <c r="F25915" s="8" t="inlineStr">
        <is>
          <t>STANDBY</t>
        </is>
      </c>
      <c r="G25915" s="8" t="n">
        <v>0</v>
      </c>
      <c r="H25915" s="8" t="inlineStr">
        <is>
          <t>OPERATING</t>
        </is>
      </c>
    </row>
    <row r="25916">
      <c r="A25916" s="8" t="inlineStr">
        <is>
          <t>2026-08-05</t>
        </is>
      </c>
      <c r="B25916" s="8" t="n">
        <v>17</v>
      </c>
      <c r="C25916" s="8" t="n">
        <v>24</v>
      </c>
      <c r="D25916" s="8" t="inlineStr">
        <is>
          <t>Disney Adventure World</t>
        </is>
      </c>
      <c r="E25916" s="8" t="inlineStr">
        <is>
          <t>Frozen Ever After</t>
        </is>
      </c>
      <c r="F25916" s="8" t="inlineStr">
        <is>
          <t>STANDBY</t>
        </is>
      </c>
      <c r="G25916" s="8" t="n">
        <v>0</v>
      </c>
      <c r="H25916" s="8" t="inlineStr">
        <is>
          <t>CLOSED</t>
        </is>
      </c>
    </row>
    <row r="25917">
      <c r="A25917" s="8" t="inlineStr">
        <is>
          <t>2026-08-05</t>
        </is>
      </c>
      <c r="B25917" s="8" t="n">
        <v>17</v>
      </c>
      <c r="C25917" s="8" t="n">
        <v>24</v>
      </c>
      <c r="D25917" s="8" t="inlineStr">
        <is>
          <t>Disney Adventure World</t>
        </is>
      </c>
      <c r="E25917" s="8" t="inlineStr">
        <is>
          <t>Raiponce Tangled Spin</t>
        </is>
      </c>
      <c r="F25917" s="8" t="inlineStr">
        <is>
          <t>STANDBY</t>
        </is>
      </c>
      <c r="G25917" s="8" t="n">
        <v>10</v>
      </c>
      <c r="H25917" s="8" t="inlineStr">
        <is>
          <t>OPERATING</t>
        </is>
      </c>
    </row>
    <row r="25918">
      <c r="A25918" s="8" t="inlineStr">
        <is>
          <t>2026-08-05</t>
        </is>
      </c>
      <c r="B25918" s="8" t="n">
        <v>17</v>
      </c>
      <c r="C25918" s="8" t="n">
        <v>31</v>
      </c>
      <c r="D25918" s="8" t="inlineStr">
        <is>
          <t>Disneyland Park</t>
        </is>
      </c>
      <c r="E25918" s="8" t="inlineStr">
        <is>
          <t>Adventure Isle</t>
        </is>
      </c>
      <c r="F25918" s="8" t="inlineStr">
        <is>
          <t>STANDBY</t>
        </is>
      </c>
      <c r="G25918" s="8" t="n">
        <v>0</v>
      </c>
      <c r="H25918" s="8" t="inlineStr">
        <is>
          <t>OPERATING</t>
        </is>
      </c>
    </row>
    <row r="25919">
      <c r="A25919" s="8" t="inlineStr">
        <is>
          <t>2026-08-05</t>
        </is>
      </c>
      <c r="B25919" s="8" t="n">
        <v>17</v>
      </c>
      <c r="C25919" s="8" t="n">
        <v>31</v>
      </c>
      <c r="D25919" s="8" t="inlineStr">
        <is>
          <t>Disneyland Park</t>
        </is>
      </c>
      <c r="E25919" s="8" t="inlineStr">
        <is>
          <t>Indiana Jones and the Temple of Peril Single Rider</t>
        </is>
      </c>
      <c r="F25919" s="8" t="inlineStr">
        <is>
          <t>STANDBY</t>
        </is>
      </c>
      <c r="G25919" s="8" t="n">
        <v>10</v>
      </c>
      <c r="H25919" s="8" t="inlineStr">
        <is>
          <t>OPERATING</t>
        </is>
      </c>
    </row>
    <row r="25920">
      <c r="A25920" s="8" t="inlineStr">
        <is>
          <t>2026-08-05</t>
        </is>
      </c>
      <c r="B25920" s="8" t="n">
        <v>17</v>
      </c>
      <c r="C25920" s="8" t="n">
        <v>31</v>
      </c>
      <c r="D25920" s="8" t="inlineStr">
        <is>
          <t>Disneyland Park</t>
        </is>
      </c>
      <c r="E25920" s="8" t="inlineStr">
        <is>
          <t>Indiana Jones™ and the Temple of Peril</t>
        </is>
      </c>
      <c r="F25920" s="8" t="inlineStr">
        <is>
          <t>STANDBY</t>
        </is>
      </c>
      <c r="G25920" s="8" t="n">
        <v>20</v>
      </c>
      <c r="H25920" s="8" t="inlineStr">
        <is>
          <t>OPERATING</t>
        </is>
      </c>
    </row>
    <row r="25921">
      <c r="A25921" s="8" t="inlineStr">
        <is>
          <t>2026-08-05</t>
        </is>
      </c>
      <c r="B25921" s="8" t="n">
        <v>17</v>
      </c>
      <c r="C25921" s="8" t="n">
        <v>31</v>
      </c>
      <c r="D25921" s="8" t="inlineStr">
        <is>
          <t>Disneyland Park</t>
        </is>
      </c>
      <c r="E25921" s="8" t="inlineStr">
        <is>
          <t>La Cabane des Robinson</t>
        </is>
      </c>
      <c r="F25921" s="8" t="inlineStr">
        <is>
          <t>STANDBY</t>
        </is>
      </c>
      <c r="G25921" s="8" t="n">
        <v>5</v>
      </c>
      <c r="H25921" s="8" t="inlineStr">
        <is>
          <t>OPERATING</t>
        </is>
      </c>
    </row>
    <row r="25922">
      <c r="A25922" s="8" t="inlineStr">
        <is>
          <t>2026-08-05</t>
        </is>
      </c>
      <c r="B25922" s="8" t="n">
        <v>17</v>
      </c>
      <c r="C25922" s="8" t="n">
        <v>31</v>
      </c>
      <c r="D25922" s="8" t="inlineStr">
        <is>
          <t>Disneyland Park</t>
        </is>
      </c>
      <c r="E25922" s="8" t="inlineStr">
        <is>
          <t>Le Passage Enchanté d'Aladdin</t>
        </is>
      </c>
      <c r="F25922" s="8" t="inlineStr">
        <is>
          <t>STANDBY</t>
        </is>
      </c>
      <c r="G25922" s="8" t="n">
        <v>0</v>
      </c>
      <c r="H25922" s="8" t="inlineStr">
        <is>
          <t>OPERATING</t>
        </is>
      </c>
    </row>
    <row r="25923">
      <c r="A25923" s="8" t="inlineStr">
        <is>
          <t>2026-08-05</t>
        </is>
      </c>
      <c r="B25923" s="8" t="n">
        <v>17</v>
      </c>
      <c r="C25923" s="8" t="n">
        <v>31</v>
      </c>
      <c r="D25923" s="8" t="inlineStr">
        <is>
          <t>Disneyland Park</t>
        </is>
      </c>
      <c r="E25923" s="8" t="inlineStr">
        <is>
          <t>Pirate Galleon</t>
        </is>
      </c>
      <c r="F25923" s="8" t="inlineStr">
        <is>
          <t>STANDBY</t>
        </is>
      </c>
      <c r="G25923" s="8" t="n">
        <v>0</v>
      </c>
      <c r="H25923" s="8" t="inlineStr">
        <is>
          <t>CLOSED</t>
        </is>
      </c>
    </row>
    <row r="25924">
      <c r="A25924" s="8" t="inlineStr">
        <is>
          <t>2026-08-05</t>
        </is>
      </c>
      <c r="B25924" s="8" t="n">
        <v>17</v>
      </c>
      <c r="C25924" s="8" t="n">
        <v>31</v>
      </c>
      <c r="D25924" s="8" t="inlineStr">
        <is>
          <t>Disneyland Park</t>
        </is>
      </c>
      <c r="E25924" s="8" t="inlineStr">
        <is>
          <t>Pirates of the Caribbean</t>
        </is>
      </c>
      <c r="F25924" s="8" t="inlineStr">
        <is>
          <t>STANDBY</t>
        </is>
      </c>
      <c r="G25924" s="8" t="n">
        <v>15</v>
      </c>
      <c r="H25924" s="8" t="inlineStr">
        <is>
          <t>OPERATING</t>
        </is>
      </c>
    </row>
    <row r="25925">
      <c r="A25925" s="8" t="inlineStr">
        <is>
          <t>2026-08-05</t>
        </is>
      </c>
      <c r="B25925" s="8" t="n">
        <v>17</v>
      </c>
      <c r="C25925" s="8" t="n">
        <v>31</v>
      </c>
      <c r="D25925" s="8" t="inlineStr">
        <is>
          <t>Disneyland Park</t>
        </is>
      </c>
      <c r="E25925" s="8" t="inlineStr">
        <is>
          <t>Pirates' Beach</t>
        </is>
      </c>
      <c r="F25925" s="8" t="inlineStr">
        <is>
          <t>STANDBY</t>
        </is>
      </c>
      <c r="G25925" s="8" t="n">
        <v>0</v>
      </c>
      <c r="H25925" s="8" t="inlineStr">
        <is>
          <t>OPERATING</t>
        </is>
      </c>
    </row>
    <row r="25926">
      <c r="A25926" s="8" t="inlineStr">
        <is>
          <t>2026-08-05</t>
        </is>
      </c>
      <c r="B25926" s="8" t="n">
        <v>17</v>
      </c>
      <c r="C25926" s="8" t="n">
        <v>31</v>
      </c>
      <c r="D25926" s="8" t="inlineStr">
        <is>
          <t>Disneyland Park</t>
        </is>
      </c>
      <c r="E25926" s="8" t="inlineStr">
        <is>
          <t>Autopia, presented by Avis</t>
        </is>
      </c>
      <c r="F25926" s="8" t="inlineStr">
        <is>
          <t>STANDBY</t>
        </is>
      </c>
      <c r="G25926" s="8" t="n">
        <v>45</v>
      </c>
      <c r="H25926" s="8" t="inlineStr">
        <is>
          <t>OPERATING</t>
        </is>
      </c>
    </row>
    <row r="25927">
      <c r="A25927" s="8" t="inlineStr">
        <is>
          <t>2026-08-05</t>
        </is>
      </c>
      <c r="B25927" s="8" t="n">
        <v>17</v>
      </c>
      <c r="C25927" s="8" t="n">
        <v>31</v>
      </c>
      <c r="D25927" s="8" t="inlineStr">
        <is>
          <t>Disneyland Park</t>
        </is>
      </c>
      <c r="E25927" s="8" t="inlineStr">
        <is>
          <t>Buzz Lightyear Laser Blast</t>
        </is>
      </c>
      <c r="F25927" s="8" t="inlineStr">
        <is>
          <t>STANDBY</t>
        </is>
      </c>
      <c r="G25927" s="8" t="n">
        <v>45</v>
      </c>
      <c r="H25927" s="8" t="inlineStr">
        <is>
          <t>OPERATING</t>
        </is>
      </c>
    </row>
    <row r="25928">
      <c r="A25928" s="8" t="inlineStr">
        <is>
          <t>2026-08-05</t>
        </is>
      </c>
      <c r="B25928" s="8" t="n">
        <v>17</v>
      </c>
      <c r="C25928" s="8" t="n">
        <v>31</v>
      </c>
      <c r="D25928" s="8" t="inlineStr">
        <is>
          <t>Disneyland Park</t>
        </is>
      </c>
      <c r="E25928" s="8" t="inlineStr">
        <is>
          <t>Disneyland Railroad Discoveryland Station</t>
        </is>
      </c>
      <c r="F25928" s="8" t="inlineStr">
        <is>
          <t>STANDBY</t>
        </is>
      </c>
      <c r="G25928" s="8" t="n">
        <v>0</v>
      </c>
      <c r="H25928" s="8" t="inlineStr">
        <is>
          <t>CLOSED</t>
        </is>
      </c>
    </row>
    <row r="25929">
      <c r="A25929" s="8" t="inlineStr">
        <is>
          <t>2026-08-05</t>
        </is>
      </c>
      <c r="B25929" s="8" t="n">
        <v>17</v>
      </c>
      <c r="C25929" s="8" t="n">
        <v>31</v>
      </c>
      <c r="D25929" s="8" t="inlineStr">
        <is>
          <t>Disneyland Park</t>
        </is>
      </c>
      <c r="E25929" s="8" t="inlineStr">
        <is>
          <t>Les Mystères du Nautilus</t>
        </is>
      </c>
      <c r="F25929" s="8" t="inlineStr">
        <is>
          <t>STANDBY</t>
        </is>
      </c>
      <c r="G25929" s="8" t="n">
        <v>5</v>
      </c>
      <c r="H25929" s="8" t="inlineStr">
        <is>
          <t>OPERATING</t>
        </is>
      </c>
    </row>
    <row r="25930">
      <c r="A25930" s="8" t="inlineStr">
        <is>
          <t>2026-08-05</t>
        </is>
      </c>
      <c r="B25930" s="8" t="n">
        <v>17</v>
      </c>
      <c r="C25930" s="8" t="n">
        <v>31</v>
      </c>
      <c r="D25930" s="8" t="inlineStr">
        <is>
          <t>Disneyland Park</t>
        </is>
      </c>
      <c r="E25930" s="8" t="inlineStr">
        <is>
          <t>Mickey’s PhilharMagic</t>
        </is>
      </c>
      <c r="F25930" s="8" t="inlineStr">
        <is>
          <t>STANDBY</t>
        </is>
      </c>
      <c r="G25930" s="8" t="n">
        <v>0</v>
      </c>
      <c r="H25930" s="8" t="inlineStr">
        <is>
          <t>OPERATING</t>
        </is>
      </c>
    </row>
    <row r="25931">
      <c r="A25931" s="8" t="inlineStr">
        <is>
          <t>2026-08-05</t>
        </is>
      </c>
      <c r="B25931" s="8" t="n">
        <v>17</v>
      </c>
      <c r="C25931" s="8" t="n">
        <v>31</v>
      </c>
      <c r="D25931" s="8" t="inlineStr">
        <is>
          <t>Disneyland Park</t>
        </is>
      </c>
      <c r="E25931" s="8" t="inlineStr">
        <is>
          <t>Orbitron®</t>
        </is>
      </c>
      <c r="F25931" s="8" t="inlineStr">
        <is>
          <t>STANDBY</t>
        </is>
      </c>
      <c r="G25931" s="8" t="n">
        <v>40</v>
      </c>
      <c r="H25931" s="8" t="inlineStr">
        <is>
          <t>OPERATING</t>
        </is>
      </c>
    </row>
    <row r="25932">
      <c r="A25932" s="8" t="inlineStr">
        <is>
          <t>2026-08-05</t>
        </is>
      </c>
      <c r="B25932" s="8" t="n">
        <v>17</v>
      </c>
      <c r="C25932" s="8" t="n">
        <v>31</v>
      </c>
      <c r="D25932" s="8" t="inlineStr">
        <is>
          <t>Disneyland Park</t>
        </is>
      </c>
      <c r="E25932" s="8" t="inlineStr">
        <is>
          <t>Star Tours: The Adventures Continue*</t>
        </is>
      </c>
      <c r="F25932" s="8" t="inlineStr">
        <is>
          <t>STANDBY</t>
        </is>
      </c>
      <c r="G25932" s="8" t="n">
        <v>15</v>
      </c>
      <c r="H25932" s="8" t="inlineStr">
        <is>
          <t>OPERATING</t>
        </is>
      </c>
    </row>
    <row r="25933">
      <c r="A25933" s="8" t="inlineStr">
        <is>
          <t>2026-08-05</t>
        </is>
      </c>
      <c r="B25933" s="8" t="n">
        <v>17</v>
      </c>
      <c r="C25933" s="8" t="n">
        <v>31</v>
      </c>
      <c r="D25933" s="8" t="inlineStr">
        <is>
          <t>Disneyland Park</t>
        </is>
      </c>
      <c r="E25933" s="8" t="inlineStr">
        <is>
          <t>Star Wars Hyperspace Mountain</t>
        </is>
      </c>
      <c r="F25933" s="8" t="inlineStr">
        <is>
          <t>STANDBY</t>
        </is>
      </c>
      <c r="G25933" s="8" t="n">
        <v>40</v>
      </c>
      <c r="H25933" s="8" t="inlineStr">
        <is>
          <t>OPERATING</t>
        </is>
      </c>
    </row>
    <row r="25934">
      <c r="A25934" s="8" t="inlineStr">
        <is>
          <t>2026-08-05</t>
        </is>
      </c>
      <c r="B25934" s="8" t="n">
        <v>17</v>
      </c>
      <c r="C25934" s="8" t="n">
        <v>31</v>
      </c>
      <c r="D25934" s="8" t="inlineStr">
        <is>
          <t>Disneyland Park</t>
        </is>
      </c>
      <c r="E25934" s="8" t="inlineStr">
        <is>
          <t>Star Wars Hyperspace Mountain Single Rider</t>
        </is>
      </c>
      <c r="F25934" s="8" t="inlineStr">
        <is>
          <t>STANDBY</t>
        </is>
      </c>
      <c r="G25934" s="8" t="n">
        <v>25</v>
      </c>
      <c r="H25934" s="8" t="inlineStr">
        <is>
          <t>OPERATING</t>
        </is>
      </c>
    </row>
    <row r="25935">
      <c r="A25935" s="8" t="inlineStr">
        <is>
          <t>2026-08-05</t>
        </is>
      </c>
      <c r="B25935" s="8" t="n">
        <v>17</v>
      </c>
      <c r="C25935" s="8" t="n">
        <v>31</v>
      </c>
      <c r="D25935" s="8" t="inlineStr">
        <is>
          <t>Disneyland Park</t>
        </is>
      </c>
      <c r="E25935" s="8" t="inlineStr">
        <is>
          <t>Welcome to Starport: A Star Wars Encounter</t>
        </is>
      </c>
      <c r="F25935" s="8" t="inlineStr">
        <is>
          <t>STANDBY</t>
        </is>
      </c>
      <c r="G25935" s="8" t="n">
        <v>0</v>
      </c>
      <c r="H25935" s="8" t="inlineStr">
        <is>
          <t>CLOSED</t>
        </is>
      </c>
    </row>
    <row r="25936">
      <c r="A25936" s="8" t="inlineStr">
        <is>
          <t>2026-08-05</t>
        </is>
      </c>
      <c r="B25936" s="8" t="n">
        <v>17</v>
      </c>
      <c r="C25936" s="8" t="n">
        <v>31</v>
      </c>
      <c r="D25936" s="8" t="inlineStr">
        <is>
          <t>Disneyland Park</t>
        </is>
      </c>
      <c r="E25936" s="8" t="inlineStr">
        <is>
          <t>"it's a small world"</t>
        </is>
      </c>
      <c r="F25936" s="8" t="inlineStr">
        <is>
          <t>STANDBY</t>
        </is>
      </c>
      <c r="G25936" s="8" t="n">
        <v>5</v>
      </c>
      <c r="H25936" s="8" t="inlineStr">
        <is>
          <t>OPERATING</t>
        </is>
      </c>
    </row>
    <row r="25937">
      <c r="A25937" s="8" t="inlineStr">
        <is>
          <t>2026-08-05</t>
        </is>
      </c>
      <c r="B25937" s="8" t="n">
        <v>17</v>
      </c>
      <c r="C25937" s="8" t="n">
        <v>31</v>
      </c>
      <c r="D25937" s="8" t="inlineStr">
        <is>
          <t>Disneyland Park</t>
        </is>
      </c>
      <c r="E25937" s="8" t="inlineStr">
        <is>
          <t>Alice's Curious Labyrinth</t>
        </is>
      </c>
      <c r="F25937" s="8" t="inlineStr">
        <is>
          <t>STANDBY</t>
        </is>
      </c>
      <c r="G25937" s="8" t="n">
        <v>5</v>
      </c>
      <c r="H25937" s="8" t="inlineStr">
        <is>
          <t>OPERATING</t>
        </is>
      </c>
    </row>
    <row r="25938">
      <c r="A25938" s="8" t="inlineStr">
        <is>
          <t>2026-08-05</t>
        </is>
      </c>
      <c r="B25938" s="8" t="n">
        <v>17</v>
      </c>
      <c r="C25938" s="8" t="n">
        <v>31</v>
      </c>
      <c r="D25938" s="8" t="inlineStr">
        <is>
          <t>Disneyland Park</t>
        </is>
      </c>
      <c r="E25938" s="8" t="inlineStr">
        <is>
          <t>Blanche-Neige et les Sept Nains®</t>
        </is>
      </c>
      <c r="F25938" s="8" t="inlineStr">
        <is>
          <t>STANDBY</t>
        </is>
      </c>
      <c r="G25938" s="8" t="n">
        <v>30</v>
      </c>
      <c r="H25938" s="8" t="inlineStr">
        <is>
          <t>OPERATING</t>
        </is>
      </c>
    </row>
    <row r="25939">
      <c r="A25939" s="8" t="inlineStr">
        <is>
          <t>2026-08-05</t>
        </is>
      </c>
      <c r="B25939" s="8" t="n">
        <v>17</v>
      </c>
      <c r="C25939" s="8" t="n">
        <v>31</v>
      </c>
      <c r="D25939" s="8" t="inlineStr">
        <is>
          <t>Disneyland Park</t>
        </is>
      </c>
      <c r="E25939" s="8" t="inlineStr">
        <is>
          <t>Casey Jr. – le Petit Train du Cirque</t>
        </is>
      </c>
      <c r="F25939" s="8" t="inlineStr">
        <is>
          <t>STANDBY</t>
        </is>
      </c>
      <c r="G25939" s="8" t="n">
        <v>25</v>
      </c>
      <c r="H25939" s="8" t="inlineStr">
        <is>
          <t>OPERATING</t>
        </is>
      </c>
    </row>
    <row r="25940">
      <c r="A25940" s="8" t="inlineStr">
        <is>
          <t>2026-08-05</t>
        </is>
      </c>
      <c r="B25940" s="8" t="n">
        <v>17</v>
      </c>
      <c r="C25940" s="8" t="n">
        <v>31</v>
      </c>
      <c r="D25940" s="8" t="inlineStr">
        <is>
          <t>Disneyland Park</t>
        </is>
      </c>
      <c r="E25940" s="8" t="inlineStr">
        <is>
          <t>Disneyland Railroad Fantasyland Station</t>
        </is>
      </c>
      <c r="F25940" s="8" t="inlineStr">
        <is>
          <t>STANDBY</t>
        </is>
      </c>
      <c r="G25940" s="8" t="n">
        <v>0</v>
      </c>
      <c r="H25940" s="8" t="inlineStr">
        <is>
          <t>CLOSED</t>
        </is>
      </c>
    </row>
    <row r="25941">
      <c r="A25941" s="8" t="inlineStr">
        <is>
          <t>2026-08-05</t>
        </is>
      </c>
      <c r="B25941" s="8" t="n">
        <v>17</v>
      </c>
      <c r="C25941" s="8" t="n">
        <v>31</v>
      </c>
      <c r="D25941" s="8" t="inlineStr">
        <is>
          <t>Disneyland Park</t>
        </is>
      </c>
      <c r="E25941" s="8" t="inlineStr">
        <is>
          <t>Disneyland Railroad Main Street Station</t>
        </is>
      </c>
      <c r="F25941" s="8" t="inlineStr">
        <is>
          <t>STANDBY</t>
        </is>
      </c>
      <c r="G25941" s="8" t="n">
        <v>20</v>
      </c>
      <c r="H25941" s="8" t="inlineStr">
        <is>
          <t>OPERATING</t>
        </is>
      </c>
    </row>
    <row r="25942">
      <c r="A25942" s="8" t="inlineStr">
        <is>
          <t>2026-08-05</t>
        </is>
      </c>
      <c r="B25942" s="8" t="n">
        <v>17</v>
      </c>
      <c r="C25942" s="8" t="n">
        <v>31</v>
      </c>
      <c r="D25942" s="8" t="inlineStr">
        <is>
          <t>Disneyland Park</t>
        </is>
      </c>
      <c r="E25942" s="8" t="inlineStr">
        <is>
          <t>Dumbo the Flying Elephant</t>
        </is>
      </c>
      <c r="F25942" s="8" t="inlineStr">
        <is>
          <t>STANDBY</t>
        </is>
      </c>
      <c r="G25942" s="8" t="n">
        <v>35</v>
      </c>
      <c r="H25942" s="8" t="inlineStr">
        <is>
          <t>OPERATING</t>
        </is>
      </c>
    </row>
    <row r="25943">
      <c r="A25943" s="8" t="inlineStr">
        <is>
          <t>2026-08-05</t>
        </is>
      </c>
      <c r="B25943" s="8" t="n">
        <v>17</v>
      </c>
      <c r="C25943" s="8" t="n">
        <v>31</v>
      </c>
      <c r="D25943" s="8" t="inlineStr">
        <is>
          <t>Disneyland Park</t>
        </is>
      </c>
      <c r="E25943" s="8" t="inlineStr">
        <is>
          <t>La Tanière du Dragon</t>
        </is>
      </c>
      <c r="F25943" s="8" t="inlineStr">
        <is>
          <t>STANDBY</t>
        </is>
      </c>
      <c r="G25943" s="8" t="n">
        <v>0</v>
      </c>
      <c r="H25943" s="8" t="inlineStr">
        <is>
          <t>OPERATING</t>
        </is>
      </c>
    </row>
    <row r="25944">
      <c r="A25944" s="8" t="inlineStr">
        <is>
          <t>2026-08-05</t>
        </is>
      </c>
      <c r="B25944" s="8" t="n">
        <v>17</v>
      </c>
      <c r="C25944" s="8" t="n">
        <v>31</v>
      </c>
      <c r="D25944" s="8" t="inlineStr">
        <is>
          <t>Disneyland Park</t>
        </is>
      </c>
      <c r="E25944" s="8" t="inlineStr">
        <is>
          <t>Le Carrousel de Lancelot</t>
        </is>
      </c>
      <c r="F25944" s="8" t="inlineStr">
        <is>
          <t>STANDBY</t>
        </is>
      </c>
      <c r="G25944" s="8" t="n">
        <v>15</v>
      </c>
      <c r="H25944" s="8" t="inlineStr">
        <is>
          <t>OPERATING</t>
        </is>
      </c>
    </row>
    <row r="25945">
      <c r="A25945" s="8" t="inlineStr">
        <is>
          <t>2026-08-05</t>
        </is>
      </c>
      <c r="B25945" s="8" t="n">
        <v>17</v>
      </c>
      <c r="C25945" s="8" t="n">
        <v>31</v>
      </c>
      <c r="D25945" s="8" t="inlineStr">
        <is>
          <t>Disneyland Park</t>
        </is>
      </c>
      <c r="E25945" s="8" t="inlineStr">
        <is>
          <t>Le Pays des Contes de Fées, presented by Vittel</t>
        </is>
      </c>
      <c r="F25945" s="8" t="inlineStr">
        <is>
          <t>STANDBY</t>
        </is>
      </c>
      <c r="G25945" s="8" t="n">
        <v>5</v>
      </c>
      <c r="H25945" s="8" t="inlineStr">
        <is>
          <t>OPERATING</t>
        </is>
      </c>
    </row>
    <row r="25946">
      <c r="A25946" s="8" t="inlineStr">
        <is>
          <t>2026-08-05</t>
        </is>
      </c>
      <c r="B25946" s="8" t="n">
        <v>17</v>
      </c>
      <c r="C25946" s="8" t="n">
        <v>31</v>
      </c>
      <c r="D25946" s="8" t="inlineStr">
        <is>
          <t>Disneyland Park</t>
        </is>
      </c>
      <c r="E25946" s="8" t="inlineStr">
        <is>
          <t>Les Voyages de Pinocchio</t>
        </is>
      </c>
      <c r="F25946" s="8" t="inlineStr">
        <is>
          <t>STANDBY</t>
        </is>
      </c>
      <c r="G25946" s="8" t="n">
        <v>20</v>
      </c>
      <c r="H25946" s="8" t="inlineStr">
        <is>
          <t>OPERATING</t>
        </is>
      </c>
    </row>
    <row r="25947">
      <c r="A25947" s="8" t="inlineStr">
        <is>
          <t>2026-08-05</t>
        </is>
      </c>
      <c r="B25947" s="8" t="n">
        <v>17</v>
      </c>
      <c r="C25947" s="8" t="n">
        <v>31</v>
      </c>
      <c r="D25947" s="8" t="inlineStr">
        <is>
          <t>Disneyland Park</t>
        </is>
      </c>
      <c r="E25947" s="8" t="inlineStr">
        <is>
          <t>Mad Hatter's Tea Cups</t>
        </is>
      </c>
      <c r="F25947" s="8" t="inlineStr">
        <is>
          <t>STANDBY</t>
        </is>
      </c>
      <c r="G25947" s="8" t="n">
        <v>5</v>
      </c>
      <c r="H25947" s="8" t="inlineStr">
        <is>
          <t>OPERATING</t>
        </is>
      </c>
    </row>
    <row r="25948">
      <c r="A25948" s="8" t="inlineStr">
        <is>
          <t>2026-08-05</t>
        </is>
      </c>
      <c r="B25948" s="8" t="n">
        <v>17</v>
      </c>
      <c r="C25948" s="8" t="n">
        <v>31</v>
      </c>
      <c r="D25948" s="8" t="inlineStr">
        <is>
          <t>Disneyland Park</t>
        </is>
      </c>
      <c r="E25948" s="8" t="inlineStr">
        <is>
          <t>Meet Mickey Mouse</t>
        </is>
      </c>
      <c r="F25948" s="8" t="inlineStr">
        <is>
          <t>STANDBY</t>
        </is>
      </c>
      <c r="G25948" s="8" t="n">
        <v>0</v>
      </c>
      <c r="H25948" s="8" t="inlineStr">
        <is>
          <t>OPERATING</t>
        </is>
      </c>
    </row>
    <row r="25949">
      <c r="A25949" s="8" t="inlineStr">
        <is>
          <t>2026-08-05</t>
        </is>
      </c>
      <c r="B25949" s="8" t="n">
        <v>17</v>
      </c>
      <c r="C25949" s="8" t="n">
        <v>31</v>
      </c>
      <c r="D25949" s="8" t="inlineStr">
        <is>
          <t>Disneyland Park</t>
        </is>
      </c>
      <c r="E25949" s="8" t="inlineStr">
        <is>
          <t>Peter Pan's Flight</t>
        </is>
      </c>
      <c r="F25949" s="8" t="inlineStr">
        <is>
          <t>STANDBY</t>
        </is>
      </c>
      <c r="G25949" s="8" t="n">
        <v>50</v>
      </c>
      <c r="H25949" s="8" t="inlineStr">
        <is>
          <t>OPERATING</t>
        </is>
      </c>
    </row>
    <row r="25950">
      <c r="A25950" s="8" t="inlineStr">
        <is>
          <t>2026-08-05</t>
        </is>
      </c>
      <c r="B25950" s="8" t="n">
        <v>17</v>
      </c>
      <c r="C25950" s="8" t="n">
        <v>31</v>
      </c>
      <c r="D25950" s="8" t="inlineStr">
        <is>
          <t>Disneyland Park</t>
        </is>
      </c>
      <c r="E25950" s="8" t="inlineStr">
        <is>
          <t>Princess Pavilion</t>
        </is>
      </c>
      <c r="F25950" s="8" t="inlineStr">
        <is>
          <t>STANDBY</t>
        </is>
      </c>
      <c r="G25950" s="8" t="n">
        <v>0</v>
      </c>
      <c r="H25950" s="8" t="inlineStr">
        <is>
          <t>OPERATING</t>
        </is>
      </c>
    </row>
    <row r="25951">
      <c r="A25951" s="8" t="inlineStr">
        <is>
          <t>2026-08-05</t>
        </is>
      </c>
      <c r="B25951" s="8" t="n">
        <v>17</v>
      </c>
      <c r="C25951" s="8" t="n">
        <v>31</v>
      </c>
      <c r="D25951" s="8" t="inlineStr">
        <is>
          <t>Disneyland Park</t>
        </is>
      </c>
      <c r="E25951" s="8" t="inlineStr">
        <is>
          <t>Big Thunder Mountain</t>
        </is>
      </c>
      <c r="F25951" s="8" t="inlineStr">
        <is>
          <t>STANDBY</t>
        </is>
      </c>
      <c r="G25951" s="8" t="n">
        <v>75</v>
      </c>
      <c r="H25951" s="8" t="inlineStr">
        <is>
          <t>OPERATING</t>
        </is>
      </c>
    </row>
    <row r="25952">
      <c r="A25952" s="8" t="inlineStr">
        <is>
          <t>2026-08-05</t>
        </is>
      </c>
      <c r="B25952" s="8" t="n">
        <v>17</v>
      </c>
      <c r="C25952" s="8" t="n">
        <v>31</v>
      </c>
      <c r="D25952" s="8" t="inlineStr">
        <is>
          <t>Disneyland Park</t>
        </is>
      </c>
      <c r="E25952" s="8" t="inlineStr">
        <is>
          <t>Disneyland Railroad Frontierland Depot</t>
        </is>
      </c>
      <c r="F25952" s="8" t="inlineStr">
        <is>
          <t>STANDBY</t>
        </is>
      </c>
      <c r="G25952" s="8" t="n">
        <v>40</v>
      </c>
      <c r="H25952" s="8" t="inlineStr">
        <is>
          <t>OPERATING</t>
        </is>
      </c>
    </row>
    <row r="25953">
      <c r="A25953" s="8" t="inlineStr">
        <is>
          <t>2026-08-05</t>
        </is>
      </c>
      <c r="B25953" s="8" t="n">
        <v>17</v>
      </c>
      <c r="C25953" s="8" t="n">
        <v>31</v>
      </c>
      <c r="D25953" s="8" t="inlineStr">
        <is>
          <t>Disneyland Park</t>
        </is>
      </c>
      <c r="E25953" s="8" t="inlineStr">
        <is>
          <t>Frontierland Playground</t>
        </is>
      </c>
      <c r="F25953" s="8" t="inlineStr">
        <is>
          <t>STANDBY</t>
        </is>
      </c>
      <c r="G25953" s="8" t="n">
        <v>0</v>
      </c>
      <c r="H25953" s="8" t="inlineStr">
        <is>
          <t>OPERATING</t>
        </is>
      </c>
    </row>
    <row r="25954">
      <c r="A25954" s="8" t="inlineStr">
        <is>
          <t>2026-08-05</t>
        </is>
      </c>
      <c r="B25954" s="8" t="n">
        <v>17</v>
      </c>
      <c r="C25954" s="8" t="n">
        <v>31</v>
      </c>
      <c r="D25954" s="8" t="inlineStr">
        <is>
          <t>Disneyland Park</t>
        </is>
      </c>
      <c r="E25954" s="8" t="inlineStr">
        <is>
          <t>Phantom Manor</t>
        </is>
      </c>
      <c r="F25954" s="8" t="inlineStr">
        <is>
          <t>STANDBY</t>
        </is>
      </c>
      <c r="G25954" s="8" t="n">
        <v>20</v>
      </c>
      <c r="H25954" s="8" t="inlineStr">
        <is>
          <t>OPERATING</t>
        </is>
      </c>
    </row>
    <row r="25955">
      <c r="A25955" s="8" t="inlineStr">
        <is>
          <t>2026-08-05</t>
        </is>
      </c>
      <c r="B25955" s="8" t="n">
        <v>17</v>
      </c>
      <c r="C25955" s="8" t="n">
        <v>31</v>
      </c>
      <c r="D25955" s="8" t="inlineStr">
        <is>
          <t>Disneyland Park</t>
        </is>
      </c>
      <c r="E25955" s="8" t="inlineStr">
        <is>
          <t>River Rogue Keelboats</t>
        </is>
      </c>
      <c r="F25955" s="8" t="inlineStr">
        <is>
          <t>STANDBY</t>
        </is>
      </c>
      <c r="G25955" s="8" t="n">
        <v>0</v>
      </c>
      <c r="H25955" s="8" t="inlineStr">
        <is>
          <t>CLOSED</t>
        </is>
      </c>
    </row>
    <row r="25956">
      <c r="A25956" s="8" t="inlineStr">
        <is>
          <t>2026-08-05</t>
        </is>
      </c>
      <c r="B25956" s="8" t="n">
        <v>17</v>
      </c>
      <c r="C25956" s="8" t="n">
        <v>31</v>
      </c>
      <c r="D25956" s="8" t="inlineStr">
        <is>
          <t>Disneyland Park</t>
        </is>
      </c>
      <c r="E25956" s="8" t="inlineStr">
        <is>
          <t>Rustler Roundup Shootin' Gallery</t>
        </is>
      </c>
      <c r="F25956" s="8" t="inlineStr">
        <is>
          <t>STANDBY</t>
        </is>
      </c>
      <c r="G25956" s="8" t="n">
        <v>0</v>
      </c>
      <c r="H25956" s="8" t="inlineStr">
        <is>
          <t>OPERATING</t>
        </is>
      </c>
    </row>
    <row r="25957">
      <c r="A25957" s="8" t="inlineStr">
        <is>
          <t>2026-08-05</t>
        </is>
      </c>
      <c r="B25957" s="8" t="n">
        <v>17</v>
      </c>
      <c r="C25957" s="8" t="n">
        <v>31</v>
      </c>
      <c r="D25957" s="8" t="inlineStr">
        <is>
          <t>Disneyland Park</t>
        </is>
      </c>
      <c r="E25957" s="8" t="inlineStr">
        <is>
          <t>Thunder Mesa Riverboat Landing</t>
        </is>
      </c>
      <c r="F25957" s="8" t="inlineStr">
        <is>
          <t>STANDBY</t>
        </is>
      </c>
      <c r="G25957" s="8" t="n">
        <v>20</v>
      </c>
      <c r="H25957" s="8" t="inlineStr">
        <is>
          <t>OPERATING</t>
        </is>
      </c>
    </row>
    <row r="25958">
      <c r="A25958" s="8" t="inlineStr">
        <is>
          <t>2026-08-05</t>
        </is>
      </c>
      <c r="B25958" s="8" t="n">
        <v>17</v>
      </c>
      <c r="C25958" s="8" t="n">
        <v>31</v>
      </c>
      <c r="D25958" s="8" t="inlineStr">
        <is>
          <t>Disneyland Park</t>
        </is>
      </c>
      <c r="E25958" s="8" t="inlineStr">
        <is>
          <t>Disneyland Railroad Main Street Station</t>
        </is>
      </c>
      <c r="F25958" s="8" t="inlineStr">
        <is>
          <t>STANDBY</t>
        </is>
      </c>
      <c r="G25958" s="8" t="n">
        <v>0</v>
      </c>
      <c r="H25958" s="8" t="inlineStr">
        <is>
          <t>OPERATING</t>
        </is>
      </c>
    </row>
    <row r="25959">
      <c r="A25959" s="8" t="inlineStr">
        <is>
          <t>2026-08-05</t>
        </is>
      </c>
      <c r="B25959" s="8" t="n">
        <v>17</v>
      </c>
      <c r="C25959" s="8" t="n">
        <v>31</v>
      </c>
      <c r="D25959" s="8" t="inlineStr">
        <is>
          <t>Disneyland Park</t>
        </is>
      </c>
      <c r="E25959" s="8" t="inlineStr">
        <is>
          <t>Main Street Vehicles</t>
        </is>
      </c>
      <c r="F25959" s="8" t="inlineStr">
        <is>
          <t>STANDBY</t>
        </is>
      </c>
      <c r="G25959" s="8" t="n">
        <v>0</v>
      </c>
      <c r="H25959" s="8" t="inlineStr">
        <is>
          <t>CLOSED</t>
        </is>
      </c>
    </row>
    <row r="25960">
      <c r="A25960" s="8" t="inlineStr">
        <is>
          <t>2026-08-05</t>
        </is>
      </c>
      <c r="B25960" s="8" t="n">
        <v>17</v>
      </c>
      <c r="C25960" s="8" t="n">
        <v>31</v>
      </c>
      <c r="D25960" s="8" t="inlineStr">
        <is>
          <t>Disney Adventure World</t>
        </is>
      </c>
      <c r="E25960" s="8" t="inlineStr">
        <is>
          <t>Avengers Assemble: Flight Force</t>
        </is>
      </c>
      <c r="F25960" s="8" t="inlineStr">
        <is>
          <t>STANDBY</t>
        </is>
      </c>
      <c r="G25960" s="8" t="n">
        <v>30</v>
      </c>
      <c r="H25960" s="8" t="inlineStr">
        <is>
          <t>OPERATING</t>
        </is>
      </c>
    </row>
    <row r="25961">
      <c r="A25961" s="8" t="inlineStr">
        <is>
          <t>2026-08-05</t>
        </is>
      </c>
      <c r="B25961" s="8" t="n">
        <v>17</v>
      </c>
      <c r="C25961" s="8" t="n">
        <v>31</v>
      </c>
      <c r="D25961" s="8" t="inlineStr">
        <is>
          <t>Disney Adventure World</t>
        </is>
      </c>
      <c r="E25961" s="8" t="inlineStr">
        <is>
          <t>Avengers Assemble: Flight Force Single Rider</t>
        </is>
      </c>
      <c r="F25961" s="8" t="inlineStr">
        <is>
          <t>STANDBY</t>
        </is>
      </c>
      <c r="G25961" s="8" t="n">
        <v>20</v>
      </c>
      <c r="H25961" s="8" t="inlineStr">
        <is>
          <t>OPERATING</t>
        </is>
      </c>
    </row>
    <row r="25962">
      <c r="A25962" s="8" t="inlineStr">
        <is>
          <t>2026-08-05</t>
        </is>
      </c>
      <c r="B25962" s="8" t="n">
        <v>17</v>
      </c>
      <c r="C25962" s="8" t="n">
        <v>31</v>
      </c>
      <c r="D25962" s="8" t="inlineStr">
        <is>
          <t>Disney Adventure World</t>
        </is>
      </c>
      <c r="E25962" s="8" t="inlineStr">
        <is>
          <t>Spider-Man W.E.B. Adventure</t>
        </is>
      </c>
      <c r="F25962" s="8" t="inlineStr">
        <is>
          <t>STANDBY</t>
        </is>
      </c>
      <c r="G25962" s="8" t="n">
        <v>60</v>
      </c>
      <c r="H25962" s="8" t="inlineStr">
        <is>
          <t>OPERATING</t>
        </is>
      </c>
    </row>
    <row r="25963">
      <c r="A25963" s="8" t="inlineStr">
        <is>
          <t>2026-08-05</t>
        </is>
      </c>
      <c r="B25963" s="8" t="n">
        <v>17</v>
      </c>
      <c r="C25963" s="8" t="n">
        <v>31</v>
      </c>
      <c r="D25963" s="8" t="inlineStr">
        <is>
          <t>Disney Adventure World</t>
        </is>
      </c>
      <c r="E25963" s="8" t="inlineStr">
        <is>
          <t>Spider-Man W.E.B. Adventure Single Rider</t>
        </is>
      </c>
      <c r="F25963" s="8" t="inlineStr">
        <is>
          <t>STANDBY</t>
        </is>
      </c>
      <c r="G25963" s="8" t="n">
        <v>25</v>
      </c>
      <c r="H25963" s="8" t="inlineStr">
        <is>
          <t>OPERATING</t>
        </is>
      </c>
    </row>
    <row r="25964">
      <c r="A25964" s="8" t="inlineStr">
        <is>
          <t>2026-08-05</t>
        </is>
      </c>
      <c r="B25964" s="8" t="n">
        <v>17</v>
      </c>
      <c r="C25964" s="8" t="n">
        <v>31</v>
      </c>
      <c r="D25964" s="8" t="inlineStr">
        <is>
          <t>Disney Adventure World</t>
        </is>
      </c>
      <c r="E25964" s="8" t="inlineStr">
        <is>
          <t>The Twilight Zone Tower of Terror</t>
        </is>
      </c>
      <c r="F25964" s="8" t="inlineStr">
        <is>
          <t>STANDBY</t>
        </is>
      </c>
      <c r="G25964" s="8" t="n">
        <v>35</v>
      </c>
      <c r="H25964" s="8" t="inlineStr">
        <is>
          <t>OPERATING</t>
        </is>
      </c>
    </row>
    <row r="25965">
      <c r="A25965" s="8" t="inlineStr">
        <is>
          <t>2026-08-05</t>
        </is>
      </c>
      <c r="B25965" s="8" t="n">
        <v>17</v>
      </c>
      <c r="C25965" s="8" t="n">
        <v>31</v>
      </c>
      <c r="D25965" s="8" t="inlineStr">
        <is>
          <t>Disney Adventure World</t>
        </is>
      </c>
      <c r="E25965" s="8" t="inlineStr">
        <is>
          <t>Cars Quatre Roues Rallye</t>
        </is>
      </c>
      <c r="F25965" s="8" t="inlineStr">
        <is>
          <t>STANDBY</t>
        </is>
      </c>
      <c r="G25965" s="8" t="n">
        <v>15</v>
      </c>
      <c r="H25965" s="8" t="inlineStr">
        <is>
          <t>OPERATING</t>
        </is>
      </c>
    </row>
    <row r="25966">
      <c r="A25966" s="8" t="inlineStr">
        <is>
          <t>2026-08-05</t>
        </is>
      </c>
      <c r="B25966" s="8" t="n">
        <v>17</v>
      </c>
      <c r="C25966" s="8" t="n">
        <v>31</v>
      </c>
      <c r="D25966" s="8" t="inlineStr">
        <is>
          <t>Disney Adventure World</t>
        </is>
      </c>
      <c r="E25966" s="8" t="inlineStr">
        <is>
          <t>Cars ROAD TRIP</t>
        </is>
      </c>
      <c r="F25966" s="8" t="inlineStr">
        <is>
          <t>STANDBY</t>
        </is>
      </c>
      <c r="G25966" s="8" t="n">
        <v>10</v>
      </c>
      <c r="H25966" s="8" t="inlineStr">
        <is>
          <t>OPERATING</t>
        </is>
      </c>
    </row>
    <row r="25967">
      <c r="A25967" s="8" t="inlineStr">
        <is>
          <t>2026-08-05</t>
        </is>
      </c>
      <c r="B25967" s="8" t="n">
        <v>17</v>
      </c>
      <c r="C25967" s="8" t="n">
        <v>31</v>
      </c>
      <c r="D25967" s="8" t="inlineStr">
        <is>
          <t>Disney Adventure World</t>
        </is>
      </c>
      <c r="E25967" s="8" t="inlineStr">
        <is>
          <t>Crush's Coaster</t>
        </is>
      </c>
      <c r="F25967" s="8" t="inlineStr">
        <is>
          <t>STANDBY</t>
        </is>
      </c>
      <c r="G25967" s="8" t="n">
        <v>85</v>
      </c>
      <c r="H25967" s="8" t="inlineStr">
        <is>
          <t>OPERATING</t>
        </is>
      </c>
    </row>
    <row r="25968">
      <c r="A25968" s="8" t="inlineStr">
        <is>
          <t>2026-08-05</t>
        </is>
      </c>
      <c r="B25968" s="8" t="n">
        <v>17</v>
      </c>
      <c r="C25968" s="8" t="n">
        <v>31</v>
      </c>
      <c r="D25968" s="8" t="inlineStr">
        <is>
          <t>Disney Adventure World</t>
        </is>
      </c>
      <c r="E25968" s="8" t="inlineStr">
        <is>
          <t>Crush's Coaster Single Rider</t>
        </is>
      </c>
      <c r="F25968" s="8" t="inlineStr">
        <is>
          <t>STANDBY</t>
        </is>
      </c>
      <c r="G25968" s="8" t="n">
        <v>70</v>
      </c>
      <c r="H25968" s="8" t="inlineStr">
        <is>
          <t>OPERATING</t>
        </is>
      </c>
    </row>
    <row r="25969">
      <c r="A25969" s="8" t="inlineStr">
        <is>
          <t>2026-08-05</t>
        </is>
      </c>
      <c r="B25969" s="8" t="n">
        <v>17</v>
      </c>
      <c r="C25969" s="8" t="n">
        <v>31</v>
      </c>
      <c r="D25969" s="8" t="inlineStr">
        <is>
          <t>Disney Adventure World</t>
        </is>
      </c>
      <c r="E25969" s="8" t="inlineStr">
        <is>
          <t>Les Tapis Volants - Flying Carpets Over Agrabah®</t>
        </is>
      </c>
      <c r="F25969" s="8" t="inlineStr">
        <is>
          <t>STANDBY</t>
        </is>
      </c>
      <c r="G25969" s="8" t="n">
        <v>15</v>
      </c>
      <c r="H25969" s="8" t="inlineStr">
        <is>
          <t>OPERATING</t>
        </is>
      </c>
    </row>
    <row r="25970">
      <c r="A25970" s="8" t="inlineStr">
        <is>
          <t>2026-08-05</t>
        </is>
      </c>
      <c r="B25970" s="8" t="n">
        <v>17</v>
      </c>
      <c r="C25970" s="8" t="n">
        <v>31</v>
      </c>
      <c r="D25970" s="8" t="inlineStr">
        <is>
          <t>Disney Adventure World</t>
        </is>
      </c>
      <c r="E25970" s="8" t="inlineStr">
        <is>
          <t>Ratatouille : L’Aventure Totalement Toquée de Rémy​</t>
        </is>
      </c>
      <c r="F25970" s="8" t="inlineStr">
        <is>
          <t>STANDBY</t>
        </is>
      </c>
      <c r="G25970" s="8" t="n">
        <v>45</v>
      </c>
      <c r="H25970" s="8" t="inlineStr">
        <is>
          <t>OPERATING</t>
        </is>
      </c>
    </row>
    <row r="25971">
      <c r="A25971" s="8" t="inlineStr">
        <is>
          <t>2026-08-05</t>
        </is>
      </c>
      <c r="B25971" s="8" t="n">
        <v>17</v>
      </c>
      <c r="C25971" s="8" t="n">
        <v>31</v>
      </c>
      <c r="D25971" s="8" t="inlineStr">
        <is>
          <t>Disney Adventure World</t>
        </is>
      </c>
      <c r="E25971" s="8" t="inlineStr">
        <is>
          <t>Ratatouille: The Adventure Single Rider</t>
        </is>
      </c>
      <c r="F25971" s="8" t="inlineStr">
        <is>
          <t>STANDBY</t>
        </is>
      </c>
      <c r="G25971" s="8" t="n">
        <v>20</v>
      </c>
      <c r="H25971" s="8" t="inlineStr">
        <is>
          <t>OPERATING</t>
        </is>
      </c>
    </row>
    <row r="25972">
      <c r="A25972" s="8" t="inlineStr">
        <is>
          <t>2026-08-05</t>
        </is>
      </c>
      <c r="B25972" s="8" t="n">
        <v>17</v>
      </c>
      <c r="C25972" s="8" t="n">
        <v>31</v>
      </c>
      <c r="D25972" s="8" t="inlineStr">
        <is>
          <t>Disney Adventure World</t>
        </is>
      </c>
      <c r="E25972" s="8" t="inlineStr">
        <is>
          <t>RC Racer</t>
        </is>
      </c>
      <c r="F25972" s="8" t="inlineStr">
        <is>
          <t>STANDBY</t>
        </is>
      </c>
      <c r="G25972" s="8" t="n">
        <v>40</v>
      </c>
      <c r="H25972" s="8" t="inlineStr">
        <is>
          <t>OPERATING</t>
        </is>
      </c>
    </row>
    <row r="25973">
      <c r="A25973" s="8" t="inlineStr">
        <is>
          <t>2026-08-05</t>
        </is>
      </c>
      <c r="B25973" s="8" t="n">
        <v>17</v>
      </c>
      <c r="C25973" s="8" t="n">
        <v>31</v>
      </c>
      <c r="D25973" s="8" t="inlineStr">
        <is>
          <t>Disney Adventure World</t>
        </is>
      </c>
      <c r="E25973" s="8" t="inlineStr">
        <is>
          <t>RC Racer Single Rider</t>
        </is>
      </c>
      <c r="F25973" s="8" t="inlineStr">
        <is>
          <t>STANDBY</t>
        </is>
      </c>
      <c r="G25973" s="8" t="n">
        <v>35</v>
      </c>
      <c r="H25973" s="8" t="inlineStr">
        <is>
          <t>OPERATING</t>
        </is>
      </c>
    </row>
    <row r="25974">
      <c r="A25974" s="8" t="inlineStr">
        <is>
          <t>2026-08-05</t>
        </is>
      </c>
      <c r="B25974" s="8" t="n">
        <v>17</v>
      </c>
      <c r="C25974" s="8" t="n">
        <v>31</v>
      </c>
      <c r="D25974" s="8" t="inlineStr">
        <is>
          <t>Disney Adventure World</t>
        </is>
      </c>
      <c r="E25974" s="8" t="inlineStr">
        <is>
          <t>Slinky® Dog Zigzag Spin</t>
        </is>
      </c>
      <c r="F25974" s="8" t="inlineStr">
        <is>
          <t>STANDBY</t>
        </is>
      </c>
      <c r="G25974" s="8" t="n">
        <v>15</v>
      </c>
      <c r="H25974" s="8" t="inlineStr">
        <is>
          <t>OPERATING</t>
        </is>
      </c>
    </row>
    <row r="25975">
      <c r="A25975" s="8" t="inlineStr">
        <is>
          <t>2026-08-05</t>
        </is>
      </c>
      <c r="B25975" s="8" t="n">
        <v>17</v>
      </c>
      <c r="C25975" s="8" t="n">
        <v>31</v>
      </c>
      <c r="D25975" s="8" t="inlineStr">
        <is>
          <t>Disney Adventure World</t>
        </is>
      </c>
      <c r="E25975" s="8" t="inlineStr">
        <is>
          <t>Toy Soldiers Parachute Drop</t>
        </is>
      </c>
      <c r="F25975" s="8" t="inlineStr">
        <is>
          <t>STANDBY</t>
        </is>
      </c>
      <c r="G25975" s="8" t="n">
        <v>45</v>
      </c>
      <c r="H25975" s="8" t="inlineStr">
        <is>
          <t>OPERATING</t>
        </is>
      </c>
    </row>
    <row r="25976">
      <c r="A25976" s="8" t="inlineStr">
        <is>
          <t>2026-08-05</t>
        </is>
      </c>
      <c r="B25976" s="8" t="n">
        <v>17</v>
      </c>
      <c r="C25976" s="8" t="n">
        <v>31</v>
      </c>
      <c r="D25976" s="8" t="inlineStr">
        <is>
          <t>Disney Adventure World</t>
        </is>
      </c>
      <c r="E25976" s="8" t="inlineStr">
        <is>
          <t>Toy Soldiers Parachute Drop Single Rider</t>
        </is>
      </c>
      <c r="F25976" s="8" t="inlineStr">
        <is>
          <t>STANDBY</t>
        </is>
      </c>
      <c r="G25976" s="8" t="n">
        <v>15</v>
      </c>
      <c r="H25976" s="8" t="inlineStr">
        <is>
          <t>OPERATING</t>
        </is>
      </c>
    </row>
    <row r="25977">
      <c r="A25977" s="8" t="inlineStr">
        <is>
          <t>2026-08-05</t>
        </is>
      </c>
      <c r="B25977" s="8" t="n">
        <v>17</v>
      </c>
      <c r="C25977" s="8" t="n">
        <v>31</v>
      </c>
      <c r="D25977" s="8" t="inlineStr">
        <is>
          <t>Disney Adventure World</t>
        </is>
      </c>
      <c r="E25977" s="8" t="inlineStr">
        <is>
          <t>Entry to World of Frozen</t>
        </is>
      </c>
      <c r="F25977" s="8" t="inlineStr">
        <is>
          <t>STANDBY</t>
        </is>
      </c>
      <c r="G25977" s="8" t="n">
        <v>0</v>
      </c>
      <c r="H25977" s="8" t="inlineStr">
        <is>
          <t>OPERATING</t>
        </is>
      </c>
    </row>
    <row r="25978">
      <c r="A25978" s="8" t="inlineStr">
        <is>
          <t>2026-08-05</t>
        </is>
      </c>
      <c r="B25978" s="8" t="n">
        <v>17</v>
      </c>
      <c r="C25978" s="8" t="n">
        <v>31</v>
      </c>
      <c r="D25978" s="8" t="inlineStr">
        <is>
          <t>Disney Adventure World</t>
        </is>
      </c>
      <c r="E25978" s="8" t="inlineStr">
        <is>
          <t>Frozen Ever After</t>
        </is>
      </c>
      <c r="F25978" s="8" t="inlineStr">
        <is>
          <t>STANDBY</t>
        </is>
      </c>
      <c r="G25978" s="8" t="n">
        <v>75</v>
      </c>
      <c r="H25978" s="8" t="inlineStr">
        <is>
          <t>OPERATING</t>
        </is>
      </c>
    </row>
    <row r="25979">
      <c r="A25979" s="8" t="inlineStr">
        <is>
          <t>2026-08-05</t>
        </is>
      </c>
      <c r="B25979" s="8" t="n">
        <v>17</v>
      </c>
      <c r="C25979" s="8" t="n">
        <v>31</v>
      </c>
      <c r="D25979" s="8" t="inlineStr">
        <is>
          <t>Disney Adventure World</t>
        </is>
      </c>
      <c r="E25979" s="8" t="inlineStr">
        <is>
          <t>Raiponce Tangled Spin</t>
        </is>
      </c>
      <c r="F25979" s="8" t="inlineStr">
        <is>
          <t>STANDBY</t>
        </is>
      </c>
      <c r="G25979" s="8" t="n">
        <v>10</v>
      </c>
      <c r="H25979" s="8" t="inlineStr">
        <is>
          <t>OPERATING</t>
        </is>
      </c>
    </row>
    <row r="25980">
      <c r="A25980" s="8" t="inlineStr">
        <is>
          <t>2026-08-05</t>
        </is>
      </c>
      <c r="B25980" s="8" t="n">
        <v>17</v>
      </c>
      <c r="C25980" s="8" t="n">
        <v>45</v>
      </c>
      <c r="D25980" s="8" t="inlineStr">
        <is>
          <t>Disneyland Park</t>
        </is>
      </c>
      <c r="E25980" s="8" t="inlineStr">
        <is>
          <t>Adventure Isle</t>
        </is>
      </c>
      <c r="F25980" s="8" t="inlineStr">
        <is>
          <t>STANDBY</t>
        </is>
      </c>
      <c r="G25980" s="8" t="n">
        <v>0</v>
      </c>
      <c r="H25980" s="8" t="inlineStr">
        <is>
          <t>OPERATING</t>
        </is>
      </c>
    </row>
    <row r="25981">
      <c r="A25981" s="8" t="inlineStr">
        <is>
          <t>2026-08-05</t>
        </is>
      </c>
      <c r="B25981" s="8" t="n">
        <v>17</v>
      </c>
      <c r="C25981" s="8" t="n">
        <v>45</v>
      </c>
      <c r="D25981" s="8" t="inlineStr">
        <is>
          <t>Disneyland Park</t>
        </is>
      </c>
      <c r="E25981" s="8" t="inlineStr">
        <is>
          <t>Indiana Jones and the Temple of Peril Single Rider</t>
        </is>
      </c>
      <c r="F25981" s="8" t="inlineStr">
        <is>
          <t>STANDBY</t>
        </is>
      </c>
      <c r="G25981" s="8" t="n">
        <v>10</v>
      </c>
      <c r="H25981" s="8" t="inlineStr">
        <is>
          <t>OPERATING</t>
        </is>
      </c>
    </row>
    <row r="25982">
      <c r="A25982" s="8" t="inlineStr">
        <is>
          <t>2026-08-05</t>
        </is>
      </c>
      <c r="B25982" s="8" t="n">
        <v>17</v>
      </c>
      <c r="C25982" s="8" t="n">
        <v>45</v>
      </c>
      <c r="D25982" s="8" t="inlineStr">
        <is>
          <t>Disneyland Park</t>
        </is>
      </c>
      <c r="E25982" s="8" t="inlineStr">
        <is>
          <t>Indiana Jones™ and the Temple of Peril</t>
        </is>
      </c>
      <c r="F25982" s="8" t="inlineStr">
        <is>
          <t>STANDBY</t>
        </is>
      </c>
      <c r="G25982" s="8" t="n">
        <v>20</v>
      </c>
      <c r="H25982" s="8" t="inlineStr">
        <is>
          <t>OPERATING</t>
        </is>
      </c>
    </row>
    <row r="25983">
      <c r="A25983" s="8" t="inlineStr">
        <is>
          <t>2026-08-05</t>
        </is>
      </c>
      <c r="B25983" s="8" t="n">
        <v>17</v>
      </c>
      <c r="C25983" s="8" t="n">
        <v>45</v>
      </c>
      <c r="D25983" s="8" t="inlineStr">
        <is>
          <t>Disneyland Park</t>
        </is>
      </c>
      <c r="E25983" s="8" t="inlineStr">
        <is>
          <t>La Cabane des Robinson</t>
        </is>
      </c>
      <c r="F25983" s="8" t="inlineStr">
        <is>
          <t>STANDBY</t>
        </is>
      </c>
      <c r="G25983" s="8" t="n">
        <v>5</v>
      </c>
      <c r="H25983" s="8" t="inlineStr">
        <is>
          <t>OPERATING</t>
        </is>
      </c>
    </row>
    <row r="25984">
      <c r="A25984" s="8" t="inlineStr">
        <is>
          <t>2026-08-05</t>
        </is>
      </c>
      <c r="B25984" s="8" t="n">
        <v>17</v>
      </c>
      <c r="C25984" s="8" t="n">
        <v>45</v>
      </c>
      <c r="D25984" s="8" t="inlineStr">
        <is>
          <t>Disneyland Park</t>
        </is>
      </c>
      <c r="E25984" s="8" t="inlineStr">
        <is>
          <t>Le Passage Enchanté d'Aladdin</t>
        </is>
      </c>
      <c r="F25984" s="8" t="inlineStr">
        <is>
          <t>STANDBY</t>
        </is>
      </c>
      <c r="G25984" s="8" t="n">
        <v>0</v>
      </c>
      <c r="H25984" s="8" t="inlineStr">
        <is>
          <t>OPERATING</t>
        </is>
      </c>
    </row>
    <row r="25985">
      <c r="A25985" s="8" t="inlineStr">
        <is>
          <t>2026-08-05</t>
        </is>
      </c>
      <c r="B25985" s="8" t="n">
        <v>17</v>
      </c>
      <c r="C25985" s="8" t="n">
        <v>45</v>
      </c>
      <c r="D25985" s="8" t="inlineStr">
        <is>
          <t>Disneyland Park</t>
        </is>
      </c>
      <c r="E25985" s="8" t="inlineStr">
        <is>
          <t>Pirate Galleon</t>
        </is>
      </c>
      <c r="F25985" s="8" t="inlineStr">
        <is>
          <t>STANDBY</t>
        </is>
      </c>
      <c r="G25985" s="8" t="n">
        <v>0</v>
      </c>
      <c r="H25985" s="8" t="inlineStr">
        <is>
          <t>CLOSED</t>
        </is>
      </c>
    </row>
    <row r="25986">
      <c r="A25986" s="8" t="inlineStr">
        <is>
          <t>2026-08-05</t>
        </is>
      </c>
      <c r="B25986" s="8" t="n">
        <v>17</v>
      </c>
      <c r="C25986" s="8" t="n">
        <v>45</v>
      </c>
      <c r="D25986" s="8" t="inlineStr">
        <is>
          <t>Disneyland Park</t>
        </is>
      </c>
      <c r="E25986" s="8" t="inlineStr">
        <is>
          <t>Pirates of the Caribbean</t>
        </is>
      </c>
      <c r="F25986" s="8" t="inlineStr">
        <is>
          <t>STANDBY</t>
        </is>
      </c>
      <c r="G25986" s="8" t="n">
        <v>15</v>
      </c>
      <c r="H25986" s="8" t="inlineStr">
        <is>
          <t>OPERATING</t>
        </is>
      </c>
    </row>
    <row r="25987">
      <c r="A25987" s="8" t="inlineStr">
        <is>
          <t>2026-08-05</t>
        </is>
      </c>
      <c r="B25987" s="8" t="n">
        <v>17</v>
      </c>
      <c r="C25987" s="8" t="n">
        <v>45</v>
      </c>
      <c r="D25987" s="8" t="inlineStr">
        <is>
          <t>Disneyland Park</t>
        </is>
      </c>
      <c r="E25987" s="8" t="inlineStr">
        <is>
          <t>Pirates' Beach</t>
        </is>
      </c>
      <c r="F25987" s="8" t="inlineStr">
        <is>
          <t>STANDBY</t>
        </is>
      </c>
      <c r="G25987" s="8" t="n">
        <v>0</v>
      </c>
      <c r="H25987" s="8" t="inlineStr">
        <is>
          <t>OPERATING</t>
        </is>
      </c>
    </row>
    <row r="25988">
      <c r="A25988" s="8" t="inlineStr">
        <is>
          <t>2026-08-05</t>
        </is>
      </c>
      <c r="B25988" s="8" t="n">
        <v>17</v>
      </c>
      <c r="C25988" s="8" t="n">
        <v>45</v>
      </c>
      <c r="D25988" s="8" t="inlineStr">
        <is>
          <t>Disneyland Park</t>
        </is>
      </c>
      <c r="E25988" s="8" t="inlineStr">
        <is>
          <t>Autopia, presented by Avis</t>
        </is>
      </c>
      <c r="F25988" s="8" t="inlineStr">
        <is>
          <t>STANDBY</t>
        </is>
      </c>
      <c r="G25988" s="8" t="n">
        <v>50</v>
      </c>
      <c r="H25988" s="8" t="inlineStr">
        <is>
          <t>OPERATING</t>
        </is>
      </c>
    </row>
    <row r="25989">
      <c r="A25989" s="8" t="inlineStr">
        <is>
          <t>2026-08-05</t>
        </is>
      </c>
      <c r="B25989" s="8" t="n">
        <v>17</v>
      </c>
      <c r="C25989" s="8" t="n">
        <v>45</v>
      </c>
      <c r="D25989" s="8" t="inlineStr">
        <is>
          <t>Disneyland Park</t>
        </is>
      </c>
      <c r="E25989" s="8" t="inlineStr">
        <is>
          <t>Buzz Lightyear Laser Blast</t>
        </is>
      </c>
      <c r="F25989" s="8" t="inlineStr">
        <is>
          <t>STANDBY</t>
        </is>
      </c>
      <c r="G25989" s="8" t="n">
        <v>50</v>
      </c>
      <c r="H25989" s="8" t="inlineStr">
        <is>
          <t>OPERATING</t>
        </is>
      </c>
    </row>
    <row r="25990">
      <c r="A25990" s="8" t="inlineStr">
        <is>
          <t>2026-08-05</t>
        </is>
      </c>
      <c r="B25990" s="8" t="n">
        <v>17</v>
      </c>
      <c r="C25990" s="8" t="n">
        <v>45</v>
      </c>
      <c r="D25990" s="8" t="inlineStr">
        <is>
          <t>Disneyland Park</t>
        </is>
      </c>
      <c r="E25990" s="8" t="inlineStr">
        <is>
          <t>Disneyland Railroad Discoveryland Station</t>
        </is>
      </c>
      <c r="F25990" s="8" t="inlineStr">
        <is>
          <t>STANDBY</t>
        </is>
      </c>
      <c r="G25990" s="8" t="n">
        <v>0</v>
      </c>
      <c r="H25990" s="8" t="inlineStr">
        <is>
          <t>CLOSED</t>
        </is>
      </c>
    </row>
    <row r="25991">
      <c r="A25991" s="8" t="inlineStr">
        <is>
          <t>2026-08-05</t>
        </is>
      </c>
      <c r="B25991" s="8" t="n">
        <v>17</v>
      </c>
      <c r="C25991" s="8" t="n">
        <v>45</v>
      </c>
      <c r="D25991" s="8" t="inlineStr">
        <is>
          <t>Disneyland Park</t>
        </is>
      </c>
      <c r="E25991" s="8" t="inlineStr">
        <is>
          <t>Les Mystères du Nautilus</t>
        </is>
      </c>
      <c r="F25991" s="8" t="inlineStr">
        <is>
          <t>STANDBY</t>
        </is>
      </c>
      <c r="G25991" s="8" t="n">
        <v>5</v>
      </c>
      <c r="H25991" s="8" t="inlineStr">
        <is>
          <t>OPERATING</t>
        </is>
      </c>
    </row>
    <row r="25992">
      <c r="A25992" s="8" t="inlineStr">
        <is>
          <t>2026-08-05</t>
        </is>
      </c>
      <c r="B25992" s="8" t="n">
        <v>17</v>
      </c>
      <c r="C25992" s="8" t="n">
        <v>45</v>
      </c>
      <c r="D25992" s="8" t="inlineStr">
        <is>
          <t>Disneyland Park</t>
        </is>
      </c>
      <c r="E25992" s="8" t="inlineStr">
        <is>
          <t>Mickey’s PhilharMagic</t>
        </is>
      </c>
      <c r="F25992" s="8" t="inlineStr">
        <is>
          <t>STANDBY</t>
        </is>
      </c>
      <c r="G25992" s="8" t="n">
        <v>0</v>
      </c>
      <c r="H25992" s="8" t="inlineStr">
        <is>
          <t>CLOSED</t>
        </is>
      </c>
    </row>
    <row r="25993">
      <c r="A25993" s="8" t="inlineStr">
        <is>
          <t>2026-08-05</t>
        </is>
      </c>
      <c r="B25993" s="8" t="n">
        <v>17</v>
      </c>
      <c r="C25993" s="8" t="n">
        <v>45</v>
      </c>
      <c r="D25993" s="8" t="inlineStr">
        <is>
          <t>Disneyland Park</t>
        </is>
      </c>
      <c r="E25993" s="8" t="inlineStr">
        <is>
          <t>Orbitron®</t>
        </is>
      </c>
      <c r="F25993" s="8" t="inlineStr">
        <is>
          <t>STANDBY</t>
        </is>
      </c>
      <c r="G25993" s="8" t="n">
        <v>45</v>
      </c>
      <c r="H25993" s="8" t="inlineStr">
        <is>
          <t>OPERATING</t>
        </is>
      </c>
    </row>
    <row r="25994">
      <c r="A25994" s="8" t="inlineStr">
        <is>
          <t>2026-08-05</t>
        </is>
      </c>
      <c r="B25994" s="8" t="n">
        <v>17</v>
      </c>
      <c r="C25994" s="8" t="n">
        <v>45</v>
      </c>
      <c r="D25994" s="8" t="inlineStr">
        <is>
          <t>Disneyland Park</t>
        </is>
      </c>
      <c r="E25994" s="8" t="inlineStr">
        <is>
          <t>Star Tours: The Adventures Continue*</t>
        </is>
      </c>
      <c r="F25994" s="8" t="inlineStr">
        <is>
          <t>STANDBY</t>
        </is>
      </c>
      <c r="G25994" s="8" t="n">
        <v>15</v>
      </c>
      <c r="H25994" s="8" t="inlineStr">
        <is>
          <t>OPERATING</t>
        </is>
      </c>
    </row>
    <row r="25995">
      <c r="A25995" s="8" t="inlineStr">
        <is>
          <t>2026-08-05</t>
        </is>
      </c>
      <c r="B25995" s="8" t="n">
        <v>17</v>
      </c>
      <c r="C25995" s="8" t="n">
        <v>45</v>
      </c>
      <c r="D25995" s="8" t="inlineStr">
        <is>
          <t>Disneyland Park</t>
        </is>
      </c>
      <c r="E25995" s="8" t="inlineStr">
        <is>
          <t>Star Wars Hyperspace Mountain</t>
        </is>
      </c>
      <c r="F25995" s="8" t="inlineStr">
        <is>
          <t>STANDBY</t>
        </is>
      </c>
      <c r="G25995" s="8" t="n">
        <v>35</v>
      </c>
      <c r="H25995" s="8" t="inlineStr">
        <is>
          <t>OPERATING</t>
        </is>
      </c>
    </row>
    <row r="25996">
      <c r="A25996" s="8" t="inlineStr">
        <is>
          <t>2026-08-05</t>
        </is>
      </c>
      <c r="B25996" s="8" t="n">
        <v>17</v>
      </c>
      <c r="C25996" s="8" t="n">
        <v>45</v>
      </c>
      <c r="D25996" s="8" t="inlineStr">
        <is>
          <t>Disneyland Park</t>
        </is>
      </c>
      <c r="E25996" s="8" t="inlineStr">
        <is>
          <t>Star Wars Hyperspace Mountain Single Rider</t>
        </is>
      </c>
      <c r="F25996" s="8" t="inlineStr">
        <is>
          <t>STANDBY</t>
        </is>
      </c>
      <c r="G25996" s="8" t="n">
        <v>25</v>
      </c>
      <c r="H25996" s="8" t="inlineStr">
        <is>
          <t>OPERATING</t>
        </is>
      </c>
    </row>
    <row r="25997">
      <c r="A25997" s="8" t="inlineStr">
        <is>
          <t>2026-08-05</t>
        </is>
      </c>
      <c r="B25997" s="8" t="n">
        <v>17</v>
      </c>
      <c r="C25997" s="8" t="n">
        <v>45</v>
      </c>
      <c r="D25997" s="8" t="inlineStr">
        <is>
          <t>Disneyland Park</t>
        </is>
      </c>
      <c r="E25997" s="8" t="inlineStr">
        <is>
          <t>Welcome to Starport: A Star Wars Encounter</t>
        </is>
      </c>
      <c r="F25997" s="8" t="inlineStr">
        <is>
          <t>STANDBY</t>
        </is>
      </c>
      <c r="G25997" s="8" t="n">
        <v>0</v>
      </c>
      <c r="H25997" s="8" t="inlineStr">
        <is>
          <t>CLOSED</t>
        </is>
      </c>
    </row>
    <row r="25998">
      <c r="A25998" s="8" t="inlineStr">
        <is>
          <t>2026-08-05</t>
        </is>
      </c>
      <c r="B25998" s="8" t="n">
        <v>17</v>
      </c>
      <c r="C25998" s="8" t="n">
        <v>45</v>
      </c>
      <c r="D25998" s="8" t="inlineStr">
        <is>
          <t>Disneyland Park</t>
        </is>
      </c>
      <c r="E25998" s="8" t="inlineStr">
        <is>
          <t>"it's a small world"</t>
        </is>
      </c>
      <c r="F25998" s="8" t="inlineStr">
        <is>
          <t>STANDBY</t>
        </is>
      </c>
      <c r="G25998" s="8" t="n">
        <v>5</v>
      </c>
      <c r="H25998" s="8" t="inlineStr">
        <is>
          <t>OPERATING</t>
        </is>
      </c>
    </row>
    <row r="25999">
      <c r="A25999" s="8" t="inlineStr">
        <is>
          <t>2026-08-05</t>
        </is>
      </c>
      <c r="B25999" s="8" t="n">
        <v>17</v>
      </c>
      <c r="C25999" s="8" t="n">
        <v>45</v>
      </c>
      <c r="D25999" s="8" t="inlineStr">
        <is>
          <t>Disneyland Park</t>
        </is>
      </c>
      <c r="E25999" s="8" t="inlineStr">
        <is>
          <t>Alice's Curious Labyrinth</t>
        </is>
      </c>
      <c r="F25999" s="8" t="inlineStr">
        <is>
          <t>STANDBY</t>
        </is>
      </c>
      <c r="G25999" s="8" t="n">
        <v>0</v>
      </c>
      <c r="H25999" s="8" t="inlineStr">
        <is>
          <t>CLOSED</t>
        </is>
      </c>
    </row>
    <row r="26000">
      <c r="A26000" s="8" t="inlineStr">
        <is>
          <t>2026-08-05</t>
        </is>
      </c>
      <c r="B26000" s="8" t="n">
        <v>17</v>
      </c>
      <c r="C26000" s="8" t="n">
        <v>45</v>
      </c>
      <c r="D26000" s="8" t="inlineStr">
        <is>
          <t>Disneyland Park</t>
        </is>
      </c>
      <c r="E26000" s="8" t="inlineStr">
        <is>
          <t>Blanche-Neige et les Sept Nains®</t>
        </is>
      </c>
      <c r="F26000" s="8" t="inlineStr">
        <is>
          <t>STANDBY</t>
        </is>
      </c>
      <c r="G26000" s="8" t="n">
        <v>30</v>
      </c>
      <c r="H26000" s="8" t="inlineStr">
        <is>
          <t>OPERATING</t>
        </is>
      </c>
    </row>
    <row r="26001">
      <c r="A26001" s="8" t="inlineStr">
        <is>
          <t>2026-08-05</t>
        </is>
      </c>
      <c r="B26001" s="8" t="n">
        <v>17</v>
      </c>
      <c r="C26001" s="8" t="n">
        <v>45</v>
      </c>
      <c r="D26001" s="8" t="inlineStr">
        <is>
          <t>Disneyland Park</t>
        </is>
      </c>
      <c r="E26001" s="8" t="inlineStr">
        <is>
          <t>Casey Jr. – le Petit Train du Cirque</t>
        </is>
      </c>
      <c r="F26001" s="8" t="inlineStr">
        <is>
          <t>STANDBY</t>
        </is>
      </c>
      <c r="G26001" s="8" t="n">
        <v>25</v>
      </c>
      <c r="H26001" s="8" t="inlineStr">
        <is>
          <t>OPERATING</t>
        </is>
      </c>
    </row>
    <row r="26002">
      <c r="A26002" s="8" t="inlineStr">
        <is>
          <t>2026-08-05</t>
        </is>
      </c>
      <c r="B26002" s="8" t="n">
        <v>17</v>
      </c>
      <c r="C26002" s="8" t="n">
        <v>45</v>
      </c>
      <c r="D26002" s="8" t="inlineStr">
        <is>
          <t>Disneyland Park</t>
        </is>
      </c>
      <c r="E26002" s="8" t="inlineStr">
        <is>
          <t>Disneyland Railroad Fantasyland Station</t>
        </is>
      </c>
      <c r="F26002" s="8" t="inlineStr">
        <is>
          <t>STANDBY</t>
        </is>
      </c>
      <c r="G26002" s="8" t="n">
        <v>0</v>
      </c>
      <c r="H26002" s="8" t="inlineStr">
        <is>
          <t>CLOSED</t>
        </is>
      </c>
    </row>
    <row r="26003">
      <c r="A26003" s="8" t="inlineStr">
        <is>
          <t>2026-08-05</t>
        </is>
      </c>
      <c r="B26003" s="8" t="n">
        <v>17</v>
      </c>
      <c r="C26003" s="8" t="n">
        <v>45</v>
      </c>
      <c r="D26003" s="8" t="inlineStr">
        <is>
          <t>Disneyland Park</t>
        </is>
      </c>
      <c r="E26003" s="8" t="inlineStr">
        <is>
          <t>Disneyland Railroad Main Street Station</t>
        </is>
      </c>
      <c r="F26003" s="8" t="inlineStr">
        <is>
          <t>STANDBY</t>
        </is>
      </c>
      <c r="G26003" s="8" t="n">
        <v>20</v>
      </c>
      <c r="H26003" s="8" t="inlineStr">
        <is>
          <t>OPERATING</t>
        </is>
      </c>
    </row>
    <row r="26004">
      <c r="A26004" s="8" t="inlineStr">
        <is>
          <t>2026-08-05</t>
        </is>
      </c>
      <c r="B26004" s="8" t="n">
        <v>17</v>
      </c>
      <c r="C26004" s="8" t="n">
        <v>45</v>
      </c>
      <c r="D26004" s="8" t="inlineStr">
        <is>
          <t>Disneyland Park</t>
        </is>
      </c>
      <c r="E26004" s="8" t="inlineStr">
        <is>
          <t>Dumbo the Flying Elephant</t>
        </is>
      </c>
      <c r="F26004" s="8" t="inlineStr">
        <is>
          <t>STANDBY</t>
        </is>
      </c>
      <c r="G26004" s="8" t="n">
        <v>35</v>
      </c>
      <c r="H26004" s="8" t="inlineStr">
        <is>
          <t>OPERATING</t>
        </is>
      </c>
    </row>
    <row r="26005">
      <c r="A26005" s="8" t="inlineStr">
        <is>
          <t>2026-08-05</t>
        </is>
      </c>
      <c r="B26005" s="8" t="n">
        <v>17</v>
      </c>
      <c r="C26005" s="8" t="n">
        <v>45</v>
      </c>
      <c r="D26005" s="8" t="inlineStr">
        <is>
          <t>Disneyland Park</t>
        </is>
      </c>
      <c r="E26005" s="8" t="inlineStr">
        <is>
          <t>La Tanière du Dragon</t>
        </is>
      </c>
      <c r="F26005" s="8" t="inlineStr">
        <is>
          <t>STANDBY</t>
        </is>
      </c>
      <c r="G26005" s="8" t="n">
        <v>0</v>
      </c>
      <c r="H26005" s="8" t="inlineStr">
        <is>
          <t>OPERATING</t>
        </is>
      </c>
    </row>
    <row r="26006">
      <c r="A26006" s="8" t="inlineStr">
        <is>
          <t>2026-08-05</t>
        </is>
      </c>
      <c r="B26006" s="8" t="n">
        <v>17</v>
      </c>
      <c r="C26006" s="8" t="n">
        <v>45</v>
      </c>
      <c r="D26006" s="8" t="inlineStr">
        <is>
          <t>Disneyland Park</t>
        </is>
      </c>
      <c r="E26006" s="8" t="inlineStr">
        <is>
          <t>Le Carrousel de Lancelot</t>
        </is>
      </c>
      <c r="F26006" s="8" t="inlineStr">
        <is>
          <t>STANDBY</t>
        </is>
      </c>
      <c r="G26006" s="8" t="n">
        <v>15</v>
      </c>
      <c r="H26006" s="8" t="inlineStr">
        <is>
          <t>OPERATING</t>
        </is>
      </c>
    </row>
    <row r="26007">
      <c r="A26007" s="8" t="inlineStr">
        <is>
          <t>2026-08-05</t>
        </is>
      </c>
      <c r="B26007" s="8" t="n">
        <v>17</v>
      </c>
      <c r="C26007" s="8" t="n">
        <v>45</v>
      </c>
      <c r="D26007" s="8" t="inlineStr">
        <is>
          <t>Disneyland Park</t>
        </is>
      </c>
      <c r="E26007" s="8" t="inlineStr">
        <is>
          <t>Le Pays des Contes de Fées, presented by Vittel</t>
        </is>
      </c>
      <c r="F26007" s="8" t="inlineStr">
        <is>
          <t>STANDBY</t>
        </is>
      </c>
      <c r="G26007" s="8" t="n">
        <v>5</v>
      </c>
      <c r="H26007" s="8" t="inlineStr">
        <is>
          <t>OPERATING</t>
        </is>
      </c>
    </row>
    <row r="26008">
      <c r="A26008" s="8" t="inlineStr">
        <is>
          <t>2026-08-05</t>
        </is>
      </c>
      <c r="B26008" s="8" t="n">
        <v>17</v>
      </c>
      <c r="C26008" s="8" t="n">
        <v>45</v>
      </c>
      <c r="D26008" s="8" t="inlineStr">
        <is>
          <t>Disneyland Park</t>
        </is>
      </c>
      <c r="E26008" s="8" t="inlineStr">
        <is>
          <t>Les Voyages de Pinocchio</t>
        </is>
      </c>
      <c r="F26008" s="8" t="inlineStr">
        <is>
          <t>STANDBY</t>
        </is>
      </c>
      <c r="G26008" s="8" t="n">
        <v>20</v>
      </c>
      <c r="H26008" s="8" t="inlineStr">
        <is>
          <t>OPERATING</t>
        </is>
      </c>
    </row>
    <row r="26009">
      <c r="A26009" s="8" t="inlineStr">
        <is>
          <t>2026-08-05</t>
        </is>
      </c>
      <c r="B26009" s="8" t="n">
        <v>17</v>
      </c>
      <c r="C26009" s="8" t="n">
        <v>45</v>
      </c>
      <c r="D26009" s="8" t="inlineStr">
        <is>
          <t>Disneyland Park</t>
        </is>
      </c>
      <c r="E26009" s="8" t="inlineStr">
        <is>
          <t>Mad Hatter's Tea Cups</t>
        </is>
      </c>
      <c r="F26009" s="8" t="inlineStr">
        <is>
          <t>STANDBY</t>
        </is>
      </c>
      <c r="G26009" s="8" t="n">
        <v>10</v>
      </c>
      <c r="H26009" s="8" t="inlineStr">
        <is>
          <t>OPERATING</t>
        </is>
      </c>
    </row>
    <row r="26010">
      <c r="A26010" s="8" t="inlineStr">
        <is>
          <t>2026-08-05</t>
        </is>
      </c>
      <c r="B26010" s="8" t="n">
        <v>17</v>
      </c>
      <c r="C26010" s="8" t="n">
        <v>45</v>
      </c>
      <c r="D26010" s="8" t="inlineStr">
        <is>
          <t>Disneyland Park</t>
        </is>
      </c>
      <c r="E26010" s="8" t="inlineStr">
        <is>
          <t>Meet Mickey Mouse</t>
        </is>
      </c>
      <c r="F26010" s="8" t="inlineStr">
        <is>
          <t>STANDBY</t>
        </is>
      </c>
      <c r="G26010" s="8" t="n">
        <v>0</v>
      </c>
      <c r="H26010" s="8" t="inlineStr">
        <is>
          <t>OPERATING</t>
        </is>
      </c>
    </row>
    <row r="26011">
      <c r="A26011" s="8" t="inlineStr">
        <is>
          <t>2026-08-05</t>
        </is>
      </c>
      <c r="B26011" s="8" t="n">
        <v>17</v>
      </c>
      <c r="C26011" s="8" t="n">
        <v>45</v>
      </c>
      <c r="D26011" s="8" t="inlineStr">
        <is>
          <t>Disneyland Park</t>
        </is>
      </c>
      <c r="E26011" s="8" t="inlineStr">
        <is>
          <t>Peter Pan's Flight</t>
        </is>
      </c>
      <c r="F26011" s="8" t="inlineStr">
        <is>
          <t>STANDBY</t>
        </is>
      </c>
      <c r="G26011" s="8" t="n">
        <v>60</v>
      </c>
      <c r="H26011" s="8" t="inlineStr">
        <is>
          <t>OPERATING</t>
        </is>
      </c>
    </row>
    <row r="26012">
      <c r="A26012" s="8" t="inlineStr">
        <is>
          <t>2026-08-05</t>
        </is>
      </c>
      <c r="B26012" s="8" t="n">
        <v>17</v>
      </c>
      <c r="C26012" s="8" t="n">
        <v>45</v>
      </c>
      <c r="D26012" s="8" t="inlineStr">
        <is>
          <t>Disneyland Park</t>
        </is>
      </c>
      <c r="E26012" s="8" t="inlineStr">
        <is>
          <t>Princess Pavilion</t>
        </is>
      </c>
      <c r="F26012" s="8" t="inlineStr">
        <is>
          <t>STANDBY</t>
        </is>
      </c>
      <c r="G26012" s="8" t="n">
        <v>0</v>
      </c>
      <c r="H26012" s="8" t="inlineStr">
        <is>
          <t>OPERATING</t>
        </is>
      </c>
    </row>
    <row r="26013">
      <c r="A26013" s="8" t="inlineStr">
        <is>
          <t>2026-08-05</t>
        </is>
      </c>
      <c r="B26013" s="8" t="n">
        <v>17</v>
      </c>
      <c r="C26013" s="8" t="n">
        <v>45</v>
      </c>
      <c r="D26013" s="8" t="inlineStr">
        <is>
          <t>Disneyland Park</t>
        </is>
      </c>
      <c r="E26013" s="8" t="inlineStr">
        <is>
          <t>Big Thunder Mountain</t>
        </is>
      </c>
      <c r="F26013" s="8" t="inlineStr">
        <is>
          <t>STANDBY</t>
        </is>
      </c>
      <c r="G26013" s="8" t="n">
        <v>60</v>
      </c>
      <c r="H26013" s="8" t="inlineStr">
        <is>
          <t>OPERATING</t>
        </is>
      </c>
    </row>
    <row r="26014">
      <c r="A26014" s="8" t="inlineStr">
        <is>
          <t>2026-08-05</t>
        </is>
      </c>
      <c r="B26014" s="8" t="n">
        <v>17</v>
      </c>
      <c r="C26014" s="8" t="n">
        <v>45</v>
      </c>
      <c r="D26014" s="8" t="inlineStr">
        <is>
          <t>Disneyland Park</t>
        </is>
      </c>
      <c r="E26014" s="8" t="inlineStr">
        <is>
          <t>Disneyland Railroad Frontierland Depot</t>
        </is>
      </c>
      <c r="F26014" s="8" t="inlineStr">
        <is>
          <t>STANDBY</t>
        </is>
      </c>
      <c r="G26014" s="8" t="n">
        <v>30</v>
      </c>
      <c r="H26014" s="8" t="inlineStr">
        <is>
          <t>OPERATING</t>
        </is>
      </c>
    </row>
    <row r="26015">
      <c r="A26015" s="8" t="inlineStr">
        <is>
          <t>2026-08-05</t>
        </is>
      </c>
      <c r="B26015" s="8" t="n">
        <v>17</v>
      </c>
      <c r="C26015" s="8" t="n">
        <v>45</v>
      </c>
      <c r="D26015" s="8" t="inlineStr">
        <is>
          <t>Disneyland Park</t>
        </is>
      </c>
      <c r="E26015" s="8" t="inlineStr">
        <is>
          <t>Frontierland Playground</t>
        </is>
      </c>
      <c r="F26015" s="8" t="inlineStr">
        <is>
          <t>STANDBY</t>
        </is>
      </c>
      <c r="G26015" s="8" t="n">
        <v>0</v>
      </c>
      <c r="H26015" s="8" t="inlineStr">
        <is>
          <t>OPERATING</t>
        </is>
      </c>
    </row>
    <row r="26016">
      <c r="A26016" s="8" t="inlineStr">
        <is>
          <t>2026-08-05</t>
        </is>
      </c>
      <c r="B26016" s="8" t="n">
        <v>17</v>
      </c>
      <c r="C26016" s="8" t="n">
        <v>45</v>
      </c>
      <c r="D26016" s="8" t="inlineStr">
        <is>
          <t>Disneyland Park</t>
        </is>
      </c>
      <c r="E26016" s="8" t="inlineStr">
        <is>
          <t>Phantom Manor</t>
        </is>
      </c>
      <c r="F26016" s="8" t="inlineStr">
        <is>
          <t>STANDBY</t>
        </is>
      </c>
      <c r="G26016" s="8" t="n">
        <v>20</v>
      </c>
      <c r="H26016" s="8" t="inlineStr">
        <is>
          <t>OPERATING</t>
        </is>
      </c>
    </row>
    <row r="26017">
      <c r="A26017" s="8" t="inlineStr">
        <is>
          <t>2026-08-05</t>
        </is>
      </c>
      <c r="B26017" s="8" t="n">
        <v>17</v>
      </c>
      <c r="C26017" s="8" t="n">
        <v>45</v>
      </c>
      <c r="D26017" s="8" t="inlineStr">
        <is>
          <t>Disneyland Park</t>
        </is>
      </c>
      <c r="E26017" s="8" t="inlineStr">
        <is>
          <t>River Rogue Keelboats</t>
        </is>
      </c>
      <c r="F26017" s="8" t="inlineStr">
        <is>
          <t>STANDBY</t>
        </is>
      </c>
      <c r="G26017" s="8" t="n">
        <v>0</v>
      </c>
      <c r="H26017" s="8" t="inlineStr">
        <is>
          <t>CLOSED</t>
        </is>
      </c>
    </row>
    <row r="26018">
      <c r="A26018" s="8" t="inlineStr">
        <is>
          <t>2026-08-05</t>
        </is>
      </c>
      <c r="B26018" s="8" t="n">
        <v>17</v>
      </c>
      <c r="C26018" s="8" t="n">
        <v>45</v>
      </c>
      <c r="D26018" s="8" t="inlineStr">
        <is>
          <t>Disneyland Park</t>
        </is>
      </c>
      <c r="E26018" s="8" t="inlineStr">
        <is>
          <t>Rustler Roundup Shootin' Gallery</t>
        </is>
      </c>
      <c r="F26018" s="8" t="inlineStr">
        <is>
          <t>STANDBY</t>
        </is>
      </c>
      <c r="G26018" s="8" t="n">
        <v>0</v>
      </c>
      <c r="H26018" s="8" t="inlineStr">
        <is>
          <t>OPERATING</t>
        </is>
      </c>
    </row>
    <row r="26019">
      <c r="A26019" s="8" t="inlineStr">
        <is>
          <t>2026-08-05</t>
        </is>
      </c>
      <c r="B26019" s="8" t="n">
        <v>17</v>
      </c>
      <c r="C26019" s="8" t="n">
        <v>45</v>
      </c>
      <c r="D26019" s="8" t="inlineStr">
        <is>
          <t>Disneyland Park</t>
        </is>
      </c>
      <c r="E26019" s="8" t="inlineStr">
        <is>
          <t>Thunder Mesa Riverboat Landing</t>
        </is>
      </c>
      <c r="F26019" s="8" t="inlineStr">
        <is>
          <t>STANDBY</t>
        </is>
      </c>
      <c r="G26019" s="8" t="n">
        <v>20</v>
      </c>
      <c r="H26019" s="8" t="inlineStr">
        <is>
          <t>OPERATING</t>
        </is>
      </c>
    </row>
    <row r="26020">
      <c r="A26020" s="8" t="inlineStr">
        <is>
          <t>2026-08-05</t>
        </is>
      </c>
      <c r="B26020" s="8" t="n">
        <v>17</v>
      </c>
      <c r="C26020" s="8" t="n">
        <v>45</v>
      </c>
      <c r="D26020" s="8" t="inlineStr">
        <is>
          <t>Disneyland Park</t>
        </is>
      </c>
      <c r="E26020" s="8" t="inlineStr">
        <is>
          <t>Disneyland Railroad Main Street Station</t>
        </is>
      </c>
      <c r="F26020" s="8" t="inlineStr">
        <is>
          <t>STANDBY</t>
        </is>
      </c>
      <c r="G26020" s="8" t="n">
        <v>0</v>
      </c>
      <c r="H26020" s="8" t="inlineStr">
        <is>
          <t>OPERATING</t>
        </is>
      </c>
    </row>
    <row r="26021">
      <c r="A26021" s="8" t="inlineStr">
        <is>
          <t>2026-08-05</t>
        </is>
      </c>
      <c r="B26021" s="8" t="n">
        <v>17</v>
      </c>
      <c r="C26021" s="8" t="n">
        <v>45</v>
      </c>
      <c r="D26021" s="8" t="inlineStr">
        <is>
          <t>Disneyland Park</t>
        </is>
      </c>
      <c r="E26021" s="8" t="inlineStr">
        <is>
          <t>Main Street Vehicles</t>
        </is>
      </c>
      <c r="F26021" s="8" t="inlineStr">
        <is>
          <t>STANDBY</t>
        </is>
      </c>
      <c r="G26021" s="8" t="n">
        <v>0</v>
      </c>
      <c r="H26021" s="8" t="inlineStr">
        <is>
          <t>CLOSED</t>
        </is>
      </c>
    </row>
    <row r="26022">
      <c r="A26022" s="8" t="inlineStr">
        <is>
          <t>2026-08-05</t>
        </is>
      </c>
      <c r="B26022" s="8" t="n">
        <v>17</v>
      </c>
      <c r="C26022" s="8" t="n">
        <v>45</v>
      </c>
      <c r="D26022" s="8" t="inlineStr">
        <is>
          <t>Disney Adventure World</t>
        </is>
      </c>
      <c r="E26022" s="8" t="inlineStr">
        <is>
          <t>Avengers Assemble: Flight Force</t>
        </is>
      </c>
      <c r="F26022" s="8" t="inlineStr">
        <is>
          <t>STANDBY</t>
        </is>
      </c>
      <c r="G26022" s="8" t="n">
        <v>25</v>
      </c>
      <c r="H26022" s="8" t="inlineStr">
        <is>
          <t>OPERATING</t>
        </is>
      </c>
    </row>
    <row r="26023">
      <c r="A26023" s="8" t="inlineStr">
        <is>
          <t>2026-08-05</t>
        </is>
      </c>
      <c r="B26023" s="8" t="n">
        <v>17</v>
      </c>
      <c r="C26023" s="8" t="n">
        <v>45</v>
      </c>
      <c r="D26023" s="8" t="inlineStr">
        <is>
          <t>Disney Adventure World</t>
        </is>
      </c>
      <c r="E26023" s="8" t="inlineStr">
        <is>
          <t>Avengers Assemble: Flight Force Single Rider</t>
        </is>
      </c>
      <c r="F26023" s="8" t="inlineStr">
        <is>
          <t>STANDBY</t>
        </is>
      </c>
      <c r="G26023" s="8" t="n">
        <v>20</v>
      </c>
      <c r="H26023" s="8" t="inlineStr">
        <is>
          <t>OPERATING</t>
        </is>
      </c>
    </row>
    <row r="26024">
      <c r="A26024" s="8" t="inlineStr">
        <is>
          <t>2026-08-05</t>
        </is>
      </c>
      <c r="B26024" s="8" t="n">
        <v>17</v>
      </c>
      <c r="C26024" s="8" t="n">
        <v>45</v>
      </c>
      <c r="D26024" s="8" t="inlineStr">
        <is>
          <t>Disney Adventure World</t>
        </is>
      </c>
      <c r="E26024" s="8" t="inlineStr">
        <is>
          <t>Spider-Man W.E.B. Adventure</t>
        </is>
      </c>
      <c r="F26024" s="8" t="inlineStr">
        <is>
          <t>STANDBY</t>
        </is>
      </c>
      <c r="G26024" s="8" t="n">
        <v>50</v>
      </c>
      <c r="H26024" s="8" t="inlineStr">
        <is>
          <t>OPERATING</t>
        </is>
      </c>
    </row>
    <row r="26025">
      <c r="A26025" s="8" t="inlineStr">
        <is>
          <t>2026-08-05</t>
        </is>
      </c>
      <c r="B26025" s="8" t="n">
        <v>17</v>
      </c>
      <c r="C26025" s="8" t="n">
        <v>45</v>
      </c>
      <c r="D26025" s="8" t="inlineStr">
        <is>
          <t>Disney Adventure World</t>
        </is>
      </c>
      <c r="E26025" s="8" t="inlineStr">
        <is>
          <t>Spider-Man W.E.B. Adventure Single Rider</t>
        </is>
      </c>
      <c r="F26025" s="8" t="inlineStr">
        <is>
          <t>STANDBY</t>
        </is>
      </c>
      <c r="G26025" s="8" t="n">
        <v>30</v>
      </c>
      <c r="H26025" s="8" t="inlineStr">
        <is>
          <t>OPERATING</t>
        </is>
      </c>
    </row>
    <row r="26026">
      <c r="A26026" s="8" t="inlineStr">
        <is>
          <t>2026-08-05</t>
        </is>
      </c>
      <c r="B26026" s="8" t="n">
        <v>17</v>
      </c>
      <c r="C26026" s="8" t="n">
        <v>45</v>
      </c>
      <c r="D26026" s="8" t="inlineStr">
        <is>
          <t>Disney Adventure World</t>
        </is>
      </c>
      <c r="E26026" s="8" t="inlineStr">
        <is>
          <t>The Twilight Zone Tower of Terror</t>
        </is>
      </c>
      <c r="F26026" s="8" t="inlineStr">
        <is>
          <t>STANDBY</t>
        </is>
      </c>
      <c r="G26026" s="8" t="n">
        <v>30</v>
      </c>
      <c r="H26026" s="8" t="inlineStr">
        <is>
          <t>OPERATING</t>
        </is>
      </c>
    </row>
    <row r="26027">
      <c r="A26027" s="8" t="inlineStr">
        <is>
          <t>2026-08-05</t>
        </is>
      </c>
      <c r="B26027" s="8" t="n">
        <v>17</v>
      </c>
      <c r="C26027" s="8" t="n">
        <v>45</v>
      </c>
      <c r="D26027" s="8" t="inlineStr">
        <is>
          <t>Disney Adventure World</t>
        </is>
      </c>
      <c r="E26027" s="8" t="inlineStr">
        <is>
          <t>Cars Quatre Roues Rallye</t>
        </is>
      </c>
      <c r="F26027" s="8" t="inlineStr">
        <is>
          <t>STANDBY</t>
        </is>
      </c>
      <c r="G26027" s="8" t="n">
        <v>15</v>
      </c>
      <c r="H26027" s="8" t="inlineStr">
        <is>
          <t>OPERATING</t>
        </is>
      </c>
    </row>
    <row r="26028">
      <c r="A26028" s="8" t="inlineStr">
        <is>
          <t>2026-08-05</t>
        </is>
      </c>
      <c r="B26028" s="8" t="n">
        <v>17</v>
      </c>
      <c r="C26028" s="8" t="n">
        <v>45</v>
      </c>
      <c r="D26028" s="8" t="inlineStr">
        <is>
          <t>Disney Adventure World</t>
        </is>
      </c>
      <c r="E26028" s="8" t="inlineStr">
        <is>
          <t>Cars ROAD TRIP</t>
        </is>
      </c>
      <c r="F26028" s="8" t="inlineStr">
        <is>
          <t>STANDBY</t>
        </is>
      </c>
      <c r="G26028" s="8" t="n">
        <v>5</v>
      </c>
      <c r="H26028" s="8" t="inlineStr">
        <is>
          <t>OPERATING</t>
        </is>
      </c>
    </row>
    <row r="26029">
      <c r="A26029" s="8" t="inlineStr">
        <is>
          <t>2026-08-05</t>
        </is>
      </c>
      <c r="B26029" s="8" t="n">
        <v>17</v>
      </c>
      <c r="C26029" s="8" t="n">
        <v>45</v>
      </c>
      <c r="D26029" s="8" t="inlineStr">
        <is>
          <t>Disney Adventure World</t>
        </is>
      </c>
      <c r="E26029" s="8" t="inlineStr">
        <is>
          <t>Crush's Coaster</t>
        </is>
      </c>
      <c r="F26029" s="8" t="inlineStr">
        <is>
          <t>STANDBY</t>
        </is>
      </c>
      <c r="G26029" s="8" t="n">
        <v>90</v>
      </c>
      <c r="H26029" s="8" t="inlineStr">
        <is>
          <t>OPERATING</t>
        </is>
      </c>
    </row>
    <row r="26030">
      <c r="A26030" s="8" t="inlineStr">
        <is>
          <t>2026-08-05</t>
        </is>
      </c>
      <c r="B26030" s="8" t="n">
        <v>17</v>
      </c>
      <c r="C26030" s="8" t="n">
        <v>45</v>
      </c>
      <c r="D26030" s="8" t="inlineStr">
        <is>
          <t>Disney Adventure World</t>
        </is>
      </c>
      <c r="E26030" s="8" t="inlineStr">
        <is>
          <t>Crush's Coaster Single Rider</t>
        </is>
      </c>
      <c r="F26030" s="8" t="inlineStr">
        <is>
          <t>STANDBY</t>
        </is>
      </c>
      <c r="G26030" s="8" t="n">
        <v>45</v>
      </c>
      <c r="H26030" s="8" t="inlineStr">
        <is>
          <t>OPERATING</t>
        </is>
      </c>
    </row>
    <row r="26031">
      <c r="A26031" s="8" t="inlineStr">
        <is>
          <t>2026-08-05</t>
        </is>
      </c>
      <c r="B26031" s="8" t="n">
        <v>17</v>
      </c>
      <c r="C26031" s="8" t="n">
        <v>45</v>
      </c>
      <c r="D26031" s="8" t="inlineStr">
        <is>
          <t>Disney Adventure World</t>
        </is>
      </c>
      <c r="E26031" s="8" t="inlineStr">
        <is>
          <t>Les Tapis Volants - Flying Carpets Over Agrabah®</t>
        </is>
      </c>
      <c r="F26031" s="8" t="inlineStr">
        <is>
          <t>STANDBY</t>
        </is>
      </c>
      <c r="G26031" s="8" t="n">
        <v>20</v>
      </c>
      <c r="H26031" s="8" t="inlineStr">
        <is>
          <t>OPERATING</t>
        </is>
      </c>
    </row>
    <row r="26032">
      <c r="A26032" s="8" t="inlineStr">
        <is>
          <t>2026-08-05</t>
        </is>
      </c>
      <c r="B26032" s="8" t="n">
        <v>17</v>
      </c>
      <c r="C26032" s="8" t="n">
        <v>45</v>
      </c>
      <c r="D26032" s="8" t="inlineStr">
        <is>
          <t>Disney Adventure World</t>
        </is>
      </c>
      <c r="E26032" s="8" t="inlineStr">
        <is>
          <t>Ratatouille : L’Aventure Totalement Toquée de Rémy​</t>
        </is>
      </c>
      <c r="F26032" s="8" t="inlineStr">
        <is>
          <t>STANDBY</t>
        </is>
      </c>
      <c r="G26032" s="8" t="n">
        <v>80</v>
      </c>
      <c r="H26032" s="8" t="inlineStr">
        <is>
          <t>OPERATING</t>
        </is>
      </c>
    </row>
    <row r="26033">
      <c r="A26033" s="8" t="inlineStr">
        <is>
          <t>2026-08-05</t>
        </is>
      </c>
      <c r="B26033" s="8" t="n">
        <v>17</v>
      </c>
      <c r="C26033" s="8" t="n">
        <v>45</v>
      </c>
      <c r="D26033" s="8" t="inlineStr">
        <is>
          <t>Disney Adventure World</t>
        </is>
      </c>
      <c r="E26033" s="8" t="inlineStr">
        <is>
          <t>Ratatouille: The Adventure Single Rider</t>
        </is>
      </c>
      <c r="F26033" s="8" t="inlineStr">
        <is>
          <t>STANDBY</t>
        </is>
      </c>
      <c r="G26033" s="8" t="n">
        <v>10</v>
      </c>
      <c r="H26033" s="8" t="inlineStr">
        <is>
          <t>OPERATING</t>
        </is>
      </c>
    </row>
    <row r="26034">
      <c r="A26034" s="8" t="inlineStr">
        <is>
          <t>2026-08-05</t>
        </is>
      </c>
      <c r="B26034" s="8" t="n">
        <v>17</v>
      </c>
      <c r="C26034" s="8" t="n">
        <v>45</v>
      </c>
      <c r="D26034" s="8" t="inlineStr">
        <is>
          <t>Disney Adventure World</t>
        </is>
      </c>
      <c r="E26034" s="8" t="inlineStr">
        <is>
          <t>RC Racer</t>
        </is>
      </c>
      <c r="F26034" s="8" t="inlineStr">
        <is>
          <t>STANDBY</t>
        </is>
      </c>
      <c r="G26034" s="8" t="n">
        <v>50</v>
      </c>
      <c r="H26034" s="8" t="inlineStr">
        <is>
          <t>OPERATING</t>
        </is>
      </c>
    </row>
    <row r="26035">
      <c r="A26035" s="8" t="inlineStr">
        <is>
          <t>2026-08-05</t>
        </is>
      </c>
      <c r="B26035" s="8" t="n">
        <v>17</v>
      </c>
      <c r="C26035" s="8" t="n">
        <v>45</v>
      </c>
      <c r="D26035" s="8" t="inlineStr">
        <is>
          <t>Disney Adventure World</t>
        </is>
      </c>
      <c r="E26035" s="8" t="inlineStr">
        <is>
          <t>RC Racer Single Rider</t>
        </is>
      </c>
      <c r="F26035" s="8" t="inlineStr">
        <is>
          <t>STANDBY</t>
        </is>
      </c>
      <c r="G26035" s="8" t="n">
        <v>45</v>
      </c>
      <c r="H26035" s="8" t="inlineStr">
        <is>
          <t>OPERATING</t>
        </is>
      </c>
    </row>
    <row r="26036">
      <c r="A26036" s="8" t="inlineStr">
        <is>
          <t>2026-08-05</t>
        </is>
      </c>
      <c r="B26036" s="8" t="n">
        <v>17</v>
      </c>
      <c r="C26036" s="8" t="n">
        <v>45</v>
      </c>
      <c r="D26036" s="8" t="inlineStr">
        <is>
          <t>Disney Adventure World</t>
        </is>
      </c>
      <c r="E26036" s="8" t="inlineStr">
        <is>
          <t>Slinky® Dog Zigzag Spin</t>
        </is>
      </c>
      <c r="F26036" s="8" t="inlineStr">
        <is>
          <t>STANDBY</t>
        </is>
      </c>
      <c r="G26036" s="8" t="n">
        <v>15</v>
      </c>
      <c r="H26036" s="8" t="inlineStr">
        <is>
          <t>OPERATING</t>
        </is>
      </c>
    </row>
    <row r="26037">
      <c r="A26037" s="8" t="inlineStr">
        <is>
          <t>2026-08-05</t>
        </is>
      </c>
      <c r="B26037" s="8" t="n">
        <v>17</v>
      </c>
      <c r="C26037" s="8" t="n">
        <v>45</v>
      </c>
      <c r="D26037" s="8" t="inlineStr">
        <is>
          <t>Disney Adventure World</t>
        </is>
      </c>
      <c r="E26037" s="8" t="inlineStr">
        <is>
          <t>Toy Soldiers Parachute Drop</t>
        </is>
      </c>
      <c r="F26037" s="8" t="inlineStr">
        <is>
          <t>STANDBY</t>
        </is>
      </c>
      <c r="G26037" s="8" t="n">
        <v>45</v>
      </c>
      <c r="H26037" s="8" t="inlineStr">
        <is>
          <t>OPERATING</t>
        </is>
      </c>
    </row>
    <row r="26038">
      <c r="A26038" s="8" t="inlineStr">
        <is>
          <t>2026-08-05</t>
        </is>
      </c>
      <c r="B26038" s="8" t="n">
        <v>17</v>
      </c>
      <c r="C26038" s="8" t="n">
        <v>45</v>
      </c>
      <c r="D26038" s="8" t="inlineStr">
        <is>
          <t>Disney Adventure World</t>
        </is>
      </c>
      <c r="E26038" s="8" t="inlineStr">
        <is>
          <t>Toy Soldiers Parachute Drop Single Rider</t>
        </is>
      </c>
      <c r="F26038" s="8" t="inlineStr">
        <is>
          <t>STANDBY</t>
        </is>
      </c>
      <c r="G26038" s="8" t="n">
        <v>30</v>
      </c>
      <c r="H26038" s="8" t="inlineStr">
        <is>
          <t>OPERATING</t>
        </is>
      </c>
    </row>
    <row r="26039">
      <c r="A26039" s="8" t="inlineStr">
        <is>
          <t>2026-08-05</t>
        </is>
      </c>
      <c r="B26039" s="8" t="n">
        <v>17</v>
      </c>
      <c r="C26039" s="8" t="n">
        <v>45</v>
      </c>
      <c r="D26039" s="8" t="inlineStr">
        <is>
          <t>Disney Adventure World</t>
        </is>
      </c>
      <c r="E26039" s="8" t="inlineStr">
        <is>
          <t>Entry to World of Frozen</t>
        </is>
      </c>
      <c r="F26039" s="8" t="inlineStr">
        <is>
          <t>STANDBY</t>
        </is>
      </c>
      <c r="G26039" s="8" t="n">
        <v>0</v>
      </c>
      <c r="H26039" s="8" t="inlineStr">
        <is>
          <t>OPERATING</t>
        </is>
      </c>
    </row>
    <row r="26040">
      <c r="A26040" s="8" t="inlineStr">
        <is>
          <t>2026-08-05</t>
        </is>
      </c>
      <c r="B26040" s="8" t="n">
        <v>17</v>
      </c>
      <c r="C26040" s="8" t="n">
        <v>45</v>
      </c>
      <c r="D26040" s="8" t="inlineStr">
        <is>
          <t>Disney Adventure World</t>
        </is>
      </c>
      <c r="E26040" s="8" t="inlineStr">
        <is>
          <t>Frozen Ever After</t>
        </is>
      </c>
      <c r="F26040" s="8" t="inlineStr">
        <is>
          <t>STANDBY</t>
        </is>
      </c>
      <c r="G26040" s="8" t="n">
        <v>35</v>
      </c>
      <c r="H26040" s="8" t="inlineStr">
        <is>
          <t>OPERATING</t>
        </is>
      </c>
    </row>
    <row r="26041">
      <c r="A26041" s="8" t="inlineStr">
        <is>
          <t>2026-08-05</t>
        </is>
      </c>
      <c r="B26041" s="8" t="n">
        <v>17</v>
      </c>
      <c r="C26041" s="8" t="n">
        <v>45</v>
      </c>
      <c r="D26041" s="8" t="inlineStr">
        <is>
          <t>Disney Adventure World</t>
        </is>
      </c>
      <c r="E26041" s="8" t="inlineStr">
        <is>
          <t>Raiponce Tangled Spin</t>
        </is>
      </c>
      <c r="F26041" s="8" t="inlineStr">
        <is>
          <t>STANDBY</t>
        </is>
      </c>
      <c r="G26041" s="8" t="n">
        <v>10</v>
      </c>
      <c r="H26041" s="8" t="inlineStr">
        <is>
          <t>OPERATING</t>
        </is>
      </c>
    </row>
    <row r="26042">
      <c r="A26042" s="8" t="inlineStr">
        <is>
          <t>2026-08-05</t>
        </is>
      </c>
      <c r="B26042" s="8" t="n">
        <v>18</v>
      </c>
      <c r="C26042" s="8" t="n">
        <v>1</v>
      </c>
      <c r="D26042" s="8" t="inlineStr">
        <is>
          <t>Disneyland Park</t>
        </is>
      </c>
      <c r="E26042" s="8" t="inlineStr">
        <is>
          <t>Adventure Isle</t>
        </is>
      </c>
      <c r="F26042" s="8" t="inlineStr">
        <is>
          <t>STANDBY</t>
        </is>
      </c>
      <c r="G26042" s="8" t="n">
        <v>0</v>
      </c>
      <c r="H26042" s="8" t="inlineStr">
        <is>
          <t>OPERATING</t>
        </is>
      </c>
    </row>
    <row r="26043">
      <c r="A26043" s="8" t="inlineStr">
        <is>
          <t>2026-08-05</t>
        </is>
      </c>
      <c r="B26043" s="8" t="n">
        <v>18</v>
      </c>
      <c r="C26043" s="8" t="n">
        <v>1</v>
      </c>
      <c r="D26043" s="8" t="inlineStr">
        <is>
          <t>Disneyland Park</t>
        </is>
      </c>
      <c r="E26043" s="8" t="inlineStr">
        <is>
          <t>Indiana Jones and the Temple of Peril Single Rider</t>
        </is>
      </c>
      <c r="F26043" s="8" t="inlineStr">
        <is>
          <t>STANDBY</t>
        </is>
      </c>
      <c r="G26043" s="8" t="n">
        <v>10</v>
      </c>
      <c r="H26043" s="8" t="inlineStr">
        <is>
          <t>OPERATING</t>
        </is>
      </c>
    </row>
    <row r="26044">
      <c r="A26044" s="8" t="inlineStr">
        <is>
          <t>2026-08-05</t>
        </is>
      </c>
      <c r="B26044" s="8" t="n">
        <v>18</v>
      </c>
      <c r="C26044" s="8" t="n">
        <v>1</v>
      </c>
      <c r="D26044" s="8" t="inlineStr">
        <is>
          <t>Disneyland Park</t>
        </is>
      </c>
      <c r="E26044" s="8" t="inlineStr">
        <is>
          <t>Indiana Jones™ and the Temple of Peril</t>
        </is>
      </c>
      <c r="F26044" s="8" t="inlineStr">
        <is>
          <t>STANDBY</t>
        </is>
      </c>
      <c r="G26044" s="8" t="n">
        <v>25</v>
      </c>
      <c r="H26044" s="8" t="inlineStr">
        <is>
          <t>OPERATING</t>
        </is>
      </c>
    </row>
    <row r="26045">
      <c r="A26045" s="8" t="inlineStr">
        <is>
          <t>2026-08-05</t>
        </is>
      </c>
      <c r="B26045" s="8" t="n">
        <v>18</v>
      </c>
      <c r="C26045" s="8" t="n">
        <v>1</v>
      </c>
      <c r="D26045" s="8" t="inlineStr">
        <is>
          <t>Disneyland Park</t>
        </is>
      </c>
      <c r="E26045" s="8" t="inlineStr">
        <is>
          <t>La Cabane des Robinson</t>
        </is>
      </c>
      <c r="F26045" s="8" t="inlineStr">
        <is>
          <t>STANDBY</t>
        </is>
      </c>
      <c r="G26045" s="8" t="n">
        <v>5</v>
      </c>
      <c r="H26045" s="8" t="inlineStr">
        <is>
          <t>OPERATING</t>
        </is>
      </c>
    </row>
    <row r="26046">
      <c r="A26046" s="8" t="inlineStr">
        <is>
          <t>2026-08-05</t>
        </is>
      </c>
      <c r="B26046" s="8" t="n">
        <v>18</v>
      </c>
      <c r="C26046" s="8" t="n">
        <v>1</v>
      </c>
      <c r="D26046" s="8" t="inlineStr">
        <is>
          <t>Disneyland Park</t>
        </is>
      </c>
      <c r="E26046" s="8" t="inlineStr">
        <is>
          <t>Le Passage Enchanté d'Aladdin</t>
        </is>
      </c>
      <c r="F26046" s="8" t="inlineStr">
        <is>
          <t>STANDBY</t>
        </is>
      </c>
      <c r="G26046" s="8" t="n">
        <v>0</v>
      </c>
      <c r="H26046" s="8" t="inlineStr">
        <is>
          <t>OPERATING</t>
        </is>
      </c>
    </row>
    <row r="26047">
      <c r="A26047" s="8" t="inlineStr">
        <is>
          <t>2026-08-05</t>
        </is>
      </c>
      <c r="B26047" s="8" t="n">
        <v>18</v>
      </c>
      <c r="C26047" s="8" t="n">
        <v>1</v>
      </c>
      <c r="D26047" s="8" t="inlineStr">
        <is>
          <t>Disneyland Park</t>
        </is>
      </c>
      <c r="E26047" s="8" t="inlineStr">
        <is>
          <t>Pirate Galleon</t>
        </is>
      </c>
      <c r="F26047" s="8" t="inlineStr">
        <is>
          <t>STANDBY</t>
        </is>
      </c>
      <c r="G26047" s="8" t="n">
        <v>0</v>
      </c>
      <c r="H26047" s="8" t="inlineStr">
        <is>
          <t>CLOSED</t>
        </is>
      </c>
    </row>
    <row r="26048">
      <c r="A26048" s="8" t="inlineStr">
        <is>
          <t>2026-08-05</t>
        </is>
      </c>
      <c r="B26048" s="8" t="n">
        <v>18</v>
      </c>
      <c r="C26048" s="8" t="n">
        <v>1</v>
      </c>
      <c r="D26048" s="8" t="inlineStr">
        <is>
          <t>Disneyland Park</t>
        </is>
      </c>
      <c r="E26048" s="8" t="inlineStr">
        <is>
          <t>Pirates of the Caribbean</t>
        </is>
      </c>
      <c r="F26048" s="8" t="inlineStr">
        <is>
          <t>STANDBY</t>
        </is>
      </c>
      <c r="G26048" s="8" t="n">
        <v>15</v>
      </c>
      <c r="H26048" s="8" t="inlineStr">
        <is>
          <t>OPERATING</t>
        </is>
      </c>
    </row>
    <row r="26049">
      <c r="A26049" s="8" t="inlineStr">
        <is>
          <t>2026-08-05</t>
        </is>
      </c>
      <c r="B26049" s="8" t="n">
        <v>18</v>
      </c>
      <c r="C26049" s="8" t="n">
        <v>1</v>
      </c>
      <c r="D26049" s="8" t="inlineStr">
        <is>
          <t>Disneyland Park</t>
        </is>
      </c>
      <c r="E26049" s="8" t="inlineStr">
        <is>
          <t>Pirates' Beach</t>
        </is>
      </c>
      <c r="F26049" s="8" t="inlineStr">
        <is>
          <t>STANDBY</t>
        </is>
      </c>
      <c r="G26049" s="8" t="n">
        <v>0</v>
      </c>
      <c r="H26049" s="8" t="inlineStr">
        <is>
          <t>OPERATING</t>
        </is>
      </c>
    </row>
    <row r="26050">
      <c r="A26050" s="8" t="inlineStr">
        <is>
          <t>2026-08-05</t>
        </is>
      </c>
      <c r="B26050" s="8" t="n">
        <v>18</v>
      </c>
      <c r="C26050" s="8" t="n">
        <v>1</v>
      </c>
      <c r="D26050" s="8" t="inlineStr">
        <is>
          <t>Disneyland Park</t>
        </is>
      </c>
      <c r="E26050" s="8" t="inlineStr">
        <is>
          <t>Autopia, presented by Avis</t>
        </is>
      </c>
      <c r="F26050" s="8" t="inlineStr">
        <is>
          <t>STANDBY</t>
        </is>
      </c>
      <c r="G26050" s="8" t="n">
        <v>40</v>
      </c>
      <c r="H26050" s="8" t="inlineStr">
        <is>
          <t>OPERATING</t>
        </is>
      </c>
    </row>
    <row r="26051">
      <c r="A26051" s="8" t="inlineStr">
        <is>
          <t>2026-08-05</t>
        </is>
      </c>
      <c r="B26051" s="8" t="n">
        <v>18</v>
      </c>
      <c r="C26051" s="8" t="n">
        <v>1</v>
      </c>
      <c r="D26051" s="8" t="inlineStr">
        <is>
          <t>Disneyland Park</t>
        </is>
      </c>
      <c r="E26051" s="8" t="inlineStr">
        <is>
          <t>Buzz Lightyear Laser Blast</t>
        </is>
      </c>
      <c r="F26051" s="8" t="inlineStr">
        <is>
          <t>STANDBY</t>
        </is>
      </c>
      <c r="G26051" s="8" t="n">
        <v>40</v>
      </c>
      <c r="H26051" s="8" t="inlineStr">
        <is>
          <t>OPERATING</t>
        </is>
      </c>
    </row>
    <row r="26052">
      <c r="A26052" s="8" t="inlineStr">
        <is>
          <t>2026-08-05</t>
        </is>
      </c>
      <c r="B26052" s="8" t="n">
        <v>18</v>
      </c>
      <c r="C26052" s="8" t="n">
        <v>1</v>
      </c>
      <c r="D26052" s="8" t="inlineStr">
        <is>
          <t>Disneyland Park</t>
        </is>
      </c>
      <c r="E26052" s="8" t="inlineStr">
        <is>
          <t>Disneyland Railroad Discoveryland Station</t>
        </is>
      </c>
      <c r="F26052" s="8" t="inlineStr">
        <is>
          <t>STANDBY</t>
        </is>
      </c>
      <c r="G26052" s="8" t="n">
        <v>0</v>
      </c>
      <c r="H26052" s="8" t="inlineStr">
        <is>
          <t>CLOSED</t>
        </is>
      </c>
    </row>
    <row r="26053">
      <c r="A26053" s="8" t="inlineStr">
        <is>
          <t>2026-08-05</t>
        </is>
      </c>
      <c r="B26053" s="8" t="n">
        <v>18</v>
      </c>
      <c r="C26053" s="8" t="n">
        <v>1</v>
      </c>
      <c r="D26053" s="8" t="inlineStr">
        <is>
          <t>Disneyland Park</t>
        </is>
      </c>
      <c r="E26053" s="8" t="inlineStr">
        <is>
          <t>Les Mystères du Nautilus</t>
        </is>
      </c>
      <c r="F26053" s="8" t="inlineStr">
        <is>
          <t>STANDBY</t>
        </is>
      </c>
      <c r="G26053" s="8" t="n">
        <v>5</v>
      </c>
      <c r="H26053" s="8" t="inlineStr">
        <is>
          <t>OPERATING</t>
        </is>
      </c>
    </row>
    <row r="26054">
      <c r="A26054" s="8" t="inlineStr">
        <is>
          <t>2026-08-05</t>
        </is>
      </c>
      <c r="B26054" s="8" t="n">
        <v>18</v>
      </c>
      <c r="C26054" s="8" t="n">
        <v>1</v>
      </c>
      <c r="D26054" s="8" t="inlineStr">
        <is>
          <t>Disneyland Park</t>
        </is>
      </c>
      <c r="E26054" s="8" t="inlineStr">
        <is>
          <t>Mickey’s PhilharMagic</t>
        </is>
      </c>
      <c r="F26054" s="8" t="inlineStr">
        <is>
          <t>STANDBY</t>
        </is>
      </c>
      <c r="G26054" s="8" t="n">
        <v>0</v>
      </c>
      <c r="H26054" s="8" t="inlineStr">
        <is>
          <t>CLOSED</t>
        </is>
      </c>
    </row>
    <row r="26055">
      <c r="A26055" s="8" t="inlineStr">
        <is>
          <t>2026-08-05</t>
        </is>
      </c>
      <c r="B26055" s="8" t="n">
        <v>18</v>
      </c>
      <c r="C26055" s="8" t="n">
        <v>1</v>
      </c>
      <c r="D26055" s="8" t="inlineStr">
        <is>
          <t>Disneyland Park</t>
        </is>
      </c>
      <c r="E26055" s="8" t="inlineStr">
        <is>
          <t>Orbitron®</t>
        </is>
      </c>
      <c r="F26055" s="8" t="inlineStr">
        <is>
          <t>STANDBY</t>
        </is>
      </c>
      <c r="G26055" s="8" t="n">
        <v>45</v>
      </c>
      <c r="H26055" s="8" t="inlineStr">
        <is>
          <t>OPERATING</t>
        </is>
      </c>
    </row>
    <row r="26056">
      <c r="A26056" s="8" t="inlineStr">
        <is>
          <t>2026-08-05</t>
        </is>
      </c>
      <c r="B26056" s="8" t="n">
        <v>18</v>
      </c>
      <c r="C26056" s="8" t="n">
        <v>1</v>
      </c>
      <c r="D26056" s="8" t="inlineStr">
        <is>
          <t>Disneyland Park</t>
        </is>
      </c>
      <c r="E26056" s="8" t="inlineStr">
        <is>
          <t>Star Tours: The Adventures Continue*</t>
        </is>
      </c>
      <c r="F26056" s="8" t="inlineStr">
        <is>
          <t>STANDBY</t>
        </is>
      </c>
      <c r="G26056" s="8" t="n">
        <v>5</v>
      </c>
      <c r="H26056" s="8" t="inlineStr">
        <is>
          <t>OPERATING</t>
        </is>
      </c>
    </row>
    <row r="26057">
      <c r="A26057" s="8" t="inlineStr">
        <is>
          <t>2026-08-05</t>
        </is>
      </c>
      <c r="B26057" s="8" t="n">
        <v>18</v>
      </c>
      <c r="C26057" s="8" t="n">
        <v>1</v>
      </c>
      <c r="D26057" s="8" t="inlineStr">
        <is>
          <t>Disneyland Park</t>
        </is>
      </c>
      <c r="E26057" s="8" t="inlineStr">
        <is>
          <t>Star Wars Hyperspace Mountain</t>
        </is>
      </c>
      <c r="F26057" s="8" t="inlineStr">
        <is>
          <t>STANDBY</t>
        </is>
      </c>
      <c r="G26057" s="8" t="n">
        <v>30</v>
      </c>
      <c r="H26057" s="8" t="inlineStr">
        <is>
          <t>OPERATING</t>
        </is>
      </c>
    </row>
    <row r="26058">
      <c r="A26058" s="8" t="inlineStr">
        <is>
          <t>2026-08-05</t>
        </is>
      </c>
      <c r="B26058" s="8" t="n">
        <v>18</v>
      </c>
      <c r="C26058" s="8" t="n">
        <v>1</v>
      </c>
      <c r="D26058" s="8" t="inlineStr">
        <is>
          <t>Disneyland Park</t>
        </is>
      </c>
      <c r="E26058" s="8" t="inlineStr">
        <is>
          <t>Star Wars Hyperspace Mountain Single Rider</t>
        </is>
      </c>
      <c r="F26058" s="8" t="inlineStr">
        <is>
          <t>STANDBY</t>
        </is>
      </c>
      <c r="G26058" s="8" t="n">
        <v>25</v>
      </c>
      <c r="H26058" s="8" t="inlineStr">
        <is>
          <t>OPERATING</t>
        </is>
      </c>
    </row>
    <row r="26059">
      <c r="A26059" s="8" t="inlineStr">
        <is>
          <t>2026-08-05</t>
        </is>
      </c>
      <c r="B26059" s="8" t="n">
        <v>18</v>
      </c>
      <c r="C26059" s="8" t="n">
        <v>1</v>
      </c>
      <c r="D26059" s="8" t="inlineStr">
        <is>
          <t>Disneyland Park</t>
        </is>
      </c>
      <c r="E26059" s="8" t="inlineStr">
        <is>
          <t>Welcome to Starport: A Star Wars Encounter</t>
        </is>
      </c>
      <c r="F26059" s="8" t="inlineStr">
        <is>
          <t>STANDBY</t>
        </is>
      </c>
      <c r="G26059" s="8" t="n">
        <v>0</v>
      </c>
      <c r="H26059" s="8" t="inlineStr">
        <is>
          <t>CLOSED</t>
        </is>
      </c>
    </row>
    <row r="26060">
      <c r="A26060" s="8" t="inlineStr">
        <is>
          <t>2026-08-05</t>
        </is>
      </c>
      <c r="B26060" s="8" t="n">
        <v>18</v>
      </c>
      <c r="C26060" s="8" t="n">
        <v>1</v>
      </c>
      <c r="D26060" s="8" t="inlineStr">
        <is>
          <t>Disneyland Park</t>
        </is>
      </c>
      <c r="E26060" s="8" t="inlineStr">
        <is>
          <t>"it's a small world"</t>
        </is>
      </c>
      <c r="F26060" s="8" t="inlineStr">
        <is>
          <t>STANDBY</t>
        </is>
      </c>
      <c r="G26060" s="8" t="n">
        <v>5</v>
      </c>
      <c r="H26060" s="8" t="inlineStr">
        <is>
          <t>OPERATING</t>
        </is>
      </c>
    </row>
    <row r="26061">
      <c r="A26061" s="8" t="inlineStr">
        <is>
          <t>2026-08-05</t>
        </is>
      </c>
      <c r="B26061" s="8" t="n">
        <v>18</v>
      </c>
      <c r="C26061" s="8" t="n">
        <v>1</v>
      </c>
      <c r="D26061" s="8" t="inlineStr">
        <is>
          <t>Disneyland Park</t>
        </is>
      </c>
      <c r="E26061" s="8" t="inlineStr">
        <is>
          <t>Alice's Curious Labyrinth</t>
        </is>
      </c>
      <c r="F26061" s="8" t="inlineStr">
        <is>
          <t>STANDBY</t>
        </is>
      </c>
      <c r="G26061" s="8" t="n">
        <v>0</v>
      </c>
      <c r="H26061" s="8" t="inlineStr">
        <is>
          <t>CLOSED</t>
        </is>
      </c>
    </row>
    <row r="26062">
      <c r="A26062" s="8" t="inlineStr">
        <is>
          <t>2026-08-05</t>
        </is>
      </c>
      <c r="B26062" s="8" t="n">
        <v>18</v>
      </c>
      <c r="C26062" s="8" t="n">
        <v>1</v>
      </c>
      <c r="D26062" s="8" t="inlineStr">
        <is>
          <t>Disneyland Park</t>
        </is>
      </c>
      <c r="E26062" s="8" t="inlineStr">
        <is>
          <t>Blanche-Neige et les Sept Nains®</t>
        </is>
      </c>
      <c r="F26062" s="8" t="inlineStr">
        <is>
          <t>STANDBY</t>
        </is>
      </c>
      <c r="G26062" s="8" t="n">
        <v>30</v>
      </c>
      <c r="H26062" s="8" t="inlineStr">
        <is>
          <t>OPERATING</t>
        </is>
      </c>
    </row>
    <row r="26063">
      <c r="A26063" s="8" t="inlineStr">
        <is>
          <t>2026-08-05</t>
        </is>
      </c>
      <c r="B26063" s="8" t="n">
        <v>18</v>
      </c>
      <c r="C26063" s="8" t="n">
        <v>1</v>
      </c>
      <c r="D26063" s="8" t="inlineStr">
        <is>
          <t>Disneyland Park</t>
        </is>
      </c>
      <c r="E26063" s="8" t="inlineStr">
        <is>
          <t>Casey Jr. – le Petit Train du Cirque</t>
        </is>
      </c>
      <c r="F26063" s="8" t="inlineStr">
        <is>
          <t>STANDBY</t>
        </is>
      </c>
      <c r="G26063" s="8" t="n">
        <v>25</v>
      </c>
      <c r="H26063" s="8" t="inlineStr">
        <is>
          <t>OPERATING</t>
        </is>
      </c>
    </row>
    <row r="26064">
      <c r="A26064" s="8" t="inlineStr">
        <is>
          <t>2026-08-05</t>
        </is>
      </c>
      <c r="B26064" s="8" t="n">
        <v>18</v>
      </c>
      <c r="C26064" s="8" t="n">
        <v>1</v>
      </c>
      <c r="D26064" s="8" t="inlineStr">
        <is>
          <t>Disneyland Park</t>
        </is>
      </c>
      <c r="E26064" s="8" t="inlineStr">
        <is>
          <t>Disneyland Railroad Fantasyland Station</t>
        </is>
      </c>
      <c r="F26064" s="8" t="inlineStr">
        <is>
          <t>STANDBY</t>
        </is>
      </c>
      <c r="G26064" s="8" t="n">
        <v>0</v>
      </c>
      <c r="H26064" s="8" t="inlineStr">
        <is>
          <t>CLOSED</t>
        </is>
      </c>
    </row>
    <row r="26065">
      <c r="A26065" s="8" t="inlineStr">
        <is>
          <t>2026-08-05</t>
        </is>
      </c>
      <c r="B26065" s="8" t="n">
        <v>18</v>
      </c>
      <c r="C26065" s="8" t="n">
        <v>1</v>
      </c>
      <c r="D26065" s="8" t="inlineStr">
        <is>
          <t>Disneyland Park</t>
        </is>
      </c>
      <c r="E26065" s="8" t="inlineStr">
        <is>
          <t>Disneyland Railroad Main Street Station</t>
        </is>
      </c>
      <c r="F26065" s="8" t="inlineStr">
        <is>
          <t>STANDBY</t>
        </is>
      </c>
      <c r="G26065" s="8" t="n">
        <v>20</v>
      </c>
      <c r="H26065" s="8" t="inlineStr">
        <is>
          <t>OPERATING</t>
        </is>
      </c>
    </row>
    <row r="26066">
      <c r="A26066" s="8" t="inlineStr">
        <is>
          <t>2026-08-05</t>
        </is>
      </c>
      <c r="B26066" s="8" t="n">
        <v>18</v>
      </c>
      <c r="C26066" s="8" t="n">
        <v>1</v>
      </c>
      <c r="D26066" s="8" t="inlineStr">
        <is>
          <t>Disneyland Park</t>
        </is>
      </c>
      <c r="E26066" s="8" t="inlineStr">
        <is>
          <t>Dumbo the Flying Elephant</t>
        </is>
      </c>
      <c r="F26066" s="8" t="inlineStr">
        <is>
          <t>STANDBY</t>
        </is>
      </c>
      <c r="G26066" s="8" t="n">
        <v>35</v>
      </c>
      <c r="H26066" s="8" t="inlineStr">
        <is>
          <t>OPERATING</t>
        </is>
      </c>
    </row>
    <row r="26067">
      <c r="A26067" s="8" t="inlineStr">
        <is>
          <t>2026-08-05</t>
        </is>
      </c>
      <c r="B26067" s="8" t="n">
        <v>18</v>
      </c>
      <c r="C26067" s="8" t="n">
        <v>1</v>
      </c>
      <c r="D26067" s="8" t="inlineStr">
        <is>
          <t>Disneyland Park</t>
        </is>
      </c>
      <c r="E26067" s="8" t="inlineStr">
        <is>
          <t>La Tanière du Dragon</t>
        </is>
      </c>
      <c r="F26067" s="8" t="inlineStr">
        <is>
          <t>STANDBY</t>
        </is>
      </c>
      <c r="G26067" s="8" t="n">
        <v>0</v>
      </c>
      <c r="H26067" s="8" t="inlineStr">
        <is>
          <t>OPERATING</t>
        </is>
      </c>
    </row>
    <row r="26068">
      <c r="A26068" s="8" t="inlineStr">
        <is>
          <t>2026-08-05</t>
        </is>
      </c>
      <c r="B26068" s="8" t="n">
        <v>18</v>
      </c>
      <c r="C26068" s="8" t="n">
        <v>1</v>
      </c>
      <c r="D26068" s="8" t="inlineStr">
        <is>
          <t>Disneyland Park</t>
        </is>
      </c>
      <c r="E26068" s="8" t="inlineStr">
        <is>
          <t>Le Carrousel de Lancelot</t>
        </is>
      </c>
      <c r="F26068" s="8" t="inlineStr">
        <is>
          <t>STANDBY</t>
        </is>
      </c>
      <c r="G26068" s="8" t="n">
        <v>10</v>
      </c>
      <c r="H26068" s="8" t="inlineStr">
        <is>
          <t>OPERATING</t>
        </is>
      </c>
    </row>
    <row r="26069">
      <c r="A26069" s="8" t="inlineStr">
        <is>
          <t>2026-08-05</t>
        </is>
      </c>
      <c r="B26069" s="8" t="n">
        <v>18</v>
      </c>
      <c r="C26069" s="8" t="n">
        <v>1</v>
      </c>
      <c r="D26069" s="8" t="inlineStr">
        <is>
          <t>Disneyland Park</t>
        </is>
      </c>
      <c r="E26069" s="8" t="inlineStr">
        <is>
          <t>Le Pays des Contes de Fées, presented by Vittel</t>
        </is>
      </c>
      <c r="F26069" s="8" t="inlineStr">
        <is>
          <t>STANDBY</t>
        </is>
      </c>
      <c r="G26069" s="8" t="n">
        <v>5</v>
      </c>
      <c r="H26069" s="8" t="inlineStr">
        <is>
          <t>OPERATING</t>
        </is>
      </c>
    </row>
    <row r="26070">
      <c r="A26070" s="8" t="inlineStr">
        <is>
          <t>2026-08-05</t>
        </is>
      </c>
      <c r="B26070" s="8" t="n">
        <v>18</v>
      </c>
      <c r="C26070" s="8" t="n">
        <v>1</v>
      </c>
      <c r="D26070" s="8" t="inlineStr">
        <is>
          <t>Disneyland Park</t>
        </is>
      </c>
      <c r="E26070" s="8" t="inlineStr">
        <is>
          <t>Les Voyages de Pinocchio</t>
        </is>
      </c>
      <c r="F26070" s="8" t="inlineStr">
        <is>
          <t>STANDBY</t>
        </is>
      </c>
      <c r="G26070" s="8" t="n">
        <v>20</v>
      </c>
      <c r="H26070" s="8" t="inlineStr">
        <is>
          <t>OPERATING</t>
        </is>
      </c>
    </row>
    <row r="26071">
      <c r="A26071" s="8" t="inlineStr">
        <is>
          <t>2026-08-05</t>
        </is>
      </c>
      <c r="B26071" s="8" t="n">
        <v>18</v>
      </c>
      <c r="C26071" s="8" t="n">
        <v>1</v>
      </c>
      <c r="D26071" s="8" t="inlineStr">
        <is>
          <t>Disneyland Park</t>
        </is>
      </c>
      <c r="E26071" s="8" t="inlineStr">
        <is>
          <t>Mad Hatter's Tea Cups</t>
        </is>
      </c>
      <c r="F26071" s="8" t="inlineStr">
        <is>
          <t>STANDBY</t>
        </is>
      </c>
      <c r="G26071" s="8" t="n">
        <v>10</v>
      </c>
      <c r="H26071" s="8" t="inlineStr">
        <is>
          <t>OPERATING</t>
        </is>
      </c>
    </row>
    <row r="26072">
      <c r="A26072" s="8" t="inlineStr">
        <is>
          <t>2026-08-05</t>
        </is>
      </c>
      <c r="B26072" s="8" t="n">
        <v>18</v>
      </c>
      <c r="C26072" s="8" t="n">
        <v>1</v>
      </c>
      <c r="D26072" s="8" t="inlineStr">
        <is>
          <t>Disneyland Park</t>
        </is>
      </c>
      <c r="E26072" s="8" t="inlineStr">
        <is>
          <t>Meet Mickey Mouse</t>
        </is>
      </c>
      <c r="F26072" s="8" t="inlineStr">
        <is>
          <t>STANDBY</t>
        </is>
      </c>
      <c r="G26072" s="8" t="n">
        <v>0</v>
      </c>
      <c r="H26072" s="8" t="inlineStr">
        <is>
          <t>OPERATING</t>
        </is>
      </c>
    </row>
    <row r="26073">
      <c r="A26073" s="8" t="inlineStr">
        <is>
          <t>2026-08-05</t>
        </is>
      </c>
      <c r="B26073" s="8" t="n">
        <v>18</v>
      </c>
      <c r="C26073" s="8" t="n">
        <v>1</v>
      </c>
      <c r="D26073" s="8" t="inlineStr">
        <is>
          <t>Disneyland Park</t>
        </is>
      </c>
      <c r="E26073" s="8" t="inlineStr">
        <is>
          <t>Peter Pan's Flight</t>
        </is>
      </c>
      <c r="F26073" s="8" t="inlineStr">
        <is>
          <t>STANDBY</t>
        </is>
      </c>
      <c r="G26073" s="8" t="n">
        <v>60</v>
      </c>
      <c r="H26073" s="8" t="inlineStr">
        <is>
          <t>OPERATING</t>
        </is>
      </c>
    </row>
    <row r="26074">
      <c r="A26074" s="8" t="inlineStr">
        <is>
          <t>2026-08-05</t>
        </is>
      </c>
      <c r="B26074" s="8" t="n">
        <v>18</v>
      </c>
      <c r="C26074" s="8" t="n">
        <v>1</v>
      </c>
      <c r="D26074" s="8" t="inlineStr">
        <is>
          <t>Disneyland Park</t>
        </is>
      </c>
      <c r="E26074" s="8" t="inlineStr">
        <is>
          <t>Princess Pavilion</t>
        </is>
      </c>
      <c r="F26074" s="8" t="inlineStr">
        <is>
          <t>STANDBY</t>
        </is>
      </c>
      <c r="G26074" s="8" t="n">
        <v>0</v>
      </c>
      <c r="H26074" s="8" t="inlineStr">
        <is>
          <t>OPERATING</t>
        </is>
      </c>
    </row>
    <row r="26075">
      <c r="A26075" s="8" t="inlineStr">
        <is>
          <t>2026-08-05</t>
        </is>
      </c>
      <c r="B26075" s="8" t="n">
        <v>18</v>
      </c>
      <c r="C26075" s="8" t="n">
        <v>1</v>
      </c>
      <c r="D26075" s="8" t="inlineStr">
        <is>
          <t>Disneyland Park</t>
        </is>
      </c>
      <c r="E26075" s="8" t="inlineStr">
        <is>
          <t>Big Thunder Mountain</t>
        </is>
      </c>
      <c r="F26075" s="8" t="inlineStr">
        <is>
          <t>STANDBY</t>
        </is>
      </c>
      <c r="G26075" s="8" t="n">
        <v>65</v>
      </c>
      <c r="H26075" s="8" t="inlineStr">
        <is>
          <t>OPERATING</t>
        </is>
      </c>
    </row>
    <row r="26076">
      <c r="A26076" s="8" t="inlineStr">
        <is>
          <t>2026-08-05</t>
        </is>
      </c>
      <c r="B26076" s="8" t="n">
        <v>18</v>
      </c>
      <c r="C26076" s="8" t="n">
        <v>1</v>
      </c>
      <c r="D26076" s="8" t="inlineStr">
        <is>
          <t>Disneyland Park</t>
        </is>
      </c>
      <c r="E26076" s="8" t="inlineStr">
        <is>
          <t>Disneyland Railroad Frontierland Depot</t>
        </is>
      </c>
      <c r="F26076" s="8" t="inlineStr">
        <is>
          <t>STANDBY</t>
        </is>
      </c>
      <c r="G26076" s="8" t="n">
        <v>30</v>
      </c>
      <c r="H26076" s="8" t="inlineStr">
        <is>
          <t>OPERATING</t>
        </is>
      </c>
    </row>
    <row r="26077">
      <c r="A26077" s="8" t="inlineStr">
        <is>
          <t>2026-08-05</t>
        </is>
      </c>
      <c r="B26077" s="8" t="n">
        <v>18</v>
      </c>
      <c r="C26077" s="8" t="n">
        <v>1</v>
      </c>
      <c r="D26077" s="8" t="inlineStr">
        <is>
          <t>Disneyland Park</t>
        </is>
      </c>
      <c r="E26077" s="8" t="inlineStr">
        <is>
          <t>Frontierland Playground</t>
        </is>
      </c>
      <c r="F26077" s="8" t="inlineStr">
        <is>
          <t>STANDBY</t>
        </is>
      </c>
      <c r="G26077" s="8" t="n">
        <v>0</v>
      </c>
      <c r="H26077" s="8" t="inlineStr">
        <is>
          <t>OPERATING</t>
        </is>
      </c>
    </row>
    <row r="26078">
      <c r="A26078" s="8" t="inlineStr">
        <is>
          <t>2026-08-05</t>
        </is>
      </c>
      <c r="B26078" s="8" t="n">
        <v>18</v>
      </c>
      <c r="C26078" s="8" t="n">
        <v>1</v>
      </c>
      <c r="D26078" s="8" t="inlineStr">
        <is>
          <t>Disneyland Park</t>
        </is>
      </c>
      <c r="E26078" s="8" t="inlineStr">
        <is>
          <t>Phantom Manor</t>
        </is>
      </c>
      <c r="F26078" s="8" t="inlineStr">
        <is>
          <t>STANDBY</t>
        </is>
      </c>
      <c r="G26078" s="8" t="n">
        <v>15</v>
      </c>
      <c r="H26078" s="8" t="inlineStr">
        <is>
          <t>OPERATING</t>
        </is>
      </c>
    </row>
    <row r="26079">
      <c r="A26079" s="8" t="inlineStr">
        <is>
          <t>2026-08-05</t>
        </is>
      </c>
      <c r="B26079" s="8" t="n">
        <v>18</v>
      </c>
      <c r="C26079" s="8" t="n">
        <v>1</v>
      </c>
      <c r="D26079" s="8" t="inlineStr">
        <is>
          <t>Disneyland Park</t>
        </is>
      </c>
      <c r="E26079" s="8" t="inlineStr">
        <is>
          <t>River Rogue Keelboats</t>
        </is>
      </c>
      <c r="F26079" s="8" t="inlineStr">
        <is>
          <t>STANDBY</t>
        </is>
      </c>
      <c r="G26079" s="8" t="n">
        <v>0</v>
      </c>
      <c r="H26079" s="8" t="inlineStr">
        <is>
          <t>CLOSED</t>
        </is>
      </c>
    </row>
    <row r="26080">
      <c r="A26080" s="8" t="inlineStr">
        <is>
          <t>2026-08-05</t>
        </is>
      </c>
      <c r="B26080" s="8" t="n">
        <v>18</v>
      </c>
      <c r="C26080" s="8" t="n">
        <v>1</v>
      </c>
      <c r="D26080" s="8" t="inlineStr">
        <is>
          <t>Disneyland Park</t>
        </is>
      </c>
      <c r="E26080" s="8" t="inlineStr">
        <is>
          <t>Rustler Roundup Shootin' Gallery</t>
        </is>
      </c>
      <c r="F26080" s="8" t="inlineStr">
        <is>
          <t>STANDBY</t>
        </is>
      </c>
      <c r="G26080" s="8" t="n">
        <v>0</v>
      </c>
      <c r="H26080" s="8" t="inlineStr">
        <is>
          <t>OPERATING</t>
        </is>
      </c>
    </row>
    <row r="26081">
      <c r="A26081" s="8" t="inlineStr">
        <is>
          <t>2026-08-05</t>
        </is>
      </c>
      <c r="B26081" s="8" t="n">
        <v>18</v>
      </c>
      <c r="C26081" s="8" t="n">
        <v>1</v>
      </c>
      <c r="D26081" s="8" t="inlineStr">
        <is>
          <t>Disneyland Park</t>
        </is>
      </c>
      <c r="E26081" s="8" t="inlineStr">
        <is>
          <t>Thunder Mesa Riverboat Landing</t>
        </is>
      </c>
      <c r="F26081" s="8" t="inlineStr">
        <is>
          <t>STANDBY</t>
        </is>
      </c>
      <c r="G26081" s="8" t="n">
        <v>20</v>
      </c>
      <c r="H26081" s="8" t="inlineStr">
        <is>
          <t>OPERATING</t>
        </is>
      </c>
    </row>
    <row r="26082">
      <c r="A26082" s="8" t="inlineStr">
        <is>
          <t>2026-08-05</t>
        </is>
      </c>
      <c r="B26082" s="8" t="n">
        <v>18</v>
      </c>
      <c r="C26082" s="8" t="n">
        <v>1</v>
      </c>
      <c r="D26082" s="8" t="inlineStr">
        <is>
          <t>Disneyland Park</t>
        </is>
      </c>
      <c r="E26082" s="8" t="inlineStr">
        <is>
          <t>Disneyland Railroad Main Street Station</t>
        </is>
      </c>
      <c r="F26082" s="8" t="inlineStr">
        <is>
          <t>STANDBY</t>
        </is>
      </c>
      <c r="G26082" s="8" t="n">
        <v>0</v>
      </c>
      <c r="H26082" s="8" t="inlineStr">
        <is>
          <t>OPERATING</t>
        </is>
      </c>
    </row>
    <row r="26083">
      <c r="A26083" s="8" t="inlineStr">
        <is>
          <t>2026-08-05</t>
        </is>
      </c>
      <c r="B26083" s="8" t="n">
        <v>18</v>
      </c>
      <c r="C26083" s="8" t="n">
        <v>1</v>
      </c>
      <c r="D26083" s="8" t="inlineStr">
        <is>
          <t>Disneyland Park</t>
        </is>
      </c>
      <c r="E26083" s="8" t="inlineStr">
        <is>
          <t>Main Street Vehicles</t>
        </is>
      </c>
      <c r="F26083" s="8" t="inlineStr">
        <is>
          <t>STANDBY</t>
        </is>
      </c>
      <c r="G26083" s="8" t="n">
        <v>0</v>
      </c>
      <c r="H26083" s="8" t="inlineStr">
        <is>
          <t>CLOSED</t>
        </is>
      </c>
    </row>
    <row r="26084">
      <c r="A26084" s="8" t="inlineStr">
        <is>
          <t>2026-08-05</t>
        </is>
      </c>
      <c r="B26084" s="8" t="n">
        <v>18</v>
      </c>
      <c r="C26084" s="8" t="n">
        <v>1</v>
      </c>
      <c r="D26084" s="8" t="inlineStr">
        <is>
          <t>Disney Adventure World</t>
        </is>
      </c>
      <c r="E26084" s="8" t="inlineStr">
        <is>
          <t>Avengers Assemble: Flight Force</t>
        </is>
      </c>
      <c r="F26084" s="8" t="inlineStr">
        <is>
          <t>STANDBY</t>
        </is>
      </c>
      <c r="G26084" s="8" t="n">
        <v>25</v>
      </c>
      <c r="H26084" s="8" t="inlineStr">
        <is>
          <t>OPERATING</t>
        </is>
      </c>
    </row>
    <row r="26085">
      <c r="A26085" s="8" t="inlineStr">
        <is>
          <t>2026-08-05</t>
        </is>
      </c>
      <c r="B26085" s="8" t="n">
        <v>18</v>
      </c>
      <c r="C26085" s="8" t="n">
        <v>1</v>
      </c>
      <c r="D26085" s="8" t="inlineStr">
        <is>
          <t>Disney Adventure World</t>
        </is>
      </c>
      <c r="E26085" s="8" t="inlineStr">
        <is>
          <t>Avengers Assemble: Flight Force Single Rider</t>
        </is>
      </c>
      <c r="F26085" s="8" t="inlineStr">
        <is>
          <t>STANDBY</t>
        </is>
      </c>
      <c r="G26085" s="8" t="n">
        <v>15</v>
      </c>
      <c r="H26085" s="8" t="inlineStr">
        <is>
          <t>OPERATING</t>
        </is>
      </c>
    </row>
    <row r="26086">
      <c r="A26086" s="8" t="inlineStr">
        <is>
          <t>2026-08-05</t>
        </is>
      </c>
      <c r="B26086" s="8" t="n">
        <v>18</v>
      </c>
      <c r="C26086" s="8" t="n">
        <v>1</v>
      </c>
      <c r="D26086" s="8" t="inlineStr">
        <is>
          <t>Disney Adventure World</t>
        </is>
      </c>
      <c r="E26086" s="8" t="inlineStr">
        <is>
          <t>Spider-Man W.E.B. Adventure</t>
        </is>
      </c>
      <c r="F26086" s="8" t="inlineStr">
        <is>
          <t>STANDBY</t>
        </is>
      </c>
      <c r="G26086" s="8" t="n">
        <v>55</v>
      </c>
      <c r="H26086" s="8" t="inlineStr">
        <is>
          <t>OPERATING</t>
        </is>
      </c>
    </row>
    <row r="26087">
      <c r="A26087" s="8" t="inlineStr">
        <is>
          <t>2026-08-05</t>
        </is>
      </c>
      <c r="B26087" s="8" t="n">
        <v>18</v>
      </c>
      <c r="C26087" s="8" t="n">
        <v>1</v>
      </c>
      <c r="D26087" s="8" t="inlineStr">
        <is>
          <t>Disney Adventure World</t>
        </is>
      </c>
      <c r="E26087" s="8" t="inlineStr">
        <is>
          <t>Spider-Man W.E.B. Adventure Single Rider</t>
        </is>
      </c>
      <c r="F26087" s="8" t="inlineStr">
        <is>
          <t>STANDBY</t>
        </is>
      </c>
      <c r="G26087" s="8" t="n">
        <v>20</v>
      </c>
      <c r="H26087" s="8" t="inlineStr">
        <is>
          <t>OPERATING</t>
        </is>
      </c>
    </row>
    <row r="26088">
      <c r="A26088" s="8" t="inlineStr">
        <is>
          <t>2026-08-05</t>
        </is>
      </c>
      <c r="B26088" s="8" t="n">
        <v>18</v>
      </c>
      <c r="C26088" s="8" t="n">
        <v>1</v>
      </c>
      <c r="D26088" s="8" t="inlineStr">
        <is>
          <t>Disney Adventure World</t>
        </is>
      </c>
      <c r="E26088" s="8" t="inlineStr">
        <is>
          <t>The Twilight Zone Tower of Terror</t>
        </is>
      </c>
      <c r="F26088" s="8" t="inlineStr">
        <is>
          <t>STANDBY</t>
        </is>
      </c>
      <c r="G26088" s="8" t="n">
        <v>25</v>
      </c>
      <c r="H26088" s="8" t="inlineStr">
        <is>
          <t>OPERATING</t>
        </is>
      </c>
    </row>
    <row r="26089">
      <c r="A26089" s="8" t="inlineStr">
        <is>
          <t>2026-08-05</t>
        </is>
      </c>
      <c r="B26089" s="8" t="n">
        <v>18</v>
      </c>
      <c r="C26089" s="8" t="n">
        <v>1</v>
      </c>
      <c r="D26089" s="8" t="inlineStr">
        <is>
          <t>Disney Adventure World</t>
        </is>
      </c>
      <c r="E26089" s="8" t="inlineStr">
        <is>
          <t>Cars Quatre Roues Rallye</t>
        </is>
      </c>
      <c r="F26089" s="8" t="inlineStr">
        <is>
          <t>STANDBY</t>
        </is>
      </c>
      <c r="G26089" s="8" t="n">
        <v>10</v>
      </c>
      <c r="H26089" s="8" t="inlineStr">
        <is>
          <t>OPERATING</t>
        </is>
      </c>
    </row>
    <row r="26090">
      <c r="A26090" s="8" t="inlineStr">
        <is>
          <t>2026-08-05</t>
        </is>
      </c>
      <c r="B26090" s="8" t="n">
        <v>18</v>
      </c>
      <c r="C26090" s="8" t="n">
        <v>1</v>
      </c>
      <c r="D26090" s="8" t="inlineStr">
        <is>
          <t>Disney Adventure World</t>
        </is>
      </c>
      <c r="E26090" s="8" t="inlineStr">
        <is>
          <t>Cars ROAD TRIP</t>
        </is>
      </c>
      <c r="F26090" s="8" t="inlineStr">
        <is>
          <t>STANDBY</t>
        </is>
      </c>
      <c r="G26090" s="8" t="n">
        <v>5</v>
      </c>
      <c r="H26090" s="8" t="inlineStr">
        <is>
          <t>OPERATING</t>
        </is>
      </c>
    </row>
    <row r="26091">
      <c r="A26091" s="8" t="inlineStr">
        <is>
          <t>2026-08-05</t>
        </is>
      </c>
      <c r="B26091" s="8" t="n">
        <v>18</v>
      </c>
      <c r="C26091" s="8" t="n">
        <v>1</v>
      </c>
      <c r="D26091" s="8" t="inlineStr">
        <is>
          <t>Disney Adventure World</t>
        </is>
      </c>
      <c r="E26091" s="8" t="inlineStr">
        <is>
          <t>Crush's Coaster</t>
        </is>
      </c>
      <c r="F26091" s="8" t="inlineStr">
        <is>
          <t>STANDBY</t>
        </is>
      </c>
      <c r="G26091" s="8" t="n">
        <v>75</v>
      </c>
      <c r="H26091" s="8" t="inlineStr">
        <is>
          <t>OPERATING</t>
        </is>
      </c>
    </row>
    <row r="26092">
      <c r="A26092" s="8" t="inlineStr">
        <is>
          <t>2026-08-05</t>
        </is>
      </c>
      <c r="B26092" s="8" t="n">
        <v>18</v>
      </c>
      <c r="C26092" s="8" t="n">
        <v>1</v>
      </c>
      <c r="D26092" s="8" t="inlineStr">
        <is>
          <t>Disney Adventure World</t>
        </is>
      </c>
      <c r="E26092" s="8" t="inlineStr">
        <is>
          <t>Crush's Coaster Single Rider</t>
        </is>
      </c>
      <c r="F26092" s="8" t="inlineStr">
        <is>
          <t>STANDBY</t>
        </is>
      </c>
      <c r="G26092" s="8" t="n">
        <v>50</v>
      </c>
      <c r="H26092" s="8" t="inlineStr">
        <is>
          <t>OPERATING</t>
        </is>
      </c>
    </row>
    <row r="26093">
      <c r="A26093" s="8" t="inlineStr">
        <is>
          <t>2026-08-05</t>
        </is>
      </c>
      <c r="B26093" s="8" t="n">
        <v>18</v>
      </c>
      <c r="C26093" s="8" t="n">
        <v>1</v>
      </c>
      <c r="D26093" s="8" t="inlineStr">
        <is>
          <t>Disney Adventure World</t>
        </is>
      </c>
      <c r="E26093" s="8" t="inlineStr">
        <is>
          <t>Les Tapis Volants - Flying Carpets Over Agrabah®</t>
        </is>
      </c>
      <c r="F26093" s="8" t="inlineStr">
        <is>
          <t>STANDBY</t>
        </is>
      </c>
      <c r="G26093" s="8" t="n">
        <v>20</v>
      </c>
      <c r="H26093" s="8" t="inlineStr">
        <is>
          <t>OPERATING</t>
        </is>
      </c>
    </row>
    <row r="26094">
      <c r="A26094" s="8" t="inlineStr">
        <is>
          <t>2026-08-05</t>
        </is>
      </c>
      <c r="B26094" s="8" t="n">
        <v>18</v>
      </c>
      <c r="C26094" s="8" t="n">
        <v>1</v>
      </c>
      <c r="D26094" s="8" t="inlineStr">
        <is>
          <t>Disney Adventure World</t>
        </is>
      </c>
      <c r="E26094" s="8" t="inlineStr">
        <is>
          <t>Ratatouille : L’Aventure Totalement Toquée de Rémy​</t>
        </is>
      </c>
      <c r="F26094" s="8" t="inlineStr">
        <is>
          <t>STANDBY</t>
        </is>
      </c>
      <c r="G26094" s="8" t="n">
        <v>60</v>
      </c>
      <c r="H26094" s="8" t="inlineStr">
        <is>
          <t>OPERATING</t>
        </is>
      </c>
    </row>
    <row r="26095">
      <c r="A26095" s="8" t="inlineStr">
        <is>
          <t>2026-08-05</t>
        </is>
      </c>
      <c r="B26095" s="8" t="n">
        <v>18</v>
      </c>
      <c r="C26095" s="8" t="n">
        <v>1</v>
      </c>
      <c r="D26095" s="8" t="inlineStr">
        <is>
          <t>Disney Adventure World</t>
        </is>
      </c>
      <c r="E26095" s="8" t="inlineStr">
        <is>
          <t>Ratatouille: The Adventure Single Rider</t>
        </is>
      </c>
      <c r="F26095" s="8" t="inlineStr">
        <is>
          <t>STANDBY</t>
        </is>
      </c>
      <c r="G26095" s="8" t="n">
        <v>30</v>
      </c>
      <c r="H26095" s="8" t="inlineStr">
        <is>
          <t>OPERATING</t>
        </is>
      </c>
    </row>
    <row r="26096">
      <c r="A26096" s="8" t="inlineStr">
        <is>
          <t>2026-08-05</t>
        </is>
      </c>
      <c r="B26096" s="8" t="n">
        <v>18</v>
      </c>
      <c r="C26096" s="8" t="n">
        <v>1</v>
      </c>
      <c r="D26096" s="8" t="inlineStr">
        <is>
          <t>Disney Adventure World</t>
        </is>
      </c>
      <c r="E26096" s="8" t="inlineStr">
        <is>
          <t>RC Racer</t>
        </is>
      </c>
      <c r="F26096" s="8" t="inlineStr">
        <is>
          <t>STANDBY</t>
        </is>
      </c>
      <c r="G26096" s="8" t="n">
        <v>45</v>
      </c>
      <c r="H26096" s="8" t="inlineStr">
        <is>
          <t>OPERATING</t>
        </is>
      </c>
    </row>
    <row r="26097">
      <c r="A26097" s="8" t="inlineStr">
        <is>
          <t>2026-08-05</t>
        </is>
      </c>
      <c r="B26097" s="8" t="n">
        <v>18</v>
      </c>
      <c r="C26097" s="8" t="n">
        <v>1</v>
      </c>
      <c r="D26097" s="8" t="inlineStr">
        <is>
          <t>Disney Adventure World</t>
        </is>
      </c>
      <c r="E26097" s="8" t="inlineStr">
        <is>
          <t>RC Racer Single Rider</t>
        </is>
      </c>
      <c r="F26097" s="8" t="inlineStr">
        <is>
          <t>STANDBY</t>
        </is>
      </c>
      <c r="G26097" s="8" t="n">
        <v>40</v>
      </c>
      <c r="H26097" s="8" t="inlineStr">
        <is>
          <t>OPERATING</t>
        </is>
      </c>
    </row>
    <row r="26098">
      <c r="A26098" s="8" t="inlineStr">
        <is>
          <t>2026-08-05</t>
        </is>
      </c>
      <c r="B26098" s="8" t="n">
        <v>18</v>
      </c>
      <c r="C26098" s="8" t="n">
        <v>1</v>
      </c>
      <c r="D26098" s="8" t="inlineStr">
        <is>
          <t>Disney Adventure World</t>
        </is>
      </c>
      <c r="E26098" s="8" t="inlineStr">
        <is>
          <t>Slinky® Dog Zigzag Spin</t>
        </is>
      </c>
      <c r="F26098" s="8" t="inlineStr">
        <is>
          <t>STANDBY</t>
        </is>
      </c>
      <c r="G26098" s="8" t="n">
        <v>20</v>
      </c>
      <c r="H26098" s="8" t="inlineStr">
        <is>
          <t>OPERATING</t>
        </is>
      </c>
    </row>
    <row r="26099">
      <c r="A26099" s="8" t="inlineStr">
        <is>
          <t>2026-08-05</t>
        </is>
      </c>
      <c r="B26099" s="8" t="n">
        <v>18</v>
      </c>
      <c r="C26099" s="8" t="n">
        <v>1</v>
      </c>
      <c r="D26099" s="8" t="inlineStr">
        <is>
          <t>Disney Adventure World</t>
        </is>
      </c>
      <c r="E26099" s="8" t="inlineStr">
        <is>
          <t>Toy Soldiers Parachute Drop</t>
        </is>
      </c>
      <c r="F26099" s="8" t="inlineStr">
        <is>
          <t>STANDBY</t>
        </is>
      </c>
      <c r="G26099" s="8" t="n">
        <v>45</v>
      </c>
      <c r="H26099" s="8" t="inlineStr">
        <is>
          <t>OPERATING</t>
        </is>
      </c>
    </row>
    <row r="26100">
      <c r="A26100" s="8" t="inlineStr">
        <is>
          <t>2026-08-05</t>
        </is>
      </c>
      <c r="B26100" s="8" t="n">
        <v>18</v>
      </c>
      <c r="C26100" s="8" t="n">
        <v>1</v>
      </c>
      <c r="D26100" s="8" t="inlineStr">
        <is>
          <t>Disney Adventure World</t>
        </is>
      </c>
      <c r="E26100" s="8" t="inlineStr">
        <is>
          <t>Toy Soldiers Parachute Drop Single Rider</t>
        </is>
      </c>
      <c r="F26100" s="8" t="inlineStr">
        <is>
          <t>STANDBY</t>
        </is>
      </c>
      <c r="G26100" s="8" t="n">
        <v>30</v>
      </c>
      <c r="H26100" s="8" t="inlineStr">
        <is>
          <t>OPERATING</t>
        </is>
      </c>
    </row>
    <row r="26101">
      <c r="A26101" s="8" t="inlineStr">
        <is>
          <t>2026-08-05</t>
        </is>
      </c>
      <c r="B26101" s="8" t="n">
        <v>18</v>
      </c>
      <c r="C26101" s="8" t="n">
        <v>1</v>
      </c>
      <c r="D26101" s="8" t="inlineStr">
        <is>
          <t>Disney Adventure World</t>
        </is>
      </c>
      <c r="E26101" s="8" t="inlineStr">
        <is>
          <t>Entry to World of Frozen</t>
        </is>
      </c>
      <c r="F26101" s="8" t="inlineStr">
        <is>
          <t>STANDBY</t>
        </is>
      </c>
      <c r="G26101" s="8" t="n">
        <v>0</v>
      </c>
      <c r="H26101" s="8" t="inlineStr">
        <is>
          <t>OPERATING</t>
        </is>
      </c>
    </row>
    <row r="26102">
      <c r="A26102" s="8" t="inlineStr">
        <is>
          <t>2026-08-05</t>
        </is>
      </c>
      <c r="B26102" s="8" t="n">
        <v>18</v>
      </c>
      <c r="C26102" s="8" t="n">
        <v>1</v>
      </c>
      <c r="D26102" s="8" t="inlineStr">
        <is>
          <t>Disney Adventure World</t>
        </is>
      </c>
      <c r="E26102" s="8" t="inlineStr">
        <is>
          <t>Frozen Ever After</t>
        </is>
      </c>
      <c r="F26102" s="8" t="inlineStr">
        <is>
          <t>STANDBY</t>
        </is>
      </c>
      <c r="G26102" s="8" t="n">
        <v>55</v>
      </c>
      <c r="H26102" s="8" t="inlineStr">
        <is>
          <t>OPERATING</t>
        </is>
      </c>
    </row>
    <row r="26103">
      <c r="A26103" s="8" t="inlineStr">
        <is>
          <t>2026-08-05</t>
        </is>
      </c>
      <c r="B26103" s="8" t="n">
        <v>18</v>
      </c>
      <c r="C26103" s="8" t="n">
        <v>1</v>
      </c>
      <c r="D26103" s="8" t="inlineStr">
        <is>
          <t>Disney Adventure World</t>
        </is>
      </c>
      <c r="E26103" s="8" t="inlineStr">
        <is>
          <t>Raiponce Tangled Spin</t>
        </is>
      </c>
      <c r="F26103" s="8" t="inlineStr">
        <is>
          <t>STANDBY</t>
        </is>
      </c>
      <c r="G26103" s="8" t="n">
        <v>0</v>
      </c>
      <c r="H26103" s="8" t="inlineStr">
        <is>
          <t>CLOSED</t>
        </is>
      </c>
    </row>
    <row r="26104">
      <c r="A26104" s="8" t="inlineStr">
        <is>
          <t>2026-08-05</t>
        </is>
      </c>
      <c r="B26104" s="8" t="n">
        <v>18</v>
      </c>
      <c r="C26104" s="8" t="n">
        <v>15</v>
      </c>
      <c r="D26104" s="8" t="inlineStr">
        <is>
          <t>Disneyland Park</t>
        </is>
      </c>
      <c r="E26104" s="8" t="inlineStr">
        <is>
          <t>Adventure Isle</t>
        </is>
      </c>
      <c r="F26104" s="8" t="inlineStr">
        <is>
          <t>STANDBY</t>
        </is>
      </c>
      <c r="G26104" s="8" t="n">
        <v>0</v>
      </c>
      <c r="H26104" s="8" t="inlineStr">
        <is>
          <t>OPERATING</t>
        </is>
      </c>
    </row>
    <row r="26105">
      <c r="A26105" s="8" t="inlineStr">
        <is>
          <t>2026-08-05</t>
        </is>
      </c>
      <c r="B26105" s="8" t="n">
        <v>18</v>
      </c>
      <c r="C26105" s="8" t="n">
        <v>15</v>
      </c>
      <c r="D26105" s="8" t="inlineStr">
        <is>
          <t>Disneyland Park</t>
        </is>
      </c>
      <c r="E26105" s="8" t="inlineStr">
        <is>
          <t>Indiana Jones and the Temple of Peril Single Rider</t>
        </is>
      </c>
      <c r="F26105" s="8" t="inlineStr">
        <is>
          <t>STANDBY</t>
        </is>
      </c>
      <c r="G26105" s="8" t="n">
        <v>20</v>
      </c>
      <c r="H26105" s="8" t="inlineStr">
        <is>
          <t>OPERATING</t>
        </is>
      </c>
    </row>
    <row r="26106">
      <c r="A26106" s="8" t="inlineStr">
        <is>
          <t>2026-08-05</t>
        </is>
      </c>
      <c r="B26106" s="8" t="n">
        <v>18</v>
      </c>
      <c r="C26106" s="8" t="n">
        <v>15</v>
      </c>
      <c r="D26106" s="8" t="inlineStr">
        <is>
          <t>Disneyland Park</t>
        </is>
      </c>
      <c r="E26106" s="8" t="inlineStr">
        <is>
          <t>Indiana Jones™ and the Temple of Peril</t>
        </is>
      </c>
      <c r="F26106" s="8" t="inlineStr">
        <is>
          <t>STANDBY</t>
        </is>
      </c>
      <c r="G26106" s="8" t="n">
        <v>25</v>
      </c>
      <c r="H26106" s="8" t="inlineStr">
        <is>
          <t>OPERATING</t>
        </is>
      </c>
    </row>
    <row r="26107">
      <c r="A26107" s="8" t="inlineStr">
        <is>
          <t>2026-08-05</t>
        </is>
      </c>
      <c r="B26107" s="8" t="n">
        <v>18</v>
      </c>
      <c r="C26107" s="8" t="n">
        <v>15</v>
      </c>
      <c r="D26107" s="8" t="inlineStr">
        <is>
          <t>Disneyland Park</t>
        </is>
      </c>
      <c r="E26107" s="8" t="inlineStr">
        <is>
          <t>La Cabane des Robinson</t>
        </is>
      </c>
      <c r="F26107" s="8" t="inlineStr">
        <is>
          <t>STANDBY</t>
        </is>
      </c>
      <c r="G26107" s="8" t="n">
        <v>5</v>
      </c>
      <c r="H26107" s="8" t="inlineStr">
        <is>
          <t>OPERATING</t>
        </is>
      </c>
    </row>
    <row r="26108">
      <c r="A26108" s="8" t="inlineStr">
        <is>
          <t>2026-08-05</t>
        </is>
      </c>
      <c r="B26108" s="8" t="n">
        <v>18</v>
      </c>
      <c r="C26108" s="8" t="n">
        <v>15</v>
      </c>
      <c r="D26108" s="8" t="inlineStr">
        <is>
          <t>Disneyland Park</t>
        </is>
      </c>
      <c r="E26108" s="8" t="inlineStr">
        <is>
          <t>Le Passage Enchanté d'Aladdin</t>
        </is>
      </c>
      <c r="F26108" s="8" t="inlineStr">
        <is>
          <t>STANDBY</t>
        </is>
      </c>
      <c r="G26108" s="8" t="n">
        <v>0</v>
      </c>
      <c r="H26108" s="8" t="inlineStr">
        <is>
          <t>OPERATING</t>
        </is>
      </c>
    </row>
    <row r="26109">
      <c r="A26109" s="8" t="inlineStr">
        <is>
          <t>2026-08-05</t>
        </is>
      </c>
      <c r="B26109" s="8" t="n">
        <v>18</v>
      </c>
      <c r="C26109" s="8" t="n">
        <v>15</v>
      </c>
      <c r="D26109" s="8" t="inlineStr">
        <is>
          <t>Disneyland Park</t>
        </is>
      </c>
      <c r="E26109" s="8" t="inlineStr">
        <is>
          <t>Pirate Galleon</t>
        </is>
      </c>
      <c r="F26109" s="8" t="inlineStr">
        <is>
          <t>STANDBY</t>
        </is>
      </c>
      <c r="G26109" s="8" t="n">
        <v>0</v>
      </c>
      <c r="H26109" s="8" t="inlineStr">
        <is>
          <t>CLOSED</t>
        </is>
      </c>
    </row>
    <row r="26110">
      <c r="A26110" s="8" t="inlineStr">
        <is>
          <t>2026-08-05</t>
        </is>
      </c>
      <c r="B26110" s="8" t="n">
        <v>18</v>
      </c>
      <c r="C26110" s="8" t="n">
        <v>15</v>
      </c>
      <c r="D26110" s="8" t="inlineStr">
        <is>
          <t>Disneyland Park</t>
        </is>
      </c>
      <c r="E26110" s="8" t="inlineStr">
        <is>
          <t>Pirates of the Caribbean</t>
        </is>
      </c>
      <c r="F26110" s="8" t="inlineStr">
        <is>
          <t>STANDBY</t>
        </is>
      </c>
      <c r="G26110" s="8" t="n">
        <v>15</v>
      </c>
      <c r="H26110" s="8" t="inlineStr">
        <is>
          <t>OPERATING</t>
        </is>
      </c>
    </row>
    <row r="26111">
      <c r="A26111" s="8" t="inlineStr">
        <is>
          <t>2026-08-05</t>
        </is>
      </c>
      <c r="B26111" s="8" t="n">
        <v>18</v>
      </c>
      <c r="C26111" s="8" t="n">
        <v>15</v>
      </c>
      <c r="D26111" s="8" t="inlineStr">
        <is>
          <t>Disneyland Park</t>
        </is>
      </c>
      <c r="E26111" s="8" t="inlineStr">
        <is>
          <t>Pirates' Beach</t>
        </is>
      </c>
      <c r="F26111" s="8" t="inlineStr">
        <is>
          <t>STANDBY</t>
        </is>
      </c>
      <c r="G26111" s="8" t="n">
        <v>0</v>
      </c>
      <c r="H26111" s="8" t="inlineStr">
        <is>
          <t>OPERATING</t>
        </is>
      </c>
    </row>
    <row r="26112">
      <c r="A26112" s="8" t="inlineStr">
        <is>
          <t>2026-08-05</t>
        </is>
      </c>
      <c r="B26112" s="8" t="n">
        <v>18</v>
      </c>
      <c r="C26112" s="8" t="n">
        <v>15</v>
      </c>
      <c r="D26112" s="8" t="inlineStr">
        <is>
          <t>Disneyland Park</t>
        </is>
      </c>
      <c r="E26112" s="8" t="inlineStr">
        <is>
          <t>Autopia, presented by Avis</t>
        </is>
      </c>
      <c r="F26112" s="8" t="inlineStr">
        <is>
          <t>STANDBY</t>
        </is>
      </c>
      <c r="G26112" s="8" t="n">
        <v>50</v>
      </c>
      <c r="H26112" s="8" t="inlineStr">
        <is>
          <t>OPERATING</t>
        </is>
      </c>
    </row>
    <row r="26113">
      <c r="A26113" s="8" t="inlineStr">
        <is>
          <t>2026-08-05</t>
        </is>
      </c>
      <c r="B26113" s="8" t="n">
        <v>18</v>
      </c>
      <c r="C26113" s="8" t="n">
        <v>15</v>
      </c>
      <c r="D26113" s="8" t="inlineStr">
        <is>
          <t>Disneyland Park</t>
        </is>
      </c>
      <c r="E26113" s="8" t="inlineStr">
        <is>
          <t>Buzz Lightyear Laser Blast</t>
        </is>
      </c>
      <c r="F26113" s="8" t="inlineStr">
        <is>
          <t>STANDBY</t>
        </is>
      </c>
      <c r="G26113" s="8" t="n">
        <v>35</v>
      </c>
      <c r="H26113" s="8" t="inlineStr">
        <is>
          <t>OPERATING</t>
        </is>
      </c>
    </row>
    <row r="26114">
      <c r="A26114" s="8" t="inlineStr">
        <is>
          <t>2026-08-05</t>
        </is>
      </c>
      <c r="B26114" s="8" t="n">
        <v>18</v>
      </c>
      <c r="C26114" s="8" t="n">
        <v>15</v>
      </c>
      <c r="D26114" s="8" t="inlineStr">
        <is>
          <t>Disneyland Park</t>
        </is>
      </c>
      <c r="E26114" s="8" t="inlineStr">
        <is>
          <t>Disneyland Railroad Discoveryland Station</t>
        </is>
      </c>
      <c r="F26114" s="8" t="inlineStr">
        <is>
          <t>STANDBY</t>
        </is>
      </c>
      <c r="G26114" s="8" t="n">
        <v>0</v>
      </c>
      <c r="H26114" s="8" t="inlineStr">
        <is>
          <t>CLOSED</t>
        </is>
      </c>
    </row>
    <row r="26115">
      <c r="A26115" s="8" t="inlineStr">
        <is>
          <t>2026-08-05</t>
        </is>
      </c>
      <c r="B26115" s="8" t="n">
        <v>18</v>
      </c>
      <c r="C26115" s="8" t="n">
        <v>15</v>
      </c>
      <c r="D26115" s="8" t="inlineStr">
        <is>
          <t>Disneyland Park</t>
        </is>
      </c>
      <c r="E26115" s="8" t="inlineStr">
        <is>
          <t>Les Mystères du Nautilus</t>
        </is>
      </c>
      <c r="F26115" s="8" t="inlineStr">
        <is>
          <t>STANDBY</t>
        </is>
      </c>
      <c r="G26115" s="8" t="n">
        <v>5</v>
      </c>
      <c r="H26115" s="8" t="inlineStr">
        <is>
          <t>OPERATING</t>
        </is>
      </c>
    </row>
    <row r="26116">
      <c r="A26116" s="8" t="inlineStr">
        <is>
          <t>2026-08-05</t>
        </is>
      </c>
      <c r="B26116" s="8" t="n">
        <v>18</v>
      </c>
      <c r="C26116" s="8" t="n">
        <v>15</v>
      </c>
      <c r="D26116" s="8" t="inlineStr">
        <is>
          <t>Disneyland Park</t>
        </is>
      </c>
      <c r="E26116" s="8" t="inlineStr">
        <is>
          <t>Mickey’s PhilharMagic</t>
        </is>
      </c>
      <c r="F26116" s="8" t="inlineStr">
        <is>
          <t>STANDBY</t>
        </is>
      </c>
      <c r="G26116" s="8" t="n">
        <v>0</v>
      </c>
      <c r="H26116" s="8" t="inlineStr">
        <is>
          <t>CLOSED</t>
        </is>
      </c>
    </row>
    <row r="26117">
      <c r="A26117" s="8" t="inlineStr">
        <is>
          <t>2026-08-05</t>
        </is>
      </c>
      <c r="B26117" s="8" t="n">
        <v>18</v>
      </c>
      <c r="C26117" s="8" t="n">
        <v>15</v>
      </c>
      <c r="D26117" s="8" t="inlineStr">
        <is>
          <t>Disneyland Park</t>
        </is>
      </c>
      <c r="E26117" s="8" t="inlineStr">
        <is>
          <t>Orbitron®</t>
        </is>
      </c>
      <c r="F26117" s="8" t="inlineStr">
        <is>
          <t>STANDBY</t>
        </is>
      </c>
      <c r="G26117" s="8" t="n">
        <v>45</v>
      </c>
      <c r="H26117" s="8" t="inlineStr">
        <is>
          <t>OPERATING</t>
        </is>
      </c>
    </row>
    <row r="26118">
      <c r="A26118" s="8" t="inlineStr">
        <is>
          <t>2026-08-05</t>
        </is>
      </c>
      <c r="B26118" s="8" t="n">
        <v>18</v>
      </c>
      <c r="C26118" s="8" t="n">
        <v>15</v>
      </c>
      <c r="D26118" s="8" t="inlineStr">
        <is>
          <t>Disneyland Park</t>
        </is>
      </c>
      <c r="E26118" s="8" t="inlineStr">
        <is>
          <t>Star Tours: The Adventures Continue*</t>
        </is>
      </c>
      <c r="F26118" s="8" t="inlineStr">
        <is>
          <t>STANDBY</t>
        </is>
      </c>
      <c r="G26118" s="8" t="n">
        <v>5</v>
      </c>
      <c r="H26118" s="8" t="inlineStr">
        <is>
          <t>OPERATING</t>
        </is>
      </c>
    </row>
    <row r="26119">
      <c r="A26119" s="8" t="inlineStr">
        <is>
          <t>2026-08-05</t>
        </is>
      </c>
      <c r="B26119" s="8" t="n">
        <v>18</v>
      </c>
      <c r="C26119" s="8" t="n">
        <v>15</v>
      </c>
      <c r="D26119" s="8" t="inlineStr">
        <is>
          <t>Disneyland Park</t>
        </is>
      </c>
      <c r="E26119" s="8" t="inlineStr">
        <is>
          <t>Star Wars Hyperspace Mountain</t>
        </is>
      </c>
      <c r="F26119" s="8" t="inlineStr">
        <is>
          <t>STANDBY</t>
        </is>
      </c>
      <c r="G26119" s="8" t="n">
        <v>35</v>
      </c>
      <c r="H26119" s="8" t="inlineStr">
        <is>
          <t>OPERATING</t>
        </is>
      </c>
    </row>
    <row r="26120">
      <c r="A26120" s="8" t="inlineStr">
        <is>
          <t>2026-08-05</t>
        </is>
      </c>
      <c r="B26120" s="8" t="n">
        <v>18</v>
      </c>
      <c r="C26120" s="8" t="n">
        <v>15</v>
      </c>
      <c r="D26120" s="8" t="inlineStr">
        <is>
          <t>Disneyland Park</t>
        </is>
      </c>
      <c r="E26120" s="8" t="inlineStr">
        <is>
          <t>Star Wars Hyperspace Mountain Single Rider</t>
        </is>
      </c>
      <c r="F26120" s="8" t="inlineStr">
        <is>
          <t>STANDBY</t>
        </is>
      </c>
      <c r="G26120" s="8" t="n">
        <v>25</v>
      </c>
      <c r="H26120" s="8" t="inlineStr">
        <is>
          <t>OPERATING</t>
        </is>
      </c>
    </row>
    <row r="26121">
      <c r="A26121" s="8" t="inlineStr">
        <is>
          <t>2026-08-05</t>
        </is>
      </c>
      <c r="B26121" s="8" t="n">
        <v>18</v>
      </c>
      <c r="C26121" s="8" t="n">
        <v>15</v>
      </c>
      <c r="D26121" s="8" t="inlineStr">
        <is>
          <t>Disneyland Park</t>
        </is>
      </c>
      <c r="E26121" s="8" t="inlineStr">
        <is>
          <t>Welcome to Starport: A Star Wars Encounter</t>
        </is>
      </c>
      <c r="F26121" s="8" t="inlineStr">
        <is>
          <t>STANDBY</t>
        </is>
      </c>
      <c r="G26121" s="8" t="n">
        <v>0</v>
      </c>
      <c r="H26121" s="8" t="inlineStr">
        <is>
          <t>CLOSED</t>
        </is>
      </c>
    </row>
    <row r="26122">
      <c r="A26122" s="8" t="inlineStr">
        <is>
          <t>2026-08-05</t>
        </is>
      </c>
      <c r="B26122" s="8" t="n">
        <v>18</v>
      </c>
      <c r="C26122" s="8" t="n">
        <v>15</v>
      </c>
      <c r="D26122" s="8" t="inlineStr">
        <is>
          <t>Disneyland Park</t>
        </is>
      </c>
      <c r="E26122" s="8" t="inlineStr">
        <is>
          <t>"it's a small world"</t>
        </is>
      </c>
      <c r="F26122" s="8" t="inlineStr">
        <is>
          <t>STANDBY</t>
        </is>
      </c>
      <c r="G26122" s="8" t="n">
        <v>5</v>
      </c>
      <c r="H26122" s="8" t="inlineStr">
        <is>
          <t>OPERATING</t>
        </is>
      </c>
    </row>
    <row r="26123">
      <c r="A26123" s="8" t="inlineStr">
        <is>
          <t>2026-08-05</t>
        </is>
      </c>
      <c r="B26123" s="8" t="n">
        <v>18</v>
      </c>
      <c r="C26123" s="8" t="n">
        <v>15</v>
      </c>
      <c r="D26123" s="8" t="inlineStr">
        <is>
          <t>Disneyland Park</t>
        </is>
      </c>
      <c r="E26123" s="8" t="inlineStr">
        <is>
          <t>Alice's Curious Labyrinth</t>
        </is>
      </c>
      <c r="F26123" s="8" t="inlineStr">
        <is>
          <t>STANDBY</t>
        </is>
      </c>
      <c r="G26123" s="8" t="n">
        <v>5</v>
      </c>
      <c r="H26123" s="8" t="inlineStr">
        <is>
          <t>OPERATING</t>
        </is>
      </c>
    </row>
    <row r="26124">
      <c r="A26124" s="8" t="inlineStr">
        <is>
          <t>2026-08-05</t>
        </is>
      </c>
      <c r="B26124" s="8" t="n">
        <v>18</v>
      </c>
      <c r="C26124" s="8" t="n">
        <v>15</v>
      </c>
      <c r="D26124" s="8" t="inlineStr">
        <is>
          <t>Disneyland Park</t>
        </is>
      </c>
      <c r="E26124" s="8" t="inlineStr">
        <is>
          <t>Blanche-Neige et les Sept Nains®</t>
        </is>
      </c>
      <c r="F26124" s="8" t="inlineStr">
        <is>
          <t>STANDBY</t>
        </is>
      </c>
      <c r="G26124" s="8" t="n">
        <v>30</v>
      </c>
      <c r="H26124" s="8" t="inlineStr">
        <is>
          <t>OPERATING</t>
        </is>
      </c>
    </row>
    <row r="26125">
      <c r="A26125" s="8" t="inlineStr">
        <is>
          <t>2026-08-05</t>
        </is>
      </c>
      <c r="B26125" s="8" t="n">
        <v>18</v>
      </c>
      <c r="C26125" s="8" t="n">
        <v>15</v>
      </c>
      <c r="D26125" s="8" t="inlineStr">
        <is>
          <t>Disneyland Park</t>
        </is>
      </c>
      <c r="E26125" s="8" t="inlineStr">
        <is>
          <t>Casey Jr. – le Petit Train du Cirque</t>
        </is>
      </c>
      <c r="F26125" s="8" t="inlineStr">
        <is>
          <t>STANDBY</t>
        </is>
      </c>
      <c r="G26125" s="8" t="n">
        <v>25</v>
      </c>
      <c r="H26125" s="8" t="inlineStr">
        <is>
          <t>OPERATING</t>
        </is>
      </c>
    </row>
    <row r="26126">
      <c r="A26126" s="8" t="inlineStr">
        <is>
          <t>2026-08-05</t>
        </is>
      </c>
      <c r="B26126" s="8" t="n">
        <v>18</v>
      </c>
      <c r="C26126" s="8" t="n">
        <v>15</v>
      </c>
      <c r="D26126" s="8" t="inlineStr">
        <is>
          <t>Disneyland Park</t>
        </is>
      </c>
      <c r="E26126" s="8" t="inlineStr">
        <is>
          <t>Disneyland Railroad Fantasyland Station</t>
        </is>
      </c>
      <c r="F26126" s="8" t="inlineStr">
        <is>
          <t>STANDBY</t>
        </is>
      </c>
      <c r="G26126" s="8" t="n">
        <v>0</v>
      </c>
      <c r="H26126" s="8" t="inlineStr">
        <is>
          <t>CLOSED</t>
        </is>
      </c>
    </row>
    <row r="26127">
      <c r="A26127" s="8" t="inlineStr">
        <is>
          <t>2026-08-05</t>
        </is>
      </c>
      <c r="B26127" s="8" t="n">
        <v>18</v>
      </c>
      <c r="C26127" s="8" t="n">
        <v>15</v>
      </c>
      <c r="D26127" s="8" t="inlineStr">
        <is>
          <t>Disneyland Park</t>
        </is>
      </c>
      <c r="E26127" s="8" t="inlineStr">
        <is>
          <t>Disneyland Railroad Main Street Station</t>
        </is>
      </c>
      <c r="F26127" s="8" t="inlineStr">
        <is>
          <t>STANDBY</t>
        </is>
      </c>
      <c r="G26127" s="8" t="n">
        <v>20</v>
      </c>
      <c r="H26127" s="8" t="inlineStr">
        <is>
          <t>OPERATING</t>
        </is>
      </c>
    </row>
    <row r="26128">
      <c r="A26128" s="8" t="inlineStr">
        <is>
          <t>2026-08-05</t>
        </is>
      </c>
      <c r="B26128" s="8" t="n">
        <v>18</v>
      </c>
      <c r="C26128" s="8" t="n">
        <v>15</v>
      </c>
      <c r="D26128" s="8" t="inlineStr">
        <is>
          <t>Disneyland Park</t>
        </is>
      </c>
      <c r="E26128" s="8" t="inlineStr">
        <is>
          <t>Dumbo the Flying Elephant</t>
        </is>
      </c>
      <c r="F26128" s="8" t="inlineStr">
        <is>
          <t>STANDBY</t>
        </is>
      </c>
      <c r="G26128" s="8" t="n">
        <v>35</v>
      </c>
      <c r="H26128" s="8" t="inlineStr">
        <is>
          <t>OPERATING</t>
        </is>
      </c>
    </row>
    <row r="26129">
      <c r="A26129" s="8" t="inlineStr">
        <is>
          <t>2026-08-05</t>
        </is>
      </c>
      <c r="B26129" s="8" t="n">
        <v>18</v>
      </c>
      <c r="C26129" s="8" t="n">
        <v>15</v>
      </c>
      <c r="D26129" s="8" t="inlineStr">
        <is>
          <t>Disneyland Park</t>
        </is>
      </c>
      <c r="E26129" s="8" t="inlineStr">
        <is>
          <t>La Tanière du Dragon</t>
        </is>
      </c>
      <c r="F26129" s="8" t="inlineStr">
        <is>
          <t>STANDBY</t>
        </is>
      </c>
      <c r="G26129" s="8" t="n">
        <v>0</v>
      </c>
      <c r="H26129" s="8" t="inlineStr">
        <is>
          <t>OPERATING</t>
        </is>
      </c>
    </row>
    <row r="26130">
      <c r="A26130" s="8" t="inlineStr">
        <is>
          <t>2026-08-05</t>
        </is>
      </c>
      <c r="B26130" s="8" t="n">
        <v>18</v>
      </c>
      <c r="C26130" s="8" t="n">
        <v>15</v>
      </c>
      <c r="D26130" s="8" t="inlineStr">
        <is>
          <t>Disneyland Park</t>
        </is>
      </c>
      <c r="E26130" s="8" t="inlineStr">
        <is>
          <t>Le Carrousel de Lancelot</t>
        </is>
      </c>
      <c r="F26130" s="8" t="inlineStr">
        <is>
          <t>STANDBY</t>
        </is>
      </c>
      <c r="G26130" s="8" t="n">
        <v>10</v>
      </c>
      <c r="H26130" s="8" t="inlineStr">
        <is>
          <t>OPERATING</t>
        </is>
      </c>
    </row>
    <row r="26131">
      <c r="A26131" s="8" t="inlineStr">
        <is>
          <t>2026-08-05</t>
        </is>
      </c>
      <c r="B26131" s="8" t="n">
        <v>18</v>
      </c>
      <c r="C26131" s="8" t="n">
        <v>15</v>
      </c>
      <c r="D26131" s="8" t="inlineStr">
        <is>
          <t>Disneyland Park</t>
        </is>
      </c>
      <c r="E26131" s="8" t="inlineStr">
        <is>
          <t>Le Pays des Contes de Fées, presented by Vittel</t>
        </is>
      </c>
      <c r="F26131" s="8" t="inlineStr">
        <is>
          <t>STANDBY</t>
        </is>
      </c>
      <c r="G26131" s="8" t="n">
        <v>5</v>
      </c>
      <c r="H26131" s="8" t="inlineStr">
        <is>
          <t>OPERATING</t>
        </is>
      </c>
    </row>
    <row r="26132">
      <c r="A26132" s="8" t="inlineStr">
        <is>
          <t>2026-08-05</t>
        </is>
      </c>
      <c r="B26132" s="8" t="n">
        <v>18</v>
      </c>
      <c r="C26132" s="8" t="n">
        <v>15</v>
      </c>
      <c r="D26132" s="8" t="inlineStr">
        <is>
          <t>Disneyland Park</t>
        </is>
      </c>
      <c r="E26132" s="8" t="inlineStr">
        <is>
          <t>Les Voyages de Pinocchio</t>
        </is>
      </c>
      <c r="F26132" s="8" t="inlineStr">
        <is>
          <t>STANDBY</t>
        </is>
      </c>
      <c r="G26132" s="8" t="n">
        <v>20</v>
      </c>
      <c r="H26132" s="8" t="inlineStr">
        <is>
          <t>OPERATING</t>
        </is>
      </c>
    </row>
    <row r="26133">
      <c r="A26133" s="8" t="inlineStr">
        <is>
          <t>2026-08-05</t>
        </is>
      </c>
      <c r="B26133" s="8" t="n">
        <v>18</v>
      </c>
      <c r="C26133" s="8" t="n">
        <v>15</v>
      </c>
      <c r="D26133" s="8" t="inlineStr">
        <is>
          <t>Disneyland Park</t>
        </is>
      </c>
      <c r="E26133" s="8" t="inlineStr">
        <is>
          <t>Mad Hatter's Tea Cups</t>
        </is>
      </c>
      <c r="F26133" s="8" t="inlineStr">
        <is>
          <t>STANDBY</t>
        </is>
      </c>
      <c r="G26133" s="8" t="n">
        <v>5</v>
      </c>
      <c r="H26133" s="8" t="inlineStr">
        <is>
          <t>OPERATING</t>
        </is>
      </c>
    </row>
    <row r="26134">
      <c r="A26134" s="8" t="inlineStr">
        <is>
          <t>2026-08-05</t>
        </is>
      </c>
      <c r="B26134" s="8" t="n">
        <v>18</v>
      </c>
      <c r="C26134" s="8" t="n">
        <v>15</v>
      </c>
      <c r="D26134" s="8" t="inlineStr">
        <is>
          <t>Disneyland Park</t>
        </is>
      </c>
      <c r="E26134" s="8" t="inlineStr">
        <is>
          <t>Meet Mickey Mouse</t>
        </is>
      </c>
      <c r="F26134" s="8" t="inlineStr">
        <is>
          <t>STANDBY</t>
        </is>
      </c>
      <c r="G26134" s="8" t="n">
        <v>0</v>
      </c>
      <c r="H26134" s="8" t="inlineStr">
        <is>
          <t>CLOSED</t>
        </is>
      </c>
    </row>
    <row r="26135">
      <c r="A26135" s="8" t="inlineStr">
        <is>
          <t>2026-08-05</t>
        </is>
      </c>
      <c r="B26135" s="8" t="n">
        <v>18</v>
      </c>
      <c r="C26135" s="8" t="n">
        <v>15</v>
      </c>
      <c r="D26135" s="8" t="inlineStr">
        <is>
          <t>Disneyland Park</t>
        </is>
      </c>
      <c r="E26135" s="8" t="inlineStr">
        <is>
          <t>Peter Pan's Flight</t>
        </is>
      </c>
      <c r="F26135" s="8" t="inlineStr">
        <is>
          <t>STANDBY</t>
        </is>
      </c>
      <c r="G26135" s="8" t="n">
        <v>60</v>
      </c>
      <c r="H26135" s="8" t="inlineStr">
        <is>
          <t>OPERATING</t>
        </is>
      </c>
    </row>
    <row r="26136">
      <c r="A26136" s="8" t="inlineStr">
        <is>
          <t>2026-08-05</t>
        </is>
      </c>
      <c r="B26136" s="8" t="n">
        <v>18</v>
      </c>
      <c r="C26136" s="8" t="n">
        <v>15</v>
      </c>
      <c r="D26136" s="8" t="inlineStr">
        <is>
          <t>Disneyland Park</t>
        </is>
      </c>
      <c r="E26136" s="8" t="inlineStr">
        <is>
          <t>Princess Pavilion</t>
        </is>
      </c>
      <c r="F26136" s="8" t="inlineStr">
        <is>
          <t>STANDBY</t>
        </is>
      </c>
      <c r="G26136" s="8" t="n">
        <v>0</v>
      </c>
      <c r="H26136" s="8" t="inlineStr">
        <is>
          <t>CLOSED</t>
        </is>
      </c>
    </row>
    <row r="26137">
      <c r="A26137" s="8" t="inlineStr">
        <is>
          <t>2026-08-05</t>
        </is>
      </c>
      <c r="B26137" s="8" t="n">
        <v>18</v>
      </c>
      <c r="C26137" s="8" t="n">
        <v>15</v>
      </c>
      <c r="D26137" s="8" t="inlineStr">
        <is>
          <t>Disneyland Park</t>
        </is>
      </c>
      <c r="E26137" s="8" t="inlineStr">
        <is>
          <t>Big Thunder Mountain</t>
        </is>
      </c>
      <c r="F26137" s="8" t="inlineStr">
        <is>
          <t>STANDBY</t>
        </is>
      </c>
      <c r="G26137" s="8" t="n">
        <v>65</v>
      </c>
      <c r="H26137" s="8" t="inlineStr">
        <is>
          <t>OPERATING</t>
        </is>
      </c>
    </row>
    <row r="26138">
      <c r="A26138" s="8" t="inlineStr">
        <is>
          <t>2026-08-05</t>
        </is>
      </c>
      <c r="B26138" s="8" t="n">
        <v>18</v>
      </c>
      <c r="C26138" s="8" t="n">
        <v>15</v>
      </c>
      <c r="D26138" s="8" t="inlineStr">
        <is>
          <t>Disneyland Park</t>
        </is>
      </c>
      <c r="E26138" s="8" t="inlineStr">
        <is>
          <t>Disneyland Railroad Frontierland Depot</t>
        </is>
      </c>
      <c r="F26138" s="8" t="inlineStr">
        <is>
          <t>STANDBY</t>
        </is>
      </c>
      <c r="G26138" s="8" t="n">
        <v>20</v>
      </c>
      <c r="H26138" s="8" t="inlineStr">
        <is>
          <t>OPERATING</t>
        </is>
      </c>
    </row>
    <row r="26139">
      <c r="A26139" s="8" t="inlineStr">
        <is>
          <t>2026-08-05</t>
        </is>
      </c>
      <c r="B26139" s="8" t="n">
        <v>18</v>
      </c>
      <c r="C26139" s="8" t="n">
        <v>15</v>
      </c>
      <c r="D26139" s="8" t="inlineStr">
        <is>
          <t>Disneyland Park</t>
        </is>
      </c>
      <c r="E26139" s="8" t="inlineStr">
        <is>
          <t>Frontierland Playground</t>
        </is>
      </c>
      <c r="F26139" s="8" t="inlineStr">
        <is>
          <t>STANDBY</t>
        </is>
      </c>
      <c r="G26139" s="8" t="n">
        <v>0</v>
      </c>
      <c r="H26139" s="8" t="inlineStr">
        <is>
          <t>OPERATING</t>
        </is>
      </c>
    </row>
    <row r="26140">
      <c r="A26140" s="8" t="inlineStr">
        <is>
          <t>2026-08-05</t>
        </is>
      </c>
      <c r="B26140" s="8" t="n">
        <v>18</v>
      </c>
      <c r="C26140" s="8" t="n">
        <v>15</v>
      </c>
      <c r="D26140" s="8" t="inlineStr">
        <is>
          <t>Disneyland Park</t>
        </is>
      </c>
      <c r="E26140" s="8" t="inlineStr">
        <is>
          <t>Phantom Manor</t>
        </is>
      </c>
      <c r="F26140" s="8" t="inlineStr">
        <is>
          <t>STANDBY</t>
        </is>
      </c>
      <c r="G26140" s="8" t="n">
        <v>15</v>
      </c>
      <c r="H26140" s="8" t="inlineStr">
        <is>
          <t>OPERATING</t>
        </is>
      </c>
    </row>
    <row r="26141">
      <c r="A26141" s="8" t="inlineStr">
        <is>
          <t>2026-08-05</t>
        </is>
      </c>
      <c r="B26141" s="8" t="n">
        <v>18</v>
      </c>
      <c r="C26141" s="8" t="n">
        <v>15</v>
      </c>
      <c r="D26141" s="8" t="inlineStr">
        <is>
          <t>Disneyland Park</t>
        </is>
      </c>
      <c r="E26141" s="8" t="inlineStr">
        <is>
          <t>River Rogue Keelboats</t>
        </is>
      </c>
      <c r="F26141" s="8" t="inlineStr">
        <is>
          <t>STANDBY</t>
        </is>
      </c>
      <c r="G26141" s="8" t="n">
        <v>0</v>
      </c>
      <c r="H26141" s="8" t="inlineStr">
        <is>
          <t>CLOSED</t>
        </is>
      </c>
    </row>
    <row r="26142">
      <c r="A26142" s="8" t="inlineStr">
        <is>
          <t>2026-08-05</t>
        </is>
      </c>
      <c r="B26142" s="8" t="n">
        <v>18</v>
      </c>
      <c r="C26142" s="8" t="n">
        <v>15</v>
      </c>
      <c r="D26142" s="8" t="inlineStr">
        <is>
          <t>Disneyland Park</t>
        </is>
      </c>
      <c r="E26142" s="8" t="inlineStr">
        <is>
          <t>Rustler Roundup Shootin' Gallery</t>
        </is>
      </c>
      <c r="F26142" s="8" t="inlineStr">
        <is>
          <t>STANDBY</t>
        </is>
      </c>
      <c r="G26142" s="8" t="n">
        <v>0</v>
      </c>
      <c r="H26142" s="8" t="inlineStr">
        <is>
          <t>OPERATING</t>
        </is>
      </c>
    </row>
    <row r="26143">
      <c r="A26143" s="8" t="inlineStr">
        <is>
          <t>2026-08-05</t>
        </is>
      </c>
      <c r="B26143" s="8" t="n">
        <v>18</v>
      </c>
      <c r="C26143" s="8" t="n">
        <v>15</v>
      </c>
      <c r="D26143" s="8" t="inlineStr">
        <is>
          <t>Disneyland Park</t>
        </is>
      </c>
      <c r="E26143" s="8" t="inlineStr">
        <is>
          <t>Thunder Mesa Riverboat Landing</t>
        </is>
      </c>
      <c r="F26143" s="8" t="inlineStr">
        <is>
          <t>STANDBY</t>
        </is>
      </c>
      <c r="G26143" s="8" t="n">
        <v>0</v>
      </c>
      <c r="H26143" s="8" t="inlineStr">
        <is>
          <t>CLOSED</t>
        </is>
      </c>
    </row>
    <row r="26144">
      <c r="A26144" s="8" t="inlineStr">
        <is>
          <t>2026-08-05</t>
        </is>
      </c>
      <c r="B26144" s="8" t="n">
        <v>18</v>
      </c>
      <c r="C26144" s="8" t="n">
        <v>15</v>
      </c>
      <c r="D26144" s="8" t="inlineStr">
        <is>
          <t>Disneyland Park</t>
        </is>
      </c>
      <c r="E26144" s="8" t="inlineStr">
        <is>
          <t>Disneyland Railroad Main Street Station</t>
        </is>
      </c>
      <c r="F26144" s="8" t="inlineStr">
        <is>
          <t>STANDBY</t>
        </is>
      </c>
      <c r="G26144" s="8" t="n">
        <v>0</v>
      </c>
      <c r="H26144" s="8" t="inlineStr">
        <is>
          <t>OPERATING</t>
        </is>
      </c>
    </row>
    <row r="26145">
      <c r="A26145" s="8" t="inlineStr">
        <is>
          <t>2026-08-05</t>
        </is>
      </c>
      <c r="B26145" s="8" t="n">
        <v>18</v>
      </c>
      <c r="C26145" s="8" t="n">
        <v>15</v>
      </c>
      <c r="D26145" s="8" t="inlineStr">
        <is>
          <t>Disneyland Park</t>
        </is>
      </c>
      <c r="E26145" s="8" t="inlineStr">
        <is>
          <t>Main Street Vehicles</t>
        </is>
      </c>
      <c r="F26145" s="8" t="inlineStr">
        <is>
          <t>STANDBY</t>
        </is>
      </c>
      <c r="G26145" s="8" t="n">
        <v>0</v>
      </c>
      <c r="H26145" s="8" t="inlineStr">
        <is>
          <t>CLOSED</t>
        </is>
      </c>
    </row>
    <row r="26146">
      <c r="A26146" s="8" t="inlineStr">
        <is>
          <t>2026-08-05</t>
        </is>
      </c>
      <c r="B26146" s="8" t="n">
        <v>18</v>
      </c>
      <c r="C26146" s="8" t="n">
        <v>15</v>
      </c>
      <c r="D26146" s="8" t="inlineStr">
        <is>
          <t>Disney Adventure World</t>
        </is>
      </c>
      <c r="E26146" s="8" t="inlineStr">
        <is>
          <t>Avengers Assemble: Flight Force</t>
        </is>
      </c>
      <c r="F26146" s="8" t="inlineStr">
        <is>
          <t>STANDBY</t>
        </is>
      </c>
      <c r="G26146" s="8" t="n">
        <v>20</v>
      </c>
      <c r="H26146" s="8" t="inlineStr">
        <is>
          <t>OPERATING</t>
        </is>
      </c>
    </row>
    <row r="26147">
      <c r="A26147" s="8" t="inlineStr">
        <is>
          <t>2026-08-05</t>
        </is>
      </c>
      <c r="B26147" s="8" t="n">
        <v>18</v>
      </c>
      <c r="C26147" s="8" t="n">
        <v>15</v>
      </c>
      <c r="D26147" s="8" t="inlineStr">
        <is>
          <t>Disney Adventure World</t>
        </is>
      </c>
      <c r="E26147" s="8" t="inlineStr">
        <is>
          <t>Avengers Assemble: Flight Force Single Rider</t>
        </is>
      </c>
      <c r="F26147" s="8" t="inlineStr">
        <is>
          <t>STANDBY</t>
        </is>
      </c>
      <c r="G26147" s="8" t="n">
        <v>15</v>
      </c>
      <c r="H26147" s="8" t="inlineStr">
        <is>
          <t>OPERATING</t>
        </is>
      </c>
    </row>
    <row r="26148">
      <c r="A26148" s="8" t="inlineStr">
        <is>
          <t>2026-08-05</t>
        </is>
      </c>
      <c r="B26148" s="8" t="n">
        <v>18</v>
      </c>
      <c r="C26148" s="8" t="n">
        <v>15</v>
      </c>
      <c r="D26148" s="8" t="inlineStr">
        <is>
          <t>Disney Adventure World</t>
        </is>
      </c>
      <c r="E26148" s="8" t="inlineStr">
        <is>
          <t>Spider-Man W.E.B. Adventure</t>
        </is>
      </c>
      <c r="F26148" s="8" t="inlineStr">
        <is>
          <t>STANDBY</t>
        </is>
      </c>
      <c r="G26148" s="8" t="n">
        <v>70</v>
      </c>
      <c r="H26148" s="8" t="inlineStr">
        <is>
          <t>OPERATING</t>
        </is>
      </c>
    </row>
    <row r="26149">
      <c r="A26149" s="8" t="inlineStr">
        <is>
          <t>2026-08-05</t>
        </is>
      </c>
      <c r="B26149" s="8" t="n">
        <v>18</v>
      </c>
      <c r="C26149" s="8" t="n">
        <v>15</v>
      </c>
      <c r="D26149" s="8" t="inlineStr">
        <is>
          <t>Disney Adventure World</t>
        </is>
      </c>
      <c r="E26149" s="8" t="inlineStr">
        <is>
          <t>Spider-Man W.E.B. Adventure Single Rider</t>
        </is>
      </c>
      <c r="F26149" s="8" t="inlineStr">
        <is>
          <t>STANDBY</t>
        </is>
      </c>
      <c r="G26149" s="8" t="n">
        <v>25</v>
      </c>
      <c r="H26149" s="8" t="inlineStr">
        <is>
          <t>OPERATING</t>
        </is>
      </c>
    </row>
    <row r="26150">
      <c r="A26150" s="8" t="inlineStr">
        <is>
          <t>2026-08-05</t>
        </is>
      </c>
      <c r="B26150" s="8" t="n">
        <v>18</v>
      </c>
      <c r="C26150" s="8" t="n">
        <v>15</v>
      </c>
      <c r="D26150" s="8" t="inlineStr">
        <is>
          <t>Disney Adventure World</t>
        </is>
      </c>
      <c r="E26150" s="8" t="inlineStr">
        <is>
          <t>The Twilight Zone Tower of Terror</t>
        </is>
      </c>
      <c r="F26150" s="8" t="inlineStr">
        <is>
          <t>STANDBY</t>
        </is>
      </c>
      <c r="G26150" s="8" t="n">
        <v>25</v>
      </c>
      <c r="H26150" s="8" t="inlineStr">
        <is>
          <t>OPERATING</t>
        </is>
      </c>
    </row>
    <row r="26151">
      <c r="A26151" s="8" t="inlineStr">
        <is>
          <t>2026-08-05</t>
        </is>
      </c>
      <c r="B26151" s="8" t="n">
        <v>18</v>
      </c>
      <c r="C26151" s="8" t="n">
        <v>15</v>
      </c>
      <c r="D26151" s="8" t="inlineStr">
        <is>
          <t>Disney Adventure World</t>
        </is>
      </c>
      <c r="E26151" s="8" t="inlineStr">
        <is>
          <t>Cars Quatre Roues Rallye</t>
        </is>
      </c>
      <c r="F26151" s="8" t="inlineStr">
        <is>
          <t>STANDBY</t>
        </is>
      </c>
      <c r="G26151" s="8" t="n">
        <v>10</v>
      </c>
      <c r="H26151" s="8" t="inlineStr">
        <is>
          <t>OPERATING</t>
        </is>
      </c>
    </row>
    <row r="26152">
      <c r="A26152" s="8" t="inlineStr">
        <is>
          <t>2026-08-05</t>
        </is>
      </c>
      <c r="B26152" s="8" t="n">
        <v>18</v>
      </c>
      <c r="C26152" s="8" t="n">
        <v>15</v>
      </c>
      <c r="D26152" s="8" t="inlineStr">
        <is>
          <t>Disney Adventure World</t>
        </is>
      </c>
      <c r="E26152" s="8" t="inlineStr">
        <is>
          <t>Cars ROAD TRIP</t>
        </is>
      </c>
      <c r="F26152" s="8" t="inlineStr">
        <is>
          <t>STANDBY</t>
        </is>
      </c>
      <c r="G26152" s="8" t="n">
        <v>5</v>
      </c>
      <c r="H26152" s="8" t="inlineStr">
        <is>
          <t>OPERATING</t>
        </is>
      </c>
    </row>
    <row r="26153">
      <c r="A26153" s="8" t="inlineStr">
        <is>
          <t>2026-08-05</t>
        </is>
      </c>
      <c r="B26153" s="8" t="n">
        <v>18</v>
      </c>
      <c r="C26153" s="8" t="n">
        <v>15</v>
      </c>
      <c r="D26153" s="8" t="inlineStr">
        <is>
          <t>Disney Adventure World</t>
        </is>
      </c>
      <c r="E26153" s="8" t="inlineStr">
        <is>
          <t>Crush's Coaster</t>
        </is>
      </c>
      <c r="F26153" s="8" t="inlineStr">
        <is>
          <t>STANDBY</t>
        </is>
      </c>
      <c r="G26153" s="8" t="n">
        <v>80</v>
      </c>
      <c r="H26153" s="8" t="inlineStr">
        <is>
          <t>OPERATING</t>
        </is>
      </c>
    </row>
    <row r="26154">
      <c r="A26154" s="8" t="inlineStr">
        <is>
          <t>2026-08-05</t>
        </is>
      </c>
      <c r="B26154" s="8" t="n">
        <v>18</v>
      </c>
      <c r="C26154" s="8" t="n">
        <v>15</v>
      </c>
      <c r="D26154" s="8" t="inlineStr">
        <is>
          <t>Disney Adventure World</t>
        </is>
      </c>
      <c r="E26154" s="8" t="inlineStr">
        <is>
          <t>Crush's Coaster Single Rider</t>
        </is>
      </c>
      <c r="F26154" s="8" t="inlineStr">
        <is>
          <t>STANDBY</t>
        </is>
      </c>
      <c r="G26154" s="8" t="n">
        <v>65</v>
      </c>
      <c r="H26154" s="8" t="inlineStr">
        <is>
          <t>OPERATING</t>
        </is>
      </c>
    </row>
    <row r="26155">
      <c r="A26155" s="8" t="inlineStr">
        <is>
          <t>2026-08-05</t>
        </is>
      </c>
      <c r="B26155" s="8" t="n">
        <v>18</v>
      </c>
      <c r="C26155" s="8" t="n">
        <v>15</v>
      </c>
      <c r="D26155" s="8" t="inlineStr">
        <is>
          <t>Disney Adventure World</t>
        </is>
      </c>
      <c r="E26155" s="8" t="inlineStr">
        <is>
          <t>Les Tapis Volants - Flying Carpets Over Agrabah®</t>
        </is>
      </c>
      <c r="F26155" s="8" t="inlineStr">
        <is>
          <t>STANDBY</t>
        </is>
      </c>
      <c r="G26155" s="8" t="n">
        <v>25</v>
      </c>
      <c r="H26155" s="8" t="inlineStr">
        <is>
          <t>OPERATING</t>
        </is>
      </c>
    </row>
    <row r="26156">
      <c r="A26156" s="8" t="inlineStr">
        <is>
          <t>2026-08-05</t>
        </is>
      </c>
      <c r="B26156" s="8" t="n">
        <v>18</v>
      </c>
      <c r="C26156" s="8" t="n">
        <v>15</v>
      </c>
      <c r="D26156" s="8" t="inlineStr">
        <is>
          <t>Disney Adventure World</t>
        </is>
      </c>
      <c r="E26156" s="8" t="inlineStr">
        <is>
          <t>Ratatouille : L’Aventure Totalement Toquée de Rémy​</t>
        </is>
      </c>
      <c r="F26156" s="8" t="inlineStr">
        <is>
          <t>STANDBY</t>
        </is>
      </c>
      <c r="G26156" s="8" t="n">
        <v>70</v>
      </c>
      <c r="H26156" s="8" t="inlineStr">
        <is>
          <t>OPERATING</t>
        </is>
      </c>
    </row>
    <row r="26157">
      <c r="A26157" s="8" t="inlineStr">
        <is>
          <t>2026-08-05</t>
        </is>
      </c>
      <c r="B26157" s="8" t="n">
        <v>18</v>
      </c>
      <c r="C26157" s="8" t="n">
        <v>15</v>
      </c>
      <c r="D26157" s="8" t="inlineStr">
        <is>
          <t>Disney Adventure World</t>
        </is>
      </c>
      <c r="E26157" s="8" t="inlineStr">
        <is>
          <t>Ratatouille: The Adventure Single Rider</t>
        </is>
      </c>
      <c r="F26157" s="8" t="inlineStr">
        <is>
          <t>STANDBY</t>
        </is>
      </c>
      <c r="G26157" s="8" t="n">
        <v>30</v>
      </c>
      <c r="H26157" s="8" t="inlineStr">
        <is>
          <t>OPERATING</t>
        </is>
      </c>
    </row>
    <row r="26158">
      <c r="A26158" s="8" t="inlineStr">
        <is>
          <t>2026-08-05</t>
        </is>
      </c>
      <c r="B26158" s="8" t="n">
        <v>18</v>
      </c>
      <c r="C26158" s="8" t="n">
        <v>15</v>
      </c>
      <c r="D26158" s="8" t="inlineStr">
        <is>
          <t>Disney Adventure World</t>
        </is>
      </c>
      <c r="E26158" s="8" t="inlineStr">
        <is>
          <t>RC Racer</t>
        </is>
      </c>
      <c r="F26158" s="8" t="inlineStr">
        <is>
          <t>STANDBY</t>
        </is>
      </c>
      <c r="G26158" s="8" t="n">
        <v>40</v>
      </c>
      <c r="H26158" s="8" t="inlineStr">
        <is>
          <t>OPERATING</t>
        </is>
      </c>
    </row>
    <row r="26159">
      <c r="A26159" s="8" t="inlineStr">
        <is>
          <t>2026-08-05</t>
        </is>
      </c>
      <c r="B26159" s="8" t="n">
        <v>18</v>
      </c>
      <c r="C26159" s="8" t="n">
        <v>15</v>
      </c>
      <c r="D26159" s="8" t="inlineStr">
        <is>
          <t>Disney Adventure World</t>
        </is>
      </c>
      <c r="E26159" s="8" t="inlineStr">
        <is>
          <t>RC Racer Single Rider</t>
        </is>
      </c>
      <c r="F26159" s="8" t="inlineStr">
        <is>
          <t>STANDBY</t>
        </is>
      </c>
      <c r="G26159" s="8" t="n">
        <v>35</v>
      </c>
      <c r="H26159" s="8" t="inlineStr">
        <is>
          <t>OPERATING</t>
        </is>
      </c>
    </row>
    <row r="26160">
      <c r="A26160" s="8" t="inlineStr">
        <is>
          <t>2026-08-05</t>
        </is>
      </c>
      <c r="B26160" s="8" t="n">
        <v>18</v>
      </c>
      <c r="C26160" s="8" t="n">
        <v>15</v>
      </c>
      <c r="D26160" s="8" t="inlineStr">
        <is>
          <t>Disney Adventure World</t>
        </is>
      </c>
      <c r="E26160" s="8" t="inlineStr">
        <is>
          <t>Slinky® Dog Zigzag Spin</t>
        </is>
      </c>
      <c r="F26160" s="8" t="inlineStr">
        <is>
          <t>STANDBY</t>
        </is>
      </c>
      <c r="G26160" s="8" t="n">
        <v>20</v>
      </c>
      <c r="H26160" s="8" t="inlineStr">
        <is>
          <t>OPERATING</t>
        </is>
      </c>
    </row>
    <row r="26161">
      <c r="A26161" s="8" t="inlineStr">
        <is>
          <t>2026-08-05</t>
        </is>
      </c>
      <c r="B26161" s="8" t="n">
        <v>18</v>
      </c>
      <c r="C26161" s="8" t="n">
        <v>15</v>
      </c>
      <c r="D26161" s="8" t="inlineStr">
        <is>
          <t>Disney Adventure World</t>
        </is>
      </c>
      <c r="E26161" s="8" t="inlineStr">
        <is>
          <t>Toy Soldiers Parachute Drop</t>
        </is>
      </c>
      <c r="F26161" s="8" t="inlineStr">
        <is>
          <t>STANDBY</t>
        </is>
      </c>
      <c r="G26161" s="8" t="n">
        <v>30</v>
      </c>
      <c r="H26161" s="8" t="inlineStr">
        <is>
          <t>OPERATING</t>
        </is>
      </c>
    </row>
    <row r="26162">
      <c r="A26162" s="8" t="inlineStr">
        <is>
          <t>2026-08-05</t>
        </is>
      </c>
      <c r="B26162" s="8" t="n">
        <v>18</v>
      </c>
      <c r="C26162" s="8" t="n">
        <v>15</v>
      </c>
      <c r="D26162" s="8" t="inlineStr">
        <is>
          <t>Disney Adventure World</t>
        </is>
      </c>
      <c r="E26162" s="8" t="inlineStr">
        <is>
          <t>Toy Soldiers Parachute Drop Single Rider</t>
        </is>
      </c>
      <c r="F26162" s="8" t="inlineStr">
        <is>
          <t>STANDBY</t>
        </is>
      </c>
      <c r="G26162" s="8" t="n">
        <v>15</v>
      </c>
      <c r="H26162" s="8" t="inlineStr">
        <is>
          <t>OPERATING</t>
        </is>
      </c>
    </row>
    <row r="26163">
      <c r="A26163" s="8" t="inlineStr">
        <is>
          <t>2026-08-05</t>
        </is>
      </c>
      <c r="B26163" s="8" t="n">
        <v>18</v>
      </c>
      <c r="C26163" s="8" t="n">
        <v>15</v>
      </c>
      <c r="D26163" s="8" t="inlineStr">
        <is>
          <t>Disney Adventure World</t>
        </is>
      </c>
      <c r="E26163" s="8" t="inlineStr">
        <is>
          <t>Entry to World of Frozen</t>
        </is>
      </c>
      <c r="F26163" s="8" t="inlineStr">
        <is>
          <t>STANDBY</t>
        </is>
      </c>
      <c r="G26163" s="8" t="n">
        <v>0</v>
      </c>
      <c r="H26163" s="8" t="inlineStr">
        <is>
          <t>OPERATING</t>
        </is>
      </c>
    </row>
    <row r="26164">
      <c r="A26164" s="8" t="inlineStr">
        <is>
          <t>2026-08-05</t>
        </is>
      </c>
      <c r="B26164" s="8" t="n">
        <v>18</v>
      </c>
      <c r="C26164" s="8" t="n">
        <v>15</v>
      </c>
      <c r="D26164" s="8" t="inlineStr">
        <is>
          <t>Disney Adventure World</t>
        </is>
      </c>
      <c r="E26164" s="8" t="inlineStr">
        <is>
          <t>Frozen Ever After</t>
        </is>
      </c>
      <c r="F26164" s="8" t="inlineStr">
        <is>
          <t>STANDBY</t>
        </is>
      </c>
      <c r="G26164" s="8" t="n">
        <v>60</v>
      </c>
      <c r="H26164" s="8" t="inlineStr">
        <is>
          <t>OPERATING</t>
        </is>
      </c>
    </row>
    <row r="26165">
      <c r="A26165" s="8" t="inlineStr">
        <is>
          <t>2026-08-05</t>
        </is>
      </c>
      <c r="B26165" s="8" t="n">
        <v>18</v>
      </c>
      <c r="C26165" s="8" t="n">
        <v>15</v>
      </c>
      <c r="D26165" s="8" t="inlineStr">
        <is>
          <t>Disney Adventure World</t>
        </is>
      </c>
      <c r="E26165" s="8" t="inlineStr">
        <is>
          <t>Raiponce Tangled Spin</t>
        </is>
      </c>
      <c r="F26165" s="8" t="inlineStr">
        <is>
          <t>STANDBY</t>
        </is>
      </c>
      <c r="G26165" s="8" t="n">
        <v>5</v>
      </c>
      <c r="H26165" s="8" t="inlineStr">
        <is>
          <t>OPERATING</t>
        </is>
      </c>
    </row>
    <row r="26166">
      <c r="A26166" s="8" t="inlineStr">
        <is>
          <t>2026-08-05</t>
        </is>
      </c>
      <c r="B26166" s="8" t="n">
        <v>18</v>
      </c>
      <c r="C26166" s="8" t="n">
        <v>31</v>
      </c>
      <c r="D26166" s="8" t="inlineStr">
        <is>
          <t>Disneyland Park</t>
        </is>
      </c>
      <c r="E26166" s="8" t="inlineStr">
        <is>
          <t>Adventure Isle</t>
        </is>
      </c>
      <c r="F26166" s="8" t="inlineStr">
        <is>
          <t>STANDBY</t>
        </is>
      </c>
      <c r="G26166" s="8" t="n">
        <v>0</v>
      </c>
      <c r="H26166" s="8" t="inlineStr">
        <is>
          <t>OPERATING</t>
        </is>
      </c>
    </row>
    <row r="26167">
      <c r="A26167" s="8" t="inlineStr">
        <is>
          <t>2026-08-05</t>
        </is>
      </c>
      <c r="B26167" s="8" t="n">
        <v>18</v>
      </c>
      <c r="C26167" s="8" t="n">
        <v>31</v>
      </c>
      <c r="D26167" s="8" t="inlineStr">
        <is>
          <t>Disneyland Park</t>
        </is>
      </c>
      <c r="E26167" s="8" t="inlineStr">
        <is>
          <t>Indiana Jones and the Temple of Peril Single Rider</t>
        </is>
      </c>
      <c r="F26167" s="8" t="inlineStr">
        <is>
          <t>STANDBY</t>
        </is>
      </c>
      <c r="G26167" s="8" t="n">
        <v>10</v>
      </c>
      <c r="H26167" s="8" t="inlineStr">
        <is>
          <t>OPERATING</t>
        </is>
      </c>
    </row>
    <row r="26168">
      <c r="A26168" s="8" t="inlineStr">
        <is>
          <t>2026-08-05</t>
        </is>
      </c>
      <c r="B26168" s="8" t="n">
        <v>18</v>
      </c>
      <c r="C26168" s="8" t="n">
        <v>31</v>
      </c>
      <c r="D26168" s="8" t="inlineStr">
        <is>
          <t>Disneyland Park</t>
        </is>
      </c>
      <c r="E26168" s="8" t="inlineStr">
        <is>
          <t>Indiana Jones™ and the Temple of Peril</t>
        </is>
      </c>
      <c r="F26168" s="8" t="inlineStr">
        <is>
          <t>STANDBY</t>
        </is>
      </c>
      <c r="G26168" s="8" t="n">
        <v>25</v>
      </c>
      <c r="H26168" s="8" t="inlineStr">
        <is>
          <t>OPERATING</t>
        </is>
      </c>
    </row>
    <row r="26169">
      <c r="A26169" s="8" t="inlineStr">
        <is>
          <t>2026-08-05</t>
        </is>
      </c>
      <c r="B26169" s="8" t="n">
        <v>18</v>
      </c>
      <c r="C26169" s="8" t="n">
        <v>31</v>
      </c>
      <c r="D26169" s="8" t="inlineStr">
        <is>
          <t>Disneyland Park</t>
        </is>
      </c>
      <c r="E26169" s="8" t="inlineStr">
        <is>
          <t>La Cabane des Robinson</t>
        </is>
      </c>
      <c r="F26169" s="8" t="inlineStr">
        <is>
          <t>STANDBY</t>
        </is>
      </c>
      <c r="G26169" s="8" t="n">
        <v>5</v>
      </c>
      <c r="H26169" s="8" t="inlineStr">
        <is>
          <t>OPERATING</t>
        </is>
      </c>
    </row>
    <row r="26170">
      <c r="A26170" s="8" t="inlineStr">
        <is>
          <t>2026-08-05</t>
        </is>
      </c>
      <c r="B26170" s="8" t="n">
        <v>18</v>
      </c>
      <c r="C26170" s="8" t="n">
        <v>31</v>
      </c>
      <c r="D26170" s="8" t="inlineStr">
        <is>
          <t>Disneyland Park</t>
        </is>
      </c>
      <c r="E26170" s="8" t="inlineStr">
        <is>
          <t>Le Passage Enchanté d'Aladdin</t>
        </is>
      </c>
      <c r="F26170" s="8" t="inlineStr">
        <is>
          <t>STANDBY</t>
        </is>
      </c>
      <c r="G26170" s="8" t="n">
        <v>0</v>
      </c>
      <c r="H26170" s="8" t="inlineStr">
        <is>
          <t>OPERATING</t>
        </is>
      </c>
    </row>
    <row r="26171">
      <c r="A26171" s="8" t="inlineStr">
        <is>
          <t>2026-08-05</t>
        </is>
      </c>
      <c r="B26171" s="8" t="n">
        <v>18</v>
      </c>
      <c r="C26171" s="8" t="n">
        <v>31</v>
      </c>
      <c r="D26171" s="8" t="inlineStr">
        <is>
          <t>Disneyland Park</t>
        </is>
      </c>
      <c r="E26171" s="8" t="inlineStr">
        <is>
          <t>Pirate Galleon</t>
        </is>
      </c>
      <c r="F26171" s="8" t="inlineStr">
        <is>
          <t>STANDBY</t>
        </is>
      </c>
      <c r="G26171" s="8" t="n">
        <v>0</v>
      </c>
      <c r="H26171" s="8" t="inlineStr">
        <is>
          <t>CLOSED</t>
        </is>
      </c>
    </row>
    <row r="26172">
      <c r="A26172" s="8" t="inlineStr">
        <is>
          <t>2026-08-05</t>
        </is>
      </c>
      <c r="B26172" s="8" t="n">
        <v>18</v>
      </c>
      <c r="C26172" s="8" t="n">
        <v>31</v>
      </c>
      <c r="D26172" s="8" t="inlineStr">
        <is>
          <t>Disneyland Park</t>
        </is>
      </c>
      <c r="E26172" s="8" t="inlineStr">
        <is>
          <t>Pirates of the Caribbean</t>
        </is>
      </c>
      <c r="F26172" s="8" t="inlineStr">
        <is>
          <t>STANDBY</t>
        </is>
      </c>
      <c r="G26172" s="8" t="n">
        <v>15</v>
      </c>
      <c r="H26172" s="8" t="inlineStr">
        <is>
          <t>OPERATING</t>
        </is>
      </c>
    </row>
    <row r="26173">
      <c r="A26173" s="8" t="inlineStr">
        <is>
          <t>2026-08-05</t>
        </is>
      </c>
      <c r="B26173" s="8" t="n">
        <v>18</v>
      </c>
      <c r="C26173" s="8" t="n">
        <v>31</v>
      </c>
      <c r="D26173" s="8" t="inlineStr">
        <is>
          <t>Disneyland Park</t>
        </is>
      </c>
      <c r="E26173" s="8" t="inlineStr">
        <is>
          <t>Pirates' Beach</t>
        </is>
      </c>
      <c r="F26173" s="8" t="inlineStr">
        <is>
          <t>STANDBY</t>
        </is>
      </c>
      <c r="G26173" s="8" t="n">
        <v>0</v>
      </c>
      <c r="H26173" s="8" t="inlineStr">
        <is>
          <t>OPERATING</t>
        </is>
      </c>
    </row>
    <row r="26174">
      <c r="A26174" s="8" t="inlineStr">
        <is>
          <t>2026-08-05</t>
        </is>
      </c>
      <c r="B26174" s="8" t="n">
        <v>18</v>
      </c>
      <c r="C26174" s="8" t="n">
        <v>31</v>
      </c>
      <c r="D26174" s="8" t="inlineStr">
        <is>
          <t>Disneyland Park</t>
        </is>
      </c>
      <c r="E26174" s="8" t="inlineStr">
        <is>
          <t>Autopia, presented by Avis</t>
        </is>
      </c>
      <c r="F26174" s="8" t="inlineStr">
        <is>
          <t>STANDBY</t>
        </is>
      </c>
      <c r="G26174" s="8" t="n">
        <v>50</v>
      </c>
      <c r="H26174" s="8" t="inlineStr">
        <is>
          <t>OPERATING</t>
        </is>
      </c>
    </row>
    <row r="26175">
      <c r="A26175" s="8" t="inlineStr">
        <is>
          <t>2026-08-05</t>
        </is>
      </c>
      <c r="B26175" s="8" t="n">
        <v>18</v>
      </c>
      <c r="C26175" s="8" t="n">
        <v>31</v>
      </c>
      <c r="D26175" s="8" t="inlineStr">
        <is>
          <t>Disneyland Park</t>
        </is>
      </c>
      <c r="E26175" s="8" t="inlineStr">
        <is>
          <t>Buzz Lightyear Laser Blast</t>
        </is>
      </c>
      <c r="F26175" s="8" t="inlineStr">
        <is>
          <t>STANDBY</t>
        </is>
      </c>
      <c r="G26175" s="8" t="n">
        <v>50</v>
      </c>
      <c r="H26175" s="8" t="inlineStr">
        <is>
          <t>OPERATING</t>
        </is>
      </c>
    </row>
    <row r="26176">
      <c r="A26176" s="8" t="inlineStr">
        <is>
          <t>2026-08-05</t>
        </is>
      </c>
      <c r="B26176" s="8" t="n">
        <v>18</v>
      </c>
      <c r="C26176" s="8" t="n">
        <v>31</v>
      </c>
      <c r="D26176" s="8" t="inlineStr">
        <is>
          <t>Disneyland Park</t>
        </is>
      </c>
      <c r="E26176" s="8" t="inlineStr">
        <is>
          <t>Disneyland Railroad Discoveryland Station</t>
        </is>
      </c>
      <c r="F26176" s="8" t="inlineStr">
        <is>
          <t>STANDBY</t>
        </is>
      </c>
      <c r="G26176" s="8" t="n">
        <v>0</v>
      </c>
      <c r="H26176" s="8" t="inlineStr">
        <is>
          <t>CLOSED</t>
        </is>
      </c>
    </row>
    <row r="26177">
      <c r="A26177" s="8" t="inlineStr">
        <is>
          <t>2026-08-05</t>
        </is>
      </c>
      <c r="B26177" s="8" t="n">
        <v>18</v>
      </c>
      <c r="C26177" s="8" t="n">
        <v>31</v>
      </c>
      <c r="D26177" s="8" t="inlineStr">
        <is>
          <t>Disneyland Park</t>
        </is>
      </c>
      <c r="E26177" s="8" t="inlineStr">
        <is>
          <t>Les Mystères du Nautilus</t>
        </is>
      </c>
      <c r="F26177" s="8" t="inlineStr">
        <is>
          <t>STANDBY</t>
        </is>
      </c>
      <c r="G26177" s="8" t="n">
        <v>5</v>
      </c>
      <c r="H26177" s="8" t="inlineStr">
        <is>
          <t>OPERATING</t>
        </is>
      </c>
    </row>
    <row r="26178">
      <c r="A26178" s="8" t="inlineStr">
        <is>
          <t>2026-08-05</t>
        </is>
      </c>
      <c r="B26178" s="8" t="n">
        <v>18</v>
      </c>
      <c r="C26178" s="8" t="n">
        <v>31</v>
      </c>
      <c r="D26178" s="8" t="inlineStr">
        <is>
          <t>Disneyland Park</t>
        </is>
      </c>
      <c r="E26178" s="8" t="inlineStr">
        <is>
          <t>Mickey’s PhilharMagic</t>
        </is>
      </c>
      <c r="F26178" s="8" t="inlineStr">
        <is>
          <t>STANDBY</t>
        </is>
      </c>
      <c r="G26178" s="8" t="n">
        <v>0</v>
      </c>
      <c r="H26178" s="8" t="inlineStr">
        <is>
          <t>CLOSED</t>
        </is>
      </c>
    </row>
    <row r="26179">
      <c r="A26179" s="8" t="inlineStr">
        <is>
          <t>2026-08-05</t>
        </is>
      </c>
      <c r="B26179" s="8" t="n">
        <v>18</v>
      </c>
      <c r="C26179" s="8" t="n">
        <v>31</v>
      </c>
      <c r="D26179" s="8" t="inlineStr">
        <is>
          <t>Disneyland Park</t>
        </is>
      </c>
      <c r="E26179" s="8" t="inlineStr">
        <is>
          <t>Orbitron®</t>
        </is>
      </c>
      <c r="F26179" s="8" t="inlineStr">
        <is>
          <t>STANDBY</t>
        </is>
      </c>
      <c r="G26179" s="8" t="n">
        <v>70</v>
      </c>
      <c r="H26179" s="8" t="inlineStr">
        <is>
          <t>OPERATING</t>
        </is>
      </c>
    </row>
    <row r="26180">
      <c r="A26180" s="8" t="inlineStr">
        <is>
          <t>2026-08-05</t>
        </is>
      </c>
      <c r="B26180" s="8" t="n">
        <v>18</v>
      </c>
      <c r="C26180" s="8" t="n">
        <v>31</v>
      </c>
      <c r="D26180" s="8" t="inlineStr">
        <is>
          <t>Disneyland Park</t>
        </is>
      </c>
      <c r="E26180" s="8" t="inlineStr">
        <is>
          <t>Star Tours: The Adventures Continue*</t>
        </is>
      </c>
      <c r="F26180" s="8" t="inlineStr">
        <is>
          <t>STANDBY</t>
        </is>
      </c>
      <c r="G26180" s="8" t="n">
        <v>10</v>
      </c>
      <c r="H26180" s="8" t="inlineStr">
        <is>
          <t>OPERATING</t>
        </is>
      </c>
    </row>
    <row r="26181">
      <c r="A26181" s="8" t="inlineStr">
        <is>
          <t>2026-08-05</t>
        </is>
      </c>
      <c r="B26181" s="8" t="n">
        <v>18</v>
      </c>
      <c r="C26181" s="8" t="n">
        <v>31</v>
      </c>
      <c r="D26181" s="8" t="inlineStr">
        <is>
          <t>Disneyland Park</t>
        </is>
      </c>
      <c r="E26181" s="8" t="inlineStr">
        <is>
          <t>Star Wars Hyperspace Mountain</t>
        </is>
      </c>
      <c r="F26181" s="8" t="inlineStr">
        <is>
          <t>STANDBY</t>
        </is>
      </c>
      <c r="G26181" s="8" t="n">
        <v>70</v>
      </c>
      <c r="H26181" s="8" t="inlineStr">
        <is>
          <t>OPERATING</t>
        </is>
      </c>
    </row>
    <row r="26182">
      <c r="A26182" s="8" t="inlineStr">
        <is>
          <t>2026-08-05</t>
        </is>
      </c>
      <c r="B26182" s="8" t="n">
        <v>18</v>
      </c>
      <c r="C26182" s="8" t="n">
        <v>31</v>
      </c>
      <c r="D26182" s="8" t="inlineStr">
        <is>
          <t>Disneyland Park</t>
        </is>
      </c>
      <c r="E26182" s="8" t="inlineStr">
        <is>
          <t>Star Wars Hyperspace Mountain Single Rider</t>
        </is>
      </c>
      <c r="F26182" s="8" t="inlineStr">
        <is>
          <t>STANDBY</t>
        </is>
      </c>
      <c r="G26182" s="8" t="n">
        <v>60</v>
      </c>
      <c r="H26182" s="8" t="inlineStr">
        <is>
          <t>OPERATING</t>
        </is>
      </c>
    </row>
    <row r="26183">
      <c r="A26183" s="8" t="inlineStr">
        <is>
          <t>2026-08-05</t>
        </is>
      </c>
      <c r="B26183" s="8" t="n">
        <v>18</v>
      </c>
      <c r="C26183" s="8" t="n">
        <v>31</v>
      </c>
      <c r="D26183" s="8" t="inlineStr">
        <is>
          <t>Disneyland Park</t>
        </is>
      </c>
      <c r="E26183" s="8" t="inlineStr">
        <is>
          <t>Welcome to Starport: A Star Wars Encounter</t>
        </is>
      </c>
      <c r="F26183" s="8" t="inlineStr">
        <is>
          <t>STANDBY</t>
        </is>
      </c>
      <c r="G26183" s="8" t="n">
        <v>0</v>
      </c>
      <c r="H26183" s="8" t="inlineStr">
        <is>
          <t>CLOSED</t>
        </is>
      </c>
    </row>
    <row r="26184">
      <c r="A26184" s="8" t="inlineStr">
        <is>
          <t>2026-08-05</t>
        </is>
      </c>
      <c r="B26184" s="8" t="n">
        <v>18</v>
      </c>
      <c r="C26184" s="8" t="n">
        <v>31</v>
      </c>
      <c r="D26184" s="8" t="inlineStr">
        <is>
          <t>Disneyland Park</t>
        </is>
      </c>
      <c r="E26184" s="8" t="inlineStr">
        <is>
          <t>"it's a small world"</t>
        </is>
      </c>
      <c r="F26184" s="8" t="inlineStr">
        <is>
          <t>STANDBY</t>
        </is>
      </c>
      <c r="G26184" s="8" t="n">
        <v>5</v>
      </c>
      <c r="H26184" s="8" t="inlineStr">
        <is>
          <t>OPERATING</t>
        </is>
      </c>
    </row>
    <row r="26185">
      <c r="A26185" s="8" t="inlineStr">
        <is>
          <t>2026-08-05</t>
        </is>
      </c>
      <c r="B26185" s="8" t="n">
        <v>18</v>
      </c>
      <c r="C26185" s="8" t="n">
        <v>31</v>
      </c>
      <c r="D26185" s="8" t="inlineStr">
        <is>
          <t>Disneyland Park</t>
        </is>
      </c>
      <c r="E26185" s="8" t="inlineStr">
        <is>
          <t>Alice's Curious Labyrinth</t>
        </is>
      </c>
      <c r="F26185" s="8" t="inlineStr">
        <is>
          <t>STANDBY</t>
        </is>
      </c>
      <c r="G26185" s="8" t="n">
        <v>5</v>
      </c>
      <c r="H26185" s="8" t="inlineStr">
        <is>
          <t>OPERATING</t>
        </is>
      </c>
    </row>
    <row r="26186">
      <c r="A26186" s="8" t="inlineStr">
        <is>
          <t>2026-08-05</t>
        </is>
      </c>
      <c r="B26186" s="8" t="n">
        <v>18</v>
      </c>
      <c r="C26186" s="8" t="n">
        <v>31</v>
      </c>
      <c r="D26186" s="8" t="inlineStr">
        <is>
          <t>Disneyland Park</t>
        </is>
      </c>
      <c r="E26186" s="8" t="inlineStr">
        <is>
          <t>Blanche-Neige et les Sept Nains®</t>
        </is>
      </c>
      <c r="F26186" s="8" t="inlineStr">
        <is>
          <t>STANDBY</t>
        </is>
      </c>
      <c r="G26186" s="8" t="n">
        <v>30</v>
      </c>
      <c r="H26186" s="8" t="inlineStr">
        <is>
          <t>OPERATING</t>
        </is>
      </c>
    </row>
    <row r="26187">
      <c r="A26187" s="8" t="inlineStr">
        <is>
          <t>2026-08-05</t>
        </is>
      </c>
      <c r="B26187" s="8" t="n">
        <v>18</v>
      </c>
      <c r="C26187" s="8" t="n">
        <v>31</v>
      </c>
      <c r="D26187" s="8" t="inlineStr">
        <is>
          <t>Disneyland Park</t>
        </is>
      </c>
      <c r="E26187" s="8" t="inlineStr">
        <is>
          <t>Casey Jr. – le Petit Train du Cirque</t>
        </is>
      </c>
      <c r="F26187" s="8" t="inlineStr">
        <is>
          <t>STANDBY</t>
        </is>
      </c>
      <c r="G26187" s="8" t="n">
        <v>25</v>
      </c>
      <c r="H26187" s="8" t="inlineStr">
        <is>
          <t>OPERATING</t>
        </is>
      </c>
    </row>
    <row r="26188">
      <c r="A26188" s="8" t="inlineStr">
        <is>
          <t>2026-08-05</t>
        </is>
      </c>
      <c r="B26188" s="8" t="n">
        <v>18</v>
      </c>
      <c r="C26188" s="8" t="n">
        <v>31</v>
      </c>
      <c r="D26188" s="8" t="inlineStr">
        <is>
          <t>Disneyland Park</t>
        </is>
      </c>
      <c r="E26188" s="8" t="inlineStr">
        <is>
          <t>Disneyland Railroad Fantasyland Station</t>
        </is>
      </c>
      <c r="F26188" s="8" t="inlineStr">
        <is>
          <t>STANDBY</t>
        </is>
      </c>
      <c r="G26188" s="8" t="n">
        <v>0</v>
      </c>
      <c r="H26188" s="8" t="inlineStr">
        <is>
          <t>CLOSED</t>
        </is>
      </c>
    </row>
    <row r="26189">
      <c r="A26189" s="8" t="inlineStr">
        <is>
          <t>2026-08-05</t>
        </is>
      </c>
      <c r="B26189" s="8" t="n">
        <v>18</v>
      </c>
      <c r="C26189" s="8" t="n">
        <v>31</v>
      </c>
      <c r="D26189" s="8" t="inlineStr">
        <is>
          <t>Disneyland Park</t>
        </is>
      </c>
      <c r="E26189" s="8" t="inlineStr">
        <is>
          <t>Disneyland Railroad Main Street Station</t>
        </is>
      </c>
      <c r="F26189" s="8" t="inlineStr">
        <is>
          <t>STANDBY</t>
        </is>
      </c>
      <c r="G26189" s="8" t="n">
        <v>20</v>
      </c>
      <c r="H26189" s="8" t="inlineStr">
        <is>
          <t>OPERATING</t>
        </is>
      </c>
    </row>
    <row r="26190">
      <c r="A26190" s="8" t="inlineStr">
        <is>
          <t>2026-08-05</t>
        </is>
      </c>
      <c r="B26190" s="8" t="n">
        <v>18</v>
      </c>
      <c r="C26190" s="8" t="n">
        <v>31</v>
      </c>
      <c r="D26190" s="8" t="inlineStr">
        <is>
          <t>Disneyland Park</t>
        </is>
      </c>
      <c r="E26190" s="8" t="inlineStr">
        <is>
          <t>Dumbo the Flying Elephant</t>
        </is>
      </c>
      <c r="F26190" s="8" t="inlineStr">
        <is>
          <t>STANDBY</t>
        </is>
      </c>
      <c r="G26190" s="8" t="n">
        <v>25</v>
      </c>
      <c r="H26190" s="8" t="inlineStr">
        <is>
          <t>OPERATING</t>
        </is>
      </c>
    </row>
    <row r="26191">
      <c r="A26191" s="8" t="inlineStr">
        <is>
          <t>2026-08-05</t>
        </is>
      </c>
      <c r="B26191" s="8" t="n">
        <v>18</v>
      </c>
      <c r="C26191" s="8" t="n">
        <v>31</v>
      </c>
      <c r="D26191" s="8" t="inlineStr">
        <is>
          <t>Disneyland Park</t>
        </is>
      </c>
      <c r="E26191" s="8" t="inlineStr">
        <is>
          <t>La Tanière du Dragon</t>
        </is>
      </c>
      <c r="F26191" s="8" t="inlineStr">
        <is>
          <t>STANDBY</t>
        </is>
      </c>
      <c r="G26191" s="8" t="n">
        <v>0</v>
      </c>
      <c r="H26191" s="8" t="inlineStr">
        <is>
          <t>OPERATING</t>
        </is>
      </c>
    </row>
    <row r="26192">
      <c r="A26192" s="8" t="inlineStr">
        <is>
          <t>2026-08-05</t>
        </is>
      </c>
      <c r="B26192" s="8" t="n">
        <v>18</v>
      </c>
      <c r="C26192" s="8" t="n">
        <v>31</v>
      </c>
      <c r="D26192" s="8" t="inlineStr">
        <is>
          <t>Disneyland Park</t>
        </is>
      </c>
      <c r="E26192" s="8" t="inlineStr">
        <is>
          <t>Le Carrousel de Lancelot</t>
        </is>
      </c>
      <c r="F26192" s="8" t="inlineStr">
        <is>
          <t>STANDBY</t>
        </is>
      </c>
      <c r="G26192" s="8" t="n">
        <v>10</v>
      </c>
      <c r="H26192" s="8" t="inlineStr">
        <is>
          <t>OPERATING</t>
        </is>
      </c>
    </row>
    <row r="26193">
      <c r="A26193" s="8" t="inlineStr">
        <is>
          <t>2026-08-05</t>
        </is>
      </c>
      <c r="B26193" s="8" t="n">
        <v>18</v>
      </c>
      <c r="C26193" s="8" t="n">
        <v>31</v>
      </c>
      <c r="D26193" s="8" t="inlineStr">
        <is>
          <t>Disneyland Park</t>
        </is>
      </c>
      <c r="E26193" s="8" t="inlineStr">
        <is>
          <t>Le Pays des Contes de Fées, presented by Vittel</t>
        </is>
      </c>
      <c r="F26193" s="8" t="inlineStr">
        <is>
          <t>STANDBY</t>
        </is>
      </c>
      <c r="G26193" s="8" t="n">
        <v>5</v>
      </c>
      <c r="H26193" s="8" t="inlineStr">
        <is>
          <t>OPERATING</t>
        </is>
      </c>
    </row>
    <row r="26194">
      <c r="A26194" s="8" t="inlineStr">
        <is>
          <t>2026-08-05</t>
        </is>
      </c>
      <c r="B26194" s="8" t="n">
        <v>18</v>
      </c>
      <c r="C26194" s="8" t="n">
        <v>31</v>
      </c>
      <c r="D26194" s="8" t="inlineStr">
        <is>
          <t>Disneyland Park</t>
        </is>
      </c>
      <c r="E26194" s="8" t="inlineStr">
        <is>
          <t>Les Voyages de Pinocchio</t>
        </is>
      </c>
      <c r="F26194" s="8" t="inlineStr">
        <is>
          <t>STANDBY</t>
        </is>
      </c>
      <c r="G26194" s="8" t="n">
        <v>30</v>
      </c>
      <c r="H26194" s="8" t="inlineStr">
        <is>
          <t>OPERATING</t>
        </is>
      </c>
    </row>
    <row r="26195">
      <c r="A26195" s="8" t="inlineStr">
        <is>
          <t>2026-08-05</t>
        </is>
      </c>
      <c r="B26195" s="8" t="n">
        <v>18</v>
      </c>
      <c r="C26195" s="8" t="n">
        <v>31</v>
      </c>
      <c r="D26195" s="8" t="inlineStr">
        <is>
          <t>Disneyland Park</t>
        </is>
      </c>
      <c r="E26195" s="8" t="inlineStr">
        <is>
          <t>Mad Hatter's Tea Cups</t>
        </is>
      </c>
      <c r="F26195" s="8" t="inlineStr">
        <is>
          <t>STANDBY</t>
        </is>
      </c>
      <c r="G26195" s="8" t="n">
        <v>5</v>
      </c>
      <c r="H26195" s="8" t="inlineStr">
        <is>
          <t>OPERATING</t>
        </is>
      </c>
    </row>
    <row r="26196">
      <c r="A26196" s="8" t="inlineStr">
        <is>
          <t>2026-08-05</t>
        </is>
      </c>
      <c r="B26196" s="8" t="n">
        <v>18</v>
      </c>
      <c r="C26196" s="8" t="n">
        <v>31</v>
      </c>
      <c r="D26196" s="8" t="inlineStr">
        <is>
          <t>Disneyland Park</t>
        </is>
      </c>
      <c r="E26196" s="8" t="inlineStr">
        <is>
          <t>Meet Mickey Mouse</t>
        </is>
      </c>
      <c r="F26196" s="8" t="inlineStr">
        <is>
          <t>STANDBY</t>
        </is>
      </c>
      <c r="G26196" s="8" t="n">
        <v>0</v>
      </c>
      <c r="H26196" s="8" t="inlineStr">
        <is>
          <t>CLOSED</t>
        </is>
      </c>
    </row>
    <row r="26197">
      <c r="A26197" s="8" t="inlineStr">
        <is>
          <t>2026-08-05</t>
        </is>
      </c>
      <c r="B26197" s="8" t="n">
        <v>18</v>
      </c>
      <c r="C26197" s="8" t="n">
        <v>31</v>
      </c>
      <c r="D26197" s="8" t="inlineStr">
        <is>
          <t>Disneyland Park</t>
        </is>
      </c>
      <c r="E26197" s="8" t="inlineStr">
        <is>
          <t>Peter Pan's Flight</t>
        </is>
      </c>
      <c r="F26197" s="8" t="inlineStr">
        <is>
          <t>STANDBY</t>
        </is>
      </c>
      <c r="G26197" s="8" t="n">
        <v>60</v>
      </c>
      <c r="H26197" s="8" t="inlineStr">
        <is>
          <t>OPERATING</t>
        </is>
      </c>
    </row>
    <row r="26198">
      <c r="A26198" s="8" t="inlineStr">
        <is>
          <t>2026-08-05</t>
        </is>
      </c>
      <c r="B26198" s="8" t="n">
        <v>18</v>
      </c>
      <c r="C26198" s="8" t="n">
        <v>31</v>
      </c>
      <c r="D26198" s="8" t="inlineStr">
        <is>
          <t>Disneyland Park</t>
        </is>
      </c>
      <c r="E26198" s="8" t="inlineStr">
        <is>
          <t>Princess Pavilion</t>
        </is>
      </c>
      <c r="F26198" s="8" t="inlineStr">
        <is>
          <t>STANDBY</t>
        </is>
      </c>
      <c r="G26198" s="8" t="n">
        <v>0</v>
      </c>
      <c r="H26198" s="8" t="inlineStr">
        <is>
          <t>CLOSED</t>
        </is>
      </c>
    </row>
    <row r="26199">
      <c r="A26199" s="8" t="inlineStr">
        <is>
          <t>2026-08-05</t>
        </is>
      </c>
      <c r="B26199" s="8" t="n">
        <v>18</v>
      </c>
      <c r="C26199" s="8" t="n">
        <v>31</v>
      </c>
      <c r="D26199" s="8" t="inlineStr">
        <is>
          <t>Disneyland Park</t>
        </is>
      </c>
      <c r="E26199" s="8" t="inlineStr">
        <is>
          <t>Big Thunder Mountain</t>
        </is>
      </c>
      <c r="F26199" s="8" t="inlineStr">
        <is>
          <t>STANDBY</t>
        </is>
      </c>
      <c r="G26199" s="8" t="n">
        <v>65</v>
      </c>
      <c r="H26199" s="8" t="inlineStr">
        <is>
          <t>OPERATING</t>
        </is>
      </c>
    </row>
    <row r="26200">
      <c r="A26200" s="8" t="inlineStr">
        <is>
          <t>2026-08-05</t>
        </is>
      </c>
      <c r="B26200" s="8" t="n">
        <v>18</v>
      </c>
      <c r="C26200" s="8" t="n">
        <v>31</v>
      </c>
      <c r="D26200" s="8" t="inlineStr">
        <is>
          <t>Disneyland Park</t>
        </is>
      </c>
      <c r="E26200" s="8" t="inlineStr">
        <is>
          <t>Disneyland Railroad Frontierland Depot</t>
        </is>
      </c>
      <c r="F26200" s="8" t="inlineStr">
        <is>
          <t>STANDBY</t>
        </is>
      </c>
      <c r="G26200" s="8" t="n">
        <v>20</v>
      </c>
      <c r="H26200" s="8" t="inlineStr">
        <is>
          <t>OPERATING</t>
        </is>
      </c>
    </row>
    <row r="26201">
      <c r="A26201" s="8" t="inlineStr">
        <is>
          <t>2026-08-05</t>
        </is>
      </c>
      <c r="B26201" s="8" t="n">
        <v>18</v>
      </c>
      <c r="C26201" s="8" t="n">
        <v>31</v>
      </c>
      <c r="D26201" s="8" t="inlineStr">
        <is>
          <t>Disneyland Park</t>
        </is>
      </c>
      <c r="E26201" s="8" t="inlineStr">
        <is>
          <t>Frontierland Playground</t>
        </is>
      </c>
      <c r="F26201" s="8" t="inlineStr">
        <is>
          <t>STANDBY</t>
        </is>
      </c>
      <c r="G26201" s="8" t="n">
        <v>0</v>
      </c>
      <c r="H26201" s="8" t="inlineStr">
        <is>
          <t>OPERATING</t>
        </is>
      </c>
    </row>
    <row r="26202">
      <c r="A26202" s="8" t="inlineStr">
        <is>
          <t>2026-08-05</t>
        </is>
      </c>
      <c r="B26202" s="8" t="n">
        <v>18</v>
      </c>
      <c r="C26202" s="8" t="n">
        <v>31</v>
      </c>
      <c r="D26202" s="8" t="inlineStr">
        <is>
          <t>Disneyland Park</t>
        </is>
      </c>
      <c r="E26202" s="8" t="inlineStr">
        <is>
          <t>Phantom Manor</t>
        </is>
      </c>
      <c r="F26202" s="8" t="inlineStr">
        <is>
          <t>STANDBY</t>
        </is>
      </c>
      <c r="G26202" s="8" t="n">
        <v>20</v>
      </c>
      <c r="H26202" s="8" t="inlineStr">
        <is>
          <t>OPERATING</t>
        </is>
      </c>
    </row>
    <row r="26203">
      <c r="A26203" s="8" t="inlineStr">
        <is>
          <t>2026-08-05</t>
        </is>
      </c>
      <c r="B26203" s="8" t="n">
        <v>18</v>
      </c>
      <c r="C26203" s="8" t="n">
        <v>31</v>
      </c>
      <c r="D26203" s="8" t="inlineStr">
        <is>
          <t>Disneyland Park</t>
        </is>
      </c>
      <c r="E26203" s="8" t="inlineStr">
        <is>
          <t>River Rogue Keelboats</t>
        </is>
      </c>
      <c r="F26203" s="8" t="inlineStr">
        <is>
          <t>STANDBY</t>
        </is>
      </c>
      <c r="G26203" s="8" t="n">
        <v>0</v>
      </c>
      <c r="H26203" s="8" t="inlineStr">
        <is>
          <t>CLOSED</t>
        </is>
      </c>
    </row>
    <row r="26204">
      <c r="A26204" s="8" t="inlineStr">
        <is>
          <t>2026-08-05</t>
        </is>
      </c>
      <c r="B26204" s="8" t="n">
        <v>18</v>
      </c>
      <c r="C26204" s="8" t="n">
        <v>31</v>
      </c>
      <c r="D26204" s="8" t="inlineStr">
        <is>
          <t>Disneyland Park</t>
        </is>
      </c>
      <c r="E26204" s="8" t="inlineStr">
        <is>
          <t>Rustler Roundup Shootin' Gallery</t>
        </is>
      </c>
      <c r="F26204" s="8" t="inlineStr">
        <is>
          <t>STANDBY</t>
        </is>
      </c>
      <c r="G26204" s="8" t="n">
        <v>0</v>
      </c>
      <c r="H26204" s="8" t="inlineStr">
        <is>
          <t>OPERATING</t>
        </is>
      </c>
    </row>
    <row r="26205">
      <c r="A26205" s="8" t="inlineStr">
        <is>
          <t>2026-08-05</t>
        </is>
      </c>
      <c r="B26205" s="8" t="n">
        <v>18</v>
      </c>
      <c r="C26205" s="8" t="n">
        <v>31</v>
      </c>
      <c r="D26205" s="8" t="inlineStr">
        <is>
          <t>Disneyland Park</t>
        </is>
      </c>
      <c r="E26205" s="8" t="inlineStr">
        <is>
          <t>Thunder Mesa Riverboat Landing</t>
        </is>
      </c>
      <c r="F26205" s="8" t="inlineStr">
        <is>
          <t>STANDBY</t>
        </is>
      </c>
      <c r="G26205" s="8" t="n">
        <v>0</v>
      </c>
      <c r="H26205" s="8" t="inlineStr">
        <is>
          <t>CLOSED</t>
        </is>
      </c>
    </row>
    <row r="26206">
      <c r="A26206" s="8" t="inlineStr">
        <is>
          <t>2026-08-05</t>
        </is>
      </c>
      <c r="B26206" s="8" t="n">
        <v>18</v>
      </c>
      <c r="C26206" s="8" t="n">
        <v>31</v>
      </c>
      <c r="D26206" s="8" t="inlineStr">
        <is>
          <t>Disneyland Park</t>
        </is>
      </c>
      <c r="E26206" s="8" t="inlineStr">
        <is>
          <t>Disneyland Railroad Main Street Station</t>
        </is>
      </c>
      <c r="F26206" s="8" t="inlineStr">
        <is>
          <t>STANDBY</t>
        </is>
      </c>
      <c r="G26206" s="8" t="n">
        <v>0</v>
      </c>
      <c r="H26206" s="8" t="inlineStr">
        <is>
          <t>OPERATING</t>
        </is>
      </c>
    </row>
    <row r="26207">
      <c r="A26207" s="8" t="inlineStr">
        <is>
          <t>2026-08-05</t>
        </is>
      </c>
      <c r="B26207" s="8" t="n">
        <v>18</v>
      </c>
      <c r="C26207" s="8" t="n">
        <v>31</v>
      </c>
      <c r="D26207" s="8" t="inlineStr">
        <is>
          <t>Disneyland Park</t>
        </is>
      </c>
      <c r="E26207" s="8" t="inlineStr">
        <is>
          <t>Main Street Vehicles</t>
        </is>
      </c>
      <c r="F26207" s="8" t="inlineStr">
        <is>
          <t>STANDBY</t>
        </is>
      </c>
      <c r="G26207" s="8" t="n">
        <v>0</v>
      </c>
      <c r="H26207" s="8" t="inlineStr">
        <is>
          <t>CLOSED</t>
        </is>
      </c>
    </row>
    <row r="26208">
      <c r="A26208" s="8" t="inlineStr">
        <is>
          <t>2026-08-05</t>
        </is>
      </c>
      <c r="B26208" s="8" t="n">
        <v>18</v>
      </c>
      <c r="C26208" s="8" t="n">
        <v>31</v>
      </c>
      <c r="D26208" s="8" t="inlineStr">
        <is>
          <t>Disney Adventure World</t>
        </is>
      </c>
      <c r="E26208" s="8" t="inlineStr">
        <is>
          <t>Avengers Assemble: Flight Force</t>
        </is>
      </c>
      <c r="F26208" s="8" t="inlineStr">
        <is>
          <t>STANDBY</t>
        </is>
      </c>
      <c r="G26208" s="8" t="n">
        <v>20</v>
      </c>
      <c r="H26208" s="8" t="inlineStr">
        <is>
          <t>OPERATING</t>
        </is>
      </c>
    </row>
    <row r="26209">
      <c r="A26209" s="8" t="inlineStr">
        <is>
          <t>2026-08-05</t>
        </is>
      </c>
      <c r="B26209" s="8" t="n">
        <v>18</v>
      </c>
      <c r="C26209" s="8" t="n">
        <v>31</v>
      </c>
      <c r="D26209" s="8" t="inlineStr">
        <is>
          <t>Disney Adventure World</t>
        </is>
      </c>
      <c r="E26209" s="8" t="inlineStr">
        <is>
          <t>Avengers Assemble: Flight Force Single Rider</t>
        </is>
      </c>
      <c r="F26209" s="8" t="inlineStr">
        <is>
          <t>STANDBY</t>
        </is>
      </c>
      <c r="G26209" s="8" t="n">
        <v>15</v>
      </c>
      <c r="H26209" s="8" t="inlineStr">
        <is>
          <t>OPERATING</t>
        </is>
      </c>
    </row>
    <row r="26210">
      <c r="A26210" s="8" t="inlineStr">
        <is>
          <t>2026-08-05</t>
        </is>
      </c>
      <c r="B26210" s="8" t="n">
        <v>18</v>
      </c>
      <c r="C26210" s="8" t="n">
        <v>31</v>
      </c>
      <c r="D26210" s="8" t="inlineStr">
        <is>
          <t>Disney Adventure World</t>
        </is>
      </c>
      <c r="E26210" s="8" t="inlineStr">
        <is>
          <t>Spider-Man W.E.B. Adventure</t>
        </is>
      </c>
      <c r="F26210" s="8" t="inlineStr">
        <is>
          <t>STANDBY</t>
        </is>
      </c>
      <c r="G26210" s="8" t="n">
        <v>40</v>
      </c>
      <c r="H26210" s="8" t="inlineStr">
        <is>
          <t>OPERATING</t>
        </is>
      </c>
    </row>
    <row r="26211">
      <c r="A26211" s="8" t="inlineStr">
        <is>
          <t>2026-08-05</t>
        </is>
      </c>
      <c r="B26211" s="8" t="n">
        <v>18</v>
      </c>
      <c r="C26211" s="8" t="n">
        <v>31</v>
      </c>
      <c r="D26211" s="8" t="inlineStr">
        <is>
          <t>Disney Adventure World</t>
        </is>
      </c>
      <c r="E26211" s="8" t="inlineStr">
        <is>
          <t>Spider-Man W.E.B. Adventure Single Rider</t>
        </is>
      </c>
      <c r="F26211" s="8" t="inlineStr">
        <is>
          <t>STANDBY</t>
        </is>
      </c>
      <c r="G26211" s="8" t="n">
        <v>25</v>
      </c>
      <c r="H26211" s="8" t="inlineStr">
        <is>
          <t>OPERATING</t>
        </is>
      </c>
    </row>
    <row r="26212">
      <c r="A26212" s="8" t="inlineStr">
        <is>
          <t>2026-08-05</t>
        </is>
      </c>
      <c r="B26212" s="8" t="n">
        <v>18</v>
      </c>
      <c r="C26212" s="8" t="n">
        <v>31</v>
      </c>
      <c r="D26212" s="8" t="inlineStr">
        <is>
          <t>Disney Adventure World</t>
        </is>
      </c>
      <c r="E26212" s="8" t="inlineStr">
        <is>
          <t>The Twilight Zone Tower of Terror</t>
        </is>
      </c>
      <c r="F26212" s="8" t="inlineStr">
        <is>
          <t>STANDBY</t>
        </is>
      </c>
      <c r="G26212" s="8" t="n">
        <v>30</v>
      </c>
      <c r="H26212" s="8" t="inlineStr">
        <is>
          <t>OPERATING</t>
        </is>
      </c>
    </row>
    <row r="26213">
      <c r="A26213" s="8" t="inlineStr">
        <is>
          <t>2026-08-05</t>
        </is>
      </c>
      <c r="B26213" s="8" t="n">
        <v>18</v>
      </c>
      <c r="C26213" s="8" t="n">
        <v>31</v>
      </c>
      <c r="D26213" s="8" t="inlineStr">
        <is>
          <t>Disney Adventure World</t>
        </is>
      </c>
      <c r="E26213" s="8" t="inlineStr">
        <is>
          <t>Cars Quatre Roues Rallye</t>
        </is>
      </c>
      <c r="F26213" s="8" t="inlineStr">
        <is>
          <t>STANDBY</t>
        </is>
      </c>
      <c r="G26213" s="8" t="n">
        <v>5</v>
      </c>
      <c r="H26213" s="8" t="inlineStr">
        <is>
          <t>OPERATING</t>
        </is>
      </c>
    </row>
    <row r="26214">
      <c r="A26214" s="8" t="inlineStr">
        <is>
          <t>2026-08-05</t>
        </is>
      </c>
      <c r="B26214" s="8" t="n">
        <v>18</v>
      </c>
      <c r="C26214" s="8" t="n">
        <v>31</v>
      </c>
      <c r="D26214" s="8" t="inlineStr">
        <is>
          <t>Disney Adventure World</t>
        </is>
      </c>
      <c r="E26214" s="8" t="inlineStr">
        <is>
          <t>Cars ROAD TRIP</t>
        </is>
      </c>
      <c r="F26214" s="8" t="inlineStr">
        <is>
          <t>STANDBY</t>
        </is>
      </c>
      <c r="G26214" s="8" t="n">
        <v>5</v>
      </c>
      <c r="H26214" s="8" t="inlineStr">
        <is>
          <t>OPERATING</t>
        </is>
      </c>
    </row>
    <row r="26215">
      <c r="A26215" s="8" t="inlineStr">
        <is>
          <t>2026-08-05</t>
        </is>
      </c>
      <c r="B26215" s="8" t="n">
        <v>18</v>
      </c>
      <c r="C26215" s="8" t="n">
        <v>31</v>
      </c>
      <c r="D26215" s="8" t="inlineStr">
        <is>
          <t>Disney Adventure World</t>
        </is>
      </c>
      <c r="E26215" s="8" t="inlineStr">
        <is>
          <t>Crush's Coaster</t>
        </is>
      </c>
      <c r="F26215" s="8" t="inlineStr">
        <is>
          <t>STANDBY</t>
        </is>
      </c>
      <c r="G26215" s="8" t="n">
        <v>70</v>
      </c>
      <c r="H26215" s="8" t="inlineStr">
        <is>
          <t>OPERATING</t>
        </is>
      </c>
    </row>
    <row r="26216">
      <c r="A26216" s="8" t="inlineStr">
        <is>
          <t>2026-08-05</t>
        </is>
      </c>
      <c r="B26216" s="8" t="n">
        <v>18</v>
      </c>
      <c r="C26216" s="8" t="n">
        <v>31</v>
      </c>
      <c r="D26216" s="8" t="inlineStr">
        <is>
          <t>Disney Adventure World</t>
        </is>
      </c>
      <c r="E26216" s="8" t="inlineStr">
        <is>
          <t>Crush's Coaster Single Rider</t>
        </is>
      </c>
      <c r="F26216" s="8" t="inlineStr">
        <is>
          <t>STANDBY</t>
        </is>
      </c>
      <c r="G26216" s="8" t="n">
        <v>45</v>
      </c>
      <c r="H26216" s="8" t="inlineStr">
        <is>
          <t>OPERATING</t>
        </is>
      </c>
    </row>
    <row r="26217">
      <c r="A26217" s="8" t="inlineStr">
        <is>
          <t>2026-08-05</t>
        </is>
      </c>
      <c r="B26217" s="8" t="n">
        <v>18</v>
      </c>
      <c r="C26217" s="8" t="n">
        <v>31</v>
      </c>
      <c r="D26217" s="8" t="inlineStr">
        <is>
          <t>Disney Adventure World</t>
        </is>
      </c>
      <c r="E26217" s="8" t="inlineStr">
        <is>
          <t>Les Tapis Volants - Flying Carpets Over Agrabah®</t>
        </is>
      </c>
      <c r="F26217" s="8" t="inlineStr">
        <is>
          <t>STANDBY</t>
        </is>
      </c>
      <c r="G26217" s="8" t="n">
        <v>20</v>
      </c>
      <c r="H26217" s="8" t="inlineStr">
        <is>
          <t>OPERATING</t>
        </is>
      </c>
    </row>
    <row r="26218">
      <c r="A26218" s="8" t="inlineStr">
        <is>
          <t>2026-08-05</t>
        </is>
      </c>
      <c r="B26218" s="8" t="n">
        <v>18</v>
      </c>
      <c r="C26218" s="8" t="n">
        <v>31</v>
      </c>
      <c r="D26218" s="8" t="inlineStr">
        <is>
          <t>Disney Adventure World</t>
        </is>
      </c>
      <c r="E26218" s="8" t="inlineStr">
        <is>
          <t>Ratatouille : L’Aventure Totalement Toquée de Rémy​</t>
        </is>
      </c>
      <c r="F26218" s="8" t="inlineStr">
        <is>
          <t>STANDBY</t>
        </is>
      </c>
      <c r="G26218" s="8" t="n">
        <v>60</v>
      </c>
      <c r="H26218" s="8" t="inlineStr">
        <is>
          <t>OPERATING</t>
        </is>
      </c>
    </row>
    <row r="26219">
      <c r="A26219" s="8" t="inlineStr">
        <is>
          <t>2026-08-05</t>
        </is>
      </c>
      <c r="B26219" s="8" t="n">
        <v>18</v>
      </c>
      <c r="C26219" s="8" t="n">
        <v>31</v>
      </c>
      <c r="D26219" s="8" t="inlineStr">
        <is>
          <t>Disney Adventure World</t>
        </is>
      </c>
      <c r="E26219" s="8" t="inlineStr">
        <is>
          <t>Ratatouille: The Adventure Single Rider</t>
        </is>
      </c>
      <c r="F26219" s="8" t="inlineStr">
        <is>
          <t>STANDBY</t>
        </is>
      </c>
      <c r="G26219" s="8" t="n">
        <v>15</v>
      </c>
      <c r="H26219" s="8" t="inlineStr">
        <is>
          <t>OPERATING</t>
        </is>
      </c>
    </row>
    <row r="26220">
      <c r="A26220" s="8" t="inlineStr">
        <is>
          <t>2026-08-05</t>
        </is>
      </c>
      <c r="B26220" s="8" t="n">
        <v>18</v>
      </c>
      <c r="C26220" s="8" t="n">
        <v>31</v>
      </c>
      <c r="D26220" s="8" t="inlineStr">
        <is>
          <t>Disney Adventure World</t>
        </is>
      </c>
      <c r="E26220" s="8" t="inlineStr">
        <is>
          <t>RC Racer</t>
        </is>
      </c>
      <c r="F26220" s="8" t="inlineStr">
        <is>
          <t>STANDBY</t>
        </is>
      </c>
      <c r="G26220" s="8" t="n">
        <v>40</v>
      </c>
      <c r="H26220" s="8" t="inlineStr">
        <is>
          <t>OPERATING</t>
        </is>
      </c>
    </row>
    <row r="26221">
      <c r="A26221" s="8" t="inlineStr">
        <is>
          <t>2026-08-05</t>
        </is>
      </c>
      <c r="B26221" s="8" t="n">
        <v>18</v>
      </c>
      <c r="C26221" s="8" t="n">
        <v>31</v>
      </c>
      <c r="D26221" s="8" t="inlineStr">
        <is>
          <t>Disney Adventure World</t>
        </is>
      </c>
      <c r="E26221" s="8" t="inlineStr">
        <is>
          <t>RC Racer Single Rider</t>
        </is>
      </c>
      <c r="F26221" s="8" t="inlineStr">
        <is>
          <t>STANDBY</t>
        </is>
      </c>
      <c r="G26221" s="8" t="n">
        <v>35</v>
      </c>
      <c r="H26221" s="8" t="inlineStr">
        <is>
          <t>OPERATING</t>
        </is>
      </c>
    </row>
    <row r="26222">
      <c r="A26222" s="8" t="inlineStr">
        <is>
          <t>2026-08-05</t>
        </is>
      </c>
      <c r="B26222" s="8" t="n">
        <v>18</v>
      </c>
      <c r="C26222" s="8" t="n">
        <v>31</v>
      </c>
      <c r="D26222" s="8" t="inlineStr">
        <is>
          <t>Disney Adventure World</t>
        </is>
      </c>
      <c r="E26222" s="8" t="inlineStr">
        <is>
          <t>Slinky® Dog Zigzag Spin</t>
        </is>
      </c>
      <c r="F26222" s="8" t="inlineStr">
        <is>
          <t>STANDBY</t>
        </is>
      </c>
      <c r="G26222" s="8" t="n">
        <v>10</v>
      </c>
      <c r="H26222" s="8" t="inlineStr">
        <is>
          <t>OPERATING</t>
        </is>
      </c>
    </row>
    <row r="26223">
      <c r="A26223" s="8" t="inlineStr">
        <is>
          <t>2026-08-05</t>
        </is>
      </c>
      <c r="B26223" s="8" t="n">
        <v>18</v>
      </c>
      <c r="C26223" s="8" t="n">
        <v>31</v>
      </c>
      <c r="D26223" s="8" t="inlineStr">
        <is>
          <t>Disney Adventure World</t>
        </is>
      </c>
      <c r="E26223" s="8" t="inlineStr">
        <is>
          <t>Toy Soldiers Parachute Drop</t>
        </is>
      </c>
      <c r="F26223" s="8" t="inlineStr">
        <is>
          <t>STANDBY</t>
        </is>
      </c>
      <c r="G26223" s="8" t="n">
        <v>55</v>
      </c>
      <c r="H26223" s="8" t="inlineStr">
        <is>
          <t>OPERATING</t>
        </is>
      </c>
    </row>
    <row r="26224">
      <c r="A26224" s="8" t="inlineStr">
        <is>
          <t>2026-08-05</t>
        </is>
      </c>
      <c r="B26224" s="8" t="n">
        <v>18</v>
      </c>
      <c r="C26224" s="8" t="n">
        <v>31</v>
      </c>
      <c r="D26224" s="8" t="inlineStr">
        <is>
          <t>Disney Adventure World</t>
        </is>
      </c>
      <c r="E26224" s="8" t="inlineStr">
        <is>
          <t>Toy Soldiers Parachute Drop Single Rider</t>
        </is>
      </c>
      <c r="F26224" s="8" t="inlineStr">
        <is>
          <t>STANDBY</t>
        </is>
      </c>
      <c r="G26224" s="8" t="n">
        <v>20</v>
      </c>
      <c r="H26224" s="8" t="inlineStr">
        <is>
          <t>OPERATING</t>
        </is>
      </c>
    </row>
    <row r="26225">
      <c r="A26225" s="8" t="inlineStr">
        <is>
          <t>2026-08-05</t>
        </is>
      </c>
      <c r="B26225" s="8" t="n">
        <v>18</v>
      </c>
      <c r="C26225" s="8" t="n">
        <v>31</v>
      </c>
      <c r="D26225" s="8" t="inlineStr">
        <is>
          <t>Disney Adventure World</t>
        </is>
      </c>
      <c r="E26225" s="8" t="inlineStr">
        <is>
          <t>Entry to World of Frozen</t>
        </is>
      </c>
      <c r="F26225" s="8" t="inlineStr">
        <is>
          <t>STANDBY</t>
        </is>
      </c>
      <c r="G26225" s="8" t="n">
        <v>0</v>
      </c>
      <c r="H26225" s="8" t="inlineStr">
        <is>
          <t>OPERATING</t>
        </is>
      </c>
    </row>
    <row r="26226">
      <c r="A26226" s="8" t="inlineStr">
        <is>
          <t>2026-08-05</t>
        </is>
      </c>
      <c r="B26226" s="8" t="n">
        <v>18</v>
      </c>
      <c r="C26226" s="8" t="n">
        <v>31</v>
      </c>
      <c r="D26226" s="8" t="inlineStr">
        <is>
          <t>Disney Adventure World</t>
        </is>
      </c>
      <c r="E26226" s="8" t="inlineStr">
        <is>
          <t>Frozen Ever After</t>
        </is>
      </c>
      <c r="F26226" s="8" t="inlineStr">
        <is>
          <t>STANDBY</t>
        </is>
      </c>
      <c r="G26226" s="8" t="n">
        <v>65</v>
      </c>
      <c r="H26226" s="8" t="inlineStr">
        <is>
          <t>OPERATING</t>
        </is>
      </c>
    </row>
    <row r="26227">
      <c r="A26227" s="8" t="inlineStr">
        <is>
          <t>2026-08-05</t>
        </is>
      </c>
      <c r="B26227" s="8" t="n">
        <v>18</v>
      </c>
      <c r="C26227" s="8" t="n">
        <v>31</v>
      </c>
      <c r="D26227" s="8" t="inlineStr">
        <is>
          <t>Disney Adventure World</t>
        </is>
      </c>
      <c r="E26227" s="8" t="inlineStr">
        <is>
          <t>Raiponce Tangled Spin</t>
        </is>
      </c>
      <c r="F26227" s="8" t="inlineStr">
        <is>
          <t>STANDBY</t>
        </is>
      </c>
      <c r="G26227" s="8" t="n">
        <v>5</v>
      </c>
      <c r="H26227" s="8" t="inlineStr">
        <is>
          <t>OPERATING</t>
        </is>
      </c>
    </row>
    <row r="26228">
      <c r="A26228" s="8" t="inlineStr">
        <is>
          <t>2026-08-05</t>
        </is>
      </c>
      <c r="B26228" s="8" t="n">
        <v>18</v>
      </c>
      <c r="C26228" s="8" t="n">
        <v>45</v>
      </c>
      <c r="D26228" s="8" t="inlineStr">
        <is>
          <t>Disneyland Park</t>
        </is>
      </c>
      <c r="E26228" s="8" t="inlineStr">
        <is>
          <t>Adventure Isle</t>
        </is>
      </c>
      <c r="F26228" s="8" t="inlineStr">
        <is>
          <t>STANDBY</t>
        </is>
      </c>
      <c r="G26228" s="8" t="n">
        <v>0</v>
      </c>
      <c r="H26228" s="8" t="inlineStr">
        <is>
          <t>OPERATING</t>
        </is>
      </c>
    </row>
    <row r="26229">
      <c r="A26229" s="8" t="inlineStr">
        <is>
          <t>2026-08-05</t>
        </is>
      </c>
      <c r="B26229" s="8" t="n">
        <v>18</v>
      </c>
      <c r="C26229" s="8" t="n">
        <v>45</v>
      </c>
      <c r="D26229" s="8" t="inlineStr">
        <is>
          <t>Disneyland Park</t>
        </is>
      </c>
      <c r="E26229" s="8" t="inlineStr">
        <is>
          <t>Indiana Jones and the Temple of Peril Single Rider</t>
        </is>
      </c>
      <c r="F26229" s="8" t="inlineStr">
        <is>
          <t>STANDBY</t>
        </is>
      </c>
      <c r="G26229" s="8" t="n">
        <v>10</v>
      </c>
      <c r="H26229" s="8" t="inlineStr">
        <is>
          <t>OPERATING</t>
        </is>
      </c>
    </row>
    <row r="26230">
      <c r="A26230" s="8" t="inlineStr">
        <is>
          <t>2026-08-05</t>
        </is>
      </c>
      <c r="B26230" s="8" t="n">
        <v>18</v>
      </c>
      <c r="C26230" s="8" t="n">
        <v>45</v>
      </c>
      <c r="D26230" s="8" t="inlineStr">
        <is>
          <t>Disneyland Park</t>
        </is>
      </c>
      <c r="E26230" s="8" t="inlineStr">
        <is>
          <t>Indiana Jones™ and the Temple of Peril</t>
        </is>
      </c>
      <c r="F26230" s="8" t="inlineStr">
        <is>
          <t>STANDBY</t>
        </is>
      </c>
      <c r="G26230" s="8" t="n">
        <v>25</v>
      </c>
      <c r="H26230" s="8" t="inlineStr">
        <is>
          <t>OPERATING</t>
        </is>
      </c>
    </row>
    <row r="26231">
      <c r="A26231" s="8" t="inlineStr">
        <is>
          <t>2026-08-05</t>
        </is>
      </c>
      <c r="B26231" s="8" t="n">
        <v>18</v>
      </c>
      <c r="C26231" s="8" t="n">
        <v>45</v>
      </c>
      <c r="D26231" s="8" t="inlineStr">
        <is>
          <t>Disneyland Park</t>
        </is>
      </c>
      <c r="E26231" s="8" t="inlineStr">
        <is>
          <t>La Cabane des Robinson</t>
        </is>
      </c>
      <c r="F26231" s="8" t="inlineStr">
        <is>
          <t>STANDBY</t>
        </is>
      </c>
      <c r="G26231" s="8" t="n">
        <v>5</v>
      </c>
      <c r="H26231" s="8" t="inlineStr">
        <is>
          <t>OPERATING</t>
        </is>
      </c>
    </row>
    <row r="26232">
      <c r="A26232" s="8" t="inlineStr">
        <is>
          <t>2026-08-05</t>
        </is>
      </c>
      <c r="B26232" s="8" t="n">
        <v>18</v>
      </c>
      <c r="C26232" s="8" t="n">
        <v>45</v>
      </c>
      <c r="D26232" s="8" t="inlineStr">
        <is>
          <t>Disneyland Park</t>
        </is>
      </c>
      <c r="E26232" s="8" t="inlineStr">
        <is>
          <t>Le Passage Enchanté d'Aladdin</t>
        </is>
      </c>
      <c r="F26232" s="8" t="inlineStr">
        <is>
          <t>STANDBY</t>
        </is>
      </c>
      <c r="G26232" s="8" t="n">
        <v>0</v>
      </c>
      <c r="H26232" s="8" t="inlineStr">
        <is>
          <t>OPERATING</t>
        </is>
      </c>
    </row>
    <row r="26233">
      <c r="A26233" s="8" t="inlineStr">
        <is>
          <t>2026-08-05</t>
        </is>
      </c>
      <c r="B26233" s="8" t="n">
        <v>18</v>
      </c>
      <c r="C26233" s="8" t="n">
        <v>45</v>
      </c>
      <c r="D26233" s="8" t="inlineStr">
        <is>
          <t>Disneyland Park</t>
        </is>
      </c>
      <c r="E26233" s="8" t="inlineStr">
        <is>
          <t>Pirate Galleon</t>
        </is>
      </c>
      <c r="F26233" s="8" t="inlineStr">
        <is>
          <t>STANDBY</t>
        </is>
      </c>
      <c r="G26233" s="8" t="n">
        <v>0</v>
      </c>
      <c r="H26233" s="8" t="inlineStr">
        <is>
          <t>CLOSED</t>
        </is>
      </c>
    </row>
    <row r="26234">
      <c r="A26234" s="8" t="inlineStr">
        <is>
          <t>2026-08-05</t>
        </is>
      </c>
      <c r="B26234" s="8" t="n">
        <v>18</v>
      </c>
      <c r="C26234" s="8" t="n">
        <v>45</v>
      </c>
      <c r="D26234" s="8" t="inlineStr">
        <is>
          <t>Disneyland Park</t>
        </is>
      </c>
      <c r="E26234" s="8" t="inlineStr">
        <is>
          <t>Pirates of the Caribbean</t>
        </is>
      </c>
      <c r="F26234" s="8" t="inlineStr">
        <is>
          <t>STANDBY</t>
        </is>
      </c>
      <c r="G26234" s="8" t="n">
        <v>15</v>
      </c>
      <c r="H26234" s="8" t="inlineStr">
        <is>
          <t>OPERATING</t>
        </is>
      </c>
    </row>
    <row r="26235">
      <c r="A26235" s="8" t="inlineStr">
        <is>
          <t>2026-08-05</t>
        </is>
      </c>
      <c r="B26235" s="8" t="n">
        <v>18</v>
      </c>
      <c r="C26235" s="8" t="n">
        <v>45</v>
      </c>
      <c r="D26235" s="8" t="inlineStr">
        <is>
          <t>Disneyland Park</t>
        </is>
      </c>
      <c r="E26235" s="8" t="inlineStr">
        <is>
          <t>Pirates' Beach</t>
        </is>
      </c>
      <c r="F26235" s="8" t="inlineStr">
        <is>
          <t>STANDBY</t>
        </is>
      </c>
      <c r="G26235" s="8" t="n">
        <v>0</v>
      </c>
      <c r="H26235" s="8" t="inlineStr">
        <is>
          <t>OPERATING</t>
        </is>
      </c>
    </row>
    <row r="26236">
      <c r="A26236" s="8" t="inlineStr">
        <is>
          <t>2026-08-05</t>
        </is>
      </c>
      <c r="B26236" s="8" t="n">
        <v>18</v>
      </c>
      <c r="C26236" s="8" t="n">
        <v>45</v>
      </c>
      <c r="D26236" s="8" t="inlineStr">
        <is>
          <t>Disneyland Park</t>
        </is>
      </c>
      <c r="E26236" s="8" t="inlineStr">
        <is>
          <t>Autopia, presented by Avis</t>
        </is>
      </c>
      <c r="F26236" s="8" t="inlineStr">
        <is>
          <t>STANDBY</t>
        </is>
      </c>
      <c r="G26236" s="8" t="n">
        <v>70</v>
      </c>
      <c r="H26236" s="8" t="inlineStr">
        <is>
          <t>OPERATING</t>
        </is>
      </c>
    </row>
    <row r="26237">
      <c r="A26237" s="8" t="inlineStr">
        <is>
          <t>2026-08-05</t>
        </is>
      </c>
      <c r="B26237" s="8" t="n">
        <v>18</v>
      </c>
      <c r="C26237" s="8" t="n">
        <v>45</v>
      </c>
      <c r="D26237" s="8" t="inlineStr">
        <is>
          <t>Disneyland Park</t>
        </is>
      </c>
      <c r="E26237" s="8" t="inlineStr">
        <is>
          <t>Buzz Lightyear Laser Blast</t>
        </is>
      </c>
      <c r="F26237" s="8" t="inlineStr">
        <is>
          <t>STANDBY</t>
        </is>
      </c>
      <c r="G26237" s="8" t="n">
        <v>45</v>
      </c>
      <c r="H26237" s="8" t="inlineStr">
        <is>
          <t>OPERATING</t>
        </is>
      </c>
    </row>
    <row r="26238">
      <c r="A26238" s="8" t="inlineStr">
        <is>
          <t>2026-08-05</t>
        </is>
      </c>
      <c r="B26238" s="8" t="n">
        <v>18</v>
      </c>
      <c r="C26238" s="8" t="n">
        <v>45</v>
      </c>
      <c r="D26238" s="8" t="inlineStr">
        <is>
          <t>Disneyland Park</t>
        </is>
      </c>
      <c r="E26238" s="8" t="inlineStr">
        <is>
          <t>Disneyland Railroad Discoveryland Station</t>
        </is>
      </c>
      <c r="F26238" s="8" t="inlineStr">
        <is>
          <t>STANDBY</t>
        </is>
      </c>
      <c r="G26238" s="8" t="n">
        <v>0</v>
      </c>
      <c r="H26238" s="8" t="inlineStr">
        <is>
          <t>CLOSED</t>
        </is>
      </c>
    </row>
    <row r="26239">
      <c r="A26239" s="8" t="inlineStr">
        <is>
          <t>2026-08-05</t>
        </is>
      </c>
      <c r="B26239" s="8" t="n">
        <v>18</v>
      </c>
      <c r="C26239" s="8" t="n">
        <v>45</v>
      </c>
      <c r="D26239" s="8" t="inlineStr">
        <is>
          <t>Disneyland Park</t>
        </is>
      </c>
      <c r="E26239" s="8" t="inlineStr">
        <is>
          <t>Les Mystères du Nautilus</t>
        </is>
      </c>
      <c r="F26239" s="8" t="inlineStr">
        <is>
          <t>STANDBY</t>
        </is>
      </c>
      <c r="G26239" s="8" t="n">
        <v>5</v>
      </c>
      <c r="H26239" s="8" t="inlineStr">
        <is>
          <t>OPERATING</t>
        </is>
      </c>
    </row>
    <row r="26240">
      <c r="A26240" s="8" t="inlineStr">
        <is>
          <t>2026-08-05</t>
        </is>
      </c>
      <c r="B26240" s="8" t="n">
        <v>18</v>
      </c>
      <c r="C26240" s="8" t="n">
        <v>45</v>
      </c>
      <c r="D26240" s="8" t="inlineStr">
        <is>
          <t>Disneyland Park</t>
        </is>
      </c>
      <c r="E26240" s="8" t="inlineStr">
        <is>
          <t>Mickey’s PhilharMagic</t>
        </is>
      </c>
      <c r="F26240" s="8" t="inlineStr">
        <is>
          <t>STANDBY</t>
        </is>
      </c>
      <c r="G26240" s="8" t="n">
        <v>0</v>
      </c>
      <c r="H26240" s="8" t="inlineStr">
        <is>
          <t>CLOSED</t>
        </is>
      </c>
    </row>
    <row r="26241">
      <c r="A26241" s="8" t="inlineStr">
        <is>
          <t>2026-08-05</t>
        </is>
      </c>
      <c r="B26241" s="8" t="n">
        <v>18</v>
      </c>
      <c r="C26241" s="8" t="n">
        <v>45</v>
      </c>
      <c r="D26241" s="8" t="inlineStr">
        <is>
          <t>Disneyland Park</t>
        </is>
      </c>
      <c r="E26241" s="8" t="inlineStr">
        <is>
          <t>Orbitron®</t>
        </is>
      </c>
      <c r="F26241" s="8" t="inlineStr">
        <is>
          <t>STANDBY</t>
        </is>
      </c>
      <c r="G26241" s="8" t="n">
        <v>45</v>
      </c>
      <c r="H26241" s="8" t="inlineStr">
        <is>
          <t>OPERATING</t>
        </is>
      </c>
    </row>
    <row r="26242">
      <c r="A26242" s="8" t="inlineStr">
        <is>
          <t>2026-08-05</t>
        </is>
      </c>
      <c r="B26242" s="8" t="n">
        <v>18</v>
      </c>
      <c r="C26242" s="8" t="n">
        <v>45</v>
      </c>
      <c r="D26242" s="8" t="inlineStr">
        <is>
          <t>Disneyland Park</t>
        </is>
      </c>
      <c r="E26242" s="8" t="inlineStr">
        <is>
          <t>Star Tours: The Adventures Continue*</t>
        </is>
      </c>
      <c r="F26242" s="8" t="inlineStr">
        <is>
          <t>STANDBY</t>
        </is>
      </c>
      <c r="G26242" s="8" t="n">
        <v>15</v>
      </c>
      <c r="H26242" s="8" t="inlineStr">
        <is>
          <t>OPERATING</t>
        </is>
      </c>
    </row>
    <row r="26243">
      <c r="A26243" s="8" t="inlineStr">
        <is>
          <t>2026-08-05</t>
        </is>
      </c>
      <c r="B26243" s="8" t="n">
        <v>18</v>
      </c>
      <c r="C26243" s="8" t="n">
        <v>45</v>
      </c>
      <c r="D26243" s="8" t="inlineStr">
        <is>
          <t>Disneyland Park</t>
        </is>
      </c>
      <c r="E26243" s="8" t="inlineStr">
        <is>
          <t>Star Wars Hyperspace Mountain</t>
        </is>
      </c>
      <c r="F26243" s="8" t="inlineStr">
        <is>
          <t>STANDBY</t>
        </is>
      </c>
      <c r="G26243" s="8" t="n">
        <v>35</v>
      </c>
      <c r="H26243" s="8" t="inlineStr">
        <is>
          <t>OPERATING</t>
        </is>
      </c>
    </row>
    <row r="26244">
      <c r="A26244" s="8" t="inlineStr">
        <is>
          <t>2026-08-05</t>
        </is>
      </c>
      <c r="B26244" s="8" t="n">
        <v>18</v>
      </c>
      <c r="C26244" s="8" t="n">
        <v>45</v>
      </c>
      <c r="D26244" s="8" t="inlineStr">
        <is>
          <t>Disneyland Park</t>
        </is>
      </c>
      <c r="E26244" s="8" t="inlineStr">
        <is>
          <t>Star Wars Hyperspace Mountain Single Rider</t>
        </is>
      </c>
      <c r="F26244" s="8" t="inlineStr">
        <is>
          <t>STANDBY</t>
        </is>
      </c>
      <c r="G26244" s="8" t="n">
        <v>0</v>
      </c>
      <c r="H26244" s="8" t="inlineStr">
        <is>
          <t>OPERATING</t>
        </is>
      </c>
    </row>
    <row r="26245">
      <c r="A26245" s="8" t="inlineStr">
        <is>
          <t>2026-08-05</t>
        </is>
      </c>
      <c r="B26245" s="8" t="n">
        <v>18</v>
      </c>
      <c r="C26245" s="8" t="n">
        <v>45</v>
      </c>
      <c r="D26245" s="8" t="inlineStr">
        <is>
          <t>Disneyland Park</t>
        </is>
      </c>
      <c r="E26245" s="8" t="inlineStr">
        <is>
          <t>Welcome to Starport: A Star Wars Encounter</t>
        </is>
      </c>
      <c r="F26245" s="8" t="inlineStr">
        <is>
          <t>STANDBY</t>
        </is>
      </c>
      <c r="G26245" s="8" t="n">
        <v>0</v>
      </c>
      <c r="H26245" s="8" t="inlineStr">
        <is>
          <t>CLOSED</t>
        </is>
      </c>
    </row>
    <row r="26246">
      <c r="A26246" s="8" t="inlineStr">
        <is>
          <t>2026-08-05</t>
        </is>
      </c>
      <c r="B26246" s="8" t="n">
        <v>18</v>
      </c>
      <c r="C26246" s="8" t="n">
        <v>45</v>
      </c>
      <c r="D26246" s="8" t="inlineStr">
        <is>
          <t>Disneyland Park</t>
        </is>
      </c>
      <c r="E26246" s="8" t="inlineStr">
        <is>
          <t>"it's a small world"</t>
        </is>
      </c>
      <c r="F26246" s="8" t="inlineStr">
        <is>
          <t>STANDBY</t>
        </is>
      </c>
      <c r="G26246" s="8" t="n">
        <v>5</v>
      </c>
      <c r="H26246" s="8" t="inlineStr">
        <is>
          <t>OPERATING</t>
        </is>
      </c>
    </row>
    <row r="26247">
      <c r="A26247" s="8" t="inlineStr">
        <is>
          <t>2026-08-05</t>
        </is>
      </c>
      <c r="B26247" s="8" t="n">
        <v>18</v>
      </c>
      <c r="C26247" s="8" t="n">
        <v>45</v>
      </c>
      <c r="D26247" s="8" t="inlineStr">
        <is>
          <t>Disneyland Park</t>
        </is>
      </c>
      <c r="E26247" s="8" t="inlineStr">
        <is>
          <t>Alice's Curious Labyrinth</t>
        </is>
      </c>
      <c r="F26247" s="8" t="inlineStr">
        <is>
          <t>STANDBY</t>
        </is>
      </c>
      <c r="G26247" s="8" t="n">
        <v>5</v>
      </c>
      <c r="H26247" s="8" t="inlineStr">
        <is>
          <t>OPERATING</t>
        </is>
      </c>
    </row>
    <row r="26248">
      <c r="A26248" s="8" t="inlineStr">
        <is>
          <t>2026-08-05</t>
        </is>
      </c>
      <c r="B26248" s="8" t="n">
        <v>18</v>
      </c>
      <c r="C26248" s="8" t="n">
        <v>45</v>
      </c>
      <c r="D26248" s="8" t="inlineStr">
        <is>
          <t>Disneyland Park</t>
        </is>
      </c>
      <c r="E26248" s="8" t="inlineStr">
        <is>
          <t>Blanche-Neige et les Sept Nains®</t>
        </is>
      </c>
      <c r="F26248" s="8" t="inlineStr">
        <is>
          <t>STANDBY</t>
        </is>
      </c>
      <c r="G26248" s="8" t="n">
        <v>30</v>
      </c>
      <c r="H26248" s="8" t="inlineStr">
        <is>
          <t>OPERATING</t>
        </is>
      </c>
    </row>
    <row r="26249">
      <c r="A26249" s="8" t="inlineStr">
        <is>
          <t>2026-08-05</t>
        </is>
      </c>
      <c r="B26249" s="8" t="n">
        <v>18</v>
      </c>
      <c r="C26249" s="8" t="n">
        <v>45</v>
      </c>
      <c r="D26249" s="8" t="inlineStr">
        <is>
          <t>Disneyland Park</t>
        </is>
      </c>
      <c r="E26249" s="8" t="inlineStr">
        <is>
          <t>Casey Jr. – le Petit Train du Cirque</t>
        </is>
      </c>
      <c r="F26249" s="8" t="inlineStr">
        <is>
          <t>STANDBY</t>
        </is>
      </c>
      <c r="G26249" s="8" t="n">
        <v>25</v>
      </c>
      <c r="H26249" s="8" t="inlineStr">
        <is>
          <t>OPERATING</t>
        </is>
      </c>
    </row>
    <row r="26250">
      <c r="A26250" s="8" t="inlineStr">
        <is>
          <t>2026-08-05</t>
        </is>
      </c>
      <c r="B26250" s="8" t="n">
        <v>18</v>
      </c>
      <c r="C26250" s="8" t="n">
        <v>45</v>
      </c>
      <c r="D26250" s="8" t="inlineStr">
        <is>
          <t>Disneyland Park</t>
        </is>
      </c>
      <c r="E26250" s="8" t="inlineStr">
        <is>
          <t>Disneyland Railroad Fantasyland Station</t>
        </is>
      </c>
      <c r="F26250" s="8" t="inlineStr">
        <is>
          <t>STANDBY</t>
        </is>
      </c>
      <c r="G26250" s="8" t="n">
        <v>0</v>
      </c>
      <c r="H26250" s="8" t="inlineStr">
        <is>
          <t>CLOSED</t>
        </is>
      </c>
    </row>
    <row r="26251">
      <c r="A26251" s="8" t="inlineStr">
        <is>
          <t>2026-08-05</t>
        </is>
      </c>
      <c r="B26251" s="8" t="n">
        <v>18</v>
      </c>
      <c r="C26251" s="8" t="n">
        <v>45</v>
      </c>
      <c r="D26251" s="8" t="inlineStr">
        <is>
          <t>Disneyland Park</t>
        </is>
      </c>
      <c r="E26251" s="8" t="inlineStr">
        <is>
          <t>Disneyland Railroad Main Street Station</t>
        </is>
      </c>
      <c r="F26251" s="8" t="inlineStr">
        <is>
          <t>STANDBY</t>
        </is>
      </c>
      <c r="G26251" s="8" t="n">
        <v>20</v>
      </c>
      <c r="H26251" s="8" t="inlineStr">
        <is>
          <t>OPERATING</t>
        </is>
      </c>
    </row>
    <row r="26252">
      <c r="A26252" s="8" t="inlineStr">
        <is>
          <t>2026-08-05</t>
        </is>
      </c>
      <c r="B26252" s="8" t="n">
        <v>18</v>
      </c>
      <c r="C26252" s="8" t="n">
        <v>45</v>
      </c>
      <c r="D26252" s="8" t="inlineStr">
        <is>
          <t>Disneyland Park</t>
        </is>
      </c>
      <c r="E26252" s="8" t="inlineStr">
        <is>
          <t>Dumbo the Flying Elephant</t>
        </is>
      </c>
      <c r="F26252" s="8" t="inlineStr">
        <is>
          <t>STANDBY</t>
        </is>
      </c>
      <c r="G26252" s="8" t="n">
        <v>25</v>
      </c>
      <c r="H26252" s="8" t="inlineStr">
        <is>
          <t>OPERATING</t>
        </is>
      </c>
    </row>
    <row r="26253">
      <c r="A26253" s="8" t="inlineStr">
        <is>
          <t>2026-08-05</t>
        </is>
      </c>
      <c r="B26253" s="8" t="n">
        <v>18</v>
      </c>
      <c r="C26253" s="8" t="n">
        <v>45</v>
      </c>
      <c r="D26253" s="8" t="inlineStr">
        <is>
          <t>Disneyland Park</t>
        </is>
      </c>
      <c r="E26253" s="8" t="inlineStr">
        <is>
          <t>La Tanière du Dragon</t>
        </is>
      </c>
      <c r="F26253" s="8" t="inlineStr">
        <is>
          <t>STANDBY</t>
        </is>
      </c>
      <c r="G26253" s="8" t="n">
        <v>0</v>
      </c>
      <c r="H26253" s="8" t="inlineStr">
        <is>
          <t>OPERATING</t>
        </is>
      </c>
    </row>
    <row r="26254">
      <c r="A26254" s="8" t="inlineStr">
        <is>
          <t>2026-08-05</t>
        </is>
      </c>
      <c r="B26254" s="8" t="n">
        <v>18</v>
      </c>
      <c r="C26254" s="8" t="n">
        <v>45</v>
      </c>
      <c r="D26254" s="8" t="inlineStr">
        <is>
          <t>Disneyland Park</t>
        </is>
      </c>
      <c r="E26254" s="8" t="inlineStr">
        <is>
          <t>Le Carrousel de Lancelot</t>
        </is>
      </c>
      <c r="F26254" s="8" t="inlineStr">
        <is>
          <t>STANDBY</t>
        </is>
      </c>
      <c r="G26254" s="8" t="n">
        <v>10</v>
      </c>
      <c r="H26254" s="8" t="inlineStr">
        <is>
          <t>OPERATING</t>
        </is>
      </c>
    </row>
    <row r="26255">
      <c r="A26255" s="8" t="inlineStr">
        <is>
          <t>2026-08-05</t>
        </is>
      </c>
      <c r="B26255" s="8" t="n">
        <v>18</v>
      </c>
      <c r="C26255" s="8" t="n">
        <v>45</v>
      </c>
      <c r="D26255" s="8" t="inlineStr">
        <is>
          <t>Disneyland Park</t>
        </is>
      </c>
      <c r="E26255" s="8" t="inlineStr">
        <is>
          <t>Le Pays des Contes de Fées, presented by Vittel</t>
        </is>
      </c>
      <c r="F26255" s="8" t="inlineStr">
        <is>
          <t>STANDBY</t>
        </is>
      </c>
      <c r="G26255" s="8" t="n">
        <v>5</v>
      </c>
      <c r="H26255" s="8" t="inlineStr">
        <is>
          <t>OPERATING</t>
        </is>
      </c>
    </row>
    <row r="26256">
      <c r="A26256" s="8" t="inlineStr">
        <is>
          <t>2026-08-05</t>
        </is>
      </c>
      <c r="B26256" s="8" t="n">
        <v>18</v>
      </c>
      <c r="C26256" s="8" t="n">
        <v>45</v>
      </c>
      <c r="D26256" s="8" t="inlineStr">
        <is>
          <t>Disneyland Park</t>
        </is>
      </c>
      <c r="E26256" s="8" t="inlineStr">
        <is>
          <t>Les Voyages de Pinocchio</t>
        </is>
      </c>
      <c r="F26256" s="8" t="inlineStr">
        <is>
          <t>STANDBY</t>
        </is>
      </c>
      <c r="G26256" s="8" t="n">
        <v>30</v>
      </c>
      <c r="H26256" s="8" t="inlineStr">
        <is>
          <t>OPERATING</t>
        </is>
      </c>
    </row>
    <row r="26257">
      <c r="A26257" s="8" t="inlineStr">
        <is>
          <t>2026-08-05</t>
        </is>
      </c>
      <c r="B26257" s="8" t="n">
        <v>18</v>
      </c>
      <c r="C26257" s="8" t="n">
        <v>45</v>
      </c>
      <c r="D26257" s="8" t="inlineStr">
        <is>
          <t>Disneyland Park</t>
        </is>
      </c>
      <c r="E26257" s="8" t="inlineStr">
        <is>
          <t>Mad Hatter's Tea Cups</t>
        </is>
      </c>
      <c r="F26257" s="8" t="inlineStr">
        <is>
          <t>STANDBY</t>
        </is>
      </c>
      <c r="G26257" s="8" t="n">
        <v>10</v>
      </c>
      <c r="H26257" s="8" t="inlineStr">
        <is>
          <t>OPERATING</t>
        </is>
      </c>
    </row>
    <row r="26258">
      <c r="A26258" s="8" t="inlineStr">
        <is>
          <t>2026-08-05</t>
        </is>
      </c>
      <c r="B26258" s="8" t="n">
        <v>18</v>
      </c>
      <c r="C26258" s="8" t="n">
        <v>45</v>
      </c>
      <c r="D26258" s="8" t="inlineStr">
        <is>
          <t>Disneyland Park</t>
        </is>
      </c>
      <c r="E26258" s="8" t="inlineStr">
        <is>
          <t>Meet Mickey Mouse</t>
        </is>
      </c>
      <c r="F26258" s="8" t="inlineStr">
        <is>
          <t>STANDBY</t>
        </is>
      </c>
      <c r="G26258" s="8" t="n">
        <v>0</v>
      </c>
      <c r="H26258" s="8" t="inlineStr">
        <is>
          <t>CLOSED</t>
        </is>
      </c>
    </row>
    <row r="26259">
      <c r="A26259" s="8" t="inlineStr">
        <is>
          <t>2026-08-05</t>
        </is>
      </c>
      <c r="B26259" s="8" t="n">
        <v>18</v>
      </c>
      <c r="C26259" s="8" t="n">
        <v>45</v>
      </c>
      <c r="D26259" s="8" t="inlineStr">
        <is>
          <t>Disneyland Park</t>
        </is>
      </c>
      <c r="E26259" s="8" t="inlineStr">
        <is>
          <t>Peter Pan's Flight</t>
        </is>
      </c>
      <c r="F26259" s="8" t="inlineStr">
        <is>
          <t>STANDBY</t>
        </is>
      </c>
      <c r="G26259" s="8" t="n">
        <v>60</v>
      </c>
      <c r="H26259" s="8" t="inlineStr">
        <is>
          <t>OPERATING</t>
        </is>
      </c>
    </row>
    <row r="26260">
      <c r="A26260" s="8" t="inlineStr">
        <is>
          <t>2026-08-05</t>
        </is>
      </c>
      <c r="B26260" s="8" t="n">
        <v>18</v>
      </c>
      <c r="C26260" s="8" t="n">
        <v>45</v>
      </c>
      <c r="D26260" s="8" t="inlineStr">
        <is>
          <t>Disneyland Park</t>
        </is>
      </c>
      <c r="E26260" s="8" t="inlineStr">
        <is>
          <t>Princess Pavilion</t>
        </is>
      </c>
      <c r="F26260" s="8" t="inlineStr">
        <is>
          <t>STANDBY</t>
        </is>
      </c>
      <c r="G26260" s="8" t="n">
        <v>0</v>
      </c>
      <c r="H26260" s="8" t="inlineStr">
        <is>
          <t>CLOSED</t>
        </is>
      </c>
    </row>
    <row r="26261">
      <c r="A26261" s="8" t="inlineStr">
        <is>
          <t>2026-08-05</t>
        </is>
      </c>
      <c r="B26261" s="8" t="n">
        <v>18</v>
      </c>
      <c r="C26261" s="8" t="n">
        <v>45</v>
      </c>
      <c r="D26261" s="8" t="inlineStr">
        <is>
          <t>Disneyland Park</t>
        </is>
      </c>
      <c r="E26261" s="8" t="inlineStr">
        <is>
          <t>Big Thunder Mountain</t>
        </is>
      </c>
      <c r="F26261" s="8" t="inlineStr">
        <is>
          <t>STANDBY</t>
        </is>
      </c>
      <c r="G26261" s="8" t="n">
        <v>75</v>
      </c>
      <c r="H26261" s="8" t="inlineStr">
        <is>
          <t>OPERATING</t>
        </is>
      </c>
    </row>
    <row r="26262">
      <c r="A26262" s="8" t="inlineStr">
        <is>
          <t>2026-08-05</t>
        </is>
      </c>
      <c r="B26262" s="8" t="n">
        <v>18</v>
      </c>
      <c r="C26262" s="8" t="n">
        <v>45</v>
      </c>
      <c r="D26262" s="8" t="inlineStr">
        <is>
          <t>Disneyland Park</t>
        </is>
      </c>
      <c r="E26262" s="8" t="inlineStr">
        <is>
          <t>Disneyland Railroad Frontierland Depot</t>
        </is>
      </c>
      <c r="F26262" s="8" t="inlineStr">
        <is>
          <t>STANDBY</t>
        </is>
      </c>
      <c r="G26262" s="8" t="n">
        <v>20</v>
      </c>
      <c r="H26262" s="8" t="inlineStr">
        <is>
          <t>OPERATING</t>
        </is>
      </c>
    </row>
    <row r="26263">
      <c r="A26263" s="8" t="inlineStr">
        <is>
          <t>2026-08-05</t>
        </is>
      </c>
      <c r="B26263" s="8" t="n">
        <v>18</v>
      </c>
      <c r="C26263" s="8" t="n">
        <v>45</v>
      </c>
      <c r="D26263" s="8" t="inlineStr">
        <is>
          <t>Disneyland Park</t>
        </is>
      </c>
      <c r="E26263" s="8" t="inlineStr">
        <is>
          <t>Frontierland Playground</t>
        </is>
      </c>
      <c r="F26263" s="8" t="inlineStr">
        <is>
          <t>STANDBY</t>
        </is>
      </c>
      <c r="G26263" s="8" t="n">
        <v>0</v>
      </c>
      <c r="H26263" s="8" t="inlineStr">
        <is>
          <t>OPERATING</t>
        </is>
      </c>
    </row>
    <row r="26264">
      <c r="A26264" s="8" t="inlineStr">
        <is>
          <t>2026-08-05</t>
        </is>
      </c>
      <c r="B26264" s="8" t="n">
        <v>18</v>
      </c>
      <c r="C26264" s="8" t="n">
        <v>45</v>
      </c>
      <c r="D26264" s="8" t="inlineStr">
        <is>
          <t>Disneyland Park</t>
        </is>
      </c>
      <c r="E26264" s="8" t="inlineStr">
        <is>
          <t>Phantom Manor</t>
        </is>
      </c>
      <c r="F26264" s="8" t="inlineStr">
        <is>
          <t>STANDBY</t>
        </is>
      </c>
      <c r="G26264" s="8" t="n">
        <v>20</v>
      </c>
      <c r="H26264" s="8" t="inlineStr">
        <is>
          <t>OPERATING</t>
        </is>
      </c>
    </row>
    <row r="26265">
      <c r="A26265" s="8" t="inlineStr">
        <is>
          <t>2026-08-05</t>
        </is>
      </c>
      <c r="B26265" s="8" t="n">
        <v>18</v>
      </c>
      <c r="C26265" s="8" t="n">
        <v>45</v>
      </c>
      <c r="D26265" s="8" t="inlineStr">
        <is>
          <t>Disneyland Park</t>
        </is>
      </c>
      <c r="E26265" s="8" t="inlineStr">
        <is>
          <t>River Rogue Keelboats</t>
        </is>
      </c>
      <c r="F26265" s="8" t="inlineStr">
        <is>
          <t>STANDBY</t>
        </is>
      </c>
      <c r="G26265" s="8" t="n">
        <v>0</v>
      </c>
      <c r="H26265" s="8" t="inlineStr">
        <is>
          <t>CLOSED</t>
        </is>
      </c>
    </row>
    <row r="26266">
      <c r="A26266" s="8" t="inlineStr">
        <is>
          <t>2026-08-05</t>
        </is>
      </c>
      <c r="B26266" s="8" t="n">
        <v>18</v>
      </c>
      <c r="C26266" s="8" t="n">
        <v>45</v>
      </c>
      <c r="D26266" s="8" t="inlineStr">
        <is>
          <t>Disneyland Park</t>
        </is>
      </c>
      <c r="E26266" s="8" t="inlineStr">
        <is>
          <t>Rustler Roundup Shootin' Gallery</t>
        </is>
      </c>
      <c r="F26266" s="8" t="inlineStr">
        <is>
          <t>STANDBY</t>
        </is>
      </c>
      <c r="G26266" s="8" t="n">
        <v>0</v>
      </c>
      <c r="H26266" s="8" t="inlineStr">
        <is>
          <t>OPERATING</t>
        </is>
      </c>
    </row>
    <row r="26267">
      <c r="A26267" s="8" t="inlineStr">
        <is>
          <t>2026-08-05</t>
        </is>
      </c>
      <c r="B26267" s="8" t="n">
        <v>18</v>
      </c>
      <c r="C26267" s="8" t="n">
        <v>45</v>
      </c>
      <c r="D26267" s="8" t="inlineStr">
        <is>
          <t>Disneyland Park</t>
        </is>
      </c>
      <c r="E26267" s="8" t="inlineStr">
        <is>
          <t>Thunder Mesa Riverboat Landing</t>
        </is>
      </c>
      <c r="F26267" s="8" t="inlineStr">
        <is>
          <t>STANDBY</t>
        </is>
      </c>
      <c r="G26267" s="8" t="n">
        <v>0</v>
      </c>
      <c r="H26267" s="8" t="inlineStr">
        <is>
          <t>CLOSED</t>
        </is>
      </c>
    </row>
    <row r="26268">
      <c r="A26268" s="8" t="inlineStr">
        <is>
          <t>2026-08-05</t>
        </is>
      </c>
      <c r="B26268" s="8" t="n">
        <v>18</v>
      </c>
      <c r="C26268" s="8" t="n">
        <v>45</v>
      </c>
      <c r="D26268" s="8" t="inlineStr">
        <is>
          <t>Disneyland Park</t>
        </is>
      </c>
      <c r="E26268" s="8" t="inlineStr">
        <is>
          <t>Disneyland Railroad Main Street Station</t>
        </is>
      </c>
      <c r="F26268" s="8" t="inlineStr">
        <is>
          <t>STANDBY</t>
        </is>
      </c>
      <c r="G26268" s="8" t="n">
        <v>0</v>
      </c>
      <c r="H26268" s="8" t="inlineStr">
        <is>
          <t>OPERATING</t>
        </is>
      </c>
    </row>
    <row r="26269">
      <c r="A26269" s="8" t="inlineStr">
        <is>
          <t>2026-08-05</t>
        </is>
      </c>
      <c r="B26269" s="8" t="n">
        <v>18</v>
      </c>
      <c r="C26269" s="8" t="n">
        <v>45</v>
      </c>
      <c r="D26269" s="8" t="inlineStr">
        <is>
          <t>Disneyland Park</t>
        </is>
      </c>
      <c r="E26269" s="8" t="inlineStr">
        <is>
          <t>Main Street Vehicles</t>
        </is>
      </c>
      <c r="F26269" s="8" t="inlineStr">
        <is>
          <t>STANDBY</t>
        </is>
      </c>
      <c r="G26269" s="8" t="n">
        <v>0</v>
      </c>
      <c r="H26269" s="8" t="inlineStr">
        <is>
          <t>CLOSED</t>
        </is>
      </c>
    </row>
    <row r="26270">
      <c r="A26270" s="8" t="inlineStr">
        <is>
          <t>2026-08-05</t>
        </is>
      </c>
      <c r="B26270" s="8" t="n">
        <v>18</v>
      </c>
      <c r="C26270" s="8" t="n">
        <v>45</v>
      </c>
      <c r="D26270" s="8" t="inlineStr">
        <is>
          <t>Disney Adventure World</t>
        </is>
      </c>
      <c r="E26270" s="8" t="inlineStr">
        <is>
          <t>Avengers Assemble: Flight Force</t>
        </is>
      </c>
      <c r="F26270" s="8" t="inlineStr">
        <is>
          <t>STANDBY</t>
        </is>
      </c>
      <c r="G26270" s="8" t="n">
        <v>20</v>
      </c>
      <c r="H26270" s="8" t="inlineStr">
        <is>
          <t>OPERATING</t>
        </is>
      </c>
    </row>
    <row r="26271">
      <c r="A26271" s="8" t="inlineStr">
        <is>
          <t>2026-08-05</t>
        </is>
      </c>
      <c r="B26271" s="8" t="n">
        <v>18</v>
      </c>
      <c r="C26271" s="8" t="n">
        <v>45</v>
      </c>
      <c r="D26271" s="8" t="inlineStr">
        <is>
          <t>Disney Adventure World</t>
        </is>
      </c>
      <c r="E26271" s="8" t="inlineStr">
        <is>
          <t>Avengers Assemble: Flight Force Single Rider</t>
        </is>
      </c>
      <c r="F26271" s="8" t="inlineStr">
        <is>
          <t>STANDBY</t>
        </is>
      </c>
      <c r="G26271" s="8" t="n">
        <v>15</v>
      </c>
      <c r="H26271" s="8" t="inlineStr">
        <is>
          <t>OPERATING</t>
        </is>
      </c>
    </row>
    <row r="26272">
      <c r="A26272" s="8" t="inlineStr">
        <is>
          <t>2026-08-05</t>
        </is>
      </c>
      <c r="B26272" s="8" t="n">
        <v>18</v>
      </c>
      <c r="C26272" s="8" t="n">
        <v>45</v>
      </c>
      <c r="D26272" s="8" t="inlineStr">
        <is>
          <t>Disney Adventure World</t>
        </is>
      </c>
      <c r="E26272" s="8" t="inlineStr">
        <is>
          <t>Spider-Man W.E.B. Adventure</t>
        </is>
      </c>
      <c r="F26272" s="8" t="inlineStr">
        <is>
          <t>STANDBY</t>
        </is>
      </c>
      <c r="G26272" s="8" t="n">
        <v>40</v>
      </c>
      <c r="H26272" s="8" t="inlineStr">
        <is>
          <t>OPERATING</t>
        </is>
      </c>
    </row>
    <row r="26273">
      <c r="A26273" s="8" t="inlineStr">
        <is>
          <t>2026-08-05</t>
        </is>
      </c>
      <c r="B26273" s="8" t="n">
        <v>18</v>
      </c>
      <c r="C26273" s="8" t="n">
        <v>45</v>
      </c>
      <c r="D26273" s="8" t="inlineStr">
        <is>
          <t>Disney Adventure World</t>
        </is>
      </c>
      <c r="E26273" s="8" t="inlineStr">
        <is>
          <t>Spider-Man W.E.B. Adventure Single Rider</t>
        </is>
      </c>
      <c r="F26273" s="8" t="inlineStr">
        <is>
          <t>STANDBY</t>
        </is>
      </c>
      <c r="G26273" s="8" t="n">
        <v>25</v>
      </c>
      <c r="H26273" s="8" t="inlineStr">
        <is>
          <t>OPERATING</t>
        </is>
      </c>
    </row>
    <row r="26274">
      <c r="A26274" s="8" t="inlineStr">
        <is>
          <t>2026-08-05</t>
        </is>
      </c>
      <c r="B26274" s="8" t="n">
        <v>18</v>
      </c>
      <c r="C26274" s="8" t="n">
        <v>45</v>
      </c>
      <c r="D26274" s="8" t="inlineStr">
        <is>
          <t>Disney Adventure World</t>
        </is>
      </c>
      <c r="E26274" s="8" t="inlineStr">
        <is>
          <t>The Twilight Zone Tower of Terror</t>
        </is>
      </c>
      <c r="F26274" s="8" t="inlineStr">
        <is>
          <t>STANDBY</t>
        </is>
      </c>
      <c r="G26274" s="8" t="n">
        <v>25</v>
      </c>
      <c r="H26274" s="8" t="inlineStr">
        <is>
          <t>OPERATING</t>
        </is>
      </c>
    </row>
    <row r="26275">
      <c r="A26275" s="8" t="inlineStr">
        <is>
          <t>2026-08-05</t>
        </is>
      </c>
      <c r="B26275" s="8" t="n">
        <v>18</v>
      </c>
      <c r="C26275" s="8" t="n">
        <v>45</v>
      </c>
      <c r="D26275" s="8" t="inlineStr">
        <is>
          <t>Disney Adventure World</t>
        </is>
      </c>
      <c r="E26275" s="8" t="inlineStr">
        <is>
          <t>Cars Quatre Roues Rallye</t>
        </is>
      </c>
      <c r="F26275" s="8" t="inlineStr">
        <is>
          <t>STANDBY</t>
        </is>
      </c>
      <c r="G26275" s="8" t="n">
        <v>15</v>
      </c>
      <c r="H26275" s="8" t="inlineStr">
        <is>
          <t>OPERATING</t>
        </is>
      </c>
    </row>
    <row r="26276">
      <c r="A26276" s="8" t="inlineStr">
        <is>
          <t>2026-08-05</t>
        </is>
      </c>
      <c r="B26276" s="8" t="n">
        <v>18</v>
      </c>
      <c r="C26276" s="8" t="n">
        <v>45</v>
      </c>
      <c r="D26276" s="8" t="inlineStr">
        <is>
          <t>Disney Adventure World</t>
        </is>
      </c>
      <c r="E26276" s="8" t="inlineStr">
        <is>
          <t>Cars ROAD TRIP</t>
        </is>
      </c>
      <c r="F26276" s="8" t="inlineStr">
        <is>
          <t>STANDBY</t>
        </is>
      </c>
      <c r="G26276" s="8" t="n">
        <v>5</v>
      </c>
      <c r="H26276" s="8" t="inlineStr">
        <is>
          <t>OPERATING</t>
        </is>
      </c>
    </row>
    <row r="26277">
      <c r="A26277" s="8" t="inlineStr">
        <is>
          <t>2026-08-05</t>
        </is>
      </c>
      <c r="B26277" s="8" t="n">
        <v>18</v>
      </c>
      <c r="C26277" s="8" t="n">
        <v>45</v>
      </c>
      <c r="D26277" s="8" t="inlineStr">
        <is>
          <t>Disney Adventure World</t>
        </is>
      </c>
      <c r="E26277" s="8" t="inlineStr">
        <is>
          <t>Crush's Coaster</t>
        </is>
      </c>
      <c r="F26277" s="8" t="inlineStr">
        <is>
          <t>STANDBY</t>
        </is>
      </c>
      <c r="G26277" s="8" t="n">
        <v>75</v>
      </c>
      <c r="H26277" s="8" t="inlineStr">
        <is>
          <t>OPERATING</t>
        </is>
      </c>
    </row>
    <row r="26278">
      <c r="A26278" s="8" t="inlineStr">
        <is>
          <t>2026-08-05</t>
        </is>
      </c>
      <c r="B26278" s="8" t="n">
        <v>18</v>
      </c>
      <c r="C26278" s="8" t="n">
        <v>45</v>
      </c>
      <c r="D26278" s="8" t="inlineStr">
        <is>
          <t>Disney Adventure World</t>
        </is>
      </c>
      <c r="E26278" s="8" t="inlineStr">
        <is>
          <t>Crush's Coaster Single Rider</t>
        </is>
      </c>
      <c r="F26278" s="8" t="inlineStr">
        <is>
          <t>STANDBY</t>
        </is>
      </c>
      <c r="G26278" s="8" t="n">
        <v>55</v>
      </c>
      <c r="H26278" s="8" t="inlineStr">
        <is>
          <t>OPERATING</t>
        </is>
      </c>
    </row>
    <row r="26279">
      <c r="A26279" s="8" t="inlineStr">
        <is>
          <t>2026-08-05</t>
        </is>
      </c>
      <c r="B26279" s="8" t="n">
        <v>18</v>
      </c>
      <c r="C26279" s="8" t="n">
        <v>45</v>
      </c>
      <c r="D26279" s="8" t="inlineStr">
        <is>
          <t>Disney Adventure World</t>
        </is>
      </c>
      <c r="E26279" s="8" t="inlineStr">
        <is>
          <t>Les Tapis Volants - Flying Carpets Over Agrabah®</t>
        </is>
      </c>
      <c r="F26279" s="8" t="inlineStr">
        <is>
          <t>STANDBY</t>
        </is>
      </c>
      <c r="G26279" s="8" t="n">
        <v>20</v>
      </c>
      <c r="H26279" s="8" t="inlineStr">
        <is>
          <t>OPERATING</t>
        </is>
      </c>
    </row>
    <row r="26280">
      <c r="A26280" s="8" t="inlineStr">
        <is>
          <t>2026-08-05</t>
        </is>
      </c>
      <c r="B26280" s="8" t="n">
        <v>18</v>
      </c>
      <c r="C26280" s="8" t="n">
        <v>45</v>
      </c>
      <c r="D26280" s="8" t="inlineStr">
        <is>
          <t>Disney Adventure World</t>
        </is>
      </c>
      <c r="E26280" s="8" t="inlineStr">
        <is>
          <t>Ratatouille : L’Aventure Totalement Toquée de Rémy​</t>
        </is>
      </c>
      <c r="F26280" s="8" t="inlineStr">
        <is>
          <t>STANDBY</t>
        </is>
      </c>
      <c r="G26280" s="8" t="n">
        <v>55</v>
      </c>
      <c r="H26280" s="8" t="inlineStr">
        <is>
          <t>OPERATING</t>
        </is>
      </c>
    </row>
    <row r="26281">
      <c r="A26281" s="8" t="inlineStr">
        <is>
          <t>2026-08-05</t>
        </is>
      </c>
      <c r="B26281" s="8" t="n">
        <v>18</v>
      </c>
      <c r="C26281" s="8" t="n">
        <v>45</v>
      </c>
      <c r="D26281" s="8" t="inlineStr">
        <is>
          <t>Disney Adventure World</t>
        </is>
      </c>
      <c r="E26281" s="8" t="inlineStr">
        <is>
          <t>Ratatouille: The Adventure Single Rider</t>
        </is>
      </c>
      <c r="F26281" s="8" t="inlineStr">
        <is>
          <t>STANDBY</t>
        </is>
      </c>
      <c r="G26281" s="8" t="n">
        <v>15</v>
      </c>
      <c r="H26281" s="8" t="inlineStr">
        <is>
          <t>OPERATING</t>
        </is>
      </c>
    </row>
    <row r="26282">
      <c r="A26282" s="8" t="inlineStr">
        <is>
          <t>2026-08-05</t>
        </is>
      </c>
      <c r="B26282" s="8" t="n">
        <v>18</v>
      </c>
      <c r="C26282" s="8" t="n">
        <v>45</v>
      </c>
      <c r="D26282" s="8" t="inlineStr">
        <is>
          <t>Disney Adventure World</t>
        </is>
      </c>
      <c r="E26282" s="8" t="inlineStr">
        <is>
          <t>RC Racer</t>
        </is>
      </c>
      <c r="F26282" s="8" t="inlineStr">
        <is>
          <t>STANDBY</t>
        </is>
      </c>
      <c r="G26282" s="8" t="n">
        <v>40</v>
      </c>
      <c r="H26282" s="8" t="inlineStr">
        <is>
          <t>OPERATING</t>
        </is>
      </c>
    </row>
    <row r="26283">
      <c r="A26283" s="8" t="inlineStr">
        <is>
          <t>2026-08-05</t>
        </is>
      </c>
      <c r="B26283" s="8" t="n">
        <v>18</v>
      </c>
      <c r="C26283" s="8" t="n">
        <v>45</v>
      </c>
      <c r="D26283" s="8" t="inlineStr">
        <is>
          <t>Disney Adventure World</t>
        </is>
      </c>
      <c r="E26283" s="8" t="inlineStr">
        <is>
          <t>RC Racer Single Rider</t>
        </is>
      </c>
      <c r="F26283" s="8" t="inlineStr">
        <is>
          <t>STANDBY</t>
        </is>
      </c>
      <c r="G26283" s="8" t="n">
        <v>35</v>
      </c>
      <c r="H26283" s="8" t="inlineStr">
        <is>
          <t>OPERATING</t>
        </is>
      </c>
    </row>
    <row r="26284">
      <c r="A26284" s="8" t="inlineStr">
        <is>
          <t>2026-08-05</t>
        </is>
      </c>
      <c r="B26284" s="8" t="n">
        <v>18</v>
      </c>
      <c r="C26284" s="8" t="n">
        <v>45</v>
      </c>
      <c r="D26284" s="8" t="inlineStr">
        <is>
          <t>Disney Adventure World</t>
        </is>
      </c>
      <c r="E26284" s="8" t="inlineStr">
        <is>
          <t>Slinky® Dog Zigzag Spin</t>
        </is>
      </c>
      <c r="F26284" s="8" t="inlineStr">
        <is>
          <t>STANDBY</t>
        </is>
      </c>
      <c r="G26284" s="8" t="n">
        <v>10</v>
      </c>
      <c r="H26284" s="8" t="inlineStr">
        <is>
          <t>OPERATING</t>
        </is>
      </c>
    </row>
    <row r="26285">
      <c r="A26285" s="8" t="inlineStr">
        <is>
          <t>2026-08-05</t>
        </is>
      </c>
      <c r="B26285" s="8" t="n">
        <v>18</v>
      </c>
      <c r="C26285" s="8" t="n">
        <v>45</v>
      </c>
      <c r="D26285" s="8" t="inlineStr">
        <is>
          <t>Disney Adventure World</t>
        </is>
      </c>
      <c r="E26285" s="8" t="inlineStr">
        <is>
          <t>Toy Soldiers Parachute Drop</t>
        </is>
      </c>
      <c r="F26285" s="8" t="inlineStr">
        <is>
          <t>STANDBY</t>
        </is>
      </c>
      <c r="G26285" s="8" t="n">
        <v>50</v>
      </c>
      <c r="H26285" s="8" t="inlineStr">
        <is>
          <t>OPERATING</t>
        </is>
      </c>
    </row>
    <row r="26286">
      <c r="A26286" s="8" t="inlineStr">
        <is>
          <t>2026-08-05</t>
        </is>
      </c>
      <c r="B26286" s="8" t="n">
        <v>18</v>
      </c>
      <c r="C26286" s="8" t="n">
        <v>45</v>
      </c>
      <c r="D26286" s="8" t="inlineStr">
        <is>
          <t>Disney Adventure World</t>
        </is>
      </c>
      <c r="E26286" s="8" t="inlineStr">
        <is>
          <t>Toy Soldiers Parachute Drop Single Rider</t>
        </is>
      </c>
      <c r="F26286" s="8" t="inlineStr">
        <is>
          <t>STANDBY</t>
        </is>
      </c>
      <c r="G26286" s="8" t="n">
        <v>30</v>
      </c>
      <c r="H26286" s="8" t="inlineStr">
        <is>
          <t>OPERATING</t>
        </is>
      </c>
    </row>
    <row r="26287">
      <c r="A26287" s="8" t="inlineStr">
        <is>
          <t>2026-08-05</t>
        </is>
      </c>
      <c r="B26287" s="8" t="n">
        <v>18</v>
      </c>
      <c r="C26287" s="8" t="n">
        <v>45</v>
      </c>
      <c r="D26287" s="8" t="inlineStr">
        <is>
          <t>Disney Adventure World</t>
        </is>
      </c>
      <c r="E26287" s="8" t="inlineStr">
        <is>
          <t>Entry to World of Frozen</t>
        </is>
      </c>
      <c r="F26287" s="8" t="inlineStr">
        <is>
          <t>STANDBY</t>
        </is>
      </c>
      <c r="G26287" s="8" t="n">
        <v>0</v>
      </c>
      <c r="H26287" s="8" t="inlineStr">
        <is>
          <t>OPERATING</t>
        </is>
      </c>
    </row>
    <row r="26288">
      <c r="A26288" s="8" t="inlineStr">
        <is>
          <t>2026-08-05</t>
        </is>
      </c>
      <c r="B26288" s="8" t="n">
        <v>18</v>
      </c>
      <c r="C26288" s="8" t="n">
        <v>45</v>
      </c>
      <c r="D26288" s="8" t="inlineStr">
        <is>
          <t>Disney Adventure World</t>
        </is>
      </c>
      <c r="E26288" s="8" t="inlineStr">
        <is>
          <t>Frozen Ever After</t>
        </is>
      </c>
      <c r="F26288" s="8" t="inlineStr">
        <is>
          <t>STANDBY</t>
        </is>
      </c>
      <c r="G26288" s="8" t="n">
        <v>65</v>
      </c>
      <c r="H26288" s="8" t="inlineStr">
        <is>
          <t>OPERATING</t>
        </is>
      </c>
    </row>
    <row r="26289">
      <c r="A26289" s="8" t="inlineStr">
        <is>
          <t>2026-08-05</t>
        </is>
      </c>
      <c r="B26289" s="8" t="n">
        <v>18</v>
      </c>
      <c r="C26289" s="8" t="n">
        <v>45</v>
      </c>
      <c r="D26289" s="8" t="inlineStr">
        <is>
          <t>Disney Adventure World</t>
        </is>
      </c>
      <c r="E26289" s="8" t="inlineStr">
        <is>
          <t>Raiponce Tangled Spin</t>
        </is>
      </c>
      <c r="F26289" s="8" t="inlineStr">
        <is>
          <t>STANDBY</t>
        </is>
      </c>
      <c r="G26289" s="8" t="n">
        <v>10</v>
      </c>
      <c r="H26289" s="8" t="inlineStr">
        <is>
          <t>OPERATING</t>
        </is>
      </c>
    </row>
    <row r="26290">
      <c r="A26290" s="8" t="inlineStr">
        <is>
          <t>2026-08-05</t>
        </is>
      </c>
      <c r="B26290" s="8" t="n">
        <v>19</v>
      </c>
      <c r="C26290" s="8" t="n">
        <v>1</v>
      </c>
      <c r="D26290" s="8" t="inlineStr">
        <is>
          <t>Disneyland Park</t>
        </is>
      </c>
      <c r="E26290" s="8" t="inlineStr">
        <is>
          <t>Adventure Isle</t>
        </is>
      </c>
      <c r="F26290" s="8" t="inlineStr">
        <is>
          <t>STANDBY</t>
        </is>
      </c>
      <c r="G26290" s="8" t="n">
        <v>0</v>
      </c>
      <c r="H26290" s="8" t="inlineStr">
        <is>
          <t>OPERATING</t>
        </is>
      </c>
    </row>
    <row r="26291">
      <c r="A26291" s="8" t="inlineStr">
        <is>
          <t>2026-08-05</t>
        </is>
      </c>
      <c r="B26291" s="8" t="n">
        <v>19</v>
      </c>
      <c r="C26291" s="8" t="n">
        <v>1</v>
      </c>
      <c r="D26291" s="8" t="inlineStr">
        <is>
          <t>Disneyland Park</t>
        </is>
      </c>
      <c r="E26291" s="8" t="inlineStr">
        <is>
          <t>Indiana Jones and the Temple of Peril Single Rider</t>
        </is>
      </c>
      <c r="F26291" s="8" t="inlineStr">
        <is>
          <t>STANDBY</t>
        </is>
      </c>
      <c r="G26291" s="8" t="n">
        <v>15</v>
      </c>
      <c r="H26291" s="8" t="inlineStr">
        <is>
          <t>OPERATING</t>
        </is>
      </c>
    </row>
    <row r="26292">
      <c r="A26292" s="8" t="inlineStr">
        <is>
          <t>2026-08-05</t>
        </is>
      </c>
      <c r="B26292" s="8" t="n">
        <v>19</v>
      </c>
      <c r="C26292" s="8" t="n">
        <v>1</v>
      </c>
      <c r="D26292" s="8" t="inlineStr">
        <is>
          <t>Disneyland Park</t>
        </is>
      </c>
      <c r="E26292" s="8" t="inlineStr">
        <is>
          <t>Indiana Jones™ and the Temple of Peril</t>
        </is>
      </c>
      <c r="F26292" s="8" t="inlineStr">
        <is>
          <t>STANDBY</t>
        </is>
      </c>
      <c r="G26292" s="8" t="n">
        <v>20</v>
      </c>
      <c r="H26292" s="8" t="inlineStr">
        <is>
          <t>OPERATING</t>
        </is>
      </c>
    </row>
    <row r="26293">
      <c r="A26293" s="8" t="inlineStr">
        <is>
          <t>2026-08-05</t>
        </is>
      </c>
      <c r="B26293" s="8" t="n">
        <v>19</v>
      </c>
      <c r="C26293" s="8" t="n">
        <v>1</v>
      </c>
      <c r="D26293" s="8" t="inlineStr">
        <is>
          <t>Disneyland Park</t>
        </is>
      </c>
      <c r="E26293" s="8" t="inlineStr">
        <is>
          <t>La Cabane des Robinson</t>
        </is>
      </c>
      <c r="F26293" s="8" t="inlineStr">
        <is>
          <t>STANDBY</t>
        </is>
      </c>
      <c r="G26293" s="8" t="n">
        <v>5</v>
      </c>
      <c r="H26293" s="8" t="inlineStr">
        <is>
          <t>OPERATING</t>
        </is>
      </c>
    </row>
    <row r="26294">
      <c r="A26294" s="8" t="inlineStr">
        <is>
          <t>2026-08-05</t>
        </is>
      </c>
      <c r="B26294" s="8" t="n">
        <v>19</v>
      </c>
      <c r="C26294" s="8" t="n">
        <v>1</v>
      </c>
      <c r="D26294" s="8" t="inlineStr">
        <is>
          <t>Disneyland Park</t>
        </is>
      </c>
      <c r="E26294" s="8" t="inlineStr">
        <is>
          <t>Le Passage Enchanté d'Aladdin</t>
        </is>
      </c>
      <c r="F26294" s="8" t="inlineStr">
        <is>
          <t>STANDBY</t>
        </is>
      </c>
      <c r="G26294" s="8" t="n">
        <v>0</v>
      </c>
      <c r="H26294" s="8" t="inlineStr">
        <is>
          <t>OPERATING</t>
        </is>
      </c>
    </row>
    <row r="26295">
      <c r="A26295" s="8" t="inlineStr">
        <is>
          <t>2026-08-05</t>
        </is>
      </c>
      <c r="B26295" s="8" t="n">
        <v>19</v>
      </c>
      <c r="C26295" s="8" t="n">
        <v>1</v>
      </c>
      <c r="D26295" s="8" t="inlineStr">
        <is>
          <t>Disneyland Park</t>
        </is>
      </c>
      <c r="E26295" s="8" t="inlineStr">
        <is>
          <t>Pirate Galleon</t>
        </is>
      </c>
      <c r="F26295" s="8" t="inlineStr">
        <is>
          <t>STANDBY</t>
        </is>
      </c>
      <c r="G26295" s="8" t="n">
        <v>0</v>
      </c>
      <c r="H26295" s="8" t="inlineStr">
        <is>
          <t>CLOSED</t>
        </is>
      </c>
    </row>
    <row r="26296">
      <c r="A26296" s="8" t="inlineStr">
        <is>
          <t>2026-08-05</t>
        </is>
      </c>
      <c r="B26296" s="8" t="n">
        <v>19</v>
      </c>
      <c r="C26296" s="8" t="n">
        <v>1</v>
      </c>
      <c r="D26296" s="8" t="inlineStr">
        <is>
          <t>Disneyland Park</t>
        </is>
      </c>
      <c r="E26296" s="8" t="inlineStr">
        <is>
          <t>Pirates of the Caribbean</t>
        </is>
      </c>
      <c r="F26296" s="8" t="inlineStr">
        <is>
          <t>STANDBY</t>
        </is>
      </c>
      <c r="G26296" s="8" t="n">
        <v>10</v>
      </c>
      <c r="H26296" s="8" t="inlineStr">
        <is>
          <t>OPERATING</t>
        </is>
      </c>
    </row>
    <row r="26297">
      <c r="A26297" s="8" t="inlineStr">
        <is>
          <t>2026-08-05</t>
        </is>
      </c>
      <c r="B26297" s="8" t="n">
        <v>19</v>
      </c>
      <c r="C26297" s="8" t="n">
        <v>1</v>
      </c>
      <c r="D26297" s="8" t="inlineStr">
        <is>
          <t>Disneyland Park</t>
        </is>
      </c>
      <c r="E26297" s="8" t="inlineStr">
        <is>
          <t>Pirates' Beach</t>
        </is>
      </c>
      <c r="F26297" s="8" t="inlineStr">
        <is>
          <t>STANDBY</t>
        </is>
      </c>
      <c r="G26297" s="8" t="n">
        <v>0</v>
      </c>
      <c r="H26297" s="8" t="inlineStr">
        <is>
          <t>OPERATING</t>
        </is>
      </c>
    </row>
    <row r="26298">
      <c r="A26298" s="8" t="inlineStr">
        <is>
          <t>2026-08-05</t>
        </is>
      </c>
      <c r="B26298" s="8" t="n">
        <v>19</v>
      </c>
      <c r="C26298" s="8" t="n">
        <v>1</v>
      </c>
      <c r="D26298" s="8" t="inlineStr">
        <is>
          <t>Disneyland Park</t>
        </is>
      </c>
      <c r="E26298" s="8" t="inlineStr">
        <is>
          <t>Autopia, presented by Avis</t>
        </is>
      </c>
      <c r="F26298" s="8" t="inlineStr">
        <is>
          <t>STANDBY</t>
        </is>
      </c>
      <c r="G26298" s="8" t="n">
        <v>50</v>
      </c>
      <c r="H26298" s="8" t="inlineStr">
        <is>
          <t>OPERATING</t>
        </is>
      </c>
    </row>
    <row r="26299">
      <c r="A26299" s="8" t="inlineStr">
        <is>
          <t>2026-08-05</t>
        </is>
      </c>
      <c r="B26299" s="8" t="n">
        <v>19</v>
      </c>
      <c r="C26299" s="8" t="n">
        <v>1</v>
      </c>
      <c r="D26299" s="8" t="inlineStr">
        <is>
          <t>Disneyland Park</t>
        </is>
      </c>
      <c r="E26299" s="8" t="inlineStr">
        <is>
          <t>Buzz Lightyear Laser Blast</t>
        </is>
      </c>
      <c r="F26299" s="8" t="inlineStr">
        <is>
          <t>STANDBY</t>
        </is>
      </c>
      <c r="G26299" s="8" t="n">
        <v>35</v>
      </c>
      <c r="H26299" s="8" t="inlineStr">
        <is>
          <t>OPERATING</t>
        </is>
      </c>
    </row>
    <row r="26300">
      <c r="A26300" s="8" t="inlineStr">
        <is>
          <t>2026-08-05</t>
        </is>
      </c>
      <c r="B26300" s="8" t="n">
        <v>19</v>
      </c>
      <c r="C26300" s="8" t="n">
        <v>1</v>
      </c>
      <c r="D26300" s="8" t="inlineStr">
        <is>
          <t>Disneyland Park</t>
        </is>
      </c>
      <c r="E26300" s="8" t="inlineStr">
        <is>
          <t>Disneyland Railroad Discoveryland Station</t>
        </is>
      </c>
      <c r="F26300" s="8" t="inlineStr">
        <is>
          <t>STANDBY</t>
        </is>
      </c>
      <c r="G26300" s="8" t="n">
        <v>0</v>
      </c>
      <c r="H26300" s="8" t="inlineStr">
        <is>
          <t>CLOSED</t>
        </is>
      </c>
    </row>
    <row r="26301">
      <c r="A26301" s="8" t="inlineStr">
        <is>
          <t>2026-08-05</t>
        </is>
      </c>
      <c r="B26301" s="8" t="n">
        <v>19</v>
      </c>
      <c r="C26301" s="8" t="n">
        <v>1</v>
      </c>
      <c r="D26301" s="8" t="inlineStr">
        <is>
          <t>Disneyland Park</t>
        </is>
      </c>
      <c r="E26301" s="8" t="inlineStr">
        <is>
          <t>Les Mystères du Nautilus</t>
        </is>
      </c>
      <c r="F26301" s="8" t="inlineStr">
        <is>
          <t>STANDBY</t>
        </is>
      </c>
      <c r="G26301" s="8" t="n">
        <v>5</v>
      </c>
      <c r="H26301" s="8" t="inlineStr">
        <is>
          <t>OPERATING</t>
        </is>
      </c>
    </row>
    <row r="26302">
      <c r="A26302" s="8" t="inlineStr">
        <is>
          <t>2026-08-05</t>
        </is>
      </c>
      <c r="B26302" s="8" t="n">
        <v>19</v>
      </c>
      <c r="C26302" s="8" t="n">
        <v>1</v>
      </c>
      <c r="D26302" s="8" t="inlineStr">
        <is>
          <t>Disneyland Park</t>
        </is>
      </c>
      <c r="E26302" s="8" t="inlineStr">
        <is>
          <t>Mickey’s PhilharMagic</t>
        </is>
      </c>
      <c r="F26302" s="8" t="inlineStr">
        <is>
          <t>STANDBY</t>
        </is>
      </c>
      <c r="G26302" s="8" t="n">
        <v>0</v>
      </c>
      <c r="H26302" s="8" t="inlineStr">
        <is>
          <t>CLOSED</t>
        </is>
      </c>
    </row>
    <row r="26303">
      <c r="A26303" s="8" t="inlineStr">
        <is>
          <t>2026-08-05</t>
        </is>
      </c>
      <c r="B26303" s="8" t="n">
        <v>19</v>
      </c>
      <c r="C26303" s="8" t="n">
        <v>1</v>
      </c>
      <c r="D26303" s="8" t="inlineStr">
        <is>
          <t>Disneyland Park</t>
        </is>
      </c>
      <c r="E26303" s="8" t="inlineStr">
        <is>
          <t>Orbitron®</t>
        </is>
      </c>
      <c r="F26303" s="8" t="inlineStr">
        <is>
          <t>STANDBY</t>
        </is>
      </c>
      <c r="G26303" s="8" t="n">
        <v>60</v>
      </c>
      <c r="H26303" s="8" t="inlineStr">
        <is>
          <t>OPERATING</t>
        </is>
      </c>
    </row>
    <row r="26304">
      <c r="A26304" s="8" t="inlineStr">
        <is>
          <t>2026-08-05</t>
        </is>
      </c>
      <c r="B26304" s="8" t="n">
        <v>19</v>
      </c>
      <c r="C26304" s="8" t="n">
        <v>1</v>
      </c>
      <c r="D26304" s="8" t="inlineStr">
        <is>
          <t>Disneyland Park</t>
        </is>
      </c>
      <c r="E26304" s="8" t="inlineStr">
        <is>
          <t>Star Tours: The Adventures Continue*</t>
        </is>
      </c>
      <c r="F26304" s="8" t="inlineStr">
        <is>
          <t>STANDBY</t>
        </is>
      </c>
      <c r="G26304" s="8" t="n">
        <v>10</v>
      </c>
      <c r="H26304" s="8" t="inlineStr">
        <is>
          <t>OPERATING</t>
        </is>
      </c>
    </row>
    <row r="26305">
      <c r="A26305" s="8" t="inlineStr">
        <is>
          <t>2026-08-05</t>
        </is>
      </c>
      <c r="B26305" s="8" t="n">
        <v>19</v>
      </c>
      <c r="C26305" s="8" t="n">
        <v>1</v>
      </c>
      <c r="D26305" s="8" t="inlineStr">
        <is>
          <t>Disneyland Park</t>
        </is>
      </c>
      <c r="E26305" s="8" t="inlineStr">
        <is>
          <t>Star Wars Hyperspace Mountain</t>
        </is>
      </c>
      <c r="F26305" s="8" t="inlineStr">
        <is>
          <t>STANDBY</t>
        </is>
      </c>
      <c r="G26305" s="8" t="n">
        <v>40</v>
      </c>
      <c r="H26305" s="8" t="inlineStr">
        <is>
          <t>OPERATING</t>
        </is>
      </c>
    </row>
    <row r="26306">
      <c r="A26306" s="8" t="inlineStr">
        <is>
          <t>2026-08-05</t>
        </is>
      </c>
      <c r="B26306" s="8" t="n">
        <v>19</v>
      </c>
      <c r="C26306" s="8" t="n">
        <v>1</v>
      </c>
      <c r="D26306" s="8" t="inlineStr">
        <is>
          <t>Disneyland Park</t>
        </is>
      </c>
      <c r="E26306" s="8" t="inlineStr">
        <is>
          <t>Star Wars Hyperspace Mountain Single Rider</t>
        </is>
      </c>
      <c r="F26306" s="8" t="inlineStr">
        <is>
          <t>STANDBY</t>
        </is>
      </c>
      <c r="G26306" s="8" t="n">
        <v>0</v>
      </c>
      <c r="H26306" s="8" t="inlineStr">
        <is>
          <t>OPERATING</t>
        </is>
      </c>
    </row>
    <row r="26307">
      <c r="A26307" s="8" t="inlineStr">
        <is>
          <t>2026-08-05</t>
        </is>
      </c>
      <c r="B26307" s="8" t="n">
        <v>19</v>
      </c>
      <c r="C26307" s="8" t="n">
        <v>1</v>
      </c>
      <c r="D26307" s="8" t="inlineStr">
        <is>
          <t>Disneyland Park</t>
        </is>
      </c>
      <c r="E26307" s="8" t="inlineStr">
        <is>
          <t>Welcome to Starport: A Star Wars Encounter</t>
        </is>
      </c>
      <c r="F26307" s="8" t="inlineStr">
        <is>
          <t>STANDBY</t>
        </is>
      </c>
      <c r="G26307" s="8" t="n">
        <v>0</v>
      </c>
      <c r="H26307" s="8" t="inlineStr">
        <is>
          <t>CLOSED</t>
        </is>
      </c>
    </row>
    <row r="26308">
      <c r="A26308" s="8" t="inlineStr">
        <is>
          <t>2026-08-05</t>
        </is>
      </c>
      <c r="B26308" s="8" t="n">
        <v>19</v>
      </c>
      <c r="C26308" s="8" t="n">
        <v>1</v>
      </c>
      <c r="D26308" s="8" t="inlineStr">
        <is>
          <t>Disneyland Park</t>
        </is>
      </c>
      <c r="E26308" s="8" t="inlineStr">
        <is>
          <t>"it's a small world"</t>
        </is>
      </c>
      <c r="F26308" s="8" t="inlineStr">
        <is>
          <t>STANDBY</t>
        </is>
      </c>
      <c r="G26308" s="8" t="n">
        <v>5</v>
      </c>
      <c r="H26308" s="8" t="inlineStr">
        <is>
          <t>OPERATING</t>
        </is>
      </c>
    </row>
    <row r="26309">
      <c r="A26309" s="8" t="inlineStr">
        <is>
          <t>2026-08-05</t>
        </is>
      </c>
      <c r="B26309" s="8" t="n">
        <v>19</v>
      </c>
      <c r="C26309" s="8" t="n">
        <v>1</v>
      </c>
      <c r="D26309" s="8" t="inlineStr">
        <is>
          <t>Disneyland Park</t>
        </is>
      </c>
      <c r="E26309" s="8" t="inlineStr">
        <is>
          <t>Alice's Curious Labyrinth</t>
        </is>
      </c>
      <c r="F26309" s="8" t="inlineStr">
        <is>
          <t>STANDBY</t>
        </is>
      </c>
      <c r="G26309" s="8" t="n">
        <v>5</v>
      </c>
      <c r="H26309" s="8" t="inlineStr">
        <is>
          <t>OPERATING</t>
        </is>
      </c>
    </row>
    <row r="26310">
      <c r="A26310" s="8" t="inlineStr">
        <is>
          <t>2026-08-05</t>
        </is>
      </c>
      <c r="B26310" s="8" t="n">
        <v>19</v>
      </c>
      <c r="C26310" s="8" t="n">
        <v>1</v>
      </c>
      <c r="D26310" s="8" t="inlineStr">
        <is>
          <t>Disneyland Park</t>
        </is>
      </c>
      <c r="E26310" s="8" t="inlineStr">
        <is>
          <t>Blanche-Neige et les Sept Nains®</t>
        </is>
      </c>
      <c r="F26310" s="8" t="inlineStr">
        <is>
          <t>STANDBY</t>
        </is>
      </c>
      <c r="G26310" s="8" t="n">
        <v>30</v>
      </c>
      <c r="H26310" s="8" t="inlineStr">
        <is>
          <t>OPERATING</t>
        </is>
      </c>
    </row>
    <row r="26311">
      <c r="A26311" s="8" t="inlineStr">
        <is>
          <t>2026-08-05</t>
        </is>
      </c>
      <c r="B26311" s="8" t="n">
        <v>19</v>
      </c>
      <c r="C26311" s="8" t="n">
        <v>1</v>
      </c>
      <c r="D26311" s="8" t="inlineStr">
        <is>
          <t>Disneyland Park</t>
        </is>
      </c>
      <c r="E26311" s="8" t="inlineStr">
        <is>
          <t>Casey Jr. – le Petit Train du Cirque</t>
        </is>
      </c>
      <c r="F26311" s="8" t="inlineStr">
        <is>
          <t>STANDBY</t>
        </is>
      </c>
      <c r="G26311" s="8" t="n">
        <v>25</v>
      </c>
      <c r="H26311" s="8" t="inlineStr">
        <is>
          <t>OPERATING</t>
        </is>
      </c>
    </row>
    <row r="26312">
      <c r="A26312" s="8" t="inlineStr">
        <is>
          <t>2026-08-05</t>
        </is>
      </c>
      <c r="B26312" s="8" t="n">
        <v>19</v>
      </c>
      <c r="C26312" s="8" t="n">
        <v>1</v>
      </c>
      <c r="D26312" s="8" t="inlineStr">
        <is>
          <t>Disneyland Park</t>
        </is>
      </c>
      <c r="E26312" s="8" t="inlineStr">
        <is>
          <t>Disneyland Railroad Fantasyland Station</t>
        </is>
      </c>
      <c r="F26312" s="8" t="inlineStr">
        <is>
          <t>STANDBY</t>
        </is>
      </c>
      <c r="G26312" s="8" t="n">
        <v>0</v>
      </c>
      <c r="H26312" s="8" t="inlineStr">
        <is>
          <t>CLOSED</t>
        </is>
      </c>
    </row>
    <row r="26313">
      <c r="A26313" s="8" t="inlineStr">
        <is>
          <t>2026-08-05</t>
        </is>
      </c>
      <c r="B26313" s="8" t="n">
        <v>19</v>
      </c>
      <c r="C26313" s="8" t="n">
        <v>1</v>
      </c>
      <c r="D26313" s="8" t="inlineStr">
        <is>
          <t>Disneyland Park</t>
        </is>
      </c>
      <c r="E26313" s="8" t="inlineStr">
        <is>
          <t>Disneyland Railroad Main Street Station</t>
        </is>
      </c>
      <c r="F26313" s="8" t="inlineStr">
        <is>
          <t>STANDBY</t>
        </is>
      </c>
      <c r="G26313" s="8" t="n">
        <v>20</v>
      </c>
      <c r="H26313" s="8" t="inlineStr">
        <is>
          <t>OPERATING</t>
        </is>
      </c>
    </row>
    <row r="26314">
      <c r="A26314" s="8" t="inlineStr">
        <is>
          <t>2026-08-05</t>
        </is>
      </c>
      <c r="B26314" s="8" t="n">
        <v>19</v>
      </c>
      <c r="C26314" s="8" t="n">
        <v>1</v>
      </c>
      <c r="D26314" s="8" t="inlineStr">
        <is>
          <t>Disneyland Park</t>
        </is>
      </c>
      <c r="E26314" s="8" t="inlineStr">
        <is>
          <t>Dumbo the Flying Elephant</t>
        </is>
      </c>
      <c r="F26314" s="8" t="inlineStr">
        <is>
          <t>STANDBY</t>
        </is>
      </c>
      <c r="G26314" s="8" t="n">
        <v>25</v>
      </c>
      <c r="H26314" s="8" t="inlineStr">
        <is>
          <t>OPERATING</t>
        </is>
      </c>
    </row>
    <row r="26315">
      <c r="A26315" s="8" t="inlineStr">
        <is>
          <t>2026-08-05</t>
        </is>
      </c>
      <c r="B26315" s="8" t="n">
        <v>19</v>
      </c>
      <c r="C26315" s="8" t="n">
        <v>1</v>
      </c>
      <c r="D26315" s="8" t="inlineStr">
        <is>
          <t>Disneyland Park</t>
        </is>
      </c>
      <c r="E26315" s="8" t="inlineStr">
        <is>
          <t>La Tanière du Dragon</t>
        </is>
      </c>
      <c r="F26315" s="8" t="inlineStr">
        <is>
          <t>STANDBY</t>
        </is>
      </c>
      <c r="G26315" s="8" t="n">
        <v>0</v>
      </c>
      <c r="H26315" s="8" t="inlineStr">
        <is>
          <t>OPERATING</t>
        </is>
      </c>
    </row>
    <row r="26316">
      <c r="A26316" s="8" t="inlineStr">
        <is>
          <t>2026-08-05</t>
        </is>
      </c>
      <c r="B26316" s="8" t="n">
        <v>19</v>
      </c>
      <c r="C26316" s="8" t="n">
        <v>1</v>
      </c>
      <c r="D26316" s="8" t="inlineStr">
        <is>
          <t>Disneyland Park</t>
        </is>
      </c>
      <c r="E26316" s="8" t="inlineStr">
        <is>
          <t>Le Carrousel de Lancelot</t>
        </is>
      </c>
      <c r="F26316" s="8" t="inlineStr">
        <is>
          <t>STANDBY</t>
        </is>
      </c>
      <c r="G26316" s="8" t="n">
        <v>15</v>
      </c>
      <c r="H26316" s="8" t="inlineStr">
        <is>
          <t>OPERATING</t>
        </is>
      </c>
    </row>
    <row r="26317">
      <c r="A26317" s="8" t="inlineStr">
        <is>
          <t>2026-08-05</t>
        </is>
      </c>
      <c r="B26317" s="8" t="n">
        <v>19</v>
      </c>
      <c r="C26317" s="8" t="n">
        <v>1</v>
      </c>
      <c r="D26317" s="8" t="inlineStr">
        <is>
          <t>Disneyland Park</t>
        </is>
      </c>
      <c r="E26317" s="8" t="inlineStr">
        <is>
          <t>Le Pays des Contes de Fées, presented by Vittel</t>
        </is>
      </c>
      <c r="F26317" s="8" t="inlineStr">
        <is>
          <t>STANDBY</t>
        </is>
      </c>
      <c r="G26317" s="8" t="n">
        <v>5</v>
      </c>
      <c r="H26317" s="8" t="inlineStr">
        <is>
          <t>OPERATING</t>
        </is>
      </c>
    </row>
    <row r="26318">
      <c r="A26318" s="8" t="inlineStr">
        <is>
          <t>2026-08-05</t>
        </is>
      </c>
      <c r="B26318" s="8" t="n">
        <v>19</v>
      </c>
      <c r="C26318" s="8" t="n">
        <v>1</v>
      </c>
      <c r="D26318" s="8" t="inlineStr">
        <is>
          <t>Disneyland Park</t>
        </is>
      </c>
      <c r="E26318" s="8" t="inlineStr">
        <is>
          <t>Les Voyages de Pinocchio</t>
        </is>
      </c>
      <c r="F26318" s="8" t="inlineStr">
        <is>
          <t>STANDBY</t>
        </is>
      </c>
      <c r="G26318" s="8" t="n">
        <v>20</v>
      </c>
      <c r="H26318" s="8" t="inlineStr">
        <is>
          <t>OPERATING</t>
        </is>
      </c>
    </row>
    <row r="26319">
      <c r="A26319" s="8" t="inlineStr">
        <is>
          <t>2026-08-05</t>
        </is>
      </c>
      <c r="B26319" s="8" t="n">
        <v>19</v>
      </c>
      <c r="C26319" s="8" t="n">
        <v>1</v>
      </c>
      <c r="D26319" s="8" t="inlineStr">
        <is>
          <t>Disneyland Park</t>
        </is>
      </c>
      <c r="E26319" s="8" t="inlineStr">
        <is>
          <t>Mad Hatter's Tea Cups</t>
        </is>
      </c>
      <c r="F26319" s="8" t="inlineStr">
        <is>
          <t>STANDBY</t>
        </is>
      </c>
      <c r="G26319" s="8" t="n">
        <v>10</v>
      </c>
      <c r="H26319" s="8" t="inlineStr">
        <is>
          <t>OPERATING</t>
        </is>
      </c>
    </row>
    <row r="26320">
      <c r="A26320" s="8" t="inlineStr">
        <is>
          <t>2026-08-05</t>
        </is>
      </c>
      <c r="B26320" s="8" t="n">
        <v>19</v>
      </c>
      <c r="C26320" s="8" t="n">
        <v>1</v>
      </c>
      <c r="D26320" s="8" t="inlineStr">
        <is>
          <t>Disneyland Park</t>
        </is>
      </c>
      <c r="E26320" s="8" t="inlineStr">
        <is>
          <t>Meet Mickey Mouse</t>
        </is>
      </c>
      <c r="F26320" s="8" t="inlineStr">
        <is>
          <t>STANDBY</t>
        </is>
      </c>
      <c r="G26320" s="8" t="n">
        <v>0</v>
      </c>
      <c r="H26320" s="8" t="inlineStr">
        <is>
          <t>CLOSED</t>
        </is>
      </c>
    </row>
    <row r="26321">
      <c r="A26321" s="8" t="inlineStr">
        <is>
          <t>2026-08-05</t>
        </is>
      </c>
      <c r="B26321" s="8" t="n">
        <v>19</v>
      </c>
      <c r="C26321" s="8" t="n">
        <v>1</v>
      </c>
      <c r="D26321" s="8" t="inlineStr">
        <is>
          <t>Disneyland Park</t>
        </is>
      </c>
      <c r="E26321" s="8" t="inlineStr">
        <is>
          <t>Peter Pan's Flight</t>
        </is>
      </c>
      <c r="F26321" s="8" t="inlineStr">
        <is>
          <t>STANDBY</t>
        </is>
      </c>
      <c r="G26321" s="8" t="n">
        <v>75</v>
      </c>
      <c r="H26321" s="8" t="inlineStr">
        <is>
          <t>OPERATING</t>
        </is>
      </c>
    </row>
    <row r="26322">
      <c r="A26322" s="8" t="inlineStr">
        <is>
          <t>2026-08-05</t>
        </is>
      </c>
      <c r="B26322" s="8" t="n">
        <v>19</v>
      </c>
      <c r="C26322" s="8" t="n">
        <v>1</v>
      </c>
      <c r="D26322" s="8" t="inlineStr">
        <is>
          <t>Disneyland Park</t>
        </is>
      </c>
      <c r="E26322" s="8" t="inlineStr">
        <is>
          <t>Princess Pavilion</t>
        </is>
      </c>
      <c r="F26322" s="8" t="inlineStr">
        <is>
          <t>STANDBY</t>
        </is>
      </c>
      <c r="G26322" s="8" t="n">
        <v>0</v>
      </c>
      <c r="H26322" s="8" t="inlineStr">
        <is>
          <t>CLOSED</t>
        </is>
      </c>
    </row>
    <row r="26323">
      <c r="A26323" s="8" t="inlineStr">
        <is>
          <t>2026-08-05</t>
        </is>
      </c>
      <c r="B26323" s="8" t="n">
        <v>19</v>
      </c>
      <c r="C26323" s="8" t="n">
        <v>1</v>
      </c>
      <c r="D26323" s="8" t="inlineStr">
        <is>
          <t>Disneyland Park</t>
        </is>
      </c>
      <c r="E26323" s="8" t="inlineStr">
        <is>
          <t>Big Thunder Mountain</t>
        </is>
      </c>
      <c r="F26323" s="8" t="inlineStr">
        <is>
          <t>STANDBY</t>
        </is>
      </c>
      <c r="G26323" s="8" t="n">
        <v>75</v>
      </c>
      <c r="H26323" s="8" t="inlineStr">
        <is>
          <t>OPERATING</t>
        </is>
      </c>
    </row>
    <row r="26324">
      <c r="A26324" s="8" t="inlineStr">
        <is>
          <t>2026-08-05</t>
        </is>
      </c>
      <c r="B26324" s="8" t="n">
        <v>19</v>
      </c>
      <c r="C26324" s="8" t="n">
        <v>1</v>
      </c>
      <c r="D26324" s="8" t="inlineStr">
        <is>
          <t>Disneyland Park</t>
        </is>
      </c>
      <c r="E26324" s="8" t="inlineStr">
        <is>
          <t>Disneyland Railroad Frontierland Depot</t>
        </is>
      </c>
      <c r="F26324" s="8" t="inlineStr">
        <is>
          <t>STANDBY</t>
        </is>
      </c>
      <c r="G26324" s="8" t="n">
        <v>20</v>
      </c>
      <c r="H26324" s="8" t="inlineStr">
        <is>
          <t>OPERATING</t>
        </is>
      </c>
    </row>
    <row r="26325">
      <c r="A26325" s="8" t="inlineStr">
        <is>
          <t>2026-08-05</t>
        </is>
      </c>
      <c r="B26325" s="8" t="n">
        <v>19</v>
      </c>
      <c r="C26325" s="8" t="n">
        <v>1</v>
      </c>
      <c r="D26325" s="8" t="inlineStr">
        <is>
          <t>Disneyland Park</t>
        </is>
      </c>
      <c r="E26325" s="8" t="inlineStr">
        <is>
          <t>Frontierland Playground</t>
        </is>
      </c>
      <c r="F26325" s="8" t="inlineStr">
        <is>
          <t>STANDBY</t>
        </is>
      </c>
      <c r="G26325" s="8" t="n">
        <v>0</v>
      </c>
      <c r="H26325" s="8" t="inlineStr">
        <is>
          <t>OPERATING</t>
        </is>
      </c>
    </row>
    <row r="26326">
      <c r="A26326" s="8" t="inlineStr">
        <is>
          <t>2026-08-05</t>
        </is>
      </c>
      <c r="B26326" s="8" t="n">
        <v>19</v>
      </c>
      <c r="C26326" s="8" t="n">
        <v>1</v>
      </c>
      <c r="D26326" s="8" t="inlineStr">
        <is>
          <t>Disneyland Park</t>
        </is>
      </c>
      <c r="E26326" s="8" t="inlineStr">
        <is>
          <t>Phantom Manor</t>
        </is>
      </c>
      <c r="F26326" s="8" t="inlineStr">
        <is>
          <t>STANDBY</t>
        </is>
      </c>
      <c r="G26326" s="8" t="n">
        <v>20</v>
      </c>
      <c r="H26326" s="8" t="inlineStr">
        <is>
          <t>OPERATING</t>
        </is>
      </c>
    </row>
    <row r="26327">
      <c r="A26327" s="8" t="inlineStr">
        <is>
          <t>2026-08-05</t>
        </is>
      </c>
      <c r="B26327" s="8" t="n">
        <v>19</v>
      </c>
      <c r="C26327" s="8" t="n">
        <v>1</v>
      </c>
      <c r="D26327" s="8" t="inlineStr">
        <is>
          <t>Disneyland Park</t>
        </is>
      </c>
      <c r="E26327" s="8" t="inlineStr">
        <is>
          <t>River Rogue Keelboats</t>
        </is>
      </c>
      <c r="F26327" s="8" t="inlineStr">
        <is>
          <t>STANDBY</t>
        </is>
      </c>
      <c r="G26327" s="8" t="n">
        <v>0</v>
      </c>
      <c r="H26327" s="8" t="inlineStr">
        <is>
          <t>CLOSED</t>
        </is>
      </c>
    </row>
    <row r="26328">
      <c r="A26328" s="8" t="inlineStr">
        <is>
          <t>2026-08-05</t>
        </is>
      </c>
      <c r="B26328" s="8" t="n">
        <v>19</v>
      </c>
      <c r="C26328" s="8" t="n">
        <v>1</v>
      </c>
      <c r="D26328" s="8" t="inlineStr">
        <is>
          <t>Disneyland Park</t>
        </is>
      </c>
      <c r="E26328" s="8" t="inlineStr">
        <is>
          <t>Rustler Roundup Shootin' Gallery</t>
        </is>
      </c>
      <c r="F26328" s="8" t="inlineStr">
        <is>
          <t>STANDBY</t>
        </is>
      </c>
      <c r="G26328" s="8" t="n">
        <v>0</v>
      </c>
      <c r="H26328" s="8" t="inlineStr">
        <is>
          <t>OPERATING</t>
        </is>
      </c>
    </row>
    <row r="26329">
      <c r="A26329" s="8" t="inlineStr">
        <is>
          <t>2026-08-05</t>
        </is>
      </c>
      <c r="B26329" s="8" t="n">
        <v>19</v>
      </c>
      <c r="C26329" s="8" t="n">
        <v>1</v>
      </c>
      <c r="D26329" s="8" t="inlineStr">
        <is>
          <t>Disneyland Park</t>
        </is>
      </c>
      <c r="E26329" s="8" t="inlineStr">
        <is>
          <t>Thunder Mesa Riverboat Landing</t>
        </is>
      </c>
      <c r="F26329" s="8" t="inlineStr">
        <is>
          <t>STANDBY</t>
        </is>
      </c>
      <c r="G26329" s="8" t="n">
        <v>0</v>
      </c>
      <c r="H26329" s="8" t="inlineStr">
        <is>
          <t>CLOSED</t>
        </is>
      </c>
    </row>
    <row r="26330">
      <c r="A26330" s="8" t="inlineStr">
        <is>
          <t>2026-08-05</t>
        </is>
      </c>
      <c r="B26330" s="8" t="n">
        <v>19</v>
      </c>
      <c r="C26330" s="8" t="n">
        <v>1</v>
      </c>
      <c r="D26330" s="8" t="inlineStr">
        <is>
          <t>Disneyland Park</t>
        </is>
      </c>
      <c r="E26330" s="8" t="inlineStr">
        <is>
          <t>Disneyland Railroad Main Street Station</t>
        </is>
      </c>
      <c r="F26330" s="8" t="inlineStr">
        <is>
          <t>STANDBY</t>
        </is>
      </c>
      <c r="G26330" s="8" t="n">
        <v>0</v>
      </c>
      <c r="H26330" s="8" t="inlineStr">
        <is>
          <t>OPERATING</t>
        </is>
      </c>
    </row>
    <row r="26331">
      <c r="A26331" s="8" t="inlineStr">
        <is>
          <t>2026-08-05</t>
        </is>
      </c>
      <c r="B26331" s="8" t="n">
        <v>19</v>
      </c>
      <c r="C26331" s="8" t="n">
        <v>1</v>
      </c>
      <c r="D26331" s="8" t="inlineStr">
        <is>
          <t>Disneyland Park</t>
        </is>
      </c>
      <c r="E26331" s="8" t="inlineStr">
        <is>
          <t>Main Street Vehicles</t>
        </is>
      </c>
      <c r="F26331" s="8" t="inlineStr">
        <is>
          <t>STANDBY</t>
        </is>
      </c>
      <c r="G26331" s="8" t="n">
        <v>0</v>
      </c>
      <c r="H26331" s="8" t="inlineStr">
        <is>
          <t>CLOSED</t>
        </is>
      </c>
    </row>
    <row r="26332">
      <c r="A26332" s="8" t="inlineStr">
        <is>
          <t>2026-08-05</t>
        </is>
      </c>
      <c r="B26332" s="8" t="n">
        <v>19</v>
      </c>
      <c r="C26332" s="8" t="n">
        <v>1</v>
      </c>
      <c r="D26332" s="8" t="inlineStr">
        <is>
          <t>Disney Adventure World</t>
        </is>
      </c>
      <c r="E26332" s="8" t="inlineStr">
        <is>
          <t>Avengers Assemble: Flight Force</t>
        </is>
      </c>
      <c r="F26332" s="8" t="inlineStr">
        <is>
          <t>STANDBY</t>
        </is>
      </c>
      <c r="G26332" s="8" t="n">
        <v>20</v>
      </c>
      <c r="H26332" s="8" t="inlineStr">
        <is>
          <t>OPERATING</t>
        </is>
      </c>
    </row>
    <row r="26333">
      <c r="A26333" s="8" t="inlineStr">
        <is>
          <t>2026-08-05</t>
        </is>
      </c>
      <c r="B26333" s="8" t="n">
        <v>19</v>
      </c>
      <c r="C26333" s="8" t="n">
        <v>1</v>
      </c>
      <c r="D26333" s="8" t="inlineStr">
        <is>
          <t>Disney Adventure World</t>
        </is>
      </c>
      <c r="E26333" s="8" t="inlineStr">
        <is>
          <t>Avengers Assemble: Flight Force Single Rider</t>
        </is>
      </c>
      <c r="F26333" s="8" t="inlineStr">
        <is>
          <t>STANDBY</t>
        </is>
      </c>
      <c r="G26333" s="8" t="n">
        <v>15</v>
      </c>
      <c r="H26333" s="8" t="inlineStr">
        <is>
          <t>OPERATING</t>
        </is>
      </c>
    </row>
    <row r="26334">
      <c r="A26334" s="8" t="inlineStr">
        <is>
          <t>2026-08-05</t>
        </is>
      </c>
      <c r="B26334" s="8" t="n">
        <v>19</v>
      </c>
      <c r="C26334" s="8" t="n">
        <v>1</v>
      </c>
      <c r="D26334" s="8" t="inlineStr">
        <is>
          <t>Disney Adventure World</t>
        </is>
      </c>
      <c r="E26334" s="8" t="inlineStr">
        <is>
          <t>Spider-Man W.E.B. Adventure</t>
        </is>
      </c>
      <c r="F26334" s="8" t="inlineStr">
        <is>
          <t>STANDBY</t>
        </is>
      </c>
      <c r="G26334" s="8" t="n">
        <v>40</v>
      </c>
      <c r="H26334" s="8" t="inlineStr">
        <is>
          <t>OPERATING</t>
        </is>
      </c>
    </row>
    <row r="26335">
      <c r="A26335" s="8" t="inlineStr">
        <is>
          <t>2026-08-05</t>
        </is>
      </c>
      <c r="B26335" s="8" t="n">
        <v>19</v>
      </c>
      <c r="C26335" s="8" t="n">
        <v>1</v>
      </c>
      <c r="D26335" s="8" t="inlineStr">
        <is>
          <t>Disney Adventure World</t>
        </is>
      </c>
      <c r="E26335" s="8" t="inlineStr">
        <is>
          <t>Spider-Man W.E.B. Adventure Single Rider</t>
        </is>
      </c>
      <c r="F26335" s="8" t="inlineStr">
        <is>
          <t>STANDBY</t>
        </is>
      </c>
      <c r="G26335" s="8" t="n">
        <v>15</v>
      </c>
      <c r="H26335" s="8" t="inlineStr">
        <is>
          <t>OPERATING</t>
        </is>
      </c>
    </row>
    <row r="26336">
      <c r="A26336" s="8" t="inlineStr">
        <is>
          <t>2026-08-05</t>
        </is>
      </c>
      <c r="B26336" s="8" t="n">
        <v>19</v>
      </c>
      <c r="C26336" s="8" t="n">
        <v>1</v>
      </c>
      <c r="D26336" s="8" t="inlineStr">
        <is>
          <t>Disney Adventure World</t>
        </is>
      </c>
      <c r="E26336" s="8" t="inlineStr">
        <is>
          <t>The Twilight Zone Tower of Terror</t>
        </is>
      </c>
      <c r="F26336" s="8" t="inlineStr">
        <is>
          <t>STANDBY</t>
        </is>
      </c>
      <c r="G26336" s="8" t="n">
        <v>10</v>
      </c>
      <c r="H26336" s="8" t="inlineStr">
        <is>
          <t>OPERATING</t>
        </is>
      </c>
    </row>
    <row r="26337">
      <c r="A26337" s="8" t="inlineStr">
        <is>
          <t>2026-08-05</t>
        </is>
      </c>
      <c r="B26337" s="8" t="n">
        <v>19</v>
      </c>
      <c r="C26337" s="8" t="n">
        <v>1</v>
      </c>
      <c r="D26337" s="8" t="inlineStr">
        <is>
          <t>Disney Adventure World</t>
        </is>
      </c>
      <c r="E26337" s="8" t="inlineStr">
        <is>
          <t>Cars Quatre Roues Rallye</t>
        </is>
      </c>
      <c r="F26337" s="8" t="inlineStr">
        <is>
          <t>STANDBY</t>
        </is>
      </c>
      <c r="G26337" s="8" t="n">
        <v>10</v>
      </c>
      <c r="H26337" s="8" t="inlineStr">
        <is>
          <t>OPERATING</t>
        </is>
      </c>
    </row>
    <row r="26338">
      <c r="A26338" s="8" t="inlineStr">
        <is>
          <t>2026-08-05</t>
        </is>
      </c>
      <c r="B26338" s="8" t="n">
        <v>19</v>
      </c>
      <c r="C26338" s="8" t="n">
        <v>1</v>
      </c>
      <c r="D26338" s="8" t="inlineStr">
        <is>
          <t>Disney Adventure World</t>
        </is>
      </c>
      <c r="E26338" s="8" t="inlineStr">
        <is>
          <t>Cars ROAD TRIP</t>
        </is>
      </c>
      <c r="F26338" s="8" t="inlineStr">
        <is>
          <t>STANDBY</t>
        </is>
      </c>
      <c r="G26338" s="8" t="n">
        <v>10</v>
      </c>
      <c r="H26338" s="8" t="inlineStr">
        <is>
          <t>OPERATING</t>
        </is>
      </c>
    </row>
    <row r="26339">
      <c r="A26339" s="8" t="inlineStr">
        <is>
          <t>2026-08-05</t>
        </is>
      </c>
      <c r="B26339" s="8" t="n">
        <v>19</v>
      </c>
      <c r="C26339" s="8" t="n">
        <v>1</v>
      </c>
      <c r="D26339" s="8" t="inlineStr">
        <is>
          <t>Disney Adventure World</t>
        </is>
      </c>
      <c r="E26339" s="8" t="inlineStr">
        <is>
          <t>Crush's Coaster</t>
        </is>
      </c>
      <c r="F26339" s="8" t="inlineStr">
        <is>
          <t>STANDBY</t>
        </is>
      </c>
      <c r="G26339" s="8" t="n">
        <v>75</v>
      </c>
      <c r="H26339" s="8" t="inlineStr">
        <is>
          <t>OPERATING</t>
        </is>
      </c>
    </row>
    <row r="26340">
      <c r="A26340" s="8" t="inlineStr">
        <is>
          <t>2026-08-05</t>
        </is>
      </c>
      <c r="B26340" s="8" t="n">
        <v>19</v>
      </c>
      <c r="C26340" s="8" t="n">
        <v>1</v>
      </c>
      <c r="D26340" s="8" t="inlineStr">
        <is>
          <t>Disney Adventure World</t>
        </is>
      </c>
      <c r="E26340" s="8" t="inlineStr">
        <is>
          <t>Crush's Coaster Single Rider</t>
        </is>
      </c>
      <c r="F26340" s="8" t="inlineStr">
        <is>
          <t>STANDBY</t>
        </is>
      </c>
      <c r="G26340" s="8" t="n">
        <v>45</v>
      </c>
      <c r="H26340" s="8" t="inlineStr">
        <is>
          <t>OPERATING</t>
        </is>
      </c>
    </row>
    <row r="26341">
      <c r="A26341" s="8" t="inlineStr">
        <is>
          <t>2026-08-05</t>
        </is>
      </c>
      <c r="B26341" s="8" t="n">
        <v>19</v>
      </c>
      <c r="C26341" s="8" t="n">
        <v>1</v>
      </c>
      <c r="D26341" s="8" t="inlineStr">
        <is>
          <t>Disney Adventure World</t>
        </is>
      </c>
      <c r="E26341" s="8" t="inlineStr">
        <is>
          <t>Les Tapis Volants - Flying Carpets Over Agrabah®</t>
        </is>
      </c>
      <c r="F26341" s="8" t="inlineStr">
        <is>
          <t>STANDBY</t>
        </is>
      </c>
      <c r="G26341" s="8" t="n">
        <v>15</v>
      </c>
      <c r="H26341" s="8" t="inlineStr">
        <is>
          <t>OPERATING</t>
        </is>
      </c>
    </row>
    <row r="26342">
      <c r="A26342" s="8" t="inlineStr">
        <is>
          <t>2026-08-05</t>
        </is>
      </c>
      <c r="B26342" s="8" t="n">
        <v>19</v>
      </c>
      <c r="C26342" s="8" t="n">
        <v>1</v>
      </c>
      <c r="D26342" s="8" t="inlineStr">
        <is>
          <t>Disney Adventure World</t>
        </is>
      </c>
      <c r="E26342" s="8" t="inlineStr">
        <is>
          <t>Ratatouille : L’Aventure Totalement Toquée de Rémy​</t>
        </is>
      </c>
      <c r="F26342" s="8" t="inlineStr">
        <is>
          <t>STANDBY</t>
        </is>
      </c>
      <c r="G26342" s="8" t="n">
        <v>50</v>
      </c>
      <c r="H26342" s="8" t="inlineStr">
        <is>
          <t>OPERATING</t>
        </is>
      </c>
    </row>
    <row r="26343">
      <c r="A26343" s="8" t="inlineStr">
        <is>
          <t>2026-08-05</t>
        </is>
      </c>
      <c r="B26343" s="8" t="n">
        <v>19</v>
      </c>
      <c r="C26343" s="8" t="n">
        <v>1</v>
      </c>
      <c r="D26343" s="8" t="inlineStr">
        <is>
          <t>Disney Adventure World</t>
        </is>
      </c>
      <c r="E26343" s="8" t="inlineStr">
        <is>
          <t>Ratatouille: The Adventure Single Rider</t>
        </is>
      </c>
      <c r="F26343" s="8" t="inlineStr">
        <is>
          <t>STANDBY</t>
        </is>
      </c>
      <c r="G26343" s="8" t="n">
        <v>20</v>
      </c>
      <c r="H26343" s="8" t="inlineStr">
        <is>
          <t>OPERATING</t>
        </is>
      </c>
    </row>
    <row r="26344">
      <c r="A26344" s="8" t="inlineStr">
        <is>
          <t>2026-08-05</t>
        </is>
      </c>
      <c r="B26344" s="8" t="n">
        <v>19</v>
      </c>
      <c r="C26344" s="8" t="n">
        <v>1</v>
      </c>
      <c r="D26344" s="8" t="inlineStr">
        <is>
          <t>Disney Adventure World</t>
        </is>
      </c>
      <c r="E26344" s="8" t="inlineStr">
        <is>
          <t>RC Racer</t>
        </is>
      </c>
      <c r="F26344" s="8" t="inlineStr">
        <is>
          <t>STANDBY</t>
        </is>
      </c>
      <c r="G26344" s="8" t="n">
        <v>40</v>
      </c>
      <c r="H26344" s="8" t="inlineStr">
        <is>
          <t>OPERATING</t>
        </is>
      </c>
    </row>
    <row r="26345">
      <c r="A26345" s="8" t="inlineStr">
        <is>
          <t>2026-08-05</t>
        </is>
      </c>
      <c r="B26345" s="8" t="n">
        <v>19</v>
      </c>
      <c r="C26345" s="8" t="n">
        <v>1</v>
      </c>
      <c r="D26345" s="8" t="inlineStr">
        <is>
          <t>Disney Adventure World</t>
        </is>
      </c>
      <c r="E26345" s="8" t="inlineStr">
        <is>
          <t>RC Racer Single Rider</t>
        </is>
      </c>
      <c r="F26345" s="8" t="inlineStr">
        <is>
          <t>STANDBY</t>
        </is>
      </c>
      <c r="G26345" s="8" t="n">
        <v>35</v>
      </c>
      <c r="H26345" s="8" t="inlineStr">
        <is>
          <t>OPERATING</t>
        </is>
      </c>
    </row>
    <row r="26346">
      <c r="A26346" s="8" t="inlineStr">
        <is>
          <t>2026-08-05</t>
        </is>
      </c>
      <c r="B26346" s="8" t="n">
        <v>19</v>
      </c>
      <c r="C26346" s="8" t="n">
        <v>1</v>
      </c>
      <c r="D26346" s="8" t="inlineStr">
        <is>
          <t>Disney Adventure World</t>
        </is>
      </c>
      <c r="E26346" s="8" t="inlineStr">
        <is>
          <t>Slinky® Dog Zigzag Spin</t>
        </is>
      </c>
      <c r="F26346" s="8" t="inlineStr">
        <is>
          <t>STANDBY</t>
        </is>
      </c>
      <c r="G26346" s="8" t="n">
        <v>10</v>
      </c>
      <c r="H26346" s="8" t="inlineStr">
        <is>
          <t>OPERATING</t>
        </is>
      </c>
    </row>
    <row r="26347">
      <c r="A26347" s="8" t="inlineStr">
        <is>
          <t>2026-08-05</t>
        </is>
      </c>
      <c r="B26347" s="8" t="n">
        <v>19</v>
      </c>
      <c r="C26347" s="8" t="n">
        <v>1</v>
      </c>
      <c r="D26347" s="8" t="inlineStr">
        <is>
          <t>Disney Adventure World</t>
        </is>
      </c>
      <c r="E26347" s="8" t="inlineStr">
        <is>
          <t>Toy Soldiers Parachute Drop</t>
        </is>
      </c>
      <c r="F26347" s="8" t="inlineStr">
        <is>
          <t>STANDBY</t>
        </is>
      </c>
      <c r="G26347" s="8" t="n">
        <v>55</v>
      </c>
      <c r="H26347" s="8" t="inlineStr">
        <is>
          <t>OPERATING</t>
        </is>
      </c>
    </row>
    <row r="26348">
      <c r="A26348" s="8" t="inlineStr">
        <is>
          <t>2026-08-05</t>
        </is>
      </c>
      <c r="B26348" s="8" t="n">
        <v>19</v>
      </c>
      <c r="C26348" s="8" t="n">
        <v>1</v>
      </c>
      <c r="D26348" s="8" t="inlineStr">
        <is>
          <t>Disney Adventure World</t>
        </is>
      </c>
      <c r="E26348" s="8" t="inlineStr">
        <is>
          <t>Toy Soldiers Parachute Drop Single Rider</t>
        </is>
      </c>
      <c r="F26348" s="8" t="inlineStr">
        <is>
          <t>STANDBY</t>
        </is>
      </c>
      <c r="G26348" s="8" t="n">
        <v>25</v>
      </c>
      <c r="H26348" s="8" t="inlineStr">
        <is>
          <t>OPERATING</t>
        </is>
      </c>
    </row>
    <row r="26349">
      <c r="A26349" s="8" t="inlineStr">
        <is>
          <t>2026-08-05</t>
        </is>
      </c>
      <c r="B26349" s="8" t="n">
        <v>19</v>
      </c>
      <c r="C26349" s="8" t="n">
        <v>1</v>
      </c>
      <c r="D26349" s="8" t="inlineStr">
        <is>
          <t>Disney Adventure World</t>
        </is>
      </c>
      <c r="E26349" s="8" t="inlineStr">
        <is>
          <t>Entry to World of Frozen</t>
        </is>
      </c>
      <c r="F26349" s="8" t="inlineStr">
        <is>
          <t>STANDBY</t>
        </is>
      </c>
      <c r="G26349" s="8" t="n">
        <v>0</v>
      </c>
      <c r="H26349" s="8" t="inlineStr">
        <is>
          <t>OPERATING</t>
        </is>
      </c>
    </row>
    <row r="26350">
      <c r="A26350" s="8" t="inlineStr">
        <is>
          <t>2026-08-05</t>
        </is>
      </c>
      <c r="B26350" s="8" t="n">
        <v>19</v>
      </c>
      <c r="C26350" s="8" t="n">
        <v>1</v>
      </c>
      <c r="D26350" s="8" t="inlineStr">
        <is>
          <t>Disney Adventure World</t>
        </is>
      </c>
      <c r="E26350" s="8" t="inlineStr">
        <is>
          <t>Frozen Ever After</t>
        </is>
      </c>
      <c r="F26350" s="8" t="inlineStr">
        <is>
          <t>STANDBY</t>
        </is>
      </c>
      <c r="G26350" s="8" t="n">
        <v>55</v>
      </c>
      <c r="H26350" s="8" t="inlineStr">
        <is>
          <t>OPERATING</t>
        </is>
      </c>
    </row>
    <row r="26351">
      <c r="A26351" s="8" t="inlineStr">
        <is>
          <t>2026-08-05</t>
        </is>
      </c>
      <c r="B26351" s="8" t="n">
        <v>19</v>
      </c>
      <c r="C26351" s="8" t="n">
        <v>1</v>
      </c>
      <c r="D26351" s="8" t="inlineStr">
        <is>
          <t>Disney Adventure World</t>
        </is>
      </c>
      <c r="E26351" s="8" t="inlineStr">
        <is>
          <t>Raiponce Tangled Spin</t>
        </is>
      </c>
      <c r="F26351" s="8" t="inlineStr">
        <is>
          <t>STANDBY</t>
        </is>
      </c>
      <c r="G26351" s="8" t="n">
        <v>5</v>
      </c>
      <c r="H26351" s="8" t="inlineStr">
        <is>
          <t>OPERATING</t>
        </is>
      </c>
    </row>
    <row r="26352">
      <c r="A26352" s="8" t="inlineStr">
        <is>
          <t>2026-08-05</t>
        </is>
      </c>
      <c r="B26352" s="8" t="n">
        <v>19</v>
      </c>
      <c r="C26352" s="8" t="n">
        <v>6</v>
      </c>
      <c r="D26352" s="8" t="inlineStr">
        <is>
          <t>Disneyland Park</t>
        </is>
      </c>
      <c r="E26352" s="8" t="inlineStr">
        <is>
          <t>Adventure Isle</t>
        </is>
      </c>
      <c r="F26352" s="8" t="inlineStr">
        <is>
          <t>STANDBY</t>
        </is>
      </c>
      <c r="G26352" s="8" t="n">
        <v>0</v>
      </c>
      <c r="H26352" s="8" t="inlineStr">
        <is>
          <t>OPERATING</t>
        </is>
      </c>
    </row>
    <row r="26353">
      <c r="A26353" s="8" t="inlineStr">
        <is>
          <t>2026-08-05</t>
        </is>
      </c>
      <c r="B26353" s="8" t="n">
        <v>19</v>
      </c>
      <c r="C26353" s="8" t="n">
        <v>6</v>
      </c>
      <c r="D26353" s="8" t="inlineStr">
        <is>
          <t>Disneyland Park</t>
        </is>
      </c>
      <c r="E26353" s="8" t="inlineStr">
        <is>
          <t>Indiana Jones and the Temple of Peril Single Rider</t>
        </is>
      </c>
      <c r="F26353" s="8" t="inlineStr">
        <is>
          <t>STANDBY</t>
        </is>
      </c>
      <c r="G26353" s="8" t="n">
        <v>15</v>
      </c>
      <c r="H26353" s="8" t="inlineStr">
        <is>
          <t>OPERATING</t>
        </is>
      </c>
    </row>
    <row r="26354">
      <c r="A26354" s="8" t="inlineStr">
        <is>
          <t>2026-08-05</t>
        </is>
      </c>
      <c r="B26354" s="8" t="n">
        <v>19</v>
      </c>
      <c r="C26354" s="8" t="n">
        <v>6</v>
      </c>
      <c r="D26354" s="8" t="inlineStr">
        <is>
          <t>Disneyland Park</t>
        </is>
      </c>
      <c r="E26354" s="8" t="inlineStr">
        <is>
          <t>Indiana Jones™ and the Temple of Peril</t>
        </is>
      </c>
      <c r="F26354" s="8" t="inlineStr">
        <is>
          <t>STANDBY</t>
        </is>
      </c>
      <c r="G26354" s="8" t="n">
        <v>20</v>
      </c>
      <c r="H26354" s="8" t="inlineStr">
        <is>
          <t>OPERATING</t>
        </is>
      </c>
    </row>
    <row r="26355">
      <c r="A26355" s="8" t="inlineStr">
        <is>
          <t>2026-08-05</t>
        </is>
      </c>
      <c r="B26355" s="8" t="n">
        <v>19</v>
      </c>
      <c r="C26355" s="8" t="n">
        <v>6</v>
      </c>
      <c r="D26355" s="8" t="inlineStr">
        <is>
          <t>Disneyland Park</t>
        </is>
      </c>
      <c r="E26355" s="8" t="inlineStr">
        <is>
          <t>La Cabane des Robinson</t>
        </is>
      </c>
      <c r="F26355" s="8" t="inlineStr">
        <is>
          <t>STANDBY</t>
        </is>
      </c>
      <c r="G26355" s="8" t="n">
        <v>5</v>
      </c>
      <c r="H26355" s="8" t="inlineStr">
        <is>
          <t>OPERATING</t>
        </is>
      </c>
    </row>
    <row r="26356">
      <c r="A26356" s="8" t="inlineStr">
        <is>
          <t>2026-08-05</t>
        </is>
      </c>
      <c r="B26356" s="8" t="n">
        <v>19</v>
      </c>
      <c r="C26356" s="8" t="n">
        <v>6</v>
      </c>
      <c r="D26356" s="8" t="inlineStr">
        <is>
          <t>Disneyland Park</t>
        </is>
      </c>
      <c r="E26356" s="8" t="inlineStr">
        <is>
          <t>Le Passage Enchanté d'Aladdin</t>
        </is>
      </c>
      <c r="F26356" s="8" t="inlineStr">
        <is>
          <t>STANDBY</t>
        </is>
      </c>
      <c r="G26356" s="8" t="n">
        <v>0</v>
      </c>
      <c r="H26356" s="8" t="inlineStr">
        <is>
          <t>OPERATING</t>
        </is>
      </c>
    </row>
    <row r="26357">
      <c r="A26357" s="8" t="inlineStr">
        <is>
          <t>2026-08-05</t>
        </is>
      </c>
      <c r="B26357" s="8" t="n">
        <v>19</v>
      </c>
      <c r="C26357" s="8" t="n">
        <v>6</v>
      </c>
      <c r="D26357" s="8" t="inlineStr">
        <is>
          <t>Disneyland Park</t>
        </is>
      </c>
      <c r="E26357" s="8" t="inlineStr">
        <is>
          <t>Pirate Galleon</t>
        </is>
      </c>
      <c r="F26357" s="8" t="inlineStr">
        <is>
          <t>STANDBY</t>
        </is>
      </c>
      <c r="G26357" s="8" t="n">
        <v>0</v>
      </c>
      <c r="H26357" s="8" t="inlineStr">
        <is>
          <t>CLOSED</t>
        </is>
      </c>
    </row>
    <row r="26358">
      <c r="A26358" s="8" t="inlineStr">
        <is>
          <t>2026-08-05</t>
        </is>
      </c>
      <c r="B26358" s="8" t="n">
        <v>19</v>
      </c>
      <c r="C26358" s="8" t="n">
        <v>6</v>
      </c>
      <c r="D26358" s="8" t="inlineStr">
        <is>
          <t>Disneyland Park</t>
        </is>
      </c>
      <c r="E26358" s="8" t="inlineStr">
        <is>
          <t>Pirates of the Caribbean</t>
        </is>
      </c>
      <c r="F26358" s="8" t="inlineStr">
        <is>
          <t>STANDBY</t>
        </is>
      </c>
      <c r="G26358" s="8" t="n">
        <v>10</v>
      </c>
      <c r="H26358" s="8" t="inlineStr">
        <is>
          <t>OPERATING</t>
        </is>
      </c>
    </row>
    <row r="26359">
      <c r="A26359" s="8" t="inlineStr">
        <is>
          <t>2026-08-05</t>
        </is>
      </c>
      <c r="B26359" s="8" t="n">
        <v>19</v>
      </c>
      <c r="C26359" s="8" t="n">
        <v>6</v>
      </c>
      <c r="D26359" s="8" t="inlineStr">
        <is>
          <t>Disneyland Park</t>
        </is>
      </c>
      <c r="E26359" s="8" t="inlineStr">
        <is>
          <t>Pirates' Beach</t>
        </is>
      </c>
      <c r="F26359" s="8" t="inlineStr">
        <is>
          <t>STANDBY</t>
        </is>
      </c>
      <c r="G26359" s="8" t="n">
        <v>0</v>
      </c>
      <c r="H26359" s="8" t="inlineStr">
        <is>
          <t>OPERATING</t>
        </is>
      </c>
    </row>
    <row r="26360">
      <c r="A26360" s="8" t="inlineStr">
        <is>
          <t>2026-08-05</t>
        </is>
      </c>
      <c r="B26360" s="8" t="n">
        <v>19</v>
      </c>
      <c r="C26360" s="8" t="n">
        <v>6</v>
      </c>
      <c r="D26360" s="8" t="inlineStr">
        <is>
          <t>Disneyland Park</t>
        </is>
      </c>
      <c r="E26360" s="8" t="inlineStr">
        <is>
          <t>Autopia, presented by Avis</t>
        </is>
      </c>
      <c r="F26360" s="8" t="inlineStr">
        <is>
          <t>STANDBY</t>
        </is>
      </c>
      <c r="G26360" s="8" t="n">
        <v>50</v>
      </c>
      <c r="H26360" s="8" t="inlineStr">
        <is>
          <t>OPERATING</t>
        </is>
      </c>
    </row>
    <row r="26361">
      <c r="A26361" s="8" t="inlineStr">
        <is>
          <t>2026-08-05</t>
        </is>
      </c>
      <c r="B26361" s="8" t="n">
        <v>19</v>
      </c>
      <c r="C26361" s="8" t="n">
        <v>6</v>
      </c>
      <c r="D26361" s="8" t="inlineStr">
        <is>
          <t>Disneyland Park</t>
        </is>
      </c>
      <c r="E26361" s="8" t="inlineStr">
        <is>
          <t>Buzz Lightyear Laser Blast</t>
        </is>
      </c>
      <c r="F26361" s="8" t="inlineStr">
        <is>
          <t>STANDBY</t>
        </is>
      </c>
      <c r="G26361" s="8" t="n">
        <v>35</v>
      </c>
      <c r="H26361" s="8" t="inlineStr">
        <is>
          <t>OPERATING</t>
        </is>
      </c>
    </row>
    <row r="26362">
      <c r="A26362" s="8" t="inlineStr">
        <is>
          <t>2026-08-05</t>
        </is>
      </c>
      <c r="B26362" s="8" t="n">
        <v>19</v>
      </c>
      <c r="C26362" s="8" t="n">
        <v>6</v>
      </c>
      <c r="D26362" s="8" t="inlineStr">
        <is>
          <t>Disneyland Park</t>
        </is>
      </c>
      <c r="E26362" s="8" t="inlineStr">
        <is>
          <t>Disneyland Railroad Discoveryland Station</t>
        </is>
      </c>
      <c r="F26362" s="8" t="inlineStr">
        <is>
          <t>STANDBY</t>
        </is>
      </c>
      <c r="G26362" s="8" t="n">
        <v>0</v>
      </c>
      <c r="H26362" s="8" t="inlineStr">
        <is>
          <t>CLOSED</t>
        </is>
      </c>
    </row>
    <row r="26363">
      <c r="A26363" s="8" t="inlineStr">
        <is>
          <t>2026-08-05</t>
        </is>
      </c>
      <c r="B26363" s="8" t="n">
        <v>19</v>
      </c>
      <c r="C26363" s="8" t="n">
        <v>6</v>
      </c>
      <c r="D26363" s="8" t="inlineStr">
        <is>
          <t>Disneyland Park</t>
        </is>
      </c>
      <c r="E26363" s="8" t="inlineStr">
        <is>
          <t>Les Mystères du Nautilus</t>
        </is>
      </c>
      <c r="F26363" s="8" t="inlineStr">
        <is>
          <t>STANDBY</t>
        </is>
      </c>
      <c r="G26363" s="8" t="n">
        <v>5</v>
      </c>
      <c r="H26363" s="8" t="inlineStr">
        <is>
          <t>OPERATING</t>
        </is>
      </c>
    </row>
    <row r="26364">
      <c r="A26364" s="8" t="inlineStr">
        <is>
          <t>2026-08-05</t>
        </is>
      </c>
      <c r="B26364" s="8" t="n">
        <v>19</v>
      </c>
      <c r="C26364" s="8" t="n">
        <v>6</v>
      </c>
      <c r="D26364" s="8" t="inlineStr">
        <is>
          <t>Disneyland Park</t>
        </is>
      </c>
      <c r="E26364" s="8" t="inlineStr">
        <is>
          <t>Mickey’s PhilharMagic</t>
        </is>
      </c>
      <c r="F26364" s="8" t="inlineStr">
        <is>
          <t>STANDBY</t>
        </is>
      </c>
      <c r="G26364" s="8" t="n">
        <v>0</v>
      </c>
      <c r="H26364" s="8" t="inlineStr">
        <is>
          <t>CLOSED</t>
        </is>
      </c>
    </row>
    <row r="26365">
      <c r="A26365" s="8" t="inlineStr">
        <is>
          <t>2026-08-05</t>
        </is>
      </c>
      <c r="B26365" s="8" t="n">
        <v>19</v>
      </c>
      <c r="C26365" s="8" t="n">
        <v>6</v>
      </c>
      <c r="D26365" s="8" t="inlineStr">
        <is>
          <t>Disneyland Park</t>
        </is>
      </c>
      <c r="E26365" s="8" t="inlineStr">
        <is>
          <t>Orbitron®</t>
        </is>
      </c>
      <c r="F26365" s="8" t="inlineStr">
        <is>
          <t>STANDBY</t>
        </is>
      </c>
      <c r="G26365" s="8" t="n">
        <v>60</v>
      </c>
      <c r="H26365" s="8" t="inlineStr">
        <is>
          <t>OPERATING</t>
        </is>
      </c>
    </row>
    <row r="26366">
      <c r="A26366" s="8" t="inlineStr">
        <is>
          <t>2026-08-05</t>
        </is>
      </c>
      <c r="B26366" s="8" t="n">
        <v>19</v>
      </c>
      <c r="C26366" s="8" t="n">
        <v>6</v>
      </c>
      <c r="D26366" s="8" t="inlineStr">
        <is>
          <t>Disneyland Park</t>
        </is>
      </c>
      <c r="E26366" s="8" t="inlineStr">
        <is>
          <t>Star Tours: The Adventures Continue*</t>
        </is>
      </c>
      <c r="F26366" s="8" t="inlineStr">
        <is>
          <t>STANDBY</t>
        </is>
      </c>
      <c r="G26366" s="8" t="n">
        <v>10</v>
      </c>
      <c r="H26366" s="8" t="inlineStr">
        <is>
          <t>OPERATING</t>
        </is>
      </c>
    </row>
    <row r="26367">
      <c r="A26367" s="8" t="inlineStr">
        <is>
          <t>2026-08-05</t>
        </is>
      </c>
      <c r="B26367" s="8" t="n">
        <v>19</v>
      </c>
      <c r="C26367" s="8" t="n">
        <v>6</v>
      </c>
      <c r="D26367" s="8" t="inlineStr">
        <is>
          <t>Disneyland Park</t>
        </is>
      </c>
      <c r="E26367" s="8" t="inlineStr">
        <is>
          <t>Star Wars Hyperspace Mountain</t>
        </is>
      </c>
      <c r="F26367" s="8" t="inlineStr">
        <is>
          <t>STANDBY</t>
        </is>
      </c>
      <c r="G26367" s="8" t="n">
        <v>35</v>
      </c>
      <c r="H26367" s="8" t="inlineStr">
        <is>
          <t>OPERATING</t>
        </is>
      </c>
    </row>
    <row r="26368">
      <c r="A26368" s="8" t="inlineStr">
        <is>
          <t>2026-08-05</t>
        </is>
      </c>
      <c r="B26368" s="8" t="n">
        <v>19</v>
      </c>
      <c r="C26368" s="8" t="n">
        <v>6</v>
      </c>
      <c r="D26368" s="8" t="inlineStr">
        <is>
          <t>Disneyland Park</t>
        </is>
      </c>
      <c r="E26368" s="8" t="inlineStr">
        <is>
          <t>Star Wars Hyperspace Mountain Single Rider</t>
        </is>
      </c>
      <c r="F26368" s="8" t="inlineStr">
        <is>
          <t>STANDBY</t>
        </is>
      </c>
      <c r="G26368" s="8" t="n">
        <v>0</v>
      </c>
      <c r="H26368" s="8" t="inlineStr">
        <is>
          <t>OPERATING</t>
        </is>
      </c>
    </row>
    <row r="26369">
      <c r="A26369" s="8" t="inlineStr">
        <is>
          <t>2026-08-05</t>
        </is>
      </c>
      <c r="B26369" s="8" t="n">
        <v>19</v>
      </c>
      <c r="C26369" s="8" t="n">
        <v>6</v>
      </c>
      <c r="D26369" s="8" t="inlineStr">
        <is>
          <t>Disneyland Park</t>
        </is>
      </c>
      <c r="E26369" s="8" t="inlineStr">
        <is>
          <t>Welcome to Starport: A Star Wars Encounter</t>
        </is>
      </c>
      <c r="F26369" s="8" t="inlineStr">
        <is>
          <t>STANDBY</t>
        </is>
      </c>
      <c r="G26369" s="8" t="n">
        <v>0</v>
      </c>
      <c r="H26369" s="8" t="inlineStr">
        <is>
          <t>CLOSED</t>
        </is>
      </c>
    </row>
    <row r="26370">
      <c r="A26370" s="8" t="inlineStr">
        <is>
          <t>2026-08-05</t>
        </is>
      </c>
      <c r="B26370" s="8" t="n">
        <v>19</v>
      </c>
      <c r="C26370" s="8" t="n">
        <v>6</v>
      </c>
      <c r="D26370" s="8" t="inlineStr">
        <is>
          <t>Disneyland Park</t>
        </is>
      </c>
      <c r="E26370" s="8" t="inlineStr">
        <is>
          <t>"it's a small world"</t>
        </is>
      </c>
      <c r="F26370" s="8" t="inlineStr">
        <is>
          <t>STANDBY</t>
        </is>
      </c>
      <c r="G26370" s="8" t="n">
        <v>5</v>
      </c>
      <c r="H26370" s="8" t="inlineStr">
        <is>
          <t>OPERATING</t>
        </is>
      </c>
    </row>
    <row r="26371">
      <c r="A26371" s="8" t="inlineStr">
        <is>
          <t>2026-08-05</t>
        </is>
      </c>
      <c r="B26371" s="8" t="n">
        <v>19</v>
      </c>
      <c r="C26371" s="8" t="n">
        <v>6</v>
      </c>
      <c r="D26371" s="8" t="inlineStr">
        <is>
          <t>Disneyland Park</t>
        </is>
      </c>
      <c r="E26371" s="8" t="inlineStr">
        <is>
          <t>Alice's Curious Labyrinth</t>
        </is>
      </c>
      <c r="F26371" s="8" t="inlineStr">
        <is>
          <t>STANDBY</t>
        </is>
      </c>
      <c r="G26371" s="8" t="n">
        <v>5</v>
      </c>
      <c r="H26371" s="8" t="inlineStr">
        <is>
          <t>OPERATING</t>
        </is>
      </c>
    </row>
    <row r="26372">
      <c r="A26372" s="8" t="inlineStr">
        <is>
          <t>2026-08-05</t>
        </is>
      </c>
      <c r="B26372" s="8" t="n">
        <v>19</v>
      </c>
      <c r="C26372" s="8" t="n">
        <v>6</v>
      </c>
      <c r="D26372" s="8" t="inlineStr">
        <is>
          <t>Disneyland Park</t>
        </is>
      </c>
      <c r="E26372" s="8" t="inlineStr">
        <is>
          <t>Blanche-Neige et les Sept Nains®</t>
        </is>
      </c>
      <c r="F26372" s="8" t="inlineStr">
        <is>
          <t>STANDBY</t>
        </is>
      </c>
      <c r="G26372" s="8" t="n">
        <v>30</v>
      </c>
      <c r="H26372" s="8" t="inlineStr">
        <is>
          <t>OPERATING</t>
        </is>
      </c>
    </row>
    <row r="26373">
      <c r="A26373" s="8" t="inlineStr">
        <is>
          <t>2026-08-05</t>
        </is>
      </c>
      <c r="B26373" s="8" t="n">
        <v>19</v>
      </c>
      <c r="C26373" s="8" t="n">
        <v>6</v>
      </c>
      <c r="D26373" s="8" t="inlineStr">
        <is>
          <t>Disneyland Park</t>
        </is>
      </c>
      <c r="E26373" s="8" t="inlineStr">
        <is>
          <t>Casey Jr. – le Petit Train du Cirque</t>
        </is>
      </c>
      <c r="F26373" s="8" t="inlineStr">
        <is>
          <t>STANDBY</t>
        </is>
      </c>
      <c r="G26373" s="8" t="n">
        <v>35</v>
      </c>
      <c r="H26373" s="8" t="inlineStr">
        <is>
          <t>OPERATING</t>
        </is>
      </c>
    </row>
    <row r="26374">
      <c r="A26374" s="8" t="inlineStr">
        <is>
          <t>2026-08-05</t>
        </is>
      </c>
      <c r="B26374" s="8" t="n">
        <v>19</v>
      </c>
      <c r="C26374" s="8" t="n">
        <v>6</v>
      </c>
      <c r="D26374" s="8" t="inlineStr">
        <is>
          <t>Disneyland Park</t>
        </is>
      </c>
      <c r="E26374" s="8" t="inlineStr">
        <is>
          <t>Disneyland Railroad Fantasyland Station</t>
        </is>
      </c>
      <c r="F26374" s="8" t="inlineStr">
        <is>
          <t>STANDBY</t>
        </is>
      </c>
      <c r="G26374" s="8" t="n">
        <v>0</v>
      </c>
      <c r="H26374" s="8" t="inlineStr">
        <is>
          <t>CLOSED</t>
        </is>
      </c>
    </row>
    <row r="26375">
      <c r="A26375" s="8" t="inlineStr">
        <is>
          <t>2026-08-05</t>
        </is>
      </c>
      <c r="B26375" s="8" t="n">
        <v>19</v>
      </c>
      <c r="C26375" s="8" t="n">
        <v>6</v>
      </c>
      <c r="D26375" s="8" t="inlineStr">
        <is>
          <t>Disneyland Park</t>
        </is>
      </c>
      <c r="E26375" s="8" t="inlineStr">
        <is>
          <t>Disneyland Railroad Main Street Station</t>
        </is>
      </c>
      <c r="F26375" s="8" t="inlineStr">
        <is>
          <t>STANDBY</t>
        </is>
      </c>
      <c r="G26375" s="8" t="n">
        <v>20</v>
      </c>
      <c r="H26375" s="8" t="inlineStr">
        <is>
          <t>OPERATING</t>
        </is>
      </c>
    </row>
    <row r="26376">
      <c r="A26376" s="8" t="inlineStr">
        <is>
          <t>2026-08-05</t>
        </is>
      </c>
      <c r="B26376" s="8" t="n">
        <v>19</v>
      </c>
      <c r="C26376" s="8" t="n">
        <v>6</v>
      </c>
      <c r="D26376" s="8" t="inlineStr">
        <is>
          <t>Disneyland Park</t>
        </is>
      </c>
      <c r="E26376" s="8" t="inlineStr">
        <is>
          <t>Dumbo the Flying Elephant</t>
        </is>
      </c>
      <c r="F26376" s="8" t="inlineStr">
        <is>
          <t>STANDBY</t>
        </is>
      </c>
      <c r="G26376" s="8" t="n">
        <v>25</v>
      </c>
      <c r="H26376" s="8" t="inlineStr">
        <is>
          <t>OPERATING</t>
        </is>
      </c>
    </row>
    <row r="26377">
      <c r="A26377" s="8" t="inlineStr">
        <is>
          <t>2026-08-05</t>
        </is>
      </c>
      <c r="B26377" s="8" t="n">
        <v>19</v>
      </c>
      <c r="C26377" s="8" t="n">
        <v>6</v>
      </c>
      <c r="D26377" s="8" t="inlineStr">
        <is>
          <t>Disneyland Park</t>
        </is>
      </c>
      <c r="E26377" s="8" t="inlineStr">
        <is>
          <t>La Tanière du Dragon</t>
        </is>
      </c>
      <c r="F26377" s="8" t="inlineStr">
        <is>
          <t>STANDBY</t>
        </is>
      </c>
      <c r="G26377" s="8" t="n">
        <v>0</v>
      </c>
      <c r="H26377" s="8" t="inlineStr">
        <is>
          <t>OPERATING</t>
        </is>
      </c>
    </row>
    <row r="26378">
      <c r="A26378" s="8" t="inlineStr">
        <is>
          <t>2026-08-05</t>
        </is>
      </c>
      <c r="B26378" s="8" t="n">
        <v>19</v>
      </c>
      <c r="C26378" s="8" t="n">
        <v>6</v>
      </c>
      <c r="D26378" s="8" t="inlineStr">
        <is>
          <t>Disneyland Park</t>
        </is>
      </c>
      <c r="E26378" s="8" t="inlineStr">
        <is>
          <t>Le Carrousel de Lancelot</t>
        </is>
      </c>
      <c r="F26378" s="8" t="inlineStr">
        <is>
          <t>STANDBY</t>
        </is>
      </c>
      <c r="G26378" s="8" t="n">
        <v>15</v>
      </c>
      <c r="H26378" s="8" t="inlineStr">
        <is>
          <t>OPERATING</t>
        </is>
      </c>
    </row>
    <row r="26379">
      <c r="A26379" s="8" t="inlineStr">
        <is>
          <t>2026-08-05</t>
        </is>
      </c>
      <c r="B26379" s="8" t="n">
        <v>19</v>
      </c>
      <c r="C26379" s="8" t="n">
        <v>6</v>
      </c>
      <c r="D26379" s="8" t="inlineStr">
        <is>
          <t>Disneyland Park</t>
        </is>
      </c>
      <c r="E26379" s="8" t="inlineStr">
        <is>
          <t>Le Pays des Contes de Fées, presented by Vittel</t>
        </is>
      </c>
      <c r="F26379" s="8" t="inlineStr">
        <is>
          <t>STANDBY</t>
        </is>
      </c>
      <c r="G26379" s="8" t="n">
        <v>5</v>
      </c>
      <c r="H26379" s="8" t="inlineStr">
        <is>
          <t>OPERATING</t>
        </is>
      </c>
    </row>
    <row r="26380">
      <c r="A26380" s="8" t="inlineStr">
        <is>
          <t>2026-08-05</t>
        </is>
      </c>
      <c r="B26380" s="8" t="n">
        <v>19</v>
      </c>
      <c r="C26380" s="8" t="n">
        <v>6</v>
      </c>
      <c r="D26380" s="8" t="inlineStr">
        <is>
          <t>Disneyland Park</t>
        </is>
      </c>
      <c r="E26380" s="8" t="inlineStr">
        <is>
          <t>Les Voyages de Pinocchio</t>
        </is>
      </c>
      <c r="F26380" s="8" t="inlineStr">
        <is>
          <t>STANDBY</t>
        </is>
      </c>
      <c r="G26380" s="8" t="n">
        <v>15</v>
      </c>
      <c r="H26380" s="8" t="inlineStr">
        <is>
          <t>OPERATING</t>
        </is>
      </c>
    </row>
    <row r="26381">
      <c r="A26381" s="8" t="inlineStr">
        <is>
          <t>2026-08-05</t>
        </is>
      </c>
      <c r="B26381" s="8" t="n">
        <v>19</v>
      </c>
      <c r="C26381" s="8" t="n">
        <v>6</v>
      </c>
      <c r="D26381" s="8" t="inlineStr">
        <is>
          <t>Disneyland Park</t>
        </is>
      </c>
      <c r="E26381" s="8" t="inlineStr">
        <is>
          <t>Mad Hatter's Tea Cups</t>
        </is>
      </c>
      <c r="F26381" s="8" t="inlineStr">
        <is>
          <t>STANDBY</t>
        </is>
      </c>
      <c r="G26381" s="8" t="n">
        <v>10</v>
      </c>
      <c r="H26381" s="8" t="inlineStr">
        <is>
          <t>OPERATING</t>
        </is>
      </c>
    </row>
    <row r="26382">
      <c r="A26382" s="8" t="inlineStr">
        <is>
          <t>2026-08-05</t>
        </is>
      </c>
      <c r="B26382" s="8" t="n">
        <v>19</v>
      </c>
      <c r="C26382" s="8" t="n">
        <v>6</v>
      </c>
      <c r="D26382" s="8" t="inlineStr">
        <is>
          <t>Disneyland Park</t>
        </is>
      </c>
      <c r="E26382" s="8" t="inlineStr">
        <is>
          <t>Meet Mickey Mouse</t>
        </is>
      </c>
      <c r="F26382" s="8" t="inlineStr">
        <is>
          <t>STANDBY</t>
        </is>
      </c>
      <c r="G26382" s="8" t="n">
        <v>0</v>
      </c>
      <c r="H26382" s="8" t="inlineStr">
        <is>
          <t>CLOSED</t>
        </is>
      </c>
    </row>
    <row r="26383">
      <c r="A26383" s="8" t="inlineStr">
        <is>
          <t>2026-08-05</t>
        </is>
      </c>
      <c r="B26383" s="8" t="n">
        <v>19</v>
      </c>
      <c r="C26383" s="8" t="n">
        <v>6</v>
      </c>
      <c r="D26383" s="8" t="inlineStr">
        <is>
          <t>Disneyland Park</t>
        </is>
      </c>
      <c r="E26383" s="8" t="inlineStr">
        <is>
          <t>Peter Pan's Flight</t>
        </is>
      </c>
      <c r="F26383" s="8" t="inlineStr">
        <is>
          <t>STANDBY</t>
        </is>
      </c>
      <c r="G26383" s="8" t="n">
        <v>75</v>
      </c>
      <c r="H26383" s="8" t="inlineStr">
        <is>
          <t>OPERATING</t>
        </is>
      </c>
    </row>
    <row r="26384">
      <c r="A26384" s="8" t="inlineStr">
        <is>
          <t>2026-08-05</t>
        </is>
      </c>
      <c r="B26384" s="8" t="n">
        <v>19</v>
      </c>
      <c r="C26384" s="8" t="n">
        <v>6</v>
      </c>
      <c r="D26384" s="8" t="inlineStr">
        <is>
          <t>Disneyland Park</t>
        </is>
      </c>
      <c r="E26384" s="8" t="inlineStr">
        <is>
          <t>Princess Pavilion</t>
        </is>
      </c>
      <c r="F26384" s="8" t="inlineStr">
        <is>
          <t>STANDBY</t>
        </is>
      </c>
      <c r="G26384" s="8" t="n">
        <v>0</v>
      </c>
      <c r="H26384" s="8" t="inlineStr">
        <is>
          <t>CLOSED</t>
        </is>
      </c>
    </row>
    <row r="26385">
      <c r="A26385" s="8" t="inlineStr">
        <is>
          <t>2026-08-05</t>
        </is>
      </c>
      <c r="B26385" s="8" t="n">
        <v>19</v>
      </c>
      <c r="C26385" s="8" t="n">
        <v>6</v>
      </c>
      <c r="D26385" s="8" t="inlineStr">
        <is>
          <t>Disneyland Park</t>
        </is>
      </c>
      <c r="E26385" s="8" t="inlineStr">
        <is>
          <t>Big Thunder Mountain</t>
        </is>
      </c>
      <c r="F26385" s="8" t="inlineStr">
        <is>
          <t>STANDBY</t>
        </is>
      </c>
      <c r="G26385" s="8" t="n">
        <v>75</v>
      </c>
      <c r="H26385" s="8" t="inlineStr">
        <is>
          <t>OPERATING</t>
        </is>
      </c>
    </row>
    <row r="26386">
      <c r="A26386" s="8" t="inlineStr">
        <is>
          <t>2026-08-05</t>
        </is>
      </c>
      <c r="B26386" s="8" t="n">
        <v>19</v>
      </c>
      <c r="C26386" s="8" t="n">
        <v>6</v>
      </c>
      <c r="D26386" s="8" t="inlineStr">
        <is>
          <t>Disneyland Park</t>
        </is>
      </c>
      <c r="E26386" s="8" t="inlineStr">
        <is>
          <t>Disneyland Railroad Frontierland Depot</t>
        </is>
      </c>
      <c r="F26386" s="8" t="inlineStr">
        <is>
          <t>STANDBY</t>
        </is>
      </c>
      <c r="G26386" s="8" t="n">
        <v>20</v>
      </c>
      <c r="H26386" s="8" t="inlineStr">
        <is>
          <t>OPERATING</t>
        </is>
      </c>
    </row>
    <row r="26387">
      <c r="A26387" s="8" t="inlineStr">
        <is>
          <t>2026-08-05</t>
        </is>
      </c>
      <c r="B26387" s="8" t="n">
        <v>19</v>
      </c>
      <c r="C26387" s="8" t="n">
        <v>6</v>
      </c>
      <c r="D26387" s="8" t="inlineStr">
        <is>
          <t>Disneyland Park</t>
        </is>
      </c>
      <c r="E26387" s="8" t="inlineStr">
        <is>
          <t>Frontierland Playground</t>
        </is>
      </c>
      <c r="F26387" s="8" t="inlineStr">
        <is>
          <t>STANDBY</t>
        </is>
      </c>
      <c r="G26387" s="8" t="n">
        <v>0</v>
      </c>
      <c r="H26387" s="8" t="inlineStr">
        <is>
          <t>OPERATING</t>
        </is>
      </c>
    </row>
    <row r="26388">
      <c r="A26388" s="8" t="inlineStr">
        <is>
          <t>2026-08-05</t>
        </is>
      </c>
      <c r="B26388" s="8" t="n">
        <v>19</v>
      </c>
      <c r="C26388" s="8" t="n">
        <v>6</v>
      </c>
      <c r="D26388" s="8" t="inlineStr">
        <is>
          <t>Disneyland Park</t>
        </is>
      </c>
      <c r="E26388" s="8" t="inlineStr">
        <is>
          <t>Phantom Manor</t>
        </is>
      </c>
      <c r="F26388" s="8" t="inlineStr">
        <is>
          <t>STANDBY</t>
        </is>
      </c>
      <c r="G26388" s="8" t="n">
        <v>20</v>
      </c>
      <c r="H26388" s="8" t="inlineStr">
        <is>
          <t>OPERATING</t>
        </is>
      </c>
    </row>
    <row r="26389">
      <c r="A26389" s="8" t="inlineStr">
        <is>
          <t>2026-08-05</t>
        </is>
      </c>
      <c r="B26389" s="8" t="n">
        <v>19</v>
      </c>
      <c r="C26389" s="8" t="n">
        <v>6</v>
      </c>
      <c r="D26389" s="8" t="inlineStr">
        <is>
          <t>Disneyland Park</t>
        </is>
      </c>
      <c r="E26389" s="8" t="inlineStr">
        <is>
          <t>River Rogue Keelboats</t>
        </is>
      </c>
      <c r="F26389" s="8" t="inlineStr">
        <is>
          <t>STANDBY</t>
        </is>
      </c>
      <c r="G26389" s="8" t="n">
        <v>0</v>
      </c>
      <c r="H26389" s="8" t="inlineStr">
        <is>
          <t>CLOSED</t>
        </is>
      </c>
    </row>
    <row r="26390">
      <c r="A26390" s="8" t="inlineStr">
        <is>
          <t>2026-08-05</t>
        </is>
      </c>
      <c r="B26390" s="8" t="n">
        <v>19</v>
      </c>
      <c r="C26390" s="8" t="n">
        <v>6</v>
      </c>
      <c r="D26390" s="8" t="inlineStr">
        <is>
          <t>Disneyland Park</t>
        </is>
      </c>
      <c r="E26390" s="8" t="inlineStr">
        <is>
          <t>Rustler Roundup Shootin' Gallery</t>
        </is>
      </c>
      <c r="F26390" s="8" t="inlineStr">
        <is>
          <t>STANDBY</t>
        </is>
      </c>
      <c r="G26390" s="8" t="n">
        <v>0</v>
      </c>
      <c r="H26390" s="8" t="inlineStr">
        <is>
          <t>OPERATING</t>
        </is>
      </c>
    </row>
    <row r="26391">
      <c r="A26391" s="8" t="inlineStr">
        <is>
          <t>2026-08-05</t>
        </is>
      </c>
      <c r="B26391" s="8" t="n">
        <v>19</v>
      </c>
      <c r="C26391" s="8" t="n">
        <v>6</v>
      </c>
      <c r="D26391" s="8" t="inlineStr">
        <is>
          <t>Disneyland Park</t>
        </is>
      </c>
      <c r="E26391" s="8" t="inlineStr">
        <is>
          <t>Thunder Mesa Riverboat Landing</t>
        </is>
      </c>
      <c r="F26391" s="8" t="inlineStr">
        <is>
          <t>STANDBY</t>
        </is>
      </c>
      <c r="G26391" s="8" t="n">
        <v>0</v>
      </c>
      <c r="H26391" s="8" t="inlineStr">
        <is>
          <t>CLOSED</t>
        </is>
      </c>
    </row>
    <row r="26392">
      <c r="A26392" s="8" t="inlineStr">
        <is>
          <t>2026-08-05</t>
        </is>
      </c>
      <c r="B26392" s="8" t="n">
        <v>19</v>
      </c>
      <c r="C26392" s="8" t="n">
        <v>6</v>
      </c>
      <c r="D26392" s="8" t="inlineStr">
        <is>
          <t>Disneyland Park</t>
        </is>
      </c>
      <c r="E26392" s="8" t="inlineStr">
        <is>
          <t>Disneyland Railroad Main Street Station</t>
        </is>
      </c>
      <c r="F26392" s="8" t="inlineStr">
        <is>
          <t>STANDBY</t>
        </is>
      </c>
      <c r="G26392" s="8" t="n">
        <v>0</v>
      </c>
      <c r="H26392" s="8" t="inlineStr">
        <is>
          <t>OPERATING</t>
        </is>
      </c>
    </row>
    <row r="26393">
      <c r="A26393" s="8" t="inlineStr">
        <is>
          <t>2026-08-05</t>
        </is>
      </c>
      <c r="B26393" s="8" t="n">
        <v>19</v>
      </c>
      <c r="C26393" s="8" t="n">
        <v>6</v>
      </c>
      <c r="D26393" s="8" t="inlineStr">
        <is>
          <t>Disneyland Park</t>
        </is>
      </c>
      <c r="E26393" s="8" t="inlineStr">
        <is>
          <t>Main Street Vehicles</t>
        </is>
      </c>
      <c r="F26393" s="8" t="inlineStr">
        <is>
          <t>STANDBY</t>
        </is>
      </c>
      <c r="G26393" s="8" t="n">
        <v>0</v>
      </c>
      <c r="H26393" s="8" t="inlineStr">
        <is>
          <t>CLOSED</t>
        </is>
      </c>
    </row>
    <row r="26394">
      <c r="A26394" s="8" t="inlineStr">
        <is>
          <t>2026-08-05</t>
        </is>
      </c>
      <c r="B26394" s="8" t="n">
        <v>19</v>
      </c>
      <c r="C26394" s="8" t="n">
        <v>6</v>
      </c>
      <c r="D26394" s="8" t="inlineStr">
        <is>
          <t>Disney Adventure World</t>
        </is>
      </c>
      <c r="E26394" s="8" t="inlineStr">
        <is>
          <t>Avengers Assemble: Flight Force</t>
        </is>
      </c>
      <c r="F26394" s="8" t="inlineStr">
        <is>
          <t>STANDBY</t>
        </is>
      </c>
      <c r="G26394" s="8" t="n">
        <v>20</v>
      </c>
      <c r="H26394" s="8" t="inlineStr">
        <is>
          <t>OPERATING</t>
        </is>
      </c>
    </row>
    <row r="26395">
      <c r="A26395" s="8" t="inlineStr">
        <is>
          <t>2026-08-05</t>
        </is>
      </c>
      <c r="B26395" s="8" t="n">
        <v>19</v>
      </c>
      <c r="C26395" s="8" t="n">
        <v>6</v>
      </c>
      <c r="D26395" s="8" t="inlineStr">
        <is>
          <t>Disney Adventure World</t>
        </is>
      </c>
      <c r="E26395" s="8" t="inlineStr">
        <is>
          <t>Avengers Assemble: Flight Force Single Rider</t>
        </is>
      </c>
      <c r="F26395" s="8" t="inlineStr">
        <is>
          <t>STANDBY</t>
        </is>
      </c>
      <c r="G26395" s="8" t="n">
        <v>15</v>
      </c>
      <c r="H26395" s="8" t="inlineStr">
        <is>
          <t>OPERATING</t>
        </is>
      </c>
    </row>
    <row r="26396">
      <c r="A26396" s="8" t="inlineStr">
        <is>
          <t>2026-08-05</t>
        </is>
      </c>
      <c r="B26396" s="8" t="n">
        <v>19</v>
      </c>
      <c r="C26396" s="8" t="n">
        <v>6</v>
      </c>
      <c r="D26396" s="8" t="inlineStr">
        <is>
          <t>Disney Adventure World</t>
        </is>
      </c>
      <c r="E26396" s="8" t="inlineStr">
        <is>
          <t>Spider-Man W.E.B. Adventure</t>
        </is>
      </c>
      <c r="F26396" s="8" t="inlineStr">
        <is>
          <t>STANDBY</t>
        </is>
      </c>
      <c r="G26396" s="8" t="n">
        <v>45</v>
      </c>
      <c r="H26396" s="8" t="inlineStr">
        <is>
          <t>OPERATING</t>
        </is>
      </c>
    </row>
    <row r="26397">
      <c r="A26397" s="8" t="inlineStr">
        <is>
          <t>2026-08-05</t>
        </is>
      </c>
      <c r="B26397" s="8" t="n">
        <v>19</v>
      </c>
      <c r="C26397" s="8" t="n">
        <v>6</v>
      </c>
      <c r="D26397" s="8" t="inlineStr">
        <is>
          <t>Disney Adventure World</t>
        </is>
      </c>
      <c r="E26397" s="8" t="inlineStr">
        <is>
          <t>Spider-Man W.E.B. Adventure Single Rider</t>
        </is>
      </c>
      <c r="F26397" s="8" t="inlineStr">
        <is>
          <t>STANDBY</t>
        </is>
      </c>
      <c r="G26397" s="8" t="n">
        <v>20</v>
      </c>
      <c r="H26397" s="8" t="inlineStr">
        <is>
          <t>OPERATING</t>
        </is>
      </c>
    </row>
    <row r="26398">
      <c r="A26398" s="8" t="inlineStr">
        <is>
          <t>2026-08-05</t>
        </is>
      </c>
      <c r="B26398" s="8" t="n">
        <v>19</v>
      </c>
      <c r="C26398" s="8" t="n">
        <v>6</v>
      </c>
      <c r="D26398" s="8" t="inlineStr">
        <is>
          <t>Disney Adventure World</t>
        </is>
      </c>
      <c r="E26398" s="8" t="inlineStr">
        <is>
          <t>The Twilight Zone Tower of Terror</t>
        </is>
      </c>
      <c r="F26398" s="8" t="inlineStr">
        <is>
          <t>STANDBY</t>
        </is>
      </c>
      <c r="G26398" s="8" t="n">
        <v>15</v>
      </c>
      <c r="H26398" s="8" t="inlineStr">
        <is>
          <t>OPERATING</t>
        </is>
      </c>
    </row>
    <row r="26399">
      <c r="A26399" s="8" t="inlineStr">
        <is>
          <t>2026-08-05</t>
        </is>
      </c>
      <c r="B26399" s="8" t="n">
        <v>19</v>
      </c>
      <c r="C26399" s="8" t="n">
        <v>6</v>
      </c>
      <c r="D26399" s="8" t="inlineStr">
        <is>
          <t>Disney Adventure World</t>
        </is>
      </c>
      <c r="E26399" s="8" t="inlineStr">
        <is>
          <t>Cars Quatre Roues Rallye</t>
        </is>
      </c>
      <c r="F26399" s="8" t="inlineStr">
        <is>
          <t>STANDBY</t>
        </is>
      </c>
      <c r="G26399" s="8" t="n">
        <v>10</v>
      </c>
      <c r="H26399" s="8" t="inlineStr">
        <is>
          <t>OPERATING</t>
        </is>
      </c>
    </row>
    <row r="26400">
      <c r="A26400" s="8" t="inlineStr">
        <is>
          <t>2026-08-05</t>
        </is>
      </c>
      <c r="B26400" s="8" t="n">
        <v>19</v>
      </c>
      <c r="C26400" s="8" t="n">
        <v>6</v>
      </c>
      <c r="D26400" s="8" t="inlineStr">
        <is>
          <t>Disney Adventure World</t>
        </is>
      </c>
      <c r="E26400" s="8" t="inlineStr">
        <is>
          <t>Cars ROAD TRIP</t>
        </is>
      </c>
      <c r="F26400" s="8" t="inlineStr">
        <is>
          <t>STANDBY</t>
        </is>
      </c>
      <c r="G26400" s="8" t="n">
        <v>10</v>
      </c>
      <c r="H26400" s="8" t="inlineStr">
        <is>
          <t>OPERATING</t>
        </is>
      </c>
    </row>
    <row r="26401">
      <c r="A26401" s="8" t="inlineStr">
        <is>
          <t>2026-08-05</t>
        </is>
      </c>
      <c r="B26401" s="8" t="n">
        <v>19</v>
      </c>
      <c r="C26401" s="8" t="n">
        <v>6</v>
      </c>
      <c r="D26401" s="8" t="inlineStr">
        <is>
          <t>Disney Adventure World</t>
        </is>
      </c>
      <c r="E26401" s="8" t="inlineStr">
        <is>
          <t>Crush's Coaster</t>
        </is>
      </c>
      <c r="F26401" s="8" t="inlineStr">
        <is>
          <t>STANDBY</t>
        </is>
      </c>
      <c r="G26401" s="8" t="n">
        <v>75</v>
      </c>
      <c r="H26401" s="8" t="inlineStr">
        <is>
          <t>OPERATING</t>
        </is>
      </c>
    </row>
    <row r="26402">
      <c r="A26402" s="8" t="inlineStr">
        <is>
          <t>2026-08-05</t>
        </is>
      </c>
      <c r="B26402" s="8" t="n">
        <v>19</v>
      </c>
      <c r="C26402" s="8" t="n">
        <v>6</v>
      </c>
      <c r="D26402" s="8" t="inlineStr">
        <is>
          <t>Disney Adventure World</t>
        </is>
      </c>
      <c r="E26402" s="8" t="inlineStr">
        <is>
          <t>Crush's Coaster Single Rider</t>
        </is>
      </c>
      <c r="F26402" s="8" t="inlineStr">
        <is>
          <t>STANDBY</t>
        </is>
      </c>
      <c r="G26402" s="8" t="n">
        <v>40</v>
      </c>
      <c r="H26402" s="8" t="inlineStr">
        <is>
          <t>OPERATING</t>
        </is>
      </c>
    </row>
    <row r="26403">
      <c r="A26403" s="8" t="inlineStr">
        <is>
          <t>2026-08-05</t>
        </is>
      </c>
      <c r="B26403" s="8" t="n">
        <v>19</v>
      </c>
      <c r="C26403" s="8" t="n">
        <v>6</v>
      </c>
      <c r="D26403" s="8" t="inlineStr">
        <is>
          <t>Disney Adventure World</t>
        </is>
      </c>
      <c r="E26403" s="8" t="inlineStr">
        <is>
          <t>Les Tapis Volants - Flying Carpets Over Agrabah®</t>
        </is>
      </c>
      <c r="F26403" s="8" t="inlineStr">
        <is>
          <t>STANDBY</t>
        </is>
      </c>
      <c r="G26403" s="8" t="n">
        <v>15</v>
      </c>
      <c r="H26403" s="8" t="inlineStr">
        <is>
          <t>OPERATING</t>
        </is>
      </c>
    </row>
    <row r="26404">
      <c r="A26404" s="8" t="inlineStr">
        <is>
          <t>2026-08-05</t>
        </is>
      </c>
      <c r="B26404" s="8" t="n">
        <v>19</v>
      </c>
      <c r="C26404" s="8" t="n">
        <v>6</v>
      </c>
      <c r="D26404" s="8" t="inlineStr">
        <is>
          <t>Disney Adventure World</t>
        </is>
      </c>
      <c r="E26404" s="8" t="inlineStr">
        <is>
          <t>Ratatouille : L’Aventure Totalement Toquée de Rémy​</t>
        </is>
      </c>
      <c r="F26404" s="8" t="inlineStr">
        <is>
          <t>STANDBY</t>
        </is>
      </c>
      <c r="G26404" s="8" t="n">
        <v>50</v>
      </c>
      <c r="H26404" s="8" t="inlineStr">
        <is>
          <t>OPERATING</t>
        </is>
      </c>
    </row>
    <row r="26405">
      <c r="A26405" s="8" t="inlineStr">
        <is>
          <t>2026-08-05</t>
        </is>
      </c>
      <c r="B26405" s="8" t="n">
        <v>19</v>
      </c>
      <c r="C26405" s="8" t="n">
        <v>6</v>
      </c>
      <c r="D26405" s="8" t="inlineStr">
        <is>
          <t>Disney Adventure World</t>
        </is>
      </c>
      <c r="E26405" s="8" t="inlineStr">
        <is>
          <t>Ratatouille: The Adventure Single Rider</t>
        </is>
      </c>
      <c r="F26405" s="8" t="inlineStr">
        <is>
          <t>STANDBY</t>
        </is>
      </c>
      <c r="G26405" s="8" t="n">
        <v>20</v>
      </c>
      <c r="H26405" s="8" t="inlineStr">
        <is>
          <t>OPERATING</t>
        </is>
      </c>
    </row>
    <row r="26406">
      <c r="A26406" s="8" t="inlineStr">
        <is>
          <t>2026-08-05</t>
        </is>
      </c>
      <c r="B26406" s="8" t="n">
        <v>19</v>
      </c>
      <c r="C26406" s="8" t="n">
        <v>6</v>
      </c>
      <c r="D26406" s="8" t="inlineStr">
        <is>
          <t>Disney Adventure World</t>
        </is>
      </c>
      <c r="E26406" s="8" t="inlineStr">
        <is>
          <t>RC Racer</t>
        </is>
      </c>
      <c r="F26406" s="8" t="inlineStr">
        <is>
          <t>STANDBY</t>
        </is>
      </c>
      <c r="G26406" s="8" t="n">
        <v>40</v>
      </c>
      <c r="H26406" s="8" t="inlineStr">
        <is>
          <t>OPERATING</t>
        </is>
      </c>
    </row>
    <row r="26407">
      <c r="A26407" s="8" t="inlineStr">
        <is>
          <t>2026-08-05</t>
        </is>
      </c>
      <c r="B26407" s="8" t="n">
        <v>19</v>
      </c>
      <c r="C26407" s="8" t="n">
        <v>6</v>
      </c>
      <c r="D26407" s="8" t="inlineStr">
        <is>
          <t>Disney Adventure World</t>
        </is>
      </c>
      <c r="E26407" s="8" t="inlineStr">
        <is>
          <t>RC Racer Single Rider</t>
        </is>
      </c>
      <c r="F26407" s="8" t="inlineStr">
        <is>
          <t>STANDBY</t>
        </is>
      </c>
      <c r="G26407" s="8" t="n">
        <v>35</v>
      </c>
      <c r="H26407" s="8" t="inlineStr">
        <is>
          <t>OPERATING</t>
        </is>
      </c>
    </row>
    <row r="26408">
      <c r="A26408" s="8" t="inlineStr">
        <is>
          <t>2026-08-05</t>
        </is>
      </c>
      <c r="B26408" s="8" t="n">
        <v>19</v>
      </c>
      <c r="C26408" s="8" t="n">
        <v>6</v>
      </c>
      <c r="D26408" s="8" t="inlineStr">
        <is>
          <t>Disney Adventure World</t>
        </is>
      </c>
      <c r="E26408" s="8" t="inlineStr">
        <is>
          <t>Slinky® Dog Zigzag Spin</t>
        </is>
      </c>
      <c r="F26408" s="8" t="inlineStr">
        <is>
          <t>STANDBY</t>
        </is>
      </c>
      <c r="G26408" s="8" t="n">
        <v>10</v>
      </c>
      <c r="H26408" s="8" t="inlineStr">
        <is>
          <t>OPERATING</t>
        </is>
      </c>
    </row>
    <row r="26409">
      <c r="A26409" s="8" t="inlineStr">
        <is>
          <t>2026-08-05</t>
        </is>
      </c>
      <c r="B26409" s="8" t="n">
        <v>19</v>
      </c>
      <c r="C26409" s="8" t="n">
        <v>6</v>
      </c>
      <c r="D26409" s="8" t="inlineStr">
        <is>
          <t>Disney Adventure World</t>
        </is>
      </c>
      <c r="E26409" s="8" t="inlineStr">
        <is>
          <t>Toy Soldiers Parachute Drop</t>
        </is>
      </c>
      <c r="F26409" s="8" t="inlineStr">
        <is>
          <t>STANDBY</t>
        </is>
      </c>
      <c r="G26409" s="8" t="n">
        <v>55</v>
      </c>
      <c r="H26409" s="8" t="inlineStr">
        <is>
          <t>OPERATING</t>
        </is>
      </c>
    </row>
    <row r="26410">
      <c r="A26410" s="8" t="inlineStr">
        <is>
          <t>2026-08-05</t>
        </is>
      </c>
      <c r="B26410" s="8" t="n">
        <v>19</v>
      </c>
      <c r="C26410" s="8" t="n">
        <v>6</v>
      </c>
      <c r="D26410" s="8" t="inlineStr">
        <is>
          <t>Disney Adventure World</t>
        </is>
      </c>
      <c r="E26410" s="8" t="inlineStr">
        <is>
          <t>Toy Soldiers Parachute Drop Single Rider</t>
        </is>
      </c>
      <c r="F26410" s="8" t="inlineStr">
        <is>
          <t>STANDBY</t>
        </is>
      </c>
      <c r="G26410" s="8" t="n">
        <v>25</v>
      </c>
      <c r="H26410" s="8" t="inlineStr">
        <is>
          <t>OPERATING</t>
        </is>
      </c>
    </row>
    <row r="26411">
      <c r="A26411" s="8" t="inlineStr">
        <is>
          <t>2026-08-05</t>
        </is>
      </c>
      <c r="B26411" s="8" t="n">
        <v>19</v>
      </c>
      <c r="C26411" s="8" t="n">
        <v>6</v>
      </c>
      <c r="D26411" s="8" t="inlineStr">
        <is>
          <t>Disney Adventure World</t>
        </is>
      </c>
      <c r="E26411" s="8" t="inlineStr">
        <is>
          <t>Entry to World of Frozen</t>
        </is>
      </c>
      <c r="F26411" s="8" t="inlineStr">
        <is>
          <t>STANDBY</t>
        </is>
      </c>
      <c r="G26411" s="8" t="n">
        <v>0</v>
      </c>
      <c r="H26411" s="8" t="inlineStr">
        <is>
          <t>OPERATING</t>
        </is>
      </c>
    </row>
    <row r="26412">
      <c r="A26412" s="8" t="inlineStr">
        <is>
          <t>2026-08-05</t>
        </is>
      </c>
      <c r="B26412" s="8" t="n">
        <v>19</v>
      </c>
      <c r="C26412" s="8" t="n">
        <v>6</v>
      </c>
      <c r="D26412" s="8" t="inlineStr">
        <is>
          <t>Disney Adventure World</t>
        </is>
      </c>
      <c r="E26412" s="8" t="inlineStr">
        <is>
          <t>Frozen Ever After</t>
        </is>
      </c>
      <c r="F26412" s="8" t="inlineStr">
        <is>
          <t>STANDBY</t>
        </is>
      </c>
      <c r="G26412" s="8" t="n">
        <v>65</v>
      </c>
      <c r="H26412" s="8" t="inlineStr">
        <is>
          <t>OPERATING</t>
        </is>
      </c>
    </row>
    <row r="26413">
      <c r="A26413" s="8" t="inlineStr">
        <is>
          <t>2026-08-05</t>
        </is>
      </c>
      <c r="B26413" s="8" t="n">
        <v>19</v>
      </c>
      <c r="C26413" s="8" t="n">
        <v>6</v>
      </c>
      <c r="D26413" s="8" t="inlineStr">
        <is>
          <t>Disney Adventure World</t>
        </is>
      </c>
      <c r="E26413" s="8" t="inlineStr">
        <is>
          <t>Raiponce Tangled Spin</t>
        </is>
      </c>
      <c r="F26413" s="8" t="inlineStr">
        <is>
          <t>STANDBY</t>
        </is>
      </c>
      <c r="G26413" s="8" t="n">
        <v>5</v>
      </c>
      <c r="H26413" s="8" t="inlineStr">
        <is>
          <t>OPERATING</t>
        </is>
      </c>
    </row>
    <row r="26414">
      <c r="A26414" s="8" t="inlineStr">
        <is>
          <t>2026-08-05</t>
        </is>
      </c>
      <c r="B26414" s="8" t="n">
        <v>19</v>
      </c>
      <c r="C26414" s="8" t="n">
        <v>15</v>
      </c>
      <c r="D26414" s="8" t="inlineStr">
        <is>
          <t>Disneyland Park</t>
        </is>
      </c>
      <c r="E26414" s="8" t="inlineStr">
        <is>
          <t>Adventure Isle</t>
        </is>
      </c>
      <c r="F26414" s="8" t="inlineStr">
        <is>
          <t>STANDBY</t>
        </is>
      </c>
      <c r="G26414" s="8" t="n">
        <v>0</v>
      </c>
      <c r="H26414" s="8" t="inlineStr">
        <is>
          <t>OPERATING</t>
        </is>
      </c>
    </row>
    <row r="26415">
      <c r="A26415" s="8" t="inlineStr">
        <is>
          <t>2026-08-05</t>
        </is>
      </c>
      <c r="B26415" s="8" t="n">
        <v>19</v>
      </c>
      <c r="C26415" s="8" t="n">
        <v>15</v>
      </c>
      <c r="D26415" s="8" t="inlineStr">
        <is>
          <t>Disneyland Park</t>
        </is>
      </c>
      <c r="E26415" s="8" t="inlineStr">
        <is>
          <t>Indiana Jones and the Temple of Peril Single Rider</t>
        </is>
      </c>
      <c r="F26415" s="8" t="inlineStr">
        <is>
          <t>STANDBY</t>
        </is>
      </c>
      <c r="G26415" s="8" t="n">
        <v>5</v>
      </c>
      <c r="H26415" s="8" t="inlineStr">
        <is>
          <t>OPERATING</t>
        </is>
      </c>
    </row>
    <row r="26416">
      <c r="A26416" s="8" t="inlineStr">
        <is>
          <t>2026-08-05</t>
        </is>
      </c>
      <c r="B26416" s="8" t="n">
        <v>19</v>
      </c>
      <c r="C26416" s="8" t="n">
        <v>15</v>
      </c>
      <c r="D26416" s="8" t="inlineStr">
        <is>
          <t>Disneyland Park</t>
        </is>
      </c>
      <c r="E26416" s="8" t="inlineStr">
        <is>
          <t>Indiana Jones™ and the Temple of Peril</t>
        </is>
      </c>
      <c r="F26416" s="8" t="inlineStr">
        <is>
          <t>STANDBY</t>
        </is>
      </c>
      <c r="G26416" s="8" t="n">
        <v>10</v>
      </c>
      <c r="H26416" s="8" t="inlineStr">
        <is>
          <t>OPERATING</t>
        </is>
      </c>
    </row>
    <row r="26417">
      <c r="A26417" s="8" t="inlineStr">
        <is>
          <t>2026-08-05</t>
        </is>
      </c>
      <c r="B26417" s="8" t="n">
        <v>19</v>
      </c>
      <c r="C26417" s="8" t="n">
        <v>15</v>
      </c>
      <c r="D26417" s="8" t="inlineStr">
        <is>
          <t>Disneyland Park</t>
        </is>
      </c>
      <c r="E26417" s="8" t="inlineStr">
        <is>
          <t>La Cabane des Robinson</t>
        </is>
      </c>
      <c r="F26417" s="8" t="inlineStr">
        <is>
          <t>STANDBY</t>
        </is>
      </c>
      <c r="G26417" s="8" t="n">
        <v>5</v>
      </c>
      <c r="H26417" s="8" t="inlineStr">
        <is>
          <t>OPERATING</t>
        </is>
      </c>
    </row>
    <row r="26418">
      <c r="A26418" s="8" t="inlineStr">
        <is>
          <t>2026-08-05</t>
        </is>
      </c>
      <c r="B26418" s="8" t="n">
        <v>19</v>
      </c>
      <c r="C26418" s="8" t="n">
        <v>15</v>
      </c>
      <c r="D26418" s="8" t="inlineStr">
        <is>
          <t>Disneyland Park</t>
        </is>
      </c>
      <c r="E26418" s="8" t="inlineStr">
        <is>
          <t>Le Passage Enchanté d'Aladdin</t>
        </is>
      </c>
      <c r="F26418" s="8" t="inlineStr">
        <is>
          <t>STANDBY</t>
        </is>
      </c>
      <c r="G26418" s="8" t="n">
        <v>0</v>
      </c>
      <c r="H26418" s="8" t="inlineStr">
        <is>
          <t>OPERATING</t>
        </is>
      </c>
    </row>
    <row r="26419">
      <c r="A26419" s="8" t="inlineStr">
        <is>
          <t>2026-08-05</t>
        </is>
      </c>
      <c r="B26419" s="8" t="n">
        <v>19</v>
      </c>
      <c r="C26419" s="8" t="n">
        <v>15</v>
      </c>
      <c r="D26419" s="8" t="inlineStr">
        <is>
          <t>Disneyland Park</t>
        </is>
      </c>
      <c r="E26419" s="8" t="inlineStr">
        <is>
          <t>Pirate Galleon</t>
        </is>
      </c>
      <c r="F26419" s="8" t="inlineStr">
        <is>
          <t>STANDBY</t>
        </is>
      </c>
      <c r="G26419" s="8" t="n">
        <v>0</v>
      </c>
      <c r="H26419" s="8" t="inlineStr">
        <is>
          <t>CLOSED</t>
        </is>
      </c>
    </row>
    <row r="26420">
      <c r="A26420" s="8" t="inlineStr">
        <is>
          <t>2026-08-05</t>
        </is>
      </c>
      <c r="B26420" s="8" t="n">
        <v>19</v>
      </c>
      <c r="C26420" s="8" t="n">
        <v>15</v>
      </c>
      <c r="D26420" s="8" t="inlineStr">
        <is>
          <t>Disneyland Park</t>
        </is>
      </c>
      <c r="E26420" s="8" t="inlineStr">
        <is>
          <t>Pirates of the Caribbean</t>
        </is>
      </c>
      <c r="F26420" s="8" t="inlineStr">
        <is>
          <t>STANDBY</t>
        </is>
      </c>
      <c r="G26420" s="8" t="n">
        <v>5</v>
      </c>
      <c r="H26420" s="8" t="inlineStr">
        <is>
          <t>OPERATING</t>
        </is>
      </c>
    </row>
    <row r="26421">
      <c r="A26421" s="8" t="inlineStr">
        <is>
          <t>2026-08-05</t>
        </is>
      </c>
      <c r="B26421" s="8" t="n">
        <v>19</v>
      </c>
      <c r="C26421" s="8" t="n">
        <v>15</v>
      </c>
      <c r="D26421" s="8" t="inlineStr">
        <is>
          <t>Disneyland Park</t>
        </is>
      </c>
      <c r="E26421" s="8" t="inlineStr">
        <is>
          <t>Pirates' Beach</t>
        </is>
      </c>
      <c r="F26421" s="8" t="inlineStr">
        <is>
          <t>STANDBY</t>
        </is>
      </c>
      <c r="G26421" s="8" t="n">
        <v>0</v>
      </c>
      <c r="H26421" s="8" t="inlineStr">
        <is>
          <t>OPERATING</t>
        </is>
      </c>
    </row>
    <row r="26422">
      <c r="A26422" s="8" t="inlineStr">
        <is>
          <t>2026-08-05</t>
        </is>
      </c>
      <c r="B26422" s="8" t="n">
        <v>19</v>
      </c>
      <c r="C26422" s="8" t="n">
        <v>15</v>
      </c>
      <c r="D26422" s="8" t="inlineStr">
        <is>
          <t>Disneyland Park</t>
        </is>
      </c>
      <c r="E26422" s="8" t="inlineStr">
        <is>
          <t>Autopia, presented by Avis</t>
        </is>
      </c>
      <c r="F26422" s="8" t="inlineStr">
        <is>
          <t>STANDBY</t>
        </is>
      </c>
      <c r="G26422" s="8" t="n">
        <v>45</v>
      </c>
      <c r="H26422" s="8" t="inlineStr">
        <is>
          <t>OPERATING</t>
        </is>
      </c>
    </row>
    <row r="26423">
      <c r="A26423" s="8" t="inlineStr">
        <is>
          <t>2026-08-05</t>
        </is>
      </c>
      <c r="B26423" s="8" t="n">
        <v>19</v>
      </c>
      <c r="C26423" s="8" t="n">
        <v>15</v>
      </c>
      <c r="D26423" s="8" t="inlineStr">
        <is>
          <t>Disneyland Park</t>
        </is>
      </c>
      <c r="E26423" s="8" t="inlineStr">
        <is>
          <t>Buzz Lightyear Laser Blast</t>
        </is>
      </c>
      <c r="F26423" s="8" t="inlineStr">
        <is>
          <t>STANDBY</t>
        </is>
      </c>
      <c r="G26423" s="8" t="n">
        <v>25</v>
      </c>
      <c r="H26423" s="8" t="inlineStr">
        <is>
          <t>OPERATING</t>
        </is>
      </c>
    </row>
    <row r="26424">
      <c r="A26424" s="8" t="inlineStr">
        <is>
          <t>2026-08-05</t>
        </is>
      </c>
      <c r="B26424" s="8" t="n">
        <v>19</v>
      </c>
      <c r="C26424" s="8" t="n">
        <v>15</v>
      </c>
      <c r="D26424" s="8" t="inlineStr">
        <is>
          <t>Disneyland Park</t>
        </is>
      </c>
      <c r="E26424" s="8" t="inlineStr">
        <is>
          <t>Disneyland Railroad Discoveryland Station</t>
        </is>
      </c>
      <c r="F26424" s="8" t="inlineStr">
        <is>
          <t>STANDBY</t>
        </is>
      </c>
      <c r="G26424" s="8" t="n">
        <v>0</v>
      </c>
      <c r="H26424" s="8" t="inlineStr">
        <is>
          <t>CLOSED</t>
        </is>
      </c>
    </row>
    <row r="26425">
      <c r="A26425" s="8" t="inlineStr">
        <is>
          <t>2026-08-05</t>
        </is>
      </c>
      <c r="B26425" s="8" t="n">
        <v>19</v>
      </c>
      <c r="C26425" s="8" t="n">
        <v>15</v>
      </c>
      <c r="D26425" s="8" t="inlineStr">
        <is>
          <t>Disneyland Park</t>
        </is>
      </c>
      <c r="E26425" s="8" t="inlineStr">
        <is>
          <t>Les Mystères du Nautilus</t>
        </is>
      </c>
      <c r="F26425" s="8" t="inlineStr">
        <is>
          <t>STANDBY</t>
        </is>
      </c>
      <c r="G26425" s="8" t="n">
        <v>5</v>
      </c>
      <c r="H26425" s="8" t="inlineStr">
        <is>
          <t>OPERATING</t>
        </is>
      </c>
    </row>
    <row r="26426">
      <c r="A26426" s="8" t="inlineStr">
        <is>
          <t>2026-08-05</t>
        </is>
      </c>
      <c r="B26426" s="8" t="n">
        <v>19</v>
      </c>
      <c r="C26426" s="8" t="n">
        <v>15</v>
      </c>
      <c r="D26426" s="8" t="inlineStr">
        <is>
          <t>Disneyland Park</t>
        </is>
      </c>
      <c r="E26426" s="8" t="inlineStr">
        <is>
          <t>Mickey’s PhilharMagic</t>
        </is>
      </c>
      <c r="F26426" s="8" t="inlineStr">
        <is>
          <t>STANDBY</t>
        </is>
      </c>
      <c r="G26426" s="8" t="n">
        <v>0</v>
      </c>
      <c r="H26426" s="8" t="inlineStr">
        <is>
          <t>CLOSED</t>
        </is>
      </c>
    </row>
    <row r="26427">
      <c r="A26427" s="8" t="inlineStr">
        <is>
          <t>2026-08-05</t>
        </is>
      </c>
      <c r="B26427" s="8" t="n">
        <v>19</v>
      </c>
      <c r="C26427" s="8" t="n">
        <v>15</v>
      </c>
      <c r="D26427" s="8" t="inlineStr">
        <is>
          <t>Disneyland Park</t>
        </is>
      </c>
      <c r="E26427" s="8" t="inlineStr">
        <is>
          <t>Orbitron®</t>
        </is>
      </c>
      <c r="F26427" s="8" t="inlineStr">
        <is>
          <t>STANDBY</t>
        </is>
      </c>
      <c r="G26427" s="8" t="n">
        <v>60</v>
      </c>
      <c r="H26427" s="8" t="inlineStr">
        <is>
          <t>OPERATING</t>
        </is>
      </c>
    </row>
    <row r="26428">
      <c r="A26428" s="8" t="inlineStr">
        <is>
          <t>2026-08-05</t>
        </is>
      </c>
      <c r="B26428" s="8" t="n">
        <v>19</v>
      </c>
      <c r="C26428" s="8" t="n">
        <v>15</v>
      </c>
      <c r="D26428" s="8" t="inlineStr">
        <is>
          <t>Disneyland Park</t>
        </is>
      </c>
      <c r="E26428" s="8" t="inlineStr">
        <is>
          <t>Star Tours: The Adventures Continue*</t>
        </is>
      </c>
      <c r="F26428" s="8" t="inlineStr">
        <is>
          <t>STANDBY</t>
        </is>
      </c>
      <c r="G26428" s="8" t="n">
        <v>10</v>
      </c>
      <c r="H26428" s="8" t="inlineStr">
        <is>
          <t>OPERATING</t>
        </is>
      </c>
    </row>
    <row r="26429">
      <c r="A26429" s="8" t="inlineStr">
        <is>
          <t>2026-08-05</t>
        </is>
      </c>
      <c r="B26429" s="8" t="n">
        <v>19</v>
      </c>
      <c r="C26429" s="8" t="n">
        <v>15</v>
      </c>
      <c r="D26429" s="8" t="inlineStr">
        <is>
          <t>Disneyland Park</t>
        </is>
      </c>
      <c r="E26429" s="8" t="inlineStr">
        <is>
          <t>Star Wars Hyperspace Mountain</t>
        </is>
      </c>
      <c r="F26429" s="8" t="inlineStr">
        <is>
          <t>STANDBY</t>
        </is>
      </c>
      <c r="G26429" s="8" t="n">
        <v>35</v>
      </c>
      <c r="H26429" s="8" t="inlineStr">
        <is>
          <t>OPERATING</t>
        </is>
      </c>
    </row>
    <row r="26430">
      <c r="A26430" s="8" t="inlineStr">
        <is>
          <t>2026-08-05</t>
        </is>
      </c>
      <c r="B26430" s="8" t="n">
        <v>19</v>
      </c>
      <c r="C26430" s="8" t="n">
        <v>15</v>
      </c>
      <c r="D26430" s="8" t="inlineStr">
        <is>
          <t>Disneyland Park</t>
        </is>
      </c>
      <c r="E26430" s="8" t="inlineStr">
        <is>
          <t>Star Wars Hyperspace Mountain Single Rider</t>
        </is>
      </c>
      <c r="F26430" s="8" t="inlineStr">
        <is>
          <t>STANDBY</t>
        </is>
      </c>
      <c r="G26430" s="8" t="n">
        <v>0</v>
      </c>
      <c r="H26430" s="8" t="inlineStr">
        <is>
          <t>OPERATING</t>
        </is>
      </c>
    </row>
    <row r="26431">
      <c r="A26431" s="8" t="inlineStr">
        <is>
          <t>2026-08-05</t>
        </is>
      </c>
      <c r="B26431" s="8" t="n">
        <v>19</v>
      </c>
      <c r="C26431" s="8" t="n">
        <v>15</v>
      </c>
      <c r="D26431" s="8" t="inlineStr">
        <is>
          <t>Disneyland Park</t>
        </is>
      </c>
      <c r="E26431" s="8" t="inlineStr">
        <is>
          <t>Welcome to Starport: A Star Wars Encounter</t>
        </is>
      </c>
      <c r="F26431" s="8" t="inlineStr">
        <is>
          <t>STANDBY</t>
        </is>
      </c>
      <c r="G26431" s="8" t="n">
        <v>0</v>
      </c>
      <c r="H26431" s="8" t="inlineStr">
        <is>
          <t>CLOSED</t>
        </is>
      </c>
    </row>
    <row r="26432">
      <c r="A26432" s="8" t="inlineStr">
        <is>
          <t>2026-08-05</t>
        </is>
      </c>
      <c r="B26432" s="8" t="n">
        <v>19</v>
      </c>
      <c r="C26432" s="8" t="n">
        <v>15</v>
      </c>
      <c r="D26432" s="8" t="inlineStr">
        <is>
          <t>Disneyland Park</t>
        </is>
      </c>
      <c r="E26432" s="8" t="inlineStr">
        <is>
          <t>"it's a small world"</t>
        </is>
      </c>
      <c r="F26432" s="8" t="inlineStr">
        <is>
          <t>STANDBY</t>
        </is>
      </c>
      <c r="G26432" s="8" t="n">
        <v>5</v>
      </c>
      <c r="H26432" s="8" t="inlineStr">
        <is>
          <t>OPERATING</t>
        </is>
      </c>
    </row>
    <row r="26433">
      <c r="A26433" s="8" t="inlineStr">
        <is>
          <t>2026-08-05</t>
        </is>
      </c>
      <c r="B26433" s="8" t="n">
        <v>19</v>
      </c>
      <c r="C26433" s="8" t="n">
        <v>15</v>
      </c>
      <c r="D26433" s="8" t="inlineStr">
        <is>
          <t>Disneyland Park</t>
        </is>
      </c>
      <c r="E26433" s="8" t="inlineStr">
        <is>
          <t>Alice's Curious Labyrinth</t>
        </is>
      </c>
      <c r="F26433" s="8" t="inlineStr">
        <is>
          <t>STANDBY</t>
        </is>
      </c>
      <c r="G26433" s="8" t="n">
        <v>5</v>
      </c>
      <c r="H26433" s="8" t="inlineStr">
        <is>
          <t>OPERATING</t>
        </is>
      </c>
    </row>
    <row r="26434">
      <c r="A26434" s="8" t="inlineStr">
        <is>
          <t>2026-08-05</t>
        </is>
      </c>
      <c r="B26434" s="8" t="n">
        <v>19</v>
      </c>
      <c r="C26434" s="8" t="n">
        <v>15</v>
      </c>
      <c r="D26434" s="8" t="inlineStr">
        <is>
          <t>Disneyland Park</t>
        </is>
      </c>
      <c r="E26434" s="8" t="inlineStr">
        <is>
          <t>Blanche-Neige et les Sept Nains®</t>
        </is>
      </c>
      <c r="F26434" s="8" t="inlineStr">
        <is>
          <t>STANDBY</t>
        </is>
      </c>
      <c r="G26434" s="8" t="n">
        <v>30</v>
      </c>
      <c r="H26434" s="8" t="inlineStr">
        <is>
          <t>OPERATING</t>
        </is>
      </c>
    </row>
    <row r="26435">
      <c r="A26435" s="8" t="inlineStr">
        <is>
          <t>2026-08-05</t>
        </is>
      </c>
      <c r="B26435" s="8" t="n">
        <v>19</v>
      </c>
      <c r="C26435" s="8" t="n">
        <v>15</v>
      </c>
      <c r="D26435" s="8" t="inlineStr">
        <is>
          <t>Disneyland Park</t>
        </is>
      </c>
      <c r="E26435" s="8" t="inlineStr">
        <is>
          <t>Casey Jr. – le Petit Train du Cirque</t>
        </is>
      </c>
      <c r="F26435" s="8" t="inlineStr">
        <is>
          <t>STANDBY</t>
        </is>
      </c>
      <c r="G26435" s="8" t="n">
        <v>35</v>
      </c>
      <c r="H26435" s="8" t="inlineStr">
        <is>
          <t>OPERATING</t>
        </is>
      </c>
    </row>
    <row r="26436">
      <c r="A26436" s="8" t="inlineStr">
        <is>
          <t>2026-08-05</t>
        </is>
      </c>
      <c r="B26436" s="8" t="n">
        <v>19</v>
      </c>
      <c r="C26436" s="8" t="n">
        <v>15</v>
      </c>
      <c r="D26436" s="8" t="inlineStr">
        <is>
          <t>Disneyland Park</t>
        </is>
      </c>
      <c r="E26436" s="8" t="inlineStr">
        <is>
          <t>Disneyland Railroad Fantasyland Station</t>
        </is>
      </c>
      <c r="F26436" s="8" t="inlineStr">
        <is>
          <t>STANDBY</t>
        </is>
      </c>
      <c r="G26436" s="8" t="n">
        <v>0</v>
      </c>
      <c r="H26436" s="8" t="inlineStr">
        <is>
          <t>CLOSED</t>
        </is>
      </c>
    </row>
    <row r="26437">
      <c r="A26437" s="8" t="inlineStr">
        <is>
          <t>2026-08-05</t>
        </is>
      </c>
      <c r="B26437" s="8" t="n">
        <v>19</v>
      </c>
      <c r="C26437" s="8" t="n">
        <v>15</v>
      </c>
      <c r="D26437" s="8" t="inlineStr">
        <is>
          <t>Disneyland Park</t>
        </is>
      </c>
      <c r="E26437" s="8" t="inlineStr">
        <is>
          <t>Disneyland Railroad Main Street Station</t>
        </is>
      </c>
      <c r="F26437" s="8" t="inlineStr">
        <is>
          <t>STANDBY</t>
        </is>
      </c>
      <c r="G26437" s="8" t="n">
        <v>20</v>
      </c>
      <c r="H26437" s="8" t="inlineStr">
        <is>
          <t>OPERATING</t>
        </is>
      </c>
    </row>
    <row r="26438">
      <c r="A26438" s="8" t="inlineStr">
        <is>
          <t>2026-08-05</t>
        </is>
      </c>
      <c r="B26438" s="8" t="n">
        <v>19</v>
      </c>
      <c r="C26438" s="8" t="n">
        <v>15</v>
      </c>
      <c r="D26438" s="8" t="inlineStr">
        <is>
          <t>Disneyland Park</t>
        </is>
      </c>
      <c r="E26438" s="8" t="inlineStr">
        <is>
          <t>Dumbo the Flying Elephant</t>
        </is>
      </c>
      <c r="F26438" s="8" t="inlineStr">
        <is>
          <t>STANDBY</t>
        </is>
      </c>
      <c r="G26438" s="8" t="n">
        <v>35</v>
      </c>
      <c r="H26438" s="8" t="inlineStr">
        <is>
          <t>OPERATING</t>
        </is>
      </c>
    </row>
    <row r="26439">
      <c r="A26439" s="8" t="inlineStr">
        <is>
          <t>2026-08-05</t>
        </is>
      </c>
      <c r="B26439" s="8" t="n">
        <v>19</v>
      </c>
      <c r="C26439" s="8" t="n">
        <v>15</v>
      </c>
      <c r="D26439" s="8" t="inlineStr">
        <is>
          <t>Disneyland Park</t>
        </is>
      </c>
      <c r="E26439" s="8" t="inlineStr">
        <is>
          <t>La Tanière du Dragon</t>
        </is>
      </c>
      <c r="F26439" s="8" t="inlineStr">
        <is>
          <t>STANDBY</t>
        </is>
      </c>
      <c r="G26439" s="8" t="n">
        <v>0</v>
      </c>
      <c r="H26439" s="8" t="inlineStr">
        <is>
          <t>OPERATING</t>
        </is>
      </c>
    </row>
    <row r="26440">
      <c r="A26440" s="8" t="inlineStr">
        <is>
          <t>2026-08-05</t>
        </is>
      </c>
      <c r="B26440" s="8" t="n">
        <v>19</v>
      </c>
      <c r="C26440" s="8" t="n">
        <v>15</v>
      </c>
      <c r="D26440" s="8" t="inlineStr">
        <is>
          <t>Disneyland Park</t>
        </is>
      </c>
      <c r="E26440" s="8" t="inlineStr">
        <is>
          <t>Le Carrousel de Lancelot</t>
        </is>
      </c>
      <c r="F26440" s="8" t="inlineStr">
        <is>
          <t>STANDBY</t>
        </is>
      </c>
      <c r="G26440" s="8" t="n">
        <v>15</v>
      </c>
      <c r="H26440" s="8" t="inlineStr">
        <is>
          <t>OPERATING</t>
        </is>
      </c>
    </row>
    <row r="26441">
      <c r="A26441" s="8" t="inlineStr">
        <is>
          <t>2026-08-05</t>
        </is>
      </c>
      <c r="B26441" s="8" t="n">
        <v>19</v>
      </c>
      <c r="C26441" s="8" t="n">
        <v>15</v>
      </c>
      <c r="D26441" s="8" t="inlineStr">
        <is>
          <t>Disneyland Park</t>
        </is>
      </c>
      <c r="E26441" s="8" t="inlineStr">
        <is>
          <t>Le Pays des Contes de Fées, presented by Vittel</t>
        </is>
      </c>
      <c r="F26441" s="8" t="inlineStr">
        <is>
          <t>STANDBY</t>
        </is>
      </c>
      <c r="G26441" s="8" t="n">
        <v>5</v>
      </c>
      <c r="H26441" s="8" t="inlineStr">
        <is>
          <t>OPERATING</t>
        </is>
      </c>
    </row>
    <row r="26442">
      <c r="A26442" s="8" t="inlineStr">
        <is>
          <t>2026-08-05</t>
        </is>
      </c>
      <c r="B26442" s="8" t="n">
        <v>19</v>
      </c>
      <c r="C26442" s="8" t="n">
        <v>15</v>
      </c>
      <c r="D26442" s="8" t="inlineStr">
        <is>
          <t>Disneyland Park</t>
        </is>
      </c>
      <c r="E26442" s="8" t="inlineStr">
        <is>
          <t>Les Voyages de Pinocchio</t>
        </is>
      </c>
      <c r="F26442" s="8" t="inlineStr">
        <is>
          <t>STANDBY</t>
        </is>
      </c>
      <c r="G26442" s="8" t="n">
        <v>15</v>
      </c>
      <c r="H26442" s="8" t="inlineStr">
        <is>
          <t>OPERATING</t>
        </is>
      </c>
    </row>
    <row r="26443">
      <c r="A26443" s="8" t="inlineStr">
        <is>
          <t>2026-08-05</t>
        </is>
      </c>
      <c r="B26443" s="8" t="n">
        <v>19</v>
      </c>
      <c r="C26443" s="8" t="n">
        <v>15</v>
      </c>
      <c r="D26443" s="8" t="inlineStr">
        <is>
          <t>Disneyland Park</t>
        </is>
      </c>
      <c r="E26443" s="8" t="inlineStr">
        <is>
          <t>Mad Hatter's Tea Cups</t>
        </is>
      </c>
      <c r="F26443" s="8" t="inlineStr">
        <is>
          <t>STANDBY</t>
        </is>
      </c>
      <c r="G26443" s="8" t="n">
        <v>5</v>
      </c>
      <c r="H26443" s="8" t="inlineStr">
        <is>
          <t>OPERATING</t>
        </is>
      </c>
    </row>
    <row r="26444">
      <c r="A26444" s="8" t="inlineStr">
        <is>
          <t>2026-08-05</t>
        </is>
      </c>
      <c r="B26444" s="8" t="n">
        <v>19</v>
      </c>
      <c r="C26444" s="8" t="n">
        <v>15</v>
      </c>
      <c r="D26444" s="8" t="inlineStr">
        <is>
          <t>Disneyland Park</t>
        </is>
      </c>
      <c r="E26444" s="8" t="inlineStr">
        <is>
          <t>Meet Mickey Mouse</t>
        </is>
      </c>
      <c r="F26444" s="8" t="inlineStr">
        <is>
          <t>STANDBY</t>
        </is>
      </c>
      <c r="G26444" s="8" t="n">
        <v>0</v>
      </c>
      <c r="H26444" s="8" t="inlineStr">
        <is>
          <t>CLOSED</t>
        </is>
      </c>
    </row>
    <row r="26445">
      <c r="A26445" s="8" t="inlineStr">
        <is>
          <t>2026-08-05</t>
        </is>
      </c>
      <c r="B26445" s="8" t="n">
        <v>19</v>
      </c>
      <c r="C26445" s="8" t="n">
        <v>15</v>
      </c>
      <c r="D26445" s="8" t="inlineStr">
        <is>
          <t>Disneyland Park</t>
        </is>
      </c>
      <c r="E26445" s="8" t="inlineStr">
        <is>
          <t>Peter Pan's Flight</t>
        </is>
      </c>
      <c r="F26445" s="8" t="inlineStr">
        <is>
          <t>STANDBY</t>
        </is>
      </c>
      <c r="G26445" s="8" t="n">
        <v>55</v>
      </c>
      <c r="H26445" s="8" t="inlineStr">
        <is>
          <t>OPERATING</t>
        </is>
      </c>
    </row>
    <row r="26446">
      <c r="A26446" s="8" t="inlineStr">
        <is>
          <t>2026-08-05</t>
        </is>
      </c>
      <c r="B26446" s="8" t="n">
        <v>19</v>
      </c>
      <c r="C26446" s="8" t="n">
        <v>15</v>
      </c>
      <c r="D26446" s="8" t="inlineStr">
        <is>
          <t>Disneyland Park</t>
        </is>
      </c>
      <c r="E26446" s="8" t="inlineStr">
        <is>
          <t>Princess Pavilion</t>
        </is>
      </c>
      <c r="F26446" s="8" t="inlineStr">
        <is>
          <t>STANDBY</t>
        </is>
      </c>
      <c r="G26446" s="8" t="n">
        <v>0</v>
      </c>
      <c r="H26446" s="8" t="inlineStr">
        <is>
          <t>CLOSED</t>
        </is>
      </c>
    </row>
    <row r="26447">
      <c r="A26447" s="8" t="inlineStr">
        <is>
          <t>2026-08-05</t>
        </is>
      </c>
      <c r="B26447" s="8" t="n">
        <v>19</v>
      </c>
      <c r="C26447" s="8" t="n">
        <v>15</v>
      </c>
      <c r="D26447" s="8" t="inlineStr">
        <is>
          <t>Disneyland Park</t>
        </is>
      </c>
      <c r="E26447" s="8" t="inlineStr">
        <is>
          <t>Big Thunder Mountain</t>
        </is>
      </c>
      <c r="F26447" s="8" t="inlineStr">
        <is>
          <t>STANDBY</t>
        </is>
      </c>
      <c r="G26447" s="8" t="n">
        <v>75</v>
      </c>
      <c r="H26447" s="8" t="inlineStr">
        <is>
          <t>OPERATING</t>
        </is>
      </c>
    </row>
    <row r="26448">
      <c r="A26448" s="8" t="inlineStr">
        <is>
          <t>2026-08-05</t>
        </is>
      </c>
      <c r="B26448" s="8" t="n">
        <v>19</v>
      </c>
      <c r="C26448" s="8" t="n">
        <v>15</v>
      </c>
      <c r="D26448" s="8" t="inlineStr">
        <is>
          <t>Disneyland Park</t>
        </is>
      </c>
      <c r="E26448" s="8" t="inlineStr">
        <is>
          <t>Disneyland Railroad Frontierland Depot</t>
        </is>
      </c>
      <c r="F26448" s="8" t="inlineStr">
        <is>
          <t>STANDBY</t>
        </is>
      </c>
      <c r="G26448" s="8" t="n">
        <v>10</v>
      </c>
      <c r="H26448" s="8" t="inlineStr">
        <is>
          <t>OPERATING</t>
        </is>
      </c>
    </row>
    <row r="26449">
      <c r="A26449" s="8" t="inlineStr">
        <is>
          <t>2026-08-05</t>
        </is>
      </c>
      <c r="B26449" s="8" t="n">
        <v>19</v>
      </c>
      <c r="C26449" s="8" t="n">
        <v>15</v>
      </c>
      <c r="D26449" s="8" t="inlineStr">
        <is>
          <t>Disneyland Park</t>
        </is>
      </c>
      <c r="E26449" s="8" t="inlineStr">
        <is>
          <t>Frontierland Playground</t>
        </is>
      </c>
      <c r="F26449" s="8" t="inlineStr">
        <is>
          <t>STANDBY</t>
        </is>
      </c>
      <c r="G26449" s="8" t="n">
        <v>0</v>
      </c>
      <c r="H26449" s="8" t="inlineStr">
        <is>
          <t>OPERATING</t>
        </is>
      </c>
    </row>
    <row r="26450">
      <c r="A26450" s="8" t="inlineStr">
        <is>
          <t>2026-08-05</t>
        </is>
      </c>
      <c r="B26450" s="8" t="n">
        <v>19</v>
      </c>
      <c r="C26450" s="8" t="n">
        <v>15</v>
      </c>
      <c r="D26450" s="8" t="inlineStr">
        <is>
          <t>Disneyland Park</t>
        </is>
      </c>
      <c r="E26450" s="8" t="inlineStr">
        <is>
          <t>Phantom Manor</t>
        </is>
      </c>
      <c r="F26450" s="8" t="inlineStr">
        <is>
          <t>STANDBY</t>
        </is>
      </c>
      <c r="G26450" s="8" t="n">
        <v>20</v>
      </c>
      <c r="H26450" s="8" t="inlineStr">
        <is>
          <t>OPERATING</t>
        </is>
      </c>
    </row>
    <row r="26451">
      <c r="A26451" s="8" t="inlineStr">
        <is>
          <t>2026-08-05</t>
        </is>
      </c>
      <c r="B26451" s="8" t="n">
        <v>19</v>
      </c>
      <c r="C26451" s="8" t="n">
        <v>15</v>
      </c>
      <c r="D26451" s="8" t="inlineStr">
        <is>
          <t>Disneyland Park</t>
        </is>
      </c>
      <c r="E26451" s="8" t="inlineStr">
        <is>
          <t>River Rogue Keelboats</t>
        </is>
      </c>
      <c r="F26451" s="8" t="inlineStr">
        <is>
          <t>STANDBY</t>
        </is>
      </c>
      <c r="G26451" s="8" t="n">
        <v>0</v>
      </c>
      <c r="H26451" s="8" t="inlineStr">
        <is>
          <t>CLOSED</t>
        </is>
      </c>
    </row>
    <row r="26452">
      <c r="A26452" s="8" t="inlineStr">
        <is>
          <t>2026-08-05</t>
        </is>
      </c>
      <c r="B26452" s="8" t="n">
        <v>19</v>
      </c>
      <c r="C26452" s="8" t="n">
        <v>15</v>
      </c>
      <c r="D26452" s="8" t="inlineStr">
        <is>
          <t>Disneyland Park</t>
        </is>
      </c>
      <c r="E26452" s="8" t="inlineStr">
        <is>
          <t>Rustler Roundup Shootin' Gallery</t>
        </is>
      </c>
      <c r="F26452" s="8" t="inlineStr">
        <is>
          <t>STANDBY</t>
        </is>
      </c>
      <c r="G26452" s="8" t="n">
        <v>0</v>
      </c>
      <c r="H26452" s="8" t="inlineStr">
        <is>
          <t>OPERATING</t>
        </is>
      </c>
    </row>
    <row r="26453">
      <c r="A26453" s="8" t="inlineStr">
        <is>
          <t>2026-08-05</t>
        </is>
      </c>
      <c r="B26453" s="8" t="n">
        <v>19</v>
      </c>
      <c r="C26453" s="8" t="n">
        <v>15</v>
      </c>
      <c r="D26453" s="8" t="inlineStr">
        <is>
          <t>Disneyland Park</t>
        </is>
      </c>
      <c r="E26453" s="8" t="inlineStr">
        <is>
          <t>Thunder Mesa Riverboat Landing</t>
        </is>
      </c>
      <c r="F26453" s="8" t="inlineStr">
        <is>
          <t>STANDBY</t>
        </is>
      </c>
      <c r="G26453" s="8" t="n">
        <v>0</v>
      </c>
      <c r="H26453" s="8" t="inlineStr">
        <is>
          <t>CLOSED</t>
        </is>
      </c>
    </row>
    <row r="26454">
      <c r="A26454" s="8" t="inlineStr">
        <is>
          <t>2026-08-05</t>
        </is>
      </c>
      <c r="B26454" s="8" t="n">
        <v>19</v>
      </c>
      <c r="C26454" s="8" t="n">
        <v>15</v>
      </c>
      <c r="D26454" s="8" t="inlineStr">
        <is>
          <t>Disneyland Park</t>
        </is>
      </c>
      <c r="E26454" s="8" t="inlineStr">
        <is>
          <t>Disneyland Railroad Main Street Station</t>
        </is>
      </c>
      <c r="F26454" s="8" t="inlineStr">
        <is>
          <t>STANDBY</t>
        </is>
      </c>
      <c r="G26454" s="8" t="n">
        <v>0</v>
      </c>
      <c r="H26454" s="8" t="inlineStr">
        <is>
          <t>OPERATING</t>
        </is>
      </c>
    </row>
    <row r="26455">
      <c r="A26455" s="8" t="inlineStr">
        <is>
          <t>2026-08-05</t>
        </is>
      </c>
      <c r="B26455" s="8" t="n">
        <v>19</v>
      </c>
      <c r="C26455" s="8" t="n">
        <v>15</v>
      </c>
      <c r="D26455" s="8" t="inlineStr">
        <is>
          <t>Disneyland Park</t>
        </is>
      </c>
      <c r="E26455" s="8" t="inlineStr">
        <is>
          <t>Main Street Vehicles</t>
        </is>
      </c>
      <c r="F26455" s="8" t="inlineStr">
        <is>
          <t>STANDBY</t>
        </is>
      </c>
      <c r="G26455" s="8" t="n">
        <v>0</v>
      </c>
      <c r="H26455" s="8" t="inlineStr">
        <is>
          <t>CLOSED</t>
        </is>
      </c>
    </row>
    <row r="26456">
      <c r="A26456" s="8" t="inlineStr">
        <is>
          <t>2026-08-05</t>
        </is>
      </c>
      <c r="B26456" s="8" t="n">
        <v>19</v>
      </c>
      <c r="C26456" s="8" t="n">
        <v>15</v>
      </c>
      <c r="D26456" s="8" t="inlineStr">
        <is>
          <t>Disney Adventure World</t>
        </is>
      </c>
      <c r="E26456" s="8" t="inlineStr">
        <is>
          <t>Avengers Assemble: Flight Force</t>
        </is>
      </c>
      <c r="F26456" s="8" t="inlineStr">
        <is>
          <t>STANDBY</t>
        </is>
      </c>
      <c r="G26456" s="8" t="n">
        <v>20</v>
      </c>
      <c r="H26456" s="8" t="inlineStr">
        <is>
          <t>OPERATING</t>
        </is>
      </c>
    </row>
    <row r="26457">
      <c r="A26457" s="8" t="inlineStr">
        <is>
          <t>2026-08-05</t>
        </is>
      </c>
      <c r="B26457" s="8" t="n">
        <v>19</v>
      </c>
      <c r="C26457" s="8" t="n">
        <v>15</v>
      </c>
      <c r="D26457" s="8" t="inlineStr">
        <is>
          <t>Disney Adventure World</t>
        </is>
      </c>
      <c r="E26457" s="8" t="inlineStr">
        <is>
          <t>Avengers Assemble: Flight Force Single Rider</t>
        </is>
      </c>
      <c r="F26457" s="8" t="inlineStr">
        <is>
          <t>STANDBY</t>
        </is>
      </c>
      <c r="G26457" s="8" t="n">
        <v>10</v>
      </c>
      <c r="H26457" s="8" t="inlineStr">
        <is>
          <t>OPERATING</t>
        </is>
      </c>
    </row>
    <row r="26458">
      <c r="A26458" s="8" t="inlineStr">
        <is>
          <t>2026-08-05</t>
        </is>
      </c>
      <c r="B26458" s="8" t="n">
        <v>19</v>
      </c>
      <c r="C26458" s="8" t="n">
        <v>15</v>
      </c>
      <c r="D26458" s="8" t="inlineStr">
        <is>
          <t>Disney Adventure World</t>
        </is>
      </c>
      <c r="E26458" s="8" t="inlineStr">
        <is>
          <t>Spider-Man W.E.B. Adventure</t>
        </is>
      </c>
      <c r="F26458" s="8" t="inlineStr">
        <is>
          <t>STANDBY</t>
        </is>
      </c>
      <c r="G26458" s="8" t="n">
        <v>45</v>
      </c>
      <c r="H26458" s="8" t="inlineStr">
        <is>
          <t>OPERATING</t>
        </is>
      </c>
    </row>
    <row r="26459">
      <c r="A26459" s="8" t="inlineStr">
        <is>
          <t>2026-08-05</t>
        </is>
      </c>
      <c r="B26459" s="8" t="n">
        <v>19</v>
      </c>
      <c r="C26459" s="8" t="n">
        <v>15</v>
      </c>
      <c r="D26459" s="8" t="inlineStr">
        <is>
          <t>Disney Adventure World</t>
        </is>
      </c>
      <c r="E26459" s="8" t="inlineStr">
        <is>
          <t>Spider-Man W.E.B. Adventure Single Rider</t>
        </is>
      </c>
      <c r="F26459" s="8" t="inlineStr">
        <is>
          <t>STANDBY</t>
        </is>
      </c>
      <c r="G26459" s="8" t="n">
        <v>20</v>
      </c>
      <c r="H26459" s="8" t="inlineStr">
        <is>
          <t>OPERATING</t>
        </is>
      </c>
    </row>
    <row r="26460">
      <c r="A26460" s="8" t="inlineStr">
        <is>
          <t>2026-08-05</t>
        </is>
      </c>
      <c r="B26460" s="8" t="n">
        <v>19</v>
      </c>
      <c r="C26460" s="8" t="n">
        <v>15</v>
      </c>
      <c r="D26460" s="8" t="inlineStr">
        <is>
          <t>Disney Adventure World</t>
        </is>
      </c>
      <c r="E26460" s="8" t="inlineStr">
        <is>
          <t>The Twilight Zone Tower of Terror</t>
        </is>
      </c>
      <c r="F26460" s="8" t="inlineStr">
        <is>
          <t>STANDBY</t>
        </is>
      </c>
      <c r="G26460" s="8" t="n">
        <v>25</v>
      </c>
      <c r="H26460" s="8" t="inlineStr">
        <is>
          <t>OPERATING</t>
        </is>
      </c>
    </row>
    <row r="26461">
      <c r="A26461" s="8" t="inlineStr">
        <is>
          <t>2026-08-05</t>
        </is>
      </c>
      <c r="B26461" s="8" t="n">
        <v>19</v>
      </c>
      <c r="C26461" s="8" t="n">
        <v>15</v>
      </c>
      <c r="D26461" s="8" t="inlineStr">
        <is>
          <t>Disney Adventure World</t>
        </is>
      </c>
      <c r="E26461" s="8" t="inlineStr">
        <is>
          <t>Cars Quatre Roues Rallye</t>
        </is>
      </c>
      <c r="F26461" s="8" t="inlineStr">
        <is>
          <t>STANDBY</t>
        </is>
      </c>
      <c r="G26461" s="8" t="n">
        <v>10</v>
      </c>
      <c r="H26461" s="8" t="inlineStr">
        <is>
          <t>OPERATING</t>
        </is>
      </c>
    </row>
    <row r="26462">
      <c r="A26462" s="8" t="inlineStr">
        <is>
          <t>2026-08-05</t>
        </is>
      </c>
      <c r="B26462" s="8" t="n">
        <v>19</v>
      </c>
      <c r="C26462" s="8" t="n">
        <v>15</v>
      </c>
      <c r="D26462" s="8" t="inlineStr">
        <is>
          <t>Disney Adventure World</t>
        </is>
      </c>
      <c r="E26462" s="8" t="inlineStr">
        <is>
          <t>Cars ROAD TRIP</t>
        </is>
      </c>
      <c r="F26462" s="8" t="inlineStr">
        <is>
          <t>STANDBY</t>
        </is>
      </c>
      <c r="G26462" s="8" t="n">
        <v>10</v>
      </c>
      <c r="H26462" s="8" t="inlineStr">
        <is>
          <t>OPERATING</t>
        </is>
      </c>
    </row>
    <row r="26463">
      <c r="A26463" s="8" t="inlineStr">
        <is>
          <t>2026-08-05</t>
        </is>
      </c>
      <c r="B26463" s="8" t="n">
        <v>19</v>
      </c>
      <c r="C26463" s="8" t="n">
        <v>15</v>
      </c>
      <c r="D26463" s="8" t="inlineStr">
        <is>
          <t>Disney Adventure World</t>
        </is>
      </c>
      <c r="E26463" s="8" t="inlineStr">
        <is>
          <t>Crush's Coaster</t>
        </is>
      </c>
      <c r="F26463" s="8" t="inlineStr">
        <is>
          <t>STANDBY</t>
        </is>
      </c>
      <c r="G26463" s="8" t="n">
        <v>65</v>
      </c>
      <c r="H26463" s="8" t="inlineStr">
        <is>
          <t>OPERATING</t>
        </is>
      </c>
    </row>
    <row r="26464">
      <c r="A26464" s="8" t="inlineStr">
        <is>
          <t>2026-08-05</t>
        </is>
      </c>
      <c r="B26464" s="8" t="n">
        <v>19</v>
      </c>
      <c r="C26464" s="8" t="n">
        <v>15</v>
      </c>
      <c r="D26464" s="8" t="inlineStr">
        <is>
          <t>Disney Adventure World</t>
        </is>
      </c>
      <c r="E26464" s="8" t="inlineStr">
        <is>
          <t>Crush's Coaster Single Rider</t>
        </is>
      </c>
      <c r="F26464" s="8" t="inlineStr">
        <is>
          <t>STANDBY</t>
        </is>
      </c>
      <c r="G26464" s="8" t="n">
        <v>40</v>
      </c>
      <c r="H26464" s="8" t="inlineStr">
        <is>
          <t>OPERATING</t>
        </is>
      </c>
    </row>
    <row r="26465">
      <c r="A26465" s="8" t="inlineStr">
        <is>
          <t>2026-08-05</t>
        </is>
      </c>
      <c r="B26465" s="8" t="n">
        <v>19</v>
      </c>
      <c r="C26465" s="8" t="n">
        <v>15</v>
      </c>
      <c r="D26465" s="8" t="inlineStr">
        <is>
          <t>Disney Adventure World</t>
        </is>
      </c>
      <c r="E26465" s="8" t="inlineStr">
        <is>
          <t>Les Tapis Volants - Flying Carpets Over Agrabah®</t>
        </is>
      </c>
      <c r="F26465" s="8" t="inlineStr">
        <is>
          <t>STANDBY</t>
        </is>
      </c>
      <c r="G26465" s="8" t="n">
        <v>20</v>
      </c>
      <c r="H26465" s="8" t="inlineStr">
        <is>
          <t>OPERATING</t>
        </is>
      </c>
    </row>
    <row r="26466">
      <c r="A26466" s="8" t="inlineStr">
        <is>
          <t>2026-08-05</t>
        </is>
      </c>
      <c r="B26466" s="8" t="n">
        <v>19</v>
      </c>
      <c r="C26466" s="8" t="n">
        <v>15</v>
      </c>
      <c r="D26466" s="8" t="inlineStr">
        <is>
          <t>Disney Adventure World</t>
        </is>
      </c>
      <c r="E26466" s="8" t="inlineStr">
        <is>
          <t>Ratatouille : L’Aventure Totalement Toquée de Rémy​</t>
        </is>
      </c>
      <c r="F26466" s="8" t="inlineStr">
        <is>
          <t>STANDBY</t>
        </is>
      </c>
      <c r="G26466" s="8" t="n">
        <v>50</v>
      </c>
      <c r="H26466" s="8" t="inlineStr">
        <is>
          <t>OPERATING</t>
        </is>
      </c>
    </row>
    <row r="26467">
      <c r="A26467" s="8" t="inlineStr">
        <is>
          <t>2026-08-05</t>
        </is>
      </c>
      <c r="B26467" s="8" t="n">
        <v>19</v>
      </c>
      <c r="C26467" s="8" t="n">
        <v>15</v>
      </c>
      <c r="D26467" s="8" t="inlineStr">
        <is>
          <t>Disney Adventure World</t>
        </is>
      </c>
      <c r="E26467" s="8" t="inlineStr">
        <is>
          <t>Ratatouille: The Adventure Single Rider</t>
        </is>
      </c>
      <c r="F26467" s="8" t="inlineStr">
        <is>
          <t>STANDBY</t>
        </is>
      </c>
      <c r="G26467" s="8" t="n">
        <v>20</v>
      </c>
      <c r="H26467" s="8" t="inlineStr">
        <is>
          <t>OPERATING</t>
        </is>
      </c>
    </row>
    <row r="26468">
      <c r="A26468" s="8" t="inlineStr">
        <is>
          <t>2026-08-05</t>
        </is>
      </c>
      <c r="B26468" s="8" t="n">
        <v>19</v>
      </c>
      <c r="C26468" s="8" t="n">
        <v>15</v>
      </c>
      <c r="D26468" s="8" t="inlineStr">
        <is>
          <t>Disney Adventure World</t>
        </is>
      </c>
      <c r="E26468" s="8" t="inlineStr">
        <is>
          <t>RC Racer</t>
        </is>
      </c>
      <c r="F26468" s="8" t="inlineStr">
        <is>
          <t>STANDBY</t>
        </is>
      </c>
      <c r="G26468" s="8" t="n">
        <v>50</v>
      </c>
      <c r="H26468" s="8" t="inlineStr">
        <is>
          <t>OPERATING</t>
        </is>
      </c>
    </row>
    <row r="26469">
      <c r="A26469" s="8" t="inlineStr">
        <is>
          <t>2026-08-05</t>
        </is>
      </c>
      <c r="B26469" s="8" t="n">
        <v>19</v>
      </c>
      <c r="C26469" s="8" t="n">
        <v>15</v>
      </c>
      <c r="D26469" s="8" t="inlineStr">
        <is>
          <t>Disney Adventure World</t>
        </is>
      </c>
      <c r="E26469" s="8" t="inlineStr">
        <is>
          <t>RC Racer Single Rider</t>
        </is>
      </c>
      <c r="F26469" s="8" t="inlineStr">
        <is>
          <t>STANDBY</t>
        </is>
      </c>
      <c r="G26469" s="8" t="n">
        <v>45</v>
      </c>
      <c r="H26469" s="8" t="inlineStr">
        <is>
          <t>OPERATING</t>
        </is>
      </c>
    </row>
    <row r="26470">
      <c r="A26470" s="8" t="inlineStr">
        <is>
          <t>2026-08-05</t>
        </is>
      </c>
      <c r="B26470" s="8" t="n">
        <v>19</v>
      </c>
      <c r="C26470" s="8" t="n">
        <v>15</v>
      </c>
      <c r="D26470" s="8" t="inlineStr">
        <is>
          <t>Disney Adventure World</t>
        </is>
      </c>
      <c r="E26470" s="8" t="inlineStr">
        <is>
          <t>Slinky® Dog Zigzag Spin</t>
        </is>
      </c>
      <c r="F26470" s="8" t="inlineStr">
        <is>
          <t>STANDBY</t>
        </is>
      </c>
      <c r="G26470" s="8" t="n">
        <v>10</v>
      </c>
      <c r="H26470" s="8" t="inlineStr">
        <is>
          <t>OPERATING</t>
        </is>
      </c>
    </row>
    <row r="26471">
      <c r="A26471" s="8" t="inlineStr">
        <is>
          <t>2026-08-05</t>
        </is>
      </c>
      <c r="B26471" s="8" t="n">
        <v>19</v>
      </c>
      <c r="C26471" s="8" t="n">
        <v>15</v>
      </c>
      <c r="D26471" s="8" t="inlineStr">
        <is>
          <t>Disney Adventure World</t>
        </is>
      </c>
      <c r="E26471" s="8" t="inlineStr">
        <is>
          <t>Toy Soldiers Parachute Drop</t>
        </is>
      </c>
      <c r="F26471" s="8" t="inlineStr">
        <is>
          <t>STANDBY</t>
        </is>
      </c>
      <c r="G26471" s="8" t="n">
        <v>55</v>
      </c>
      <c r="H26471" s="8" t="inlineStr">
        <is>
          <t>OPERATING</t>
        </is>
      </c>
    </row>
    <row r="26472">
      <c r="A26472" s="8" t="inlineStr">
        <is>
          <t>2026-08-05</t>
        </is>
      </c>
      <c r="B26472" s="8" t="n">
        <v>19</v>
      </c>
      <c r="C26472" s="8" t="n">
        <v>15</v>
      </c>
      <c r="D26472" s="8" t="inlineStr">
        <is>
          <t>Disney Adventure World</t>
        </is>
      </c>
      <c r="E26472" s="8" t="inlineStr">
        <is>
          <t>Toy Soldiers Parachute Drop Single Rider</t>
        </is>
      </c>
      <c r="F26472" s="8" t="inlineStr">
        <is>
          <t>STANDBY</t>
        </is>
      </c>
      <c r="G26472" s="8" t="n">
        <v>25</v>
      </c>
      <c r="H26472" s="8" t="inlineStr">
        <is>
          <t>OPERATING</t>
        </is>
      </c>
    </row>
    <row r="26473">
      <c r="A26473" s="8" t="inlineStr">
        <is>
          <t>2026-08-05</t>
        </is>
      </c>
      <c r="B26473" s="8" t="n">
        <v>19</v>
      </c>
      <c r="C26473" s="8" t="n">
        <v>15</v>
      </c>
      <c r="D26473" s="8" t="inlineStr">
        <is>
          <t>Disney Adventure World</t>
        </is>
      </c>
      <c r="E26473" s="8" t="inlineStr">
        <is>
          <t>Entry to World of Frozen</t>
        </is>
      </c>
      <c r="F26473" s="8" t="inlineStr">
        <is>
          <t>STANDBY</t>
        </is>
      </c>
      <c r="G26473" s="8" t="n">
        <v>0</v>
      </c>
      <c r="H26473" s="8" t="inlineStr">
        <is>
          <t>OPERATING</t>
        </is>
      </c>
    </row>
    <row r="26474">
      <c r="A26474" s="8" t="inlineStr">
        <is>
          <t>2026-08-05</t>
        </is>
      </c>
      <c r="B26474" s="8" t="n">
        <v>19</v>
      </c>
      <c r="C26474" s="8" t="n">
        <v>15</v>
      </c>
      <c r="D26474" s="8" t="inlineStr">
        <is>
          <t>Disney Adventure World</t>
        </is>
      </c>
      <c r="E26474" s="8" t="inlineStr">
        <is>
          <t>Frozen Ever After</t>
        </is>
      </c>
      <c r="F26474" s="8" t="inlineStr">
        <is>
          <t>STANDBY</t>
        </is>
      </c>
      <c r="G26474" s="8" t="n">
        <v>65</v>
      </c>
      <c r="H26474" s="8" t="inlineStr">
        <is>
          <t>OPERATING</t>
        </is>
      </c>
    </row>
    <row r="26475">
      <c r="A26475" s="8" t="inlineStr">
        <is>
          <t>2026-08-05</t>
        </is>
      </c>
      <c r="B26475" s="8" t="n">
        <v>19</v>
      </c>
      <c r="C26475" s="8" t="n">
        <v>15</v>
      </c>
      <c r="D26475" s="8" t="inlineStr">
        <is>
          <t>Disney Adventure World</t>
        </is>
      </c>
      <c r="E26475" s="8" t="inlineStr">
        <is>
          <t>Raiponce Tangled Spin</t>
        </is>
      </c>
      <c r="F26475" s="8" t="inlineStr">
        <is>
          <t>STANDBY</t>
        </is>
      </c>
      <c r="G26475" s="8" t="n">
        <v>5</v>
      </c>
      <c r="H26475" s="8" t="inlineStr">
        <is>
          <t>OPERATING</t>
        </is>
      </c>
    </row>
    <row r="26476">
      <c r="A26476" s="8" t="inlineStr">
        <is>
          <t>2026-08-05</t>
        </is>
      </c>
      <c r="B26476" s="8" t="n">
        <v>19</v>
      </c>
      <c r="C26476" s="8" t="n">
        <v>31</v>
      </c>
      <c r="D26476" s="8" t="inlineStr">
        <is>
          <t>Disneyland Park</t>
        </is>
      </c>
      <c r="E26476" s="8" t="inlineStr">
        <is>
          <t>Adventure Isle</t>
        </is>
      </c>
      <c r="F26476" s="8" t="inlineStr">
        <is>
          <t>STANDBY</t>
        </is>
      </c>
      <c r="G26476" s="8" t="n">
        <v>0</v>
      </c>
      <c r="H26476" s="8" t="inlineStr">
        <is>
          <t>OPERATING</t>
        </is>
      </c>
    </row>
    <row r="26477">
      <c r="A26477" s="8" t="inlineStr">
        <is>
          <t>2026-08-05</t>
        </is>
      </c>
      <c r="B26477" s="8" t="n">
        <v>19</v>
      </c>
      <c r="C26477" s="8" t="n">
        <v>31</v>
      </c>
      <c r="D26477" s="8" t="inlineStr">
        <is>
          <t>Disneyland Park</t>
        </is>
      </c>
      <c r="E26477" s="8" t="inlineStr">
        <is>
          <t>Indiana Jones and the Temple of Peril Single Rider</t>
        </is>
      </c>
      <c r="F26477" s="8" t="inlineStr">
        <is>
          <t>STANDBY</t>
        </is>
      </c>
      <c r="G26477" s="8" t="n">
        <v>5</v>
      </c>
      <c r="H26477" s="8" t="inlineStr">
        <is>
          <t>OPERATING</t>
        </is>
      </c>
    </row>
    <row r="26478">
      <c r="A26478" s="8" t="inlineStr">
        <is>
          <t>2026-08-05</t>
        </is>
      </c>
      <c r="B26478" s="8" t="n">
        <v>19</v>
      </c>
      <c r="C26478" s="8" t="n">
        <v>31</v>
      </c>
      <c r="D26478" s="8" t="inlineStr">
        <is>
          <t>Disneyland Park</t>
        </is>
      </c>
      <c r="E26478" s="8" t="inlineStr">
        <is>
          <t>Indiana Jones™ and the Temple of Peril</t>
        </is>
      </c>
      <c r="F26478" s="8" t="inlineStr">
        <is>
          <t>STANDBY</t>
        </is>
      </c>
      <c r="G26478" s="8" t="n">
        <v>10</v>
      </c>
      <c r="H26478" s="8" t="inlineStr">
        <is>
          <t>OPERATING</t>
        </is>
      </c>
    </row>
    <row r="26479">
      <c r="A26479" s="8" t="inlineStr">
        <is>
          <t>2026-08-05</t>
        </is>
      </c>
      <c r="B26479" s="8" t="n">
        <v>19</v>
      </c>
      <c r="C26479" s="8" t="n">
        <v>31</v>
      </c>
      <c r="D26479" s="8" t="inlineStr">
        <is>
          <t>Disneyland Park</t>
        </is>
      </c>
      <c r="E26479" s="8" t="inlineStr">
        <is>
          <t>La Cabane des Robinson</t>
        </is>
      </c>
      <c r="F26479" s="8" t="inlineStr">
        <is>
          <t>STANDBY</t>
        </is>
      </c>
      <c r="G26479" s="8" t="n">
        <v>5</v>
      </c>
      <c r="H26479" s="8" t="inlineStr">
        <is>
          <t>OPERATING</t>
        </is>
      </c>
    </row>
    <row r="26480">
      <c r="A26480" s="8" t="inlineStr">
        <is>
          <t>2026-08-05</t>
        </is>
      </c>
      <c r="B26480" s="8" t="n">
        <v>19</v>
      </c>
      <c r="C26480" s="8" t="n">
        <v>31</v>
      </c>
      <c r="D26480" s="8" t="inlineStr">
        <is>
          <t>Disneyland Park</t>
        </is>
      </c>
      <c r="E26480" s="8" t="inlineStr">
        <is>
          <t>Le Passage Enchanté d'Aladdin</t>
        </is>
      </c>
      <c r="F26480" s="8" t="inlineStr">
        <is>
          <t>STANDBY</t>
        </is>
      </c>
      <c r="G26480" s="8" t="n">
        <v>0</v>
      </c>
      <c r="H26480" s="8" t="inlineStr">
        <is>
          <t>OPERATING</t>
        </is>
      </c>
    </row>
    <row r="26481">
      <c r="A26481" s="8" t="inlineStr">
        <is>
          <t>2026-08-05</t>
        </is>
      </c>
      <c r="B26481" s="8" t="n">
        <v>19</v>
      </c>
      <c r="C26481" s="8" t="n">
        <v>31</v>
      </c>
      <c r="D26481" s="8" t="inlineStr">
        <is>
          <t>Disneyland Park</t>
        </is>
      </c>
      <c r="E26481" s="8" t="inlineStr">
        <is>
          <t>Pirate Galleon</t>
        </is>
      </c>
      <c r="F26481" s="8" t="inlineStr">
        <is>
          <t>STANDBY</t>
        </is>
      </c>
      <c r="G26481" s="8" t="n">
        <v>0</v>
      </c>
      <c r="H26481" s="8" t="inlineStr">
        <is>
          <t>CLOSED</t>
        </is>
      </c>
    </row>
    <row r="26482">
      <c r="A26482" s="8" t="inlineStr">
        <is>
          <t>2026-08-05</t>
        </is>
      </c>
      <c r="B26482" s="8" t="n">
        <v>19</v>
      </c>
      <c r="C26482" s="8" t="n">
        <v>31</v>
      </c>
      <c r="D26482" s="8" t="inlineStr">
        <is>
          <t>Disneyland Park</t>
        </is>
      </c>
      <c r="E26482" s="8" t="inlineStr">
        <is>
          <t>Pirates of the Caribbean</t>
        </is>
      </c>
      <c r="F26482" s="8" t="inlineStr">
        <is>
          <t>STANDBY</t>
        </is>
      </c>
      <c r="G26482" s="8" t="n">
        <v>5</v>
      </c>
      <c r="H26482" s="8" t="inlineStr">
        <is>
          <t>OPERATING</t>
        </is>
      </c>
    </row>
    <row r="26483">
      <c r="A26483" s="8" t="inlineStr">
        <is>
          <t>2026-08-05</t>
        </is>
      </c>
      <c r="B26483" s="8" t="n">
        <v>19</v>
      </c>
      <c r="C26483" s="8" t="n">
        <v>31</v>
      </c>
      <c r="D26483" s="8" t="inlineStr">
        <is>
          <t>Disneyland Park</t>
        </is>
      </c>
      <c r="E26483" s="8" t="inlineStr">
        <is>
          <t>Pirates' Beach</t>
        </is>
      </c>
      <c r="F26483" s="8" t="inlineStr">
        <is>
          <t>STANDBY</t>
        </is>
      </c>
      <c r="G26483" s="8" t="n">
        <v>0</v>
      </c>
      <c r="H26483" s="8" t="inlineStr">
        <is>
          <t>OPERATING</t>
        </is>
      </c>
    </row>
    <row r="26484">
      <c r="A26484" s="8" t="inlineStr">
        <is>
          <t>2026-08-05</t>
        </is>
      </c>
      <c r="B26484" s="8" t="n">
        <v>19</v>
      </c>
      <c r="C26484" s="8" t="n">
        <v>31</v>
      </c>
      <c r="D26484" s="8" t="inlineStr">
        <is>
          <t>Disneyland Park</t>
        </is>
      </c>
      <c r="E26484" s="8" t="inlineStr">
        <is>
          <t>Autopia, presented by Avis</t>
        </is>
      </c>
      <c r="F26484" s="8" t="inlineStr">
        <is>
          <t>STANDBY</t>
        </is>
      </c>
      <c r="G26484" s="8" t="n">
        <v>35</v>
      </c>
      <c r="H26484" s="8" t="inlineStr">
        <is>
          <t>OPERATING</t>
        </is>
      </c>
    </row>
    <row r="26485">
      <c r="A26485" s="8" t="inlineStr">
        <is>
          <t>2026-08-05</t>
        </is>
      </c>
      <c r="B26485" s="8" t="n">
        <v>19</v>
      </c>
      <c r="C26485" s="8" t="n">
        <v>31</v>
      </c>
      <c r="D26485" s="8" t="inlineStr">
        <is>
          <t>Disneyland Park</t>
        </is>
      </c>
      <c r="E26485" s="8" t="inlineStr">
        <is>
          <t>Buzz Lightyear Laser Blast</t>
        </is>
      </c>
      <c r="F26485" s="8" t="inlineStr">
        <is>
          <t>STANDBY</t>
        </is>
      </c>
      <c r="G26485" s="8" t="n">
        <v>35</v>
      </c>
      <c r="H26485" s="8" t="inlineStr">
        <is>
          <t>OPERATING</t>
        </is>
      </c>
    </row>
    <row r="26486">
      <c r="A26486" s="8" t="inlineStr">
        <is>
          <t>2026-08-05</t>
        </is>
      </c>
      <c r="B26486" s="8" t="n">
        <v>19</v>
      </c>
      <c r="C26486" s="8" t="n">
        <v>31</v>
      </c>
      <c r="D26486" s="8" t="inlineStr">
        <is>
          <t>Disneyland Park</t>
        </is>
      </c>
      <c r="E26486" s="8" t="inlineStr">
        <is>
          <t>Disneyland Railroad Discoveryland Station</t>
        </is>
      </c>
      <c r="F26486" s="8" t="inlineStr">
        <is>
          <t>STANDBY</t>
        </is>
      </c>
      <c r="G26486" s="8" t="n">
        <v>0</v>
      </c>
      <c r="H26486" s="8" t="inlineStr">
        <is>
          <t>CLOSED</t>
        </is>
      </c>
    </row>
    <row r="26487">
      <c r="A26487" s="8" t="inlineStr">
        <is>
          <t>2026-08-05</t>
        </is>
      </c>
      <c r="B26487" s="8" t="n">
        <v>19</v>
      </c>
      <c r="C26487" s="8" t="n">
        <v>31</v>
      </c>
      <c r="D26487" s="8" t="inlineStr">
        <is>
          <t>Disneyland Park</t>
        </is>
      </c>
      <c r="E26487" s="8" t="inlineStr">
        <is>
          <t>Les Mystères du Nautilus</t>
        </is>
      </c>
      <c r="F26487" s="8" t="inlineStr">
        <is>
          <t>STANDBY</t>
        </is>
      </c>
      <c r="G26487" s="8" t="n">
        <v>5</v>
      </c>
      <c r="H26487" s="8" t="inlineStr">
        <is>
          <t>OPERATING</t>
        </is>
      </c>
    </row>
    <row r="26488">
      <c r="A26488" s="8" t="inlineStr">
        <is>
          <t>2026-08-05</t>
        </is>
      </c>
      <c r="B26488" s="8" t="n">
        <v>19</v>
      </c>
      <c r="C26488" s="8" t="n">
        <v>31</v>
      </c>
      <c r="D26488" s="8" t="inlineStr">
        <is>
          <t>Disneyland Park</t>
        </is>
      </c>
      <c r="E26488" s="8" t="inlineStr">
        <is>
          <t>Mickey’s PhilharMagic</t>
        </is>
      </c>
      <c r="F26488" s="8" t="inlineStr">
        <is>
          <t>STANDBY</t>
        </is>
      </c>
      <c r="G26488" s="8" t="n">
        <v>0</v>
      </c>
      <c r="H26488" s="8" t="inlineStr">
        <is>
          <t>CLOSED</t>
        </is>
      </c>
    </row>
    <row r="26489">
      <c r="A26489" s="8" t="inlineStr">
        <is>
          <t>2026-08-05</t>
        </is>
      </c>
      <c r="B26489" s="8" t="n">
        <v>19</v>
      </c>
      <c r="C26489" s="8" t="n">
        <v>31</v>
      </c>
      <c r="D26489" s="8" t="inlineStr">
        <is>
          <t>Disneyland Park</t>
        </is>
      </c>
      <c r="E26489" s="8" t="inlineStr">
        <is>
          <t>Orbitron®</t>
        </is>
      </c>
      <c r="F26489" s="8" t="inlineStr">
        <is>
          <t>STANDBY</t>
        </is>
      </c>
      <c r="G26489" s="8" t="n">
        <v>45</v>
      </c>
      <c r="H26489" s="8" t="inlineStr">
        <is>
          <t>OPERATING</t>
        </is>
      </c>
    </row>
    <row r="26490">
      <c r="A26490" s="8" t="inlineStr">
        <is>
          <t>2026-08-05</t>
        </is>
      </c>
      <c r="B26490" s="8" t="n">
        <v>19</v>
      </c>
      <c r="C26490" s="8" t="n">
        <v>31</v>
      </c>
      <c r="D26490" s="8" t="inlineStr">
        <is>
          <t>Disneyland Park</t>
        </is>
      </c>
      <c r="E26490" s="8" t="inlineStr">
        <is>
          <t>Star Tours: The Adventures Continue*</t>
        </is>
      </c>
      <c r="F26490" s="8" t="inlineStr">
        <is>
          <t>STANDBY</t>
        </is>
      </c>
      <c r="G26490" s="8" t="n">
        <v>5</v>
      </c>
      <c r="H26490" s="8" t="inlineStr">
        <is>
          <t>OPERATING</t>
        </is>
      </c>
    </row>
    <row r="26491">
      <c r="A26491" s="8" t="inlineStr">
        <is>
          <t>2026-08-05</t>
        </is>
      </c>
      <c r="B26491" s="8" t="n">
        <v>19</v>
      </c>
      <c r="C26491" s="8" t="n">
        <v>31</v>
      </c>
      <c r="D26491" s="8" t="inlineStr">
        <is>
          <t>Disneyland Park</t>
        </is>
      </c>
      <c r="E26491" s="8" t="inlineStr">
        <is>
          <t>Star Wars Hyperspace Mountain</t>
        </is>
      </c>
      <c r="F26491" s="8" t="inlineStr">
        <is>
          <t>STANDBY</t>
        </is>
      </c>
      <c r="G26491" s="8" t="n">
        <v>30</v>
      </c>
      <c r="H26491" s="8" t="inlineStr">
        <is>
          <t>OPERATING</t>
        </is>
      </c>
    </row>
    <row r="26492">
      <c r="A26492" s="8" t="inlineStr">
        <is>
          <t>2026-08-05</t>
        </is>
      </c>
      <c r="B26492" s="8" t="n">
        <v>19</v>
      </c>
      <c r="C26492" s="8" t="n">
        <v>31</v>
      </c>
      <c r="D26492" s="8" t="inlineStr">
        <is>
          <t>Disneyland Park</t>
        </is>
      </c>
      <c r="E26492" s="8" t="inlineStr">
        <is>
          <t>Star Wars Hyperspace Mountain Single Rider</t>
        </is>
      </c>
      <c r="F26492" s="8" t="inlineStr">
        <is>
          <t>STANDBY</t>
        </is>
      </c>
      <c r="G26492" s="8" t="n">
        <v>0</v>
      </c>
      <c r="H26492" s="8" t="inlineStr">
        <is>
          <t>OPERATING</t>
        </is>
      </c>
    </row>
    <row r="26493">
      <c r="A26493" s="8" t="inlineStr">
        <is>
          <t>2026-08-05</t>
        </is>
      </c>
      <c r="B26493" s="8" t="n">
        <v>19</v>
      </c>
      <c r="C26493" s="8" t="n">
        <v>31</v>
      </c>
      <c r="D26493" s="8" t="inlineStr">
        <is>
          <t>Disneyland Park</t>
        </is>
      </c>
      <c r="E26493" s="8" t="inlineStr">
        <is>
          <t>Welcome to Starport: A Star Wars Encounter</t>
        </is>
      </c>
      <c r="F26493" s="8" t="inlineStr">
        <is>
          <t>STANDBY</t>
        </is>
      </c>
      <c r="G26493" s="8" t="n">
        <v>0</v>
      </c>
      <c r="H26493" s="8" t="inlineStr">
        <is>
          <t>CLOSED</t>
        </is>
      </c>
    </row>
    <row r="26494">
      <c r="A26494" s="8" t="inlineStr">
        <is>
          <t>2026-08-05</t>
        </is>
      </c>
      <c r="B26494" s="8" t="n">
        <v>19</v>
      </c>
      <c r="C26494" s="8" t="n">
        <v>31</v>
      </c>
      <c r="D26494" s="8" t="inlineStr">
        <is>
          <t>Disneyland Park</t>
        </is>
      </c>
      <c r="E26494" s="8" t="inlineStr">
        <is>
          <t>"it's a small world"</t>
        </is>
      </c>
      <c r="F26494" s="8" t="inlineStr">
        <is>
          <t>STANDBY</t>
        </is>
      </c>
      <c r="G26494" s="8" t="n">
        <v>5</v>
      </c>
      <c r="H26494" s="8" t="inlineStr">
        <is>
          <t>OPERATING</t>
        </is>
      </c>
    </row>
    <row r="26495">
      <c r="A26495" s="8" t="inlineStr">
        <is>
          <t>2026-08-05</t>
        </is>
      </c>
      <c r="B26495" s="8" t="n">
        <v>19</v>
      </c>
      <c r="C26495" s="8" t="n">
        <v>31</v>
      </c>
      <c r="D26495" s="8" t="inlineStr">
        <is>
          <t>Disneyland Park</t>
        </is>
      </c>
      <c r="E26495" s="8" t="inlineStr">
        <is>
          <t>Alice's Curious Labyrinth</t>
        </is>
      </c>
      <c r="F26495" s="8" t="inlineStr">
        <is>
          <t>STANDBY</t>
        </is>
      </c>
      <c r="G26495" s="8" t="n">
        <v>5</v>
      </c>
      <c r="H26495" s="8" t="inlineStr">
        <is>
          <t>OPERATING</t>
        </is>
      </c>
    </row>
    <row r="26496">
      <c r="A26496" s="8" t="inlineStr">
        <is>
          <t>2026-08-05</t>
        </is>
      </c>
      <c r="B26496" s="8" t="n">
        <v>19</v>
      </c>
      <c r="C26496" s="8" t="n">
        <v>31</v>
      </c>
      <c r="D26496" s="8" t="inlineStr">
        <is>
          <t>Disneyland Park</t>
        </is>
      </c>
      <c r="E26496" s="8" t="inlineStr">
        <is>
          <t>Blanche-Neige et les Sept Nains®</t>
        </is>
      </c>
      <c r="F26496" s="8" t="inlineStr">
        <is>
          <t>STANDBY</t>
        </is>
      </c>
      <c r="G26496" s="8" t="n">
        <v>30</v>
      </c>
      <c r="H26496" s="8" t="inlineStr">
        <is>
          <t>OPERATING</t>
        </is>
      </c>
    </row>
    <row r="26497">
      <c r="A26497" s="8" t="inlineStr">
        <is>
          <t>2026-08-05</t>
        </is>
      </c>
      <c r="B26497" s="8" t="n">
        <v>19</v>
      </c>
      <c r="C26497" s="8" t="n">
        <v>31</v>
      </c>
      <c r="D26497" s="8" t="inlineStr">
        <is>
          <t>Disneyland Park</t>
        </is>
      </c>
      <c r="E26497" s="8" t="inlineStr">
        <is>
          <t>Casey Jr. – le Petit Train du Cirque</t>
        </is>
      </c>
      <c r="F26497" s="8" t="inlineStr">
        <is>
          <t>STANDBY</t>
        </is>
      </c>
      <c r="G26497" s="8" t="n">
        <v>20</v>
      </c>
      <c r="H26497" s="8" t="inlineStr">
        <is>
          <t>OPERATING</t>
        </is>
      </c>
    </row>
    <row r="26498">
      <c r="A26498" s="8" t="inlineStr">
        <is>
          <t>2026-08-05</t>
        </is>
      </c>
      <c r="B26498" s="8" t="n">
        <v>19</v>
      </c>
      <c r="C26498" s="8" t="n">
        <v>31</v>
      </c>
      <c r="D26498" s="8" t="inlineStr">
        <is>
          <t>Disneyland Park</t>
        </is>
      </c>
      <c r="E26498" s="8" t="inlineStr">
        <is>
          <t>Disneyland Railroad Fantasyland Station</t>
        </is>
      </c>
      <c r="F26498" s="8" t="inlineStr">
        <is>
          <t>STANDBY</t>
        </is>
      </c>
      <c r="G26498" s="8" t="n">
        <v>0</v>
      </c>
      <c r="H26498" s="8" t="inlineStr">
        <is>
          <t>CLOSED</t>
        </is>
      </c>
    </row>
    <row r="26499">
      <c r="A26499" s="8" t="inlineStr">
        <is>
          <t>2026-08-05</t>
        </is>
      </c>
      <c r="B26499" s="8" t="n">
        <v>19</v>
      </c>
      <c r="C26499" s="8" t="n">
        <v>31</v>
      </c>
      <c r="D26499" s="8" t="inlineStr">
        <is>
          <t>Disneyland Park</t>
        </is>
      </c>
      <c r="E26499" s="8" t="inlineStr">
        <is>
          <t>Disneyland Railroad Main Street Station</t>
        </is>
      </c>
      <c r="F26499" s="8" t="inlineStr">
        <is>
          <t>STANDBY</t>
        </is>
      </c>
      <c r="G26499" s="8" t="n">
        <v>20</v>
      </c>
      <c r="H26499" s="8" t="inlineStr">
        <is>
          <t>OPERATING</t>
        </is>
      </c>
    </row>
    <row r="26500">
      <c r="A26500" s="8" t="inlineStr">
        <is>
          <t>2026-08-05</t>
        </is>
      </c>
      <c r="B26500" s="8" t="n">
        <v>19</v>
      </c>
      <c r="C26500" s="8" t="n">
        <v>31</v>
      </c>
      <c r="D26500" s="8" t="inlineStr">
        <is>
          <t>Disneyland Park</t>
        </is>
      </c>
      <c r="E26500" s="8" t="inlineStr">
        <is>
          <t>Dumbo the Flying Elephant</t>
        </is>
      </c>
      <c r="F26500" s="8" t="inlineStr">
        <is>
          <t>STANDBY</t>
        </is>
      </c>
      <c r="G26500" s="8" t="n">
        <v>35</v>
      </c>
      <c r="H26500" s="8" t="inlineStr">
        <is>
          <t>OPERATING</t>
        </is>
      </c>
    </row>
    <row r="26501">
      <c r="A26501" s="8" t="inlineStr">
        <is>
          <t>2026-08-05</t>
        </is>
      </c>
      <c r="B26501" s="8" t="n">
        <v>19</v>
      </c>
      <c r="C26501" s="8" t="n">
        <v>31</v>
      </c>
      <c r="D26501" s="8" t="inlineStr">
        <is>
          <t>Disneyland Park</t>
        </is>
      </c>
      <c r="E26501" s="8" t="inlineStr">
        <is>
          <t>La Tanière du Dragon</t>
        </is>
      </c>
      <c r="F26501" s="8" t="inlineStr">
        <is>
          <t>STANDBY</t>
        </is>
      </c>
      <c r="G26501" s="8" t="n">
        <v>0</v>
      </c>
      <c r="H26501" s="8" t="inlineStr">
        <is>
          <t>OPERATING</t>
        </is>
      </c>
    </row>
    <row r="26502">
      <c r="A26502" s="8" t="inlineStr">
        <is>
          <t>2026-08-05</t>
        </is>
      </c>
      <c r="B26502" s="8" t="n">
        <v>19</v>
      </c>
      <c r="C26502" s="8" t="n">
        <v>31</v>
      </c>
      <c r="D26502" s="8" t="inlineStr">
        <is>
          <t>Disneyland Park</t>
        </is>
      </c>
      <c r="E26502" s="8" t="inlineStr">
        <is>
          <t>Le Carrousel de Lancelot</t>
        </is>
      </c>
      <c r="F26502" s="8" t="inlineStr">
        <is>
          <t>STANDBY</t>
        </is>
      </c>
      <c r="G26502" s="8" t="n">
        <v>15</v>
      </c>
      <c r="H26502" s="8" t="inlineStr">
        <is>
          <t>OPERATING</t>
        </is>
      </c>
    </row>
    <row r="26503">
      <c r="A26503" s="8" t="inlineStr">
        <is>
          <t>2026-08-05</t>
        </is>
      </c>
      <c r="B26503" s="8" t="n">
        <v>19</v>
      </c>
      <c r="C26503" s="8" t="n">
        <v>31</v>
      </c>
      <c r="D26503" s="8" t="inlineStr">
        <is>
          <t>Disneyland Park</t>
        </is>
      </c>
      <c r="E26503" s="8" t="inlineStr">
        <is>
          <t>Le Pays des Contes de Fées, presented by Vittel</t>
        </is>
      </c>
      <c r="F26503" s="8" t="inlineStr">
        <is>
          <t>STANDBY</t>
        </is>
      </c>
      <c r="G26503" s="8" t="n">
        <v>5</v>
      </c>
      <c r="H26503" s="8" t="inlineStr">
        <is>
          <t>OPERATING</t>
        </is>
      </c>
    </row>
    <row r="26504">
      <c r="A26504" s="8" t="inlineStr">
        <is>
          <t>2026-08-05</t>
        </is>
      </c>
      <c r="B26504" s="8" t="n">
        <v>19</v>
      </c>
      <c r="C26504" s="8" t="n">
        <v>31</v>
      </c>
      <c r="D26504" s="8" t="inlineStr">
        <is>
          <t>Disneyland Park</t>
        </is>
      </c>
      <c r="E26504" s="8" t="inlineStr">
        <is>
          <t>Les Voyages de Pinocchio</t>
        </is>
      </c>
      <c r="F26504" s="8" t="inlineStr">
        <is>
          <t>STANDBY</t>
        </is>
      </c>
      <c r="G26504" s="8" t="n">
        <v>15</v>
      </c>
      <c r="H26504" s="8" t="inlineStr">
        <is>
          <t>OPERATING</t>
        </is>
      </c>
    </row>
    <row r="26505">
      <c r="A26505" s="8" t="inlineStr">
        <is>
          <t>2026-08-05</t>
        </is>
      </c>
      <c r="B26505" s="8" t="n">
        <v>19</v>
      </c>
      <c r="C26505" s="8" t="n">
        <v>31</v>
      </c>
      <c r="D26505" s="8" t="inlineStr">
        <is>
          <t>Disneyland Park</t>
        </is>
      </c>
      <c r="E26505" s="8" t="inlineStr">
        <is>
          <t>Mad Hatter's Tea Cups</t>
        </is>
      </c>
      <c r="F26505" s="8" t="inlineStr">
        <is>
          <t>STANDBY</t>
        </is>
      </c>
      <c r="G26505" s="8" t="n">
        <v>5</v>
      </c>
      <c r="H26505" s="8" t="inlineStr">
        <is>
          <t>OPERATING</t>
        </is>
      </c>
    </row>
    <row r="26506">
      <c r="A26506" s="8" t="inlineStr">
        <is>
          <t>2026-08-05</t>
        </is>
      </c>
      <c r="B26506" s="8" t="n">
        <v>19</v>
      </c>
      <c r="C26506" s="8" t="n">
        <v>31</v>
      </c>
      <c r="D26506" s="8" t="inlineStr">
        <is>
          <t>Disneyland Park</t>
        </is>
      </c>
      <c r="E26506" s="8" t="inlineStr">
        <is>
          <t>Meet Mickey Mouse</t>
        </is>
      </c>
      <c r="F26506" s="8" t="inlineStr">
        <is>
          <t>STANDBY</t>
        </is>
      </c>
      <c r="G26506" s="8" t="n">
        <v>0</v>
      </c>
      <c r="H26506" s="8" t="inlineStr">
        <is>
          <t>CLOSED</t>
        </is>
      </c>
    </row>
    <row r="26507">
      <c r="A26507" s="8" t="inlineStr">
        <is>
          <t>2026-08-05</t>
        </is>
      </c>
      <c r="B26507" s="8" t="n">
        <v>19</v>
      </c>
      <c r="C26507" s="8" t="n">
        <v>31</v>
      </c>
      <c r="D26507" s="8" t="inlineStr">
        <is>
          <t>Disneyland Park</t>
        </is>
      </c>
      <c r="E26507" s="8" t="inlineStr">
        <is>
          <t>Peter Pan's Flight</t>
        </is>
      </c>
      <c r="F26507" s="8" t="inlineStr">
        <is>
          <t>STANDBY</t>
        </is>
      </c>
      <c r="G26507" s="8" t="n">
        <v>40</v>
      </c>
      <c r="H26507" s="8" t="inlineStr">
        <is>
          <t>OPERATING</t>
        </is>
      </c>
    </row>
    <row r="26508">
      <c r="A26508" s="8" t="inlineStr">
        <is>
          <t>2026-08-05</t>
        </is>
      </c>
      <c r="B26508" s="8" t="n">
        <v>19</v>
      </c>
      <c r="C26508" s="8" t="n">
        <v>31</v>
      </c>
      <c r="D26508" s="8" t="inlineStr">
        <is>
          <t>Disneyland Park</t>
        </is>
      </c>
      <c r="E26508" s="8" t="inlineStr">
        <is>
          <t>Princess Pavilion</t>
        </is>
      </c>
      <c r="F26508" s="8" t="inlineStr">
        <is>
          <t>STANDBY</t>
        </is>
      </c>
      <c r="G26508" s="8" t="n">
        <v>0</v>
      </c>
      <c r="H26508" s="8" t="inlineStr">
        <is>
          <t>CLOSED</t>
        </is>
      </c>
    </row>
    <row r="26509">
      <c r="A26509" s="8" t="inlineStr">
        <is>
          <t>2026-08-05</t>
        </is>
      </c>
      <c r="B26509" s="8" t="n">
        <v>19</v>
      </c>
      <c r="C26509" s="8" t="n">
        <v>31</v>
      </c>
      <c r="D26509" s="8" t="inlineStr">
        <is>
          <t>Disneyland Park</t>
        </is>
      </c>
      <c r="E26509" s="8" t="inlineStr">
        <is>
          <t>Big Thunder Mountain</t>
        </is>
      </c>
      <c r="F26509" s="8" t="inlineStr">
        <is>
          <t>STANDBY</t>
        </is>
      </c>
      <c r="G26509" s="8" t="n">
        <v>50</v>
      </c>
      <c r="H26509" s="8" t="inlineStr">
        <is>
          <t>OPERATING</t>
        </is>
      </c>
    </row>
    <row r="26510">
      <c r="A26510" s="8" t="inlineStr">
        <is>
          <t>2026-08-05</t>
        </is>
      </c>
      <c r="B26510" s="8" t="n">
        <v>19</v>
      </c>
      <c r="C26510" s="8" t="n">
        <v>31</v>
      </c>
      <c r="D26510" s="8" t="inlineStr">
        <is>
          <t>Disneyland Park</t>
        </is>
      </c>
      <c r="E26510" s="8" t="inlineStr">
        <is>
          <t>Disneyland Railroad Frontierland Depot</t>
        </is>
      </c>
      <c r="F26510" s="8" t="inlineStr">
        <is>
          <t>STANDBY</t>
        </is>
      </c>
      <c r="G26510" s="8" t="n">
        <v>10</v>
      </c>
      <c r="H26510" s="8" t="inlineStr">
        <is>
          <t>OPERATING</t>
        </is>
      </c>
    </row>
    <row r="26511">
      <c r="A26511" s="8" t="inlineStr">
        <is>
          <t>2026-08-05</t>
        </is>
      </c>
      <c r="B26511" s="8" t="n">
        <v>19</v>
      </c>
      <c r="C26511" s="8" t="n">
        <v>31</v>
      </c>
      <c r="D26511" s="8" t="inlineStr">
        <is>
          <t>Disneyland Park</t>
        </is>
      </c>
      <c r="E26511" s="8" t="inlineStr">
        <is>
          <t>Frontierland Playground</t>
        </is>
      </c>
      <c r="F26511" s="8" t="inlineStr">
        <is>
          <t>STANDBY</t>
        </is>
      </c>
      <c r="G26511" s="8" t="n">
        <v>0</v>
      </c>
      <c r="H26511" s="8" t="inlineStr">
        <is>
          <t>OPERATING</t>
        </is>
      </c>
    </row>
    <row r="26512">
      <c r="A26512" s="8" t="inlineStr">
        <is>
          <t>2026-08-05</t>
        </is>
      </c>
      <c r="B26512" s="8" t="n">
        <v>19</v>
      </c>
      <c r="C26512" s="8" t="n">
        <v>31</v>
      </c>
      <c r="D26512" s="8" t="inlineStr">
        <is>
          <t>Disneyland Park</t>
        </is>
      </c>
      <c r="E26512" s="8" t="inlineStr">
        <is>
          <t>Phantom Manor</t>
        </is>
      </c>
      <c r="F26512" s="8" t="inlineStr">
        <is>
          <t>STANDBY</t>
        </is>
      </c>
      <c r="G26512" s="8" t="n">
        <v>5</v>
      </c>
      <c r="H26512" s="8" t="inlineStr">
        <is>
          <t>OPERATING</t>
        </is>
      </c>
    </row>
    <row r="26513">
      <c r="A26513" s="8" t="inlineStr">
        <is>
          <t>2026-08-05</t>
        </is>
      </c>
      <c r="B26513" s="8" t="n">
        <v>19</v>
      </c>
      <c r="C26513" s="8" t="n">
        <v>31</v>
      </c>
      <c r="D26513" s="8" t="inlineStr">
        <is>
          <t>Disneyland Park</t>
        </is>
      </c>
      <c r="E26513" s="8" t="inlineStr">
        <is>
          <t>River Rogue Keelboats</t>
        </is>
      </c>
      <c r="F26513" s="8" t="inlineStr">
        <is>
          <t>STANDBY</t>
        </is>
      </c>
      <c r="G26513" s="8" t="n">
        <v>0</v>
      </c>
      <c r="H26513" s="8" t="inlineStr">
        <is>
          <t>CLOSED</t>
        </is>
      </c>
    </row>
    <row r="26514">
      <c r="A26514" s="8" t="inlineStr">
        <is>
          <t>2026-08-05</t>
        </is>
      </c>
      <c r="B26514" s="8" t="n">
        <v>19</v>
      </c>
      <c r="C26514" s="8" t="n">
        <v>31</v>
      </c>
      <c r="D26514" s="8" t="inlineStr">
        <is>
          <t>Disneyland Park</t>
        </is>
      </c>
      <c r="E26514" s="8" t="inlineStr">
        <is>
          <t>Rustler Roundup Shootin' Gallery</t>
        </is>
      </c>
      <c r="F26514" s="8" t="inlineStr">
        <is>
          <t>STANDBY</t>
        </is>
      </c>
      <c r="G26514" s="8" t="n">
        <v>0</v>
      </c>
      <c r="H26514" s="8" t="inlineStr">
        <is>
          <t>OPERATING</t>
        </is>
      </c>
    </row>
    <row r="26515">
      <c r="A26515" s="8" t="inlineStr">
        <is>
          <t>2026-08-05</t>
        </is>
      </c>
      <c r="B26515" s="8" t="n">
        <v>19</v>
      </c>
      <c r="C26515" s="8" t="n">
        <v>31</v>
      </c>
      <c r="D26515" s="8" t="inlineStr">
        <is>
          <t>Disneyland Park</t>
        </is>
      </c>
      <c r="E26515" s="8" t="inlineStr">
        <is>
          <t>Thunder Mesa Riverboat Landing</t>
        </is>
      </c>
      <c r="F26515" s="8" t="inlineStr">
        <is>
          <t>STANDBY</t>
        </is>
      </c>
      <c r="G26515" s="8" t="n">
        <v>0</v>
      </c>
      <c r="H26515" s="8" t="inlineStr">
        <is>
          <t>CLOSED</t>
        </is>
      </c>
    </row>
    <row r="26516">
      <c r="A26516" s="8" t="inlineStr">
        <is>
          <t>2026-08-05</t>
        </is>
      </c>
      <c r="B26516" s="8" t="n">
        <v>19</v>
      </c>
      <c r="C26516" s="8" t="n">
        <v>31</v>
      </c>
      <c r="D26516" s="8" t="inlineStr">
        <is>
          <t>Disneyland Park</t>
        </is>
      </c>
      <c r="E26516" s="8" t="inlineStr">
        <is>
          <t>Disneyland Railroad Main Street Station</t>
        </is>
      </c>
      <c r="F26516" s="8" t="inlineStr">
        <is>
          <t>STANDBY</t>
        </is>
      </c>
      <c r="G26516" s="8" t="n">
        <v>0</v>
      </c>
      <c r="H26516" s="8" t="inlineStr">
        <is>
          <t>OPERATING</t>
        </is>
      </c>
    </row>
    <row r="26517">
      <c r="A26517" s="8" t="inlineStr">
        <is>
          <t>2026-08-05</t>
        </is>
      </c>
      <c r="B26517" s="8" t="n">
        <v>19</v>
      </c>
      <c r="C26517" s="8" t="n">
        <v>31</v>
      </c>
      <c r="D26517" s="8" t="inlineStr">
        <is>
          <t>Disneyland Park</t>
        </is>
      </c>
      <c r="E26517" s="8" t="inlineStr">
        <is>
          <t>Main Street Vehicles</t>
        </is>
      </c>
      <c r="F26517" s="8" t="inlineStr">
        <is>
          <t>STANDBY</t>
        </is>
      </c>
      <c r="G26517" s="8" t="n">
        <v>0</v>
      </c>
      <c r="H26517" s="8" t="inlineStr">
        <is>
          <t>CLOSED</t>
        </is>
      </c>
    </row>
    <row r="26518">
      <c r="A26518" s="8" t="inlineStr">
        <is>
          <t>2026-08-05</t>
        </is>
      </c>
      <c r="B26518" s="8" t="n">
        <v>19</v>
      </c>
      <c r="C26518" s="8" t="n">
        <v>31</v>
      </c>
      <c r="D26518" s="8" t="inlineStr">
        <is>
          <t>Disney Adventure World</t>
        </is>
      </c>
      <c r="E26518" s="8" t="inlineStr">
        <is>
          <t>Avengers Assemble: Flight Force</t>
        </is>
      </c>
      <c r="F26518" s="8" t="inlineStr">
        <is>
          <t>STANDBY</t>
        </is>
      </c>
      <c r="G26518" s="8" t="n">
        <v>20</v>
      </c>
      <c r="H26518" s="8" t="inlineStr">
        <is>
          <t>OPERATING</t>
        </is>
      </c>
    </row>
    <row r="26519">
      <c r="A26519" s="8" t="inlineStr">
        <is>
          <t>2026-08-05</t>
        </is>
      </c>
      <c r="B26519" s="8" t="n">
        <v>19</v>
      </c>
      <c r="C26519" s="8" t="n">
        <v>31</v>
      </c>
      <c r="D26519" s="8" t="inlineStr">
        <is>
          <t>Disney Adventure World</t>
        </is>
      </c>
      <c r="E26519" s="8" t="inlineStr">
        <is>
          <t>Avengers Assemble: Flight Force Single Rider</t>
        </is>
      </c>
      <c r="F26519" s="8" t="inlineStr">
        <is>
          <t>STANDBY</t>
        </is>
      </c>
      <c r="G26519" s="8" t="n">
        <v>15</v>
      </c>
      <c r="H26519" s="8" t="inlineStr">
        <is>
          <t>OPERATING</t>
        </is>
      </c>
    </row>
    <row r="26520">
      <c r="A26520" s="8" t="inlineStr">
        <is>
          <t>2026-08-05</t>
        </is>
      </c>
      <c r="B26520" s="8" t="n">
        <v>19</v>
      </c>
      <c r="C26520" s="8" t="n">
        <v>31</v>
      </c>
      <c r="D26520" s="8" t="inlineStr">
        <is>
          <t>Disney Adventure World</t>
        </is>
      </c>
      <c r="E26520" s="8" t="inlineStr">
        <is>
          <t>Spider-Man W.E.B. Adventure</t>
        </is>
      </c>
      <c r="F26520" s="8" t="inlineStr">
        <is>
          <t>STANDBY</t>
        </is>
      </c>
      <c r="G26520" s="8" t="n">
        <v>50</v>
      </c>
      <c r="H26520" s="8" t="inlineStr">
        <is>
          <t>OPERATING</t>
        </is>
      </c>
    </row>
    <row r="26521">
      <c r="A26521" s="8" t="inlineStr">
        <is>
          <t>2026-08-05</t>
        </is>
      </c>
      <c r="B26521" s="8" t="n">
        <v>19</v>
      </c>
      <c r="C26521" s="8" t="n">
        <v>31</v>
      </c>
      <c r="D26521" s="8" t="inlineStr">
        <is>
          <t>Disney Adventure World</t>
        </is>
      </c>
      <c r="E26521" s="8" t="inlineStr">
        <is>
          <t>Spider-Man W.E.B. Adventure Single Rider</t>
        </is>
      </c>
      <c r="F26521" s="8" t="inlineStr">
        <is>
          <t>STANDBY</t>
        </is>
      </c>
      <c r="G26521" s="8" t="n">
        <v>20</v>
      </c>
      <c r="H26521" s="8" t="inlineStr">
        <is>
          <t>OPERATING</t>
        </is>
      </c>
    </row>
    <row r="26522">
      <c r="A26522" s="8" t="inlineStr">
        <is>
          <t>2026-08-05</t>
        </is>
      </c>
      <c r="B26522" s="8" t="n">
        <v>19</v>
      </c>
      <c r="C26522" s="8" t="n">
        <v>31</v>
      </c>
      <c r="D26522" s="8" t="inlineStr">
        <is>
          <t>Disney Adventure World</t>
        </is>
      </c>
      <c r="E26522" s="8" t="inlineStr">
        <is>
          <t>The Twilight Zone Tower of Terror</t>
        </is>
      </c>
      <c r="F26522" s="8" t="inlineStr">
        <is>
          <t>STANDBY</t>
        </is>
      </c>
      <c r="G26522" s="8" t="n">
        <v>25</v>
      </c>
      <c r="H26522" s="8" t="inlineStr">
        <is>
          <t>OPERATING</t>
        </is>
      </c>
    </row>
    <row r="26523">
      <c r="A26523" s="8" t="inlineStr">
        <is>
          <t>2026-08-05</t>
        </is>
      </c>
      <c r="B26523" s="8" t="n">
        <v>19</v>
      </c>
      <c r="C26523" s="8" t="n">
        <v>31</v>
      </c>
      <c r="D26523" s="8" t="inlineStr">
        <is>
          <t>Disney Adventure World</t>
        </is>
      </c>
      <c r="E26523" s="8" t="inlineStr">
        <is>
          <t>Cars Quatre Roues Rallye</t>
        </is>
      </c>
      <c r="F26523" s="8" t="inlineStr">
        <is>
          <t>STANDBY</t>
        </is>
      </c>
      <c r="G26523" s="8" t="n">
        <v>20</v>
      </c>
      <c r="H26523" s="8" t="inlineStr">
        <is>
          <t>OPERATING</t>
        </is>
      </c>
    </row>
    <row r="26524">
      <c r="A26524" s="8" t="inlineStr">
        <is>
          <t>2026-08-05</t>
        </is>
      </c>
      <c r="B26524" s="8" t="n">
        <v>19</v>
      </c>
      <c r="C26524" s="8" t="n">
        <v>31</v>
      </c>
      <c r="D26524" s="8" t="inlineStr">
        <is>
          <t>Disney Adventure World</t>
        </is>
      </c>
      <c r="E26524" s="8" t="inlineStr">
        <is>
          <t>Cars ROAD TRIP</t>
        </is>
      </c>
      <c r="F26524" s="8" t="inlineStr">
        <is>
          <t>STANDBY</t>
        </is>
      </c>
      <c r="G26524" s="8" t="n">
        <v>30</v>
      </c>
      <c r="H26524" s="8" t="inlineStr">
        <is>
          <t>OPERATING</t>
        </is>
      </c>
    </row>
    <row r="26525">
      <c r="A26525" s="8" t="inlineStr">
        <is>
          <t>2026-08-05</t>
        </is>
      </c>
      <c r="B26525" s="8" t="n">
        <v>19</v>
      </c>
      <c r="C26525" s="8" t="n">
        <v>31</v>
      </c>
      <c r="D26525" s="8" t="inlineStr">
        <is>
          <t>Disney Adventure World</t>
        </is>
      </c>
      <c r="E26525" s="8" t="inlineStr">
        <is>
          <t>Crush's Coaster</t>
        </is>
      </c>
      <c r="F26525" s="8" t="inlineStr">
        <is>
          <t>STANDBY</t>
        </is>
      </c>
      <c r="G26525" s="8" t="n">
        <v>75</v>
      </c>
      <c r="H26525" s="8" t="inlineStr">
        <is>
          <t>OPERATING</t>
        </is>
      </c>
    </row>
    <row r="26526">
      <c r="A26526" s="8" t="inlineStr">
        <is>
          <t>2026-08-05</t>
        </is>
      </c>
      <c r="B26526" s="8" t="n">
        <v>19</v>
      </c>
      <c r="C26526" s="8" t="n">
        <v>31</v>
      </c>
      <c r="D26526" s="8" t="inlineStr">
        <is>
          <t>Disney Adventure World</t>
        </is>
      </c>
      <c r="E26526" s="8" t="inlineStr">
        <is>
          <t>Crush's Coaster Single Rider</t>
        </is>
      </c>
      <c r="F26526" s="8" t="inlineStr">
        <is>
          <t>STANDBY</t>
        </is>
      </c>
      <c r="G26526" s="8" t="n">
        <v>50</v>
      </c>
      <c r="H26526" s="8" t="inlineStr">
        <is>
          <t>OPERATING</t>
        </is>
      </c>
    </row>
    <row r="26527">
      <c r="A26527" s="8" t="inlineStr">
        <is>
          <t>2026-08-05</t>
        </is>
      </c>
      <c r="B26527" s="8" t="n">
        <v>19</v>
      </c>
      <c r="C26527" s="8" t="n">
        <v>31</v>
      </c>
      <c r="D26527" s="8" t="inlineStr">
        <is>
          <t>Disney Adventure World</t>
        </is>
      </c>
      <c r="E26527" s="8" t="inlineStr">
        <is>
          <t>Les Tapis Volants - Flying Carpets Over Agrabah®</t>
        </is>
      </c>
      <c r="F26527" s="8" t="inlineStr">
        <is>
          <t>STANDBY</t>
        </is>
      </c>
      <c r="G26527" s="8" t="n">
        <v>15</v>
      </c>
      <c r="H26527" s="8" t="inlineStr">
        <is>
          <t>OPERATING</t>
        </is>
      </c>
    </row>
    <row r="26528">
      <c r="A26528" s="8" t="inlineStr">
        <is>
          <t>2026-08-05</t>
        </is>
      </c>
      <c r="B26528" s="8" t="n">
        <v>19</v>
      </c>
      <c r="C26528" s="8" t="n">
        <v>31</v>
      </c>
      <c r="D26528" s="8" t="inlineStr">
        <is>
          <t>Disney Adventure World</t>
        </is>
      </c>
      <c r="E26528" s="8" t="inlineStr">
        <is>
          <t>Ratatouille : L’Aventure Totalement Toquée de Rémy​</t>
        </is>
      </c>
      <c r="F26528" s="8" t="inlineStr">
        <is>
          <t>STANDBY</t>
        </is>
      </c>
      <c r="G26528" s="8" t="n">
        <v>45</v>
      </c>
      <c r="H26528" s="8" t="inlineStr">
        <is>
          <t>OPERATING</t>
        </is>
      </c>
    </row>
    <row r="26529">
      <c r="A26529" s="8" t="inlineStr">
        <is>
          <t>2026-08-05</t>
        </is>
      </c>
      <c r="B26529" s="8" t="n">
        <v>19</v>
      </c>
      <c r="C26529" s="8" t="n">
        <v>31</v>
      </c>
      <c r="D26529" s="8" t="inlineStr">
        <is>
          <t>Disney Adventure World</t>
        </is>
      </c>
      <c r="E26529" s="8" t="inlineStr">
        <is>
          <t>Ratatouille: The Adventure Single Rider</t>
        </is>
      </c>
      <c r="F26529" s="8" t="inlineStr">
        <is>
          <t>STANDBY</t>
        </is>
      </c>
      <c r="G26529" s="8" t="n">
        <v>20</v>
      </c>
      <c r="H26529" s="8" t="inlineStr">
        <is>
          <t>OPERATING</t>
        </is>
      </c>
    </row>
    <row r="26530">
      <c r="A26530" s="8" t="inlineStr">
        <is>
          <t>2026-08-05</t>
        </is>
      </c>
      <c r="B26530" s="8" t="n">
        <v>19</v>
      </c>
      <c r="C26530" s="8" t="n">
        <v>31</v>
      </c>
      <c r="D26530" s="8" t="inlineStr">
        <is>
          <t>Disney Adventure World</t>
        </is>
      </c>
      <c r="E26530" s="8" t="inlineStr">
        <is>
          <t>RC Racer</t>
        </is>
      </c>
      <c r="F26530" s="8" t="inlineStr">
        <is>
          <t>STANDBY</t>
        </is>
      </c>
      <c r="G26530" s="8" t="n">
        <v>40</v>
      </c>
      <c r="H26530" s="8" t="inlineStr">
        <is>
          <t>OPERATING</t>
        </is>
      </c>
    </row>
    <row r="26531">
      <c r="A26531" s="8" t="inlineStr">
        <is>
          <t>2026-08-05</t>
        </is>
      </c>
      <c r="B26531" s="8" t="n">
        <v>19</v>
      </c>
      <c r="C26531" s="8" t="n">
        <v>31</v>
      </c>
      <c r="D26531" s="8" t="inlineStr">
        <is>
          <t>Disney Adventure World</t>
        </is>
      </c>
      <c r="E26531" s="8" t="inlineStr">
        <is>
          <t>RC Racer Single Rider</t>
        </is>
      </c>
      <c r="F26531" s="8" t="inlineStr">
        <is>
          <t>STANDBY</t>
        </is>
      </c>
      <c r="G26531" s="8" t="n">
        <v>35</v>
      </c>
      <c r="H26531" s="8" t="inlineStr">
        <is>
          <t>OPERATING</t>
        </is>
      </c>
    </row>
    <row r="26532">
      <c r="A26532" s="8" t="inlineStr">
        <is>
          <t>2026-08-05</t>
        </is>
      </c>
      <c r="B26532" s="8" t="n">
        <v>19</v>
      </c>
      <c r="C26532" s="8" t="n">
        <v>31</v>
      </c>
      <c r="D26532" s="8" t="inlineStr">
        <is>
          <t>Disney Adventure World</t>
        </is>
      </c>
      <c r="E26532" s="8" t="inlineStr">
        <is>
          <t>Slinky® Dog Zigzag Spin</t>
        </is>
      </c>
      <c r="F26532" s="8" t="inlineStr">
        <is>
          <t>STANDBY</t>
        </is>
      </c>
      <c r="G26532" s="8" t="n">
        <v>15</v>
      </c>
      <c r="H26532" s="8" t="inlineStr">
        <is>
          <t>OPERATING</t>
        </is>
      </c>
    </row>
    <row r="26533">
      <c r="A26533" s="8" t="inlineStr">
        <is>
          <t>2026-08-05</t>
        </is>
      </c>
      <c r="B26533" s="8" t="n">
        <v>19</v>
      </c>
      <c r="C26533" s="8" t="n">
        <v>31</v>
      </c>
      <c r="D26533" s="8" t="inlineStr">
        <is>
          <t>Disney Adventure World</t>
        </is>
      </c>
      <c r="E26533" s="8" t="inlineStr">
        <is>
          <t>Toy Soldiers Parachute Drop</t>
        </is>
      </c>
      <c r="F26533" s="8" t="inlineStr">
        <is>
          <t>STANDBY</t>
        </is>
      </c>
      <c r="G26533" s="8" t="n">
        <v>45</v>
      </c>
      <c r="H26533" s="8" t="inlineStr">
        <is>
          <t>OPERATING</t>
        </is>
      </c>
    </row>
    <row r="26534">
      <c r="A26534" s="8" t="inlineStr">
        <is>
          <t>2026-08-05</t>
        </is>
      </c>
      <c r="B26534" s="8" t="n">
        <v>19</v>
      </c>
      <c r="C26534" s="8" t="n">
        <v>31</v>
      </c>
      <c r="D26534" s="8" t="inlineStr">
        <is>
          <t>Disney Adventure World</t>
        </is>
      </c>
      <c r="E26534" s="8" t="inlineStr">
        <is>
          <t>Toy Soldiers Parachute Drop Single Rider</t>
        </is>
      </c>
      <c r="F26534" s="8" t="inlineStr">
        <is>
          <t>STANDBY</t>
        </is>
      </c>
      <c r="G26534" s="8" t="n">
        <v>20</v>
      </c>
      <c r="H26534" s="8" t="inlineStr">
        <is>
          <t>OPERATING</t>
        </is>
      </c>
    </row>
    <row r="26535">
      <c r="A26535" s="8" t="inlineStr">
        <is>
          <t>2026-08-05</t>
        </is>
      </c>
      <c r="B26535" s="8" t="n">
        <v>19</v>
      </c>
      <c r="C26535" s="8" t="n">
        <v>31</v>
      </c>
      <c r="D26535" s="8" t="inlineStr">
        <is>
          <t>Disney Adventure World</t>
        </is>
      </c>
      <c r="E26535" s="8" t="inlineStr">
        <is>
          <t>Entry to World of Frozen</t>
        </is>
      </c>
      <c r="F26535" s="8" t="inlineStr">
        <is>
          <t>STANDBY</t>
        </is>
      </c>
      <c r="G26535" s="8" t="n">
        <v>0</v>
      </c>
      <c r="H26535" s="8" t="inlineStr">
        <is>
          <t>OPERATING</t>
        </is>
      </c>
    </row>
    <row r="26536">
      <c r="A26536" s="8" t="inlineStr">
        <is>
          <t>2026-08-05</t>
        </is>
      </c>
      <c r="B26536" s="8" t="n">
        <v>19</v>
      </c>
      <c r="C26536" s="8" t="n">
        <v>31</v>
      </c>
      <c r="D26536" s="8" t="inlineStr">
        <is>
          <t>Disney Adventure World</t>
        </is>
      </c>
      <c r="E26536" s="8" t="inlineStr">
        <is>
          <t>Frozen Ever After</t>
        </is>
      </c>
      <c r="F26536" s="8" t="inlineStr">
        <is>
          <t>STANDBY</t>
        </is>
      </c>
      <c r="G26536" s="8" t="n">
        <v>50</v>
      </c>
      <c r="H26536" s="8" t="inlineStr">
        <is>
          <t>OPERATING</t>
        </is>
      </c>
    </row>
    <row r="26537">
      <c r="A26537" s="8" t="inlineStr">
        <is>
          <t>2026-08-05</t>
        </is>
      </c>
      <c r="B26537" s="8" t="n">
        <v>19</v>
      </c>
      <c r="C26537" s="8" t="n">
        <v>31</v>
      </c>
      <c r="D26537" s="8" t="inlineStr">
        <is>
          <t>Disney Adventure World</t>
        </is>
      </c>
      <c r="E26537" s="8" t="inlineStr">
        <is>
          <t>Raiponce Tangled Spin</t>
        </is>
      </c>
      <c r="F26537" s="8" t="inlineStr">
        <is>
          <t>STANDBY</t>
        </is>
      </c>
      <c r="G26537" s="8" t="n">
        <v>5</v>
      </c>
      <c r="H26537" s="8" t="inlineStr">
        <is>
          <t>OPERATING</t>
        </is>
      </c>
    </row>
    <row r="26538">
      <c r="A26538" s="8" t="inlineStr">
        <is>
          <t>2026-08-05</t>
        </is>
      </c>
      <c r="B26538" s="8" t="n">
        <v>19</v>
      </c>
      <c r="C26538" s="8" t="n">
        <v>45</v>
      </c>
      <c r="D26538" s="8" t="inlineStr">
        <is>
          <t>Disneyland Park</t>
        </is>
      </c>
      <c r="E26538" s="8" t="inlineStr">
        <is>
          <t>Adventure Isle</t>
        </is>
      </c>
      <c r="F26538" s="8" t="inlineStr">
        <is>
          <t>STANDBY</t>
        </is>
      </c>
      <c r="G26538" s="8" t="n">
        <v>0</v>
      </c>
      <c r="H26538" s="8" t="inlineStr">
        <is>
          <t>OPERATING</t>
        </is>
      </c>
    </row>
    <row r="26539">
      <c r="A26539" s="8" t="inlineStr">
        <is>
          <t>2026-08-05</t>
        </is>
      </c>
      <c r="B26539" s="8" t="n">
        <v>19</v>
      </c>
      <c r="C26539" s="8" t="n">
        <v>45</v>
      </c>
      <c r="D26539" s="8" t="inlineStr">
        <is>
          <t>Disneyland Park</t>
        </is>
      </c>
      <c r="E26539" s="8" t="inlineStr">
        <is>
          <t>Indiana Jones and the Temple of Peril Single Rider</t>
        </is>
      </c>
      <c r="F26539" s="8" t="inlineStr">
        <is>
          <t>STANDBY</t>
        </is>
      </c>
      <c r="G26539" s="8" t="n">
        <v>5</v>
      </c>
      <c r="H26539" s="8" t="inlineStr">
        <is>
          <t>OPERATING</t>
        </is>
      </c>
    </row>
    <row r="26540">
      <c r="A26540" s="8" t="inlineStr">
        <is>
          <t>2026-08-05</t>
        </is>
      </c>
      <c r="B26540" s="8" t="n">
        <v>19</v>
      </c>
      <c r="C26540" s="8" t="n">
        <v>45</v>
      </c>
      <c r="D26540" s="8" t="inlineStr">
        <is>
          <t>Disneyland Park</t>
        </is>
      </c>
      <c r="E26540" s="8" t="inlineStr">
        <is>
          <t>Indiana Jones™ and the Temple of Peril</t>
        </is>
      </c>
      <c r="F26540" s="8" t="inlineStr">
        <is>
          <t>STANDBY</t>
        </is>
      </c>
      <c r="G26540" s="8" t="n">
        <v>15</v>
      </c>
      <c r="H26540" s="8" t="inlineStr">
        <is>
          <t>OPERATING</t>
        </is>
      </c>
    </row>
    <row r="26541">
      <c r="A26541" s="8" t="inlineStr">
        <is>
          <t>2026-08-05</t>
        </is>
      </c>
      <c r="B26541" s="8" t="n">
        <v>19</v>
      </c>
      <c r="C26541" s="8" t="n">
        <v>45</v>
      </c>
      <c r="D26541" s="8" t="inlineStr">
        <is>
          <t>Disneyland Park</t>
        </is>
      </c>
      <c r="E26541" s="8" t="inlineStr">
        <is>
          <t>La Cabane des Robinson</t>
        </is>
      </c>
      <c r="F26541" s="8" t="inlineStr">
        <is>
          <t>STANDBY</t>
        </is>
      </c>
      <c r="G26541" s="8" t="n">
        <v>5</v>
      </c>
      <c r="H26541" s="8" t="inlineStr">
        <is>
          <t>OPERATING</t>
        </is>
      </c>
    </row>
    <row r="26542">
      <c r="A26542" s="8" t="inlineStr">
        <is>
          <t>2026-08-05</t>
        </is>
      </c>
      <c r="B26542" s="8" t="n">
        <v>19</v>
      </c>
      <c r="C26542" s="8" t="n">
        <v>45</v>
      </c>
      <c r="D26542" s="8" t="inlineStr">
        <is>
          <t>Disneyland Park</t>
        </is>
      </c>
      <c r="E26542" s="8" t="inlineStr">
        <is>
          <t>Le Passage Enchanté d'Aladdin</t>
        </is>
      </c>
      <c r="F26542" s="8" t="inlineStr">
        <is>
          <t>STANDBY</t>
        </is>
      </c>
      <c r="G26542" s="8" t="n">
        <v>0</v>
      </c>
      <c r="H26542" s="8" t="inlineStr">
        <is>
          <t>OPERATING</t>
        </is>
      </c>
    </row>
    <row r="26543">
      <c r="A26543" s="8" t="inlineStr">
        <is>
          <t>2026-08-05</t>
        </is>
      </c>
      <c r="B26543" s="8" t="n">
        <v>19</v>
      </c>
      <c r="C26543" s="8" t="n">
        <v>45</v>
      </c>
      <c r="D26543" s="8" t="inlineStr">
        <is>
          <t>Disneyland Park</t>
        </is>
      </c>
      <c r="E26543" s="8" t="inlineStr">
        <is>
          <t>Pirate Galleon</t>
        </is>
      </c>
      <c r="F26543" s="8" t="inlineStr">
        <is>
          <t>STANDBY</t>
        </is>
      </c>
      <c r="G26543" s="8" t="n">
        <v>0</v>
      </c>
      <c r="H26543" s="8" t="inlineStr">
        <is>
          <t>CLOSED</t>
        </is>
      </c>
    </row>
    <row r="26544">
      <c r="A26544" s="8" t="inlineStr">
        <is>
          <t>2026-08-05</t>
        </is>
      </c>
      <c r="B26544" s="8" t="n">
        <v>19</v>
      </c>
      <c r="C26544" s="8" t="n">
        <v>45</v>
      </c>
      <c r="D26544" s="8" t="inlineStr">
        <is>
          <t>Disneyland Park</t>
        </is>
      </c>
      <c r="E26544" s="8" t="inlineStr">
        <is>
          <t>Pirates of the Caribbean</t>
        </is>
      </c>
      <c r="F26544" s="8" t="inlineStr">
        <is>
          <t>STANDBY</t>
        </is>
      </c>
      <c r="G26544" s="8" t="n">
        <v>5</v>
      </c>
      <c r="H26544" s="8" t="inlineStr">
        <is>
          <t>OPERATING</t>
        </is>
      </c>
    </row>
    <row r="26545">
      <c r="A26545" s="8" t="inlineStr">
        <is>
          <t>2026-08-05</t>
        </is>
      </c>
      <c r="B26545" s="8" t="n">
        <v>19</v>
      </c>
      <c r="C26545" s="8" t="n">
        <v>45</v>
      </c>
      <c r="D26545" s="8" t="inlineStr">
        <is>
          <t>Disneyland Park</t>
        </is>
      </c>
      <c r="E26545" s="8" t="inlineStr">
        <is>
          <t>Pirates' Beach</t>
        </is>
      </c>
      <c r="F26545" s="8" t="inlineStr">
        <is>
          <t>STANDBY</t>
        </is>
      </c>
      <c r="G26545" s="8" t="n">
        <v>0</v>
      </c>
      <c r="H26545" s="8" t="inlineStr">
        <is>
          <t>OPERATING</t>
        </is>
      </c>
    </row>
    <row r="26546">
      <c r="A26546" s="8" t="inlineStr">
        <is>
          <t>2026-08-05</t>
        </is>
      </c>
      <c r="B26546" s="8" t="n">
        <v>19</v>
      </c>
      <c r="C26546" s="8" t="n">
        <v>45</v>
      </c>
      <c r="D26546" s="8" t="inlineStr">
        <is>
          <t>Disneyland Park</t>
        </is>
      </c>
      <c r="E26546" s="8" t="inlineStr">
        <is>
          <t>Autopia, presented by Avis</t>
        </is>
      </c>
      <c r="F26546" s="8" t="inlineStr">
        <is>
          <t>STANDBY</t>
        </is>
      </c>
      <c r="G26546" s="8" t="n">
        <v>35</v>
      </c>
      <c r="H26546" s="8" t="inlineStr">
        <is>
          <t>OPERATING</t>
        </is>
      </c>
    </row>
    <row r="26547">
      <c r="A26547" s="8" t="inlineStr">
        <is>
          <t>2026-08-05</t>
        </is>
      </c>
      <c r="B26547" s="8" t="n">
        <v>19</v>
      </c>
      <c r="C26547" s="8" t="n">
        <v>45</v>
      </c>
      <c r="D26547" s="8" t="inlineStr">
        <is>
          <t>Disneyland Park</t>
        </is>
      </c>
      <c r="E26547" s="8" t="inlineStr">
        <is>
          <t>Buzz Lightyear Laser Blast</t>
        </is>
      </c>
      <c r="F26547" s="8" t="inlineStr">
        <is>
          <t>STANDBY</t>
        </is>
      </c>
      <c r="G26547" s="8" t="n">
        <v>45</v>
      </c>
      <c r="H26547" s="8" t="inlineStr">
        <is>
          <t>OPERATING</t>
        </is>
      </c>
    </row>
    <row r="26548">
      <c r="A26548" s="8" t="inlineStr">
        <is>
          <t>2026-08-05</t>
        </is>
      </c>
      <c r="B26548" s="8" t="n">
        <v>19</v>
      </c>
      <c r="C26548" s="8" t="n">
        <v>45</v>
      </c>
      <c r="D26548" s="8" t="inlineStr">
        <is>
          <t>Disneyland Park</t>
        </is>
      </c>
      <c r="E26548" s="8" t="inlineStr">
        <is>
          <t>Disneyland Railroad Discoveryland Station</t>
        </is>
      </c>
      <c r="F26548" s="8" t="inlineStr">
        <is>
          <t>STANDBY</t>
        </is>
      </c>
      <c r="G26548" s="8" t="n">
        <v>0</v>
      </c>
      <c r="H26548" s="8" t="inlineStr">
        <is>
          <t>CLOSED</t>
        </is>
      </c>
    </row>
    <row r="26549">
      <c r="A26549" s="8" t="inlineStr">
        <is>
          <t>2026-08-05</t>
        </is>
      </c>
      <c r="B26549" s="8" t="n">
        <v>19</v>
      </c>
      <c r="C26549" s="8" t="n">
        <v>45</v>
      </c>
      <c r="D26549" s="8" t="inlineStr">
        <is>
          <t>Disneyland Park</t>
        </is>
      </c>
      <c r="E26549" s="8" t="inlineStr">
        <is>
          <t>Les Mystères du Nautilus</t>
        </is>
      </c>
      <c r="F26549" s="8" t="inlineStr">
        <is>
          <t>STANDBY</t>
        </is>
      </c>
      <c r="G26549" s="8" t="n">
        <v>5</v>
      </c>
      <c r="H26549" s="8" t="inlineStr">
        <is>
          <t>OPERATING</t>
        </is>
      </c>
    </row>
    <row r="26550">
      <c r="A26550" s="8" t="inlineStr">
        <is>
          <t>2026-08-05</t>
        </is>
      </c>
      <c r="B26550" s="8" t="n">
        <v>19</v>
      </c>
      <c r="C26550" s="8" t="n">
        <v>45</v>
      </c>
      <c r="D26550" s="8" t="inlineStr">
        <is>
          <t>Disneyland Park</t>
        </is>
      </c>
      <c r="E26550" s="8" t="inlineStr">
        <is>
          <t>Mickey’s PhilharMagic</t>
        </is>
      </c>
      <c r="F26550" s="8" t="inlineStr">
        <is>
          <t>STANDBY</t>
        </is>
      </c>
      <c r="G26550" s="8" t="n">
        <v>0</v>
      </c>
      <c r="H26550" s="8" t="inlineStr">
        <is>
          <t>CLOSED</t>
        </is>
      </c>
    </row>
    <row r="26551">
      <c r="A26551" s="8" t="inlineStr">
        <is>
          <t>2026-08-05</t>
        </is>
      </c>
      <c r="B26551" s="8" t="n">
        <v>19</v>
      </c>
      <c r="C26551" s="8" t="n">
        <v>45</v>
      </c>
      <c r="D26551" s="8" t="inlineStr">
        <is>
          <t>Disneyland Park</t>
        </is>
      </c>
      <c r="E26551" s="8" t="inlineStr">
        <is>
          <t>Orbitron®</t>
        </is>
      </c>
      <c r="F26551" s="8" t="inlineStr">
        <is>
          <t>STANDBY</t>
        </is>
      </c>
      <c r="G26551" s="8" t="n">
        <v>40</v>
      </c>
      <c r="H26551" s="8" t="inlineStr">
        <is>
          <t>OPERATING</t>
        </is>
      </c>
    </row>
    <row r="26552">
      <c r="A26552" s="8" t="inlineStr">
        <is>
          <t>2026-08-05</t>
        </is>
      </c>
      <c r="B26552" s="8" t="n">
        <v>19</v>
      </c>
      <c r="C26552" s="8" t="n">
        <v>45</v>
      </c>
      <c r="D26552" s="8" t="inlineStr">
        <is>
          <t>Disneyland Park</t>
        </is>
      </c>
      <c r="E26552" s="8" t="inlineStr">
        <is>
          <t>Star Tours: The Adventures Continue*</t>
        </is>
      </c>
      <c r="F26552" s="8" t="inlineStr">
        <is>
          <t>STANDBY</t>
        </is>
      </c>
      <c r="G26552" s="8" t="n">
        <v>5</v>
      </c>
      <c r="H26552" s="8" t="inlineStr">
        <is>
          <t>OPERATING</t>
        </is>
      </c>
    </row>
    <row r="26553">
      <c r="A26553" s="8" t="inlineStr">
        <is>
          <t>2026-08-05</t>
        </is>
      </c>
      <c r="B26553" s="8" t="n">
        <v>19</v>
      </c>
      <c r="C26553" s="8" t="n">
        <v>45</v>
      </c>
      <c r="D26553" s="8" t="inlineStr">
        <is>
          <t>Disneyland Park</t>
        </is>
      </c>
      <c r="E26553" s="8" t="inlineStr">
        <is>
          <t>Star Wars Hyperspace Mountain</t>
        </is>
      </c>
      <c r="F26553" s="8" t="inlineStr">
        <is>
          <t>STANDBY</t>
        </is>
      </c>
      <c r="G26553" s="8" t="n">
        <v>35</v>
      </c>
      <c r="H26553" s="8" t="inlineStr">
        <is>
          <t>OPERATING</t>
        </is>
      </c>
    </row>
    <row r="26554">
      <c r="A26554" s="8" t="inlineStr">
        <is>
          <t>2026-08-05</t>
        </is>
      </c>
      <c r="B26554" s="8" t="n">
        <v>19</v>
      </c>
      <c r="C26554" s="8" t="n">
        <v>45</v>
      </c>
      <c r="D26554" s="8" t="inlineStr">
        <is>
          <t>Disneyland Park</t>
        </is>
      </c>
      <c r="E26554" s="8" t="inlineStr">
        <is>
          <t>Star Wars Hyperspace Mountain Single Rider</t>
        </is>
      </c>
      <c r="F26554" s="8" t="inlineStr">
        <is>
          <t>STANDBY</t>
        </is>
      </c>
      <c r="G26554" s="8" t="n">
        <v>0</v>
      </c>
      <c r="H26554" s="8" t="inlineStr">
        <is>
          <t>OPERATING</t>
        </is>
      </c>
    </row>
    <row r="26555">
      <c r="A26555" s="8" t="inlineStr">
        <is>
          <t>2026-08-05</t>
        </is>
      </c>
      <c r="B26555" s="8" t="n">
        <v>19</v>
      </c>
      <c r="C26555" s="8" t="n">
        <v>45</v>
      </c>
      <c r="D26555" s="8" t="inlineStr">
        <is>
          <t>Disneyland Park</t>
        </is>
      </c>
      <c r="E26555" s="8" t="inlineStr">
        <is>
          <t>Welcome to Starport: A Star Wars Encounter</t>
        </is>
      </c>
      <c r="F26555" s="8" t="inlineStr">
        <is>
          <t>STANDBY</t>
        </is>
      </c>
      <c r="G26555" s="8" t="n">
        <v>0</v>
      </c>
      <c r="H26555" s="8" t="inlineStr">
        <is>
          <t>CLOSED</t>
        </is>
      </c>
    </row>
    <row r="26556">
      <c r="A26556" s="8" t="inlineStr">
        <is>
          <t>2026-08-05</t>
        </is>
      </c>
      <c r="B26556" s="8" t="n">
        <v>19</v>
      </c>
      <c r="C26556" s="8" t="n">
        <v>45</v>
      </c>
      <c r="D26556" s="8" t="inlineStr">
        <is>
          <t>Disneyland Park</t>
        </is>
      </c>
      <c r="E26556" s="8" t="inlineStr">
        <is>
          <t>"it's a small world"</t>
        </is>
      </c>
      <c r="F26556" s="8" t="inlineStr">
        <is>
          <t>STANDBY</t>
        </is>
      </c>
      <c r="G26556" s="8" t="n">
        <v>5</v>
      </c>
      <c r="H26556" s="8" t="inlineStr">
        <is>
          <t>OPERATING</t>
        </is>
      </c>
    </row>
    <row r="26557">
      <c r="A26557" s="8" t="inlineStr">
        <is>
          <t>2026-08-05</t>
        </is>
      </c>
      <c r="B26557" s="8" t="n">
        <v>19</v>
      </c>
      <c r="C26557" s="8" t="n">
        <v>45</v>
      </c>
      <c r="D26557" s="8" t="inlineStr">
        <is>
          <t>Disneyland Park</t>
        </is>
      </c>
      <c r="E26557" s="8" t="inlineStr">
        <is>
          <t>Alice's Curious Labyrinth</t>
        </is>
      </c>
      <c r="F26557" s="8" t="inlineStr">
        <is>
          <t>STANDBY</t>
        </is>
      </c>
      <c r="G26557" s="8" t="n">
        <v>5</v>
      </c>
      <c r="H26557" s="8" t="inlineStr">
        <is>
          <t>OPERATING</t>
        </is>
      </c>
    </row>
    <row r="26558">
      <c r="A26558" s="8" t="inlineStr">
        <is>
          <t>2026-08-05</t>
        </is>
      </c>
      <c r="B26558" s="8" t="n">
        <v>19</v>
      </c>
      <c r="C26558" s="8" t="n">
        <v>45</v>
      </c>
      <c r="D26558" s="8" t="inlineStr">
        <is>
          <t>Disneyland Park</t>
        </is>
      </c>
      <c r="E26558" s="8" t="inlineStr">
        <is>
          <t>Blanche-Neige et les Sept Nains®</t>
        </is>
      </c>
      <c r="F26558" s="8" t="inlineStr">
        <is>
          <t>STANDBY</t>
        </is>
      </c>
      <c r="G26558" s="8" t="n">
        <v>30</v>
      </c>
      <c r="H26558" s="8" t="inlineStr">
        <is>
          <t>OPERATING</t>
        </is>
      </c>
    </row>
    <row r="26559">
      <c r="A26559" s="8" t="inlineStr">
        <is>
          <t>2026-08-05</t>
        </is>
      </c>
      <c r="B26559" s="8" t="n">
        <v>19</v>
      </c>
      <c r="C26559" s="8" t="n">
        <v>45</v>
      </c>
      <c r="D26559" s="8" t="inlineStr">
        <is>
          <t>Disneyland Park</t>
        </is>
      </c>
      <c r="E26559" s="8" t="inlineStr">
        <is>
          <t>Casey Jr. – le Petit Train du Cirque</t>
        </is>
      </c>
      <c r="F26559" s="8" t="inlineStr">
        <is>
          <t>STANDBY</t>
        </is>
      </c>
      <c r="G26559" s="8" t="n">
        <v>25</v>
      </c>
      <c r="H26559" s="8" t="inlineStr">
        <is>
          <t>OPERATING</t>
        </is>
      </c>
    </row>
    <row r="26560">
      <c r="A26560" s="8" t="inlineStr">
        <is>
          <t>2026-08-05</t>
        </is>
      </c>
      <c r="B26560" s="8" t="n">
        <v>19</v>
      </c>
      <c r="C26560" s="8" t="n">
        <v>45</v>
      </c>
      <c r="D26560" s="8" t="inlineStr">
        <is>
          <t>Disneyland Park</t>
        </is>
      </c>
      <c r="E26560" s="8" t="inlineStr">
        <is>
          <t>Disneyland Railroad Fantasyland Station</t>
        </is>
      </c>
      <c r="F26560" s="8" t="inlineStr">
        <is>
          <t>STANDBY</t>
        </is>
      </c>
      <c r="G26560" s="8" t="n">
        <v>0</v>
      </c>
      <c r="H26560" s="8" t="inlineStr">
        <is>
          <t>CLOSED</t>
        </is>
      </c>
    </row>
    <row r="26561">
      <c r="A26561" s="8" t="inlineStr">
        <is>
          <t>2026-08-05</t>
        </is>
      </c>
      <c r="B26561" s="8" t="n">
        <v>19</v>
      </c>
      <c r="C26561" s="8" t="n">
        <v>45</v>
      </c>
      <c r="D26561" s="8" t="inlineStr">
        <is>
          <t>Disneyland Park</t>
        </is>
      </c>
      <c r="E26561" s="8" t="inlineStr">
        <is>
          <t>Disneyland Railroad Main Street Station</t>
        </is>
      </c>
      <c r="F26561" s="8" t="inlineStr">
        <is>
          <t>STANDBY</t>
        </is>
      </c>
      <c r="G26561" s="8" t="n">
        <v>20</v>
      </c>
      <c r="H26561" s="8" t="inlineStr">
        <is>
          <t>OPERATING</t>
        </is>
      </c>
    </row>
    <row r="26562">
      <c r="A26562" s="8" t="inlineStr">
        <is>
          <t>2026-08-05</t>
        </is>
      </c>
      <c r="B26562" s="8" t="n">
        <v>19</v>
      </c>
      <c r="C26562" s="8" t="n">
        <v>45</v>
      </c>
      <c r="D26562" s="8" t="inlineStr">
        <is>
          <t>Disneyland Park</t>
        </is>
      </c>
      <c r="E26562" s="8" t="inlineStr">
        <is>
          <t>Dumbo the Flying Elephant</t>
        </is>
      </c>
      <c r="F26562" s="8" t="inlineStr">
        <is>
          <t>STANDBY</t>
        </is>
      </c>
      <c r="G26562" s="8" t="n">
        <v>35</v>
      </c>
      <c r="H26562" s="8" t="inlineStr">
        <is>
          <t>OPERATING</t>
        </is>
      </c>
    </row>
    <row r="26563">
      <c r="A26563" s="8" t="inlineStr">
        <is>
          <t>2026-08-05</t>
        </is>
      </c>
      <c r="B26563" s="8" t="n">
        <v>19</v>
      </c>
      <c r="C26563" s="8" t="n">
        <v>45</v>
      </c>
      <c r="D26563" s="8" t="inlineStr">
        <is>
          <t>Disneyland Park</t>
        </is>
      </c>
      <c r="E26563" s="8" t="inlineStr">
        <is>
          <t>La Tanière du Dragon</t>
        </is>
      </c>
      <c r="F26563" s="8" t="inlineStr">
        <is>
          <t>STANDBY</t>
        </is>
      </c>
      <c r="G26563" s="8" t="n">
        <v>0</v>
      </c>
      <c r="H26563" s="8" t="inlineStr">
        <is>
          <t>OPERATING</t>
        </is>
      </c>
    </row>
    <row r="26564">
      <c r="A26564" s="8" t="inlineStr">
        <is>
          <t>2026-08-05</t>
        </is>
      </c>
      <c r="B26564" s="8" t="n">
        <v>19</v>
      </c>
      <c r="C26564" s="8" t="n">
        <v>45</v>
      </c>
      <c r="D26564" s="8" t="inlineStr">
        <is>
          <t>Disneyland Park</t>
        </is>
      </c>
      <c r="E26564" s="8" t="inlineStr">
        <is>
          <t>Le Carrousel de Lancelot</t>
        </is>
      </c>
      <c r="F26564" s="8" t="inlineStr">
        <is>
          <t>STANDBY</t>
        </is>
      </c>
      <c r="G26564" s="8" t="n">
        <v>15</v>
      </c>
      <c r="H26564" s="8" t="inlineStr">
        <is>
          <t>OPERATING</t>
        </is>
      </c>
    </row>
    <row r="26565">
      <c r="A26565" s="8" t="inlineStr">
        <is>
          <t>2026-08-05</t>
        </is>
      </c>
      <c r="B26565" s="8" t="n">
        <v>19</v>
      </c>
      <c r="C26565" s="8" t="n">
        <v>45</v>
      </c>
      <c r="D26565" s="8" t="inlineStr">
        <is>
          <t>Disneyland Park</t>
        </is>
      </c>
      <c r="E26565" s="8" t="inlineStr">
        <is>
          <t>Le Pays des Contes de Fées, presented by Vittel</t>
        </is>
      </c>
      <c r="F26565" s="8" t="inlineStr">
        <is>
          <t>STANDBY</t>
        </is>
      </c>
      <c r="G26565" s="8" t="n">
        <v>5</v>
      </c>
      <c r="H26565" s="8" t="inlineStr">
        <is>
          <t>OPERATING</t>
        </is>
      </c>
    </row>
    <row r="26566">
      <c r="A26566" s="8" t="inlineStr">
        <is>
          <t>2026-08-05</t>
        </is>
      </c>
      <c r="B26566" s="8" t="n">
        <v>19</v>
      </c>
      <c r="C26566" s="8" t="n">
        <v>45</v>
      </c>
      <c r="D26566" s="8" t="inlineStr">
        <is>
          <t>Disneyland Park</t>
        </is>
      </c>
      <c r="E26566" s="8" t="inlineStr">
        <is>
          <t>Les Voyages de Pinocchio</t>
        </is>
      </c>
      <c r="F26566" s="8" t="inlineStr">
        <is>
          <t>STANDBY</t>
        </is>
      </c>
      <c r="G26566" s="8" t="n">
        <v>15</v>
      </c>
      <c r="H26566" s="8" t="inlineStr">
        <is>
          <t>OPERATING</t>
        </is>
      </c>
    </row>
    <row r="26567">
      <c r="A26567" s="8" t="inlineStr">
        <is>
          <t>2026-08-05</t>
        </is>
      </c>
      <c r="B26567" s="8" t="n">
        <v>19</v>
      </c>
      <c r="C26567" s="8" t="n">
        <v>45</v>
      </c>
      <c r="D26567" s="8" t="inlineStr">
        <is>
          <t>Disneyland Park</t>
        </is>
      </c>
      <c r="E26567" s="8" t="inlineStr">
        <is>
          <t>Mad Hatter's Tea Cups</t>
        </is>
      </c>
      <c r="F26567" s="8" t="inlineStr">
        <is>
          <t>STANDBY</t>
        </is>
      </c>
      <c r="G26567" s="8" t="n">
        <v>5</v>
      </c>
      <c r="H26567" s="8" t="inlineStr">
        <is>
          <t>OPERATING</t>
        </is>
      </c>
    </row>
    <row r="26568">
      <c r="A26568" s="8" t="inlineStr">
        <is>
          <t>2026-08-05</t>
        </is>
      </c>
      <c r="B26568" s="8" t="n">
        <v>19</v>
      </c>
      <c r="C26568" s="8" t="n">
        <v>45</v>
      </c>
      <c r="D26568" s="8" t="inlineStr">
        <is>
          <t>Disneyland Park</t>
        </is>
      </c>
      <c r="E26568" s="8" t="inlineStr">
        <is>
          <t>Meet Mickey Mouse</t>
        </is>
      </c>
      <c r="F26568" s="8" t="inlineStr">
        <is>
          <t>STANDBY</t>
        </is>
      </c>
      <c r="G26568" s="8" t="n">
        <v>0</v>
      </c>
      <c r="H26568" s="8" t="inlineStr">
        <is>
          <t>CLOSED</t>
        </is>
      </c>
    </row>
    <row r="26569">
      <c r="A26569" s="8" t="inlineStr">
        <is>
          <t>2026-08-05</t>
        </is>
      </c>
      <c r="B26569" s="8" t="n">
        <v>19</v>
      </c>
      <c r="C26569" s="8" t="n">
        <v>45</v>
      </c>
      <c r="D26569" s="8" t="inlineStr">
        <is>
          <t>Disneyland Park</t>
        </is>
      </c>
      <c r="E26569" s="8" t="inlineStr">
        <is>
          <t>Peter Pan's Flight</t>
        </is>
      </c>
      <c r="F26569" s="8" t="inlineStr">
        <is>
          <t>STANDBY</t>
        </is>
      </c>
      <c r="G26569" s="8" t="n">
        <v>50</v>
      </c>
      <c r="H26569" s="8" t="inlineStr">
        <is>
          <t>OPERATING</t>
        </is>
      </c>
    </row>
    <row r="26570">
      <c r="A26570" s="8" t="inlineStr">
        <is>
          <t>2026-08-05</t>
        </is>
      </c>
      <c r="B26570" s="8" t="n">
        <v>19</v>
      </c>
      <c r="C26570" s="8" t="n">
        <v>45</v>
      </c>
      <c r="D26570" s="8" t="inlineStr">
        <is>
          <t>Disneyland Park</t>
        </is>
      </c>
      <c r="E26570" s="8" t="inlineStr">
        <is>
          <t>Princess Pavilion</t>
        </is>
      </c>
      <c r="F26570" s="8" t="inlineStr">
        <is>
          <t>STANDBY</t>
        </is>
      </c>
      <c r="G26570" s="8" t="n">
        <v>0</v>
      </c>
      <c r="H26570" s="8" t="inlineStr">
        <is>
          <t>CLOSED</t>
        </is>
      </c>
    </row>
    <row r="26571">
      <c r="A26571" s="8" t="inlineStr">
        <is>
          <t>2026-08-05</t>
        </is>
      </c>
      <c r="B26571" s="8" t="n">
        <v>19</v>
      </c>
      <c r="C26571" s="8" t="n">
        <v>45</v>
      </c>
      <c r="D26571" s="8" t="inlineStr">
        <is>
          <t>Disneyland Park</t>
        </is>
      </c>
      <c r="E26571" s="8" t="inlineStr">
        <is>
          <t>Big Thunder Mountain</t>
        </is>
      </c>
      <c r="F26571" s="8" t="inlineStr">
        <is>
          <t>STANDBY</t>
        </is>
      </c>
      <c r="G26571" s="8" t="n">
        <v>50</v>
      </c>
      <c r="H26571" s="8" t="inlineStr">
        <is>
          <t>OPERATING</t>
        </is>
      </c>
    </row>
    <row r="26572">
      <c r="A26572" s="8" t="inlineStr">
        <is>
          <t>2026-08-05</t>
        </is>
      </c>
      <c r="B26572" s="8" t="n">
        <v>19</v>
      </c>
      <c r="C26572" s="8" t="n">
        <v>45</v>
      </c>
      <c r="D26572" s="8" t="inlineStr">
        <is>
          <t>Disneyland Park</t>
        </is>
      </c>
      <c r="E26572" s="8" t="inlineStr">
        <is>
          <t>Disneyland Railroad Frontierland Depot</t>
        </is>
      </c>
      <c r="F26572" s="8" t="inlineStr">
        <is>
          <t>STANDBY</t>
        </is>
      </c>
      <c r="G26572" s="8" t="n">
        <v>10</v>
      </c>
      <c r="H26572" s="8" t="inlineStr">
        <is>
          <t>OPERATING</t>
        </is>
      </c>
    </row>
    <row r="26573">
      <c r="A26573" s="8" t="inlineStr">
        <is>
          <t>2026-08-05</t>
        </is>
      </c>
      <c r="B26573" s="8" t="n">
        <v>19</v>
      </c>
      <c r="C26573" s="8" t="n">
        <v>45</v>
      </c>
      <c r="D26573" s="8" t="inlineStr">
        <is>
          <t>Disneyland Park</t>
        </is>
      </c>
      <c r="E26573" s="8" t="inlineStr">
        <is>
          <t>Frontierland Playground</t>
        </is>
      </c>
      <c r="F26573" s="8" t="inlineStr">
        <is>
          <t>STANDBY</t>
        </is>
      </c>
      <c r="G26573" s="8" t="n">
        <v>0</v>
      </c>
      <c r="H26573" s="8" t="inlineStr">
        <is>
          <t>OPERATING</t>
        </is>
      </c>
    </row>
    <row r="26574">
      <c r="A26574" s="8" t="inlineStr">
        <is>
          <t>2026-08-05</t>
        </is>
      </c>
      <c r="B26574" s="8" t="n">
        <v>19</v>
      </c>
      <c r="C26574" s="8" t="n">
        <v>45</v>
      </c>
      <c r="D26574" s="8" t="inlineStr">
        <is>
          <t>Disneyland Park</t>
        </is>
      </c>
      <c r="E26574" s="8" t="inlineStr">
        <is>
          <t>Phantom Manor</t>
        </is>
      </c>
      <c r="F26574" s="8" t="inlineStr">
        <is>
          <t>STANDBY</t>
        </is>
      </c>
      <c r="G26574" s="8" t="n">
        <v>5</v>
      </c>
      <c r="H26574" s="8" t="inlineStr">
        <is>
          <t>OPERATING</t>
        </is>
      </c>
    </row>
    <row r="26575">
      <c r="A26575" s="8" t="inlineStr">
        <is>
          <t>2026-08-05</t>
        </is>
      </c>
      <c r="B26575" s="8" t="n">
        <v>19</v>
      </c>
      <c r="C26575" s="8" t="n">
        <v>45</v>
      </c>
      <c r="D26575" s="8" t="inlineStr">
        <is>
          <t>Disneyland Park</t>
        </is>
      </c>
      <c r="E26575" s="8" t="inlineStr">
        <is>
          <t>River Rogue Keelboats</t>
        </is>
      </c>
      <c r="F26575" s="8" t="inlineStr">
        <is>
          <t>STANDBY</t>
        </is>
      </c>
      <c r="G26575" s="8" t="n">
        <v>0</v>
      </c>
      <c r="H26575" s="8" t="inlineStr">
        <is>
          <t>CLOSED</t>
        </is>
      </c>
    </row>
    <row r="26576">
      <c r="A26576" s="8" t="inlineStr">
        <is>
          <t>2026-08-05</t>
        </is>
      </c>
      <c r="B26576" s="8" t="n">
        <v>19</v>
      </c>
      <c r="C26576" s="8" t="n">
        <v>45</v>
      </c>
      <c r="D26576" s="8" t="inlineStr">
        <is>
          <t>Disneyland Park</t>
        </is>
      </c>
      <c r="E26576" s="8" t="inlineStr">
        <is>
          <t>Rustler Roundup Shootin' Gallery</t>
        </is>
      </c>
      <c r="F26576" s="8" t="inlineStr">
        <is>
          <t>STANDBY</t>
        </is>
      </c>
      <c r="G26576" s="8" t="n">
        <v>0</v>
      </c>
      <c r="H26576" s="8" t="inlineStr">
        <is>
          <t>OPERATING</t>
        </is>
      </c>
    </row>
    <row r="26577">
      <c r="A26577" s="8" t="inlineStr">
        <is>
          <t>2026-08-05</t>
        </is>
      </c>
      <c r="B26577" s="8" t="n">
        <v>19</v>
      </c>
      <c r="C26577" s="8" t="n">
        <v>45</v>
      </c>
      <c r="D26577" s="8" t="inlineStr">
        <is>
          <t>Disneyland Park</t>
        </is>
      </c>
      <c r="E26577" s="8" t="inlineStr">
        <is>
          <t>Thunder Mesa Riverboat Landing</t>
        </is>
      </c>
      <c r="F26577" s="8" t="inlineStr">
        <is>
          <t>STANDBY</t>
        </is>
      </c>
      <c r="G26577" s="8" t="n">
        <v>0</v>
      </c>
      <c r="H26577" s="8" t="inlineStr">
        <is>
          <t>CLOSED</t>
        </is>
      </c>
    </row>
    <row r="26578">
      <c r="A26578" s="8" t="inlineStr">
        <is>
          <t>2026-08-05</t>
        </is>
      </c>
      <c r="B26578" s="8" t="n">
        <v>19</v>
      </c>
      <c r="C26578" s="8" t="n">
        <v>45</v>
      </c>
      <c r="D26578" s="8" t="inlineStr">
        <is>
          <t>Disneyland Park</t>
        </is>
      </c>
      <c r="E26578" s="8" t="inlineStr">
        <is>
          <t>Disneyland Railroad Main Street Station</t>
        </is>
      </c>
      <c r="F26578" s="8" t="inlineStr">
        <is>
          <t>STANDBY</t>
        </is>
      </c>
      <c r="G26578" s="8" t="n">
        <v>0</v>
      </c>
      <c r="H26578" s="8" t="inlineStr">
        <is>
          <t>OPERATING</t>
        </is>
      </c>
    </row>
    <row r="26579">
      <c r="A26579" s="8" t="inlineStr">
        <is>
          <t>2026-08-05</t>
        </is>
      </c>
      <c r="B26579" s="8" t="n">
        <v>19</v>
      </c>
      <c r="C26579" s="8" t="n">
        <v>45</v>
      </c>
      <c r="D26579" s="8" t="inlineStr">
        <is>
          <t>Disneyland Park</t>
        </is>
      </c>
      <c r="E26579" s="8" t="inlineStr">
        <is>
          <t>Main Street Vehicles</t>
        </is>
      </c>
      <c r="F26579" s="8" t="inlineStr">
        <is>
          <t>STANDBY</t>
        </is>
      </c>
      <c r="G26579" s="8" t="n">
        <v>0</v>
      </c>
      <c r="H26579" s="8" t="inlineStr">
        <is>
          <t>CLOSED</t>
        </is>
      </c>
    </row>
    <row r="26580">
      <c r="A26580" s="8" t="inlineStr">
        <is>
          <t>2026-08-05</t>
        </is>
      </c>
      <c r="B26580" s="8" t="n">
        <v>19</v>
      </c>
      <c r="C26580" s="8" t="n">
        <v>45</v>
      </c>
      <c r="D26580" s="8" t="inlineStr">
        <is>
          <t>Disney Adventure World</t>
        </is>
      </c>
      <c r="E26580" s="8" t="inlineStr">
        <is>
          <t>Avengers Assemble: Flight Force</t>
        </is>
      </c>
      <c r="F26580" s="8" t="inlineStr">
        <is>
          <t>STANDBY</t>
        </is>
      </c>
      <c r="G26580" s="8" t="n">
        <v>15</v>
      </c>
      <c r="H26580" s="8" t="inlineStr">
        <is>
          <t>OPERATING</t>
        </is>
      </c>
    </row>
    <row r="26581">
      <c r="A26581" s="8" t="inlineStr">
        <is>
          <t>2026-08-05</t>
        </is>
      </c>
      <c r="B26581" s="8" t="n">
        <v>19</v>
      </c>
      <c r="C26581" s="8" t="n">
        <v>45</v>
      </c>
      <c r="D26581" s="8" t="inlineStr">
        <is>
          <t>Disney Adventure World</t>
        </is>
      </c>
      <c r="E26581" s="8" t="inlineStr">
        <is>
          <t>Avengers Assemble: Flight Force Single Rider</t>
        </is>
      </c>
      <c r="F26581" s="8" t="inlineStr">
        <is>
          <t>STANDBY</t>
        </is>
      </c>
      <c r="G26581" s="8" t="n">
        <v>5</v>
      </c>
      <c r="H26581" s="8" t="inlineStr">
        <is>
          <t>OPERATING</t>
        </is>
      </c>
    </row>
    <row r="26582">
      <c r="A26582" s="8" t="inlineStr">
        <is>
          <t>2026-08-05</t>
        </is>
      </c>
      <c r="B26582" s="8" t="n">
        <v>19</v>
      </c>
      <c r="C26582" s="8" t="n">
        <v>45</v>
      </c>
      <c r="D26582" s="8" t="inlineStr">
        <is>
          <t>Disney Adventure World</t>
        </is>
      </c>
      <c r="E26582" s="8" t="inlineStr">
        <is>
          <t>Spider-Man W.E.B. Adventure</t>
        </is>
      </c>
      <c r="F26582" s="8" t="inlineStr">
        <is>
          <t>STANDBY</t>
        </is>
      </c>
      <c r="G26582" s="8" t="n">
        <v>50</v>
      </c>
      <c r="H26582" s="8" t="inlineStr">
        <is>
          <t>OPERATING</t>
        </is>
      </c>
    </row>
    <row r="26583">
      <c r="A26583" s="8" t="inlineStr">
        <is>
          <t>2026-08-05</t>
        </is>
      </c>
      <c r="B26583" s="8" t="n">
        <v>19</v>
      </c>
      <c r="C26583" s="8" t="n">
        <v>45</v>
      </c>
      <c r="D26583" s="8" t="inlineStr">
        <is>
          <t>Disney Adventure World</t>
        </is>
      </c>
      <c r="E26583" s="8" t="inlineStr">
        <is>
          <t>Spider-Man W.E.B. Adventure Single Rider</t>
        </is>
      </c>
      <c r="F26583" s="8" t="inlineStr">
        <is>
          <t>STANDBY</t>
        </is>
      </c>
      <c r="G26583" s="8" t="n">
        <v>20</v>
      </c>
      <c r="H26583" s="8" t="inlineStr">
        <is>
          <t>OPERATING</t>
        </is>
      </c>
    </row>
    <row r="26584">
      <c r="A26584" s="8" t="inlineStr">
        <is>
          <t>2026-08-05</t>
        </is>
      </c>
      <c r="B26584" s="8" t="n">
        <v>19</v>
      </c>
      <c r="C26584" s="8" t="n">
        <v>45</v>
      </c>
      <c r="D26584" s="8" t="inlineStr">
        <is>
          <t>Disney Adventure World</t>
        </is>
      </c>
      <c r="E26584" s="8" t="inlineStr">
        <is>
          <t>The Twilight Zone Tower of Terror</t>
        </is>
      </c>
      <c r="F26584" s="8" t="inlineStr">
        <is>
          <t>STANDBY</t>
        </is>
      </c>
      <c r="G26584" s="8" t="n">
        <v>25</v>
      </c>
      <c r="H26584" s="8" t="inlineStr">
        <is>
          <t>OPERATING</t>
        </is>
      </c>
    </row>
    <row r="26585">
      <c r="A26585" s="8" t="inlineStr">
        <is>
          <t>2026-08-05</t>
        </is>
      </c>
      <c r="B26585" s="8" t="n">
        <v>19</v>
      </c>
      <c r="C26585" s="8" t="n">
        <v>45</v>
      </c>
      <c r="D26585" s="8" t="inlineStr">
        <is>
          <t>Disney Adventure World</t>
        </is>
      </c>
      <c r="E26585" s="8" t="inlineStr">
        <is>
          <t>Cars Quatre Roues Rallye</t>
        </is>
      </c>
      <c r="F26585" s="8" t="inlineStr">
        <is>
          <t>STANDBY</t>
        </is>
      </c>
      <c r="G26585" s="8" t="n">
        <v>20</v>
      </c>
      <c r="H26585" s="8" t="inlineStr">
        <is>
          <t>OPERATING</t>
        </is>
      </c>
    </row>
    <row r="26586">
      <c r="A26586" s="8" t="inlineStr">
        <is>
          <t>2026-08-05</t>
        </is>
      </c>
      <c r="B26586" s="8" t="n">
        <v>19</v>
      </c>
      <c r="C26586" s="8" t="n">
        <v>45</v>
      </c>
      <c r="D26586" s="8" t="inlineStr">
        <is>
          <t>Disney Adventure World</t>
        </is>
      </c>
      <c r="E26586" s="8" t="inlineStr">
        <is>
          <t>Cars ROAD TRIP</t>
        </is>
      </c>
      <c r="F26586" s="8" t="inlineStr">
        <is>
          <t>STANDBY</t>
        </is>
      </c>
      <c r="G26586" s="8" t="n">
        <v>40</v>
      </c>
      <c r="H26586" s="8" t="inlineStr">
        <is>
          <t>OPERATING</t>
        </is>
      </c>
    </row>
    <row r="26587">
      <c r="A26587" s="8" t="inlineStr">
        <is>
          <t>2026-08-05</t>
        </is>
      </c>
      <c r="B26587" s="8" t="n">
        <v>19</v>
      </c>
      <c r="C26587" s="8" t="n">
        <v>45</v>
      </c>
      <c r="D26587" s="8" t="inlineStr">
        <is>
          <t>Disney Adventure World</t>
        </is>
      </c>
      <c r="E26587" s="8" t="inlineStr">
        <is>
          <t>Crush's Coaster</t>
        </is>
      </c>
      <c r="F26587" s="8" t="inlineStr">
        <is>
          <t>STANDBY</t>
        </is>
      </c>
      <c r="G26587" s="8" t="n">
        <v>100</v>
      </c>
      <c r="H26587" s="8" t="inlineStr">
        <is>
          <t>OPERATING</t>
        </is>
      </c>
    </row>
    <row r="26588">
      <c r="A26588" s="8" t="inlineStr">
        <is>
          <t>2026-08-05</t>
        </is>
      </c>
      <c r="B26588" s="8" t="n">
        <v>19</v>
      </c>
      <c r="C26588" s="8" t="n">
        <v>45</v>
      </c>
      <c r="D26588" s="8" t="inlineStr">
        <is>
          <t>Disney Adventure World</t>
        </is>
      </c>
      <c r="E26588" s="8" t="inlineStr">
        <is>
          <t>Crush's Coaster Single Rider</t>
        </is>
      </c>
      <c r="F26588" s="8" t="inlineStr">
        <is>
          <t>STANDBY</t>
        </is>
      </c>
      <c r="G26588" s="8" t="n">
        <v>45</v>
      </c>
      <c r="H26588" s="8" t="inlineStr">
        <is>
          <t>OPERATING</t>
        </is>
      </c>
    </row>
    <row r="26589">
      <c r="A26589" s="8" t="inlineStr">
        <is>
          <t>2026-08-05</t>
        </is>
      </c>
      <c r="B26589" s="8" t="n">
        <v>19</v>
      </c>
      <c r="C26589" s="8" t="n">
        <v>45</v>
      </c>
      <c r="D26589" s="8" t="inlineStr">
        <is>
          <t>Disney Adventure World</t>
        </is>
      </c>
      <c r="E26589" s="8" t="inlineStr">
        <is>
          <t>Les Tapis Volants - Flying Carpets Over Agrabah®</t>
        </is>
      </c>
      <c r="F26589" s="8" t="inlineStr">
        <is>
          <t>STANDBY</t>
        </is>
      </c>
      <c r="G26589" s="8" t="n">
        <v>15</v>
      </c>
      <c r="H26589" s="8" t="inlineStr">
        <is>
          <t>OPERATING</t>
        </is>
      </c>
    </row>
    <row r="26590">
      <c r="A26590" s="8" t="inlineStr">
        <is>
          <t>2026-08-05</t>
        </is>
      </c>
      <c r="B26590" s="8" t="n">
        <v>19</v>
      </c>
      <c r="C26590" s="8" t="n">
        <v>45</v>
      </c>
      <c r="D26590" s="8" t="inlineStr">
        <is>
          <t>Disney Adventure World</t>
        </is>
      </c>
      <c r="E26590" s="8" t="inlineStr">
        <is>
          <t>Ratatouille : L’Aventure Totalement Toquée de Rémy​</t>
        </is>
      </c>
      <c r="F26590" s="8" t="inlineStr">
        <is>
          <t>STANDBY</t>
        </is>
      </c>
      <c r="G26590" s="8" t="n">
        <v>55</v>
      </c>
      <c r="H26590" s="8" t="inlineStr">
        <is>
          <t>OPERATING</t>
        </is>
      </c>
    </row>
    <row r="26591">
      <c r="A26591" s="8" t="inlineStr">
        <is>
          <t>2026-08-05</t>
        </is>
      </c>
      <c r="B26591" s="8" t="n">
        <v>19</v>
      </c>
      <c r="C26591" s="8" t="n">
        <v>45</v>
      </c>
      <c r="D26591" s="8" t="inlineStr">
        <is>
          <t>Disney Adventure World</t>
        </is>
      </c>
      <c r="E26591" s="8" t="inlineStr">
        <is>
          <t>Ratatouille: The Adventure Single Rider</t>
        </is>
      </c>
      <c r="F26591" s="8" t="inlineStr">
        <is>
          <t>STANDBY</t>
        </is>
      </c>
      <c r="G26591" s="8" t="n">
        <v>20</v>
      </c>
      <c r="H26591" s="8" t="inlineStr">
        <is>
          <t>OPERATING</t>
        </is>
      </c>
    </row>
    <row r="26592">
      <c r="A26592" s="8" t="inlineStr">
        <is>
          <t>2026-08-05</t>
        </is>
      </c>
      <c r="B26592" s="8" t="n">
        <v>19</v>
      </c>
      <c r="C26592" s="8" t="n">
        <v>45</v>
      </c>
      <c r="D26592" s="8" t="inlineStr">
        <is>
          <t>Disney Adventure World</t>
        </is>
      </c>
      <c r="E26592" s="8" t="inlineStr">
        <is>
          <t>RC Racer</t>
        </is>
      </c>
      <c r="F26592" s="8" t="inlineStr">
        <is>
          <t>STANDBY</t>
        </is>
      </c>
      <c r="G26592" s="8" t="n">
        <v>40</v>
      </c>
      <c r="H26592" s="8" t="inlineStr">
        <is>
          <t>OPERATING</t>
        </is>
      </c>
    </row>
    <row r="26593">
      <c r="A26593" s="8" t="inlineStr">
        <is>
          <t>2026-08-05</t>
        </is>
      </c>
      <c r="B26593" s="8" t="n">
        <v>19</v>
      </c>
      <c r="C26593" s="8" t="n">
        <v>45</v>
      </c>
      <c r="D26593" s="8" t="inlineStr">
        <is>
          <t>Disney Adventure World</t>
        </is>
      </c>
      <c r="E26593" s="8" t="inlineStr">
        <is>
          <t>RC Racer Single Rider</t>
        </is>
      </c>
      <c r="F26593" s="8" t="inlineStr">
        <is>
          <t>STANDBY</t>
        </is>
      </c>
      <c r="G26593" s="8" t="n">
        <v>35</v>
      </c>
      <c r="H26593" s="8" t="inlineStr">
        <is>
          <t>OPERATING</t>
        </is>
      </c>
    </row>
    <row r="26594">
      <c r="A26594" s="8" t="inlineStr">
        <is>
          <t>2026-08-05</t>
        </is>
      </c>
      <c r="B26594" s="8" t="n">
        <v>19</v>
      </c>
      <c r="C26594" s="8" t="n">
        <v>45</v>
      </c>
      <c r="D26594" s="8" t="inlineStr">
        <is>
          <t>Disney Adventure World</t>
        </is>
      </c>
      <c r="E26594" s="8" t="inlineStr">
        <is>
          <t>Slinky® Dog Zigzag Spin</t>
        </is>
      </c>
      <c r="F26594" s="8" t="inlineStr">
        <is>
          <t>STANDBY</t>
        </is>
      </c>
      <c r="G26594" s="8" t="n">
        <v>15</v>
      </c>
      <c r="H26594" s="8" t="inlineStr">
        <is>
          <t>OPERATING</t>
        </is>
      </c>
    </row>
    <row r="26595">
      <c r="A26595" s="8" t="inlineStr">
        <is>
          <t>2026-08-05</t>
        </is>
      </c>
      <c r="B26595" s="8" t="n">
        <v>19</v>
      </c>
      <c r="C26595" s="8" t="n">
        <v>45</v>
      </c>
      <c r="D26595" s="8" t="inlineStr">
        <is>
          <t>Disney Adventure World</t>
        </is>
      </c>
      <c r="E26595" s="8" t="inlineStr">
        <is>
          <t>Toy Soldiers Parachute Drop</t>
        </is>
      </c>
      <c r="F26595" s="8" t="inlineStr">
        <is>
          <t>STANDBY</t>
        </is>
      </c>
      <c r="G26595" s="8" t="n">
        <v>40</v>
      </c>
      <c r="H26595" s="8" t="inlineStr">
        <is>
          <t>OPERATING</t>
        </is>
      </c>
    </row>
    <row r="26596">
      <c r="A26596" s="8" t="inlineStr">
        <is>
          <t>2026-08-05</t>
        </is>
      </c>
      <c r="B26596" s="8" t="n">
        <v>19</v>
      </c>
      <c r="C26596" s="8" t="n">
        <v>45</v>
      </c>
      <c r="D26596" s="8" t="inlineStr">
        <is>
          <t>Disney Adventure World</t>
        </is>
      </c>
      <c r="E26596" s="8" t="inlineStr">
        <is>
          <t>Toy Soldiers Parachute Drop Single Rider</t>
        </is>
      </c>
      <c r="F26596" s="8" t="inlineStr">
        <is>
          <t>STANDBY</t>
        </is>
      </c>
      <c r="G26596" s="8" t="n">
        <v>20</v>
      </c>
      <c r="H26596" s="8" t="inlineStr">
        <is>
          <t>OPERATING</t>
        </is>
      </c>
    </row>
    <row r="26597">
      <c r="A26597" s="8" t="inlineStr">
        <is>
          <t>2026-08-05</t>
        </is>
      </c>
      <c r="B26597" s="8" t="n">
        <v>19</v>
      </c>
      <c r="C26597" s="8" t="n">
        <v>45</v>
      </c>
      <c r="D26597" s="8" t="inlineStr">
        <is>
          <t>Disney Adventure World</t>
        </is>
      </c>
      <c r="E26597" s="8" t="inlineStr">
        <is>
          <t>Entry to World of Frozen</t>
        </is>
      </c>
      <c r="F26597" s="8" t="inlineStr">
        <is>
          <t>STANDBY</t>
        </is>
      </c>
      <c r="G26597" s="8" t="n">
        <v>0</v>
      </c>
      <c r="H26597" s="8" t="inlineStr">
        <is>
          <t>OPERATING</t>
        </is>
      </c>
    </row>
    <row r="26598">
      <c r="A26598" s="8" t="inlineStr">
        <is>
          <t>2026-08-05</t>
        </is>
      </c>
      <c r="B26598" s="8" t="n">
        <v>19</v>
      </c>
      <c r="C26598" s="8" t="n">
        <v>45</v>
      </c>
      <c r="D26598" s="8" t="inlineStr">
        <is>
          <t>Disney Adventure World</t>
        </is>
      </c>
      <c r="E26598" s="8" t="inlineStr">
        <is>
          <t>Frozen Ever After</t>
        </is>
      </c>
      <c r="F26598" s="8" t="inlineStr">
        <is>
          <t>STANDBY</t>
        </is>
      </c>
      <c r="G26598" s="8" t="n">
        <v>55</v>
      </c>
      <c r="H26598" s="8" t="inlineStr">
        <is>
          <t>OPERATING</t>
        </is>
      </c>
    </row>
    <row r="26599">
      <c r="A26599" s="8" t="inlineStr">
        <is>
          <t>2026-08-05</t>
        </is>
      </c>
      <c r="B26599" s="8" t="n">
        <v>19</v>
      </c>
      <c r="C26599" s="8" t="n">
        <v>45</v>
      </c>
      <c r="D26599" s="8" t="inlineStr">
        <is>
          <t>Disney Adventure World</t>
        </is>
      </c>
      <c r="E26599" s="8" t="inlineStr">
        <is>
          <t>Raiponce Tangled Spin</t>
        </is>
      </c>
      <c r="F26599" s="8" t="inlineStr">
        <is>
          <t>STANDBY</t>
        </is>
      </c>
      <c r="G26599" s="8" t="n">
        <v>5</v>
      </c>
      <c r="H26599" s="8" t="inlineStr">
        <is>
          <t>OPERATING</t>
        </is>
      </c>
    </row>
    <row r="26600">
      <c r="A26600" s="8" t="inlineStr">
        <is>
          <t>2026-08-05</t>
        </is>
      </c>
      <c r="B26600" s="8" t="n">
        <v>20</v>
      </c>
      <c r="C26600" s="8" t="n">
        <v>1</v>
      </c>
      <c r="D26600" s="8" t="inlineStr">
        <is>
          <t>Disneyland Park</t>
        </is>
      </c>
      <c r="E26600" s="8" t="inlineStr">
        <is>
          <t>Adventure Isle</t>
        </is>
      </c>
      <c r="F26600" s="8" t="inlineStr">
        <is>
          <t>STANDBY</t>
        </is>
      </c>
      <c r="G26600" s="8" t="n">
        <v>0</v>
      </c>
      <c r="H26600" s="8" t="inlineStr">
        <is>
          <t>OPERATING</t>
        </is>
      </c>
    </row>
    <row r="26601">
      <c r="A26601" s="8" t="inlineStr">
        <is>
          <t>2026-08-05</t>
        </is>
      </c>
      <c r="B26601" s="8" t="n">
        <v>20</v>
      </c>
      <c r="C26601" s="8" t="n">
        <v>1</v>
      </c>
      <c r="D26601" s="8" t="inlineStr">
        <is>
          <t>Disneyland Park</t>
        </is>
      </c>
      <c r="E26601" s="8" t="inlineStr">
        <is>
          <t>Indiana Jones and the Temple of Peril Single Rider</t>
        </is>
      </c>
      <c r="F26601" s="8" t="inlineStr">
        <is>
          <t>STANDBY</t>
        </is>
      </c>
      <c r="G26601" s="8" t="n">
        <v>5</v>
      </c>
      <c r="H26601" s="8" t="inlineStr">
        <is>
          <t>OPERATING</t>
        </is>
      </c>
    </row>
    <row r="26602">
      <c r="A26602" s="8" t="inlineStr">
        <is>
          <t>2026-08-05</t>
        </is>
      </c>
      <c r="B26602" s="8" t="n">
        <v>20</v>
      </c>
      <c r="C26602" s="8" t="n">
        <v>1</v>
      </c>
      <c r="D26602" s="8" t="inlineStr">
        <is>
          <t>Disneyland Park</t>
        </is>
      </c>
      <c r="E26602" s="8" t="inlineStr">
        <is>
          <t>Indiana Jones™ and the Temple of Peril</t>
        </is>
      </c>
      <c r="F26602" s="8" t="inlineStr">
        <is>
          <t>STANDBY</t>
        </is>
      </c>
      <c r="G26602" s="8" t="n">
        <v>15</v>
      </c>
      <c r="H26602" s="8" t="inlineStr">
        <is>
          <t>OPERATING</t>
        </is>
      </c>
    </row>
    <row r="26603">
      <c r="A26603" s="8" t="inlineStr">
        <is>
          <t>2026-08-05</t>
        </is>
      </c>
      <c r="B26603" s="8" t="n">
        <v>20</v>
      </c>
      <c r="C26603" s="8" t="n">
        <v>1</v>
      </c>
      <c r="D26603" s="8" t="inlineStr">
        <is>
          <t>Disneyland Park</t>
        </is>
      </c>
      <c r="E26603" s="8" t="inlineStr">
        <is>
          <t>La Cabane des Robinson</t>
        </is>
      </c>
      <c r="F26603" s="8" t="inlineStr">
        <is>
          <t>STANDBY</t>
        </is>
      </c>
      <c r="G26603" s="8" t="n">
        <v>5</v>
      </c>
      <c r="H26603" s="8" t="inlineStr">
        <is>
          <t>OPERATING</t>
        </is>
      </c>
    </row>
    <row r="26604">
      <c r="A26604" s="8" t="inlineStr">
        <is>
          <t>2026-08-05</t>
        </is>
      </c>
      <c r="B26604" s="8" t="n">
        <v>20</v>
      </c>
      <c r="C26604" s="8" t="n">
        <v>1</v>
      </c>
      <c r="D26604" s="8" t="inlineStr">
        <is>
          <t>Disneyland Park</t>
        </is>
      </c>
      <c r="E26604" s="8" t="inlineStr">
        <is>
          <t>Le Passage Enchanté d'Aladdin</t>
        </is>
      </c>
      <c r="F26604" s="8" t="inlineStr">
        <is>
          <t>STANDBY</t>
        </is>
      </c>
      <c r="G26604" s="8" t="n">
        <v>0</v>
      </c>
      <c r="H26604" s="8" t="inlineStr">
        <is>
          <t>OPERATING</t>
        </is>
      </c>
    </row>
    <row r="26605">
      <c r="A26605" s="8" t="inlineStr">
        <is>
          <t>2026-08-05</t>
        </is>
      </c>
      <c r="B26605" s="8" t="n">
        <v>20</v>
      </c>
      <c r="C26605" s="8" t="n">
        <v>1</v>
      </c>
      <c r="D26605" s="8" t="inlineStr">
        <is>
          <t>Disneyland Park</t>
        </is>
      </c>
      <c r="E26605" s="8" t="inlineStr">
        <is>
          <t>Pirate Galleon</t>
        </is>
      </c>
      <c r="F26605" s="8" t="inlineStr">
        <is>
          <t>STANDBY</t>
        </is>
      </c>
      <c r="G26605" s="8" t="n">
        <v>0</v>
      </c>
      <c r="H26605" s="8" t="inlineStr">
        <is>
          <t>CLOSED</t>
        </is>
      </c>
    </row>
    <row r="26606">
      <c r="A26606" s="8" t="inlineStr">
        <is>
          <t>2026-08-05</t>
        </is>
      </c>
      <c r="B26606" s="8" t="n">
        <v>20</v>
      </c>
      <c r="C26606" s="8" t="n">
        <v>1</v>
      </c>
      <c r="D26606" s="8" t="inlineStr">
        <is>
          <t>Disneyland Park</t>
        </is>
      </c>
      <c r="E26606" s="8" t="inlineStr">
        <is>
          <t>Pirates of the Caribbean</t>
        </is>
      </c>
      <c r="F26606" s="8" t="inlineStr">
        <is>
          <t>STANDBY</t>
        </is>
      </c>
      <c r="G26606" s="8" t="n">
        <v>10</v>
      </c>
      <c r="H26606" s="8" t="inlineStr">
        <is>
          <t>OPERATING</t>
        </is>
      </c>
    </row>
    <row r="26607">
      <c r="A26607" s="8" t="inlineStr">
        <is>
          <t>2026-08-05</t>
        </is>
      </c>
      <c r="B26607" s="8" t="n">
        <v>20</v>
      </c>
      <c r="C26607" s="8" t="n">
        <v>1</v>
      </c>
      <c r="D26607" s="8" t="inlineStr">
        <is>
          <t>Disneyland Park</t>
        </is>
      </c>
      <c r="E26607" s="8" t="inlineStr">
        <is>
          <t>Pirates' Beach</t>
        </is>
      </c>
      <c r="F26607" s="8" t="inlineStr">
        <is>
          <t>STANDBY</t>
        </is>
      </c>
      <c r="G26607" s="8" t="n">
        <v>0</v>
      </c>
      <c r="H26607" s="8" t="inlineStr">
        <is>
          <t>OPERATING</t>
        </is>
      </c>
    </row>
    <row r="26608">
      <c r="A26608" s="8" t="inlineStr">
        <is>
          <t>2026-08-05</t>
        </is>
      </c>
      <c r="B26608" s="8" t="n">
        <v>20</v>
      </c>
      <c r="C26608" s="8" t="n">
        <v>1</v>
      </c>
      <c r="D26608" s="8" t="inlineStr">
        <is>
          <t>Disneyland Park</t>
        </is>
      </c>
      <c r="E26608" s="8" t="inlineStr">
        <is>
          <t>Autopia, presented by Avis</t>
        </is>
      </c>
      <c r="F26608" s="8" t="inlineStr">
        <is>
          <t>STANDBY</t>
        </is>
      </c>
      <c r="G26608" s="8" t="n">
        <v>60</v>
      </c>
      <c r="H26608" s="8" t="inlineStr">
        <is>
          <t>OPERATING</t>
        </is>
      </c>
    </row>
    <row r="26609">
      <c r="A26609" s="8" t="inlineStr">
        <is>
          <t>2026-08-05</t>
        </is>
      </c>
      <c r="B26609" s="8" t="n">
        <v>20</v>
      </c>
      <c r="C26609" s="8" t="n">
        <v>1</v>
      </c>
      <c r="D26609" s="8" t="inlineStr">
        <is>
          <t>Disneyland Park</t>
        </is>
      </c>
      <c r="E26609" s="8" t="inlineStr">
        <is>
          <t>Buzz Lightyear Laser Blast</t>
        </is>
      </c>
      <c r="F26609" s="8" t="inlineStr">
        <is>
          <t>STANDBY</t>
        </is>
      </c>
      <c r="G26609" s="8" t="n">
        <v>35</v>
      </c>
      <c r="H26609" s="8" t="inlineStr">
        <is>
          <t>OPERATING</t>
        </is>
      </c>
    </row>
    <row r="26610">
      <c r="A26610" s="8" t="inlineStr">
        <is>
          <t>2026-08-05</t>
        </is>
      </c>
      <c r="B26610" s="8" t="n">
        <v>20</v>
      </c>
      <c r="C26610" s="8" t="n">
        <v>1</v>
      </c>
      <c r="D26610" s="8" t="inlineStr">
        <is>
          <t>Disneyland Park</t>
        </is>
      </c>
      <c r="E26610" s="8" t="inlineStr">
        <is>
          <t>Disneyland Railroad Discoveryland Station</t>
        </is>
      </c>
      <c r="F26610" s="8" t="inlineStr">
        <is>
          <t>STANDBY</t>
        </is>
      </c>
      <c r="G26610" s="8" t="n">
        <v>0</v>
      </c>
      <c r="H26610" s="8" t="inlineStr">
        <is>
          <t>CLOSED</t>
        </is>
      </c>
    </row>
    <row r="26611">
      <c r="A26611" s="8" t="inlineStr">
        <is>
          <t>2026-08-05</t>
        </is>
      </c>
      <c r="B26611" s="8" t="n">
        <v>20</v>
      </c>
      <c r="C26611" s="8" t="n">
        <v>1</v>
      </c>
      <c r="D26611" s="8" t="inlineStr">
        <is>
          <t>Disneyland Park</t>
        </is>
      </c>
      <c r="E26611" s="8" t="inlineStr">
        <is>
          <t>Les Mystères du Nautilus</t>
        </is>
      </c>
      <c r="F26611" s="8" t="inlineStr">
        <is>
          <t>STANDBY</t>
        </is>
      </c>
      <c r="G26611" s="8" t="n">
        <v>5</v>
      </c>
      <c r="H26611" s="8" t="inlineStr">
        <is>
          <t>OPERATING</t>
        </is>
      </c>
    </row>
    <row r="26612">
      <c r="A26612" s="8" t="inlineStr">
        <is>
          <t>2026-08-05</t>
        </is>
      </c>
      <c r="B26612" s="8" t="n">
        <v>20</v>
      </c>
      <c r="C26612" s="8" t="n">
        <v>1</v>
      </c>
      <c r="D26612" s="8" t="inlineStr">
        <is>
          <t>Disneyland Park</t>
        </is>
      </c>
      <c r="E26612" s="8" t="inlineStr">
        <is>
          <t>Mickey’s PhilharMagic</t>
        </is>
      </c>
      <c r="F26612" s="8" t="inlineStr">
        <is>
          <t>STANDBY</t>
        </is>
      </c>
      <c r="G26612" s="8" t="n">
        <v>0</v>
      </c>
      <c r="H26612" s="8" t="inlineStr">
        <is>
          <t>CLOSED</t>
        </is>
      </c>
    </row>
    <row r="26613">
      <c r="A26613" s="8" t="inlineStr">
        <is>
          <t>2026-08-05</t>
        </is>
      </c>
      <c r="B26613" s="8" t="n">
        <v>20</v>
      </c>
      <c r="C26613" s="8" t="n">
        <v>1</v>
      </c>
      <c r="D26613" s="8" t="inlineStr">
        <is>
          <t>Disneyland Park</t>
        </is>
      </c>
      <c r="E26613" s="8" t="inlineStr">
        <is>
          <t>Orbitron®</t>
        </is>
      </c>
      <c r="F26613" s="8" t="inlineStr">
        <is>
          <t>STANDBY</t>
        </is>
      </c>
      <c r="G26613" s="8" t="n">
        <v>50</v>
      </c>
      <c r="H26613" s="8" t="inlineStr">
        <is>
          <t>OPERATING</t>
        </is>
      </c>
    </row>
    <row r="26614">
      <c r="A26614" s="8" t="inlineStr">
        <is>
          <t>2026-08-05</t>
        </is>
      </c>
      <c r="B26614" s="8" t="n">
        <v>20</v>
      </c>
      <c r="C26614" s="8" t="n">
        <v>1</v>
      </c>
      <c r="D26614" s="8" t="inlineStr">
        <is>
          <t>Disneyland Park</t>
        </is>
      </c>
      <c r="E26614" s="8" t="inlineStr">
        <is>
          <t>Star Tours: The Adventures Continue*</t>
        </is>
      </c>
      <c r="F26614" s="8" t="inlineStr">
        <is>
          <t>STANDBY</t>
        </is>
      </c>
      <c r="G26614" s="8" t="n">
        <v>10</v>
      </c>
      <c r="H26614" s="8" t="inlineStr">
        <is>
          <t>OPERATING</t>
        </is>
      </c>
    </row>
    <row r="26615">
      <c r="A26615" s="8" t="inlineStr">
        <is>
          <t>2026-08-05</t>
        </is>
      </c>
      <c r="B26615" s="8" t="n">
        <v>20</v>
      </c>
      <c r="C26615" s="8" t="n">
        <v>1</v>
      </c>
      <c r="D26615" s="8" t="inlineStr">
        <is>
          <t>Disneyland Park</t>
        </is>
      </c>
      <c r="E26615" s="8" t="inlineStr">
        <is>
          <t>Star Wars Hyperspace Mountain</t>
        </is>
      </c>
      <c r="F26615" s="8" t="inlineStr">
        <is>
          <t>STANDBY</t>
        </is>
      </c>
      <c r="G26615" s="8" t="n">
        <v>30</v>
      </c>
      <c r="H26615" s="8" t="inlineStr">
        <is>
          <t>OPERATING</t>
        </is>
      </c>
    </row>
    <row r="26616">
      <c r="A26616" s="8" t="inlineStr">
        <is>
          <t>2026-08-05</t>
        </is>
      </c>
      <c r="B26616" s="8" t="n">
        <v>20</v>
      </c>
      <c r="C26616" s="8" t="n">
        <v>1</v>
      </c>
      <c r="D26616" s="8" t="inlineStr">
        <is>
          <t>Disneyland Park</t>
        </is>
      </c>
      <c r="E26616" s="8" t="inlineStr">
        <is>
          <t>Star Wars Hyperspace Mountain Single Rider</t>
        </is>
      </c>
      <c r="F26616" s="8" t="inlineStr">
        <is>
          <t>STANDBY</t>
        </is>
      </c>
      <c r="G26616" s="8" t="n">
        <v>0</v>
      </c>
      <c r="H26616" s="8" t="inlineStr">
        <is>
          <t>OPERATING</t>
        </is>
      </c>
    </row>
    <row r="26617">
      <c r="A26617" s="8" t="inlineStr">
        <is>
          <t>2026-08-05</t>
        </is>
      </c>
      <c r="B26617" s="8" t="n">
        <v>20</v>
      </c>
      <c r="C26617" s="8" t="n">
        <v>1</v>
      </c>
      <c r="D26617" s="8" t="inlineStr">
        <is>
          <t>Disneyland Park</t>
        </is>
      </c>
      <c r="E26617" s="8" t="inlineStr">
        <is>
          <t>Welcome to Starport: A Star Wars Encounter</t>
        </is>
      </c>
      <c r="F26617" s="8" t="inlineStr">
        <is>
          <t>STANDBY</t>
        </is>
      </c>
      <c r="G26617" s="8" t="n">
        <v>0</v>
      </c>
      <c r="H26617" s="8" t="inlineStr">
        <is>
          <t>CLOSED</t>
        </is>
      </c>
    </row>
    <row r="26618">
      <c r="A26618" s="8" t="inlineStr">
        <is>
          <t>2026-08-05</t>
        </is>
      </c>
      <c r="B26618" s="8" t="n">
        <v>20</v>
      </c>
      <c r="C26618" s="8" t="n">
        <v>1</v>
      </c>
      <c r="D26618" s="8" t="inlineStr">
        <is>
          <t>Disneyland Park</t>
        </is>
      </c>
      <c r="E26618" s="8" t="inlineStr">
        <is>
          <t>"it's a small world"</t>
        </is>
      </c>
      <c r="F26618" s="8" t="inlineStr">
        <is>
          <t>STANDBY</t>
        </is>
      </c>
      <c r="G26618" s="8" t="n">
        <v>5</v>
      </c>
      <c r="H26618" s="8" t="inlineStr">
        <is>
          <t>OPERATING</t>
        </is>
      </c>
    </row>
    <row r="26619">
      <c r="A26619" s="8" t="inlineStr">
        <is>
          <t>2026-08-05</t>
        </is>
      </c>
      <c r="B26619" s="8" t="n">
        <v>20</v>
      </c>
      <c r="C26619" s="8" t="n">
        <v>1</v>
      </c>
      <c r="D26619" s="8" t="inlineStr">
        <is>
          <t>Disneyland Park</t>
        </is>
      </c>
      <c r="E26619" s="8" t="inlineStr">
        <is>
          <t>Alice's Curious Labyrinth</t>
        </is>
      </c>
      <c r="F26619" s="8" t="inlineStr">
        <is>
          <t>STANDBY</t>
        </is>
      </c>
      <c r="G26619" s="8" t="n">
        <v>5</v>
      </c>
      <c r="H26619" s="8" t="inlineStr">
        <is>
          <t>OPERATING</t>
        </is>
      </c>
    </row>
    <row r="26620">
      <c r="A26620" s="8" t="inlineStr">
        <is>
          <t>2026-08-05</t>
        </is>
      </c>
      <c r="B26620" s="8" t="n">
        <v>20</v>
      </c>
      <c r="C26620" s="8" t="n">
        <v>1</v>
      </c>
      <c r="D26620" s="8" t="inlineStr">
        <is>
          <t>Disneyland Park</t>
        </is>
      </c>
      <c r="E26620" s="8" t="inlineStr">
        <is>
          <t>Blanche-Neige et les Sept Nains®</t>
        </is>
      </c>
      <c r="F26620" s="8" t="inlineStr">
        <is>
          <t>STANDBY</t>
        </is>
      </c>
      <c r="G26620" s="8" t="n">
        <v>30</v>
      </c>
      <c r="H26620" s="8" t="inlineStr">
        <is>
          <t>OPERATING</t>
        </is>
      </c>
    </row>
    <row r="26621">
      <c r="A26621" s="8" t="inlineStr">
        <is>
          <t>2026-08-05</t>
        </is>
      </c>
      <c r="B26621" s="8" t="n">
        <v>20</v>
      </c>
      <c r="C26621" s="8" t="n">
        <v>1</v>
      </c>
      <c r="D26621" s="8" t="inlineStr">
        <is>
          <t>Disneyland Park</t>
        </is>
      </c>
      <c r="E26621" s="8" t="inlineStr">
        <is>
          <t>Casey Jr. – le Petit Train du Cirque</t>
        </is>
      </c>
      <c r="F26621" s="8" t="inlineStr">
        <is>
          <t>STANDBY</t>
        </is>
      </c>
      <c r="G26621" s="8" t="n">
        <v>25</v>
      </c>
      <c r="H26621" s="8" t="inlineStr">
        <is>
          <t>OPERATING</t>
        </is>
      </c>
    </row>
    <row r="26622">
      <c r="A26622" s="8" t="inlineStr">
        <is>
          <t>2026-08-05</t>
        </is>
      </c>
      <c r="B26622" s="8" t="n">
        <v>20</v>
      </c>
      <c r="C26622" s="8" t="n">
        <v>1</v>
      </c>
      <c r="D26622" s="8" t="inlineStr">
        <is>
          <t>Disneyland Park</t>
        </is>
      </c>
      <c r="E26622" s="8" t="inlineStr">
        <is>
          <t>Disneyland Railroad Fantasyland Station</t>
        </is>
      </c>
      <c r="F26622" s="8" t="inlineStr">
        <is>
          <t>STANDBY</t>
        </is>
      </c>
      <c r="G26622" s="8" t="n">
        <v>0</v>
      </c>
      <c r="H26622" s="8" t="inlineStr">
        <is>
          <t>CLOSED</t>
        </is>
      </c>
    </row>
    <row r="26623">
      <c r="A26623" s="8" t="inlineStr">
        <is>
          <t>2026-08-05</t>
        </is>
      </c>
      <c r="B26623" s="8" t="n">
        <v>20</v>
      </c>
      <c r="C26623" s="8" t="n">
        <v>1</v>
      </c>
      <c r="D26623" s="8" t="inlineStr">
        <is>
          <t>Disneyland Park</t>
        </is>
      </c>
      <c r="E26623" s="8" t="inlineStr">
        <is>
          <t>Disneyland Railroad Main Street Station</t>
        </is>
      </c>
      <c r="F26623" s="8" t="inlineStr">
        <is>
          <t>STANDBY</t>
        </is>
      </c>
      <c r="G26623" s="8" t="n">
        <v>0</v>
      </c>
      <c r="H26623" s="8" t="inlineStr">
        <is>
          <t>CLOSED</t>
        </is>
      </c>
    </row>
    <row r="26624">
      <c r="A26624" s="8" t="inlineStr">
        <is>
          <t>2026-08-05</t>
        </is>
      </c>
      <c r="B26624" s="8" t="n">
        <v>20</v>
      </c>
      <c r="C26624" s="8" t="n">
        <v>1</v>
      </c>
      <c r="D26624" s="8" t="inlineStr">
        <is>
          <t>Disneyland Park</t>
        </is>
      </c>
      <c r="E26624" s="8" t="inlineStr">
        <is>
          <t>Dumbo the Flying Elephant</t>
        </is>
      </c>
      <c r="F26624" s="8" t="inlineStr">
        <is>
          <t>STANDBY</t>
        </is>
      </c>
      <c r="G26624" s="8" t="n">
        <v>35</v>
      </c>
      <c r="H26624" s="8" t="inlineStr">
        <is>
          <t>OPERATING</t>
        </is>
      </c>
    </row>
    <row r="26625">
      <c r="A26625" s="8" t="inlineStr">
        <is>
          <t>2026-08-05</t>
        </is>
      </c>
      <c r="B26625" s="8" t="n">
        <v>20</v>
      </c>
      <c r="C26625" s="8" t="n">
        <v>1</v>
      </c>
      <c r="D26625" s="8" t="inlineStr">
        <is>
          <t>Disneyland Park</t>
        </is>
      </c>
      <c r="E26625" s="8" t="inlineStr">
        <is>
          <t>La Tanière du Dragon</t>
        </is>
      </c>
      <c r="F26625" s="8" t="inlineStr">
        <is>
          <t>STANDBY</t>
        </is>
      </c>
      <c r="G26625" s="8" t="n">
        <v>0</v>
      </c>
      <c r="H26625" s="8" t="inlineStr">
        <is>
          <t>OPERATING</t>
        </is>
      </c>
    </row>
    <row r="26626">
      <c r="A26626" s="8" t="inlineStr">
        <is>
          <t>2026-08-05</t>
        </is>
      </c>
      <c r="B26626" s="8" t="n">
        <v>20</v>
      </c>
      <c r="C26626" s="8" t="n">
        <v>1</v>
      </c>
      <c r="D26626" s="8" t="inlineStr">
        <is>
          <t>Disneyland Park</t>
        </is>
      </c>
      <c r="E26626" s="8" t="inlineStr">
        <is>
          <t>Le Carrousel de Lancelot</t>
        </is>
      </c>
      <c r="F26626" s="8" t="inlineStr">
        <is>
          <t>STANDBY</t>
        </is>
      </c>
      <c r="G26626" s="8" t="n">
        <v>15</v>
      </c>
      <c r="H26626" s="8" t="inlineStr">
        <is>
          <t>OPERATING</t>
        </is>
      </c>
    </row>
    <row r="26627">
      <c r="A26627" s="8" t="inlineStr">
        <is>
          <t>2026-08-05</t>
        </is>
      </c>
      <c r="B26627" s="8" t="n">
        <v>20</v>
      </c>
      <c r="C26627" s="8" t="n">
        <v>1</v>
      </c>
      <c r="D26627" s="8" t="inlineStr">
        <is>
          <t>Disneyland Park</t>
        </is>
      </c>
      <c r="E26627" s="8" t="inlineStr">
        <is>
          <t>Le Pays des Contes de Fées, presented by Vittel</t>
        </is>
      </c>
      <c r="F26627" s="8" t="inlineStr">
        <is>
          <t>STANDBY</t>
        </is>
      </c>
      <c r="G26627" s="8" t="n">
        <v>5</v>
      </c>
      <c r="H26627" s="8" t="inlineStr">
        <is>
          <t>OPERATING</t>
        </is>
      </c>
    </row>
    <row r="26628">
      <c r="A26628" s="8" t="inlineStr">
        <is>
          <t>2026-08-05</t>
        </is>
      </c>
      <c r="B26628" s="8" t="n">
        <v>20</v>
      </c>
      <c r="C26628" s="8" t="n">
        <v>1</v>
      </c>
      <c r="D26628" s="8" t="inlineStr">
        <is>
          <t>Disneyland Park</t>
        </is>
      </c>
      <c r="E26628" s="8" t="inlineStr">
        <is>
          <t>Les Voyages de Pinocchio</t>
        </is>
      </c>
      <c r="F26628" s="8" t="inlineStr">
        <is>
          <t>STANDBY</t>
        </is>
      </c>
      <c r="G26628" s="8" t="n">
        <v>15</v>
      </c>
      <c r="H26628" s="8" t="inlineStr">
        <is>
          <t>OPERATING</t>
        </is>
      </c>
    </row>
    <row r="26629">
      <c r="A26629" s="8" t="inlineStr">
        <is>
          <t>2026-08-05</t>
        </is>
      </c>
      <c r="B26629" s="8" t="n">
        <v>20</v>
      </c>
      <c r="C26629" s="8" t="n">
        <v>1</v>
      </c>
      <c r="D26629" s="8" t="inlineStr">
        <is>
          <t>Disneyland Park</t>
        </is>
      </c>
      <c r="E26629" s="8" t="inlineStr">
        <is>
          <t>Mad Hatter's Tea Cups</t>
        </is>
      </c>
      <c r="F26629" s="8" t="inlineStr">
        <is>
          <t>STANDBY</t>
        </is>
      </c>
      <c r="G26629" s="8" t="n">
        <v>5</v>
      </c>
      <c r="H26629" s="8" t="inlineStr">
        <is>
          <t>OPERATING</t>
        </is>
      </c>
    </row>
    <row r="26630">
      <c r="A26630" s="8" t="inlineStr">
        <is>
          <t>2026-08-05</t>
        </is>
      </c>
      <c r="B26630" s="8" t="n">
        <v>20</v>
      </c>
      <c r="C26630" s="8" t="n">
        <v>1</v>
      </c>
      <c r="D26630" s="8" t="inlineStr">
        <is>
          <t>Disneyland Park</t>
        </is>
      </c>
      <c r="E26630" s="8" t="inlineStr">
        <is>
          <t>Meet Mickey Mouse</t>
        </is>
      </c>
      <c r="F26630" s="8" t="inlineStr">
        <is>
          <t>STANDBY</t>
        </is>
      </c>
      <c r="G26630" s="8" t="n">
        <v>0</v>
      </c>
      <c r="H26630" s="8" t="inlineStr">
        <is>
          <t>CLOSED</t>
        </is>
      </c>
    </row>
    <row r="26631">
      <c r="A26631" s="8" t="inlineStr">
        <is>
          <t>2026-08-05</t>
        </is>
      </c>
      <c r="B26631" s="8" t="n">
        <v>20</v>
      </c>
      <c r="C26631" s="8" t="n">
        <v>1</v>
      </c>
      <c r="D26631" s="8" t="inlineStr">
        <is>
          <t>Disneyland Park</t>
        </is>
      </c>
      <c r="E26631" s="8" t="inlineStr">
        <is>
          <t>Peter Pan's Flight</t>
        </is>
      </c>
      <c r="F26631" s="8" t="inlineStr">
        <is>
          <t>STANDBY</t>
        </is>
      </c>
      <c r="G26631" s="8" t="n">
        <v>75</v>
      </c>
      <c r="H26631" s="8" t="inlineStr">
        <is>
          <t>OPERATING</t>
        </is>
      </c>
    </row>
    <row r="26632">
      <c r="A26632" s="8" t="inlineStr">
        <is>
          <t>2026-08-05</t>
        </is>
      </c>
      <c r="B26632" s="8" t="n">
        <v>20</v>
      </c>
      <c r="C26632" s="8" t="n">
        <v>1</v>
      </c>
      <c r="D26632" s="8" t="inlineStr">
        <is>
          <t>Disneyland Park</t>
        </is>
      </c>
      <c r="E26632" s="8" t="inlineStr">
        <is>
          <t>Princess Pavilion</t>
        </is>
      </c>
      <c r="F26632" s="8" t="inlineStr">
        <is>
          <t>STANDBY</t>
        </is>
      </c>
      <c r="G26632" s="8" t="n">
        <v>0</v>
      </c>
      <c r="H26632" s="8" t="inlineStr">
        <is>
          <t>CLOSED</t>
        </is>
      </c>
    </row>
    <row r="26633">
      <c r="A26633" s="8" t="inlineStr">
        <is>
          <t>2026-08-05</t>
        </is>
      </c>
      <c r="B26633" s="8" t="n">
        <v>20</v>
      </c>
      <c r="C26633" s="8" t="n">
        <v>1</v>
      </c>
      <c r="D26633" s="8" t="inlineStr">
        <is>
          <t>Disneyland Park</t>
        </is>
      </c>
      <c r="E26633" s="8" t="inlineStr">
        <is>
          <t>Big Thunder Mountain</t>
        </is>
      </c>
      <c r="F26633" s="8" t="inlineStr">
        <is>
          <t>STANDBY</t>
        </is>
      </c>
      <c r="G26633" s="8" t="n">
        <v>50</v>
      </c>
      <c r="H26633" s="8" t="inlineStr">
        <is>
          <t>OPERATING</t>
        </is>
      </c>
    </row>
    <row r="26634">
      <c r="A26634" s="8" t="inlineStr">
        <is>
          <t>2026-08-05</t>
        </is>
      </c>
      <c r="B26634" s="8" t="n">
        <v>20</v>
      </c>
      <c r="C26634" s="8" t="n">
        <v>1</v>
      </c>
      <c r="D26634" s="8" t="inlineStr">
        <is>
          <t>Disneyland Park</t>
        </is>
      </c>
      <c r="E26634" s="8" t="inlineStr">
        <is>
          <t>Disneyland Railroad Frontierland Depot</t>
        </is>
      </c>
      <c r="F26634" s="8" t="inlineStr">
        <is>
          <t>STANDBY</t>
        </is>
      </c>
      <c r="G26634" s="8" t="n">
        <v>0</v>
      </c>
      <c r="H26634" s="8" t="inlineStr">
        <is>
          <t>CLOSED</t>
        </is>
      </c>
    </row>
    <row r="26635">
      <c r="A26635" s="8" t="inlineStr">
        <is>
          <t>2026-08-05</t>
        </is>
      </c>
      <c r="B26635" s="8" t="n">
        <v>20</v>
      </c>
      <c r="C26635" s="8" t="n">
        <v>1</v>
      </c>
      <c r="D26635" s="8" t="inlineStr">
        <is>
          <t>Disneyland Park</t>
        </is>
      </c>
      <c r="E26635" s="8" t="inlineStr">
        <is>
          <t>Frontierland Playground</t>
        </is>
      </c>
      <c r="F26635" s="8" t="inlineStr">
        <is>
          <t>STANDBY</t>
        </is>
      </c>
      <c r="G26635" s="8" t="n">
        <v>0</v>
      </c>
      <c r="H26635" s="8" t="inlineStr">
        <is>
          <t>OPERATING</t>
        </is>
      </c>
    </row>
    <row r="26636">
      <c r="A26636" s="8" t="inlineStr">
        <is>
          <t>2026-08-05</t>
        </is>
      </c>
      <c r="B26636" s="8" t="n">
        <v>20</v>
      </c>
      <c r="C26636" s="8" t="n">
        <v>1</v>
      </c>
      <c r="D26636" s="8" t="inlineStr">
        <is>
          <t>Disneyland Park</t>
        </is>
      </c>
      <c r="E26636" s="8" t="inlineStr">
        <is>
          <t>Phantom Manor</t>
        </is>
      </c>
      <c r="F26636" s="8" t="inlineStr">
        <is>
          <t>STANDBY</t>
        </is>
      </c>
      <c r="G26636" s="8" t="n">
        <v>5</v>
      </c>
      <c r="H26636" s="8" t="inlineStr">
        <is>
          <t>OPERATING</t>
        </is>
      </c>
    </row>
    <row r="26637">
      <c r="A26637" s="8" t="inlineStr">
        <is>
          <t>2026-08-05</t>
        </is>
      </c>
      <c r="B26637" s="8" t="n">
        <v>20</v>
      </c>
      <c r="C26637" s="8" t="n">
        <v>1</v>
      </c>
      <c r="D26637" s="8" t="inlineStr">
        <is>
          <t>Disneyland Park</t>
        </is>
      </c>
      <c r="E26637" s="8" t="inlineStr">
        <is>
          <t>River Rogue Keelboats</t>
        </is>
      </c>
      <c r="F26637" s="8" t="inlineStr">
        <is>
          <t>STANDBY</t>
        </is>
      </c>
      <c r="G26637" s="8" t="n">
        <v>0</v>
      </c>
      <c r="H26637" s="8" t="inlineStr">
        <is>
          <t>CLOSED</t>
        </is>
      </c>
    </row>
    <row r="26638">
      <c r="A26638" s="8" t="inlineStr">
        <is>
          <t>2026-08-05</t>
        </is>
      </c>
      <c r="B26638" s="8" t="n">
        <v>20</v>
      </c>
      <c r="C26638" s="8" t="n">
        <v>1</v>
      </c>
      <c r="D26638" s="8" t="inlineStr">
        <is>
          <t>Disneyland Park</t>
        </is>
      </c>
      <c r="E26638" s="8" t="inlineStr">
        <is>
          <t>Rustler Roundup Shootin' Gallery</t>
        </is>
      </c>
      <c r="F26638" s="8" t="inlineStr">
        <is>
          <t>STANDBY</t>
        </is>
      </c>
      <c r="G26638" s="8" t="n">
        <v>0</v>
      </c>
      <c r="H26638" s="8" t="inlineStr">
        <is>
          <t>OPERATING</t>
        </is>
      </c>
    </row>
    <row r="26639">
      <c r="A26639" s="8" t="inlineStr">
        <is>
          <t>2026-08-05</t>
        </is>
      </c>
      <c r="B26639" s="8" t="n">
        <v>20</v>
      </c>
      <c r="C26639" s="8" t="n">
        <v>1</v>
      </c>
      <c r="D26639" s="8" t="inlineStr">
        <is>
          <t>Disneyland Park</t>
        </is>
      </c>
      <c r="E26639" s="8" t="inlineStr">
        <is>
          <t>Thunder Mesa Riverboat Landing</t>
        </is>
      </c>
      <c r="F26639" s="8" t="inlineStr">
        <is>
          <t>STANDBY</t>
        </is>
      </c>
      <c r="G26639" s="8" t="n">
        <v>0</v>
      </c>
      <c r="H26639" s="8" t="inlineStr">
        <is>
          <t>CLOSED</t>
        </is>
      </c>
    </row>
    <row r="26640">
      <c r="A26640" s="8" t="inlineStr">
        <is>
          <t>2026-08-05</t>
        </is>
      </c>
      <c r="B26640" s="8" t="n">
        <v>20</v>
      </c>
      <c r="C26640" s="8" t="n">
        <v>1</v>
      </c>
      <c r="D26640" s="8" t="inlineStr">
        <is>
          <t>Disneyland Park</t>
        </is>
      </c>
      <c r="E26640" s="8" t="inlineStr">
        <is>
          <t>Disneyland Railroad Main Street Station</t>
        </is>
      </c>
      <c r="F26640" s="8" t="inlineStr">
        <is>
          <t>STANDBY</t>
        </is>
      </c>
      <c r="G26640" s="8" t="n">
        <v>0</v>
      </c>
      <c r="H26640" s="8" t="inlineStr">
        <is>
          <t>CLOSED</t>
        </is>
      </c>
    </row>
    <row r="26641">
      <c r="A26641" s="8" t="inlineStr">
        <is>
          <t>2026-08-05</t>
        </is>
      </c>
      <c r="B26641" s="8" t="n">
        <v>20</v>
      </c>
      <c r="C26641" s="8" t="n">
        <v>1</v>
      </c>
      <c r="D26641" s="8" t="inlineStr">
        <is>
          <t>Disneyland Park</t>
        </is>
      </c>
      <c r="E26641" s="8" t="inlineStr">
        <is>
          <t>Main Street Vehicles</t>
        </is>
      </c>
      <c r="F26641" s="8" t="inlineStr">
        <is>
          <t>STANDBY</t>
        </is>
      </c>
      <c r="G26641" s="8" t="n">
        <v>0</v>
      </c>
      <c r="H26641" s="8" t="inlineStr">
        <is>
          <t>CLOSED</t>
        </is>
      </c>
    </row>
    <row r="26642">
      <c r="A26642" s="8" t="inlineStr">
        <is>
          <t>2026-08-05</t>
        </is>
      </c>
      <c r="B26642" s="8" t="n">
        <v>20</v>
      </c>
      <c r="C26642" s="8" t="n">
        <v>1</v>
      </c>
      <c r="D26642" s="8" t="inlineStr">
        <is>
          <t>Disney Adventure World</t>
        </is>
      </c>
      <c r="E26642" s="8" t="inlineStr">
        <is>
          <t>Avengers Assemble: Flight Force</t>
        </is>
      </c>
      <c r="F26642" s="8" t="inlineStr">
        <is>
          <t>STANDBY</t>
        </is>
      </c>
      <c r="G26642" s="8" t="n">
        <v>10</v>
      </c>
      <c r="H26642" s="8" t="inlineStr">
        <is>
          <t>OPERATING</t>
        </is>
      </c>
    </row>
    <row r="26643">
      <c r="A26643" s="8" t="inlineStr">
        <is>
          <t>2026-08-05</t>
        </is>
      </c>
      <c r="B26643" s="8" t="n">
        <v>20</v>
      </c>
      <c r="C26643" s="8" t="n">
        <v>1</v>
      </c>
      <c r="D26643" s="8" t="inlineStr">
        <is>
          <t>Disney Adventure World</t>
        </is>
      </c>
      <c r="E26643" s="8" t="inlineStr">
        <is>
          <t>Avengers Assemble: Flight Force Single Rider</t>
        </is>
      </c>
      <c r="F26643" s="8" t="inlineStr">
        <is>
          <t>STANDBY</t>
        </is>
      </c>
      <c r="G26643" s="8" t="n">
        <v>5</v>
      </c>
      <c r="H26643" s="8" t="inlineStr">
        <is>
          <t>OPERATING</t>
        </is>
      </c>
    </row>
    <row r="26644">
      <c r="A26644" s="8" t="inlineStr">
        <is>
          <t>2026-08-05</t>
        </is>
      </c>
      <c r="B26644" s="8" t="n">
        <v>20</v>
      </c>
      <c r="C26644" s="8" t="n">
        <v>1</v>
      </c>
      <c r="D26644" s="8" t="inlineStr">
        <is>
          <t>Disney Adventure World</t>
        </is>
      </c>
      <c r="E26644" s="8" t="inlineStr">
        <is>
          <t>Spider-Man W.E.B. Adventure</t>
        </is>
      </c>
      <c r="F26644" s="8" t="inlineStr">
        <is>
          <t>STANDBY</t>
        </is>
      </c>
      <c r="G26644" s="8" t="n">
        <v>50</v>
      </c>
      <c r="H26644" s="8" t="inlineStr">
        <is>
          <t>OPERATING</t>
        </is>
      </c>
    </row>
    <row r="26645">
      <c r="A26645" s="8" t="inlineStr">
        <is>
          <t>2026-08-05</t>
        </is>
      </c>
      <c r="B26645" s="8" t="n">
        <v>20</v>
      </c>
      <c r="C26645" s="8" t="n">
        <v>1</v>
      </c>
      <c r="D26645" s="8" t="inlineStr">
        <is>
          <t>Disney Adventure World</t>
        </is>
      </c>
      <c r="E26645" s="8" t="inlineStr">
        <is>
          <t>Spider-Man W.E.B. Adventure Single Rider</t>
        </is>
      </c>
      <c r="F26645" s="8" t="inlineStr">
        <is>
          <t>STANDBY</t>
        </is>
      </c>
      <c r="G26645" s="8" t="n">
        <v>15</v>
      </c>
      <c r="H26645" s="8" t="inlineStr">
        <is>
          <t>OPERATING</t>
        </is>
      </c>
    </row>
    <row r="26646">
      <c r="A26646" s="8" t="inlineStr">
        <is>
          <t>2026-08-05</t>
        </is>
      </c>
      <c r="B26646" s="8" t="n">
        <v>20</v>
      </c>
      <c r="C26646" s="8" t="n">
        <v>1</v>
      </c>
      <c r="D26646" s="8" t="inlineStr">
        <is>
          <t>Disney Adventure World</t>
        </is>
      </c>
      <c r="E26646" s="8" t="inlineStr">
        <is>
          <t>The Twilight Zone Tower of Terror</t>
        </is>
      </c>
      <c r="F26646" s="8" t="inlineStr">
        <is>
          <t>STANDBY</t>
        </is>
      </c>
      <c r="G26646" s="8" t="n">
        <v>10</v>
      </c>
      <c r="H26646" s="8" t="inlineStr">
        <is>
          <t>OPERATING</t>
        </is>
      </c>
    </row>
    <row r="26647">
      <c r="A26647" s="8" t="inlineStr">
        <is>
          <t>2026-08-05</t>
        </is>
      </c>
      <c r="B26647" s="8" t="n">
        <v>20</v>
      </c>
      <c r="C26647" s="8" t="n">
        <v>1</v>
      </c>
      <c r="D26647" s="8" t="inlineStr">
        <is>
          <t>Disney Adventure World</t>
        </is>
      </c>
      <c r="E26647" s="8" t="inlineStr">
        <is>
          <t>Cars Quatre Roues Rallye</t>
        </is>
      </c>
      <c r="F26647" s="8" t="inlineStr">
        <is>
          <t>STANDBY</t>
        </is>
      </c>
      <c r="G26647" s="8" t="n">
        <v>10</v>
      </c>
      <c r="H26647" s="8" t="inlineStr">
        <is>
          <t>OPERATING</t>
        </is>
      </c>
    </row>
    <row r="26648">
      <c r="A26648" s="8" t="inlineStr">
        <is>
          <t>2026-08-05</t>
        </is>
      </c>
      <c r="B26648" s="8" t="n">
        <v>20</v>
      </c>
      <c r="C26648" s="8" t="n">
        <v>1</v>
      </c>
      <c r="D26648" s="8" t="inlineStr">
        <is>
          <t>Disney Adventure World</t>
        </is>
      </c>
      <c r="E26648" s="8" t="inlineStr">
        <is>
          <t>Cars ROAD TRIP</t>
        </is>
      </c>
      <c r="F26648" s="8" t="inlineStr">
        <is>
          <t>STANDBY</t>
        </is>
      </c>
      <c r="G26648" s="8" t="n">
        <v>10</v>
      </c>
      <c r="H26648" s="8" t="inlineStr">
        <is>
          <t>OPERATING</t>
        </is>
      </c>
    </row>
    <row r="26649">
      <c r="A26649" s="8" t="inlineStr">
        <is>
          <t>2026-08-05</t>
        </is>
      </c>
      <c r="B26649" s="8" t="n">
        <v>20</v>
      </c>
      <c r="C26649" s="8" t="n">
        <v>1</v>
      </c>
      <c r="D26649" s="8" t="inlineStr">
        <is>
          <t>Disney Adventure World</t>
        </is>
      </c>
      <c r="E26649" s="8" t="inlineStr">
        <is>
          <t>Crush's Coaster</t>
        </is>
      </c>
      <c r="F26649" s="8" t="inlineStr">
        <is>
          <t>STANDBY</t>
        </is>
      </c>
      <c r="G26649" s="8" t="n">
        <v>60</v>
      </c>
      <c r="H26649" s="8" t="inlineStr">
        <is>
          <t>OPERATING</t>
        </is>
      </c>
    </row>
    <row r="26650">
      <c r="A26650" s="8" t="inlineStr">
        <is>
          <t>2026-08-05</t>
        </is>
      </c>
      <c r="B26650" s="8" t="n">
        <v>20</v>
      </c>
      <c r="C26650" s="8" t="n">
        <v>1</v>
      </c>
      <c r="D26650" s="8" t="inlineStr">
        <is>
          <t>Disney Adventure World</t>
        </is>
      </c>
      <c r="E26650" s="8" t="inlineStr">
        <is>
          <t>Crush's Coaster Single Rider</t>
        </is>
      </c>
      <c r="F26650" s="8" t="inlineStr">
        <is>
          <t>STANDBY</t>
        </is>
      </c>
      <c r="G26650" s="8" t="n">
        <v>40</v>
      </c>
      <c r="H26650" s="8" t="inlineStr">
        <is>
          <t>OPERATING</t>
        </is>
      </c>
    </row>
    <row r="26651">
      <c r="A26651" s="8" t="inlineStr">
        <is>
          <t>2026-08-05</t>
        </is>
      </c>
      <c r="B26651" s="8" t="n">
        <v>20</v>
      </c>
      <c r="C26651" s="8" t="n">
        <v>1</v>
      </c>
      <c r="D26651" s="8" t="inlineStr">
        <is>
          <t>Disney Adventure World</t>
        </is>
      </c>
      <c r="E26651" s="8" t="inlineStr">
        <is>
          <t>Les Tapis Volants - Flying Carpets Over Agrabah®</t>
        </is>
      </c>
      <c r="F26651" s="8" t="inlineStr">
        <is>
          <t>STANDBY</t>
        </is>
      </c>
      <c r="G26651" s="8" t="n">
        <v>5</v>
      </c>
      <c r="H26651" s="8" t="inlineStr">
        <is>
          <t>OPERATING</t>
        </is>
      </c>
    </row>
    <row r="26652">
      <c r="A26652" s="8" t="inlineStr">
        <is>
          <t>2026-08-05</t>
        </is>
      </c>
      <c r="B26652" s="8" t="n">
        <v>20</v>
      </c>
      <c r="C26652" s="8" t="n">
        <v>1</v>
      </c>
      <c r="D26652" s="8" t="inlineStr">
        <is>
          <t>Disney Adventure World</t>
        </is>
      </c>
      <c r="E26652" s="8" t="inlineStr">
        <is>
          <t>Ratatouille : L’Aventure Totalement Toquée de Rémy​</t>
        </is>
      </c>
      <c r="F26652" s="8" t="inlineStr">
        <is>
          <t>STANDBY</t>
        </is>
      </c>
      <c r="G26652" s="8" t="n">
        <v>45</v>
      </c>
      <c r="H26652" s="8" t="inlineStr">
        <is>
          <t>OPERATING</t>
        </is>
      </c>
    </row>
    <row r="26653">
      <c r="A26653" s="8" t="inlineStr">
        <is>
          <t>2026-08-05</t>
        </is>
      </c>
      <c r="B26653" s="8" t="n">
        <v>20</v>
      </c>
      <c r="C26653" s="8" t="n">
        <v>1</v>
      </c>
      <c r="D26653" s="8" t="inlineStr">
        <is>
          <t>Disney Adventure World</t>
        </is>
      </c>
      <c r="E26653" s="8" t="inlineStr">
        <is>
          <t>Ratatouille: The Adventure Single Rider</t>
        </is>
      </c>
      <c r="F26653" s="8" t="inlineStr">
        <is>
          <t>STANDBY</t>
        </is>
      </c>
      <c r="G26653" s="8" t="n">
        <v>20</v>
      </c>
      <c r="H26653" s="8" t="inlineStr">
        <is>
          <t>OPERATING</t>
        </is>
      </c>
    </row>
    <row r="26654">
      <c r="A26654" s="8" t="inlineStr">
        <is>
          <t>2026-08-05</t>
        </is>
      </c>
      <c r="B26654" s="8" t="n">
        <v>20</v>
      </c>
      <c r="C26654" s="8" t="n">
        <v>1</v>
      </c>
      <c r="D26654" s="8" t="inlineStr">
        <is>
          <t>Disney Adventure World</t>
        </is>
      </c>
      <c r="E26654" s="8" t="inlineStr">
        <is>
          <t>RC Racer</t>
        </is>
      </c>
      <c r="F26654" s="8" t="inlineStr">
        <is>
          <t>STANDBY</t>
        </is>
      </c>
      <c r="G26654" s="8" t="n">
        <v>35</v>
      </c>
      <c r="H26654" s="8" t="inlineStr">
        <is>
          <t>OPERATING</t>
        </is>
      </c>
    </row>
    <row r="26655">
      <c r="A26655" s="8" t="inlineStr">
        <is>
          <t>2026-08-05</t>
        </is>
      </c>
      <c r="B26655" s="8" t="n">
        <v>20</v>
      </c>
      <c r="C26655" s="8" t="n">
        <v>1</v>
      </c>
      <c r="D26655" s="8" t="inlineStr">
        <is>
          <t>Disney Adventure World</t>
        </is>
      </c>
      <c r="E26655" s="8" t="inlineStr">
        <is>
          <t>RC Racer Single Rider</t>
        </is>
      </c>
      <c r="F26655" s="8" t="inlineStr">
        <is>
          <t>STANDBY</t>
        </is>
      </c>
      <c r="G26655" s="8" t="n">
        <v>30</v>
      </c>
      <c r="H26655" s="8" t="inlineStr">
        <is>
          <t>OPERATING</t>
        </is>
      </c>
    </row>
    <row r="26656">
      <c r="A26656" s="8" t="inlineStr">
        <is>
          <t>2026-08-05</t>
        </is>
      </c>
      <c r="B26656" s="8" t="n">
        <v>20</v>
      </c>
      <c r="C26656" s="8" t="n">
        <v>1</v>
      </c>
      <c r="D26656" s="8" t="inlineStr">
        <is>
          <t>Disney Adventure World</t>
        </is>
      </c>
      <c r="E26656" s="8" t="inlineStr">
        <is>
          <t>Slinky® Dog Zigzag Spin</t>
        </is>
      </c>
      <c r="F26656" s="8" t="inlineStr">
        <is>
          <t>STANDBY</t>
        </is>
      </c>
      <c r="G26656" s="8" t="n">
        <v>20</v>
      </c>
      <c r="H26656" s="8" t="inlineStr">
        <is>
          <t>OPERATING</t>
        </is>
      </c>
    </row>
    <row r="26657">
      <c r="A26657" s="8" t="inlineStr">
        <is>
          <t>2026-08-05</t>
        </is>
      </c>
      <c r="B26657" s="8" t="n">
        <v>20</v>
      </c>
      <c r="C26657" s="8" t="n">
        <v>1</v>
      </c>
      <c r="D26657" s="8" t="inlineStr">
        <is>
          <t>Disney Adventure World</t>
        </is>
      </c>
      <c r="E26657" s="8" t="inlineStr">
        <is>
          <t>Toy Soldiers Parachute Drop</t>
        </is>
      </c>
      <c r="F26657" s="8" t="inlineStr">
        <is>
          <t>STANDBY</t>
        </is>
      </c>
      <c r="G26657" s="8" t="n">
        <v>40</v>
      </c>
      <c r="H26657" s="8" t="inlineStr">
        <is>
          <t>OPERATING</t>
        </is>
      </c>
    </row>
    <row r="26658">
      <c r="A26658" s="8" t="inlineStr">
        <is>
          <t>2026-08-05</t>
        </is>
      </c>
      <c r="B26658" s="8" t="n">
        <v>20</v>
      </c>
      <c r="C26658" s="8" t="n">
        <v>1</v>
      </c>
      <c r="D26658" s="8" t="inlineStr">
        <is>
          <t>Disney Adventure World</t>
        </is>
      </c>
      <c r="E26658" s="8" t="inlineStr">
        <is>
          <t>Toy Soldiers Parachute Drop Single Rider</t>
        </is>
      </c>
      <c r="F26658" s="8" t="inlineStr">
        <is>
          <t>STANDBY</t>
        </is>
      </c>
      <c r="G26658" s="8" t="n">
        <v>35</v>
      </c>
      <c r="H26658" s="8" t="inlineStr">
        <is>
          <t>OPERATING</t>
        </is>
      </c>
    </row>
    <row r="26659">
      <c r="A26659" s="8" t="inlineStr">
        <is>
          <t>2026-08-05</t>
        </is>
      </c>
      <c r="B26659" s="8" t="n">
        <v>20</v>
      </c>
      <c r="C26659" s="8" t="n">
        <v>1</v>
      </c>
      <c r="D26659" s="8" t="inlineStr">
        <is>
          <t>Disney Adventure World</t>
        </is>
      </c>
      <c r="E26659" s="8" t="inlineStr">
        <is>
          <t>Entry to World of Frozen</t>
        </is>
      </c>
      <c r="F26659" s="8" t="inlineStr">
        <is>
          <t>STANDBY</t>
        </is>
      </c>
      <c r="G26659" s="8" t="n">
        <v>0</v>
      </c>
      <c r="H26659" s="8" t="inlineStr">
        <is>
          <t>OPERATING</t>
        </is>
      </c>
    </row>
    <row r="26660">
      <c r="A26660" s="8" t="inlineStr">
        <is>
          <t>2026-08-05</t>
        </is>
      </c>
      <c r="B26660" s="8" t="n">
        <v>20</v>
      </c>
      <c r="C26660" s="8" t="n">
        <v>1</v>
      </c>
      <c r="D26660" s="8" t="inlineStr">
        <is>
          <t>Disney Adventure World</t>
        </is>
      </c>
      <c r="E26660" s="8" t="inlineStr">
        <is>
          <t>Frozen Ever After</t>
        </is>
      </c>
      <c r="F26660" s="8" t="inlineStr">
        <is>
          <t>STANDBY</t>
        </is>
      </c>
      <c r="G26660" s="8" t="n">
        <v>45</v>
      </c>
      <c r="H26660" s="8" t="inlineStr">
        <is>
          <t>OPERATING</t>
        </is>
      </c>
    </row>
    <row r="26661">
      <c r="A26661" s="8" t="inlineStr">
        <is>
          <t>2026-08-05</t>
        </is>
      </c>
      <c r="B26661" s="8" t="n">
        <v>20</v>
      </c>
      <c r="C26661" s="8" t="n">
        <v>1</v>
      </c>
      <c r="D26661" s="8" t="inlineStr">
        <is>
          <t>Disney Adventure World</t>
        </is>
      </c>
      <c r="E26661" s="8" t="inlineStr">
        <is>
          <t>Raiponce Tangled Spin</t>
        </is>
      </c>
      <c r="F26661" s="8" t="inlineStr">
        <is>
          <t>STANDBY</t>
        </is>
      </c>
      <c r="G26661" s="8" t="n">
        <v>5</v>
      </c>
      <c r="H26661" s="8" t="inlineStr">
        <is>
          <t>OPERATING</t>
        </is>
      </c>
    </row>
    <row r="26662">
      <c r="A26662" s="8" t="inlineStr">
        <is>
          <t>2026-08-05</t>
        </is>
      </c>
      <c r="B26662" s="8" t="n">
        <v>20</v>
      </c>
      <c r="C26662" s="8" t="n">
        <v>15</v>
      </c>
      <c r="D26662" s="8" t="inlineStr">
        <is>
          <t>Disneyland Park</t>
        </is>
      </c>
      <c r="E26662" s="8" t="inlineStr">
        <is>
          <t>Adventure Isle</t>
        </is>
      </c>
      <c r="F26662" s="8" t="inlineStr">
        <is>
          <t>STANDBY</t>
        </is>
      </c>
      <c r="G26662" s="8" t="n">
        <v>0</v>
      </c>
      <c r="H26662" s="8" t="inlineStr">
        <is>
          <t>OPERATING</t>
        </is>
      </c>
    </row>
    <row r="26663">
      <c r="A26663" s="8" t="inlineStr">
        <is>
          <t>2026-08-05</t>
        </is>
      </c>
      <c r="B26663" s="8" t="n">
        <v>20</v>
      </c>
      <c r="C26663" s="8" t="n">
        <v>15</v>
      </c>
      <c r="D26663" s="8" t="inlineStr">
        <is>
          <t>Disneyland Park</t>
        </is>
      </c>
      <c r="E26663" s="8" t="inlineStr">
        <is>
          <t>Indiana Jones and the Temple of Peril Single Rider</t>
        </is>
      </c>
      <c r="F26663" s="8" t="inlineStr">
        <is>
          <t>STANDBY</t>
        </is>
      </c>
      <c r="G26663" s="8" t="n">
        <v>5</v>
      </c>
      <c r="H26663" s="8" t="inlineStr">
        <is>
          <t>OPERATING</t>
        </is>
      </c>
    </row>
    <row r="26664">
      <c r="A26664" s="8" t="inlineStr">
        <is>
          <t>2026-08-05</t>
        </is>
      </c>
      <c r="B26664" s="8" t="n">
        <v>20</v>
      </c>
      <c r="C26664" s="8" t="n">
        <v>15</v>
      </c>
      <c r="D26664" s="8" t="inlineStr">
        <is>
          <t>Disneyland Park</t>
        </is>
      </c>
      <c r="E26664" s="8" t="inlineStr">
        <is>
          <t>Indiana Jones™ and the Temple of Peril</t>
        </is>
      </c>
      <c r="F26664" s="8" t="inlineStr">
        <is>
          <t>STANDBY</t>
        </is>
      </c>
      <c r="G26664" s="8" t="n">
        <v>10</v>
      </c>
      <c r="H26664" s="8" t="inlineStr">
        <is>
          <t>OPERATING</t>
        </is>
      </c>
    </row>
    <row r="26665">
      <c r="A26665" s="8" t="inlineStr">
        <is>
          <t>2026-08-05</t>
        </is>
      </c>
      <c r="B26665" s="8" t="n">
        <v>20</v>
      </c>
      <c r="C26665" s="8" t="n">
        <v>15</v>
      </c>
      <c r="D26665" s="8" t="inlineStr">
        <is>
          <t>Disneyland Park</t>
        </is>
      </c>
      <c r="E26665" s="8" t="inlineStr">
        <is>
          <t>La Cabane des Robinson</t>
        </is>
      </c>
      <c r="F26665" s="8" t="inlineStr">
        <is>
          <t>STANDBY</t>
        </is>
      </c>
      <c r="G26665" s="8" t="n">
        <v>5</v>
      </c>
      <c r="H26665" s="8" t="inlineStr">
        <is>
          <t>OPERATING</t>
        </is>
      </c>
    </row>
    <row r="26666">
      <c r="A26666" s="8" t="inlineStr">
        <is>
          <t>2026-08-05</t>
        </is>
      </c>
      <c r="B26666" s="8" t="n">
        <v>20</v>
      </c>
      <c r="C26666" s="8" t="n">
        <v>15</v>
      </c>
      <c r="D26666" s="8" t="inlineStr">
        <is>
          <t>Disneyland Park</t>
        </is>
      </c>
      <c r="E26666" s="8" t="inlineStr">
        <is>
          <t>Le Passage Enchanté d'Aladdin</t>
        </is>
      </c>
      <c r="F26666" s="8" t="inlineStr">
        <is>
          <t>STANDBY</t>
        </is>
      </c>
      <c r="G26666" s="8" t="n">
        <v>0</v>
      </c>
      <c r="H26666" s="8" t="inlineStr">
        <is>
          <t>OPERATING</t>
        </is>
      </c>
    </row>
    <row r="26667">
      <c r="A26667" s="8" t="inlineStr">
        <is>
          <t>2026-08-05</t>
        </is>
      </c>
      <c r="B26667" s="8" t="n">
        <v>20</v>
      </c>
      <c r="C26667" s="8" t="n">
        <v>15</v>
      </c>
      <c r="D26667" s="8" t="inlineStr">
        <is>
          <t>Disneyland Park</t>
        </is>
      </c>
      <c r="E26667" s="8" t="inlineStr">
        <is>
          <t>Pirate Galleon</t>
        </is>
      </c>
      <c r="F26667" s="8" t="inlineStr">
        <is>
          <t>STANDBY</t>
        </is>
      </c>
      <c r="G26667" s="8" t="n">
        <v>0</v>
      </c>
      <c r="H26667" s="8" t="inlineStr">
        <is>
          <t>CLOSED</t>
        </is>
      </c>
    </row>
    <row r="26668">
      <c r="A26668" s="8" t="inlineStr">
        <is>
          <t>2026-08-05</t>
        </is>
      </c>
      <c r="B26668" s="8" t="n">
        <v>20</v>
      </c>
      <c r="C26668" s="8" t="n">
        <v>15</v>
      </c>
      <c r="D26668" s="8" t="inlineStr">
        <is>
          <t>Disneyland Park</t>
        </is>
      </c>
      <c r="E26668" s="8" t="inlineStr">
        <is>
          <t>Pirates of the Caribbean</t>
        </is>
      </c>
      <c r="F26668" s="8" t="inlineStr">
        <is>
          <t>STANDBY</t>
        </is>
      </c>
      <c r="G26668" s="8" t="n">
        <v>10</v>
      </c>
      <c r="H26668" s="8" t="inlineStr">
        <is>
          <t>OPERATING</t>
        </is>
      </c>
    </row>
    <row r="26669">
      <c r="A26669" s="8" t="inlineStr">
        <is>
          <t>2026-08-05</t>
        </is>
      </c>
      <c r="B26669" s="8" t="n">
        <v>20</v>
      </c>
      <c r="C26669" s="8" t="n">
        <v>15</v>
      </c>
      <c r="D26669" s="8" t="inlineStr">
        <is>
          <t>Disneyland Park</t>
        </is>
      </c>
      <c r="E26669" s="8" t="inlineStr">
        <is>
          <t>Pirates' Beach</t>
        </is>
      </c>
      <c r="F26669" s="8" t="inlineStr">
        <is>
          <t>STANDBY</t>
        </is>
      </c>
      <c r="G26669" s="8" t="n">
        <v>0</v>
      </c>
      <c r="H26669" s="8" t="inlineStr">
        <is>
          <t>OPERATING</t>
        </is>
      </c>
    </row>
    <row r="26670">
      <c r="A26670" s="8" t="inlineStr">
        <is>
          <t>2026-08-05</t>
        </is>
      </c>
      <c r="B26670" s="8" t="n">
        <v>20</v>
      </c>
      <c r="C26670" s="8" t="n">
        <v>15</v>
      </c>
      <c r="D26670" s="8" t="inlineStr">
        <is>
          <t>Disneyland Park</t>
        </is>
      </c>
      <c r="E26670" s="8" t="inlineStr">
        <is>
          <t>Autopia, presented by Avis</t>
        </is>
      </c>
      <c r="F26670" s="8" t="inlineStr">
        <is>
          <t>STANDBY</t>
        </is>
      </c>
      <c r="G26670" s="8" t="n">
        <v>50</v>
      </c>
      <c r="H26670" s="8" t="inlineStr">
        <is>
          <t>OPERATING</t>
        </is>
      </c>
    </row>
    <row r="26671">
      <c r="A26671" s="8" t="inlineStr">
        <is>
          <t>2026-08-05</t>
        </is>
      </c>
      <c r="B26671" s="8" t="n">
        <v>20</v>
      </c>
      <c r="C26671" s="8" t="n">
        <v>15</v>
      </c>
      <c r="D26671" s="8" t="inlineStr">
        <is>
          <t>Disneyland Park</t>
        </is>
      </c>
      <c r="E26671" s="8" t="inlineStr">
        <is>
          <t>Buzz Lightyear Laser Blast</t>
        </is>
      </c>
      <c r="F26671" s="8" t="inlineStr">
        <is>
          <t>STANDBY</t>
        </is>
      </c>
      <c r="G26671" s="8" t="n">
        <v>30</v>
      </c>
      <c r="H26671" s="8" t="inlineStr">
        <is>
          <t>OPERATING</t>
        </is>
      </c>
    </row>
    <row r="26672">
      <c r="A26672" s="8" t="inlineStr">
        <is>
          <t>2026-08-05</t>
        </is>
      </c>
      <c r="B26672" s="8" t="n">
        <v>20</v>
      </c>
      <c r="C26672" s="8" t="n">
        <v>15</v>
      </c>
      <c r="D26672" s="8" t="inlineStr">
        <is>
          <t>Disneyland Park</t>
        </is>
      </c>
      <c r="E26672" s="8" t="inlineStr">
        <is>
          <t>Disneyland Railroad Discoveryland Station</t>
        </is>
      </c>
      <c r="F26672" s="8" t="inlineStr">
        <is>
          <t>STANDBY</t>
        </is>
      </c>
      <c r="G26672" s="8" t="n">
        <v>0</v>
      </c>
      <c r="H26672" s="8" t="inlineStr">
        <is>
          <t>CLOSED</t>
        </is>
      </c>
    </row>
    <row r="26673">
      <c r="A26673" s="8" t="inlineStr">
        <is>
          <t>2026-08-05</t>
        </is>
      </c>
      <c r="B26673" s="8" t="n">
        <v>20</v>
      </c>
      <c r="C26673" s="8" t="n">
        <v>15</v>
      </c>
      <c r="D26673" s="8" t="inlineStr">
        <is>
          <t>Disneyland Park</t>
        </is>
      </c>
      <c r="E26673" s="8" t="inlineStr">
        <is>
          <t>Les Mystères du Nautilus</t>
        </is>
      </c>
      <c r="F26673" s="8" t="inlineStr">
        <is>
          <t>STANDBY</t>
        </is>
      </c>
      <c r="G26673" s="8" t="n">
        <v>5</v>
      </c>
      <c r="H26673" s="8" t="inlineStr">
        <is>
          <t>OPERATING</t>
        </is>
      </c>
    </row>
    <row r="26674">
      <c r="A26674" s="8" t="inlineStr">
        <is>
          <t>2026-08-05</t>
        </is>
      </c>
      <c r="B26674" s="8" t="n">
        <v>20</v>
      </c>
      <c r="C26674" s="8" t="n">
        <v>15</v>
      </c>
      <c r="D26674" s="8" t="inlineStr">
        <is>
          <t>Disneyland Park</t>
        </is>
      </c>
      <c r="E26674" s="8" t="inlineStr">
        <is>
          <t>Mickey’s PhilharMagic</t>
        </is>
      </c>
      <c r="F26674" s="8" t="inlineStr">
        <is>
          <t>STANDBY</t>
        </is>
      </c>
      <c r="G26674" s="8" t="n">
        <v>0</v>
      </c>
      <c r="H26674" s="8" t="inlineStr">
        <is>
          <t>CLOSED</t>
        </is>
      </c>
    </row>
    <row r="26675">
      <c r="A26675" s="8" t="inlineStr">
        <is>
          <t>2026-08-05</t>
        </is>
      </c>
      <c r="B26675" s="8" t="n">
        <v>20</v>
      </c>
      <c r="C26675" s="8" t="n">
        <v>15</v>
      </c>
      <c r="D26675" s="8" t="inlineStr">
        <is>
          <t>Disneyland Park</t>
        </is>
      </c>
      <c r="E26675" s="8" t="inlineStr">
        <is>
          <t>Orbitron®</t>
        </is>
      </c>
      <c r="F26675" s="8" t="inlineStr">
        <is>
          <t>STANDBY</t>
        </is>
      </c>
      <c r="G26675" s="8" t="n">
        <v>50</v>
      </c>
      <c r="H26675" s="8" t="inlineStr">
        <is>
          <t>OPERATING</t>
        </is>
      </c>
    </row>
    <row r="26676">
      <c r="A26676" s="8" t="inlineStr">
        <is>
          <t>2026-08-05</t>
        </is>
      </c>
      <c r="B26676" s="8" t="n">
        <v>20</v>
      </c>
      <c r="C26676" s="8" t="n">
        <v>15</v>
      </c>
      <c r="D26676" s="8" t="inlineStr">
        <is>
          <t>Disneyland Park</t>
        </is>
      </c>
      <c r="E26676" s="8" t="inlineStr">
        <is>
          <t>Star Tours: The Adventures Continue*</t>
        </is>
      </c>
      <c r="F26676" s="8" t="inlineStr">
        <is>
          <t>STANDBY</t>
        </is>
      </c>
      <c r="G26676" s="8" t="n">
        <v>5</v>
      </c>
      <c r="H26676" s="8" t="inlineStr">
        <is>
          <t>OPERATING</t>
        </is>
      </c>
    </row>
    <row r="26677">
      <c r="A26677" s="8" t="inlineStr">
        <is>
          <t>2026-08-05</t>
        </is>
      </c>
      <c r="B26677" s="8" t="n">
        <v>20</v>
      </c>
      <c r="C26677" s="8" t="n">
        <v>15</v>
      </c>
      <c r="D26677" s="8" t="inlineStr">
        <is>
          <t>Disneyland Park</t>
        </is>
      </c>
      <c r="E26677" s="8" t="inlineStr">
        <is>
          <t>Star Wars Hyperspace Mountain</t>
        </is>
      </c>
      <c r="F26677" s="8" t="inlineStr">
        <is>
          <t>STANDBY</t>
        </is>
      </c>
      <c r="G26677" s="8" t="n">
        <v>25</v>
      </c>
      <c r="H26677" s="8" t="inlineStr">
        <is>
          <t>OPERATING</t>
        </is>
      </c>
    </row>
    <row r="26678">
      <c r="A26678" s="8" t="inlineStr">
        <is>
          <t>2026-08-05</t>
        </is>
      </c>
      <c r="B26678" s="8" t="n">
        <v>20</v>
      </c>
      <c r="C26678" s="8" t="n">
        <v>15</v>
      </c>
      <c r="D26678" s="8" t="inlineStr">
        <is>
          <t>Disneyland Park</t>
        </is>
      </c>
      <c r="E26678" s="8" t="inlineStr">
        <is>
          <t>Star Wars Hyperspace Mountain Single Rider</t>
        </is>
      </c>
      <c r="F26678" s="8" t="inlineStr">
        <is>
          <t>STANDBY</t>
        </is>
      </c>
      <c r="G26678" s="8" t="n">
        <v>0</v>
      </c>
      <c r="H26678" s="8" t="inlineStr">
        <is>
          <t>OPERATING</t>
        </is>
      </c>
    </row>
    <row r="26679">
      <c r="A26679" s="8" t="inlineStr">
        <is>
          <t>2026-08-05</t>
        </is>
      </c>
      <c r="B26679" s="8" t="n">
        <v>20</v>
      </c>
      <c r="C26679" s="8" t="n">
        <v>15</v>
      </c>
      <c r="D26679" s="8" t="inlineStr">
        <is>
          <t>Disneyland Park</t>
        </is>
      </c>
      <c r="E26679" s="8" t="inlineStr">
        <is>
          <t>Welcome to Starport: A Star Wars Encounter</t>
        </is>
      </c>
      <c r="F26679" s="8" t="inlineStr">
        <is>
          <t>STANDBY</t>
        </is>
      </c>
      <c r="G26679" s="8" t="n">
        <v>0</v>
      </c>
      <c r="H26679" s="8" t="inlineStr">
        <is>
          <t>CLOSED</t>
        </is>
      </c>
    </row>
    <row r="26680">
      <c r="A26680" s="8" t="inlineStr">
        <is>
          <t>2026-08-05</t>
        </is>
      </c>
      <c r="B26680" s="8" t="n">
        <v>20</v>
      </c>
      <c r="C26680" s="8" t="n">
        <v>15</v>
      </c>
      <c r="D26680" s="8" t="inlineStr">
        <is>
          <t>Disneyland Park</t>
        </is>
      </c>
      <c r="E26680" s="8" t="inlineStr">
        <is>
          <t>"it's a small world"</t>
        </is>
      </c>
      <c r="F26680" s="8" t="inlineStr">
        <is>
          <t>STANDBY</t>
        </is>
      </c>
      <c r="G26680" s="8" t="n">
        <v>5</v>
      </c>
      <c r="H26680" s="8" t="inlineStr">
        <is>
          <t>OPERATING</t>
        </is>
      </c>
    </row>
    <row r="26681">
      <c r="A26681" s="8" t="inlineStr">
        <is>
          <t>2026-08-05</t>
        </is>
      </c>
      <c r="B26681" s="8" t="n">
        <v>20</v>
      </c>
      <c r="C26681" s="8" t="n">
        <v>15</v>
      </c>
      <c r="D26681" s="8" t="inlineStr">
        <is>
          <t>Disneyland Park</t>
        </is>
      </c>
      <c r="E26681" s="8" t="inlineStr">
        <is>
          <t>Alice's Curious Labyrinth</t>
        </is>
      </c>
      <c r="F26681" s="8" t="inlineStr">
        <is>
          <t>STANDBY</t>
        </is>
      </c>
      <c r="G26681" s="8" t="n">
        <v>5</v>
      </c>
      <c r="H26681" s="8" t="inlineStr">
        <is>
          <t>OPERATING</t>
        </is>
      </c>
    </row>
    <row r="26682">
      <c r="A26682" s="8" t="inlineStr">
        <is>
          <t>2026-08-05</t>
        </is>
      </c>
      <c r="B26682" s="8" t="n">
        <v>20</v>
      </c>
      <c r="C26682" s="8" t="n">
        <v>15</v>
      </c>
      <c r="D26682" s="8" t="inlineStr">
        <is>
          <t>Disneyland Park</t>
        </is>
      </c>
      <c r="E26682" s="8" t="inlineStr">
        <is>
          <t>Blanche-Neige et les Sept Nains®</t>
        </is>
      </c>
      <c r="F26682" s="8" t="inlineStr">
        <is>
          <t>STANDBY</t>
        </is>
      </c>
      <c r="G26682" s="8" t="n">
        <v>30</v>
      </c>
      <c r="H26682" s="8" t="inlineStr">
        <is>
          <t>OPERATING</t>
        </is>
      </c>
    </row>
    <row r="26683">
      <c r="A26683" s="8" t="inlineStr">
        <is>
          <t>2026-08-05</t>
        </is>
      </c>
      <c r="B26683" s="8" t="n">
        <v>20</v>
      </c>
      <c r="C26683" s="8" t="n">
        <v>15</v>
      </c>
      <c r="D26683" s="8" t="inlineStr">
        <is>
          <t>Disneyland Park</t>
        </is>
      </c>
      <c r="E26683" s="8" t="inlineStr">
        <is>
          <t>Casey Jr. – le Petit Train du Cirque</t>
        </is>
      </c>
      <c r="F26683" s="8" t="inlineStr">
        <is>
          <t>STANDBY</t>
        </is>
      </c>
      <c r="G26683" s="8" t="n">
        <v>35</v>
      </c>
      <c r="H26683" s="8" t="inlineStr">
        <is>
          <t>OPERATING</t>
        </is>
      </c>
    </row>
    <row r="26684">
      <c r="A26684" s="8" t="inlineStr">
        <is>
          <t>2026-08-05</t>
        </is>
      </c>
      <c r="B26684" s="8" t="n">
        <v>20</v>
      </c>
      <c r="C26684" s="8" t="n">
        <v>15</v>
      </c>
      <c r="D26684" s="8" t="inlineStr">
        <is>
          <t>Disneyland Park</t>
        </is>
      </c>
      <c r="E26684" s="8" t="inlineStr">
        <is>
          <t>Disneyland Railroad Fantasyland Station</t>
        </is>
      </c>
      <c r="F26684" s="8" t="inlineStr">
        <is>
          <t>STANDBY</t>
        </is>
      </c>
      <c r="G26684" s="8" t="n">
        <v>0</v>
      </c>
      <c r="H26684" s="8" t="inlineStr">
        <is>
          <t>CLOSED</t>
        </is>
      </c>
    </row>
    <row r="26685">
      <c r="A26685" s="8" t="inlineStr">
        <is>
          <t>2026-08-05</t>
        </is>
      </c>
      <c r="B26685" s="8" t="n">
        <v>20</v>
      </c>
      <c r="C26685" s="8" t="n">
        <v>15</v>
      </c>
      <c r="D26685" s="8" t="inlineStr">
        <is>
          <t>Disneyland Park</t>
        </is>
      </c>
      <c r="E26685" s="8" t="inlineStr">
        <is>
          <t>Disneyland Railroad Main Street Station</t>
        </is>
      </c>
      <c r="F26685" s="8" t="inlineStr">
        <is>
          <t>STANDBY</t>
        </is>
      </c>
      <c r="G26685" s="8" t="n">
        <v>0</v>
      </c>
      <c r="H26685" s="8" t="inlineStr">
        <is>
          <t>CLOSED</t>
        </is>
      </c>
    </row>
    <row r="26686">
      <c r="A26686" s="8" t="inlineStr">
        <is>
          <t>2026-08-05</t>
        </is>
      </c>
      <c r="B26686" s="8" t="n">
        <v>20</v>
      </c>
      <c r="C26686" s="8" t="n">
        <v>15</v>
      </c>
      <c r="D26686" s="8" t="inlineStr">
        <is>
          <t>Disneyland Park</t>
        </is>
      </c>
      <c r="E26686" s="8" t="inlineStr">
        <is>
          <t>Dumbo the Flying Elephant</t>
        </is>
      </c>
      <c r="F26686" s="8" t="inlineStr">
        <is>
          <t>STANDBY</t>
        </is>
      </c>
      <c r="G26686" s="8" t="n">
        <v>35</v>
      </c>
      <c r="H26686" s="8" t="inlineStr">
        <is>
          <t>OPERATING</t>
        </is>
      </c>
    </row>
    <row r="26687">
      <c r="A26687" s="8" t="inlineStr">
        <is>
          <t>2026-08-05</t>
        </is>
      </c>
      <c r="B26687" s="8" t="n">
        <v>20</v>
      </c>
      <c r="C26687" s="8" t="n">
        <v>15</v>
      </c>
      <c r="D26687" s="8" t="inlineStr">
        <is>
          <t>Disneyland Park</t>
        </is>
      </c>
      <c r="E26687" s="8" t="inlineStr">
        <is>
          <t>La Tanière du Dragon</t>
        </is>
      </c>
      <c r="F26687" s="8" t="inlineStr">
        <is>
          <t>STANDBY</t>
        </is>
      </c>
      <c r="G26687" s="8" t="n">
        <v>0</v>
      </c>
      <c r="H26687" s="8" t="inlineStr">
        <is>
          <t>OPERATING</t>
        </is>
      </c>
    </row>
    <row r="26688">
      <c r="A26688" s="8" t="inlineStr">
        <is>
          <t>2026-08-05</t>
        </is>
      </c>
      <c r="B26688" s="8" t="n">
        <v>20</v>
      </c>
      <c r="C26688" s="8" t="n">
        <v>15</v>
      </c>
      <c r="D26688" s="8" t="inlineStr">
        <is>
          <t>Disneyland Park</t>
        </is>
      </c>
      <c r="E26688" s="8" t="inlineStr">
        <is>
          <t>Le Carrousel de Lancelot</t>
        </is>
      </c>
      <c r="F26688" s="8" t="inlineStr">
        <is>
          <t>STANDBY</t>
        </is>
      </c>
      <c r="G26688" s="8" t="n">
        <v>15</v>
      </c>
      <c r="H26688" s="8" t="inlineStr">
        <is>
          <t>OPERATING</t>
        </is>
      </c>
    </row>
    <row r="26689">
      <c r="A26689" s="8" t="inlineStr">
        <is>
          <t>2026-08-05</t>
        </is>
      </c>
      <c r="B26689" s="8" t="n">
        <v>20</v>
      </c>
      <c r="C26689" s="8" t="n">
        <v>15</v>
      </c>
      <c r="D26689" s="8" t="inlineStr">
        <is>
          <t>Disneyland Park</t>
        </is>
      </c>
      <c r="E26689" s="8" t="inlineStr">
        <is>
          <t>Le Pays des Contes de Fées, presented by Vittel</t>
        </is>
      </c>
      <c r="F26689" s="8" t="inlineStr">
        <is>
          <t>STANDBY</t>
        </is>
      </c>
      <c r="G26689" s="8" t="n">
        <v>5</v>
      </c>
      <c r="H26689" s="8" t="inlineStr">
        <is>
          <t>OPERATING</t>
        </is>
      </c>
    </row>
    <row r="26690">
      <c r="A26690" s="8" t="inlineStr">
        <is>
          <t>2026-08-05</t>
        </is>
      </c>
      <c r="B26690" s="8" t="n">
        <v>20</v>
      </c>
      <c r="C26690" s="8" t="n">
        <v>15</v>
      </c>
      <c r="D26690" s="8" t="inlineStr">
        <is>
          <t>Disneyland Park</t>
        </is>
      </c>
      <c r="E26690" s="8" t="inlineStr">
        <is>
          <t>Les Voyages de Pinocchio</t>
        </is>
      </c>
      <c r="F26690" s="8" t="inlineStr">
        <is>
          <t>STANDBY</t>
        </is>
      </c>
      <c r="G26690" s="8" t="n">
        <v>25</v>
      </c>
      <c r="H26690" s="8" t="inlineStr">
        <is>
          <t>OPERATING</t>
        </is>
      </c>
    </row>
    <row r="26691">
      <c r="A26691" s="8" t="inlineStr">
        <is>
          <t>2026-08-05</t>
        </is>
      </c>
      <c r="B26691" s="8" t="n">
        <v>20</v>
      </c>
      <c r="C26691" s="8" t="n">
        <v>15</v>
      </c>
      <c r="D26691" s="8" t="inlineStr">
        <is>
          <t>Disneyland Park</t>
        </is>
      </c>
      <c r="E26691" s="8" t="inlineStr">
        <is>
          <t>Mad Hatter's Tea Cups</t>
        </is>
      </c>
      <c r="F26691" s="8" t="inlineStr">
        <is>
          <t>STANDBY</t>
        </is>
      </c>
      <c r="G26691" s="8" t="n">
        <v>5</v>
      </c>
      <c r="H26691" s="8" t="inlineStr">
        <is>
          <t>OPERATING</t>
        </is>
      </c>
    </row>
    <row r="26692">
      <c r="A26692" s="8" t="inlineStr">
        <is>
          <t>2026-08-05</t>
        </is>
      </c>
      <c r="B26692" s="8" t="n">
        <v>20</v>
      </c>
      <c r="C26692" s="8" t="n">
        <v>15</v>
      </c>
      <c r="D26692" s="8" t="inlineStr">
        <is>
          <t>Disneyland Park</t>
        </is>
      </c>
      <c r="E26692" s="8" t="inlineStr">
        <is>
          <t>Meet Mickey Mouse</t>
        </is>
      </c>
      <c r="F26692" s="8" t="inlineStr">
        <is>
          <t>STANDBY</t>
        </is>
      </c>
      <c r="G26692" s="8" t="n">
        <v>0</v>
      </c>
      <c r="H26692" s="8" t="inlineStr">
        <is>
          <t>CLOSED</t>
        </is>
      </c>
    </row>
    <row r="26693">
      <c r="A26693" s="8" t="inlineStr">
        <is>
          <t>2026-08-05</t>
        </is>
      </c>
      <c r="B26693" s="8" t="n">
        <v>20</v>
      </c>
      <c r="C26693" s="8" t="n">
        <v>15</v>
      </c>
      <c r="D26693" s="8" t="inlineStr">
        <is>
          <t>Disneyland Park</t>
        </is>
      </c>
      <c r="E26693" s="8" t="inlineStr">
        <is>
          <t>Peter Pan's Flight</t>
        </is>
      </c>
      <c r="F26693" s="8" t="inlineStr">
        <is>
          <t>STANDBY</t>
        </is>
      </c>
      <c r="G26693" s="8" t="n">
        <v>75</v>
      </c>
      <c r="H26693" s="8" t="inlineStr">
        <is>
          <t>OPERATING</t>
        </is>
      </c>
    </row>
    <row r="26694">
      <c r="A26694" s="8" t="inlineStr">
        <is>
          <t>2026-08-05</t>
        </is>
      </c>
      <c r="B26694" s="8" t="n">
        <v>20</v>
      </c>
      <c r="C26694" s="8" t="n">
        <v>15</v>
      </c>
      <c r="D26694" s="8" t="inlineStr">
        <is>
          <t>Disneyland Park</t>
        </is>
      </c>
      <c r="E26694" s="8" t="inlineStr">
        <is>
          <t>Princess Pavilion</t>
        </is>
      </c>
      <c r="F26694" s="8" t="inlineStr">
        <is>
          <t>STANDBY</t>
        </is>
      </c>
      <c r="G26694" s="8" t="n">
        <v>0</v>
      </c>
      <c r="H26694" s="8" t="inlineStr">
        <is>
          <t>CLOSED</t>
        </is>
      </c>
    </row>
    <row r="26695">
      <c r="A26695" s="8" t="inlineStr">
        <is>
          <t>2026-08-05</t>
        </is>
      </c>
      <c r="B26695" s="8" t="n">
        <v>20</v>
      </c>
      <c r="C26695" s="8" t="n">
        <v>15</v>
      </c>
      <c r="D26695" s="8" t="inlineStr">
        <is>
          <t>Disneyland Park</t>
        </is>
      </c>
      <c r="E26695" s="8" t="inlineStr">
        <is>
          <t>Big Thunder Mountain</t>
        </is>
      </c>
      <c r="F26695" s="8" t="inlineStr">
        <is>
          <t>STANDBY</t>
        </is>
      </c>
      <c r="G26695" s="8" t="n">
        <v>95</v>
      </c>
      <c r="H26695" s="8" t="inlineStr">
        <is>
          <t>OPERATING</t>
        </is>
      </c>
    </row>
    <row r="26696">
      <c r="A26696" s="8" t="inlineStr">
        <is>
          <t>2026-08-05</t>
        </is>
      </c>
      <c r="B26696" s="8" t="n">
        <v>20</v>
      </c>
      <c r="C26696" s="8" t="n">
        <v>15</v>
      </c>
      <c r="D26696" s="8" t="inlineStr">
        <is>
          <t>Disneyland Park</t>
        </is>
      </c>
      <c r="E26696" s="8" t="inlineStr">
        <is>
          <t>Disneyland Railroad Frontierland Depot</t>
        </is>
      </c>
      <c r="F26696" s="8" t="inlineStr">
        <is>
          <t>STANDBY</t>
        </is>
      </c>
      <c r="G26696" s="8" t="n">
        <v>0</v>
      </c>
      <c r="H26696" s="8" t="inlineStr">
        <is>
          <t>CLOSED</t>
        </is>
      </c>
    </row>
    <row r="26697">
      <c r="A26697" s="8" t="inlineStr">
        <is>
          <t>2026-08-05</t>
        </is>
      </c>
      <c r="B26697" s="8" t="n">
        <v>20</v>
      </c>
      <c r="C26697" s="8" t="n">
        <v>15</v>
      </c>
      <c r="D26697" s="8" t="inlineStr">
        <is>
          <t>Disneyland Park</t>
        </is>
      </c>
      <c r="E26697" s="8" t="inlineStr">
        <is>
          <t>Frontierland Playground</t>
        </is>
      </c>
      <c r="F26697" s="8" t="inlineStr">
        <is>
          <t>STANDBY</t>
        </is>
      </c>
      <c r="G26697" s="8" t="n">
        <v>0</v>
      </c>
      <c r="H26697" s="8" t="inlineStr">
        <is>
          <t>OPERATING</t>
        </is>
      </c>
    </row>
    <row r="26698">
      <c r="A26698" s="8" t="inlineStr">
        <is>
          <t>2026-08-05</t>
        </is>
      </c>
      <c r="B26698" s="8" t="n">
        <v>20</v>
      </c>
      <c r="C26698" s="8" t="n">
        <v>15</v>
      </c>
      <c r="D26698" s="8" t="inlineStr">
        <is>
          <t>Disneyland Park</t>
        </is>
      </c>
      <c r="E26698" s="8" t="inlineStr">
        <is>
          <t>Phantom Manor</t>
        </is>
      </c>
      <c r="F26698" s="8" t="inlineStr">
        <is>
          <t>STANDBY</t>
        </is>
      </c>
      <c r="G26698" s="8" t="n">
        <v>5</v>
      </c>
      <c r="H26698" s="8" t="inlineStr">
        <is>
          <t>OPERATING</t>
        </is>
      </c>
    </row>
    <row r="26699">
      <c r="A26699" s="8" t="inlineStr">
        <is>
          <t>2026-08-05</t>
        </is>
      </c>
      <c r="B26699" s="8" t="n">
        <v>20</v>
      </c>
      <c r="C26699" s="8" t="n">
        <v>15</v>
      </c>
      <c r="D26699" s="8" t="inlineStr">
        <is>
          <t>Disneyland Park</t>
        </is>
      </c>
      <c r="E26699" s="8" t="inlineStr">
        <is>
          <t>River Rogue Keelboats</t>
        </is>
      </c>
      <c r="F26699" s="8" t="inlineStr">
        <is>
          <t>STANDBY</t>
        </is>
      </c>
      <c r="G26699" s="8" t="n">
        <v>0</v>
      </c>
      <c r="H26699" s="8" t="inlineStr">
        <is>
          <t>CLOSED</t>
        </is>
      </c>
    </row>
    <row r="26700">
      <c r="A26700" s="8" t="inlineStr">
        <is>
          <t>2026-08-05</t>
        </is>
      </c>
      <c r="B26700" s="8" t="n">
        <v>20</v>
      </c>
      <c r="C26700" s="8" t="n">
        <v>15</v>
      </c>
      <c r="D26700" s="8" t="inlineStr">
        <is>
          <t>Disneyland Park</t>
        </is>
      </c>
      <c r="E26700" s="8" t="inlineStr">
        <is>
          <t>Rustler Roundup Shootin' Gallery</t>
        </is>
      </c>
      <c r="F26700" s="8" t="inlineStr">
        <is>
          <t>STANDBY</t>
        </is>
      </c>
      <c r="G26700" s="8" t="n">
        <v>0</v>
      </c>
      <c r="H26700" s="8" t="inlineStr">
        <is>
          <t>OPERATING</t>
        </is>
      </c>
    </row>
    <row r="26701">
      <c r="A26701" s="8" t="inlineStr">
        <is>
          <t>2026-08-05</t>
        </is>
      </c>
      <c r="B26701" s="8" t="n">
        <v>20</v>
      </c>
      <c r="C26701" s="8" t="n">
        <v>15</v>
      </c>
      <c r="D26701" s="8" t="inlineStr">
        <is>
          <t>Disneyland Park</t>
        </is>
      </c>
      <c r="E26701" s="8" t="inlineStr">
        <is>
          <t>Thunder Mesa Riverboat Landing</t>
        </is>
      </c>
      <c r="F26701" s="8" t="inlineStr">
        <is>
          <t>STANDBY</t>
        </is>
      </c>
      <c r="G26701" s="8" t="n">
        <v>0</v>
      </c>
      <c r="H26701" s="8" t="inlineStr">
        <is>
          <t>CLOSED</t>
        </is>
      </c>
    </row>
    <row r="26702">
      <c r="A26702" s="8" t="inlineStr">
        <is>
          <t>2026-08-05</t>
        </is>
      </c>
      <c r="B26702" s="8" t="n">
        <v>20</v>
      </c>
      <c r="C26702" s="8" t="n">
        <v>15</v>
      </c>
      <c r="D26702" s="8" t="inlineStr">
        <is>
          <t>Disneyland Park</t>
        </is>
      </c>
      <c r="E26702" s="8" t="inlineStr">
        <is>
          <t>Disneyland Railroad Main Street Station</t>
        </is>
      </c>
      <c r="F26702" s="8" t="inlineStr">
        <is>
          <t>STANDBY</t>
        </is>
      </c>
      <c r="G26702" s="8" t="n">
        <v>0</v>
      </c>
      <c r="H26702" s="8" t="inlineStr">
        <is>
          <t>CLOSED</t>
        </is>
      </c>
    </row>
    <row r="26703">
      <c r="A26703" s="8" t="inlineStr">
        <is>
          <t>2026-08-05</t>
        </is>
      </c>
      <c r="B26703" s="8" t="n">
        <v>20</v>
      </c>
      <c r="C26703" s="8" t="n">
        <v>15</v>
      </c>
      <c r="D26703" s="8" t="inlineStr">
        <is>
          <t>Disneyland Park</t>
        </is>
      </c>
      <c r="E26703" s="8" t="inlineStr">
        <is>
          <t>Main Street Vehicles</t>
        </is>
      </c>
      <c r="F26703" s="8" t="inlineStr">
        <is>
          <t>STANDBY</t>
        </is>
      </c>
      <c r="G26703" s="8" t="n">
        <v>0</v>
      </c>
      <c r="H26703" s="8" t="inlineStr">
        <is>
          <t>CLOSED</t>
        </is>
      </c>
    </row>
    <row r="26704">
      <c r="A26704" s="8" t="inlineStr">
        <is>
          <t>2026-08-05</t>
        </is>
      </c>
      <c r="B26704" s="8" t="n">
        <v>20</v>
      </c>
      <c r="C26704" s="8" t="n">
        <v>15</v>
      </c>
      <c r="D26704" s="8" t="inlineStr">
        <is>
          <t>Disney Adventure World</t>
        </is>
      </c>
      <c r="E26704" s="8" t="inlineStr">
        <is>
          <t>Avengers Assemble: Flight Force</t>
        </is>
      </c>
      <c r="F26704" s="8" t="inlineStr">
        <is>
          <t>STANDBY</t>
        </is>
      </c>
      <c r="G26704" s="8" t="n">
        <v>5</v>
      </c>
      <c r="H26704" s="8" t="inlineStr">
        <is>
          <t>OPERATING</t>
        </is>
      </c>
    </row>
    <row r="26705">
      <c r="A26705" s="8" t="inlineStr">
        <is>
          <t>2026-08-05</t>
        </is>
      </c>
      <c r="B26705" s="8" t="n">
        <v>20</v>
      </c>
      <c r="C26705" s="8" t="n">
        <v>15</v>
      </c>
      <c r="D26705" s="8" t="inlineStr">
        <is>
          <t>Disney Adventure World</t>
        </is>
      </c>
      <c r="E26705" s="8" t="inlineStr">
        <is>
          <t>Avengers Assemble: Flight Force Single Rider</t>
        </is>
      </c>
      <c r="F26705" s="8" t="inlineStr">
        <is>
          <t>STANDBY</t>
        </is>
      </c>
      <c r="G26705" s="8" t="n">
        <v>5</v>
      </c>
      <c r="H26705" s="8" t="inlineStr">
        <is>
          <t>OPERATING</t>
        </is>
      </c>
    </row>
    <row r="26706">
      <c r="A26706" s="8" t="inlineStr">
        <is>
          <t>2026-08-05</t>
        </is>
      </c>
      <c r="B26706" s="8" t="n">
        <v>20</v>
      </c>
      <c r="C26706" s="8" t="n">
        <v>15</v>
      </c>
      <c r="D26706" s="8" t="inlineStr">
        <is>
          <t>Disney Adventure World</t>
        </is>
      </c>
      <c r="E26706" s="8" t="inlineStr">
        <is>
          <t>Spider-Man W.E.B. Adventure</t>
        </is>
      </c>
      <c r="F26706" s="8" t="inlineStr">
        <is>
          <t>STANDBY</t>
        </is>
      </c>
      <c r="G26706" s="8" t="n">
        <v>40</v>
      </c>
      <c r="H26706" s="8" t="inlineStr">
        <is>
          <t>OPERATING</t>
        </is>
      </c>
    </row>
    <row r="26707">
      <c r="A26707" s="8" t="inlineStr">
        <is>
          <t>2026-08-05</t>
        </is>
      </c>
      <c r="B26707" s="8" t="n">
        <v>20</v>
      </c>
      <c r="C26707" s="8" t="n">
        <v>15</v>
      </c>
      <c r="D26707" s="8" t="inlineStr">
        <is>
          <t>Disney Adventure World</t>
        </is>
      </c>
      <c r="E26707" s="8" t="inlineStr">
        <is>
          <t>Spider-Man W.E.B. Adventure Single Rider</t>
        </is>
      </c>
      <c r="F26707" s="8" t="inlineStr">
        <is>
          <t>STANDBY</t>
        </is>
      </c>
      <c r="G26707" s="8" t="n">
        <v>15</v>
      </c>
      <c r="H26707" s="8" t="inlineStr">
        <is>
          <t>OPERATING</t>
        </is>
      </c>
    </row>
    <row r="26708">
      <c r="A26708" s="8" t="inlineStr">
        <is>
          <t>2026-08-05</t>
        </is>
      </c>
      <c r="B26708" s="8" t="n">
        <v>20</v>
      </c>
      <c r="C26708" s="8" t="n">
        <v>15</v>
      </c>
      <c r="D26708" s="8" t="inlineStr">
        <is>
          <t>Disney Adventure World</t>
        </is>
      </c>
      <c r="E26708" s="8" t="inlineStr">
        <is>
          <t>The Twilight Zone Tower of Terror</t>
        </is>
      </c>
      <c r="F26708" s="8" t="inlineStr">
        <is>
          <t>STANDBY</t>
        </is>
      </c>
      <c r="G26708" s="8" t="n">
        <v>15</v>
      </c>
      <c r="H26708" s="8" t="inlineStr">
        <is>
          <t>OPERATING</t>
        </is>
      </c>
    </row>
    <row r="26709">
      <c r="A26709" s="8" t="inlineStr">
        <is>
          <t>2026-08-05</t>
        </is>
      </c>
      <c r="B26709" s="8" t="n">
        <v>20</v>
      </c>
      <c r="C26709" s="8" t="n">
        <v>15</v>
      </c>
      <c r="D26709" s="8" t="inlineStr">
        <is>
          <t>Disney Adventure World</t>
        </is>
      </c>
      <c r="E26709" s="8" t="inlineStr">
        <is>
          <t>Cars Quatre Roues Rallye</t>
        </is>
      </c>
      <c r="F26709" s="8" t="inlineStr">
        <is>
          <t>STANDBY</t>
        </is>
      </c>
      <c r="G26709" s="8" t="n">
        <v>10</v>
      </c>
      <c r="H26709" s="8" t="inlineStr">
        <is>
          <t>OPERATING</t>
        </is>
      </c>
    </row>
    <row r="26710">
      <c r="A26710" s="8" t="inlineStr">
        <is>
          <t>2026-08-05</t>
        </is>
      </c>
      <c r="B26710" s="8" t="n">
        <v>20</v>
      </c>
      <c r="C26710" s="8" t="n">
        <v>15</v>
      </c>
      <c r="D26710" s="8" t="inlineStr">
        <is>
          <t>Disney Adventure World</t>
        </is>
      </c>
      <c r="E26710" s="8" t="inlineStr">
        <is>
          <t>Cars ROAD TRIP</t>
        </is>
      </c>
      <c r="F26710" s="8" t="inlineStr">
        <is>
          <t>STANDBY</t>
        </is>
      </c>
      <c r="G26710" s="8" t="n">
        <v>5</v>
      </c>
      <c r="H26710" s="8" t="inlineStr">
        <is>
          <t>OPERATING</t>
        </is>
      </c>
    </row>
    <row r="26711">
      <c r="A26711" s="8" t="inlineStr">
        <is>
          <t>2026-08-05</t>
        </is>
      </c>
      <c r="B26711" s="8" t="n">
        <v>20</v>
      </c>
      <c r="C26711" s="8" t="n">
        <v>15</v>
      </c>
      <c r="D26711" s="8" t="inlineStr">
        <is>
          <t>Disney Adventure World</t>
        </is>
      </c>
      <c r="E26711" s="8" t="inlineStr">
        <is>
          <t>Crush's Coaster</t>
        </is>
      </c>
      <c r="F26711" s="8" t="inlineStr">
        <is>
          <t>STANDBY</t>
        </is>
      </c>
      <c r="G26711" s="8" t="n">
        <v>60</v>
      </c>
      <c r="H26711" s="8" t="inlineStr">
        <is>
          <t>OPERATING</t>
        </is>
      </c>
    </row>
    <row r="26712">
      <c r="A26712" s="8" t="inlineStr">
        <is>
          <t>2026-08-05</t>
        </is>
      </c>
      <c r="B26712" s="8" t="n">
        <v>20</v>
      </c>
      <c r="C26712" s="8" t="n">
        <v>15</v>
      </c>
      <c r="D26712" s="8" t="inlineStr">
        <is>
          <t>Disney Adventure World</t>
        </is>
      </c>
      <c r="E26712" s="8" t="inlineStr">
        <is>
          <t>Crush's Coaster Single Rider</t>
        </is>
      </c>
      <c r="F26712" s="8" t="inlineStr">
        <is>
          <t>STANDBY</t>
        </is>
      </c>
      <c r="G26712" s="8" t="n">
        <v>50</v>
      </c>
      <c r="H26712" s="8" t="inlineStr">
        <is>
          <t>OPERATING</t>
        </is>
      </c>
    </row>
    <row r="26713">
      <c r="A26713" s="8" t="inlineStr">
        <is>
          <t>2026-08-05</t>
        </is>
      </c>
      <c r="B26713" s="8" t="n">
        <v>20</v>
      </c>
      <c r="C26713" s="8" t="n">
        <v>15</v>
      </c>
      <c r="D26713" s="8" t="inlineStr">
        <is>
          <t>Disney Adventure World</t>
        </is>
      </c>
      <c r="E26713" s="8" t="inlineStr">
        <is>
          <t>Les Tapis Volants - Flying Carpets Over Agrabah®</t>
        </is>
      </c>
      <c r="F26713" s="8" t="inlineStr">
        <is>
          <t>STANDBY</t>
        </is>
      </c>
      <c r="G26713" s="8" t="n">
        <v>5</v>
      </c>
      <c r="H26713" s="8" t="inlineStr">
        <is>
          <t>OPERATING</t>
        </is>
      </c>
    </row>
    <row r="26714">
      <c r="A26714" s="8" t="inlineStr">
        <is>
          <t>2026-08-05</t>
        </is>
      </c>
      <c r="B26714" s="8" t="n">
        <v>20</v>
      </c>
      <c r="C26714" s="8" t="n">
        <v>15</v>
      </c>
      <c r="D26714" s="8" t="inlineStr">
        <is>
          <t>Disney Adventure World</t>
        </is>
      </c>
      <c r="E26714" s="8" t="inlineStr">
        <is>
          <t>Ratatouille : L’Aventure Totalement Toquée de Rémy​</t>
        </is>
      </c>
      <c r="F26714" s="8" t="inlineStr">
        <is>
          <t>STANDBY</t>
        </is>
      </c>
      <c r="G26714" s="8" t="n">
        <v>45</v>
      </c>
      <c r="H26714" s="8" t="inlineStr">
        <is>
          <t>OPERATING</t>
        </is>
      </c>
    </row>
    <row r="26715">
      <c r="A26715" s="8" t="inlineStr">
        <is>
          <t>2026-08-05</t>
        </is>
      </c>
      <c r="B26715" s="8" t="n">
        <v>20</v>
      </c>
      <c r="C26715" s="8" t="n">
        <v>15</v>
      </c>
      <c r="D26715" s="8" t="inlineStr">
        <is>
          <t>Disney Adventure World</t>
        </is>
      </c>
      <c r="E26715" s="8" t="inlineStr">
        <is>
          <t>Ratatouille: The Adventure Single Rider</t>
        </is>
      </c>
      <c r="F26715" s="8" t="inlineStr">
        <is>
          <t>STANDBY</t>
        </is>
      </c>
      <c r="G26715" s="8" t="n">
        <v>15</v>
      </c>
      <c r="H26715" s="8" t="inlineStr">
        <is>
          <t>OPERATING</t>
        </is>
      </c>
    </row>
    <row r="26716">
      <c r="A26716" s="8" t="inlineStr">
        <is>
          <t>2026-08-05</t>
        </is>
      </c>
      <c r="B26716" s="8" t="n">
        <v>20</v>
      </c>
      <c r="C26716" s="8" t="n">
        <v>15</v>
      </c>
      <c r="D26716" s="8" t="inlineStr">
        <is>
          <t>Disney Adventure World</t>
        </is>
      </c>
      <c r="E26716" s="8" t="inlineStr">
        <is>
          <t>RC Racer</t>
        </is>
      </c>
      <c r="F26716" s="8" t="inlineStr">
        <is>
          <t>STANDBY</t>
        </is>
      </c>
      <c r="G26716" s="8" t="n">
        <v>40</v>
      </c>
      <c r="H26716" s="8" t="inlineStr">
        <is>
          <t>OPERATING</t>
        </is>
      </c>
    </row>
    <row r="26717">
      <c r="A26717" s="8" t="inlineStr">
        <is>
          <t>2026-08-05</t>
        </is>
      </c>
      <c r="B26717" s="8" t="n">
        <v>20</v>
      </c>
      <c r="C26717" s="8" t="n">
        <v>15</v>
      </c>
      <c r="D26717" s="8" t="inlineStr">
        <is>
          <t>Disney Adventure World</t>
        </is>
      </c>
      <c r="E26717" s="8" t="inlineStr">
        <is>
          <t>RC Racer Single Rider</t>
        </is>
      </c>
      <c r="F26717" s="8" t="inlineStr">
        <is>
          <t>STANDBY</t>
        </is>
      </c>
      <c r="G26717" s="8" t="n">
        <v>35</v>
      </c>
      <c r="H26717" s="8" t="inlineStr">
        <is>
          <t>OPERATING</t>
        </is>
      </c>
    </row>
    <row r="26718">
      <c r="A26718" s="8" t="inlineStr">
        <is>
          <t>2026-08-05</t>
        </is>
      </c>
      <c r="B26718" s="8" t="n">
        <v>20</v>
      </c>
      <c r="C26718" s="8" t="n">
        <v>15</v>
      </c>
      <c r="D26718" s="8" t="inlineStr">
        <is>
          <t>Disney Adventure World</t>
        </is>
      </c>
      <c r="E26718" s="8" t="inlineStr">
        <is>
          <t>Slinky® Dog Zigzag Spin</t>
        </is>
      </c>
      <c r="F26718" s="8" t="inlineStr">
        <is>
          <t>STANDBY</t>
        </is>
      </c>
      <c r="G26718" s="8" t="n">
        <v>10</v>
      </c>
      <c r="H26718" s="8" t="inlineStr">
        <is>
          <t>OPERATING</t>
        </is>
      </c>
    </row>
    <row r="26719">
      <c r="A26719" s="8" t="inlineStr">
        <is>
          <t>2026-08-05</t>
        </is>
      </c>
      <c r="B26719" s="8" t="n">
        <v>20</v>
      </c>
      <c r="C26719" s="8" t="n">
        <v>15</v>
      </c>
      <c r="D26719" s="8" t="inlineStr">
        <is>
          <t>Disney Adventure World</t>
        </is>
      </c>
      <c r="E26719" s="8" t="inlineStr">
        <is>
          <t>Toy Soldiers Parachute Drop</t>
        </is>
      </c>
      <c r="F26719" s="8" t="inlineStr">
        <is>
          <t>STANDBY</t>
        </is>
      </c>
      <c r="G26719" s="8" t="n">
        <v>40</v>
      </c>
      <c r="H26719" s="8" t="inlineStr">
        <is>
          <t>OPERATING</t>
        </is>
      </c>
    </row>
    <row r="26720">
      <c r="A26720" s="8" t="inlineStr">
        <is>
          <t>2026-08-05</t>
        </is>
      </c>
      <c r="B26720" s="8" t="n">
        <v>20</v>
      </c>
      <c r="C26720" s="8" t="n">
        <v>15</v>
      </c>
      <c r="D26720" s="8" t="inlineStr">
        <is>
          <t>Disney Adventure World</t>
        </is>
      </c>
      <c r="E26720" s="8" t="inlineStr">
        <is>
          <t>Toy Soldiers Parachute Drop Single Rider</t>
        </is>
      </c>
      <c r="F26720" s="8" t="inlineStr">
        <is>
          <t>STANDBY</t>
        </is>
      </c>
      <c r="G26720" s="8" t="n">
        <v>20</v>
      </c>
      <c r="H26720" s="8" t="inlineStr">
        <is>
          <t>OPERATING</t>
        </is>
      </c>
    </row>
    <row r="26721">
      <c r="A26721" s="8" t="inlineStr">
        <is>
          <t>2026-08-05</t>
        </is>
      </c>
      <c r="B26721" s="8" t="n">
        <v>20</v>
      </c>
      <c r="C26721" s="8" t="n">
        <v>15</v>
      </c>
      <c r="D26721" s="8" t="inlineStr">
        <is>
          <t>Disney Adventure World</t>
        </is>
      </c>
      <c r="E26721" s="8" t="inlineStr">
        <is>
          <t>Entry to World of Frozen</t>
        </is>
      </c>
      <c r="F26721" s="8" t="inlineStr">
        <is>
          <t>STANDBY</t>
        </is>
      </c>
      <c r="G26721" s="8" t="n">
        <v>0</v>
      </c>
      <c r="H26721" s="8" t="inlineStr">
        <is>
          <t>OPERATING</t>
        </is>
      </c>
    </row>
    <row r="26722">
      <c r="A26722" s="8" t="inlineStr">
        <is>
          <t>2026-08-05</t>
        </is>
      </c>
      <c r="B26722" s="8" t="n">
        <v>20</v>
      </c>
      <c r="C26722" s="8" t="n">
        <v>15</v>
      </c>
      <c r="D26722" s="8" t="inlineStr">
        <is>
          <t>Disney Adventure World</t>
        </is>
      </c>
      <c r="E26722" s="8" t="inlineStr">
        <is>
          <t>Frozen Ever After</t>
        </is>
      </c>
      <c r="F26722" s="8" t="inlineStr">
        <is>
          <t>STANDBY</t>
        </is>
      </c>
      <c r="G26722" s="8" t="n">
        <v>50</v>
      </c>
      <c r="H26722" s="8" t="inlineStr">
        <is>
          <t>OPERATING</t>
        </is>
      </c>
    </row>
    <row r="26723">
      <c r="A26723" s="8" t="inlineStr">
        <is>
          <t>2026-08-05</t>
        </is>
      </c>
      <c r="B26723" s="8" t="n">
        <v>20</v>
      </c>
      <c r="C26723" s="8" t="n">
        <v>15</v>
      </c>
      <c r="D26723" s="8" t="inlineStr">
        <is>
          <t>Disney Adventure World</t>
        </is>
      </c>
      <c r="E26723" s="8" t="inlineStr">
        <is>
          <t>Raiponce Tangled Spin</t>
        </is>
      </c>
      <c r="F26723" s="8" t="inlineStr">
        <is>
          <t>STANDBY</t>
        </is>
      </c>
      <c r="G26723" s="8" t="n">
        <v>5</v>
      </c>
      <c r="H26723" s="8" t="inlineStr">
        <is>
          <t>OPERATING</t>
        </is>
      </c>
    </row>
    <row r="26724">
      <c r="A26724" s="8" t="inlineStr">
        <is>
          <t>2026-08-05</t>
        </is>
      </c>
      <c r="B26724" s="8" t="n">
        <v>20</v>
      </c>
      <c r="C26724" s="8" t="n">
        <v>31</v>
      </c>
      <c r="D26724" s="8" t="inlineStr">
        <is>
          <t>Disneyland Park</t>
        </is>
      </c>
      <c r="E26724" s="8" t="inlineStr">
        <is>
          <t>Adventure Isle</t>
        </is>
      </c>
      <c r="F26724" s="8" t="inlineStr">
        <is>
          <t>STANDBY</t>
        </is>
      </c>
      <c r="G26724" s="8" t="n">
        <v>0</v>
      </c>
      <c r="H26724" s="8" t="inlineStr">
        <is>
          <t>OPERATING</t>
        </is>
      </c>
    </row>
    <row r="26725">
      <c r="A26725" s="8" t="inlineStr">
        <is>
          <t>2026-08-05</t>
        </is>
      </c>
      <c r="B26725" s="8" t="n">
        <v>20</v>
      </c>
      <c r="C26725" s="8" t="n">
        <v>31</v>
      </c>
      <c r="D26725" s="8" t="inlineStr">
        <is>
          <t>Disneyland Park</t>
        </is>
      </c>
      <c r="E26725" s="8" t="inlineStr">
        <is>
          <t>Indiana Jones and the Temple of Peril Single Rider</t>
        </is>
      </c>
      <c r="F26725" s="8" t="inlineStr">
        <is>
          <t>STANDBY</t>
        </is>
      </c>
      <c r="G26725" s="8" t="n">
        <v>5</v>
      </c>
      <c r="H26725" s="8" t="inlineStr">
        <is>
          <t>OPERATING</t>
        </is>
      </c>
    </row>
    <row r="26726">
      <c r="A26726" s="8" t="inlineStr">
        <is>
          <t>2026-08-05</t>
        </is>
      </c>
      <c r="B26726" s="8" t="n">
        <v>20</v>
      </c>
      <c r="C26726" s="8" t="n">
        <v>31</v>
      </c>
      <c r="D26726" s="8" t="inlineStr">
        <is>
          <t>Disneyland Park</t>
        </is>
      </c>
      <c r="E26726" s="8" t="inlineStr">
        <is>
          <t>Indiana Jones™ and the Temple of Peril</t>
        </is>
      </c>
      <c r="F26726" s="8" t="inlineStr">
        <is>
          <t>STANDBY</t>
        </is>
      </c>
      <c r="G26726" s="8" t="n">
        <v>10</v>
      </c>
      <c r="H26726" s="8" t="inlineStr">
        <is>
          <t>OPERATING</t>
        </is>
      </c>
    </row>
    <row r="26727">
      <c r="A26727" s="8" t="inlineStr">
        <is>
          <t>2026-08-05</t>
        </is>
      </c>
      <c r="B26727" s="8" t="n">
        <v>20</v>
      </c>
      <c r="C26727" s="8" t="n">
        <v>31</v>
      </c>
      <c r="D26727" s="8" t="inlineStr">
        <is>
          <t>Disneyland Park</t>
        </is>
      </c>
      <c r="E26727" s="8" t="inlineStr">
        <is>
          <t>La Cabane des Robinson</t>
        </is>
      </c>
      <c r="F26727" s="8" t="inlineStr">
        <is>
          <t>STANDBY</t>
        </is>
      </c>
      <c r="G26727" s="8" t="n">
        <v>5</v>
      </c>
      <c r="H26727" s="8" t="inlineStr">
        <is>
          <t>OPERATING</t>
        </is>
      </c>
    </row>
    <row r="26728">
      <c r="A26728" s="8" t="inlineStr">
        <is>
          <t>2026-08-05</t>
        </is>
      </c>
      <c r="B26728" s="8" t="n">
        <v>20</v>
      </c>
      <c r="C26728" s="8" t="n">
        <v>31</v>
      </c>
      <c r="D26728" s="8" t="inlineStr">
        <is>
          <t>Disneyland Park</t>
        </is>
      </c>
      <c r="E26728" s="8" t="inlineStr">
        <is>
          <t>Le Passage Enchanté d'Aladdin</t>
        </is>
      </c>
      <c r="F26728" s="8" t="inlineStr">
        <is>
          <t>STANDBY</t>
        </is>
      </c>
      <c r="G26728" s="8" t="n">
        <v>0</v>
      </c>
      <c r="H26728" s="8" t="inlineStr">
        <is>
          <t>OPERATING</t>
        </is>
      </c>
    </row>
    <row r="26729">
      <c r="A26729" s="8" t="inlineStr">
        <is>
          <t>2026-08-05</t>
        </is>
      </c>
      <c r="B26729" s="8" t="n">
        <v>20</v>
      </c>
      <c r="C26729" s="8" t="n">
        <v>31</v>
      </c>
      <c r="D26729" s="8" t="inlineStr">
        <is>
          <t>Disneyland Park</t>
        </is>
      </c>
      <c r="E26729" s="8" t="inlineStr">
        <is>
          <t>Pirate Galleon</t>
        </is>
      </c>
      <c r="F26729" s="8" t="inlineStr">
        <is>
          <t>STANDBY</t>
        </is>
      </c>
      <c r="G26729" s="8" t="n">
        <v>0</v>
      </c>
      <c r="H26729" s="8" t="inlineStr">
        <is>
          <t>CLOSED</t>
        </is>
      </c>
    </row>
    <row r="26730">
      <c r="A26730" s="8" t="inlineStr">
        <is>
          <t>2026-08-05</t>
        </is>
      </c>
      <c r="B26730" s="8" t="n">
        <v>20</v>
      </c>
      <c r="C26730" s="8" t="n">
        <v>31</v>
      </c>
      <c r="D26730" s="8" t="inlineStr">
        <is>
          <t>Disneyland Park</t>
        </is>
      </c>
      <c r="E26730" s="8" t="inlineStr">
        <is>
          <t>Pirates of the Caribbean</t>
        </is>
      </c>
      <c r="F26730" s="8" t="inlineStr">
        <is>
          <t>STANDBY</t>
        </is>
      </c>
      <c r="G26730" s="8" t="n">
        <v>10</v>
      </c>
      <c r="H26730" s="8" t="inlineStr">
        <is>
          <t>OPERATING</t>
        </is>
      </c>
    </row>
    <row r="26731">
      <c r="A26731" s="8" t="inlineStr">
        <is>
          <t>2026-08-05</t>
        </is>
      </c>
      <c r="B26731" s="8" t="n">
        <v>20</v>
      </c>
      <c r="C26731" s="8" t="n">
        <v>31</v>
      </c>
      <c r="D26731" s="8" t="inlineStr">
        <is>
          <t>Disneyland Park</t>
        </is>
      </c>
      <c r="E26731" s="8" t="inlineStr">
        <is>
          <t>Pirates' Beach</t>
        </is>
      </c>
      <c r="F26731" s="8" t="inlineStr">
        <is>
          <t>STANDBY</t>
        </is>
      </c>
      <c r="G26731" s="8" t="n">
        <v>0</v>
      </c>
      <c r="H26731" s="8" t="inlineStr">
        <is>
          <t>OPERATING</t>
        </is>
      </c>
    </row>
    <row r="26732">
      <c r="A26732" s="8" t="inlineStr">
        <is>
          <t>2026-08-05</t>
        </is>
      </c>
      <c r="B26732" s="8" t="n">
        <v>20</v>
      </c>
      <c r="C26732" s="8" t="n">
        <v>31</v>
      </c>
      <c r="D26732" s="8" t="inlineStr">
        <is>
          <t>Disneyland Park</t>
        </is>
      </c>
      <c r="E26732" s="8" t="inlineStr">
        <is>
          <t>Autopia, presented by Avis</t>
        </is>
      </c>
      <c r="F26732" s="8" t="inlineStr">
        <is>
          <t>STANDBY</t>
        </is>
      </c>
      <c r="G26732" s="8" t="n">
        <v>35</v>
      </c>
      <c r="H26732" s="8" t="inlineStr">
        <is>
          <t>OPERATING</t>
        </is>
      </c>
    </row>
    <row r="26733">
      <c r="A26733" s="8" t="inlineStr">
        <is>
          <t>2026-08-05</t>
        </is>
      </c>
      <c r="B26733" s="8" t="n">
        <v>20</v>
      </c>
      <c r="C26733" s="8" t="n">
        <v>31</v>
      </c>
      <c r="D26733" s="8" t="inlineStr">
        <is>
          <t>Disneyland Park</t>
        </is>
      </c>
      <c r="E26733" s="8" t="inlineStr">
        <is>
          <t>Buzz Lightyear Laser Blast</t>
        </is>
      </c>
      <c r="F26733" s="8" t="inlineStr">
        <is>
          <t>STANDBY</t>
        </is>
      </c>
      <c r="G26733" s="8" t="n">
        <v>40</v>
      </c>
      <c r="H26733" s="8" t="inlineStr">
        <is>
          <t>OPERATING</t>
        </is>
      </c>
    </row>
    <row r="26734">
      <c r="A26734" s="8" t="inlineStr">
        <is>
          <t>2026-08-05</t>
        </is>
      </c>
      <c r="B26734" s="8" t="n">
        <v>20</v>
      </c>
      <c r="C26734" s="8" t="n">
        <v>31</v>
      </c>
      <c r="D26734" s="8" t="inlineStr">
        <is>
          <t>Disneyland Park</t>
        </is>
      </c>
      <c r="E26734" s="8" t="inlineStr">
        <is>
          <t>Disneyland Railroad Discoveryland Station</t>
        </is>
      </c>
      <c r="F26734" s="8" t="inlineStr">
        <is>
          <t>STANDBY</t>
        </is>
      </c>
      <c r="G26734" s="8" t="n">
        <v>0</v>
      </c>
      <c r="H26734" s="8" t="inlineStr">
        <is>
          <t>CLOSED</t>
        </is>
      </c>
    </row>
    <row r="26735">
      <c r="A26735" s="8" t="inlineStr">
        <is>
          <t>2026-08-05</t>
        </is>
      </c>
      <c r="B26735" s="8" t="n">
        <v>20</v>
      </c>
      <c r="C26735" s="8" t="n">
        <v>31</v>
      </c>
      <c r="D26735" s="8" t="inlineStr">
        <is>
          <t>Disneyland Park</t>
        </is>
      </c>
      <c r="E26735" s="8" t="inlineStr">
        <is>
          <t>Les Mystères du Nautilus</t>
        </is>
      </c>
      <c r="F26735" s="8" t="inlineStr">
        <is>
          <t>STANDBY</t>
        </is>
      </c>
      <c r="G26735" s="8" t="n">
        <v>5</v>
      </c>
      <c r="H26735" s="8" t="inlineStr">
        <is>
          <t>OPERATING</t>
        </is>
      </c>
    </row>
    <row r="26736">
      <c r="A26736" s="8" t="inlineStr">
        <is>
          <t>2026-08-05</t>
        </is>
      </c>
      <c r="B26736" s="8" t="n">
        <v>20</v>
      </c>
      <c r="C26736" s="8" t="n">
        <v>31</v>
      </c>
      <c r="D26736" s="8" t="inlineStr">
        <is>
          <t>Disneyland Park</t>
        </is>
      </c>
      <c r="E26736" s="8" t="inlineStr">
        <is>
          <t>Mickey’s PhilharMagic</t>
        </is>
      </c>
      <c r="F26736" s="8" t="inlineStr">
        <is>
          <t>STANDBY</t>
        </is>
      </c>
      <c r="G26736" s="8" t="n">
        <v>0</v>
      </c>
      <c r="H26736" s="8" t="inlineStr">
        <is>
          <t>CLOSED</t>
        </is>
      </c>
    </row>
    <row r="26737">
      <c r="A26737" s="8" t="inlineStr">
        <is>
          <t>2026-08-05</t>
        </is>
      </c>
      <c r="B26737" s="8" t="n">
        <v>20</v>
      </c>
      <c r="C26737" s="8" t="n">
        <v>31</v>
      </c>
      <c r="D26737" s="8" t="inlineStr">
        <is>
          <t>Disneyland Park</t>
        </is>
      </c>
      <c r="E26737" s="8" t="inlineStr">
        <is>
          <t>Orbitron®</t>
        </is>
      </c>
      <c r="F26737" s="8" t="inlineStr">
        <is>
          <t>STANDBY</t>
        </is>
      </c>
      <c r="G26737" s="8" t="n">
        <v>45</v>
      </c>
      <c r="H26737" s="8" t="inlineStr">
        <is>
          <t>OPERATING</t>
        </is>
      </c>
    </row>
    <row r="26738">
      <c r="A26738" s="8" t="inlineStr">
        <is>
          <t>2026-08-05</t>
        </is>
      </c>
      <c r="B26738" s="8" t="n">
        <v>20</v>
      </c>
      <c r="C26738" s="8" t="n">
        <v>31</v>
      </c>
      <c r="D26738" s="8" t="inlineStr">
        <is>
          <t>Disneyland Park</t>
        </is>
      </c>
      <c r="E26738" s="8" t="inlineStr">
        <is>
          <t>Star Tours: The Adventures Continue*</t>
        </is>
      </c>
      <c r="F26738" s="8" t="inlineStr">
        <is>
          <t>STANDBY</t>
        </is>
      </c>
      <c r="G26738" s="8" t="n">
        <v>5</v>
      </c>
      <c r="H26738" s="8" t="inlineStr">
        <is>
          <t>OPERATING</t>
        </is>
      </c>
    </row>
    <row r="26739">
      <c r="A26739" s="8" t="inlineStr">
        <is>
          <t>2026-08-05</t>
        </is>
      </c>
      <c r="B26739" s="8" t="n">
        <v>20</v>
      </c>
      <c r="C26739" s="8" t="n">
        <v>31</v>
      </c>
      <c r="D26739" s="8" t="inlineStr">
        <is>
          <t>Disneyland Park</t>
        </is>
      </c>
      <c r="E26739" s="8" t="inlineStr">
        <is>
          <t>Star Wars Hyperspace Mountain</t>
        </is>
      </c>
      <c r="F26739" s="8" t="inlineStr">
        <is>
          <t>STANDBY</t>
        </is>
      </c>
      <c r="G26739" s="8" t="n">
        <v>30</v>
      </c>
      <c r="H26739" s="8" t="inlineStr">
        <is>
          <t>OPERATING</t>
        </is>
      </c>
    </row>
    <row r="26740">
      <c r="A26740" s="8" t="inlineStr">
        <is>
          <t>2026-08-05</t>
        </is>
      </c>
      <c r="B26740" s="8" t="n">
        <v>20</v>
      </c>
      <c r="C26740" s="8" t="n">
        <v>31</v>
      </c>
      <c r="D26740" s="8" t="inlineStr">
        <is>
          <t>Disneyland Park</t>
        </is>
      </c>
      <c r="E26740" s="8" t="inlineStr">
        <is>
          <t>Star Wars Hyperspace Mountain Single Rider</t>
        </is>
      </c>
      <c r="F26740" s="8" t="inlineStr">
        <is>
          <t>STANDBY</t>
        </is>
      </c>
      <c r="G26740" s="8" t="n">
        <v>0</v>
      </c>
      <c r="H26740" s="8" t="inlineStr">
        <is>
          <t>OPERATING</t>
        </is>
      </c>
    </row>
    <row r="26741">
      <c r="A26741" s="8" t="inlineStr">
        <is>
          <t>2026-08-05</t>
        </is>
      </c>
      <c r="B26741" s="8" t="n">
        <v>20</v>
      </c>
      <c r="C26741" s="8" t="n">
        <v>31</v>
      </c>
      <c r="D26741" s="8" t="inlineStr">
        <is>
          <t>Disneyland Park</t>
        </is>
      </c>
      <c r="E26741" s="8" t="inlineStr">
        <is>
          <t>Welcome to Starport: A Star Wars Encounter</t>
        </is>
      </c>
      <c r="F26741" s="8" t="inlineStr">
        <is>
          <t>STANDBY</t>
        </is>
      </c>
      <c r="G26741" s="8" t="n">
        <v>0</v>
      </c>
      <c r="H26741" s="8" t="inlineStr">
        <is>
          <t>CLOSED</t>
        </is>
      </c>
    </row>
    <row r="26742">
      <c r="A26742" s="8" t="inlineStr">
        <is>
          <t>2026-08-05</t>
        </is>
      </c>
      <c r="B26742" s="8" t="n">
        <v>20</v>
      </c>
      <c r="C26742" s="8" t="n">
        <v>31</v>
      </c>
      <c r="D26742" s="8" t="inlineStr">
        <is>
          <t>Disneyland Park</t>
        </is>
      </c>
      <c r="E26742" s="8" t="inlineStr">
        <is>
          <t>"it's a small world"</t>
        </is>
      </c>
      <c r="F26742" s="8" t="inlineStr">
        <is>
          <t>STANDBY</t>
        </is>
      </c>
      <c r="G26742" s="8" t="n">
        <v>5</v>
      </c>
      <c r="H26742" s="8" t="inlineStr">
        <is>
          <t>OPERATING</t>
        </is>
      </c>
    </row>
    <row r="26743">
      <c r="A26743" s="8" t="inlineStr">
        <is>
          <t>2026-08-05</t>
        </is>
      </c>
      <c r="B26743" s="8" t="n">
        <v>20</v>
      </c>
      <c r="C26743" s="8" t="n">
        <v>31</v>
      </c>
      <c r="D26743" s="8" t="inlineStr">
        <is>
          <t>Disneyland Park</t>
        </is>
      </c>
      <c r="E26743" s="8" t="inlineStr">
        <is>
          <t>Alice's Curious Labyrinth</t>
        </is>
      </c>
      <c r="F26743" s="8" t="inlineStr">
        <is>
          <t>STANDBY</t>
        </is>
      </c>
      <c r="G26743" s="8" t="n">
        <v>5</v>
      </c>
      <c r="H26743" s="8" t="inlineStr">
        <is>
          <t>OPERATING</t>
        </is>
      </c>
    </row>
    <row r="26744">
      <c r="A26744" s="8" t="inlineStr">
        <is>
          <t>2026-08-05</t>
        </is>
      </c>
      <c r="B26744" s="8" t="n">
        <v>20</v>
      </c>
      <c r="C26744" s="8" t="n">
        <v>31</v>
      </c>
      <c r="D26744" s="8" t="inlineStr">
        <is>
          <t>Disneyland Park</t>
        </is>
      </c>
      <c r="E26744" s="8" t="inlineStr">
        <is>
          <t>Blanche-Neige et les Sept Nains®</t>
        </is>
      </c>
      <c r="F26744" s="8" t="inlineStr">
        <is>
          <t>STANDBY</t>
        </is>
      </c>
      <c r="G26744" s="8" t="n">
        <v>10</v>
      </c>
      <c r="H26744" s="8" t="inlineStr">
        <is>
          <t>OPERATING</t>
        </is>
      </c>
    </row>
    <row r="26745">
      <c r="A26745" s="8" t="inlineStr">
        <is>
          <t>2026-08-05</t>
        </is>
      </c>
      <c r="B26745" s="8" t="n">
        <v>20</v>
      </c>
      <c r="C26745" s="8" t="n">
        <v>31</v>
      </c>
      <c r="D26745" s="8" t="inlineStr">
        <is>
          <t>Disneyland Park</t>
        </is>
      </c>
      <c r="E26745" s="8" t="inlineStr">
        <is>
          <t>Casey Jr. – le Petit Train du Cirque</t>
        </is>
      </c>
      <c r="F26745" s="8" t="inlineStr">
        <is>
          <t>STANDBY</t>
        </is>
      </c>
      <c r="G26745" s="8" t="n">
        <v>35</v>
      </c>
      <c r="H26745" s="8" t="inlineStr">
        <is>
          <t>OPERATING</t>
        </is>
      </c>
    </row>
    <row r="26746">
      <c r="A26746" s="8" t="inlineStr">
        <is>
          <t>2026-08-05</t>
        </is>
      </c>
      <c r="B26746" s="8" t="n">
        <v>20</v>
      </c>
      <c r="C26746" s="8" t="n">
        <v>31</v>
      </c>
      <c r="D26746" s="8" t="inlineStr">
        <is>
          <t>Disneyland Park</t>
        </is>
      </c>
      <c r="E26746" s="8" t="inlineStr">
        <is>
          <t>Disneyland Railroad Fantasyland Station</t>
        </is>
      </c>
      <c r="F26746" s="8" t="inlineStr">
        <is>
          <t>STANDBY</t>
        </is>
      </c>
      <c r="G26746" s="8" t="n">
        <v>0</v>
      </c>
      <c r="H26746" s="8" t="inlineStr">
        <is>
          <t>CLOSED</t>
        </is>
      </c>
    </row>
    <row r="26747">
      <c r="A26747" s="8" t="inlineStr">
        <is>
          <t>2026-08-05</t>
        </is>
      </c>
      <c r="B26747" s="8" t="n">
        <v>20</v>
      </c>
      <c r="C26747" s="8" t="n">
        <v>31</v>
      </c>
      <c r="D26747" s="8" t="inlineStr">
        <is>
          <t>Disneyland Park</t>
        </is>
      </c>
      <c r="E26747" s="8" t="inlineStr">
        <is>
          <t>Disneyland Railroad Main Street Station</t>
        </is>
      </c>
      <c r="F26747" s="8" t="inlineStr">
        <is>
          <t>STANDBY</t>
        </is>
      </c>
      <c r="G26747" s="8" t="n">
        <v>0</v>
      </c>
      <c r="H26747" s="8" t="inlineStr">
        <is>
          <t>CLOSED</t>
        </is>
      </c>
    </row>
    <row r="26748">
      <c r="A26748" s="8" t="inlineStr">
        <is>
          <t>2026-08-05</t>
        </is>
      </c>
      <c r="B26748" s="8" t="n">
        <v>20</v>
      </c>
      <c r="C26748" s="8" t="n">
        <v>31</v>
      </c>
      <c r="D26748" s="8" t="inlineStr">
        <is>
          <t>Disneyland Park</t>
        </is>
      </c>
      <c r="E26748" s="8" t="inlineStr">
        <is>
          <t>Dumbo the Flying Elephant</t>
        </is>
      </c>
      <c r="F26748" s="8" t="inlineStr">
        <is>
          <t>STANDBY</t>
        </is>
      </c>
      <c r="G26748" s="8" t="n">
        <v>35</v>
      </c>
      <c r="H26748" s="8" t="inlineStr">
        <is>
          <t>OPERATING</t>
        </is>
      </c>
    </row>
    <row r="26749">
      <c r="A26749" s="8" t="inlineStr">
        <is>
          <t>2026-08-05</t>
        </is>
      </c>
      <c r="B26749" s="8" t="n">
        <v>20</v>
      </c>
      <c r="C26749" s="8" t="n">
        <v>31</v>
      </c>
      <c r="D26749" s="8" t="inlineStr">
        <is>
          <t>Disneyland Park</t>
        </is>
      </c>
      <c r="E26749" s="8" t="inlineStr">
        <is>
          <t>La Tanière du Dragon</t>
        </is>
      </c>
      <c r="F26749" s="8" t="inlineStr">
        <is>
          <t>STANDBY</t>
        </is>
      </c>
      <c r="G26749" s="8" t="n">
        <v>0</v>
      </c>
      <c r="H26749" s="8" t="inlineStr">
        <is>
          <t>OPERATING</t>
        </is>
      </c>
    </row>
    <row r="26750">
      <c r="A26750" s="8" t="inlineStr">
        <is>
          <t>2026-08-05</t>
        </is>
      </c>
      <c r="B26750" s="8" t="n">
        <v>20</v>
      </c>
      <c r="C26750" s="8" t="n">
        <v>31</v>
      </c>
      <c r="D26750" s="8" t="inlineStr">
        <is>
          <t>Disneyland Park</t>
        </is>
      </c>
      <c r="E26750" s="8" t="inlineStr">
        <is>
          <t>Le Carrousel de Lancelot</t>
        </is>
      </c>
      <c r="F26750" s="8" t="inlineStr">
        <is>
          <t>STANDBY</t>
        </is>
      </c>
      <c r="G26750" s="8" t="n">
        <v>15</v>
      </c>
      <c r="H26750" s="8" t="inlineStr">
        <is>
          <t>OPERATING</t>
        </is>
      </c>
    </row>
    <row r="26751">
      <c r="A26751" s="8" t="inlineStr">
        <is>
          <t>2026-08-05</t>
        </is>
      </c>
      <c r="B26751" s="8" t="n">
        <v>20</v>
      </c>
      <c r="C26751" s="8" t="n">
        <v>31</v>
      </c>
      <c r="D26751" s="8" t="inlineStr">
        <is>
          <t>Disneyland Park</t>
        </is>
      </c>
      <c r="E26751" s="8" t="inlineStr">
        <is>
          <t>Le Pays des Contes de Fées, presented by Vittel</t>
        </is>
      </c>
      <c r="F26751" s="8" t="inlineStr">
        <is>
          <t>STANDBY</t>
        </is>
      </c>
      <c r="G26751" s="8" t="n">
        <v>5</v>
      </c>
      <c r="H26751" s="8" t="inlineStr">
        <is>
          <t>OPERATING</t>
        </is>
      </c>
    </row>
    <row r="26752">
      <c r="A26752" s="8" t="inlineStr">
        <is>
          <t>2026-08-05</t>
        </is>
      </c>
      <c r="B26752" s="8" t="n">
        <v>20</v>
      </c>
      <c r="C26752" s="8" t="n">
        <v>31</v>
      </c>
      <c r="D26752" s="8" t="inlineStr">
        <is>
          <t>Disneyland Park</t>
        </is>
      </c>
      <c r="E26752" s="8" t="inlineStr">
        <is>
          <t>Les Voyages de Pinocchio</t>
        </is>
      </c>
      <c r="F26752" s="8" t="inlineStr">
        <is>
          <t>STANDBY</t>
        </is>
      </c>
      <c r="G26752" s="8" t="n">
        <v>25</v>
      </c>
      <c r="H26752" s="8" t="inlineStr">
        <is>
          <t>OPERATING</t>
        </is>
      </c>
    </row>
    <row r="26753">
      <c r="A26753" s="8" t="inlineStr">
        <is>
          <t>2026-08-05</t>
        </is>
      </c>
      <c r="B26753" s="8" t="n">
        <v>20</v>
      </c>
      <c r="C26753" s="8" t="n">
        <v>31</v>
      </c>
      <c r="D26753" s="8" t="inlineStr">
        <is>
          <t>Disneyland Park</t>
        </is>
      </c>
      <c r="E26753" s="8" t="inlineStr">
        <is>
          <t>Mad Hatter's Tea Cups</t>
        </is>
      </c>
      <c r="F26753" s="8" t="inlineStr">
        <is>
          <t>STANDBY</t>
        </is>
      </c>
      <c r="G26753" s="8" t="n">
        <v>5</v>
      </c>
      <c r="H26753" s="8" t="inlineStr">
        <is>
          <t>OPERATING</t>
        </is>
      </c>
    </row>
    <row r="26754">
      <c r="A26754" s="8" t="inlineStr">
        <is>
          <t>2026-08-05</t>
        </is>
      </c>
      <c r="B26754" s="8" t="n">
        <v>20</v>
      </c>
      <c r="C26754" s="8" t="n">
        <v>31</v>
      </c>
      <c r="D26754" s="8" t="inlineStr">
        <is>
          <t>Disneyland Park</t>
        </is>
      </c>
      <c r="E26754" s="8" t="inlineStr">
        <is>
          <t>Meet Mickey Mouse</t>
        </is>
      </c>
      <c r="F26754" s="8" t="inlineStr">
        <is>
          <t>STANDBY</t>
        </is>
      </c>
      <c r="G26754" s="8" t="n">
        <v>0</v>
      </c>
      <c r="H26754" s="8" t="inlineStr">
        <is>
          <t>CLOSED</t>
        </is>
      </c>
    </row>
    <row r="26755">
      <c r="A26755" s="8" t="inlineStr">
        <is>
          <t>2026-08-05</t>
        </is>
      </c>
      <c r="B26755" s="8" t="n">
        <v>20</v>
      </c>
      <c r="C26755" s="8" t="n">
        <v>31</v>
      </c>
      <c r="D26755" s="8" t="inlineStr">
        <is>
          <t>Disneyland Park</t>
        </is>
      </c>
      <c r="E26755" s="8" t="inlineStr">
        <is>
          <t>Peter Pan's Flight</t>
        </is>
      </c>
      <c r="F26755" s="8" t="inlineStr">
        <is>
          <t>STANDBY</t>
        </is>
      </c>
      <c r="G26755" s="8" t="n">
        <v>70</v>
      </c>
      <c r="H26755" s="8" t="inlineStr">
        <is>
          <t>OPERATING</t>
        </is>
      </c>
    </row>
    <row r="26756">
      <c r="A26756" s="8" t="inlineStr">
        <is>
          <t>2026-08-05</t>
        </is>
      </c>
      <c r="B26756" s="8" t="n">
        <v>20</v>
      </c>
      <c r="C26756" s="8" t="n">
        <v>31</v>
      </c>
      <c r="D26756" s="8" t="inlineStr">
        <is>
          <t>Disneyland Park</t>
        </is>
      </c>
      <c r="E26756" s="8" t="inlineStr">
        <is>
          <t>Princess Pavilion</t>
        </is>
      </c>
      <c r="F26756" s="8" t="inlineStr">
        <is>
          <t>STANDBY</t>
        </is>
      </c>
      <c r="G26756" s="8" t="n">
        <v>0</v>
      </c>
      <c r="H26756" s="8" t="inlineStr">
        <is>
          <t>CLOSED</t>
        </is>
      </c>
    </row>
    <row r="26757">
      <c r="A26757" s="8" t="inlineStr">
        <is>
          <t>2026-08-05</t>
        </is>
      </c>
      <c r="B26757" s="8" t="n">
        <v>20</v>
      </c>
      <c r="C26757" s="8" t="n">
        <v>31</v>
      </c>
      <c r="D26757" s="8" t="inlineStr">
        <is>
          <t>Disneyland Park</t>
        </is>
      </c>
      <c r="E26757" s="8" t="inlineStr">
        <is>
          <t>Big Thunder Mountain</t>
        </is>
      </c>
      <c r="F26757" s="8" t="inlineStr">
        <is>
          <t>STANDBY</t>
        </is>
      </c>
      <c r="G26757" s="8" t="n">
        <v>95</v>
      </c>
      <c r="H26757" s="8" t="inlineStr">
        <is>
          <t>OPERATING</t>
        </is>
      </c>
    </row>
    <row r="26758">
      <c r="A26758" s="8" t="inlineStr">
        <is>
          <t>2026-08-05</t>
        </is>
      </c>
      <c r="B26758" s="8" t="n">
        <v>20</v>
      </c>
      <c r="C26758" s="8" t="n">
        <v>31</v>
      </c>
      <c r="D26758" s="8" t="inlineStr">
        <is>
          <t>Disneyland Park</t>
        </is>
      </c>
      <c r="E26758" s="8" t="inlineStr">
        <is>
          <t>Disneyland Railroad Frontierland Depot</t>
        </is>
      </c>
      <c r="F26758" s="8" t="inlineStr">
        <is>
          <t>STANDBY</t>
        </is>
      </c>
      <c r="G26758" s="8" t="n">
        <v>0</v>
      </c>
      <c r="H26758" s="8" t="inlineStr">
        <is>
          <t>CLOSED</t>
        </is>
      </c>
    </row>
    <row r="26759">
      <c r="A26759" s="8" t="inlineStr">
        <is>
          <t>2026-08-05</t>
        </is>
      </c>
      <c r="B26759" s="8" t="n">
        <v>20</v>
      </c>
      <c r="C26759" s="8" t="n">
        <v>31</v>
      </c>
      <c r="D26759" s="8" t="inlineStr">
        <is>
          <t>Disneyland Park</t>
        </is>
      </c>
      <c r="E26759" s="8" t="inlineStr">
        <is>
          <t>Frontierland Playground</t>
        </is>
      </c>
      <c r="F26759" s="8" t="inlineStr">
        <is>
          <t>STANDBY</t>
        </is>
      </c>
      <c r="G26759" s="8" t="n">
        <v>0</v>
      </c>
      <c r="H26759" s="8" t="inlineStr">
        <is>
          <t>OPERATING</t>
        </is>
      </c>
    </row>
    <row r="26760">
      <c r="A26760" s="8" t="inlineStr">
        <is>
          <t>2026-08-05</t>
        </is>
      </c>
      <c r="B26760" s="8" t="n">
        <v>20</v>
      </c>
      <c r="C26760" s="8" t="n">
        <v>31</v>
      </c>
      <c r="D26760" s="8" t="inlineStr">
        <is>
          <t>Disneyland Park</t>
        </is>
      </c>
      <c r="E26760" s="8" t="inlineStr">
        <is>
          <t>Phantom Manor</t>
        </is>
      </c>
      <c r="F26760" s="8" t="inlineStr">
        <is>
          <t>STANDBY</t>
        </is>
      </c>
      <c r="G26760" s="8" t="n">
        <v>5</v>
      </c>
      <c r="H26760" s="8" t="inlineStr">
        <is>
          <t>OPERATING</t>
        </is>
      </c>
    </row>
    <row r="26761">
      <c r="A26761" s="8" t="inlineStr">
        <is>
          <t>2026-08-05</t>
        </is>
      </c>
      <c r="B26761" s="8" t="n">
        <v>20</v>
      </c>
      <c r="C26761" s="8" t="n">
        <v>31</v>
      </c>
      <c r="D26761" s="8" t="inlineStr">
        <is>
          <t>Disneyland Park</t>
        </is>
      </c>
      <c r="E26761" s="8" t="inlineStr">
        <is>
          <t>River Rogue Keelboats</t>
        </is>
      </c>
      <c r="F26761" s="8" t="inlineStr">
        <is>
          <t>STANDBY</t>
        </is>
      </c>
      <c r="G26761" s="8" t="n">
        <v>0</v>
      </c>
      <c r="H26761" s="8" t="inlineStr">
        <is>
          <t>CLOSED</t>
        </is>
      </c>
    </row>
    <row r="26762">
      <c r="A26762" s="8" t="inlineStr">
        <is>
          <t>2026-08-05</t>
        </is>
      </c>
      <c r="B26762" s="8" t="n">
        <v>20</v>
      </c>
      <c r="C26762" s="8" t="n">
        <v>31</v>
      </c>
      <c r="D26762" s="8" t="inlineStr">
        <is>
          <t>Disneyland Park</t>
        </is>
      </c>
      <c r="E26762" s="8" t="inlineStr">
        <is>
          <t>Rustler Roundup Shootin' Gallery</t>
        </is>
      </c>
      <c r="F26762" s="8" t="inlineStr">
        <is>
          <t>STANDBY</t>
        </is>
      </c>
      <c r="G26762" s="8" t="n">
        <v>0</v>
      </c>
      <c r="H26762" s="8" t="inlineStr">
        <is>
          <t>OPERATING</t>
        </is>
      </c>
    </row>
    <row r="26763">
      <c r="A26763" s="8" t="inlineStr">
        <is>
          <t>2026-08-05</t>
        </is>
      </c>
      <c r="B26763" s="8" t="n">
        <v>20</v>
      </c>
      <c r="C26763" s="8" t="n">
        <v>31</v>
      </c>
      <c r="D26763" s="8" t="inlineStr">
        <is>
          <t>Disneyland Park</t>
        </is>
      </c>
      <c r="E26763" s="8" t="inlineStr">
        <is>
          <t>Thunder Mesa Riverboat Landing</t>
        </is>
      </c>
      <c r="F26763" s="8" t="inlineStr">
        <is>
          <t>STANDBY</t>
        </is>
      </c>
      <c r="G26763" s="8" t="n">
        <v>0</v>
      </c>
      <c r="H26763" s="8" t="inlineStr">
        <is>
          <t>CLOSED</t>
        </is>
      </c>
    </row>
    <row r="26764">
      <c r="A26764" s="8" t="inlineStr">
        <is>
          <t>2026-08-05</t>
        </is>
      </c>
      <c r="B26764" s="8" t="n">
        <v>20</v>
      </c>
      <c r="C26764" s="8" t="n">
        <v>31</v>
      </c>
      <c r="D26764" s="8" t="inlineStr">
        <is>
          <t>Disneyland Park</t>
        </is>
      </c>
      <c r="E26764" s="8" t="inlineStr">
        <is>
          <t>Disneyland Railroad Main Street Station</t>
        </is>
      </c>
      <c r="F26764" s="8" t="inlineStr">
        <is>
          <t>STANDBY</t>
        </is>
      </c>
      <c r="G26764" s="8" t="n">
        <v>0</v>
      </c>
      <c r="H26764" s="8" t="inlineStr">
        <is>
          <t>CLOSED</t>
        </is>
      </c>
    </row>
    <row r="26765">
      <c r="A26765" s="8" t="inlineStr">
        <is>
          <t>2026-08-05</t>
        </is>
      </c>
      <c r="B26765" s="8" t="n">
        <v>20</v>
      </c>
      <c r="C26765" s="8" t="n">
        <v>31</v>
      </c>
      <c r="D26765" s="8" t="inlineStr">
        <is>
          <t>Disneyland Park</t>
        </is>
      </c>
      <c r="E26765" s="8" t="inlineStr">
        <is>
          <t>Main Street Vehicles</t>
        </is>
      </c>
      <c r="F26765" s="8" t="inlineStr">
        <is>
          <t>STANDBY</t>
        </is>
      </c>
      <c r="G26765" s="8" t="n">
        <v>0</v>
      </c>
      <c r="H26765" s="8" t="inlineStr">
        <is>
          <t>CLOSED</t>
        </is>
      </c>
    </row>
    <row r="26766">
      <c r="A26766" s="8" t="inlineStr">
        <is>
          <t>2026-08-05</t>
        </is>
      </c>
      <c r="B26766" s="8" t="n">
        <v>20</v>
      </c>
      <c r="C26766" s="8" t="n">
        <v>31</v>
      </c>
      <c r="D26766" s="8" t="inlineStr">
        <is>
          <t>Disney Adventure World</t>
        </is>
      </c>
      <c r="E26766" s="8" t="inlineStr">
        <is>
          <t>Avengers Assemble: Flight Force</t>
        </is>
      </c>
      <c r="F26766" s="8" t="inlineStr">
        <is>
          <t>STANDBY</t>
        </is>
      </c>
      <c r="G26766" s="8" t="n">
        <v>5</v>
      </c>
      <c r="H26766" s="8" t="inlineStr">
        <is>
          <t>OPERATING</t>
        </is>
      </c>
    </row>
    <row r="26767">
      <c r="A26767" s="8" t="inlineStr">
        <is>
          <t>2026-08-05</t>
        </is>
      </c>
      <c r="B26767" s="8" t="n">
        <v>20</v>
      </c>
      <c r="C26767" s="8" t="n">
        <v>31</v>
      </c>
      <c r="D26767" s="8" t="inlineStr">
        <is>
          <t>Disney Adventure World</t>
        </is>
      </c>
      <c r="E26767" s="8" t="inlineStr">
        <is>
          <t>Avengers Assemble: Flight Force Single Rider</t>
        </is>
      </c>
      <c r="F26767" s="8" t="inlineStr">
        <is>
          <t>STANDBY</t>
        </is>
      </c>
      <c r="G26767" s="8" t="n">
        <v>5</v>
      </c>
      <c r="H26767" s="8" t="inlineStr">
        <is>
          <t>OPERATING</t>
        </is>
      </c>
    </row>
    <row r="26768">
      <c r="A26768" s="8" t="inlineStr">
        <is>
          <t>2026-08-05</t>
        </is>
      </c>
      <c r="B26768" s="8" t="n">
        <v>20</v>
      </c>
      <c r="C26768" s="8" t="n">
        <v>31</v>
      </c>
      <c r="D26768" s="8" t="inlineStr">
        <is>
          <t>Disney Adventure World</t>
        </is>
      </c>
      <c r="E26768" s="8" t="inlineStr">
        <is>
          <t>Spider-Man W.E.B. Adventure</t>
        </is>
      </c>
      <c r="F26768" s="8" t="inlineStr">
        <is>
          <t>STANDBY</t>
        </is>
      </c>
      <c r="G26768" s="8" t="n">
        <v>30</v>
      </c>
      <c r="H26768" s="8" t="inlineStr">
        <is>
          <t>OPERATING</t>
        </is>
      </c>
    </row>
    <row r="26769">
      <c r="A26769" s="8" t="inlineStr">
        <is>
          <t>2026-08-05</t>
        </is>
      </c>
      <c r="B26769" s="8" t="n">
        <v>20</v>
      </c>
      <c r="C26769" s="8" t="n">
        <v>31</v>
      </c>
      <c r="D26769" s="8" t="inlineStr">
        <is>
          <t>Disney Adventure World</t>
        </is>
      </c>
      <c r="E26769" s="8" t="inlineStr">
        <is>
          <t>Spider-Man W.E.B. Adventure Single Rider</t>
        </is>
      </c>
      <c r="F26769" s="8" t="inlineStr">
        <is>
          <t>STANDBY</t>
        </is>
      </c>
      <c r="G26769" s="8" t="n">
        <v>15</v>
      </c>
      <c r="H26769" s="8" t="inlineStr">
        <is>
          <t>OPERATING</t>
        </is>
      </c>
    </row>
    <row r="26770">
      <c r="A26770" s="8" t="inlineStr">
        <is>
          <t>2026-08-05</t>
        </is>
      </c>
      <c r="B26770" s="8" t="n">
        <v>20</v>
      </c>
      <c r="C26770" s="8" t="n">
        <v>31</v>
      </c>
      <c r="D26770" s="8" t="inlineStr">
        <is>
          <t>Disney Adventure World</t>
        </is>
      </c>
      <c r="E26770" s="8" t="inlineStr">
        <is>
          <t>The Twilight Zone Tower of Terror</t>
        </is>
      </c>
      <c r="F26770" s="8" t="inlineStr">
        <is>
          <t>STANDBY</t>
        </is>
      </c>
      <c r="G26770" s="8" t="n">
        <v>10</v>
      </c>
      <c r="H26770" s="8" t="inlineStr">
        <is>
          <t>OPERATING</t>
        </is>
      </c>
    </row>
    <row r="26771">
      <c r="A26771" s="8" t="inlineStr">
        <is>
          <t>2026-08-05</t>
        </is>
      </c>
      <c r="B26771" s="8" t="n">
        <v>20</v>
      </c>
      <c r="C26771" s="8" t="n">
        <v>31</v>
      </c>
      <c r="D26771" s="8" t="inlineStr">
        <is>
          <t>Disney Adventure World</t>
        </is>
      </c>
      <c r="E26771" s="8" t="inlineStr">
        <is>
          <t>Cars Quatre Roues Rallye</t>
        </is>
      </c>
      <c r="F26771" s="8" t="inlineStr">
        <is>
          <t>STANDBY</t>
        </is>
      </c>
      <c r="G26771" s="8" t="n">
        <v>10</v>
      </c>
      <c r="H26771" s="8" t="inlineStr">
        <is>
          <t>OPERATING</t>
        </is>
      </c>
    </row>
    <row r="26772">
      <c r="A26772" s="8" t="inlineStr">
        <is>
          <t>2026-08-05</t>
        </is>
      </c>
      <c r="B26772" s="8" t="n">
        <v>20</v>
      </c>
      <c r="C26772" s="8" t="n">
        <v>31</v>
      </c>
      <c r="D26772" s="8" t="inlineStr">
        <is>
          <t>Disney Adventure World</t>
        </is>
      </c>
      <c r="E26772" s="8" t="inlineStr">
        <is>
          <t>Cars ROAD TRIP</t>
        </is>
      </c>
      <c r="F26772" s="8" t="inlineStr">
        <is>
          <t>STANDBY</t>
        </is>
      </c>
      <c r="G26772" s="8" t="n">
        <v>5</v>
      </c>
      <c r="H26772" s="8" t="inlineStr">
        <is>
          <t>OPERATING</t>
        </is>
      </c>
    </row>
    <row r="26773">
      <c r="A26773" s="8" t="inlineStr">
        <is>
          <t>2026-08-05</t>
        </is>
      </c>
      <c r="B26773" s="8" t="n">
        <v>20</v>
      </c>
      <c r="C26773" s="8" t="n">
        <v>31</v>
      </c>
      <c r="D26773" s="8" t="inlineStr">
        <is>
          <t>Disney Adventure World</t>
        </is>
      </c>
      <c r="E26773" s="8" t="inlineStr">
        <is>
          <t>Crush's Coaster</t>
        </is>
      </c>
      <c r="F26773" s="8" t="inlineStr">
        <is>
          <t>STANDBY</t>
        </is>
      </c>
      <c r="G26773" s="8" t="n">
        <v>65</v>
      </c>
      <c r="H26773" s="8" t="inlineStr">
        <is>
          <t>OPERATING</t>
        </is>
      </c>
    </row>
    <row r="26774">
      <c r="A26774" s="8" t="inlineStr">
        <is>
          <t>2026-08-05</t>
        </is>
      </c>
      <c r="B26774" s="8" t="n">
        <v>20</v>
      </c>
      <c r="C26774" s="8" t="n">
        <v>31</v>
      </c>
      <c r="D26774" s="8" t="inlineStr">
        <is>
          <t>Disney Adventure World</t>
        </is>
      </c>
      <c r="E26774" s="8" t="inlineStr">
        <is>
          <t>Crush's Coaster Single Rider</t>
        </is>
      </c>
      <c r="F26774" s="8" t="inlineStr">
        <is>
          <t>STANDBY</t>
        </is>
      </c>
      <c r="G26774" s="8" t="n">
        <v>50</v>
      </c>
      <c r="H26774" s="8" t="inlineStr">
        <is>
          <t>OPERATING</t>
        </is>
      </c>
    </row>
    <row r="26775">
      <c r="A26775" s="8" t="inlineStr">
        <is>
          <t>2026-08-05</t>
        </is>
      </c>
      <c r="B26775" s="8" t="n">
        <v>20</v>
      </c>
      <c r="C26775" s="8" t="n">
        <v>31</v>
      </c>
      <c r="D26775" s="8" t="inlineStr">
        <is>
          <t>Disney Adventure World</t>
        </is>
      </c>
      <c r="E26775" s="8" t="inlineStr">
        <is>
          <t>Les Tapis Volants - Flying Carpets Over Agrabah®</t>
        </is>
      </c>
      <c r="F26775" s="8" t="inlineStr">
        <is>
          <t>STANDBY</t>
        </is>
      </c>
      <c r="G26775" s="8" t="n">
        <v>15</v>
      </c>
      <c r="H26775" s="8" t="inlineStr">
        <is>
          <t>OPERATING</t>
        </is>
      </c>
    </row>
    <row r="26776">
      <c r="A26776" s="8" t="inlineStr">
        <is>
          <t>2026-08-05</t>
        </is>
      </c>
      <c r="B26776" s="8" t="n">
        <v>20</v>
      </c>
      <c r="C26776" s="8" t="n">
        <v>31</v>
      </c>
      <c r="D26776" s="8" t="inlineStr">
        <is>
          <t>Disney Adventure World</t>
        </is>
      </c>
      <c r="E26776" s="8" t="inlineStr">
        <is>
          <t>Ratatouille : L’Aventure Totalement Toquée de Rémy​</t>
        </is>
      </c>
      <c r="F26776" s="8" t="inlineStr">
        <is>
          <t>STANDBY</t>
        </is>
      </c>
      <c r="G26776" s="8" t="n">
        <v>35</v>
      </c>
      <c r="H26776" s="8" t="inlineStr">
        <is>
          <t>OPERATING</t>
        </is>
      </c>
    </row>
    <row r="26777">
      <c r="A26777" s="8" t="inlineStr">
        <is>
          <t>2026-08-05</t>
        </is>
      </c>
      <c r="B26777" s="8" t="n">
        <v>20</v>
      </c>
      <c r="C26777" s="8" t="n">
        <v>31</v>
      </c>
      <c r="D26777" s="8" t="inlineStr">
        <is>
          <t>Disney Adventure World</t>
        </is>
      </c>
      <c r="E26777" s="8" t="inlineStr">
        <is>
          <t>Ratatouille: The Adventure Single Rider</t>
        </is>
      </c>
      <c r="F26777" s="8" t="inlineStr">
        <is>
          <t>STANDBY</t>
        </is>
      </c>
      <c r="G26777" s="8" t="n">
        <v>5</v>
      </c>
      <c r="H26777" s="8" t="inlineStr">
        <is>
          <t>OPERATING</t>
        </is>
      </c>
    </row>
    <row r="26778">
      <c r="A26778" s="8" t="inlineStr">
        <is>
          <t>2026-08-05</t>
        </is>
      </c>
      <c r="B26778" s="8" t="n">
        <v>20</v>
      </c>
      <c r="C26778" s="8" t="n">
        <v>31</v>
      </c>
      <c r="D26778" s="8" t="inlineStr">
        <is>
          <t>Disney Adventure World</t>
        </is>
      </c>
      <c r="E26778" s="8" t="inlineStr">
        <is>
          <t>RC Racer</t>
        </is>
      </c>
      <c r="F26778" s="8" t="inlineStr">
        <is>
          <t>STANDBY</t>
        </is>
      </c>
      <c r="G26778" s="8" t="n">
        <v>35</v>
      </c>
      <c r="H26778" s="8" t="inlineStr">
        <is>
          <t>OPERATING</t>
        </is>
      </c>
    </row>
    <row r="26779">
      <c r="A26779" s="8" t="inlineStr">
        <is>
          <t>2026-08-05</t>
        </is>
      </c>
      <c r="B26779" s="8" t="n">
        <v>20</v>
      </c>
      <c r="C26779" s="8" t="n">
        <v>31</v>
      </c>
      <c r="D26779" s="8" t="inlineStr">
        <is>
          <t>Disney Adventure World</t>
        </is>
      </c>
      <c r="E26779" s="8" t="inlineStr">
        <is>
          <t>RC Racer Single Rider</t>
        </is>
      </c>
      <c r="F26779" s="8" t="inlineStr">
        <is>
          <t>STANDBY</t>
        </is>
      </c>
      <c r="G26779" s="8" t="n">
        <v>20</v>
      </c>
      <c r="H26779" s="8" t="inlineStr">
        <is>
          <t>OPERATING</t>
        </is>
      </c>
    </row>
    <row r="26780">
      <c r="A26780" s="8" t="inlineStr">
        <is>
          <t>2026-08-05</t>
        </is>
      </c>
      <c r="B26780" s="8" t="n">
        <v>20</v>
      </c>
      <c r="C26780" s="8" t="n">
        <v>31</v>
      </c>
      <c r="D26780" s="8" t="inlineStr">
        <is>
          <t>Disney Adventure World</t>
        </is>
      </c>
      <c r="E26780" s="8" t="inlineStr">
        <is>
          <t>Slinky® Dog Zigzag Spin</t>
        </is>
      </c>
      <c r="F26780" s="8" t="inlineStr">
        <is>
          <t>STANDBY</t>
        </is>
      </c>
      <c r="G26780" s="8" t="n">
        <v>10</v>
      </c>
      <c r="H26780" s="8" t="inlineStr">
        <is>
          <t>OPERATING</t>
        </is>
      </c>
    </row>
    <row r="26781">
      <c r="A26781" s="8" t="inlineStr">
        <is>
          <t>2026-08-05</t>
        </is>
      </c>
      <c r="B26781" s="8" t="n">
        <v>20</v>
      </c>
      <c r="C26781" s="8" t="n">
        <v>31</v>
      </c>
      <c r="D26781" s="8" t="inlineStr">
        <is>
          <t>Disney Adventure World</t>
        </is>
      </c>
      <c r="E26781" s="8" t="inlineStr">
        <is>
          <t>Toy Soldiers Parachute Drop</t>
        </is>
      </c>
      <c r="F26781" s="8" t="inlineStr">
        <is>
          <t>STANDBY</t>
        </is>
      </c>
      <c r="G26781" s="8" t="n">
        <v>40</v>
      </c>
      <c r="H26781" s="8" t="inlineStr">
        <is>
          <t>OPERATING</t>
        </is>
      </c>
    </row>
    <row r="26782">
      <c r="A26782" s="8" t="inlineStr">
        <is>
          <t>2026-08-05</t>
        </is>
      </c>
      <c r="B26782" s="8" t="n">
        <v>20</v>
      </c>
      <c r="C26782" s="8" t="n">
        <v>31</v>
      </c>
      <c r="D26782" s="8" t="inlineStr">
        <is>
          <t>Disney Adventure World</t>
        </is>
      </c>
      <c r="E26782" s="8" t="inlineStr">
        <is>
          <t>Toy Soldiers Parachute Drop Single Rider</t>
        </is>
      </c>
      <c r="F26782" s="8" t="inlineStr">
        <is>
          <t>STANDBY</t>
        </is>
      </c>
      <c r="G26782" s="8" t="n">
        <v>15</v>
      </c>
      <c r="H26782" s="8" t="inlineStr">
        <is>
          <t>OPERATING</t>
        </is>
      </c>
    </row>
    <row r="26783">
      <c r="A26783" s="8" t="inlineStr">
        <is>
          <t>2026-08-05</t>
        </is>
      </c>
      <c r="B26783" s="8" t="n">
        <v>20</v>
      </c>
      <c r="C26783" s="8" t="n">
        <v>31</v>
      </c>
      <c r="D26783" s="8" t="inlineStr">
        <is>
          <t>Disney Adventure World</t>
        </is>
      </c>
      <c r="E26783" s="8" t="inlineStr">
        <is>
          <t>Entry to World of Frozen</t>
        </is>
      </c>
      <c r="F26783" s="8" t="inlineStr">
        <is>
          <t>STANDBY</t>
        </is>
      </c>
      <c r="G26783" s="8" t="n">
        <v>0</v>
      </c>
      <c r="H26783" s="8" t="inlineStr">
        <is>
          <t>OPERATING</t>
        </is>
      </c>
    </row>
    <row r="26784">
      <c r="A26784" s="8" t="inlineStr">
        <is>
          <t>2026-08-05</t>
        </is>
      </c>
      <c r="B26784" s="8" t="n">
        <v>20</v>
      </c>
      <c r="C26784" s="8" t="n">
        <v>31</v>
      </c>
      <c r="D26784" s="8" t="inlineStr">
        <is>
          <t>Disney Adventure World</t>
        </is>
      </c>
      <c r="E26784" s="8" t="inlineStr">
        <is>
          <t>Frozen Ever After</t>
        </is>
      </c>
      <c r="F26784" s="8" t="inlineStr">
        <is>
          <t>STANDBY</t>
        </is>
      </c>
      <c r="G26784" s="8" t="n">
        <v>55</v>
      </c>
      <c r="H26784" s="8" t="inlineStr">
        <is>
          <t>OPERATING</t>
        </is>
      </c>
    </row>
    <row r="26785">
      <c r="A26785" s="8" t="inlineStr">
        <is>
          <t>2026-08-05</t>
        </is>
      </c>
      <c r="B26785" s="8" t="n">
        <v>20</v>
      </c>
      <c r="C26785" s="8" t="n">
        <v>31</v>
      </c>
      <c r="D26785" s="8" t="inlineStr">
        <is>
          <t>Disney Adventure World</t>
        </is>
      </c>
      <c r="E26785" s="8" t="inlineStr">
        <is>
          <t>Raiponce Tangled Spin</t>
        </is>
      </c>
      <c r="F26785" s="8" t="inlineStr">
        <is>
          <t>STANDBY</t>
        </is>
      </c>
      <c r="G26785" s="8" t="n">
        <v>5</v>
      </c>
      <c r="H26785" s="8" t="inlineStr">
        <is>
          <t>OPERATING</t>
        </is>
      </c>
    </row>
    <row r="26786">
      <c r="A26786" s="8" t="inlineStr">
        <is>
          <t>2026-08-05</t>
        </is>
      </c>
      <c r="B26786" s="8" t="n">
        <v>20</v>
      </c>
      <c r="C26786" s="8" t="n">
        <v>45</v>
      </c>
      <c r="D26786" s="8" t="inlineStr">
        <is>
          <t>Disneyland Park</t>
        </is>
      </c>
      <c r="E26786" s="8" t="inlineStr">
        <is>
          <t>Adventure Isle</t>
        </is>
      </c>
      <c r="F26786" s="8" t="inlineStr">
        <is>
          <t>STANDBY</t>
        </is>
      </c>
      <c r="G26786" s="8" t="n">
        <v>0</v>
      </c>
      <c r="H26786" s="8" t="inlineStr">
        <is>
          <t>OPERATING</t>
        </is>
      </c>
    </row>
    <row r="26787">
      <c r="A26787" s="8" t="inlineStr">
        <is>
          <t>2026-08-05</t>
        </is>
      </c>
      <c r="B26787" s="8" t="n">
        <v>20</v>
      </c>
      <c r="C26787" s="8" t="n">
        <v>45</v>
      </c>
      <c r="D26787" s="8" t="inlineStr">
        <is>
          <t>Disneyland Park</t>
        </is>
      </c>
      <c r="E26787" s="8" t="inlineStr">
        <is>
          <t>Indiana Jones and the Temple of Peril Single Rider</t>
        </is>
      </c>
      <c r="F26787" s="8" t="inlineStr">
        <is>
          <t>STANDBY</t>
        </is>
      </c>
      <c r="G26787" s="8" t="n">
        <v>5</v>
      </c>
      <c r="H26787" s="8" t="inlineStr">
        <is>
          <t>OPERATING</t>
        </is>
      </c>
    </row>
    <row r="26788">
      <c r="A26788" s="8" t="inlineStr">
        <is>
          <t>2026-08-05</t>
        </is>
      </c>
      <c r="B26788" s="8" t="n">
        <v>20</v>
      </c>
      <c r="C26788" s="8" t="n">
        <v>45</v>
      </c>
      <c r="D26788" s="8" t="inlineStr">
        <is>
          <t>Disneyland Park</t>
        </is>
      </c>
      <c r="E26788" s="8" t="inlineStr">
        <is>
          <t>Indiana Jones™ and the Temple of Peril</t>
        </is>
      </c>
      <c r="F26788" s="8" t="inlineStr">
        <is>
          <t>STANDBY</t>
        </is>
      </c>
      <c r="G26788" s="8" t="n">
        <v>10</v>
      </c>
      <c r="H26788" s="8" t="inlineStr">
        <is>
          <t>OPERATING</t>
        </is>
      </c>
    </row>
    <row r="26789">
      <c r="A26789" s="8" t="inlineStr">
        <is>
          <t>2026-08-05</t>
        </is>
      </c>
      <c r="B26789" s="8" t="n">
        <v>20</v>
      </c>
      <c r="C26789" s="8" t="n">
        <v>45</v>
      </c>
      <c r="D26789" s="8" t="inlineStr">
        <is>
          <t>Disneyland Park</t>
        </is>
      </c>
      <c r="E26789" s="8" t="inlineStr">
        <is>
          <t>La Cabane des Robinson</t>
        </is>
      </c>
      <c r="F26789" s="8" t="inlineStr">
        <is>
          <t>STANDBY</t>
        </is>
      </c>
      <c r="G26789" s="8" t="n">
        <v>5</v>
      </c>
      <c r="H26789" s="8" t="inlineStr">
        <is>
          <t>OPERATING</t>
        </is>
      </c>
    </row>
    <row r="26790">
      <c r="A26790" s="8" t="inlineStr">
        <is>
          <t>2026-08-05</t>
        </is>
      </c>
      <c r="B26790" s="8" t="n">
        <v>20</v>
      </c>
      <c r="C26790" s="8" t="n">
        <v>45</v>
      </c>
      <c r="D26790" s="8" t="inlineStr">
        <is>
          <t>Disneyland Park</t>
        </is>
      </c>
      <c r="E26790" s="8" t="inlineStr">
        <is>
          <t>Le Passage Enchanté d'Aladdin</t>
        </is>
      </c>
      <c r="F26790" s="8" t="inlineStr">
        <is>
          <t>STANDBY</t>
        </is>
      </c>
      <c r="G26790" s="8" t="n">
        <v>0</v>
      </c>
      <c r="H26790" s="8" t="inlineStr">
        <is>
          <t>OPERATING</t>
        </is>
      </c>
    </row>
    <row r="26791">
      <c r="A26791" s="8" t="inlineStr">
        <is>
          <t>2026-08-05</t>
        </is>
      </c>
      <c r="B26791" s="8" t="n">
        <v>20</v>
      </c>
      <c r="C26791" s="8" t="n">
        <v>45</v>
      </c>
      <c r="D26791" s="8" t="inlineStr">
        <is>
          <t>Disneyland Park</t>
        </is>
      </c>
      <c r="E26791" s="8" t="inlineStr">
        <is>
          <t>Pirate Galleon</t>
        </is>
      </c>
      <c r="F26791" s="8" t="inlineStr">
        <is>
          <t>STANDBY</t>
        </is>
      </c>
      <c r="G26791" s="8" t="n">
        <v>0</v>
      </c>
      <c r="H26791" s="8" t="inlineStr">
        <is>
          <t>CLOSED</t>
        </is>
      </c>
    </row>
    <row r="26792">
      <c r="A26792" s="8" t="inlineStr">
        <is>
          <t>2026-08-05</t>
        </is>
      </c>
      <c r="B26792" s="8" t="n">
        <v>20</v>
      </c>
      <c r="C26792" s="8" t="n">
        <v>45</v>
      </c>
      <c r="D26792" s="8" t="inlineStr">
        <is>
          <t>Disneyland Park</t>
        </is>
      </c>
      <c r="E26792" s="8" t="inlineStr">
        <is>
          <t>Pirates of the Caribbean</t>
        </is>
      </c>
      <c r="F26792" s="8" t="inlineStr">
        <is>
          <t>STANDBY</t>
        </is>
      </c>
      <c r="G26792" s="8" t="n">
        <v>15</v>
      </c>
      <c r="H26792" s="8" t="inlineStr">
        <is>
          <t>OPERATING</t>
        </is>
      </c>
    </row>
    <row r="26793">
      <c r="A26793" s="8" t="inlineStr">
        <is>
          <t>2026-08-05</t>
        </is>
      </c>
      <c r="B26793" s="8" t="n">
        <v>20</v>
      </c>
      <c r="C26793" s="8" t="n">
        <v>45</v>
      </c>
      <c r="D26793" s="8" t="inlineStr">
        <is>
          <t>Disneyland Park</t>
        </is>
      </c>
      <c r="E26793" s="8" t="inlineStr">
        <is>
          <t>Pirates' Beach</t>
        </is>
      </c>
      <c r="F26793" s="8" t="inlineStr">
        <is>
          <t>STANDBY</t>
        </is>
      </c>
      <c r="G26793" s="8" t="n">
        <v>0</v>
      </c>
      <c r="H26793" s="8" t="inlineStr">
        <is>
          <t>OPERATING</t>
        </is>
      </c>
    </row>
    <row r="26794">
      <c r="A26794" s="8" t="inlineStr">
        <is>
          <t>2026-08-05</t>
        </is>
      </c>
      <c r="B26794" s="8" t="n">
        <v>20</v>
      </c>
      <c r="C26794" s="8" t="n">
        <v>45</v>
      </c>
      <c r="D26794" s="8" t="inlineStr">
        <is>
          <t>Disneyland Park</t>
        </is>
      </c>
      <c r="E26794" s="8" t="inlineStr">
        <is>
          <t>Autopia, presented by Avis</t>
        </is>
      </c>
      <c r="F26794" s="8" t="inlineStr">
        <is>
          <t>STANDBY</t>
        </is>
      </c>
      <c r="G26794" s="8" t="n">
        <v>30</v>
      </c>
      <c r="H26794" s="8" t="inlineStr">
        <is>
          <t>OPERATING</t>
        </is>
      </c>
    </row>
    <row r="26795">
      <c r="A26795" s="8" t="inlineStr">
        <is>
          <t>2026-08-05</t>
        </is>
      </c>
      <c r="B26795" s="8" t="n">
        <v>20</v>
      </c>
      <c r="C26795" s="8" t="n">
        <v>45</v>
      </c>
      <c r="D26795" s="8" t="inlineStr">
        <is>
          <t>Disneyland Park</t>
        </is>
      </c>
      <c r="E26795" s="8" t="inlineStr">
        <is>
          <t>Buzz Lightyear Laser Blast</t>
        </is>
      </c>
      <c r="F26795" s="8" t="inlineStr">
        <is>
          <t>STANDBY</t>
        </is>
      </c>
      <c r="G26795" s="8" t="n">
        <v>25</v>
      </c>
      <c r="H26795" s="8" t="inlineStr">
        <is>
          <t>OPERATING</t>
        </is>
      </c>
    </row>
    <row r="26796">
      <c r="A26796" s="8" t="inlineStr">
        <is>
          <t>2026-08-05</t>
        </is>
      </c>
      <c r="B26796" s="8" t="n">
        <v>20</v>
      </c>
      <c r="C26796" s="8" t="n">
        <v>45</v>
      </c>
      <c r="D26796" s="8" t="inlineStr">
        <is>
          <t>Disneyland Park</t>
        </is>
      </c>
      <c r="E26796" s="8" t="inlineStr">
        <is>
          <t>Disneyland Railroad Discoveryland Station</t>
        </is>
      </c>
      <c r="F26796" s="8" t="inlineStr">
        <is>
          <t>STANDBY</t>
        </is>
      </c>
      <c r="G26796" s="8" t="n">
        <v>0</v>
      </c>
      <c r="H26796" s="8" t="inlineStr">
        <is>
          <t>CLOSED</t>
        </is>
      </c>
    </row>
    <row r="26797">
      <c r="A26797" s="8" t="inlineStr">
        <is>
          <t>2026-08-05</t>
        </is>
      </c>
      <c r="B26797" s="8" t="n">
        <v>20</v>
      </c>
      <c r="C26797" s="8" t="n">
        <v>45</v>
      </c>
      <c r="D26797" s="8" t="inlineStr">
        <is>
          <t>Disneyland Park</t>
        </is>
      </c>
      <c r="E26797" s="8" t="inlineStr">
        <is>
          <t>Les Mystères du Nautilus</t>
        </is>
      </c>
      <c r="F26797" s="8" t="inlineStr">
        <is>
          <t>STANDBY</t>
        </is>
      </c>
      <c r="G26797" s="8" t="n">
        <v>5</v>
      </c>
      <c r="H26797" s="8" t="inlineStr">
        <is>
          <t>OPERATING</t>
        </is>
      </c>
    </row>
    <row r="26798">
      <c r="A26798" s="8" t="inlineStr">
        <is>
          <t>2026-08-05</t>
        </is>
      </c>
      <c r="B26798" s="8" t="n">
        <v>20</v>
      </c>
      <c r="C26798" s="8" t="n">
        <v>45</v>
      </c>
      <c r="D26798" s="8" t="inlineStr">
        <is>
          <t>Disneyland Park</t>
        </is>
      </c>
      <c r="E26798" s="8" t="inlineStr">
        <is>
          <t>Mickey’s PhilharMagic</t>
        </is>
      </c>
      <c r="F26798" s="8" t="inlineStr">
        <is>
          <t>STANDBY</t>
        </is>
      </c>
      <c r="G26798" s="8" t="n">
        <v>0</v>
      </c>
      <c r="H26798" s="8" t="inlineStr">
        <is>
          <t>CLOSED</t>
        </is>
      </c>
    </row>
    <row r="26799">
      <c r="A26799" s="8" t="inlineStr">
        <is>
          <t>2026-08-05</t>
        </is>
      </c>
      <c r="B26799" s="8" t="n">
        <v>20</v>
      </c>
      <c r="C26799" s="8" t="n">
        <v>45</v>
      </c>
      <c r="D26799" s="8" t="inlineStr">
        <is>
          <t>Disneyland Park</t>
        </is>
      </c>
      <c r="E26799" s="8" t="inlineStr">
        <is>
          <t>Orbitron®</t>
        </is>
      </c>
      <c r="F26799" s="8" t="inlineStr">
        <is>
          <t>STANDBY</t>
        </is>
      </c>
      <c r="G26799" s="8" t="n">
        <v>45</v>
      </c>
      <c r="H26799" s="8" t="inlineStr">
        <is>
          <t>OPERATING</t>
        </is>
      </c>
    </row>
    <row r="26800">
      <c r="A26800" s="8" t="inlineStr">
        <is>
          <t>2026-08-05</t>
        </is>
      </c>
      <c r="B26800" s="8" t="n">
        <v>20</v>
      </c>
      <c r="C26800" s="8" t="n">
        <v>45</v>
      </c>
      <c r="D26800" s="8" t="inlineStr">
        <is>
          <t>Disneyland Park</t>
        </is>
      </c>
      <c r="E26800" s="8" t="inlineStr">
        <is>
          <t>Star Tours: The Adventures Continue*</t>
        </is>
      </c>
      <c r="F26800" s="8" t="inlineStr">
        <is>
          <t>STANDBY</t>
        </is>
      </c>
      <c r="G26800" s="8" t="n">
        <v>5</v>
      </c>
      <c r="H26800" s="8" t="inlineStr">
        <is>
          <t>OPERATING</t>
        </is>
      </c>
    </row>
    <row r="26801">
      <c r="A26801" s="8" t="inlineStr">
        <is>
          <t>2026-08-05</t>
        </is>
      </c>
      <c r="B26801" s="8" t="n">
        <v>20</v>
      </c>
      <c r="C26801" s="8" t="n">
        <v>45</v>
      </c>
      <c r="D26801" s="8" t="inlineStr">
        <is>
          <t>Disneyland Park</t>
        </is>
      </c>
      <c r="E26801" s="8" t="inlineStr">
        <is>
          <t>Star Wars Hyperspace Mountain</t>
        </is>
      </c>
      <c r="F26801" s="8" t="inlineStr">
        <is>
          <t>STANDBY</t>
        </is>
      </c>
      <c r="G26801" s="8" t="n">
        <v>30</v>
      </c>
      <c r="H26801" s="8" t="inlineStr">
        <is>
          <t>OPERATING</t>
        </is>
      </c>
    </row>
    <row r="26802">
      <c r="A26802" s="8" t="inlineStr">
        <is>
          <t>2026-08-05</t>
        </is>
      </c>
      <c r="B26802" s="8" t="n">
        <v>20</v>
      </c>
      <c r="C26802" s="8" t="n">
        <v>45</v>
      </c>
      <c r="D26802" s="8" t="inlineStr">
        <is>
          <t>Disneyland Park</t>
        </is>
      </c>
      <c r="E26802" s="8" t="inlineStr">
        <is>
          <t>Star Wars Hyperspace Mountain Single Rider</t>
        </is>
      </c>
      <c r="F26802" s="8" t="inlineStr">
        <is>
          <t>STANDBY</t>
        </is>
      </c>
      <c r="G26802" s="8" t="n">
        <v>0</v>
      </c>
      <c r="H26802" s="8" t="inlineStr">
        <is>
          <t>OPERATING</t>
        </is>
      </c>
    </row>
    <row r="26803">
      <c r="A26803" s="8" t="inlineStr">
        <is>
          <t>2026-08-05</t>
        </is>
      </c>
      <c r="B26803" s="8" t="n">
        <v>20</v>
      </c>
      <c r="C26803" s="8" t="n">
        <v>45</v>
      </c>
      <c r="D26803" s="8" t="inlineStr">
        <is>
          <t>Disneyland Park</t>
        </is>
      </c>
      <c r="E26803" s="8" t="inlineStr">
        <is>
          <t>Welcome to Starport: A Star Wars Encounter</t>
        </is>
      </c>
      <c r="F26803" s="8" t="inlineStr">
        <is>
          <t>STANDBY</t>
        </is>
      </c>
      <c r="G26803" s="8" t="n">
        <v>0</v>
      </c>
      <c r="H26803" s="8" t="inlineStr">
        <is>
          <t>CLOSED</t>
        </is>
      </c>
    </row>
    <row r="26804">
      <c r="A26804" s="8" t="inlineStr">
        <is>
          <t>2026-08-05</t>
        </is>
      </c>
      <c r="B26804" s="8" t="n">
        <v>20</v>
      </c>
      <c r="C26804" s="8" t="n">
        <v>45</v>
      </c>
      <c r="D26804" s="8" t="inlineStr">
        <is>
          <t>Disneyland Park</t>
        </is>
      </c>
      <c r="E26804" s="8" t="inlineStr">
        <is>
          <t>"it's a small world"</t>
        </is>
      </c>
      <c r="F26804" s="8" t="inlineStr">
        <is>
          <t>STANDBY</t>
        </is>
      </c>
      <c r="G26804" s="8" t="n">
        <v>5</v>
      </c>
      <c r="H26804" s="8" t="inlineStr">
        <is>
          <t>OPERATING</t>
        </is>
      </c>
    </row>
    <row r="26805">
      <c r="A26805" s="8" t="inlineStr">
        <is>
          <t>2026-08-05</t>
        </is>
      </c>
      <c r="B26805" s="8" t="n">
        <v>20</v>
      </c>
      <c r="C26805" s="8" t="n">
        <v>45</v>
      </c>
      <c r="D26805" s="8" t="inlineStr">
        <is>
          <t>Disneyland Park</t>
        </is>
      </c>
      <c r="E26805" s="8" t="inlineStr">
        <is>
          <t>Alice's Curious Labyrinth</t>
        </is>
      </c>
      <c r="F26805" s="8" t="inlineStr">
        <is>
          <t>STANDBY</t>
        </is>
      </c>
      <c r="G26805" s="8" t="n">
        <v>5</v>
      </c>
      <c r="H26805" s="8" t="inlineStr">
        <is>
          <t>OPERATING</t>
        </is>
      </c>
    </row>
    <row r="26806">
      <c r="A26806" s="8" t="inlineStr">
        <is>
          <t>2026-08-05</t>
        </is>
      </c>
      <c r="B26806" s="8" t="n">
        <v>20</v>
      </c>
      <c r="C26806" s="8" t="n">
        <v>45</v>
      </c>
      <c r="D26806" s="8" t="inlineStr">
        <is>
          <t>Disneyland Park</t>
        </is>
      </c>
      <c r="E26806" s="8" t="inlineStr">
        <is>
          <t>Blanche-Neige et les Sept Nains®</t>
        </is>
      </c>
      <c r="F26806" s="8" t="inlineStr">
        <is>
          <t>STANDBY</t>
        </is>
      </c>
      <c r="G26806" s="8" t="n">
        <v>10</v>
      </c>
      <c r="H26806" s="8" t="inlineStr">
        <is>
          <t>OPERATING</t>
        </is>
      </c>
    </row>
    <row r="26807">
      <c r="A26807" s="8" t="inlineStr">
        <is>
          <t>2026-08-05</t>
        </is>
      </c>
      <c r="B26807" s="8" t="n">
        <v>20</v>
      </c>
      <c r="C26807" s="8" t="n">
        <v>45</v>
      </c>
      <c r="D26807" s="8" t="inlineStr">
        <is>
          <t>Disneyland Park</t>
        </is>
      </c>
      <c r="E26807" s="8" t="inlineStr">
        <is>
          <t>Casey Jr. – le Petit Train du Cirque</t>
        </is>
      </c>
      <c r="F26807" s="8" t="inlineStr">
        <is>
          <t>STANDBY</t>
        </is>
      </c>
      <c r="G26807" s="8" t="n">
        <v>25</v>
      </c>
      <c r="H26807" s="8" t="inlineStr">
        <is>
          <t>OPERATING</t>
        </is>
      </c>
    </row>
    <row r="26808">
      <c r="A26808" s="8" t="inlineStr">
        <is>
          <t>2026-08-05</t>
        </is>
      </c>
      <c r="B26808" s="8" t="n">
        <v>20</v>
      </c>
      <c r="C26808" s="8" t="n">
        <v>45</v>
      </c>
      <c r="D26808" s="8" t="inlineStr">
        <is>
          <t>Disneyland Park</t>
        </is>
      </c>
      <c r="E26808" s="8" t="inlineStr">
        <is>
          <t>Disneyland Railroad Fantasyland Station</t>
        </is>
      </c>
      <c r="F26808" s="8" t="inlineStr">
        <is>
          <t>STANDBY</t>
        </is>
      </c>
      <c r="G26808" s="8" t="n">
        <v>0</v>
      </c>
      <c r="H26808" s="8" t="inlineStr">
        <is>
          <t>CLOSED</t>
        </is>
      </c>
    </row>
    <row r="26809">
      <c r="A26809" s="8" t="inlineStr">
        <is>
          <t>2026-08-05</t>
        </is>
      </c>
      <c r="B26809" s="8" t="n">
        <v>20</v>
      </c>
      <c r="C26809" s="8" t="n">
        <v>45</v>
      </c>
      <c r="D26809" s="8" t="inlineStr">
        <is>
          <t>Disneyland Park</t>
        </is>
      </c>
      <c r="E26809" s="8" t="inlineStr">
        <is>
          <t>Disneyland Railroad Main Street Station</t>
        </is>
      </c>
      <c r="F26809" s="8" t="inlineStr">
        <is>
          <t>STANDBY</t>
        </is>
      </c>
      <c r="G26809" s="8" t="n">
        <v>0</v>
      </c>
      <c r="H26809" s="8" t="inlineStr">
        <is>
          <t>CLOSED</t>
        </is>
      </c>
    </row>
    <row r="26810">
      <c r="A26810" s="8" t="inlineStr">
        <is>
          <t>2026-08-05</t>
        </is>
      </c>
      <c r="B26810" s="8" t="n">
        <v>20</v>
      </c>
      <c r="C26810" s="8" t="n">
        <v>45</v>
      </c>
      <c r="D26810" s="8" t="inlineStr">
        <is>
          <t>Disneyland Park</t>
        </is>
      </c>
      <c r="E26810" s="8" t="inlineStr">
        <is>
          <t>Dumbo the Flying Elephant</t>
        </is>
      </c>
      <c r="F26810" s="8" t="inlineStr">
        <is>
          <t>STANDBY</t>
        </is>
      </c>
      <c r="G26810" s="8" t="n">
        <v>35</v>
      </c>
      <c r="H26810" s="8" t="inlineStr">
        <is>
          <t>OPERATING</t>
        </is>
      </c>
    </row>
    <row r="26811">
      <c r="A26811" s="8" t="inlineStr">
        <is>
          <t>2026-08-05</t>
        </is>
      </c>
      <c r="B26811" s="8" t="n">
        <v>20</v>
      </c>
      <c r="C26811" s="8" t="n">
        <v>45</v>
      </c>
      <c r="D26811" s="8" t="inlineStr">
        <is>
          <t>Disneyland Park</t>
        </is>
      </c>
      <c r="E26811" s="8" t="inlineStr">
        <is>
          <t>La Tanière du Dragon</t>
        </is>
      </c>
      <c r="F26811" s="8" t="inlineStr">
        <is>
          <t>STANDBY</t>
        </is>
      </c>
      <c r="G26811" s="8" t="n">
        <v>0</v>
      </c>
      <c r="H26811" s="8" t="inlineStr">
        <is>
          <t>OPERATING</t>
        </is>
      </c>
    </row>
    <row r="26812">
      <c r="A26812" s="8" t="inlineStr">
        <is>
          <t>2026-08-05</t>
        </is>
      </c>
      <c r="B26812" s="8" t="n">
        <v>20</v>
      </c>
      <c r="C26812" s="8" t="n">
        <v>45</v>
      </c>
      <c r="D26812" s="8" t="inlineStr">
        <is>
          <t>Disneyland Park</t>
        </is>
      </c>
      <c r="E26812" s="8" t="inlineStr">
        <is>
          <t>Le Carrousel de Lancelot</t>
        </is>
      </c>
      <c r="F26812" s="8" t="inlineStr">
        <is>
          <t>STANDBY</t>
        </is>
      </c>
      <c r="G26812" s="8" t="n">
        <v>15</v>
      </c>
      <c r="H26812" s="8" t="inlineStr">
        <is>
          <t>OPERATING</t>
        </is>
      </c>
    </row>
    <row r="26813">
      <c r="A26813" s="8" t="inlineStr">
        <is>
          <t>2026-08-05</t>
        </is>
      </c>
      <c r="B26813" s="8" t="n">
        <v>20</v>
      </c>
      <c r="C26813" s="8" t="n">
        <v>45</v>
      </c>
      <c r="D26813" s="8" t="inlineStr">
        <is>
          <t>Disneyland Park</t>
        </is>
      </c>
      <c r="E26813" s="8" t="inlineStr">
        <is>
          <t>Le Pays des Contes de Fées, presented by Vittel</t>
        </is>
      </c>
      <c r="F26813" s="8" t="inlineStr">
        <is>
          <t>STANDBY</t>
        </is>
      </c>
      <c r="G26813" s="8" t="n">
        <v>5</v>
      </c>
      <c r="H26813" s="8" t="inlineStr">
        <is>
          <t>OPERATING</t>
        </is>
      </c>
    </row>
    <row r="26814">
      <c r="A26814" s="8" t="inlineStr">
        <is>
          <t>2026-08-05</t>
        </is>
      </c>
      <c r="B26814" s="8" t="n">
        <v>20</v>
      </c>
      <c r="C26814" s="8" t="n">
        <v>45</v>
      </c>
      <c r="D26814" s="8" t="inlineStr">
        <is>
          <t>Disneyland Park</t>
        </is>
      </c>
      <c r="E26814" s="8" t="inlineStr">
        <is>
          <t>Les Voyages de Pinocchio</t>
        </is>
      </c>
      <c r="F26814" s="8" t="inlineStr">
        <is>
          <t>STANDBY</t>
        </is>
      </c>
      <c r="G26814" s="8" t="n">
        <v>25</v>
      </c>
      <c r="H26814" s="8" t="inlineStr">
        <is>
          <t>OPERATING</t>
        </is>
      </c>
    </row>
    <row r="26815">
      <c r="A26815" s="8" t="inlineStr">
        <is>
          <t>2026-08-05</t>
        </is>
      </c>
      <c r="B26815" s="8" t="n">
        <v>20</v>
      </c>
      <c r="C26815" s="8" t="n">
        <v>45</v>
      </c>
      <c r="D26815" s="8" t="inlineStr">
        <is>
          <t>Disneyland Park</t>
        </is>
      </c>
      <c r="E26815" s="8" t="inlineStr">
        <is>
          <t>Mad Hatter's Tea Cups</t>
        </is>
      </c>
      <c r="F26815" s="8" t="inlineStr">
        <is>
          <t>STANDBY</t>
        </is>
      </c>
      <c r="G26815" s="8" t="n">
        <v>5</v>
      </c>
      <c r="H26815" s="8" t="inlineStr">
        <is>
          <t>OPERATING</t>
        </is>
      </c>
    </row>
    <row r="26816">
      <c r="A26816" s="8" t="inlineStr">
        <is>
          <t>2026-08-05</t>
        </is>
      </c>
      <c r="B26816" s="8" t="n">
        <v>20</v>
      </c>
      <c r="C26816" s="8" t="n">
        <v>45</v>
      </c>
      <c r="D26816" s="8" t="inlineStr">
        <is>
          <t>Disneyland Park</t>
        </is>
      </c>
      <c r="E26816" s="8" t="inlineStr">
        <is>
          <t>Meet Mickey Mouse</t>
        </is>
      </c>
      <c r="F26816" s="8" t="inlineStr">
        <is>
          <t>STANDBY</t>
        </is>
      </c>
      <c r="G26816" s="8" t="n">
        <v>0</v>
      </c>
      <c r="H26816" s="8" t="inlineStr">
        <is>
          <t>CLOSED</t>
        </is>
      </c>
    </row>
    <row r="26817">
      <c r="A26817" s="8" t="inlineStr">
        <is>
          <t>2026-08-05</t>
        </is>
      </c>
      <c r="B26817" s="8" t="n">
        <v>20</v>
      </c>
      <c r="C26817" s="8" t="n">
        <v>45</v>
      </c>
      <c r="D26817" s="8" t="inlineStr">
        <is>
          <t>Disneyland Park</t>
        </is>
      </c>
      <c r="E26817" s="8" t="inlineStr">
        <is>
          <t>Peter Pan's Flight</t>
        </is>
      </c>
      <c r="F26817" s="8" t="inlineStr">
        <is>
          <t>STANDBY</t>
        </is>
      </c>
      <c r="G26817" s="8" t="n">
        <v>65</v>
      </c>
      <c r="H26817" s="8" t="inlineStr">
        <is>
          <t>OPERATING</t>
        </is>
      </c>
    </row>
    <row r="26818">
      <c r="A26818" s="8" t="inlineStr">
        <is>
          <t>2026-08-05</t>
        </is>
      </c>
      <c r="B26818" s="8" t="n">
        <v>20</v>
      </c>
      <c r="C26818" s="8" t="n">
        <v>45</v>
      </c>
      <c r="D26818" s="8" t="inlineStr">
        <is>
          <t>Disneyland Park</t>
        </is>
      </c>
      <c r="E26818" s="8" t="inlineStr">
        <is>
          <t>Princess Pavilion</t>
        </is>
      </c>
      <c r="F26818" s="8" t="inlineStr">
        <is>
          <t>STANDBY</t>
        </is>
      </c>
      <c r="G26818" s="8" t="n">
        <v>0</v>
      </c>
      <c r="H26818" s="8" t="inlineStr">
        <is>
          <t>CLOSED</t>
        </is>
      </c>
    </row>
    <row r="26819">
      <c r="A26819" s="8" t="inlineStr">
        <is>
          <t>2026-08-05</t>
        </is>
      </c>
      <c r="B26819" s="8" t="n">
        <v>20</v>
      </c>
      <c r="C26819" s="8" t="n">
        <v>45</v>
      </c>
      <c r="D26819" s="8" t="inlineStr">
        <is>
          <t>Disneyland Park</t>
        </is>
      </c>
      <c r="E26819" s="8" t="inlineStr">
        <is>
          <t>Big Thunder Mountain</t>
        </is>
      </c>
      <c r="F26819" s="8" t="inlineStr">
        <is>
          <t>STANDBY</t>
        </is>
      </c>
      <c r="G26819" s="8" t="n">
        <v>85</v>
      </c>
      <c r="H26819" s="8" t="inlineStr">
        <is>
          <t>OPERATING</t>
        </is>
      </c>
    </row>
    <row r="26820">
      <c r="A26820" s="8" t="inlineStr">
        <is>
          <t>2026-08-05</t>
        </is>
      </c>
      <c r="B26820" s="8" t="n">
        <v>20</v>
      </c>
      <c r="C26820" s="8" t="n">
        <v>45</v>
      </c>
      <c r="D26820" s="8" t="inlineStr">
        <is>
          <t>Disneyland Park</t>
        </is>
      </c>
      <c r="E26820" s="8" t="inlineStr">
        <is>
          <t>Disneyland Railroad Frontierland Depot</t>
        </is>
      </c>
      <c r="F26820" s="8" t="inlineStr">
        <is>
          <t>STANDBY</t>
        </is>
      </c>
      <c r="G26820" s="8" t="n">
        <v>0</v>
      </c>
      <c r="H26820" s="8" t="inlineStr">
        <is>
          <t>CLOSED</t>
        </is>
      </c>
    </row>
    <row r="26821">
      <c r="A26821" s="8" t="inlineStr">
        <is>
          <t>2026-08-05</t>
        </is>
      </c>
      <c r="B26821" s="8" t="n">
        <v>20</v>
      </c>
      <c r="C26821" s="8" t="n">
        <v>45</v>
      </c>
      <c r="D26821" s="8" t="inlineStr">
        <is>
          <t>Disneyland Park</t>
        </is>
      </c>
      <c r="E26821" s="8" t="inlineStr">
        <is>
          <t>Frontierland Playground</t>
        </is>
      </c>
      <c r="F26821" s="8" t="inlineStr">
        <is>
          <t>STANDBY</t>
        </is>
      </c>
      <c r="G26821" s="8" t="n">
        <v>0</v>
      </c>
      <c r="H26821" s="8" t="inlineStr">
        <is>
          <t>OPERATING</t>
        </is>
      </c>
    </row>
    <row r="26822">
      <c r="A26822" s="8" t="inlineStr">
        <is>
          <t>2026-08-05</t>
        </is>
      </c>
      <c r="B26822" s="8" t="n">
        <v>20</v>
      </c>
      <c r="C26822" s="8" t="n">
        <v>45</v>
      </c>
      <c r="D26822" s="8" t="inlineStr">
        <is>
          <t>Disneyland Park</t>
        </is>
      </c>
      <c r="E26822" s="8" t="inlineStr">
        <is>
          <t>Phantom Manor</t>
        </is>
      </c>
      <c r="F26822" s="8" t="inlineStr">
        <is>
          <t>STANDBY</t>
        </is>
      </c>
      <c r="G26822" s="8" t="n">
        <v>5</v>
      </c>
      <c r="H26822" s="8" t="inlineStr">
        <is>
          <t>OPERATING</t>
        </is>
      </c>
    </row>
    <row r="26823">
      <c r="A26823" s="8" t="inlineStr">
        <is>
          <t>2026-08-05</t>
        </is>
      </c>
      <c r="B26823" s="8" t="n">
        <v>20</v>
      </c>
      <c r="C26823" s="8" t="n">
        <v>45</v>
      </c>
      <c r="D26823" s="8" t="inlineStr">
        <is>
          <t>Disneyland Park</t>
        </is>
      </c>
      <c r="E26823" s="8" t="inlineStr">
        <is>
          <t>River Rogue Keelboats</t>
        </is>
      </c>
      <c r="F26823" s="8" t="inlineStr">
        <is>
          <t>STANDBY</t>
        </is>
      </c>
      <c r="G26823" s="8" t="n">
        <v>0</v>
      </c>
      <c r="H26823" s="8" t="inlineStr">
        <is>
          <t>CLOSED</t>
        </is>
      </c>
    </row>
    <row r="26824">
      <c r="A26824" s="8" t="inlineStr">
        <is>
          <t>2026-08-05</t>
        </is>
      </c>
      <c r="B26824" s="8" t="n">
        <v>20</v>
      </c>
      <c r="C26824" s="8" t="n">
        <v>45</v>
      </c>
      <c r="D26824" s="8" t="inlineStr">
        <is>
          <t>Disneyland Park</t>
        </is>
      </c>
      <c r="E26824" s="8" t="inlineStr">
        <is>
          <t>Rustler Roundup Shootin' Gallery</t>
        </is>
      </c>
      <c r="F26824" s="8" t="inlineStr">
        <is>
          <t>STANDBY</t>
        </is>
      </c>
      <c r="G26824" s="8" t="n">
        <v>0</v>
      </c>
      <c r="H26824" s="8" t="inlineStr">
        <is>
          <t>OPERATING</t>
        </is>
      </c>
    </row>
    <row r="26825">
      <c r="A26825" s="8" t="inlineStr">
        <is>
          <t>2026-08-05</t>
        </is>
      </c>
      <c r="B26825" s="8" t="n">
        <v>20</v>
      </c>
      <c r="C26825" s="8" t="n">
        <v>45</v>
      </c>
      <c r="D26825" s="8" t="inlineStr">
        <is>
          <t>Disneyland Park</t>
        </is>
      </c>
      <c r="E26825" s="8" t="inlineStr">
        <is>
          <t>Thunder Mesa Riverboat Landing</t>
        </is>
      </c>
      <c r="F26825" s="8" t="inlineStr">
        <is>
          <t>STANDBY</t>
        </is>
      </c>
      <c r="G26825" s="8" t="n">
        <v>0</v>
      </c>
      <c r="H26825" s="8" t="inlineStr">
        <is>
          <t>CLOSED</t>
        </is>
      </c>
    </row>
    <row r="26826">
      <c r="A26826" s="8" t="inlineStr">
        <is>
          <t>2026-08-05</t>
        </is>
      </c>
      <c r="B26826" s="8" t="n">
        <v>20</v>
      </c>
      <c r="C26826" s="8" t="n">
        <v>45</v>
      </c>
      <c r="D26826" s="8" t="inlineStr">
        <is>
          <t>Disneyland Park</t>
        </is>
      </c>
      <c r="E26826" s="8" t="inlineStr">
        <is>
          <t>Disneyland Railroad Main Street Station</t>
        </is>
      </c>
      <c r="F26826" s="8" t="inlineStr">
        <is>
          <t>STANDBY</t>
        </is>
      </c>
      <c r="G26826" s="8" t="n">
        <v>0</v>
      </c>
      <c r="H26826" s="8" t="inlineStr">
        <is>
          <t>CLOSED</t>
        </is>
      </c>
    </row>
    <row r="26827">
      <c r="A26827" s="8" t="inlineStr">
        <is>
          <t>2026-08-05</t>
        </is>
      </c>
      <c r="B26827" s="8" t="n">
        <v>20</v>
      </c>
      <c r="C26827" s="8" t="n">
        <v>45</v>
      </c>
      <c r="D26827" s="8" t="inlineStr">
        <is>
          <t>Disneyland Park</t>
        </is>
      </c>
      <c r="E26827" s="8" t="inlineStr">
        <is>
          <t>Main Street Vehicles</t>
        </is>
      </c>
      <c r="F26827" s="8" t="inlineStr">
        <is>
          <t>STANDBY</t>
        </is>
      </c>
      <c r="G26827" s="8" t="n">
        <v>0</v>
      </c>
      <c r="H26827" s="8" t="inlineStr">
        <is>
          <t>CLOSED</t>
        </is>
      </c>
    </row>
    <row r="26828">
      <c r="A26828" s="8" t="inlineStr">
        <is>
          <t>2026-08-05</t>
        </is>
      </c>
      <c r="B26828" s="8" t="n">
        <v>20</v>
      </c>
      <c r="C26828" s="8" t="n">
        <v>45</v>
      </c>
      <c r="D26828" s="8" t="inlineStr">
        <is>
          <t>Disney Adventure World</t>
        </is>
      </c>
      <c r="E26828" s="8" t="inlineStr">
        <is>
          <t>Avengers Assemble: Flight Force</t>
        </is>
      </c>
      <c r="F26828" s="8" t="inlineStr">
        <is>
          <t>STANDBY</t>
        </is>
      </c>
      <c r="G26828" s="8" t="n">
        <v>10</v>
      </c>
      <c r="H26828" s="8" t="inlineStr">
        <is>
          <t>OPERATING</t>
        </is>
      </c>
    </row>
    <row r="26829">
      <c r="A26829" s="8" t="inlineStr">
        <is>
          <t>2026-08-05</t>
        </is>
      </c>
      <c r="B26829" s="8" t="n">
        <v>20</v>
      </c>
      <c r="C26829" s="8" t="n">
        <v>45</v>
      </c>
      <c r="D26829" s="8" t="inlineStr">
        <is>
          <t>Disney Adventure World</t>
        </is>
      </c>
      <c r="E26829" s="8" t="inlineStr">
        <is>
          <t>Avengers Assemble: Flight Force Single Rider</t>
        </is>
      </c>
      <c r="F26829" s="8" t="inlineStr">
        <is>
          <t>STANDBY</t>
        </is>
      </c>
      <c r="G26829" s="8" t="n">
        <v>5</v>
      </c>
      <c r="H26829" s="8" t="inlineStr">
        <is>
          <t>OPERATING</t>
        </is>
      </c>
    </row>
    <row r="26830">
      <c r="A26830" s="8" t="inlineStr">
        <is>
          <t>2026-08-05</t>
        </is>
      </c>
      <c r="B26830" s="8" t="n">
        <v>20</v>
      </c>
      <c r="C26830" s="8" t="n">
        <v>45</v>
      </c>
      <c r="D26830" s="8" t="inlineStr">
        <is>
          <t>Disney Adventure World</t>
        </is>
      </c>
      <c r="E26830" s="8" t="inlineStr">
        <is>
          <t>Spider-Man W.E.B. Adventure</t>
        </is>
      </c>
      <c r="F26830" s="8" t="inlineStr">
        <is>
          <t>STANDBY</t>
        </is>
      </c>
      <c r="G26830" s="8" t="n">
        <v>35</v>
      </c>
      <c r="H26830" s="8" t="inlineStr">
        <is>
          <t>OPERATING</t>
        </is>
      </c>
    </row>
    <row r="26831">
      <c r="A26831" s="8" t="inlineStr">
        <is>
          <t>2026-08-05</t>
        </is>
      </c>
      <c r="B26831" s="8" t="n">
        <v>20</v>
      </c>
      <c r="C26831" s="8" t="n">
        <v>45</v>
      </c>
      <c r="D26831" s="8" t="inlineStr">
        <is>
          <t>Disney Adventure World</t>
        </is>
      </c>
      <c r="E26831" s="8" t="inlineStr">
        <is>
          <t>Spider-Man W.E.B. Adventure Single Rider</t>
        </is>
      </c>
      <c r="F26831" s="8" t="inlineStr">
        <is>
          <t>STANDBY</t>
        </is>
      </c>
      <c r="G26831" s="8" t="n">
        <v>15</v>
      </c>
      <c r="H26831" s="8" t="inlineStr">
        <is>
          <t>OPERATING</t>
        </is>
      </c>
    </row>
    <row r="26832">
      <c r="A26832" s="8" t="inlineStr">
        <is>
          <t>2026-08-05</t>
        </is>
      </c>
      <c r="B26832" s="8" t="n">
        <v>20</v>
      </c>
      <c r="C26832" s="8" t="n">
        <v>45</v>
      </c>
      <c r="D26832" s="8" t="inlineStr">
        <is>
          <t>Disney Adventure World</t>
        </is>
      </c>
      <c r="E26832" s="8" t="inlineStr">
        <is>
          <t>The Twilight Zone Tower of Terror</t>
        </is>
      </c>
      <c r="F26832" s="8" t="inlineStr">
        <is>
          <t>STANDBY</t>
        </is>
      </c>
      <c r="G26832" s="8" t="n">
        <v>15</v>
      </c>
      <c r="H26832" s="8" t="inlineStr">
        <is>
          <t>OPERATING</t>
        </is>
      </c>
    </row>
    <row r="26833">
      <c r="A26833" s="8" t="inlineStr">
        <is>
          <t>2026-08-05</t>
        </is>
      </c>
      <c r="B26833" s="8" t="n">
        <v>20</v>
      </c>
      <c r="C26833" s="8" t="n">
        <v>45</v>
      </c>
      <c r="D26833" s="8" t="inlineStr">
        <is>
          <t>Disney Adventure World</t>
        </is>
      </c>
      <c r="E26833" s="8" t="inlineStr">
        <is>
          <t>Cars Quatre Roues Rallye</t>
        </is>
      </c>
      <c r="F26833" s="8" t="inlineStr">
        <is>
          <t>STANDBY</t>
        </is>
      </c>
      <c r="G26833" s="8" t="n">
        <v>5</v>
      </c>
      <c r="H26833" s="8" t="inlineStr">
        <is>
          <t>OPERATING</t>
        </is>
      </c>
    </row>
    <row r="26834">
      <c r="A26834" s="8" t="inlineStr">
        <is>
          <t>2026-08-05</t>
        </is>
      </c>
      <c r="B26834" s="8" t="n">
        <v>20</v>
      </c>
      <c r="C26834" s="8" t="n">
        <v>45</v>
      </c>
      <c r="D26834" s="8" t="inlineStr">
        <is>
          <t>Disney Adventure World</t>
        </is>
      </c>
      <c r="E26834" s="8" t="inlineStr">
        <is>
          <t>Cars ROAD TRIP</t>
        </is>
      </c>
      <c r="F26834" s="8" t="inlineStr">
        <is>
          <t>STANDBY</t>
        </is>
      </c>
      <c r="G26834" s="8" t="n">
        <v>5</v>
      </c>
      <c r="H26834" s="8" t="inlineStr">
        <is>
          <t>OPERATING</t>
        </is>
      </c>
    </row>
    <row r="26835">
      <c r="A26835" s="8" t="inlineStr">
        <is>
          <t>2026-08-05</t>
        </is>
      </c>
      <c r="B26835" s="8" t="n">
        <v>20</v>
      </c>
      <c r="C26835" s="8" t="n">
        <v>45</v>
      </c>
      <c r="D26835" s="8" t="inlineStr">
        <is>
          <t>Disney Adventure World</t>
        </is>
      </c>
      <c r="E26835" s="8" t="inlineStr">
        <is>
          <t>Crush's Coaster</t>
        </is>
      </c>
      <c r="F26835" s="8" t="inlineStr">
        <is>
          <t>STANDBY</t>
        </is>
      </c>
      <c r="G26835" s="8" t="n">
        <v>70</v>
      </c>
      <c r="H26835" s="8" t="inlineStr">
        <is>
          <t>OPERATING</t>
        </is>
      </c>
    </row>
    <row r="26836">
      <c r="A26836" s="8" t="inlineStr">
        <is>
          <t>2026-08-05</t>
        </is>
      </c>
      <c r="B26836" s="8" t="n">
        <v>20</v>
      </c>
      <c r="C26836" s="8" t="n">
        <v>45</v>
      </c>
      <c r="D26836" s="8" t="inlineStr">
        <is>
          <t>Disney Adventure World</t>
        </is>
      </c>
      <c r="E26836" s="8" t="inlineStr">
        <is>
          <t>Crush's Coaster Single Rider</t>
        </is>
      </c>
      <c r="F26836" s="8" t="inlineStr">
        <is>
          <t>STANDBY</t>
        </is>
      </c>
      <c r="G26836" s="8" t="n">
        <v>60</v>
      </c>
      <c r="H26836" s="8" t="inlineStr">
        <is>
          <t>OPERATING</t>
        </is>
      </c>
    </row>
    <row r="26837">
      <c r="A26837" s="8" t="inlineStr">
        <is>
          <t>2026-08-05</t>
        </is>
      </c>
      <c r="B26837" s="8" t="n">
        <v>20</v>
      </c>
      <c r="C26837" s="8" t="n">
        <v>45</v>
      </c>
      <c r="D26837" s="8" t="inlineStr">
        <is>
          <t>Disney Adventure World</t>
        </is>
      </c>
      <c r="E26837" s="8" t="inlineStr">
        <is>
          <t>Les Tapis Volants - Flying Carpets Over Agrabah®</t>
        </is>
      </c>
      <c r="F26837" s="8" t="inlineStr">
        <is>
          <t>STANDBY</t>
        </is>
      </c>
      <c r="G26837" s="8" t="n">
        <v>10</v>
      </c>
      <c r="H26837" s="8" t="inlineStr">
        <is>
          <t>OPERATING</t>
        </is>
      </c>
    </row>
    <row r="26838">
      <c r="A26838" s="8" t="inlineStr">
        <is>
          <t>2026-08-05</t>
        </is>
      </c>
      <c r="B26838" s="8" t="n">
        <v>20</v>
      </c>
      <c r="C26838" s="8" t="n">
        <v>45</v>
      </c>
      <c r="D26838" s="8" t="inlineStr">
        <is>
          <t>Disney Adventure World</t>
        </is>
      </c>
      <c r="E26838" s="8" t="inlineStr">
        <is>
          <t>Ratatouille : L’Aventure Totalement Toquée de Rémy​</t>
        </is>
      </c>
      <c r="F26838" s="8" t="inlineStr">
        <is>
          <t>STANDBY</t>
        </is>
      </c>
      <c r="G26838" s="8" t="n">
        <v>45</v>
      </c>
      <c r="H26838" s="8" t="inlineStr">
        <is>
          <t>OPERATING</t>
        </is>
      </c>
    </row>
    <row r="26839">
      <c r="A26839" s="8" t="inlineStr">
        <is>
          <t>2026-08-05</t>
        </is>
      </c>
      <c r="B26839" s="8" t="n">
        <v>20</v>
      </c>
      <c r="C26839" s="8" t="n">
        <v>45</v>
      </c>
      <c r="D26839" s="8" t="inlineStr">
        <is>
          <t>Disney Adventure World</t>
        </is>
      </c>
      <c r="E26839" s="8" t="inlineStr">
        <is>
          <t>Ratatouille: The Adventure Single Rider</t>
        </is>
      </c>
      <c r="F26839" s="8" t="inlineStr">
        <is>
          <t>STANDBY</t>
        </is>
      </c>
      <c r="G26839" s="8" t="n">
        <v>5</v>
      </c>
      <c r="H26839" s="8" t="inlineStr">
        <is>
          <t>OPERATING</t>
        </is>
      </c>
    </row>
    <row r="26840">
      <c r="A26840" s="8" t="inlineStr">
        <is>
          <t>2026-08-05</t>
        </is>
      </c>
      <c r="B26840" s="8" t="n">
        <v>20</v>
      </c>
      <c r="C26840" s="8" t="n">
        <v>45</v>
      </c>
      <c r="D26840" s="8" t="inlineStr">
        <is>
          <t>Disney Adventure World</t>
        </is>
      </c>
      <c r="E26840" s="8" t="inlineStr">
        <is>
          <t>RC Racer</t>
        </is>
      </c>
      <c r="F26840" s="8" t="inlineStr">
        <is>
          <t>STANDBY</t>
        </is>
      </c>
      <c r="G26840" s="8" t="n">
        <v>35</v>
      </c>
      <c r="H26840" s="8" t="inlineStr">
        <is>
          <t>OPERATING</t>
        </is>
      </c>
    </row>
    <row r="26841">
      <c r="A26841" s="8" t="inlineStr">
        <is>
          <t>2026-08-05</t>
        </is>
      </c>
      <c r="B26841" s="8" t="n">
        <v>20</v>
      </c>
      <c r="C26841" s="8" t="n">
        <v>45</v>
      </c>
      <c r="D26841" s="8" t="inlineStr">
        <is>
          <t>Disney Adventure World</t>
        </is>
      </c>
      <c r="E26841" s="8" t="inlineStr">
        <is>
          <t>RC Racer Single Rider</t>
        </is>
      </c>
      <c r="F26841" s="8" t="inlineStr">
        <is>
          <t>STANDBY</t>
        </is>
      </c>
      <c r="G26841" s="8" t="n">
        <v>20</v>
      </c>
      <c r="H26841" s="8" t="inlineStr">
        <is>
          <t>OPERATING</t>
        </is>
      </c>
    </row>
    <row r="26842">
      <c r="A26842" s="8" t="inlineStr">
        <is>
          <t>2026-08-05</t>
        </is>
      </c>
      <c r="B26842" s="8" t="n">
        <v>20</v>
      </c>
      <c r="C26842" s="8" t="n">
        <v>45</v>
      </c>
      <c r="D26842" s="8" t="inlineStr">
        <is>
          <t>Disney Adventure World</t>
        </is>
      </c>
      <c r="E26842" s="8" t="inlineStr">
        <is>
          <t>Slinky® Dog Zigzag Spin</t>
        </is>
      </c>
      <c r="F26842" s="8" t="inlineStr">
        <is>
          <t>STANDBY</t>
        </is>
      </c>
      <c r="G26842" s="8" t="n">
        <v>5</v>
      </c>
      <c r="H26842" s="8" t="inlineStr">
        <is>
          <t>OPERATING</t>
        </is>
      </c>
    </row>
    <row r="26843">
      <c r="A26843" s="8" t="inlineStr">
        <is>
          <t>2026-08-05</t>
        </is>
      </c>
      <c r="B26843" s="8" t="n">
        <v>20</v>
      </c>
      <c r="C26843" s="8" t="n">
        <v>45</v>
      </c>
      <c r="D26843" s="8" t="inlineStr">
        <is>
          <t>Disney Adventure World</t>
        </is>
      </c>
      <c r="E26843" s="8" t="inlineStr">
        <is>
          <t>Toy Soldiers Parachute Drop</t>
        </is>
      </c>
      <c r="F26843" s="8" t="inlineStr">
        <is>
          <t>STANDBY</t>
        </is>
      </c>
      <c r="G26843" s="8" t="n">
        <v>40</v>
      </c>
      <c r="H26843" s="8" t="inlineStr">
        <is>
          <t>OPERATING</t>
        </is>
      </c>
    </row>
    <row r="26844">
      <c r="A26844" s="8" t="inlineStr">
        <is>
          <t>2026-08-05</t>
        </is>
      </c>
      <c r="B26844" s="8" t="n">
        <v>20</v>
      </c>
      <c r="C26844" s="8" t="n">
        <v>45</v>
      </c>
      <c r="D26844" s="8" t="inlineStr">
        <is>
          <t>Disney Adventure World</t>
        </is>
      </c>
      <c r="E26844" s="8" t="inlineStr">
        <is>
          <t>Toy Soldiers Parachute Drop Single Rider</t>
        </is>
      </c>
      <c r="F26844" s="8" t="inlineStr">
        <is>
          <t>STANDBY</t>
        </is>
      </c>
      <c r="G26844" s="8" t="n">
        <v>25</v>
      </c>
      <c r="H26844" s="8" t="inlineStr">
        <is>
          <t>OPERATING</t>
        </is>
      </c>
    </row>
    <row r="26845">
      <c r="A26845" s="8" t="inlineStr">
        <is>
          <t>2026-08-05</t>
        </is>
      </c>
      <c r="B26845" s="8" t="n">
        <v>20</v>
      </c>
      <c r="C26845" s="8" t="n">
        <v>45</v>
      </c>
      <c r="D26845" s="8" t="inlineStr">
        <is>
          <t>Disney Adventure World</t>
        </is>
      </c>
      <c r="E26845" s="8" t="inlineStr">
        <is>
          <t>Entry to World of Frozen</t>
        </is>
      </c>
      <c r="F26845" s="8" t="inlineStr">
        <is>
          <t>STANDBY</t>
        </is>
      </c>
      <c r="G26845" s="8" t="n">
        <v>0</v>
      </c>
      <c r="H26845" s="8" t="inlineStr">
        <is>
          <t>OPERATING</t>
        </is>
      </c>
    </row>
    <row r="26846">
      <c r="A26846" s="8" t="inlineStr">
        <is>
          <t>2026-08-05</t>
        </is>
      </c>
      <c r="B26846" s="8" t="n">
        <v>20</v>
      </c>
      <c r="C26846" s="8" t="n">
        <v>45</v>
      </c>
      <c r="D26846" s="8" t="inlineStr">
        <is>
          <t>Disney Adventure World</t>
        </is>
      </c>
      <c r="E26846" s="8" t="inlineStr">
        <is>
          <t>Frozen Ever After</t>
        </is>
      </c>
      <c r="F26846" s="8" t="inlineStr">
        <is>
          <t>STANDBY</t>
        </is>
      </c>
      <c r="G26846" s="8" t="n">
        <v>55</v>
      </c>
      <c r="H26846" s="8" t="inlineStr">
        <is>
          <t>OPERATING</t>
        </is>
      </c>
    </row>
    <row r="26847">
      <c r="A26847" s="8" t="inlineStr">
        <is>
          <t>2026-08-05</t>
        </is>
      </c>
      <c r="B26847" s="8" t="n">
        <v>20</v>
      </c>
      <c r="C26847" s="8" t="n">
        <v>45</v>
      </c>
      <c r="D26847" s="8" t="inlineStr">
        <is>
          <t>Disney Adventure World</t>
        </is>
      </c>
      <c r="E26847" s="8" t="inlineStr">
        <is>
          <t>Raiponce Tangled Spin</t>
        </is>
      </c>
      <c r="F26847" s="8" t="inlineStr">
        <is>
          <t>STANDBY</t>
        </is>
      </c>
      <c r="G26847" s="8" t="n">
        <v>5</v>
      </c>
      <c r="H26847" s="8" t="inlineStr">
        <is>
          <t>OPERATING</t>
        </is>
      </c>
    </row>
    <row r="26848">
      <c r="A26848" s="8" t="inlineStr">
        <is>
          <t>2026-08-05</t>
        </is>
      </c>
      <c r="B26848" s="8" t="n">
        <v>20</v>
      </c>
      <c r="C26848" s="8" t="n">
        <v>46</v>
      </c>
      <c r="D26848" s="8" t="inlineStr">
        <is>
          <t>Disneyland Park</t>
        </is>
      </c>
      <c r="E26848" s="8" t="inlineStr">
        <is>
          <t>Adventure Isle</t>
        </is>
      </c>
      <c r="F26848" s="8" t="inlineStr">
        <is>
          <t>STANDBY</t>
        </is>
      </c>
      <c r="G26848" s="8" t="n">
        <v>0</v>
      </c>
      <c r="H26848" s="8" t="inlineStr">
        <is>
          <t>OPERATING</t>
        </is>
      </c>
    </row>
    <row r="26849">
      <c r="A26849" s="8" t="inlineStr">
        <is>
          <t>2026-08-05</t>
        </is>
      </c>
      <c r="B26849" s="8" t="n">
        <v>20</v>
      </c>
      <c r="C26849" s="8" t="n">
        <v>46</v>
      </c>
      <c r="D26849" s="8" t="inlineStr">
        <is>
          <t>Disneyland Park</t>
        </is>
      </c>
      <c r="E26849" s="8" t="inlineStr">
        <is>
          <t>Indiana Jones and the Temple of Peril Single Rider</t>
        </is>
      </c>
      <c r="F26849" s="8" t="inlineStr">
        <is>
          <t>STANDBY</t>
        </is>
      </c>
      <c r="G26849" s="8" t="n">
        <v>5</v>
      </c>
      <c r="H26849" s="8" t="inlineStr">
        <is>
          <t>OPERATING</t>
        </is>
      </c>
    </row>
    <row r="26850">
      <c r="A26850" s="8" t="inlineStr">
        <is>
          <t>2026-08-05</t>
        </is>
      </c>
      <c r="B26850" s="8" t="n">
        <v>20</v>
      </c>
      <c r="C26850" s="8" t="n">
        <v>46</v>
      </c>
      <c r="D26850" s="8" t="inlineStr">
        <is>
          <t>Disneyland Park</t>
        </is>
      </c>
      <c r="E26850" s="8" t="inlineStr">
        <is>
          <t>Indiana Jones™ and the Temple of Peril</t>
        </is>
      </c>
      <c r="F26850" s="8" t="inlineStr">
        <is>
          <t>STANDBY</t>
        </is>
      </c>
      <c r="G26850" s="8" t="n">
        <v>10</v>
      </c>
      <c r="H26850" s="8" t="inlineStr">
        <is>
          <t>OPERATING</t>
        </is>
      </c>
    </row>
    <row r="26851">
      <c r="A26851" s="8" t="inlineStr">
        <is>
          <t>2026-08-05</t>
        </is>
      </c>
      <c r="B26851" s="8" t="n">
        <v>20</v>
      </c>
      <c r="C26851" s="8" t="n">
        <v>46</v>
      </c>
      <c r="D26851" s="8" t="inlineStr">
        <is>
          <t>Disneyland Park</t>
        </is>
      </c>
      <c r="E26851" s="8" t="inlineStr">
        <is>
          <t>La Cabane des Robinson</t>
        </is>
      </c>
      <c r="F26851" s="8" t="inlineStr">
        <is>
          <t>STANDBY</t>
        </is>
      </c>
      <c r="G26851" s="8" t="n">
        <v>5</v>
      </c>
      <c r="H26851" s="8" t="inlineStr">
        <is>
          <t>OPERATING</t>
        </is>
      </c>
    </row>
    <row r="26852">
      <c r="A26852" s="8" t="inlineStr">
        <is>
          <t>2026-08-05</t>
        </is>
      </c>
      <c r="B26852" s="8" t="n">
        <v>20</v>
      </c>
      <c r="C26852" s="8" t="n">
        <v>46</v>
      </c>
      <c r="D26852" s="8" t="inlineStr">
        <is>
          <t>Disneyland Park</t>
        </is>
      </c>
      <c r="E26852" s="8" t="inlineStr">
        <is>
          <t>Le Passage Enchanté d'Aladdin</t>
        </is>
      </c>
      <c r="F26852" s="8" t="inlineStr">
        <is>
          <t>STANDBY</t>
        </is>
      </c>
      <c r="G26852" s="8" t="n">
        <v>0</v>
      </c>
      <c r="H26852" s="8" t="inlineStr">
        <is>
          <t>OPERATING</t>
        </is>
      </c>
    </row>
    <row r="26853">
      <c r="A26853" s="8" t="inlineStr">
        <is>
          <t>2026-08-05</t>
        </is>
      </c>
      <c r="B26853" s="8" t="n">
        <v>20</v>
      </c>
      <c r="C26853" s="8" t="n">
        <v>46</v>
      </c>
      <c r="D26853" s="8" t="inlineStr">
        <is>
          <t>Disneyland Park</t>
        </is>
      </c>
      <c r="E26853" s="8" t="inlineStr">
        <is>
          <t>Pirate Galleon</t>
        </is>
      </c>
      <c r="F26853" s="8" t="inlineStr">
        <is>
          <t>STANDBY</t>
        </is>
      </c>
      <c r="G26853" s="8" t="n">
        <v>0</v>
      </c>
      <c r="H26853" s="8" t="inlineStr">
        <is>
          <t>CLOSED</t>
        </is>
      </c>
    </row>
    <row r="26854">
      <c r="A26854" s="8" t="inlineStr">
        <is>
          <t>2026-08-05</t>
        </is>
      </c>
      <c r="B26854" s="8" t="n">
        <v>20</v>
      </c>
      <c r="C26854" s="8" t="n">
        <v>46</v>
      </c>
      <c r="D26854" s="8" t="inlineStr">
        <is>
          <t>Disneyland Park</t>
        </is>
      </c>
      <c r="E26854" s="8" t="inlineStr">
        <is>
          <t>Pirates of the Caribbean</t>
        </is>
      </c>
      <c r="F26854" s="8" t="inlineStr">
        <is>
          <t>STANDBY</t>
        </is>
      </c>
      <c r="G26854" s="8" t="n">
        <v>15</v>
      </c>
      <c r="H26854" s="8" t="inlineStr">
        <is>
          <t>OPERATING</t>
        </is>
      </c>
    </row>
    <row r="26855">
      <c r="A26855" s="8" t="inlineStr">
        <is>
          <t>2026-08-05</t>
        </is>
      </c>
      <c r="B26855" s="8" t="n">
        <v>20</v>
      </c>
      <c r="C26855" s="8" t="n">
        <v>46</v>
      </c>
      <c r="D26855" s="8" t="inlineStr">
        <is>
          <t>Disneyland Park</t>
        </is>
      </c>
      <c r="E26855" s="8" t="inlineStr">
        <is>
          <t>Pirates' Beach</t>
        </is>
      </c>
      <c r="F26855" s="8" t="inlineStr">
        <is>
          <t>STANDBY</t>
        </is>
      </c>
      <c r="G26855" s="8" t="n">
        <v>0</v>
      </c>
      <c r="H26855" s="8" t="inlineStr">
        <is>
          <t>OPERATING</t>
        </is>
      </c>
    </row>
    <row r="26856">
      <c r="A26856" s="8" t="inlineStr">
        <is>
          <t>2026-08-05</t>
        </is>
      </c>
      <c r="B26856" s="8" t="n">
        <v>20</v>
      </c>
      <c r="C26856" s="8" t="n">
        <v>46</v>
      </c>
      <c r="D26856" s="8" t="inlineStr">
        <is>
          <t>Disneyland Park</t>
        </is>
      </c>
      <c r="E26856" s="8" t="inlineStr">
        <is>
          <t>Autopia, presented by Avis</t>
        </is>
      </c>
      <c r="F26856" s="8" t="inlineStr">
        <is>
          <t>STANDBY</t>
        </is>
      </c>
      <c r="G26856" s="8" t="n">
        <v>30</v>
      </c>
      <c r="H26856" s="8" t="inlineStr">
        <is>
          <t>OPERATING</t>
        </is>
      </c>
    </row>
    <row r="26857">
      <c r="A26857" s="8" t="inlineStr">
        <is>
          <t>2026-08-05</t>
        </is>
      </c>
      <c r="B26857" s="8" t="n">
        <v>20</v>
      </c>
      <c r="C26857" s="8" t="n">
        <v>46</v>
      </c>
      <c r="D26857" s="8" t="inlineStr">
        <is>
          <t>Disneyland Park</t>
        </is>
      </c>
      <c r="E26857" s="8" t="inlineStr">
        <is>
          <t>Buzz Lightyear Laser Blast</t>
        </is>
      </c>
      <c r="F26857" s="8" t="inlineStr">
        <is>
          <t>STANDBY</t>
        </is>
      </c>
      <c r="G26857" s="8" t="n">
        <v>25</v>
      </c>
      <c r="H26857" s="8" t="inlineStr">
        <is>
          <t>OPERATING</t>
        </is>
      </c>
    </row>
    <row r="26858">
      <c r="A26858" s="8" t="inlineStr">
        <is>
          <t>2026-08-05</t>
        </is>
      </c>
      <c r="B26858" s="8" t="n">
        <v>20</v>
      </c>
      <c r="C26858" s="8" t="n">
        <v>46</v>
      </c>
      <c r="D26858" s="8" t="inlineStr">
        <is>
          <t>Disneyland Park</t>
        </is>
      </c>
      <c r="E26858" s="8" t="inlineStr">
        <is>
          <t>Disneyland Railroad Discoveryland Station</t>
        </is>
      </c>
      <c r="F26858" s="8" t="inlineStr">
        <is>
          <t>STANDBY</t>
        </is>
      </c>
      <c r="G26858" s="8" t="n">
        <v>0</v>
      </c>
      <c r="H26858" s="8" t="inlineStr">
        <is>
          <t>CLOSED</t>
        </is>
      </c>
    </row>
    <row r="26859">
      <c r="A26859" s="8" t="inlineStr">
        <is>
          <t>2026-08-05</t>
        </is>
      </c>
      <c r="B26859" s="8" t="n">
        <v>20</v>
      </c>
      <c r="C26859" s="8" t="n">
        <v>46</v>
      </c>
      <c r="D26859" s="8" t="inlineStr">
        <is>
          <t>Disneyland Park</t>
        </is>
      </c>
      <c r="E26859" s="8" t="inlineStr">
        <is>
          <t>Les Mystères du Nautilus</t>
        </is>
      </c>
      <c r="F26859" s="8" t="inlineStr">
        <is>
          <t>STANDBY</t>
        </is>
      </c>
      <c r="G26859" s="8" t="n">
        <v>5</v>
      </c>
      <c r="H26859" s="8" t="inlineStr">
        <is>
          <t>OPERATING</t>
        </is>
      </c>
    </row>
    <row r="26860">
      <c r="A26860" s="8" t="inlineStr">
        <is>
          <t>2026-08-05</t>
        </is>
      </c>
      <c r="B26860" s="8" t="n">
        <v>20</v>
      </c>
      <c r="C26860" s="8" t="n">
        <v>46</v>
      </c>
      <c r="D26860" s="8" t="inlineStr">
        <is>
          <t>Disneyland Park</t>
        </is>
      </c>
      <c r="E26860" s="8" t="inlineStr">
        <is>
          <t>Mickey’s PhilharMagic</t>
        </is>
      </c>
      <c r="F26860" s="8" t="inlineStr">
        <is>
          <t>STANDBY</t>
        </is>
      </c>
      <c r="G26860" s="8" t="n">
        <v>0</v>
      </c>
      <c r="H26860" s="8" t="inlineStr">
        <is>
          <t>CLOSED</t>
        </is>
      </c>
    </row>
    <row r="26861">
      <c r="A26861" s="8" t="inlineStr">
        <is>
          <t>2026-08-05</t>
        </is>
      </c>
      <c r="B26861" s="8" t="n">
        <v>20</v>
      </c>
      <c r="C26861" s="8" t="n">
        <v>46</v>
      </c>
      <c r="D26861" s="8" t="inlineStr">
        <is>
          <t>Disneyland Park</t>
        </is>
      </c>
      <c r="E26861" s="8" t="inlineStr">
        <is>
          <t>Orbitron®</t>
        </is>
      </c>
      <c r="F26861" s="8" t="inlineStr">
        <is>
          <t>STANDBY</t>
        </is>
      </c>
      <c r="G26861" s="8" t="n">
        <v>45</v>
      </c>
      <c r="H26861" s="8" t="inlineStr">
        <is>
          <t>OPERATING</t>
        </is>
      </c>
    </row>
    <row r="26862">
      <c r="A26862" s="8" t="inlineStr">
        <is>
          <t>2026-08-05</t>
        </is>
      </c>
      <c r="B26862" s="8" t="n">
        <v>20</v>
      </c>
      <c r="C26862" s="8" t="n">
        <v>46</v>
      </c>
      <c r="D26862" s="8" t="inlineStr">
        <is>
          <t>Disneyland Park</t>
        </is>
      </c>
      <c r="E26862" s="8" t="inlineStr">
        <is>
          <t>Star Tours: The Adventures Continue*</t>
        </is>
      </c>
      <c r="F26862" s="8" t="inlineStr">
        <is>
          <t>STANDBY</t>
        </is>
      </c>
      <c r="G26862" s="8" t="n">
        <v>5</v>
      </c>
      <c r="H26862" s="8" t="inlineStr">
        <is>
          <t>OPERATING</t>
        </is>
      </c>
    </row>
    <row r="26863">
      <c r="A26863" s="8" t="inlineStr">
        <is>
          <t>2026-08-05</t>
        </is>
      </c>
      <c r="B26863" s="8" t="n">
        <v>20</v>
      </c>
      <c r="C26863" s="8" t="n">
        <v>46</v>
      </c>
      <c r="D26863" s="8" t="inlineStr">
        <is>
          <t>Disneyland Park</t>
        </is>
      </c>
      <c r="E26863" s="8" t="inlineStr">
        <is>
          <t>Star Wars Hyperspace Mountain</t>
        </is>
      </c>
      <c r="F26863" s="8" t="inlineStr">
        <is>
          <t>STANDBY</t>
        </is>
      </c>
      <c r="G26863" s="8" t="n">
        <v>30</v>
      </c>
      <c r="H26863" s="8" t="inlineStr">
        <is>
          <t>OPERATING</t>
        </is>
      </c>
    </row>
    <row r="26864">
      <c r="A26864" s="8" t="inlineStr">
        <is>
          <t>2026-08-05</t>
        </is>
      </c>
      <c r="B26864" s="8" t="n">
        <v>20</v>
      </c>
      <c r="C26864" s="8" t="n">
        <v>46</v>
      </c>
      <c r="D26864" s="8" t="inlineStr">
        <is>
          <t>Disneyland Park</t>
        </is>
      </c>
      <c r="E26864" s="8" t="inlineStr">
        <is>
          <t>Star Wars Hyperspace Mountain Single Rider</t>
        </is>
      </c>
      <c r="F26864" s="8" t="inlineStr">
        <is>
          <t>STANDBY</t>
        </is>
      </c>
      <c r="G26864" s="8" t="n">
        <v>0</v>
      </c>
      <c r="H26864" s="8" t="inlineStr">
        <is>
          <t>OPERATING</t>
        </is>
      </c>
    </row>
    <row r="26865">
      <c r="A26865" s="8" t="inlineStr">
        <is>
          <t>2026-08-05</t>
        </is>
      </c>
      <c r="B26865" s="8" t="n">
        <v>20</v>
      </c>
      <c r="C26865" s="8" t="n">
        <v>46</v>
      </c>
      <c r="D26865" s="8" t="inlineStr">
        <is>
          <t>Disneyland Park</t>
        </is>
      </c>
      <c r="E26865" s="8" t="inlineStr">
        <is>
          <t>Welcome to Starport: A Star Wars Encounter</t>
        </is>
      </c>
      <c r="F26865" s="8" t="inlineStr">
        <is>
          <t>STANDBY</t>
        </is>
      </c>
      <c r="G26865" s="8" t="n">
        <v>0</v>
      </c>
      <c r="H26865" s="8" t="inlineStr">
        <is>
          <t>CLOSED</t>
        </is>
      </c>
    </row>
    <row r="26866">
      <c r="A26866" s="8" t="inlineStr">
        <is>
          <t>2026-08-05</t>
        </is>
      </c>
      <c r="B26866" s="8" t="n">
        <v>20</v>
      </c>
      <c r="C26866" s="8" t="n">
        <v>46</v>
      </c>
      <c r="D26866" s="8" t="inlineStr">
        <is>
          <t>Disneyland Park</t>
        </is>
      </c>
      <c r="E26866" s="8" t="inlineStr">
        <is>
          <t>"it's a small world"</t>
        </is>
      </c>
      <c r="F26866" s="8" t="inlineStr">
        <is>
          <t>STANDBY</t>
        </is>
      </c>
      <c r="G26866" s="8" t="n">
        <v>5</v>
      </c>
      <c r="H26866" s="8" t="inlineStr">
        <is>
          <t>OPERATING</t>
        </is>
      </c>
    </row>
    <row r="26867">
      <c r="A26867" s="8" t="inlineStr">
        <is>
          <t>2026-08-05</t>
        </is>
      </c>
      <c r="B26867" s="8" t="n">
        <v>20</v>
      </c>
      <c r="C26867" s="8" t="n">
        <v>46</v>
      </c>
      <c r="D26867" s="8" t="inlineStr">
        <is>
          <t>Disneyland Park</t>
        </is>
      </c>
      <c r="E26867" s="8" t="inlineStr">
        <is>
          <t>Alice's Curious Labyrinth</t>
        </is>
      </c>
      <c r="F26867" s="8" t="inlineStr">
        <is>
          <t>STANDBY</t>
        </is>
      </c>
      <c r="G26867" s="8" t="n">
        <v>5</v>
      </c>
      <c r="H26867" s="8" t="inlineStr">
        <is>
          <t>OPERATING</t>
        </is>
      </c>
    </row>
    <row r="26868">
      <c r="A26868" s="8" t="inlineStr">
        <is>
          <t>2026-08-05</t>
        </is>
      </c>
      <c r="B26868" s="8" t="n">
        <v>20</v>
      </c>
      <c r="C26868" s="8" t="n">
        <v>46</v>
      </c>
      <c r="D26868" s="8" t="inlineStr">
        <is>
          <t>Disneyland Park</t>
        </is>
      </c>
      <c r="E26868" s="8" t="inlineStr">
        <is>
          <t>Blanche-Neige et les Sept Nains®</t>
        </is>
      </c>
      <c r="F26868" s="8" t="inlineStr">
        <is>
          <t>STANDBY</t>
        </is>
      </c>
      <c r="G26868" s="8" t="n">
        <v>10</v>
      </c>
      <c r="H26868" s="8" t="inlineStr">
        <is>
          <t>OPERATING</t>
        </is>
      </c>
    </row>
    <row r="26869">
      <c r="A26869" s="8" t="inlineStr">
        <is>
          <t>2026-08-05</t>
        </is>
      </c>
      <c r="B26869" s="8" t="n">
        <v>20</v>
      </c>
      <c r="C26869" s="8" t="n">
        <v>46</v>
      </c>
      <c r="D26869" s="8" t="inlineStr">
        <is>
          <t>Disneyland Park</t>
        </is>
      </c>
      <c r="E26869" s="8" t="inlineStr">
        <is>
          <t>Casey Jr. – le Petit Train du Cirque</t>
        </is>
      </c>
      <c r="F26869" s="8" t="inlineStr">
        <is>
          <t>STANDBY</t>
        </is>
      </c>
      <c r="G26869" s="8" t="n">
        <v>25</v>
      </c>
      <c r="H26869" s="8" t="inlineStr">
        <is>
          <t>OPERATING</t>
        </is>
      </c>
    </row>
    <row r="26870">
      <c r="A26870" s="8" t="inlineStr">
        <is>
          <t>2026-08-05</t>
        </is>
      </c>
      <c r="B26870" s="8" t="n">
        <v>20</v>
      </c>
      <c r="C26870" s="8" t="n">
        <v>46</v>
      </c>
      <c r="D26870" s="8" t="inlineStr">
        <is>
          <t>Disneyland Park</t>
        </is>
      </c>
      <c r="E26870" s="8" t="inlineStr">
        <is>
          <t>Disneyland Railroad Fantasyland Station</t>
        </is>
      </c>
      <c r="F26870" s="8" t="inlineStr">
        <is>
          <t>STANDBY</t>
        </is>
      </c>
      <c r="G26870" s="8" t="n">
        <v>0</v>
      </c>
      <c r="H26870" s="8" t="inlineStr">
        <is>
          <t>CLOSED</t>
        </is>
      </c>
    </row>
    <row r="26871">
      <c r="A26871" s="8" t="inlineStr">
        <is>
          <t>2026-08-05</t>
        </is>
      </c>
      <c r="B26871" s="8" t="n">
        <v>20</v>
      </c>
      <c r="C26871" s="8" t="n">
        <v>46</v>
      </c>
      <c r="D26871" s="8" t="inlineStr">
        <is>
          <t>Disneyland Park</t>
        </is>
      </c>
      <c r="E26871" s="8" t="inlineStr">
        <is>
          <t>Disneyland Railroad Main Street Station</t>
        </is>
      </c>
      <c r="F26871" s="8" t="inlineStr">
        <is>
          <t>STANDBY</t>
        </is>
      </c>
      <c r="G26871" s="8" t="n">
        <v>0</v>
      </c>
      <c r="H26871" s="8" t="inlineStr">
        <is>
          <t>CLOSED</t>
        </is>
      </c>
    </row>
    <row r="26872">
      <c r="A26872" s="8" t="inlineStr">
        <is>
          <t>2026-08-05</t>
        </is>
      </c>
      <c r="B26872" s="8" t="n">
        <v>20</v>
      </c>
      <c r="C26872" s="8" t="n">
        <v>46</v>
      </c>
      <c r="D26872" s="8" t="inlineStr">
        <is>
          <t>Disneyland Park</t>
        </is>
      </c>
      <c r="E26872" s="8" t="inlineStr">
        <is>
          <t>Dumbo the Flying Elephant</t>
        </is>
      </c>
      <c r="F26872" s="8" t="inlineStr">
        <is>
          <t>STANDBY</t>
        </is>
      </c>
      <c r="G26872" s="8" t="n">
        <v>35</v>
      </c>
      <c r="H26872" s="8" t="inlineStr">
        <is>
          <t>OPERATING</t>
        </is>
      </c>
    </row>
    <row r="26873">
      <c r="A26873" s="8" t="inlineStr">
        <is>
          <t>2026-08-05</t>
        </is>
      </c>
      <c r="B26873" s="8" t="n">
        <v>20</v>
      </c>
      <c r="C26873" s="8" t="n">
        <v>46</v>
      </c>
      <c r="D26873" s="8" t="inlineStr">
        <is>
          <t>Disneyland Park</t>
        </is>
      </c>
      <c r="E26873" s="8" t="inlineStr">
        <is>
          <t>La Tanière du Dragon</t>
        </is>
      </c>
      <c r="F26873" s="8" t="inlineStr">
        <is>
          <t>STANDBY</t>
        </is>
      </c>
      <c r="G26873" s="8" t="n">
        <v>0</v>
      </c>
      <c r="H26873" s="8" t="inlineStr">
        <is>
          <t>OPERATING</t>
        </is>
      </c>
    </row>
    <row r="26874">
      <c r="A26874" s="8" t="inlineStr">
        <is>
          <t>2026-08-05</t>
        </is>
      </c>
      <c r="B26874" s="8" t="n">
        <v>20</v>
      </c>
      <c r="C26874" s="8" t="n">
        <v>46</v>
      </c>
      <c r="D26874" s="8" t="inlineStr">
        <is>
          <t>Disneyland Park</t>
        </is>
      </c>
      <c r="E26874" s="8" t="inlineStr">
        <is>
          <t>Le Carrousel de Lancelot</t>
        </is>
      </c>
      <c r="F26874" s="8" t="inlineStr">
        <is>
          <t>STANDBY</t>
        </is>
      </c>
      <c r="G26874" s="8" t="n">
        <v>15</v>
      </c>
      <c r="H26874" s="8" t="inlineStr">
        <is>
          <t>OPERATING</t>
        </is>
      </c>
    </row>
    <row r="26875">
      <c r="A26875" s="8" t="inlineStr">
        <is>
          <t>2026-08-05</t>
        </is>
      </c>
      <c r="B26875" s="8" t="n">
        <v>20</v>
      </c>
      <c r="C26875" s="8" t="n">
        <v>46</v>
      </c>
      <c r="D26875" s="8" t="inlineStr">
        <is>
          <t>Disneyland Park</t>
        </is>
      </c>
      <c r="E26875" s="8" t="inlineStr">
        <is>
          <t>Le Pays des Contes de Fées, presented by Vittel</t>
        </is>
      </c>
      <c r="F26875" s="8" t="inlineStr">
        <is>
          <t>STANDBY</t>
        </is>
      </c>
      <c r="G26875" s="8" t="n">
        <v>5</v>
      </c>
      <c r="H26875" s="8" t="inlineStr">
        <is>
          <t>OPERATING</t>
        </is>
      </c>
    </row>
    <row r="26876">
      <c r="A26876" s="8" t="inlineStr">
        <is>
          <t>2026-08-05</t>
        </is>
      </c>
      <c r="B26876" s="8" t="n">
        <v>20</v>
      </c>
      <c r="C26876" s="8" t="n">
        <v>46</v>
      </c>
      <c r="D26876" s="8" t="inlineStr">
        <is>
          <t>Disneyland Park</t>
        </is>
      </c>
      <c r="E26876" s="8" t="inlineStr">
        <is>
          <t>Les Voyages de Pinocchio</t>
        </is>
      </c>
      <c r="F26876" s="8" t="inlineStr">
        <is>
          <t>STANDBY</t>
        </is>
      </c>
      <c r="G26876" s="8" t="n">
        <v>25</v>
      </c>
      <c r="H26876" s="8" t="inlineStr">
        <is>
          <t>OPERATING</t>
        </is>
      </c>
    </row>
    <row r="26877">
      <c r="A26877" s="8" t="inlineStr">
        <is>
          <t>2026-08-05</t>
        </is>
      </c>
      <c r="B26877" s="8" t="n">
        <v>20</v>
      </c>
      <c r="C26877" s="8" t="n">
        <v>46</v>
      </c>
      <c r="D26877" s="8" t="inlineStr">
        <is>
          <t>Disneyland Park</t>
        </is>
      </c>
      <c r="E26877" s="8" t="inlineStr">
        <is>
          <t>Mad Hatter's Tea Cups</t>
        </is>
      </c>
      <c r="F26877" s="8" t="inlineStr">
        <is>
          <t>STANDBY</t>
        </is>
      </c>
      <c r="G26877" s="8" t="n">
        <v>5</v>
      </c>
      <c r="H26877" s="8" t="inlineStr">
        <is>
          <t>OPERATING</t>
        </is>
      </c>
    </row>
    <row r="26878">
      <c r="A26878" s="8" t="inlineStr">
        <is>
          <t>2026-08-05</t>
        </is>
      </c>
      <c r="B26878" s="8" t="n">
        <v>20</v>
      </c>
      <c r="C26878" s="8" t="n">
        <v>46</v>
      </c>
      <c r="D26878" s="8" t="inlineStr">
        <is>
          <t>Disneyland Park</t>
        </is>
      </c>
      <c r="E26878" s="8" t="inlineStr">
        <is>
          <t>Meet Mickey Mouse</t>
        </is>
      </c>
      <c r="F26878" s="8" t="inlineStr">
        <is>
          <t>STANDBY</t>
        </is>
      </c>
      <c r="G26878" s="8" t="n">
        <v>0</v>
      </c>
      <c r="H26878" s="8" t="inlineStr">
        <is>
          <t>CLOSED</t>
        </is>
      </c>
    </row>
    <row r="26879">
      <c r="A26879" s="8" t="inlineStr">
        <is>
          <t>2026-08-05</t>
        </is>
      </c>
      <c r="B26879" s="8" t="n">
        <v>20</v>
      </c>
      <c r="C26879" s="8" t="n">
        <v>46</v>
      </c>
      <c r="D26879" s="8" t="inlineStr">
        <is>
          <t>Disneyland Park</t>
        </is>
      </c>
      <c r="E26879" s="8" t="inlineStr">
        <is>
          <t>Peter Pan's Flight</t>
        </is>
      </c>
      <c r="F26879" s="8" t="inlineStr">
        <is>
          <t>STANDBY</t>
        </is>
      </c>
      <c r="G26879" s="8" t="n">
        <v>65</v>
      </c>
      <c r="H26879" s="8" t="inlineStr">
        <is>
          <t>OPERATING</t>
        </is>
      </c>
    </row>
    <row r="26880">
      <c r="A26880" s="8" t="inlineStr">
        <is>
          <t>2026-08-05</t>
        </is>
      </c>
      <c r="B26880" s="8" t="n">
        <v>20</v>
      </c>
      <c r="C26880" s="8" t="n">
        <v>46</v>
      </c>
      <c r="D26880" s="8" t="inlineStr">
        <is>
          <t>Disneyland Park</t>
        </is>
      </c>
      <c r="E26880" s="8" t="inlineStr">
        <is>
          <t>Princess Pavilion</t>
        </is>
      </c>
      <c r="F26880" s="8" t="inlineStr">
        <is>
          <t>STANDBY</t>
        </is>
      </c>
      <c r="G26880" s="8" t="n">
        <v>0</v>
      </c>
      <c r="H26880" s="8" t="inlineStr">
        <is>
          <t>CLOSED</t>
        </is>
      </c>
    </row>
    <row r="26881">
      <c r="A26881" s="8" t="inlineStr">
        <is>
          <t>2026-08-05</t>
        </is>
      </c>
      <c r="B26881" s="8" t="n">
        <v>20</v>
      </c>
      <c r="C26881" s="8" t="n">
        <v>46</v>
      </c>
      <c r="D26881" s="8" t="inlineStr">
        <is>
          <t>Disneyland Park</t>
        </is>
      </c>
      <c r="E26881" s="8" t="inlineStr">
        <is>
          <t>Big Thunder Mountain</t>
        </is>
      </c>
      <c r="F26881" s="8" t="inlineStr">
        <is>
          <t>STANDBY</t>
        </is>
      </c>
      <c r="G26881" s="8" t="n">
        <v>85</v>
      </c>
      <c r="H26881" s="8" t="inlineStr">
        <is>
          <t>OPERATING</t>
        </is>
      </c>
    </row>
    <row r="26882">
      <c r="A26882" s="8" t="inlineStr">
        <is>
          <t>2026-08-05</t>
        </is>
      </c>
      <c r="B26882" s="8" t="n">
        <v>20</v>
      </c>
      <c r="C26882" s="8" t="n">
        <v>46</v>
      </c>
      <c r="D26882" s="8" t="inlineStr">
        <is>
          <t>Disneyland Park</t>
        </is>
      </c>
      <c r="E26882" s="8" t="inlineStr">
        <is>
          <t>Disneyland Railroad Frontierland Depot</t>
        </is>
      </c>
      <c r="F26882" s="8" t="inlineStr">
        <is>
          <t>STANDBY</t>
        </is>
      </c>
      <c r="G26882" s="8" t="n">
        <v>0</v>
      </c>
      <c r="H26882" s="8" t="inlineStr">
        <is>
          <t>CLOSED</t>
        </is>
      </c>
    </row>
    <row r="26883">
      <c r="A26883" s="8" t="inlineStr">
        <is>
          <t>2026-08-05</t>
        </is>
      </c>
      <c r="B26883" s="8" t="n">
        <v>20</v>
      </c>
      <c r="C26883" s="8" t="n">
        <v>46</v>
      </c>
      <c r="D26883" s="8" t="inlineStr">
        <is>
          <t>Disneyland Park</t>
        </is>
      </c>
      <c r="E26883" s="8" t="inlineStr">
        <is>
          <t>Frontierland Playground</t>
        </is>
      </c>
      <c r="F26883" s="8" t="inlineStr">
        <is>
          <t>STANDBY</t>
        </is>
      </c>
      <c r="G26883" s="8" t="n">
        <v>0</v>
      </c>
      <c r="H26883" s="8" t="inlineStr">
        <is>
          <t>OPERATING</t>
        </is>
      </c>
    </row>
    <row r="26884">
      <c r="A26884" s="8" t="inlineStr">
        <is>
          <t>2026-08-05</t>
        </is>
      </c>
      <c r="B26884" s="8" t="n">
        <v>20</v>
      </c>
      <c r="C26884" s="8" t="n">
        <v>46</v>
      </c>
      <c r="D26884" s="8" t="inlineStr">
        <is>
          <t>Disneyland Park</t>
        </is>
      </c>
      <c r="E26884" s="8" t="inlineStr">
        <is>
          <t>Phantom Manor</t>
        </is>
      </c>
      <c r="F26884" s="8" t="inlineStr">
        <is>
          <t>STANDBY</t>
        </is>
      </c>
      <c r="G26884" s="8" t="n">
        <v>5</v>
      </c>
      <c r="H26884" s="8" t="inlineStr">
        <is>
          <t>OPERATING</t>
        </is>
      </c>
    </row>
    <row r="26885">
      <c r="A26885" s="8" t="inlineStr">
        <is>
          <t>2026-08-05</t>
        </is>
      </c>
      <c r="B26885" s="8" t="n">
        <v>20</v>
      </c>
      <c r="C26885" s="8" t="n">
        <v>46</v>
      </c>
      <c r="D26885" s="8" t="inlineStr">
        <is>
          <t>Disneyland Park</t>
        </is>
      </c>
      <c r="E26885" s="8" t="inlineStr">
        <is>
          <t>River Rogue Keelboats</t>
        </is>
      </c>
      <c r="F26885" s="8" t="inlineStr">
        <is>
          <t>STANDBY</t>
        </is>
      </c>
      <c r="G26885" s="8" t="n">
        <v>0</v>
      </c>
      <c r="H26885" s="8" t="inlineStr">
        <is>
          <t>CLOSED</t>
        </is>
      </c>
    </row>
    <row r="26886">
      <c r="A26886" s="8" t="inlineStr">
        <is>
          <t>2026-08-05</t>
        </is>
      </c>
      <c r="B26886" s="8" t="n">
        <v>20</v>
      </c>
      <c r="C26886" s="8" t="n">
        <v>46</v>
      </c>
      <c r="D26886" s="8" t="inlineStr">
        <is>
          <t>Disneyland Park</t>
        </is>
      </c>
      <c r="E26886" s="8" t="inlineStr">
        <is>
          <t>Rustler Roundup Shootin' Gallery</t>
        </is>
      </c>
      <c r="F26886" s="8" t="inlineStr">
        <is>
          <t>STANDBY</t>
        </is>
      </c>
      <c r="G26886" s="8" t="n">
        <v>0</v>
      </c>
      <c r="H26886" s="8" t="inlineStr">
        <is>
          <t>OPERATING</t>
        </is>
      </c>
    </row>
    <row r="26887">
      <c r="A26887" s="8" t="inlineStr">
        <is>
          <t>2026-08-05</t>
        </is>
      </c>
      <c r="B26887" s="8" t="n">
        <v>20</v>
      </c>
      <c r="C26887" s="8" t="n">
        <v>46</v>
      </c>
      <c r="D26887" s="8" t="inlineStr">
        <is>
          <t>Disneyland Park</t>
        </is>
      </c>
      <c r="E26887" s="8" t="inlineStr">
        <is>
          <t>Thunder Mesa Riverboat Landing</t>
        </is>
      </c>
      <c r="F26887" s="8" t="inlineStr">
        <is>
          <t>STANDBY</t>
        </is>
      </c>
      <c r="G26887" s="8" t="n">
        <v>0</v>
      </c>
      <c r="H26887" s="8" t="inlineStr">
        <is>
          <t>CLOSED</t>
        </is>
      </c>
    </row>
    <row r="26888">
      <c r="A26888" s="8" t="inlineStr">
        <is>
          <t>2026-08-05</t>
        </is>
      </c>
      <c r="B26888" s="8" t="n">
        <v>20</v>
      </c>
      <c r="C26888" s="8" t="n">
        <v>46</v>
      </c>
      <c r="D26888" s="8" t="inlineStr">
        <is>
          <t>Disneyland Park</t>
        </is>
      </c>
      <c r="E26888" s="8" t="inlineStr">
        <is>
          <t>Disneyland Railroad Main Street Station</t>
        </is>
      </c>
      <c r="F26888" s="8" t="inlineStr">
        <is>
          <t>STANDBY</t>
        </is>
      </c>
      <c r="G26888" s="8" t="n">
        <v>0</v>
      </c>
      <c r="H26888" s="8" t="inlineStr">
        <is>
          <t>CLOSED</t>
        </is>
      </c>
    </row>
    <row r="26889">
      <c r="A26889" s="8" t="inlineStr">
        <is>
          <t>2026-08-05</t>
        </is>
      </c>
      <c r="B26889" s="8" t="n">
        <v>20</v>
      </c>
      <c r="C26889" s="8" t="n">
        <v>46</v>
      </c>
      <c r="D26889" s="8" t="inlineStr">
        <is>
          <t>Disneyland Park</t>
        </is>
      </c>
      <c r="E26889" s="8" t="inlineStr">
        <is>
          <t>Main Street Vehicles</t>
        </is>
      </c>
      <c r="F26889" s="8" t="inlineStr">
        <is>
          <t>STANDBY</t>
        </is>
      </c>
      <c r="G26889" s="8" t="n">
        <v>0</v>
      </c>
      <c r="H26889" s="8" t="inlineStr">
        <is>
          <t>CLOSED</t>
        </is>
      </c>
    </row>
    <row r="26890">
      <c r="A26890" s="8" t="inlineStr">
        <is>
          <t>2026-08-05</t>
        </is>
      </c>
      <c r="B26890" s="8" t="n">
        <v>20</v>
      </c>
      <c r="C26890" s="8" t="n">
        <v>46</v>
      </c>
      <c r="D26890" s="8" t="inlineStr">
        <is>
          <t>Disney Adventure World</t>
        </is>
      </c>
      <c r="E26890" s="8" t="inlineStr">
        <is>
          <t>Avengers Assemble: Flight Force</t>
        </is>
      </c>
      <c r="F26890" s="8" t="inlineStr">
        <is>
          <t>STANDBY</t>
        </is>
      </c>
      <c r="G26890" s="8" t="n">
        <v>10</v>
      </c>
      <c r="H26890" s="8" t="inlineStr">
        <is>
          <t>OPERATING</t>
        </is>
      </c>
    </row>
    <row r="26891">
      <c r="A26891" s="8" t="inlineStr">
        <is>
          <t>2026-08-05</t>
        </is>
      </c>
      <c r="B26891" s="8" t="n">
        <v>20</v>
      </c>
      <c r="C26891" s="8" t="n">
        <v>46</v>
      </c>
      <c r="D26891" s="8" t="inlineStr">
        <is>
          <t>Disney Adventure World</t>
        </is>
      </c>
      <c r="E26891" s="8" t="inlineStr">
        <is>
          <t>Avengers Assemble: Flight Force Single Rider</t>
        </is>
      </c>
      <c r="F26891" s="8" t="inlineStr">
        <is>
          <t>STANDBY</t>
        </is>
      </c>
      <c r="G26891" s="8" t="n">
        <v>5</v>
      </c>
      <c r="H26891" s="8" t="inlineStr">
        <is>
          <t>OPERATING</t>
        </is>
      </c>
    </row>
    <row r="26892">
      <c r="A26892" s="8" t="inlineStr">
        <is>
          <t>2026-08-05</t>
        </is>
      </c>
      <c r="B26892" s="8" t="n">
        <v>20</v>
      </c>
      <c r="C26892" s="8" t="n">
        <v>46</v>
      </c>
      <c r="D26892" s="8" t="inlineStr">
        <is>
          <t>Disney Adventure World</t>
        </is>
      </c>
      <c r="E26892" s="8" t="inlineStr">
        <is>
          <t>Spider-Man W.E.B. Adventure</t>
        </is>
      </c>
      <c r="F26892" s="8" t="inlineStr">
        <is>
          <t>STANDBY</t>
        </is>
      </c>
      <c r="G26892" s="8" t="n">
        <v>35</v>
      </c>
      <c r="H26892" s="8" t="inlineStr">
        <is>
          <t>OPERATING</t>
        </is>
      </c>
    </row>
    <row r="26893">
      <c r="A26893" s="8" t="inlineStr">
        <is>
          <t>2026-08-05</t>
        </is>
      </c>
      <c r="B26893" s="8" t="n">
        <v>20</v>
      </c>
      <c r="C26893" s="8" t="n">
        <v>46</v>
      </c>
      <c r="D26893" s="8" t="inlineStr">
        <is>
          <t>Disney Adventure World</t>
        </is>
      </c>
      <c r="E26893" s="8" t="inlineStr">
        <is>
          <t>Spider-Man W.E.B. Adventure Single Rider</t>
        </is>
      </c>
      <c r="F26893" s="8" t="inlineStr">
        <is>
          <t>STANDBY</t>
        </is>
      </c>
      <c r="G26893" s="8" t="n">
        <v>15</v>
      </c>
      <c r="H26893" s="8" t="inlineStr">
        <is>
          <t>OPERATING</t>
        </is>
      </c>
    </row>
    <row r="26894">
      <c r="A26894" s="8" t="inlineStr">
        <is>
          <t>2026-08-05</t>
        </is>
      </c>
      <c r="B26894" s="8" t="n">
        <v>20</v>
      </c>
      <c r="C26894" s="8" t="n">
        <v>46</v>
      </c>
      <c r="D26894" s="8" t="inlineStr">
        <is>
          <t>Disney Adventure World</t>
        </is>
      </c>
      <c r="E26894" s="8" t="inlineStr">
        <is>
          <t>The Twilight Zone Tower of Terror</t>
        </is>
      </c>
      <c r="F26894" s="8" t="inlineStr">
        <is>
          <t>STANDBY</t>
        </is>
      </c>
      <c r="G26894" s="8" t="n">
        <v>15</v>
      </c>
      <c r="H26894" s="8" t="inlineStr">
        <is>
          <t>OPERATING</t>
        </is>
      </c>
    </row>
    <row r="26895">
      <c r="A26895" s="8" t="inlineStr">
        <is>
          <t>2026-08-05</t>
        </is>
      </c>
      <c r="B26895" s="8" t="n">
        <v>20</v>
      </c>
      <c r="C26895" s="8" t="n">
        <v>46</v>
      </c>
      <c r="D26895" s="8" t="inlineStr">
        <is>
          <t>Disney Adventure World</t>
        </is>
      </c>
      <c r="E26895" s="8" t="inlineStr">
        <is>
          <t>Cars Quatre Roues Rallye</t>
        </is>
      </c>
      <c r="F26895" s="8" t="inlineStr">
        <is>
          <t>STANDBY</t>
        </is>
      </c>
      <c r="G26895" s="8" t="n">
        <v>5</v>
      </c>
      <c r="H26895" s="8" t="inlineStr">
        <is>
          <t>OPERATING</t>
        </is>
      </c>
    </row>
    <row r="26896">
      <c r="A26896" s="8" t="inlineStr">
        <is>
          <t>2026-08-05</t>
        </is>
      </c>
      <c r="B26896" s="8" t="n">
        <v>20</v>
      </c>
      <c r="C26896" s="8" t="n">
        <v>46</v>
      </c>
      <c r="D26896" s="8" t="inlineStr">
        <is>
          <t>Disney Adventure World</t>
        </is>
      </c>
      <c r="E26896" s="8" t="inlineStr">
        <is>
          <t>Cars ROAD TRIP</t>
        </is>
      </c>
      <c r="F26896" s="8" t="inlineStr">
        <is>
          <t>STANDBY</t>
        </is>
      </c>
      <c r="G26896" s="8" t="n">
        <v>5</v>
      </c>
      <c r="H26896" s="8" t="inlineStr">
        <is>
          <t>OPERATING</t>
        </is>
      </c>
    </row>
    <row r="26897">
      <c r="A26897" s="8" t="inlineStr">
        <is>
          <t>2026-08-05</t>
        </is>
      </c>
      <c r="B26897" s="8" t="n">
        <v>20</v>
      </c>
      <c r="C26897" s="8" t="n">
        <v>46</v>
      </c>
      <c r="D26897" s="8" t="inlineStr">
        <is>
          <t>Disney Adventure World</t>
        </is>
      </c>
      <c r="E26897" s="8" t="inlineStr">
        <is>
          <t>Crush's Coaster</t>
        </is>
      </c>
      <c r="F26897" s="8" t="inlineStr">
        <is>
          <t>STANDBY</t>
        </is>
      </c>
      <c r="G26897" s="8" t="n">
        <v>70</v>
      </c>
      <c r="H26897" s="8" t="inlineStr">
        <is>
          <t>OPERATING</t>
        </is>
      </c>
    </row>
    <row r="26898">
      <c r="A26898" s="8" t="inlineStr">
        <is>
          <t>2026-08-05</t>
        </is>
      </c>
      <c r="B26898" s="8" t="n">
        <v>20</v>
      </c>
      <c r="C26898" s="8" t="n">
        <v>46</v>
      </c>
      <c r="D26898" s="8" t="inlineStr">
        <is>
          <t>Disney Adventure World</t>
        </is>
      </c>
      <c r="E26898" s="8" t="inlineStr">
        <is>
          <t>Crush's Coaster Single Rider</t>
        </is>
      </c>
      <c r="F26898" s="8" t="inlineStr">
        <is>
          <t>STANDBY</t>
        </is>
      </c>
      <c r="G26898" s="8" t="n">
        <v>60</v>
      </c>
      <c r="H26898" s="8" t="inlineStr">
        <is>
          <t>OPERATING</t>
        </is>
      </c>
    </row>
    <row r="26899">
      <c r="A26899" s="8" t="inlineStr">
        <is>
          <t>2026-08-05</t>
        </is>
      </c>
      <c r="B26899" s="8" t="n">
        <v>20</v>
      </c>
      <c r="C26899" s="8" t="n">
        <v>46</v>
      </c>
      <c r="D26899" s="8" t="inlineStr">
        <is>
          <t>Disney Adventure World</t>
        </is>
      </c>
      <c r="E26899" s="8" t="inlineStr">
        <is>
          <t>Les Tapis Volants - Flying Carpets Over Agrabah®</t>
        </is>
      </c>
      <c r="F26899" s="8" t="inlineStr">
        <is>
          <t>STANDBY</t>
        </is>
      </c>
      <c r="G26899" s="8" t="n">
        <v>10</v>
      </c>
      <c r="H26899" s="8" t="inlineStr">
        <is>
          <t>OPERATING</t>
        </is>
      </c>
    </row>
    <row r="26900">
      <c r="A26900" s="8" t="inlineStr">
        <is>
          <t>2026-08-05</t>
        </is>
      </c>
      <c r="B26900" s="8" t="n">
        <v>20</v>
      </c>
      <c r="C26900" s="8" t="n">
        <v>46</v>
      </c>
      <c r="D26900" s="8" t="inlineStr">
        <is>
          <t>Disney Adventure World</t>
        </is>
      </c>
      <c r="E26900" s="8" t="inlineStr">
        <is>
          <t>Ratatouille : L’Aventure Totalement Toquée de Rémy​</t>
        </is>
      </c>
      <c r="F26900" s="8" t="inlineStr">
        <is>
          <t>STANDBY</t>
        </is>
      </c>
      <c r="G26900" s="8" t="n">
        <v>45</v>
      </c>
      <c r="H26900" s="8" t="inlineStr">
        <is>
          <t>OPERATING</t>
        </is>
      </c>
    </row>
    <row r="26901">
      <c r="A26901" s="8" t="inlineStr">
        <is>
          <t>2026-08-05</t>
        </is>
      </c>
      <c r="B26901" s="8" t="n">
        <v>20</v>
      </c>
      <c r="C26901" s="8" t="n">
        <v>46</v>
      </c>
      <c r="D26901" s="8" t="inlineStr">
        <is>
          <t>Disney Adventure World</t>
        </is>
      </c>
      <c r="E26901" s="8" t="inlineStr">
        <is>
          <t>Ratatouille: The Adventure Single Rider</t>
        </is>
      </c>
      <c r="F26901" s="8" t="inlineStr">
        <is>
          <t>STANDBY</t>
        </is>
      </c>
      <c r="G26901" s="8" t="n">
        <v>5</v>
      </c>
      <c r="H26901" s="8" t="inlineStr">
        <is>
          <t>OPERATING</t>
        </is>
      </c>
    </row>
    <row r="26902">
      <c r="A26902" s="8" t="inlineStr">
        <is>
          <t>2026-08-05</t>
        </is>
      </c>
      <c r="B26902" s="8" t="n">
        <v>20</v>
      </c>
      <c r="C26902" s="8" t="n">
        <v>46</v>
      </c>
      <c r="D26902" s="8" t="inlineStr">
        <is>
          <t>Disney Adventure World</t>
        </is>
      </c>
      <c r="E26902" s="8" t="inlineStr">
        <is>
          <t>RC Racer</t>
        </is>
      </c>
      <c r="F26902" s="8" t="inlineStr">
        <is>
          <t>STANDBY</t>
        </is>
      </c>
      <c r="G26902" s="8" t="n">
        <v>35</v>
      </c>
      <c r="H26902" s="8" t="inlineStr">
        <is>
          <t>OPERATING</t>
        </is>
      </c>
    </row>
    <row r="26903">
      <c r="A26903" s="8" t="inlineStr">
        <is>
          <t>2026-08-05</t>
        </is>
      </c>
      <c r="B26903" s="8" t="n">
        <v>20</v>
      </c>
      <c r="C26903" s="8" t="n">
        <v>46</v>
      </c>
      <c r="D26903" s="8" t="inlineStr">
        <is>
          <t>Disney Adventure World</t>
        </is>
      </c>
      <c r="E26903" s="8" t="inlineStr">
        <is>
          <t>RC Racer Single Rider</t>
        </is>
      </c>
      <c r="F26903" s="8" t="inlineStr">
        <is>
          <t>STANDBY</t>
        </is>
      </c>
      <c r="G26903" s="8" t="n">
        <v>20</v>
      </c>
      <c r="H26903" s="8" t="inlineStr">
        <is>
          <t>OPERATING</t>
        </is>
      </c>
    </row>
    <row r="26904">
      <c r="A26904" s="8" t="inlineStr">
        <is>
          <t>2026-08-05</t>
        </is>
      </c>
      <c r="B26904" s="8" t="n">
        <v>20</v>
      </c>
      <c r="C26904" s="8" t="n">
        <v>46</v>
      </c>
      <c r="D26904" s="8" t="inlineStr">
        <is>
          <t>Disney Adventure World</t>
        </is>
      </c>
      <c r="E26904" s="8" t="inlineStr">
        <is>
          <t>Slinky® Dog Zigzag Spin</t>
        </is>
      </c>
      <c r="F26904" s="8" t="inlineStr">
        <is>
          <t>STANDBY</t>
        </is>
      </c>
      <c r="G26904" s="8" t="n">
        <v>5</v>
      </c>
      <c r="H26904" s="8" t="inlineStr">
        <is>
          <t>OPERATING</t>
        </is>
      </c>
    </row>
    <row r="26905">
      <c r="A26905" s="8" t="inlineStr">
        <is>
          <t>2026-08-05</t>
        </is>
      </c>
      <c r="B26905" s="8" t="n">
        <v>20</v>
      </c>
      <c r="C26905" s="8" t="n">
        <v>46</v>
      </c>
      <c r="D26905" s="8" t="inlineStr">
        <is>
          <t>Disney Adventure World</t>
        </is>
      </c>
      <c r="E26905" s="8" t="inlineStr">
        <is>
          <t>Toy Soldiers Parachute Drop</t>
        </is>
      </c>
      <c r="F26905" s="8" t="inlineStr">
        <is>
          <t>STANDBY</t>
        </is>
      </c>
      <c r="G26905" s="8" t="n">
        <v>40</v>
      </c>
      <c r="H26905" s="8" t="inlineStr">
        <is>
          <t>OPERATING</t>
        </is>
      </c>
    </row>
    <row r="26906">
      <c r="A26906" s="8" t="inlineStr">
        <is>
          <t>2026-08-05</t>
        </is>
      </c>
      <c r="B26906" s="8" t="n">
        <v>20</v>
      </c>
      <c r="C26906" s="8" t="n">
        <v>46</v>
      </c>
      <c r="D26906" s="8" t="inlineStr">
        <is>
          <t>Disney Adventure World</t>
        </is>
      </c>
      <c r="E26906" s="8" t="inlineStr">
        <is>
          <t>Toy Soldiers Parachute Drop Single Rider</t>
        </is>
      </c>
      <c r="F26906" s="8" t="inlineStr">
        <is>
          <t>STANDBY</t>
        </is>
      </c>
      <c r="G26906" s="8" t="n">
        <v>25</v>
      </c>
      <c r="H26906" s="8" t="inlineStr">
        <is>
          <t>OPERATING</t>
        </is>
      </c>
    </row>
    <row r="26907">
      <c r="A26907" s="8" t="inlineStr">
        <is>
          <t>2026-08-05</t>
        </is>
      </c>
      <c r="B26907" s="8" t="n">
        <v>20</v>
      </c>
      <c r="C26907" s="8" t="n">
        <v>46</v>
      </c>
      <c r="D26907" s="8" t="inlineStr">
        <is>
          <t>Disney Adventure World</t>
        </is>
      </c>
      <c r="E26907" s="8" t="inlineStr">
        <is>
          <t>Entry to World of Frozen</t>
        </is>
      </c>
      <c r="F26907" s="8" t="inlineStr">
        <is>
          <t>STANDBY</t>
        </is>
      </c>
      <c r="G26907" s="8" t="n">
        <v>0</v>
      </c>
      <c r="H26907" s="8" t="inlineStr">
        <is>
          <t>OPERATING</t>
        </is>
      </c>
    </row>
    <row r="26908">
      <c r="A26908" s="8" t="inlineStr">
        <is>
          <t>2026-08-05</t>
        </is>
      </c>
      <c r="B26908" s="8" t="n">
        <v>20</v>
      </c>
      <c r="C26908" s="8" t="n">
        <v>46</v>
      </c>
      <c r="D26908" s="8" t="inlineStr">
        <is>
          <t>Disney Adventure World</t>
        </is>
      </c>
      <c r="E26908" s="8" t="inlineStr">
        <is>
          <t>Frozen Ever After</t>
        </is>
      </c>
      <c r="F26908" s="8" t="inlineStr">
        <is>
          <t>STANDBY</t>
        </is>
      </c>
      <c r="G26908" s="8" t="n">
        <v>55</v>
      </c>
      <c r="H26908" s="8" t="inlineStr">
        <is>
          <t>OPERATING</t>
        </is>
      </c>
    </row>
    <row r="26909">
      <c r="A26909" s="8" t="inlineStr">
        <is>
          <t>2026-08-05</t>
        </is>
      </c>
      <c r="B26909" s="8" t="n">
        <v>20</v>
      </c>
      <c r="C26909" s="8" t="n">
        <v>46</v>
      </c>
      <c r="D26909" s="8" t="inlineStr">
        <is>
          <t>Disney Adventure World</t>
        </is>
      </c>
      <c r="E26909" s="8" t="inlineStr">
        <is>
          <t>Raiponce Tangled Spin</t>
        </is>
      </c>
      <c r="F26909" s="8" t="inlineStr">
        <is>
          <t>STANDBY</t>
        </is>
      </c>
      <c r="G26909" s="8" t="n">
        <v>5</v>
      </c>
      <c r="H26909" s="8" t="inlineStr">
        <is>
          <t>OPERATING</t>
        </is>
      </c>
    </row>
    <row r="26910">
      <c r="A26910" s="8" t="inlineStr">
        <is>
          <t>2026-08-05</t>
        </is>
      </c>
      <c r="B26910" s="8" t="n">
        <v>21</v>
      </c>
      <c r="C26910" s="8" t="n">
        <v>1</v>
      </c>
      <c r="D26910" s="8" t="inlineStr">
        <is>
          <t>Disneyland Park</t>
        </is>
      </c>
      <c r="E26910" s="8" t="inlineStr">
        <is>
          <t>Adventure Isle</t>
        </is>
      </c>
      <c r="F26910" s="8" t="inlineStr">
        <is>
          <t>STANDBY</t>
        </is>
      </c>
      <c r="G26910" s="8" t="n">
        <v>0</v>
      </c>
      <c r="H26910" s="8" t="inlineStr">
        <is>
          <t>OPERATING</t>
        </is>
      </c>
    </row>
    <row r="26911">
      <c r="A26911" s="8" t="inlineStr">
        <is>
          <t>2026-08-05</t>
        </is>
      </c>
      <c r="B26911" s="8" t="n">
        <v>21</v>
      </c>
      <c r="C26911" s="8" t="n">
        <v>1</v>
      </c>
      <c r="D26911" s="8" t="inlineStr">
        <is>
          <t>Disneyland Park</t>
        </is>
      </c>
      <c r="E26911" s="8" t="inlineStr">
        <is>
          <t>Indiana Jones and the Temple of Peril Single Rider</t>
        </is>
      </c>
      <c r="F26911" s="8" t="inlineStr">
        <is>
          <t>STANDBY</t>
        </is>
      </c>
      <c r="G26911" s="8" t="n">
        <v>5</v>
      </c>
      <c r="H26911" s="8" t="inlineStr">
        <is>
          <t>OPERATING</t>
        </is>
      </c>
    </row>
    <row r="26912">
      <c r="A26912" s="8" t="inlineStr">
        <is>
          <t>2026-08-05</t>
        </is>
      </c>
      <c r="B26912" s="8" t="n">
        <v>21</v>
      </c>
      <c r="C26912" s="8" t="n">
        <v>1</v>
      </c>
      <c r="D26912" s="8" t="inlineStr">
        <is>
          <t>Disneyland Park</t>
        </is>
      </c>
      <c r="E26912" s="8" t="inlineStr">
        <is>
          <t>Indiana Jones™ and the Temple of Peril</t>
        </is>
      </c>
      <c r="F26912" s="8" t="inlineStr">
        <is>
          <t>STANDBY</t>
        </is>
      </c>
      <c r="G26912" s="8" t="n">
        <v>10</v>
      </c>
      <c r="H26912" s="8" t="inlineStr">
        <is>
          <t>OPERATING</t>
        </is>
      </c>
    </row>
    <row r="26913">
      <c r="A26913" s="8" t="inlineStr">
        <is>
          <t>2026-08-05</t>
        </is>
      </c>
      <c r="B26913" s="8" t="n">
        <v>21</v>
      </c>
      <c r="C26913" s="8" t="n">
        <v>1</v>
      </c>
      <c r="D26913" s="8" t="inlineStr">
        <is>
          <t>Disneyland Park</t>
        </is>
      </c>
      <c r="E26913" s="8" t="inlineStr">
        <is>
          <t>La Cabane des Robinson</t>
        </is>
      </c>
      <c r="F26913" s="8" t="inlineStr">
        <is>
          <t>STANDBY</t>
        </is>
      </c>
      <c r="G26913" s="8" t="n">
        <v>5</v>
      </c>
      <c r="H26913" s="8" t="inlineStr">
        <is>
          <t>OPERATING</t>
        </is>
      </c>
    </row>
    <row r="26914">
      <c r="A26914" s="8" t="inlineStr">
        <is>
          <t>2026-08-05</t>
        </is>
      </c>
      <c r="B26914" s="8" t="n">
        <v>21</v>
      </c>
      <c r="C26914" s="8" t="n">
        <v>1</v>
      </c>
      <c r="D26914" s="8" t="inlineStr">
        <is>
          <t>Disneyland Park</t>
        </is>
      </c>
      <c r="E26914" s="8" t="inlineStr">
        <is>
          <t>Le Passage Enchanté d'Aladdin</t>
        </is>
      </c>
      <c r="F26914" s="8" t="inlineStr">
        <is>
          <t>STANDBY</t>
        </is>
      </c>
      <c r="G26914" s="8" t="n">
        <v>0</v>
      </c>
      <c r="H26914" s="8" t="inlineStr">
        <is>
          <t>OPERATING</t>
        </is>
      </c>
    </row>
    <row r="26915">
      <c r="A26915" s="8" t="inlineStr">
        <is>
          <t>2026-08-05</t>
        </is>
      </c>
      <c r="B26915" s="8" t="n">
        <v>21</v>
      </c>
      <c r="C26915" s="8" t="n">
        <v>1</v>
      </c>
      <c r="D26915" s="8" t="inlineStr">
        <is>
          <t>Disneyland Park</t>
        </is>
      </c>
      <c r="E26915" s="8" t="inlineStr">
        <is>
          <t>Pirate Galleon</t>
        </is>
      </c>
      <c r="F26915" s="8" t="inlineStr">
        <is>
          <t>STANDBY</t>
        </is>
      </c>
      <c r="G26915" s="8" t="n">
        <v>0</v>
      </c>
      <c r="H26915" s="8" t="inlineStr">
        <is>
          <t>CLOSED</t>
        </is>
      </c>
    </row>
    <row r="26916">
      <c r="A26916" s="8" t="inlineStr">
        <is>
          <t>2026-08-05</t>
        </is>
      </c>
      <c r="B26916" s="8" t="n">
        <v>21</v>
      </c>
      <c r="C26916" s="8" t="n">
        <v>1</v>
      </c>
      <c r="D26916" s="8" t="inlineStr">
        <is>
          <t>Disneyland Park</t>
        </is>
      </c>
      <c r="E26916" s="8" t="inlineStr">
        <is>
          <t>Pirates of the Caribbean</t>
        </is>
      </c>
      <c r="F26916" s="8" t="inlineStr">
        <is>
          <t>STANDBY</t>
        </is>
      </c>
      <c r="G26916" s="8" t="n">
        <v>15</v>
      </c>
      <c r="H26916" s="8" t="inlineStr">
        <is>
          <t>OPERATING</t>
        </is>
      </c>
    </row>
    <row r="26917">
      <c r="A26917" s="8" t="inlineStr">
        <is>
          <t>2026-08-05</t>
        </is>
      </c>
      <c r="B26917" s="8" t="n">
        <v>21</v>
      </c>
      <c r="C26917" s="8" t="n">
        <v>1</v>
      </c>
      <c r="D26917" s="8" t="inlineStr">
        <is>
          <t>Disneyland Park</t>
        </is>
      </c>
      <c r="E26917" s="8" t="inlineStr">
        <is>
          <t>Pirates' Beach</t>
        </is>
      </c>
      <c r="F26917" s="8" t="inlineStr">
        <is>
          <t>STANDBY</t>
        </is>
      </c>
      <c r="G26917" s="8" t="n">
        <v>0</v>
      </c>
      <c r="H26917" s="8" t="inlineStr">
        <is>
          <t>OPERATING</t>
        </is>
      </c>
    </row>
    <row r="26918">
      <c r="A26918" s="8" t="inlineStr">
        <is>
          <t>2026-08-05</t>
        </is>
      </c>
      <c r="B26918" s="8" t="n">
        <v>21</v>
      </c>
      <c r="C26918" s="8" t="n">
        <v>1</v>
      </c>
      <c r="D26918" s="8" t="inlineStr">
        <is>
          <t>Disneyland Park</t>
        </is>
      </c>
      <c r="E26918" s="8" t="inlineStr">
        <is>
          <t>Autopia, presented by Avis</t>
        </is>
      </c>
      <c r="F26918" s="8" t="inlineStr">
        <is>
          <t>STANDBY</t>
        </is>
      </c>
      <c r="G26918" s="8" t="n">
        <v>40</v>
      </c>
      <c r="H26918" s="8" t="inlineStr">
        <is>
          <t>OPERATING</t>
        </is>
      </c>
    </row>
    <row r="26919">
      <c r="A26919" s="8" t="inlineStr">
        <is>
          <t>2026-08-05</t>
        </is>
      </c>
      <c r="B26919" s="8" t="n">
        <v>21</v>
      </c>
      <c r="C26919" s="8" t="n">
        <v>1</v>
      </c>
      <c r="D26919" s="8" t="inlineStr">
        <is>
          <t>Disneyland Park</t>
        </is>
      </c>
      <c r="E26919" s="8" t="inlineStr">
        <is>
          <t>Buzz Lightyear Laser Blast</t>
        </is>
      </c>
      <c r="F26919" s="8" t="inlineStr">
        <is>
          <t>STANDBY</t>
        </is>
      </c>
      <c r="G26919" s="8" t="n">
        <v>35</v>
      </c>
      <c r="H26919" s="8" t="inlineStr">
        <is>
          <t>OPERATING</t>
        </is>
      </c>
    </row>
    <row r="26920">
      <c r="A26920" s="8" t="inlineStr">
        <is>
          <t>2026-08-05</t>
        </is>
      </c>
      <c r="B26920" s="8" t="n">
        <v>21</v>
      </c>
      <c r="C26920" s="8" t="n">
        <v>1</v>
      </c>
      <c r="D26920" s="8" t="inlineStr">
        <is>
          <t>Disneyland Park</t>
        </is>
      </c>
      <c r="E26920" s="8" t="inlineStr">
        <is>
          <t>Disneyland Railroad Discoveryland Station</t>
        </is>
      </c>
      <c r="F26920" s="8" t="inlineStr">
        <is>
          <t>STANDBY</t>
        </is>
      </c>
      <c r="G26920" s="8" t="n">
        <v>0</v>
      </c>
      <c r="H26920" s="8" t="inlineStr">
        <is>
          <t>CLOSED</t>
        </is>
      </c>
    </row>
    <row r="26921">
      <c r="A26921" s="8" t="inlineStr">
        <is>
          <t>2026-08-05</t>
        </is>
      </c>
      <c r="B26921" s="8" t="n">
        <v>21</v>
      </c>
      <c r="C26921" s="8" t="n">
        <v>1</v>
      </c>
      <c r="D26921" s="8" t="inlineStr">
        <is>
          <t>Disneyland Park</t>
        </is>
      </c>
      <c r="E26921" s="8" t="inlineStr">
        <is>
          <t>Les Mystères du Nautilus</t>
        </is>
      </c>
      <c r="F26921" s="8" t="inlineStr">
        <is>
          <t>STANDBY</t>
        </is>
      </c>
      <c r="G26921" s="8" t="n">
        <v>5</v>
      </c>
      <c r="H26921" s="8" t="inlineStr">
        <is>
          <t>OPERATING</t>
        </is>
      </c>
    </row>
    <row r="26922">
      <c r="A26922" s="8" t="inlineStr">
        <is>
          <t>2026-08-05</t>
        </is>
      </c>
      <c r="B26922" s="8" t="n">
        <v>21</v>
      </c>
      <c r="C26922" s="8" t="n">
        <v>1</v>
      </c>
      <c r="D26922" s="8" t="inlineStr">
        <is>
          <t>Disneyland Park</t>
        </is>
      </c>
      <c r="E26922" s="8" t="inlineStr">
        <is>
          <t>Mickey’s PhilharMagic</t>
        </is>
      </c>
      <c r="F26922" s="8" t="inlineStr">
        <is>
          <t>STANDBY</t>
        </is>
      </c>
      <c r="G26922" s="8" t="n">
        <v>0</v>
      </c>
      <c r="H26922" s="8" t="inlineStr">
        <is>
          <t>CLOSED</t>
        </is>
      </c>
    </row>
    <row r="26923">
      <c r="A26923" s="8" t="inlineStr">
        <is>
          <t>2026-08-05</t>
        </is>
      </c>
      <c r="B26923" s="8" t="n">
        <v>21</v>
      </c>
      <c r="C26923" s="8" t="n">
        <v>1</v>
      </c>
      <c r="D26923" s="8" t="inlineStr">
        <is>
          <t>Disneyland Park</t>
        </is>
      </c>
      <c r="E26923" s="8" t="inlineStr">
        <is>
          <t>Orbitron®</t>
        </is>
      </c>
      <c r="F26923" s="8" t="inlineStr">
        <is>
          <t>STANDBY</t>
        </is>
      </c>
      <c r="G26923" s="8" t="n">
        <v>45</v>
      </c>
      <c r="H26923" s="8" t="inlineStr">
        <is>
          <t>OPERATING</t>
        </is>
      </c>
    </row>
    <row r="26924">
      <c r="A26924" s="8" t="inlineStr">
        <is>
          <t>2026-08-05</t>
        </is>
      </c>
      <c r="B26924" s="8" t="n">
        <v>21</v>
      </c>
      <c r="C26924" s="8" t="n">
        <v>1</v>
      </c>
      <c r="D26924" s="8" t="inlineStr">
        <is>
          <t>Disneyland Park</t>
        </is>
      </c>
      <c r="E26924" s="8" t="inlineStr">
        <is>
          <t>Star Tours: The Adventures Continue*</t>
        </is>
      </c>
      <c r="F26924" s="8" t="inlineStr">
        <is>
          <t>STANDBY</t>
        </is>
      </c>
      <c r="G26924" s="8" t="n">
        <v>5</v>
      </c>
      <c r="H26924" s="8" t="inlineStr">
        <is>
          <t>OPERATING</t>
        </is>
      </c>
    </row>
    <row r="26925">
      <c r="A26925" s="8" t="inlineStr">
        <is>
          <t>2026-08-05</t>
        </is>
      </c>
      <c r="B26925" s="8" t="n">
        <v>21</v>
      </c>
      <c r="C26925" s="8" t="n">
        <v>1</v>
      </c>
      <c r="D26925" s="8" t="inlineStr">
        <is>
          <t>Disneyland Park</t>
        </is>
      </c>
      <c r="E26925" s="8" t="inlineStr">
        <is>
          <t>Star Wars Hyperspace Mountain</t>
        </is>
      </c>
      <c r="F26925" s="8" t="inlineStr">
        <is>
          <t>STANDBY</t>
        </is>
      </c>
      <c r="G26925" s="8" t="n">
        <v>30</v>
      </c>
      <c r="H26925" s="8" t="inlineStr">
        <is>
          <t>OPERATING</t>
        </is>
      </c>
    </row>
    <row r="26926">
      <c r="A26926" s="8" t="inlineStr">
        <is>
          <t>2026-08-05</t>
        </is>
      </c>
      <c r="B26926" s="8" t="n">
        <v>21</v>
      </c>
      <c r="C26926" s="8" t="n">
        <v>1</v>
      </c>
      <c r="D26926" s="8" t="inlineStr">
        <is>
          <t>Disneyland Park</t>
        </is>
      </c>
      <c r="E26926" s="8" t="inlineStr">
        <is>
          <t>Star Wars Hyperspace Mountain Single Rider</t>
        </is>
      </c>
      <c r="F26926" s="8" t="inlineStr">
        <is>
          <t>STANDBY</t>
        </is>
      </c>
      <c r="G26926" s="8" t="n">
        <v>0</v>
      </c>
      <c r="H26926" s="8" t="inlineStr">
        <is>
          <t>OPERATING</t>
        </is>
      </c>
    </row>
    <row r="26927">
      <c r="A26927" s="8" t="inlineStr">
        <is>
          <t>2026-08-05</t>
        </is>
      </c>
      <c r="B26927" s="8" t="n">
        <v>21</v>
      </c>
      <c r="C26927" s="8" t="n">
        <v>1</v>
      </c>
      <c r="D26927" s="8" t="inlineStr">
        <is>
          <t>Disneyland Park</t>
        </is>
      </c>
      <c r="E26927" s="8" t="inlineStr">
        <is>
          <t>Welcome to Starport: A Star Wars Encounter</t>
        </is>
      </c>
      <c r="F26927" s="8" t="inlineStr">
        <is>
          <t>STANDBY</t>
        </is>
      </c>
      <c r="G26927" s="8" t="n">
        <v>0</v>
      </c>
      <c r="H26927" s="8" t="inlineStr">
        <is>
          <t>CLOSED</t>
        </is>
      </c>
    </row>
    <row r="26928">
      <c r="A26928" s="8" t="inlineStr">
        <is>
          <t>2026-08-05</t>
        </is>
      </c>
      <c r="B26928" s="8" t="n">
        <v>21</v>
      </c>
      <c r="C26928" s="8" t="n">
        <v>1</v>
      </c>
      <c r="D26928" s="8" t="inlineStr">
        <is>
          <t>Disneyland Park</t>
        </is>
      </c>
      <c r="E26928" s="8" t="inlineStr">
        <is>
          <t>"it's a small world"</t>
        </is>
      </c>
      <c r="F26928" s="8" t="inlineStr">
        <is>
          <t>STANDBY</t>
        </is>
      </c>
      <c r="G26928" s="8" t="n">
        <v>5</v>
      </c>
      <c r="H26928" s="8" t="inlineStr">
        <is>
          <t>OPERATING</t>
        </is>
      </c>
    </row>
    <row r="26929">
      <c r="A26929" s="8" t="inlineStr">
        <is>
          <t>2026-08-05</t>
        </is>
      </c>
      <c r="B26929" s="8" t="n">
        <v>21</v>
      </c>
      <c r="C26929" s="8" t="n">
        <v>1</v>
      </c>
      <c r="D26929" s="8" t="inlineStr">
        <is>
          <t>Disneyland Park</t>
        </is>
      </c>
      <c r="E26929" s="8" t="inlineStr">
        <is>
          <t>Alice's Curious Labyrinth</t>
        </is>
      </c>
      <c r="F26929" s="8" t="inlineStr">
        <is>
          <t>STANDBY</t>
        </is>
      </c>
      <c r="G26929" s="8" t="n">
        <v>0</v>
      </c>
      <c r="H26929" s="8" t="inlineStr">
        <is>
          <t>OPERATING</t>
        </is>
      </c>
    </row>
    <row r="26930">
      <c r="A26930" s="8" t="inlineStr">
        <is>
          <t>2026-08-05</t>
        </is>
      </c>
      <c r="B26930" s="8" t="n">
        <v>21</v>
      </c>
      <c r="C26930" s="8" t="n">
        <v>1</v>
      </c>
      <c r="D26930" s="8" t="inlineStr">
        <is>
          <t>Disneyland Park</t>
        </is>
      </c>
      <c r="E26930" s="8" t="inlineStr">
        <is>
          <t>Blanche-Neige et les Sept Nains®</t>
        </is>
      </c>
      <c r="F26930" s="8" t="inlineStr">
        <is>
          <t>STANDBY</t>
        </is>
      </c>
      <c r="G26930" s="8" t="n">
        <v>10</v>
      </c>
      <c r="H26930" s="8" t="inlineStr">
        <is>
          <t>OPERATING</t>
        </is>
      </c>
    </row>
    <row r="26931">
      <c r="A26931" s="8" t="inlineStr">
        <is>
          <t>2026-08-05</t>
        </is>
      </c>
      <c r="B26931" s="8" t="n">
        <v>21</v>
      </c>
      <c r="C26931" s="8" t="n">
        <v>1</v>
      </c>
      <c r="D26931" s="8" t="inlineStr">
        <is>
          <t>Disneyland Park</t>
        </is>
      </c>
      <c r="E26931" s="8" t="inlineStr">
        <is>
          <t>Casey Jr. – le Petit Train du Cirque</t>
        </is>
      </c>
      <c r="F26931" s="8" t="inlineStr">
        <is>
          <t>STANDBY</t>
        </is>
      </c>
      <c r="G26931" s="8" t="n">
        <v>0</v>
      </c>
      <c r="H26931" s="8" t="inlineStr">
        <is>
          <t>OPERATING</t>
        </is>
      </c>
    </row>
    <row r="26932">
      <c r="A26932" s="8" t="inlineStr">
        <is>
          <t>2026-08-05</t>
        </is>
      </c>
      <c r="B26932" s="8" t="n">
        <v>21</v>
      </c>
      <c r="C26932" s="8" t="n">
        <v>1</v>
      </c>
      <c r="D26932" s="8" t="inlineStr">
        <is>
          <t>Disneyland Park</t>
        </is>
      </c>
      <c r="E26932" s="8" t="inlineStr">
        <is>
          <t>Disneyland Railroad Fantasyland Station</t>
        </is>
      </c>
      <c r="F26932" s="8" t="inlineStr">
        <is>
          <t>STANDBY</t>
        </is>
      </c>
      <c r="G26932" s="8" t="n">
        <v>0</v>
      </c>
      <c r="H26932" s="8" t="inlineStr">
        <is>
          <t>CLOSED</t>
        </is>
      </c>
    </row>
    <row r="26933">
      <c r="A26933" s="8" t="inlineStr">
        <is>
          <t>2026-08-05</t>
        </is>
      </c>
      <c r="B26933" s="8" t="n">
        <v>21</v>
      </c>
      <c r="C26933" s="8" t="n">
        <v>1</v>
      </c>
      <c r="D26933" s="8" t="inlineStr">
        <is>
          <t>Disneyland Park</t>
        </is>
      </c>
      <c r="E26933" s="8" t="inlineStr">
        <is>
          <t>Disneyland Railroad Main Street Station</t>
        </is>
      </c>
      <c r="F26933" s="8" t="inlineStr">
        <is>
          <t>STANDBY</t>
        </is>
      </c>
      <c r="G26933" s="8" t="n">
        <v>0</v>
      </c>
      <c r="H26933" s="8" t="inlineStr">
        <is>
          <t>CLOSED</t>
        </is>
      </c>
    </row>
    <row r="26934">
      <c r="A26934" s="8" t="inlineStr">
        <is>
          <t>2026-08-05</t>
        </is>
      </c>
      <c r="B26934" s="8" t="n">
        <v>21</v>
      </c>
      <c r="C26934" s="8" t="n">
        <v>1</v>
      </c>
      <c r="D26934" s="8" t="inlineStr">
        <is>
          <t>Disneyland Park</t>
        </is>
      </c>
      <c r="E26934" s="8" t="inlineStr">
        <is>
          <t>Dumbo the Flying Elephant</t>
        </is>
      </c>
      <c r="F26934" s="8" t="inlineStr">
        <is>
          <t>STANDBY</t>
        </is>
      </c>
      <c r="G26934" s="8" t="n">
        <v>35</v>
      </c>
      <c r="H26934" s="8" t="inlineStr">
        <is>
          <t>OPERATING</t>
        </is>
      </c>
    </row>
    <row r="26935">
      <c r="A26935" s="8" t="inlineStr">
        <is>
          <t>2026-08-05</t>
        </is>
      </c>
      <c r="B26935" s="8" t="n">
        <v>21</v>
      </c>
      <c r="C26935" s="8" t="n">
        <v>1</v>
      </c>
      <c r="D26935" s="8" t="inlineStr">
        <is>
          <t>Disneyland Park</t>
        </is>
      </c>
      <c r="E26935" s="8" t="inlineStr">
        <is>
          <t>La Tanière du Dragon</t>
        </is>
      </c>
      <c r="F26935" s="8" t="inlineStr">
        <is>
          <t>STANDBY</t>
        </is>
      </c>
      <c r="G26935" s="8" t="n">
        <v>0</v>
      </c>
      <c r="H26935" s="8" t="inlineStr">
        <is>
          <t>CLOSED</t>
        </is>
      </c>
    </row>
    <row r="26936">
      <c r="A26936" s="8" t="inlineStr">
        <is>
          <t>2026-08-05</t>
        </is>
      </c>
      <c r="B26936" s="8" t="n">
        <v>21</v>
      </c>
      <c r="C26936" s="8" t="n">
        <v>1</v>
      </c>
      <c r="D26936" s="8" t="inlineStr">
        <is>
          <t>Disneyland Park</t>
        </is>
      </c>
      <c r="E26936" s="8" t="inlineStr">
        <is>
          <t>Le Carrousel de Lancelot</t>
        </is>
      </c>
      <c r="F26936" s="8" t="inlineStr">
        <is>
          <t>STANDBY</t>
        </is>
      </c>
      <c r="G26936" s="8" t="n">
        <v>15</v>
      </c>
      <c r="H26936" s="8" t="inlineStr">
        <is>
          <t>OPERATING</t>
        </is>
      </c>
    </row>
    <row r="26937">
      <c r="A26937" s="8" t="inlineStr">
        <is>
          <t>2026-08-05</t>
        </is>
      </c>
      <c r="B26937" s="8" t="n">
        <v>21</v>
      </c>
      <c r="C26937" s="8" t="n">
        <v>1</v>
      </c>
      <c r="D26937" s="8" t="inlineStr">
        <is>
          <t>Disneyland Park</t>
        </is>
      </c>
      <c r="E26937" s="8" t="inlineStr">
        <is>
          <t>Le Pays des Contes de Fées, presented by Vittel</t>
        </is>
      </c>
      <c r="F26937" s="8" t="inlineStr">
        <is>
          <t>STANDBY</t>
        </is>
      </c>
      <c r="G26937" s="8" t="n">
        <v>0</v>
      </c>
      <c r="H26937" s="8" t="inlineStr">
        <is>
          <t>OPERATING</t>
        </is>
      </c>
    </row>
    <row r="26938">
      <c r="A26938" s="8" t="inlineStr">
        <is>
          <t>2026-08-05</t>
        </is>
      </c>
      <c r="B26938" s="8" t="n">
        <v>21</v>
      </c>
      <c r="C26938" s="8" t="n">
        <v>1</v>
      </c>
      <c r="D26938" s="8" t="inlineStr">
        <is>
          <t>Disneyland Park</t>
        </is>
      </c>
      <c r="E26938" s="8" t="inlineStr">
        <is>
          <t>Les Voyages de Pinocchio</t>
        </is>
      </c>
      <c r="F26938" s="8" t="inlineStr">
        <is>
          <t>STANDBY</t>
        </is>
      </c>
      <c r="G26938" s="8" t="n">
        <v>15</v>
      </c>
      <c r="H26938" s="8" t="inlineStr">
        <is>
          <t>OPERATING</t>
        </is>
      </c>
    </row>
    <row r="26939">
      <c r="A26939" s="8" t="inlineStr">
        <is>
          <t>2026-08-05</t>
        </is>
      </c>
      <c r="B26939" s="8" t="n">
        <v>21</v>
      </c>
      <c r="C26939" s="8" t="n">
        <v>1</v>
      </c>
      <c r="D26939" s="8" t="inlineStr">
        <is>
          <t>Disneyland Park</t>
        </is>
      </c>
      <c r="E26939" s="8" t="inlineStr">
        <is>
          <t>Mad Hatter's Tea Cups</t>
        </is>
      </c>
      <c r="F26939" s="8" t="inlineStr">
        <is>
          <t>STANDBY</t>
        </is>
      </c>
      <c r="G26939" s="8" t="n">
        <v>5</v>
      </c>
      <c r="H26939" s="8" t="inlineStr">
        <is>
          <t>OPERATING</t>
        </is>
      </c>
    </row>
    <row r="26940">
      <c r="A26940" s="8" t="inlineStr">
        <is>
          <t>2026-08-05</t>
        </is>
      </c>
      <c r="B26940" s="8" t="n">
        <v>21</v>
      </c>
      <c r="C26940" s="8" t="n">
        <v>1</v>
      </c>
      <c r="D26940" s="8" t="inlineStr">
        <is>
          <t>Disneyland Park</t>
        </is>
      </c>
      <c r="E26940" s="8" t="inlineStr">
        <is>
          <t>Meet Mickey Mouse</t>
        </is>
      </c>
      <c r="F26940" s="8" t="inlineStr">
        <is>
          <t>STANDBY</t>
        </is>
      </c>
      <c r="G26940" s="8" t="n">
        <v>0</v>
      </c>
      <c r="H26940" s="8" t="inlineStr">
        <is>
          <t>CLOSED</t>
        </is>
      </c>
    </row>
    <row r="26941">
      <c r="A26941" s="8" t="inlineStr">
        <is>
          <t>2026-08-05</t>
        </is>
      </c>
      <c r="B26941" s="8" t="n">
        <v>21</v>
      </c>
      <c r="C26941" s="8" t="n">
        <v>1</v>
      </c>
      <c r="D26941" s="8" t="inlineStr">
        <is>
          <t>Disneyland Park</t>
        </is>
      </c>
      <c r="E26941" s="8" t="inlineStr">
        <is>
          <t>Peter Pan's Flight</t>
        </is>
      </c>
      <c r="F26941" s="8" t="inlineStr">
        <is>
          <t>STANDBY</t>
        </is>
      </c>
      <c r="G26941" s="8" t="n">
        <v>45</v>
      </c>
      <c r="H26941" s="8" t="inlineStr">
        <is>
          <t>OPERATING</t>
        </is>
      </c>
    </row>
    <row r="26942">
      <c r="A26942" s="8" t="inlineStr">
        <is>
          <t>2026-08-05</t>
        </is>
      </c>
      <c r="B26942" s="8" t="n">
        <v>21</v>
      </c>
      <c r="C26942" s="8" t="n">
        <v>1</v>
      </c>
      <c r="D26942" s="8" t="inlineStr">
        <is>
          <t>Disneyland Park</t>
        </is>
      </c>
      <c r="E26942" s="8" t="inlineStr">
        <is>
          <t>Princess Pavilion</t>
        </is>
      </c>
      <c r="F26942" s="8" t="inlineStr">
        <is>
          <t>STANDBY</t>
        </is>
      </c>
      <c r="G26942" s="8" t="n">
        <v>0</v>
      </c>
      <c r="H26942" s="8" t="inlineStr">
        <is>
          <t>CLOSED</t>
        </is>
      </c>
    </row>
    <row r="26943">
      <c r="A26943" s="8" t="inlineStr">
        <is>
          <t>2026-08-05</t>
        </is>
      </c>
      <c r="B26943" s="8" t="n">
        <v>21</v>
      </c>
      <c r="C26943" s="8" t="n">
        <v>1</v>
      </c>
      <c r="D26943" s="8" t="inlineStr">
        <is>
          <t>Disneyland Park</t>
        </is>
      </c>
      <c r="E26943" s="8" t="inlineStr">
        <is>
          <t>Big Thunder Mountain</t>
        </is>
      </c>
      <c r="F26943" s="8" t="inlineStr">
        <is>
          <t>STANDBY</t>
        </is>
      </c>
      <c r="G26943" s="8" t="n">
        <v>50</v>
      </c>
      <c r="H26943" s="8" t="inlineStr">
        <is>
          <t>OPERATING</t>
        </is>
      </c>
    </row>
    <row r="26944">
      <c r="A26944" s="8" t="inlineStr">
        <is>
          <t>2026-08-05</t>
        </is>
      </c>
      <c r="B26944" s="8" t="n">
        <v>21</v>
      </c>
      <c r="C26944" s="8" t="n">
        <v>1</v>
      </c>
      <c r="D26944" s="8" t="inlineStr">
        <is>
          <t>Disneyland Park</t>
        </is>
      </c>
      <c r="E26944" s="8" t="inlineStr">
        <is>
          <t>Disneyland Railroad Frontierland Depot</t>
        </is>
      </c>
      <c r="F26944" s="8" t="inlineStr">
        <is>
          <t>STANDBY</t>
        </is>
      </c>
      <c r="G26944" s="8" t="n">
        <v>0</v>
      </c>
      <c r="H26944" s="8" t="inlineStr">
        <is>
          <t>CLOSED</t>
        </is>
      </c>
    </row>
    <row r="26945">
      <c r="A26945" s="8" t="inlineStr">
        <is>
          <t>2026-08-05</t>
        </is>
      </c>
      <c r="B26945" s="8" t="n">
        <v>21</v>
      </c>
      <c r="C26945" s="8" t="n">
        <v>1</v>
      </c>
      <c r="D26945" s="8" t="inlineStr">
        <is>
          <t>Disneyland Park</t>
        </is>
      </c>
      <c r="E26945" s="8" t="inlineStr">
        <is>
          <t>Frontierland Playground</t>
        </is>
      </c>
      <c r="F26945" s="8" t="inlineStr">
        <is>
          <t>STANDBY</t>
        </is>
      </c>
      <c r="G26945" s="8" t="n">
        <v>0</v>
      </c>
      <c r="H26945" s="8" t="inlineStr">
        <is>
          <t>OPERATING</t>
        </is>
      </c>
    </row>
    <row r="26946">
      <c r="A26946" s="8" t="inlineStr">
        <is>
          <t>2026-08-05</t>
        </is>
      </c>
      <c r="B26946" s="8" t="n">
        <v>21</v>
      </c>
      <c r="C26946" s="8" t="n">
        <v>1</v>
      </c>
      <c r="D26946" s="8" t="inlineStr">
        <is>
          <t>Disneyland Park</t>
        </is>
      </c>
      <c r="E26946" s="8" t="inlineStr">
        <is>
          <t>Phantom Manor</t>
        </is>
      </c>
      <c r="F26946" s="8" t="inlineStr">
        <is>
          <t>STANDBY</t>
        </is>
      </c>
      <c r="G26946" s="8" t="n">
        <v>5</v>
      </c>
      <c r="H26946" s="8" t="inlineStr">
        <is>
          <t>OPERATING</t>
        </is>
      </c>
    </row>
    <row r="26947">
      <c r="A26947" s="8" t="inlineStr">
        <is>
          <t>2026-08-05</t>
        </is>
      </c>
      <c r="B26947" s="8" t="n">
        <v>21</v>
      </c>
      <c r="C26947" s="8" t="n">
        <v>1</v>
      </c>
      <c r="D26947" s="8" t="inlineStr">
        <is>
          <t>Disneyland Park</t>
        </is>
      </c>
      <c r="E26947" s="8" t="inlineStr">
        <is>
          <t>River Rogue Keelboats</t>
        </is>
      </c>
      <c r="F26947" s="8" t="inlineStr">
        <is>
          <t>STANDBY</t>
        </is>
      </c>
      <c r="G26947" s="8" t="n">
        <v>0</v>
      </c>
      <c r="H26947" s="8" t="inlineStr">
        <is>
          <t>CLOSED</t>
        </is>
      </c>
    </row>
    <row r="26948">
      <c r="A26948" s="8" t="inlineStr">
        <is>
          <t>2026-08-05</t>
        </is>
      </c>
      <c r="B26948" s="8" t="n">
        <v>21</v>
      </c>
      <c r="C26948" s="8" t="n">
        <v>1</v>
      </c>
      <c r="D26948" s="8" t="inlineStr">
        <is>
          <t>Disneyland Park</t>
        </is>
      </c>
      <c r="E26948" s="8" t="inlineStr">
        <is>
          <t>Rustler Roundup Shootin' Gallery</t>
        </is>
      </c>
      <c r="F26948" s="8" t="inlineStr">
        <is>
          <t>STANDBY</t>
        </is>
      </c>
      <c r="G26948" s="8" t="n">
        <v>0</v>
      </c>
      <c r="H26948" s="8" t="inlineStr">
        <is>
          <t>OPERATING</t>
        </is>
      </c>
    </row>
    <row r="26949">
      <c r="A26949" s="8" t="inlineStr">
        <is>
          <t>2026-08-05</t>
        </is>
      </c>
      <c r="B26949" s="8" t="n">
        <v>21</v>
      </c>
      <c r="C26949" s="8" t="n">
        <v>1</v>
      </c>
      <c r="D26949" s="8" t="inlineStr">
        <is>
          <t>Disneyland Park</t>
        </is>
      </c>
      <c r="E26949" s="8" t="inlineStr">
        <is>
          <t>Thunder Mesa Riverboat Landing</t>
        </is>
      </c>
      <c r="F26949" s="8" t="inlineStr">
        <is>
          <t>STANDBY</t>
        </is>
      </c>
      <c r="G26949" s="8" t="n">
        <v>0</v>
      </c>
      <c r="H26949" s="8" t="inlineStr">
        <is>
          <t>CLOSED</t>
        </is>
      </c>
    </row>
    <row r="26950">
      <c r="A26950" s="8" t="inlineStr">
        <is>
          <t>2026-08-05</t>
        </is>
      </c>
      <c r="B26950" s="8" t="n">
        <v>21</v>
      </c>
      <c r="C26950" s="8" t="n">
        <v>1</v>
      </c>
      <c r="D26950" s="8" t="inlineStr">
        <is>
          <t>Disneyland Park</t>
        </is>
      </c>
      <c r="E26950" s="8" t="inlineStr">
        <is>
          <t>Disneyland Railroad Main Street Station</t>
        </is>
      </c>
      <c r="F26950" s="8" t="inlineStr">
        <is>
          <t>STANDBY</t>
        </is>
      </c>
      <c r="G26950" s="8" t="n">
        <v>0</v>
      </c>
      <c r="H26950" s="8" t="inlineStr">
        <is>
          <t>CLOSED</t>
        </is>
      </c>
    </row>
    <row r="26951">
      <c r="A26951" s="8" t="inlineStr">
        <is>
          <t>2026-08-05</t>
        </is>
      </c>
      <c r="B26951" s="8" t="n">
        <v>21</v>
      </c>
      <c r="C26951" s="8" t="n">
        <v>1</v>
      </c>
      <c r="D26951" s="8" t="inlineStr">
        <is>
          <t>Disneyland Park</t>
        </is>
      </c>
      <c r="E26951" s="8" t="inlineStr">
        <is>
          <t>Main Street Vehicles</t>
        </is>
      </c>
      <c r="F26951" s="8" t="inlineStr">
        <is>
          <t>STANDBY</t>
        </is>
      </c>
      <c r="G26951" s="8" t="n">
        <v>0</v>
      </c>
      <c r="H26951" s="8" t="inlineStr">
        <is>
          <t>CLOSED</t>
        </is>
      </c>
    </row>
    <row r="26952">
      <c r="A26952" s="8" t="inlineStr">
        <is>
          <t>2026-08-05</t>
        </is>
      </c>
      <c r="B26952" s="8" t="n">
        <v>21</v>
      </c>
      <c r="C26952" s="8" t="n">
        <v>1</v>
      </c>
      <c r="D26952" s="8" t="inlineStr">
        <is>
          <t>Disney Adventure World</t>
        </is>
      </c>
      <c r="E26952" s="8" t="inlineStr">
        <is>
          <t>Avengers Assemble: Flight Force</t>
        </is>
      </c>
      <c r="F26952" s="8" t="inlineStr">
        <is>
          <t>STANDBY</t>
        </is>
      </c>
      <c r="G26952" s="8" t="n">
        <v>10</v>
      </c>
      <c r="H26952" s="8" t="inlineStr">
        <is>
          <t>OPERATING</t>
        </is>
      </c>
    </row>
    <row r="26953">
      <c r="A26953" s="8" t="inlineStr">
        <is>
          <t>2026-08-05</t>
        </is>
      </c>
      <c r="B26953" s="8" t="n">
        <v>21</v>
      </c>
      <c r="C26953" s="8" t="n">
        <v>1</v>
      </c>
      <c r="D26953" s="8" t="inlineStr">
        <is>
          <t>Disney Adventure World</t>
        </is>
      </c>
      <c r="E26953" s="8" t="inlineStr">
        <is>
          <t>Avengers Assemble: Flight Force Single Rider</t>
        </is>
      </c>
      <c r="F26953" s="8" t="inlineStr">
        <is>
          <t>STANDBY</t>
        </is>
      </c>
      <c r="G26953" s="8" t="n">
        <v>5</v>
      </c>
      <c r="H26953" s="8" t="inlineStr">
        <is>
          <t>OPERATING</t>
        </is>
      </c>
    </row>
    <row r="26954">
      <c r="A26954" s="8" t="inlineStr">
        <is>
          <t>2026-08-05</t>
        </is>
      </c>
      <c r="B26954" s="8" t="n">
        <v>21</v>
      </c>
      <c r="C26954" s="8" t="n">
        <v>1</v>
      </c>
      <c r="D26954" s="8" t="inlineStr">
        <is>
          <t>Disney Adventure World</t>
        </is>
      </c>
      <c r="E26954" s="8" t="inlineStr">
        <is>
          <t>Spider-Man W.E.B. Adventure</t>
        </is>
      </c>
      <c r="F26954" s="8" t="inlineStr">
        <is>
          <t>STANDBY</t>
        </is>
      </c>
      <c r="G26954" s="8" t="n">
        <v>0</v>
      </c>
      <c r="H26954" s="8" t="inlineStr">
        <is>
          <t>CLOSED</t>
        </is>
      </c>
    </row>
    <row r="26955">
      <c r="A26955" s="8" t="inlineStr">
        <is>
          <t>2026-08-05</t>
        </is>
      </c>
      <c r="B26955" s="8" t="n">
        <v>21</v>
      </c>
      <c r="C26955" s="8" t="n">
        <v>1</v>
      </c>
      <c r="D26955" s="8" t="inlineStr">
        <is>
          <t>Disney Adventure World</t>
        </is>
      </c>
      <c r="E26955" s="8" t="inlineStr">
        <is>
          <t>Spider-Man W.E.B. Adventure Single Rider</t>
        </is>
      </c>
      <c r="F26955" s="8" t="inlineStr">
        <is>
          <t>STANDBY</t>
        </is>
      </c>
      <c r="G26955" s="8" t="n">
        <v>0</v>
      </c>
      <c r="H26955" s="8" t="inlineStr">
        <is>
          <t>CLOSED</t>
        </is>
      </c>
    </row>
    <row r="26956">
      <c r="A26956" s="8" t="inlineStr">
        <is>
          <t>2026-08-05</t>
        </is>
      </c>
      <c r="B26956" s="8" t="n">
        <v>21</v>
      </c>
      <c r="C26956" s="8" t="n">
        <v>1</v>
      </c>
      <c r="D26956" s="8" t="inlineStr">
        <is>
          <t>Disney Adventure World</t>
        </is>
      </c>
      <c r="E26956" s="8" t="inlineStr">
        <is>
          <t>The Twilight Zone Tower of Terror</t>
        </is>
      </c>
      <c r="F26956" s="8" t="inlineStr">
        <is>
          <t>STANDBY</t>
        </is>
      </c>
      <c r="G26956" s="8" t="n">
        <v>45</v>
      </c>
      <c r="H26956" s="8" t="inlineStr">
        <is>
          <t>OPERATING</t>
        </is>
      </c>
    </row>
    <row r="26957">
      <c r="A26957" s="8" t="inlineStr">
        <is>
          <t>2026-08-05</t>
        </is>
      </c>
      <c r="B26957" s="8" t="n">
        <v>21</v>
      </c>
      <c r="C26957" s="8" t="n">
        <v>1</v>
      </c>
      <c r="D26957" s="8" t="inlineStr">
        <is>
          <t>Disney Adventure World</t>
        </is>
      </c>
      <c r="E26957" s="8" t="inlineStr">
        <is>
          <t>Cars Quatre Roues Rallye</t>
        </is>
      </c>
      <c r="F26957" s="8" t="inlineStr">
        <is>
          <t>STANDBY</t>
        </is>
      </c>
      <c r="G26957" s="8" t="n">
        <v>5</v>
      </c>
      <c r="H26957" s="8" t="inlineStr">
        <is>
          <t>OPERATING</t>
        </is>
      </c>
    </row>
    <row r="26958">
      <c r="A26958" s="8" t="inlineStr">
        <is>
          <t>2026-08-05</t>
        </is>
      </c>
      <c r="B26958" s="8" t="n">
        <v>21</v>
      </c>
      <c r="C26958" s="8" t="n">
        <v>1</v>
      </c>
      <c r="D26958" s="8" t="inlineStr">
        <is>
          <t>Disney Adventure World</t>
        </is>
      </c>
      <c r="E26958" s="8" t="inlineStr">
        <is>
          <t>Cars ROAD TRIP</t>
        </is>
      </c>
      <c r="F26958" s="8" t="inlineStr">
        <is>
          <t>STANDBY</t>
        </is>
      </c>
      <c r="G26958" s="8" t="n">
        <v>5</v>
      </c>
      <c r="H26958" s="8" t="inlineStr">
        <is>
          <t>OPERATING</t>
        </is>
      </c>
    </row>
    <row r="26959">
      <c r="A26959" s="8" t="inlineStr">
        <is>
          <t>2026-08-05</t>
        </is>
      </c>
      <c r="B26959" s="8" t="n">
        <v>21</v>
      </c>
      <c r="C26959" s="8" t="n">
        <v>1</v>
      </c>
      <c r="D26959" s="8" t="inlineStr">
        <is>
          <t>Disney Adventure World</t>
        </is>
      </c>
      <c r="E26959" s="8" t="inlineStr">
        <is>
          <t>Crush's Coaster</t>
        </is>
      </c>
      <c r="F26959" s="8" t="inlineStr">
        <is>
          <t>STANDBY</t>
        </is>
      </c>
      <c r="G26959" s="8" t="n">
        <v>70</v>
      </c>
      <c r="H26959" s="8" t="inlineStr">
        <is>
          <t>OPERATING</t>
        </is>
      </c>
    </row>
    <row r="26960">
      <c r="A26960" s="8" t="inlineStr">
        <is>
          <t>2026-08-05</t>
        </is>
      </c>
      <c r="B26960" s="8" t="n">
        <v>21</v>
      </c>
      <c r="C26960" s="8" t="n">
        <v>1</v>
      </c>
      <c r="D26960" s="8" t="inlineStr">
        <is>
          <t>Disney Adventure World</t>
        </is>
      </c>
      <c r="E26960" s="8" t="inlineStr">
        <is>
          <t>Crush's Coaster Single Rider</t>
        </is>
      </c>
      <c r="F26960" s="8" t="inlineStr">
        <is>
          <t>STANDBY</t>
        </is>
      </c>
      <c r="G26960" s="8" t="n">
        <v>30</v>
      </c>
      <c r="H26960" s="8" t="inlineStr">
        <is>
          <t>OPERATING</t>
        </is>
      </c>
    </row>
    <row r="26961">
      <c r="A26961" s="8" t="inlineStr">
        <is>
          <t>2026-08-05</t>
        </is>
      </c>
      <c r="B26961" s="8" t="n">
        <v>21</v>
      </c>
      <c r="C26961" s="8" t="n">
        <v>1</v>
      </c>
      <c r="D26961" s="8" t="inlineStr">
        <is>
          <t>Disney Adventure World</t>
        </is>
      </c>
      <c r="E26961" s="8" t="inlineStr">
        <is>
          <t>Les Tapis Volants - Flying Carpets Over Agrabah®</t>
        </is>
      </c>
      <c r="F26961" s="8" t="inlineStr">
        <is>
          <t>STANDBY</t>
        </is>
      </c>
      <c r="G26961" s="8" t="n">
        <v>5</v>
      </c>
      <c r="H26961" s="8" t="inlineStr">
        <is>
          <t>OPERATING</t>
        </is>
      </c>
    </row>
    <row r="26962">
      <c r="A26962" s="8" t="inlineStr">
        <is>
          <t>2026-08-05</t>
        </is>
      </c>
      <c r="B26962" s="8" t="n">
        <v>21</v>
      </c>
      <c r="C26962" s="8" t="n">
        <v>1</v>
      </c>
      <c r="D26962" s="8" t="inlineStr">
        <is>
          <t>Disney Adventure World</t>
        </is>
      </c>
      <c r="E26962" s="8" t="inlineStr">
        <is>
          <t>Ratatouille : L’Aventure Totalement Toquée de Rémy​</t>
        </is>
      </c>
      <c r="F26962" s="8" t="inlineStr">
        <is>
          <t>STANDBY</t>
        </is>
      </c>
      <c r="G26962" s="8" t="n">
        <v>45</v>
      </c>
      <c r="H26962" s="8" t="inlineStr">
        <is>
          <t>OPERATING</t>
        </is>
      </c>
    </row>
    <row r="26963">
      <c r="A26963" s="8" t="inlineStr">
        <is>
          <t>2026-08-05</t>
        </is>
      </c>
      <c r="B26963" s="8" t="n">
        <v>21</v>
      </c>
      <c r="C26963" s="8" t="n">
        <v>1</v>
      </c>
      <c r="D26963" s="8" t="inlineStr">
        <is>
          <t>Disney Adventure World</t>
        </is>
      </c>
      <c r="E26963" s="8" t="inlineStr">
        <is>
          <t>Ratatouille: The Adventure Single Rider</t>
        </is>
      </c>
      <c r="F26963" s="8" t="inlineStr">
        <is>
          <t>STANDBY</t>
        </is>
      </c>
      <c r="G26963" s="8" t="n">
        <v>5</v>
      </c>
      <c r="H26963" s="8" t="inlineStr">
        <is>
          <t>OPERATING</t>
        </is>
      </c>
    </row>
    <row r="26964">
      <c r="A26964" s="8" t="inlineStr">
        <is>
          <t>2026-08-05</t>
        </is>
      </c>
      <c r="B26964" s="8" t="n">
        <v>21</v>
      </c>
      <c r="C26964" s="8" t="n">
        <v>1</v>
      </c>
      <c r="D26964" s="8" t="inlineStr">
        <is>
          <t>Disney Adventure World</t>
        </is>
      </c>
      <c r="E26964" s="8" t="inlineStr">
        <is>
          <t>RC Racer</t>
        </is>
      </c>
      <c r="F26964" s="8" t="inlineStr">
        <is>
          <t>STANDBY</t>
        </is>
      </c>
      <c r="G26964" s="8" t="n">
        <v>40</v>
      </c>
      <c r="H26964" s="8" t="inlineStr">
        <is>
          <t>OPERATING</t>
        </is>
      </c>
    </row>
    <row r="26965">
      <c r="A26965" s="8" t="inlineStr">
        <is>
          <t>2026-08-05</t>
        </is>
      </c>
      <c r="B26965" s="8" t="n">
        <v>21</v>
      </c>
      <c r="C26965" s="8" t="n">
        <v>1</v>
      </c>
      <c r="D26965" s="8" t="inlineStr">
        <is>
          <t>Disney Adventure World</t>
        </is>
      </c>
      <c r="E26965" s="8" t="inlineStr">
        <is>
          <t>RC Racer Single Rider</t>
        </is>
      </c>
      <c r="F26965" s="8" t="inlineStr">
        <is>
          <t>STANDBY</t>
        </is>
      </c>
      <c r="G26965" s="8" t="n">
        <v>20</v>
      </c>
      <c r="H26965" s="8" t="inlineStr">
        <is>
          <t>OPERATING</t>
        </is>
      </c>
    </row>
    <row r="26966">
      <c r="A26966" s="8" t="inlineStr">
        <is>
          <t>2026-08-05</t>
        </is>
      </c>
      <c r="B26966" s="8" t="n">
        <v>21</v>
      </c>
      <c r="C26966" s="8" t="n">
        <v>1</v>
      </c>
      <c r="D26966" s="8" t="inlineStr">
        <is>
          <t>Disney Adventure World</t>
        </is>
      </c>
      <c r="E26966" s="8" t="inlineStr">
        <is>
          <t>Slinky® Dog Zigzag Spin</t>
        </is>
      </c>
      <c r="F26966" s="8" t="inlineStr">
        <is>
          <t>STANDBY</t>
        </is>
      </c>
      <c r="G26966" s="8" t="n">
        <v>5</v>
      </c>
      <c r="H26966" s="8" t="inlineStr">
        <is>
          <t>OPERATING</t>
        </is>
      </c>
    </row>
    <row r="26967">
      <c r="A26967" s="8" t="inlineStr">
        <is>
          <t>2026-08-05</t>
        </is>
      </c>
      <c r="B26967" s="8" t="n">
        <v>21</v>
      </c>
      <c r="C26967" s="8" t="n">
        <v>1</v>
      </c>
      <c r="D26967" s="8" t="inlineStr">
        <is>
          <t>Disney Adventure World</t>
        </is>
      </c>
      <c r="E26967" s="8" t="inlineStr">
        <is>
          <t>Toy Soldiers Parachute Drop</t>
        </is>
      </c>
      <c r="F26967" s="8" t="inlineStr">
        <is>
          <t>STANDBY</t>
        </is>
      </c>
      <c r="G26967" s="8" t="n">
        <v>40</v>
      </c>
      <c r="H26967" s="8" t="inlineStr">
        <is>
          <t>OPERATING</t>
        </is>
      </c>
    </row>
    <row r="26968">
      <c r="A26968" s="8" t="inlineStr">
        <is>
          <t>2026-08-05</t>
        </is>
      </c>
      <c r="B26968" s="8" t="n">
        <v>21</v>
      </c>
      <c r="C26968" s="8" t="n">
        <v>1</v>
      </c>
      <c r="D26968" s="8" t="inlineStr">
        <is>
          <t>Disney Adventure World</t>
        </is>
      </c>
      <c r="E26968" s="8" t="inlineStr">
        <is>
          <t>Toy Soldiers Parachute Drop Single Rider</t>
        </is>
      </c>
      <c r="F26968" s="8" t="inlineStr">
        <is>
          <t>STANDBY</t>
        </is>
      </c>
      <c r="G26968" s="8" t="n">
        <v>15</v>
      </c>
      <c r="H26968" s="8" t="inlineStr">
        <is>
          <t>OPERATING</t>
        </is>
      </c>
    </row>
    <row r="26969">
      <c r="A26969" s="8" t="inlineStr">
        <is>
          <t>2026-08-05</t>
        </is>
      </c>
      <c r="B26969" s="8" t="n">
        <v>21</v>
      </c>
      <c r="C26969" s="8" t="n">
        <v>1</v>
      </c>
      <c r="D26969" s="8" t="inlineStr">
        <is>
          <t>Disney Adventure World</t>
        </is>
      </c>
      <c r="E26969" s="8" t="inlineStr">
        <is>
          <t>Entry to World of Frozen</t>
        </is>
      </c>
      <c r="F26969" s="8" t="inlineStr">
        <is>
          <t>STANDBY</t>
        </is>
      </c>
      <c r="G26969" s="8" t="n">
        <v>0</v>
      </c>
      <c r="H26969" s="8" t="inlineStr">
        <is>
          <t>OPERATING</t>
        </is>
      </c>
    </row>
    <row r="26970">
      <c r="A26970" s="8" t="inlineStr">
        <is>
          <t>2026-08-05</t>
        </is>
      </c>
      <c r="B26970" s="8" t="n">
        <v>21</v>
      </c>
      <c r="C26970" s="8" t="n">
        <v>1</v>
      </c>
      <c r="D26970" s="8" t="inlineStr">
        <is>
          <t>Disney Adventure World</t>
        </is>
      </c>
      <c r="E26970" s="8" t="inlineStr">
        <is>
          <t>Frozen Ever After</t>
        </is>
      </c>
      <c r="F26970" s="8" t="inlineStr">
        <is>
          <t>STANDBY</t>
        </is>
      </c>
      <c r="G26970" s="8" t="n">
        <v>45</v>
      </c>
      <c r="H26970" s="8" t="inlineStr">
        <is>
          <t>OPERATING</t>
        </is>
      </c>
    </row>
    <row r="26971">
      <c r="A26971" s="8" t="inlineStr">
        <is>
          <t>2026-08-05</t>
        </is>
      </c>
      <c r="B26971" s="8" t="n">
        <v>21</v>
      </c>
      <c r="C26971" s="8" t="n">
        <v>1</v>
      </c>
      <c r="D26971" s="8" t="inlineStr">
        <is>
          <t>Disney Adventure World</t>
        </is>
      </c>
      <c r="E26971" s="8" t="inlineStr">
        <is>
          <t>Raiponce Tangled Spin</t>
        </is>
      </c>
      <c r="F26971" s="8" t="inlineStr">
        <is>
          <t>STANDBY</t>
        </is>
      </c>
      <c r="G26971" s="8" t="n">
        <v>5</v>
      </c>
      <c r="H26971" s="8" t="inlineStr">
        <is>
          <t>OPERATING</t>
        </is>
      </c>
    </row>
    <row r="26972">
      <c r="A26972" s="8" t="inlineStr">
        <is>
          <t>2026-08-05</t>
        </is>
      </c>
      <c r="B26972" s="8" t="n">
        <v>21</v>
      </c>
      <c r="C26972" s="8" t="n">
        <v>15</v>
      </c>
      <c r="D26972" s="8" t="inlineStr">
        <is>
          <t>Disneyland Park</t>
        </is>
      </c>
      <c r="E26972" s="8" t="inlineStr">
        <is>
          <t>Adventure Isle</t>
        </is>
      </c>
      <c r="F26972" s="8" t="inlineStr">
        <is>
          <t>STANDBY</t>
        </is>
      </c>
      <c r="G26972" s="8" t="n">
        <v>0</v>
      </c>
      <c r="H26972" s="8" t="inlineStr">
        <is>
          <t>OPERATING</t>
        </is>
      </c>
    </row>
    <row r="26973">
      <c r="A26973" s="8" t="inlineStr">
        <is>
          <t>2026-08-05</t>
        </is>
      </c>
      <c r="B26973" s="8" t="n">
        <v>21</v>
      </c>
      <c r="C26973" s="8" t="n">
        <v>15</v>
      </c>
      <c r="D26973" s="8" t="inlineStr">
        <is>
          <t>Disneyland Park</t>
        </is>
      </c>
      <c r="E26973" s="8" t="inlineStr">
        <is>
          <t>Indiana Jones and the Temple of Peril Single Rider</t>
        </is>
      </c>
      <c r="F26973" s="8" t="inlineStr">
        <is>
          <t>STANDBY</t>
        </is>
      </c>
      <c r="G26973" s="8" t="n">
        <v>5</v>
      </c>
      <c r="H26973" s="8" t="inlineStr">
        <is>
          <t>OPERATING</t>
        </is>
      </c>
    </row>
    <row r="26974">
      <c r="A26974" s="8" t="inlineStr">
        <is>
          <t>2026-08-05</t>
        </is>
      </c>
      <c r="B26974" s="8" t="n">
        <v>21</v>
      </c>
      <c r="C26974" s="8" t="n">
        <v>15</v>
      </c>
      <c r="D26974" s="8" t="inlineStr">
        <is>
          <t>Disneyland Park</t>
        </is>
      </c>
      <c r="E26974" s="8" t="inlineStr">
        <is>
          <t>Indiana Jones™ and the Temple of Peril</t>
        </is>
      </c>
      <c r="F26974" s="8" t="inlineStr">
        <is>
          <t>STANDBY</t>
        </is>
      </c>
      <c r="G26974" s="8" t="n">
        <v>20</v>
      </c>
      <c r="H26974" s="8" t="inlineStr">
        <is>
          <t>OPERATING</t>
        </is>
      </c>
    </row>
    <row r="26975">
      <c r="A26975" s="8" t="inlineStr">
        <is>
          <t>2026-08-05</t>
        </is>
      </c>
      <c r="B26975" s="8" t="n">
        <v>21</v>
      </c>
      <c r="C26975" s="8" t="n">
        <v>15</v>
      </c>
      <c r="D26975" s="8" t="inlineStr">
        <is>
          <t>Disneyland Park</t>
        </is>
      </c>
      <c r="E26975" s="8" t="inlineStr">
        <is>
          <t>La Cabane des Robinson</t>
        </is>
      </c>
      <c r="F26975" s="8" t="inlineStr">
        <is>
          <t>STANDBY</t>
        </is>
      </c>
      <c r="G26975" s="8" t="n">
        <v>5</v>
      </c>
      <c r="H26975" s="8" t="inlineStr">
        <is>
          <t>OPERATING</t>
        </is>
      </c>
    </row>
    <row r="26976">
      <c r="A26976" s="8" t="inlineStr">
        <is>
          <t>2026-08-05</t>
        </is>
      </c>
      <c r="B26976" s="8" t="n">
        <v>21</v>
      </c>
      <c r="C26976" s="8" t="n">
        <v>15</v>
      </c>
      <c r="D26976" s="8" t="inlineStr">
        <is>
          <t>Disneyland Park</t>
        </is>
      </c>
      <c r="E26976" s="8" t="inlineStr">
        <is>
          <t>Le Passage Enchanté d'Aladdin</t>
        </is>
      </c>
      <c r="F26976" s="8" t="inlineStr">
        <is>
          <t>STANDBY</t>
        </is>
      </c>
      <c r="G26976" s="8" t="n">
        <v>0</v>
      </c>
      <c r="H26976" s="8" t="inlineStr">
        <is>
          <t>OPERATING</t>
        </is>
      </c>
    </row>
    <row r="26977">
      <c r="A26977" s="8" t="inlineStr">
        <is>
          <t>2026-08-05</t>
        </is>
      </c>
      <c r="B26977" s="8" t="n">
        <v>21</v>
      </c>
      <c r="C26977" s="8" t="n">
        <v>15</v>
      </c>
      <c r="D26977" s="8" t="inlineStr">
        <is>
          <t>Disneyland Park</t>
        </is>
      </c>
      <c r="E26977" s="8" t="inlineStr">
        <is>
          <t>Pirate Galleon</t>
        </is>
      </c>
      <c r="F26977" s="8" t="inlineStr">
        <is>
          <t>STANDBY</t>
        </is>
      </c>
      <c r="G26977" s="8" t="n">
        <v>0</v>
      </c>
      <c r="H26977" s="8" t="inlineStr">
        <is>
          <t>CLOSED</t>
        </is>
      </c>
    </row>
    <row r="26978">
      <c r="A26978" s="8" t="inlineStr">
        <is>
          <t>2026-08-05</t>
        </is>
      </c>
      <c r="B26978" s="8" t="n">
        <v>21</v>
      </c>
      <c r="C26978" s="8" t="n">
        <v>15</v>
      </c>
      <c r="D26978" s="8" t="inlineStr">
        <is>
          <t>Disneyland Park</t>
        </is>
      </c>
      <c r="E26978" s="8" t="inlineStr">
        <is>
          <t>Pirates of the Caribbean</t>
        </is>
      </c>
      <c r="F26978" s="8" t="inlineStr">
        <is>
          <t>STANDBY</t>
        </is>
      </c>
      <c r="G26978" s="8" t="n">
        <v>25</v>
      </c>
      <c r="H26978" s="8" t="inlineStr">
        <is>
          <t>OPERATING</t>
        </is>
      </c>
    </row>
    <row r="26979">
      <c r="A26979" s="8" t="inlineStr">
        <is>
          <t>2026-08-05</t>
        </is>
      </c>
      <c r="B26979" s="8" t="n">
        <v>21</v>
      </c>
      <c r="C26979" s="8" t="n">
        <v>15</v>
      </c>
      <c r="D26979" s="8" t="inlineStr">
        <is>
          <t>Disneyland Park</t>
        </is>
      </c>
      <c r="E26979" s="8" t="inlineStr">
        <is>
          <t>Pirates' Beach</t>
        </is>
      </c>
      <c r="F26979" s="8" t="inlineStr">
        <is>
          <t>STANDBY</t>
        </is>
      </c>
      <c r="G26979" s="8" t="n">
        <v>0</v>
      </c>
      <c r="H26979" s="8" t="inlineStr">
        <is>
          <t>OPERATING</t>
        </is>
      </c>
    </row>
    <row r="26980">
      <c r="A26980" s="8" t="inlineStr">
        <is>
          <t>2026-08-05</t>
        </is>
      </c>
      <c r="B26980" s="8" t="n">
        <v>21</v>
      </c>
      <c r="C26980" s="8" t="n">
        <v>15</v>
      </c>
      <c r="D26980" s="8" t="inlineStr">
        <is>
          <t>Disneyland Park</t>
        </is>
      </c>
      <c r="E26980" s="8" t="inlineStr">
        <is>
          <t>Autopia, presented by Avis</t>
        </is>
      </c>
      <c r="F26980" s="8" t="inlineStr">
        <is>
          <t>STANDBY</t>
        </is>
      </c>
      <c r="G26980" s="8" t="n">
        <v>50</v>
      </c>
      <c r="H26980" s="8" t="inlineStr">
        <is>
          <t>OPERATING</t>
        </is>
      </c>
    </row>
    <row r="26981">
      <c r="A26981" s="8" t="inlineStr">
        <is>
          <t>2026-08-05</t>
        </is>
      </c>
      <c r="B26981" s="8" t="n">
        <v>21</v>
      </c>
      <c r="C26981" s="8" t="n">
        <v>15</v>
      </c>
      <c r="D26981" s="8" t="inlineStr">
        <is>
          <t>Disneyland Park</t>
        </is>
      </c>
      <c r="E26981" s="8" t="inlineStr">
        <is>
          <t>Buzz Lightyear Laser Blast</t>
        </is>
      </c>
      <c r="F26981" s="8" t="inlineStr">
        <is>
          <t>STANDBY</t>
        </is>
      </c>
      <c r="G26981" s="8" t="n">
        <v>30</v>
      </c>
      <c r="H26981" s="8" t="inlineStr">
        <is>
          <t>OPERATING</t>
        </is>
      </c>
    </row>
    <row r="26982">
      <c r="A26982" s="8" t="inlineStr">
        <is>
          <t>2026-08-05</t>
        </is>
      </c>
      <c r="B26982" s="8" t="n">
        <v>21</v>
      </c>
      <c r="C26982" s="8" t="n">
        <v>15</v>
      </c>
      <c r="D26982" s="8" t="inlineStr">
        <is>
          <t>Disneyland Park</t>
        </is>
      </c>
      <c r="E26982" s="8" t="inlineStr">
        <is>
          <t>Disneyland Railroad Discoveryland Station</t>
        </is>
      </c>
      <c r="F26982" s="8" t="inlineStr">
        <is>
          <t>STANDBY</t>
        </is>
      </c>
      <c r="G26982" s="8" t="n">
        <v>0</v>
      </c>
      <c r="H26982" s="8" t="inlineStr">
        <is>
          <t>CLOSED</t>
        </is>
      </c>
    </row>
    <row r="26983">
      <c r="A26983" s="8" t="inlineStr">
        <is>
          <t>2026-08-05</t>
        </is>
      </c>
      <c r="B26983" s="8" t="n">
        <v>21</v>
      </c>
      <c r="C26983" s="8" t="n">
        <v>15</v>
      </c>
      <c r="D26983" s="8" t="inlineStr">
        <is>
          <t>Disneyland Park</t>
        </is>
      </c>
      <c r="E26983" s="8" t="inlineStr">
        <is>
          <t>Les Mystères du Nautilus</t>
        </is>
      </c>
      <c r="F26983" s="8" t="inlineStr">
        <is>
          <t>STANDBY</t>
        </is>
      </c>
      <c r="G26983" s="8" t="n">
        <v>5</v>
      </c>
      <c r="H26983" s="8" t="inlineStr">
        <is>
          <t>OPERATING</t>
        </is>
      </c>
    </row>
    <row r="26984">
      <c r="A26984" s="8" t="inlineStr">
        <is>
          <t>2026-08-05</t>
        </is>
      </c>
      <c r="B26984" s="8" t="n">
        <v>21</v>
      </c>
      <c r="C26984" s="8" t="n">
        <v>15</v>
      </c>
      <c r="D26984" s="8" t="inlineStr">
        <is>
          <t>Disneyland Park</t>
        </is>
      </c>
      <c r="E26984" s="8" t="inlineStr">
        <is>
          <t>Mickey’s PhilharMagic</t>
        </is>
      </c>
      <c r="F26984" s="8" t="inlineStr">
        <is>
          <t>STANDBY</t>
        </is>
      </c>
      <c r="G26984" s="8" t="n">
        <v>0</v>
      </c>
      <c r="H26984" s="8" t="inlineStr">
        <is>
          <t>CLOSED</t>
        </is>
      </c>
    </row>
    <row r="26985">
      <c r="A26985" s="8" t="inlineStr">
        <is>
          <t>2026-08-05</t>
        </is>
      </c>
      <c r="B26985" s="8" t="n">
        <v>21</v>
      </c>
      <c r="C26985" s="8" t="n">
        <v>15</v>
      </c>
      <c r="D26985" s="8" t="inlineStr">
        <is>
          <t>Disneyland Park</t>
        </is>
      </c>
      <c r="E26985" s="8" t="inlineStr">
        <is>
          <t>Orbitron®</t>
        </is>
      </c>
      <c r="F26985" s="8" t="inlineStr">
        <is>
          <t>STANDBY</t>
        </is>
      </c>
      <c r="G26985" s="8" t="n">
        <v>45</v>
      </c>
      <c r="H26985" s="8" t="inlineStr">
        <is>
          <t>OPERATING</t>
        </is>
      </c>
    </row>
    <row r="26986">
      <c r="A26986" s="8" t="inlineStr">
        <is>
          <t>2026-08-05</t>
        </is>
      </c>
      <c r="B26986" s="8" t="n">
        <v>21</v>
      </c>
      <c r="C26986" s="8" t="n">
        <v>15</v>
      </c>
      <c r="D26986" s="8" t="inlineStr">
        <is>
          <t>Disneyland Park</t>
        </is>
      </c>
      <c r="E26986" s="8" t="inlineStr">
        <is>
          <t>Star Tours: The Adventures Continue*</t>
        </is>
      </c>
      <c r="F26986" s="8" t="inlineStr">
        <is>
          <t>STANDBY</t>
        </is>
      </c>
      <c r="G26986" s="8" t="n">
        <v>5</v>
      </c>
      <c r="H26986" s="8" t="inlineStr">
        <is>
          <t>OPERATING</t>
        </is>
      </c>
    </row>
    <row r="26987">
      <c r="A26987" s="8" t="inlineStr">
        <is>
          <t>2026-08-05</t>
        </is>
      </c>
      <c r="B26987" s="8" t="n">
        <v>21</v>
      </c>
      <c r="C26987" s="8" t="n">
        <v>15</v>
      </c>
      <c r="D26987" s="8" t="inlineStr">
        <is>
          <t>Disneyland Park</t>
        </is>
      </c>
      <c r="E26987" s="8" t="inlineStr">
        <is>
          <t>Star Wars Hyperspace Mountain</t>
        </is>
      </c>
      <c r="F26987" s="8" t="inlineStr">
        <is>
          <t>STANDBY</t>
        </is>
      </c>
      <c r="G26987" s="8" t="n">
        <v>25</v>
      </c>
      <c r="H26987" s="8" t="inlineStr">
        <is>
          <t>OPERATING</t>
        </is>
      </c>
    </row>
    <row r="26988">
      <c r="A26988" s="8" t="inlineStr">
        <is>
          <t>2026-08-05</t>
        </is>
      </c>
      <c r="B26988" s="8" t="n">
        <v>21</v>
      </c>
      <c r="C26988" s="8" t="n">
        <v>15</v>
      </c>
      <c r="D26988" s="8" t="inlineStr">
        <is>
          <t>Disneyland Park</t>
        </is>
      </c>
      <c r="E26988" s="8" t="inlineStr">
        <is>
          <t>Star Wars Hyperspace Mountain Single Rider</t>
        </is>
      </c>
      <c r="F26988" s="8" t="inlineStr">
        <is>
          <t>STANDBY</t>
        </is>
      </c>
      <c r="G26988" s="8" t="n">
        <v>0</v>
      </c>
      <c r="H26988" s="8" t="inlineStr">
        <is>
          <t>OPERATING</t>
        </is>
      </c>
    </row>
    <row r="26989">
      <c r="A26989" s="8" t="inlineStr">
        <is>
          <t>2026-08-05</t>
        </is>
      </c>
      <c r="B26989" s="8" t="n">
        <v>21</v>
      </c>
      <c r="C26989" s="8" t="n">
        <v>15</v>
      </c>
      <c r="D26989" s="8" t="inlineStr">
        <is>
          <t>Disneyland Park</t>
        </is>
      </c>
      <c r="E26989" s="8" t="inlineStr">
        <is>
          <t>Welcome to Starport: A Star Wars Encounter</t>
        </is>
      </c>
      <c r="F26989" s="8" t="inlineStr">
        <is>
          <t>STANDBY</t>
        </is>
      </c>
      <c r="G26989" s="8" t="n">
        <v>0</v>
      </c>
      <c r="H26989" s="8" t="inlineStr">
        <is>
          <t>CLOSED</t>
        </is>
      </c>
    </row>
    <row r="26990">
      <c r="A26990" s="8" t="inlineStr">
        <is>
          <t>2026-08-05</t>
        </is>
      </c>
      <c r="B26990" s="8" t="n">
        <v>21</v>
      </c>
      <c r="C26990" s="8" t="n">
        <v>15</v>
      </c>
      <c r="D26990" s="8" t="inlineStr">
        <is>
          <t>Disneyland Park</t>
        </is>
      </c>
      <c r="E26990" s="8" t="inlineStr">
        <is>
          <t>"it's a small world"</t>
        </is>
      </c>
      <c r="F26990" s="8" t="inlineStr">
        <is>
          <t>STANDBY</t>
        </is>
      </c>
      <c r="G26990" s="8" t="n">
        <v>5</v>
      </c>
      <c r="H26990" s="8" t="inlineStr">
        <is>
          <t>OPERATING</t>
        </is>
      </c>
    </row>
    <row r="26991">
      <c r="A26991" s="8" t="inlineStr">
        <is>
          <t>2026-08-05</t>
        </is>
      </c>
      <c r="B26991" s="8" t="n">
        <v>21</v>
      </c>
      <c r="C26991" s="8" t="n">
        <v>15</v>
      </c>
      <c r="D26991" s="8" t="inlineStr">
        <is>
          <t>Disneyland Park</t>
        </is>
      </c>
      <c r="E26991" s="8" t="inlineStr">
        <is>
          <t>Alice's Curious Labyrinth</t>
        </is>
      </c>
      <c r="F26991" s="8" t="inlineStr">
        <is>
          <t>STANDBY</t>
        </is>
      </c>
      <c r="G26991" s="8" t="n">
        <v>0</v>
      </c>
      <c r="H26991" s="8" t="inlineStr">
        <is>
          <t>CLOSED</t>
        </is>
      </c>
    </row>
    <row r="26992">
      <c r="A26992" s="8" t="inlineStr">
        <is>
          <t>2026-08-05</t>
        </is>
      </c>
      <c r="B26992" s="8" t="n">
        <v>21</v>
      </c>
      <c r="C26992" s="8" t="n">
        <v>15</v>
      </c>
      <c r="D26992" s="8" t="inlineStr">
        <is>
          <t>Disneyland Park</t>
        </is>
      </c>
      <c r="E26992" s="8" t="inlineStr">
        <is>
          <t>Blanche-Neige et les Sept Nains®</t>
        </is>
      </c>
      <c r="F26992" s="8" t="inlineStr">
        <is>
          <t>STANDBY</t>
        </is>
      </c>
      <c r="G26992" s="8" t="n">
        <v>10</v>
      </c>
      <c r="H26992" s="8" t="inlineStr">
        <is>
          <t>OPERATING</t>
        </is>
      </c>
    </row>
    <row r="26993">
      <c r="A26993" s="8" t="inlineStr">
        <is>
          <t>2026-08-05</t>
        </is>
      </c>
      <c r="B26993" s="8" t="n">
        <v>21</v>
      </c>
      <c r="C26993" s="8" t="n">
        <v>15</v>
      </c>
      <c r="D26993" s="8" t="inlineStr">
        <is>
          <t>Disneyland Park</t>
        </is>
      </c>
      <c r="E26993" s="8" t="inlineStr">
        <is>
          <t>Casey Jr. – le Petit Train du Cirque</t>
        </is>
      </c>
      <c r="F26993" s="8" t="inlineStr">
        <is>
          <t>STANDBY</t>
        </is>
      </c>
      <c r="G26993" s="8" t="n">
        <v>0</v>
      </c>
      <c r="H26993" s="8" t="inlineStr">
        <is>
          <t>CLOSED</t>
        </is>
      </c>
    </row>
    <row r="26994">
      <c r="A26994" s="8" t="inlineStr">
        <is>
          <t>2026-08-05</t>
        </is>
      </c>
      <c r="B26994" s="8" t="n">
        <v>21</v>
      </c>
      <c r="C26994" s="8" t="n">
        <v>15</v>
      </c>
      <c r="D26994" s="8" t="inlineStr">
        <is>
          <t>Disneyland Park</t>
        </is>
      </c>
      <c r="E26994" s="8" t="inlineStr">
        <is>
          <t>Disneyland Railroad Fantasyland Station</t>
        </is>
      </c>
      <c r="F26994" s="8" t="inlineStr">
        <is>
          <t>STANDBY</t>
        </is>
      </c>
      <c r="G26994" s="8" t="n">
        <v>0</v>
      </c>
      <c r="H26994" s="8" t="inlineStr">
        <is>
          <t>CLOSED</t>
        </is>
      </c>
    </row>
    <row r="26995">
      <c r="A26995" s="8" t="inlineStr">
        <is>
          <t>2026-08-05</t>
        </is>
      </c>
      <c r="B26995" s="8" t="n">
        <v>21</v>
      </c>
      <c r="C26995" s="8" t="n">
        <v>15</v>
      </c>
      <c r="D26995" s="8" t="inlineStr">
        <is>
          <t>Disneyland Park</t>
        </is>
      </c>
      <c r="E26995" s="8" t="inlineStr">
        <is>
          <t>Disneyland Railroad Main Street Station</t>
        </is>
      </c>
      <c r="F26995" s="8" t="inlineStr">
        <is>
          <t>STANDBY</t>
        </is>
      </c>
      <c r="G26995" s="8" t="n">
        <v>0</v>
      </c>
      <c r="H26995" s="8" t="inlineStr">
        <is>
          <t>CLOSED</t>
        </is>
      </c>
    </row>
    <row r="26996">
      <c r="A26996" s="8" t="inlineStr">
        <is>
          <t>2026-08-05</t>
        </is>
      </c>
      <c r="B26996" s="8" t="n">
        <v>21</v>
      </c>
      <c r="C26996" s="8" t="n">
        <v>15</v>
      </c>
      <c r="D26996" s="8" t="inlineStr">
        <is>
          <t>Disneyland Park</t>
        </is>
      </c>
      <c r="E26996" s="8" t="inlineStr">
        <is>
          <t>Dumbo the Flying Elephant</t>
        </is>
      </c>
      <c r="F26996" s="8" t="inlineStr">
        <is>
          <t>STANDBY</t>
        </is>
      </c>
      <c r="G26996" s="8" t="n">
        <v>20</v>
      </c>
      <c r="H26996" s="8" t="inlineStr">
        <is>
          <t>OPERATING</t>
        </is>
      </c>
    </row>
    <row r="26997">
      <c r="A26997" s="8" t="inlineStr">
        <is>
          <t>2026-08-05</t>
        </is>
      </c>
      <c r="B26997" s="8" t="n">
        <v>21</v>
      </c>
      <c r="C26997" s="8" t="n">
        <v>15</v>
      </c>
      <c r="D26997" s="8" t="inlineStr">
        <is>
          <t>Disneyland Park</t>
        </is>
      </c>
      <c r="E26997" s="8" t="inlineStr">
        <is>
          <t>La Tanière du Dragon</t>
        </is>
      </c>
      <c r="F26997" s="8" t="inlineStr">
        <is>
          <t>STANDBY</t>
        </is>
      </c>
      <c r="G26997" s="8" t="n">
        <v>0</v>
      </c>
      <c r="H26997" s="8" t="inlineStr">
        <is>
          <t>CLOSED</t>
        </is>
      </c>
    </row>
    <row r="26998">
      <c r="A26998" s="8" t="inlineStr">
        <is>
          <t>2026-08-05</t>
        </is>
      </c>
      <c r="B26998" s="8" t="n">
        <v>21</v>
      </c>
      <c r="C26998" s="8" t="n">
        <v>15</v>
      </c>
      <c r="D26998" s="8" t="inlineStr">
        <is>
          <t>Disneyland Park</t>
        </is>
      </c>
      <c r="E26998" s="8" t="inlineStr">
        <is>
          <t>Le Carrousel de Lancelot</t>
        </is>
      </c>
      <c r="F26998" s="8" t="inlineStr">
        <is>
          <t>STANDBY</t>
        </is>
      </c>
      <c r="G26998" s="8" t="n">
        <v>15</v>
      </c>
      <c r="H26998" s="8" t="inlineStr">
        <is>
          <t>OPERATING</t>
        </is>
      </c>
    </row>
    <row r="26999">
      <c r="A26999" s="8" t="inlineStr">
        <is>
          <t>2026-08-05</t>
        </is>
      </c>
      <c r="B26999" s="8" t="n">
        <v>21</v>
      </c>
      <c r="C26999" s="8" t="n">
        <v>15</v>
      </c>
      <c r="D26999" s="8" t="inlineStr">
        <is>
          <t>Disneyland Park</t>
        </is>
      </c>
      <c r="E26999" s="8" t="inlineStr">
        <is>
          <t>Le Pays des Contes de Fées, presented by Vittel</t>
        </is>
      </c>
      <c r="F26999" s="8" t="inlineStr">
        <is>
          <t>STANDBY</t>
        </is>
      </c>
      <c r="G26999" s="8" t="n">
        <v>0</v>
      </c>
      <c r="H26999" s="8" t="inlineStr">
        <is>
          <t>CLOSED</t>
        </is>
      </c>
    </row>
    <row r="27000">
      <c r="A27000" s="8" t="inlineStr">
        <is>
          <t>2026-08-05</t>
        </is>
      </c>
      <c r="B27000" s="8" t="n">
        <v>21</v>
      </c>
      <c r="C27000" s="8" t="n">
        <v>15</v>
      </c>
      <c r="D27000" s="8" t="inlineStr">
        <is>
          <t>Disneyland Park</t>
        </is>
      </c>
      <c r="E27000" s="8" t="inlineStr">
        <is>
          <t>Les Voyages de Pinocchio</t>
        </is>
      </c>
      <c r="F27000" s="8" t="inlineStr">
        <is>
          <t>STANDBY</t>
        </is>
      </c>
      <c r="G27000" s="8" t="n">
        <v>15</v>
      </c>
      <c r="H27000" s="8" t="inlineStr">
        <is>
          <t>OPERATING</t>
        </is>
      </c>
    </row>
    <row r="27001">
      <c r="A27001" s="8" t="inlineStr">
        <is>
          <t>2026-08-05</t>
        </is>
      </c>
      <c r="B27001" s="8" t="n">
        <v>21</v>
      </c>
      <c r="C27001" s="8" t="n">
        <v>15</v>
      </c>
      <c r="D27001" s="8" t="inlineStr">
        <is>
          <t>Disneyland Park</t>
        </is>
      </c>
      <c r="E27001" s="8" t="inlineStr">
        <is>
          <t>Mad Hatter's Tea Cups</t>
        </is>
      </c>
      <c r="F27001" s="8" t="inlineStr">
        <is>
          <t>STANDBY</t>
        </is>
      </c>
      <c r="G27001" s="8" t="n">
        <v>5</v>
      </c>
      <c r="H27001" s="8" t="inlineStr">
        <is>
          <t>OPERATING</t>
        </is>
      </c>
    </row>
    <row r="27002">
      <c r="A27002" s="8" t="inlineStr">
        <is>
          <t>2026-08-05</t>
        </is>
      </c>
      <c r="B27002" s="8" t="n">
        <v>21</v>
      </c>
      <c r="C27002" s="8" t="n">
        <v>15</v>
      </c>
      <c r="D27002" s="8" t="inlineStr">
        <is>
          <t>Disneyland Park</t>
        </is>
      </c>
      <c r="E27002" s="8" t="inlineStr">
        <is>
          <t>Meet Mickey Mouse</t>
        </is>
      </c>
      <c r="F27002" s="8" t="inlineStr">
        <is>
          <t>STANDBY</t>
        </is>
      </c>
      <c r="G27002" s="8" t="n">
        <v>0</v>
      </c>
      <c r="H27002" s="8" t="inlineStr">
        <is>
          <t>CLOSED</t>
        </is>
      </c>
    </row>
    <row r="27003">
      <c r="A27003" s="8" t="inlineStr">
        <is>
          <t>2026-08-05</t>
        </is>
      </c>
      <c r="B27003" s="8" t="n">
        <v>21</v>
      </c>
      <c r="C27003" s="8" t="n">
        <v>15</v>
      </c>
      <c r="D27003" s="8" t="inlineStr">
        <is>
          <t>Disneyland Park</t>
        </is>
      </c>
      <c r="E27003" s="8" t="inlineStr">
        <is>
          <t>Peter Pan's Flight</t>
        </is>
      </c>
      <c r="F27003" s="8" t="inlineStr">
        <is>
          <t>STANDBY</t>
        </is>
      </c>
      <c r="G27003" s="8" t="n">
        <v>45</v>
      </c>
      <c r="H27003" s="8" t="inlineStr">
        <is>
          <t>OPERATING</t>
        </is>
      </c>
    </row>
    <row r="27004">
      <c r="A27004" s="8" t="inlineStr">
        <is>
          <t>2026-08-05</t>
        </is>
      </c>
      <c r="B27004" s="8" t="n">
        <v>21</v>
      </c>
      <c r="C27004" s="8" t="n">
        <v>15</v>
      </c>
      <c r="D27004" s="8" t="inlineStr">
        <is>
          <t>Disneyland Park</t>
        </is>
      </c>
      <c r="E27004" s="8" t="inlineStr">
        <is>
          <t>Princess Pavilion</t>
        </is>
      </c>
      <c r="F27004" s="8" t="inlineStr">
        <is>
          <t>STANDBY</t>
        </is>
      </c>
      <c r="G27004" s="8" t="n">
        <v>0</v>
      </c>
      <c r="H27004" s="8" t="inlineStr">
        <is>
          <t>CLOSED</t>
        </is>
      </c>
    </row>
    <row r="27005">
      <c r="A27005" s="8" t="inlineStr">
        <is>
          <t>2026-08-05</t>
        </is>
      </c>
      <c r="B27005" s="8" t="n">
        <v>21</v>
      </c>
      <c r="C27005" s="8" t="n">
        <v>15</v>
      </c>
      <c r="D27005" s="8" t="inlineStr">
        <is>
          <t>Disneyland Park</t>
        </is>
      </c>
      <c r="E27005" s="8" t="inlineStr">
        <is>
          <t>Big Thunder Mountain</t>
        </is>
      </c>
      <c r="F27005" s="8" t="inlineStr">
        <is>
          <t>STANDBY</t>
        </is>
      </c>
      <c r="G27005" s="8" t="n">
        <v>55</v>
      </c>
      <c r="H27005" s="8" t="inlineStr">
        <is>
          <t>OPERATING</t>
        </is>
      </c>
    </row>
    <row r="27006">
      <c r="A27006" s="8" t="inlineStr">
        <is>
          <t>2026-08-05</t>
        </is>
      </c>
      <c r="B27006" s="8" t="n">
        <v>21</v>
      </c>
      <c r="C27006" s="8" t="n">
        <v>15</v>
      </c>
      <c r="D27006" s="8" t="inlineStr">
        <is>
          <t>Disneyland Park</t>
        </is>
      </c>
      <c r="E27006" s="8" t="inlineStr">
        <is>
          <t>Disneyland Railroad Frontierland Depot</t>
        </is>
      </c>
      <c r="F27006" s="8" t="inlineStr">
        <is>
          <t>STANDBY</t>
        </is>
      </c>
      <c r="G27006" s="8" t="n">
        <v>0</v>
      </c>
      <c r="H27006" s="8" t="inlineStr">
        <is>
          <t>CLOSED</t>
        </is>
      </c>
    </row>
    <row r="27007">
      <c r="A27007" s="8" t="inlineStr">
        <is>
          <t>2026-08-05</t>
        </is>
      </c>
      <c r="B27007" s="8" t="n">
        <v>21</v>
      </c>
      <c r="C27007" s="8" t="n">
        <v>15</v>
      </c>
      <c r="D27007" s="8" t="inlineStr">
        <is>
          <t>Disneyland Park</t>
        </is>
      </c>
      <c r="E27007" s="8" t="inlineStr">
        <is>
          <t>Frontierland Playground</t>
        </is>
      </c>
      <c r="F27007" s="8" t="inlineStr">
        <is>
          <t>STANDBY</t>
        </is>
      </c>
      <c r="G27007" s="8" t="n">
        <v>0</v>
      </c>
      <c r="H27007" s="8" t="inlineStr">
        <is>
          <t>CLOSED</t>
        </is>
      </c>
    </row>
    <row r="27008">
      <c r="A27008" s="8" t="inlineStr">
        <is>
          <t>2026-08-05</t>
        </is>
      </c>
      <c r="B27008" s="8" t="n">
        <v>21</v>
      </c>
      <c r="C27008" s="8" t="n">
        <v>15</v>
      </c>
      <c r="D27008" s="8" t="inlineStr">
        <is>
          <t>Disneyland Park</t>
        </is>
      </c>
      <c r="E27008" s="8" t="inlineStr">
        <is>
          <t>Phantom Manor</t>
        </is>
      </c>
      <c r="F27008" s="8" t="inlineStr">
        <is>
          <t>STANDBY</t>
        </is>
      </c>
      <c r="G27008" s="8" t="n">
        <v>5</v>
      </c>
      <c r="H27008" s="8" t="inlineStr">
        <is>
          <t>OPERATING</t>
        </is>
      </c>
    </row>
    <row r="27009">
      <c r="A27009" s="8" t="inlineStr">
        <is>
          <t>2026-08-05</t>
        </is>
      </c>
      <c r="B27009" s="8" t="n">
        <v>21</v>
      </c>
      <c r="C27009" s="8" t="n">
        <v>15</v>
      </c>
      <c r="D27009" s="8" t="inlineStr">
        <is>
          <t>Disneyland Park</t>
        </is>
      </c>
      <c r="E27009" s="8" t="inlineStr">
        <is>
          <t>River Rogue Keelboats</t>
        </is>
      </c>
      <c r="F27009" s="8" t="inlineStr">
        <is>
          <t>STANDBY</t>
        </is>
      </c>
      <c r="G27009" s="8" t="n">
        <v>0</v>
      </c>
      <c r="H27009" s="8" t="inlineStr">
        <is>
          <t>CLOSED</t>
        </is>
      </c>
    </row>
    <row r="27010">
      <c r="A27010" s="8" t="inlineStr">
        <is>
          <t>2026-08-05</t>
        </is>
      </c>
      <c r="B27010" s="8" t="n">
        <v>21</v>
      </c>
      <c r="C27010" s="8" t="n">
        <v>15</v>
      </c>
      <c r="D27010" s="8" t="inlineStr">
        <is>
          <t>Disneyland Park</t>
        </is>
      </c>
      <c r="E27010" s="8" t="inlineStr">
        <is>
          <t>Rustler Roundup Shootin' Gallery</t>
        </is>
      </c>
      <c r="F27010" s="8" t="inlineStr">
        <is>
          <t>STANDBY</t>
        </is>
      </c>
      <c r="G27010" s="8" t="n">
        <v>0</v>
      </c>
      <c r="H27010" s="8" t="inlineStr">
        <is>
          <t>OPERATING</t>
        </is>
      </c>
    </row>
    <row r="27011">
      <c r="A27011" s="8" t="inlineStr">
        <is>
          <t>2026-08-05</t>
        </is>
      </c>
      <c r="B27011" s="8" t="n">
        <v>21</v>
      </c>
      <c r="C27011" s="8" t="n">
        <v>15</v>
      </c>
      <c r="D27011" s="8" t="inlineStr">
        <is>
          <t>Disneyland Park</t>
        </is>
      </c>
      <c r="E27011" s="8" t="inlineStr">
        <is>
          <t>Thunder Mesa Riverboat Landing</t>
        </is>
      </c>
      <c r="F27011" s="8" t="inlineStr">
        <is>
          <t>STANDBY</t>
        </is>
      </c>
      <c r="G27011" s="8" t="n">
        <v>0</v>
      </c>
      <c r="H27011" s="8" t="inlineStr">
        <is>
          <t>CLOSED</t>
        </is>
      </c>
    </row>
    <row r="27012">
      <c r="A27012" s="8" t="inlineStr">
        <is>
          <t>2026-08-05</t>
        </is>
      </c>
      <c r="B27012" s="8" t="n">
        <v>21</v>
      </c>
      <c r="C27012" s="8" t="n">
        <v>15</v>
      </c>
      <c r="D27012" s="8" t="inlineStr">
        <is>
          <t>Disneyland Park</t>
        </is>
      </c>
      <c r="E27012" s="8" t="inlineStr">
        <is>
          <t>Disneyland Railroad Main Street Station</t>
        </is>
      </c>
      <c r="F27012" s="8" t="inlineStr">
        <is>
          <t>STANDBY</t>
        </is>
      </c>
      <c r="G27012" s="8" t="n">
        <v>0</v>
      </c>
      <c r="H27012" s="8" t="inlineStr">
        <is>
          <t>CLOSED</t>
        </is>
      </c>
    </row>
    <row r="27013">
      <c r="A27013" s="8" t="inlineStr">
        <is>
          <t>2026-08-05</t>
        </is>
      </c>
      <c r="B27013" s="8" t="n">
        <v>21</v>
      </c>
      <c r="C27013" s="8" t="n">
        <v>15</v>
      </c>
      <c r="D27013" s="8" t="inlineStr">
        <is>
          <t>Disneyland Park</t>
        </is>
      </c>
      <c r="E27013" s="8" t="inlineStr">
        <is>
          <t>Main Street Vehicles</t>
        </is>
      </c>
      <c r="F27013" s="8" t="inlineStr">
        <is>
          <t>STANDBY</t>
        </is>
      </c>
      <c r="G27013" s="8" t="n">
        <v>0</v>
      </c>
      <c r="H27013" s="8" t="inlineStr">
        <is>
          <t>CLOSED</t>
        </is>
      </c>
    </row>
    <row r="27014">
      <c r="A27014" s="8" t="inlineStr">
        <is>
          <t>2026-08-05</t>
        </is>
      </c>
      <c r="B27014" s="8" t="n">
        <v>21</v>
      </c>
      <c r="C27014" s="8" t="n">
        <v>15</v>
      </c>
      <c r="D27014" s="8" t="inlineStr">
        <is>
          <t>Disney Adventure World</t>
        </is>
      </c>
      <c r="E27014" s="8" t="inlineStr">
        <is>
          <t>Avengers Assemble: Flight Force</t>
        </is>
      </c>
      <c r="F27014" s="8" t="inlineStr">
        <is>
          <t>STANDBY</t>
        </is>
      </c>
      <c r="G27014" s="8" t="n">
        <v>15</v>
      </c>
      <c r="H27014" s="8" t="inlineStr">
        <is>
          <t>OPERATING</t>
        </is>
      </c>
    </row>
    <row r="27015">
      <c r="A27015" s="8" t="inlineStr">
        <is>
          <t>2026-08-05</t>
        </is>
      </c>
      <c r="B27015" s="8" t="n">
        <v>21</v>
      </c>
      <c r="C27015" s="8" t="n">
        <v>15</v>
      </c>
      <c r="D27015" s="8" t="inlineStr">
        <is>
          <t>Disney Adventure World</t>
        </is>
      </c>
      <c r="E27015" s="8" t="inlineStr">
        <is>
          <t>Avengers Assemble: Flight Force Single Rider</t>
        </is>
      </c>
      <c r="F27015" s="8" t="inlineStr">
        <is>
          <t>STANDBY</t>
        </is>
      </c>
      <c r="G27015" s="8" t="n">
        <v>10</v>
      </c>
      <c r="H27015" s="8" t="inlineStr">
        <is>
          <t>OPERATING</t>
        </is>
      </c>
    </row>
    <row r="27016">
      <c r="A27016" s="8" t="inlineStr">
        <is>
          <t>2026-08-05</t>
        </is>
      </c>
      <c r="B27016" s="8" t="n">
        <v>21</v>
      </c>
      <c r="C27016" s="8" t="n">
        <v>15</v>
      </c>
      <c r="D27016" s="8" t="inlineStr">
        <is>
          <t>Disney Adventure World</t>
        </is>
      </c>
      <c r="E27016" s="8" t="inlineStr">
        <is>
          <t>Spider-Man W.E.B. Adventure</t>
        </is>
      </c>
      <c r="F27016" s="8" t="inlineStr">
        <is>
          <t>STANDBY</t>
        </is>
      </c>
      <c r="G27016" s="8" t="n">
        <v>35</v>
      </c>
      <c r="H27016" s="8" t="inlineStr">
        <is>
          <t>OPERATING</t>
        </is>
      </c>
    </row>
    <row r="27017">
      <c r="A27017" s="8" t="inlineStr">
        <is>
          <t>2026-08-05</t>
        </is>
      </c>
      <c r="B27017" s="8" t="n">
        <v>21</v>
      </c>
      <c r="C27017" s="8" t="n">
        <v>15</v>
      </c>
      <c r="D27017" s="8" t="inlineStr">
        <is>
          <t>Disney Adventure World</t>
        </is>
      </c>
      <c r="E27017" s="8" t="inlineStr">
        <is>
          <t>Spider-Man W.E.B. Adventure Single Rider</t>
        </is>
      </c>
      <c r="F27017" s="8" t="inlineStr">
        <is>
          <t>STANDBY</t>
        </is>
      </c>
      <c r="G27017" s="8" t="n">
        <v>5</v>
      </c>
      <c r="H27017" s="8" t="inlineStr">
        <is>
          <t>OPERATING</t>
        </is>
      </c>
    </row>
    <row r="27018">
      <c r="A27018" s="8" t="inlineStr">
        <is>
          <t>2026-08-05</t>
        </is>
      </c>
      <c r="B27018" s="8" t="n">
        <v>21</v>
      </c>
      <c r="C27018" s="8" t="n">
        <v>15</v>
      </c>
      <c r="D27018" s="8" t="inlineStr">
        <is>
          <t>Disney Adventure World</t>
        </is>
      </c>
      <c r="E27018" s="8" t="inlineStr">
        <is>
          <t>The Twilight Zone Tower of Terror</t>
        </is>
      </c>
      <c r="F27018" s="8" t="inlineStr">
        <is>
          <t>STANDBY</t>
        </is>
      </c>
      <c r="G27018" s="8" t="n">
        <v>20</v>
      </c>
      <c r="H27018" s="8" t="inlineStr">
        <is>
          <t>OPERATING</t>
        </is>
      </c>
    </row>
    <row r="27019">
      <c r="A27019" s="8" t="inlineStr">
        <is>
          <t>2026-08-05</t>
        </is>
      </c>
      <c r="B27019" s="8" t="n">
        <v>21</v>
      </c>
      <c r="C27019" s="8" t="n">
        <v>15</v>
      </c>
      <c r="D27019" s="8" t="inlineStr">
        <is>
          <t>Disney Adventure World</t>
        </is>
      </c>
      <c r="E27019" s="8" t="inlineStr">
        <is>
          <t>Cars Quatre Roues Rallye</t>
        </is>
      </c>
      <c r="F27019" s="8" t="inlineStr">
        <is>
          <t>STANDBY</t>
        </is>
      </c>
      <c r="G27019" s="8" t="n">
        <v>15</v>
      </c>
      <c r="H27019" s="8" t="inlineStr">
        <is>
          <t>OPERATING</t>
        </is>
      </c>
    </row>
    <row r="27020">
      <c r="A27020" s="8" t="inlineStr">
        <is>
          <t>2026-08-05</t>
        </is>
      </c>
      <c r="B27020" s="8" t="n">
        <v>21</v>
      </c>
      <c r="C27020" s="8" t="n">
        <v>15</v>
      </c>
      <c r="D27020" s="8" t="inlineStr">
        <is>
          <t>Disney Adventure World</t>
        </is>
      </c>
      <c r="E27020" s="8" t="inlineStr">
        <is>
          <t>Cars ROAD TRIP</t>
        </is>
      </c>
      <c r="F27020" s="8" t="inlineStr">
        <is>
          <t>STANDBY</t>
        </is>
      </c>
      <c r="G27020" s="8" t="n">
        <v>0</v>
      </c>
      <c r="H27020" s="8" t="inlineStr">
        <is>
          <t>CLOSED</t>
        </is>
      </c>
    </row>
    <row r="27021">
      <c r="A27021" s="8" t="inlineStr">
        <is>
          <t>2026-08-05</t>
        </is>
      </c>
      <c r="B27021" s="8" t="n">
        <v>21</v>
      </c>
      <c r="C27021" s="8" t="n">
        <v>15</v>
      </c>
      <c r="D27021" s="8" t="inlineStr">
        <is>
          <t>Disney Adventure World</t>
        </is>
      </c>
      <c r="E27021" s="8" t="inlineStr">
        <is>
          <t>Crush's Coaster</t>
        </is>
      </c>
      <c r="F27021" s="8" t="inlineStr">
        <is>
          <t>STANDBY</t>
        </is>
      </c>
      <c r="G27021" s="8" t="n">
        <v>60</v>
      </c>
      <c r="H27021" s="8" t="inlineStr">
        <is>
          <t>OPERATING</t>
        </is>
      </c>
    </row>
    <row r="27022">
      <c r="A27022" s="8" t="inlineStr">
        <is>
          <t>2026-08-05</t>
        </is>
      </c>
      <c r="B27022" s="8" t="n">
        <v>21</v>
      </c>
      <c r="C27022" s="8" t="n">
        <v>15</v>
      </c>
      <c r="D27022" s="8" t="inlineStr">
        <is>
          <t>Disney Adventure World</t>
        </is>
      </c>
      <c r="E27022" s="8" t="inlineStr">
        <is>
          <t>Crush's Coaster Single Rider</t>
        </is>
      </c>
      <c r="F27022" s="8" t="inlineStr">
        <is>
          <t>STANDBY</t>
        </is>
      </c>
      <c r="G27022" s="8" t="n">
        <v>45</v>
      </c>
      <c r="H27022" s="8" t="inlineStr">
        <is>
          <t>OPERATING</t>
        </is>
      </c>
    </row>
    <row r="27023">
      <c r="A27023" s="8" t="inlineStr">
        <is>
          <t>2026-08-05</t>
        </is>
      </c>
      <c r="B27023" s="8" t="n">
        <v>21</v>
      </c>
      <c r="C27023" s="8" t="n">
        <v>15</v>
      </c>
      <c r="D27023" s="8" t="inlineStr">
        <is>
          <t>Disney Adventure World</t>
        </is>
      </c>
      <c r="E27023" s="8" t="inlineStr">
        <is>
          <t>Les Tapis Volants - Flying Carpets Over Agrabah®</t>
        </is>
      </c>
      <c r="F27023" s="8" t="inlineStr">
        <is>
          <t>STANDBY</t>
        </is>
      </c>
      <c r="G27023" s="8" t="n">
        <v>5</v>
      </c>
      <c r="H27023" s="8" t="inlineStr">
        <is>
          <t>OPERATING</t>
        </is>
      </c>
    </row>
    <row r="27024">
      <c r="A27024" s="8" t="inlineStr">
        <is>
          <t>2026-08-05</t>
        </is>
      </c>
      <c r="B27024" s="8" t="n">
        <v>21</v>
      </c>
      <c r="C27024" s="8" t="n">
        <v>15</v>
      </c>
      <c r="D27024" s="8" t="inlineStr">
        <is>
          <t>Disney Adventure World</t>
        </is>
      </c>
      <c r="E27024" s="8" t="inlineStr">
        <is>
          <t>Ratatouille : L’Aventure Totalement Toquée de Rémy​</t>
        </is>
      </c>
      <c r="F27024" s="8" t="inlineStr">
        <is>
          <t>STANDBY</t>
        </is>
      </c>
      <c r="G27024" s="8" t="n">
        <v>35</v>
      </c>
      <c r="H27024" s="8" t="inlineStr">
        <is>
          <t>OPERATING</t>
        </is>
      </c>
    </row>
    <row r="27025">
      <c r="A27025" s="8" t="inlineStr">
        <is>
          <t>2026-08-05</t>
        </is>
      </c>
      <c r="B27025" s="8" t="n">
        <v>21</v>
      </c>
      <c r="C27025" s="8" t="n">
        <v>15</v>
      </c>
      <c r="D27025" s="8" t="inlineStr">
        <is>
          <t>Disney Adventure World</t>
        </is>
      </c>
      <c r="E27025" s="8" t="inlineStr">
        <is>
          <t>Ratatouille: The Adventure Single Rider</t>
        </is>
      </c>
      <c r="F27025" s="8" t="inlineStr">
        <is>
          <t>STANDBY</t>
        </is>
      </c>
      <c r="G27025" s="8" t="n">
        <v>15</v>
      </c>
      <c r="H27025" s="8" t="inlineStr">
        <is>
          <t>OPERATING</t>
        </is>
      </c>
    </row>
    <row r="27026">
      <c r="A27026" s="8" t="inlineStr">
        <is>
          <t>2026-08-05</t>
        </is>
      </c>
      <c r="B27026" s="8" t="n">
        <v>21</v>
      </c>
      <c r="C27026" s="8" t="n">
        <v>15</v>
      </c>
      <c r="D27026" s="8" t="inlineStr">
        <is>
          <t>Disney Adventure World</t>
        </is>
      </c>
      <c r="E27026" s="8" t="inlineStr">
        <is>
          <t>RC Racer</t>
        </is>
      </c>
      <c r="F27026" s="8" t="inlineStr">
        <is>
          <t>STANDBY</t>
        </is>
      </c>
      <c r="G27026" s="8" t="n">
        <v>35</v>
      </c>
      <c r="H27026" s="8" t="inlineStr">
        <is>
          <t>OPERATING</t>
        </is>
      </c>
    </row>
    <row r="27027">
      <c r="A27027" s="8" t="inlineStr">
        <is>
          <t>2026-08-05</t>
        </is>
      </c>
      <c r="B27027" s="8" t="n">
        <v>21</v>
      </c>
      <c r="C27027" s="8" t="n">
        <v>15</v>
      </c>
      <c r="D27027" s="8" t="inlineStr">
        <is>
          <t>Disney Adventure World</t>
        </is>
      </c>
      <c r="E27027" s="8" t="inlineStr">
        <is>
          <t>RC Racer Single Rider</t>
        </is>
      </c>
      <c r="F27027" s="8" t="inlineStr">
        <is>
          <t>STANDBY</t>
        </is>
      </c>
      <c r="G27027" s="8" t="n">
        <v>30</v>
      </c>
      <c r="H27027" s="8" t="inlineStr">
        <is>
          <t>OPERATING</t>
        </is>
      </c>
    </row>
    <row r="27028">
      <c r="A27028" s="8" t="inlineStr">
        <is>
          <t>2026-08-05</t>
        </is>
      </c>
      <c r="B27028" s="8" t="n">
        <v>21</v>
      </c>
      <c r="C27028" s="8" t="n">
        <v>15</v>
      </c>
      <c r="D27028" s="8" t="inlineStr">
        <is>
          <t>Disney Adventure World</t>
        </is>
      </c>
      <c r="E27028" s="8" t="inlineStr">
        <is>
          <t>Slinky® Dog Zigzag Spin</t>
        </is>
      </c>
      <c r="F27028" s="8" t="inlineStr">
        <is>
          <t>STANDBY</t>
        </is>
      </c>
      <c r="G27028" s="8" t="n">
        <v>5</v>
      </c>
      <c r="H27028" s="8" t="inlineStr">
        <is>
          <t>OPERATING</t>
        </is>
      </c>
    </row>
    <row r="27029">
      <c r="A27029" s="8" t="inlineStr">
        <is>
          <t>2026-08-05</t>
        </is>
      </c>
      <c r="B27029" s="8" t="n">
        <v>21</v>
      </c>
      <c r="C27029" s="8" t="n">
        <v>15</v>
      </c>
      <c r="D27029" s="8" t="inlineStr">
        <is>
          <t>Disney Adventure World</t>
        </is>
      </c>
      <c r="E27029" s="8" t="inlineStr">
        <is>
          <t>Toy Soldiers Parachute Drop</t>
        </is>
      </c>
      <c r="F27029" s="8" t="inlineStr">
        <is>
          <t>STANDBY</t>
        </is>
      </c>
      <c r="G27029" s="8" t="n">
        <v>40</v>
      </c>
      <c r="H27029" s="8" t="inlineStr">
        <is>
          <t>OPERATING</t>
        </is>
      </c>
    </row>
    <row r="27030">
      <c r="A27030" s="8" t="inlineStr">
        <is>
          <t>2026-08-05</t>
        </is>
      </c>
      <c r="B27030" s="8" t="n">
        <v>21</v>
      </c>
      <c r="C27030" s="8" t="n">
        <v>15</v>
      </c>
      <c r="D27030" s="8" t="inlineStr">
        <is>
          <t>Disney Adventure World</t>
        </is>
      </c>
      <c r="E27030" s="8" t="inlineStr">
        <is>
          <t>Toy Soldiers Parachute Drop Single Rider</t>
        </is>
      </c>
      <c r="F27030" s="8" t="inlineStr">
        <is>
          <t>STANDBY</t>
        </is>
      </c>
      <c r="G27030" s="8" t="n">
        <v>15</v>
      </c>
      <c r="H27030" s="8" t="inlineStr">
        <is>
          <t>OPERATING</t>
        </is>
      </c>
    </row>
    <row r="27031">
      <c r="A27031" s="8" t="inlineStr">
        <is>
          <t>2026-08-05</t>
        </is>
      </c>
      <c r="B27031" s="8" t="n">
        <v>21</v>
      </c>
      <c r="C27031" s="8" t="n">
        <v>15</v>
      </c>
      <c r="D27031" s="8" t="inlineStr">
        <is>
          <t>Disney Adventure World</t>
        </is>
      </c>
      <c r="E27031" s="8" t="inlineStr">
        <is>
          <t>Entry to World of Frozen</t>
        </is>
      </c>
      <c r="F27031" s="8" t="inlineStr">
        <is>
          <t>STANDBY</t>
        </is>
      </c>
      <c r="G27031" s="8" t="n">
        <v>0</v>
      </c>
      <c r="H27031" s="8" t="inlineStr">
        <is>
          <t>OPERATING</t>
        </is>
      </c>
    </row>
    <row r="27032">
      <c r="A27032" s="8" t="inlineStr">
        <is>
          <t>2026-08-05</t>
        </is>
      </c>
      <c r="B27032" s="8" t="n">
        <v>21</v>
      </c>
      <c r="C27032" s="8" t="n">
        <v>15</v>
      </c>
      <c r="D27032" s="8" t="inlineStr">
        <is>
          <t>Disney Adventure World</t>
        </is>
      </c>
      <c r="E27032" s="8" t="inlineStr">
        <is>
          <t>Frozen Ever After</t>
        </is>
      </c>
      <c r="F27032" s="8" t="inlineStr">
        <is>
          <t>STANDBY</t>
        </is>
      </c>
      <c r="G27032" s="8" t="n">
        <v>40</v>
      </c>
      <c r="H27032" s="8" t="inlineStr">
        <is>
          <t>OPERATING</t>
        </is>
      </c>
    </row>
    <row r="27033">
      <c r="A27033" s="8" t="inlineStr">
        <is>
          <t>2026-08-05</t>
        </is>
      </c>
      <c r="B27033" s="8" t="n">
        <v>21</v>
      </c>
      <c r="C27033" s="8" t="n">
        <v>15</v>
      </c>
      <c r="D27033" s="8" t="inlineStr">
        <is>
          <t>Disney Adventure World</t>
        </is>
      </c>
      <c r="E27033" s="8" t="inlineStr">
        <is>
          <t>Raiponce Tangled Spin</t>
        </is>
      </c>
      <c r="F27033" s="8" t="inlineStr">
        <is>
          <t>STANDBY</t>
        </is>
      </c>
      <c r="G27033" s="8" t="n">
        <v>5</v>
      </c>
      <c r="H27033" s="8" t="inlineStr">
        <is>
          <t>OPERATING</t>
        </is>
      </c>
    </row>
    <row r="27034">
      <c r="A27034" s="8" t="inlineStr">
        <is>
          <t>2026-08-05</t>
        </is>
      </c>
      <c r="B27034" s="8" t="n">
        <v>21</v>
      </c>
      <c r="C27034" s="8" t="n">
        <v>31</v>
      </c>
      <c r="D27034" s="8" t="inlineStr">
        <is>
          <t>Disneyland Park</t>
        </is>
      </c>
      <c r="E27034" s="8" t="inlineStr">
        <is>
          <t>Adventure Isle</t>
        </is>
      </c>
      <c r="F27034" s="8" t="inlineStr">
        <is>
          <t>STANDBY</t>
        </is>
      </c>
      <c r="G27034" s="8" t="n">
        <v>0</v>
      </c>
      <c r="H27034" s="8" t="inlineStr">
        <is>
          <t>OPERATING</t>
        </is>
      </c>
    </row>
    <row r="27035">
      <c r="A27035" s="8" t="inlineStr">
        <is>
          <t>2026-08-05</t>
        </is>
      </c>
      <c r="B27035" s="8" t="n">
        <v>21</v>
      </c>
      <c r="C27035" s="8" t="n">
        <v>31</v>
      </c>
      <c r="D27035" s="8" t="inlineStr">
        <is>
          <t>Disneyland Park</t>
        </is>
      </c>
      <c r="E27035" s="8" t="inlineStr">
        <is>
          <t>Indiana Jones and the Temple of Peril Single Rider</t>
        </is>
      </c>
      <c r="F27035" s="8" t="inlineStr">
        <is>
          <t>STANDBY</t>
        </is>
      </c>
      <c r="G27035" s="8" t="n">
        <v>5</v>
      </c>
      <c r="H27035" s="8" t="inlineStr">
        <is>
          <t>OPERATING</t>
        </is>
      </c>
    </row>
    <row r="27036">
      <c r="A27036" s="8" t="inlineStr">
        <is>
          <t>2026-08-05</t>
        </is>
      </c>
      <c r="B27036" s="8" t="n">
        <v>21</v>
      </c>
      <c r="C27036" s="8" t="n">
        <v>31</v>
      </c>
      <c r="D27036" s="8" t="inlineStr">
        <is>
          <t>Disneyland Park</t>
        </is>
      </c>
      <c r="E27036" s="8" t="inlineStr">
        <is>
          <t>Indiana Jones™ and the Temple of Peril</t>
        </is>
      </c>
      <c r="F27036" s="8" t="inlineStr">
        <is>
          <t>STANDBY</t>
        </is>
      </c>
      <c r="G27036" s="8" t="n">
        <v>10</v>
      </c>
      <c r="H27036" s="8" t="inlineStr">
        <is>
          <t>OPERATING</t>
        </is>
      </c>
    </row>
    <row r="27037">
      <c r="A27037" s="8" t="inlineStr">
        <is>
          <t>2026-08-05</t>
        </is>
      </c>
      <c r="B27037" s="8" t="n">
        <v>21</v>
      </c>
      <c r="C27037" s="8" t="n">
        <v>31</v>
      </c>
      <c r="D27037" s="8" t="inlineStr">
        <is>
          <t>Disneyland Park</t>
        </is>
      </c>
      <c r="E27037" s="8" t="inlineStr">
        <is>
          <t>La Cabane des Robinson</t>
        </is>
      </c>
      <c r="F27037" s="8" t="inlineStr">
        <is>
          <t>STANDBY</t>
        </is>
      </c>
      <c r="G27037" s="8" t="n">
        <v>5</v>
      </c>
      <c r="H27037" s="8" t="inlineStr">
        <is>
          <t>OPERATING</t>
        </is>
      </c>
    </row>
    <row r="27038">
      <c r="A27038" s="8" t="inlineStr">
        <is>
          <t>2026-08-05</t>
        </is>
      </c>
      <c r="B27038" s="8" t="n">
        <v>21</v>
      </c>
      <c r="C27038" s="8" t="n">
        <v>31</v>
      </c>
      <c r="D27038" s="8" t="inlineStr">
        <is>
          <t>Disneyland Park</t>
        </is>
      </c>
      <c r="E27038" s="8" t="inlineStr">
        <is>
          <t>Le Passage Enchanté d'Aladdin</t>
        </is>
      </c>
      <c r="F27038" s="8" t="inlineStr">
        <is>
          <t>STANDBY</t>
        </is>
      </c>
      <c r="G27038" s="8" t="n">
        <v>0</v>
      </c>
      <c r="H27038" s="8" t="inlineStr">
        <is>
          <t>OPERATING</t>
        </is>
      </c>
    </row>
    <row r="27039">
      <c r="A27039" s="8" t="inlineStr">
        <is>
          <t>2026-08-05</t>
        </is>
      </c>
      <c r="B27039" s="8" t="n">
        <v>21</v>
      </c>
      <c r="C27039" s="8" t="n">
        <v>31</v>
      </c>
      <c r="D27039" s="8" t="inlineStr">
        <is>
          <t>Disneyland Park</t>
        </is>
      </c>
      <c r="E27039" s="8" t="inlineStr">
        <is>
          <t>Pirate Galleon</t>
        </is>
      </c>
      <c r="F27039" s="8" t="inlineStr">
        <is>
          <t>STANDBY</t>
        </is>
      </c>
      <c r="G27039" s="8" t="n">
        <v>0</v>
      </c>
      <c r="H27039" s="8" t="inlineStr">
        <is>
          <t>CLOSED</t>
        </is>
      </c>
    </row>
    <row r="27040">
      <c r="A27040" s="8" t="inlineStr">
        <is>
          <t>2026-08-05</t>
        </is>
      </c>
      <c r="B27040" s="8" t="n">
        <v>21</v>
      </c>
      <c r="C27040" s="8" t="n">
        <v>31</v>
      </c>
      <c r="D27040" s="8" t="inlineStr">
        <is>
          <t>Disneyland Park</t>
        </is>
      </c>
      <c r="E27040" s="8" t="inlineStr">
        <is>
          <t>Pirates of the Caribbean</t>
        </is>
      </c>
      <c r="F27040" s="8" t="inlineStr">
        <is>
          <t>STANDBY</t>
        </is>
      </c>
      <c r="G27040" s="8" t="n">
        <v>20</v>
      </c>
      <c r="H27040" s="8" t="inlineStr">
        <is>
          <t>OPERATING</t>
        </is>
      </c>
    </row>
    <row r="27041">
      <c r="A27041" s="8" t="inlineStr">
        <is>
          <t>2026-08-05</t>
        </is>
      </c>
      <c r="B27041" s="8" t="n">
        <v>21</v>
      </c>
      <c r="C27041" s="8" t="n">
        <v>31</v>
      </c>
      <c r="D27041" s="8" t="inlineStr">
        <is>
          <t>Disneyland Park</t>
        </is>
      </c>
      <c r="E27041" s="8" t="inlineStr">
        <is>
          <t>Pirates' Beach</t>
        </is>
      </c>
      <c r="F27041" s="8" t="inlineStr">
        <is>
          <t>STANDBY</t>
        </is>
      </c>
      <c r="G27041" s="8" t="n">
        <v>0</v>
      </c>
      <c r="H27041" s="8" t="inlineStr">
        <is>
          <t>OPERATING</t>
        </is>
      </c>
    </row>
    <row r="27042">
      <c r="A27042" s="8" t="inlineStr">
        <is>
          <t>2026-08-05</t>
        </is>
      </c>
      <c r="B27042" s="8" t="n">
        <v>21</v>
      </c>
      <c r="C27042" s="8" t="n">
        <v>31</v>
      </c>
      <c r="D27042" s="8" t="inlineStr">
        <is>
          <t>Disneyland Park</t>
        </is>
      </c>
      <c r="E27042" s="8" t="inlineStr">
        <is>
          <t>Autopia, presented by Avis</t>
        </is>
      </c>
      <c r="F27042" s="8" t="inlineStr">
        <is>
          <t>STANDBY</t>
        </is>
      </c>
      <c r="G27042" s="8" t="n">
        <v>40</v>
      </c>
      <c r="H27042" s="8" t="inlineStr">
        <is>
          <t>OPERATING</t>
        </is>
      </c>
    </row>
    <row r="27043">
      <c r="A27043" s="8" t="inlineStr">
        <is>
          <t>2026-08-05</t>
        </is>
      </c>
      <c r="B27043" s="8" t="n">
        <v>21</v>
      </c>
      <c r="C27043" s="8" t="n">
        <v>31</v>
      </c>
      <c r="D27043" s="8" t="inlineStr">
        <is>
          <t>Disneyland Park</t>
        </is>
      </c>
      <c r="E27043" s="8" t="inlineStr">
        <is>
          <t>Buzz Lightyear Laser Blast</t>
        </is>
      </c>
      <c r="F27043" s="8" t="inlineStr">
        <is>
          <t>STANDBY</t>
        </is>
      </c>
      <c r="G27043" s="8" t="n">
        <v>25</v>
      </c>
      <c r="H27043" s="8" t="inlineStr">
        <is>
          <t>OPERATING</t>
        </is>
      </c>
    </row>
    <row r="27044">
      <c r="A27044" s="8" t="inlineStr">
        <is>
          <t>2026-08-05</t>
        </is>
      </c>
      <c r="B27044" s="8" t="n">
        <v>21</v>
      </c>
      <c r="C27044" s="8" t="n">
        <v>31</v>
      </c>
      <c r="D27044" s="8" t="inlineStr">
        <is>
          <t>Disneyland Park</t>
        </is>
      </c>
      <c r="E27044" s="8" t="inlineStr">
        <is>
          <t>Disneyland Railroad Discoveryland Station</t>
        </is>
      </c>
      <c r="F27044" s="8" t="inlineStr">
        <is>
          <t>STANDBY</t>
        </is>
      </c>
      <c r="G27044" s="8" t="n">
        <v>0</v>
      </c>
      <c r="H27044" s="8" t="inlineStr">
        <is>
          <t>CLOSED</t>
        </is>
      </c>
    </row>
    <row r="27045">
      <c r="A27045" s="8" t="inlineStr">
        <is>
          <t>2026-08-05</t>
        </is>
      </c>
      <c r="B27045" s="8" t="n">
        <v>21</v>
      </c>
      <c r="C27045" s="8" t="n">
        <v>31</v>
      </c>
      <c r="D27045" s="8" t="inlineStr">
        <is>
          <t>Disneyland Park</t>
        </is>
      </c>
      <c r="E27045" s="8" t="inlineStr">
        <is>
          <t>Les Mystères du Nautilus</t>
        </is>
      </c>
      <c r="F27045" s="8" t="inlineStr">
        <is>
          <t>STANDBY</t>
        </is>
      </c>
      <c r="G27045" s="8" t="n">
        <v>5</v>
      </c>
      <c r="H27045" s="8" t="inlineStr">
        <is>
          <t>OPERATING</t>
        </is>
      </c>
    </row>
    <row r="27046">
      <c r="A27046" s="8" t="inlineStr">
        <is>
          <t>2026-08-05</t>
        </is>
      </c>
      <c r="B27046" s="8" t="n">
        <v>21</v>
      </c>
      <c r="C27046" s="8" t="n">
        <v>31</v>
      </c>
      <c r="D27046" s="8" t="inlineStr">
        <is>
          <t>Disneyland Park</t>
        </is>
      </c>
      <c r="E27046" s="8" t="inlineStr">
        <is>
          <t>Mickey’s PhilharMagic</t>
        </is>
      </c>
      <c r="F27046" s="8" t="inlineStr">
        <is>
          <t>STANDBY</t>
        </is>
      </c>
      <c r="G27046" s="8" t="n">
        <v>0</v>
      </c>
      <c r="H27046" s="8" t="inlineStr">
        <is>
          <t>CLOSED</t>
        </is>
      </c>
    </row>
    <row r="27047">
      <c r="A27047" s="8" t="inlineStr">
        <is>
          <t>2026-08-05</t>
        </is>
      </c>
      <c r="B27047" s="8" t="n">
        <v>21</v>
      </c>
      <c r="C27047" s="8" t="n">
        <v>31</v>
      </c>
      <c r="D27047" s="8" t="inlineStr">
        <is>
          <t>Disneyland Park</t>
        </is>
      </c>
      <c r="E27047" s="8" t="inlineStr">
        <is>
          <t>Orbitron®</t>
        </is>
      </c>
      <c r="F27047" s="8" t="inlineStr">
        <is>
          <t>STANDBY</t>
        </is>
      </c>
      <c r="G27047" s="8" t="n">
        <v>40</v>
      </c>
      <c r="H27047" s="8" t="inlineStr">
        <is>
          <t>OPERATING</t>
        </is>
      </c>
    </row>
    <row r="27048">
      <c r="A27048" s="8" t="inlineStr">
        <is>
          <t>2026-08-05</t>
        </is>
      </c>
      <c r="B27048" s="8" t="n">
        <v>21</v>
      </c>
      <c r="C27048" s="8" t="n">
        <v>31</v>
      </c>
      <c r="D27048" s="8" t="inlineStr">
        <is>
          <t>Disneyland Park</t>
        </is>
      </c>
      <c r="E27048" s="8" t="inlineStr">
        <is>
          <t>Star Tours: The Adventures Continue*</t>
        </is>
      </c>
      <c r="F27048" s="8" t="inlineStr">
        <is>
          <t>STANDBY</t>
        </is>
      </c>
      <c r="G27048" s="8" t="n">
        <v>10</v>
      </c>
      <c r="H27048" s="8" t="inlineStr">
        <is>
          <t>OPERATING</t>
        </is>
      </c>
    </row>
    <row r="27049">
      <c r="A27049" s="8" t="inlineStr">
        <is>
          <t>2026-08-05</t>
        </is>
      </c>
      <c r="B27049" s="8" t="n">
        <v>21</v>
      </c>
      <c r="C27049" s="8" t="n">
        <v>31</v>
      </c>
      <c r="D27049" s="8" t="inlineStr">
        <is>
          <t>Disneyland Park</t>
        </is>
      </c>
      <c r="E27049" s="8" t="inlineStr">
        <is>
          <t>Star Wars Hyperspace Mountain</t>
        </is>
      </c>
      <c r="F27049" s="8" t="inlineStr">
        <is>
          <t>STANDBY</t>
        </is>
      </c>
      <c r="G27049" s="8" t="n">
        <v>20</v>
      </c>
      <c r="H27049" s="8" t="inlineStr">
        <is>
          <t>OPERATING</t>
        </is>
      </c>
    </row>
    <row r="27050">
      <c r="A27050" s="8" t="inlineStr">
        <is>
          <t>2026-08-05</t>
        </is>
      </c>
      <c r="B27050" s="8" t="n">
        <v>21</v>
      </c>
      <c r="C27050" s="8" t="n">
        <v>31</v>
      </c>
      <c r="D27050" s="8" t="inlineStr">
        <is>
          <t>Disneyland Park</t>
        </is>
      </c>
      <c r="E27050" s="8" t="inlineStr">
        <is>
          <t>Star Wars Hyperspace Mountain Single Rider</t>
        </is>
      </c>
      <c r="F27050" s="8" t="inlineStr">
        <is>
          <t>STANDBY</t>
        </is>
      </c>
      <c r="G27050" s="8" t="n">
        <v>0</v>
      </c>
      <c r="H27050" s="8" t="inlineStr">
        <is>
          <t>OPERATING</t>
        </is>
      </c>
    </row>
    <row r="27051">
      <c r="A27051" s="8" t="inlineStr">
        <is>
          <t>2026-08-05</t>
        </is>
      </c>
      <c r="B27051" s="8" t="n">
        <v>21</v>
      </c>
      <c r="C27051" s="8" t="n">
        <v>31</v>
      </c>
      <c r="D27051" s="8" t="inlineStr">
        <is>
          <t>Disneyland Park</t>
        </is>
      </c>
      <c r="E27051" s="8" t="inlineStr">
        <is>
          <t>Welcome to Starport: A Star Wars Encounter</t>
        </is>
      </c>
      <c r="F27051" s="8" t="inlineStr">
        <is>
          <t>STANDBY</t>
        </is>
      </c>
      <c r="G27051" s="8" t="n">
        <v>0</v>
      </c>
      <c r="H27051" s="8" t="inlineStr">
        <is>
          <t>CLOSED</t>
        </is>
      </c>
    </row>
    <row r="27052">
      <c r="A27052" s="8" t="inlineStr">
        <is>
          <t>2026-08-05</t>
        </is>
      </c>
      <c r="B27052" s="8" t="n">
        <v>21</v>
      </c>
      <c r="C27052" s="8" t="n">
        <v>31</v>
      </c>
      <c r="D27052" s="8" t="inlineStr">
        <is>
          <t>Disneyland Park</t>
        </is>
      </c>
      <c r="E27052" s="8" t="inlineStr">
        <is>
          <t>"it's a small world"</t>
        </is>
      </c>
      <c r="F27052" s="8" t="inlineStr">
        <is>
          <t>STANDBY</t>
        </is>
      </c>
      <c r="G27052" s="8" t="n">
        <v>5</v>
      </c>
      <c r="H27052" s="8" t="inlineStr">
        <is>
          <t>OPERATING</t>
        </is>
      </c>
    </row>
    <row r="27053">
      <c r="A27053" s="8" t="inlineStr">
        <is>
          <t>2026-08-05</t>
        </is>
      </c>
      <c r="B27053" s="8" t="n">
        <v>21</v>
      </c>
      <c r="C27053" s="8" t="n">
        <v>31</v>
      </c>
      <c r="D27053" s="8" t="inlineStr">
        <is>
          <t>Disneyland Park</t>
        </is>
      </c>
      <c r="E27053" s="8" t="inlineStr">
        <is>
          <t>Alice's Curious Labyrinth</t>
        </is>
      </c>
      <c r="F27053" s="8" t="inlineStr">
        <is>
          <t>STANDBY</t>
        </is>
      </c>
      <c r="G27053" s="8" t="n">
        <v>0</v>
      </c>
      <c r="H27053" s="8" t="inlineStr">
        <is>
          <t>CLOSED</t>
        </is>
      </c>
    </row>
    <row r="27054">
      <c r="A27054" s="8" t="inlineStr">
        <is>
          <t>2026-08-05</t>
        </is>
      </c>
      <c r="B27054" s="8" t="n">
        <v>21</v>
      </c>
      <c r="C27054" s="8" t="n">
        <v>31</v>
      </c>
      <c r="D27054" s="8" t="inlineStr">
        <is>
          <t>Disneyland Park</t>
        </is>
      </c>
      <c r="E27054" s="8" t="inlineStr">
        <is>
          <t>Blanche-Neige et les Sept Nains®</t>
        </is>
      </c>
      <c r="F27054" s="8" t="inlineStr">
        <is>
          <t>STANDBY</t>
        </is>
      </c>
      <c r="G27054" s="8" t="n">
        <v>0</v>
      </c>
      <c r="H27054" s="8" t="inlineStr">
        <is>
          <t>CLOSED</t>
        </is>
      </c>
    </row>
    <row r="27055">
      <c r="A27055" s="8" t="inlineStr">
        <is>
          <t>2026-08-05</t>
        </is>
      </c>
      <c r="B27055" s="8" t="n">
        <v>21</v>
      </c>
      <c r="C27055" s="8" t="n">
        <v>31</v>
      </c>
      <c r="D27055" s="8" t="inlineStr">
        <is>
          <t>Disneyland Park</t>
        </is>
      </c>
      <c r="E27055" s="8" t="inlineStr">
        <is>
          <t>Casey Jr. – le Petit Train du Cirque</t>
        </is>
      </c>
      <c r="F27055" s="8" t="inlineStr">
        <is>
          <t>STANDBY</t>
        </is>
      </c>
      <c r="G27055" s="8" t="n">
        <v>0</v>
      </c>
      <c r="H27055" s="8" t="inlineStr">
        <is>
          <t>CLOSED</t>
        </is>
      </c>
    </row>
    <row r="27056">
      <c r="A27056" s="8" t="inlineStr">
        <is>
          <t>2026-08-05</t>
        </is>
      </c>
      <c r="B27056" s="8" t="n">
        <v>21</v>
      </c>
      <c r="C27056" s="8" t="n">
        <v>31</v>
      </c>
      <c r="D27056" s="8" t="inlineStr">
        <is>
          <t>Disneyland Park</t>
        </is>
      </c>
      <c r="E27056" s="8" t="inlineStr">
        <is>
          <t>Disneyland Railroad Fantasyland Station</t>
        </is>
      </c>
      <c r="F27056" s="8" t="inlineStr">
        <is>
          <t>STANDBY</t>
        </is>
      </c>
      <c r="G27056" s="8" t="n">
        <v>0</v>
      </c>
      <c r="H27056" s="8" t="inlineStr">
        <is>
          <t>CLOSED</t>
        </is>
      </c>
    </row>
    <row r="27057">
      <c r="A27057" s="8" t="inlineStr">
        <is>
          <t>2026-08-05</t>
        </is>
      </c>
      <c r="B27057" s="8" t="n">
        <v>21</v>
      </c>
      <c r="C27057" s="8" t="n">
        <v>31</v>
      </c>
      <c r="D27057" s="8" t="inlineStr">
        <is>
          <t>Disneyland Park</t>
        </is>
      </c>
      <c r="E27057" s="8" t="inlineStr">
        <is>
          <t>Disneyland Railroad Main Street Station</t>
        </is>
      </c>
      <c r="F27057" s="8" t="inlineStr">
        <is>
          <t>STANDBY</t>
        </is>
      </c>
      <c r="G27057" s="8" t="n">
        <v>0</v>
      </c>
      <c r="H27057" s="8" t="inlineStr">
        <is>
          <t>CLOSED</t>
        </is>
      </c>
    </row>
    <row r="27058">
      <c r="A27058" s="8" t="inlineStr">
        <is>
          <t>2026-08-05</t>
        </is>
      </c>
      <c r="B27058" s="8" t="n">
        <v>21</v>
      </c>
      <c r="C27058" s="8" t="n">
        <v>31</v>
      </c>
      <c r="D27058" s="8" t="inlineStr">
        <is>
          <t>Disneyland Park</t>
        </is>
      </c>
      <c r="E27058" s="8" t="inlineStr">
        <is>
          <t>Dumbo the Flying Elephant</t>
        </is>
      </c>
      <c r="F27058" s="8" t="inlineStr">
        <is>
          <t>STANDBY</t>
        </is>
      </c>
      <c r="G27058" s="8" t="n">
        <v>20</v>
      </c>
      <c r="H27058" s="8" t="inlineStr">
        <is>
          <t>OPERATING</t>
        </is>
      </c>
    </row>
    <row r="27059">
      <c r="A27059" s="8" t="inlineStr">
        <is>
          <t>2026-08-05</t>
        </is>
      </c>
      <c r="B27059" s="8" t="n">
        <v>21</v>
      </c>
      <c r="C27059" s="8" t="n">
        <v>31</v>
      </c>
      <c r="D27059" s="8" t="inlineStr">
        <is>
          <t>Disneyland Park</t>
        </is>
      </c>
      <c r="E27059" s="8" t="inlineStr">
        <is>
          <t>La Tanière du Dragon</t>
        </is>
      </c>
      <c r="F27059" s="8" t="inlineStr">
        <is>
          <t>STANDBY</t>
        </is>
      </c>
      <c r="G27059" s="8" t="n">
        <v>0</v>
      </c>
      <c r="H27059" s="8" t="inlineStr">
        <is>
          <t>CLOSED</t>
        </is>
      </c>
    </row>
    <row r="27060">
      <c r="A27060" s="8" t="inlineStr">
        <is>
          <t>2026-08-05</t>
        </is>
      </c>
      <c r="B27060" s="8" t="n">
        <v>21</v>
      </c>
      <c r="C27060" s="8" t="n">
        <v>31</v>
      </c>
      <c r="D27060" s="8" t="inlineStr">
        <is>
          <t>Disneyland Park</t>
        </is>
      </c>
      <c r="E27060" s="8" t="inlineStr">
        <is>
          <t>Le Carrousel de Lancelot</t>
        </is>
      </c>
      <c r="F27060" s="8" t="inlineStr">
        <is>
          <t>STANDBY</t>
        </is>
      </c>
      <c r="G27060" s="8" t="n">
        <v>15</v>
      </c>
      <c r="H27060" s="8" t="inlineStr">
        <is>
          <t>OPERATING</t>
        </is>
      </c>
    </row>
    <row r="27061">
      <c r="A27061" s="8" t="inlineStr">
        <is>
          <t>2026-08-05</t>
        </is>
      </c>
      <c r="B27061" s="8" t="n">
        <v>21</v>
      </c>
      <c r="C27061" s="8" t="n">
        <v>31</v>
      </c>
      <c r="D27061" s="8" t="inlineStr">
        <is>
          <t>Disneyland Park</t>
        </is>
      </c>
      <c r="E27061" s="8" t="inlineStr">
        <is>
          <t>Le Pays des Contes de Fées, presented by Vittel</t>
        </is>
      </c>
      <c r="F27061" s="8" t="inlineStr">
        <is>
          <t>STANDBY</t>
        </is>
      </c>
      <c r="G27061" s="8" t="n">
        <v>0</v>
      </c>
      <c r="H27061" s="8" t="inlineStr">
        <is>
          <t>CLOSED</t>
        </is>
      </c>
    </row>
    <row r="27062">
      <c r="A27062" s="8" t="inlineStr">
        <is>
          <t>2026-08-05</t>
        </is>
      </c>
      <c r="B27062" s="8" t="n">
        <v>21</v>
      </c>
      <c r="C27062" s="8" t="n">
        <v>31</v>
      </c>
      <c r="D27062" s="8" t="inlineStr">
        <is>
          <t>Disneyland Park</t>
        </is>
      </c>
      <c r="E27062" s="8" t="inlineStr">
        <is>
          <t>Les Voyages de Pinocchio</t>
        </is>
      </c>
      <c r="F27062" s="8" t="inlineStr">
        <is>
          <t>STANDBY</t>
        </is>
      </c>
      <c r="G27062" s="8" t="n">
        <v>15</v>
      </c>
      <c r="H27062" s="8" t="inlineStr">
        <is>
          <t>OPERATING</t>
        </is>
      </c>
    </row>
    <row r="27063">
      <c r="A27063" s="8" t="inlineStr">
        <is>
          <t>2026-08-05</t>
        </is>
      </c>
      <c r="B27063" s="8" t="n">
        <v>21</v>
      </c>
      <c r="C27063" s="8" t="n">
        <v>31</v>
      </c>
      <c r="D27063" s="8" t="inlineStr">
        <is>
          <t>Disneyland Park</t>
        </is>
      </c>
      <c r="E27063" s="8" t="inlineStr">
        <is>
          <t>Mad Hatter's Tea Cups</t>
        </is>
      </c>
      <c r="F27063" s="8" t="inlineStr">
        <is>
          <t>STANDBY</t>
        </is>
      </c>
      <c r="G27063" s="8" t="n">
        <v>5</v>
      </c>
      <c r="H27063" s="8" t="inlineStr">
        <is>
          <t>OPERATING</t>
        </is>
      </c>
    </row>
    <row r="27064">
      <c r="A27064" s="8" t="inlineStr">
        <is>
          <t>2026-08-05</t>
        </is>
      </c>
      <c r="B27064" s="8" t="n">
        <v>21</v>
      </c>
      <c r="C27064" s="8" t="n">
        <v>31</v>
      </c>
      <c r="D27064" s="8" t="inlineStr">
        <is>
          <t>Disneyland Park</t>
        </is>
      </c>
      <c r="E27064" s="8" t="inlineStr">
        <is>
          <t>Meet Mickey Mouse</t>
        </is>
      </c>
      <c r="F27064" s="8" t="inlineStr">
        <is>
          <t>STANDBY</t>
        </is>
      </c>
      <c r="G27064" s="8" t="n">
        <v>0</v>
      </c>
      <c r="H27064" s="8" t="inlineStr">
        <is>
          <t>CLOSED</t>
        </is>
      </c>
    </row>
    <row r="27065">
      <c r="A27065" s="8" t="inlineStr">
        <is>
          <t>2026-08-05</t>
        </is>
      </c>
      <c r="B27065" s="8" t="n">
        <v>21</v>
      </c>
      <c r="C27065" s="8" t="n">
        <v>31</v>
      </c>
      <c r="D27065" s="8" t="inlineStr">
        <is>
          <t>Disneyland Park</t>
        </is>
      </c>
      <c r="E27065" s="8" t="inlineStr">
        <is>
          <t>Peter Pan's Flight</t>
        </is>
      </c>
      <c r="F27065" s="8" t="inlineStr">
        <is>
          <t>STANDBY</t>
        </is>
      </c>
      <c r="G27065" s="8" t="n">
        <v>55</v>
      </c>
      <c r="H27065" s="8" t="inlineStr">
        <is>
          <t>OPERATING</t>
        </is>
      </c>
    </row>
    <row r="27066">
      <c r="A27066" s="8" t="inlineStr">
        <is>
          <t>2026-08-05</t>
        </is>
      </c>
      <c r="B27066" s="8" t="n">
        <v>21</v>
      </c>
      <c r="C27066" s="8" t="n">
        <v>31</v>
      </c>
      <c r="D27066" s="8" t="inlineStr">
        <is>
          <t>Disneyland Park</t>
        </is>
      </c>
      <c r="E27066" s="8" t="inlineStr">
        <is>
          <t>Princess Pavilion</t>
        </is>
      </c>
      <c r="F27066" s="8" t="inlineStr">
        <is>
          <t>STANDBY</t>
        </is>
      </c>
      <c r="G27066" s="8" t="n">
        <v>0</v>
      </c>
      <c r="H27066" s="8" t="inlineStr">
        <is>
          <t>CLOSED</t>
        </is>
      </c>
    </row>
    <row r="27067">
      <c r="A27067" s="8" t="inlineStr">
        <is>
          <t>2026-08-05</t>
        </is>
      </c>
      <c r="B27067" s="8" t="n">
        <v>21</v>
      </c>
      <c r="C27067" s="8" t="n">
        <v>31</v>
      </c>
      <c r="D27067" s="8" t="inlineStr">
        <is>
          <t>Disneyland Park</t>
        </is>
      </c>
      <c r="E27067" s="8" t="inlineStr">
        <is>
          <t>Big Thunder Mountain</t>
        </is>
      </c>
      <c r="F27067" s="8" t="inlineStr">
        <is>
          <t>STANDBY</t>
        </is>
      </c>
      <c r="G27067" s="8" t="n">
        <v>55</v>
      </c>
      <c r="H27067" s="8" t="inlineStr">
        <is>
          <t>OPERATING</t>
        </is>
      </c>
    </row>
    <row r="27068">
      <c r="A27068" s="8" t="inlineStr">
        <is>
          <t>2026-08-05</t>
        </is>
      </c>
      <c r="B27068" s="8" t="n">
        <v>21</v>
      </c>
      <c r="C27068" s="8" t="n">
        <v>31</v>
      </c>
      <c r="D27068" s="8" t="inlineStr">
        <is>
          <t>Disneyland Park</t>
        </is>
      </c>
      <c r="E27068" s="8" t="inlineStr">
        <is>
          <t>Disneyland Railroad Frontierland Depot</t>
        </is>
      </c>
      <c r="F27068" s="8" t="inlineStr">
        <is>
          <t>STANDBY</t>
        </is>
      </c>
      <c r="G27068" s="8" t="n">
        <v>0</v>
      </c>
      <c r="H27068" s="8" t="inlineStr">
        <is>
          <t>CLOSED</t>
        </is>
      </c>
    </row>
    <row r="27069">
      <c r="A27069" s="8" t="inlineStr">
        <is>
          <t>2026-08-05</t>
        </is>
      </c>
      <c r="B27069" s="8" t="n">
        <v>21</v>
      </c>
      <c r="C27069" s="8" t="n">
        <v>31</v>
      </c>
      <c r="D27069" s="8" t="inlineStr">
        <is>
          <t>Disneyland Park</t>
        </is>
      </c>
      <c r="E27069" s="8" t="inlineStr">
        <is>
          <t>Frontierland Playground</t>
        </is>
      </c>
      <c r="F27069" s="8" t="inlineStr">
        <is>
          <t>STANDBY</t>
        </is>
      </c>
      <c r="G27069" s="8" t="n">
        <v>0</v>
      </c>
      <c r="H27069" s="8" t="inlineStr">
        <is>
          <t>CLOSED</t>
        </is>
      </c>
    </row>
    <row r="27070">
      <c r="A27070" s="8" t="inlineStr">
        <is>
          <t>2026-08-05</t>
        </is>
      </c>
      <c r="B27070" s="8" t="n">
        <v>21</v>
      </c>
      <c r="C27070" s="8" t="n">
        <v>31</v>
      </c>
      <c r="D27070" s="8" t="inlineStr">
        <is>
          <t>Disneyland Park</t>
        </is>
      </c>
      <c r="E27070" s="8" t="inlineStr">
        <is>
          <t>Phantom Manor</t>
        </is>
      </c>
      <c r="F27070" s="8" t="inlineStr">
        <is>
          <t>STANDBY</t>
        </is>
      </c>
      <c r="G27070" s="8" t="n">
        <v>5</v>
      </c>
      <c r="H27070" s="8" t="inlineStr">
        <is>
          <t>OPERATING</t>
        </is>
      </c>
    </row>
    <row r="27071">
      <c r="A27071" s="8" t="inlineStr">
        <is>
          <t>2026-08-05</t>
        </is>
      </c>
      <c r="B27071" s="8" t="n">
        <v>21</v>
      </c>
      <c r="C27071" s="8" t="n">
        <v>31</v>
      </c>
      <c r="D27071" s="8" t="inlineStr">
        <is>
          <t>Disneyland Park</t>
        </is>
      </c>
      <c r="E27071" s="8" t="inlineStr">
        <is>
          <t>River Rogue Keelboats</t>
        </is>
      </c>
      <c r="F27071" s="8" t="inlineStr">
        <is>
          <t>STANDBY</t>
        </is>
      </c>
      <c r="G27071" s="8" t="n">
        <v>0</v>
      </c>
      <c r="H27071" s="8" t="inlineStr">
        <is>
          <t>CLOSED</t>
        </is>
      </c>
    </row>
    <row r="27072">
      <c r="A27072" s="8" t="inlineStr">
        <is>
          <t>2026-08-05</t>
        </is>
      </c>
      <c r="B27072" s="8" t="n">
        <v>21</v>
      </c>
      <c r="C27072" s="8" t="n">
        <v>31</v>
      </c>
      <c r="D27072" s="8" t="inlineStr">
        <is>
          <t>Disneyland Park</t>
        </is>
      </c>
      <c r="E27072" s="8" t="inlineStr">
        <is>
          <t>Rustler Roundup Shootin' Gallery</t>
        </is>
      </c>
      <c r="F27072" s="8" t="inlineStr">
        <is>
          <t>STANDBY</t>
        </is>
      </c>
      <c r="G27072" s="8" t="n">
        <v>0</v>
      </c>
      <c r="H27072" s="8" t="inlineStr">
        <is>
          <t>OPERATING</t>
        </is>
      </c>
    </row>
    <row r="27073">
      <c r="A27073" s="8" t="inlineStr">
        <is>
          <t>2026-08-05</t>
        </is>
      </c>
      <c r="B27073" s="8" t="n">
        <v>21</v>
      </c>
      <c r="C27073" s="8" t="n">
        <v>31</v>
      </c>
      <c r="D27073" s="8" t="inlineStr">
        <is>
          <t>Disneyland Park</t>
        </is>
      </c>
      <c r="E27073" s="8" t="inlineStr">
        <is>
          <t>Thunder Mesa Riverboat Landing</t>
        </is>
      </c>
      <c r="F27073" s="8" t="inlineStr">
        <is>
          <t>STANDBY</t>
        </is>
      </c>
      <c r="G27073" s="8" t="n">
        <v>0</v>
      </c>
      <c r="H27073" s="8" t="inlineStr">
        <is>
          <t>CLOSED</t>
        </is>
      </c>
    </row>
    <row r="27074">
      <c r="A27074" s="8" t="inlineStr">
        <is>
          <t>2026-08-05</t>
        </is>
      </c>
      <c r="B27074" s="8" t="n">
        <v>21</v>
      </c>
      <c r="C27074" s="8" t="n">
        <v>31</v>
      </c>
      <c r="D27074" s="8" t="inlineStr">
        <is>
          <t>Disneyland Park</t>
        </is>
      </c>
      <c r="E27074" s="8" t="inlineStr">
        <is>
          <t>Disneyland Railroad Main Street Station</t>
        </is>
      </c>
      <c r="F27074" s="8" t="inlineStr">
        <is>
          <t>STANDBY</t>
        </is>
      </c>
      <c r="G27074" s="8" t="n">
        <v>0</v>
      </c>
      <c r="H27074" s="8" t="inlineStr">
        <is>
          <t>CLOSED</t>
        </is>
      </c>
    </row>
    <row r="27075">
      <c r="A27075" s="8" t="inlineStr">
        <is>
          <t>2026-08-05</t>
        </is>
      </c>
      <c r="B27075" s="8" t="n">
        <v>21</v>
      </c>
      <c r="C27075" s="8" t="n">
        <v>31</v>
      </c>
      <c r="D27075" s="8" t="inlineStr">
        <is>
          <t>Disneyland Park</t>
        </is>
      </c>
      <c r="E27075" s="8" t="inlineStr">
        <is>
          <t>Main Street Vehicles</t>
        </is>
      </c>
      <c r="F27075" s="8" t="inlineStr">
        <is>
          <t>STANDBY</t>
        </is>
      </c>
      <c r="G27075" s="8" t="n">
        <v>0</v>
      </c>
      <c r="H27075" s="8" t="inlineStr">
        <is>
          <t>CLOSED</t>
        </is>
      </c>
    </row>
    <row r="27076">
      <c r="A27076" s="8" t="inlineStr">
        <is>
          <t>2026-08-05</t>
        </is>
      </c>
      <c r="B27076" s="8" t="n">
        <v>21</v>
      </c>
      <c r="C27076" s="8" t="n">
        <v>31</v>
      </c>
      <c r="D27076" s="8" t="inlineStr">
        <is>
          <t>Disney Adventure World</t>
        </is>
      </c>
      <c r="E27076" s="8" t="inlineStr">
        <is>
          <t>Avengers Assemble: Flight Force</t>
        </is>
      </c>
      <c r="F27076" s="8" t="inlineStr">
        <is>
          <t>STANDBY</t>
        </is>
      </c>
      <c r="G27076" s="8" t="n">
        <v>5</v>
      </c>
      <c r="H27076" s="8" t="inlineStr">
        <is>
          <t>OPERATING</t>
        </is>
      </c>
    </row>
    <row r="27077">
      <c r="A27077" s="8" t="inlineStr">
        <is>
          <t>2026-08-05</t>
        </is>
      </c>
      <c r="B27077" s="8" t="n">
        <v>21</v>
      </c>
      <c r="C27077" s="8" t="n">
        <v>31</v>
      </c>
      <c r="D27077" s="8" t="inlineStr">
        <is>
          <t>Disney Adventure World</t>
        </is>
      </c>
      <c r="E27077" s="8" t="inlineStr">
        <is>
          <t>Avengers Assemble: Flight Force Single Rider</t>
        </is>
      </c>
      <c r="F27077" s="8" t="inlineStr">
        <is>
          <t>STANDBY</t>
        </is>
      </c>
      <c r="G27077" s="8" t="n">
        <v>5</v>
      </c>
      <c r="H27077" s="8" t="inlineStr">
        <is>
          <t>OPERATING</t>
        </is>
      </c>
    </row>
    <row r="27078">
      <c r="A27078" s="8" t="inlineStr">
        <is>
          <t>2026-08-05</t>
        </is>
      </c>
      <c r="B27078" s="8" t="n">
        <v>21</v>
      </c>
      <c r="C27078" s="8" t="n">
        <v>31</v>
      </c>
      <c r="D27078" s="8" t="inlineStr">
        <is>
          <t>Disney Adventure World</t>
        </is>
      </c>
      <c r="E27078" s="8" t="inlineStr">
        <is>
          <t>Spider-Man W.E.B. Adventure</t>
        </is>
      </c>
      <c r="F27078" s="8" t="inlineStr">
        <is>
          <t>STANDBY</t>
        </is>
      </c>
      <c r="G27078" s="8" t="n">
        <v>20</v>
      </c>
      <c r="H27078" s="8" t="inlineStr">
        <is>
          <t>OPERATING</t>
        </is>
      </c>
    </row>
    <row r="27079">
      <c r="A27079" s="8" t="inlineStr">
        <is>
          <t>2026-08-05</t>
        </is>
      </c>
      <c r="B27079" s="8" t="n">
        <v>21</v>
      </c>
      <c r="C27079" s="8" t="n">
        <v>31</v>
      </c>
      <c r="D27079" s="8" t="inlineStr">
        <is>
          <t>Disney Adventure World</t>
        </is>
      </c>
      <c r="E27079" s="8" t="inlineStr">
        <is>
          <t>Spider-Man W.E.B. Adventure Single Rider</t>
        </is>
      </c>
      <c r="F27079" s="8" t="inlineStr">
        <is>
          <t>STANDBY</t>
        </is>
      </c>
      <c r="G27079" s="8" t="n">
        <v>5</v>
      </c>
      <c r="H27079" s="8" t="inlineStr">
        <is>
          <t>OPERATING</t>
        </is>
      </c>
    </row>
    <row r="27080">
      <c r="A27080" s="8" t="inlineStr">
        <is>
          <t>2026-08-05</t>
        </is>
      </c>
      <c r="B27080" s="8" t="n">
        <v>21</v>
      </c>
      <c r="C27080" s="8" t="n">
        <v>31</v>
      </c>
      <c r="D27080" s="8" t="inlineStr">
        <is>
          <t>Disney Adventure World</t>
        </is>
      </c>
      <c r="E27080" s="8" t="inlineStr">
        <is>
          <t>The Twilight Zone Tower of Terror</t>
        </is>
      </c>
      <c r="F27080" s="8" t="inlineStr">
        <is>
          <t>STANDBY</t>
        </is>
      </c>
      <c r="G27080" s="8" t="n">
        <v>20</v>
      </c>
      <c r="H27080" s="8" t="inlineStr">
        <is>
          <t>OPERATING</t>
        </is>
      </c>
    </row>
    <row r="27081">
      <c r="A27081" s="8" t="inlineStr">
        <is>
          <t>2026-08-05</t>
        </is>
      </c>
      <c r="B27081" s="8" t="n">
        <v>21</v>
      </c>
      <c r="C27081" s="8" t="n">
        <v>31</v>
      </c>
      <c r="D27081" s="8" t="inlineStr">
        <is>
          <t>Disney Adventure World</t>
        </is>
      </c>
      <c r="E27081" s="8" t="inlineStr">
        <is>
          <t>Cars Quatre Roues Rallye</t>
        </is>
      </c>
      <c r="F27081" s="8" t="inlineStr">
        <is>
          <t>STANDBY</t>
        </is>
      </c>
      <c r="G27081" s="8" t="n">
        <v>10</v>
      </c>
      <c r="H27081" s="8" t="inlineStr">
        <is>
          <t>OPERATING</t>
        </is>
      </c>
    </row>
    <row r="27082">
      <c r="A27082" s="8" t="inlineStr">
        <is>
          <t>2026-08-05</t>
        </is>
      </c>
      <c r="B27082" s="8" t="n">
        <v>21</v>
      </c>
      <c r="C27082" s="8" t="n">
        <v>31</v>
      </c>
      <c r="D27082" s="8" t="inlineStr">
        <is>
          <t>Disney Adventure World</t>
        </is>
      </c>
      <c r="E27082" s="8" t="inlineStr">
        <is>
          <t>Cars ROAD TRIP</t>
        </is>
      </c>
      <c r="F27082" s="8" t="inlineStr">
        <is>
          <t>STANDBY</t>
        </is>
      </c>
      <c r="G27082" s="8" t="n">
        <v>0</v>
      </c>
      <c r="H27082" s="8" t="inlineStr">
        <is>
          <t>CLOSED</t>
        </is>
      </c>
    </row>
    <row r="27083">
      <c r="A27083" s="8" t="inlineStr">
        <is>
          <t>2026-08-05</t>
        </is>
      </c>
      <c r="B27083" s="8" t="n">
        <v>21</v>
      </c>
      <c r="C27083" s="8" t="n">
        <v>31</v>
      </c>
      <c r="D27083" s="8" t="inlineStr">
        <is>
          <t>Disney Adventure World</t>
        </is>
      </c>
      <c r="E27083" s="8" t="inlineStr">
        <is>
          <t>Crush's Coaster</t>
        </is>
      </c>
      <c r="F27083" s="8" t="inlineStr">
        <is>
          <t>STANDBY</t>
        </is>
      </c>
      <c r="G27083" s="8" t="n">
        <v>0</v>
      </c>
      <c r="H27083" s="8" t="inlineStr">
        <is>
          <t>CLOSED</t>
        </is>
      </c>
    </row>
    <row r="27084">
      <c r="A27084" s="8" t="inlineStr">
        <is>
          <t>2026-08-05</t>
        </is>
      </c>
      <c r="B27084" s="8" t="n">
        <v>21</v>
      </c>
      <c r="C27084" s="8" t="n">
        <v>31</v>
      </c>
      <c r="D27084" s="8" t="inlineStr">
        <is>
          <t>Disney Adventure World</t>
        </is>
      </c>
      <c r="E27084" s="8" t="inlineStr">
        <is>
          <t>Crush's Coaster Single Rider</t>
        </is>
      </c>
      <c r="F27084" s="8" t="inlineStr">
        <is>
          <t>STANDBY</t>
        </is>
      </c>
      <c r="G27084" s="8" t="n">
        <v>0</v>
      </c>
      <c r="H27084" s="8" t="inlineStr">
        <is>
          <t>CLOSED</t>
        </is>
      </c>
    </row>
    <row r="27085">
      <c r="A27085" s="8" t="inlineStr">
        <is>
          <t>2026-08-05</t>
        </is>
      </c>
      <c r="B27085" s="8" t="n">
        <v>21</v>
      </c>
      <c r="C27085" s="8" t="n">
        <v>31</v>
      </c>
      <c r="D27085" s="8" t="inlineStr">
        <is>
          <t>Disney Adventure World</t>
        </is>
      </c>
      <c r="E27085" s="8" t="inlineStr">
        <is>
          <t>Les Tapis Volants - Flying Carpets Over Agrabah®</t>
        </is>
      </c>
      <c r="F27085" s="8" t="inlineStr">
        <is>
          <t>STANDBY</t>
        </is>
      </c>
      <c r="G27085" s="8" t="n">
        <v>5</v>
      </c>
      <c r="H27085" s="8" t="inlineStr">
        <is>
          <t>OPERATING</t>
        </is>
      </c>
    </row>
    <row r="27086">
      <c r="A27086" s="8" t="inlineStr">
        <is>
          <t>2026-08-05</t>
        </is>
      </c>
      <c r="B27086" s="8" t="n">
        <v>21</v>
      </c>
      <c r="C27086" s="8" t="n">
        <v>31</v>
      </c>
      <c r="D27086" s="8" t="inlineStr">
        <is>
          <t>Disney Adventure World</t>
        </is>
      </c>
      <c r="E27086" s="8" t="inlineStr">
        <is>
          <t>Ratatouille : L’Aventure Totalement Toquée de Rémy​</t>
        </is>
      </c>
      <c r="F27086" s="8" t="inlineStr">
        <is>
          <t>STANDBY</t>
        </is>
      </c>
      <c r="G27086" s="8" t="n">
        <v>35</v>
      </c>
      <c r="H27086" s="8" t="inlineStr">
        <is>
          <t>OPERATING</t>
        </is>
      </c>
    </row>
    <row r="27087">
      <c r="A27087" s="8" t="inlineStr">
        <is>
          <t>2026-08-05</t>
        </is>
      </c>
      <c r="B27087" s="8" t="n">
        <v>21</v>
      </c>
      <c r="C27087" s="8" t="n">
        <v>31</v>
      </c>
      <c r="D27087" s="8" t="inlineStr">
        <is>
          <t>Disney Adventure World</t>
        </is>
      </c>
      <c r="E27087" s="8" t="inlineStr">
        <is>
          <t>Ratatouille: The Adventure Single Rider</t>
        </is>
      </c>
      <c r="F27087" s="8" t="inlineStr">
        <is>
          <t>STANDBY</t>
        </is>
      </c>
      <c r="G27087" s="8" t="n">
        <v>10</v>
      </c>
      <c r="H27087" s="8" t="inlineStr">
        <is>
          <t>OPERATING</t>
        </is>
      </c>
    </row>
    <row r="27088">
      <c r="A27088" s="8" t="inlineStr">
        <is>
          <t>2026-08-05</t>
        </is>
      </c>
      <c r="B27088" s="8" t="n">
        <v>21</v>
      </c>
      <c r="C27088" s="8" t="n">
        <v>31</v>
      </c>
      <c r="D27088" s="8" t="inlineStr">
        <is>
          <t>Disney Adventure World</t>
        </is>
      </c>
      <c r="E27088" s="8" t="inlineStr">
        <is>
          <t>RC Racer</t>
        </is>
      </c>
      <c r="F27088" s="8" t="inlineStr">
        <is>
          <t>STANDBY</t>
        </is>
      </c>
      <c r="G27088" s="8" t="n">
        <v>30</v>
      </c>
      <c r="H27088" s="8" t="inlineStr">
        <is>
          <t>OPERATING</t>
        </is>
      </c>
    </row>
    <row r="27089">
      <c r="A27089" s="8" t="inlineStr">
        <is>
          <t>2026-08-05</t>
        </is>
      </c>
      <c r="B27089" s="8" t="n">
        <v>21</v>
      </c>
      <c r="C27089" s="8" t="n">
        <v>31</v>
      </c>
      <c r="D27089" s="8" t="inlineStr">
        <is>
          <t>Disney Adventure World</t>
        </is>
      </c>
      <c r="E27089" s="8" t="inlineStr">
        <is>
          <t>RC Racer Single Rider</t>
        </is>
      </c>
      <c r="F27089" s="8" t="inlineStr">
        <is>
          <t>STANDBY</t>
        </is>
      </c>
      <c r="G27089" s="8" t="n">
        <v>25</v>
      </c>
      <c r="H27089" s="8" t="inlineStr">
        <is>
          <t>OPERATING</t>
        </is>
      </c>
    </row>
    <row r="27090">
      <c r="A27090" s="8" t="inlineStr">
        <is>
          <t>2026-08-05</t>
        </is>
      </c>
      <c r="B27090" s="8" t="n">
        <v>21</v>
      </c>
      <c r="C27090" s="8" t="n">
        <v>31</v>
      </c>
      <c r="D27090" s="8" t="inlineStr">
        <is>
          <t>Disney Adventure World</t>
        </is>
      </c>
      <c r="E27090" s="8" t="inlineStr">
        <is>
          <t>Slinky® Dog Zigzag Spin</t>
        </is>
      </c>
      <c r="F27090" s="8" t="inlineStr">
        <is>
          <t>STANDBY</t>
        </is>
      </c>
      <c r="G27090" s="8" t="n">
        <v>5</v>
      </c>
      <c r="H27090" s="8" t="inlineStr">
        <is>
          <t>OPERATING</t>
        </is>
      </c>
    </row>
    <row r="27091">
      <c r="A27091" s="8" t="inlineStr">
        <is>
          <t>2026-08-05</t>
        </is>
      </c>
      <c r="B27091" s="8" t="n">
        <v>21</v>
      </c>
      <c r="C27091" s="8" t="n">
        <v>31</v>
      </c>
      <c r="D27091" s="8" t="inlineStr">
        <is>
          <t>Disney Adventure World</t>
        </is>
      </c>
      <c r="E27091" s="8" t="inlineStr">
        <is>
          <t>Toy Soldiers Parachute Drop</t>
        </is>
      </c>
      <c r="F27091" s="8" t="inlineStr">
        <is>
          <t>STANDBY</t>
        </is>
      </c>
      <c r="G27091" s="8" t="n">
        <v>40</v>
      </c>
      <c r="H27091" s="8" t="inlineStr">
        <is>
          <t>OPERATING</t>
        </is>
      </c>
    </row>
    <row r="27092">
      <c r="A27092" s="8" t="inlineStr">
        <is>
          <t>2026-08-05</t>
        </is>
      </c>
      <c r="B27092" s="8" t="n">
        <v>21</v>
      </c>
      <c r="C27092" s="8" t="n">
        <v>31</v>
      </c>
      <c r="D27092" s="8" t="inlineStr">
        <is>
          <t>Disney Adventure World</t>
        </is>
      </c>
      <c r="E27092" s="8" t="inlineStr">
        <is>
          <t>Toy Soldiers Parachute Drop Single Rider</t>
        </is>
      </c>
      <c r="F27092" s="8" t="inlineStr">
        <is>
          <t>STANDBY</t>
        </is>
      </c>
      <c r="G27092" s="8" t="n">
        <v>30</v>
      </c>
      <c r="H27092" s="8" t="inlineStr">
        <is>
          <t>OPERATING</t>
        </is>
      </c>
    </row>
    <row r="27093">
      <c r="A27093" s="8" t="inlineStr">
        <is>
          <t>2026-08-05</t>
        </is>
      </c>
      <c r="B27093" s="8" t="n">
        <v>21</v>
      </c>
      <c r="C27093" s="8" t="n">
        <v>31</v>
      </c>
      <c r="D27093" s="8" t="inlineStr">
        <is>
          <t>Disney Adventure World</t>
        </is>
      </c>
      <c r="E27093" s="8" t="inlineStr">
        <is>
          <t>Entry to World of Frozen</t>
        </is>
      </c>
      <c r="F27093" s="8" t="inlineStr">
        <is>
          <t>STANDBY</t>
        </is>
      </c>
      <c r="G27093" s="8" t="n">
        <v>0</v>
      </c>
      <c r="H27093" s="8" t="inlineStr">
        <is>
          <t>OPERATING</t>
        </is>
      </c>
    </row>
    <row r="27094">
      <c r="A27094" s="8" t="inlineStr">
        <is>
          <t>2026-08-05</t>
        </is>
      </c>
      <c r="B27094" s="8" t="n">
        <v>21</v>
      </c>
      <c r="C27094" s="8" t="n">
        <v>31</v>
      </c>
      <c r="D27094" s="8" t="inlineStr">
        <is>
          <t>Disney Adventure World</t>
        </is>
      </c>
      <c r="E27094" s="8" t="inlineStr">
        <is>
          <t>Frozen Ever After</t>
        </is>
      </c>
      <c r="F27094" s="8" t="inlineStr">
        <is>
          <t>STANDBY</t>
        </is>
      </c>
      <c r="G27094" s="8" t="n">
        <v>45</v>
      </c>
      <c r="H27094" s="8" t="inlineStr">
        <is>
          <t>OPERATING</t>
        </is>
      </c>
    </row>
    <row r="27095">
      <c r="A27095" s="8" t="inlineStr">
        <is>
          <t>2026-08-05</t>
        </is>
      </c>
      <c r="B27095" s="8" t="n">
        <v>21</v>
      </c>
      <c r="C27095" s="8" t="n">
        <v>31</v>
      </c>
      <c r="D27095" s="8" t="inlineStr">
        <is>
          <t>Disney Adventure World</t>
        </is>
      </c>
      <c r="E27095" s="8" t="inlineStr">
        <is>
          <t>Raiponce Tangled Spin</t>
        </is>
      </c>
      <c r="F27095" s="8" t="inlineStr">
        <is>
          <t>STANDBY</t>
        </is>
      </c>
      <c r="G27095" s="8" t="n">
        <v>5</v>
      </c>
      <c r="H27095" s="8" t="inlineStr">
        <is>
          <t>OPERATING</t>
        </is>
      </c>
    </row>
    <row r="27096">
      <c r="A27096" s="8" t="inlineStr">
        <is>
          <t>2026-08-05</t>
        </is>
      </c>
      <c r="B27096" s="8" t="n">
        <v>21</v>
      </c>
      <c r="C27096" s="8" t="n">
        <v>45</v>
      </c>
      <c r="D27096" s="8" t="inlineStr">
        <is>
          <t>Disneyland Park</t>
        </is>
      </c>
      <c r="E27096" s="8" t="inlineStr">
        <is>
          <t>Adventure Isle</t>
        </is>
      </c>
      <c r="F27096" s="8" t="inlineStr">
        <is>
          <t>STANDBY</t>
        </is>
      </c>
      <c r="G27096" s="8" t="n">
        <v>0</v>
      </c>
      <c r="H27096" s="8" t="inlineStr">
        <is>
          <t>OPERATING</t>
        </is>
      </c>
    </row>
    <row r="27097">
      <c r="A27097" s="8" t="inlineStr">
        <is>
          <t>2026-08-05</t>
        </is>
      </c>
      <c r="B27097" s="8" t="n">
        <v>21</v>
      </c>
      <c r="C27097" s="8" t="n">
        <v>45</v>
      </c>
      <c r="D27097" s="8" t="inlineStr">
        <is>
          <t>Disneyland Park</t>
        </is>
      </c>
      <c r="E27097" s="8" t="inlineStr">
        <is>
          <t>Indiana Jones and the Temple of Peril Single Rider</t>
        </is>
      </c>
      <c r="F27097" s="8" t="inlineStr">
        <is>
          <t>STANDBY</t>
        </is>
      </c>
      <c r="G27097" s="8" t="n">
        <v>5</v>
      </c>
      <c r="H27097" s="8" t="inlineStr">
        <is>
          <t>OPERATING</t>
        </is>
      </c>
    </row>
    <row r="27098">
      <c r="A27098" s="8" t="inlineStr">
        <is>
          <t>2026-08-05</t>
        </is>
      </c>
      <c r="B27098" s="8" t="n">
        <v>21</v>
      </c>
      <c r="C27098" s="8" t="n">
        <v>45</v>
      </c>
      <c r="D27098" s="8" t="inlineStr">
        <is>
          <t>Disneyland Park</t>
        </is>
      </c>
      <c r="E27098" s="8" t="inlineStr">
        <is>
          <t>Indiana Jones™ and the Temple of Peril</t>
        </is>
      </c>
      <c r="F27098" s="8" t="inlineStr">
        <is>
          <t>STANDBY</t>
        </is>
      </c>
      <c r="G27098" s="8" t="n">
        <v>10</v>
      </c>
      <c r="H27098" s="8" t="inlineStr">
        <is>
          <t>OPERATING</t>
        </is>
      </c>
    </row>
    <row r="27099">
      <c r="A27099" s="8" t="inlineStr">
        <is>
          <t>2026-08-05</t>
        </is>
      </c>
      <c r="B27099" s="8" t="n">
        <v>21</v>
      </c>
      <c r="C27099" s="8" t="n">
        <v>45</v>
      </c>
      <c r="D27099" s="8" t="inlineStr">
        <is>
          <t>Disneyland Park</t>
        </is>
      </c>
      <c r="E27099" s="8" t="inlineStr">
        <is>
          <t>La Cabane des Robinson</t>
        </is>
      </c>
      <c r="F27099" s="8" t="inlineStr">
        <is>
          <t>STANDBY</t>
        </is>
      </c>
      <c r="G27099" s="8" t="n">
        <v>5</v>
      </c>
      <c r="H27099" s="8" t="inlineStr">
        <is>
          <t>OPERATING</t>
        </is>
      </c>
    </row>
    <row r="27100">
      <c r="A27100" s="8" t="inlineStr">
        <is>
          <t>2026-08-05</t>
        </is>
      </c>
      <c r="B27100" s="8" t="n">
        <v>21</v>
      </c>
      <c r="C27100" s="8" t="n">
        <v>45</v>
      </c>
      <c r="D27100" s="8" t="inlineStr">
        <is>
          <t>Disneyland Park</t>
        </is>
      </c>
      <c r="E27100" s="8" t="inlineStr">
        <is>
          <t>Le Passage Enchanté d'Aladdin</t>
        </is>
      </c>
      <c r="F27100" s="8" t="inlineStr">
        <is>
          <t>STANDBY</t>
        </is>
      </c>
      <c r="G27100" s="8" t="n">
        <v>0</v>
      </c>
      <c r="H27100" s="8" t="inlineStr">
        <is>
          <t>OPERATING</t>
        </is>
      </c>
    </row>
    <row r="27101">
      <c r="A27101" s="8" t="inlineStr">
        <is>
          <t>2026-08-05</t>
        </is>
      </c>
      <c r="B27101" s="8" t="n">
        <v>21</v>
      </c>
      <c r="C27101" s="8" t="n">
        <v>45</v>
      </c>
      <c r="D27101" s="8" t="inlineStr">
        <is>
          <t>Disneyland Park</t>
        </is>
      </c>
      <c r="E27101" s="8" t="inlineStr">
        <is>
          <t>Pirate Galleon</t>
        </is>
      </c>
      <c r="F27101" s="8" t="inlineStr">
        <is>
          <t>STANDBY</t>
        </is>
      </c>
      <c r="G27101" s="8" t="n">
        <v>0</v>
      </c>
      <c r="H27101" s="8" t="inlineStr">
        <is>
          <t>CLOSED</t>
        </is>
      </c>
    </row>
    <row r="27102">
      <c r="A27102" s="8" t="inlineStr">
        <is>
          <t>2026-08-05</t>
        </is>
      </c>
      <c r="B27102" s="8" t="n">
        <v>21</v>
      </c>
      <c r="C27102" s="8" t="n">
        <v>45</v>
      </c>
      <c r="D27102" s="8" t="inlineStr">
        <is>
          <t>Disneyland Park</t>
        </is>
      </c>
      <c r="E27102" s="8" t="inlineStr">
        <is>
          <t>Pirates of the Caribbean</t>
        </is>
      </c>
      <c r="F27102" s="8" t="inlineStr">
        <is>
          <t>STANDBY</t>
        </is>
      </c>
      <c r="G27102" s="8" t="n">
        <v>10</v>
      </c>
      <c r="H27102" s="8" t="inlineStr">
        <is>
          <t>OPERATING</t>
        </is>
      </c>
    </row>
    <row r="27103">
      <c r="A27103" s="8" t="inlineStr">
        <is>
          <t>2026-08-05</t>
        </is>
      </c>
      <c r="B27103" s="8" t="n">
        <v>21</v>
      </c>
      <c r="C27103" s="8" t="n">
        <v>45</v>
      </c>
      <c r="D27103" s="8" t="inlineStr">
        <is>
          <t>Disneyland Park</t>
        </is>
      </c>
      <c r="E27103" s="8" t="inlineStr">
        <is>
          <t>Pirates' Beach</t>
        </is>
      </c>
      <c r="F27103" s="8" t="inlineStr">
        <is>
          <t>STANDBY</t>
        </is>
      </c>
      <c r="G27103" s="8" t="n">
        <v>0</v>
      </c>
      <c r="H27103" s="8" t="inlineStr">
        <is>
          <t>OPERATING</t>
        </is>
      </c>
    </row>
    <row r="27104">
      <c r="A27104" s="8" t="inlineStr">
        <is>
          <t>2026-08-05</t>
        </is>
      </c>
      <c r="B27104" s="8" t="n">
        <v>21</v>
      </c>
      <c r="C27104" s="8" t="n">
        <v>45</v>
      </c>
      <c r="D27104" s="8" t="inlineStr">
        <is>
          <t>Disneyland Park</t>
        </is>
      </c>
      <c r="E27104" s="8" t="inlineStr">
        <is>
          <t>Autopia, presented by Avis</t>
        </is>
      </c>
      <c r="F27104" s="8" t="inlineStr">
        <is>
          <t>STANDBY</t>
        </is>
      </c>
      <c r="G27104" s="8" t="n">
        <v>40</v>
      </c>
      <c r="H27104" s="8" t="inlineStr">
        <is>
          <t>OPERATING</t>
        </is>
      </c>
    </row>
    <row r="27105">
      <c r="A27105" s="8" t="inlineStr">
        <is>
          <t>2026-08-05</t>
        </is>
      </c>
      <c r="B27105" s="8" t="n">
        <v>21</v>
      </c>
      <c r="C27105" s="8" t="n">
        <v>45</v>
      </c>
      <c r="D27105" s="8" t="inlineStr">
        <is>
          <t>Disneyland Park</t>
        </is>
      </c>
      <c r="E27105" s="8" t="inlineStr">
        <is>
          <t>Buzz Lightyear Laser Blast</t>
        </is>
      </c>
      <c r="F27105" s="8" t="inlineStr">
        <is>
          <t>STANDBY</t>
        </is>
      </c>
      <c r="G27105" s="8" t="n">
        <v>25</v>
      </c>
      <c r="H27105" s="8" t="inlineStr">
        <is>
          <t>OPERATING</t>
        </is>
      </c>
    </row>
    <row r="27106">
      <c r="A27106" s="8" t="inlineStr">
        <is>
          <t>2026-08-05</t>
        </is>
      </c>
      <c r="B27106" s="8" t="n">
        <v>21</v>
      </c>
      <c r="C27106" s="8" t="n">
        <v>45</v>
      </c>
      <c r="D27106" s="8" t="inlineStr">
        <is>
          <t>Disneyland Park</t>
        </is>
      </c>
      <c r="E27106" s="8" t="inlineStr">
        <is>
          <t>Disneyland Railroad Discoveryland Station</t>
        </is>
      </c>
      <c r="F27106" s="8" t="inlineStr">
        <is>
          <t>STANDBY</t>
        </is>
      </c>
      <c r="G27106" s="8" t="n">
        <v>0</v>
      </c>
      <c r="H27106" s="8" t="inlineStr">
        <is>
          <t>CLOSED</t>
        </is>
      </c>
    </row>
    <row r="27107">
      <c r="A27107" s="8" t="inlineStr">
        <is>
          <t>2026-08-05</t>
        </is>
      </c>
      <c r="B27107" s="8" t="n">
        <v>21</v>
      </c>
      <c r="C27107" s="8" t="n">
        <v>45</v>
      </c>
      <c r="D27107" s="8" t="inlineStr">
        <is>
          <t>Disneyland Park</t>
        </is>
      </c>
      <c r="E27107" s="8" t="inlineStr">
        <is>
          <t>Les Mystères du Nautilus</t>
        </is>
      </c>
      <c r="F27107" s="8" t="inlineStr">
        <is>
          <t>STANDBY</t>
        </is>
      </c>
      <c r="G27107" s="8" t="n">
        <v>5</v>
      </c>
      <c r="H27107" s="8" t="inlineStr">
        <is>
          <t>OPERATING</t>
        </is>
      </c>
    </row>
    <row r="27108">
      <c r="A27108" s="8" t="inlineStr">
        <is>
          <t>2026-08-05</t>
        </is>
      </c>
      <c r="B27108" s="8" t="n">
        <v>21</v>
      </c>
      <c r="C27108" s="8" t="n">
        <v>45</v>
      </c>
      <c r="D27108" s="8" t="inlineStr">
        <is>
          <t>Disneyland Park</t>
        </is>
      </c>
      <c r="E27108" s="8" t="inlineStr">
        <is>
          <t>Mickey’s PhilharMagic</t>
        </is>
      </c>
      <c r="F27108" s="8" t="inlineStr">
        <is>
          <t>STANDBY</t>
        </is>
      </c>
      <c r="G27108" s="8" t="n">
        <v>0</v>
      </c>
      <c r="H27108" s="8" t="inlineStr">
        <is>
          <t>CLOSED</t>
        </is>
      </c>
    </row>
    <row r="27109">
      <c r="A27109" s="8" t="inlineStr">
        <is>
          <t>2026-08-05</t>
        </is>
      </c>
      <c r="B27109" s="8" t="n">
        <v>21</v>
      </c>
      <c r="C27109" s="8" t="n">
        <v>45</v>
      </c>
      <c r="D27109" s="8" t="inlineStr">
        <is>
          <t>Disneyland Park</t>
        </is>
      </c>
      <c r="E27109" s="8" t="inlineStr">
        <is>
          <t>Orbitron®</t>
        </is>
      </c>
      <c r="F27109" s="8" t="inlineStr">
        <is>
          <t>STANDBY</t>
        </is>
      </c>
      <c r="G27109" s="8" t="n">
        <v>40</v>
      </c>
      <c r="H27109" s="8" t="inlineStr">
        <is>
          <t>OPERATING</t>
        </is>
      </c>
    </row>
    <row r="27110">
      <c r="A27110" s="8" t="inlineStr">
        <is>
          <t>2026-08-05</t>
        </is>
      </c>
      <c r="B27110" s="8" t="n">
        <v>21</v>
      </c>
      <c r="C27110" s="8" t="n">
        <v>45</v>
      </c>
      <c r="D27110" s="8" t="inlineStr">
        <is>
          <t>Disneyland Park</t>
        </is>
      </c>
      <c r="E27110" s="8" t="inlineStr">
        <is>
          <t>Star Tours: The Adventures Continue*</t>
        </is>
      </c>
      <c r="F27110" s="8" t="inlineStr">
        <is>
          <t>STANDBY</t>
        </is>
      </c>
      <c r="G27110" s="8" t="n">
        <v>5</v>
      </c>
      <c r="H27110" s="8" t="inlineStr">
        <is>
          <t>OPERATING</t>
        </is>
      </c>
    </row>
    <row r="27111">
      <c r="A27111" s="8" t="inlineStr">
        <is>
          <t>2026-08-05</t>
        </is>
      </c>
      <c r="B27111" s="8" t="n">
        <v>21</v>
      </c>
      <c r="C27111" s="8" t="n">
        <v>45</v>
      </c>
      <c r="D27111" s="8" t="inlineStr">
        <is>
          <t>Disneyland Park</t>
        </is>
      </c>
      <c r="E27111" s="8" t="inlineStr">
        <is>
          <t>Star Wars Hyperspace Mountain</t>
        </is>
      </c>
      <c r="F27111" s="8" t="inlineStr">
        <is>
          <t>STANDBY</t>
        </is>
      </c>
      <c r="G27111" s="8" t="n">
        <v>20</v>
      </c>
      <c r="H27111" s="8" t="inlineStr">
        <is>
          <t>OPERATING</t>
        </is>
      </c>
    </row>
    <row r="27112">
      <c r="A27112" s="8" t="inlineStr">
        <is>
          <t>2026-08-05</t>
        </is>
      </c>
      <c r="B27112" s="8" t="n">
        <v>21</v>
      </c>
      <c r="C27112" s="8" t="n">
        <v>45</v>
      </c>
      <c r="D27112" s="8" t="inlineStr">
        <is>
          <t>Disneyland Park</t>
        </is>
      </c>
      <c r="E27112" s="8" t="inlineStr">
        <is>
          <t>Star Wars Hyperspace Mountain Single Rider</t>
        </is>
      </c>
      <c r="F27112" s="8" t="inlineStr">
        <is>
          <t>STANDBY</t>
        </is>
      </c>
      <c r="G27112" s="8" t="n">
        <v>0</v>
      </c>
      <c r="H27112" s="8" t="inlineStr">
        <is>
          <t>OPERATING</t>
        </is>
      </c>
    </row>
    <row r="27113">
      <c r="A27113" s="8" t="inlineStr">
        <is>
          <t>2026-08-05</t>
        </is>
      </c>
      <c r="B27113" s="8" t="n">
        <v>21</v>
      </c>
      <c r="C27113" s="8" t="n">
        <v>45</v>
      </c>
      <c r="D27113" s="8" t="inlineStr">
        <is>
          <t>Disneyland Park</t>
        </is>
      </c>
      <c r="E27113" s="8" t="inlineStr">
        <is>
          <t>Welcome to Starport: A Star Wars Encounter</t>
        </is>
      </c>
      <c r="F27113" s="8" t="inlineStr">
        <is>
          <t>STANDBY</t>
        </is>
      </c>
      <c r="G27113" s="8" t="n">
        <v>0</v>
      </c>
      <c r="H27113" s="8" t="inlineStr">
        <is>
          <t>CLOSED</t>
        </is>
      </c>
    </row>
    <row r="27114">
      <c r="A27114" s="8" t="inlineStr">
        <is>
          <t>2026-08-05</t>
        </is>
      </c>
      <c r="B27114" s="8" t="n">
        <v>21</v>
      </c>
      <c r="C27114" s="8" t="n">
        <v>45</v>
      </c>
      <c r="D27114" s="8" t="inlineStr">
        <is>
          <t>Disneyland Park</t>
        </is>
      </c>
      <c r="E27114" s="8" t="inlineStr">
        <is>
          <t>"it's a small world"</t>
        </is>
      </c>
      <c r="F27114" s="8" t="inlineStr">
        <is>
          <t>STANDBY</t>
        </is>
      </c>
      <c r="G27114" s="8" t="n">
        <v>5</v>
      </c>
      <c r="H27114" s="8" t="inlineStr">
        <is>
          <t>OPERATING</t>
        </is>
      </c>
    </row>
    <row r="27115">
      <c r="A27115" s="8" t="inlineStr">
        <is>
          <t>2026-08-05</t>
        </is>
      </c>
      <c r="B27115" s="8" t="n">
        <v>21</v>
      </c>
      <c r="C27115" s="8" t="n">
        <v>45</v>
      </c>
      <c r="D27115" s="8" t="inlineStr">
        <is>
          <t>Disneyland Park</t>
        </is>
      </c>
      <c r="E27115" s="8" t="inlineStr">
        <is>
          <t>Alice's Curious Labyrinth</t>
        </is>
      </c>
      <c r="F27115" s="8" t="inlineStr">
        <is>
          <t>STANDBY</t>
        </is>
      </c>
      <c r="G27115" s="8" t="n">
        <v>0</v>
      </c>
      <c r="H27115" s="8" t="inlineStr">
        <is>
          <t>CLOSED</t>
        </is>
      </c>
    </row>
    <row r="27116">
      <c r="A27116" s="8" t="inlineStr">
        <is>
          <t>2026-08-05</t>
        </is>
      </c>
      <c r="B27116" s="8" t="n">
        <v>21</v>
      </c>
      <c r="C27116" s="8" t="n">
        <v>45</v>
      </c>
      <c r="D27116" s="8" t="inlineStr">
        <is>
          <t>Disneyland Park</t>
        </is>
      </c>
      <c r="E27116" s="8" t="inlineStr">
        <is>
          <t>Blanche-Neige et les Sept Nains®</t>
        </is>
      </c>
      <c r="F27116" s="8" t="inlineStr">
        <is>
          <t>STANDBY</t>
        </is>
      </c>
      <c r="G27116" s="8" t="n">
        <v>0</v>
      </c>
      <c r="H27116" s="8" t="inlineStr">
        <is>
          <t>CLOSED</t>
        </is>
      </c>
    </row>
    <row r="27117">
      <c r="A27117" s="8" t="inlineStr">
        <is>
          <t>2026-08-05</t>
        </is>
      </c>
      <c r="B27117" s="8" t="n">
        <v>21</v>
      </c>
      <c r="C27117" s="8" t="n">
        <v>45</v>
      </c>
      <c r="D27117" s="8" t="inlineStr">
        <is>
          <t>Disneyland Park</t>
        </is>
      </c>
      <c r="E27117" s="8" t="inlineStr">
        <is>
          <t>Casey Jr. – le Petit Train du Cirque</t>
        </is>
      </c>
      <c r="F27117" s="8" t="inlineStr">
        <is>
          <t>STANDBY</t>
        </is>
      </c>
      <c r="G27117" s="8" t="n">
        <v>0</v>
      </c>
      <c r="H27117" s="8" t="inlineStr">
        <is>
          <t>CLOSED</t>
        </is>
      </c>
    </row>
    <row r="27118">
      <c r="A27118" s="8" t="inlineStr">
        <is>
          <t>2026-08-05</t>
        </is>
      </c>
      <c r="B27118" s="8" t="n">
        <v>21</v>
      </c>
      <c r="C27118" s="8" t="n">
        <v>45</v>
      </c>
      <c r="D27118" s="8" t="inlineStr">
        <is>
          <t>Disneyland Park</t>
        </is>
      </c>
      <c r="E27118" s="8" t="inlineStr">
        <is>
          <t>Disneyland Railroad Fantasyland Station</t>
        </is>
      </c>
      <c r="F27118" s="8" t="inlineStr">
        <is>
          <t>STANDBY</t>
        </is>
      </c>
      <c r="G27118" s="8" t="n">
        <v>0</v>
      </c>
      <c r="H27118" s="8" t="inlineStr">
        <is>
          <t>CLOSED</t>
        </is>
      </c>
    </row>
    <row r="27119">
      <c r="A27119" s="8" t="inlineStr">
        <is>
          <t>2026-08-05</t>
        </is>
      </c>
      <c r="B27119" s="8" t="n">
        <v>21</v>
      </c>
      <c r="C27119" s="8" t="n">
        <v>45</v>
      </c>
      <c r="D27119" s="8" t="inlineStr">
        <is>
          <t>Disneyland Park</t>
        </is>
      </c>
      <c r="E27119" s="8" t="inlineStr">
        <is>
          <t>Disneyland Railroad Main Street Station</t>
        </is>
      </c>
      <c r="F27119" s="8" t="inlineStr">
        <is>
          <t>STANDBY</t>
        </is>
      </c>
      <c r="G27119" s="8" t="n">
        <v>0</v>
      </c>
      <c r="H27119" s="8" t="inlineStr">
        <is>
          <t>CLOSED</t>
        </is>
      </c>
    </row>
    <row r="27120">
      <c r="A27120" s="8" t="inlineStr">
        <is>
          <t>2026-08-05</t>
        </is>
      </c>
      <c r="B27120" s="8" t="n">
        <v>21</v>
      </c>
      <c r="C27120" s="8" t="n">
        <v>45</v>
      </c>
      <c r="D27120" s="8" t="inlineStr">
        <is>
          <t>Disneyland Park</t>
        </is>
      </c>
      <c r="E27120" s="8" t="inlineStr">
        <is>
          <t>Dumbo the Flying Elephant</t>
        </is>
      </c>
      <c r="F27120" s="8" t="inlineStr">
        <is>
          <t>STANDBY</t>
        </is>
      </c>
      <c r="G27120" s="8" t="n">
        <v>0</v>
      </c>
      <c r="H27120" s="8" t="inlineStr">
        <is>
          <t>CLOSED</t>
        </is>
      </c>
    </row>
    <row r="27121">
      <c r="A27121" s="8" t="inlineStr">
        <is>
          <t>2026-08-05</t>
        </is>
      </c>
      <c r="B27121" s="8" t="n">
        <v>21</v>
      </c>
      <c r="C27121" s="8" t="n">
        <v>45</v>
      </c>
      <c r="D27121" s="8" t="inlineStr">
        <is>
          <t>Disneyland Park</t>
        </is>
      </c>
      <c r="E27121" s="8" t="inlineStr">
        <is>
          <t>La Tanière du Dragon</t>
        </is>
      </c>
      <c r="F27121" s="8" t="inlineStr">
        <is>
          <t>STANDBY</t>
        </is>
      </c>
      <c r="G27121" s="8" t="n">
        <v>0</v>
      </c>
      <c r="H27121" s="8" t="inlineStr">
        <is>
          <t>CLOSED</t>
        </is>
      </c>
    </row>
    <row r="27122">
      <c r="A27122" s="8" t="inlineStr">
        <is>
          <t>2026-08-05</t>
        </is>
      </c>
      <c r="B27122" s="8" t="n">
        <v>21</v>
      </c>
      <c r="C27122" s="8" t="n">
        <v>45</v>
      </c>
      <c r="D27122" s="8" t="inlineStr">
        <is>
          <t>Disneyland Park</t>
        </is>
      </c>
      <c r="E27122" s="8" t="inlineStr">
        <is>
          <t>Le Carrousel de Lancelot</t>
        </is>
      </c>
      <c r="F27122" s="8" t="inlineStr">
        <is>
          <t>STANDBY</t>
        </is>
      </c>
      <c r="G27122" s="8" t="n">
        <v>0</v>
      </c>
      <c r="H27122" s="8" t="inlineStr">
        <is>
          <t>CLOSED</t>
        </is>
      </c>
    </row>
    <row r="27123">
      <c r="A27123" s="8" t="inlineStr">
        <is>
          <t>2026-08-05</t>
        </is>
      </c>
      <c r="B27123" s="8" t="n">
        <v>21</v>
      </c>
      <c r="C27123" s="8" t="n">
        <v>45</v>
      </c>
      <c r="D27123" s="8" t="inlineStr">
        <is>
          <t>Disneyland Park</t>
        </is>
      </c>
      <c r="E27123" s="8" t="inlineStr">
        <is>
          <t>Le Pays des Contes de Fées, presented by Vittel</t>
        </is>
      </c>
      <c r="F27123" s="8" t="inlineStr">
        <is>
          <t>STANDBY</t>
        </is>
      </c>
      <c r="G27123" s="8" t="n">
        <v>0</v>
      </c>
      <c r="H27123" s="8" t="inlineStr">
        <is>
          <t>CLOSED</t>
        </is>
      </c>
    </row>
    <row r="27124">
      <c r="A27124" s="8" t="inlineStr">
        <is>
          <t>2026-08-05</t>
        </is>
      </c>
      <c r="B27124" s="8" t="n">
        <v>21</v>
      </c>
      <c r="C27124" s="8" t="n">
        <v>45</v>
      </c>
      <c r="D27124" s="8" t="inlineStr">
        <is>
          <t>Disneyland Park</t>
        </is>
      </c>
      <c r="E27124" s="8" t="inlineStr">
        <is>
          <t>Les Voyages de Pinocchio</t>
        </is>
      </c>
      <c r="F27124" s="8" t="inlineStr">
        <is>
          <t>STANDBY</t>
        </is>
      </c>
      <c r="G27124" s="8" t="n">
        <v>0</v>
      </c>
      <c r="H27124" s="8" t="inlineStr">
        <is>
          <t>CLOSED</t>
        </is>
      </c>
    </row>
    <row r="27125">
      <c r="A27125" s="8" t="inlineStr">
        <is>
          <t>2026-08-05</t>
        </is>
      </c>
      <c r="B27125" s="8" t="n">
        <v>21</v>
      </c>
      <c r="C27125" s="8" t="n">
        <v>45</v>
      </c>
      <c r="D27125" s="8" t="inlineStr">
        <is>
          <t>Disneyland Park</t>
        </is>
      </c>
      <c r="E27125" s="8" t="inlineStr">
        <is>
          <t>Mad Hatter's Tea Cups</t>
        </is>
      </c>
      <c r="F27125" s="8" t="inlineStr">
        <is>
          <t>STANDBY</t>
        </is>
      </c>
      <c r="G27125" s="8" t="n">
        <v>0</v>
      </c>
      <c r="H27125" s="8" t="inlineStr">
        <is>
          <t>CLOSED</t>
        </is>
      </c>
    </row>
    <row r="27126">
      <c r="A27126" s="8" t="inlineStr">
        <is>
          <t>2026-08-05</t>
        </is>
      </c>
      <c r="B27126" s="8" t="n">
        <v>21</v>
      </c>
      <c r="C27126" s="8" t="n">
        <v>45</v>
      </c>
      <c r="D27126" s="8" t="inlineStr">
        <is>
          <t>Disneyland Park</t>
        </is>
      </c>
      <c r="E27126" s="8" t="inlineStr">
        <is>
          <t>Meet Mickey Mouse</t>
        </is>
      </c>
      <c r="F27126" s="8" t="inlineStr">
        <is>
          <t>STANDBY</t>
        </is>
      </c>
      <c r="G27126" s="8" t="n">
        <v>0</v>
      </c>
      <c r="H27126" s="8" t="inlineStr">
        <is>
          <t>CLOSED</t>
        </is>
      </c>
    </row>
    <row r="27127">
      <c r="A27127" s="8" t="inlineStr">
        <is>
          <t>2026-08-05</t>
        </is>
      </c>
      <c r="B27127" s="8" t="n">
        <v>21</v>
      </c>
      <c r="C27127" s="8" t="n">
        <v>45</v>
      </c>
      <c r="D27127" s="8" t="inlineStr">
        <is>
          <t>Disneyland Park</t>
        </is>
      </c>
      <c r="E27127" s="8" t="inlineStr">
        <is>
          <t>Peter Pan's Flight</t>
        </is>
      </c>
      <c r="F27127" s="8" t="inlineStr">
        <is>
          <t>STANDBY</t>
        </is>
      </c>
      <c r="G27127" s="8" t="n">
        <v>55</v>
      </c>
      <c r="H27127" s="8" t="inlineStr">
        <is>
          <t>OPERATING</t>
        </is>
      </c>
    </row>
    <row r="27128">
      <c r="A27128" s="8" t="inlineStr">
        <is>
          <t>2026-08-05</t>
        </is>
      </c>
      <c r="B27128" s="8" t="n">
        <v>21</v>
      </c>
      <c r="C27128" s="8" t="n">
        <v>45</v>
      </c>
      <c r="D27128" s="8" t="inlineStr">
        <is>
          <t>Disneyland Park</t>
        </is>
      </c>
      <c r="E27128" s="8" t="inlineStr">
        <is>
          <t>Princess Pavilion</t>
        </is>
      </c>
      <c r="F27128" s="8" t="inlineStr">
        <is>
          <t>STANDBY</t>
        </is>
      </c>
      <c r="G27128" s="8" t="n">
        <v>0</v>
      </c>
      <c r="H27128" s="8" t="inlineStr">
        <is>
          <t>CLOSED</t>
        </is>
      </c>
    </row>
    <row r="27129">
      <c r="A27129" s="8" t="inlineStr">
        <is>
          <t>2026-08-05</t>
        </is>
      </c>
      <c r="B27129" s="8" t="n">
        <v>21</v>
      </c>
      <c r="C27129" s="8" t="n">
        <v>45</v>
      </c>
      <c r="D27129" s="8" t="inlineStr">
        <is>
          <t>Disneyland Park</t>
        </is>
      </c>
      <c r="E27129" s="8" t="inlineStr">
        <is>
          <t>Big Thunder Mountain</t>
        </is>
      </c>
      <c r="F27129" s="8" t="inlineStr">
        <is>
          <t>STANDBY</t>
        </is>
      </c>
      <c r="G27129" s="8" t="n">
        <v>55</v>
      </c>
      <c r="H27129" s="8" t="inlineStr">
        <is>
          <t>OPERATING</t>
        </is>
      </c>
    </row>
    <row r="27130">
      <c r="A27130" s="8" t="inlineStr">
        <is>
          <t>2026-08-05</t>
        </is>
      </c>
      <c r="B27130" s="8" t="n">
        <v>21</v>
      </c>
      <c r="C27130" s="8" t="n">
        <v>45</v>
      </c>
      <c r="D27130" s="8" t="inlineStr">
        <is>
          <t>Disneyland Park</t>
        </is>
      </c>
      <c r="E27130" s="8" t="inlineStr">
        <is>
          <t>Disneyland Railroad Frontierland Depot</t>
        </is>
      </c>
      <c r="F27130" s="8" t="inlineStr">
        <is>
          <t>STANDBY</t>
        </is>
      </c>
      <c r="G27130" s="8" t="n">
        <v>0</v>
      </c>
      <c r="H27130" s="8" t="inlineStr">
        <is>
          <t>CLOSED</t>
        </is>
      </c>
    </row>
    <row r="27131">
      <c r="A27131" s="8" t="inlineStr">
        <is>
          <t>2026-08-05</t>
        </is>
      </c>
      <c r="B27131" s="8" t="n">
        <v>21</v>
      </c>
      <c r="C27131" s="8" t="n">
        <v>45</v>
      </c>
      <c r="D27131" s="8" t="inlineStr">
        <is>
          <t>Disneyland Park</t>
        </is>
      </c>
      <c r="E27131" s="8" t="inlineStr">
        <is>
          <t>Frontierland Playground</t>
        </is>
      </c>
      <c r="F27131" s="8" t="inlineStr">
        <is>
          <t>STANDBY</t>
        </is>
      </c>
      <c r="G27131" s="8" t="n">
        <v>0</v>
      </c>
      <c r="H27131" s="8" t="inlineStr">
        <is>
          <t>CLOSED</t>
        </is>
      </c>
    </row>
    <row r="27132">
      <c r="A27132" s="8" t="inlineStr">
        <is>
          <t>2026-08-05</t>
        </is>
      </c>
      <c r="B27132" s="8" t="n">
        <v>21</v>
      </c>
      <c r="C27132" s="8" t="n">
        <v>45</v>
      </c>
      <c r="D27132" s="8" t="inlineStr">
        <is>
          <t>Disneyland Park</t>
        </is>
      </c>
      <c r="E27132" s="8" t="inlineStr">
        <is>
          <t>Phantom Manor</t>
        </is>
      </c>
      <c r="F27132" s="8" t="inlineStr">
        <is>
          <t>STANDBY</t>
        </is>
      </c>
      <c r="G27132" s="8" t="n">
        <v>5</v>
      </c>
      <c r="H27132" s="8" t="inlineStr">
        <is>
          <t>OPERATING</t>
        </is>
      </c>
    </row>
    <row r="27133">
      <c r="A27133" s="8" t="inlineStr">
        <is>
          <t>2026-08-05</t>
        </is>
      </c>
      <c r="B27133" s="8" t="n">
        <v>21</v>
      </c>
      <c r="C27133" s="8" t="n">
        <v>45</v>
      </c>
      <c r="D27133" s="8" t="inlineStr">
        <is>
          <t>Disneyland Park</t>
        </is>
      </c>
      <c r="E27133" s="8" t="inlineStr">
        <is>
          <t>River Rogue Keelboats</t>
        </is>
      </c>
      <c r="F27133" s="8" t="inlineStr">
        <is>
          <t>STANDBY</t>
        </is>
      </c>
      <c r="G27133" s="8" t="n">
        <v>0</v>
      </c>
      <c r="H27133" s="8" t="inlineStr">
        <is>
          <t>CLOSED</t>
        </is>
      </c>
    </row>
    <row r="27134">
      <c r="A27134" s="8" t="inlineStr">
        <is>
          <t>2026-08-05</t>
        </is>
      </c>
      <c r="B27134" s="8" t="n">
        <v>21</v>
      </c>
      <c r="C27134" s="8" t="n">
        <v>45</v>
      </c>
      <c r="D27134" s="8" t="inlineStr">
        <is>
          <t>Disneyland Park</t>
        </is>
      </c>
      <c r="E27134" s="8" t="inlineStr">
        <is>
          <t>Rustler Roundup Shootin' Gallery</t>
        </is>
      </c>
      <c r="F27134" s="8" t="inlineStr">
        <is>
          <t>STANDBY</t>
        </is>
      </c>
      <c r="G27134" s="8" t="n">
        <v>0</v>
      </c>
      <c r="H27134" s="8" t="inlineStr">
        <is>
          <t>CLOSED</t>
        </is>
      </c>
    </row>
    <row r="27135">
      <c r="A27135" s="8" t="inlineStr">
        <is>
          <t>2026-08-05</t>
        </is>
      </c>
      <c r="B27135" s="8" t="n">
        <v>21</v>
      </c>
      <c r="C27135" s="8" t="n">
        <v>45</v>
      </c>
      <c r="D27135" s="8" t="inlineStr">
        <is>
          <t>Disneyland Park</t>
        </is>
      </c>
      <c r="E27135" s="8" t="inlineStr">
        <is>
          <t>Thunder Mesa Riverboat Landing</t>
        </is>
      </c>
      <c r="F27135" s="8" t="inlineStr">
        <is>
          <t>STANDBY</t>
        </is>
      </c>
      <c r="G27135" s="8" t="n">
        <v>0</v>
      </c>
      <c r="H27135" s="8" t="inlineStr">
        <is>
          <t>CLOSED</t>
        </is>
      </c>
    </row>
    <row r="27136">
      <c r="A27136" s="8" t="inlineStr">
        <is>
          <t>2026-08-05</t>
        </is>
      </c>
      <c r="B27136" s="8" t="n">
        <v>21</v>
      </c>
      <c r="C27136" s="8" t="n">
        <v>45</v>
      </c>
      <c r="D27136" s="8" t="inlineStr">
        <is>
          <t>Disneyland Park</t>
        </is>
      </c>
      <c r="E27136" s="8" t="inlineStr">
        <is>
          <t>Disneyland Railroad Main Street Station</t>
        </is>
      </c>
      <c r="F27136" s="8" t="inlineStr">
        <is>
          <t>STANDBY</t>
        </is>
      </c>
      <c r="G27136" s="8" t="n">
        <v>0</v>
      </c>
      <c r="H27136" s="8" t="inlineStr">
        <is>
          <t>CLOSED</t>
        </is>
      </c>
    </row>
    <row r="27137">
      <c r="A27137" s="8" t="inlineStr">
        <is>
          <t>2026-08-05</t>
        </is>
      </c>
      <c r="B27137" s="8" t="n">
        <v>21</v>
      </c>
      <c r="C27137" s="8" t="n">
        <v>45</v>
      </c>
      <c r="D27137" s="8" t="inlineStr">
        <is>
          <t>Disneyland Park</t>
        </is>
      </c>
      <c r="E27137" s="8" t="inlineStr">
        <is>
          <t>Main Street Vehicles</t>
        </is>
      </c>
      <c r="F27137" s="8" t="inlineStr">
        <is>
          <t>STANDBY</t>
        </is>
      </c>
      <c r="G27137" s="8" t="n">
        <v>0</v>
      </c>
      <c r="H27137" s="8" t="inlineStr">
        <is>
          <t>CLOSED</t>
        </is>
      </c>
    </row>
    <row r="27138">
      <c r="A27138" s="8" t="inlineStr">
        <is>
          <t>2026-08-05</t>
        </is>
      </c>
      <c r="B27138" s="8" t="n">
        <v>21</v>
      </c>
      <c r="C27138" s="8" t="n">
        <v>45</v>
      </c>
      <c r="D27138" s="8" t="inlineStr">
        <is>
          <t>Disney Adventure World</t>
        </is>
      </c>
      <c r="E27138" s="8" t="inlineStr">
        <is>
          <t>Avengers Assemble: Flight Force</t>
        </is>
      </c>
      <c r="F27138" s="8" t="inlineStr">
        <is>
          <t>STANDBY</t>
        </is>
      </c>
      <c r="G27138" s="8" t="n">
        <v>0</v>
      </c>
      <c r="H27138" s="8" t="inlineStr">
        <is>
          <t>CLOSED</t>
        </is>
      </c>
    </row>
    <row r="27139">
      <c r="A27139" s="8" t="inlineStr">
        <is>
          <t>2026-08-05</t>
        </is>
      </c>
      <c r="B27139" s="8" t="n">
        <v>21</v>
      </c>
      <c r="C27139" s="8" t="n">
        <v>45</v>
      </c>
      <c r="D27139" s="8" t="inlineStr">
        <is>
          <t>Disney Adventure World</t>
        </is>
      </c>
      <c r="E27139" s="8" t="inlineStr">
        <is>
          <t>Avengers Assemble: Flight Force Single Rider</t>
        </is>
      </c>
      <c r="F27139" s="8" t="inlineStr">
        <is>
          <t>STANDBY</t>
        </is>
      </c>
      <c r="G27139" s="8" t="n">
        <v>0</v>
      </c>
      <c r="H27139" s="8" t="inlineStr">
        <is>
          <t>CLOSED</t>
        </is>
      </c>
    </row>
    <row r="27140">
      <c r="A27140" s="8" t="inlineStr">
        <is>
          <t>2026-08-05</t>
        </is>
      </c>
      <c r="B27140" s="8" t="n">
        <v>21</v>
      </c>
      <c r="C27140" s="8" t="n">
        <v>45</v>
      </c>
      <c r="D27140" s="8" t="inlineStr">
        <is>
          <t>Disney Adventure World</t>
        </is>
      </c>
      <c r="E27140" s="8" t="inlineStr">
        <is>
          <t>Spider-Man W.E.B. Adventure</t>
        </is>
      </c>
      <c r="F27140" s="8" t="inlineStr">
        <is>
          <t>STANDBY</t>
        </is>
      </c>
      <c r="G27140" s="8" t="n">
        <v>30</v>
      </c>
      <c r="H27140" s="8" t="inlineStr">
        <is>
          <t>OPERATING</t>
        </is>
      </c>
    </row>
    <row r="27141">
      <c r="A27141" s="8" t="inlineStr">
        <is>
          <t>2026-08-05</t>
        </is>
      </c>
      <c r="B27141" s="8" t="n">
        <v>21</v>
      </c>
      <c r="C27141" s="8" t="n">
        <v>45</v>
      </c>
      <c r="D27141" s="8" t="inlineStr">
        <is>
          <t>Disney Adventure World</t>
        </is>
      </c>
      <c r="E27141" s="8" t="inlineStr">
        <is>
          <t>Spider-Man W.E.B. Adventure Single Rider</t>
        </is>
      </c>
      <c r="F27141" s="8" t="inlineStr">
        <is>
          <t>STANDBY</t>
        </is>
      </c>
      <c r="G27141" s="8" t="n">
        <v>15</v>
      </c>
      <c r="H27141" s="8" t="inlineStr">
        <is>
          <t>OPERATING</t>
        </is>
      </c>
    </row>
    <row r="27142">
      <c r="A27142" s="8" t="inlineStr">
        <is>
          <t>2026-08-05</t>
        </is>
      </c>
      <c r="B27142" s="8" t="n">
        <v>21</v>
      </c>
      <c r="C27142" s="8" t="n">
        <v>45</v>
      </c>
      <c r="D27142" s="8" t="inlineStr">
        <is>
          <t>Disney Adventure World</t>
        </is>
      </c>
      <c r="E27142" s="8" t="inlineStr">
        <is>
          <t>The Twilight Zone Tower of Terror</t>
        </is>
      </c>
      <c r="F27142" s="8" t="inlineStr">
        <is>
          <t>STANDBY</t>
        </is>
      </c>
      <c r="G27142" s="8" t="n">
        <v>20</v>
      </c>
      <c r="H27142" s="8" t="inlineStr">
        <is>
          <t>OPERATING</t>
        </is>
      </c>
    </row>
    <row r="27143">
      <c r="A27143" s="8" t="inlineStr">
        <is>
          <t>2026-08-05</t>
        </is>
      </c>
      <c r="B27143" s="8" t="n">
        <v>21</v>
      </c>
      <c r="C27143" s="8" t="n">
        <v>45</v>
      </c>
      <c r="D27143" s="8" t="inlineStr">
        <is>
          <t>Disney Adventure World</t>
        </is>
      </c>
      <c r="E27143" s="8" t="inlineStr">
        <is>
          <t>Cars Quatre Roues Rallye</t>
        </is>
      </c>
      <c r="F27143" s="8" t="inlineStr">
        <is>
          <t>STANDBY</t>
        </is>
      </c>
      <c r="G27143" s="8" t="n">
        <v>10</v>
      </c>
      <c r="H27143" s="8" t="inlineStr">
        <is>
          <t>OPERATING</t>
        </is>
      </c>
    </row>
    <row r="27144">
      <c r="A27144" s="8" t="inlineStr">
        <is>
          <t>2026-08-05</t>
        </is>
      </c>
      <c r="B27144" s="8" t="n">
        <v>21</v>
      </c>
      <c r="C27144" s="8" t="n">
        <v>45</v>
      </c>
      <c r="D27144" s="8" t="inlineStr">
        <is>
          <t>Disney Adventure World</t>
        </is>
      </c>
      <c r="E27144" s="8" t="inlineStr">
        <is>
          <t>Cars ROAD TRIP</t>
        </is>
      </c>
      <c r="F27144" s="8" t="inlineStr">
        <is>
          <t>STANDBY</t>
        </is>
      </c>
      <c r="G27144" s="8" t="n">
        <v>0</v>
      </c>
      <c r="H27144" s="8" t="inlineStr">
        <is>
          <t>CLOSED</t>
        </is>
      </c>
    </row>
    <row r="27145">
      <c r="A27145" s="8" t="inlineStr">
        <is>
          <t>2026-08-05</t>
        </is>
      </c>
      <c r="B27145" s="8" t="n">
        <v>21</v>
      </c>
      <c r="C27145" s="8" t="n">
        <v>45</v>
      </c>
      <c r="D27145" s="8" t="inlineStr">
        <is>
          <t>Disney Adventure World</t>
        </is>
      </c>
      <c r="E27145" s="8" t="inlineStr">
        <is>
          <t>Crush's Coaster</t>
        </is>
      </c>
      <c r="F27145" s="8" t="inlineStr">
        <is>
          <t>STANDBY</t>
        </is>
      </c>
      <c r="G27145" s="8" t="n">
        <v>0</v>
      </c>
      <c r="H27145" s="8" t="inlineStr">
        <is>
          <t>CLOSED</t>
        </is>
      </c>
    </row>
    <row r="27146">
      <c r="A27146" s="8" t="inlineStr">
        <is>
          <t>2026-08-05</t>
        </is>
      </c>
      <c r="B27146" s="8" t="n">
        <v>21</v>
      </c>
      <c r="C27146" s="8" t="n">
        <v>45</v>
      </c>
      <c r="D27146" s="8" t="inlineStr">
        <is>
          <t>Disney Adventure World</t>
        </is>
      </c>
      <c r="E27146" s="8" t="inlineStr">
        <is>
          <t>Crush's Coaster Single Rider</t>
        </is>
      </c>
      <c r="F27146" s="8" t="inlineStr">
        <is>
          <t>STANDBY</t>
        </is>
      </c>
      <c r="G27146" s="8" t="n">
        <v>0</v>
      </c>
      <c r="H27146" s="8" t="inlineStr">
        <is>
          <t>CLOSED</t>
        </is>
      </c>
    </row>
    <row r="27147">
      <c r="A27147" s="8" t="inlineStr">
        <is>
          <t>2026-08-05</t>
        </is>
      </c>
      <c r="B27147" s="8" t="n">
        <v>21</v>
      </c>
      <c r="C27147" s="8" t="n">
        <v>45</v>
      </c>
      <c r="D27147" s="8" t="inlineStr">
        <is>
          <t>Disney Adventure World</t>
        </is>
      </c>
      <c r="E27147" s="8" t="inlineStr">
        <is>
          <t>Les Tapis Volants - Flying Carpets Over Agrabah®</t>
        </is>
      </c>
      <c r="F27147" s="8" t="inlineStr">
        <is>
          <t>STANDBY</t>
        </is>
      </c>
      <c r="G27147" s="8" t="n">
        <v>5</v>
      </c>
      <c r="H27147" s="8" t="inlineStr">
        <is>
          <t>OPERATING</t>
        </is>
      </c>
    </row>
    <row r="27148">
      <c r="A27148" s="8" t="inlineStr">
        <is>
          <t>2026-08-05</t>
        </is>
      </c>
      <c r="B27148" s="8" t="n">
        <v>21</v>
      </c>
      <c r="C27148" s="8" t="n">
        <v>45</v>
      </c>
      <c r="D27148" s="8" t="inlineStr">
        <is>
          <t>Disney Adventure World</t>
        </is>
      </c>
      <c r="E27148" s="8" t="inlineStr">
        <is>
          <t>Ratatouille : L’Aventure Totalement Toquée de Rémy​</t>
        </is>
      </c>
      <c r="F27148" s="8" t="inlineStr">
        <is>
          <t>STANDBY</t>
        </is>
      </c>
      <c r="G27148" s="8" t="n">
        <v>35</v>
      </c>
      <c r="H27148" s="8" t="inlineStr">
        <is>
          <t>OPERATING</t>
        </is>
      </c>
    </row>
    <row r="27149">
      <c r="A27149" s="8" t="inlineStr">
        <is>
          <t>2026-08-05</t>
        </is>
      </c>
      <c r="B27149" s="8" t="n">
        <v>21</v>
      </c>
      <c r="C27149" s="8" t="n">
        <v>45</v>
      </c>
      <c r="D27149" s="8" t="inlineStr">
        <is>
          <t>Disney Adventure World</t>
        </is>
      </c>
      <c r="E27149" s="8" t="inlineStr">
        <is>
          <t>Ratatouille: The Adventure Single Rider</t>
        </is>
      </c>
      <c r="F27149" s="8" t="inlineStr">
        <is>
          <t>STANDBY</t>
        </is>
      </c>
      <c r="G27149" s="8" t="n">
        <v>10</v>
      </c>
      <c r="H27149" s="8" t="inlineStr">
        <is>
          <t>OPERATING</t>
        </is>
      </c>
    </row>
    <row r="27150">
      <c r="A27150" s="8" t="inlineStr">
        <is>
          <t>2026-08-05</t>
        </is>
      </c>
      <c r="B27150" s="8" t="n">
        <v>21</v>
      </c>
      <c r="C27150" s="8" t="n">
        <v>45</v>
      </c>
      <c r="D27150" s="8" t="inlineStr">
        <is>
          <t>Disney Adventure World</t>
        </is>
      </c>
      <c r="E27150" s="8" t="inlineStr">
        <is>
          <t>RC Racer</t>
        </is>
      </c>
      <c r="F27150" s="8" t="inlineStr">
        <is>
          <t>STANDBY</t>
        </is>
      </c>
      <c r="G27150" s="8" t="n">
        <v>20</v>
      </c>
      <c r="H27150" s="8" t="inlineStr">
        <is>
          <t>OPERATING</t>
        </is>
      </c>
    </row>
    <row r="27151">
      <c r="A27151" s="8" t="inlineStr">
        <is>
          <t>2026-08-05</t>
        </is>
      </c>
      <c r="B27151" s="8" t="n">
        <v>21</v>
      </c>
      <c r="C27151" s="8" t="n">
        <v>45</v>
      </c>
      <c r="D27151" s="8" t="inlineStr">
        <is>
          <t>Disney Adventure World</t>
        </is>
      </c>
      <c r="E27151" s="8" t="inlineStr">
        <is>
          <t>RC Racer Single Rider</t>
        </is>
      </c>
      <c r="F27151" s="8" t="inlineStr">
        <is>
          <t>STANDBY</t>
        </is>
      </c>
      <c r="G27151" s="8" t="n">
        <v>10</v>
      </c>
      <c r="H27151" s="8" t="inlineStr">
        <is>
          <t>OPERATING</t>
        </is>
      </c>
    </row>
    <row r="27152">
      <c r="A27152" s="8" t="inlineStr">
        <is>
          <t>2026-08-05</t>
        </is>
      </c>
      <c r="B27152" s="8" t="n">
        <v>21</v>
      </c>
      <c r="C27152" s="8" t="n">
        <v>45</v>
      </c>
      <c r="D27152" s="8" t="inlineStr">
        <is>
          <t>Disney Adventure World</t>
        </is>
      </c>
      <c r="E27152" s="8" t="inlineStr">
        <is>
          <t>Slinky® Dog Zigzag Spin</t>
        </is>
      </c>
      <c r="F27152" s="8" t="inlineStr">
        <is>
          <t>STANDBY</t>
        </is>
      </c>
      <c r="G27152" s="8" t="n">
        <v>5</v>
      </c>
      <c r="H27152" s="8" t="inlineStr">
        <is>
          <t>OPERATING</t>
        </is>
      </c>
    </row>
    <row r="27153">
      <c r="A27153" s="8" t="inlineStr">
        <is>
          <t>2026-08-05</t>
        </is>
      </c>
      <c r="B27153" s="8" t="n">
        <v>21</v>
      </c>
      <c r="C27153" s="8" t="n">
        <v>45</v>
      </c>
      <c r="D27153" s="8" t="inlineStr">
        <is>
          <t>Disney Adventure World</t>
        </is>
      </c>
      <c r="E27153" s="8" t="inlineStr">
        <is>
          <t>Toy Soldiers Parachute Drop</t>
        </is>
      </c>
      <c r="F27153" s="8" t="inlineStr">
        <is>
          <t>STANDBY</t>
        </is>
      </c>
      <c r="G27153" s="8" t="n">
        <v>30</v>
      </c>
      <c r="H27153" s="8" t="inlineStr">
        <is>
          <t>OPERATING</t>
        </is>
      </c>
    </row>
    <row r="27154">
      <c r="A27154" s="8" t="inlineStr">
        <is>
          <t>2026-08-05</t>
        </is>
      </c>
      <c r="B27154" s="8" t="n">
        <v>21</v>
      </c>
      <c r="C27154" s="8" t="n">
        <v>45</v>
      </c>
      <c r="D27154" s="8" t="inlineStr">
        <is>
          <t>Disney Adventure World</t>
        </is>
      </c>
      <c r="E27154" s="8" t="inlineStr">
        <is>
          <t>Toy Soldiers Parachute Drop Single Rider</t>
        </is>
      </c>
      <c r="F27154" s="8" t="inlineStr">
        <is>
          <t>STANDBY</t>
        </is>
      </c>
      <c r="G27154" s="8" t="n">
        <v>15</v>
      </c>
      <c r="H27154" s="8" t="inlineStr">
        <is>
          <t>OPERATING</t>
        </is>
      </c>
    </row>
    <row r="27155">
      <c r="A27155" s="8" t="inlineStr">
        <is>
          <t>2026-08-05</t>
        </is>
      </c>
      <c r="B27155" s="8" t="n">
        <v>21</v>
      </c>
      <c r="C27155" s="8" t="n">
        <v>45</v>
      </c>
      <c r="D27155" s="8" t="inlineStr">
        <is>
          <t>Disney Adventure World</t>
        </is>
      </c>
      <c r="E27155" s="8" t="inlineStr">
        <is>
          <t>Entry to World of Frozen</t>
        </is>
      </c>
      <c r="F27155" s="8" t="inlineStr">
        <is>
          <t>STANDBY</t>
        </is>
      </c>
      <c r="G27155" s="8" t="n">
        <v>0</v>
      </c>
      <c r="H27155" s="8" t="inlineStr">
        <is>
          <t>OPERATING</t>
        </is>
      </c>
    </row>
    <row r="27156">
      <c r="A27156" s="8" t="inlineStr">
        <is>
          <t>2026-08-05</t>
        </is>
      </c>
      <c r="B27156" s="8" t="n">
        <v>21</v>
      </c>
      <c r="C27156" s="8" t="n">
        <v>45</v>
      </c>
      <c r="D27156" s="8" t="inlineStr">
        <is>
          <t>Disney Adventure World</t>
        </is>
      </c>
      <c r="E27156" s="8" t="inlineStr">
        <is>
          <t>Frozen Ever After</t>
        </is>
      </c>
      <c r="F27156" s="8" t="inlineStr">
        <is>
          <t>STANDBY</t>
        </is>
      </c>
      <c r="G27156" s="8" t="n">
        <v>40</v>
      </c>
      <c r="H27156" s="8" t="inlineStr">
        <is>
          <t>OPERATING</t>
        </is>
      </c>
    </row>
    <row r="27157">
      <c r="A27157" s="8" t="inlineStr">
        <is>
          <t>2026-08-05</t>
        </is>
      </c>
      <c r="B27157" s="8" t="n">
        <v>21</v>
      </c>
      <c r="C27157" s="8" t="n">
        <v>45</v>
      </c>
      <c r="D27157" s="8" t="inlineStr">
        <is>
          <t>Disney Adventure World</t>
        </is>
      </c>
      <c r="E27157" s="8" t="inlineStr">
        <is>
          <t>Raiponce Tangled Spin</t>
        </is>
      </c>
      <c r="F27157" s="8" t="inlineStr">
        <is>
          <t>STANDBY</t>
        </is>
      </c>
      <c r="G27157" s="8" t="n">
        <v>5</v>
      </c>
      <c r="H27157" s="8" t="inlineStr">
        <is>
          <t>OPERATING</t>
        </is>
      </c>
    </row>
    <row r="27158">
      <c r="A27158" s="8" t="inlineStr">
        <is>
          <t>2026-08-05</t>
        </is>
      </c>
      <c r="B27158" s="8" t="n">
        <v>22</v>
      </c>
      <c r="C27158" s="8" t="n">
        <v>1</v>
      </c>
      <c r="D27158" s="8" t="inlineStr">
        <is>
          <t>Disneyland Park</t>
        </is>
      </c>
      <c r="E27158" s="8" t="inlineStr">
        <is>
          <t>Adventure Isle</t>
        </is>
      </c>
      <c r="F27158" s="8" t="inlineStr">
        <is>
          <t>STANDBY</t>
        </is>
      </c>
      <c r="G27158" s="8" t="n">
        <v>0</v>
      </c>
      <c r="H27158" s="8" t="inlineStr">
        <is>
          <t>OPERATING</t>
        </is>
      </c>
    </row>
    <row r="27159">
      <c r="A27159" s="8" t="inlineStr">
        <is>
          <t>2026-08-05</t>
        </is>
      </c>
      <c r="B27159" s="8" t="n">
        <v>22</v>
      </c>
      <c r="C27159" s="8" t="n">
        <v>1</v>
      </c>
      <c r="D27159" s="8" t="inlineStr">
        <is>
          <t>Disneyland Park</t>
        </is>
      </c>
      <c r="E27159" s="8" t="inlineStr">
        <is>
          <t>Indiana Jones and the Temple of Peril Single Rider</t>
        </is>
      </c>
      <c r="F27159" s="8" t="inlineStr">
        <is>
          <t>STANDBY</t>
        </is>
      </c>
      <c r="G27159" s="8" t="n">
        <v>5</v>
      </c>
      <c r="H27159" s="8" t="inlineStr">
        <is>
          <t>OPERATING</t>
        </is>
      </c>
    </row>
    <row r="27160">
      <c r="A27160" s="8" t="inlineStr">
        <is>
          <t>2026-08-05</t>
        </is>
      </c>
      <c r="B27160" s="8" t="n">
        <v>22</v>
      </c>
      <c r="C27160" s="8" t="n">
        <v>1</v>
      </c>
      <c r="D27160" s="8" t="inlineStr">
        <is>
          <t>Disneyland Park</t>
        </is>
      </c>
      <c r="E27160" s="8" t="inlineStr">
        <is>
          <t>Indiana Jones™ and the Temple of Peril</t>
        </is>
      </c>
      <c r="F27160" s="8" t="inlineStr">
        <is>
          <t>STANDBY</t>
        </is>
      </c>
      <c r="G27160" s="8" t="n">
        <v>10</v>
      </c>
      <c r="H27160" s="8" t="inlineStr">
        <is>
          <t>OPERATING</t>
        </is>
      </c>
    </row>
    <row r="27161">
      <c r="A27161" s="8" t="inlineStr">
        <is>
          <t>2026-08-05</t>
        </is>
      </c>
      <c r="B27161" s="8" t="n">
        <v>22</v>
      </c>
      <c r="C27161" s="8" t="n">
        <v>1</v>
      </c>
      <c r="D27161" s="8" t="inlineStr">
        <is>
          <t>Disneyland Park</t>
        </is>
      </c>
      <c r="E27161" s="8" t="inlineStr">
        <is>
          <t>La Cabane des Robinson</t>
        </is>
      </c>
      <c r="F27161" s="8" t="inlineStr">
        <is>
          <t>STANDBY</t>
        </is>
      </c>
      <c r="G27161" s="8" t="n">
        <v>5</v>
      </c>
      <c r="H27161" s="8" t="inlineStr">
        <is>
          <t>OPERATING</t>
        </is>
      </c>
    </row>
    <row r="27162">
      <c r="A27162" s="8" t="inlineStr">
        <is>
          <t>2026-08-05</t>
        </is>
      </c>
      <c r="B27162" s="8" t="n">
        <v>22</v>
      </c>
      <c r="C27162" s="8" t="n">
        <v>1</v>
      </c>
      <c r="D27162" s="8" t="inlineStr">
        <is>
          <t>Disneyland Park</t>
        </is>
      </c>
      <c r="E27162" s="8" t="inlineStr">
        <is>
          <t>Le Passage Enchanté d'Aladdin</t>
        </is>
      </c>
      <c r="F27162" s="8" t="inlineStr">
        <is>
          <t>STANDBY</t>
        </is>
      </c>
      <c r="G27162" s="8" t="n">
        <v>0</v>
      </c>
      <c r="H27162" s="8" t="inlineStr">
        <is>
          <t>OPERATING</t>
        </is>
      </c>
    </row>
    <row r="27163">
      <c r="A27163" s="8" t="inlineStr">
        <is>
          <t>2026-08-05</t>
        </is>
      </c>
      <c r="B27163" s="8" t="n">
        <v>22</v>
      </c>
      <c r="C27163" s="8" t="n">
        <v>1</v>
      </c>
      <c r="D27163" s="8" t="inlineStr">
        <is>
          <t>Disneyland Park</t>
        </is>
      </c>
      <c r="E27163" s="8" t="inlineStr">
        <is>
          <t>Pirate Galleon</t>
        </is>
      </c>
      <c r="F27163" s="8" t="inlineStr">
        <is>
          <t>STANDBY</t>
        </is>
      </c>
      <c r="G27163" s="8" t="n">
        <v>0</v>
      </c>
      <c r="H27163" s="8" t="inlineStr">
        <is>
          <t>CLOSED</t>
        </is>
      </c>
    </row>
    <row r="27164">
      <c r="A27164" s="8" t="inlineStr">
        <is>
          <t>2026-08-05</t>
        </is>
      </c>
      <c r="B27164" s="8" t="n">
        <v>22</v>
      </c>
      <c r="C27164" s="8" t="n">
        <v>1</v>
      </c>
      <c r="D27164" s="8" t="inlineStr">
        <is>
          <t>Disneyland Park</t>
        </is>
      </c>
      <c r="E27164" s="8" t="inlineStr">
        <is>
          <t>Pirates of the Caribbean</t>
        </is>
      </c>
      <c r="F27164" s="8" t="inlineStr">
        <is>
          <t>STANDBY</t>
        </is>
      </c>
      <c r="G27164" s="8" t="n">
        <v>5</v>
      </c>
      <c r="H27164" s="8" t="inlineStr">
        <is>
          <t>OPERATING</t>
        </is>
      </c>
    </row>
    <row r="27165">
      <c r="A27165" s="8" t="inlineStr">
        <is>
          <t>2026-08-05</t>
        </is>
      </c>
      <c r="B27165" s="8" t="n">
        <v>22</v>
      </c>
      <c r="C27165" s="8" t="n">
        <v>1</v>
      </c>
      <c r="D27165" s="8" t="inlineStr">
        <is>
          <t>Disneyland Park</t>
        </is>
      </c>
      <c r="E27165" s="8" t="inlineStr">
        <is>
          <t>Pirates' Beach</t>
        </is>
      </c>
      <c r="F27165" s="8" t="inlineStr">
        <is>
          <t>STANDBY</t>
        </is>
      </c>
      <c r="G27165" s="8" t="n">
        <v>0</v>
      </c>
      <c r="H27165" s="8" t="inlineStr">
        <is>
          <t>OPERATING</t>
        </is>
      </c>
    </row>
    <row r="27166">
      <c r="A27166" s="8" t="inlineStr">
        <is>
          <t>2026-08-05</t>
        </is>
      </c>
      <c r="B27166" s="8" t="n">
        <v>22</v>
      </c>
      <c r="C27166" s="8" t="n">
        <v>1</v>
      </c>
      <c r="D27166" s="8" t="inlineStr">
        <is>
          <t>Disneyland Park</t>
        </is>
      </c>
      <c r="E27166" s="8" t="inlineStr">
        <is>
          <t>Autopia, presented by Avis</t>
        </is>
      </c>
      <c r="F27166" s="8" t="inlineStr">
        <is>
          <t>STANDBY</t>
        </is>
      </c>
      <c r="G27166" s="8" t="n">
        <v>50</v>
      </c>
      <c r="H27166" s="8" t="inlineStr">
        <is>
          <t>OPERATING</t>
        </is>
      </c>
    </row>
    <row r="27167">
      <c r="A27167" s="8" t="inlineStr">
        <is>
          <t>2026-08-05</t>
        </is>
      </c>
      <c r="B27167" s="8" t="n">
        <v>22</v>
      </c>
      <c r="C27167" s="8" t="n">
        <v>1</v>
      </c>
      <c r="D27167" s="8" t="inlineStr">
        <is>
          <t>Disneyland Park</t>
        </is>
      </c>
      <c r="E27167" s="8" t="inlineStr">
        <is>
          <t>Buzz Lightyear Laser Blast</t>
        </is>
      </c>
      <c r="F27167" s="8" t="inlineStr">
        <is>
          <t>STANDBY</t>
        </is>
      </c>
      <c r="G27167" s="8" t="n">
        <v>20</v>
      </c>
      <c r="H27167" s="8" t="inlineStr">
        <is>
          <t>OPERATING</t>
        </is>
      </c>
    </row>
    <row r="27168">
      <c r="A27168" s="8" t="inlineStr">
        <is>
          <t>2026-08-05</t>
        </is>
      </c>
      <c r="B27168" s="8" t="n">
        <v>22</v>
      </c>
      <c r="C27168" s="8" t="n">
        <v>1</v>
      </c>
      <c r="D27168" s="8" t="inlineStr">
        <is>
          <t>Disneyland Park</t>
        </is>
      </c>
      <c r="E27168" s="8" t="inlineStr">
        <is>
          <t>Disneyland Railroad Discoveryland Station</t>
        </is>
      </c>
      <c r="F27168" s="8" t="inlineStr">
        <is>
          <t>STANDBY</t>
        </is>
      </c>
      <c r="G27168" s="8" t="n">
        <v>0</v>
      </c>
      <c r="H27168" s="8" t="inlineStr">
        <is>
          <t>CLOSED</t>
        </is>
      </c>
    </row>
    <row r="27169">
      <c r="A27169" s="8" t="inlineStr">
        <is>
          <t>2026-08-05</t>
        </is>
      </c>
      <c r="B27169" s="8" t="n">
        <v>22</v>
      </c>
      <c r="C27169" s="8" t="n">
        <v>1</v>
      </c>
      <c r="D27169" s="8" t="inlineStr">
        <is>
          <t>Disneyland Park</t>
        </is>
      </c>
      <c r="E27169" s="8" t="inlineStr">
        <is>
          <t>Les Mystères du Nautilus</t>
        </is>
      </c>
      <c r="F27169" s="8" t="inlineStr">
        <is>
          <t>STANDBY</t>
        </is>
      </c>
      <c r="G27169" s="8" t="n">
        <v>5</v>
      </c>
      <c r="H27169" s="8" t="inlineStr">
        <is>
          <t>OPERATING</t>
        </is>
      </c>
    </row>
    <row r="27170">
      <c r="A27170" s="8" t="inlineStr">
        <is>
          <t>2026-08-05</t>
        </is>
      </c>
      <c r="B27170" s="8" t="n">
        <v>22</v>
      </c>
      <c r="C27170" s="8" t="n">
        <v>1</v>
      </c>
      <c r="D27170" s="8" t="inlineStr">
        <is>
          <t>Disneyland Park</t>
        </is>
      </c>
      <c r="E27170" s="8" t="inlineStr">
        <is>
          <t>Mickey’s PhilharMagic</t>
        </is>
      </c>
      <c r="F27170" s="8" t="inlineStr">
        <is>
          <t>STANDBY</t>
        </is>
      </c>
      <c r="G27170" s="8" t="n">
        <v>0</v>
      </c>
      <c r="H27170" s="8" t="inlineStr">
        <is>
          <t>CLOSED</t>
        </is>
      </c>
    </row>
    <row r="27171">
      <c r="A27171" s="8" t="inlineStr">
        <is>
          <t>2026-08-05</t>
        </is>
      </c>
      <c r="B27171" s="8" t="n">
        <v>22</v>
      </c>
      <c r="C27171" s="8" t="n">
        <v>1</v>
      </c>
      <c r="D27171" s="8" t="inlineStr">
        <is>
          <t>Disneyland Park</t>
        </is>
      </c>
      <c r="E27171" s="8" t="inlineStr">
        <is>
          <t>Orbitron®</t>
        </is>
      </c>
      <c r="F27171" s="8" t="inlineStr">
        <is>
          <t>STANDBY</t>
        </is>
      </c>
      <c r="G27171" s="8" t="n">
        <v>30</v>
      </c>
      <c r="H27171" s="8" t="inlineStr">
        <is>
          <t>OPERATING</t>
        </is>
      </c>
    </row>
    <row r="27172">
      <c r="A27172" s="8" t="inlineStr">
        <is>
          <t>2026-08-05</t>
        </is>
      </c>
      <c r="B27172" s="8" t="n">
        <v>22</v>
      </c>
      <c r="C27172" s="8" t="n">
        <v>1</v>
      </c>
      <c r="D27172" s="8" t="inlineStr">
        <is>
          <t>Disneyland Park</t>
        </is>
      </c>
      <c r="E27172" s="8" t="inlineStr">
        <is>
          <t>Star Tours: The Adventures Continue*</t>
        </is>
      </c>
      <c r="F27172" s="8" t="inlineStr">
        <is>
          <t>STANDBY</t>
        </is>
      </c>
      <c r="G27172" s="8" t="n">
        <v>5</v>
      </c>
      <c r="H27172" s="8" t="inlineStr">
        <is>
          <t>OPERATING</t>
        </is>
      </c>
    </row>
    <row r="27173">
      <c r="A27173" s="8" t="inlineStr">
        <is>
          <t>2026-08-05</t>
        </is>
      </c>
      <c r="B27173" s="8" t="n">
        <v>22</v>
      </c>
      <c r="C27173" s="8" t="n">
        <v>1</v>
      </c>
      <c r="D27173" s="8" t="inlineStr">
        <is>
          <t>Disneyland Park</t>
        </is>
      </c>
      <c r="E27173" s="8" t="inlineStr">
        <is>
          <t>Star Wars Hyperspace Mountain</t>
        </is>
      </c>
      <c r="F27173" s="8" t="inlineStr">
        <is>
          <t>STANDBY</t>
        </is>
      </c>
      <c r="G27173" s="8" t="n">
        <v>20</v>
      </c>
      <c r="H27173" s="8" t="inlineStr">
        <is>
          <t>OPERATING</t>
        </is>
      </c>
    </row>
    <row r="27174">
      <c r="A27174" s="8" t="inlineStr">
        <is>
          <t>2026-08-05</t>
        </is>
      </c>
      <c r="B27174" s="8" t="n">
        <v>22</v>
      </c>
      <c r="C27174" s="8" t="n">
        <v>1</v>
      </c>
      <c r="D27174" s="8" t="inlineStr">
        <is>
          <t>Disneyland Park</t>
        </is>
      </c>
      <c r="E27174" s="8" t="inlineStr">
        <is>
          <t>Star Wars Hyperspace Mountain Single Rider</t>
        </is>
      </c>
      <c r="F27174" s="8" t="inlineStr">
        <is>
          <t>STANDBY</t>
        </is>
      </c>
      <c r="G27174" s="8" t="n">
        <v>0</v>
      </c>
      <c r="H27174" s="8" t="inlineStr">
        <is>
          <t>OPERATING</t>
        </is>
      </c>
    </row>
    <row r="27175">
      <c r="A27175" s="8" t="inlineStr">
        <is>
          <t>2026-08-05</t>
        </is>
      </c>
      <c r="B27175" s="8" t="n">
        <v>22</v>
      </c>
      <c r="C27175" s="8" t="n">
        <v>1</v>
      </c>
      <c r="D27175" s="8" t="inlineStr">
        <is>
          <t>Disneyland Park</t>
        </is>
      </c>
      <c r="E27175" s="8" t="inlineStr">
        <is>
          <t>Welcome to Starport: A Star Wars Encounter</t>
        </is>
      </c>
      <c r="F27175" s="8" t="inlineStr">
        <is>
          <t>STANDBY</t>
        </is>
      </c>
      <c r="G27175" s="8" t="n">
        <v>0</v>
      </c>
      <c r="H27175" s="8" t="inlineStr">
        <is>
          <t>CLOSED</t>
        </is>
      </c>
    </row>
    <row r="27176">
      <c r="A27176" s="8" t="inlineStr">
        <is>
          <t>2026-08-05</t>
        </is>
      </c>
      <c r="B27176" s="8" t="n">
        <v>22</v>
      </c>
      <c r="C27176" s="8" t="n">
        <v>1</v>
      </c>
      <c r="D27176" s="8" t="inlineStr">
        <is>
          <t>Disneyland Park</t>
        </is>
      </c>
      <c r="E27176" s="8" t="inlineStr">
        <is>
          <t>"it's a small world"</t>
        </is>
      </c>
      <c r="F27176" s="8" t="inlineStr">
        <is>
          <t>STANDBY</t>
        </is>
      </c>
      <c r="G27176" s="8" t="n">
        <v>5</v>
      </c>
      <c r="H27176" s="8" t="inlineStr">
        <is>
          <t>OPERATING</t>
        </is>
      </c>
    </row>
    <row r="27177">
      <c r="A27177" s="8" t="inlineStr">
        <is>
          <t>2026-08-05</t>
        </is>
      </c>
      <c r="B27177" s="8" t="n">
        <v>22</v>
      </c>
      <c r="C27177" s="8" t="n">
        <v>1</v>
      </c>
      <c r="D27177" s="8" t="inlineStr">
        <is>
          <t>Disneyland Park</t>
        </is>
      </c>
      <c r="E27177" s="8" t="inlineStr">
        <is>
          <t>Alice's Curious Labyrinth</t>
        </is>
      </c>
      <c r="F27177" s="8" t="inlineStr">
        <is>
          <t>STANDBY</t>
        </is>
      </c>
      <c r="G27177" s="8" t="n">
        <v>0</v>
      </c>
      <c r="H27177" s="8" t="inlineStr">
        <is>
          <t>CLOSED</t>
        </is>
      </c>
    </row>
    <row r="27178">
      <c r="A27178" s="8" t="inlineStr">
        <is>
          <t>2026-08-05</t>
        </is>
      </c>
      <c r="B27178" s="8" t="n">
        <v>22</v>
      </c>
      <c r="C27178" s="8" t="n">
        <v>1</v>
      </c>
      <c r="D27178" s="8" t="inlineStr">
        <is>
          <t>Disneyland Park</t>
        </is>
      </c>
      <c r="E27178" s="8" t="inlineStr">
        <is>
          <t>Blanche-Neige et les Sept Nains®</t>
        </is>
      </c>
      <c r="F27178" s="8" t="inlineStr">
        <is>
          <t>STANDBY</t>
        </is>
      </c>
      <c r="G27178" s="8" t="n">
        <v>0</v>
      </c>
      <c r="H27178" s="8" t="inlineStr">
        <is>
          <t>CLOSED</t>
        </is>
      </c>
    </row>
    <row r="27179">
      <c r="A27179" s="8" t="inlineStr">
        <is>
          <t>2026-08-05</t>
        </is>
      </c>
      <c r="B27179" s="8" t="n">
        <v>22</v>
      </c>
      <c r="C27179" s="8" t="n">
        <v>1</v>
      </c>
      <c r="D27179" s="8" t="inlineStr">
        <is>
          <t>Disneyland Park</t>
        </is>
      </c>
      <c r="E27179" s="8" t="inlineStr">
        <is>
          <t>Casey Jr. – le Petit Train du Cirque</t>
        </is>
      </c>
      <c r="F27179" s="8" t="inlineStr">
        <is>
          <t>STANDBY</t>
        </is>
      </c>
      <c r="G27179" s="8" t="n">
        <v>0</v>
      </c>
      <c r="H27179" s="8" t="inlineStr">
        <is>
          <t>CLOSED</t>
        </is>
      </c>
    </row>
    <row r="27180">
      <c r="A27180" s="8" t="inlineStr">
        <is>
          <t>2026-08-05</t>
        </is>
      </c>
      <c r="B27180" s="8" t="n">
        <v>22</v>
      </c>
      <c r="C27180" s="8" t="n">
        <v>1</v>
      </c>
      <c r="D27180" s="8" t="inlineStr">
        <is>
          <t>Disneyland Park</t>
        </is>
      </c>
      <c r="E27180" s="8" t="inlineStr">
        <is>
          <t>Disneyland Railroad Fantasyland Station</t>
        </is>
      </c>
      <c r="F27180" s="8" t="inlineStr">
        <is>
          <t>STANDBY</t>
        </is>
      </c>
      <c r="G27180" s="8" t="n">
        <v>0</v>
      </c>
      <c r="H27180" s="8" t="inlineStr">
        <is>
          <t>CLOSED</t>
        </is>
      </c>
    </row>
    <row r="27181">
      <c r="A27181" s="8" t="inlineStr">
        <is>
          <t>2026-08-05</t>
        </is>
      </c>
      <c r="B27181" s="8" t="n">
        <v>22</v>
      </c>
      <c r="C27181" s="8" t="n">
        <v>1</v>
      </c>
      <c r="D27181" s="8" t="inlineStr">
        <is>
          <t>Disneyland Park</t>
        </is>
      </c>
      <c r="E27181" s="8" t="inlineStr">
        <is>
          <t>Disneyland Railroad Main Street Station</t>
        </is>
      </c>
      <c r="F27181" s="8" t="inlineStr">
        <is>
          <t>STANDBY</t>
        </is>
      </c>
      <c r="G27181" s="8" t="n">
        <v>0</v>
      </c>
      <c r="H27181" s="8" t="inlineStr">
        <is>
          <t>CLOSED</t>
        </is>
      </c>
    </row>
    <row r="27182">
      <c r="A27182" s="8" t="inlineStr">
        <is>
          <t>2026-08-05</t>
        </is>
      </c>
      <c r="B27182" s="8" t="n">
        <v>22</v>
      </c>
      <c r="C27182" s="8" t="n">
        <v>1</v>
      </c>
      <c r="D27182" s="8" t="inlineStr">
        <is>
          <t>Disneyland Park</t>
        </is>
      </c>
      <c r="E27182" s="8" t="inlineStr">
        <is>
          <t>Dumbo the Flying Elephant</t>
        </is>
      </c>
      <c r="F27182" s="8" t="inlineStr">
        <is>
          <t>STANDBY</t>
        </is>
      </c>
      <c r="G27182" s="8" t="n">
        <v>0</v>
      </c>
      <c r="H27182" s="8" t="inlineStr">
        <is>
          <t>CLOSED</t>
        </is>
      </c>
    </row>
    <row r="27183">
      <c r="A27183" s="8" t="inlineStr">
        <is>
          <t>2026-08-05</t>
        </is>
      </c>
      <c r="B27183" s="8" t="n">
        <v>22</v>
      </c>
      <c r="C27183" s="8" t="n">
        <v>1</v>
      </c>
      <c r="D27183" s="8" t="inlineStr">
        <is>
          <t>Disneyland Park</t>
        </is>
      </c>
      <c r="E27183" s="8" t="inlineStr">
        <is>
          <t>La Tanière du Dragon</t>
        </is>
      </c>
      <c r="F27183" s="8" t="inlineStr">
        <is>
          <t>STANDBY</t>
        </is>
      </c>
      <c r="G27183" s="8" t="n">
        <v>0</v>
      </c>
      <c r="H27183" s="8" t="inlineStr">
        <is>
          <t>CLOSED</t>
        </is>
      </c>
    </row>
    <row r="27184">
      <c r="A27184" s="8" t="inlineStr">
        <is>
          <t>2026-08-05</t>
        </is>
      </c>
      <c r="B27184" s="8" t="n">
        <v>22</v>
      </c>
      <c r="C27184" s="8" t="n">
        <v>1</v>
      </c>
      <c r="D27184" s="8" t="inlineStr">
        <is>
          <t>Disneyland Park</t>
        </is>
      </c>
      <c r="E27184" s="8" t="inlineStr">
        <is>
          <t>Le Carrousel de Lancelot</t>
        </is>
      </c>
      <c r="F27184" s="8" t="inlineStr">
        <is>
          <t>STANDBY</t>
        </is>
      </c>
      <c r="G27184" s="8" t="n">
        <v>0</v>
      </c>
      <c r="H27184" s="8" t="inlineStr">
        <is>
          <t>CLOSED</t>
        </is>
      </c>
    </row>
    <row r="27185">
      <c r="A27185" s="8" t="inlineStr">
        <is>
          <t>2026-08-05</t>
        </is>
      </c>
      <c r="B27185" s="8" t="n">
        <v>22</v>
      </c>
      <c r="C27185" s="8" t="n">
        <v>1</v>
      </c>
      <c r="D27185" s="8" t="inlineStr">
        <is>
          <t>Disneyland Park</t>
        </is>
      </c>
      <c r="E27185" s="8" t="inlineStr">
        <is>
          <t>Le Pays des Contes de Fées, presented by Vittel</t>
        </is>
      </c>
      <c r="F27185" s="8" t="inlineStr">
        <is>
          <t>STANDBY</t>
        </is>
      </c>
      <c r="G27185" s="8" t="n">
        <v>0</v>
      </c>
      <c r="H27185" s="8" t="inlineStr">
        <is>
          <t>CLOSED</t>
        </is>
      </c>
    </row>
    <row r="27186">
      <c r="A27186" s="8" t="inlineStr">
        <is>
          <t>2026-08-05</t>
        </is>
      </c>
      <c r="B27186" s="8" t="n">
        <v>22</v>
      </c>
      <c r="C27186" s="8" t="n">
        <v>1</v>
      </c>
      <c r="D27186" s="8" t="inlineStr">
        <is>
          <t>Disneyland Park</t>
        </is>
      </c>
      <c r="E27186" s="8" t="inlineStr">
        <is>
          <t>Les Voyages de Pinocchio</t>
        </is>
      </c>
      <c r="F27186" s="8" t="inlineStr">
        <is>
          <t>STANDBY</t>
        </is>
      </c>
      <c r="G27186" s="8" t="n">
        <v>0</v>
      </c>
      <c r="H27186" s="8" t="inlineStr">
        <is>
          <t>CLOSED</t>
        </is>
      </c>
    </row>
    <row r="27187">
      <c r="A27187" s="8" t="inlineStr">
        <is>
          <t>2026-08-05</t>
        </is>
      </c>
      <c r="B27187" s="8" t="n">
        <v>22</v>
      </c>
      <c r="C27187" s="8" t="n">
        <v>1</v>
      </c>
      <c r="D27187" s="8" t="inlineStr">
        <is>
          <t>Disneyland Park</t>
        </is>
      </c>
      <c r="E27187" s="8" t="inlineStr">
        <is>
          <t>Mad Hatter's Tea Cups</t>
        </is>
      </c>
      <c r="F27187" s="8" t="inlineStr">
        <is>
          <t>STANDBY</t>
        </is>
      </c>
      <c r="G27187" s="8" t="n">
        <v>0</v>
      </c>
      <c r="H27187" s="8" t="inlineStr">
        <is>
          <t>CLOSED</t>
        </is>
      </c>
    </row>
    <row r="27188">
      <c r="A27188" s="8" t="inlineStr">
        <is>
          <t>2026-08-05</t>
        </is>
      </c>
      <c r="B27188" s="8" t="n">
        <v>22</v>
      </c>
      <c r="C27188" s="8" t="n">
        <v>1</v>
      </c>
      <c r="D27188" s="8" t="inlineStr">
        <is>
          <t>Disneyland Park</t>
        </is>
      </c>
      <c r="E27188" s="8" t="inlineStr">
        <is>
          <t>Meet Mickey Mouse</t>
        </is>
      </c>
      <c r="F27188" s="8" t="inlineStr">
        <is>
          <t>STANDBY</t>
        </is>
      </c>
      <c r="G27188" s="8" t="n">
        <v>0</v>
      </c>
      <c r="H27188" s="8" t="inlineStr">
        <is>
          <t>CLOSED</t>
        </is>
      </c>
    </row>
    <row r="27189">
      <c r="A27189" s="8" t="inlineStr">
        <is>
          <t>2026-08-05</t>
        </is>
      </c>
      <c r="B27189" s="8" t="n">
        <v>22</v>
      </c>
      <c r="C27189" s="8" t="n">
        <v>1</v>
      </c>
      <c r="D27189" s="8" t="inlineStr">
        <is>
          <t>Disneyland Park</t>
        </is>
      </c>
      <c r="E27189" s="8" t="inlineStr">
        <is>
          <t>Peter Pan's Flight</t>
        </is>
      </c>
      <c r="F27189" s="8" t="inlineStr">
        <is>
          <t>STANDBY</t>
        </is>
      </c>
      <c r="G27189" s="8" t="n">
        <v>35</v>
      </c>
      <c r="H27189" s="8" t="inlineStr">
        <is>
          <t>OPERATING</t>
        </is>
      </c>
    </row>
    <row r="27190">
      <c r="A27190" s="8" t="inlineStr">
        <is>
          <t>2026-08-05</t>
        </is>
      </c>
      <c r="B27190" s="8" t="n">
        <v>22</v>
      </c>
      <c r="C27190" s="8" t="n">
        <v>1</v>
      </c>
      <c r="D27190" s="8" t="inlineStr">
        <is>
          <t>Disneyland Park</t>
        </is>
      </c>
      <c r="E27190" s="8" t="inlineStr">
        <is>
          <t>Princess Pavilion</t>
        </is>
      </c>
      <c r="F27190" s="8" t="inlineStr">
        <is>
          <t>STANDBY</t>
        </is>
      </c>
      <c r="G27190" s="8" t="n">
        <v>0</v>
      </c>
      <c r="H27190" s="8" t="inlineStr">
        <is>
          <t>CLOSED</t>
        </is>
      </c>
    </row>
    <row r="27191">
      <c r="A27191" s="8" t="inlineStr">
        <is>
          <t>2026-08-05</t>
        </is>
      </c>
      <c r="B27191" s="8" t="n">
        <v>22</v>
      </c>
      <c r="C27191" s="8" t="n">
        <v>1</v>
      </c>
      <c r="D27191" s="8" t="inlineStr">
        <is>
          <t>Disneyland Park</t>
        </is>
      </c>
      <c r="E27191" s="8" t="inlineStr">
        <is>
          <t>Big Thunder Mountain</t>
        </is>
      </c>
      <c r="F27191" s="8" t="inlineStr">
        <is>
          <t>STANDBY</t>
        </is>
      </c>
      <c r="G27191" s="8" t="n">
        <v>50</v>
      </c>
      <c r="H27191" s="8" t="inlineStr">
        <is>
          <t>OPERATING</t>
        </is>
      </c>
    </row>
    <row r="27192">
      <c r="A27192" s="8" t="inlineStr">
        <is>
          <t>2026-08-05</t>
        </is>
      </c>
      <c r="B27192" s="8" t="n">
        <v>22</v>
      </c>
      <c r="C27192" s="8" t="n">
        <v>1</v>
      </c>
      <c r="D27192" s="8" t="inlineStr">
        <is>
          <t>Disneyland Park</t>
        </is>
      </c>
      <c r="E27192" s="8" t="inlineStr">
        <is>
          <t>Disneyland Railroad Frontierland Depot</t>
        </is>
      </c>
      <c r="F27192" s="8" t="inlineStr">
        <is>
          <t>STANDBY</t>
        </is>
      </c>
      <c r="G27192" s="8" t="n">
        <v>0</v>
      </c>
      <c r="H27192" s="8" t="inlineStr">
        <is>
          <t>CLOSED</t>
        </is>
      </c>
    </row>
    <row r="27193">
      <c r="A27193" s="8" t="inlineStr">
        <is>
          <t>2026-08-05</t>
        </is>
      </c>
      <c r="B27193" s="8" t="n">
        <v>22</v>
      </c>
      <c r="C27193" s="8" t="n">
        <v>1</v>
      </c>
      <c r="D27193" s="8" t="inlineStr">
        <is>
          <t>Disneyland Park</t>
        </is>
      </c>
      <c r="E27193" s="8" t="inlineStr">
        <is>
          <t>Frontierland Playground</t>
        </is>
      </c>
      <c r="F27193" s="8" t="inlineStr">
        <is>
          <t>STANDBY</t>
        </is>
      </c>
      <c r="G27193" s="8" t="n">
        <v>0</v>
      </c>
      <c r="H27193" s="8" t="inlineStr">
        <is>
          <t>CLOSED</t>
        </is>
      </c>
    </row>
    <row r="27194">
      <c r="A27194" s="8" t="inlineStr">
        <is>
          <t>2026-08-05</t>
        </is>
      </c>
      <c r="B27194" s="8" t="n">
        <v>22</v>
      </c>
      <c r="C27194" s="8" t="n">
        <v>1</v>
      </c>
      <c r="D27194" s="8" t="inlineStr">
        <is>
          <t>Disneyland Park</t>
        </is>
      </c>
      <c r="E27194" s="8" t="inlineStr">
        <is>
          <t>Phantom Manor</t>
        </is>
      </c>
      <c r="F27194" s="8" t="inlineStr">
        <is>
          <t>STANDBY</t>
        </is>
      </c>
      <c r="G27194" s="8" t="n">
        <v>5</v>
      </c>
      <c r="H27194" s="8" t="inlineStr">
        <is>
          <t>OPERATING</t>
        </is>
      </c>
    </row>
    <row r="27195">
      <c r="A27195" s="8" t="inlineStr">
        <is>
          <t>2026-08-05</t>
        </is>
      </c>
      <c r="B27195" s="8" t="n">
        <v>22</v>
      </c>
      <c r="C27195" s="8" t="n">
        <v>1</v>
      </c>
      <c r="D27195" s="8" t="inlineStr">
        <is>
          <t>Disneyland Park</t>
        </is>
      </c>
      <c r="E27195" s="8" t="inlineStr">
        <is>
          <t>River Rogue Keelboats</t>
        </is>
      </c>
      <c r="F27195" s="8" t="inlineStr">
        <is>
          <t>STANDBY</t>
        </is>
      </c>
      <c r="G27195" s="8" t="n">
        <v>0</v>
      </c>
      <c r="H27195" s="8" t="inlineStr">
        <is>
          <t>CLOSED</t>
        </is>
      </c>
    </row>
    <row r="27196">
      <c r="A27196" s="8" t="inlineStr">
        <is>
          <t>2026-08-05</t>
        </is>
      </c>
      <c r="B27196" s="8" t="n">
        <v>22</v>
      </c>
      <c r="C27196" s="8" t="n">
        <v>1</v>
      </c>
      <c r="D27196" s="8" t="inlineStr">
        <is>
          <t>Disneyland Park</t>
        </is>
      </c>
      <c r="E27196" s="8" t="inlineStr">
        <is>
          <t>Rustler Roundup Shootin' Gallery</t>
        </is>
      </c>
      <c r="F27196" s="8" t="inlineStr">
        <is>
          <t>STANDBY</t>
        </is>
      </c>
      <c r="G27196" s="8" t="n">
        <v>0</v>
      </c>
      <c r="H27196" s="8" t="inlineStr">
        <is>
          <t>CLOSED</t>
        </is>
      </c>
    </row>
    <row r="27197">
      <c r="A27197" s="8" t="inlineStr">
        <is>
          <t>2026-08-05</t>
        </is>
      </c>
      <c r="B27197" s="8" t="n">
        <v>22</v>
      </c>
      <c r="C27197" s="8" t="n">
        <v>1</v>
      </c>
      <c r="D27197" s="8" t="inlineStr">
        <is>
          <t>Disneyland Park</t>
        </is>
      </c>
      <c r="E27197" s="8" t="inlineStr">
        <is>
          <t>Thunder Mesa Riverboat Landing</t>
        </is>
      </c>
      <c r="F27197" s="8" t="inlineStr">
        <is>
          <t>STANDBY</t>
        </is>
      </c>
      <c r="G27197" s="8" t="n">
        <v>0</v>
      </c>
      <c r="H27197" s="8" t="inlineStr">
        <is>
          <t>CLOSED</t>
        </is>
      </c>
    </row>
    <row r="27198">
      <c r="A27198" s="8" t="inlineStr">
        <is>
          <t>2026-08-05</t>
        </is>
      </c>
      <c r="B27198" s="8" t="n">
        <v>22</v>
      </c>
      <c r="C27198" s="8" t="n">
        <v>1</v>
      </c>
      <c r="D27198" s="8" t="inlineStr">
        <is>
          <t>Disneyland Park</t>
        </is>
      </c>
      <c r="E27198" s="8" t="inlineStr">
        <is>
          <t>Disneyland Railroad Main Street Station</t>
        </is>
      </c>
      <c r="F27198" s="8" t="inlineStr">
        <is>
          <t>STANDBY</t>
        </is>
      </c>
      <c r="G27198" s="8" t="n">
        <v>0</v>
      </c>
      <c r="H27198" s="8" t="inlineStr">
        <is>
          <t>CLOSED</t>
        </is>
      </c>
    </row>
    <row r="27199">
      <c r="A27199" s="8" t="inlineStr">
        <is>
          <t>2026-08-05</t>
        </is>
      </c>
      <c r="B27199" s="8" t="n">
        <v>22</v>
      </c>
      <c r="C27199" s="8" t="n">
        <v>1</v>
      </c>
      <c r="D27199" s="8" t="inlineStr">
        <is>
          <t>Disneyland Park</t>
        </is>
      </c>
      <c r="E27199" s="8" t="inlineStr">
        <is>
          <t>Main Street Vehicles</t>
        </is>
      </c>
      <c r="F27199" s="8" t="inlineStr">
        <is>
          <t>STANDBY</t>
        </is>
      </c>
      <c r="G27199" s="8" t="n">
        <v>0</v>
      </c>
      <c r="H27199" s="8" t="inlineStr">
        <is>
          <t>CLOSED</t>
        </is>
      </c>
    </row>
    <row r="27200">
      <c r="A27200" s="8" t="inlineStr">
        <is>
          <t>2026-08-05</t>
        </is>
      </c>
      <c r="B27200" s="8" t="n">
        <v>22</v>
      </c>
      <c r="C27200" s="8" t="n">
        <v>1</v>
      </c>
      <c r="D27200" s="8" t="inlineStr">
        <is>
          <t>Disney Adventure World</t>
        </is>
      </c>
      <c r="E27200" s="8" t="inlineStr">
        <is>
          <t>Avengers Assemble: Flight Force</t>
        </is>
      </c>
      <c r="F27200" s="8" t="inlineStr">
        <is>
          <t>STANDBY</t>
        </is>
      </c>
      <c r="G27200" s="8" t="n">
        <v>5</v>
      </c>
      <c r="H27200" s="8" t="inlineStr">
        <is>
          <t>OPERATING</t>
        </is>
      </c>
    </row>
    <row r="27201">
      <c r="A27201" s="8" t="inlineStr">
        <is>
          <t>2026-08-05</t>
        </is>
      </c>
      <c r="B27201" s="8" t="n">
        <v>22</v>
      </c>
      <c r="C27201" s="8" t="n">
        <v>1</v>
      </c>
      <c r="D27201" s="8" t="inlineStr">
        <is>
          <t>Disney Adventure World</t>
        </is>
      </c>
      <c r="E27201" s="8" t="inlineStr">
        <is>
          <t>Avengers Assemble: Flight Force Single Rider</t>
        </is>
      </c>
      <c r="F27201" s="8" t="inlineStr">
        <is>
          <t>STANDBY</t>
        </is>
      </c>
      <c r="G27201" s="8" t="n">
        <v>5</v>
      </c>
      <c r="H27201" s="8" t="inlineStr">
        <is>
          <t>OPERATING</t>
        </is>
      </c>
    </row>
    <row r="27202">
      <c r="A27202" s="8" t="inlineStr">
        <is>
          <t>2026-08-05</t>
        </is>
      </c>
      <c r="B27202" s="8" t="n">
        <v>22</v>
      </c>
      <c r="C27202" s="8" t="n">
        <v>1</v>
      </c>
      <c r="D27202" s="8" t="inlineStr">
        <is>
          <t>Disney Adventure World</t>
        </is>
      </c>
      <c r="E27202" s="8" t="inlineStr">
        <is>
          <t>Spider-Man W.E.B. Adventure</t>
        </is>
      </c>
      <c r="F27202" s="8" t="inlineStr">
        <is>
          <t>STANDBY</t>
        </is>
      </c>
      <c r="G27202" s="8" t="n">
        <v>30</v>
      </c>
      <c r="H27202" s="8" t="inlineStr">
        <is>
          <t>OPERATING</t>
        </is>
      </c>
    </row>
    <row r="27203">
      <c r="A27203" s="8" t="inlineStr">
        <is>
          <t>2026-08-05</t>
        </is>
      </c>
      <c r="B27203" s="8" t="n">
        <v>22</v>
      </c>
      <c r="C27203" s="8" t="n">
        <v>1</v>
      </c>
      <c r="D27203" s="8" t="inlineStr">
        <is>
          <t>Disney Adventure World</t>
        </is>
      </c>
      <c r="E27203" s="8" t="inlineStr">
        <is>
          <t>Spider-Man W.E.B. Adventure Single Rider</t>
        </is>
      </c>
      <c r="F27203" s="8" t="inlineStr">
        <is>
          <t>STANDBY</t>
        </is>
      </c>
      <c r="G27203" s="8" t="n">
        <v>5</v>
      </c>
      <c r="H27203" s="8" t="inlineStr">
        <is>
          <t>OPERATING</t>
        </is>
      </c>
    </row>
    <row r="27204">
      <c r="A27204" s="8" t="inlineStr">
        <is>
          <t>2026-08-05</t>
        </is>
      </c>
      <c r="B27204" s="8" t="n">
        <v>22</v>
      </c>
      <c r="C27204" s="8" t="n">
        <v>1</v>
      </c>
      <c r="D27204" s="8" t="inlineStr">
        <is>
          <t>Disney Adventure World</t>
        </is>
      </c>
      <c r="E27204" s="8" t="inlineStr">
        <is>
          <t>The Twilight Zone Tower of Terror</t>
        </is>
      </c>
      <c r="F27204" s="8" t="inlineStr">
        <is>
          <t>STANDBY</t>
        </is>
      </c>
      <c r="G27204" s="8" t="n">
        <v>5</v>
      </c>
      <c r="H27204" s="8" t="inlineStr">
        <is>
          <t>OPERATING</t>
        </is>
      </c>
    </row>
    <row r="27205">
      <c r="A27205" s="8" t="inlineStr">
        <is>
          <t>2026-08-05</t>
        </is>
      </c>
      <c r="B27205" s="8" t="n">
        <v>22</v>
      </c>
      <c r="C27205" s="8" t="n">
        <v>1</v>
      </c>
      <c r="D27205" s="8" t="inlineStr">
        <is>
          <t>Disney Adventure World</t>
        </is>
      </c>
      <c r="E27205" s="8" t="inlineStr">
        <is>
          <t>Cars Quatre Roues Rallye</t>
        </is>
      </c>
      <c r="F27205" s="8" t="inlineStr">
        <is>
          <t>STANDBY</t>
        </is>
      </c>
      <c r="G27205" s="8" t="n">
        <v>10</v>
      </c>
      <c r="H27205" s="8" t="inlineStr">
        <is>
          <t>OPERATING</t>
        </is>
      </c>
    </row>
    <row r="27206">
      <c r="A27206" s="8" t="inlineStr">
        <is>
          <t>2026-08-05</t>
        </is>
      </c>
      <c r="B27206" s="8" t="n">
        <v>22</v>
      </c>
      <c r="C27206" s="8" t="n">
        <v>1</v>
      </c>
      <c r="D27206" s="8" t="inlineStr">
        <is>
          <t>Disney Adventure World</t>
        </is>
      </c>
      <c r="E27206" s="8" t="inlineStr">
        <is>
          <t>Cars ROAD TRIP</t>
        </is>
      </c>
      <c r="F27206" s="8" t="inlineStr">
        <is>
          <t>STANDBY</t>
        </is>
      </c>
      <c r="G27206" s="8" t="n">
        <v>0</v>
      </c>
      <c r="H27206" s="8" t="inlineStr">
        <is>
          <t>CLOSED</t>
        </is>
      </c>
    </row>
    <row r="27207">
      <c r="A27207" s="8" t="inlineStr">
        <is>
          <t>2026-08-05</t>
        </is>
      </c>
      <c r="B27207" s="8" t="n">
        <v>22</v>
      </c>
      <c r="C27207" s="8" t="n">
        <v>1</v>
      </c>
      <c r="D27207" s="8" t="inlineStr">
        <is>
          <t>Disney Adventure World</t>
        </is>
      </c>
      <c r="E27207" s="8" t="inlineStr">
        <is>
          <t>Crush's Coaster</t>
        </is>
      </c>
      <c r="F27207" s="8" t="inlineStr">
        <is>
          <t>STANDBY</t>
        </is>
      </c>
      <c r="G27207" s="8" t="n">
        <v>65</v>
      </c>
      <c r="H27207" s="8" t="inlineStr">
        <is>
          <t>OPERATING</t>
        </is>
      </c>
    </row>
    <row r="27208">
      <c r="A27208" s="8" t="inlineStr">
        <is>
          <t>2026-08-05</t>
        </is>
      </c>
      <c r="B27208" s="8" t="n">
        <v>22</v>
      </c>
      <c r="C27208" s="8" t="n">
        <v>1</v>
      </c>
      <c r="D27208" s="8" t="inlineStr">
        <is>
          <t>Disney Adventure World</t>
        </is>
      </c>
      <c r="E27208" s="8" t="inlineStr">
        <is>
          <t>Crush's Coaster Single Rider</t>
        </is>
      </c>
      <c r="F27208" s="8" t="inlineStr">
        <is>
          <t>STANDBY</t>
        </is>
      </c>
      <c r="G27208" s="8" t="n">
        <v>45</v>
      </c>
      <c r="H27208" s="8" t="inlineStr">
        <is>
          <t>OPERATING</t>
        </is>
      </c>
    </row>
    <row r="27209">
      <c r="A27209" s="8" t="inlineStr">
        <is>
          <t>2026-08-05</t>
        </is>
      </c>
      <c r="B27209" s="8" t="n">
        <v>22</v>
      </c>
      <c r="C27209" s="8" t="n">
        <v>1</v>
      </c>
      <c r="D27209" s="8" t="inlineStr">
        <is>
          <t>Disney Adventure World</t>
        </is>
      </c>
      <c r="E27209" s="8" t="inlineStr">
        <is>
          <t>Les Tapis Volants - Flying Carpets Over Agrabah®</t>
        </is>
      </c>
      <c r="F27209" s="8" t="inlineStr">
        <is>
          <t>STANDBY</t>
        </is>
      </c>
      <c r="G27209" s="8" t="n">
        <v>5</v>
      </c>
      <c r="H27209" s="8" t="inlineStr">
        <is>
          <t>OPERATING</t>
        </is>
      </c>
    </row>
    <row r="27210">
      <c r="A27210" s="8" t="inlineStr">
        <is>
          <t>2026-08-05</t>
        </is>
      </c>
      <c r="B27210" s="8" t="n">
        <v>22</v>
      </c>
      <c r="C27210" s="8" t="n">
        <v>1</v>
      </c>
      <c r="D27210" s="8" t="inlineStr">
        <is>
          <t>Disney Adventure World</t>
        </is>
      </c>
      <c r="E27210" s="8" t="inlineStr">
        <is>
          <t>Ratatouille : L’Aventure Totalement Toquée de Rémy​</t>
        </is>
      </c>
      <c r="F27210" s="8" t="inlineStr">
        <is>
          <t>STANDBY</t>
        </is>
      </c>
      <c r="G27210" s="8" t="n">
        <v>35</v>
      </c>
      <c r="H27210" s="8" t="inlineStr">
        <is>
          <t>OPERATING</t>
        </is>
      </c>
    </row>
    <row r="27211">
      <c r="A27211" s="8" t="inlineStr">
        <is>
          <t>2026-08-05</t>
        </is>
      </c>
      <c r="B27211" s="8" t="n">
        <v>22</v>
      </c>
      <c r="C27211" s="8" t="n">
        <v>1</v>
      </c>
      <c r="D27211" s="8" t="inlineStr">
        <is>
          <t>Disney Adventure World</t>
        </is>
      </c>
      <c r="E27211" s="8" t="inlineStr">
        <is>
          <t>Ratatouille: The Adventure Single Rider</t>
        </is>
      </c>
      <c r="F27211" s="8" t="inlineStr">
        <is>
          <t>STANDBY</t>
        </is>
      </c>
      <c r="G27211" s="8" t="n">
        <v>5</v>
      </c>
      <c r="H27211" s="8" t="inlineStr">
        <is>
          <t>OPERATING</t>
        </is>
      </c>
    </row>
    <row r="27212">
      <c r="A27212" s="8" t="inlineStr">
        <is>
          <t>2026-08-05</t>
        </is>
      </c>
      <c r="B27212" s="8" t="n">
        <v>22</v>
      </c>
      <c r="C27212" s="8" t="n">
        <v>1</v>
      </c>
      <c r="D27212" s="8" t="inlineStr">
        <is>
          <t>Disney Adventure World</t>
        </is>
      </c>
      <c r="E27212" s="8" t="inlineStr">
        <is>
          <t>RC Racer</t>
        </is>
      </c>
      <c r="F27212" s="8" t="inlineStr">
        <is>
          <t>STANDBY</t>
        </is>
      </c>
      <c r="G27212" s="8" t="n">
        <v>30</v>
      </c>
      <c r="H27212" s="8" t="inlineStr">
        <is>
          <t>OPERATING</t>
        </is>
      </c>
    </row>
    <row r="27213">
      <c r="A27213" s="8" t="inlineStr">
        <is>
          <t>2026-08-05</t>
        </is>
      </c>
      <c r="B27213" s="8" t="n">
        <v>22</v>
      </c>
      <c r="C27213" s="8" t="n">
        <v>1</v>
      </c>
      <c r="D27213" s="8" t="inlineStr">
        <is>
          <t>Disney Adventure World</t>
        </is>
      </c>
      <c r="E27213" s="8" t="inlineStr">
        <is>
          <t>RC Racer Single Rider</t>
        </is>
      </c>
      <c r="F27213" s="8" t="inlineStr">
        <is>
          <t>STANDBY</t>
        </is>
      </c>
      <c r="G27213" s="8" t="n">
        <v>25</v>
      </c>
      <c r="H27213" s="8" t="inlineStr">
        <is>
          <t>OPERATING</t>
        </is>
      </c>
    </row>
    <row r="27214">
      <c r="A27214" s="8" t="inlineStr">
        <is>
          <t>2026-08-05</t>
        </is>
      </c>
      <c r="B27214" s="8" t="n">
        <v>22</v>
      </c>
      <c r="C27214" s="8" t="n">
        <v>1</v>
      </c>
      <c r="D27214" s="8" t="inlineStr">
        <is>
          <t>Disney Adventure World</t>
        </is>
      </c>
      <c r="E27214" s="8" t="inlineStr">
        <is>
          <t>Slinky® Dog Zigzag Spin</t>
        </is>
      </c>
      <c r="F27214" s="8" t="inlineStr">
        <is>
          <t>STANDBY</t>
        </is>
      </c>
      <c r="G27214" s="8" t="n">
        <v>10</v>
      </c>
      <c r="H27214" s="8" t="inlineStr">
        <is>
          <t>OPERATING</t>
        </is>
      </c>
    </row>
    <row r="27215">
      <c r="A27215" s="8" t="inlineStr">
        <is>
          <t>2026-08-05</t>
        </is>
      </c>
      <c r="B27215" s="8" t="n">
        <v>22</v>
      </c>
      <c r="C27215" s="8" t="n">
        <v>1</v>
      </c>
      <c r="D27215" s="8" t="inlineStr">
        <is>
          <t>Disney Adventure World</t>
        </is>
      </c>
      <c r="E27215" s="8" t="inlineStr">
        <is>
          <t>Toy Soldiers Parachute Drop</t>
        </is>
      </c>
      <c r="F27215" s="8" t="inlineStr">
        <is>
          <t>STANDBY</t>
        </is>
      </c>
      <c r="G27215" s="8" t="n">
        <v>25</v>
      </c>
      <c r="H27215" s="8" t="inlineStr">
        <is>
          <t>OPERATING</t>
        </is>
      </c>
    </row>
    <row r="27216">
      <c r="A27216" s="8" t="inlineStr">
        <is>
          <t>2026-08-05</t>
        </is>
      </c>
      <c r="B27216" s="8" t="n">
        <v>22</v>
      </c>
      <c r="C27216" s="8" t="n">
        <v>1</v>
      </c>
      <c r="D27216" s="8" t="inlineStr">
        <is>
          <t>Disney Adventure World</t>
        </is>
      </c>
      <c r="E27216" s="8" t="inlineStr">
        <is>
          <t>Toy Soldiers Parachute Drop Single Rider</t>
        </is>
      </c>
      <c r="F27216" s="8" t="inlineStr">
        <is>
          <t>STANDBY</t>
        </is>
      </c>
      <c r="G27216" s="8" t="n">
        <v>5</v>
      </c>
      <c r="H27216" s="8" t="inlineStr">
        <is>
          <t>OPERATING</t>
        </is>
      </c>
    </row>
    <row r="27217">
      <c r="A27217" s="8" t="inlineStr">
        <is>
          <t>2026-08-05</t>
        </is>
      </c>
      <c r="B27217" s="8" t="n">
        <v>22</v>
      </c>
      <c r="C27217" s="8" t="n">
        <v>1</v>
      </c>
      <c r="D27217" s="8" t="inlineStr">
        <is>
          <t>Disney Adventure World</t>
        </is>
      </c>
      <c r="E27217" s="8" t="inlineStr">
        <is>
          <t>Entry to World of Frozen</t>
        </is>
      </c>
      <c r="F27217" s="8" t="inlineStr">
        <is>
          <t>STANDBY</t>
        </is>
      </c>
      <c r="G27217" s="8" t="n">
        <v>0</v>
      </c>
      <c r="H27217" s="8" t="inlineStr">
        <is>
          <t>OPERATING</t>
        </is>
      </c>
    </row>
    <row r="27218">
      <c r="A27218" s="8" t="inlineStr">
        <is>
          <t>2026-08-05</t>
        </is>
      </c>
      <c r="B27218" s="8" t="n">
        <v>22</v>
      </c>
      <c r="C27218" s="8" t="n">
        <v>1</v>
      </c>
      <c r="D27218" s="8" t="inlineStr">
        <is>
          <t>Disney Adventure World</t>
        </is>
      </c>
      <c r="E27218" s="8" t="inlineStr">
        <is>
          <t>Frozen Ever After</t>
        </is>
      </c>
      <c r="F27218" s="8" t="inlineStr">
        <is>
          <t>STANDBY</t>
        </is>
      </c>
      <c r="G27218" s="8" t="n">
        <v>40</v>
      </c>
      <c r="H27218" s="8" t="inlineStr">
        <is>
          <t>OPERATING</t>
        </is>
      </c>
    </row>
    <row r="27219">
      <c r="A27219" s="8" t="inlineStr">
        <is>
          <t>2026-08-05</t>
        </is>
      </c>
      <c r="B27219" s="8" t="n">
        <v>22</v>
      </c>
      <c r="C27219" s="8" t="n">
        <v>1</v>
      </c>
      <c r="D27219" s="8" t="inlineStr">
        <is>
          <t>Disney Adventure World</t>
        </is>
      </c>
      <c r="E27219" s="8" t="inlineStr">
        <is>
          <t>Raiponce Tangled Spin</t>
        </is>
      </c>
      <c r="F27219" s="8" t="inlineStr">
        <is>
          <t>STANDBY</t>
        </is>
      </c>
      <c r="G27219" s="8" t="n">
        <v>5</v>
      </c>
      <c r="H27219" s="8" t="inlineStr">
        <is>
          <t>OPERATING</t>
        </is>
      </c>
    </row>
    <row r="27220">
      <c r="A27220" s="8" t="inlineStr">
        <is>
          <t>2026-08-05</t>
        </is>
      </c>
      <c r="B27220" s="8" t="n">
        <v>22</v>
      </c>
      <c r="C27220" s="8" t="n">
        <v>15</v>
      </c>
      <c r="D27220" s="8" t="inlineStr">
        <is>
          <t>Disneyland Park</t>
        </is>
      </c>
      <c r="E27220" s="8" t="inlineStr">
        <is>
          <t>Adventure Isle</t>
        </is>
      </c>
      <c r="F27220" s="8" t="inlineStr">
        <is>
          <t>STANDBY</t>
        </is>
      </c>
      <c r="G27220" s="8" t="n">
        <v>0</v>
      </c>
      <c r="H27220" s="8" t="inlineStr">
        <is>
          <t>OPERATING</t>
        </is>
      </c>
    </row>
    <row r="27221">
      <c r="A27221" s="8" t="inlineStr">
        <is>
          <t>2026-08-05</t>
        </is>
      </c>
      <c r="B27221" s="8" t="n">
        <v>22</v>
      </c>
      <c r="C27221" s="8" t="n">
        <v>15</v>
      </c>
      <c r="D27221" s="8" t="inlineStr">
        <is>
          <t>Disneyland Park</t>
        </is>
      </c>
      <c r="E27221" s="8" t="inlineStr">
        <is>
          <t>Indiana Jones and the Temple of Peril Single Rider</t>
        </is>
      </c>
      <c r="F27221" s="8" t="inlineStr">
        <is>
          <t>STANDBY</t>
        </is>
      </c>
      <c r="G27221" s="8" t="n">
        <v>5</v>
      </c>
      <c r="H27221" s="8" t="inlineStr">
        <is>
          <t>OPERATING</t>
        </is>
      </c>
    </row>
    <row r="27222">
      <c r="A27222" s="8" t="inlineStr">
        <is>
          <t>2026-08-05</t>
        </is>
      </c>
      <c r="B27222" s="8" t="n">
        <v>22</v>
      </c>
      <c r="C27222" s="8" t="n">
        <v>15</v>
      </c>
      <c r="D27222" s="8" t="inlineStr">
        <is>
          <t>Disneyland Park</t>
        </is>
      </c>
      <c r="E27222" s="8" t="inlineStr">
        <is>
          <t>Indiana Jones™ and the Temple of Peril</t>
        </is>
      </c>
      <c r="F27222" s="8" t="inlineStr">
        <is>
          <t>STANDBY</t>
        </is>
      </c>
      <c r="G27222" s="8" t="n">
        <v>5</v>
      </c>
      <c r="H27222" s="8" t="inlineStr">
        <is>
          <t>OPERATING</t>
        </is>
      </c>
    </row>
    <row r="27223">
      <c r="A27223" s="8" t="inlineStr">
        <is>
          <t>2026-08-05</t>
        </is>
      </c>
      <c r="B27223" s="8" t="n">
        <v>22</v>
      </c>
      <c r="C27223" s="8" t="n">
        <v>15</v>
      </c>
      <c r="D27223" s="8" t="inlineStr">
        <is>
          <t>Disneyland Park</t>
        </is>
      </c>
      <c r="E27223" s="8" t="inlineStr">
        <is>
          <t>La Cabane des Robinson</t>
        </is>
      </c>
      <c r="F27223" s="8" t="inlineStr">
        <is>
          <t>STANDBY</t>
        </is>
      </c>
      <c r="G27223" s="8" t="n">
        <v>5</v>
      </c>
      <c r="H27223" s="8" t="inlineStr">
        <is>
          <t>OPERATING</t>
        </is>
      </c>
    </row>
    <row r="27224">
      <c r="A27224" s="8" t="inlineStr">
        <is>
          <t>2026-08-05</t>
        </is>
      </c>
      <c r="B27224" s="8" t="n">
        <v>22</v>
      </c>
      <c r="C27224" s="8" t="n">
        <v>15</v>
      </c>
      <c r="D27224" s="8" t="inlineStr">
        <is>
          <t>Disneyland Park</t>
        </is>
      </c>
      <c r="E27224" s="8" t="inlineStr">
        <is>
          <t>Le Passage Enchanté d'Aladdin</t>
        </is>
      </c>
      <c r="F27224" s="8" t="inlineStr">
        <is>
          <t>STANDBY</t>
        </is>
      </c>
      <c r="G27224" s="8" t="n">
        <v>0</v>
      </c>
      <c r="H27224" s="8" t="inlineStr">
        <is>
          <t>OPERATING</t>
        </is>
      </c>
    </row>
    <row r="27225">
      <c r="A27225" s="8" t="inlineStr">
        <is>
          <t>2026-08-05</t>
        </is>
      </c>
      <c r="B27225" s="8" t="n">
        <v>22</v>
      </c>
      <c r="C27225" s="8" t="n">
        <v>15</v>
      </c>
      <c r="D27225" s="8" t="inlineStr">
        <is>
          <t>Disneyland Park</t>
        </is>
      </c>
      <c r="E27225" s="8" t="inlineStr">
        <is>
          <t>Pirate Galleon</t>
        </is>
      </c>
      <c r="F27225" s="8" t="inlineStr">
        <is>
          <t>STANDBY</t>
        </is>
      </c>
      <c r="G27225" s="8" t="n">
        <v>0</v>
      </c>
      <c r="H27225" s="8" t="inlineStr">
        <is>
          <t>CLOSED</t>
        </is>
      </c>
    </row>
    <row r="27226">
      <c r="A27226" s="8" t="inlineStr">
        <is>
          <t>2026-08-05</t>
        </is>
      </c>
      <c r="B27226" s="8" t="n">
        <v>22</v>
      </c>
      <c r="C27226" s="8" t="n">
        <v>15</v>
      </c>
      <c r="D27226" s="8" t="inlineStr">
        <is>
          <t>Disneyland Park</t>
        </is>
      </c>
      <c r="E27226" s="8" t="inlineStr">
        <is>
          <t>Pirates of the Caribbean</t>
        </is>
      </c>
      <c r="F27226" s="8" t="inlineStr">
        <is>
          <t>STANDBY</t>
        </is>
      </c>
      <c r="G27226" s="8" t="n">
        <v>5</v>
      </c>
      <c r="H27226" s="8" t="inlineStr">
        <is>
          <t>OPERATING</t>
        </is>
      </c>
    </row>
    <row r="27227">
      <c r="A27227" s="8" t="inlineStr">
        <is>
          <t>2026-08-05</t>
        </is>
      </c>
      <c r="B27227" s="8" t="n">
        <v>22</v>
      </c>
      <c r="C27227" s="8" t="n">
        <v>15</v>
      </c>
      <c r="D27227" s="8" t="inlineStr">
        <is>
          <t>Disneyland Park</t>
        </is>
      </c>
      <c r="E27227" s="8" t="inlineStr">
        <is>
          <t>Pirates' Beach</t>
        </is>
      </c>
      <c r="F27227" s="8" t="inlineStr">
        <is>
          <t>STANDBY</t>
        </is>
      </c>
      <c r="G27227" s="8" t="n">
        <v>0</v>
      </c>
      <c r="H27227" s="8" t="inlineStr">
        <is>
          <t>OPERATING</t>
        </is>
      </c>
    </row>
    <row r="27228">
      <c r="A27228" s="8" t="inlineStr">
        <is>
          <t>2026-08-05</t>
        </is>
      </c>
      <c r="B27228" s="8" t="n">
        <v>22</v>
      </c>
      <c r="C27228" s="8" t="n">
        <v>15</v>
      </c>
      <c r="D27228" s="8" t="inlineStr">
        <is>
          <t>Disneyland Park</t>
        </is>
      </c>
      <c r="E27228" s="8" t="inlineStr">
        <is>
          <t>Autopia, presented by Avis</t>
        </is>
      </c>
      <c r="F27228" s="8" t="inlineStr">
        <is>
          <t>STANDBY</t>
        </is>
      </c>
      <c r="G27228" s="8" t="n">
        <v>35</v>
      </c>
      <c r="H27228" s="8" t="inlineStr">
        <is>
          <t>OPERATING</t>
        </is>
      </c>
    </row>
    <row r="27229">
      <c r="A27229" s="8" t="inlineStr">
        <is>
          <t>2026-08-05</t>
        </is>
      </c>
      <c r="B27229" s="8" t="n">
        <v>22</v>
      </c>
      <c r="C27229" s="8" t="n">
        <v>15</v>
      </c>
      <c r="D27229" s="8" t="inlineStr">
        <is>
          <t>Disneyland Park</t>
        </is>
      </c>
      <c r="E27229" s="8" t="inlineStr">
        <is>
          <t>Buzz Lightyear Laser Blast</t>
        </is>
      </c>
      <c r="F27229" s="8" t="inlineStr">
        <is>
          <t>STANDBY</t>
        </is>
      </c>
      <c r="G27229" s="8" t="n">
        <v>20</v>
      </c>
      <c r="H27229" s="8" t="inlineStr">
        <is>
          <t>OPERATING</t>
        </is>
      </c>
    </row>
    <row r="27230">
      <c r="A27230" s="8" t="inlineStr">
        <is>
          <t>2026-08-05</t>
        </is>
      </c>
      <c r="B27230" s="8" t="n">
        <v>22</v>
      </c>
      <c r="C27230" s="8" t="n">
        <v>15</v>
      </c>
      <c r="D27230" s="8" t="inlineStr">
        <is>
          <t>Disneyland Park</t>
        </is>
      </c>
      <c r="E27230" s="8" t="inlineStr">
        <is>
          <t>Disneyland Railroad Discoveryland Station</t>
        </is>
      </c>
      <c r="F27230" s="8" t="inlineStr">
        <is>
          <t>STANDBY</t>
        </is>
      </c>
      <c r="G27230" s="8" t="n">
        <v>0</v>
      </c>
      <c r="H27230" s="8" t="inlineStr">
        <is>
          <t>CLOSED</t>
        </is>
      </c>
    </row>
    <row r="27231">
      <c r="A27231" s="8" t="inlineStr">
        <is>
          <t>2026-08-05</t>
        </is>
      </c>
      <c r="B27231" s="8" t="n">
        <v>22</v>
      </c>
      <c r="C27231" s="8" t="n">
        <v>15</v>
      </c>
      <c r="D27231" s="8" t="inlineStr">
        <is>
          <t>Disneyland Park</t>
        </is>
      </c>
      <c r="E27231" s="8" t="inlineStr">
        <is>
          <t>Les Mystères du Nautilus</t>
        </is>
      </c>
      <c r="F27231" s="8" t="inlineStr">
        <is>
          <t>STANDBY</t>
        </is>
      </c>
      <c r="G27231" s="8" t="n">
        <v>5</v>
      </c>
      <c r="H27231" s="8" t="inlineStr">
        <is>
          <t>OPERATING</t>
        </is>
      </c>
    </row>
    <row r="27232">
      <c r="A27232" s="8" t="inlineStr">
        <is>
          <t>2026-08-05</t>
        </is>
      </c>
      <c r="B27232" s="8" t="n">
        <v>22</v>
      </c>
      <c r="C27232" s="8" t="n">
        <v>15</v>
      </c>
      <c r="D27232" s="8" t="inlineStr">
        <is>
          <t>Disneyland Park</t>
        </is>
      </c>
      <c r="E27232" s="8" t="inlineStr">
        <is>
          <t>Mickey’s PhilharMagic</t>
        </is>
      </c>
      <c r="F27232" s="8" t="inlineStr">
        <is>
          <t>STANDBY</t>
        </is>
      </c>
      <c r="G27232" s="8" t="n">
        <v>0</v>
      </c>
      <c r="H27232" s="8" t="inlineStr">
        <is>
          <t>CLOSED</t>
        </is>
      </c>
    </row>
    <row r="27233">
      <c r="A27233" s="8" t="inlineStr">
        <is>
          <t>2026-08-05</t>
        </is>
      </c>
      <c r="B27233" s="8" t="n">
        <v>22</v>
      </c>
      <c r="C27233" s="8" t="n">
        <v>15</v>
      </c>
      <c r="D27233" s="8" t="inlineStr">
        <is>
          <t>Disneyland Park</t>
        </is>
      </c>
      <c r="E27233" s="8" t="inlineStr">
        <is>
          <t>Orbitron®</t>
        </is>
      </c>
      <c r="F27233" s="8" t="inlineStr">
        <is>
          <t>STANDBY</t>
        </is>
      </c>
      <c r="G27233" s="8" t="n">
        <v>30</v>
      </c>
      <c r="H27233" s="8" t="inlineStr">
        <is>
          <t>OPERATING</t>
        </is>
      </c>
    </row>
    <row r="27234">
      <c r="A27234" s="8" t="inlineStr">
        <is>
          <t>2026-08-05</t>
        </is>
      </c>
      <c r="B27234" s="8" t="n">
        <v>22</v>
      </c>
      <c r="C27234" s="8" t="n">
        <v>15</v>
      </c>
      <c r="D27234" s="8" t="inlineStr">
        <is>
          <t>Disneyland Park</t>
        </is>
      </c>
      <c r="E27234" s="8" t="inlineStr">
        <is>
          <t>Star Tours: The Adventures Continue*</t>
        </is>
      </c>
      <c r="F27234" s="8" t="inlineStr">
        <is>
          <t>STANDBY</t>
        </is>
      </c>
      <c r="G27234" s="8" t="n">
        <v>5</v>
      </c>
      <c r="H27234" s="8" t="inlineStr">
        <is>
          <t>OPERATING</t>
        </is>
      </c>
    </row>
    <row r="27235">
      <c r="A27235" s="8" t="inlineStr">
        <is>
          <t>2026-08-05</t>
        </is>
      </c>
      <c r="B27235" s="8" t="n">
        <v>22</v>
      </c>
      <c r="C27235" s="8" t="n">
        <v>15</v>
      </c>
      <c r="D27235" s="8" t="inlineStr">
        <is>
          <t>Disneyland Park</t>
        </is>
      </c>
      <c r="E27235" s="8" t="inlineStr">
        <is>
          <t>Star Wars Hyperspace Mountain</t>
        </is>
      </c>
      <c r="F27235" s="8" t="inlineStr">
        <is>
          <t>STANDBY</t>
        </is>
      </c>
      <c r="G27235" s="8" t="n">
        <v>15</v>
      </c>
      <c r="H27235" s="8" t="inlineStr">
        <is>
          <t>OPERATING</t>
        </is>
      </c>
    </row>
    <row r="27236">
      <c r="A27236" s="8" t="inlineStr">
        <is>
          <t>2026-08-05</t>
        </is>
      </c>
      <c r="B27236" s="8" t="n">
        <v>22</v>
      </c>
      <c r="C27236" s="8" t="n">
        <v>15</v>
      </c>
      <c r="D27236" s="8" t="inlineStr">
        <is>
          <t>Disneyland Park</t>
        </is>
      </c>
      <c r="E27236" s="8" t="inlineStr">
        <is>
          <t>Star Wars Hyperspace Mountain Single Rider</t>
        </is>
      </c>
      <c r="F27236" s="8" t="inlineStr">
        <is>
          <t>STANDBY</t>
        </is>
      </c>
      <c r="G27236" s="8" t="n">
        <v>0</v>
      </c>
      <c r="H27236" s="8" t="inlineStr">
        <is>
          <t>OPERATING</t>
        </is>
      </c>
    </row>
    <row r="27237">
      <c r="A27237" s="8" t="inlineStr">
        <is>
          <t>2026-08-05</t>
        </is>
      </c>
      <c r="B27237" s="8" t="n">
        <v>22</v>
      </c>
      <c r="C27237" s="8" t="n">
        <v>15</v>
      </c>
      <c r="D27237" s="8" t="inlineStr">
        <is>
          <t>Disneyland Park</t>
        </is>
      </c>
      <c r="E27237" s="8" t="inlineStr">
        <is>
          <t>Welcome to Starport: A Star Wars Encounter</t>
        </is>
      </c>
      <c r="F27237" s="8" t="inlineStr">
        <is>
          <t>STANDBY</t>
        </is>
      </c>
      <c r="G27237" s="8" t="n">
        <v>0</v>
      </c>
      <c r="H27237" s="8" t="inlineStr">
        <is>
          <t>CLOSED</t>
        </is>
      </c>
    </row>
    <row r="27238">
      <c r="A27238" s="8" t="inlineStr">
        <is>
          <t>2026-08-05</t>
        </is>
      </c>
      <c r="B27238" s="8" t="n">
        <v>22</v>
      </c>
      <c r="C27238" s="8" t="n">
        <v>15</v>
      </c>
      <c r="D27238" s="8" t="inlineStr">
        <is>
          <t>Disneyland Park</t>
        </is>
      </c>
      <c r="E27238" s="8" t="inlineStr">
        <is>
          <t>"it's a small world"</t>
        </is>
      </c>
      <c r="F27238" s="8" t="inlineStr">
        <is>
          <t>STANDBY</t>
        </is>
      </c>
      <c r="G27238" s="8" t="n">
        <v>5</v>
      </c>
      <c r="H27238" s="8" t="inlineStr">
        <is>
          <t>OPERATING</t>
        </is>
      </c>
    </row>
    <row r="27239">
      <c r="A27239" s="8" t="inlineStr">
        <is>
          <t>2026-08-05</t>
        </is>
      </c>
      <c r="B27239" s="8" t="n">
        <v>22</v>
      </c>
      <c r="C27239" s="8" t="n">
        <v>15</v>
      </c>
      <c r="D27239" s="8" t="inlineStr">
        <is>
          <t>Disneyland Park</t>
        </is>
      </c>
      <c r="E27239" s="8" t="inlineStr">
        <is>
          <t>Alice's Curious Labyrinth</t>
        </is>
      </c>
      <c r="F27239" s="8" t="inlineStr">
        <is>
          <t>STANDBY</t>
        </is>
      </c>
      <c r="G27239" s="8" t="n">
        <v>0</v>
      </c>
      <c r="H27239" s="8" t="inlineStr">
        <is>
          <t>CLOSED</t>
        </is>
      </c>
    </row>
    <row r="27240">
      <c r="A27240" s="8" t="inlineStr">
        <is>
          <t>2026-08-05</t>
        </is>
      </c>
      <c r="B27240" s="8" t="n">
        <v>22</v>
      </c>
      <c r="C27240" s="8" t="n">
        <v>15</v>
      </c>
      <c r="D27240" s="8" t="inlineStr">
        <is>
          <t>Disneyland Park</t>
        </is>
      </c>
      <c r="E27240" s="8" t="inlineStr">
        <is>
          <t>Blanche-Neige et les Sept Nains®</t>
        </is>
      </c>
      <c r="F27240" s="8" t="inlineStr">
        <is>
          <t>STANDBY</t>
        </is>
      </c>
      <c r="G27240" s="8" t="n">
        <v>0</v>
      </c>
      <c r="H27240" s="8" t="inlineStr">
        <is>
          <t>CLOSED</t>
        </is>
      </c>
    </row>
    <row r="27241">
      <c r="A27241" s="8" t="inlineStr">
        <is>
          <t>2026-08-05</t>
        </is>
      </c>
      <c r="B27241" s="8" t="n">
        <v>22</v>
      </c>
      <c r="C27241" s="8" t="n">
        <v>15</v>
      </c>
      <c r="D27241" s="8" t="inlineStr">
        <is>
          <t>Disneyland Park</t>
        </is>
      </c>
      <c r="E27241" s="8" t="inlineStr">
        <is>
          <t>Casey Jr. – le Petit Train du Cirque</t>
        </is>
      </c>
      <c r="F27241" s="8" t="inlineStr">
        <is>
          <t>STANDBY</t>
        </is>
      </c>
      <c r="G27241" s="8" t="n">
        <v>0</v>
      </c>
      <c r="H27241" s="8" t="inlineStr">
        <is>
          <t>CLOSED</t>
        </is>
      </c>
    </row>
    <row r="27242">
      <c r="A27242" s="8" t="inlineStr">
        <is>
          <t>2026-08-05</t>
        </is>
      </c>
      <c r="B27242" s="8" t="n">
        <v>22</v>
      </c>
      <c r="C27242" s="8" t="n">
        <v>15</v>
      </c>
      <c r="D27242" s="8" t="inlineStr">
        <is>
          <t>Disneyland Park</t>
        </is>
      </c>
      <c r="E27242" s="8" t="inlineStr">
        <is>
          <t>Disneyland Railroad Fantasyland Station</t>
        </is>
      </c>
      <c r="F27242" s="8" t="inlineStr">
        <is>
          <t>STANDBY</t>
        </is>
      </c>
      <c r="G27242" s="8" t="n">
        <v>0</v>
      </c>
      <c r="H27242" s="8" t="inlineStr">
        <is>
          <t>CLOSED</t>
        </is>
      </c>
    </row>
    <row r="27243">
      <c r="A27243" s="8" t="inlineStr">
        <is>
          <t>2026-08-05</t>
        </is>
      </c>
      <c r="B27243" s="8" t="n">
        <v>22</v>
      </c>
      <c r="C27243" s="8" t="n">
        <v>15</v>
      </c>
      <c r="D27243" s="8" t="inlineStr">
        <is>
          <t>Disneyland Park</t>
        </is>
      </c>
      <c r="E27243" s="8" t="inlineStr">
        <is>
          <t>Disneyland Railroad Main Street Station</t>
        </is>
      </c>
      <c r="F27243" s="8" t="inlineStr">
        <is>
          <t>STANDBY</t>
        </is>
      </c>
      <c r="G27243" s="8" t="n">
        <v>0</v>
      </c>
      <c r="H27243" s="8" t="inlineStr">
        <is>
          <t>CLOSED</t>
        </is>
      </c>
    </row>
    <row r="27244">
      <c r="A27244" s="8" t="inlineStr">
        <is>
          <t>2026-08-05</t>
        </is>
      </c>
      <c r="B27244" s="8" t="n">
        <v>22</v>
      </c>
      <c r="C27244" s="8" t="n">
        <v>15</v>
      </c>
      <c r="D27244" s="8" t="inlineStr">
        <is>
          <t>Disneyland Park</t>
        </is>
      </c>
      <c r="E27244" s="8" t="inlineStr">
        <is>
          <t>Dumbo the Flying Elephant</t>
        </is>
      </c>
      <c r="F27244" s="8" t="inlineStr">
        <is>
          <t>STANDBY</t>
        </is>
      </c>
      <c r="G27244" s="8" t="n">
        <v>0</v>
      </c>
      <c r="H27244" s="8" t="inlineStr">
        <is>
          <t>CLOSED</t>
        </is>
      </c>
    </row>
    <row r="27245">
      <c r="A27245" s="8" t="inlineStr">
        <is>
          <t>2026-08-05</t>
        </is>
      </c>
      <c r="B27245" s="8" t="n">
        <v>22</v>
      </c>
      <c r="C27245" s="8" t="n">
        <v>15</v>
      </c>
      <c r="D27245" s="8" t="inlineStr">
        <is>
          <t>Disneyland Park</t>
        </is>
      </c>
      <c r="E27245" s="8" t="inlineStr">
        <is>
          <t>La Tanière du Dragon</t>
        </is>
      </c>
      <c r="F27245" s="8" t="inlineStr">
        <is>
          <t>STANDBY</t>
        </is>
      </c>
      <c r="G27245" s="8" t="n">
        <v>0</v>
      </c>
      <c r="H27245" s="8" t="inlineStr">
        <is>
          <t>CLOSED</t>
        </is>
      </c>
    </row>
    <row r="27246">
      <c r="A27246" s="8" t="inlineStr">
        <is>
          <t>2026-08-05</t>
        </is>
      </c>
      <c r="B27246" s="8" t="n">
        <v>22</v>
      </c>
      <c r="C27246" s="8" t="n">
        <v>15</v>
      </c>
      <c r="D27246" s="8" t="inlineStr">
        <is>
          <t>Disneyland Park</t>
        </is>
      </c>
      <c r="E27246" s="8" t="inlineStr">
        <is>
          <t>Le Carrousel de Lancelot</t>
        </is>
      </c>
      <c r="F27246" s="8" t="inlineStr">
        <is>
          <t>STANDBY</t>
        </is>
      </c>
      <c r="G27246" s="8" t="n">
        <v>0</v>
      </c>
      <c r="H27246" s="8" t="inlineStr">
        <is>
          <t>CLOSED</t>
        </is>
      </c>
    </row>
    <row r="27247">
      <c r="A27247" s="8" t="inlineStr">
        <is>
          <t>2026-08-05</t>
        </is>
      </c>
      <c r="B27247" s="8" t="n">
        <v>22</v>
      </c>
      <c r="C27247" s="8" t="n">
        <v>15</v>
      </c>
      <c r="D27247" s="8" t="inlineStr">
        <is>
          <t>Disneyland Park</t>
        </is>
      </c>
      <c r="E27247" s="8" t="inlineStr">
        <is>
          <t>Le Pays des Contes de Fées, presented by Vittel</t>
        </is>
      </c>
      <c r="F27247" s="8" t="inlineStr">
        <is>
          <t>STANDBY</t>
        </is>
      </c>
      <c r="G27247" s="8" t="n">
        <v>0</v>
      </c>
      <c r="H27247" s="8" t="inlineStr">
        <is>
          <t>CLOSED</t>
        </is>
      </c>
    </row>
    <row r="27248">
      <c r="A27248" s="8" t="inlineStr">
        <is>
          <t>2026-08-05</t>
        </is>
      </c>
      <c r="B27248" s="8" t="n">
        <v>22</v>
      </c>
      <c r="C27248" s="8" t="n">
        <v>15</v>
      </c>
      <c r="D27248" s="8" t="inlineStr">
        <is>
          <t>Disneyland Park</t>
        </is>
      </c>
      <c r="E27248" s="8" t="inlineStr">
        <is>
          <t>Les Voyages de Pinocchio</t>
        </is>
      </c>
      <c r="F27248" s="8" t="inlineStr">
        <is>
          <t>STANDBY</t>
        </is>
      </c>
      <c r="G27248" s="8" t="n">
        <v>0</v>
      </c>
      <c r="H27248" s="8" t="inlineStr">
        <is>
          <t>CLOSED</t>
        </is>
      </c>
    </row>
    <row r="27249">
      <c r="A27249" s="8" t="inlineStr">
        <is>
          <t>2026-08-05</t>
        </is>
      </c>
      <c r="B27249" s="8" t="n">
        <v>22</v>
      </c>
      <c r="C27249" s="8" t="n">
        <v>15</v>
      </c>
      <c r="D27249" s="8" t="inlineStr">
        <is>
          <t>Disneyland Park</t>
        </is>
      </c>
      <c r="E27249" s="8" t="inlineStr">
        <is>
          <t>Mad Hatter's Tea Cups</t>
        </is>
      </c>
      <c r="F27249" s="8" t="inlineStr">
        <is>
          <t>STANDBY</t>
        </is>
      </c>
      <c r="G27249" s="8" t="n">
        <v>0</v>
      </c>
      <c r="H27249" s="8" t="inlineStr">
        <is>
          <t>CLOSED</t>
        </is>
      </c>
    </row>
    <row r="27250">
      <c r="A27250" s="8" t="inlineStr">
        <is>
          <t>2026-08-05</t>
        </is>
      </c>
      <c r="B27250" s="8" t="n">
        <v>22</v>
      </c>
      <c r="C27250" s="8" t="n">
        <v>15</v>
      </c>
      <c r="D27250" s="8" t="inlineStr">
        <is>
          <t>Disneyland Park</t>
        </is>
      </c>
      <c r="E27250" s="8" t="inlineStr">
        <is>
          <t>Meet Mickey Mouse</t>
        </is>
      </c>
      <c r="F27250" s="8" t="inlineStr">
        <is>
          <t>STANDBY</t>
        </is>
      </c>
      <c r="G27250" s="8" t="n">
        <v>0</v>
      </c>
      <c r="H27250" s="8" t="inlineStr">
        <is>
          <t>CLOSED</t>
        </is>
      </c>
    </row>
    <row r="27251">
      <c r="A27251" s="8" t="inlineStr">
        <is>
          <t>2026-08-05</t>
        </is>
      </c>
      <c r="B27251" s="8" t="n">
        <v>22</v>
      </c>
      <c r="C27251" s="8" t="n">
        <v>15</v>
      </c>
      <c r="D27251" s="8" t="inlineStr">
        <is>
          <t>Disneyland Park</t>
        </is>
      </c>
      <c r="E27251" s="8" t="inlineStr">
        <is>
          <t>Peter Pan's Flight</t>
        </is>
      </c>
      <c r="F27251" s="8" t="inlineStr">
        <is>
          <t>STANDBY</t>
        </is>
      </c>
      <c r="G27251" s="8" t="n">
        <v>25</v>
      </c>
      <c r="H27251" s="8" t="inlineStr">
        <is>
          <t>OPERATING</t>
        </is>
      </c>
    </row>
    <row r="27252">
      <c r="A27252" s="8" t="inlineStr">
        <is>
          <t>2026-08-05</t>
        </is>
      </c>
      <c r="B27252" s="8" t="n">
        <v>22</v>
      </c>
      <c r="C27252" s="8" t="n">
        <v>15</v>
      </c>
      <c r="D27252" s="8" t="inlineStr">
        <is>
          <t>Disneyland Park</t>
        </is>
      </c>
      <c r="E27252" s="8" t="inlineStr">
        <is>
          <t>Princess Pavilion</t>
        </is>
      </c>
      <c r="F27252" s="8" t="inlineStr">
        <is>
          <t>STANDBY</t>
        </is>
      </c>
      <c r="G27252" s="8" t="n">
        <v>0</v>
      </c>
      <c r="H27252" s="8" t="inlineStr">
        <is>
          <t>CLOSED</t>
        </is>
      </c>
    </row>
    <row r="27253">
      <c r="A27253" s="8" t="inlineStr">
        <is>
          <t>2026-08-05</t>
        </is>
      </c>
      <c r="B27253" s="8" t="n">
        <v>22</v>
      </c>
      <c r="C27253" s="8" t="n">
        <v>15</v>
      </c>
      <c r="D27253" s="8" t="inlineStr">
        <is>
          <t>Disneyland Park</t>
        </is>
      </c>
      <c r="E27253" s="8" t="inlineStr">
        <is>
          <t>Big Thunder Mountain</t>
        </is>
      </c>
      <c r="F27253" s="8" t="inlineStr">
        <is>
          <t>STANDBY</t>
        </is>
      </c>
      <c r="G27253" s="8" t="n">
        <v>45</v>
      </c>
      <c r="H27253" s="8" t="inlineStr">
        <is>
          <t>OPERATING</t>
        </is>
      </c>
    </row>
    <row r="27254">
      <c r="A27254" s="8" t="inlineStr">
        <is>
          <t>2026-08-05</t>
        </is>
      </c>
      <c r="B27254" s="8" t="n">
        <v>22</v>
      </c>
      <c r="C27254" s="8" t="n">
        <v>15</v>
      </c>
      <c r="D27254" s="8" t="inlineStr">
        <is>
          <t>Disneyland Park</t>
        </is>
      </c>
      <c r="E27254" s="8" t="inlineStr">
        <is>
          <t>Disneyland Railroad Frontierland Depot</t>
        </is>
      </c>
      <c r="F27254" s="8" t="inlineStr">
        <is>
          <t>STANDBY</t>
        </is>
      </c>
      <c r="G27254" s="8" t="n">
        <v>0</v>
      </c>
      <c r="H27254" s="8" t="inlineStr">
        <is>
          <t>CLOSED</t>
        </is>
      </c>
    </row>
    <row r="27255">
      <c r="A27255" s="8" t="inlineStr">
        <is>
          <t>2026-08-05</t>
        </is>
      </c>
      <c r="B27255" s="8" t="n">
        <v>22</v>
      </c>
      <c r="C27255" s="8" t="n">
        <v>15</v>
      </c>
      <c r="D27255" s="8" t="inlineStr">
        <is>
          <t>Disneyland Park</t>
        </is>
      </c>
      <c r="E27255" s="8" t="inlineStr">
        <is>
          <t>Frontierland Playground</t>
        </is>
      </c>
      <c r="F27255" s="8" t="inlineStr">
        <is>
          <t>STANDBY</t>
        </is>
      </c>
      <c r="G27255" s="8" t="n">
        <v>0</v>
      </c>
      <c r="H27255" s="8" t="inlineStr">
        <is>
          <t>CLOSED</t>
        </is>
      </c>
    </row>
    <row r="27256">
      <c r="A27256" s="8" t="inlineStr">
        <is>
          <t>2026-08-05</t>
        </is>
      </c>
      <c r="B27256" s="8" t="n">
        <v>22</v>
      </c>
      <c r="C27256" s="8" t="n">
        <v>15</v>
      </c>
      <c r="D27256" s="8" t="inlineStr">
        <is>
          <t>Disneyland Park</t>
        </is>
      </c>
      <c r="E27256" s="8" t="inlineStr">
        <is>
          <t>Phantom Manor</t>
        </is>
      </c>
      <c r="F27256" s="8" t="inlineStr">
        <is>
          <t>STANDBY</t>
        </is>
      </c>
      <c r="G27256" s="8" t="n">
        <v>5</v>
      </c>
      <c r="H27256" s="8" t="inlineStr">
        <is>
          <t>OPERATING</t>
        </is>
      </c>
    </row>
    <row r="27257">
      <c r="A27257" s="8" t="inlineStr">
        <is>
          <t>2026-08-05</t>
        </is>
      </c>
      <c r="B27257" s="8" t="n">
        <v>22</v>
      </c>
      <c r="C27257" s="8" t="n">
        <v>15</v>
      </c>
      <c r="D27257" s="8" t="inlineStr">
        <is>
          <t>Disneyland Park</t>
        </is>
      </c>
      <c r="E27257" s="8" t="inlineStr">
        <is>
          <t>River Rogue Keelboats</t>
        </is>
      </c>
      <c r="F27257" s="8" t="inlineStr">
        <is>
          <t>STANDBY</t>
        </is>
      </c>
      <c r="G27257" s="8" t="n">
        <v>0</v>
      </c>
      <c r="H27257" s="8" t="inlineStr">
        <is>
          <t>CLOSED</t>
        </is>
      </c>
    </row>
    <row r="27258">
      <c r="A27258" s="8" t="inlineStr">
        <is>
          <t>2026-08-05</t>
        </is>
      </c>
      <c r="B27258" s="8" t="n">
        <v>22</v>
      </c>
      <c r="C27258" s="8" t="n">
        <v>15</v>
      </c>
      <c r="D27258" s="8" t="inlineStr">
        <is>
          <t>Disneyland Park</t>
        </is>
      </c>
      <c r="E27258" s="8" t="inlineStr">
        <is>
          <t>Rustler Roundup Shootin' Gallery</t>
        </is>
      </c>
      <c r="F27258" s="8" t="inlineStr">
        <is>
          <t>STANDBY</t>
        </is>
      </c>
      <c r="G27258" s="8" t="n">
        <v>0</v>
      </c>
      <c r="H27258" s="8" t="inlineStr">
        <is>
          <t>CLOSED</t>
        </is>
      </c>
    </row>
    <row r="27259">
      <c r="A27259" s="8" t="inlineStr">
        <is>
          <t>2026-08-05</t>
        </is>
      </c>
      <c r="B27259" s="8" t="n">
        <v>22</v>
      </c>
      <c r="C27259" s="8" t="n">
        <v>15</v>
      </c>
      <c r="D27259" s="8" t="inlineStr">
        <is>
          <t>Disneyland Park</t>
        </is>
      </c>
      <c r="E27259" s="8" t="inlineStr">
        <is>
          <t>Thunder Mesa Riverboat Landing</t>
        </is>
      </c>
      <c r="F27259" s="8" t="inlineStr">
        <is>
          <t>STANDBY</t>
        </is>
      </c>
      <c r="G27259" s="8" t="n">
        <v>0</v>
      </c>
      <c r="H27259" s="8" t="inlineStr">
        <is>
          <t>CLOSED</t>
        </is>
      </c>
    </row>
    <row r="27260">
      <c r="A27260" s="8" t="inlineStr">
        <is>
          <t>2026-08-05</t>
        </is>
      </c>
      <c r="B27260" s="8" t="n">
        <v>22</v>
      </c>
      <c r="C27260" s="8" t="n">
        <v>15</v>
      </c>
      <c r="D27260" s="8" t="inlineStr">
        <is>
          <t>Disneyland Park</t>
        </is>
      </c>
      <c r="E27260" s="8" t="inlineStr">
        <is>
          <t>Disneyland Railroad Main Street Station</t>
        </is>
      </c>
      <c r="F27260" s="8" t="inlineStr">
        <is>
          <t>STANDBY</t>
        </is>
      </c>
      <c r="G27260" s="8" t="n">
        <v>0</v>
      </c>
      <c r="H27260" s="8" t="inlineStr">
        <is>
          <t>CLOSED</t>
        </is>
      </c>
    </row>
    <row r="27261">
      <c r="A27261" s="8" t="inlineStr">
        <is>
          <t>2026-08-05</t>
        </is>
      </c>
      <c r="B27261" s="8" t="n">
        <v>22</v>
      </c>
      <c r="C27261" s="8" t="n">
        <v>15</v>
      </c>
      <c r="D27261" s="8" t="inlineStr">
        <is>
          <t>Disneyland Park</t>
        </is>
      </c>
      <c r="E27261" s="8" t="inlineStr">
        <is>
          <t>Main Street Vehicles</t>
        </is>
      </c>
      <c r="F27261" s="8" t="inlineStr">
        <is>
          <t>STANDBY</t>
        </is>
      </c>
      <c r="G27261" s="8" t="n">
        <v>0</v>
      </c>
      <c r="H27261" s="8" t="inlineStr">
        <is>
          <t>CLOSED</t>
        </is>
      </c>
    </row>
    <row r="27262">
      <c r="A27262" s="8" t="inlineStr">
        <is>
          <t>2026-08-05</t>
        </is>
      </c>
      <c r="B27262" s="8" t="n">
        <v>22</v>
      </c>
      <c r="C27262" s="8" t="n">
        <v>15</v>
      </c>
      <c r="D27262" s="8" t="inlineStr">
        <is>
          <t>Disney Adventure World</t>
        </is>
      </c>
      <c r="E27262" s="8" t="inlineStr">
        <is>
          <t>Avengers Assemble: Flight Force</t>
        </is>
      </c>
      <c r="F27262" s="8" t="inlineStr">
        <is>
          <t>STANDBY</t>
        </is>
      </c>
      <c r="G27262" s="8" t="n">
        <v>5</v>
      </c>
      <c r="H27262" s="8" t="inlineStr">
        <is>
          <t>OPERATING</t>
        </is>
      </c>
    </row>
    <row r="27263">
      <c r="A27263" s="8" t="inlineStr">
        <is>
          <t>2026-08-05</t>
        </is>
      </c>
      <c r="B27263" s="8" t="n">
        <v>22</v>
      </c>
      <c r="C27263" s="8" t="n">
        <v>15</v>
      </c>
      <c r="D27263" s="8" t="inlineStr">
        <is>
          <t>Disney Adventure World</t>
        </is>
      </c>
      <c r="E27263" s="8" t="inlineStr">
        <is>
          <t>Avengers Assemble: Flight Force Single Rider</t>
        </is>
      </c>
      <c r="F27263" s="8" t="inlineStr">
        <is>
          <t>STANDBY</t>
        </is>
      </c>
      <c r="G27263" s="8" t="n">
        <v>5</v>
      </c>
      <c r="H27263" s="8" t="inlineStr">
        <is>
          <t>OPERATING</t>
        </is>
      </c>
    </row>
    <row r="27264">
      <c r="A27264" s="8" t="inlineStr">
        <is>
          <t>2026-08-05</t>
        </is>
      </c>
      <c r="B27264" s="8" t="n">
        <v>22</v>
      </c>
      <c r="C27264" s="8" t="n">
        <v>15</v>
      </c>
      <c r="D27264" s="8" t="inlineStr">
        <is>
          <t>Disney Adventure World</t>
        </is>
      </c>
      <c r="E27264" s="8" t="inlineStr">
        <is>
          <t>Spider-Man W.E.B. Adventure</t>
        </is>
      </c>
      <c r="F27264" s="8" t="inlineStr">
        <is>
          <t>STANDBY</t>
        </is>
      </c>
      <c r="G27264" s="8" t="n">
        <v>20</v>
      </c>
      <c r="H27264" s="8" t="inlineStr">
        <is>
          <t>OPERATING</t>
        </is>
      </c>
    </row>
    <row r="27265">
      <c r="A27265" s="8" t="inlineStr">
        <is>
          <t>2026-08-05</t>
        </is>
      </c>
      <c r="B27265" s="8" t="n">
        <v>22</v>
      </c>
      <c r="C27265" s="8" t="n">
        <v>15</v>
      </c>
      <c r="D27265" s="8" t="inlineStr">
        <is>
          <t>Disney Adventure World</t>
        </is>
      </c>
      <c r="E27265" s="8" t="inlineStr">
        <is>
          <t>Spider-Man W.E.B. Adventure Single Rider</t>
        </is>
      </c>
      <c r="F27265" s="8" t="inlineStr">
        <is>
          <t>STANDBY</t>
        </is>
      </c>
      <c r="G27265" s="8" t="n">
        <v>5</v>
      </c>
      <c r="H27265" s="8" t="inlineStr">
        <is>
          <t>OPERATING</t>
        </is>
      </c>
    </row>
    <row r="27266">
      <c r="A27266" s="8" t="inlineStr">
        <is>
          <t>2026-08-05</t>
        </is>
      </c>
      <c r="B27266" s="8" t="n">
        <v>22</v>
      </c>
      <c r="C27266" s="8" t="n">
        <v>15</v>
      </c>
      <c r="D27266" s="8" t="inlineStr">
        <is>
          <t>Disney Adventure World</t>
        </is>
      </c>
      <c r="E27266" s="8" t="inlineStr">
        <is>
          <t>The Twilight Zone Tower of Terror</t>
        </is>
      </c>
      <c r="F27266" s="8" t="inlineStr">
        <is>
          <t>STANDBY</t>
        </is>
      </c>
      <c r="G27266" s="8" t="n">
        <v>5</v>
      </c>
      <c r="H27266" s="8" t="inlineStr">
        <is>
          <t>OPERATING</t>
        </is>
      </c>
    </row>
    <row r="27267">
      <c r="A27267" s="8" t="inlineStr">
        <is>
          <t>2026-08-05</t>
        </is>
      </c>
      <c r="B27267" s="8" t="n">
        <v>22</v>
      </c>
      <c r="C27267" s="8" t="n">
        <v>15</v>
      </c>
      <c r="D27267" s="8" t="inlineStr">
        <is>
          <t>Disney Adventure World</t>
        </is>
      </c>
      <c r="E27267" s="8" t="inlineStr">
        <is>
          <t>Cars Quatre Roues Rallye</t>
        </is>
      </c>
      <c r="F27267" s="8" t="inlineStr">
        <is>
          <t>STANDBY</t>
        </is>
      </c>
      <c r="G27267" s="8" t="n">
        <v>5</v>
      </c>
      <c r="H27267" s="8" t="inlineStr">
        <is>
          <t>OPERATING</t>
        </is>
      </c>
    </row>
    <row r="27268">
      <c r="A27268" s="8" t="inlineStr">
        <is>
          <t>2026-08-05</t>
        </is>
      </c>
      <c r="B27268" s="8" t="n">
        <v>22</v>
      </c>
      <c r="C27268" s="8" t="n">
        <v>15</v>
      </c>
      <c r="D27268" s="8" t="inlineStr">
        <is>
          <t>Disney Adventure World</t>
        </is>
      </c>
      <c r="E27268" s="8" t="inlineStr">
        <is>
          <t>Cars ROAD TRIP</t>
        </is>
      </c>
      <c r="F27268" s="8" t="inlineStr">
        <is>
          <t>STANDBY</t>
        </is>
      </c>
      <c r="G27268" s="8" t="n">
        <v>0</v>
      </c>
      <c r="H27268" s="8" t="inlineStr">
        <is>
          <t>CLOSED</t>
        </is>
      </c>
    </row>
    <row r="27269">
      <c r="A27269" s="8" t="inlineStr">
        <is>
          <t>2026-08-05</t>
        </is>
      </c>
      <c r="B27269" s="8" t="n">
        <v>22</v>
      </c>
      <c r="C27269" s="8" t="n">
        <v>15</v>
      </c>
      <c r="D27269" s="8" t="inlineStr">
        <is>
          <t>Disney Adventure World</t>
        </is>
      </c>
      <c r="E27269" s="8" t="inlineStr">
        <is>
          <t>Crush's Coaster</t>
        </is>
      </c>
      <c r="F27269" s="8" t="inlineStr">
        <is>
          <t>STANDBY</t>
        </is>
      </c>
      <c r="G27269" s="8" t="n">
        <v>55</v>
      </c>
      <c r="H27269" s="8" t="inlineStr">
        <is>
          <t>OPERATING</t>
        </is>
      </c>
    </row>
    <row r="27270">
      <c r="A27270" s="8" t="inlineStr">
        <is>
          <t>2026-08-05</t>
        </is>
      </c>
      <c r="B27270" s="8" t="n">
        <v>22</v>
      </c>
      <c r="C27270" s="8" t="n">
        <v>15</v>
      </c>
      <c r="D27270" s="8" t="inlineStr">
        <is>
          <t>Disney Adventure World</t>
        </is>
      </c>
      <c r="E27270" s="8" t="inlineStr">
        <is>
          <t>Crush's Coaster Single Rider</t>
        </is>
      </c>
      <c r="F27270" s="8" t="inlineStr">
        <is>
          <t>STANDBY</t>
        </is>
      </c>
      <c r="G27270" s="8" t="n">
        <v>45</v>
      </c>
      <c r="H27270" s="8" t="inlineStr">
        <is>
          <t>OPERATING</t>
        </is>
      </c>
    </row>
    <row r="27271">
      <c r="A27271" s="8" t="inlineStr">
        <is>
          <t>2026-08-05</t>
        </is>
      </c>
      <c r="B27271" s="8" t="n">
        <v>22</v>
      </c>
      <c r="C27271" s="8" t="n">
        <v>15</v>
      </c>
      <c r="D27271" s="8" t="inlineStr">
        <is>
          <t>Disney Adventure World</t>
        </is>
      </c>
      <c r="E27271" s="8" t="inlineStr">
        <is>
          <t>Les Tapis Volants - Flying Carpets Over Agrabah®</t>
        </is>
      </c>
      <c r="F27271" s="8" t="inlineStr">
        <is>
          <t>STANDBY</t>
        </is>
      </c>
      <c r="G27271" s="8" t="n">
        <v>5</v>
      </c>
      <c r="H27271" s="8" t="inlineStr">
        <is>
          <t>OPERATING</t>
        </is>
      </c>
    </row>
    <row r="27272">
      <c r="A27272" s="8" t="inlineStr">
        <is>
          <t>2026-08-05</t>
        </is>
      </c>
      <c r="B27272" s="8" t="n">
        <v>22</v>
      </c>
      <c r="C27272" s="8" t="n">
        <v>15</v>
      </c>
      <c r="D27272" s="8" t="inlineStr">
        <is>
          <t>Disney Adventure World</t>
        </is>
      </c>
      <c r="E27272" s="8" t="inlineStr">
        <is>
          <t>Ratatouille : L’Aventure Totalement Toquée de Rémy​</t>
        </is>
      </c>
      <c r="F27272" s="8" t="inlineStr">
        <is>
          <t>STANDBY</t>
        </is>
      </c>
      <c r="G27272" s="8" t="n">
        <v>15</v>
      </c>
      <c r="H27272" s="8" t="inlineStr">
        <is>
          <t>OPERATING</t>
        </is>
      </c>
    </row>
    <row r="27273">
      <c r="A27273" s="8" t="inlineStr">
        <is>
          <t>2026-08-05</t>
        </is>
      </c>
      <c r="B27273" s="8" t="n">
        <v>22</v>
      </c>
      <c r="C27273" s="8" t="n">
        <v>15</v>
      </c>
      <c r="D27273" s="8" t="inlineStr">
        <is>
          <t>Disney Adventure World</t>
        </is>
      </c>
      <c r="E27273" s="8" t="inlineStr">
        <is>
          <t>Ratatouille: The Adventure Single Rider</t>
        </is>
      </c>
      <c r="F27273" s="8" t="inlineStr">
        <is>
          <t>STANDBY</t>
        </is>
      </c>
      <c r="G27273" s="8" t="n">
        <v>5</v>
      </c>
      <c r="H27273" s="8" t="inlineStr">
        <is>
          <t>OPERATING</t>
        </is>
      </c>
    </row>
    <row r="27274">
      <c r="A27274" s="8" t="inlineStr">
        <is>
          <t>2026-08-05</t>
        </is>
      </c>
      <c r="B27274" s="8" t="n">
        <v>22</v>
      </c>
      <c r="C27274" s="8" t="n">
        <v>15</v>
      </c>
      <c r="D27274" s="8" t="inlineStr">
        <is>
          <t>Disney Adventure World</t>
        </is>
      </c>
      <c r="E27274" s="8" t="inlineStr">
        <is>
          <t>RC Racer</t>
        </is>
      </c>
      <c r="F27274" s="8" t="inlineStr">
        <is>
          <t>STANDBY</t>
        </is>
      </c>
      <c r="G27274" s="8" t="n">
        <v>30</v>
      </c>
      <c r="H27274" s="8" t="inlineStr">
        <is>
          <t>OPERATING</t>
        </is>
      </c>
    </row>
    <row r="27275">
      <c r="A27275" s="8" t="inlineStr">
        <is>
          <t>2026-08-05</t>
        </is>
      </c>
      <c r="B27275" s="8" t="n">
        <v>22</v>
      </c>
      <c r="C27275" s="8" t="n">
        <v>15</v>
      </c>
      <c r="D27275" s="8" t="inlineStr">
        <is>
          <t>Disney Adventure World</t>
        </is>
      </c>
      <c r="E27275" s="8" t="inlineStr">
        <is>
          <t>RC Racer Single Rider</t>
        </is>
      </c>
      <c r="F27275" s="8" t="inlineStr">
        <is>
          <t>STANDBY</t>
        </is>
      </c>
      <c r="G27275" s="8" t="n">
        <v>20</v>
      </c>
      <c r="H27275" s="8" t="inlineStr">
        <is>
          <t>OPERATING</t>
        </is>
      </c>
    </row>
    <row r="27276">
      <c r="A27276" s="8" t="inlineStr">
        <is>
          <t>2026-08-05</t>
        </is>
      </c>
      <c r="B27276" s="8" t="n">
        <v>22</v>
      </c>
      <c r="C27276" s="8" t="n">
        <v>15</v>
      </c>
      <c r="D27276" s="8" t="inlineStr">
        <is>
          <t>Disney Adventure World</t>
        </is>
      </c>
      <c r="E27276" s="8" t="inlineStr">
        <is>
          <t>Slinky® Dog Zigzag Spin</t>
        </is>
      </c>
      <c r="F27276" s="8" t="inlineStr">
        <is>
          <t>STANDBY</t>
        </is>
      </c>
      <c r="G27276" s="8" t="n">
        <v>5</v>
      </c>
      <c r="H27276" s="8" t="inlineStr">
        <is>
          <t>OPERATING</t>
        </is>
      </c>
    </row>
    <row r="27277">
      <c r="A27277" s="8" t="inlineStr">
        <is>
          <t>2026-08-05</t>
        </is>
      </c>
      <c r="B27277" s="8" t="n">
        <v>22</v>
      </c>
      <c r="C27277" s="8" t="n">
        <v>15</v>
      </c>
      <c r="D27277" s="8" t="inlineStr">
        <is>
          <t>Disney Adventure World</t>
        </is>
      </c>
      <c r="E27277" s="8" t="inlineStr">
        <is>
          <t>Toy Soldiers Parachute Drop</t>
        </is>
      </c>
      <c r="F27277" s="8" t="inlineStr">
        <is>
          <t>STANDBY</t>
        </is>
      </c>
      <c r="G27277" s="8" t="n">
        <v>25</v>
      </c>
      <c r="H27277" s="8" t="inlineStr">
        <is>
          <t>OPERATING</t>
        </is>
      </c>
    </row>
    <row r="27278">
      <c r="A27278" s="8" t="inlineStr">
        <is>
          <t>2026-08-05</t>
        </is>
      </c>
      <c r="B27278" s="8" t="n">
        <v>22</v>
      </c>
      <c r="C27278" s="8" t="n">
        <v>15</v>
      </c>
      <c r="D27278" s="8" t="inlineStr">
        <is>
          <t>Disney Adventure World</t>
        </is>
      </c>
      <c r="E27278" s="8" t="inlineStr">
        <is>
          <t>Toy Soldiers Parachute Drop Single Rider</t>
        </is>
      </c>
      <c r="F27278" s="8" t="inlineStr">
        <is>
          <t>STANDBY</t>
        </is>
      </c>
      <c r="G27278" s="8" t="n">
        <v>5</v>
      </c>
      <c r="H27278" s="8" t="inlineStr">
        <is>
          <t>OPERATING</t>
        </is>
      </c>
    </row>
    <row r="27279">
      <c r="A27279" s="8" t="inlineStr">
        <is>
          <t>2026-08-05</t>
        </is>
      </c>
      <c r="B27279" s="8" t="n">
        <v>22</v>
      </c>
      <c r="C27279" s="8" t="n">
        <v>15</v>
      </c>
      <c r="D27279" s="8" t="inlineStr">
        <is>
          <t>Disney Adventure World</t>
        </is>
      </c>
      <c r="E27279" s="8" t="inlineStr">
        <is>
          <t>Entry to World of Frozen</t>
        </is>
      </c>
      <c r="F27279" s="8" t="inlineStr">
        <is>
          <t>STANDBY</t>
        </is>
      </c>
      <c r="G27279" s="8" t="n">
        <v>0</v>
      </c>
      <c r="H27279" s="8" t="inlineStr">
        <is>
          <t>OPERATING</t>
        </is>
      </c>
    </row>
    <row r="27280">
      <c r="A27280" s="8" t="inlineStr">
        <is>
          <t>2026-08-05</t>
        </is>
      </c>
      <c r="B27280" s="8" t="n">
        <v>22</v>
      </c>
      <c r="C27280" s="8" t="n">
        <v>15</v>
      </c>
      <c r="D27280" s="8" t="inlineStr">
        <is>
          <t>Disney Adventure World</t>
        </is>
      </c>
      <c r="E27280" s="8" t="inlineStr">
        <is>
          <t>Frozen Ever After</t>
        </is>
      </c>
      <c r="F27280" s="8" t="inlineStr">
        <is>
          <t>STANDBY</t>
        </is>
      </c>
      <c r="G27280" s="8" t="n">
        <v>20</v>
      </c>
      <c r="H27280" s="8" t="inlineStr">
        <is>
          <t>OPERATING</t>
        </is>
      </c>
    </row>
    <row r="27281">
      <c r="A27281" s="8" t="inlineStr">
        <is>
          <t>2026-08-05</t>
        </is>
      </c>
      <c r="B27281" s="8" t="n">
        <v>22</v>
      </c>
      <c r="C27281" s="8" t="n">
        <v>15</v>
      </c>
      <c r="D27281" s="8" t="inlineStr">
        <is>
          <t>Disney Adventure World</t>
        </is>
      </c>
      <c r="E27281" s="8" t="inlineStr">
        <is>
          <t>Raiponce Tangled Spin</t>
        </is>
      </c>
      <c r="F27281" s="8" t="inlineStr">
        <is>
          <t>STANDBY</t>
        </is>
      </c>
      <c r="G27281" s="8" t="n">
        <v>5</v>
      </c>
      <c r="H27281" s="8" t="inlineStr">
        <is>
          <t>OPERATING</t>
        </is>
      </c>
    </row>
    <row r="27282">
      <c r="A27282" s="8" t="inlineStr">
        <is>
          <t>2026-08-05</t>
        </is>
      </c>
      <c r="B27282" s="8" t="n">
        <v>22</v>
      </c>
      <c r="C27282" s="8" t="n">
        <v>17</v>
      </c>
      <c r="D27282" s="8" t="inlineStr">
        <is>
          <t>Disneyland Park</t>
        </is>
      </c>
      <c r="E27282" s="8" t="inlineStr">
        <is>
          <t>Adventure Isle</t>
        </is>
      </c>
      <c r="F27282" s="8" t="inlineStr">
        <is>
          <t>STANDBY</t>
        </is>
      </c>
      <c r="G27282" s="8" t="n">
        <v>0</v>
      </c>
      <c r="H27282" s="8" t="inlineStr">
        <is>
          <t>OPERATING</t>
        </is>
      </c>
    </row>
    <row r="27283">
      <c r="A27283" s="8" t="inlineStr">
        <is>
          <t>2026-08-05</t>
        </is>
      </c>
      <c r="B27283" s="8" t="n">
        <v>22</v>
      </c>
      <c r="C27283" s="8" t="n">
        <v>17</v>
      </c>
      <c r="D27283" s="8" t="inlineStr">
        <is>
          <t>Disneyland Park</t>
        </is>
      </c>
      <c r="E27283" s="8" t="inlineStr">
        <is>
          <t>Indiana Jones and the Temple of Peril Single Rider</t>
        </is>
      </c>
      <c r="F27283" s="8" t="inlineStr">
        <is>
          <t>STANDBY</t>
        </is>
      </c>
      <c r="G27283" s="8" t="n">
        <v>5</v>
      </c>
      <c r="H27283" s="8" t="inlineStr">
        <is>
          <t>OPERATING</t>
        </is>
      </c>
    </row>
    <row r="27284">
      <c r="A27284" s="8" t="inlineStr">
        <is>
          <t>2026-08-05</t>
        </is>
      </c>
      <c r="B27284" s="8" t="n">
        <v>22</v>
      </c>
      <c r="C27284" s="8" t="n">
        <v>17</v>
      </c>
      <c r="D27284" s="8" t="inlineStr">
        <is>
          <t>Disneyland Park</t>
        </is>
      </c>
      <c r="E27284" s="8" t="inlineStr">
        <is>
          <t>Indiana Jones™ and the Temple of Peril</t>
        </is>
      </c>
      <c r="F27284" s="8" t="inlineStr">
        <is>
          <t>STANDBY</t>
        </is>
      </c>
      <c r="G27284" s="8" t="n">
        <v>5</v>
      </c>
      <c r="H27284" s="8" t="inlineStr">
        <is>
          <t>OPERATING</t>
        </is>
      </c>
    </row>
    <row r="27285">
      <c r="A27285" s="8" t="inlineStr">
        <is>
          <t>2026-08-05</t>
        </is>
      </c>
      <c r="B27285" s="8" t="n">
        <v>22</v>
      </c>
      <c r="C27285" s="8" t="n">
        <v>17</v>
      </c>
      <c r="D27285" s="8" t="inlineStr">
        <is>
          <t>Disneyland Park</t>
        </is>
      </c>
      <c r="E27285" s="8" t="inlineStr">
        <is>
          <t>La Cabane des Robinson</t>
        </is>
      </c>
      <c r="F27285" s="8" t="inlineStr">
        <is>
          <t>STANDBY</t>
        </is>
      </c>
      <c r="G27285" s="8" t="n">
        <v>5</v>
      </c>
      <c r="H27285" s="8" t="inlineStr">
        <is>
          <t>OPERATING</t>
        </is>
      </c>
    </row>
    <row r="27286">
      <c r="A27286" s="8" t="inlineStr">
        <is>
          <t>2026-08-05</t>
        </is>
      </c>
      <c r="B27286" s="8" t="n">
        <v>22</v>
      </c>
      <c r="C27286" s="8" t="n">
        <v>17</v>
      </c>
      <c r="D27286" s="8" t="inlineStr">
        <is>
          <t>Disneyland Park</t>
        </is>
      </c>
      <c r="E27286" s="8" t="inlineStr">
        <is>
          <t>Le Passage Enchanté d'Aladdin</t>
        </is>
      </c>
      <c r="F27286" s="8" t="inlineStr">
        <is>
          <t>STANDBY</t>
        </is>
      </c>
      <c r="G27286" s="8" t="n">
        <v>0</v>
      </c>
      <c r="H27286" s="8" t="inlineStr">
        <is>
          <t>OPERATING</t>
        </is>
      </c>
    </row>
    <row r="27287">
      <c r="A27287" s="8" t="inlineStr">
        <is>
          <t>2026-08-05</t>
        </is>
      </c>
      <c r="B27287" s="8" t="n">
        <v>22</v>
      </c>
      <c r="C27287" s="8" t="n">
        <v>17</v>
      </c>
      <c r="D27287" s="8" t="inlineStr">
        <is>
          <t>Disneyland Park</t>
        </is>
      </c>
      <c r="E27287" s="8" t="inlineStr">
        <is>
          <t>Pirate Galleon</t>
        </is>
      </c>
      <c r="F27287" s="8" t="inlineStr">
        <is>
          <t>STANDBY</t>
        </is>
      </c>
      <c r="G27287" s="8" t="n">
        <v>0</v>
      </c>
      <c r="H27287" s="8" t="inlineStr">
        <is>
          <t>CLOSED</t>
        </is>
      </c>
    </row>
    <row r="27288">
      <c r="A27288" s="8" t="inlineStr">
        <is>
          <t>2026-08-05</t>
        </is>
      </c>
      <c r="B27288" s="8" t="n">
        <v>22</v>
      </c>
      <c r="C27288" s="8" t="n">
        <v>17</v>
      </c>
      <c r="D27288" s="8" t="inlineStr">
        <is>
          <t>Disneyland Park</t>
        </is>
      </c>
      <c r="E27288" s="8" t="inlineStr">
        <is>
          <t>Pirates of the Caribbean</t>
        </is>
      </c>
      <c r="F27288" s="8" t="inlineStr">
        <is>
          <t>STANDBY</t>
        </is>
      </c>
      <c r="G27288" s="8" t="n">
        <v>5</v>
      </c>
      <c r="H27288" s="8" t="inlineStr">
        <is>
          <t>OPERATING</t>
        </is>
      </c>
    </row>
    <row r="27289">
      <c r="A27289" s="8" t="inlineStr">
        <is>
          <t>2026-08-05</t>
        </is>
      </c>
      <c r="B27289" s="8" t="n">
        <v>22</v>
      </c>
      <c r="C27289" s="8" t="n">
        <v>17</v>
      </c>
      <c r="D27289" s="8" t="inlineStr">
        <is>
          <t>Disneyland Park</t>
        </is>
      </c>
      <c r="E27289" s="8" t="inlineStr">
        <is>
          <t>Pirates' Beach</t>
        </is>
      </c>
      <c r="F27289" s="8" t="inlineStr">
        <is>
          <t>STANDBY</t>
        </is>
      </c>
      <c r="G27289" s="8" t="n">
        <v>0</v>
      </c>
      <c r="H27289" s="8" t="inlineStr">
        <is>
          <t>OPERATING</t>
        </is>
      </c>
    </row>
    <row r="27290">
      <c r="A27290" s="8" t="inlineStr">
        <is>
          <t>2026-08-05</t>
        </is>
      </c>
      <c r="B27290" s="8" t="n">
        <v>22</v>
      </c>
      <c r="C27290" s="8" t="n">
        <v>17</v>
      </c>
      <c r="D27290" s="8" t="inlineStr">
        <is>
          <t>Disneyland Park</t>
        </is>
      </c>
      <c r="E27290" s="8" t="inlineStr">
        <is>
          <t>Autopia, presented by Avis</t>
        </is>
      </c>
      <c r="F27290" s="8" t="inlineStr">
        <is>
          <t>STANDBY</t>
        </is>
      </c>
      <c r="G27290" s="8" t="n">
        <v>35</v>
      </c>
      <c r="H27290" s="8" t="inlineStr">
        <is>
          <t>OPERATING</t>
        </is>
      </c>
    </row>
    <row r="27291">
      <c r="A27291" s="8" t="inlineStr">
        <is>
          <t>2026-08-05</t>
        </is>
      </c>
      <c r="B27291" s="8" t="n">
        <v>22</v>
      </c>
      <c r="C27291" s="8" t="n">
        <v>17</v>
      </c>
      <c r="D27291" s="8" t="inlineStr">
        <is>
          <t>Disneyland Park</t>
        </is>
      </c>
      <c r="E27291" s="8" t="inlineStr">
        <is>
          <t>Buzz Lightyear Laser Blast</t>
        </is>
      </c>
      <c r="F27291" s="8" t="inlineStr">
        <is>
          <t>STANDBY</t>
        </is>
      </c>
      <c r="G27291" s="8" t="n">
        <v>20</v>
      </c>
      <c r="H27291" s="8" t="inlineStr">
        <is>
          <t>OPERATING</t>
        </is>
      </c>
    </row>
    <row r="27292">
      <c r="A27292" s="8" t="inlineStr">
        <is>
          <t>2026-08-05</t>
        </is>
      </c>
      <c r="B27292" s="8" t="n">
        <v>22</v>
      </c>
      <c r="C27292" s="8" t="n">
        <v>17</v>
      </c>
      <c r="D27292" s="8" t="inlineStr">
        <is>
          <t>Disneyland Park</t>
        </is>
      </c>
      <c r="E27292" s="8" t="inlineStr">
        <is>
          <t>Disneyland Railroad Discoveryland Station</t>
        </is>
      </c>
      <c r="F27292" s="8" t="inlineStr">
        <is>
          <t>STANDBY</t>
        </is>
      </c>
      <c r="G27292" s="8" t="n">
        <v>0</v>
      </c>
      <c r="H27292" s="8" t="inlineStr">
        <is>
          <t>CLOSED</t>
        </is>
      </c>
    </row>
    <row r="27293">
      <c r="A27293" s="8" t="inlineStr">
        <is>
          <t>2026-08-05</t>
        </is>
      </c>
      <c r="B27293" s="8" t="n">
        <v>22</v>
      </c>
      <c r="C27293" s="8" t="n">
        <v>17</v>
      </c>
      <c r="D27293" s="8" t="inlineStr">
        <is>
          <t>Disneyland Park</t>
        </is>
      </c>
      <c r="E27293" s="8" t="inlineStr">
        <is>
          <t>Les Mystères du Nautilus</t>
        </is>
      </c>
      <c r="F27293" s="8" t="inlineStr">
        <is>
          <t>STANDBY</t>
        </is>
      </c>
      <c r="G27293" s="8" t="n">
        <v>5</v>
      </c>
      <c r="H27293" s="8" t="inlineStr">
        <is>
          <t>OPERATING</t>
        </is>
      </c>
    </row>
    <row r="27294">
      <c r="A27294" s="8" t="inlineStr">
        <is>
          <t>2026-08-05</t>
        </is>
      </c>
      <c r="B27294" s="8" t="n">
        <v>22</v>
      </c>
      <c r="C27294" s="8" t="n">
        <v>17</v>
      </c>
      <c r="D27294" s="8" t="inlineStr">
        <is>
          <t>Disneyland Park</t>
        </is>
      </c>
      <c r="E27294" s="8" t="inlineStr">
        <is>
          <t>Mickey’s PhilharMagic</t>
        </is>
      </c>
      <c r="F27294" s="8" t="inlineStr">
        <is>
          <t>STANDBY</t>
        </is>
      </c>
      <c r="G27294" s="8" t="n">
        <v>0</v>
      </c>
      <c r="H27294" s="8" t="inlineStr">
        <is>
          <t>CLOSED</t>
        </is>
      </c>
    </row>
    <row r="27295">
      <c r="A27295" s="8" t="inlineStr">
        <is>
          <t>2026-08-05</t>
        </is>
      </c>
      <c r="B27295" s="8" t="n">
        <v>22</v>
      </c>
      <c r="C27295" s="8" t="n">
        <v>17</v>
      </c>
      <c r="D27295" s="8" t="inlineStr">
        <is>
          <t>Disneyland Park</t>
        </is>
      </c>
      <c r="E27295" s="8" t="inlineStr">
        <is>
          <t>Orbitron®</t>
        </is>
      </c>
      <c r="F27295" s="8" t="inlineStr">
        <is>
          <t>STANDBY</t>
        </is>
      </c>
      <c r="G27295" s="8" t="n">
        <v>30</v>
      </c>
      <c r="H27295" s="8" t="inlineStr">
        <is>
          <t>OPERATING</t>
        </is>
      </c>
    </row>
    <row r="27296">
      <c r="A27296" s="8" t="inlineStr">
        <is>
          <t>2026-08-05</t>
        </is>
      </c>
      <c r="B27296" s="8" t="n">
        <v>22</v>
      </c>
      <c r="C27296" s="8" t="n">
        <v>17</v>
      </c>
      <c r="D27296" s="8" t="inlineStr">
        <is>
          <t>Disneyland Park</t>
        </is>
      </c>
      <c r="E27296" s="8" t="inlineStr">
        <is>
          <t>Star Tours: The Adventures Continue*</t>
        </is>
      </c>
      <c r="F27296" s="8" t="inlineStr">
        <is>
          <t>STANDBY</t>
        </is>
      </c>
      <c r="G27296" s="8" t="n">
        <v>5</v>
      </c>
      <c r="H27296" s="8" t="inlineStr">
        <is>
          <t>OPERATING</t>
        </is>
      </c>
    </row>
    <row r="27297">
      <c r="A27297" s="8" t="inlineStr">
        <is>
          <t>2026-08-05</t>
        </is>
      </c>
      <c r="B27297" s="8" t="n">
        <v>22</v>
      </c>
      <c r="C27297" s="8" t="n">
        <v>17</v>
      </c>
      <c r="D27297" s="8" t="inlineStr">
        <is>
          <t>Disneyland Park</t>
        </is>
      </c>
      <c r="E27297" s="8" t="inlineStr">
        <is>
          <t>Star Wars Hyperspace Mountain</t>
        </is>
      </c>
      <c r="F27297" s="8" t="inlineStr">
        <is>
          <t>STANDBY</t>
        </is>
      </c>
      <c r="G27297" s="8" t="n">
        <v>10</v>
      </c>
      <c r="H27297" s="8" t="inlineStr">
        <is>
          <t>OPERATING</t>
        </is>
      </c>
    </row>
    <row r="27298">
      <c r="A27298" s="8" t="inlineStr">
        <is>
          <t>2026-08-05</t>
        </is>
      </c>
      <c r="B27298" s="8" t="n">
        <v>22</v>
      </c>
      <c r="C27298" s="8" t="n">
        <v>17</v>
      </c>
      <c r="D27298" s="8" t="inlineStr">
        <is>
          <t>Disneyland Park</t>
        </is>
      </c>
      <c r="E27298" s="8" t="inlineStr">
        <is>
          <t>Star Wars Hyperspace Mountain Single Rider</t>
        </is>
      </c>
      <c r="F27298" s="8" t="inlineStr">
        <is>
          <t>STANDBY</t>
        </is>
      </c>
      <c r="G27298" s="8" t="n">
        <v>0</v>
      </c>
      <c r="H27298" s="8" t="inlineStr">
        <is>
          <t>OPERATING</t>
        </is>
      </c>
    </row>
    <row r="27299">
      <c r="A27299" s="8" t="inlineStr">
        <is>
          <t>2026-08-05</t>
        </is>
      </c>
      <c r="B27299" s="8" t="n">
        <v>22</v>
      </c>
      <c r="C27299" s="8" t="n">
        <v>17</v>
      </c>
      <c r="D27299" s="8" t="inlineStr">
        <is>
          <t>Disneyland Park</t>
        </is>
      </c>
      <c r="E27299" s="8" t="inlineStr">
        <is>
          <t>Welcome to Starport: A Star Wars Encounter</t>
        </is>
      </c>
      <c r="F27299" s="8" t="inlineStr">
        <is>
          <t>STANDBY</t>
        </is>
      </c>
      <c r="G27299" s="8" t="n">
        <v>0</v>
      </c>
      <c r="H27299" s="8" t="inlineStr">
        <is>
          <t>CLOSED</t>
        </is>
      </c>
    </row>
    <row r="27300">
      <c r="A27300" s="8" t="inlineStr">
        <is>
          <t>2026-08-05</t>
        </is>
      </c>
      <c r="B27300" s="8" t="n">
        <v>22</v>
      </c>
      <c r="C27300" s="8" t="n">
        <v>17</v>
      </c>
      <c r="D27300" s="8" t="inlineStr">
        <is>
          <t>Disneyland Park</t>
        </is>
      </c>
      <c r="E27300" s="8" t="inlineStr">
        <is>
          <t>"it's a small world"</t>
        </is>
      </c>
      <c r="F27300" s="8" t="inlineStr">
        <is>
          <t>STANDBY</t>
        </is>
      </c>
      <c r="G27300" s="8" t="n">
        <v>5</v>
      </c>
      <c r="H27300" s="8" t="inlineStr">
        <is>
          <t>OPERATING</t>
        </is>
      </c>
    </row>
    <row r="27301">
      <c r="A27301" s="8" t="inlineStr">
        <is>
          <t>2026-08-05</t>
        </is>
      </c>
      <c r="B27301" s="8" t="n">
        <v>22</v>
      </c>
      <c r="C27301" s="8" t="n">
        <v>17</v>
      </c>
      <c r="D27301" s="8" t="inlineStr">
        <is>
          <t>Disneyland Park</t>
        </is>
      </c>
      <c r="E27301" s="8" t="inlineStr">
        <is>
          <t>Alice's Curious Labyrinth</t>
        </is>
      </c>
      <c r="F27301" s="8" t="inlineStr">
        <is>
          <t>STANDBY</t>
        </is>
      </c>
      <c r="G27301" s="8" t="n">
        <v>0</v>
      </c>
      <c r="H27301" s="8" t="inlineStr">
        <is>
          <t>CLOSED</t>
        </is>
      </c>
    </row>
    <row r="27302">
      <c r="A27302" s="8" t="inlineStr">
        <is>
          <t>2026-08-05</t>
        </is>
      </c>
      <c r="B27302" s="8" t="n">
        <v>22</v>
      </c>
      <c r="C27302" s="8" t="n">
        <v>17</v>
      </c>
      <c r="D27302" s="8" t="inlineStr">
        <is>
          <t>Disneyland Park</t>
        </is>
      </c>
      <c r="E27302" s="8" t="inlineStr">
        <is>
          <t>Blanche-Neige et les Sept Nains®</t>
        </is>
      </c>
      <c r="F27302" s="8" t="inlineStr">
        <is>
          <t>STANDBY</t>
        </is>
      </c>
      <c r="G27302" s="8" t="n">
        <v>0</v>
      </c>
      <c r="H27302" s="8" t="inlineStr">
        <is>
          <t>CLOSED</t>
        </is>
      </c>
    </row>
    <row r="27303">
      <c r="A27303" s="8" t="inlineStr">
        <is>
          <t>2026-08-05</t>
        </is>
      </c>
      <c r="B27303" s="8" t="n">
        <v>22</v>
      </c>
      <c r="C27303" s="8" t="n">
        <v>17</v>
      </c>
      <c r="D27303" s="8" t="inlineStr">
        <is>
          <t>Disneyland Park</t>
        </is>
      </c>
      <c r="E27303" s="8" t="inlineStr">
        <is>
          <t>Casey Jr. – le Petit Train du Cirque</t>
        </is>
      </c>
      <c r="F27303" s="8" t="inlineStr">
        <is>
          <t>STANDBY</t>
        </is>
      </c>
      <c r="G27303" s="8" t="n">
        <v>0</v>
      </c>
      <c r="H27303" s="8" t="inlineStr">
        <is>
          <t>CLOSED</t>
        </is>
      </c>
    </row>
    <row r="27304">
      <c r="A27304" s="8" t="inlineStr">
        <is>
          <t>2026-08-05</t>
        </is>
      </c>
      <c r="B27304" s="8" t="n">
        <v>22</v>
      </c>
      <c r="C27304" s="8" t="n">
        <v>17</v>
      </c>
      <c r="D27304" s="8" t="inlineStr">
        <is>
          <t>Disneyland Park</t>
        </is>
      </c>
      <c r="E27304" s="8" t="inlineStr">
        <is>
          <t>Disneyland Railroad Fantasyland Station</t>
        </is>
      </c>
      <c r="F27304" s="8" t="inlineStr">
        <is>
          <t>STANDBY</t>
        </is>
      </c>
      <c r="G27304" s="8" t="n">
        <v>0</v>
      </c>
      <c r="H27304" s="8" t="inlineStr">
        <is>
          <t>CLOSED</t>
        </is>
      </c>
    </row>
    <row r="27305">
      <c r="A27305" s="8" t="inlineStr">
        <is>
          <t>2026-08-05</t>
        </is>
      </c>
      <c r="B27305" s="8" t="n">
        <v>22</v>
      </c>
      <c r="C27305" s="8" t="n">
        <v>17</v>
      </c>
      <c r="D27305" s="8" t="inlineStr">
        <is>
          <t>Disneyland Park</t>
        </is>
      </c>
      <c r="E27305" s="8" t="inlineStr">
        <is>
          <t>Disneyland Railroad Main Street Station</t>
        </is>
      </c>
      <c r="F27305" s="8" t="inlineStr">
        <is>
          <t>STANDBY</t>
        </is>
      </c>
      <c r="G27305" s="8" t="n">
        <v>0</v>
      </c>
      <c r="H27305" s="8" t="inlineStr">
        <is>
          <t>CLOSED</t>
        </is>
      </c>
    </row>
    <row r="27306">
      <c r="A27306" s="8" t="inlineStr">
        <is>
          <t>2026-08-05</t>
        </is>
      </c>
      <c r="B27306" s="8" t="n">
        <v>22</v>
      </c>
      <c r="C27306" s="8" t="n">
        <v>17</v>
      </c>
      <c r="D27306" s="8" t="inlineStr">
        <is>
          <t>Disneyland Park</t>
        </is>
      </c>
      <c r="E27306" s="8" t="inlineStr">
        <is>
          <t>Dumbo the Flying Elephant</t>
        </is>
      </c>
      <c r="F27306" s="8" t="inlineStr">
        <is>
          <t>STANDBY</t>
        </is>
      </c>
      <c r="G27306" s="8" t="n">
        <v>0</v>
      </c>
      <c r="H27306" s="8" t="inlineStr">
        <is>
          <t>CLOSED</t>
        </is>
      </c>
    </row>
    <row r="27307">
      <c r="A27307" s="8" t="inlineStr">
        <is>
          <t>2026-08-05</t>
        </is>
      </c>
      <c r="B27307" s="8" t="n">
        <v>22</v>
      </c>
      <c r="C27307" s="8" t="n">
        <v>17</v>
      </c>
      <c r="D27307" s="8" t="inlineStr">
        <is>
          <t>Disneyland Park</t>
        </is>
      </c>
      <c r="E27307" s="8" t="inlineStr">
        <is>
          <t>La Tanière du Dragon</t>
        </is>
      </c>
      <c r="F27307" s="8" t="inlineStr">
        <is>
          <t>STANDBY</t>
        </is>
      </c>
      <c r="G27307" s="8" t="n">
        <v>0</v>
      </c>
      <c r="H27307" s="8" t="inlineStr">
        <is>
          <t>CLOSED</t>
        </is>
      </c>
    </row>
    <row r="27308">
      <c r="A27308" s="8" t="inlineStr">
        <is>
          <t>2026-08-05</t>
        </is>
      </c>
      <c r="B27308" s="8" t="n">
        <v>22</v>
      </c>
      <c r="C27308" s="8" t="n">
        <v>17</v>
      </c>
      <c r="D27308" s="8" t="inlineStr">
        <is>
          <t>Disneyland Park</t>
        </is>
      </c>
      <c r="E27308" s="8" t="inlineStr">
        <is>
          <t>Le Carrousel de Lancelot</t>
        </is>
      </c>
      <c r="F27308" s="8" t="inlineStr">
        <is>
          <t>STANDBY</t>
        </is>
      </c>
      <c r="G27308" s="8" t="n">
        <v>0</v>
      </c>
      <c r="H27308" s="8" t="inlineStr">
        <is>
          <t>CLOSED</t>
        </is>
      </c>
    </row>
    <row r="27309">
      <c r="A27309" s="8" t="inlineStr">
        <is>
          <t>2026-08-05</t>
        </is>
      </c>
      <c r="B27309" s="8" t="n">
        <v>22</v>
      </c>
      <c r="C27309" s="8" t="n">
        <v>17</v>
      </c>
      <c r="D27309" s="8" t="inlineStr">
        <is>
          <t>Disneyland Park</t>
        </is>
      </c>
      <c r="E27309" s="8" t="inlineStr">
        <is>
          <t>Le Pays des Contes de Fées, presented by Vittel</t>
        </is>
      </c>
      <c r="F27309" s="8" t="inlineStr">
        <is>
          <t>STANDBY</t>
        </is>
      </c>
      <c r="G27309" s="8" t="n">
        <v>0</v>
      </c>
      <c r="H27309" s="8" t="inlineStr">
        <is>
          <t>CLOSED</t>
        </is>
      </c>
    </row>
    <row r="27310">
      <c r="A27310" s="8" t="inlineStr">
        <is>
          <t>2026-08-05</t>
        </is>
      </c>
      <c r="B27310" s="8" t="n">
        <v>22</v>
      </c>
      <c r="C27310" s="8" t="n">
        <v>17</v>
      </c>
      <c r="D27310" s="8" t="inlineStr">
        <is>
          <t>Disneyland Park</t>
        </is>
      </c>
      <c r="E27310" s="8" t="inlineStr">
        <is>
          <t>Les Voyages de Pinocchio</t>
        </is>
      </c>
      <c r="F27310" s="8" t="inlineStr">
        <is>
          <t>STANDBY</t>
        </is>
      </c>
      <c r="G27310" s="8" t="n">
        <v>0</v>
      </c>
      <c r="H27310" s="8" t="inlineStr">
        <is>
          <t>CLOSED</t>
        </is>
      </c>
    </row>
    <row r="27311">
      <c r="A27311" s="8" t="inlineStr">
        <is>
          <t>2026-08-05</t>
        </is>
      </c>
      <c r="B27311" s="8" t="n">
        <v>22</v>
      </c>
      <c r="C27311" s="8" t="n">
        <v>17</v>
      </c>
      <c r="D27311" s="8" t="inlineStr">
        <is>
          <t>Disneyland Park</t>
        </is>
      </c>
      <c r="E27311" s="8" t="inlineStr">
        <is>
          <t>Mad Hatter's Tea Cups</t>
        </is>
      </c>
      <c r="F27311" s="8" t="inlineStr">
        <is>
          <t>STANDBY</t>
        </is>
      </c>
      <c r="G27311" s="8" t="n">
        <v>0</v>
      </c>
      <c r="H27311" s="8" t="inlineStr">
        <is>
          <t>CLOSED</t>
        </is>
      </c>
    </row>
    <row r="27312">
      <c r="A27312" s="8" t="inlineStr">
        <is>
          <t>2026-08-05</t>
        </is>
      </c>
      <c r="B27312" s="8" t="n">
        <v>22</v>
      </c>
      <c r="C27312" s="8" t="n">
        <v>17</v>
      </c>
      <c r="D27312" s="8" t="inlineStr">
        <is>
          <t>Disneyland Park</t>
        </is>
      </c>
      <c r="E27312" s="8" t="inlineStr">
        <is>
          <t>Meet Mickey Mouse</t>
        </is>
      </c>
      <c r="F27312" s="8" t="inlineStr">
        <is>
          <t>STANDBY</t>
        </is>
      </c>
      <c r="G27312" s="8" t="n">
        <v>0</v>
      </c>
      <c r="H27312" s="8" t="inlineStr">
        <is>
          <t>CLOSED</t>
        </is>
      </c>
    </row>
    <row r="27313">
      <c r="A27313" s="8" t="inlineStr">
        <is>
          <t>2026-08-05</t>
        </is>
      </c>
      <c r="B27313" s="8" t="n">
        <v>22</v>
      </c>
      <c r="C27313" s="8" t="n">
        <v>17</v>
      </c>
      <c r="D27313" s="8" t="inlineStr">
        <is>
          <t>Disneyland Park</t>
        </is>
      </c>
      <c r="E27313" s="8" t="inlineStr">
        <is>
          <t>Peter Pan's Flight</t>
        </is>
      </c>
      <c r="F27313" s="8" t="inlineStr">
        <is>
          <t>STANDBY</t>
        </is>
      </c>
      <c r="G27313" s="8" t="n">
        <v>15</v>
      </c>
      <c r="H27313" s="8" t="inlineStr">
        <is>
          <t>OPERATING</t>
        </is>
      </c>
    </row>
    <row r="27314">
      <c r="A27314" s="8" t="inlineStr">
        <is>
          <t>2026-08-05</t>
        </is>
      </c>
      <c r="B27314" s="8" t="n">
        <v>22</v>
      </c>
      <c r="C27314" s="8" t="n">
        <v>17</v>
      </c>
      <c r="D27314" s="8" t="inlineStr">
        <is>
          <t>Disneyland Park</t>
        </is>
      </c>
      <c r="E27314" s="8" t="inlineStr">
        <is>
          <t>Princess Pavilion</t>
        </is>
      </c>
      <c r="F27314" s="8" t="inlineStr">
        <is>
          <t>STANDBY</t>
        </is>
      </c>
      <c r="G27314" s="8" t="n">
        <v>0</v>
      </c>
      <c r="H27314" s="8" t="inlineStr">
        <is>
          <t>CLOSED</t>
        </is>
      </c>
    </row>
    <row r="27315">
      <c r="A27315" s="8" t="inlineStr">
        <is>
          <t>2026-08-05</t>
        </is>
      </c>
      <c r="B27315" s="8" t="n">
        <v>22</v>
      </c>
      <c r="C27315" s="8" t="n">
        <v>17</v>
      </c>
      <c r="D27315" s="8" t="inlineStr">
        <is>
          <t>Disneyland Park</t>
        </is>
      </c>
      <c r="E27315" s="8" t="inlineStr">
        <is>
          <t>Big Thunder Mountain</t>
        </is>
      </c>
      <c r="F27315" s="8" t="inlineStr">
        <is>
          <t>STANDBY</t>
        </is>
      </c>
      <c r="G27315" s="8" t="n">
        <v>45</v>
      </c>
      <c r="H27315" s="8" t="inlineStr">
        <is>
          <t>OPERATING</t>
        </is>
      </c>
    </row>
    <row r="27316">
      <c r="A27316" s="8" t="inlineStr">
        <is>
          <t>2026-08-05</t>
        </is>
      </c>
      <c r="B27316" s="8" t="n">
        <v>22</v>
      </c>
      <c r="C27316" s="8" t="n">
        <v>17</v>
      </c>
      <c r="D27316" s="8" t="inlineStr">
        <is>
          <t>Disneyland Park</t>
        </is>
      </c>
      <c r="E27316" s="8" t="inlineStr">
        <is>
          <t>Disneyland Railroad Frontierland Depot</t>
        </is>
      </c>
      <c r="F27316" s="8" t="inlineStr">
        <is>
          <t>STANDBY</t>
        </is>
      </c>
      <c r="G27316" s="8" t="n">
        <v>0</v>
      </c>
      <c r="H27316" s="8" t="inlineStr">
        <is>
          <t>CLOSED</t>
        </is>
      </c>
    </row>
    <row r="27317">
      <c r="A27317" s="8" t="inlineStr">
        <is>
          <t>2026-08-05</t>
        </is>
      </c>
      <c r="B27317" s="8" t="n">
        <v>22</v>
      </c>
      <c r="C27317" s="8" t="n">
        <v>17</v>
      </c>
      <c r="D27317" s="8" t="inlineStr">
        <is>
          <t>Disneyland Park</t>
        </is>
      </c>
      <c r="E27317" s="8" t="inlineStr">
        <is>
          <t>Frontierland Playground</t>
        </is>
      </c>
      <c r="F27317" s="8" t="inlineStr">
        <is>
          <t>STANDBY</t>
        </is>
      </c>
      <c r="G27317" s="8" t="n">
        <v>0</v>
      </c>
      <c r="H27317" s="8" t="inlineStr">
        <is>
          <t>CLOSED</t>
        </is>
      </c>
    </row>
    <row r="27318">
      <c r="A27318" s="8" t="inlineStr">
        <is>
          <t>2026-08-05</t>
        </is>
      </c>
      <c r="B27318" s="8" t="n">
        <v>22</v>
      </c>
      <c r="C27318" s="8" t="n">
        <v>17</v>
      </c>
      <c r="D27318" s="8" t="inlineStr">
        <is>
          <t>Disneyland Park</t>
        </is>
      </c>
      <c r="E27318" s="8" t="inlineStr">
        <is>
          <t>Phantom Manor</t>
        </is>
      </c>
      <c r="F27318" s="8" t="inlineStr">
        <is>
          <t>STANDBY</t>
        </is>
      </c>
      <c r="G27318" s="8" t="n">
        <v>5</v>
      </c>
      <c r="H27318" s="8" t="inlineStr">
        <is>
          <t>OPERATING</t>
        </is>
      </c>
    </row>
    <row r="27319">
      <c r="A27319" s="8" t="inlineStr">
        <is>
          <t>2026-08-05</t>
        </is>
      </c>
      <c r="B27319" s="8" t="n">
        <v>22</v>
      </c>
      <c r="C27319" s="8" t="n">
        <v>17</v>
      </c>
      <c r="D27319" s="8" t="inlineStr">
        <is>
          <t>Disneyland Park</t>
        </is>
      </c>
      <c r="E27319" s="8" t="inlineStr">
        <is>
          <t>River Rogue Keelboats</t>
        </is>
      </c>
      <c r="F27319" s="8" t="inlineStr">
        <is>
          <t>STANDBY</t>
        </is>
      </c>
      <c r="G27319" s="8" t="n">
        <v>0</v>
      </c>
      <c r="H27319" s="8" t="inlineStr">
        <is>
          <t>CLOSED</t>
        </is>
      </c>
    </row>
    <row r="27320">
      <c r="A27320" s="8" t="inlineStr">
        <is>
          <t>2026-08-05</t>
        </is>
      </c>
      <c r="B27320" s="8" t="n">
        <v>22</v>
      </c>
      <c r="C27320" s="8" t="n">
        <v>17</v>
      </c>
      <c r="D27320" s="8" t="inlineStr">
        <is>
          <t>Disneyland Park</t>
        </is>
      </c>
      <c r="E27320" s="8" t="inlineStr">
        <is>
          <t>Rustler Roundup Shootin' Gallery</t>
        </is>
      </c>
      <c r="F27320" s="8" t="inlineStr">
        <is>
          <t>STANDBY</t>
        </is>
      </c>
      <c r="G27320" s="8" t="n">
        <v>0</v>
      </c>
      <c r="H27320" s="8" t="inlineStr">
        <is>
          <t>CLOSED</t>
        </is>
      </c>
    </row>
    <row r="27321">
      <c r="A27321" s="8" t="inlineStr">
        <is>
          <t>2026-08-05</t>
        </is>
      </c>
      <c r="B27321" s="8" t="n">
        <v>22</v>
      </c>
      <c r="C27321" s="8" t="n">
        <v>17</v>
      </c>
      <c r="D27321" s="8" t="inlineStr">
        <is>
          <t>Disneyland Park</t>
        </is>
      </c>
      <c r="E27321" s="8" t="inlineStr">
        <is>
          <t>Thunder Mesa Riverboat Landing</t>
        </is>
      </c>
      <c r="F27321" s="8" t="inlineStr">
        <is>
          <t>STANDBY</t>
        </is>
      </c>
      <c r="G27321" s="8" t="n">
        <v>0</v>
      </c>
      <c r="H27321" s="8" t="inlineStr">
        <is>
          <t>CLOSED</t>
        </is>
      </c>
    </row>
    <row r="27322">
      <c r="A27322" s="8" t="inlineStr">
        <is>
          <t>2026-08-05</t>
        </is>
      </c>
      <c r="B27322" s="8" t="n">
        <v>22</v>
      </c>
      <c r="C27322" s="8" t="n">
        <v>17</v>
      </c>
      <c r="D27322" s="8" t="inlineStr">
        <is>
          <t>Disneyland Park</t>
        </is>
      </c>
      <c r="E27322" s="8" t="inlineStr">
        <is>
          <t>Disneyland Railroad Main Street Station</t>
        </is>
      </c>
      <c r="F27322" s="8" t="inlineStr">
        <is>
          <t>STANDBY</t>
        </is>
      </c>
      <c r="G27322" s="8" t="n">
        <v>0</v>
      </c>
      <c r="H27322" s="8" t="inlineStr">
        <is>
          <t>CLOSED</t>
        </is>
      </c>
    </row>
    <row r="27323">
      <c r="A27323" s="8" t="inlineStr">
        <is>
          <t>2026-08-05</t>
        </is>
      </c>
      <c r="B27323" s="8" t="n">
        <v>22</v>
      </c>
      <c r="C27323" s="8" t="n">
        <v>17</v>
      </c>
      <c r="D27323" s="8" t="inlineStr">
        <is>
          <t>Disneyland Park</t>
        </is>
      </c>
      <c r="E27323" s="8" t="inlineStr">
        <is>
          <t>Main Street Vehicles</t>
        </is>
      </c>
      <c r="F27323" s="8" t="inlineStr">
        <is>
          <t>STANDBY</t>
        </is>
      </c>
      <c r="G27323" s="8" t="n">
        <v>0</v>
      </c>
      <c r="H27323" s="8" t="inlineStr">
        <is>
          <t>CLOSED</t>
        </is>
      </c>
    </row>
    <row r="27324">
      <c r="A27324" s="8" t="inlineStr">
        <is>
          <t>2026-08-05</t>
        </is>
      </c>
      <c r="B27324" s="8" t="n">
        <v>22</v>
      </c>
      <c r="C27324" s="8" t="n">
        <v>17</v>
      </c>
      <c r="D27324" s="8" t="inlineStr">
        <is>
          <t>Disney Adventure World</t>
        </is>
      </c>
      <c r="E27324" s="8" t="inlineStr">
        <is>
          <t>Avengers Assemble: Flight Force</t>
        </is>
      </c>
      <c r="F27324" s="8" t="inlineStr">
        <is>
          <t>STANDBY</t>
        </is>
      </c>
      <c r="G27324" s="8" t="n">
        <v>5</v>
      </c>
      <c r="H27324" s="8" t="inlineStr">
        <is>
          <t>OPERATING</t>
        </is>
      </c>
    </row>
    <row r="27325">
      <c r="A27325" s="8" t="inlineStr">
        <is>
          <t>2026-08-05</t>
        </is>
      </c>
      <c r="B27325" s="8" t="n">
        <v>22</v>
      </c>
      <c r="C27325" s="8" t="n">
        <v>17</v>
      </c>
      <c r="D27325" s="8" t="inlineStr">
        <is>
          <t>Disney Adventure World</t>
        </is>
      </c>
      <c r="E27325" s="8" t="inlineStr">
        <is>
          <t>Avengers Assemble: Flight Force Single Rider</t>
        </is>
      </c>
      <c r="F27325" s="8" t="inlineStr">
        <is>
          <t>STANDBY</t>
        </is>
      </c>
      <c r="G27325" s="8" t="n">
        <v>5</v>
      </c>
      <c r="H27325" s="8" t="inlineStr">
        <is>
          <t>OPERATING</t>
        </is>
      </c>
    </row>
    <row r="27326">
      <c r="A27326" s="8" t="inlineStr">
        <is>
          <t>2026-08-05</t>
        </is>
      </c>
      <c r="B27326" s="8" t="n">
        <v>22</v>
      </c>
      <c r="C27326" s="8" t="n">
        <v>17</v>
      </c>
      <c r="D27326" s="8" t="inlineStr">
        <is>
          <t>Disney Adventure World</t>
        </is>
      </c>
      <c r="E27326" s="8" t="inlineStr">
        <is>
          <t>Spider-Man W.E.B. Adventure</t>
        </is>
      </c>
      <c r="F27326" s="8" t="inlineStr">
        <is>
          <t>STANDBY</t>
        </is>
      </c>
      <c r="G27326" s="8" t="n">
        <v>15</v>
      </c>
      <c r="H27326" s="8" t="inlineStr">
        <is>
          <t>OPERATING</t>
        </is>
      </c>
    </row>
    <row r="27327">
      <c r="A27327" s="8" t="inlineStr">
        <is>
          <t>2026-08-05</t>
        </is>
      </c>
      <c r="B27327" s="8" t="n">
        <v>22</v>
      </c>
      <c r="C27327" s="8" t="n">
        <v>17</v>
      </c>
      <c r="D27327" s="8" t="inlineStr">
        <is>
          <t>Disney Adventure World</t>
        </is>
      </c>
      <c r="E27327" s="8" t="inlineStr">
        <is>
          <t>Spider-Man W.E.B. Adventure Single Rider</t>
        </is>
      </c>
      <c r="F27327" s="8" t="inlineStr">
        <is>
          <t>STANDBY</t>
        </is>
      </c>
      <c r="G27327" s="8" t="n">
        <v>5</v>
      </c>
      <c r="H27327" s="8" t="inlineStr">
        <is>
          <t>OPERATING</t>
        </is>
      </c>
    </row>
    <row r="27328">
      <c r="A27328" s="8" t="inlineStr">
        <is>
          <t>2026-08-05</t>
        </is>
      </c>
      <c r="B27328" s="8" t="n">
        <v>22</v>
      </c>
      <c r="C27328" s="8" t="n">
        <v>17</v>
      </c>
      <c r="D27328" s="8" t="inlineStr">
        <is>
          <t>Disney Adventure World</t>
        </is>
      </c>
      <c r="E27328" s="8" t="inlineStr">
        <is>
          <t>The Twilight Zone Tower of Terror</t>
        </is>
      </c>
      <c r="F27328" s="8" t="inlineStr">
        <is>
          <t>STANDBY</t>
        </is>
      </c>
      <c r="G27328" s="8" t="n">
        <v>5</v>
      </c>
      <c r="H27328" s="8" t="inlineStr">
        <is>
          <t>OPERATING</t>
        </is>
      </c>
    </row>
    <row r="27329">
      <c r="A27329" s="8" t="inlineStr">
        <is>
          <t>2026-08-05</t>
        </is>
      </c>
      <c r="B27329" s="8" t="n">
        <v>22</v>
      </c>
      <c r="C27329" s="8" t="n">
        <v>17</v>
      </c>
      <c r="D27329" s="8" t="inlineStr">
        <is>
          <t>Disney Adventure World</t>
        </is>
      </c>
      <c r="E27329" s="8" t="inlineStr">
        <is>
          <t>Cars Quatre Roues Rallye</t>
        </is>
      </c>
      <c r="F27329" s="8" t="inlineStr">
        <is>
          <t>STANDBY</t>
        </is>
      </c>
      <c r="G27329" s="8" t="n">
        <v>5</v>
      </c>
      <c r="H27329" s="8" t="inlineStr">
        <is>
          <t>OPERATING</t>
        </is>
      </c>
    </row>
    <row r="27330">
      <c r="A27330" s="8" t="inlineStr">
        <is>
          <t>2026-08-05</t>
        </is>
      </c>
      <c r="B27330" s="8" t="n">
        <v>22</v>
      </c>
      <c r="C27330" s="8" t="n">
        <v>17</v>
      </c>
      <c r="D27330" s="8" t="inlineStr">
        <is>
          <t>Disney Adventure World</t>
        </is>
      </c>
      <c r="E27330" s="8" t="inlineStr">
        <is>
          <t>Cars ROAD TRIP</t>
        </is>
      </c>
      <c r="F27330" s="8" t="inlineStr">
        <is>
          <t>STANDBY</t>
        </is>
      </c>
      <c r="G27330" s="8" t="n">
        <v>0</v>
      </c>
      <c r="H27330" s="8" t="inlineStr">
        <is>
          <t>CLOSED</t>
        </is>
      </c>
    </row>
    <row r="27331">
      <c r="A27331" s="8" t="inlineStr">
        <is>
          <t>2026-08-05</t>
        </is>
      </c>
      <c r="B27331" s="8" t="n">
        <v>22</v>
      </c>
      <c r="C27331" s="8" t="n">
        <v>17</v>
      </c>
      <c r="D27331" s="8" t="inlineStr">
        <is>
          <t>Disney Adventure World</t>
        </is>
      </c>
      <c r="E27331" s="8" t="inlineStr">
        <is>
          <t>Crush's Coaster</t>
        </is>
      </c>
      <c r="F27331" s="8" t="inlineStr">
        <is>
          <t>STANDBY</t>
        </is>
      </c>
      <c r="G27331" s="8" t="n">
        <v>45</v>
      </c>
      <c r="H27331" s="8" t="inlineStr">
        <is>
          <t>OPERATING</t>
        </is>
      </c>
    </row>
    <row r="27332">
      <c r="A27332" s="8" t="inlineStr">
        <is>
          <t>2026-08-05</t>
        </is>
      </c>
      <c r="B27332" s="8" t="n">
        <v>22</v>
      </c>
      <c r="C27332" s="8" t="n">
        <v>17</v>
      </c>
      <c r="D27332" s="8" t="inlineStr">
        <is>
          <t>Disney Adventure World</t>
        </is>
      </c>
      <c r="E27332" s="8" t="inlineStr">
        <is>
          <t>Crush's Coaster Single Rider</t>
        </is>
      </c>
      <c r="F27332" s="8" t="inlineStr">
        <is>
          <t>STANDBY</t>
        </is>
      </c>
      <c r="G27332" s="8" t="n">
        <v>40</v>
      </c>
      <c r="H27332" s="8" t="inlineStr">
        <is>
          <t>OPERATING</t>
        </is>
      </c>
    </row>
    <row r="27333">
      <c r="A27333" s="8" t="inlineStr">
        <is>
          <t>2026-08-05</t>
        </is>
      </c>
      <c r="B27333" s="8" t="n">
        <v>22</v>
      </c>
      <c r="C27333" s="8" t="n">
        <v>17</v>
      </c>
      <c r="D27333" s="8" t="inlineStr">
        <is>
          <t>Disney Adventure World</t>
        </is>
      </c>
      <c r="E27333" s="8" t="inlineStr">
        <is>
          <t>Les Tapis Volants - Flying Carpets Over Agrabah®</t>
        </is>
      </c>
      <c r="F27333" s="8" t="inlineStr">
        <is>
          <t>STANDBY</t>
        </is>
      </c>
      <c r="G27333" s="8" t="n">
        <v>5</v>
      </c>
      <c r="H27333" s="8" t="inlineStr">
        <is>
          <t>OPERATING</t>
        </is>
      </c>
    </row>
    <row r="27334">
      <c r="A27334" s="8" t="inlineStr">
        <is>
          <t>2026-08-05</t>
        </is>
      </c>
      <c r="B27334" s="8" t="n">
        <v>22</v>
      </c>
      <c r="C27334" s="8" t="n">
        <v>17</v>
      </c>
      <c r="D27334" s="8" t="inlineStr">
        <is>
          <t>Disney Adventure World</t>
        </is>
      </c>
      <c r="E27334" s="8" t="inlineStr">
        <is>
          <t>Ratatouille : L’Aventure Totalement Toquée de Rémy​</t>
        </is>
      </c>
      <c r="F27334" s="8" t="inlineStr">
        <is>
          <t>STANDBY</t>
        </is>
      </c>
      <c r="G27334" s="8" t="n">
        <v>5</v>
      </c>
      <c r="H27334" s="8" t="inlineStr">
        <is>
          <t>OPERATING</t>
        </is>
      </c>
    </row>
    <row r="27335">
      <c r="A27335" s="8" t="inlineStr">
        <is>
          <t>2026-08-05</t>
        </is>
      </c>
      <c r="B27335" s="8" t="n">
        <v>22</v>
      </c>
      <c r="C27335" s="8" t="n">
        <v>17</v>
      </c>
      <c r="D27335" s="8" t="inlineStr">
        <is>
          <t>Disney Adventure World</t>
        </is>
      </c>
      <c r="E27335" s="8" t="inlineStr">
        <is>
          <t>Ratatouille: The Adventure Single Rider</t>
        </is>
      </c>
      <c r="F27335" s="8" t="inlineStr">
        <is>
          <t>STANDBY</t>
        </is>
      </c>
      <c r="G27335" s="8" t="n">
        <v>5</v>
      </c>
      <c r="H27335" s="8" t="inlineStr">
        <is>
          <t>OPERATING</t>
        </is>
      </c>
    </row>
    <row r="27336">
      <c r="A27336" s="8" t="inlineStr">
        <is>
          <t>2026-08-05</t>
        </is>
      </c>
      <c r="B27336" s="8" t="n">
        <v>22</v>
      </c>
      <c r="C27336" s="8" t="n">
        <v>17</v>
      </c>
      <c r="D27336" s="8" t="inlineStr">
        <is>
          <t>Disney Adventure World</t>
        </is>
      </c>
      <c r="E27336" s="8" t="inlineStr">
        <is>
          <t>RC Racer</t>
        </is>
      </c>
      <c r="F27336" s="8" t="inlineStr">
        <is>
          <t>STANDBY</t>
        </is>
      </c>
      <c r="G27336" s="8" t="n">
        <v>25</v>
      </c>
      <c r="H27336" s="8" t="inlineStr">
        <is>
          <t>OPERATING</t>
        </is>
      </c>
    </row>
    <row r="27337">
      <c r="A27337" s="8" t="inlineStr">
        <is>
          <t>2026-08-05</t>
        </is>
      </c>
      <c r="B27337" s="8" t="n">
        <v>22</v>
      </c>
      <c r="C27337" s="8" t="n">
        <v>17</v>
      </c>
      <c r="D27337" s="8" t="inlineStr">
        <is>
          <t>Disney Adventure World</t>
        </is>
      </c>
      <c r="E27337" s="8" t="inlineStr">
        <is>
          <t>RC Racer Single Rider</t>
        </is>
      </c>
      <c r="F27337" s="8" t="inlineStr">
        <is>
          <t>STANDBY</t>
        </is>
      </c>
      <c r="G27337" s="8" t="n">
        <v>10</v>
      </c>
      <c r="H27337" s="8" t="inlineStr">
        <is>
          <t>OPERATING</t>
        </is>
      </c>
    </row>
    <row r="27338">
      <c r="A27338" s="8" t="inlineStr">
        <is>
          <t>2026-08-05</t>
        </is>
      </c>
      <c r="B27338" s="8" t="n">
        <v>22</v>
      </c>
      <c r="C27338" s="8" t="n">
        <v>17</v>
      </c>
      <c r="D27338" s="8" t="inlineStr">
        <is>
          <t>Disney Adventure World</t>
        </is>
      </c>
      <c r="E27338" s="8" t="inlineStr">
        <is>
          <t>Slinky® Dog Zigzag Spin</t>
        </is>
      </c>
      <c r="F27338" s="8" t="inlineStr">
        <is>
          <t>STANDBY</t>
        </is>
      </c>
      <c r="G27338" s="8" t="n">
        <v>5</v>
      </c>
      <c r="H27338" s="8" t="inlineStr">
        <is>
          <t>OPERATING</t>
        </is>
      </c>
    </row>
    <row r="27339">
      <c r="A27339" s="8" t="inlineStr">
        <is>
          <t>2026-08-05</t>
        </is>
      </c>
      <c r="B27339" s="8" t="n">
        <v>22</v>
      </c>
      <c r="C27339" s="8" t="n">
        <v>17</v>
      </c>
      <c r="D27339" s="8" t="inlineStr">
        <is>
          <t>Disney Adventure World</t>
        </is>
      </c>
      <c r="E27339" s="8" t="inlineStr">
        <is>
          <t>Toy Soldiers Parachute Drop</t>
        </is>
      </c>
      <c r="F27339" s="8" t="inlineStr">
        <is>
          <t>STANDBY</t>
        </is>
      </c>
      <c r="G27339" s="8" t="n">
        <v>25</v>
      </c>
      <c r="H27339" s="8" t="inlineStr">
        <is>
          <t>OPERATING</t>
        </is>
      </c>
    </row>
    <row r="27340">
      <c r="A27340" s="8" t="inlineStr">
        <is>
          <t>2026-08-05</t>
        </is>
      </c>
      <c r="B27340" s="8" t="n">
        <v>22</v>
      </c>
      <c r="C27340" s="8" t="n">
        <v>17</v>
      </c>
      <c r="D27340" s="8" t="inlineStr">
        <is>
          <t>Disney Adventure World</t>
        </is>
      </c>
      <c r="E27340" s="8" t="inlineStr">
        <is>
          <t>Toy Soldiers Parachute Drop Single Rider</t>
        </is>
      </c>
      <c r="F27340" s="8" t="inlineStr">
        <is>
          <t>STANDBY</t>
        </is>
      </c>
      <c r="G27340" s="8" t="n">
        <v>5</v>
      </c>
      <c r="H27340" s="8" t="inlineStr">
        <is>
          <t>OPERATING</t>
        </is>
      </c>
    </row>
    <row r="27341">
      <c r="A27341" s="8" t="inlineStr">
        <is>
          <t>2026-08-05</t>
        </is>
      </c>
      <c r="B27341" s="8" t="n">
        <v>22</v>
      </c>
      <c r="C27341" s="8" t="n">
        <v>17</v>
      </c>
      <c r="D27341" s="8" t="inlineStr">
        <is>
          <t>Disney Adventure World</t>
        </is>
      </c>
      <c r="E27341" s="8" t="inlineStr">
        <is>
          <t>Entry to World of Frozen</t>
        </is>
      </c>
      <c r="F27341" s="8" t="inlineStr">
        <is>
          <t>STANDBY</t>
        </is>
      </c>
      <c r="G27341" s="8" t="n">
        <v>0</v>
      </c>
      <c r="H27341" s="8" t="inlineStr">
        <is>
          <t>OPERATING</t>
        </is>
      </c>
    </row>
    <row r="27342">
      <c r="A27342" s="8" t="inlineStr">
        <is>
          <t>2026-08-05</t>
        </is>
      </c>
      <c r="B27342" s="8" t="n">
        <v>22</v>
      </c>
      <c r="C27342" s="8" t="n">
        <v>17</v>
      </c>
      <c r="D27342" s="8" t="inlineStr">
        <is>
          <t>Disney Adventure World</t>
        </is>
      </c>
      <c r="E27342" s="8" t="inlineStr">
        <is>
          <t>Frozen Ever After</t>
        </is>
      </c>
      <c r="F27342" s="8" t="inlineStr">
        <is>
          <t>STANDBY</t>
        </is>
      </c>
      <c r="G27342" s="8" t="n">
        <v>20</v>
      </c>
      <c r="H27342" s="8" t="inlineStr">
        <is>
          <t>OPERATING</t>
        </is>
      </c>
    </row>
    <row r="27343">
      <c r="A27343" s="8" t="inlineStr">
        <is>
          <t>2026-08-05</t>
        </is>
      </c>
      <c r="B27343" s="8" t="n">
        <v>22</v>
      </c>
      <c r="C27343" s="8" t="n">
        <v>17</v>
      </c>
      <c r="D27343" s="8" t="inlineStr">
        <is>
          <t>Disney Adventure World</t>
        </is>
      </c>
      <c r="E27343" s="8" t="inlineStr">
        <is>
          <t>Raiponce Tangled Spin</t>
        </is>
      </c>
      <c r="F27343" s="8" t="inlineStr">
        <is>
          <t>STANDBY</t>
        </is>
      </c>
      <c r="G27343" s="8" t="n">
        <v>5</v>
      </c>
      <c r="H27343" s="8" t="inlineStr">
        <is>
          <t>OPERATING</t>
        </is>
      </c>
    </row>
    <row r="27344">
      <c r="A27344" s="8" t="inlineStr">
        <is>
          <t>2026-08-05</t>
        </is>
      </c>
      <c r="B27344" s="8" t="n">
        <v>22</v>
      </c>
      <c r="C27344" s="8" t="n">
        <v>31</v>
      </c>
      <c r="D27344" s="8" t="inlineStr">
        <is>
          <t>Disneyland Park</t>
        </is>
      </c>
      <c r="E27344" s="8" t="inlineStr">
        <is>
          <t>Adventure Isle</t>
        </is>
      </c>
      <c r="F27344" s="8" t="inlineStr">
        <is>
          <t>STANDBY</t>
        </is>
      </c>
      <c r="G27344" s="8" t="n">
        <v>0</v>
      </c>
      <c r="H27344" s="8" t="inlineStr">
        <is>
          <t>OPERATING</t>
        </is>
      </c>
    </row>
    <row r="27345">
      <c r="A27345" s="8" t="inlineStr">
        <is>
          <t>2026-08-05</t>
        </is>
      </c>
      <c r="B27345" s="8" t="n">
        <v>22</v>
      </c>
      <c r="C27345" s="8" t="n">
        <v>31</v>
      </c>
      <c r="D27345" s="8" t="inlineStr">
        <is>
          <t>Disneyland Park</t>
        </is>
      </c>
      <c r="E27345" s="8" t="inlineStr">
        <is>
          <t>Indiana Jones and the Temple of Peril Single Rider</t>
        </is>
      </c>
      <c r="F27345" s="8" t="inlineStr">
        <is>
          <t>STANDBY</t>
        </is>
      </c>
      <c r="G27345" s="8" t="n">
        <v>0</v>
      </c>
      <c r="H27345" s="8" t="inlineStr">
        <is>
          <t>CLOSED</t>
        </is>
      </c>
    </row>
    <row r="27346">
      <c r="A27346" s="8" t="inlineStr">
        <is>
          <t>2026-08-05</t>
        </is>
      </c>
      <c r="B27346" s="8" t="n">
        <v>22</v>
      </c>
      <c r="C27346" s="8" t="n">
        <v>31</v>
      </c>
      <c r="D27346" s="8" t="inlineStr">
        <is>
          <t>Disneyland Park</t>
        </is>
      </c>
      <c r="E27346" s="8" t="inlineStr">
        <is>
          <t>Indiana Jones™ and the Temple of Peril</t>
        </is>
      </c>
      <c r="F27346" s="8" t="inlineStr">
        <is>
          <t>STANDBY</t>
        </is>
      </c>
      <c r="G27346" s="8" t="n">
        <v>0</v>
      </c>
      <c r="H27346" s="8" t="inlineStr">
        <is>
          <t>CLOSED</t>
        </is>
      </c>
    </row>
    <row r="27347">
      <c r="A27347" s="8" t="inlineStr">
        <is>
          <t>2026-08-05</t>
        </is>
      </c>
      <c r="B27347" s="8" t="n">
        <v>22</v>
      </c>
      <c r="C27347" s="8" t="n">
        <v>31</v>
      </c>
      <c r="D27347" s="8" t="inlineStr">
        <is>
          <t>Disneyland Park</t>
        </is>
      </c>
      <c r="E27347" s="8" t="inlineStr">
        <is>
          <t>La Cabane des Robinson</t>
        </is>
      </c>
      <c r="F27347" s="8" t="inlineStr">
        <is>
          <t>STANDBY</t>
        </is>
      </c>
      <c r="G27347" s="8" t="n">
        <v>5</v>
      </c>
      <c r="H27347" s="8" t="inlineStr">
        <is>
          <t>OPERATING</t>
        </is>
      </c>
    </row>
    <row r="27348">
      <c r="A27348" s="8" t="inlineStr">
        <is>
          <t>2026-08-05</t>
        </is>
      </c>
      <c r="B27348" s="8" t="n">
        <v>22</v>
      </c>
      <c r="C27348" s="8" t="n">
        <v>31</v>
      </c>
      <c r="D27348" s="8" t="inlineStr">
        <is>
          <t>Disneyland Park</t>
        </is>
      </c>
      <c r="E27348" s="8" t="inlineStr">
        <is>
          <t>Le Passage Enchanté d'Aladdin</t>
        </is>
      </c>
      <c r="F27348" s="8" t="inlineStr">
        <is>
          <t>STANDBY</t>
        </is>
      </c>
      <c r="G27348" s="8" t="n">
        <v>0</v>
      </c>
      <c r="H27348" s="8" t="inlineStr">
        <is>
          <t>CLOSED</t>
        </is>
      </c>
    </row>
    <row r="27349">
      <c r="A27349" s="8" t="inlineStr">
        <is>
          <t>2026-08-05</t>
        </is>
      </c>
      <c r="B27349" s="8" t="n">
        <v>22</v>
      </c>
      <c r="C27349" s="8" t="n">
        <v>31</v>
      </c>
      <c r="D27349" s="8" t="inlineStr">
        <is>
          <t>Disneyland Park</t>
        </is>
      </c>
      <c r="E27349" s="8" t="inlineStr">
        <is>
          <t>Pirate Galleon</t>
        </is>
      </c>
      <c r="F27349" s="8" t="inlineStr">
        <is>
          <t>STANDBY</t>
        </is>
      </c>
      <c r="G27349" s="8" t="n">
        <v>0</v>
      </c>
      <c r="H27349" s="8" t="inlineStr">
        <is>
          <t>CLOSED</t>
        </is>
      </c>
    </row>
    <row r="27350">
      <c r="A27350" s="8" t="inlineStr">
        <is>
          <t>2026-08-05</t>
        </is>
      </c>
      <c r="B27350" s="8" t="n">
        <v>22</v>
      </c>
      <c r="C27350" s="8" t="n">
        <v>31</v>
      </c>
      <c r="D27350" s="8" t="inlineStr">
        <is>
          <t>Disneyland Park</t>
        </is>
      </c>
      <c r="E27350" s="8" t="inlineStr">
        <is>
          <t>Pirates of the Caribbean</t>
        </is>
      </c>
      <c r="F27350" s="8" t="inlineStr">
        <is>
          <t>STANDBY</t>
        </is>
      </c>
      <c r="G27350" s="8" t="n">
        <v>5</v>
      </c>
      <c r="H27350" s="8" t="inlineStr">
        <is>
          <t>OPERATING</t>
        </is>
      </c>
    </row>
    <row r="27351">
      <c r="A27351" s="8" t="inlineStr">
        <is>
          <t>2026-08-05</t>
        </is>
      </c>
      <c r="B27351" s="8" t="n">
        <v>22</v>
      </c>
      <c r="C27351" s="8" t="n">
        <v>31</v>
      </c>
      <c r="D27351" s="8" t="inlineStr">
        <is>
          <t>Disneyland Park</t>
        </is>
      </c>
      <c r="E27351" s="8" t="inlineStr">
        <is>
          <t>Pirates' Beach</t>
        </is>
      </c>
      <c r="F27351" s="8" t="inlineStr">
        <is>
          <t>STANDBY</t>
        </is>
      </c>
      <c r="G27351" s="8" t="n">
        <v>0</v>
      </c>
      <c r="H27351" s="8" t="inlineStr">
        <is>
          <t>CLOSED</t>
        </is>
      </c>
    </row>
    <row r="27352">
      <c r="A27352" s="8" t="inlineStr">
        <is>
          <t>2026-08-05</t>
        </is>
      </c>
      <c r="B27352" s="8" t="n">
        <v>22</v>
      </c>
      <c r="C27352" s="8" t="n">
        <v>31</v>
      </c>
      <c r="D27352" s="8" t="inlineStr">
        <is>
          <t>Disneyland Park</t>
        </is>
      </c>
      <c r="E27352" s="8" t="inlineStr">
        <is>
          <t>Autopia, presented by Avis</t>
        </is>
      </c>
      <c r="F27352" s="8" t="inlineStr">
        <is>
          <t>STANDBY</t>
        </is>
      </c>
      <c r="G27352" s="8" t="n">
        <v>20</v>
      </c>
      <c r="H27352" s="8" t="inlineStr">
        <is>
          <t>OPERATING</t>
        </is>
      </c>
    </row>
    <row r="27353">
      <c r="A27353" s="8" t="inlineStr">
        <is>
          <t>2026-08-05</t>
        </is>
      </c>
      <c r="B27353" s="8" t="n">
        <v>22</v>
      </c>
      <c r="C27353" s="8" t="n">
        <v>31</v>
      </c>
      <c r="D27353" s="8" t="inlineStr">
        <is>
          <t>Disneyland Park</t>
        </is>
      </c>
      <c r="E27353" s="8" t="inlineStr">
        <is>
          <t>Buzz Lightyear Laser Blast</t>
        </is>
      </c>
      <c r="F27353" s="8" t="inlineStr">
        <is>
          <t>STANDBY</t>
        </is>
      </c>
      <c r="G27353" s="8" t="n">
        <v>5</v>
      </c>
      <c r="H27353" s="8" t="inlineStr">
        <is>
          <t>OPERATING</t>
        </is>
      </c>
    </row>
    <row r="27354">
      <c r="A27354" s="8" t="inlineStr">
        <is>
          <t>2026-08-05</t>
        </is>
      </c>
      <c r="B27354" s="8" t="n">
        <v>22</v>
      </c>
      <c r="C27354" s="8" t="n">
        <v>31</v>
      </c>
      <c r="D27354" s="8" t="inlineStr">
        <is>
          <t>Disneyland Park</t>
        </is>
      </c>
      <c r="E27354" s="8" t="inlineStr">
        <is>
          <t>Disneyland Railroad Discoveryland Station</t>
        </is>
      </c>
      <c r="F27354" s="8" t="inlineStr">
        <is>
          <t>STANDBY</t>
        </is>
      </c>
      <c r="G27354" s="8" t="n">
        <v>0</v>
      </c>
      <c r="H27354" s="8" t="inlineStr">
        <is>
          <t>CLOSED</t>
        </is>
      </c>
    </row>
    <row r="27355">
      <c r="A27355" s="8" t="inlineStr">
        <is>
          <t>2026-08-05</t>
        </is>
      </c>
      <c r="B27355" s="8" t="n">
        <v>22</v>
      </c>
      <c r="C27355" s="8" t="n">
        <v>31</v>
      </c>
      <c r="D27355" s="8" t="inlineStr">
        <is>
          <t>Disneyland Park</t>
        </is>
      </c>
      <c r="E27355" s="8" t="inlineStr">
        <is>
          <t>Les Mystères du Nautilus</t>
        </is>
      </c>
      <c r="F27355" s="8" t="inlineStr">
        <is>
          <t>STANDBY</t>
        </is>
      </c>
      <c r="G27355" s="8" t="n">
        <v>5</v>
      </c>
      <c r="H27355" s="8" t="inlineStr">
        <is>
          <t>OPERATING</t>
        </is>
      </c>
    </row>
    <row r="27356">
      <c r="A27356" s="8" t="inlineStr">
        <is>
          <t>2026-08-05</t>
        </is>
      </c>
      <c r="B27356" s="8" t="n">
        <v>22</v>
      </c>
      <c r="C27356" s="8" t="n">
        <v>31</v>
      </c>
      <c r="D27356" s="8" t="inlineStr">
        <is>
          <t>Disneyland Park</t>
        </is>
      </c>
      <c r="E27356" s="8" t="inlineStr">
        <is>
          <t>Mickey’s PhilharMagic</t>
        </is>
      </c>
      <c r="F27356" s="8" t="inlineStr">
        <is>
          <t>STANDBY</t>
        </is>
      </c>
      <c r="G27356" s="8" t="n">
        <v>0</v>
      </c>
      <c r="H27356" s="8" t="inlineStr">
        <is>
          <t>CLOSED</t>
        </is>
      </c>
    </row>
    <row r="27357">
      <c r="A27357" s="8" t="inlineStr">
        <is>
          <t>2026-08-05</t>
        </is>
      </c>
      <c r="B27357" s="8" t="n">
        <v>22</v>
      </c>
      <c r="C27357" s="8" t="n">
        <v>31</v>
      </c>
      <c r="D27357" s="8" t="inlineStr">
        <is>
          <t>Disneyland Park</t>
        </is>
      </c>
      <c r="E27357" s="8" t="inlineStr">
        <is>
          <t>Orbitron®</t>
        </is>
      </c>
      <c r="F27357" s="8" t="inlineStr">
        <is>
          <t>STANDBY</t>
        </is>
      </c>
      <c r="G27357" s="8" t="n">
        <v>30</v>
      </c>
      <c r="H27357" s="8" t="inlineStr">
        <is>
          <t>OPERATING</t>
        </is>
      </c>
    </row>
    <row r="27358">
      <c r="A27358" s="8" t="inlineStr">
        <is>
          <t>2026-08-05</t>
        </is>
      </c>
      <c r="B27358" s="8" t="n">
        <v>22</v>
      </c>
      <c r="C27358" s="8" t="n">
        <v>31</v>
      </c>
      <c r="D27358" s="8" t="inlineStr">
        <is>
          <t>Disneyland Park</t>
        </is>
      </c>
      <c r="E27358" s="8" t="inlineStr">
        <is>
          <t>Star Tours: The Adventures Continue*</t>
        </is>
      </c>
      <c r="F27358" s="8" t="inlineStr">
        <is>
          <t>STANDBY</t>
        </is>
      </c>
      <c r="G27358" s="8" t="n">
        <v>5</v>
      </c>
      <c r="H27358" s="8" t="inlineStr">
        <is>
          <t>OPERATING</t>
        </is>
      </c>
    </row>
    <row r="27359">
      <c r="A27359" s="8" t="inlineStr">
        <is>
          <t>2026-08-05</t>
        </is>
      </c>
      <c r="B27359" s="8" t="n">
        <v>22</v>
      </c>
      <c r="C27359" s="8" t="n">
        <v>31</v>
      </c>
      <c r="D27359" s="8" t="inlineStr">
        <is>
          <t>Disneyland Park</t>
        </is>
      </c>
      <c r="E27359" s="8" t="inlineStr">
        <is>
          <t>Star Wars Hyperspace Mountain</t>
        </is>
      </c>
      <c r="F27359" s="8" t="inlineStr">
        <is>
          <t>STANDBY</t>
        </is>
      </c>
      <c r="G27359" s="8" t="n">
        <v>5</v>
      </c>
      <c r="H27359" s="8" t="inlineStr">
        <is>
          <t>OPERATING</t>
        </is>
      </c>
    </row>
    <row r="27360">
      <c r="A27360" s="8" t="inlineStr">
        <is>
          <t>2026-08-05</t>
        </is>
      </c>
      <c r="B27360" s="8" t="n">
        <v>22</v>
      </c>
      <c r="C27360" s="8" t="n">
        <v>31</v>
      </c>
      <c r="D27360" s="8" t="inlineStr">
        <is>
          <t>Disneyland Park</t>
        </is>
      </c>
      <c r="E27360" s="8" t="inlineStr">
        <is>
          <t>Star Wars Hyperspace Mountain Single Rider</t>
        </is>
      </c>
      <c r="F27360" s="8" t="inlineStr">
        <is>
          <t>STANDBY</t>
        </is>
      </c>
      <c r="G27360" s="8" t="n">
        <v>0</v>
      </c>
      <c r="H27360" s="8" t="inlineStr">
        <is>
          <t>OPERATING</t>
        </is>
      </c>
    </row>
    <row r="27361">
      <c r="A27361" s="8" t="inlineStr">
        <is>
          <t>2026-08-05</t>
        </is>
      </c>
      <c r="B27361" s="8" t="n">
        <v>22</v>
      </c>
      <c r="C27361" s="8" t="n">
        <v>31</v>
      </c>
      <c r="D27361" s="8" t="inlineStr">
        <is>
          <t>Disneyland Park</t>
        </is>
      </c>
      <c r="E27361" s="8" t="inlineStr">
        <is>
          <t>Welcome to Starport: A Star Wars Encounter</t>
        </is>
      </c>
      <c r="F27361" s="8" t="inlineStr">
        <is>
          <t>STANDBY</t>
        </is>
      </c>
      <c r="G27361" s="8" t="n">
        <v>0</v>
      </c>
      <c r="H27361" s="8" t="inlineStr">
        <is>
          <t>CLOSED</t>
        </is>
      </c>
    </row>
    <row r="27362">
      <c r="A27362" s="8" t="inlineStr">
        <is>
          <t>2026-08-05</t>
        </is>
      </c>
      <c r="B27362" s="8" t="n">
        <v>22</v>
      </c>
      <c r="C27362" s="8" t="n">
        <v>31</v>
      </c>
      <c r="D27362" s="8" t="inlineStr">
        <is>
          <t>Disneyland Park</t>
        </is>
      </c>
      <c r="E27362" s="8" t="inlineStr">
        <is>
          <t>"it's a small world"</t>
        </is>
      </c>
      <c r="F27362" s="8" t="inlineStr">
        <is>
          <t>STANDBY</t>
        </is>
      </c>
      <c r="G27362" s="8" t="n">
        <v>5</v>
      </c>
      <c r="H27362" s="8" t="inlineStr">
        <is>
          <t>OPERATING</t>
        </is>
      </c>
    </row>
    <row r="27363">
      <c r="A27363" s="8" t="inlineStr">
        <is>
          <t>2026-08-05</t>
        </is>
      </c>
      <c r="B27363" s="8" t="n">
        <v>22</v>
      </c>
      <c r="C27363" s="8" t="n">
        <v>31</v>
      </c>
      <c r="D27363" s="8" t="inlineStr">
        <is>
          <t>Disneyland Park</t>
        </is>
      </c>
      <c r="E27363" s="8" t="inlineStr">
        <is>
          <t>Alice's Curious Labyrinth</t>
        </is>
      </c>
      <c r="F27363" s="8" t="inlineStr">
        <is>
          <t>STANDBY</t>
        </is>
      </c>
      <c r="G27363" s="8" t="n">
        <v>0</v>
      </c>
      <c r="H27363" s="8" t="inlineStr">
        <is>
          <t>CLOSED</t>
        </is>
      </c>
    </row>
    <row r="27364">
      <c r="A27364" s="8" t="inlineStr">
        <is>
          <t>2026-08-05</t>
        </is>
      </c>
      <c r="B27364" s="8" t="n">
        <v>22</v>
      </c>
      <c r="C27364" s="8" t="n">
        <v>31</v>
      </c>
      <c r="D27364" s="8" t="inlineStr">
        <is>
          <t>Disneyland Park</t>
        </is>
      </c>
      <c r="E27364" s="8" t="inlineStr">
        <is>
          <t>Blanche-Neige et les Sept Nains®</t>
        </is>
      </c>
      <c r="F27364" s="8" t="inlineStr">
        <is>
          <t>STANDBY</t>
        </is>
      </c>
      <c r="G27364" s="8" t="n">
        <v>0</v>
      </c>
      <c r="H27364" s="8" t="inlineStr">
        <is>
          <t>CLOSED</t>
        </is>
      </c>
    </row>
    <row r="27365">
      <c r="A27365" s="8" t="inlineStr">
        <is>
          <t>2026-08-05</t>
        </is>
      </c>
      <c r="B27365" s="8" t="n">
        <v>22</v>
      </c>
      <c r="C27365" s="8" t="n">
        <v>31</v>
      </c>
      <c r="D27365" s="8" t="inlineStr">
        <is>
          <t>Disneyland Park</t>
        </is>
      </c>
      <c r="E27365" s="8" t="inlineStr">
        <is>
          <t>Casey Jr. – le Petit Train du Cirque</t>
        </is>
      </c>
      <c r="F27365" s="8" t="inlineStr">
        <is>
          <t>STANDBY</t>
        </is>
      </c>
      <c r="G27365" s="8" t="n">
        <v>0</v>
      </c>
      <c r="H27365" s="8" t="inlineStr">
        <is>
          <t>CLOSED</t>
        </is>
      </c>
    </row>
    <row r="27366">
      <c r="A27366" s="8" t="inlineStr">
        <is>
          <t>2026-08-05</t>
        </is>
      </c>
      <c r="B27366" s="8" t="n">
        <v>22</v>
      </c>
      <c r="C27366" s="8" t="n">
        <v>31</v>
      </c>
      <c r="D27366" s="8" t="inlineStr">
        <is>
          <t>Disneyland Park</t>
        </is>
      </c>
      <c r="E27366" s="8" t="inlineStr">
        <is>
          <t>Disneyland Railroad Fantasyland Station</t>
        </is>
      </c>
      <c r="F27366" s="8" t="inlineStr">
        <is>
          <t>STANDBY</t>
        </is>
      </c>
      <c r="G27366" s="8" t="n">
        <v>0</v>
      </c>
      <c r="H27366" s="8" t="inlineStr">
        <is>
          <t>CLOSED</t>
        </is>
      </c>
    </row>
    <row r="27367">
      <c r="A27367" s="8" t="inlineStr">
        <is>
          <t>2026-08-05</t>
        </is>
      </c>
      <c r="B27367" s="8" t="n">
        <v>22</v>
      </c>
      <c r="C27367" s="8" t="n">
        <v>31</v>
      </c>
      <c r="D27367" s="8" t="inlineStr">
        <is>
          <t>Disneyland Park</t>
        </is>
      </c>
      <c r="E27367" s="8" t="inlineStr">
        <is>
          <t>Disneyland Railroad Main Street Station</t>
        </is>
      </c>
      <c r="F27367" s="8" t="inlineStr">
        <is>
          <t>STANDBY</t>
        </is>
      </c>
      <c r="G27367" s="8" t="n">
        <v>0</v>
      </c>
      <c r="H27367" s="8" t="inlineStr">
        <is>
          <t>CLOSED</t>
        </is>
      </c>
    </row>
    <row r="27368">
      <c r="A27368" s="8" t="inlineStr">
        <is>
          <t>2026-08-05</t>
        </is>
      </c>
      <c r="B27368" s="8" t="n">
        <v>22</v>
      </c>
      <c r="C27368" s="8" t="n">
        <v>31</v>
      </c>
      <c r="D27368" s="8" t="inlineStr">
        <is>
          <t>Disneyland Park</t>
        </is>
      </c>
      <c r="E27368" s="8" t="inlineStr">
        <is>
          <t>Dumbo the Flying Elephant</t>
        </is>
      </c>
      <c r="F27368" s="8" t="inlineStr">
        <is>
          <t>STANDBY</t>
        </is>
      </c>
      <c r="G27368" s="8" t="n">
        <v>0</v>
      </c>
      <c r="H27368" s="8" t="inlineStr">
        <is>
          <t>CLOSED</t>
        </is>
      </c>
    </row>
    <row r="27369">
      <c r="A27369" s="8" t="inlineStr">
        <is>
          <t>2026-08-05</t>
        </is>
      </c>
      <c r="B27369" s="8" t="n">
        <v>22</v>
      </c>
      <c r="C27369" s="8" t="n">
        <v>31</v>
      </c>
      <c r="D27369" s="8" t="inlineStr">
        <is>
          <t>Disneyland Park</t>
        </is>
      </c>
      <c r="E27369" s="8" t="inlineStr">
        <is>
          <t>La Tanière du Dragon</t>
        </is>
      </c>
      <c r="F27369" s="8" t="inlineStr">
        <is>
          <t>STANDBY</t>
        </is>
      </c>
      <c r="G27369" s="8" t="n">
        <v>0</v>
      </c>
      <c r="H27369" s="8" t="inlineStr">
        <is>
          <t>CLOSED</t>
        </is>
      </c>
    </row>
    <row r="27370">
      <c r="A27370" s="8" t="inlineStr">
        <is>
          <t>2026-08-05</t>
        </is>
      </c>
      <c r="B27370" s="8" t="n">
        <v>22</v>
      </c>
      <c r="C27370" s="8" t="n">
        <v>31</v>
      </c>
      <c r="D27370" s="8" t="inlineStr">
        <is>
          <t>Disneyland Park</t>
        </is>
      </c>
      <c r="E27370" s="8" t="inlineStr">
        <is>
          <t>Le Carrousel de Lancelot</t>
        </is>
      </c>
      <c r="F27370" s="8" t="inlineStr">
        <is>
          <t>STANDBY</t>
        </is>
      </c>
      <c r="G27370" s="8" t="n">
        <v>0</v>
      </c>
      <c r="H27370" s="8" t="inlineStr">
        <is>
          <t>CLOSED</t>
        </is>
      </c>
    </row>
    <row r="27371">
      <c r="A27371" s="8" t="inlineStr">
        <is>
          <t>2026-08-05</t>
        </is>
      </c>
      <c r="B27371" s="8" t="n">
        <v>22</v>
      </c>
      <c r="C27371" s="8" t="n">
        <v>31</v>
      </c>
      <c r="D27371" s="8" t="inlineStr">
        <is>
          <t>Disneyland Park</t>
        </is>
      </c>
      <c r="E27371" s="8" t="inlineStr">
        <is>
          <t>Le Pays des Contes de Fées, presented by Vittel</t>
        </is>
      </c>
      <c r="F27371" s="8" t="inlineStr">
        <is>
          <t>STANDBY</t>
        </is>
      </c>
      <c r="G27371" s="8" t="n">
        <v>0</v>
      </c>
      <c r="H27371" s="8" t="inlineStr">
        <is>
          <t>CLOSED</t>
        </is>
      </c>
    </row>
    <row r="27372">
      <c r="A27372" s="8" t="inlineStr">
        <is>
          <t>2026-08-05</t>
        </is>
      </c>
      <c r="B27372" s="8" t="n">
        <v>22</v>
      </c>
      <c r="C27372" s="8" t="n">
        <v>31</v>
      </c>
      <c r="D27372" s="8" t="inlineStr">
        <is>
          <t>Disneyland Park</t>
        </is>
      </c>
      <c r="E27372" s="8" t="inlineStr">
        <is>
          <t>Les Voyages de Pinocchio</t>
        </is>
      </c>
      <c r="F27372" s="8" t="inlineStr">
        <is>
          <t>STANDBY</t>
        </is>
      </c>
      <c r="G27372" s="8" t="n">
        <v>0</v>
      </c>
      <c r="H27372" s="8" t="inlineStr">
        <is>
          <t>CLOSED</t>
        </is>
      </c>
    </row>
    <row r="27373">
      <c r="A27373" s="8" t="inlineStr">
        <is>
          <t>2026-08-05</t>
        </is>
      </c>
      <c r="B27373" s="8" t="n">
        <v>22</v>
      </c>
      <c r="C27373" s="8" t="n">
        <v>31</v>
      </c>
      <c r="D27373" s="8" t="inlineStr">
        <is>
          <t>Disneyland Park</t>
        </is>
      </c>
      <c r="E27373" s="8" t="inlineStr">
        <is>
          <t>Mad Hatter's Tea Cups</t>
        </is>
      </c>
      <c r="F27373" s="8" t="inlineStr">
        <is>
          <t>STANDBY</t>
        </is>
      </c>
      <c r="G27373" s="8" t="n">
        <v>0</v>
      </c>
      <c r="H27373" s="8" t="inlineStr">
        <is>
          <t>CLOSED</t>
        </is>
      </c>
    </row>
    <row r="27374">
      <c r="A27374" s="8" t="inlineStr">
        <is>
          <t>2026-08-05</t>
        </is>
      </c>
      <c r="B27374" s="8" t="n">
        <v>22</v>
      </c>
      <c r="C27374" s="8" t="n">
        <v>31</v>
      </c>
      <c r="D27374" s="8" t="inlineStr">
        <is>
          <t>Disneyland Park</t>
        </is>
      </c>
      <c r="E27374" s="8" t="inlineStr">
        <is>
          <t>Meet Mickey Mouse</t>
        </is>
      </c>
      <c r="F27374" s="8" t="inlineStr">
        <is>
          <t>STANDBY</t>
        </is>
      </c>
      <c r="G27374" s="8" t="n">
        <v>0</v>
      </c>
      <c r="H27374" s="8" t="inlineStr">
        <is>
          <t>CLOSED</t>
        </is>
      </c>
    </row>
    <row r="27375">
      <c r="A27375" s="8" t="inlineStr">
        <is>
          <t>2026-08-05</t>
        </is>
      </c>
      <c r="B27375" s="8" t="n">
        <v>22</v>
      </c>
      <c r="C27375" s="8" t="n">
        <v>31</v>
      </c>
      <c r="D27375" s="8" t="inlineStr">
        <is>
          <t>Disneyland Park</t>
        </is>
      </c>
      <c r="E27375" s="8" t="inlineStr">
        <is>
          <t>Peter Pan's Flight</t>
        </is>
      </c>
      <c r="F27375" s="8" t="inlineStr">
        <is>
          <t>STANDBY</t>
        </is>
      </c>
      <c r="G27375" s="8" t="n">
        <v>5</v>
      </c>
      <c r="H27375" s="8" t="inlineStr">
        <is>
          <t>OPERATING</t>
        </is>
      </c>
    </row>
    <row r="27376">
      <c r="A27376" s="8" t="inlineStr">
        <is>
          <t>2026-08-05</t>
        </is>
      </c>
      <c r="B27376" s="8" t="n">
        <v>22</v>
      </c>
      <c r="C27376" s="8" t="n">
        <v>31</v>
      </c>
      <c r="D27376" s="8" t="inlineStr">
        <is>
          <t>Disneyland Park</t>
        </is>
      </c>
      <c r="E27376" s="8" t="inlineStr">
        <is>
          <t>Princess Pavilion</t>
        </is>
      </c>
      <c r="F27376" s="8" t="inlineStr">
        <is>
          <t>STANDBY</t>
        </is>
      </c>
      <c r="G27376" s="8" t="n">
        <v>0</v>
      </c>
      <c r="H27376" s="8" t="inlineStr">
        <is>
          <t>CLOSED</t>
        </is>
      </c>
    </row>
    <row r="27377">
      <c r="A27377" s="8" t="inlineStr">
        <is>
          <t>2026-08-05</t>
        </is>
      </c>
      <c r="B27377" s="8" t="n">
        <v>22</v>
      </c>
      <c r="C27377" s="8" t="n">
        <v>31</v>
      </c>
      <c r="D27377" s="8" t="inlineStr">
        <is>
          <t>Disneyland Park</t>
        </is>
      </c>
      <c r="E27377" s="8" t="inlineStr">
        <is>
          <t>Big Thunder Mountain</t>
        </is>
      </c>
      <c r="F27377" s="8" t="inlineStr">
        <is>
          <t>STANDBY</t>
        </is>
      </c>
      <c r="G27377" s="8" t="n">
        <v>0</v>
      </c>
      <c r="H27377" s="8" t="inlineStr">
        <is>
          <t>CLOSED</t>
        </is>
      </c>
    </row>
    <row r="27378">
      <c r="A27378" s="8" t="inlineStr">
        <is>
          <t>2026-08-05</t>
        </is>
      </c>
      <c r="B27378" s="8" t="n">
        <v>22</v>
      </c>
      <c r="C27378" s="8" t="n">
        <v>31</v>
      </c>
      <c r="D27378" s="8" t="inlineStr">
        <is>
          <t>Disneyland Park</t>
        </is>
      </c>
      <c r="E27378" s="8" t="inlineStr">
        <is>
          <t>Disneyland Railroad Frontierland Depot</t>
        </is>
      </c>
      <c r="F27378" s="8" t="inlineStr">
        <is>
          <t>STANDBY</t>
        </is>
      </c>
      <c r="G27378" s="8" t="n">
        <v>0</v>
      </c>
      <c r="H27378" s="8" t="inlineStr">
        <is>
          <t>CLOSED</t>
        </is>
      </c>
    </row>
    <row r="27379">
      <c r="A27379" s="8" t="inlineStr">
        <is>
          <t>2026-08-05</t>
        </is>
      </c>
      <c r="B27379" s="8" t="n">
        <v>22</v>
      </c>
      <c r="C27379" s="8" t="n">
        <v>31</v>
      </c>
      <c r="D27379" s="8" t="inlineStr">
        <is>
          <t>Disneyland Park</t>
        </is>
      </c>
      <c r="E27379" s="8" t="inlineStr">
        <is>
          <t>Frontierland Playground</t>
        </is>
      </c>
      <c r="F27379" s="8" t="inlineStr">
        <is>
          <t>STANDBY</t>
        </is>
      </c>
      <c r="G27379" s="8" t="n">
        <v>0</v>
      </c>
      <c r="H27379" s="8" t="inlineStr">
        <is>
          <t>CLOSED</t>
        </is>
      </c>
    </row>
    <row r="27380">
      <c r="A27380" s="8" t="inlineStr">
        <is>
          <t>2026-08-05</t>
        </is>
      </c>
      <c r="B27380" s="8" t="n">
        <v>22</v>
      </c>
      <c r="C27380" s="8" t="n">
        <v>31</v>
      </c>
      <c r="D27380" s="8" t="inlineStr">
        <is>
          <t>Disneyland Park</t>
        </is>
      </c>
      <c r="E27380" s="8" t="inlineStr">
        <is>
          <t>Phantom Manor</t>
        </is>
      </c>
      <c r="F27380" s="8" t="inlineStr">
        <is>
          <t>STANDBY</t>
        </is>
      </c>
      <c r="G27380" s="8" t="n">
        <v>5</v>
      </c>
      <c r="H27380" s="8" t="inlineStr">
        <is>
          <t>OPERATING</t>
        </is>
      </c>
    </row>
    <row r="27381">
      <c r="A27381" s="8" t="inlineStr">
        <is>
          <t>2026-08-05</t>
        </is>
      </c>
      <c r="B27381" s="8" t="n">
        <v>22</v>
      </c>
      <c r="C27381" s="8" t="n">
        <v>31</v>
      </c>
      <c r="D27381" s="8" t="inlineStr">
        <is>
          <t>Disneyland Park</t>
        </is>
      </c>
      <c r="E27381" s="8" t="inlineStr">
        <is>
          <t>River Rogue Keelboats</t>
        </is>
      </c>
      <c r="F27381" s="8" t="inlineStr">
        <is>
          <t>STANDBY</t>
        </is>
      </c>
      <c r="G27381" s="8" t="n">
        <v>0</v>
      </c>
      <c r="H27381" s="8" t="inlineStr">
        <is>
          <t>CLOSED</t>
        </is>
      </c>
    </row>
    <row r="27382">
      <c r="A27382" s="8" t="inlineStr">
        <is>
          <t>2026-08-05</t>
        </is>
      </c>
      <c r="B27382" s="8" t="n">
        <v>22</v>
      </c>
      <c r="C27382" s="8" t="n">
        <v>31</v>
      </c>
      <c r="D27382" s="8" t="inlineStr">
        <is>
          <t>Disneyland Park</t>
        </is>
      </c>
      <c r="E27382" s="8" t="inlineStr">
        <is>
          <t>Rustler Roundup Shootin' Gallery</t>
        </is>
      </c>
      <c r="F27382" s="8" t="inlineStr">
        <is>
          <t>STANDBY</t>
        </is>
      </c>
      <c r="G27382" s="8" t="n">
        <v>0</v>
      </c>
      <c r="H27382" s="8" t="inlineStr">
        <is>
          <t>CLOSED</t>
        </is>
      </c>
    </row>
    <row r="27383">
      <c r="A27383" s="8" t="inlineStr">
        <is>
          <t>2026-08-05</t>
        </is>
      </c>
      <c r="B27383" s="8" t="n">
        <v>22</v>
      </c>
      <c r="C27383" s="8" t="n">
        <v>31</v>
      </c>
      <c r="D27383" s="8" t="inlineStr">
        <is>
          <t>Disneyland Park</t>
        </is>
      </c>
      <c r="E27383" s="8" t="inlineStr">
        <is>
          <t>Thunder Mesa Riverboat Landing</t>
        </is>
      </c>
      <c r="F27383" s="8" t="inlineStr">
        <is>
          <t>STANDBY</t>
        </is>
      </c>
      <c r="G27383" s="8" t="n">
        <v>0</v>
      </c>
      <c r="H27383" s="8" t="inlineStr">
        <is>
          <t>CLOSED</t>
        </is>
      </c>
    </row>
    <row r="27384">
      <c r="A27384" s="8" t="inlineStr">
        <is>
          <t>2026-08-05</t>
        </is>
      </c>
      <c r="B27384" s="8" t="n">
        <v>22</v>
      </c>
      <c r="C27384" s="8" t="n">
        <v>31</v>
      </c>
      <c r="D27384" s="8" t="inlineStr">
        <is>
          <t>Disneyland Park</t>
        </is>
      </c>
      <c r="E27384" s="8" t="inlineStr">
        <is>
          <t>Disneyland Railroad Main Street Station</t>
        </is>
      </c>
      <c r="F27384" s="8" t="inlineStr">
        <is>
          <t>STANDBY</t>
        </is>
      </c>
      <c r="G27384" s="8" t="n">
        <v>0</v>
      </c>
      <c r="H27384" s="8" t="inlineStr">
        <is>
          <t>CLOSED</t>
        </is>
      </c>
    </row>
    <row r="27385">
      <c r="A27385" s="8" t="inlineStr">
        <is>
          <t>2026-08-05</t>
        </is>
      </c>
      <c r="B27385" s="8" t="n">
        <v>22</v>
      </c>
      <c r="C27385" s="8" t="n">
        <v>31</v>
      </c>
      <c r="D27385" s="8" t="inlineStr">
        <is>
          <t>Disneyland Park</t>
        </is>
      </c>
      <c r="E27385" s="8" t="inlineStr">
        <is>
          <t>Main Street Vehicles</t>
        </is>
      </c>
      <c r="F27385" s="8" t="inlineStr">
        <is>
          <t>STANDBY</t>
        </is>
      </c>
      <c r="G27385" s="8" t="n">
        <v>0</v>
      </c>
      <c r="H27385" s="8" t="inlineStr">
        <is>
          <t>CLOSED</t>
        </is>
      </c>
    </row>
    <row r="27386">
      <c r="A27386" s="8" t="inlineStr">
        <is>
          <t>2026-08-05</t>
        </is>
      </c>
      <c r="B27386" s="8" t="n">
        <v>22</v>
      </c>
      <c r="C27386" s="8" t="n">
        <v>31</v>
      </c>
      <c r="D27386" s="8" t="inlineStr">
        <is>
          <t>Disney Adventure World</t>
        </is>
      </c>
      <c r="E27386" s="8" t="inlineStr">
        <is>
          <t>Avengers Assemble: Flight Force</t>
        </is>
      </c>
      <c r="F27386" s="8" t="inlineStr">
        <is>
          <t>STANDBY</t>
        </is>
      </c>
      <c r="G27386" s="8" t="n">
        <v>5</v>
      </c>
      <c r="H27386" s="8" t="inlineStr">
        <is>
          <t>OPERATING</t>
        </is>
      </c>
    </row>
    <row r="27387">
      <c r="A27387" s="8" t="inlineStr">
        <is>
          <t>2026-08-05</t>
        </is>
      </c>
      <c r="B27387" s="8" t="n">
        <v>22</v>
      </c>
      <c r="C27387" s="8" t="n">
        <v>31</v>
      </c>
      <c r="D27387" s="8" t="inlineStr">
        <is>
          <t>Disney Adventure World</t>
        </is>
      </c>
      <c r="E27387" s="8" t="inlineStr">
        <is>
          <t>Avengers Assemble: Flight Force Single Rider</t>
        </is>
      </c>
      <c r="F27387" s="8" t="inlineStr">
        <is>
          <t>STANDBY</t>
        </is>
      </c>
      <c r="G27387" s="8" t="n">
        <v>5</v>
      </c>
      <c r="H27387" s="8" t="inlineStr">
        <is>
          <t>OPERATING</t>
        </is>
      </c>
    </row>
    <row r="27388">
      <c r="A27388" s="8" t="inlineStr">
        <is>
          <t>2026-08-05</t>
        </is>
      </c>
      <c r="B27388" s="8" t="n">
        <v>22</v>
      </c>
      <c r="C27388" s="8" t="n">
        <v>31</v>
      </c>
      <c r="D27388" s="8" t="inlineStr">
        <is>
          <t>Disney Adventure World</t>
        </is>
      </c>
      <c r="E27388" s="8" t="inlineStr">
        <is>
          <t>Spider-Man W.E.B. Adventure</t>
        </is>
      </c>
      <c r="F27388" s="8" t="inlineStr">
        <is>
          <t>STANDBY</t>
        </is>
      </c>
      <c r="G27388" s="8" t="n">
        <v>5</v>
      </c>
      <c r="H27388" s="8" t="inlineStr">
        <is>
          <t>OPERATING</t>
        </is>
      </c>
    </row>
    <row r="27389">
      <c r="A27389" s="8" t="inlineStr">
        <is>
          <t>2026-08-05</t>
        </is>
      </c>
      <c r="B27389" s="8" t="n">
        <v>22</v>
      </c>
      <c r="C27389" s="8" t="n">
        <v>31</v>
      </c>
      <c r="D27389" s="8" t="inlineStr">
        <is>
          <t>Disney Adventure World</t>
        </is>
      </c>
      <c r="E27389" s="8" t="inlineStr">
        <is>
          <t>Spider-Man W.E.B. Adventure Single Rider</t>
        </is>
      </c>
      <c r="F27389" s="8" t="inlineStr">
        <is>
          <t>STANDBY</t>
        </is>
      </c>
      <c r="G27389" s="8" t="n">
        <v>5</v>
      </c>
      <c r="H27389" s="8" t="inlineStr">
        <is>
          <t>OPERATING</t>
        </is>
      </c>
    </row>
    <row r="27390">
      <c r="A27390" s="8" t="inlineStr">
        <is>
          <t>2026-08-05</t>
        </is>
      </c>
      <c r="B27390" s="8" t="n">
        <v>22</v>
      </c>
      <c r="C27390" s="8" t="n">
        <v>31</v>
      </c>
      <c r="D27390" s="8" t="inlineStr">
        <is>
          <t>Disney Adventure World</t>
        </is>
      </c>
      <c r="E27390" s="8" t="inlineStr">
        <is>
          <t>The Twilight Zone Tower of Terror</t>
        </is>
      </c>
      <c r="F27390" s="8" t="inlineStr">
        <is>
          <t>STANDBY</t>
        </is>
      </c>
      <c r="G27390" s="8" t="n">
        <v>5</v>
      </c>
      <c r="H27390" s="8" t="inlineStr">
        <is>
          <t>OPERATING</t>
        </is>
      </c>
    </row>
    <row r="27391">
      <c r="A27391" s="8" t="inlineStr">
        <is>
          <t>2026-08-05</t>
        </is>
      </c>
      <c r="B27391" s="8" t="n">
        <v>22</v>
      </c>
      <c r="C27391" s="8" t="n">
        <v>31</v>
      </c>
      <c r="D27391" s="8" t="inlineStr">
        <is>
          <t>Disney Adventure World</t>
        </is>
      </c>
      <c r="E27391" s="8" t="inlineStr">
        <is>
          <t>Cars Quatre Roues Rallye</t>
        </is>
      </c>
      <c r="F27391" s="8" t="inlineStr">
        <is>
          <t>STANDBY</t>
        </is>
      </c>
      <c r="G27391" s="8" t="n">
        <v>5</v>
      </c>
      <c r="H27391" s="8" t="inlineStr">
        <is>
          <t>OPERATING</t>
        </is>
      </c>
    </row>
    <row r="27392">
      <c r="A27392" s="8" t="inlineStr">
        <is>
          <t>2026-08-05</t>
        </is>
      </c>
      <c r="B27392" s="8" t="n">
        <v>22</v>
      </c>
      <c r="C27392" s="8" t="n">
        <v>31</v>
      </c>
      <c r="D27392" s="8" t="inlineStr">
        <is>
          <t>Disney Adventure World</t>
        </is>
      </c>
      <c r="E27392" s="8" t="inlineStr">
        <is>
          <t>Cars ROAD TRIP</t>
        </is>
      </c>
      <c r="F27392" s="8" t="inlineStr">
        <is>
          <t>STANDBY</t>
        </is>
      </c>
      <c r="G27392" s="8" t="n">
        <v>0</v>
      </c>
      <c r="H27392" s="8" t="inlineStr">
        <is>
          <t>CLOSED</t>
        </is>
      </c>
    </row>
    <row r="27393">
      <c r="A27393" s="8" t="inlineStr">
        <is>
          <t>2026-08-05</t>
        </is>
      </c>
      <c r="B27393" s="8" t="n">
        <v>22</v>
      </c>
      <c r="C27393" s="8" t="n">
        <v>31</v>
      </c>
      <c r="D27393" s="8" t="inlineStr">
        <is>
          <t>Disney Adventure World</t>
        </is>
      </c>
      <c r="E27393" s="8" t="inlineStr">
        <is>
          <t>Crush's Coaster</t>
        </is>
      </c>
      <c r="F27393" s="8" t="inlineStr">
        <is>
          <t>STANDBY</t>
        </is>
      </c>
      <c r="G27393" s="8" t="n">
        <v>25</v>
      </c>
      <c r="H27393" s="8" t="inlineStr">
        <is>
          <t>OPERATING</t>
        </is>
      </c>
    </row>
    <row r="27394">
      <c r="A27394" s="8" t="inlineStr">
        <is>
          <t>2026-08-05</t>
        </is>
      </c>
      <c r="B27394" s="8" t="n">
        <v>22</v>
      </c>
      <c r="C27394" s="8" t="n">
        <v>31</v>
      </c>
      <c r="D27394" s="8" t="inlineStr">
        <is>
          <t>Disney Adventure World</t>
        </is>
      </c>
      <c r="E27394" s="8" t="inlineStr">
        <is>
          <t>Crush's Coaster Single Rider</t>
        </is>
      </c>
      <c r="F27394" s="8" t="inlineStr">
        <is>
          <t>STANDBY</t>
        </is>
      </c>
      <c r="G27394" s="8" t="n">
        <v>15</v>
      </c>
      <c r="H27394" s="8" t="inlineStr">
        <is>
          <t>OPERATING</t>
        </is>
      </c>
    </row>
    <row r="27395">
      <c r="A27395" s="8" t="inlineStr">
        <is>
          <t>2026-08-05</t>
        </is>
      </c>
      <c r="B27395" s="8" t="n">
        <v>22</v>
      </c>
      <c r="C27395" s="8" t="n">
        <v>31</v>
      </c>
      <c r="D27395" s="8" t="inlineStr">
        <is>
          <t>Disney Adventure World</t>
        </is>
      </c>
      <c r="E27395" s="8" t="inlineStr">
        <is>
          <t>Les Tapis Volants - Flying Carpets Over Agrabah®</t>
        </is>
      </c>
      <c r="F27395" s="8" t="inlineStr">
        <is>
          <t>STANDBY</t>
        </is>
      </c>
      <c r="G27395" s="8" t="n">
        <v>5</v>
      </c>
      <c r="H27395" s="8" t="inlineStr">
        <is>
          <t>OPERATING</t>
        </is>
      </c>
    </row>
    <row r="27396">
      <c r="A27396" s="8" t="inlineStr">
        <is>
          <t>2026-08-05</t>
        </is>
      </c>
      <c r="B27396" s="8" t="n">
        <v>22</v>
      </c>
      <c r="C27396" s="8" t="n">
        <v>31</v>
      </c>
      <c r="D27396" s="8" t="inlineStr">
        <is>
          <t>Disney Adventure World</t>
        </is>
      </c>
      <c r="E27396" s="8" t="inlineStr">
        <is>
          <t>Ratatouille : L’Aventure Totalement Toquée de Rémy​</t>
        </is>
      </c>
      <c r="F27396" s="8" t="inlineStr">
        <is>
          <t>STANDBY</t>
        </is>
      </c>
      <c r="G27396" s="8" t="n">
        <v>5</v>
      </c>
      <c r="H27396" s="8" t="inlineStr">
        <is>
          <t>OPERATING</t>
        </is>
      </c>
    </row>
    <row r="27397">
      <c r="A27397" s="8" t="inlineStr">
        <is>
          <t>2026-08-05</t>
        </is>
      </c>
      <c r="B27397" s="8" t="n">
        <v>22</v>
      </c>
      <c r="C27397" s="8" t="n">
        <v>31</v>
      </c>
      <c r="D27397" s="8" t="inlineStr">
        <is>
          <t>Disney Adventure World</t>
        </is>
      </c>
      <c r="E27397" s="8" t="inlineStr">
        <is>
          <t>Ratatouille: The Adventure Single Rider</t>
        </is>
      </c>
      <c r="F27397" s="8" t="inlineStr">
        <is>
          <t>STANDBY</t>
        </is>
      </c>
      <c r="G27397" s="8" t="n">
        <v>5</v>
      </c>
      <c r="H27397" s="8" t="inlineStr">
        <is>
          <t>OPERATING</t>
        </is>
      </c>
    </row>
    <row r="27398">
      <c r="A27398" s="8" t="inlineStr">
        <is>
          <t>2026-08-05</t>
        </is>
      </c>
      <c r="B27398" s="8" t="n">
        <v>22</v>
      </c>
      <c r="C27398" s="8" t="n">
        <v>31</v>
      </c>
      <c r="D27398" s="8" t="inlineStr">
        <is>
          <t>Disney Adventure World</t>
        </is>
      </c>
      <c r="E27398" s="8" t="inlineStr">
        <is>
          <t>RC Racer</t>
        </is>
      </c>
      <c r="F27398" s="8" t="inlineStr">
        <is>
          <t>STANDBY</t>
        </is>
      </c>
      <c r="G27398" s="8" t="n">
        <v>10</v>
      </c>
      <c r="H27398" s="8" t="inlineStr">
        <is>
          <t>OPERATING</t>
        </is>
      </c>
    </row>
    <row r="27399">
      <c r="A27399" s="8" t="inlineStr">
        <is>
          <t>2026-08-05</t>
        </is>
      </c>
      <c r="B27399" s="8" t="n">
        <v>22</v>
      </c>
      <c r="C27399" s="8" t="n">
        <v>31</v>
      </c>
      <c r="D27399" s="8" t="inlineStr">
        <is>
          <t>Disney Adventure World</t>
        </is>
      </c>
      <c r="E27399" s="8" t="inlineStr">
        <is>
          <t>RC Racer Single Rider</t>
        </is>
      </c>
      <c r="F27399" s="8" t="inlineStr">
        <is>
          <t>STANDBY</t>
        </is>
      </c>
      <c r="G27399" s="8" t="n">
        <v>5</v>
      </c>
      <c r="H27399" s="8" t="inlineStr">
        <is>
          <t>OPERATING</t>
        </is>
      </c>
    </row>
    <row r="27400">
      <c r="A27400" s="8" t="inlineStr">
        <is>
          <t>2026-08-05</t>
        </is>
      </c>
      <c r="B27400" s="8" t="n">
        <v>22</v>
      </c>
      <c r="C27400" s="8" t="n">
        <v>31</v>
      </c>
      <c r="D27400" s="8" t="inlineStr">
        <is>
          <t>Disney Adventure World</t>
        </is>
      </c>
      <c r="E27400" s="8" t="inlineStr">
        <is>
          <t>Slinky® Dog Zigzag Spin</t>
        </is>
      </c>
      <c r="F27400" s="8" t="inlineStr">
        <is>
          <t>STANDBY</t>
        </is>
      </c>
      <c r="G27400" s="8" t="n">
        <v>5</v>
      </c>
      <c r="H27400" s="8" t="inlineStr">
        <is>
          <t>OPERATING</t>
        </is>
      </c>
    </row>
    <row r="27401">
      <c r="A27401" s="8" t="inlineStr">
        <is>
          <t>2026-08-05</t>
        </is>
      </c>
      <c r="B27401" s="8" t="n">
        <v>22</v>
      </c>
      <c r="C27401" s="8" t="n">
        <v>31</v>
      </c>
      <c r="D27401" s="8" t="inlineStr">
        <is>
          <t>Disney Adventure World</t>
        </is>
      </c>
      <c r="E27401" s="8" t="inlineStr">
        <is>
          <t>Toy Soldiers Parachute Drop</t>
        </is>
      </c>
      <c r="F27401" s="8" t="inlineStr">
        <is>
          <t>STANDBY</t>
        </is>
      </c>
      <c r="G27401" s="8" t="n">
        <v>25</v>
      </c>
      <c r="H27401" s="8" t="inlineStr">
        <is>
          <t>OPERATING</t>
        </is>
      </c>
    </row>
    <row r="27402">
      <c r="A27402" s="8" t="inlineStr">
        <is>
          <t>2026-08-05</t>
        </is>
      </c>
      <c r="B27402" s="8" t="n">
        <v>22</v>
      </c>
      <c r="C27402" s="8" t="n">
        <v>31</v>
      </c>
      <c r="D27402" s="8" t="inlineStr">
        <is>
          <t>Disney Adventure World</t>
        </is>
      </c>
      <c r="E27402" s="8" t="inlineStr">
        <is>
          <t>Toy Soldiers Parachute Drop Single Rider</t>
        </is>
      </c>
      <c r="F27402" s="8" t="inlineStr">
        <is>
          <t>STANDBY</t>
        </is>
      </c>
      <c r="G27402" s="8" t="n">
        <v>5</v>
      </c>
      <c r="H27402" s="8" t="inlineStr">
        <is>
          <t>OPERATING</t>
        </is>
      </c>
    </row>
    <row r="27403">
      <c r="A27403" s="8" t="inlineStr">
        <is>
          <t>2026-08-05</t>
        </is>
      </c>
      <c r="B27403" s="8" t="n">
        <v>22</v>
      </c>
      <c r="C27403" s="8" t="n">
        <v>31</v>
      </c>
      <c r="D27403" s="8" t="inlineStr">
        <is>
          <t>Disney Adventure World</t>
        </is>
      </c>
      <c r="E27403" s="8" t="inlineStr">
        <is>
          <t>Entry to World of Frozen</t>
        </is>
      </c>
      <c r="F27403" s="8" t="inlineStr">
        <is>
          <t>STANDBY</t>
        </is>
      </c>
      <c r="G27403" s="8" t="n">
        <v>0</v>
      </c>
      <c r="H27403" s="8" t="inlineStr">
        <is>
          <t>OPERATING</t>
        </is>
      </c>
    </row>
    <row r="27404">
      <c r="A27404" s="8" t="inlineStr">
        <is>
          <t>2026-08-05</t>
        </is>
      </c>
      <c r="B27404" s="8" t="n">
        <v>22</v>
      </c>
      <c r="C27404" s="8" t="n">
        <v>31</v>
      </c>
      <c r="D27404" s="8" t="inlineStr">
        <is>
          <t>Disney Adventure World</t>
        </is>
      </c>
      <c r="E27404" s="8" t="inlineStr">
        <is>
          <t>Frozen Ever After</t>
        </is>
      </c>
      <c r="F27404" s="8" t="inlineStr">
        <is>
          <t>STANDBY</t>
        </is>
      </c>
      <c r="G27404" s="8" t="n">
        <v>15</v>
      </c>
      <c r="H27404" s="8" t="inlineStr">
        <is>
          <t>OPERATING</t>
        </is>
      </c>
    </row>
    <row r="27405">
      <c r="A27405" s="8" t="inlineStr">
        <is>
          <t>2026-08-05</t>
        </is>
      </c>
      <c r="B27405" s="8" t="n">
        <v>22</v>
      </c>
      <c r="C27405" s="8" t="n">
        <v>31</v>
      </c>
      <c r="D27405" s="8" t="inlineStr">
        <is>
          <t>Disney Adventure World</t>
        </is>
      </c>
      <c r="E27405" s="8" t="inlineStr">
        <is>
          <t>Raiponce Tangled Spin</t>
        </is>
      </c>
      <c r="F27405" s="8" t="inlineStr">
        <is>
          <t>STANDBY</t>
        </is>
      </c>
      <c r="G27405" s="8" t="n">
        <v>5</v>
      </c>
      <c r="H27405" s="8" t="inlineStr">
        <is>
          <t>OPERATING</t>
        </is>
      </c>
    </row>
    <row r="27406">
      <c r="A27406" s="8" t="inlineStr">
        <is>
          <t>2026-08-05</t>
        </is>
      </c>
      <c r="B27406" s="8" t="n">
        <v>22</v>
      </c>
      <c r="C27406" s="8" t="n">
        <v>45</v>
      </c>
      <c r="D27406" s="8" t="inlineStr">
        <is>
          <t>Disneyland Park</t>
        </is>
      </c>
      <c r="E27406" s="8" t="inlineStr">
        <is>
          <t>Adventure Isle</t>
        </is>
      </c>
      <c r="F27406" s="8" t="inlineStr">
        <is>
          <t>STANDBY</t>
        </is>
      </c>
      <c r="G27406" s="8" t="n">
        <v>0</v>
      </c>
      <c r="H27406" s="8" t="inlineStr">
        <is>
          <t>CLOSED</t>
        </is>
      </c>
    </row>
    <row r="27407">
      <c r="A27407" s="8" t="inlineStr">
        <is>
          <t>2026-08-05</t>
        </is>
      </c>
      <c r="B27407" s="8" t="n">
        <v>22</v>
      </c>
      <c r="C27407" s="8" t="n">
        <v>45</v>
      </c>
      <c r="D27407" s="8" t="inlineStr">
        <is>
          <t>Disneyland Park</t>
        </is>
      </c>
      <c r="E27407" s="8" t="inlineStr">
        <is>
          <t>Indiana Jones and the Temple of Peril Single Rider</t>
        </is>
      </c>
      <c r="F27407" s="8" t="inlineStr">
        <is>
          <t>STANDBY</t>
        </is>
      </c>
      <c r="G27407" s="8" t="n">
        <v>0</v>
      </c>
      <c r="H27407" s="8" t="inlineStr">
        <is>
          <t>CLOSED</t>
        </is>
      </c>
    </row>
    <row r="27408">
      <c r="A27408" s="8" t="inlineStr">
        <is>
          <t>2026-08-05</t>
        </is>
      </c>
      <c r="B27408" s="8" t="n">
        <v>22</v>
      </c>
      <c r="C27408" s="8" t="n">
        <v>45</v>
      </c>
      <c r="D27408" s="8" t="inlineStr">
        <is>
          <t>Disneyland Park</t>
        </is>
      </c>
      <c r="E27408" s="8" t="inlineStr">
        <is>
          <t>Indiana Jones™ and the Temple of Peril</t>
        </is>
      </c>
      <c r="F27408" s="8" t="inlineStr">
        <is>
          <t>STANDBY</t>
        </is>
      </c>
      <c r="G27408" s="8" t="n">
        <v>0</v>
      </c>
      <c r="H27408" s="8" t="inlineStr">
        <is>
          <t>CLOSED</t>
        </is>
      </c>
    </row>
    <row r="27409">
      <c r="A27409" s="8" t="inlineStr">
        <is>
          <t>2026-08-05</t>
        </is>
      </c>
      <c r="B27409" s="8" t="n">
        <v>22</v>
      </c>
      <c r="C27409" s="8" t="n">
        <v>45</v>
      </c>
      <c r="D27409" s="8" t="inlineStr">
        <is>
          <t>Disneyland Park</t>
        </is>
      </c>
      <c r="E27409" s="8" t="inlineStr">
        <is>
          <t>La Cabane des Robinson</t>
        </is>
      </c>
      <c r="F27409" s="8" t="inlineStr">
        <is>
          <t>STANDBY</t>
        </is>
      </c>
      <c r="G27409" s="8" t="n">
        <v>0</v>
      </c>
      <c r="H27409" s="8" t="inlineStr">
        <is>
          <t>CLOSED</t>
        </is>
      </c>
    </row>
    <row r="27410">
      <c r="A27410" s="8" t="inlineStr">
        <is>
          <t>2026-08-05</t>
        </is>
      </c>
      <c r="B27410" s="8" t="n">
        <v>22</v>
      </c>
      <c r="C27410" s="8" t="n">
        <v>45</v>
      </c>
      <c r="D27410" s="8" t="inlineStr">
        <is>
          <t>Disneyland Park</t>
        </is>
      </c>
      <c r="E27410" s="8" t="inlineStr">
        <is>
          <t>Le Passage Enchanté d'Aladdin</t>
        </is>
      </c>
      <c r="F27410" s="8" t="inlineStr">
        <is>
          <t>STANDBY</t>
        </is>
      </c>
      <c r="G27410" s="8" t="n">
        <v>0</v>
      </c>
      <c r="H27410" s="8" t="inlineStr">
        <is>
          <t>CLOSED</t>
        </is>
      </c>
    </row>
    <row r="27411">
      <c r="A27411" s="8" t="inlineStr">
        <is>
          <t>2026-08-05</t>
        </is>
      </c>
      <c r="B27411" s="8" t="n">
        <v>22</v>
      </c>
      <c r="C27411" s="8" t="n">
        <v>45</v>
      </c>
      <c r="D27411" s="8" t="inlineStr">
        <is>
          <t>Disneyland Park</t>
        </is>
      </c>
      <c r="E27411" s="8" t="inlineStr">
        <is>
          <t>Pirate Galleon</t>
        </is>
      </c>
      <c r="F27411" s="8" t="inlineStr">
        <is>
          <t>STANDBY</t>
        </is>
      </c>
      <c r="G27411" s="8" t="n">
        <v>0</v>
      </c>
      <c r="H27411" s="8" t="inlineStr">
        <is>
          <t>CLOSED</t>
        </is>
      </c>
    </row>
    <row r="27412">
      <c r="A27412" s="8" t="inlineStr">
        <is>
          <t>2026-08-05</t>
        </is>
      </c>
      <c r="B27412" s="8" t="n">
        <v>22</v>
      </c>
      <c r="C27412" s="8" t="n">
        <v>45</v>
      </c>
      <c r="D27412" s="8" t="inlineStr">
        <is>
          <t>Disneyland Park</t>
        </is>
      </c>
      <c r="E27412" s="8" t="inlineStr">
        <is>
          <t>Pirates of the Caribbean</t>
        </is>
      </c>
      <c r="F27412" s="8" t="inlineStr">
        <is>
          <t>STANDBY</t>
        </is>
      </c>
      <c r="G27412" s="8" t="n">
        <v>0</v>
      </c>
      <c r="H27412" s="8" t="inlineStr">
        <is>
          <t>CLOSED</t>
        </is>
      </c>
    </row>
    <row r="27413">
      <c r="A27413" s="8" t="inlineStr">
        <is>
          <t>2026-08-05</t>
        </is>
      </c>
      <c r="B27413" s="8" t="n">
        <v>22</v>
      </c>
      <c r="C27413" s="8" t="n">
        <v>45</v>
      </c>
      <c r="D27413" s="8" t="inlineStr">
        <is>
          <t>Disneyland Park</t>
        </is>
      </c>
      <c r="E27413" s="8" t="inlineStr">
        <is>
          <t>Pirates' Beach</t>
        </is>
      </c>
      <c r="F27413" s="8" t="inlineStr">
        <is>
          <t>STANDBY</t>
        </is>
      </c>
      <c r="G27413" s="8" t="n">
        <v>0</v>
      </c>
      <c r="H27413" s="8" t="inlineStr">
        <is>
          <t>CLOSED</t>
        </is>
      </c>
    </row>
    <row r="27414">
      <c r="A27414" s="8" t="inlineStr">
        <is>
          <t>2026-08-05</t>
        </is>
      </c>
      <c r="B27414" s="8" t="n">
        <v>22</v>
      </c>
      <c r="C27414" s="8" t="n">
        <v>45</v>
      </c>
      <c r="D27414" s="8" t="inlineStr">
        <is>
          <t>Disneyland Park</t>
        </is>
      </c>
      <c r="E27414" s="8" t="inlineStr">
        <is>
          <t>Autopia, presented by Avis</t>
        </is>
      </c>
      <c r="F27414" s="8" t="inlineStr">
        <is>
          <t>STANDBY</t>
        </is>
      </c>
      <c r="G27414" s="8" t="n">
        <v>0</v>
      </c>
      <c r="H27414" s="8" t="inlineStr">
        <is>
          <t>CLOSED</t>
        </is>
      </c>
    </row>
    <row r="27415">
      <c r="A27415" s="8" t="inlineStr">
        <is>
          <t>2026-08-05</t>
        </is>
      </c>
      <c r="B27415" s="8" t="n">
        <v>22</v>
      </c>
      <c r="C27415" s="8" t="n">
        <v>45</v>
      </c>
      <c r="D27415" s="8" t="inlineStr">
        <is>
          <t>Disneyland Park</t>
        </is>
      </c>
      <c r="E27415" s="8" t="inlineStr">
        <is>
          <t>Buzz Lightyear Laser Blast</t>
        </is>
      </c>
      <c r="F27415" s="8" t="inlineStr">
        <is>
          <t>STANDBY</t>
        </is>
      </c>
      <c r="G27415" s="8" t="n">
        <v>0</v>
      </c>
      <c r="H27415" s="8" t="inlineStr">
        <is>
          <t>CLOSED</t>
        </is>
      </c>
    </row>
    <row r="27416">
      <c r="A27416" s="8" t="inlineStr">
        <is>
          <t>2026-08-05</t>
        </is>
      </c>
      <c r="B27416" s="8" t="n">
        <v>22</v>
      </c>
      <c r="C27416" s="8" t="n">
        <v>45</v>
      </c>
      <c r="D27416" s="8" t="inlineStr">
        <is>
          <t>Disneyland Park</t>
        </is>
      </c>
      <c r="E27416" s="8" t="inlineStr">
        <is>
          <t>Disneyland Railroad Discoveryland Station</t>
        </is>
      </c>
      <c r="F27416" s="8" t="inlineStr">
        <is>
          <t>STANDBY</t>
        </is>
      </c>
      <c r="G27416" s="8" t="n">
        <v>0</v>
      </c>
      <c r="H27416" s="8" t="inlineStr">
        <is>
          <t>CLOSED</t>
        </is>
      </c>
    </row>
    <row r="27417">
      <c r="A27417" s="8" t="inlineStr">
        <is>
          <t>2026-08-05</t>
        </is>
      </c>
      <c r="B27417" s="8" t="n">
        <v>22</v>
      </c>
      <c r="C27417" s="8" t="n">
        <v>45</v>
      </c>
      <c r="D27417" s="8" t="inlineStr">
        <is>
          <t>Disneyland Park</t>
        </is>
      </c>
      <c r="E27417" s="8" t="inlineStr">
        <is>
          <t>Les Mystères du Nautilus</t>
        </is>
      </c>
      <c r="F27417" s="8" t="inlineStr">
        <is>
          <t>STANDBY</t>
        </is>
      </c>
      <c r="G27417" s="8" t="n">
        <v>0</v>
      </c>
      <c r="H27417" s="8" t="inlineStr">
        <is>
          <t>CLOSED</t>
        </is>
      </c>
    </row>
    <row r="27418">
      <c r="A27418" s="8" t="inlineStr">
        <is>
          <t>2026-08-05</t>
        </is>
      </c>
      <c r="B27418" s="8" t="n">
        <v>22</v>
      </c>
      <c r="C27418" s="8" t="n">
        <v>45</v>
      </c>
      <c r="D27418" s="8" t="inlineStr">
        <is>
          <t>Disneyland Park</t>
        </is>
      </c>
      <c r="E27418" s="8" t="inlineStr">
        <is>
          <t>Mickey’s PhilharMagic</t>
        </is>
      </c>
      <c r="F27418" s="8" t="inlineStr">
        <is>
          <t>STANDBY</t>
        </is>
      </c>
      <c r="G27418" s="8" t="n">
        <v>0</v>
      </c>
      <c r="H27418" s="8" t="inlineStr">
        <is>
          <t>CLOSED</t>
        </is>
      </c>
    </row>
    <row r="27419">
      <c r="A27419" s="8" t="inlineStr">
        <is>
          <t>2026-08-05</t>
        </is>
      </c>
      <c r="B27419" s="8" t="n">
        <v>22</v>
      </c>
      <c r="C27419" s="8" t="n">
        <v>45</v>
      </c>
      <c r="D27419" s="8" t="inlineStr">
        <is>
          <t>Disneyland Park</t>
        </is>
      </c>
      <c r="E27419" s="8" t="inlineStr">
        <is>
          <t>Orbitron®</t>
        </is>
      </c>
      <c r="F27419" s="8" t="inlineStr">
        <is>
          <t>STANDBY</t>
        </is>
      </c>
      <c r="G27419" s="8" t="n">
        <v>0</v>
      </c>
      <c r="H27419" s="8" t="inlineStr">
        <is>
          <t>CLOSED</t>
        </is>
      </c>
    </row>
    <row r="27420">
      <c r="A27420" s="8" t="inlineStr">
        <is>
          <t>2026-08-05</t>
        </is>
      </c>
      <c r="B27420" s="8" t="n">
        <v>22</v>
      </c>
      <c r="C27420" s="8" t="n">
        <v>45</v>
      </c>
      <c r="D27420" s="8" t="inlineStr">
        <is>
          <t>Disneyland Park</t>
        </is>
      </c>
      <c r="E27420" s="8" t="inlineStr">
        <is>
          <t>Star Tours: The Adventures Continue*</t>
        </is>
      </c>
      <c r="F27420" s="8" t="inlineStr">
        <is>
          <t>STANDBY</t>
        </is>
      </c>
      <c r="G27420" s="8" t="n">
        <v>0</v>
      </c>
      <c r="H27420" s="8" t="inlineStr">
        <is>
          <t>CLOSED</t>
        </is>
      </c>
    </row>
    <row r="27421">
      <c r="A27421" s="8" t="inlineStr">
        <is>
          <t>2026-08-05</t>
        </is>
      </c>
      <c r="B27421" s="8" t="n">
        <v>22</v>
      </c>
      <c r="C27421" s="8" t="n">
        <v>45</v>
      </c>
      <c r="D27421" s="8" t="inlineStr">
        <is>
          <t>Disneyland Park</t>
        </is>
      </c>
      <c r="E27421" s="8" t="inlineStr">
        <is>
          <t>Star Wars Hyperspace Mountain</t>
        </is>
      </c>
      <c r="F27421" s="8" t="inlineStr">
        <is>
          <t>STANDBY</t>
        </is>
      </c>
      <c r="G27421" s="8" t="n">
        <v>0</v>
      </c>
      <c r="H27421" s="8" t="inlineStr">
        <is>
          <t>CLOSED</t>
        </is>
      </c>
    </row>
    <row r="27422">
      <c r="A27422" s="8" t="inlineStr">
        <is>
          <t>2026-08-05</t>
        </is>
      </c>
      <c r="B27422" s="8" t="n">
        <v>22</v>
      </c>
      <c r="C27422" s="8" t="n">
        <v>45</v>
      </c>
      <c r="D27422" s="8" t="inlineStr">
        <is>
          <t>Disneyland Park</t>
        </is>
      </c>
      <c r="E27422" s="8" t="inlineStr">
        <is>
          <t>Star Wars Hyperspace Mountain Single Rider</t>
        </is>
      </c>
      <c r="F27422" s="8" t="inlineStr">
        <is>
          <t>STANDBY</t>
        </is>
      </c>
      <c r="G27422" s="8" t="n">
        <v>0</v>
      </c>
      <c r="H27422" s="8" t="inlineStr">
        <is>
          <t>CLOSED</t>
        </is>
      </c>
    </row>
    <row r="27423">
      <c r="A27423" s="8" t="inlineStr">
        <is>
          <t>2026-08-05</t>
        </is>
      </c>
      <c r="B27423" s="8" t="n">
        <v>22</v>
      </c>
      <c r="C27423" s="8" t="n">
        <v>45</v>
      </c>
      <c r="D27423" s="8" t="inlineStr">
        <is>
          <t>Disneyland Park</t>
        </is>
      </c>
      <c r="E27423" s="8" t="inlineStr">
        <is>
          <t>Welcome to Starport: A Star Wars Encounter</t>
        </is>
      </c>
      <c r="F27423" s="8" t="inlineStr">
        <is>
          <t>STANDBY</t>
        </is>
      </c>
      <c r="G27423" s="8" t="n">
        <v>0</v>
      </c>
      <c r="H27423" s="8" t="inlineStr">
        <is>
          <t>CLOSED</t>
        </is>
      </c>
    </row>
    <row r="27424">
      <c r="A27424" s="8" t="inlineStr">
        <is>
          <t>2026-08-05</t>
        </is>
      </c>
      <c r="B27424" s="8" t="n">
        <v>22</v>
      </c>
      <c r="C27424" s="8" t="n">
        <v>45</v>
      </c>
      <c r="D27424" s="8" t="inlineStr">
        <is>
          <t>Disneyland Park</t>
        </is>
      </c>
      <c r="E27424" s="8" t="inlineStr">
        <is>
          <t>"it's a small world"</t>
        </is>
      </c>
      <c r="F27424" s="8" t="inlineStr">
        <is>
          <t>STANDBY</t>
        </is>
      </c>
      <c r="G27424" s="8" t="n">
        <v>0</v>
      </c>
      <c r="H27424" s="8" t="inlineStr">
        <is>
          <t>CLOSED</t>
        </is>
      </c>
    </row>
    <row r="27425">
      <c r="A27425" s="8" t="inlineStr">
        <is>
          <t>2026-08-05</t>
        </is>
      </c>
      <c r="B27425" s="8" t="n">
        <v>22</v>
      </c>
      <c r="C27425" s="8" t="n">
        <v>45</v>
      </c>
      <c r="D27425" s="8" t="inlineStr">
        <is>
          <t>Disneyland Park</t>
        </is>
      </c>
      <c r="E27425" s="8" t="inlineStr">
        <is>
          <t>Alice's Curious Labyrinth</t>
        </is>
      </c>
      <c r="F27425" s="8" t="inlineStr">
        <is>
          <t>STANDBY</t>
        </is>
      </c>
      <c r="G27425" s="8" t="n">
        <v>0</v>
      </c>
      <c r="H27425" s="8" t="inlineStr">
        <is>
          <t>CLOSED</t>
        </is>
      </c>
    </row>
    <row r="27426">
      <c r="A27426" s="8" t="inlineStr">
        <is>
          <t>2026-08-05</t>
        </is>
      </c>
      <c r="B27426" s="8" t="n">
        <v>22</v>
      </c>
      <c r="C27426" s="8" t="n">
        <v>45</v>
      </c>
      <c r="D27426" s="8" t="inlineStr">
        <is>
          <t>Disneyland Park</t>
        </is>
      </c>
      <c r="E27426" s="8" t="inlineStr">
        <is>
          <t>Blanche-Neige et les Sept Nains®</t>
        </is>
      </c>
      <c r="F27426" s="8" t="inlineStr">
        <is>
          <t>STANDBY</t>
        </is>
      </c>
      <c r="G27426" s="8" t="n">
        <v>0</v>
      </c>
      <c r="H27426" s="8" t="inlineStr">
        <is>
          <t>CLOSED</t>
        </is>
      </c>
    </row>
    <row r="27427">
      <c r="A27427" s="8" t="inlineStr">
        <is>
          <t>2026-08-05</t>
        </is>
      </c>
      <c r="B27427" s="8" t="n">
        <v>22</v>
      </c>
      <c r="C27427" s="8" t="n">
        <v>45</v>
      </c>
      <c r="D27427" s="8" t="inlineStr">
        <is>
          <t>Disneyland Park</t>
        </is>
      </c>
      <c r="E27427" s="8" t="inlineStr">
        <is>
          <t>Casey Jr. – le Petit Train du Cirque</t>
        </is>
      </c>
      <c r="F27427" s="8" t="inlineStr">
        <is>
          <t>STANDBY</t>
        </is>
      </c>
      <c r="G27427" s="8" t="n">
        <v>0</v>
      </c>
      <c r="H27427" s="8" t="inlineStr">
        <is>
          <t>CLOSED</t>
        </is>
      </c>
    </row>
    <row r="27428">
      <c r="A27428" s="8" t="inlineStr">
        <is>
          <t>2026-08-05</t>
        </is>
      </c>
      <c r="B27428" s="8" t="n">
        <v>22</v>
      </c>
      <c r="C27428" s="8" t="n">
        <v>45</v>
      </c>
      <c r="D27428" s="8" t="inlineStr">
        <is>
          <t>Disneyland Park</t>
        </is>
      </c>
      <c r="E27428" s="8" t="inlineStr">
        <is>
          <t>Disneyland Railroad Fantasyland Station</t>
        </is>
      </c>
      <c r="F27428" s="8" t="inlineStr">
        <is>
          <t>STANDBY</t>
        </is>
      </c>
      <c r="G27428" s="8" t="n">
        <v>0</v>
      </c>
      <c r="H27428" s="8" t="inlineStr">
        <is>
          <t>CLOSED</t>
        </is>
      </c>
    </row>
    <row r="27429">
      <c r="A27429" s="8" t="inlineStr">
        <is>
          <t>2026-08-05</t>
        </is>
      </c>
      <c r="B27429" s="8" t="n">
        <v>22</v>
      </c>
      <c r="C27429" s="8" t="n">
        <v>45</v>
      </c>
      <c r="D27429" s="8" t="inlineStr">
        <is>
          <t>Disneyland Park</t>
        </is>
      </c>
      <c r="E27429" s="8" t="inlineStr">
        <is>
          <t>Disneyland Railroad Main Street Station</t>
        </is>
      </c>
      <c r="F27429" s="8" t="inlineStr">
        <is>
          <t>STANDBY</t>
        </is>
      </c>
      <c r="G27429" s="8" t="n">
        <v>0</v>
      </c>
      <c r="H27429" s="8" t="inlineStr">
        <is>
          <t>CLOSED</t>
        </is>
      </c>
    </row>
    <row r="27430">
      <c r="A27430" s="8" t="inlineStr">
        <is>
          <t>2026-08-05</t>
        </is>
      </c>
      <c r="B27430" s="8" t="n">
        <v>22</v>
      </c>
      <c r="C27430" s="8" t="n">
        <v>45</v>
      </c>
      <c r="D27430" s="8" t="inlineStr">
        <is>
          <t>Disneyland Park</t>
        </is>
      </c>
      <c r="E27430" s="8" t="inlineStr">
        <is>
          <t>Dumbo the Flying Elephant</t>
        </is>
      </c>
      <c r="F27430" s="8" t="inlineStr">
        <is>
          <t>STANDBY</t>
        </is>
      </c>
      <c r="G27430" s="8" t="n">
        <v>0</v>
      </c>
      <c r="H27430" s="8" t="inlineStr">
        <is>
          <t>CLOSED</t>
        </is>
      </c>
    </row>
    <row r="27431">
      <c r="A27431" s="8" t="inlineStr">
        <is>
          <t>2026-08-05</t>
        </is>
      </c>
      <c r="B27431" s="8" t="n">
        <v>22</v>
      </c>
      <c r="C27431" s="8" t="n">
        <v>45</v>
      </c>
      <c r="D27431" s="8" t="inlineStr">
        <is>
          <t>Disneyland Park</t>
        </is>
      </c>
      <c r="E27431" s="8" t="inlineStr">
        <is>
          <t>La Tanière du Dragon</t>
        </is>
      </c>
      <c r="F27431" s="8" t="inlineStr">
        <is>
          <t>STANDBY</t>
        </is>
      </c>
      <c r="G27431" s="8" t="n">
        <v>0</v>
      </c>
      <c r="H27431" s="8" t="inlineStr">
        <is>
          <t>CLOSED</t>
        </is>
      </c>
    </row>
    <row r="27432">
      <c r="A27432" s="8" t="inlineStr">
        <is>
          <t>2026-08-05</t>
        </is>
      </c>
      <c r="B27432" s="8" t="n">
        <v>22</v>
      </c>
      <c r="C27432" s="8" t="n">
        <v>45</v>
      </c>
      <c r="D27432" s="8" t="inlineStr">
        <is>
          <t>Disneyland Park</t>
        </is>
      </c>
      <c r="E27432" s="8" t="inlineStr">
        <is>
          <t>Le Carrousel de Lancelot</t>
        </is>
      </c>
      <c r="F27432" s="8" t="inlineStr">
        <is>
          <t>STANDBY</t>
        </is>
      </c>
      <c r="G27432" s="8" t="n">
        <v>0</v>
      </c>
      <c r="H27432" s="8" t="inlineStr">
        <is>
          <t>CLOSED</t>
        </is>
      </c>
    </row>
    <row r="27433">
      <c r="A27433" s="8" t="inlineStr">
        <is>
          <t>2026-08-05</t>
        </is>
      </c>
      <c r="B27433" s="8" t="n">
        <v>22</v>
      </c>
      <c r="C27433" s="8" t="n">
        <v>45</v>
      </c>
      <c r="D27433" s="8" t="inlineStr">
        <is>
          <t>Disneyland Park</t>
        </is>
      </c>
      <c r="E27433" s="8" t="inlineStr">
        <is>
          <t>Le Pays des Contes de Fées, presented by Vittel</t>
        </is>
      </c>
      <c r="F27433" s="8" t="inlineStr">
        <is>
          <t>STANDBY</t>
        </is>
      </c>
      <c r="G27433" s="8" t="n">
        <v>0</v>
      </c>
      <c r="H27433" s="8" t="inlineStr">
        <is>
          <t>CLOSED</t>
        </is>
      </c>
    </row>
    <row r="27434">
      <c r="A27434" s="8" t="inlineStr">
        <is>
          <t>2026-08-05</t>
        </is>
      </c>
      <c r="B27434" s="8" t="n">
        <v>22</v>
      </c>
      <c r="C27434" s="8" t="n">
        <v>45</v>
      </c>
      <c r="D27434" s="8" t="inlineStr">
        <is>
          <t>Disneyland Park</t>
        </is>
      </c>
      <c r="E27434" s="8" t="inlineStr">
        <is>
          <t>Les Voyages de Pinocchio</t>
        </is>
      </c>
      <c r="F27434" s="8" t="inlineStr">
        <is>
          <t>STANDBY</t>
        </is>
      </c>
      <c r="G27434" s="8" t="n">
        <v>0</v>
      </c>
      <c r="H27434" s="8" t="inlineStr">
        <is>
          <t>CLOSED</t>
        </is>
      </c>
    </row>
    <row r="27435">
      <c r="A27435" s="8" t="inlineStr">
        <is>
          <t>2026-08-05</t>
        </is>
      </c>
      <c r="B27435" s="8" t="n">
        <v>22</v>
      </c>
      <c r="C27435" s="8" t="n">
        <v>45</v>
      </c>
      <c r="D27435" s="8" t="inlineStr">
        <is>
          <t>Disneyland Park</t>
        </is>
      </c>
      <c r="E27435" s="8" t="inlineStr">
        <is>
          <t>Mad Hatter's Tea Cups</t>
        </is>
      </c>
      <c r="F27435" s="8" t="inlineStr">
        <is>
          <t>STANDBY</t>
        </is>
      </c>
      <c r="G27435" s="8" t="n">
        <v>0</v>
      </c>
      <c r="H27435" s="8" t="inlineStr">
        <is>
          <t>CLOSED</t>
        </is>
      </c>
    </row>
    <row r="27436">
      <c r="A27436" s="8" t="inlineStr">
        <is>
          <t>2026-08-05</t>
        </is>
      </c>
      <c r="B27436" s="8" t="n">
        <v>22</v>
      </c>
      <c r="C27436" s="8" t="n">
        <v>45</v>
      </c>
      <c r="D27436" s="8" t="inlineStr">
        <is>
          <t>Disneyland Park</t>
        </is>
      </c>
      <c r="E27436" s="8" t="inlineStr">
        <is>
          <t>Meet Mickey Mouse</t>
        </is>
      </c>
      <c r="F27436" s="8" t="inlineStr">
        <is>
          <t>STANDBY</t>
        </is>
      </c>
      <c r="G27436" s="8" t="n">
        <v>0</v>
      </c>
      <c r="H27436" s="8" t="inlineStr">
        <is>
          <t>CLOSED</t>
        </is>
      </c>
    </row>
    <row r="27437">
      <c r="A27437" s="8" t="inlineStr">
        <is>
          <t>2026-08-05</t>
        </is>
      </c>
      <c r="B27437" s="8" t="n">
        <v>22</v>
      </c>
      <c r="C27437" s="8" t="n">
        <v>45</v>
      </c>
      <c r="D27437" s="8" t="inlineStr">
        <is>
          <t>Disneyland Park</t>
        </is>
      </c>
      <c r="E27437" s="8" t="inlineStr">
        <is>
          <t>Peter Pan's Flight</t>
        </is>
      </c>
      <c r="F27437" s="8" t="inlineStr">
        <is>
          <t>STANDBY</t>
        </is>
      </c>
      <c r="G27437" s="8" t="n">
        <v>0</v>
      </c>
      <c r="H27437" s="8" t="inlineStr">
        <is>
          <t>CLOSED</t>
        </is>
      </c>
    </row>
    <row r="27438">
      <c r="A27438" s="8" t="inlineStr">
        <is>
          <t>2026-08-05</t>
        </is>
      </c>
      <c r="B27438" s="8" t="n">
        <v>22</v>
      </c>
      <c r="C27438" s="8" t="n">
        <v>45</v>
      </c>
      <c r="D27438" s="8" t="inlineStr">
        <is>
          <t>Disneyland Park</t>
        </is>
      </c>
      <c r="E27438" s="8" t="inlineStr">
        <is>
          <t>Princess Pavilion</t>
        </is>
      </c>
      <c r="F27438" s="8" t="inlineStr">
        <is>
          <t>STANDBY</t>
        </is>
      </c>
      <c r="G27438" s="8" t="n">
        <v>0</v>
      </c>
      <c r="H27438" s="8" t="inlineStr">
        <is>
          <t>CLOSED</t>
        </is>
      </c>
    </row>
    <row r="27439">
      <c r="A27439" s="8" t="inlineStr">
        <is>
          <t>2026-08-05</t>
        </is>
      </c>
      <c r="B27439" s="8" t="n">
        <v>22</v>
      </c>
      <c r="C27439" s="8" t="n">
        <v>45</v>
      </c>
      <c r="D27439" s="8" t="inlineStr">
        <is>
          <t>Disneyland Park</t>
        </is>
      </c>
      <c r="E27439" s="8" t="inlineStr">
        <is>
          <t>Big Thunder Mountain</t>
        </is>
      </c>
      <c r="F27439" s="8" t="inlineStr">
        <is>
          <t>STANDBY</t>
        </is>
      </c>
      <c r="G27439" s="8" t="n">
        <v>0</v>
      </c>
      <c r="H27439" s="8" t="inlineStr">
        <is>
          <t>CLOSED</t>
        </is>
      </c>
    </row>
    <row r="27440">
      <c r="A27440" s="8" t="inlineStr">
        <is>
          <t>2026-08-05</t>
        </is>
      </c>
      <c r="B27440" s="8" t="n">
        <v>22</v>
      </c>
      <c r="C27440" s="8" t="n">
        <v>45</v>
      </c>
      <c r="D27440" s="8" t="inlineStr">
        <is>
          <t>Disneyland Park</t>
        </is>
      </c>
      <c r="E27440" s="8" t="inlineStr">
        <is>
          <t>Disneyland Railroad Frontierland Depot</t>
        </is>
      </c>
      <c r="F27440" s="8" t="inlineStr">
        <is>
          <t>STANDBY</t>
        </is>
      </c>
      <c r="G27440" s="8" t="n">
        <v>0</v>
      </c>
      <c r="H27440" s="8" t="inlineStr">
        <is>
          <t>CLOSED</t>
        </is>
      </c>
    </row>
    <row r="27441">
      <c r="A27441" s="8" t="inlineStr">
        <is>
          <t>2026-08-05</t>
        </is>
      </c>
      <c r="B27441" s="8" t="n">
        <v>22</v>
      </c>
      <c r="C27441" s="8" t="n">
        <v>45</v>
      </c>
      <c r="D27441" s="8" t="inlineStr">
        <is>
          <t>Disneyland Park</t>
        </is>
      </c>
      <c r="E27441" s="8" t="inlineStr">
        <is>
          <t>Frontierland Playground</t>
        </is>
      </c>
      <c r="F27441" s="8" t="inlineStr">
        <is>
          <t>STANDBY</t>
        </is>
      </c>
      <c r="G27441" s="8" t="n">
        <v>0</v>
      </c>
      <c r="H27441" s="8" t="inlineStr">
        <is>
          <t>CLOSED</t>
        </is>
      </c>
    </row>
    <row r="27442">
      <c r="A27442" s="8" t="inlineStr">
        <is>
          <t>2026-08-05</t>
        </is>
      </c>
      <c r="B27442" s="8" t="n">
        <v>22</v>
      </c>
      <c r="C27442" s="8" t="n">
        <v>45</v>
      </c>
      <c r="D27442" s="8" t="inlineStr">
        <is>
          <t>Disneyland Park</t>
        </is>
      </c>
      <c r="E27442" s="8" t="inlineStr">
        <is>
          <t>Phantom Manor</t>
        </is>
      </c>
      <c r="F27442" s="8" t="inlineStr">
        <is>
          <t>STANDBY</t>
        </is>
      </c>
      <c r="G27442" s="8" t="n">
        <v>0</v>
      </c>
      <c r="H27442" s="8" t="inlineStr">
        <is>
          <t>CLOSED</t>
        </is>
      </c>
    </row>
    <row r="27443">
      <c r="A27443" s="8" t="inlineStr">
        <is>
          <t>2026-08-05</t>
        </is>
      </c>
      <c r="B27443" s="8" t="n">
        <v>22</v>
      </c>
      <c r="C27443" s="8" t="n">
        <v>45</v>
      </c>
      <c r="D27443" s="8" t="inlineStr">
        <is>
          <t>Disneyland Park</t>
        </is>
      </c>
      <c r="E27443" s="8" t="inlineStr">
        <is>
          <t>River Rogue Keelboats</t>
        </is>
      </c>
      <c r="F27443" s="8" t="inlineStr">
        <is>
          <t>STANDBY</t>
        </is>
      </c>
      <c r="G27443" s="8" t="n">
        <v>0</v>
      </c>
      <c r="H27443" s="8" t="inlineStr">
        <is>
          <t>CLOSED</t>
        </is>
      </c>
    </row>
    <row r="27444">
      <c r="A27444" s="8" t="inlineStr">
        <is>
          <t>2026-08-05</t>
        </is>
      </c>
      <c r="B27444" s="8" t="n">
        <v>22</v>
      </c>
      <c r="C27444" s="8" t="n">
        <v>45</v>
      </c>
      <c r="D27444" s="8" t="inlineStr">
        <is>
          <t>Disneyland Park</t>
        </is>
      </c>
      <c r="E27444" s="8" t="inlineStr">
        <is>
          <t>Rustler Roundup Shootin' Gallery</t>
        </is>
      </c>
      <c r="F27444" s="8" t="inlineStr">
        <is>
          <t>STANDBY</t>
        </is>
      </c>
      <c r="G27444" s="8" t="n">
        <v>0</v>
      </c>
      <c r="H27444" s="8" t="inlineStr">
        <is>
          <t>CLOSED</t>
        </is>
      </c>
    </row>
    <row r="27445">
      <c r="A27445" s="8" t="inlineStr">
        <is>
          <t>2026-08-05</t>
        </is>
      </c>
      <c r="B27445" s="8" t="n">
        <v>22</v>
      </c>
      <c r="C27445" s="8" t="n">
        <v>45</v>
      </c>
      <c r="D27445" s="8" t="inlineStr">
        <is>
          <t>Disneyland Park</t>
        </is>
      </c>
      <c r="E27445" s="8" t="inlineStr">
        <is>
          <t>Thunder Mesa Riverboat Landing</t>
        </is>
      </c>
      <c r="F27445" s="8" t="inlineStr">
        <is>
          <t>STANDBY</t>
        </is>
      </c>
      <c r="G27445" s="8" t="n">
        <v>0</v>
      </c>
      <c r="H27445" s="8" t="inlineStr">
        <is>
          <t>CLOSED</t>
        </is>
      </c>
    </row>
    <row r="27446">
      <c r="A27446" s="8" t="inlineStr">
        <is>
          <t>2026-08-05</t>
        </is>
      </c>
      <c r="B27446" s="8" t="n">
        <v>22</v>
      </c>
      <c r="C27446" s="8" t="n">
        <v>45</v>
      </c>
      <c r="D27446" s="8" t="inlineStr">
        <is>
          <t>Disneyland Park</t>
        </is>
      </c>
      <c r="E27446" s="8" t="inlineStr">
        <is>
          <t>Disneyland Railroad Main Street Station</t>
        </is>
      </c>
      <c r="F27446" s="8" t="inlineStr">
        <is>
          <t>STANDBY</t>
        </is>
      </c>
      <c r="G27446" s="8" t="n">
        <v>0</v>
      </c>
      <c r="H27446" s="8" t="inlineStr">
        <is>
          <t>CLOSED</t>
        </is>
      </c>
    </row>
    <row r="27447">
      <c r="A27447" s="8" t="inlineStr">
        <is>
          <t>2026-08-05</t>
        </is>
      </c>
      <c r="B27447" s="8" t="n">
        <v>22</v>
      </c>
      <c r="C27447" s="8" t="n">
        <v>45</v>
      </c>
      <c r="D27447" s="8" t="inlineStr">
        <is>
          <t>Disneyland Park</t>
        </is>
      </c>
      <c r="E27447" s="8" t="inlineStr">
        <is>
          <t>Main Street Vehicles</t>
        </is>
      </c>
      <c r="F27447" s="8" t="inlineStr">
        <is>
          <t>STANDBY</t>
        </is>
      </c>
      <c r="G27447" s="8" t="n">
        <v>0</v>
      </c>
      <c r="H27447" s="8" t="inlineStr">
        <is>
          <t>CLOSED</t>
        </is>
      </c>
    </row>
    <row r="27448">
      <c r="A27448" s="8" t="inlineStr">
        <is>
          <t>2026-08-05</t>
        </is>
      </c>
      <c r="B27448" s="8" t="n">
        <v>22</v>
      </c>
      <c r="C27448" s="8" t="n">
        <v>45</v>
      </c>
      <c r="D27448" s="8" t="inlineStr">
        <is>
          <t>Disney Adventure World</t>
        </is>
      </c>
      <c r="E27448" s="8" t="inlineStr">
        <is>
          <t>Avengers Assemble: Flight Force</t>
        </is>
      </c>
      <c r="F27448" s="8" t="inlineStr">
        <is>
          <t>STANDBY</t>
        </is>
      </c>
      <c r="G27448" s="8" t="n">
        <v>0</v>
      </c>
      <c r="H27448" s="8" t="inlineStr">
        <is>
          <t>CLOSED</t>
        </is>
      </c>
    </row>
    <row r="27449">
      <c r="A27449" s="8" t="inlineStr">
        <is>
          <t>2026-08-05</t>
        </is>
      </c>
      <c r="B27449" s="8" t="n">
        <v>22</v>
      </c>
      <c r="C27449" s="8" t="n">
        <v>45</v>
      </c>
      <c r="D27449" s="8" t="inlineStr">
        <is>
          <t>Disney Adventure World</t>
        </is>
      </c>
      <c r="E27449" s="8" t="inlineStr">
        <is>
          <t>Avengers Assemble: Flight Force Single Rider</t>
        </is>
      </c>
      <c r="F27449" s="8" t="inlineStr">
        <is>
          <t>STANDBY</t>
        </is>
      </c>
      <c r="G27449" s="8" t="n">
        <v>0</v>
      </c>
      <c r="H27449" s="8" t="inlineStr">
        <is>
          <t>CLOSED</t>
        </is>
      </c>
    </row>
    <row r="27450">
      <c r="A27450" s="8" t="inlineStr">
        <is>
          <t>2026-08-05</t>
        </is>
      </c>
      <c r="B27450" s="8" t="n">
        <v>22</v>
      </c>
      <c r="C27450" s="8" t="n">
        <v>45</v>
      </c>
      <c r="D27450" s="8" t="inlineStr">
        <is>
          <t>Disney Adventure World</t>
        </is>
      </c>
      <c r="E27450" s="8" t="inlineStr">
        <is>
          <t>Spider-Man W.E.B. Adventure</t>
        </is>
      </c>
      <c r="F27450" s="8" t="inlineStr">
        <is>
          <t>STANDBY</t>
        </is>
      </c>
      <c r="G27450" s="8" t="n">
        <v>0</v>
      </c>
      <c r="H27450" s="8" t="inlineStr">
        <is>
          <t>CLOSED</t>
        </is>
      </c>
    </row>
    <row r="27451">
      <c r="A27451" s="8" t="inlineStr">
        <is>
          <t>2026-08-05</t>
        </is>
      </c>
      <c r="B27451" s="8" t="n">
        <v>22</v>
      </c>
      <c r="C27451" s="8" t="n">
        <v>45</v>
      </c>
      <c r="D27451" s="8" t="inlineStr">
        <is>
          <t>Disney Adventure World</t>
        </is>
      </c>
      <c r="E27451" s="8" t="inlineStr">
        <is>
          <t>Spider-Man W.E.B. Adventure Single Rider</t>
        </is>
      </c>
      <c r="F27451" s="8" t="inlineStr">
        <is>
          <t>STANDBY</t>
        </is>
      </c>
      <c r="G27451" s="8" t="n">
        <v>0</v>
      </c>
      <c r="H27451" s="8" t="inlineStr">
        <is>
          <t>CLOSED</t>
        </is>
      </c>
    </row>
    <row r="27452">
      <c r="A27452" s="8" t="inlineStr">
        <is>
          <t>2026-08-05</t>
        </is>
      </c>
      <c r="B27452" s="8" t="n">
        <v>22</v>
      </c>
      <c r="C27452" s="8" t="n">
        <v>45</v>
      </c>
      <c r="D27452" s="8" t="inlineStr">
        <is>
          <t>Disney Adventure World</t>
        </is>
      </c>
      <c r="E27452" s="8" t="inlineStr">
        <is>
          <t>The Twilight Zone Tower of Terror</t>
        </is>
      </c>
      <c r="F27452" s="8" t="inlineStr">
        <is>
          <t>STANDBY</t>
        </is>
      </c>
      <c r="G27452" s="8" t="n">
        <v>0</v>
      </c>
      <c r="H27452" s="8" t="inlineStr">
        <is>
          <t>CLOSED</t>
        </is>
      </c>
    </row>
    <row r="27453">
      <c r="A27453" s="8" t="inlineStr">
        <is>
          <t>2026-08-05</t>
        </is>
      </c>
      <c r="B27453" s="8" t="n">
        <v>22</v>
      </c>
      <c r="C27453" s="8" t="n">
        <v>45</v>
      </c>
      <c r="D27453" s="8" t="inlineStr">
        <is>
          <t>Disney Adventure World</t>
        </is>
      </c>
      <c r="E27453" s="8" t="inlineStr">
        <is>
          <t>Cars Quatre Roues Rallye</t>
        </is>
      </c>
      <c r="F27453" s="8" t="inlineStr">
        <is>
          <t>STANDBY</t>
        </is>
      </c>
      <c r="G27453" s="8" t="n">
        <v>0</v>
      </c>
      <c r="H27453" s="8" t="inlineStr">
        <is>
          <t>CLOSED</t>
        </is>
      </c>
    </row>
    <row r="27454">
      <c r="A27454" s="8" t="inlineStr">
        <is>
          <t>2026-08-05</t>
        </is>
      </c>
      <c r="B27454" s="8" t="n">
        <v>22</v>
      </c>
      <c r="C27454" s="8" t="n">
        <v>45</v>
      </c>
      <c r="D27454" s="8" t="inlineStr">
        <is>
          <t>Disney Adventure World</t>
        </is>
      </c>
      <c r="E27454" s="8" t="inlineStr">
        <is>
          <t>Cars ROAD TRIP</t>
        </is>
      </c>
      <c r="F27454" s="8" t="inlineStr">
        <is>
          <t>STANDBY</t>
        </is>
      </c>
      <c r="G27454" s="8" t="n">
        <v>0</v>
      </c>
      <c r="H27454" s="8" t="inlineStr">
        <is>
          <t>CLOSED</t>
        </is>
      </c>
    </row>
    <row r="27455">
      <c r="A27455" s="8" t="inlineStr">
        <is>
          <t>2026-08-05</t>
        </is>
      </c>
      <c r="B27455" s="8" t="n">
        <v>22</v>
      </c>
      <c r="C27455" s="8" t="n">
        <v>45</v>
      </c>
      <c r="D27455" s="8" t="inlineStr">
        <is>
          <t>Disney Adventure World</t>
        </is>
      </c>
      <c r="E27455" s="8" t="inlineStr">
        <is>
          <t>Crush's Coaster</t>
        </is>
      </c>
      <c r="F27455" s="8" t="inlineStr">
        <is>
          <t>STANDBY</t>
        </is>
      </c>
      <c r="G27455" s="8" t="n">
        <v>0</v>
      </c>
      <c r="H27455" s="8" t="inlineStr">
        <is>
          <t>CLOSED</t>
        </is>
      </c>
    </row>
    <row r="27456">
      <c r="A27456" s="8" t="inlineStr">
        <is>
          <t>2026-08-05</t>
        </is>
      </c>
      <c r="B27456" s="8" t="n">
        <v>22</v>
      </c>
      <c r="C27456" s="8" t="n">
        <v>45</v>
      </c>
      <c r="D27456" s="8" t="inlineStr">
        <is>
          <t>Disney Adventure World</t>
        </is>
      </c>
      <c r="E27456" s="8" t="inlineStr">
        <is>
          <t>Crush's Coaster Single Rider</t>
        </is>
      </c>
      <c r="F27456" s="8" t="inlineStr">
        <is>
          <t>STANDBY</t>
        </is>
      </c>
      <c r="G27456" s="8" t="n">
        <v>0</v>
      </c>
      <c r="H27456" s="8" t="inlineStr">
        <is>
          <t>CLOSED</t>
        </is>
      </c>
    </row>
    <row r="27457">
      <c r="A27457" s="8" t="inlineStr">
        <is>
          <t>2026-08-05</t>
        </is>
      </c>
      <c r="B27457" s="8" t="n">
        <v>22</v>
      </c>
      <c r="C27457" s="8" t="n">
        <v>45</v>
      </c>
      <c r="D27457" s="8" t="inlineStr">
        <is>
          <t>Disney Adventure World</t>
        </is>
      </c>
      <c r="E27457" s="8" t="inlineStr">
        <is>
          <t>Les Tapis Volants - Flying Carpets Over Agrabah®</t>
        </is>
      </c>
      <c r="F27457" s="8" t="inlineStr">
        <is>
          <t>STANDBY</t>
        </is>
      </c>
      <c r="G27457" s="8" t="n">
        <v>0</v>
      </c>
      <c r="H27457" s="8" t="inlineStr">
        <is>
          <t>CLOSED</t>
        </is>
      </c>
    </row>
    <row r="27458">
      <c r="A27458" s="8" t="inlineStr">
        <is>
          <t>2026-08-05</t>
        </is>
      </c>
      <c r="B27458" s="8" t="n">
        <v>22</v>
      </c>
      <c r="C27458" s="8" t="n">
        <v>45</v>
      </c>
      <c r="D27458" s="8" t="inlineStr">
        <is>
          <t>Disney Adventure World</t>
        </is>
      </c>
      <c r="E27458" s="8" t="inlineStr">
        <is>
          <t>Ratatouille : L’Aventure Totalement Toquée de Rémy​</t>
        </is>
      </c>
      <c r="F27458" s="8" t="inlineStr">
        <is>
          <t>STANDBY</t>
        </is>
      </c>
      <c r="G27458" s="8" t="n">
        <v>0</v>
      </c>
      <c r="H27458" s="8" t="inlineStr">
        <is>
          <t>CLOSED</t>
        </is>
      </c>
    </row>
    <row r="27459">
      <c r="A27459" s="8" t="inlineStr">
        <is>
          <t>2026-08-05</t>
        </is>
      </c>
      <c r="B27459" s="8" t="n">
        <v>22</v>
      </c>
      <c r="C27459" s="8" t="n">
        <v>45</v>
      </c>
      <c r="D27459" s="8" t="inlineStr">
        <is>
          <t>Disney Adventure World</t>
        </is>
      </c>
      <c r="E27459" s="8" t="inlineStr">
        <is>
          <t>Ratatouille: The Adventure Single Rider</t>
        </is>
      </c>
      <c r="F27459" s="8" t="inlineStr">
        <is>
          <t>STANDBY</t>
        </is>
      </c>
      <c r="G27459" s="8" t="n">
        <v>0</v>
      </c>
      <c r="H27459" s="8" t="inlineStr">
        <is>
          <t>CLOSED</t>
        </is>
      </c>
    </row>
    <row r="27460">
      <c r="A27460" s="8" t="inlineStr">
        <is>
          <t>2026-08-05</t>
        </is>
      </c>
      <c r="B27460" s="8" t="n">
        <v>22</v>
      </c>
      <c r="C27460" s="8" t="n">
        <v>45</v>
      </c>
      <c r="D27460" s="8" t="inlineStr">
        <is>
          <t>Disney Adventure World</t>
        </is>
      </c>
      <c r="E27460" s="8" t="inlineStr">
        <is>
          <t>RC Racer</t>
        </is>
      </c>
      <c r="F27460" s="8" t="inlineStr">
        <is>
          <t>STANDBY</t>
        </is>
      </c>
      <c r="G27460" s="8" t="n">
        <v>0</v>
      </c>
      <c r="H27460" s="8" t="inlineStr">
        <is>
          <t>CLOSED</t>
        </is>
      </c>
    </row>
    <row r="27461">
      <c r="A27461" s="8" t="inlineStr">
        <is>
          <t>2026-08-05</t>
        </is>
      </c>
      <c r="B27461" s="8" t="n">
        <v>22</v>
      </c>
      <c r="C27461" s="8" t="n">
        <v>45</v>
      </c>
      <c r="D27461" s="8" t="inlineStr">
        <is>
          <t>Disney Adventure World</t>
        </is>
      </c>
      <c r="E27461" s="8" t="inlineStr">
        <is>
          <t>RC Racer Single Rider</t>
        </is>
      </c>
      <c r="F27461" s="8" t="inlineStr">
        <is>
          <t>STANDBY</t>
        </is>
      </c>
      <c r="G27461" s="8" t="n">
        <v>0</v>
      </c>
      <c r="H27461" s="8" t="inlineStr">
        <is>
          <t>CLOSED</t>
        </is>
      </c>
    </row>
    <row r="27462">
      <c r="A27462" s="8" t="inlineStr">
        <is>
          <t>2026-08-05</t>
        </is>
      </c>
      <c r="B27462" s="8" t="n">
        <v>22</v>
      </c>
      <c r="C27462" s="8" t="n">
        <v>45</v>
      </c>
      <c r="D27462" s="8" t="inlineStr">
        <is>
          <t>Disney Adventure World</t>
        </is>
      </c>
      <c r="E27462" s="8" t="inlineStr">
        <is>
          <t>Slinky® Dog Zigzag Spin</t>
        </is>
      </c>
      <c r="F27462" s="8" t="inlineStr">
        <is>
          <t>STANDBY</t>
        </is>
      </c>
      <c r="G27462" s="8" t="n">
        <v>0</v>
      </c>
      <c r="H27462" s="8" t="inlineStr">
        <is>
          <t>CLOSED</t>
        </is>
      </c>
    </row>
    <row r="27463">
      <c r="A27463" s="8" t="inlineStr">
        <is>
          <t>2026-08-05</t>
        </is>
      </c>
      <c r="B27463" s="8" t="n">
        <v>22</v>
      </c>
      <c r="C27463" s="8" t="n">
        <v>45</v>
      </c>
      <c r="D27463" s="8" t="inlineStr">
        <is>
          <t>Disney Adventure World</t>
        </is>
      </c>
      <c r="E27463" s="8" t="inlineStr">
        <is>
          <t>Toy Soldiers Parachute Drop</t>
        </is>
      </c>
      <c r="F27463" s="8" t="inlineStr">
        <is>
          <t>STANDBY</t>
        </is>
      </c>
      <c r="G27463" s="8" t="n">
        <v>0</v>
      </c>
      <c r="H27463" s="8" t="inlineStr">
        <is>
          <t>CLOSED</t>
        </is>
      </c>
    </row>
    <row r="27464">
      <c r="A27464" s="8" t="inlineStr">
        <is>
          <t>2026-08-05</t>
        </is>
      </c>
      <c r="B27464" s="8" t="n">
        <v>22</v>
      </c>
      <c r="C27464" s="8" t="n">
        <v>45</v>
      </c>
      <c r="D27464" s="8" t="inlineStr">
        <is>
          <t>Disney Adventure World</t>
        </is>
      </c>
      <c r="E27464" s="8" t="inlineStr">
        <is>
          <t>Toy Soldiers Parachute Drop Single Rider</t>
        </is>
      </c>
      <c r="F27464" s="8" t="inlineStr">
        <is>
          <t>STANDBY</t>
        </is>
      </c>
      <c r="G27464" s="8" t="n">
        <v>0</v>
      </c>
      <c r="H27464" s="8" t="inlineStr">
        <is>
          <t>CLOSED</t>
        </is>
      </c>
    </row>
    <row r="27465">
      <c r="A27465" s="8" t="inlineStr">
        <is>
          <t>2026-08-05</t>
        </is>
      </c>
      <c r="B27465" s="8" t="n">
        <v>22</v>
      </c>
      <c r="C27465" s="8" t="n">
        <v>45</v>
      </c>
      <c r="D27465" s="8" t="inlineStr">
        <is>
          <t>Disney Adventure World</t>
        </is>
      </c>
      <c r="E27465" s="8" t="inlineStr">
        <is>
          <t>Entry to World of Frozen</t>
        </is>
      </c>
      <c r="F27465" s="8" t="inlineStr">
        <is>
          <t>STANDBY</t>
        </is>
      </c>
      <c r="G27465" s="8" t="n">
        <v>0</v>
      </c>
      <c r="H27465" s="8" t="inlineStr">
        <is>
          <t>CLOSED</t>
        </is>
      </c>
    </row>
    <row r="27466">
      <c r="A27466" s="8" t="inlineStr">
        <is>
          <t>2026-08-05</t>
        </is>
      </c>
      <c r="B27466" s="8" t="n">
        <v>22</v>
      </c>
      <c r="C27466" s="8" t="n">
        <v>45</v>
      </c>
      <c r="D27466" s="8" t="inlineStr">
        <is>
          <t>Disney Adventure World</t>
        </is>
      </c>
      <c r="E27466" s="8" t="inlineStr">
        <is>
          <t>Frozen Ever After</t>
        </is>
      </c>
      <c r="F27466" s="8" t="inlineStr">
        <is>
          <t>STANDBY</t>
        </is>
      </c>
      <c r="G27466" s="8" t="n">
        <v>0</v>
      </c>
      <c r="H27466" s="8" t="inlineStr">
        <is>
          <t>CLOSED</t>
        </is>
      </c>
    </row>
    <row r="27467">
      <c r="A27467" s="8" t="inlineStr">
        <is>
          <t>2026-08-05</t>
        </is>
      </c>
      <c r="B27467" s="8" t="n">
        <v>22</v>
      </c>
      <c r="C27467" s="8" t="n">
        <v>45</v>
      </c>
      <c r="D27467" s="8" t="inlineStr">
        <is>
          <t>Disney Adventure World</t>
        </is>
      </c>
      <c r="E27467" s="8" t="inlineStr">
        <is>
          <t>Raiponce Tangled Spin</t>
        </is>
      </c>
      <c r="F27467" s="8" t="inlineStr">
        <is>
          <t>STANDBY</t>
        </is>
      </c>
      <c r="G27467" s="8" t="n">
        <v>0</v>
      </c>
      <c r="H27467" s="8" t="inlineStr">
        <is>
          <t>CLOSED</t>
        </is>
      </c>
    </row>
    <row r="27468">
      <c r="A27468" s="8" t="inlineStr">
        <is>
          <t>2026-08-05</t>
        </is>
      </c>
      <c r="B27468" s="8" t="n">
        <v>23</v>
      </c>
      <c r="C27468" s="8" t="n">
        <v>1</v>
      </c>
      <c r="D27468" s="8" t="inlineStr">
        <is>
          <t>Disneyland Park</t>
        </is>
      </c>
      <c r="E27468" s="8" t="inlineStr">
        <is>
          <t>Adventure Isle</t>
        </is>
      </c>
      <c r="F27468" s="8" t="inlineStr">
        <is>
          <t>STANDBY</t>
        </is>
      </c>
      <c r="G27468" s="8" t="n">
        <v>0</v>
      </c>
      <c r="H27468" s="8" t="inlineStr">
        <is>
          <t>CLOSED</t>
        </is>
      </c>
    </row>
    <row r="27469">
      <c r="A27469" s="8" t="inlineStr">
        <is>
          <t>2026-08-05</t>
        </is>
      </c>
      <c r="B27469" s="8" t="n">
        <v>23</v>
      </c>
      <c r="C27469" s="8" t="n">
        <v>1</v>
      </c>
      <c r="D27469" s="8" t="inlineStr">
        <is>
          <t>Disneyland Park</t>
        </is>
      </c>
      <c r="E27469" s="8" t="inlineStr">
        <is>
          <t>Indiana Jones and the Temple of Peril Single Rider</t>
        </is>
      </c>
      <c r="F27469" s="8" t="inlineStr">
        <is>
          <t>STANDBY</t>
        </is>
      </c>
      <c r="G27469" s="8" t="n">
        <v>0</v>
      </c>
      <c r="H27469" s="8" t="inlineStr">
        <is>
          <t>CLOSED</t>
        </is>
      </c>
    </row>
    <row r="27470">
      <c r="A27470" s="8" t="inlineStr">
        <is>
          <t>2026-08-05</t>
        </is>
      </c>
      <c r="B27470" s="8" t="n">
        <v>23</v>
      </c>
      <c r="C27470" s="8" t="n">
        <v>1</v>
      </c>
      <c r="D27470" s="8" t="inlineStr">
        <is>
          <t>Disneyland Park</t>
        </is>
      </c>
      <c r="E27470" s="8" t="inlineStr">
        <is>
          <t>Indiana Jones™ and the Temple of Peril</t>
        </is>
      </c>
      <c r="F27470" s="8" t="inlineStr">
        <is>
          <t>STANDBY</t>
        </is>
      </c>
      <c r="G27470" s="8" t="n">
        <v>0</v>
      </c>
      <c r="H27470" s="8" t="inlineStr">
        <is>
          <t>CLOSED</t>
        </is>
      </c>
    </row>
    <row r="27471">
      <c r="A27471" s="8" t="inlineStr">
        <is>
          <t>2026-08-05</t>
        </is>
      </c>
      <c r="B27471" s="8" t="n">
        <v>23</v>
      </c>
      <c r="C27471" s="8" t="n">
        <v>1</v>
      </c>
      <c r="D27471" s="8" t="inlineStr">
        <is>
          <t>Disneyland Park</t>
        </is>
      </c>
      <c r="E27471" s="8" t="inlineStr">
        <is>
          <t>La Cabane des Robinson</t>
        </is>
      </c>
      <c r="F27471" s="8" t="inlineStr">
        <is>
          <t>STANDBY</t>
        </is>
      </c>
      <c r="G27471" s="8" t="n">
        <v>0</v>
      </c>
      <c r="H27471" s="8" t="inlineStr">
        <is>
          <t>CLOSED</t>
        </is>
      </c>
    </row>
    <row r="27472">
      <c r="A27472" s="8" t="inlineStr">
        <is>
          <t>2026-08-05</t>
        </is>
      </c>
      <c r="B27472" s="8" t="n">
        <v>23</v>
      </c>
      <c r="C27472" s="8" t="n">
        <v>1</v>
      </c>
      <c r="D27472" s="8" t="inlineStr">
        <is>
          <t>Disneyland Park</t>
        </is>
      </c>
      <c r="E27472" s="8" t="inlineStr">
        <is>
          <t>Le Passage Enchanté d'Aladdin</t>
        </is>
      </c>
      <c r="F27472" s="8" t="inlineStr">
        <is>
          <t>STANDBY</t>
        </is>
      </c>
      <c r="G27472" s="8" t="n">
        <v>0</v>
      </c>
      <c r="H27472" s="8" t="inlineStr">
        <is>
          <t>CLOSED</t>
        </is>
      </c>
    </row>
    <row r="27473">
      <c r="A27473" s="8" t="inlineStr">
        <is>
          <t>2026-08-05</t>
        </is>
      </c>
      <c r="B27473" s="8" t="n">
        <v>23</v>
      </c>
      <c r="C27473" s="8" t="n">
        <v>1</v>
      </c>
      <c r="D27473" s="8" t="inlineStr">
        <is>
          <t>Disneyland Park</t>
        </is>
      </c>
      <c r="E27473" s="8" t="inlineStr">
        <is>
          <t>Pirate Galleon</t>
        </is>
      </c>
      <c r="F27473" s="8" t="inlineStr">
        <is>
          <t>STANDBY</t>
        </is>
      </c>
      <c r="G27473" s="8" t="n">
        <v>0</v>
      </c>
      <c r="H27473" s="8" t="inlineStr">
        <is>
          <t>CLOSED</t>
        </is>
      </c>
    </row>
    <row r="27474">
      <c r="A27474" s="8" t="inlineStr">
        <is>
          <t>2026-08-05</t>
        </is>
      </c>
      <c r="B27474" s="8" t="n">
        <v>23</v>
      </c>
      <c r="C27474" s="8" t="n">
        <v>1</v>
      </c>
      <c r="D27474" s="8" t="inlineStr">
        <is>
          <t>Disneyland Park</t>
        </is>
      </c>
      <c r="E27474" s="8" t="inlineStr">
        <is>
          <t>Pirates of the Caribbean</t>
        </is>
      </c>
      <c r="F27474" s="8" t="inlineStr">
        <is>
          <t>STANDBY</t>
        </is>
      </c>
      <c r="G27474" s="8" t="n">
        <v>0</v>
      </c>
      <c r="H27474" s="8" t="inlineStr">
        <is>
          <t>CLOSED</t>
        </is>
      </c>
    </row>
    <row r="27475">
      <c r="A27475" s="8" t="inlineStr">
        <is>
          <t>2026-08-05</t>
        </is>
      </c>
      <c r="B27475" s="8" t="n">
        <v>23</v>
      </c>
      <c r="C27475" s="8" t="n">
        <v>1</v>
      </c>
      <c r="D27475" s="8" t="inlineStr">
        <is>
          <t>Disneyland Park</t>
        </is>
      </c>
      <c r="E27475" s="8" t="inlineStr">
        <is>
          <t>Pirates' Beach</t>
        </is>
      </c>
      <c r="F27475" s="8" t="inlineStr">
        <is>
          <t>STANDBY</t>
        </is>
      </c>
      <c r="G27475" s="8" t="n">
        <v>0</v>
      </c>
      <c r="H27475" s="8" t="inlineStr">
        <is>
          <t>CLOSED</t>
        </is>
      </c>
    </row>
    <row r="27476">
      <c r="A27476" s="8" t="inlineStr">
        <is>
          <t>2026-08-05</t>
        </is>
      </c>
      <c r="B27476" s="8" t="n">
        <v>23</v>
      </c>
      <c r="C27476" s="8" t="n">
        <v>1</v>
      </c>
      <c r="D27476" s="8" t="inlineStr">
        <is>
          <t>Disneyland Park</t>
        </is>
      </c>
      <c r="E27476" s="8" t="inlineStr">
        <is>
          <t>Autopia, presented by Avis</t>
        </is>
      </c>
      <c r="F27476" s="8" t="inlineStr">
        <is>
          <t>STANDBY</t>
        </is>
      </c>
      <c r="G27476" s="8" t="n">
        <v>0</v>
      </c>
      <c r="H27476" s="8" t="inlineStr">
        <is>
          <t>CLOSED</t>
        </is>
      </c>
    </row>
    <row r="27477">
      <c r="A27477" s="8" t="inlineStr">
        <is>
          <t>2026-08-05</t>
        </is>
      </c>
      <c r="B27477" s="8" t="n">
        <v>23</v>
      </c>
      <c r="C27477" s="8" t="n">
        <v>1</v>
      </c>
      <c r="D27477" s="8" t="inlineStr">
        <is>
          <t>Disneyland Park</t>
        </is>
      </c>
      <c r="E27477" s="8" t="inlineStr">
        <is>
          <t>Buzz Lightyear Laser Blast</t>
        </is>
      </c>
      <c r="F27477" s="8" t="inlineStr">
        <is>
          <t>STANDBY</t>
        </is>
      </c>
      <c r="G27477" s="8" t="n">
        <v>0</v>
      </c>
      <c r="H27477" s="8" t="inlineStr">
        <is>
          <t>CLOSED</t>
        </is>
      </c>
    </row>
    <row r="27478">
      <c r="A27478" s="8" t="inlineStr">
        <is>
          <t>2026-08-05</t>
        </is>
      </c>
      <c r="B27478" s="8" t="n">
        <v>23</v>
      </c>
      <c r="C27478" s="8" t="n">
        <v>1</v>
      </c>
      <c r="D27478" s="8" t="inlineStr">
        <is>
          <t>Disneyland Park</t>
        </is>
      </c>
      <c r="E27478" s="8" t="inlineStr">
        <is>
          <t>Disneyland Railroad Discoveryland Station</t>
        </is>
      </c>
      <c r="F27478" s="8" t="inlineStr">
        <is>
          <t>STANDBY</t>
        </is>
      </c>
      <c r="G27478" s="8" t="n">
        <v>0</v>
      </c>
      <c r="H27478" s="8" t="inlineStr">
        <is>
          <t>CLOSED</t>
        </is>
      </c>
    </row>
    <row r="27479">
      <c r="A27479" s="8" t="inlineStr">
        <is>
          <t>2026-08-05</t>
        </is>
      </c>
      <c r="B27479" s="8" t="n">
        <v>23</v>
      </c>
      <c r="C27479" s="8" t="n">
        <v>1</v>
      </c>
      <c r="D27479" s="8" t="inlineStr">
        <is>
          <t>Disneyland Park</t>
        </is>
      </c>
      <c r="E27479" s="8" t="inlineStr">
        <is>
          <t>Les Mystères du Nautilus</t>
        </is>
      </c>
      <c r="F27479" s="8" t="inlineStr">
        <is>
          <t>STANDBY</t>
        </is>
      </c>
      <c r="G27479" s="8" t="n">
        <v>0</v>
      </c>
      <c r="H27479" s="8" t="inlineStr">
        <is>
          <t>CLOSED</t>
        </is>
      </c>
    </row>
    <row r="27480">
      <c r="A27480" s="8" t="inlineStr">
        <is>
          <t>2026-08-05</t>
        </is>
      </c>
      <c r="B27480" s="8" t="n">
        <v>23</v>
      </c>
      <c r="C27480" s="8" t="n">
        <v>1</v>
      </c>
      <c r="D27480" s="8" t="inlineStr">
        <is>
          <t>Disneyland Park</t>
        </is>
      </c>
      <c r="E27480" s="8" t="inlineStr">
        <is>
          <t>Mickey’s PhilharMagic</t>
        </is>
      </c>
      <c r="F27480" s="8" t="inlineStr">
        <is>
          <t>STANDBY</t>
        </is>
      </c>
      <c r="G27480" s="8" t="n">
        <v>0</v>
      </c>
      <c r="H27480" s="8" t="inlineStr">
        <is>
          <t>CLOSED</t>
        </is>
      </c>
    </row>
    <row r="27481">
      <c r="A27481" s="8" t="inlineStr">
        <is>
          <t>2026-08-05</t>
        </is>
      </c>
      <c r="B27481" s="8" t="n">
        <v>23</v>
      </c>
      <c r="C27481" s="8" t="n">
        <v>1</v>
      </c>
      <c r="D27481" s="8" t="inlineStr">
        <is>
          <t>Disneyland Park</t>
        </is>
      </c>
      <c r="E27481" s="8" t="inlineStr">
        <is>
          <t>Orbitron®</t>
        </is>
      </c>
      <c r="F27481" s="8" t="inlineStr">
        <is>
          <t>STANDBY</t>
        </is>
      </c>
      <c r="G27481" s="8" t="n">
        <v>0</v>
      </c>
      <c r="H27481" s="8" t="inlineStr">
        <is>
          <t>CLOSED</t>
        </is>
      </c>
    </row>
    <row r="27482">
      <c r="A27482" s="8" t="inlineStr">
        <is>
          <t>2026-08-05</t>
        </is>
      </c>
      <c r="B27482" s="8" t="n">
        <v>23</v>
      </c>
      <c r="C27482" s="8" t="n">
        <v>1</v>
      </c>
      <c r="D27482" s="8" t="inlineStr">
        <is>
          <t>Disneyland Park</t>
        </is>
      </c>
      <c r="E27482" s="8" t="inlineStr">
        <is>
          <t>Star Tours: The Adventures Continue*</t>
        </is>
      </c>
      <c r="F27482" s="8" t="inlineStr">
        <is>
          <t>STANDBY</t>
        </is>
      </c>
      <c r="G27482" s="8" t="n">
        <v>0</v>
      </c>
      <c r="H27482" s="8" t="inlineStr">
        <is>
          <t>CLOSED</t>
        </is>
      </c>
    </row>
    <row r="27483">
      <c r="A27483" s="8" t="inlineStr">
        <is>
          <t>2026-08-05</t>
        </is>
      </c>
      <c r="B27483" s="8" t="n">
        <v>23</v>
      </c>
      <c r="C27483" s="8" t="n">
        <v>1</v>
      </c>
      <c r="D27483" s="8" t="inlineStr">
        <is>
          <t>Disneyland Park</t>
        </is>
      </c>
      <c r="E27483" s="8" t="inlineStr">
        <is>
          <t>Star Wars Hyperspace Mountain</t>
        </is>
      </c>
      <c r="F27483" s="8" t="inlineStr">
        <is>
          <t>STANDBY</t>
        </is>
      </c>
      <c r="G27483" s="8" t="n">
        <v>0</v>
      </c>
      <c r="H27483" s="8" t="inlineStr">
        <is>
          <t>CLOSED</t>
        </is>
      </c>
    </row>
    <row r="27484">
      <c r="A27484" s="8" t="inlineStr">
        <is>
          <t>2026-08-05</t>
        </is>
      </c>
      <c r="B27484" s="8" t="n">
        <v>23</v>
      </c>
      <c r="C27484" s="8" t="n">
        <v>1</v>
      </c>
      <c r="D27484" s="8" t="inlineStr">
        <is>
          <t>Disneyland Park</t>
        </is>
      </c>
      <c r="E27484" s="8" t="inlineStr">
        <is>
          <t>Star Wars Hyperspace Mountain Single Rider</t>
        </is>
      </c>
      <c r="F27484" s="8" t="inlineStr">
        <is>
          <t>STANDBY</t>
        </is>
      </c>
      <c r="G27484" s="8" t="n">
        <v>0</v>
      </c>
      <c r="H27484" s="8" t="inlineStr">
        <is>
          <t>CLOSED</t>
        </is>
      </c>
    </row>
    <row r="27485">
      <c r="A27485" s="8" t="inlineStr">
        <is>
          <t>2026-08-05</t>
        </is>
      </c>
      <c r="B27485" s="8" t="n">
        <v>23</v>
      </c>
      <c r="C27485" s="8" t="n">
        <v>1</v>
      </c>
      <c r="D27485" s="8" t="inlineStr">
        <is>
          <t>Disneyland Park</t>
        </is>
      </c>
      <c r="E27485" s="8" t="inlineStr">
        <is>
          <t>Welcome to Starport: A Star Wars Encounter</t>
        </is>
      </c>
      <c r="F27485" s="8" t="inlineStr">
        <is>
          <t>STANDBY</t>
        </is>
      </c>
      <c r="G27485" s="8" t="n">
        <v>0</v>
      </c>
      <c r="H27485" s="8" t="inlineStr">
        <is>
          <t>CLOSED</t>
        </is>
      </c>
    </row>
    <row r="27486">
      <c r="A27486" s="8" t="inlineStr">
        <is>
          <t>2026-08-05</t>
        </is>
      </c>
      <c r="B27486" s="8" t="n">
        <v>23</v>
      </c>
      <c r="C27486" s="8" t="n">
        <v>1</v>
      </c>
      <c r="D27486" s="8" t="inlineStr">
        <is>
          <t>Disneyland Park</t>
        </is>
      </c>
      <c r="E27486" s="8" t="inlineStr">
        <is>
          <t>"it's a small world"</t>
        </is>
      </c>
      <c r="F27486" s="8" t="inlineStr">
        <is>
          <t>STANDBY</t>
        </is>
      </c>
      <c r="G27486" s="8" t="n">
        <v>0</v>
      </c>
      <c r="H27486" s="8" t="inlineStr">
        <is>
          <t>CLOSED</t>
        </is>
      </c>
    </row>
    <row r="27487">
      <c r="A27487" s="8" t="inlineStr">
        <is>
          <t>2026-08-05</t>
        </is>
      </c>
      <c r="B27487" s="8" t="n">
        <v>23</v>
      </c>
      <c r="C27487" s="8" t="n">
        <v>1</v>
      </c>
      <c r="D27487" s="8" t="inlineStr">
        <is>
          <t>Disneyland Park</t>
        </is>
      </c>
      <c r="E27487" s="8" t="inlineStr">
        <is>
          <t>Alice's Curious Labyrinth</t>
        </is>
      </c>
      <c r="F27487" s="8" t="inlineStr">
        <is>
          <t>STANDBY</t>
        </is>
      </c>
      <c r="G27487" s="8" t="n">
        <v>0</v>
      </c>
      <c r="H27487" s="8" t="inlineStr">
        <is>
          <t>CLOSED</t>
        </is>
      </c>
    </row>
    <row r="27488">
      <c r="A27488" s="8" t="inlineStr">
        <is>
          <t>2026-08-05</t>
        </is>
      </c>
      <c r="B27488" s="8" t="n">
        <v>23</v>
      </c>
      <c r="C27488" s="8" t="n">
        <v>1</v>
      </c>
      <c r="D27488" s="8" t="inlineStr">
        <is>
          <t>Disneyland Park</t>
        </is>
      </c>
      <c r="E27488" s="8" t="inlineStr">
        <is>
          <t>Blanche-Neige et les Sept Nains®</t>
        </is>
      </c>
      <c r="F27488" s="8" t="inlineStr">
        <is>
          <t>STANDBY</t>
        </is>
      </c>
      <c r="G27488" s="8" t="n">
        <v>0</v>
      </c>
      <c r="H27488" s="8" t="inlineStr">
        <is>
          <t>CLOSED</t>
        </is>
      </c>
    </row>
    <row r="27489">
      <c r="A27489" s="8" t="inlineStr">
        <is>
          <t>2026-08-05</t>
        </is>
      </c>
      <c r="B27489" s="8" t="n">
        <v>23</v>
      </c>
      <c r="C27489" s="8" t="n">
        <v>1</v>
      </c>
      <c r="D27489" s="8" t="inlineStr">
        <is>
          <t>Disneyland Park</t>
        </is>
      </c>
      <c r="E27489" s="8" t="inlineStr">
        <is>
          <t>Casey Jr. – le Petit Train du Cirque</t>
        </is>
      </c>
      <c r="F27489" s="8" t="inlineStr">
        <is>
          <t>STANDBY</t>
        </is>
      </c>
      <c r="G27489" s="8" t="n">
        <v>0</v>
      </c>
      <c r="H27489" s="8" t="inlineStr">
        <is>
          <t>CLOSED</t>
        </is>
      </c>
    </row>
    <row r="27490">
      <c r="A27490" s="8" t="inlineStr">
        <is>
          <t>2026-08-05</t>
        </is>
      </c>
      <c r="B27490" s="8" t="n">
        <v>23</v>
      </c>
      <c r="C27490" s="8" t="n">
        <v>1</v>
      </c>
      <c r="D27490" s="8" t="inlineStr">
        <is>
          <t>Disneyland Park</t>
        </is>
      </c>
      <c r="E27490" s="8" t="inlineStr">
        <is>
          <t>Disneyland Railroad Fantasyland Station</t>
        </is>
      </c>
      <c r="F27490" s="8" t="inlineStr">
        <is>
          <t>STANDBY</t>
        </is>
      </c>
      <c r="G27490" s="8" t="n">
        <v>0</v>
      </c>
      <c r="H27490" s="8" t="inlineStr">
        <is>
          <t>CLOSED</t>
        </is>
      </c>
    </row>
    <row r="27491">
      <c r="A27491" s="8" t="inlineStr">
        <is>
          <t>2026-08-05</t>
        </is>
      </c>
      <c r="B27491" s="8" t="n">
        <v>23</v>
      </c>
      <c r="C27491" s="8" t="n">
        <v>1</v>
      </c>
      <c r="D27491" s="8" t="inlineStr">
        <is>
          <t>Disneyland Park</t>
        </is>
      </c>
      <c r="E27491" s="8" t="inlineStr">
        <is>
          <t>Disneyland Railroad Main Street Station</t>
        </is>
      </c>
      <c r="F27491" s="8" t="inlineStr">
        <is>
          <t>STANDBY</t>
        </is>
      </c>
      <c r="G27491" s="8" t="n">
        <v>0</v>
      </c>
      <c r="H27491" s="8" t="inlineStr">
        <is>
          <t>CLOSED</t>
        </is>
      </c>
    </row>
    <row r="27492">
      <c r="A27492" s="8" t="inlineStr">
        <is>
          <t>2026-08-05</t>
        </is>
      </c>
      <c r="B27492" s="8" t="n">
        <v>23</v>
      </c>
      <c r="C27492" s="8" t="n">
        <v>1</v>
      </c>
      <c r="D27492" s="8" t="inlineStr">
        <is>
          <t>Disneyland Park</t>
        </is>
      </c>
      <c r="E27492" s="8" t="inlineStr">
        <is>
          <t>Dumbo the Flying Elephant</t>
        </is>
      </c>
      <c r="F27492" s="8" t="inlineStr">
        <is>
          <t>STANDBY</t>
        </is>
      </c>
      <c r="G27492" s="8" t="n">
        <v>0</v>
      </c>
      <c r="H27492" s="8" t="inlineStr">
        <is>
          <t>CLOSED</t>
        </is>
      </c>
    </row>
    <row r="27493">
      <c r="A27493" s="8" t="inlineStr">
        <is>
          <t>2026-08-05</t>
        </is>
      </c>
      <c r="B27493" s="8" t="n">
        <v>23</v>
      </c>
      <c r="C27493" s="8" t="n">
        <v>1</v>
      </c>
      <c r="D27493" s="8" t="inlineStr">
        <is>
          <t>Disneyland Park</t>
        </is>
      </c>
      <c r="E27493" s="8" t="inlineStr">
        <is>
          <t>La Tanière du Dragon</t>
        </is>
      </c>
      <c r="F27493" s="8" t="inlineStr">
        <is>
          <t>STANDBY</t>
        </is>
      </c>
      <c r="G27493" s="8" t="n">
        <v>0</v>
      </c>
      <c r="H27493" s="8" t="inlineStr">
        <is>
          <t>CLOSED</t>
        </is>
      </c>
    </row>
    <row r="27494">
      <c r="A27494" s="8" t="inlineStr">
        <is>
          <t>2026-08-05</t>
        </is>
      </c>
      <c r="B27494" s="8" t="n">
        <v>23</v>
      </c>
      <c r="C27494" s="8" t="n">
        <v>1</v>
      </c>
      <c r="D27494" s="8" t="inlineStr">
        <is>
          <t>Disneyland Park</t>
        </is>
      </c>
      <c r="E27494" s="8" t="inlineStr">
        <is>
          <t>Le Carrousel de Lancelot</t>
        </is>
      </c>
      <c r="F27494" s="8" t="inlineStr">
        <is>
          <t>STANDBY</t>
        </is>
      </c>
      <c r="G27494" s="8" t="n">
        <v>0</v>
      </c>
      <c r="H27494" s="8" t="inlineStr">
        <is>
          <t>CLOSED</t>
        </is>
      </c>
    </row>
    <row r="27495">
      <c r="A27495" s="8" t="inlineStr">
        <is>
          <t>2026-08-05</t>
        </is>
      </c>
      <c r="B27495" s="8" t="n">
        <v>23</v>
      </c>
      <c r="C27495" s="8" t="n">
        <v>1</v>
      </c>
      <c r="D27495" s="8" t="inlineStr">
        <is>
          <t>Disneyland Park</t>
        </is>
      </c>
      <c r="E27495" s="8" t="inlineStr">
        <is>
          <t>Le Pays des Contes de Fées, presented by Vittel</t>
        </is>
      </c>
      <c r="F27495" s="8" t="inlineStr">
        <is>
          <t>STANDBY</t>
        </is>
      </c>
      <c r="G27495" s="8" t="n">
        <v>0</v>
      </c>
      <c r="H27495" s="8" t="inlineStr">
        <is>
          <t>CLOSED</t>
        </is>
      </c>
    </row>
    <row r="27496">
      <c r="A27496" s="8" t="inlineStr">
        <is>
          <t>2026-08-05</t>
        </is>
      </c>
      <c r="B27496" s="8" t="n">
        <v>23</v>
      </c>
      <c r="C27496" s="8" t="n">
        <v>1</v>
      </c>
      <c r="D27496" s="8" t="inlineStr">
        <is>
          <t>Disneyland Park</t>
        </is>
      </c>
      <c r="E27496" s="8" t="inlineStr">
        <is>
          <t>Les Voyages de Pinocchio</t>
        </is>
      </c>
      <c r="F27496" s="8" t="inlineStr">
        <is>
          <t>STANDBY</t>
        </is>
      </c>
      <c r="G27496" s="8" t="n">
        <v>0</v>
      </c>
      <c r="H27496" s="8" t="inlineStr">
        <is>
          <t>CLOSED</t>
        </is>
      </c>
    </row>
    <row r="27497">
      <c r="A27497" s="8" t="inlineStr">
        <is>
          <t>2026-08-05</t>
        </is>
      </c>
      <c r="B27497" s="8" t="n">
        <v>23</v>
      </c>
      <c r="C27497" s="8" t="n">
        <v>1</v>
      </c>
      <c r="D27497" s="8" t="inlineStr">
        <is>
          <t>Disneyland Park</t>
        </is>
      </c>
      <c r="E27497" s="8" t="inlineStr">
        <is>
          <t>Mad Hatter's Tea Cups</t>
        </is>
      </c>
      <c r="F27497" s="8" t="inlineStr">
        <is>
          <t>STANDBY</t>
        </is>
      </c>
      <c r="G27497" s="8" t="n">
        <v>0</v>
      </c>
      <c r="H27497" s="8" t="inlineStr">
        <is>
          <t>CLOSED</t>
        </is>
      </c>
    </row>
    <row r="27498">
      <c r="A27498" s="8" t="inlineStr">
        <is>
          <t>2026-08-05</t>
        </is>
      </c>
      <c r="B27498" s="8" t="n">
        <v>23</v>
      </c>
      <c r="C27498" s="8" t="n">
        <v>1</v>
      </c>
      <c r="D27498" s="8" t="inlineStr">
        <is>
          <t>Disneyland Park</t>
        </is>
      </c>
      <c r="E27498" s="8" t="inlineStr">
        <is>
          <t>Meet Mickey Mouse</t>
        </is>
      </c>
      <c r="F27498" s="8" t="inlineStr">
        <is>
          <t>STANDBY</t>
        </is>
      </c>
      <c r="G27498" s="8" t="n">
        <v>0</v>
      </c>
      <c r="H27498" s="8" t="inlineStr">
        <is>
          <t>CLOSED</t>
        </is>
      </c>
    </row>
    <row r="27499">
      <c r="A27499" s="8" t="inlineStr">
        <is>
          <t>2026-08-05</t>
        </is>
      </c>
      <c r="B27499" s="8" t="n">
        <v>23</v>
      </c>
      <c r="C27499" s="8" t="n">
        <v>1</v>
      </c>
      <c r="D27499" s="8" t="inlineStr">
        <is>
          <t>Disneyland Park</t>
        </is>
      </c>
      <c r="E27499" s="8" t="inlineStr">
        <is>
          <t>Peter Pan's Flight</t>
        </is>
      </c>
      <c r="F27499" s="8" t="inlineStr">
        <is>
          <t>STANDBY</t>
        </is>
      </c>
      <c r="G27499" s="8" t="n">
        <v>0</v>
      </c>
      <c r="H27499" s="8" t="inlineStr">
        <is>
          <t>CLOSED</t>
        </is>
      </c>
    </row>
    <row r="27500">
      <c r="A27500" s="8" t="inlineStr">
        <is>
          <t>2026-08-05</t>
        </is>
      </c>
      <c r="B27500" s="8" t="n">
        <v>23</v>
      </c>
      <c r="C27500" s="8" t="n">
        <v>1</v>
      </c>
      <c r="D27500" s="8" t="inlineStr">
        <is>
          <t>Disneyland Park</t>
        </is>
      </c>
      <c r="E27500" s="8" t="inlineStr">
        <is>
          <t>Princess Pavilion</t>
        </is>
      </c>
      <c r="F27500" s="8" t="inlineStr">
        <is>
          <t>STANDBY</t>
        </is>
      </c>
      <c r="G27500" s="8" t="n">
        <v>0</v>
      </c>
      <c r="H27500" s="8" t="inlineStr">
        <is>
          <t>CLOSED</t>
        </is>
      </c>
    </row>
    <row r="27501">
      <c r="A27501" s="8" t="inlineStr">
        <is>
          <t>2026-08-05</t>
        </is>
      </c>
      <c r="B27501" s="8" t="n">
        <v>23</v>
      </c>
      <c r="C27501" s="8" t="n">
        <v>1</v>
      </c>
      <c r="D27501" s="8" t="inlineStr">
        <is>
          <t>Disneyland Park</t>
        </is>
      </c>
      <c r="E27501" s="8" t="inlineStr">
        <is>
          <t>Big Thunder Mountain</t>
        </is>
      </c>
      <c r="F27501" s="8" t="inlineStr">
        <is>
          <t>STANDBY</t>
        </is>
      </c>
      <c r="G27501" s="8" t="n">
        <v>0</v>
      </c>
      <c r="H27501" s="8" t="inlineStr">
        <is>
          <t>CLOSED</t>
        </is>
      </c>
    </row>
    <row r="27502">
      <c r="A27502" s="8" t="inlineStr">
        <is>
          <t>2026-08-05</t>
        </is>
      </c>
      <c r="B27502" s="8" t="n">
        <v>23</v>
      </c>
      <c r="C27502" s="8" t="n">
        <v>1</v>
      </c>
      <c r="D27502" s="8" t="inlineStr">
        <is>
          <t>Disneyland Park</t>
        </is>
      </c>
      <c r="E27502" s="8" t="inlineStr">
        <is>
          <t>Disneyland Railroad Frontierland Depot</t>
        </is>
      </c>
      <c r="F27502" s="8" t="inlineStr">
        <is>
          <t>STANDBY</t>
        </is>
      </c>
      <c r="G27502" s="8" t="n">
        <v>0</v>
      </c>
      <c r="H27502" s="8" t="inlineStr">
        <is>
          <t>CLOSED</t>
        </is>
      </c>
    </row>
    <row r="27503">
      <c r="A27503" s="8" t="inlineStr">
        <is>
          <t>2026-08-05</t>
        </is>
      </c>
      <c r="B27503" s="8" t="n">
        <v>23</v>
      </c>
      <c r="C27503" s="8" t="n">
        <v>1</v>
      </c>
      <c r="D27503" s="8" t="inlineStr">
        <is>
          <t>Disneyland Park</t>
        </is>
      </c>
      <c r="E27503" s="8" t="inlineStr">
        <is>
          <t>Frontierland Playground</t>
        </is>
      </c>
      <c r="F27503" s="8" t="inlineStr">
        <is>
          <t>STANDBY</t>
        </is>
      </c>
      <c r="G27503" s="8" t="n">
        <v>0</v>
      </c>
      <c r="H27503" s="8" t="inlineStr">
        <is>
          <t>CLOSED</t>
        </is>
      </c>
    </row>
    <row r="27504">
      <c r="A27504" s="8" t="inlineStr">
        <is>
          <t>2026-08-05</t>
        </is>
      </c>
      <c r="B27504" s="8" t="n">
        <v>23</v>
      </c>
      <c r="C27504" s="8" t="n">
        <v>1</v>
      </c>
      <c r="D27504" s="8" t="inlineStr">
        <is>
          <t>Disneyland Park</t>
        </is>
      </c>
      <c r="E27504" s="8" t="inlineStr">
        <is>
          <t>Phantom Manor</t>
        </is>
      </c>
      <c r="F27504" s="8" t="inlineStr">
        <is>
          <t>STANDBY</t>
        </is>
      </c>
      <c r="G27504" s="8" t="n">
        <v>0</v>
      </c>
      <c r="H27504" s="8" t="inlineStr">
        <is>
          <t>CLOSED</t>
        </is>
      </c>
    </row>
    <row r="27505">
      <c r="A27505" s="8" t="inlineStr">
        <is>
          <t>2026-08-05</t>
        </is>
      </c>
      <c r="B27505" s="8" t="n">
        <v>23</v>
      </c>
      <c r="C27505" s="8" t="n">
        <v>1</v>
      </c>
      <c r="D27505" s="8" t="inlineStr">
        <is>
          <t>Disneyland Park</t>
        </is>
      </c>
      <c r="E27505" s="8" t="inlineStr">
        <is>
          <t>River Rogue Keelboats</t>
        </is>
      </c>
      <c r="F27505" s="8" t="inlineStr">
        <is>
          <t>STANDBY</t>
        </is>
      </c>
      <c r="G27505" s="8" t="n">
        <v>0</v>
      </c>
      <c r="H27505" s="8" t="inlineStr">
        <is>
          <t>CLOSED</t>
        </is>
      </c>
    </row>
    <row r="27506">
      <c r="A27506" s="8" t="inlineStr">
        <is>
          <t>2026-08-05</t>
        </is>
      </c>
      <c r="B27506" s="8" t="n">
        <v>23</v>
      </c>
      <c r="C27506" s="8" t="n">
        <v>1</v>
      </c>
      <c r="D27506" s="8" t="inlineStr">
        <is>
          <t>Disneyland Park</t>
        </is>
      </c>
      <c r="E27506" s="8" t="inlineStr">
        <is>
          <t>Rustler Roundup Shootin' Gallery</t>
        </is>
      </c>
      <c r="F27506" s="8" t="inlineStr">
        <is>
          <t>STANDBY</t>
        </is>
      </c>
      <c r="G27506" s="8" t="n">
        <v>0</v>
      </c>
      <c r="H27506" s="8" t="inlineStr">
        <is>
          <t>CLOSED</t>
        </is>
      </c>
    </row>
    <row r="27507">
      <c r="A27507" s="8" t="inlineStr">
        <is>
          <t>2026-08-05</t>
        </is>
      </c>
      <c r="B27507" s="8" t="n">
        <v>23</v>
      </c>
      <c r="C27507" s="8" t="n">
        <v>1</v>
      </c>
      <c r="D27507" s="8" t="inlineStr">
        <is>
          <t>Disneyland Park</t>
        </is>
      </c>
      <c r="E27507" s="8" t="inlineStr">
        <is>
          <t>Thunder Mesa Riverboat Landing</t>
        </is>
      </c>
      <c r="F27507" s="8" t="inlineStr">
        <is>
          <t>STANDBY</t>
        </is>
      </c>
      <c r="G27507" s="8" t="n">
        <v>0</v>
      </c>
      <c r="H27507" s="8" t="inlineStr">
        <is>
          <t>CLOSED</t>
        </is>
      </c>
    </row>
    <row r="27508">
      <c r="A27508" s="8" t="inlineStr">
        <is>
          <t>2026-08-05</t>
        </is>
      </c>
      <c r="B27508" s="8" t="n">
        <v>23</v>
      </c>
      <c r="C27508" s="8" t="n">
        <v>1</v>
      </c>
      <c r="D27508" s="8" t="inlineStr">
        <is>
          <t>Disneyland Park</t>
        </is>
      </c>
      <c r="E27508" s="8" t="inlineStr">
        <is>
          <t>Disneyland Railroad Main Street Station</t>
        </is>
      </c>
      <c r="F27508" s="8" t="inlineStr">
        <is>
          <t>STANDBY</t>
        </is>
      </c>
      <c r="G27508" s="8" t="n">
        <v>0</v>
      </c>
      <c r="H27508" s="8" t="inlineStr">
        <is>
          <t>CLOSED</t>
        </is>
      </c>
    </row>
    <row r="27509">
      <c r="A27509" s="8" t="inlineStr">
        <is>
          <t>2026-08-05</t>
        </is>
      </c>
      <c r="B27509" s="8" t="n">
        <v>23</v>
      </c>
      <c r="C27509" s="8" t="n">
        <v>1</v>
      </c>
      <c r="D27509" s="8" t="inlineStr">
        <is>
          <t>Disneyland Park</t>
        </is>
      </c>
      <c r="E27509" s="8" t="inlineStr">
        <is>
          <t>Main Street Vehicles</t>
        </is>
      </c>
      <c r="F27509" s="8" t="inlineStr">
        <is>
          <t>STANDBY</t>
        </is>
      </c>
      <c r="G27509" s="8" t="n">
        <v>0</v>
      </c>
      <c r="H27509" s="8" t="inlineStr">
        <is>
          <t>CLOSED</t>
        </is>
      </c>
    </row>
    <row r="27510">
      <c r="A27510" s="8" t="inlineStr">
        <is>
          <t>2026-08-05</t>
        </is>
      </c>
      <c r="B27510" s="8" t="n">
        <v>23</v>
      </c>
      <c r="C27510" s="8" t="n">
        <v>1</v>
      </c>
      <c r="D27510" s="8" t="inlineStr">
        <is>
          <t>Disney Adventure World</t>
        </is>
      </c>
      <c r="E27510" s="8" t="inlineStr">
        <is>
          <t>Avengers Assemble: Flight Force</t>
        </is>
      </c>
      <c r="F27510" s="8" t="inlineStr">
        <is>
          <t>STANDBY</t>
        </is>
      </c>
      <c r="G27510" s="8" t="n">
        <v>0</v>
      </c>
      <c r="H27510" s="8" t="inlineStr">
        <is>
          <t>CLOSED</t>
        </is>
      </c>
    </row>
    <row r="27511">
      <c r="A27511" s="8" t="inlineStr">
        <is>
          <t>2026-08-05</t>
        </is>
      </c>
      <c r="B27511" s="8" t="n">
        <v>23</v>
      </c>
      <c r="C27511" s="8" t="n">
        <v>1</v>
      </c>
      <c r="D27511" s="8" t="inlineStr">
        <is>
          <t>Disney Adventure World</t>
        </is>
      </c>
      <c r="E27511" s="8" t="inlineStr">
        <is>
          <t>Avengers Assemble: Flight Force Single Rider</t>
        </is>
      </c>
      <c r="F27511" s="8" t="inlineStr">
        <is>
          <t>STANDBY</t>
        </is>
      </c>
      <c r="G27511" s="8" t="n">
        <v>0</v>
      </c>
      <c r="H27511" s="8" t="inlineStr">
        <is>
          <t>CLOSED</t>
        </is>
      </c>
    </row>
    <row r="27512">
      <c r="A27512" s="8" t="inlineStr">
        <is>
          <t>2026-08-05</t>
        </is>
      </c>
      <c r="B27512" s="8" t="n">
        <v>23</v>
      </c>
      <c r="C27512" s="8" t="n">
        <v>1</v>
      </c>
      <c r="D27512" s="8" t="inlineStr">
        <is>
          <t>Disney Adventure World</t>
        </is>
      </c>
      <c r="E27512" s="8" t="inlineStr">
        <is>
          <t>Spider-Man W.E.B. Adventure</t>
        </is>
      </c>
      <c r="F27512" s="8" t="inlineStr">
        <is>
          <t>STANDBY</t>
        </is>
      </c>
      <c r="G27512" s="8" t="n">
        <v>0</v>
      </c>
      <c r="H27512" s="8" t="inlineStr">
        <is>
          <t>CLOSED</t>
        </is>
      </c>
    </row>
    <row r="27513">
      <c r="A27513" s="8" t="inlineStr">
        <is>
          <t>2026-08-05</t>
        </is>
      </c>
      <c r="B27513" s="8" t="n">
        <v>23</v>
      </c>
      <c r="C27513" s="8" t="n">
        <v>1</v>
      </c>
      <c r="D27513" s="8" t="inlineStr">
        <is>
          <t>Disney Adventure World</t>
        </is>
      </c>
      <c r="E27513" s="8" t="inlineStr">
        <is>
          <t>Spider-Man W.E.B. Adventure Single Rider</t>
        </is>
      </c>
      <c r="F27513" s="8" t="inlineStr">
        <is>
          <t>STANDBY</t>
        </is>
      </c>
      <c r="G27513" s="8" t="n">
        <v>0</v>
      </c>
      <c r="H27513" s="8" t="inlineStr">
        <is>
          <t>CLOSED</t>
        </is>
      </c>
    </row>
    <row r="27514">
      <c r="A27514" s="8" t="inlineStr">
        <is>
          <t>2026-08-05</t>
        </is>
      </c>
      <c r="B27514" s="8" t="n">
        <v>23</v>
      </c>
      <c r="C27514" s="8" t="n">
        <v>1</v>
      </c>
      <c r="D27514" s="8" t="inlineStr">
        <is>
          <t>Disney Adventure World</t>
        </is>
      </c>
      <c r="E27514" s="8" t="inlineStr">
        <is>
          <t>The Twilight Zone Tower of Terror</t>
        </is>
      </c>
      <c r="F27514" s="8" t="inlineStr">
        <is>
          <t>STANDBY</t>
        </is>
      </c>
      <c r="G27514" s="8" t="n">
        <v>0</v>
      </c>
      <c r="H27514" s="8" t="inlineStr">
        <is>
          <t>CLOSED</t>
        </is>
      </c>
    </row>
    <row r="27515">
      <c r="A27515" s="8" t="inlineStr">
        <is>
          <t>2026-08-05</t>
        </is>
      </c>
      <c r="B27515" s="8" t="n">
        <v>23</v>
      </c>
      <c r="C27515" s="8" t="n">
        <v>1</v>
      </c>
      <c r="D27515" s="8" t="inlineStr">
        <is>
          <t>Disney Adventure World</t>
        </is>
      </c>
      <c r="E27515" s="8" t="inlineStr">
        <is>
          <t>Cars Quatre Roues Rallye</t>
        </is>
      </c>
      <c r="F27515" s="8" t="inlineStr">
        <is>
          <t>STANDBY</t>
        </is>
      </c>
      <c r="G27515" s="8" t="n">
        <v>0</v>
      </c>
      <c r="H27515" s="8" t="inlineStr">
        <is>
          <t>CLOSED</t>
        </is>
      </c>
    </row>
    <row r="27516">
      <c r="A27516" s="8" t="inlineStr">
        <is>
          <t>2026-08-05</t>
        </is>
      </c>
      <c r="B27516" s="8" t="n">
        <v>23</v>
      </c>
      <c r="C27516" s="8" t="n">
        <v>1</v>
      </c>
      <c r="D27516" s="8" t="inlineStr">
        <is>
          <t>Disney Adventure World</t>
        </is>
      </c>
      <c r="E27516" s="8" t="inlineStr">
        <is>
          <t>Cars ROAD TRIP</t>
        </is>
      </c>
      <c r="F27516" s="8" t="inlineStr">
        <is>
          <t>STANDBY</t>
        </is>
      </c>
      <c r="G27516" s="8" t="n">
        <v>0</v>
      </c>
      <c r="H27516" s="8" t="inlineStr">
        <is>
          <t>CLOSED</t>
        </is>
      </c>
    </row>
    <row r="27517">
      <c r="A27517" s="8" t="inlineStr">
        <is>
          <t>2026-08-05</t>
        </is>
      </c>
      <c r="B27517" s="8" t="n">
        <v>23</v>
      </c>
      <c r="C27517" s="8" t="n">
        <v>1</v>
      </c>
      <c r="D27517" s="8" t="inlineStr">
        <is>
          <t>Disney Adventure World</t>
        </is>
      </c>
      <c r="E27517" s="8" t="inlineStr">
        <is>
          <t>Crush's Coaster</t>
        </is>
      </c>
      <c r="F27517" s="8" t="inlineStr">
        <is>
          <t>STANDBY</t>
        </is>
      </c>
      <c r="G27517" s="8" t="n">
        <v>0</v>
      </c>
      <c r="H27517" s="8" t="inlineStr">
        <is>
          <t>CLOSED</t>
        </is>
      </c>
    </row>
    <row r="27518">
      <c r="A27518" s="8" t="inlineStr">
        <is>
          <t>2026-08-05</t>
        </is>
      </c>
      <c r="B27518" s="8" t="n">
        <v>23</v>
      </c>
      <c r="C27518" s="8" t="n">
        <v>1</v>
      </c>
      <c r="D27518" s="8" t="inlineStr">
        <is>
          <t>Disney Adventure World</t>
        </is>
      </c>
      <c r="E27518" s="8" t="inlineStr">
        <is>
          <t>Crush's Coaster Single Rider</t>
        </is>
      </c>
      <c r="F27518" s="8" t="inlineStr">
        <is>
          <t>STANDBY</t>
        </is>
      </c>
      <c r="G27518" s="8" t="n">
        <v>0</v>
      </c>
      <c r="H27518" s="8" t="inlineStr">
        <is>
          <t>CLOSED</t>
        </is>
      </c>
    </row>
    <row r="27519">
      <c r="A27519" s="8" t="inlineStr">
        <is>
          <t>2026-08-05</t>
        </is>
      </c>
      <c r="B27519" s="8" t="n">
        <v>23</v>
      </c>
      <c r="C27519" s="8" t="n">
        <v>1</v>
      </c>
      <c r="D27519" s="8" t="inlineStr">
        <is>
          <t>Disney Adventure World</t>
        </is>
      </c>
      <c r="E27519" s="8" t="inlineStr">
        <is>
          <t>Les Tapis Volants - Flying Carpets Over Agrabah®</t>
        </is>
      </c>
      <c r="F27519" s="8" t="inlineStr">
        <is>
          <t>STANDBY</t>
        </is>
      </c>
      <c r="G27519" s="8" t="n">
        <v>0</v>
      </c>
      <c r="H27519" s="8" t="inlineStr">
        <is>
          <t>CLOSED</t>
        </is>
      </c>
    </row>
    <row r="27520">
      <c r="A27520" s="8" t="inlineStr">
        <is>
          <t>2026-08-05</t>
        </is>
      </c>
      <c r="B27520" s="8" t="n">
        <v>23</v>
      </c>
      <c r="C27520" s="8" t="n">
        <v>1</v>
      </c>
      <c r="D27520" s="8" t="inlineStr">
        <is>
          <t>Disney Adventure World</t>
        </is>
      </c>
      <c r="E27520" s="8" t="inlineStr">
        <is>
          <t>Ratatouille : L’Aventure Totalement Toquée de Rémy​</t>
        </is>
      </c>
      <c r="F27520" s="8" t="inlineStr">
        <is>
          <t>STANDBY</t>
        </is>
      </c>
      <c r="G27520" s="8" t="n">
        <v>0</v>
      </c>
      <c r="H27520" s="8" t="inlineStr">
        <is>
          <t>CLOSED</t>
        </is>
      </c>
    </row>
    <row r="27521">
      <c r="A27521" s="8" t="inlineStr">
        <is>
          <t>2026-08-05</t>
        </is>
      </c>
      <c r="B27521" s="8" t="n">
        <v>23</v>
      </c>
      <c r="C27521" s="8" t="n">
        <v>1</v>
      </c>
      <c r="D27521" s="8" t="inlineStr">
        <is>
          <t>Disney Adventure World</t>
        </is>
      </c>
      <c r="E27521" s="8" t="inlineStr">
        <is>
          <t>Ratatouille: The Adventure Single Rider</t>
        </is>
      </c>
      <c r="F27521" s="8" t="inlineStr">
        <is>
          <t>STANDBY</t>
        </is>
      </c>
      <c r="G27521" s="8" t="n">
        <v>0</v>
      </c>
      <c r="H27521" s="8" t="inlineStr">
        <is>
          <t>CLOSED</t>
        </is>
      </c>
    </row>
    <row r="27522">
      <c r="A27522" s="8" t="inlineStr">
        <is>
          <t>2026-08-05</t>
        </is>
      </c>
      <c r="B27522" s="8" t="n">
        <v>23</v>
      </c>
      <c r="C27522" s="8" t="n">
        <v>1</v>
      </c>
      <c r="D27522" s="8" t="inlineStr">
        <is>
          <t>Disney Adventure World</t>
        </is>
      </c>
      <c r="E27522" s="8" t="inlineStr">
        <is>
          <t>RC Racer</t>
        </is>
      </c>
      <c r="F27522" s="8" t="inlineStr">
        <is>
          <t>STANDBY</t>
        </is>
      </c>
      <c r="G27522" s="8" t="n">
        <v>0</v>
      </c>
      <c r="H27522" s="8" t="inlineStr">
        <is>
          <t>CLOSED</t>
        </is>
      </c>
    </row>
    <row r="27523">
      <c r="A27523" s="8" t="inlineStr">
        <is>
          <t>2026-08-05</t>
        </is>
      </c>
      <c r="B27523" s="8" t="n">
        <v>23</v>
      </c>
      <c r="C27523" s="8" t="n">
        <v>1</v>
      </c>
      <c r="D27523" s="8" t="inlineStr">
        <is>
          <t>Disney Adventure World</t>
        </is>
      </c>
      <c r="E27523" s="8" t="inlineStr">
        <is>
          <t>RC Racer Single Rider</t>
        </is>
      </c>
      <c r="F27523" s="8" t="inlineStr">
        <is>
          <t>STANDBY</t>
        </is>
      </c>
      <c r="G27523" s="8" t="n">
        <v>0</v>
      </c>
      <c r="H27523" s="8" t="inlineStr">
        <is>
          <t>CLOSED</t>
        </is>
      </c>
    </row>
    <row r="27524">
      <c r="A27524" s="8" t="inlineStr">
        <is>
          <t>2026-08-05</t>
        </is>
      </c>
      <c r="B27524" s="8" t="n">
        <v>23</v>
      </c>
      <c r="C27524" s="8" t="n">
        <v>1</v>
      </c>
      <c r="D27524" s="8" t="inlineStr">
        <is>
          <t>Disney Adventure World</t>
        </is>
      </c>
      <c r="E27524" s="8" t="inlineStr">
        <is>
          <t>Slinky® Dog Zigzag Spin</t>
        </is>
      </c>
      <c r="F27524" s="8" t="inlineStr">
        <is>
          <t>STANDBY</t>
        </is>
      </c>
      <c r="G27524" s="8" t="n">
        <v>0</v>
      </c>
      <c r="H27524" s="8" t="inlineStr">
        <is>
          <t>CLOSED</t>
        </is>
      </c>
    </row>
    <row r="27525">
      <c r="A27525" s="8" t="inlineStr">
        <is>
          <t>2026-08-05</t>
        </is>
      </c>
      <c r="B27525" s="8" t="n">
        <v>23</v>
      </c>
      <c r="C27525" s="8" t="n">
        <v>1</v>
      </c>
      <c r="D27525" s="8" t="inlineStr">
        <is>
          <t>Disney Adventure World</t>
        </is>
      </c>
      <c r="E27525" s="8" t="inlineStr">
        <is>
          <t>Toy Soldiers Parachute Drop</t>
        </is>
      </c>
      <c r="F27525" s="8" t="inlineStr">
        <is>
          <t>STANDBY</t>
        </is>
      </c>
      <c r="G27525" s="8" t="n">
        <v>0</v>
      </c>
      <c r="H27525" s="8" t="inlineStr">
        <is>
          <t>CLOSED</t>
        </is>
      </c>
    </row>
    <row r="27526">
      <c r="A27526" s="8" t="inlineStr">
        <is>
          <t>2026-08-05</t>
        </is>
      </c>
      <c r="B27526" s="8" t="n">
        <v>23</v>
      </c>
      <c r="C27526" s="8" t="n">
        <v>1</v>
      </c>
      <c r="D27526" s="8" t="inlineStr">
        <is>
          <t>Disney Adventure World</t>
        </is>
      </c>
      <c r="E27526" s="8" t="inlineStr">
        <is>
          <t>Toy Soldiers Parachute Drop Single Rider</t>
        </is>
      </c>
      <c r="F27526" s="8" t="inlineStr">
        <is>
          <t>STANDBY</t>
        </is>
      </c>
      <c r="G27526" s="8" t="n">
        <v>0</v>
      </c>
      <c r="H27526" s="8" t="inlineStr">
        <is>
          <t>CLOSED</t>
        </is>
      </c>
    </row>
    <row r="27527">
      <c r="A27527" s="8" t="inlineStr">
        <is>
          <t>2026-08-05</t>
        </is>
      </c>
      <c r="B27527" s="8" t="n">
        <v>23</v>
      </c>
      <c r="C27527" s="8" t="n">
        <v>1</v>
      </c>
      <c r="D27527" s="8" t="inlineStr">
        <is>
          <t>Disney Adventure World</t>
        </is>
      </c>
      <c r="E27527" s="8" t="inlineStr">
        <is>
          <t>Entry to World of Frozen</t>
        </is>
      </c>
      <c r="F27527" s="8" t="inlineStr">
        <is>
          <t>STANDBY</t>
        </is>
      </c>
      <c r="G27527" s="8" t="n">
        <v>0</v>
      </c>
      <c r="H27527" s="8" t="inlineStr">
        <is>
          <t>CLOSED</t>
        </is>
      </c>
    </row>
    <row r="27528">
      <c r="A27528" s="8" t="inlineStr">
        <is>
          <t>2026-08-05</t>
        </is>
      </c>
      <c r="B27528" s="8" t="n">
        <v>23</v>
      </c>
      <c r="C27528" s="8" t="n">
        <v>1</v>
      </c>
      <c r="D27528" s="8" t="inlineStr">
        <is>
          <t>Disney Adventure World</t>
        </is>
      </c>
      <c r="E27528" s="8" t="inlineStr">
        <is>
          <t>Frozen Ever After</t>
        </is>
      </c>
      <c r="F27528" s="8" t="inlineStr">
        <is>
          <t>STANDBY</t>
        </is>
      </c>
      <c r="G27528" s="8" t="n">
        <v>0</v>
      </c>
      <c r="H27528" s="8" t="inlineStr">
        <is>
          <t>CLOSED</t>
        </is>
      </c>
    </row>
    <row r="27529">
      <c r="A27529" s="8" t="inlineStr">
        <is>
          <t>2026-08-05</t>
        </is>
      </c>
      <c r="B27529" s="8" t="n">
        <v>23</v>
      </c>
      <c r="C27529" s="8" t="n">
        <v>1</v>
      </c>
      <c r="D27529" s="8" t="inlineStr">
        <is>
          <t>Disney Adventure World</t>
        </is>
      </c>
      <c r="E27529" s="8" t="inlineStr">
        <is>
          <t>Raiponce Tangled Spin</t>
        </is>
      </c>
      <c r="F27529" s="8" t="inlineStr">
        <is>
          <t>STANDBY</t>
        </is>
      </c>
      <c r="G27529" s="8" t="n">
        <v>0</v>
      </c>
      <c r="H27529" s="8" t="inlineStr">
        <is>
          <t>CLOSED</t>
        </is>
      </c>
    </row>
    <row r="27530">
      <c r="A27530" s="8" t="inlineStr">
        <is>
          <t>2026-08-05</t>
        </is>
      </c>
      <c r="B27530" s="8" t="n">
        <v>23</v>
      </c>
      <c r="C27530" s="8" t="n">
        <v>15</v>
      </c>
      <c r="D27530" s="8" t="inlineStr">
        <is>
          <t>Disneyland Park</t>
        </is>
      </c>
      <c r="E27530" s="8" t="inlineStr">
        <is>
          <t>Adventure Isle</t>
        </is>
      </c>
      <c r="F27530" s="8" t="inlineStr">
        <is>
          <t>STANDBY</t>
        </is>
      </c>
      <c r="G27530" s="8" t="n">
        <v>0</v>
      </c>
      <c r="H27530" s="8" t="inlineStr">
        <is>
          <t>CLOSED</t>
        </is>
      </c>
    </row>
    <row r="27531">
      <c r="A27531" s="8" t="inlineStr">
        <is>
          <t>2026-08-05</t>
        </is>
      </c>
      <c r="B27531" s="8" t="n">
        <v>23</v>
      </c>
      <c r="C27531" s="8" t="n">
        <v>15</v>
      </c>
      <c r="D27531" s="8" t="inlineStr">
        <is>
          <t>Disneyland Park</t>
        </is>
      </c>
      <c r="E27531" s="8" t="inlineStr">
        <is>
          <t>Indiana Jones and the Temple of Peril Single Rider</t>
        </is>
      </c>
      <c r="F27531" s="8" t="inlineStr">
        <is>
          <t>STANDBY</t>
        </is>
      </c>
      <c r="G27531" s="8" t="n">
        <v>0</v>
      </c>
      <c r="H27531" s="8" t="inlineStr">
        <is>
          <t>CLOSED</t>
        </is>
      </c>
    </row>
    <row r="27532">
      <c r="A27532" s="8" t="inlineStr">
        <is>
          <t>2026-08-05</t>
        </is>
      </c>
      <c r="B27532" s="8" t="n">
        <v>23</v>
      </c>
      <c r="C27532" s="8" t="n">
        <v>15</v>
      </c>
      <c r="D27532" s="8" t="inlineStr">
        <is>
          <t>Disneyland Park</t>
        </is>
      </c>
      <c r="E27532" s="8" t="inlineStr">
        <is>
          <t>Indiana Jones™ and the Temple of Peril</t>
        </is>
      </c>
      <c r="F27532" s="8" t="inlineStr">
        <is>
          <t>STANDBY</t>
        </is>
      </c>
      <c r="G27532" s="8" t="n">
        <v>0</v>
      </c>
      <c r="H27532" s="8" t="inlineStr">
        <is>
          <t>CLOSED</t>
        </is>
      </c>
    </row>
    <row r="27533">
      <c r="A27533" s="8" t="inlineStr">
        <is>
          <t>2026-08-05</t>
        </is>
      </c>
      <c r="B27533" s="8" t="n">
        <v>23</v>
      </c>
      <c r="C27533" s="8" t="n">
        <v>15</v>
      </c>
      <c r="D27533" s="8" t="inlineStr">
        <is>
          <t>Disneyland Park</t>
        </is>
      </c>
      <c r="E27533" s="8" t="inlineStr">
        <is>
          <t>La Cabane des Robinson</t>
        </is>
      </c>
      <c r="F27533" s="8" t="inlineStr">
        <is>
          <t>STANDBY</t>
        </is>
      </c>
      <c r="G27533" s="8" t="n">
        <v>0</v>
      </c>
      <c r="H27533" s="8" t="inlineStr">
        <is>
          <t>CLOSED</t>
        </is>
      </c>
    </row>
    <row r="27534">
      <c r="A27534" s="8" t="inlineStr">
        <is>
          <t>2026-08-05</t>
        </is>
      </c>
      <c r="B27534" s="8" t="n">
        <v>23</v>
      </c>
      <c r="C27534" s="8" t="n">
        <v>15</v>
      </c>
      <c r="D27534" s="8" t="inlineStr">
        <is>
          <t>Disneyland Park</t>
        </is>
      </c>
      <c r="E27534" s="8" t="inlineStr">
        <is>
          <t>Le Passage Enchanté d'Aladdin</t>
        </is>
      </c>
      <c r="F27534" s="8" t="inlineStr">
        <is>
          <t>STANDBY</t>
        </is>
      </c>
      <c r="G27534" s="8" t="n">
        <v>0</v>
      </c>
      <c r="H27534" s="8" t="inlineStr">
        <is>
          <t>CLOSED</t>
        </is>
      </c>
    </row>
    <row r="27535">
      <c r="A27535" s="8" t="inlineStr">
        <is>
          <t>2026-08-05</t>
        </is>
      </c>
      <c r="B27535" s="8" t="n">
        <v>23</v>
      </c>
      <c r="C27535" s="8" t="n">
        <v>15</v>
      </c>
      <c r="D27535" s="8" t="inlineStr">
        <is>
          <t>Disneyland Park</t>
        </is>
      </c>
      <c r="E27535" s="8" t="inlineStr">
        <is>
          <t>Pirate Galleon</t>
        </is>
      </c>
      <c r="F27535" s="8" t="inlineStr">
        <is>
          <t>STANDBY</t>
        </is>
      </c>
      <c r="G27535" s="8" t="n">
        <v>0</v>
      </c>
      <c r="H27535" s="8" t="inlineStr">
        <is>
          <t>CLOSED</t>
        </is>
      </c>
    </row>
    <row r="27536">
      <c r="A27536" s="8" t="inlineStr">
        <is>
          <t>2026-08-05</t>
        </is>
      </c>
      <c r="B27536" s="8" t="n">
        <v>23</v>
      </c>
      <c r="C27536" s="8" t="n">
        <v>15</v>
      </c>
      <c r="D27536" s="8" t="inlineStr">
        <is>
          <t>Disneyland Park</t>
        </is>
      </c>
      <c r="E27536" s="8" t="inlineStr">
        <is>
          <t>Pirates of the Caribbean</t>
        </is>
      </c>
      <c r="F27536" s="8" t="inlineStr">
        <is>
          <t>STANDBY</t>
        </is>
      </c>
      <c r="G27536" s="8" t="n">
        <v>0</v>
      </c>
      <c r="H27536" s="8" t="inlineStr">
        <is>
          <t>CLOSED</t>
        </is>
      </c>
    </row>
    <row r="27537">
      <c r="A27537" s="8" t="inlineStr">
        <is>
          <t>2026-08-05</t>
        </is>
      </c>
      <c r="B27537" s="8" t="n">
        <v>23</v>
      </c>
      <c r="C27537" s="8" t="n">
        <v>15</v>
      </c>
      <c r="D27537" s="8" t="inlineStr">
        <is>
          <t>Disneyland Park</t>
        </is>
      </c>
      <c r="E27537" s="8" t="inlineStr">
        <is>
          <t>Pirates' Beach</t>
        </is>
      </c>
      <c r="F27537" s="8" t="inlineStr">
        <is>
          <t>STANDBY</t>
        </is>
      </c>
      <c r="G27537" s="8" t="n">
        <v>0</v>
      </c>
      <c r="H27537" s="8" t="inlineStr">
        <is>
          <t>CLOSED</t>
        </is>
      </c>
    </row>
    <row r="27538">
      <c r="A27538" s="8" t="inlineStr">
        <is>
          <t>2026-08-05</t>
        </is>
      </c>
      <c r="B27538" s="8" t="n">
        <v>23</v>
      </c>
      <c r="C27538" s="8" t="n">
        <v>15</v>
      </c>
      <c r="D27538" s="8" t="inlineStr">
        <is>
          <t>Disneyland Park</t>
        </is>
      </c>
      <c r="E27538" s="8" t="inlineStr">
        <is>
          <t>Autopia, presented by Avis</t>
        </is>
      </c>
      <c r="F27538" s="8" t="inlineStr">
        <is>
          <t>STANDBY</t>
        </is>
      </c>
      <c r="G27538" s="8" t="n">
        <v>0</v>
      </c>
      <c r="H27538" s="8" t="inlineStr">
        <is>
          <t>CLOSED</t>
        </is>
      </c>
    </row>
    <row r="27539">
      <c r="A27539" s="8" t="inlineStr">
        <is>
          <t>2026-08-05</t>
        </is>
      </c>
      <c r="B27539" s="8" t="n">
        <v>23</v>
      </c>
      <c r="C27539" s="8" t="n">
        <v>15</v>
      </c>
      <c r="D27539" s="8" t="inlineStr">
        <is>
          <t>Disneyland Park</t>
        </is>
      </c>
      <c r="E27539" s="8" t="inlineStr">
        <is>
          <t>Buzz Lightyear Laser Blast</t>
        </is>
      </c>
      <c r="F27539" s="8" t="inlineStr">
        <is>
          <t>STANDBY</t>
        </is>
      </c>
      <c r="G27539" s="8" t="n">
        <v>0</v>
      </c>
      <c r="H27539" s="8" t="inlineStr">
        <is>
          <t>CLOSED</t>
        </is>
      </c>
    </row>
    <row r="27540">
      <c r="A27540" s="8" t="inlineStr">
        <is>
          <t>2026-08-05</t>
        </is>
      </c>
      <c r="B27540" s="8" t="n">
        <v>23</v>
      </c>
      <c r="C27540" s="8" t="n">
        <v>15</v>
      </c>
      <c r="D27540" s="8" t="inlineStr">
        <is>
          <t>Disneyland Park</t>
        </is>
      </c>
      <c r="E27540" s="8" t="inlineStr">
        <is>
          <t>Disneyland Railroad Discoveryland Station</t>
        </is>
      </c>
      <c r="F27540" s="8" t="inlineStr">
        <is>
          <t>STANDBY</t>
        </is>
      </c>
      <c r="G27540" s="8" t="n">
        <v>0</v>
      </c>
      <c r="H27540" s="8" t="inlineStr">
        <is>
          <t>CLOSED</t>
        </is>
      </c>
    </row>
    <row r="27541">
      <c r="A27541" s="8" t="inlineStr">
        <is>
          <t>2026-08-05</t>
        </is>
      </c>
      <c r="B27541" s="8" t="n">
        <v>23</v>
      </c>
      <c r="C27541" s="8" t="n">
        <v>15</v>
      </c>
      <c r="D27541" s="8" t="inlineStr">
        <is>
          <t>Disneyland Park</t>
        </is>
      </c>
      <c r="E27541" s="8" t="inlineStr">
        <is>
          <t>Les Mystères du Nautilus</t>
        </is>
      </c>
      <c r="F27541" s="8" t="inlineStr">
        <is>
          <t>STANDBY</t>
        </is>
      </c>
      <c r="G27541" s="8" t="n">
        <v>0</v>
      </c>
      <c r="H27541" s="8" t="inlineStr">
        <is>
          <t>CLOSED</t>
        </is>
      </c>
    </row>
    <row r="27542">
      <c r="A27542" s="8" t="inlineStr">
        <is>
          <t>2026-08-05</t>
        </is>
      </c>
      <c r="B27542" s="8" t="n">
        <v>23</v>
      </c>
      <c r="C27542" s="8" t="n">
        <v>15</v>
      </c>
      <c r="D27542" s="8" t="inlineStr">
        <is>
          <t>Disneyland Park</t>
        </is>
      </c>
      <c r="E27542" s="8" t="inlineStr">
        <is>
          <t>Mickey’s PhilharMagic</t>
        </is>
      </c>
      <c r="F27542" s="8" t="inlineStr">
        <is>
          <t>STANDBY</t>
        </is>
      </c>
      <c r="G27542" s="8" t="n">
        <v>0</v>
      </c>
      <c r="H27542" s="8" t="inlineStr">
        <is>
          <t>CLOSED</t>
        </is>
      </c>
    </row>
    <row r="27543">
      <c r="A27543" s="8" t="inlineStr">
        <is>
          <t>2026-08-05</t>
        </is>
      </c>
      <c r="B27543" s="8" t="n">
        <v>23</v>
      </c>
      <c r="C27543" s="8" t="n">
        <v>15</v>
      </c>
      <c r="D27543" s="8" t="inlineStr">
        <is>
          <t>Disneyland Park</t>
        </is>
      </c>
      <c r="E27543" s="8" t="inlineStr">
        <is>
          <t>Orbitron®</t>
        </is>
      </c>
      <c r="F27543" s="8" t="inlineStr">
        <is>
          <t>STANDBY</t>
        </is>
      </c>
      <c r="G27543" s="8" t="n">
        <v>0</v>
      </c>
      <c r="H27543" s="8" t="inlineStr">
        <is>
          <t>CLOSED</t>
        </is>
      </c>
    </row>
    <row r="27544">
      <c r="A27544" s="8" t="inlineStr">
        <is>
          <t>2026-08-05</t>
        </is>
      </c>
      <c r="B27544" s="8" t="n">
        <v>23</v>
      </c>
      <c r="C27544" s="8" t="n">
        <v>15</v>
      </c>
      <c r="D27544" s="8" t="inlineStr">
        <is>
          <t>Disneyland Park</t>
        </is>
      </c>
      <c r="E27544" s="8" t="inlineStr">
        <is>
          <t>Star Tours: The Adventures Continue*</t>
        </is>
      </c>
      <c r="F27544" s="8" t="inlineStr">
        <is>
          <t>STANDBY</t>
        </is>
      </c>
      <c r="G27544" s="8" t="n">
        <v>0</v>
      </c>
      <c r="H27544" s="8" t="inlineStr">
        <is>
          <t>CLOSED</t>
        </is>
      </c>
    </row>
    <row r="27545">
      <c r="A27545" s="8" t="inlineStr">
        <is>
          <t>2026-08-05</t>
        </is>
      </c>
      <c r="B27545" s="8" t="n">
        <v>23</v>
      </c>
      <c r="C27545" s="8" t="n">
        <v>15</v>
      </c>
      <c r="D27545" s="8" t="inlineStr">
        <is>
          <t>Disneyland Park</t>
        </is>
      </c>
      <c r="E27545" s="8" t="inlineStr">
        <is>
          <t>Star Wars Hyperspace Mountain</t>
        </is>
      </c>
      <c r="F27545" s="8" t="inlineStr">
        <is>
          <t>STANDBY</t>
        </is>
      </c>
      <c r="G27545" s="8" t="n">
        <v>0</v>
      </c>
      <c r="H27545" s="8" t="inlineStr">
        <is>
          <t>CLOSED</t>
        </is>
      </c>
    </row>
    <row r="27546">
      <c r="A27546" s="8" t="inlineStr">
        <is>
          <t>2026-08-05</t>
        </is>
      </c>
      <c r="B27546" s="8" t="n">
        <v>23</v>
      </c>
      <c r="C27546" s="8" t="n">
        <v>15</v>
      </c>
      <c r="D27546" s="8" t="inlineStr">
        <is>
          <t>Disneyland Park</t>
        </is>
      </c>
      <c r="E27546" s="8" t="inlineStr">
        <is>
          <t>Star Wars Hyperspace Mountain Single Rider</t>
        </is>
      </c>
      <c r="F27546" s="8" t="inlineStr">
        <is>
          <t>STANDBY</t>
        </is>
      </c>
      <c r="G27546" s="8" t="n">
        <v>0</v>
      </c>
      <c r="H27546" s="8" t="inlineStr">
        <is>
          <t>CLOSED</t>
        </is>
      </c>
    </row>
    <row r="27547">
      <c r="A27547" s="8" t="inlineStr">
        <is>
          <t>2026-08-05</t>
        </is>
      </c>
      <c r="B27547" s="8" t="n">
        <v>23</v>
      </c>
      <c r="C27547" s="8" t="n">
        <v>15</v>
      </c>
      <c r="D27547" s="8" t="inlineStr">
        <is>
          <t>Disneyland Park</t>
        </is>
      </c>
      <c r="E27547" s="8" t="inlineStr">
        <is>
          <t>Welcome to Starport: A Star Wars Encounter</t>
        </is>
      </c>
      <c r="F27547" s="8" t="inlineStr">
        <is>
          <t>STANDBY</t>
        </is>
      </c>
      <c r="G27547" s="8" t="n">
        <v>0</v>
      </c>
      <c r="H27547" s="8" t="inlineStr">
        <is>
          <t>CLOSED</t>
        </is>
      </c>
    </row>
    <row r="27548">
      <c r="A27548" s="8" t="inlineStr">
        <is>
          <t>2026-08-05</t>
        </is>
      </c>
      <c r="B27548" s="8" t="n">
        <v>23</v>
      </c>
      <c r="C27548" s="8" t="n">
        <v>15</v>
      </c>
      <c r="D27548" s="8" t="inlineStr">
        <is>
          <t>Disneyland Park</t>
        </is>
      </c>
      <c r="E27548" s="8" t="inlineStr">
        <is>
          <t>"it's a small world"</t>
        </is>
      </c>
      <c r="F27548" s="8" t="inlineStr">
        <is>
          <t>STANDBY</t>
        </is>
      </c>
      <c r="G27548" s="8" t="n">
        <v>0</v>
      </c>
      <c r="H27548" s="8" t="inlineStr">
        <is>
          <t>CLOSED</t>
        </is>
      </c>
    </row>
    <row r="27549">
      <c r="A27549" s="8" t="inlineStr">
        <is>
          <t>2026-08-05</t>
        </is>
      </c>
      <c r="B27549" s="8" t="n">
        <v>23</v>
      </c>
      <c r="C27549" s="8" t="n">
        <v>15</v>
      </c>
      <c r="D27549" s="8" t="inlineStr">
        <is>
          <t>Disneyland Park</t>
        </is>
      </c>
      <c r="E27549" s="8" t="inlineStr">
        <is>
          <t>Alice's Curious Labyrinth</t>
        </is>
      </c>
      <c r="F27549" s="8" t="inlineStr">
        <is>
          <t>STANDBY</t>
        </is>
      </c>
      <c r="G27549" s="8" t="n">
        <v>0</v>
      </c>
      <c r="H27549" s="8" t="inlineStr">
        <is>
          <t>CLOSED</t>
        </is>
      </c>
    </row>
    <row r="27550">
      <c r="A27550" s="8" t="inlineStr">
        <is>
          <t>2026-08-05</t>
        </is>
      </c>
      <c r="B27550" s="8" t="n">
        <v>23</v>
      </c>
      <c r="C27550" s="8" t="n">
        <v>15</v>
      </c>
      <c r="D27550" s="8" t="inlineStr">
        <is>
          <t>Disneyland Park</t>
        </is>
      </c>
      <c r="E27550" s="8" t="inlineStr">
        <is>
          <t>Blanche-Neige et les Sept Nains®</t>
        </is>
      </c>
      <c r="F27550" s="8" t="inlineStr">
        <is>
          <t>STANDBY</t>
        </is>
      </c>
      <c r="G27550" s="8" t="n">
        <v>0</v>
      </c>
      <c r="H27550" s="8" t="inlineStr">
        <is>
          <t>CLOSED</t>
        </is>
      </c>
    </row>
    <row r="27551">
      <c r="A27551" s="8" t="inlineStr">
        <is>
          <t>2026-08-05</t>
        </is>
      </c>
      <c r="B27551" s="8" t="n">
        <v>23</v>
      </c>
      <c r="C27551" s="8" t="n">
        <v>15</v>
      </c>
      <c r="D27551" s="8" t="inlineStr">
        <is>
          <t>Disneyland Park</t>
        </is>
      </c>
      <c r="E27551" s="8" t="inlineStr">
        <is>
          <t>Casey Jr. – le Petit Train du Cirque</t>
        </is>
      </c>
      <c r="F27551" s="8" t="inlineStr">
        <is>
          <t>STANDBY</t>
        </is>
      </c>
      <c r="G27551" s="8" t="n">
        <v>0</v>
      </c>
      <c r="H27551" s="8" t="inlineStr">
        <is>
          <t>CLOSED</t>
        </is>
      </c>
    </row>
    <row r="27552">
      <c r="A27552" s="8" t="inlineStr">
        <is>
          <t>2026-08-05</t>
        </is>
      </c>
      <c r="B27552" s="8" t="n">
        <v>23</v>
      </c>
      <c r="C27552" s="8" t="n">
        <v>15</v>
      </c>
      <c r="D27552" s="8" t="inlineStr">
        <is>
          <t>Disneyland Park</t>
        </is>
      </c>
      <c r="E27552" s="8" t="inlineStr">
        <is>
          <t>Disneyland Railroad Fantasyland Station</t>
        </is>
      </c>
      <c r="F27552" s="8" t="inlineStr">
        <is>
          <t>STANDBY</t>
        </is>
      </c>
      <c r="G27552" s="8" t="n">
        <v>0</v>
      </c>
      <c r="H27552" s="8" t="inlineStr">
        <is>
          <t>CLOSED</t>
        </is>
      </c>
    </row>
    <row r="27553">
      <c r="A27553" s="8" t="inlineStr">
        <is>
          <t>2026-08-05</t>
        </is>
      </c>
      <c r="B27553" s="8" t="n">
        <v>23</v>
      </c>
      <c r="C27553" s="8" t="n">
        <v>15</v>
      </c>
      <c r="D27553" s="8" t="inlineStr">
        <is>
          <t>Disneyland Park</t>
        </is>
      </c>
      <c r="E27553" s="8" t="inlineStr">
        <is>
          <t>Disneyland Railroad Main Street Station</t>
        </is>
      </c>
      <c r="F27553" s="8" t="inlineStr">
        <is>
          <t>STANDBY</t>
        </is>
      </c>
      <c r="G27553" s="8" t="n">
        <v>0</v>
      </c>
      <c r="H27553" s="8" t="inlineStr">
        <is>
          <t>CLOSED</t>
        </is>
      </c>
    </row>
    <row r="27554">
      <c r="A27554" s="8" t="inlineStr">
        <is>
          <t>2026-08-05</t>
        </is>
      </c>
      <c r="B27554" s="8" t="n">
        <v>23</v>
      </c>
      <c r="C27554" s="8" t="n">
        <v>15</v>
      </c>
      <c r="D27554" s="8" t="inlineStr">
        <is>
          <t>Disneyland Park</t>
        </is>
      </c>
      <c r="E27554" s="8" t="inlineStr">
        <is>
          <t>Dumbo the Flying Elephant</t>
        </is>
      </c>
      <c r="F27554" s="8" t="inlineStr">
        <is>
          <t>STANDBY</t>
        </is>
      </c>
      <c r="G27554" s="8" t="n">
        <v>0</v>
      </c>
      <c r="H27554" s="8" t="inlineStr">
        <is>
          <t>CLOSED</t>
        </is>
      </c>
    </row>
    <row r="27555">
      <c r="A27555" s="8" t="inlineStr">
        <is>
          <t>2026-08-05</t>
        </is>
      </c>
      <c r="B27555" s="8" t="n">
        <v>23</v>
      </c>
      <c r="C27555" s="8" t="n">
        <v>15</v>
      </c>
      <c r="D27555" s="8" t="inlineStr">
        <is>
          <t>Disneyland Park</t>
        </is>
      </c>
      <c r="E27555" s="8" t="inlineStr">
        <is>
          <t>La Tanière du Dragon</t>
        </is>
      </c>
      <c r="F27555" s="8" t="inlineStr">
        <is>
          <t>STANDBY</t>
        </is>
      </c>
      <c r="G27555" s="8" t="n">
        <v>0</v>
      </c>
      <c r="H27555" s="8" t="inlineStr">
        <is>
          <t>CLOSED</t>
        </is>
      </c>
    </row>
    <row r="27556">
      <c r="A27556" s="8" t="inlineStr">
        <is>
          <t>2026-08-05</t>
        </is>
      </c>
      <c r="B27556" s="8" t="n">
        <v>23</v>
      </c>
      <c r="C27556" s="8" t="n">
        <v>15</v>
      </c>
      <c r="D27556" s="8" t="inlineStr">
        <is>
          <t>Disneyland Park</t>
        </is>
      </c>
      <c r="E27556" s="8" t="inlineStr">
        <is>
          <t>Le Carrousel de Lancelot</t>
        </is>
      </c>
      <c r="F27556" s="8" t="inlineStr">
        <is>
          <t>STANDBY</t>
        </is>
      </c>
      <c r="G27556" s="8" t="n">
        <v>0</v>
      </c>
      <c r="H27556" s="8" t="inlineStr">
        <is>
          <t>CLOSED</t>
        </is>
      </c>
    </row>
    <row r="27557">
      <c r="A27557" s="8" t="inlineStr">
        <is>
          <t>2026-08-05</t>
        </is>
      </c>
      <c r="B27557" s="8" t="n">
        <v>23</v>
      </c>
      <c r="C27557" s="8" t="n">
        <v>15</v>
      </c>
      <c r="D27557" s="8" t="inlineStr">
        <is>
          <t>Disneyland Park</t>
        </is>
      </c>
      <c r="E27557" s="8" t="inlineStr">
        <is>
          <t>Le Pays des Contes de Fées, presented by Vittel</t>
        </is>
      </c>
      <c r="F27557" s="8" t="inlineStr">
        <is>
          <t>STANDBY</t>
        </is>
      </c>
      <c r="G27557" s="8" t="n">
        <v>0</v>
      </c>
      <c r="H27557" s="8" t="inlineStr">
        <is>
          <t>CLOSED</t>
        </is>
      </c>
    </row>
    <row r="27558">
      <c r="A27558" s="8" t="inlineStr">
        <is>
          <t>2026-08-05</t>
        </is>
      </c>
      <c r="B27558" s="8" t="n">
        <v>23</v>
      </c>
      <c r="C27558" s="8" t="n">
        <v>15</v>
      </c>
      <c r="D27558" s="8" t="inlineStr">
        <is>
          <t>Disneyland Park</t>
        </is>
      </c>
      <c r="E27558" s="8" t="inlineStr">
        <is>
          <t>Les Voyages de Pinocchio</t>
        </is>
      </c>
      <c r="F27558" s="8" t="inlineStr">
        <is>
          <t>STANDBY</t>
        </is>
      </c>
      <c r="G27558" s="8" t="n">
        <v>0</v>
      </c>
      <c r="H27558" s="8" t="inlineStr">
        <is>
          <t>CLOSED</t>
        </is>
      </c>
    </row>
    <row r="27559">
      <c r="A27559" s="8" t="inlineStr">
        <is>
          <t>2026-08-05</t>
        </is>
      </c>
      <c r="B27559" s="8" t="n">
        <v>23</v>
      </c>
      <c r="C27559" s="8" t="n">
        <v>15</v>
      </c>
      <c r="D27559" s="8" t="inlineStr">
        <is>
          <t>Disneyland Park</t>
        </is>
      </c>
      <c r="E27559" s="8" t="inlineStr">
        <is>
          <t>Mad Hatter's Tea Cups</t>
        </is>
      </c>
      <c r="F27559" s="8" t="inlineStr">
        <is>
          <t>STANDBY</t>
        </is>
      </c>
      <c r="G27559" s="8" t="n">
        <v>0</v>
      </c>
      <c r="H27559" s="8" t="inlineStr">
        <is>
          <t>CLOSED</t>
        </is>
      </c>
    </row>
    <row r="27560">
      <c r="A27560" s="8" t="inlineStr">
        <is>
          <t>2026-08-05</t>
        </is>
      </c>
      <c r="B27560" s="8" t="n">
        <v>23</v>
      </c>
      <c r="C27560" s="8" t="n">
        <v>15</v>
      </c>
      <c r="D27560" s="8" t="inlineStr">
        <is>
          <t>Disneyland Park</t>
        </is>
      </c>
      <c r="E27560" s="8" t="inlineStr">
        <is>
          <t>Meet Mickey Mouse</t>
        </is>
      </c>
      <c r="F27560" s="8" t="inlineStr">
        <is>
          <t>STANDBY</t>
        </is>
      </c>
      <c r="G27560" s="8" t="n">
        <v>0</v>
      </c>
      <c r="H27560" s="8" t="inlineStr">
        <is>
          <t>CLOSED</t>
        </is>
      </c>
    </row>
    <row r="27561">
      <c r="A27561" s="8" t="inlineStr">
        <is>
          <t>2026-08-05</t>
        </is>
      </c>
      <c r="B27561" s="8" t="n">
        <v>23</v>
      </c>
      <c r="C27561" s="8" t="n">
        <v>15</v>
      </c>
      <c r="D27561" s="8" t="inlineStr">
        <is>
          <t>Disneyland Park</t>
        </is>
      </c>
      <c r="E27561" s="8" t="inlineStr">
        <is>
          <t>Peter Pan's Flight</t>
        </is>
      </c>
      <c r="F27561" s="8" t="inlineStr">
        <is>
          <t>STANDBY</t>
        </is>
      </c>
      <c r="G27561" s="8" t="n">
        <v>0</v>
      </c>
      <c r="H27561" s="8" t="inlineStr">
        <is>
          <t>CLOSED</t>
        </is>
      </c>
    </row>
    <row r="27562">
      <c r="A27562" s="8" t="inlineStr">
        <is>
          <t>2026-08-05</t>
        </is>
      </c>
      <c r="B27562" s="8" t="n">
        <v>23</v>
      </c>
      <c r="C27562" s="8" t="n">
        <v>15</v>
      </c>
      <c r="D27562" s="8" t="inlineStr">
        <is>
          <t>Disneyland Park</t>
        </is>
      </c>
      <c r="E27562" s="8" t="inlineStr">
        <is>
          <t>Princess Pavilion</t>
        </is>
      </c>
      <c r="F27562" s="8" t="inlineStr">
        <is>
          <t>STANDBY</t>
        </is>
      </c>
      <c r="G27562" s="8" t="n">
        <v>0</v>
      </c>
      <c r="H27562" s="8" t="inlineStr">
        <is>
          <t>CLOSED</t>
        </is>
      </c>
    </row>
    <row r="27563">
      <c r="A27563" s="8" t="inlineStr">
        <is>
          <t>2026-08-05</t>
        </is>
      </c>
      <c r="B27563" s="8" t="n">
        <v>23</v>
      </c>
      <c r="C27563" s="8" t="n">
        <v>15</v>
      </c>
      <c r="D27563" s="8" t="inlineStr">
        <is>
          <t>Disneyland Park</t>
        </is>
      </c>
      <c r="E27563" s="8" t="inlineStr">
        <is>
          <t>Big Thunder Mountain</t>
        </is>
      </c>
      <c r="F27563" s="8" t="inlineStr">
        <is>
          <t>STANDBY</t>
        </is>
      </c>
      <c r="G27563" s="8" t="n">
        <v>0</v>
      </c>
      <c r="H27563" s="8" t="inlineStr">
        <is>
          <t>CLOSED</t>
        </is>
      </c>
    </row>
    <row r="27564">
      <c r="A27564" s="8" t="inlineStr">
        <is>
          <t>2026-08-05</t>
        </is>
      </c>
      <c r="B27564" s="8" t="n">
        <v>23</v>
      </c>
      <c r="C27564" s="8" t="n">
        <v>15</v>
      </c>
      <c r="D27564" s="8" t="inlineStr">
        <is>
          <t>Disneyland Park</t>
        </is>
      </c>
      <c r="E27564" s="8" t="inlineStr">
        <is>
          <t>Disneyland Railroad Frontierland Depot</t>
        </is>
      </c>
      <c r="F27564" s="8" t="inlineStr">
        <is>
          <t>STANDBY</t>
        </is>
      </c>
      <c r="G27564" s="8" t="n">
        <v>0</v>
      </c>
      <c r="H27564" s="8" t="inlineStr">
        <is>
          <t>CLOSED</t>
        </is>
      </c>
    </row>
    <row r="27565">
      <c r="A27565" s="8" t="inlineStr">
        <is>
          <t>2026-08-05</t>
        </is>
      </c>
      <c r="B27565" s="8" t="n">
        <v>23</v>
      </c>
      <c r="C27565" s="8" t="n">
        <v>15</v>
      </c>
      <c r="D27565" s="8" t="inlineStr">
        <is>
          <t>Disneyland Park</t>
        </is>
      </c>
      <c r="E27565" s="8" t="inlineStr">
        <is>
          <t>Frontierland Playground</t>
        </is>
      </c>
      <c r="F27565" s="8" t="inlineStr">
        <is>
          <t>STANDBY</t>
        </is>
      </c>
      <c r="G27565" s="8" t="n">
        <v>0</v>
      </c>
      <c r="H27565" s="8" t="inlineStr">
        <is>
          <t>CLOSED</t>
        </is>
      </c>
    </row>
    <row r="27566">
      <c r="A27566" s="8" t="inlineStr">
        <is>
          <t>2026-08-05</t>
        </is>
      </c>
      <c r="B27566" s="8" t="n">
        <v>23</v>
      </c>
      <c r="C27566" s="8" t="n">
        <v>15</v>
      </c>
      <c r="D27566" s="8" t="inlineStr">
        <is>
          <t>Disneyland Park</t>
        </is>
      </c>
      <c r="E27566" s="8" t="inlineStr">
        <is>
          <t>Phantom Manor</t>
        </is>
      </c>
      <c r="F27566" s="8" t="inlineStr">
        <is>
          <t>STANDBY</t>
        </is>
      </c>
      <c r="G27566" s="8" t="n">
        <v>0</v>
      </c>
      <c r="H27566" s="8" t="inlineStr">
        <is>
          <t>CLOSED</t>
        </is>
      </c>
    </row>
    <row r="27567">
      <c r="A27567" s="8" t="inlineStr">
        <is>
          <t>2026-08-05</t>
        </is>
      </c>
      <c r="B27567" s="8" t="n">
        <v>23</v>
      </c>
      <c r="C27567" s="8" t="n">
        <v>15</v>
      </c>
      <c r="D27567" s="8" t="inlineStr">
        <is>
          <t>Disneyland Park</t>
        </is>
      </c>
      <c r="E27567" s="8" t="inlineStr">
        <is>
          <t>River Rogue Keelboats</t>
        </is>
      </c>
      <c r="F27567" s="8" t="inlineStr">
        <is>
          <t>STANDBY</t>
        </is>
      </c>
      <c r="G27567" s="8" t="n">
        <v>0</v>
      </c>
      <c r="H27567" s="8" t="inlineStr">
        <is>
          <t>CLOSED</t>
        </is>
      </c>
    </row>
    <row r="27568">
      <c r="A27568" s="8" t="inlineStr">
        <is>
          <t>2026-08-05</t>
        </is>
      </c>
      <c r="B27568" s="8" t="n">
        <v>23</v>
      </c>
      <c r="C27568" s="8" t="n">
        <v>15</v>
      </c>
      <c r="D27568" s="8" t="inlineStr">
        <is>
          <t>Disneyland Park</t>
        </is>
      </c>
      <c r="E27568" s="8" t="inlineStr">
        <is>
          <t>Rustler Roundup Shootin' Gallery</t>
        </is>
      </c>
      <c r="F27568" s="8" t="inlineStr">
        <is>
          <t>STANDBY</t>
        </is>
      </c>
      <c r="G27568" s="8" t="n">
        <v>0</v>
      </c>
      <c r="H27568" s="8" t="inlineStr">
        <is>
          <t>CLOSED</t>
        </is>
      </c>
    </row>
    <row r="27569">
      <c r="A27569" s="8" t="inlineStr">
        <is>
          <t>2026-08-05</t>
        </is>
      </c>
      <c r="B27569" s="8" t="n">
        <v>23</v>
      </c>
      <c r="C27569" s="8" t="n">
        <v>15</v>
      </c>
      <c r="D27569" s="8" t="inlineStr">
        <is>
          <t>Disneyland Park</t>
        </is>
      </c>
      <c r="E27569" s="8" t="inlineStr">
        <is>
          <t>Thunder Mesa Riverboat Landing</t>
        </is>
      </c>
      <c r="F27569" s="8" t="inlineStr">
        <is>
          <t>STANDBY</t>
        </is>
      </c>
      <c r="G27569" s="8" t="n">
        <v>0</v>
      </c>
      <c r="H27569" s="8" t="inlineStr">
        <is>
          <t>CLOSED</t>
        </is>
      </c>
    </row>
    <row r="27570">
      <c r="A27570" s="8" t="inlineStr">
        <is>
          <t>2026-08-05</t>
        </is>
      </c>
      <c r="B27570" s="8" t="n">
        <v>23</v>
      </c>
      <c r="C27570" s="8" t="n">
        <v>15</v>
      </c>
      <c r="D27570" s="8" t="inlineStr">
        <is>
          <t>Disneyland Park</t>
        </is>
      </c>
      <c r="E27570" s="8" t="inlineStr">
        <is>
          <t>Disneyland Railroad Main Street Station</t>
        </is>
      </c>
      <c r="F27570" s="8" t="inlineStr">
        <is>
          <t>STANDBY</t>
        </is>
      </c>
      <c r="G27570" s="8" t="n">
        <v>0</v>
      </c>
      <c r="H27570" s="8" t="inlineStr">
        <is>
          <t>CLOSED</t>
        </is>
      </c>
    </row>
    <row r="27571">
      <c r="A27571" s="8" t="inlineStr">
        <is>
          <t>2026-08-05</t>
        </is>
      </c>
      <c r="B27571" s="8" t="n">
        <v>23</v>
      </c>
      <c r="C27571" s="8" t="n">
        <v>15</v>
      </c>
      <c r="D27571" s="8" t="inlineStr">
        <is>
          <t>Disneyland Park</t>
        </is>
      </c>
      <c r="E27571" s="8" t="inlineStr">
        <is>
          <t>Main Street Vehicles</t>
        </is>
      </c>
      <c r="F27571" s="8" t="inlineStr">
        <is>
          <t>STANDBY</t>
        </is>
      </c>
      <c r="G27571" s="8" t="n">
        <v>0</v>
      </c>
      <c r="H27571" s="8" t="inlineStr">
        <is>
          <t>CLOSED</t>
        </is>
      </c>
    </row>
    <row r="27572">
      <c r="A27572" s="8" t="inlineStr">
        <is>
          <t>2026-08-05</t>
        </is>
      </c>
      <c r="B27572" s="8" t="n">
        <v>23</v>
      </c>
      <c r="C27572" s="8" t="n">
        <v>15</v>
      </c>
      <c r="D27572" s="8" t="inlineStr">
        <is>
          <t>Disney Adventure World</t>
        </is>
      </c>
      <c r="E27572" s="8" t="inlineStr">
        <is>
          <t>Avengers Assemble: Flight Force</t>
        </is>
      </c>
      <c r="F27572" s="8" t="inlineStr">
        <is>
          <t>STANDBY</t>
        </is>
      </c>
      <c r="G27572" s="8" t="n">
        <v>0</v>
      </c>
      <c r="H27572" s="8" t="inlineStr">
        <is>
          <t>CLOSED</t>
        </is>
      </c>
    </row>
    <row r="27573">
      <c r="A27573" s="8" t="inlineStr">
        <is>
          <t>2026-08-05</t>
        </is>
      </c>
      <c r="B27573" s="8" t="n">
        <v>23</v>
      </c>
      <c r="C27573" s="8" t="n">
        <v>15</v>
      </c>
      <c r="D27573" s="8" t="inlineStr">
        <is>
          <t>Disney Adventure World</t>
        </is>
      </c>
      <c r="E27573" s="8" t="inlineStr">
        <is>
          <t>Avengers Assemble: Flight Force Single Rider</t>
        </is>
      </c>
      <c r="F27573" s="8" t="inlineStr">
        <is>
          <t>STANDBY</t>
        </is>
      </c>
      <c r="G27573" s="8" t="n">
        <v>0</v>
      </c>
      <c r="H27573" s="8" t="inlineStr">
        <is>
          <t>CLOSED</t>
        </is>
      </c>
    </row>
    <row r="27574">
      <c r="A27574" s="8" t="inlineStr">
        <is>
          <t>2026-08-05</t>
        </is>
      </c>
      <c r="B27574" s="8" t="n">
        <v>23</v>
      </c>
      <c r="C27574" s="8" t="n">
        <v>15</v>
      </c>
      <c r="D27574" s="8" t="inlineStr">
        <is>
          <t>Disney Adventure World</t>
        </is>
      </c>
      <c r="E27574" s="8" t="inlineStr">
        <is>
          <t>Spider-Man W.E.B. Adventure</t>
        </is>
      </c>
      <c r="F27574" s="8" t="inlineStr">
        <is>
          <t>STANDBY</t>
        </is>
      </c>
      <c r="G27574" s="8" t="n">
        <v>0</v>
      </c>
      <c r="H27574" s="8" t="inlineStr">
        <is>
          <t>CLOSED</t>
        </is>
      </c>
    </row>
    <row r="27575">
      <c r="A27575" s="8" t="inlineStr">
        <is>
          <t>2026-08-05</t>
        </is>
      </c>
      <c r="B27575" s="8" t="n">
        <v>23</v>
      </c>
      <c r="C27575" s="8" t="n">
        <v>15</v>
      </c>
      <c r="D27575" s="8" t="inlineStr">
        <is>
          <t>Disney Adventure World</t>
        </is>
      </c>
      <c r="E27575" s="8" t="inlineStr">
        <is>
          <t>Spider-Man W.E.B. Adventure Single Rider</t>
        </is>
      </c>
      <c r="F27575" s="8" t="inlineStr">
        <is>
          <t>STANDBY</t>
        </is>
      </c>
      <c r="G27575" s="8" t="n">
        <v>0</v>
      </c>
      <c r="H27575" s="8" t="inlineStr">
        <is>
          <t>CLOSED</t>
        </is>
      </c>
    </row>
    <row r="27576">
      <c r="A27576" s="8" t="inlineStr">
        <is>
          <t>2026-08-05</t>
        </is>
      </c>
      <c r="B27576" s="8" t="n">
        <v>23</v>
      </c>
      <c r="C27576" s="8" t="n">
        <v>15</v>
      </c>
      <c r="D27576" s="8" t="inlineStr">
        <is>
          <t>Disney Adventure World</t>
        </is>
      </c>
      <c r="E27576" s="8" t="inlineStr">
        <is>
          <t>The Twilight Zone Tower of Terror</t>
        </is>
      </c>
      <c r="F27576" s="8" t="inlineStr">
        <is>
          <t>STANDBY</t>
        </is>
      </c>
      <c r="G27576" s="8" t="n">
        <v>0</v>
      </c>
      <c r="H27576" s="8" t="inlineStr">
        <is>
          <t>CLOSED</t>
        </is>
      </c>
    </row>
    <row r="27577">
      <c r="A27577" s="8" t="inlineStr">
        <is>
          <t>2026-08-05</t>
        </is>
      </c>
      <c r="B27577" s="8" t="n">
        <v>23</v>
      </c>
      <c r="C27577" s="8" t="n">
        <v>15</v>
      </c>
      <c r="D27577" s="8" t="inlineStr">
        <is>
          <t>Disney Adventure World</t>
        </is>
      </c>
      <c r="E27577" s="8" t="inlineStr">
        <is>
          <t>Cars Quatre Roues Rallye</t>
        </is>
      </c>
      <c r="F27577" s="8" t="inlineStr">
        <is>
          <t>STANDBY</t>
        </is>
      </c>
      <c r="G27577" s="8" t="n">
        <v>0</v>
      </c>
      <c r="H27577" s="8" t="inlineStr">
        <is>
          <t>CLOSED</t>
        </is>
      </c>
    </row>
    <row r="27578">
      <c r="A27578" s="8" t="inlineStr">
        <is>
          <t>2026-08-05</t>
        </is>
      </c>
      <c r="B27578" s="8" t="n">
        <v>23</v>
      </c>
      <c r="C27578" s="8" t="n">
        <v>15</v>
      </c>
      <c r="D27578" s="8" t="inlineStr">
        <is>
          <t>Disney Adventure World</t>
        </is>
      </c>
      <c r="E27578" s="8" t="inlineStr">
        <is>
          <t>Cars ROAD TRIP</t>
        </is>
      </c>
      <c r="F27578" s="8" t="inlineStr">
        <is>
          <t>STANDBY</t>
        </is>
      </c>
      <c r="G27578" s="8" t="n">
        <v>0</v>
      </c>
      <c r="H27578" s="8" t="inlineStr">
        <is>
          <t>CLOSED</t>
        </is>
      </c>
    </row>
    <row r="27579">
      <c r="A27579" s="8" t="inlineStr">
        <is>
          <t>2026-08-05</t>
        </is>
      </c>
      <c r="B27579" s="8" t="n">
        <v>23</v>
      </c>
      <c r="C27579" s="8" t="n">
        <v>15</v>
      </c>
      <c r="D27579" s="8" t="inlineStr">
        <is>
          <t>Disney Adventure World</t>
        </is>
      </c>
      <c r="E27579" s="8" t="inlineStr">
        <is>
          <t>Crush's Coaster</t>
        </is>
      </c>
      <c r="F27579" s="8" t="inlineStr">
        <is>
          <t>STANDBY</t>
        </is>
      </c>
      <c r="G27579" s="8" t="n">
        <v>0</v>
      </c>
      <c r="H27579" s="8" t="inlineStr">
        <is>
          <t>CLOSED</t>
        </is>
      </c>
    </row>
    <row r="27580">
      <c r="A27580" s="8" t="inlineStr">
        <is>
          <t>2026-08-05</t>
        </is>
      </c>
      <c r="B27580" s="8" t="n">
        <v>23</v>
      </c>
      <c r="C27580" s="8" t="n">
        <v>15</v>
      </c>
      <c r="D27580" s="8" t="inlineStr">
        <is>
          <t>Disney Adventure World</t>
        </is>
      </c>
      <c r="E27580" s="8" t="inlineStr">
        <is>
          <t>Crush's Coaster Single Rider</t>
        </is>
      </c>
      <c r="F27580" s="8" t="inlineStr">
        <is>
          <t>STANDBY</t>
        </is>
      </c>
      <c r="G27580" s="8" t="n">
        <v>0</v>
      </c>
      <c r="H27580" s="8" t="inlineStr">
        <is>
          <t>CLOSED</t>
        </is>
      </c>
    </row>
    <row r="27581">
      <c r="A27581" s="8" t="inlineStr">
        <is>
          <t>2026-08-05</t>
        </is>
      </c>
      <c r="B27581" s="8" t="n">
        <v>23</v>
      </c>
      <c r="C27581" s="8" t="n">
        <v>15</v>
      </c>
      <c r="D27581" s="8" t="inlineStr">
        <is>
          <t>Disney Adventure World</t>
        </is>
      </c>
      <c r="E27581" s="8" t="inlineStr">
        <is>
          <t>Les Tapis Volants - Flying Carpets Over Agrabah®</t>
        </is>
      </c>
      <c r="F27581" s="8" t="inlineStr">
        <is>
          <t>STANDBY</t>
        </is>
      </c>
      <c r="G27581" s="8" t="n">
        <v>0</v>
      </c>
      <c r="H27581" s="8" t="inlineStr">
        <is>
          <t>CLOSED</t>
        </is>
      </c>
    </row>
    <row r="27582">
      <c r="A27582" s="8" t="inlineStr">
        <is>
          <t>2026-08-05</t>
        </is>
      </c>
      <c r="B27582" s="8" t="n">
        <v>23</v>
      </c>
      <c r="C27582" s="8" t="n">
        <v>15</v>
      </c>
      <c r="D27582" s="8" t="inlineStr">
        <is>
          <t>Disney Adventure World</t>
        </is>
      </c>
      <c r="E27582" s="8" t="inlineStr">
        <is>
          <t>Ratatouille : L’Aventure Totalement Toquée de Rémy​</t>
        </is>
      </c>
      <c r="F27582" s="8" t="inlineStr">
        <is>
          <t>STANDBY</t>
        </is>
      </c>
      <c r="G27582" s="8" t="n">
        <v>0</v>
      </c>
      <c r="H27582" s="8" t="inlineStr">
        <is>
          <t>CLOSED</t>
        </is>
      </c>
    </row>
    <row r="27583">
      <c r="A27583" s="8" t="inlineStr">
        <is>
          <t>2026-08-05</t>
        </is>
      </c>
      <c r="B27583" s="8" t="n">
        <v>23</v>
      </c>
      <c r="C27583" s="8" t="n">
        <v>15</v>
      </c>
      <c r="D27583" s="8" t="inlineStr">
        <is>
          <t>Disney Adventure World</t>
        </is>
      </c>
      <c r="E27583" s="8" t="inlineStr">
        <is>
          <t>Ratatouille: The Adventure Single Rider</t>
        </is>
      </c>
      <c r="F27583" s="8" t="inlineStr">
        <is>
          <t>STANDBY</t>
        </is>
      </c>
      <c r="G27583" s="8" t="n">
        <v>0</v>
      </c>
      <c r="H27583" s="8" t="inlineStr">
        <is>
          <t>CLOSED</t>
        </is>
      </c>
    </row>
    <row r="27584">
      <c r="A27584" s="8" t="inlineStr">
        <is>
          <t>2026-08-05</t>
        </is>
      </c>
      <c r="B27584" s="8" t="n">
        <v>23</v>
      </c>
      <c r="C27584" s="8" t="n">
        <v>15</v>
      </c>
      <c r="D27584" s="8" t="inlineStr">
        <is>
          <t>Disney Adventure World</t>
        </is>
      </c>
      <c r="E27584" s="8" t="inlineStr">
        <is>
          <t>RC Racer</t>
        </is>
      </c>
      <c r="F27584" s="8" t="inlineStr">
        <is>
          <t>STANDBY</t>
        </is>
      </c>
      <c r="G27584" s="8" t="n">
        <v>0</v>
      </c>
      <c r="H27584" s="8" t="inlineStr">
        <is>
          <t>CLOSED</t>
        </is>
      </c>
    </row>
    <row r="27585">
      <c r="A27585" s="8" t="inlineStr">
        <is>
          <t>2026-08-05</t>
        </is>
      </c>
      <c r="B27585" s="8" t="n">
        <v>23</v>
      </c>
      <c r="C27585" s="8" t="n">
        <v>15</v>
      </c>
      <c r="D27585" s="8" t="inlineStr">
        <is>
          <t>Disney Adventure World</t>
        </is>
      </c>
      <c r="E27585" s="8" t="inlineStr">
        <is>
          <t>RC Racer Single Rider</t>
        </is>
      </c>
      <c r="F27585" s="8" t="inlineStr">
        <is>
          <t>STANDBY</t>
        </is>
      </c>
      <c r="G27585" s="8" t="n">
        <v>0</v>
      </c>
      <c r="H27585" s="8" t="inlineStr">
        <is>
          <t>CLOSED</t>
        </is>
      </c>
    </row>
    <row r="27586">
      <c r="A27586" s="8" t="inlineStr">
        <is>
          <t>2026-08-05</t>
        </is>
      </c>
      <c r="B27586" s="8" t="n">
        <v>23</v>
      </c>
      <c r="C27586" s="8" t="n">
        <v>15</v>
      </c>
      <c r="D27586" s="8" t="inlineStr">
        <is>
          <t>Disney Adventure World</t>
        </is>
      </c>
      <c r="E27586" s="8" t="inlineStr">
        <is>
          <t>Slinky® Dog Zigzag Spin</t>
        </is>
      </c>
      <c r="F27586" s="8" t="inlineStr">
        <is>
          <t>STANDBY</t>
        </is>
      </c>
      <c r="G27586" s="8" t="n">
        <v>0</v>
      </c>
      <c r="H27586" s="8" t="inlineStr">
        <is>
          <t>CLOSED</t>
        </is>
      </c>
    </row>
    <row r="27587">
      <c r="A27587" s="8" t="inlineStr">
        <is>
          <t>2026-08-05</t>
        </is>
      </c>
      <c r="B27587" s="8" t="n">
        <v>23</v>
      </c>
      <c r="C27587" s="8" t="n">
        <v>15</v>
      </c>
      <c r="D27587" s="8" t="inlineStr">
        <is>
          <t>Disney Adventure World</t>
        </is>
      </c>
      <c r="E27587" s="8" t="inlineStr">
        <is>
          <t>Toy Soldiers Parachute Drop</t>
        </is>
      </c>
      <c r="F27587" s="8" t="inlineStr">
        <is>
          <t>STANDBY</t>
        </is>
      </c>
      <c r="G27587" s="8" t="n">
        <v>0</v>
      </c>
      <c r="H27587" s="8" t="inlineStr">
        <is>
          <t>CLOSED</t>
        </is>
      </c>
    </row>
    <row r="27588">
      <c r="A27588" s="8" t="inlineStr">
        <is>
          <t>2026-08-05</t>
        </is>
      </c>
      <c r="B27588" s="8" t="n">
        <v>23</v>
      </c>
      <c r="C27588" s="8" t="n">
        <v>15</v>
      </c>
      <c r="D27588" s="8" t="inlineStr">
        <is>
          <t>Disney Adventure World</t>
        </is>
      </c>
      <c r="E27588" s="8" t="inlineStr">
        <is>
          <t>Toy Soldiers Parachute Drop Single Rider</t>
        </is>
      </c>
      <c r="F27588" s="8" t="inlineStr">
        <is>
          <t>STANDBY</t>
        </is>
      </c>
      <c r="G27588" s="8" t="n">
        <v>0</v>
      </c>
      <c r="H27588" s="8" t="inlineStr">
        <is>
          <t>CLOSED</t>
        </is>
      </c>
    </row>
    <row r="27589">
      <c r="A27589" s="8" t="inlineStr">
        <is>
          <t>2026-08-05</t>
        </is>
      </c>
      <c r="B27589" s="8" t="n">
        <v>23</v>
      </c>
      <c r="C27589" s="8" t="n">
        <v>15</v>
      </c>
      <c r="D27589" s="8" t="inlineStr">
        <is>
          <t>Disney Adventure World</t>
        </is>
      </c>
      <c r="E27589" s="8" t="inlineStr">
        <is>
          <t>Entry to World of Frozen</t>
        </is>
      </c>
      <c r="F27589" s="8" t="inlineStr">
        <is>
          <t>STANDBY</t>
        </is>
      </c>
      <c r="G27589" s="8" t="n">
        <v>0</v>
      </c>
      <c r="H27589" s="8" t="inlineStr">
        <is>
          <t>CLOSED</t>
        </is>
      </c>
    </row>
    <row r="27590">
      <c r="A27590" s="8" t="inlineStr">
        <is>
          <t>2026-08-05</t>
        </is>
      </c>
      <c r="B27590" s="8" t="n">
        <v>23</v>
      </c>
      <c r="C27590" s="8" t="n">
        <v>15</v>
      </c>
      <c r="D27590" s="8" t="inlineStr">
        <is>
          <t>Disney Adventure World</t>
        </is>
      </c>
      <c r="E27590" s="8" t="inlineStr">
        <is>
          <t>Frozen Ever After</t>
        </is>
      </c>
      <c r="F27590" s="8" t="inlineStr">
        <is>
          <t>STANDBY</t>
        </is>
      </c>
      <c r="G27590" s="8" t="n">
        <v>0</v>
      </c>
      <c r="H27590" s="8" t="inlineStr">
        <is>
          <t>CLOSED</t>
        </is>
      </c>
    </row>
    <row r="27591">
      <c r="A27591" s="8" t="inlineStr">
        <is>
          <t>2026-08-05</t>
        </is>
      </c>
      <c r="B27591" s="8" t="n">
        <v>23</v>
      </c>
      <c r="C27591" s="8" t="n">
        <v>15</v>
      </c>
      <c r="D27591" s="8" t="inlineStr">
        <is>
          <t>Disney Adventure World</t>
        </is>
      </c>
      <c r="E27591" s="8" t="inlineStr">
        <is>
          <t>Raiponce Tangled Spin</t>
        </is>
      </c>
      <c r="F27591" s="8" t="inlineStr">
        <is>
          <t>STANDBY</t>
        </is>
      </c>
      <c r="G27591" s="8" t="n">
        <v>0</v>
      </c>
      <c r="H27591" s="8" t="inlineStr">
        <is>
          <t>CLOSED</t>
        </is>
      </c>
    </row>
    <row r="27592">
      <c r="A27592" s="8" t="inlineStr">
        <is>
          <t>2026-08-05</t>
        </is>
      </c>
      <c r="B27592" s="8" t="n">
        <v>23</v>
      </c>
      <c r="C27592" s="8" t="n">
        <v>31</v>
      </c>
      <c r="D27592" s="8" t="inlineStr">
        <is>
          <t>Disneyland Park</t>
        </is>
      </c>
      <c r="E27592" s="8" t="inlineStr">
        <is>
          <t>Adventure Isle</t>
        </is>
      </c>
      <c r="F27592" s="8" t="inlineStr">
        <is>
          <t>STANDBY</t>
        </is>
      </c>
      <c r="G27592" s="8" t="n">
        <v>0</v>
      </c>
      <c r="H27592" s="8" t="inlineStr">
        <is>
          <t>CLOSED</t>
        </is>
      </c>
    </row>
    <row r="27593">
      <c r="A27593" s="8" t="inlineStr">
        <is>
          <t>2026-08-05</t>
        </is>
      </c>
      <c r="B27593" s="8" t="n">
        <v>23</v>
      </c>
      <c r="C27593" s="8" t="n">
        <v>31</v>
      </c>
      <c r="D27593" s="8" t="inlineStr">
        <is>
          <t>Disneyland Park</t>
        </is>
      </c>
      <c r="E27593" s="8" t="inlineStr">
        <is>
          <t>Indiana Jones and the Temple of Peril Single Rider</t>
        </is>
      </c>
      <c r="F27593" s="8" t="inlineStr">
        <is>
          <t>STANDBY</t>
        </is>
      </c>
      <c r="G27593" s="8" t="n">
        <v>0</v>
      </c>
      <c r="H27593" s="8" t="inlineStr">
        <is>
          <t>CLOSED</t>
        </is>
      </c>
    </row>
    <row r="27594">
      <c r="A27594" s="8" t="inlineStr">
        <is>
          <t>2026-08-05</t>
        </is>
      </c>
      <c r="B27594" s="8" t="n">
        <v>23</v>
      </c>
      <c r="C27594" s="8" t="n">
        <v>31</v>
      </c>
      <c r="D27594" s="8" t="inlineStr">
        <is>
          <t>Disneyland Park</t>
        </is>
      </c>
      <c r="E27594" s="8" t="inlineStr">
        <is>
          <t>Indiana Jones™ and the Temple of Peril</t>
        </is>
      </c>
      <c r="F27594" s="8" t="inlineStr">
        <is>
          <t>STANDBY</t>
        </is>
      </c>
      <c r="G27594" s="8" t="n">
        <v>0</v>
      </c>
      <c r="H27594" s="8" t="inlineStr">
        <is>
          <t>CLOSED</t>
        </is>
      </c>
    </row>
    <row r="27595">
      <c r="A27595" s="8" t="inlineStr">
        <is>
          <t>2026-08-05</t>
        </is>
      </c>
      <c r="B27595" s="8" t="n">
        <v>23</v>
      </c>
      <c r="C27595" s="8" t="n">
        <v>31</v>
      </c>
      <c r="D27595" s="8" t="inlineStr">
        <is>
          <t>Disneyland Park</t>
        </is>
      </c>
      <c r="E27595" s="8" t="inlineStr">
        <is>
          <t>La Cabane des Robinson</t>
        </is>
      </c>
      <c r="F27595" s="8" t="inlineStr">
        <is>
          <t>STANDBY</t>
        </is>
      </c>
      <c r="G27595" s="8" t="n">
        <v>0</v>
      </c>
      <c r="H27595" s="8" t="inlineStr">
        <is>
          <t>CLOSED</t>
        </is>
      </c>
    </row>
    <row r="27596">
      <c r="A27596" s="8" t="inlineStr">
        <is>
          <t>2026-08-05</t>
        </is>
      </c>
      <c r="B27596" s="8" t="n">
        <v>23</v>
      </c>
      <c r="C27596" s="8" t="n">
        <v>31</v>
      </c>
      <c r="D27596" s="8" t="inlineStr">
        <is>
          <t>Disneyland Park</t>
        </is>
      </c>
      <c r="E27596" s="8" t="inlineStr">
        <is>
          <t>Le Passage Enchanté d'Aladdin</t>
        </is>
      </c>
      <c r="F27596" s="8" t="inlineStr">
        <is>
          <t>STANDBY</t>
        </is>
      </c>
      <c r="G27596" s="8" t="n">
        <v>0</v>
      </c>
      <c r="H27596" s="8" t="inlineStr">
        <is>
          <t>CLOSED</t>
        </is>
      </c>
    </row>
    <row r="27597">
      <c r="A27597" s="8" t="inlineStr">
        <is>
          <t>2026-08-05</t>
        </is>
      </c>
      <c r="B27597" s="8" t="n">
        <v>23</v>
      </c>
      <c r="C27597" s="8" t="n">
        <v>31</v>
      </c>
      <c r="D27597" s="8" t="inlineStr">
        <is>
          <t>Disneyland Park</t>
        </is>
      </c>
      <c r="E27597" s="8" t="inlineStr">
        <is>
          <t>Pirate Galleon</t>
        </is>
      </c>
      <c r="F27597" s="8" t="inlineStr">
        <is>
          <t>STANDBY</t>
        </is>
      </c>
      <c r="G27597" s="8" t="n">
        <v>0</v>
      </c>
      <c r="H27597" s="8" t="inlineStr">
        <is>
          <t>CLOSED</t>
        </is>
      </c>
    </row>
    <row r="27598">
      <c r="A27598" s="8" t="inlineStr">
        <is>
          <t>2026-08-05</t>
        </is>
      </c>
      <c r="B27598" s="8" t="n">
        <v>23</v>
      </c>
      <c r="C27598" s="8" t="n">
        <v>31</v>
      </c>
      <c r="D27598" s="8" t="inlineStr">
        <is>
          <t>Disneyland Park</t>
        </is>
      </c>
      <c r="E27598" s="8" t="inlineStr">
        <is>
          <t>Pirates of the Caribbean</t>
        </is>
      </c>
      <c r="F27598" s="8" t="inlineStr">
        <is>
          <t>STANDBY</t>
        </is>
      </c>
      <c r="G27598" s="8" t="n">
        <v>0</v>
      </c>
      <c r="H27598" s="8" t="inlineStr">
        <is>
          <t>CLOSED</t>
        </is>
      </c>
    </row>
    <row r="27599">
      <c r="A27599" s="8" t="inlineStr">
        <is>
          <t>2026-08-05</t>
        </is>
      </c>
      <c r="B27599" s="8" t="n">
        <v>23</v>
      </c>
      <c r="C27599" s="8" t="n">
        <v>31</v>
      </c>
      <c r="D27599" s="8" t="inlineStr">
        <is>
          <t>Disneyland Park</t>
        </is>
      </c>
      <c r="E27599" s="8" t="inlineStr">
        <is>
          <t>Pirates' Beach</t>
        </is>
      </c>
      <c r="F27599" s="8" t="inlineStr">
        <is>
          <t>STANDBY</t>
        </is>
      </c>
      <c r="G27599" s="8" t="n">
        <v>0</v>
      </c>
      <c r="H27599" s="8" t="inlineStr">
        <is>
          <t>CLOSED</t>
        </is>
      </c>
    </row>
    <row r="27600">
      <c r="A27600" s="8" t="inlineStr">
        <is>
          <t>2026-08-05</t>
        </is>
      </c>
      <c r="B27600" s="8" t="n">
        <v>23</v>
      </c>
      <c r="C27600" s="8" t="n">
        <v>31</v>
      </c>
      <c r="D27600" s="8" t="inlineStr">
        <is>
          <t>Disneyland Park</t>
        </is>
      </c>
      <c r="E27600" s="8" t="inlineStr">
        <is>
          <t>Autopia, presented by Avis</t>
        </is>
      </c>
      <c r="F27600" s="8" t="inlineStr">
        <is>
          <t>STANDBY</t>
        </is>
      </c>
      <c r="G27600" s="8" t="n">
        <v>0</v>
      </c>
      <c r="H27600" s="8" t="inlineStr">
        <is>
          <t>CLOSED</t>
        </is>
      </c>
    </row>
    <row r="27601">
      <c r="A27601" s="8" t="inlineStr">
        <is>
          <t>2026-08-05</t>
        </is>
      </c>
      <c r="B27601" s="8" t="n">
        <v>23</v>
      </c>
      <c r="C27601" s="8" t="n">
        <v>31</v>
      </c>
      <c r="D27601" s="8" t="inlineStr">
        <is>
          <t>Disneyland Park</t>
        </is>
      </c>
      <c r="E27601" s="8" t="inlineStr">
        <is>
          <t>Buzz Lightyear Laser Blast</t>
        </is>
      </c>
      <c r="F27601" s="8" t="inlineStr">
        <is>
          <t>STANDBY</t>
        </is>
      </c>
      <c r="G27601" s="8" t="n">
        <v>0</v>
      </c>
      <c r="H27601" s="8" t="inlineStr">
        <is>
          <t>CLOSED</t>
        </is>
      </c>
    </row>
    <row r="27602">
      <c r="A27602" s="8" t="inlineStr">
        <is>
          <t>2026-08-05</t>
        </is>
      </c>
      <c r="B27602" s="8" t="n">
        <v>23</v>
      </c>
      <c r="C27602" s="8" t="n">
        <v>31</v>
      </c>
      <c r="D27602" s="8" t="inlineStr">
        <is>
          <t>Disneyland Park</t>
        </is>
      </c>
      <c r="E27602" s="8" t="inlineStr">
        <is>
          <t>Disneyland Railroad Discoveryland Station</t>
        </is>
      </c>
      <c r="F27602" s="8" t="inlineStr">
        <is>
          <t>STANDBY</t>
        </is>
      </c>
      <c r="G27602" s="8" t="n">
        <v>0</v>
      </c>
      <c r="H27602" s="8" t="inlineStr">
        <is>
          <t>CLOSED</t>
        </is>
      </c>
    </row>
    <row r="27603">
      <c r="A27603" s="8" t="inlineStr">
        <is>
          <t>2026-08-05</t>
        </is>
      </c>
      <c r="B27603" s="8" t="n">
        <v>23</v>
      </c>
      <c r="C27603" s="8" t="n">
        <v>31</v>
      </c>
      <c r="D27603" s="8" t="inlineStr">
        <is>
          <t>Disneyland Park</t>
        </is>
      </c>
      <c r="E27603" s="8" t="inlineStr">
        <is>
          <t>Les Mystères du Nautilus</t>
        </is>
      </c>
      <c r="F27603" s="8" t="inlineStr">
        <is>
          <t>STANDBY</t>
        </is>
      </c>
      <c r="G27603" s="8" t="n">
        <v>0</v>
      </c>
      <c r="H27603" s="8" t="inlineStr">
        <is>
          <t>CLOSED</t>
        </is>
      </c>
    </row>
    <row r="27604">
      <c r="A27604" s="8" t="inlineStr">
        <is>
          <t>2026-08-05</t>
        </is>
      </c>
      <c r="B27604" s="8" t="n">
        <v>23</v>
      </c>
      <c r="C27604" s="8" t="n">
        <v>31</v>
      </c>
      <c r="D27604" s="8" t="inlineStr">
        <is>
          <t>Disneyland Park</t>
        </is>
      </c>
      <c r="E27604" s="8" t="inlineStr">
        <is>
          <t>Mickey’s PhilharMagic</t>
        </is>
      </c>
      <c r="F27604" s="8" t="inlineStr">
        <is>
          <t>STANDBY</t>
        </is>
      </c>
      <c r="G27604" s="8" t="n">
        <v>0</v>
      </c>
      <c r="H27604" s="8" t="inlineStr">
        <is>
          <t>CLOSED</t>
        </is>
      </c>
    </row>
    <row r="27605">
      <c r="A27605" s="8" t="inlineStr">
        <is>
          <t>2026-08-05</t>
        </is>
      </c>
      <c r="B27605" s="8" t="n">
        <v>23</v>
      </c>
      <c r="C27605" s="8" t="n">
        <v>31</v>
      </c>
      <c r="D27605" s="8" t="inlineStr">
        <is>
          <t>Disneyland Park</t>
        </is>
      </c>
      <c r="E27605" s="8" t="inlineStr">
        <is>
          <t>Orbitron®</t>
        </is>
      </c>
      <c r="F27605" s="8" t="inlineStr">
        <is>
          <t>STANDBY</t>
        </is>
      </c>
      <c r="G27605" s="8" t="n">
        <v>0</v>
      </c>
      <c r="H27605" s="8" t="inlineStr">
        <is>
          <t>CLOSED</t>
        </is>
      </c>
    </row>
    <row r="27606">
      <c r="A27606" s="8" t="inlineStr">
        <is>
          <t>2026-08-05</t>
        </is>
      </c>
      <c r="B27606" s="8" t="n">
        <v>23</v>
      </c>
      <c r="C27606" s="8" t="n">
        <v>31</v>
      </c>
      <c r="D27606" s="8" t="inlineStr">
        <is>
          <t>Disneyland Park</t>
        </is>
      </c>
      <c r="E27606" s="8" t="inlineStr">
        <is>
          <t>Star Tours: The Adventures Continue*</t>
        </is>
      </c>
      <c r="F27606" s="8" t="inlineStr">
        <is>
          <t>STANDBY</t>
        </is>
      </c>
      <c r="G27606" s="8" t="n">
        <v>0</v>
      </c>
      <c r="H27606" s="8" t="inlineStr">
        <is>
          <t>CLOSED</t>
        </is>
      </c>
    </row>
    <row r="27607">
      <c r="A27607" s="8" t="inlineStr">
        <is>
          <t>2026-08-05</t>
        </is>
      </c>
      <c r="B27607" s="8" t="n">
        <v>23</v>
      </c>
      <c r="C27607" s="8" t="n">
        <v>31</v>
      </c>
      <c r="D27607" s="8" t="inlineStr">
        <is>
          <t>Disneyland Park</t>
        </is>
      </c>
      <c r="E27607" s="8" t="inlineStr">
        <is>
          <t>Star Wars Hyperspace Mountain</t>
        </is>
      </c>
      <c r="F27607" s="8" t="inlineStr">
        <is>
          <t>STANDBY</t>
        </is>
      </c>
      <c r="G27607" s="8" t="n">
        <v>0</v>
      </c>
      <c r="H27607" s="8" t="inlineStr">
        <is>
          <t>CLOSED</t>
        </is>
      </c>
    </row>
    <row r="27608">
      <c r="A27608" s="8" t="inlineStr">
        <is>
          <t>2026-08-05</t>
        </is>
      </c>
      <c r="B27608" s="8" t="n">
        <v>23</v>
      </c>
      <c r="C27608" s="8" t="n">
        <v>31</v>
      </c>
      <c r="D27608" s="8" t="inlineStr">
        <is>
          <t>Disneyland Park</t>
        </is>
      </c>
      <c r="E27608" s="8" t="inlineStr">
        <is>
          <t>Star Wars Hyperspace Mountain Single Rider</t>
        </is>
      </c>
      <c r="F27608" s="8" t="inlineStr">
        <is>
          <t>STANDBY</t>
        </is>
      </c>
      <c r="G27608" s="8" t="n">
        <v>0</v>
      </c>
      <c r="H27608" s="8" t="inlineStr">
        <is>
          <t>CLOSED</t>
        </is>
      </c>
    </row>
    <row r="27609">
      <c r="A27609" s="8" t="inlineStr">
        <is>
          <t>2026-08-05</t>
        </is>
      </c>
      <c r="B27609" s="8" t="n">
        <v>23</v>
      </c>
      <c r="C27609" s="8" t="n">
        <v>31</v>
      </c>
      <c r="D27609" s="8" t="inlineStr">
        <is>
          <t>Disneyland Park</t>
        </is>
      </c>
      <c r="E27609" s="8" t="inlineStr">
        <is>
          <t>Welcome to Starport: A Star Wars Encounter</t>
        </is>
      </c>
      <c r="F27609" s="8" t="inlineStr">
        <is>
          <t>STANDBY</t>
        </is>
      </c>
      <c r="G27609" s="8" t="n">
        <v>0</v>
      </c>
      <c r="H27609" s="8" t="inlineStr">
        <is>
          <t>CLOSED</t>
        </is>
      </c>
    </row>
    <row r="27610">
      <c r="A27610" s="8" t="inlineStr">
        <is>
          <t>2026-08-05</t>
        </is>
      </c>
      <c r="B27610" s="8" t="n">
        <v>23</v>
      </c>
      <c r="C27610" s="8" t="n">
        <v>31</v>
      </c>
      <c r="D27610" s="8" t="inlineStr">
        <is>
          <t>Disneyland Park</t>
        </is>
      </c>
      <c r="E27610" s="8" t="inlineStr">
        <is>
          <t>"it's a small world"</t>
        </is>
      </c>
      <c r="F27610" s="8" t="inlineStr">
        <is>
          <t>STANDBY</t>
        </is>
      </c>
      <c r="G27610" s="8" t="n">
        <v>0</v>
      </c>
      <c r="H27610" s="8" t="inlineStr">
        <is>
          <t>CLOSED</t>
        </is>
      </c>
    </row>
    <row r="27611">
      <c r="A27611" s="8" t="inlineStr">
        <is>
          <t>2026-08-05</t>
        </is>
      </c>
      <c r="B27611" s="8" t="n">
        <v>23</v>
      </c>
      <c r="C27611" s="8" t="n">
        <v>31</v>
      </c>
      <c r="D27611" s="8" t="inlineStr">
        <is>
          <t>Disneyland Park</t>
        </is>
      </c>
      <c r="E27611" s="8" t="inlineStr">
        <is>
          <t>Alice's Curious Labyrinth</t>
        </is>
      </c>
      <c r="F27611" s="8" t="inlineStr">
        <is>
          <t>STANDBY</t>
        </is>
      </c>
      <c r="G27611" s="8" t="n">
        <v>0</v>
      </c>
      <c r="H27611" s="8" t="inlineStr">
        <is>
          <t>CLOSED</t>
        </is>
      </c>
    </row>
    <row r="27612">
      <c r="A27612" s="8" t="inlineStr">
        <is>
          <t>2026-08-05</t>
        </is>
      </c>
      <c r="B27612" s="8" t="n">
        <v>23</v>
      </c>
      <c r="C27612" s="8" t="n">
        <v>31</v>
      </c>
      <c r="D27612" s="8" t="inlineStr">
        <is>
          <t>Disneyland Park</t>
        </is>
      </c>
      <c r="E27612" s="8" t="inlineStr">
        <is>
          <t>Blanche-Neige et les Sept Nains®</t>
        </is>
      </c>
      <c r="F27612" s="8" t="inlineStr">
        <is>
          <t>STANDBY</t>
        </is>
      </c>
      <c r="G27612" s="8" t="n">
        <v>0</v>
      </c>
      <c r="H27612" s="8" t="inlineStr">
        <is>
          <t>CLOSED</t>
        </is>
      </c>
    </row>
    <row r="27613">
      <c r="A27613" s="8" t="inlineStr">
        <is>
          <t>2026-08-05</t>
        </is>
      </c>
      <c r="B27613" s="8" t="n">
        <v>23</v>
      </c>
      <c r="C27613" s="8" t="n">
        <v>31</v>
      </c>
      <c r="D27613" s="8" t="inlineStr">
        <is>
          <t>Disneyland Park</t>
        </is>
      </c>
      <c r="E27613" s="8" t="inlineStr">
        <is>
          <t>Casey Jr. – le Petit Train du Cirque</t>
        </is>
      </c>
      <c r="F27613" s="8" t="inlineStr">
        <is>
          <t>STANDBY</t>
        </is>
      </c>
      <c r="G27613" s="8" t="n">
        <v>0</v>
      </c>
      <c r="H27613" s="8" t="inlineStr">
        <is>
          <t>CLOSED</t>
        </is>
      </c>
    </row>
    <row r="27614">
      <c r="A27614" s="8" t="inlineStr">
        <is>
          <t>2026-08-05</t>
        </is>
      </c>
      <c r="B27614" s="8" t="n">
        <v>23</v>
      </c>
      <c r="C27614" s="8" t="n">
        <v>31</v>
      </c>
      <c r="D27614" s="8" t="inlineStr">
        <is>
          <t>Disneyland Park</t>
        </is>
      </c>
      <c r="E27614" s="8" t="inlineStr">
        <is>
          <t>Disneyland Railroad Fantasyland Station</t>
        </is>
      </c>
      <c r="F27614" s="8" t="inlineStr">
        <is>
          <t>STANDBY</t>
        </is>
      </c>
      <c r="G27614" s="8" t="n">
        <v>0</v>
      </c>
      <c r="H27614" s="8" t="inlineStr">
        <is>
          <t>CLOSED</t>
        </is>
      </c>
    </row>
    <row r="27615">
      <c r="A27615" s="8" t="inlineStr">
        <is>
          <t>2026-08-05</t>
        </is>
      </c>
      <c r="B27615" s="8" t="n">
        <v>23</v>
      </c>
      <c r="C27615" s="8" t="n">
        <v>31</v>
      </c>
      <c r="D27615" s="8" t="inlineStr">
        <is>
          <t>Disneyland Park</t>
        </is>
      </c>
      <c r="E27615" s="8" t="inlineStr">
        <is>
          <t>Disneyland Railroad Main Street Station</t>
        </is>
      </c>
      <c r="F27615" s="8" t="inlineStr">
        <is>
          <t>STANDBY</t>
        </is>
      </c>
      <c r="G27615" s="8" t="n">
        <v>0</v>
      </c>
      <c r="H27615" s="8" t="inlineStr">
        <is>
          <t>CLOSED</t>
        </is>
      </c>
    </row>
    <row r="27616">
      <c r="A27616" s="8" t="inlineStr">
        <is>
          <t>2026-08-05</t>
        </is>
      </c>
      <c r="B27616" s="8" t="n">
        <v>23</v>
      </c>
      <c r="C27616" s="8" t="n">
        <v>31</v>
      </c>
      <c r="D27616" s="8" t="inlineStr">
        <is>
          <t>Disneyland Park</t>
        </is>
      </c>
      <c r="E27616" s="8" t="inlineStr">
        <is>
          <t>Dumbo the Flying Elephant</t>
        </is>
      </c>
      <c r="F27616" s="8" t="inlineStr">
        <is>
          <t>STANDBY</t>
        </is>
      </c>
      <c r="G27616" s="8" t="n">
        <v>0</v>
      </c>
      <c r="H27616" s="8" t="inlineStr">
        <is>
          <t>CLOSED</t>
        </is>
      </c>
    </row>
    <row r="27617">
      <c r="A27617" s="8" t="inlineStr">
        <is>
          <t>2026-08-05</t>
        </is>
      </c>
      <c r="B27617" s="8" t="n">
        <v>23</v>
      </c>
      <c r="C27617" s="8" t="n">
        <v>31</v>
      </c>
      <c r="D27617" s="8" t="inlineStr">
        <is>
          <t>Disneyland Park</t>
        </is>
      </c>
      <c r="E27617" s="8" t="inlineStr">
        <is>
          <t>La Tanière du Dragon</t>
        </is>
      </c>
      <c r="F27617" s="8" t="inlineStr">
        <is>
          <t>STANDBY</t>
        </is>
      </c>
      <c r="G27617" s="8" t="n">
        <v>0</v>
      </c>
      <c r="H27617" s="8" t="inlineStr">
        <is>
          <t>CLOSED</t>
        </is>
      </c>
    </row>
    <row r="27618">
      <c r="A27618" s="8" t="inlineStr">
        <is>
          <t>2026-08-05</t>
        </is>
      </c>
      <c r="B27618" s="8" t="n">
        <v>23</v>
      </c>
      <c r="C27618" s="8" t="n">
        <v>31</v>
      </c>
      <c r="D27618" s="8" t="inlineStr">
        <is>
          <t>Disneyland Park</t>
        </is>
      </c>
      <c r="E27618" s="8" t="inlineStr">
        <is>
          <t>Le Carrousel de Lancelot</t>
        </is>
      </c>
      <c r="F27618" s="8" t="inlineStr">
        <is>
          <t>STANDBY</t>
        </is>
      </c>
      <c r="G27618" s="8" t="n">
        <v>0</v>
      </c>
      <c r="H27618" s="8" t="inlineStr">
        <is>
          <t>CLOSED</t>
        </is>
      </c>
    </row>
    <row r="27619">
      <c r="A27619" s="8" t="inlineStr">
        <is>
          <t>2026-08-05</t>
        </is>
      </c>
      <c r="B27619" s="8" t="n">
        <v>23</v>
      </c>
      <c r="C27619" s="8" t="n">
        <v>31</v>
      </c>
      <c r="D27619" s="8" t="inlineStr">
        <is>
          <t>Disneyland Park</t>
        </is>
      </c>
      <c r="E27619" s="8" t="inlineStr">
        <is>
          <t>Le Pays des Contes de Fées, presented by Vittel</t>
        </is>
      </c>
      <c r="F27619" s="8" t="inlineStr">
        <is>
          <t>STANDBY</t>
        </is>
      </c>
      <c r="G27619" s="8" t="n">
        <v>0</v>
      </c>
      <c r="H27619" s="8" t="inlineStr">
        <is>
          <t>CLOSED</t>
        </is>
      </c>
    </row>
    <row r="27620">
      <c r="A27620" s="8" t="inlineStr">
        <is>
          <t>2026-08-05</t>
        </is>
      </c>
      <c r="B27620" s="8" t="n">
        <v>23</v>
      </c>
      <c r="C27620" s="8" t="n">
        <v>31</v>
      </c>
      <c r="D27620" s="8" t="inlineStr">
        <is>
          <t>Disneyland Park</t>
        </is>
      </c>
      <c r="E27620" s="8" t="inlineStr">
        <is>
          <t>Les Voyages de Pinocchio</t>
        </is>
      </c>
      <c r="F27620" s="8" t="inlineStr">
        <is>
          <t>STANDBY</t>
        </is>
      </c>
      <c r="G27620" s="8" t="n">
        <v>0</v>
      </c>
      <c r="H27620" s="8" t="inlineStr">
        <is>
          <t>CLOSED</t>
        </is>
      </c>
    </row>
    <row r="27621">
      <c r="A27621" s="8" t="inlineStr">
        <is>
          <t>2026-08-05</t>
        </is>
      </c>
      <c r="B27621" s="8" t="n">
        <v>23</v>
      </c>
      <c r="C27621" s="8" t="n">
        <v>31</v>
      </c>
      <c r="D27621" s="8" t="inlineStr">
        <is>
          <t>Disneyland Park</t>
        </is>
      </c>
      <c r="E27621" s="8" t="inlineStr">
        <is>
          <t>Mad Hatter's Tea Cups</t>
        </is>
      </c>
      <c r="F27621" s="8" t="inlineStr">
        <is>
          <t>STANDBY</t>
        </is>
      </c>
      <c r="G27621" s="8" t="n">
        <v>0</v>
      </c>
      <c r="H27621" s="8" t="inlineStr">
        <is>
          <t>CLOSED</t>
        </is>
      </c>
    </row>
    <row r="27622">
      <c r="A27622" s="8" t="inlineStr">
        <is>
          <t>2026-08-05</t>
        </is>
      </c>
      <c r="B27622" s="8" t="n">
        <v>23</v>
      </c>
      <c r="C27622" s="8" t="n">
        <v>31</v>
      </c>
      <c r="D27622" s="8" t="inlineStr">
        <is>
          <t>Disneyland Park</t>
        </is>
      </c>
      <c r="E27622" s="8" t="inlineStr">
        <is>
          <t>Meet Mickey Mouse</t>
        </is>
      </c>
      <c r="F27622" s="8" t="inlineStr">
        <is>
          <t>STANDBY</t>
        </is>
      </c>
      <c r="G27622" s="8" t="n">
        <v>0</v>
      </c>
      <c r="H27622" s="8" t="inlineStr">
        <is>
          <t>CLOSED</t>
        </is>
      </c>
    </row>
    <row r="27623">
      <c r="A27623" s="8" t="inlineStr">
        <is>
          <t>2026-08-05</t>
        </is>
      </c>
      <c r="B27623" s="8" t="n">
        <v>23</v>
      </c>
      <c r="C27623" s="8" t="n">
        <v>31</v>
      </c>
      <c r="D27623" s="8" t="inlineStr">
        <is>
          <t>Disneyland Park</t>
        </is>
      </c>
      <c r="E27623" s="8" t="inlineStr">
        <is>
          <t>Peter Pan's Flight</t>
        </is>
      </c>
      <c r="F27623" s="8" t="inlineStr">
        <is>
          <t>STANDBY</t>
        </is>
      </c>
      <c r="G27623" s="8" t="n">
        <v>0</v>
      </c>
      <c r="H27623" s="8" t="inlineStr">
        <is>
          <t>CLOSED</t>
        </is>
      </c>
    </row>
    <row r="27624">
      <c r="A27624" s="8" t="inlineStr">
        <is>
          <t>2026-08-05</t>
        </is>
      </c>
      <c r="B27624" s="8" t="n">
        <v>23</v>
      </c>
      <c r="C27624" s="8" t="n">
        <v>31</v>
      </c>
      <c r="D27624" s="8" t="inlineStr">
        <is>
          <t>Disneyland Park</t>
        </is>
      </c>
      <c r="E27624" s="8" t="inlineStr">
        <is>
          <t>Princess Pavilion</t>
        </is>
      </c>
      <c r="F27624" s="8" t="inlineStr">
        <is>
          <t>STANDBY</t>
        </is>
      </c>
      <c r="G27624" s="8" t="n">
        <v>0</v>
      </c>
      <c r="H27624" s="8" t="inlineStr">
        <is>
          <t>CLOSED</t>
        </is>
      </c>
    </row>
    <row r="27625">
      <c r="A27625" s="8" t="inlineStr">
        <is>
          <t>2026-08-05</t>
        </is>
      </c>
      <c r="B27625" s="8" t="n">
        <v>23</v>
      </c>
      <c r="C27625" s="8" t="n">
        <v>31</v>
      </c>
      <c r="D27625" s="8" t="inlineStr">
        <is>
          <t>Disneyland Park</t>
        </is>
      </c>
      <c r="E27625" s="8" t="inlineStr">
        <is>
          <t>Big Thunder Mountain</t>
        </is>
      </c>
      <c r="F27625" s="8" t="inlineStr">
        <is>
          <t>STANDBY</t>
        </is>
      </c>
      <c r="G27625" s="8" t="n">
        <v>0</v>
      </c>
      <c r="H27625" s="8" t="inlineStr">
        <is>
          <t>CLOSED</t>
        </is>
      </c>
    </row>
    <row r="27626">
      <c r="A27626" s="8" t="inlineStr">
        <is>
          <t>2026-08-05</t>
        </is>
      </c>
      <c r="B27626" s="8" t="n">
        <v>23</v>
      </c>
      <c r="C27626" s="8" t="n">
        <v>31</v>
      </c>
      <c r="D27626" s="8" t="inlineStr">
        <is>
          <t>Disneyland Park</t>
        </is>
      </c>
      <c r="E27626" s="8" t="inlineStr">
        <is>
          <t>Disneyland Railroad Frontierland Depot</t>
        </is>
      </c>
      <c r="F27626" s="8" t="inlineStr">
        <is>
          <t>STANDBY</t>
        </is>
      </c>
      <c r="G27626" s="8" t="n">
        <v>0</v>
      </c>
      <c r="H27626" s="8" t="inlineStr">
        <is>
          <t>CLOSED</t>
        </is>
      </c>
    </row>
    <row r="27627">
      <c r="A27627" s="8" t="inlineStr">
        <is>
          <t>2026-08-05</t>
        </is>
      </c>
      <c r="B27627" s="8" t="n">
        <v>23</v>
      </c>
      <c r="C27627" s="8" t="n">
        <v>31</v>
      </c>
      <c r="D27627" s="8" t="inlineStr">
        <is>
          <t>Disneyland Park</t>
        </is>
      </c>
      <c r="E27627" s="8" t="inlineStr">
        <is>
          <t>Frontierland Playground</t>
        </is>
      </c>
      <c r="F27627" s="8" t="inlineStr">
        <is>
          <t>STANDBY</t>
        </is>
      </c>
      <c r="G27627" s="8" t="n">
        <v>0</v>
      </c>
      <c r="H27627" s="8" t="inlineStr">
        <is>
          <t>CLOSED</t>
        </is>
      </c>
    </row>
    <row r="27628">
      <c r="A27628" s="8" t="inlineStr">
        <is>
          <t>2026-08-05</t>
        </is>
      </c>
      <c r="B27628" s="8" t="n">
        <v>23</v>
      </c>
      <c r="C27628" s="8" t="n">
        <v>31</v>
      </c>
      <c r="D27628" s="8" t="inlineStr">
        <is>
          <t>Disneyland Park</t>
        </is>
      </c>
      <c r="E27628" s="8" t="inlineStr">
        <is>
          <t>Phantom Manor</t>
        </is>
      </c>
      <c r="F27628" s="8" t="inlineStr">
        <is>
          <t>STANDBY</t>
        </is>
      </c>
      <c r="G27628" s="8" t="n">
        <v>0</v>
      </c>
      <c r="H27628" s="8" t="inlineStr">
        <is>
          <t>CLOSED</t>
        </is>
      </c>
    </row>
    <row r="27629">
      <c r="A27629" s="8" t="inlineStr">
        <is>
          <t>2026-08-05</t>
        </is>
      </c>
      <c r="B27629" s="8" t="n">
        <v>23</v>
      </c>
      <c r="C27629" s="8" t="n">
        <v>31</v>
      </c>
      <c r="D27629" s="8" t="inlineStr">
        <is>
          <t>Disneyland Park</t>
        </is>
      </c>
      <c r="E27629" s="8" t="inlineStr">
        <is>
          <t>River Rogue Keelboats</t>
        </is>
      </c>
      <c r="F27629" s="8" t="inlineStr">
        <is>
          <t>STANDBY</t>
        </is>
      </c>
      <c r="G27629" s="8" t="n">
        <v>0</v>
      </c>
      <c r="H27629" s="8" t="inlineStr">
        <is>
          <t>CLOSED</t>
        </is>
      </c>
    </row>
    <row r="27630">
      <c r="A27630" s="8" t="inlineStr">
        <is>
          <t>2026-08-05</t>
        </is>
      </c>
      <c r="B27630" s="8" t="n">
        <v>23</v>
      </c>
      <c r="C27630" s="8" t="n">
        <v>31</v>
      </c>
      <c r="D27630" s="8" t="inlineStr">
        <is>
          <t>Disneyland Park</t>
        </is>
      </c>
      <c r="E27630" s="8" t="inlineStr">
        <is>
          <t>Rustler Roundup Shootin' Gallery</t>
        </is>
      </c>
      <c r="F27630" s="8" t="inlineStr">
        <is>
          <t>STANDBY</t>
        </is>
      </c>
      <c r="G27630" s="8" t="n">
        <v>0</v>
      </c>
      <c r="H27630" s="8" t="inlineStr">
        <is>
          <t>CLOSED</t>
        </is>
      </c>
    </row>
    <row r="27631">
      <c r="A27631" s="8" t="inlineStr">
        <is>
          <t>2026-08-05</t>
        </is>
      </c>
      <c r="B27631" s="8" t="n">
        <v>23</v>
      </c>
      <c r="C27631" s="8" t="n">
        <v>31</v>
      </c>
      <c r="D27631" s="8" t="inlineStr">
        <is>
          <t>Disneyland Park</t>
        </is>
      </c>
      <c r="E27631" s="8" t="inlineStr">
        <is>
          <t>Thunder Mesa Riverboat Landing</t>
        </is>
      </c>
      <c r="F27631" s="8" t="inlineStr">
        <is>
          <t>STANDBY</t>
        </is>
      </c>
      <c r="G27631" s="8" t="n">
        <v>0</v>
      </c>
      <c r="H27631" s="8" t="inlineStr">
        <is>
          <t>CLOSED</t>
        </is>
      </c>
    </row>
    <row r="27632">
      <c r="A27632" s="8" t="inlineStr">
        <is>
          <t>2026-08-05</t>
        </is>
      </c>
      <c r="B27632" s="8" t="n">
        <v>23</v>
      </c>
      <c r="C27632" s="8" t="n">
        <v>31</v>
      </c>
      <c r="D27632" s="8" t="inlineStr">
        <is>
          <t>Disneyland Park</t>
        </is>
      </c>
      <c r="E27632" s="8" t="inlineStr">
        <is>
          <t>Disneyland Railroad Main Street Station</t>
        </is>
      </c>
      <c r="F27632" s="8" t="inlineStr">
        <is>
          <t>STANDBY</t>
        </is>
      </c>
      <c r="G27632" s="8" t="n">
        <v>0</v>
      </c>
      <c r="H27632" s="8" t="inlineStr">
        <is>
          <t>CLOSED</t>
        </is>
      </c>
    </row>
    <row r="27633">
      <c r="A27633" s="8" t="inlineStr">
        <is>
          <t>2026-08-05</t>
        </is>
      </c>
      <c r="B27633" s="8" t="n">
        <v>23</v>
      </c>
      <c r="C27633" s="8" t="n">
        <v>31</v>
      </c>
      <c r="D27633" s="8" t="inlineStr">
        <is>
          <t>Disneyland Park</t>
        </is>
      </c>
      <c r="E27633" s="8" t="inlineStr">
        <is>
          <t>Main Street Vehicles</t>
        </is>
      </c>
      <c r="F27633" s="8" t="inlineStr">
        <is>
          <t>STANDBY</t>
        </is>
      </c>
      <c r="G27633" s="8" t="n">
        <v>0</v>
      </c>
      <c r="H27633" s="8" t="inlineStr">
        <is>
          <t>CLOSED</t>
        </is>
      </c>
    </row>
    <row r="27634">
      <c r="A27634" s="8" t="inlineStr">
        <is>
          <t>2026-08-05</t>
        </is>
      </c>
      <c r="B27634" s="8" t="n">
        <v>23</v>
      </c>
      <c r="C27634" s="8" t="n">
        <v>31</v>
      </c>
      <c r="D27634" s="8" t="inlineStr">
        <is>
          <t>Disney Adventure World</t>
        </is>
      </c>
      <c r="E27634" s="8" t="inlineStr">
        <is>
          <t>Avengers Assemble: Flight Force</t>
        </is>
      </c>
      <c r="F27634" s="8" t="inlineStr">
        <is>
          <t>STANDBY</t>
        </is>
      </c>
      <c r="G27634" s="8" t="n">
        <v>0</v>
      </c>
      <c r="H27634" s="8" t="inlineStr">
        <is>
          <t>CLOSED</t>
        </is>
      </c>
    </row>
    <row r="27635">
      <c r="A27635" s="8" t="inlineStr">
        <is>
          <t>2026-08-05</t>
        </is>
      </c>
      <c r="B27635" s="8" t="n">
        <v>23</v>
      </c>
      <c r="C27635" s="8" t="n">
        <v>31</v>
      </c>
      <c r="D27635" s="8" t="inlineStr">
        <is>
          <t>Disney Adventure World</t>
        </is>
      </c>
      <c r="E27635" s="8" t="inlineStr">
        <is>
          <t>Avengers Assemble: Flight Force Single Rider</t>
        </is>
      </c>
      <c r="F27635" s="8" t="inlineStr">
        <is>
          <t>STANDBY</t>
        </is>
      </c>
      <c r="G27635" s="8" t="n">
        <v>0</v>
      </c>
      <c r="H27635" s="8" t="inlineStr">
        <is>
          <t>CLOSED</t>
        </is>
      </c>
    </row>
    <row r="27636">
      <c r="A27636" s="8" t="inlineStr">
        <is>
          <t>2026-08-05</t>
        </is>
      </c>
      <c r="B27636" s="8" t="n">
        <v>23</v>
      </c>
      <c r="C27636" s="8" t="n">
        <v>31</v>
      </c>
      <c r="D27636" s="8" t="inlineStr">
        <is>
          <t>Disney Adventure World</t>
        </is>
      </c>
      <c r="E27636" s="8" t="inlineStr">
        <is>
          <t>Spider-Man W.E.B. Adventure</t>
        </is>
      </c>
      <c r="F27636" s="8" t="inlineStr">
        <is>
          <t>STANDBY</t>
        </is>
      </c>
      <c r="G27636" s="8" t="n">
        <v>0</v>
      </c>
      <c r="H27636" s="8" t="inlineStr">
        <is>
          <t>CLOSED</t>
        </is>
      </c>
    </row>
    <row r="27637">
      <c r="A27637" s="8" t="inlineStr">
        <is>
          <t>2026-08-05</t>
        </is>
      </c>
      <c r="B27637" s="8" t="n">
        <v>23</v>
      </c>
      <c r="C27637" s="8" t="n">
        <v>31</v>
      </c>
      <c r="D27637" s="8" t="inlineStr">
        <is>
          <t>Disney Adventure World</t>
        </is>
      </c>
      <c r="E27637" s="8" t="inlineStr">
        <is>
          <t>Spider-Man W.E.B. Adventure Single Rider</t>
        </is>
      </c>
      <c r="F27637" s="8" t="inlineStr">
        <is>
          <t>STANDBY</t>
        </is>
      </c>
      <c r="G27637" s="8" t="n">
        <v>0</v>
      </c>
      <c r="H27637" s="8" t="inlineStr">
        <is>
          <t>CLOSED</t>
        </is>
      </c>
    </row>
    <row r="27638">
      <c r="A27638" s="8" t="inlineStr">
        <is>
          <t>2026-08-05</t>
        </is>
      </c>
      <c r="B27638" s="8" t="n">
        <v>23</v>
      </c>
      <c r="C27638" s="8" t="n">
        <v>31</v>
      </c>
      <c r="D27638" s="8" t="inlineStr">
        <is>
          <t>Disney Adventure World</t>
        </is>
      </c>
      <c r="E27638" s="8" t="inlineStr">
        <is>
          <t>The Twilight Zone Tower of Terror</t>
        </is>
      </c>
      <c r="F27638" s="8" t="inlineStr">
        <is>
          <t>STANDBY</t>
        </is>
      </c>
      <c r="G27638" s="8" t="n">
        <v>0</v>
      </c>
      <c r="H27638" s="8" t="inlineStr">
        <is>
          <t>CLOSED</t>
        </is>
      </c>
    </row>
    <row r="27639">
      <c r="A27639" s="8" t="inlineStr">
        <is>
          <t>2026-08-05</t>
        </is>
      </c>
      <c r="B27639" s="8" t="n">
        <v>23</v>
      </c>
      <c r="C27639" s="8" t="n">
        <v>31</v>
      </c>
      <c r="D27639" s="8" t="inlineStr">
        <is>
          <t>Disney Adventure World</t>
        </is>
      </c>
      <c r="E27639" s="8" t="inlineStr">
        <is>
          <t>Cars Quatre Roues Rallye</t>
        </is>
      </c>
      <c r="F27639" s="8" t="inlineStr">
        <is>
          <t>STANDBY</t>
        </is>
      </c>
      <c r="G27639" s="8" t="n">
        <v>0</v>
      </c>
      <c r="H27639" s="8" t="inlineStr">
        <is>
          <t>CLOSED</t>
        </is>
      </c>
    </row>
    <row r="27640">
      <c r="A27640" s="8" t="inlineStr">
        <is>
          <t>2026-08-05</t>
        </is>
      </c>
      <c r="B27640" s="8" t="n">
        <v>23</v>
      </c>
      <c r="C27640" s="8" t="n">
        <v>31</v>
      </c>
      <c r="D27640" s="8" t="inlineStr">
        <is>
          <t>Disney Adventure World</t>
        </is>
      </c>
      <c r="E27640" s="8" t="inlineStr">
        <is>
          <t>Cars ROAD TRIP</t>
        </is>
      </c>
      <c r="F27640" s="8" t="inlineStr">
        <is>
          <t>STANDBY</t>
        </is>
      </c>
      <c r="G27640" s="8" t="n">
        <v>0</v>
      </c>
      <c r="H27640" s="8" t="inlineStr">
        <is>
          <t>CLOSED</t>
        </is>
      </c>
    </row>
    <row r="27641">
      <c r="A27641" s="8" t="inlineStr">
        <is>
          <t>2026-08-05</t>
        </is>
      </c>
      <c r="B27641" s="8" t="n">
        <v>23</v>
      </c>
      <c r="C27641" s="8" t="n">
        <v>31</v>
      </c>
      <c r="D27641" s="8" t="inlineStr">
        <is>
          <t>Disney Adventure World</t>
        </is>
      </c>
      <c r="E27641" s="8" t="inlineStr">
        <is>
          <t>Crush's Coaster</t>
        </is>
      </c>
      <c r="F27641" s="8" t="inlineStr">
        <is>
          <t>STANDBY</t>
        </is>
      </c>
      <c r="G27641" s="8" t="n">
        <v>0</v>
      </c>
      <c r="H27641" s="8" t="inlineStr">
        <is>
          <t>CLOSED</t>
        </is>
      </c>
    </row>
    <row r="27642">
      <c r="A27642" s="8" t="inlineStr">
        <is>
          <t>2026-08-05</t>
        </is>
      </c>
      <c r="B27642" s="8" t="n">
        <v>23</v>
      </c>
      <c r="C27642" s="8" t="n">
        <v>31</v>
      </c>
      <c r="D27642" s="8" t="inlineStr">
        <is>
          <t>Disney Adventure World</t>
        </is>
      </c>
      <c r="E27642" s="8" t="inlineStr">
        <is>
          <t>Crush's Coaster Single Rider</t>
        </is>
      </c>
      <c r="F27642" s="8" t="inlineStr">
        <is>
          <t>STANDBY</t>
        </is>
      </c>
      <c r="G27642" s="8" t="n">
        <v>0</v>
      </c>
      <c r="H27642" s="8" t="inlineStr">
        <is>
          <t>CLOSED</t>
        </is>
      </c>
    </row>
    <row r="27643">
      <c r="A27643" s="8" t="inlineStr">
        <is>
          <t>2026-08-05</t>
        </is>
      </c>
      <c r="B27643" s="8" t="n">
        <v>23</v>
      </c>
      <c r="C27643" s="8" t="n">
        <v>31</v>
      </c>
      <c r="D27643" s="8" t="inlineStr">
        <is>
          <t>Disney Adventure World</t>
        </is>
      </c>
      <c r="E27643" s="8" t="inlineStr">
        <is>
          <t>Les Tapis Volants - Flying Carpets Over Agrabah®</t>
        </is>
      </c>
      <c r="F27643" s="8" t="inlineStr">
        <is>
          <t>STANDBY</t>
        </is>
      </c>
      <c r="G27643" s="8" t="n">
        <v>0</v>
      </c>
      <c r="H27643" s="8" t="inlineStr">
        <is>
          <t>CLOSED</t>
        </is>
      </c>
    </row>
    <row r="27644">
      <c r="A27644" s="8" t="inlineStr">
        <is>
          <t>2026-08-05</t>
        </is>
      </c>
      <c r="B27644" s="8" t="n">
        <v>23</v>
      </c>
      <c r="C27644" s="8" t="n">
        <v>31</v>
      </c>
      <c r="D27644" s="8" t="inlineStr">
        <is>
          <t>Disney Adventure World</t>
        </is>
      </c>
      <c r="E27644" s="8" t="inlineStr">
        <is>
          <t>Ratatouille : L’Aventure Totalement Toquée de Rémy​</t>
        </is>
      </c>
      <c r="F27644" s="8" t="inlineStr">
        <is>
          <t>STANDBY</t>
        </is>
      </c>
      <c r="G27644" s="8" t="n">
        <v>0</v>
      </c>
      <c r="H27644" s="8" t="inlineStr">
        <is>
          <t>CLOSED</t>
        </is>
      </c>
    </row>
    <row r="27645">
      <c r="A27645" s="8" t="inlineStr">
        <is>
          <t>2026-08-05</t>
        </is>
      </c>
      <c r="B27645" s="8" t="n">
        <v>23</v>
      </c>
      <c r="C27645" s="8" t="n">
        <v>31</v>
      </c>
      <c r="D27645" s="8" t="inlineStr">
        <is>
          <t>Disney Adventure World</t>
        </is>
      </c>
      <c r="E27645" s="8" t="inlineStr">
        <is>
          <t>Ratatouille: The Adventure Single Rider</t>
        </is>
      </c>
      <c r="F27645" s="8" t="inlineStr">
        <is>
          <t>STANDBY</t>
        </is>
      </c>
      <c r="G27645" s="8" t="n">
        <v>0</v>
      </c>
      <c r="H27645" s="8" t="inlineStr">
        <is>
          <t>CLOSED</t>
        </is>
      </c>
    </row>
    <row r="27646">
      <c r="A27646" s="8" t="inlineStr">
        <is>
          <t>2026-08-05</t>
        </is>
      </c>
      <c r="B27646" s="8" t="n">
        <v>23</v>
      </c>
      <c r="C27646" s="8" t="n">
        <v>31</v>
      </c>
      <c r="D27646" s="8" t="inlineStr">
        <is>
          <t>Disney Adventure World</t>
        </is>
      </c>
      <c r="E27646" s="8" t="inlineStr">
        <is>
          <t>RC Racer</t>
        </is>
      </c>
      <c r="F27646" s="8" t="inlineStr">
        <is>
          <t>STANDBY</t>
        </is>
      </c>
      <c r="G27646" s="8" t="n">
        <v>0</v>
      </c>
      <c r="H27646" s="8" t="inlineStr">
        <is>
          <t>CLOSED</t>
        </is>
      </c>
    </row>
    <row r="27647">
      <c r="A27647" s="8" t="inlineStr">
        <is>
          <t>2026-08-05</t>
        </is>
      </c>
      <c r="B27647" s="8" t="n">
        <v>23</v>
      </c>
      <c r="C27647" s="8" t="n">
        <v>31</v>
      </c>
      <c r="D27647" s="8" t="inlineStr">
        <is>
          <t>Disney Adventure World</t>
        </is>
      </c>
      <c r="E27647" s="8" t="inlineStr">
        <is>
          <t>RC Racer Single Rider</t>
        </is>
      </c>
      <c r="F27647" s="8" t="inlineStr">
        <is>
          <t>STANDBY</t>
        </is>
      </c>
      <c r="G27647" s="8" t="n">
        <v>0</v>
      </c>
      <c r="H27647" s="8" t="inlineStr">
        <is>
          <t>CLOSED</t>
        </is>
      </c>
    </row>
    <row r="27648">
      <c r="A27648" s="8" t="inlineStr">
        <is>
          <t>2026-08-05</t>
        </is>
      </c>
      <c r="B27648" s="8" t="n">
        <v>23</v>
      </c>
      <c r="C27648" s="8" t="n">
        <v>31</v>
      </c>
      <c r="D27648" s="8" t="inlineStr">
        <is>
          <t>Disney Adventure World</t>
        </is>
      </c>
      <c r="E27648" s="8" t="inlineStr">
        <is>
          <t>Slinky® Dog Zigzag Spin</t>
        </is>
      </c>
      <c r="F27648" s="8" t="inlineStr">
        <is>
          <t>STANDBY</t>
        </is>
      </c>
      <c r="G27648" s="8" t="n">
        <v>0</v>
      </c>
      <c r="H27648" s="8" t="inlineStr">
        <is>
          <t>CLOSED</t>
        </is>
      </c>
    </row>
    <row r="27649">
      <c r="A27649" s="8" t="inlineStr">
        <is>
          <t>2026-08-05</t>
        </is>
      </c>
      <c r="B27649" s="8" t="n">
        <v>23</v>
      </c>
      <c r="C27649" s="8" t="n">
        <v>31</v>
      </c>
      <c r="D27649" s="8" t="inlineStr">
        <is>
          <t>Disney Adventure World</t>
        </is>
      </c>
      <c r="E27649" s="8" t="inlineStr">
        <is>
          <t>Toy Soldiers Parachute Drop</t>
        </is>
      </c>
      <c r="F27649" s="8" t="inlineStr">
        <is>
          <t>STANDBY</t>
        </is>
      </c>
      <c r="G27649" s="8" t="n">
        <v>0</v>
      </c>
      <c r="H27649" s="8" t="inlineStr">
        <is>
          <t>CLOSED</t>
        </is>
      </c>
    </row>
    <row r="27650">
      <c r="A27650" s="8" t="inlineStr">
        <is>
          <t>2026-08-05</t>
        </is>
      </c>
      <c r="B27650" s="8" t="n">
        <v>23</v>
      </c>
      <c r="C27650" s="8" t="n">
        <v>31</v>
      </c>
      <c r="D27650" s="8" t="inlineStr">
        <is>
          <t>Disney Adventure World</t>
        </is>
      </c>
      <c r="E27650" s="8" t="inlineStr">
        <is>
          <t>Toy Soldiers Parachute Drop Single Rider</t>
        </is>
      </c>
      <c r="F27650" s="8" t="inlineStr">
        <is>
          <t>STANDBY</t>
        </is>
      </c>
      <c r="G27650" s="8" t="n">
        <v>0</v>
      </c>
      <c r="H27650" s="8" t="inlineStr">
        <is>
          <t>CLOSED</t>
        </is>
      </c>
    </row>
    <row r="27651">
      <c r="A27651" s="8" t="inlineStr">
        <is>
          <t>2026-08-05</t>
        </is>
      </c>
      <c r="B27651" s="8" t="n">
        <v>23</v>
      </c>
      <c r="C27651" s="8" t="n">
        <v>31</v>
      </c>
      <c r="D27651" s="8" t="inlineStr">
        <is>
          <t>Disney Adventure World</t>
        </is>
      </c>
      <c r="E27651" s="8" t="inlineStr">
        <is>
          <t>Entry to World of Frozen</t>
        </is>
      </c>
      <c r="F27651" s="8" t="inlineStr">
        <is>
          <t>STANDBY</t>
        </is>
      </c>
      <c r="G27651" s="8" t="n">
        <v>0</v>
      </c>
      <c r="H27651" s="8" t="inlineStr">
        <is>
          <t>CLOSED</t>
        </is>
      </c>
    </row>
    <row r="27652">
      <c r="A27652" s="8" t="inlineStr">
        <is>
          <t>2026-08-05</t>
        </is>
      </c>
      <c r="B27652" s="8" t="n">
        <v>23</v>
      </c>
      <c r="C27652" s="8" t="n">
        <v>31</v>
      </c>
      <c r="D27652" s="8" t="inlineStr">
        <is>
          <t>Disney Adventure World</t>
        </is>
      </c>
      <c r="E27652" s="8" t="inlineStr">
        <is>
          <t>Frozen Ever After</t>
        </is>
      </c>
      <c r="F27652" s="8" t="inlineStr">
        <is>
          <t>STANDBY</t>
        </is>
      </c>
      <c r="G27652" s="8" t="n">
        <v>0</v>
      </c>
      <c r="H27652" s="8" t="inlineStr">
        <is>
          <t>CLOSED</t>
        </is>
      </c>
    </row>
    <row r="27653">
      <c r="A27653" s="8" t="inlineStr">
        <is>
          <t>2026-08-05</t>
        </is>
      </c>
      <c r="B27653" s="8" t="n">
        <v>23</v>
      </c>
      <c r="C27653" s="8" t="n">
        <v>31</v>
      </c>
      <c r="D27653" s="8" t="inlineStr">
        <is>
          <t>Disney Adventure World</t>
        </is>
      </c>
      <c r="E27653" s="8" t="inlineStr">
        <is>
          <t>Raiponce Tangled Spin</t>
        </is>
      </c>
      <c r="F27653" s="8" t="inlineStr">
        <is>
          <t>STANDBY</t>
        </is>
      </c>
      <c r="G27653" s="8" t="n">
        <v>0</v>
      </c>
      <c r="H27653" s="8" t="inlineStr">
        <is>
          <t>CLOSED</t>
        </is>
      </c>
    </row>
    <row r="27654">
      <c r="A27654" s="8" t="inlineStr">
        <is>
          <t>2026-08-05</t>
        </is>
      </c>
      <c r="B27654" s="8" t="n">
        <v>23</v>
      </c>
      <c r="C27654" s="8" t="n">
        <v>38</v>
      </c>
      <c r="D27654" s="8" t="inlineStr">
        <is>
          <t>Disneyland Park</t>
        </is>
      </c>
      <c r="E27654" s="8" t="inlineStr">
        <is>
          <t>Adventure Isle</t>
        </is>
      </c>
      <c r="F27654" s="8" t="inlineStr">
        <is>
          <t>STANDBY</t>
        </is>
      </c>
      <c r="G27654" s="8" t="n">
        <v>0</v>
      </c>
      <c r="H27654" s="8" t="inlineStr">
        <is>
          <t>CLOSED</t>
        </is>
      </c>
    </row>
    <row r="27655">
      <c r="A27655" s="8" t="inlineStr">
        <is>
          <t>2026-08-05</t>
        </is>
      </c>
      <c r="B27655" s="8" t="n">
        <v>23</v>
      </c>
      <c r="C27655" s="8" t="n">
        <v>38</v>
      </c>
      <c r="D27655" s="8" t="inlineStr">
        <is>
          <t>Disneyland Park</t>
        </is>
      </c>
      <c r="E27655" s="8" t="inlineStr">
        <is>
          <t>Indiana Jones and the Temple of Peril Single Rider</t>
        </is>
      </c>
      <c r="F27655" s="8" t="inlineStr">
        <is>
          <t>STANDBY</t>
        </is>
      </c>
      <c r="G27655" s="8" t="n">
        <v>0</v>
      </c>
      <c r="H27655" s="8" t="inlineStr">
        <is>
          <t>CLOSED</t>
        </is>
      </c>
    </row>
    <row r="27656">
      <c r="A27656" s="8" t="inlineStr">
        <is>
          <t>2026-08-05</t>
        </is>
      </c>
      <c r="B27656" s="8" t="n">
        <v>23</v>
      </c>
      <c r="C27656" s="8" t="n">
        <v>38</v>
      </c>
      <c r="D27656" s="8" t="inlineStr">
        <is>
          <t>Disneyland Park</t>
        </is>
      </c>
      <c r="E27656" s="8" t="inlineStr">
        <is>
          <t>Indiana Jones™ and the Temple of Peril</t>
        </is>
      </c>
      <c r="F27656" s="8" t="inlineStr">
        <is>
          <t>STANDBY</t>
        </is>
      </c>
      <c r="G27656" s="8" t="n">
        <v>0</v>
      </c>
      <c r="H27656" s="8" t="inlineStr">
        <is>
          <t>CLOSED</t>
        </is>
      </c>
    </row>
    <row r="27657">
      <c r="A27657" s="8" t="inlineStr">
        <is>
          <t>2026-08-05</t>
        </is>
      </c>
      <c r="B27657" s="8" t="n">
        <v>23</v>
      </c>
      <c r="C27657" s="8" t="n">
        <v>38</v>
      </c>
      <c r="D27657" s="8" t="inlineStr">
        <is>
          <t>Disneyland Park</t>
        </is>
      </c>
      <c r="E27657" s="8" t="inlineStr">
        <is>
          <t>La Cabane des Robinson</t>
        </is>
      </c>
      <c r="F27657" s="8" t="inlineStr">
        <is>
          <t>STANDBY</t>
        </is>
      </c>
      <c r="G27657" s="8" t="n">
        <v>0</v>
      </c>
      <c r="H27657" s="8" t="inlineStr">
        <is>
          <t>CLOSED</t>
        </is>
      </c>
    </row>
    <row r="27658">
      <c r="A27658" s="8" t="inlineStr">
        <is>
          <t>2026-08-05</t>
        </is>
      </c>
      <c r="B27658" s="8" t="n">
        <v>23</v>
      </c>
      <c r="C27658" s="8" t="n">
        <v>38</v>
      </c>
      <c r="D27658" s="8" t="inlineStr">
        <is>
          <t>Disneyland Park</t>
        </is>
      </c>
      <c r="E27658" s="8" t="inlineStr">
        <is>
          <t>Le Passage Enchanté d'Aladdin</t>
        </is>
      </c>
      <c r="F27658" s="8" t="inlineStr">
        <is>
          <t>STANDBY</t>
        </is>
      </c>
      <c r="G27658" s="8" t="n">
        <v>0</v>
      </c>
      <c r="H27658" s="8" t="inlineStr">
        <is>
          <t>CLOSED</t>
        </is>
      </c>
    </row>
    <row r="27659">
      <c r="A27659" s="8" t="inlineStr">
        <is>
          <t>2026-08-05</t>
        </is>
      </c>
      <c r="B27659" s="8" t="n">
        <v>23</v>
      </c>
      <c r="C27659" s="8" t="n">
        <v>38</v>
      </c>
      <c r="D27659" s="8" t="inlineStr">
        <is>
          <t>Disneyland Park</t>
        </is>
      </c>
      <c r="E27659" s="8" t="inlineStr">
        <is>
          <t>Pirate Galleon</t>
        </is>
      </c>
      <c r="F27659" s="8" t="inlineStr">
        <is>
          <t>STANDBY</t>
        </is>
      </c>
      <c r="G27659" s="8" t="n">
        <v>0</v>
      </c>
      <c r="H27659" s="8" t="inlineStr">
        <is>
          <t>CLOSED</t>
        </is>
      </c>
    </row>
    <row r="27660">
      <c r="A27660" s="8" t="inlineStr">
        <is>
          <t>2026-08-05</t>
        </is>
      </c>
      <c r="B27660" s="8" t="n">
        <v>23</v>
      </c>
      <c r="C27660" s="8" t="n">
        <v>38</v>
      </c>
      <c r="D27660" s="8" t="inlineStr">
        <is>
          <t>Disneyland Park</t>
        </is>
      </c>
      <c r="E27660" s="8" t="inlineStr">
        <is>
          <t>Pirates of the Caribbean</t>
        </is>
      </c>
      <c r="F27660" s="8" t="inlineStr">
        <is>
          <t>STANDBY</t>
        </is>
      </c>
      <c r="G27660" s="8" t="n">
        <v>0</v>
      </c>
      <c r="H27660" s="8" t="inlineStr">
        <is>
          <t>CLOSED</t>
        </is>
      </c>
    </row>
    <row r="27661">
      <c r="A27661" s="8" t="inlineStr">
        <is>
          <t>2026-08-05</t>
        </is>
      </c>
      <c r="B27661" s="8" t="n">
        <v>23</v>
      </c>
      <c r="C27661" s="8" t="n">
        <v>38</v>
      </c>
      <c r="D27661" s="8" t="inlineStr">
        <is>
          <t>Disneyland Park</t>
        </is>
      </c>
      <c r="E27661" s="8" t="inlineStr">
        <is>
          <t>Pirates' Beach</t>
        </is>
      </c>
      <c r="F27661" s="8" t="inlineStr">
        <is>
          <t>STANDBY</t>
        </is>
      </c>
      <c r="G27661" s="8" t="n">
        <v>0</v>
      </c>
      <c r="H27661" s="8" t="inlineStr">
        <is>
          <t>CLOSED</t>
        </is>
      </c>
    </row>
    <row r="27662">
      <c r="A27662" s="8" t="inlineStr">
        <is>
          <t>2026-08-05</t>
        </is>
      </c>
      <c r="B27662" s="8" t="n">
        <v>23</v>
      </c>
      <c r="C27662" s="8" t="n">
        <v>38</v>
      </c>
      <c r="D27662" s="8" t="inlineStr">
        <is>
          <t>Disneyland Park</t>
        </is>
      </c>
      <c r="E27662" s="8" t="inlineStr">
        <is>
          <t>Autopia, presented by Avis</t>
        </is>
      </c>
      <c r="F27662" s="8" t="inlineStr">
        <is>
          <t>STANDBY</t>
        </is>
      </c>
      <c r="G27662" s="8" t="n">
        <v>0</v>
      </c>
      <c r="H27662" s="8" t="inlineStr">
        <is>
          <t>CLOSED</t>
        </is>
      </c>
    </row>
    <row r="27663">
      <c r="A27663" s="8" t="inlineStr">
        <is>
          <t>2026-08-05</t>
        </is>
      </c>
      <c r="B27663" s="8" t="n">
        <v>23</v>
      </c>
      <c r="C27663" s="8" t="n">
        <v>38</v>
      </c>
      <c r="D27663" s="8" t="inlineStr">
        <is>
          <t>Disneyland Park</t>
        </is>
      </c>
      <c r="E27663" s="8" t="inlineStr">
        <is>
          <t>Buzz Lightyear Laser Blast</t>
        </is>
      </c>
      <c r="F27663" s="8" t="inlineStr">
        <is>
          <t>STANDBY</t>
        </is>
      </c>
      <c r="G27663" s="8" t="n">
        <v>0</v>
      </c>
      <c r="H27663" s="8" t="inlineStr">
        <is>
          <t>CLOSED</t>
        </is>
      </c>
    </row>
    <row r="27664">
      <c r="A27664" s="8" t="inlineStr">
        <is>
          <t>2026-08-05</t>
        </is>
      </c>
      <c r="B27664" s="8" t="n">
        <v>23</v>
      </c>
      <c r="C27664" s="8" t="n">
        <v>38</v>
      </c>
      <c r="D27664" s="8" t="inlineStr">
        <is>
          <t>Disneyland Park</t>
        </is>
      </c>
      <c r="E27664" s="8" t="inlineStr">
        <is>
          <t>Disneyland Railroad Discoveryland Station</t>
        </is>
      </c>
      <c r="F27664" s="8" t="inlineStr">
        <is>
          <t>STANDBY</t>
        </is>
      </c>
      <c r="G27664" s="8" t="n">
        <v>0</v>
      </c>
      <c r="H27664" s="8" t="inlineStr">
        <is>
          <t>CLOSED</t>
        </is>
      </c>
    </row>
    <row r="27665">
      <c r="A27665" s="8" t="inlineStr">
        <is>
          <t>2026-08-05</t>
        </is>
      </c>
      <c r="B27665" s="8" t="n">
        <v>23</v>
      </c>
      <c r="C27665" s="8" t="n">
        <v>38</v>
      </c>
      <c r="D27665" s="8" t="inlineStr">
        <is>
          <t>Disneyland Park</t>
        </is>
      </c>
      <c r="E27665" s="8" t="inlineStr">
        <is>
          <t>Les Mystères du Nautilus</t>
        </is>
      </c>
      <c r="F27665" s="8" t="inlineStr">
        <is>
          <t>STANDBY</t>
        </is>
      </c>
      <c r="G27665" s="8" t="n">
        <v>0</v>
      </c>
      <c r="H27665" s="8" t="inlineStr">
        <is>
          <t>CLOSED</t>
        </is>
      </c>
    </row>
    <row r="27666">
      <c r="A27666" s="8" t="inlineStr">
        <is>
          <t>2026-08-05</t>
        </is>
      </c>
      <c r="B27666" s="8" t="n">
        <v>23</v>
      </c>
      <c r="C27666" s="8" t="n">
        <v>38</v>
      </c>
      <c r="D27666" s="8" t="inlineStr">
        <is>
          <t>Disneyland Park</t>
        </is>
      </c>
      <c r="E27666" s="8" t="inlineStr">
        <is>
          <t>Mickey’s PhilharMagic</t>
        </is>
      </c>
      <c r="F27666" s="8" t="inlineStr">
        <is>
          <t>STANDBY</t>
        </is>
      </c>
      <c r="G27666" s="8" t="n">
        <v>0</v>
      </c>
      <c r="H27666" s="8" t="inlineStr">
        <is>
          <t>CLOSED</t>
        </is>
      </c>
    </row>
    <row r="27667">
      <c r="A27667" s="8" t="inlineStr">
        <is>
          <t>2026-08-05</t>
        </is>
      </c>
      <c r="B27667" s="8" t="n">
        <v>23</v>
      </c>
      <c r="C27667" s="8" t="n">
        <v>38</v>
      </c>
      <c r="D27667" s="8" t="inlineStr">
        <is>
          <t>Disneyland Park</t>
        </is>
      </c>
      <c r="E27667" s="8" t="inlineStr">
        <is>
          <t>Orbitron®</t>
        </is>
      </c>
      <c r="F27667" s="8" t="inlineStr">
        <is>
          <t>STANDBY</t>
        </is>
      </c>
      <c r="G27667" s="8" t="n">
        <v>0</v>
      </c>
      <c r="H27667" s="8" t="inlineStr">
        <is>
          <t>CLOSED</t>
        </is>
      </c>
    </row>
    <row r="27668">
      <c r="A27668" s="8" t="inlineStr">
        <is>
          <t>2026-08-05</t>
        </is>
      </c>
      <c r="B27668" s="8" t="n">
        <v>23</v>
      </c>
      <c r="C27668" s="8" t="n">
        <v>38</v>
      </c>
      <c r="D27668" s="8" t="inlineStr">
        <is>
          <t>Disneyland Park</t>
        </is>
      </c>
      <c r="E27668" s="8" t="inlineStr">
        <is>
          <t>Star Tours: The Adventures Continue*</t>
        </is>
      </c>
      <c r="F27668" s="8" t="inlineStr">
        <is>
          <t>STANDBY</t>
        </is>
      </c>
      <c r="G27668" s="8" t="n">
        <v>0</v>
      </c>
      <c r="H27668" s="8" t="inlineStr">
        <is>
          <t>CLOSED</t>
        </is>
      </c>
    </row>
    <row r="27669">
      <c r="A27669" s="8" t="inlineStr">
        <is>
          <t>2026-08-05</t>
        </is>
      </c>
      <c r="B27669" s="8" t="n">
        <v>23</v>
      </c>
      <c r="C27669" s="8" t="n">
        <v>38</v>
      </c>
      <c r="D27669" s="8" t="inlineStr">
        <is>
          <t>Disneyland Park</t>
        </is>
      </c>
      <c r="E27669" s="8" t="inlineStr">
        <is>
          <t>Star Wars Hyperspace Mountain</t>
        </is>
      </c>
      <c r="F27669" s="8" t="inlineStr">
        <is>
          <t>STANDBY</t>
        </is>
      </c>
      <c r="G27669" s="8" t="n">
        <v>0</v>
      </c>
      <c r="H27669" s="8" t="inlineStr">
        <is>
          <t>CLOSED</t>
        </is>
      </c>
    </row>
    <row r="27670">
      <c r="A27670" s="8" t="inlineStr">
        <is>
          <t>2026-08-05</t>
        </is>
      </c>
      <c r="B27670" s="8" t="n">
        <v>23</v>
      </c>
      <c r="C27670" s="8" t="n">
        <v>38</v>
      </c>
      <c r="D27670" s="8" t="inlineStr">
        <is>
          <t>Disneyland Park</t>
        </is>
      </c>
      <c r="E27670" s="8" t="inlineStr">
        <is>
          <t>Star Wars Hyperspace Mountain Single Rider</t>
        </is>
      </c>
      <c r="F27670" s="8" t="inlineStr">
        <is>
          <t>STANDBY</t>
        </is>
      </c>
      <c r="G27670" s="8" t="n">
        <v>0</v>
      </c>
      <c r="H27670" s="8" t="inlineStr">
        <is>
          <t>CLOSED</t>
        </is>
      </c>
    </row>
    <row r="27671">
      <c r="A27671" s="8" t="inlineStr">
        <is>
          <t>2026-08-05</t>
        </is>
      </c>
      <c r="B27671" s="8" t="n">
        <v>23</v>
      </c>
      <c r="C27671" s="8" t="n">
        <v>38</v>
      </c>
      <c r="D27671" s="8" t="inlineStr">
        <is>
          <t>Disneyland Park</t>
        </is>
      </c>
      <c r="E27671" s="8" t="inlineStr">
        <is>
          <t>Welcome to Starport: A Star Wars Encounter</t>
        </is>
      </c>
      <c r="F27671" s="8" t="inlineStr">
        <is>
          <t>STANDBY</t>
        </is>
      </c>
      <c r="G27671" s="8" t="n">
        <v>0</v>
      </c>
      <c r="H27671" s="8" t="inlineStr">
        <is>
          <t>CLOSED</t>
        </is>
      </c>
    </row>
    <row r="27672">
      <c r="A27672" s="8" t="inlineStr">
        <is>
          <t>2026-08-05</t>
        </is>
      </c>
      <c r="B27672" s="8" t="n">
        <v>23</v>
      </c>
      <c r="C27672" s="8" t="n">
        <v>38</v>
      </c>
      <c r="D27672" s="8" t="inlineStr">
        <is>
          <t>Disneyland Park</t>
        </is>
      </c>
      <c r="E27672" s="8" t="inlineStr">
        <is>
          <t>"it's a small world"</t>
        </is>
      </c>
      <c r="F27672" s="8" t="inlineStr">
        <is>
          <t>STANDBY</t>
        </is>
      </c>
      <c r="G27672" s="8" t="n">
        <v>0</v>
      </c>
      <c r="H27672" s="8" t="inlineStr">
        <is>
          <t>CLOSED</t>
        </is>
      </c>
    </row>
    <row r="27673">
      <c r="A27673" s="8" t="inlineStr">
        <is>
          <t>2026-08-05</t>
        </is>
      </c>
      <c r="B27673" s="8" t="n">
        <v>23</v>
      </c>
      <c r="C27673" s="8" t="n">
        <v>38</v>
      </c>
      <c r="D27673" s="8" t="inlineStr">
        <is>
          <t>Disneyland Park</t>
        </is>
      </c>
      <c r="E27673" s="8" t="inlineStr">
        <is>
          <t>Alice's Curious Labyrinth</t>
        </is>
      </c>
      <c r="F27673" s="8" t="inlineStr">
        <is>
          <t>STANDBY</t>
        </is>
      </c>
      <c r="G27673" s="8" t="n">
        <v>0</v>
      </c>
      <c r="H27673" s="8" t="inlineStr">
        <is>
          <t>CLOSED</t>
        </is>
      </c>
    </row>
    <row r="27674">
      <c r="A27674" s="8" t="inlineStr">
        <is>
          <t>2026-08-05</t>
        </is>
      </c>
      <c r="B27674" s="8" t="n">
        <v>23</v>
      </c>
      <c r="C27674" s="8" t="n">
        <v>38</v>
      </c>
      <c r="D27674" s="8" t="inlineStr">
        <is>
          <t>Disneyland Park</t>
        </is>
      </c>
      <c r="E27674" s="8" t="inlineStr">
        <is>
          <t>Blanche-Neige et les Sept Nains®</t>
        </is>
      </c>
      <c r="F27674" s="8" t="inlineStr">
        <is>
          <t>STANDBY</t>
        </is>
      </c>
      <c r="G27674" s="8" t="n">
        <v>0</v>
      </c>
      <c r="H27674" s="8" t="inlineStr">
        <is>
          <t>CLOSED</t>
        </is>
      </c>
    </row>
    <row r="27675">
      <c r="A27675" s="8" t="inlineStr">
        <is>
          <t>2026-08-05</t>
        </is>
      </c>
      <c r="B27675" s="8" t="n">
        <v>23</v>
      </c>
      <c r="C27675" s="8" t="n">
        <v>38</v>
      </c>
      <c r="D27675" s="8" t="inlineStr">
        <is>
          <t>Disneyland Park</t>
        </is>
      </c>
      <c r="E27675" s="8" t="inlineStr">
        <is>
          <t>Casey Jr. – le Petit Train du Cirque</t>
        </is>
      </c>
      <c r="F27675" s="8" t="inlineStr">
        <is>
          <t>STANDBY</t>
        </is>
      </c>
      <c r="G27675" s="8" t="n">
        <v>0</v>
      </c>
      <c r="H27675" s="8" t="inlineStr">
        <is>
          <t>CLOSED</t>
        </is>
      </c>
    </row>
    <row r="27676">
      <c r="A27676" s="8" t="inlineStr">
        <is>
          <t>2026-08-05</t>
        </is>
      </c>
      <c r="B27676" s="8" t="n">
        <v>23</v>
      </c>
      <c r="C27676" s="8" t="n">
        <v>38</v>
      </c>
      <c r="D27676" s="8" t="inlineStr">
        <is>
          <t>Disneyland Park</t>
        </is>
      </c>
      <c r="E27676" s="8" t="inlineStr">
        <is>
          <t>Disneyland Railroad Fantasyland Station</t>
        </is>
      </c>
      <c r="F27676" s="8" t="inlineStr">
        <is>
          <t>STANDBY</t>
        </is>
      </c>
      <c r="G27676" s="8" t="n">
        <v>0</v>
      </c>
      <c r="H27676" s="8" t="inlineStr">
        <is>
          <t>CLOSED</t>
        </is>
      </c>
    </row>
    <row r="27677">
      <c r="A27677" s="8" t="inlineStr">
        <is>
          <t>2026-08-05</t>
        </is>
      </c>
      <c r="B27677" s="8" t="n">
        <v>23</v>
      </c>
      <c r="C27677" s="8" t="n">
        <v>38</v>
      </c>
      <c r="D27677" s="8" t="inlineStr">
        <is>
          <t>Disneyland Park</t>
        </is>
      </c>
      <c r="E27677" s="8" t="inlineStr">
        <is>
          <t>Disneyland Railroad Main Street Station</t>
        </is>
      </c>
      <c r="F27677" s="8" t="inlineStr">
        <is>
          <t>STANDBY</t>
        </is>
      </c>
      <c r="G27677" s="8" t="n">
        <v>0</v>
      </c>
      <c r="H27677" s="8" t="inlineStr">
        <is>
          <t>CLOSED</t>
        </is>
      </c>
    </row>
    <row r="27678">
      <c r="A27678" s="8" t="inlineStr">
        <is>
          <t>2026-08-05</t>
        </is>
      </c>
      <c r="B27678" s="8" t="n">
        <v>23</v>
      </c>
      <c r="C27678" s="8" t="n">
        <v>38</v>
      </c>
      <c r="D27678" s="8" t="inlineStr">
        <is>
          <t>Disneyland Park</t>
        </is>
      </c>
      <c r="E27678" s="8" t="inlineStr">
        <is>
          <t>Dumbo the Flying Elephant</t>
        </is>
      </c>
      <c r="F27678" s="8" t="inlineStr">
        <is>
          <t>STANDBY</t>
        </is>
      </c>
      <c r="G27678" s="8" t="n">
        <v>0</v>
      </c>
      <c r="H27678" s="8" t="inlineStr">
        <is>
          <t>CLOSED</t>
        </is>
      </c>
    </row>
    <row r="27679">
      <c r="A27679" s="8" t="inlineStr">
        <is>
          <t>2026-08-05</t>
        </is>
      </c>
      <c r="B27679" s="8" t="n">
        <v>23</v>
      </c>
      <c r="C27679" s="8" t="n">
        <v>38</v>
      </c>
      <c r="D27679" s="8" t="inlineStr">
        <is>
          <t>Disneyland Park</t>
        </is>
      </c>
      <c r="E27679" s="8" t="inlineStr">
        <is>
          <t>La Tanière du Dragon</t>
        </is>
      </c>
      <c r="F27679" s="8" t="inlineStr">
        <is>
          <t>STANDBY</t>
        </is>
      </c>
      <c r="G27679" s="8" t="n">
        <v>0</v>
      </c>
      <c r="H27679" s="8" t="inlineStr">
        <is>
          <t>CLOSED</t>
        </is>
      </c>
    </row>
    <row r="27680">
      <c r="A27680" s="8" t="inlineStr">
        <is>
          <t>2026-08-05</t>
        </is>
      </c>
      <c r="B27680" s="8" t="n">
        <v>23</v>
      </c>
      <c r="C27680" s="8" t="n">
        <v>38</v>
      </c>
      <c r="D27680" s="8" t="inlineStr">
        <is>
          <t>Disneyland Park</t>
        </is>
      </c>
      <c r="E27680" s="8" t="inlineStr">
        <is>
          <t>Le Carrousel de Lancelot</t>
        </is>
      </c>
      <c r="F27680" s="8" t="inlineStr">
        <is>
          <t>STANDBY</t>
        </is>
      </c>
      <c r="G27680" s="8" t="n">
        <v>0</v>
      </c>
      <c r="H27680" s="8" t="inlineStr">
        <is>
          <t>CLOSED</t>
        </is>
      </c>
    </row>
    <row r="27681">
      <c r="A27681" s="8" t="inlineStr">
        <is>
          <t>2026-08-05</t>
        </is>
      </c>
      <c r="B27681" s="8" t="n">
        <v>23</v>
      </c>
      <c r="C27681" s="8" t="n">
        <v>38</v>
      </c>
      <c r="D27681" s="8" t="inlineStr">
        <is>
          <t>Disneyland Park</t>
        </is>
      </c>
      <c r="E27681" s="8" t="inlineStr">
        <is>
          <t>Le Pays des Contes de Fées, presented by Vittel</t>
        </is>
      </c>
      <c r="F27681" s="8" t="inlineStr">
        <is>
          <t>STANDBY</t>
        </is>
      </c>
      <c r="G27681" s="8" t="n">
        <v>0</v>
      </c>
      <c r="H27681" s="8" t="inlineStr">
        <is>
          <t>CLOSED</t>
        </is>
      </c>
    </row>
    <row r="27682">
      <c r="A27682" s="8" t="inlineStr">
        <is>
          <t>2026-08-05</t>
        </is>
      </c>
      <c r="B27682" s="8" t="n">
        <v>23</v>
      </c>
      <c r="C27682" s="8" t="n">
        <v>38</v>
      </c>
      <c r="D27682" s="8" t="inlineStr">
        <is>
          <t>Disneyland Park</t>
        </is>
      </c>
      <c r="E27682" s="8" t="inlineStr">
        <is>
          <t>Les Voyages de Pinocchio</t>
        </is>
      </c>
      <c r="F27682" s="8" t="inlineStr">
        <is>
          <t>STANDBY</t>
        </is>
      </c>
      <c r="G27682" s="8" t="n">
        <v>0</v>
      </c>
      <c r="H27682" s="8" t="inlineStr">
        <is>
          <t>CLOSED</t>
        </is>
      </c>
    </row>
    <row r="27683">
      <c r="A27683" s="8" t="inlineStr">
        <is>
          <t>2026-08-05</t>
        </is>
      </c>
      <c r="B27683" s="8" t="n">
        <v>23</v>
      </c>
      <c r="C27683" s="8" t="n">
        <v>38</v>
      </c>
      <c r="D27683" s="8" t="inlineStr">
        <is>
          <t>Disneyland Park</t>
        </is>
      </c>
      <c r="E27683" s="8" t="inlineStr">
        <is>
          <t>Mad Hatter's Tea Cups</t>
        </is>
      </c>
      <c r="F27683" s="8" t="inlineStr">
        <is>
          <t>STANDBY</t>
        </is>
      </c>
      <c r="G27683" s="8" t="n">
        <v>0</v>
      </c>
      <c r="H27683" s="8" t="inlineStr">
        <is>
          <t>CLOSED</t>
        </is>
      </c>
    </row>
    <row r="27684">
      <c r="A27684" s="8" t="inlineStr">
        <is>
          <t>2026-08-05</t>
        </is>
      </c>
      <c r="B27684" s="8" t="n">
        <v>23</v>
      </c>
      <c r="C27684" s="8" t="n">
        <v>38</v>
      </c>
      <c r="D27684" s="8" t="inlineStr">
        <is>
          <t>Disneyland Park</t>
        </is>
      </c>
      <c r="E27684" s="8" t="inlineStr">
        <is>
          <t>Meet Mickey Mouse</t>
        </is>
      </c>
      <c r="F27684" s="8" t="inlineStr">
        <is>
          <t>STANDBY</t>
        </is>
      </c>
      <c r="G27684" s="8" t="n">
        <v>0</v>
      </c>
      <c r="H27684" s="8" t="inlineStr">
        <is>
          <t>CLOSED</t>
        </is>
      </c>
    </row>
    <row r="27685">
      <c r="A27685" s="8" t="inlineStr">
        <is>
          <t>2026-08-05</t>
        </is>
      </c>
      <c r="B27685" s="8" t="n">
        <v>23</v>
      </c>
      <c r="C27685" s="8" t="n">
        <v>38</v>
      </c>
      <c r="D27685" s="8" t="inlineStr">
        <is>
          <t>Disneyland Park</t>
        </is>
      </c>
      <c r="E27685" s="8" t="inlineStr">
        <is>
          <t>Peter Pan's Flight</t>
        </is>
      </c>
      <c r="F27685" s="8" t="inlineStr">
        <is>
          <t>STANDBY</t>
        </is>
      </c>
      <c r="G27685" s="8" t="n">
        <v>0</v>
      </c>
      <c r="H27685" s="8" t="inlineStr">
        <is>
          <t>CLOSED</t>
        </is>
      </c>
    </row>
    <row r="27686">
      <c r="A27686" s="8" t="inlineStr">
        <is>
          <t>2026-08-05</t>
        </is>
      </c>
      <c r="B27686" s="8" t="n">
        <v>23</v>
      </c>
      <c r="C27686" s="8" t="n">
        <v>38</v>
      </c>
      <c r="D27686" s="8" t="inlineStr">
        <is>
          <t>Disneyland Park</t>
        </is>
      </c>
      <c r="E27686" s="8" t="inlineStr">
        <is>
          <t>Princess Pavilion</t>
        </is>
      </c>
      <c r="F27686" s="8" t="inlineStr">
        <is>
          <t>STANDBY</t>
        </is>
      </c>
      <c r="G27686" s="8" t="n">
        <v>0</v>
      </c>
      <c r="H27686" s="8" t="inlineStr">
        <is>
          <t>CLOSED</t>
        </is>
      </c>
    </row>
    <row r="27687">
      <c r="A27687" s="8" t="inlineStr">
        <is>
          <t>2026-08-05</t>
        </is>
      </c>
      <c r="B27687" s="8" t="n">
        <v>23</v>
      </c>
      <c r="C27687" s="8" t="n">
        <v>38</v>
      </c>
      <c r="D27687" s="8" t="inlineStr">
        <is>
          <t>Disneyland Park</t>
        </is>
      </c>
      <c r="E27687" s="8" t="inlineStr">
        <is>
          <t>Big Thunder Mountain</t>
        </is>
      </c>
      <c r="F27687" s="8" t="inlineStr">
        <is>
          <t>STANDBY</t>
        </is>
      </c>
      <c r="G27687" s="8" t="n">
        <v>0</v>
      </c>
      <c r="H27687" s="8" t="inlineStr">
        <is>
          <t>CLOSED</t>
        </is>
      </c>
    </row>
    <row r="27688">
      <c r="A27688" s="8" t="inlineStr">
        <is>
          <t>2026-08-05</t>
        </is>
      </c>
      <c r="B27688" s="8" t="n">
        <v>23</v>
      </c>
      <c r="C27688" s="8" t="n">
        <v>38</v>
      </c>
      <c r="D27688" s="8" t="inlineStr">
        <is>
          <t>Disneyland Park</t>
        </is>
      </c>
      <c r="E27688" s="8" t="inlineStr">
        <is>
          <t>Disneyland Railroad Frontierland Depot</t>
        </is>
      </c>
      <c r="F27688" s="8" t="inlineStr">
        <is>
          <t>STANDBY</t>
        </is>
      </c>
      <c r="G27688" s="8" t="n">
        <v>0</v>
      </c>
      <c r="H27688" s="8" t="inlineStr">
        <is>
          <t>CLOSED</t>
        </is>
      </c>
    </row>
    <row r="27689">
      <c r="A27689" s="8" t="inlineStr">
        <is>
          <t>2026-08-05</t>
        </is>
      </c>
      <c r="B27689" s="8" t="n">
        <v>23</v>
      </c>
      <c r="C27689" s="8" t="n">
        <v>38</v>
      </c>
      <c r="D27689" s="8" t="inlineStr">
        <is>
          <t>Disneyland Park</t>
        </is>
      </c>
      <c r="E27689" s="8" t="inlineStr">
        <is>
          <t>Frontierland Playground</t>
        </is>
      </c>
      <c r="F27689" s="8" t="inlineStr">
        <is>
          <t>STANDBY</t>
        </is>
      </c>
      <c r="G27689" s="8" t="n">
        <v>0</v>
      </c>
      <c r="H27689" s="8" t="inlineStr">
        <is>
          <t>CLOSED</t>
        </is>
      </c>
    </row>
    <row r="27690">
      <c r="A27690" s="8" t="inlineStr">
        <is>
          <t>2026-08-05</t>
        </is>
      </c>
      <c r="B27690" s="8" t="n">
        <v>23</v>
      </c>
      <c r="C27690" s="8" t="n">
        <v>38</v>
      </c>
      <c r="D27690" s="8" t="inlineStr">
        <is>
          <t>Disneyland Park</t>
        </is>
      </c>
      <c r="E27690" s="8" t="inlineStr">
        <is>
          <t>Phantom Manor</t>
        </is>
      </c>
      <c r="F27690" s="8" t="inlineStr">
        <is>
          <t>STANDBY</t>
        </is>
      </c>
      <c r="G27690" s="8" t="n">
        <v>0</v>
      </c>
      <c r="H27690" s="8" t="inlineStr">
        <is>
          <t>CLOSED</t>
        </is>
      </c>
    </row>
    <row r="27691">
      <c r="A27691" s="8" t="inlineStr">
        <is>
          <t>2026-08-05</t>
        </is>
      </c>
      <c r="B27691" s="8" t="n">
        <v>23</v>
      </c>
      <c r="C27691" s="8" t="n">
        <v>38</v>
      </c>
      <c r="D27691" s="8" t="inlineStr">
        <is>
          <t>Disneyland Park</t>
        </is>
      </c>
      <c r="E27691" s="8" t="inlineStr">
        <is>
          <t>River Rogue Keelboats</t>
        </is>
      </c>
      <c r="F27691" s="8" t="inlineStr">
        <is>
          <t>STANDBY</t>
        </is>
      </c>
      <c r="G27691" s="8" t="n">
        <v>0</v>
      </c>
      <c r="H27691" s="8" t="inlineStr">
        <is>
          <t>CLOSED</t>
        </is>
      </c>
    </row>
    <row r="27692">
      <c r="A27692" s="8" t="inlineStr">
        <is>
          <t>2026-08-05</t>
        </is>
      </c>
      <c r="B27692" s="8" t="n">
        <v>23</v>
      </c>
      <c r="C27692" s="8" t="n">
        <v>38</v>
      </c>
      <c r="D27692" s="8" t="inlineStr">
        <is>
          <t>Disneyland Park</t>
        </is>
      </c>
      <c r="E27692" s="8" t="inlineStr">
        <is>
          <t>Rustler Roundup Shootin' Gallery</t>
        </is>
      </c>
      <c r="F27692" s="8" t="inlineStr">
        <is>
          <t>STANDBY</t>
        </is>
      </c>
      <c r="G27692" s="8" t="n">
        <v>0</v>
      </c>
      <c r="H27692" s="8" t="inlineStr">
        <is>
          <t>CLOSED</t>
        </is>
      </c>
    </row>
    <row r="27693">
      <c r="A27693" s="8" t="inlineStr">
        <is>
          <t>2026-08-05</t>
        </is>
      </c>
      <c r="B27693" s="8" t="n">
        <v>23</v>
      </c>
      <c r="C27693" s="8" t="n">
        <v>38</v>
      </c>
      <c r="D27693" s="8" t="inlineStr">
        <is>
          <t>Disneyland Park</t>
        </is>
      </c>
      <c r="E27693" s="8" t="inlineStr">
        <is>
          <t>Thunder Mesa Riverboat Landing</t>
        </is>
      </c>
      <c r="F27693" s="8" t="inlineStr">
        <is>
          <t>STANDBY</t>
        </is>
      </c>
      <c r="G27693" s="8" t="n">
        <v>0</v>
      </c>
      <c r="H27693" s="8" t="inlineStr">
        <is>
          <t>CLOSED</t>
        </is>
      </c>
    </row>
    <row r="27694">
      <c r="A27694" s="8" t="inlineStr">
        <is>
          <t>2026-08-05</t>
        </is>
      </c>
      <c r="B27694" s="8" t="n">
        <v>23</v>
      </c>
      <c r="C27694" s="8" t="n">
        <v>38</v>
      </c>
      <c r="D27694" s="8" t="inlineStr">
        <is>
          <t>Disneyland Park</t>
        </is>
      </c>
      <c r="E27694" s="8" t="inlineStr">
        <is>
          <t>Disneyland Railroad Main Street Station</t>
        </is>
      </c>
      <c r="F27694" s="8" t="inlineStr">
        <is>
          <t>STANDBY</t>
        </is>
      </c>
      <c r="G27694" s="8" t="n">
        <v>0</v>
      </c>
      <c r="H27694" s="8" t="inlineStr">
        <is>
          <t>CLOSED</t>
        </is>
      </c>
    </row>
    <row r="27695">
      <c r="A27695" s="8" t="inlineStr">
        <is>
          <t>2026-08-05</t>
        </is>
      </c>
      <c r="B27695" s="8" t="n">
        <v>23</v>
      </c>
      <c r="C27695" s="8" t="n">
        <v>38</v>
      </c>
      <c r="D27695" s="8" t="inlineStr">
        <is>
          <t>Disneyland Park</t>
        </is>
      </c>
      <c r="E27695" s="8" t="inlineStr">
        <is>
          <t>Main Street Vehicles</t>
        </is>
      </c>
      <c r="F27695" s="8" t="inlineStr">
        <is>
          <t>STANDBY</t>
        </is>
      </c>
      <c r="G27695" s="8" t="n">
        <v>0</v>
      </c>
      <c r="H27695" s="8" t="inlineStr">
        <is>
          <t>CLOSED</t>
        </is>
      </c>
    </row>
    <row r="27696">
      <c r="A27696" s="8" t="inlineStr">
        <is>
          <t>2026-08-05</t>
        </is>
      </c>
      <c r="B27696" s="8" t="n">
        <v>23</v>
      </c>
      <c r="C27696" s="8" t="n">
        <v>38</v>
      </c>
      <c r="D27696" s="8" t="inlineStr">
        <is>
          <t>Disney Adventure World</t>
        </is>
      </c>
      <c r="E27696" s="8" t="inlineStr">
        <is>
          <t>Avengers Assemble: Flight Force</t>
        </is>
      </c>
      <c r="F27696" s="8" t="inlineStr">
        <is>
          <t>STANDBY</t>
        </is>
      </c>
      <c r="G27696" s="8" t="n">
        <v>0</v>
      </c>
      <c r="H27696" s="8" t="inlineStr">
        <is>
          <t>CLOSED</t>
        </is>
      </c>
    </row>
    <row r="27697">
      <c r="A27697" s="8" t="inlineStr">
        <is>
          <t>2026-08-05</t>
        </is>
      </c>
      <c r="B27697" s="8" t="n">
        <v>23</v>
      </c>
      <c r="C27697" s="8" t="n">
        <v>38</v>
      </c>
      <c r="D27697" s="8" t="inlineStr">
        <is>
          <t>Disney Adventure World</t>
        </is>
      </c>
      <c r="E27697" s="8" t="inlineStr">
        <is>
          <t>Avengers Assemble: Flight Force Single Rider</t>
        </is>
      </c>
      <c r="F27697" s="8" t="inlineStr">
        <is>
          <t>STANDBY</t>
        </is>
      </c>
      <c r="G27697" s="8" t="n">
        <v>0</v>
      </c>
      <c r="H27697" s="8" t="inlineStr">
        <is>
          <t>CLOSED</t>
        </is>
      </c>
    </row>
    <row r="27698">
      <c r="A27698" s="8" t="inlineStr">
        <is>
          <t>2026-08-05</t>
        </is>
      </c>
      <c r="B27698" s="8" t="n">
        <v>23</v>
      </c>
      <c r="C27698" s="8" t="n">
        <v>38</v>
      </c>
      <c r="D27698" s="8" t="inlineStr">
        <is>
          <t>Disney Adventure World</t>
        </is>
      </c>
      <c r="E27698" s="8" t="inlineStr">
        <is>
          <t>Spider-Man W.E.B. Adventure</t>
        </is>
      </c>
      <c r="F27698" s="8" t="inlineStr">
        <is>
          <t>STANDBY</t>
        </is>
      </c>
      <c r="G27698" s="8" t="n">
        <v>0</v>
      </c>
      <c r="H27698" s="8" t="inlineStr">
        <is>
          <t>CLOSED</t>
        </is>
      </c>
    </row>
    <row r="27699">
      <c r="A27699" s="8" t="inlineStr">
        <is>
          <t>2026-08-05</t>
        </is>
      </c>
      <c r="B27699" s="8" t="n">
        <v>23</v>
      </c>
      <c r="C27699" s="8" t="n">
        <v>38</v>
      </c>
      <c r="D27699" s="8" t="inlineStr">
        <is>
          <t>Disney Adventure World</t>
        </is>
      </c>
      <c r="E27699" s="8" t="inlineStr">
        <is>
          <t>Spider-Man W.E.B. Adventure Single Rider</t>
        </is>
      </c>
      <c r="F27699" s="8" t="inlineStr">
        <is>
          <t>STANDBY</t>
        </is>
      </c>
      <c r="G27699" s="8" t="n">
        <v>0</v>
      </c>
      <c r="H27699" s="8" t="inlineStr">
        <is>
          <t>CLOSED</t>
        </is>
      </c>
    </row>
    <row r="27700">
      <c r="A27700" s="8" t="inlineStr">
        <is>
          <t>2026-08-05</t>
        </is>
      </c>
      <c r="B27700" s="8" t="n">
        <v>23</v>
      </c>
      <c r="C27700" s="8" t="n">
        <v>38</v>
      </c>
      <c r="D27700" s="8" t="inlineStr">
        <is>
          <t>Disney Adventure World</t>
        </is>
      </c>
      <c r="E27700" s="8" t="inlineStr">
        <is>
          <t>The Twilight Zone Tower of Terror</t>
        </is>
      </c>
      <c r="F27700" s="8" t="inlineStr">
        <is>
          <t>STANDBY</t>
        </is>
      </c>
      <c r="G27700" s="8" t="n">
        <v>0</v>
      </c>
      <c r="H27700" s="8" t="inlineStr">
        <is>
          <t>CLOSED</t>
        </is>
      </c>
    </row>
    <row r="27701">
      <c r="A27701" s="8" t="inlineStr">
        <is>
          <t>2026-08-05</t>
        </is>
      </c>
      <c r="B27701" s="8" t="n">
        <v>23</v>
      </c>
      <c r="C27701" s="8" t="n">
        <v>38</v>
      </c>
      <c r="D27701" s="8" t="inlineStr">
        <is>
          <t>Disney Adventure World</t>
        </is>
      </c>
      <c r="E27701" s="8" t="inlineStr">
        <is>
          <t>Cars Quatre Roues Rallye</t>
        </is>
      </c>
      <c r="F27701" s="8" t="inlineStr">
        <is>
          <t>STANDBY</t>
        </is>
      </c>
      <c r="G27701" s="8" t="n">
        <v>0</v>
      </c>
      <c r="H27701" s="8" t="inlineStr">
        <is>
          <t>CLOSED</t>
        </is>
      </c>
    </row>
    <row r="27702">
      <c r="A27702" s="8" t="inlineStr">
        <is>
          <t>2026-08-05</t>
        </is>
      </c>
      <c r="B27702" s="8" t="n">
        <v>23</v>
      </c>
      <c r="C27702" s="8" t="n">
        <v>38</v>
      </c>
      <c r="D27702" s="8" t="inlineStr">
        <is>
          <t>Disney Adventure World</t>
        </is>
      </c>
      <c r="E27702" s="8" t="inlineStr">
        <is>
          <t>Cars ROAD TRIP</t>
        </is>
      </c>
      <c r="F27702" s="8" t="inlineStr">
        <is>
          <t>STANDBY</t>
        </is>
      </c>
      <c r="G27702" s="8" t="n">
        <v>0</v>
      </c>
      <c r="H27702" s="8" t="inlineStr">
        <is>
          <t>CLOSED</t>
        </is>
      </c>
    </row>
    <row r="27703">
      <c r="A27703" s="8" t="inlineStr">
        <is>
          <t>2026-08-05</t>
        </is>
      </c>
      <c r="B27703" s="8" t="n">
        <v>23</v>
      </c>
      <c r="C27703" s="8" t="n">
        <v>38</v>
      </c>
      <c r="D27703" s="8" t="inlineStr">
        <is>
          <t>Disney Adventure World</t>
        </is>
      </c>
      <c r="E27703" s="8" t="inlineStr">
        <is>
          <t>Crush's Coaster</t>
        </is>
      </c>
      <c r="F27703" s="8" t="inlineStr">
        <is>
          <t>STANDBY</t>
        </is>
      </c>
      <c r="G27703" s="8" t="n">
        <v>0</v>
      </c>
      <c r="H27703" s="8" t="inlineStr">
        <is>
          <t>CLOSED</t>
        </is>
      </c>
    </row>
    <row r="27704">
      <c r="A27704" s="8" t="inlineStr">
        <is>
          <t>2026-08-05</t>
        </is>
      </c>
      <c r="B27704" s="8" t="n">
        <v>23</v>
      </c>
      <c r="C27704" s="8" t="n">
        <v>38</v>
      </c>
      <c r="D27704" s="8" t="inlineStr">
        <is>
          <t>Disney Adventure World</t>
        </is>
      </c>
      <c r="E27704" s="8" t="inlineStr">
        <is>
          <t>Crush's Coaster Single Rider</t>
        </is>
      </c>
      <c r="F27704" s="8" t="inlineStr">
        <is>
          <t>STANDBY</t>
        </is>
      </c>
      <c r="G27704" s="8" t="n">
        <v>0</v>
      </c>
      <c r="H27704" s="8" t="inlineStr">
        <is>
          <t>CLOSED</t>
        </is>
      </c>
    </row>
    <row r="27705">
      <c r="A27705" s="8" t="inlineStr">
        <is>
          <t>2026-08-05</t>
        </is>
      </c>
      <c r="B27705" s="8" t="n">
        <v>23</v>
      </c>
      <c r="C27705" s="8" t="n">
        <v>38</v>
      </c>
      <c r="D27705" s="8" t="inlineStr">
        <is>
          <t>Disney Adventure World</t>
        </is>
      </c>
      <c r="E27705" s="8" t="inlineStr">
        <is>
          <t>Les Tapis Volants - Flying Carpets Over Agrabah®</t>
        </is>
      </c>
      <c r="F27705" s="8" t="inlineStr">
        <is>
          <t>STANDBY</t>
        </is>
      </c>
      <c r="G27705" s="8" t="n">
        <v>0</v>
      </c>
      <c r="H27705" s="8" t="inlineStr">
        <is>
          <t>CLOSED</t>
        </is>
      </c>
    </row>
    <row r="27706">
      <c r="A27706" s="8" t="inlineStr">
        <is>
          <t>2026-08-05</t>
        </is>
      </c>
      <c r="B27706" s="8" t="n">
        <v>23</v>
      </c>
      <c r="C27706" s="8" t="n">
        <v>38</v>
      </c>
      <c r="D27706" s="8" t="inlineStr">
        <is>
          <t>Disney Adventure World</t>
        </is>
      </c>
      <c r="E27706" s="8" t="inlineStr">
        <is>
          <t>Ratatouille : L’Aventure Totalement Toquée de Rémy​</t>
        </is>
      </c>
      <c r="F27706" s="8" t="inlineStr">
        <is>
          <t>STANDBY</t>
        </is>
      </c>
      <c r="G27706" s="8" t="n">
        <v>0</v>
      </c>
      <c r="H27706" s="8" t="inlineStr">
        <is>
          <t>CLOSED</t>
        </is>
      </c>
    </row>
    <row r="27707">
      <c r="A27707" s="8" t="inlineStr">
        <is>
          <t>2026-08-05</t>
        </is>
      </c>
      <c r="B27707" s="8" t="n">
        <v>23</v>
      </c>
      <c r="C27707" s="8" t="n">
        <v>38</v>
      </c>
      <c r="D27707" s="8" t="inlineStr">
        <is>
          <t>Disney Adventure World</t>
        </is>
      </c>
      <c r="E27707" s="8" t="inlineStr">
        <is>
          <t>Ratatouille: The Adventure Single Rider</t>
        </is>
      </c>
      <c r="F27707" s="8" t="inlineStr">
        <is>
          <t>STANDBY</t>
        </is>
      </c>
      <c r="G27707" s="8" t="n">
        <v>0</v>
      </c>
      <c r="H27707" s="8" t="inlineStr">
        <is>
          <t>CLOSED</t>
        </is>
      </c>
    </row>
    <row r="27708">
      <c r="A27708" s="8" t="inlineStr">
        <is>
          <t>2026-08-05</t>
        </is>
      </c>
      <c r="B27708" s="8" t="n">
        <v>23</v>
      </c>
      <c r="C27708" s="8" t="n">
        <v>38</v>
      </c>
      <c r="D27708" s="8" t="inlineStr">
        <is>
          <t>Disney Adventure World</t>
        </is>
      </c>
      <c r="E27708" s="8" t="inlineStr">
        <is>
          <t>RC Racer</t>
        </is>
      </c>
      <c r="F27708" s="8" t="inlineStr">
        <is>
          <t>STANDBY</t>
        </is>
      </c>
      <c r="G27708" s="8" t="n">
        <v>0</v>
      </c>
      <c r="H27708" s="8" t="inlineStr">
        <is>
          <t>CLOSED</t>
        </is>
      </c>
    </row>
    <row r="27709">
      <c r="A27709" s="8" t="inlineStr">
        <is>
          <t>2026-08-05</t>
        </is>
      </c>
      <c r="B27709" s="8" t="n">
        <v>23</v>
      </c>
      <c r="C27709" s="8" t="n">
        <v>38</v>
      </c>
      <c r="D27709" s="8" t="inlineStr">
        <is>
          <t>Disney Adventure World</t>
        </is>
      </c>
      <c r="E27709" s="8" t="inlineStr">
        <is>
          <t>RC Racer Single Rider</t>
        </is>
      </c>
      <c r="F27709" s="8" t="inlineStr">
        <is>
          <t>STANDBY</t>
        </is>
      </c>
      <c r="G27709" s="8" t="n">
        <v>0</v>
      </c>
      <c r="H27709" s="8" t="inlineStr">
        <is>
          <t>CLOSED</t>
        </is>
      </c>
    </row>
    <row r="27710">
      <c r="A27710" s="8" t="inlineStr">
        <is>
          <t>2026-08-05</t>
        </is>
      </c>
      <c r="B27710" s="8" t="n">
        <v>23</v>
      </c>
      <c r="C27710" s="8" t="n">
        <v>38</v>
      </c>
      <c r="D27710" s="8" t="inlineStr">
        <is>
          <t>Disney Adventure World</t>
        </is>
      </c>
      <c r="E27710" s="8" t="inlineStr">
        <is>
          <t>Slinky® Dog Zigzag Spin</t>
        </is>
      </c>
      <c r="F27710" s="8" t="inlineStr">
        <is>
          <t>STANDBY</t>
        </is>
      </c>
      <c r="G27710" s="8" t="n">
        <v>0</v>
      </c>
      <c r="H27710" s="8" t="inlineStr">
        <is>
          <t>CLOSED</t>
        </is>
      </c>
    </row>
    <row r="27711">
      <c r="A27711" s="8" t="inlineStr">
        <is>
          <t>2026-08-05</t>
        </is>
      </c>
      <c r="B27711" s="8" t="n">
        <v>23</v>
      </c>
      <c r="C27711" s="8" t="n">
        <v>38</v>
      </c>
      <c r="D27711" s="8" t="inlineStr">
        <is>
          <t>Disney Adventure World</t>
        </is>
      </c>
      <c r="E27711" s="8" t="inlineStr">
        <is>
          <t>Toy Soldiers Parachute Drop</t>
        </is>
      </c>
      <c r="F27711" s="8" t="inlineStr">
        <is>
          <t>STANDBY</t>
        </is>
      </c>
      <c r="G27711" s="8" t="n">
        <v>0</v>
      </c>
      <c r="H27711" s="8" t="inlineStr">
        <is>
          <t>CLOSED</t>
        </is>
      </c>
    </row>
    <row r="27712">
      <c r="A27712" s="8" t="inlineStr">
        <is>
          <t>2026-08-05</t>
        </is>
      </c>
      <c r="B27712" s="8" t="n">
        <v>23</v>
      </c>
      <c r="C27712" s="8" t="n">
        <v>38</v>
      </c>
      <c r="D27712" s="8" t="inlineStr">
        <is>
          <t>Disney Adventure World</t>
        </is>
      </c>
      <c r="E27712" s="8" t="inlineStr">
        <is>
          <t>Toy Soldiers Parachute Drop Single Rider</t>
        </is>
      </c>
      <c r="F27712" s="8" t="inlineStr">
        <is>
          <t>STANDBY</t>
        </is>
      </c>
      <c r="G27712" s="8" t="n">
        <v>0</v>
      </c>
      <c r="H27712" s="8" t="inlineStr">
        <is>
          <t>CLOSED</t>
        </is>
      </c>
    </row>
    <row r="27713">
      <c r="A27713" s="8" t="inlineStr">
        <is>
          <t>2026-08-05</t>
        </is>
      </c>
      <c r="B27713" s="8" t="n">
        <v>23</v>
      </c>
      <c r="C27713" s="8" t="n">
        <v>38</v>
      </c>
      <c r="D27713" s="8" t="inlineStr">
        <is>
          <t>Disney Adventure World</t>
        </is>
      </c>
      <c r="E27713" s="8" t="inlineStr">
        <is>
          <t>Entry to World of Frozen</t>
        </is>
      </c>
      <c r="F27713" s="8" t="inlineStr">
        <is>
          <t>STANDBY</t>
        </is>
      </c>
      <c r="G27713" s="8" t="n">
        <v>0</v>
      </c>
      <c r="H27713" s="8" t="inlineStr">
        <is>
          <t>CLOSED</t>
        </is>
      </c>
    </row>
    <row r="27714">
      <c r="A27714" s="8" t="inlineStr">
        <is>
          <t>2026-08-05</t>
        </is>
      </c>
      <c r="B27714" s="8" t="n">
        <v>23</v>
      </c>
      <c r="C27714" s="8" t="n">
        <v>38</v>
      </c>
      <c r="D27714" s="8" t="inlineStr">
        <is>
          <t>Disney Adventure World</t>
        </is>
      </c>
      <c r="E27714" s="8" t="inlineStr">
        <is>
          <t>Frozen Ever After</t>
        </is>
      </c>
      <c r="F27714" s="8" t="inlineStr">
        <is>
          <t>STANDBY</t>
        </is>
      </c>
      <c r="G27714" s="8" t="n">
        <v>0</v>
      </c>
      <c r="H27714" s="8" t="inlineStr">
        <is>
          <t>CLOSED</t>
        </is>
      </c>
    </row>
    <row r="27715">
      <c r="A27715" s="8" t="inlineStr">
        <is>
          <t>2026-08-05</t>
        </is>
      </c>
      <c r="B27715" s="8" t="n">
        <v>23</v>
      </c>
      <c r="C27715" s="8" t="n">
        <v>38</v>
      </c>
      <c r="D27715" s="8" t="inlineStr">
        <is>
          <t>Disney Adventure World</t>
        </is>
      </c>
      <c r="E27715" s="8" t="inlineStr">
        <is>
          <t>Raiponce Tangled Spin</t>
        </is>
      </c>
      <c r="F27715" s="8" t="inlineStr">
        <is>
          <t>STANDBY</t>
        </is>
      </c>
      <c r="G27715" s="8" t="n">
        <v>0</v>
      </c>
      <c r="H27715" s="8" t="inlineStr">
        <is>
          <t>CLOSED</t>
        </is>
      </c>
    </row>
    <row r="27716">
      <c r="A27716" s="8" t="inlineStr">
        <is>
          <t>2026-08-05</t>
        </is>
      </c>
      <c r="B27716" s="8" t="n">
        <v>23</v>
      </c>
      <c r="C27716" s="8" t="n">
        <v>45</v>
      </c>
      <c r="D27716" s="8" t="inlineStr">
        <is>
          <t>Disneyland Park</t>
        </is>
      </c>
      <c r="E27716" s="8" t="inlineStr">
        <is>
          <t>Adventure Isle</t>
        </is>
      </c>
      <c r="F27716" s="8" t="inlineStr">
        <is>
          <t>STANDBY</t>
        </is>
      </c>
      <c r="G27716" s="8" t="n">
        <v>0</v>
      </c>
      <c r="H27716" s="8" t="inlineStr">
        <is>
          <t>CLOSED</t>
        </is>
      </c>
    </row>
    <row r="27717">
      <c r="A27717" s="8" t="inlineStr">
        <is>
          <t>2026-08-05</t>
        </is>
      </c>
      <c r="B27717" s="8" t="n">
        <v>23</v>
      </c>
      <c r="C27717" s="8" t="n">
        <v>45</v>
      </c>
      <c r="D27717" s="8" t="inlineStr">
        <is>
          <t>Disneyland Park</t>
        </is>
      </c>
      <c r="E27717" s="8" t="inlineStr">
        <is>
          <t>Indiana Jones and the Temple of Peril Single Rider</t>
        </is>
      </c>
      <c r="F27717" s="8" t="inlineStr">
        <is>
          <t>STANDBY</t>
        </is>
      </c>
      <c r="G27717" s="8" t="n">
        <v>0</v>
      </c>
      <c r="H27717" s="8" t="inlineStr">
        <is>
          <t>CLOSED</t>
        </is>
      </c>
    </row>
    <row r="27718">
      <c r="A27718" s="8" t="inlineStr">
        <is>
          <t>2026-08-05</t>
        </is>
      </c>
      <c r="B27718" s="8" t="n">
        <v>23</v>
      </c>
      <c r="C27718" s="8" t="n">
        <v>45</v>
      </c>
      <c r="D27718" s="8" t="inlineStr">
        <is>
          <t>Disneyland Park</t>
        </is>
      </c>
      <c r="E27718" s="8" t="inlineStr">
        <is>
          <t>Indiana Jones™ and the Temple of Peril</t>
        </is>
      </c>
      <c r="F27718" s="8" t="inlineStr">
        <is>
          <t>STANDBY</t>
        </is>
      </c>
      <c r="G27718" s="8" t="n">
        <v>0</v>
      </c>
      <c r="H27718" s="8" t="inlineStr">
        <is>
          <t>CLOSED</t>
        </is>
      </c>
    </row>
    <row r="27719">
      <c r="A27719" s="8" t="inlineStr">
        <is>
          <t>2026-08-05</t>
        </is>
      </c>
      <c r="B27719" s="8" t="n">
        <v>23</v>
      </c>
      <c r="C27719" s="8" t="n">
        <v>45</v>
      </c>
      <c r="D27719" s="8" t="inlineStr">
        <is>
          <t>Disneyland Park</t>
        </is>
      </c>
      <c r="E27719" s="8" t="inlineStr">
        <is>
          <t>La Cabane des Robinson</t>
        </is>
      </c>
      <c r="F27719" s="8" t="inlineStr">
        <is>
          <t>STANDBY</t>
        </is>
      </c>
      <c r="G27719" s="8" t="n">
        <v>0</v>
      </c>
      <c r="H27719" s="8" t="inlineStr">
        <is>
          <t>CLOSED</t>
        </is>
      </c>
    </row>
    <row r="27720">
      <c r="A27720" s="8" t="inlineStr">
        <is>
          <t>2026-08-05</t>
        </is>
      </c>
      <c r="B27720" s="8" t="n">
        <v>23</v>
      </c>
      <c r="C27720" s="8" t="n">
        <v>45</v>
      </c>
      <c r="D27720" s="8" t="inlineStr">
        <is>
          <t>Disneyland Park</t>
        </is>
      </c>
      <c r="E27720" s="8" t="inlineStr">
        <is>
          <t>Le Passage Enchanté d'Aladdin</t>
        </is>
      </c>
      <c r="F27720" s="8" t="inlineStr">
        <is>
          <t>STANDBY</t>
        </is>
      </c>
      <c r="G27720" s="8" t="n">
        <v>0</v>
      </c>
      <c r="H27720" s="8" t="inlineStr">
        <is>
          <t>CLOSED</t>
        </is>
      </c>
    </row>
    <row r="27721">
      <c r="A27721" s="8" t="inlineStr">
        <is>
          <t>2026-08-05</t>
        </is>
      </c>
      <c r="B27721" s="8" t="n">
        <v>23</v>
      </c>
      <c r="C27721" s="8" t="n">
        <v>45</v>
      </c>
      <c r="D27721" s="8" t="inlineStr">
        <is>
          <t>Disneyland Park</t>
        </is>
      </c>
      <c r="E27721" s="8" t="inlineStr">
        <is>
          <t>Pirate Galleon</t>
        </is>
      </c>
      <c r="F27721" s="8" t="inlineStr">
        <is>
          <t>STANDBY</t>
        </is>
      </c>
      <c r="G27721" s="8" t="n">
        <v>0</v>
      </c>
      <c r="H27721" s="8" t="inlineStr">
        <is>
          <t>CLOSED</t>
        </is>
      </c>
    </row>
    <row r="27722">
      <c r="A27722" s="8" t="inlineStr">
        <is>
          <t>2026-08-05</t>
        </is>
      </c>
      <c r="B27722" s="8" t="n">
        <v>23</v>
      </c>
      <c r="C27722" s="8" t="n">
        <v>45</v>
      </c>
      <c r="D27722" s="8" t="inlineStr">
        <is>
          <t>Disneyland Park</t>
        </is>
      </c>
      <c r="E27722" s="8" t="inlineStr">
        <is>
          <t>Pirates of the Caribbean</t>
        </is>
      </c>
      <c r="F27722" s="8" t="inlineStr">
        <is>
          <t>STANDBY</t>
        </is>
      </c>
      <c r="G27722" s="8" t="n">
        <v>0</v>
      </c>
      <c r="H27722" s="8" t="inlineStr">
        <is>
          <t>CLOSED</t>
        </is>
      </c>
    </row>
    <row r="27723">
      <c r="A27723" s="8" t="inlineStr">
        <is>
          <t>2026-08-05</t>
        </is>
      </c>
      <c r="B27723" s="8" t="n">
        <v>23</v>
      </c>
      <c r="C27723" s="8" t="n">
        <v>45</v>
      </c>
      <c r="D27723" s="8" t="inlineStr">
        <is>
          <t>Disneyland Park</t>
        </is>
      </c>
      <c r="E27723" s="8" t="inlineStr">
        <is>
          <t>Pirates' Beach</t>
        </is>
      </c>
      <c r="F27723" s="8" t="inlineStr">
        <is>
          <t>STANDBY</t>
        </is>
      </c>
      <c r="G27723" s="8" t="n">
        <v>0</v>
      </c>
      <c r="H27723" s="8" t="inlineStr">
        <is>
          <t>CLOSED</t>
        </is>
      </c>
    </row>
    <row r="27724">
      <c r="A27724" s="8" t="inlineStr">
        <is>
          <t>2026-08-05</t>
        </is>
      </c>
      <c r="B27724" s="8" t="n">
        <v>23</v>
      </c>
      <c r="C27724" s="8" t="n">
        <v>45</v>
      </c>
      <c r="D27724" s="8" t="inlineStr">
        <is>
          <t>Disneyland Park</t>
        </is>
      </c>
      <c r="E27724" s="8" t="inlineStr">
        <is>
          <t>Autopia, presented by Avis</t>
        </is>
      </c>
      <c r="F27724" s="8" t="inlineStr">
        <is>
          <t>STANDBY</t>
        </is>
      </c>
      <c r="G27724" s="8" t="n">
        <v>0</v>
      </c>
      <c r="H27724" s="8" t="inlineStr">
        <is>
          <t>CLOSED</t>
        </is>
      </c>
    </row>
    <row r="27725">
      <c r="A27725" s="8" t="inlineStr">
        <is>
          <t>2026-08-05</t>
        </is>
      </c>
      <c r="B27725" s="8" t="n">
        <v>23</v>
      </c>
      <c r="C27725" s="8" t="n">
        <v>45</v>
      </c>
      <c r="D27725" s="8" t="inlineStr">
        <is>
          <t>Disneyland Park</t>
        </is>
      </c>
      <c r="E27725" s="8" t="inlineStr">
        <is>
          <t>Buzz Lightyear Laser Blast</t>
        </is>
      </c>
      <c r="F27725" s="8" t="inlineStr">
        <is>
          <t>STANDBY</t>
        </is>
      </c>
      <c r="G27725" s="8" t="n">
        <v>0</v>
      </c>
      <c r="H27725" s="8" t="inlineStr">
        <is>
          <t>CLOSED</t>
        </is>
      </c>
    </row>
    <row r="27726">
      <c r="A27726" s="8" t="inlineStr">
        <is>
          <t>2026-08-05</t>
        </is>
      </c>
      <c r="B27726" s="8" t="n">
        <v>23</v>
      </c>
      <c r="C27726" s="8" t="n">
        <v>45</v>
      </c>
      <c r="D27726" s="8" t="inlineStr">
        <is>
          <t>Disneyland Park</t>
        </is>
      </c>
      <c r="E27726" s="8" t="inlineStr">
        <is>
          <t>Disneyland Railroad Discoveryland Station</t>
        </is>
      </c>
      <c r="F27726" s="8" t="inlineStr">
        <is>
          <t>STANDBY</t>
        </is>
      </c>
      <c r="G27726" s="8" t="n">
        <v>0</v>
      </c>
      <c r="H27726" s="8" t="inlineStr">
        <is>
          <t>CLOSED</t>
        </is>
      </c>
    </row>
    <row r="27727">
      <c r="A27727" s="8" t="inlineStr">
        <is>
          <t>2026-08-05</t>
        </is>
      </c>
      <c r="B27727" s="8" t="n">
        <v>23</v>
      </c>
      <c r="C27727" s="8" t="n">
        <v>45</v>
      </c>
      <c r="D27727" s="8" t="inlineStr">
        <is>
          <t>Disneyland Park</t>
        </is>
      </c>
      <c r="E27727" s="8" t="inlineStr">
        <is>
          <t>Les Mystères du Nautilus</t>
        </is>
      </c>
      <c r="F27727" s="8" t="inlineStr">
        <is>
          <t>STANDBY</t>
        </is>
      </c>
      <c r="G27727" s="8" t="n">
        <v>0</v>
      </c>
      <c r="H27727" s="8" t="inlineStr">
        <is>
          <t>CLOSED</t>
        </is>
      </c>
    </row>
    <row r="27728">
      <c r="A27728" s="8" t="inlineStr">
        <is>
          <t>2026-08-05</t>
        </is>
      </c>
      <c r="B27728" s="8" t="n">
        <v>23</v>
      </c>
      <c r="C27728" s="8" t="n">
        <v>45</v>
      </c>
      <c r="D27728" s="8" t="inlineStr">
        <is>
          <t>Disneyland Park</t>
        </is>
      </c>
      <c r="E27728" s="8" t="inlineStr">
        <is>
          <t>Mickey’s PhilharMagic</t>
        </is>
      </c>
      <c r="F27728" s="8" t="inlineStr">
        <is>
          <t>STANDBY</t>
        </is>
      </c>
      <c r="G27728" s="8" t="n">
        <v>0</v>
      </c>
      <c r="H27728" s="8" t="inlineStr">
        <is>
          <t>CLOSED</t>
        </is>
      </c>
    </row>
    <row r="27729">
      <c r="A27729" s="8" t="inlineStr">
        <is>
          <t>2026-08-05</t>
        </is>
      </c>
      <c r="B27729" s="8" t="n">
        <v>23</v>
      </c>
      <c r="C27729" s="8" t="n">
        <v>45</v>
      </c>
      <c r="D27729" s="8" t="inlineStr">
        <is>
          <t>Disneyland Park</t>
        </is>
      </c>
      <c r="E27729" s="8" t="inlineStr">
        <is>
          <t>Orbitron®</t>
        </is>
      </c>
      <c r="F27729" s="8" t="inlineStr">
        <is>
          <t>STANDBY</t>
        </is>
      </c>
      <c r="G27729" s="8" t="n">
        <v>0</v>
      </c>
      <c r="H27729" s="8" t="inlineStr">
        <is>
          <t>CLOSED</t>
        </is>
      </c>
    </row>
    <row r="27730">
      <c r="A27730" s="8" t="inlineStr">
        <is>
          <t>2026-08-05</t>
        </is>
      </c>
      <c r="B27730" s="8" t="n">
        <v>23</v>
      </c>
      <c r="C27730" s="8" t="n">
        <v>45</v>
      </c>
      <c r="D27730" s="8" t="inlineStr">
        <is>
          <t>Disneyland Park</t>
        </is>
      </c>
      <c r="E27730" s="8" t="inlineStr">
        <is>
          <t>Star Tours: The Adventures Continue*</t>
        </is>
      </c>
      <c r="F27730" s="8" t="inlineStr">
        <is>
          <t>STANDBY</t>
        </is>
      </c>
      <c r="G27730" s="8" t="n">
        <v>0</v>
      </c>
      <c r="H27730" s="8" t="inlineStr">
        <is>
          <t>CLOSED</t>
        </is>
      </c>
    </row>
    <row r="27731">
      <c r="A27731" s="8" t="inlineStr">
        <is>
          <t>2026-08-05</t>
        </is>
      </c>
      <c r="B27731" s="8" t="n">
        <v>23</v>
      </c>
      <c r="C27731" s="8" t="n">
        <v>45</v>
      </c>
      <c r="D27731" s="8" t="inlineStr">
        <is>
          <t>Disneyland Park</t>
        </is>
      </c>
      <c r="E27731" s="8" t="inlineStr">
        <is>
          <t>Star Wars Hyperspace Mountain</t>
        </is>
      </c>
      <c r="F27731" s="8" t="inlineStr">
        <is>
          <t>STANDBY</t>
        </is>
      </c>
      <c r="G27731" s="8" t="n">
        <v>0</v>
      </c>
      <c r="H27731" s="8" t="inlineStr">
        <is>
          <t>CLOSED</t>
        </is>
      </c>
    </row>
    <row r="27732">
      <c r="A27732" s="8" t="inlineStr">
        <is>
          <t>2026-08-05</t>
        </is>
      </c>
      <c r="B27732" s="8" t="n">
        <v>23</v>
      </c>
      <c r="C27732" s="8" t="n">
        <v>45</v>
      </c>
      <c r="D27732" s="8" t="inlineStr">
        <is>
          <t>Disneyland Park</t>
        </is>
      </c>
      <c r="E27732" s="8" t="inlineStr">
        <is>
          <t>Star Wars Hyperspace Mountain Single Rider</t>
        </is>
      </c>
      <c r="F27732" s="8" t="inlineStr">
        <is>
          <t>STANDBY</t>
        </is>
      </c>
      <c r="G27732" s="8" t="n">
        <v>0</v>
      </c>
      <c r="H27732" s="8" t="inlineStr">
        <is>
          <t>CLOSED</t>
        </is>
      </c>
    </row>
    <row r="27733">
      <c r="A27733" s="8" t="inlineStr">
        <is>
          <t>2026-08-05</t>
        </is>
      </c>
      <c r="B27733" s="8" t="n">
        <v>23</v>
      </c>
      <c r="C27733" s="8" t="n">
        <v>45</v>
      </c>
      <c r="D27733" s="8" t="inlineStr">
        <is>
          <t>Disneyland Park</t>
        </is>
      </c>
      <c r="E27733" s="8" t="inlineStr">
        <is>
          <t>Welcome to Starport: A Star Wars Encounter</t>
        </is>
      </c>
      <c r="F27733" s="8" t="inlineStr">
        <is>
          <t>STANDBY</t>
        </is>
      </c>
      <c r="G27733" s="8" t="n">
        <v>0</v>
      </c>
      <c r="H27733" s="8" t="inlineStr">
        <is>
          <t>CLOSED</t>
        </is>
      </c>
    </row>
    <row r="27734">
      <c r="A27734" s="8" t="inlineStr">
        <is>
          <t>2026-08-05</t>
        </is>
      </c>
      <c r="B27734" s="8" t="n">
        <v>23</v>
      </c>
      <c r="C27734" s="8" t="n">
        <v>45</v>
      </c>
      <c r="D27734" s="8" t="inlineStr">
        <is>
          <t>Disneyland Park</t>
        </is>
      </c>
      <c r="E27734" s="8" t="inlineStr">
        <is>
          <t>"it's a small world"</t>
        </is>
      </c>
      <c r="F27734" s="8" t="inlineStr">
        <is>
          <t>STANDBY</t>
        </is>
      </c>
      <c r="G27734" s="8" t="n">
        <v>0</v>
      </c>
      <c r="H27734" s="8" t="inlineStr">
        <is>
          <t>CLOSED</t>
        </is>
      </c>
    </row>
    <row r="27735">
      <c r="A27735" s="8" t="inlineStr">
        <is>
          <t>2026-08-05</t>
        </is>
      </c>
      <c r="B27735" s="8" t="n">
        <v>23</v>
      </c>
      <c r="C27735" s="8" t="n">
        <v>45</v>
      </c>
      <c r="D27735" s="8" t="inlineStr">
        <is>
          <t>Disneyland Park</t>
        </is>
      </c>
      <c r="E27735" s="8" t="inlineStr">
        <is>
          <t>Alice's Curious Labyrinth</t>
        </is>
      </c>
      <c r="F27735" s="8" t="inlineStr">
        <is>
          <t>STANDBY</t>
        </is>
      </c>
      <c r="G27735" s="8" t="n">
        <v>0</v>
      </c>
      <c r="H27735" s="8" t="inlineStr">
        <is>
          <t>CLOSED</t>
        </is>
      </c>
    </row>
    <row r="27736">
      <c r="A27736" s="8" t="inlineStr">
        <is>
          <t>2026-08-05</t>
        </is>
      </c>
      <c r="B27736" s="8" t="n">
        <v>23</v>
      </c>
      <c r="C27736" s="8" t="n">
        <v>45</v>
      </c>
      <c r="D27736" s="8" t="inlineStr">
        <is>
          <t>Disneyland Park</t>
        </is>
      </c>
      <c r="E27736" s="8" t="inlineStr">
        <is>
          <t>Blanche-Neige et les Sept Nains®</t>
        </is>
      </c>
      <c r="F27736" s="8" t="inlineStr">
        <is>
          <t>STANDBY</t>
        </is>
      </c>
      <c r="G27736" s="8" t="n">
        <v>0</v>
      </c>
      <c r="H27736" s="8" t="inlineStr">
        <is>
          <t>CLOSED</t>
        </is>
      </c>
    </row>
    <row r="27737">
      <c r="A27737" s="8" t="inlineStr">
        <is>
          <t>2026-08-05</t>
        </is>
      </c>
      <c r="B27737" s="8" t="n">
        <v>23</v>
      </c>
      <c r="C27737" s="8" t="n">
        <v>45</v>
      </c>
      <c r="D27737" s="8" t="inlineStr">
        <is>
          <t>Disneyland Park</t>
        </is>
      </c>
      <c r="E27737" s="8" t="inlineStr">
        <is>
          <t>Casey Jr. – le Petit Train du Cirque</t>
        </is>
      </c>
      <c r="F27737" s="8" t="inlineStr">
        <is>
          <t>STANDBY</t>
        </is>
      </c>
      <c r="G27737" s="8" t="n">
        <v>0</v>
      </c>
      <c r="H27737" s="8" t="inlineStr">
        <is>
          <t>CLOSED</t>
        </is>
      </c>
    </row>
    <row r="27738">
      <c r="A27738" s="8" t="inlineStr">
        <is>
          <t>2026-08-05</t>
        </is>
      </c>
      <c r="B27738" s="8" t="n">
        <v>23</v>
      </c>
      <c r="C27738" s="8" t="n">
        <v>45</v>
      </c>
      <c r="D27738" s="8" t="inlineStr">
        <is>
          <t>Disneyland Park</t>
        </is>
      </c>
      <c r="E27738" s="8" t="inlineStr">
        <is>
          <t>Disneyland Railroad Fantasyland Station</t>
        </is>
      </c>
      <c r="F27738" s="8" t="inlineStr">
        <is>
          <t>STANDBY</t>
        </is>
      </c>
      <c r="G27738" s="8" t="n">
        <v>0</v>
      </c>
      <c r="H27738" s="8" t="inlineStr">
        <is>
          <t>CLOSED</t>
        </is>
      </c>
    </row>
    <row r="27739">
      <c r="A27739" s="8" t="inlineStr">
        <is>
          <t>2026-08-05</t>
        </is>
      </c>
      <c r="B27739" s="8" t="n">
        <v>23</v>
      </c>
      <c r="C27739" s="8" t="n">
        <v>45</v>
      </c>
      <c r="D27739" s="8" t="inlineStr">
        <is>
          <t>Disneyland Park</t>
        </is>
      </c>
      <c r="E27739" s="8" t="inlineStr">
        <is>
          <t>Disneyland Railroad Main Street Station</t>
        </is>
      </c>
      <c r="F27739" s="8" t="inlineStr">
        <is>
          <t>STANDBY</t>
        </is>
      </c>
      <c r="G27739" s="8" t="n">
        <v>0</v>
      </c>
      <c r="H27739" s="8" t="inlineStr">
        <is>
          <t>CLOSED</t>
        </is>
      </c>
    </row>
    <row r="27740">
      <c r="A27740" s="8" t="inlineStr">
        <is>
          <t>2026-08-05</t>
        </is>
      </c>
      <c r="B27740" s="8" t="n">
        <v>23</v>
      </c>
      <c r="C27740" s="8" t="n">
        <v>45</v>
      </c>
      <c r="D27740" s="8" t="inlineStr">
        <is>
          <t>Disneyland Park</t>
        </is>
      </c>
      <c r="E27740" s="8" t="inlineStr">
        <is>
          <t>Dumbo the Flying Elephant</t>
        </is>
      </c>
      <c r="F27740" s="8" t="inlineStr">
        <is>
          <t>STANDBY</t>
        </is>
      </c>
      <c r="G27740" s="8" t="n">
        <v>0</v>
      </c>
      <c r="H27740" s="8" t="inlineStr">
        <is>
          <t>CLOSED</t>
        </is>
      </c>
    </row>
    <row r="27741">
      <c r="A27741" s="8" t="inlineStr">
        <is>
          <t>2026-08-05</t>
        </is>
      </c>
      <c r="B27741" s="8" t="n">
        <v>23</v>
      </c>
      <c r="C27741" s="8" t="n">
        <v>45</v>
      </c>
      <c r="D27741" s="8" t="inlineStr">
        <is>
          <t>Disneyland Park</t>
        </is>
      </c>
      <c r="E27741" s="8" t="inlineStr">
        <is>
          <t>La Tanière du Dragon</t>
        </is>
      </c>
      <c r="F27741" s="8" t="inlineStr">
        <is>
          <t>STANDBY</t>
        </is>
      </c>
      <c r="G27741" s="8" t="n">
        <v>0</v>
      </c>
      <c r="H27741" s="8" t="inlineStr">
        <is>
          <t>CLOSED</t>
        </is>
      </c>
    </row>
    <row r="27742">
      <c r="A27742" s="8" t="inlineStr">
        <is>
          <t>2026-08-05</t>
        </is>
      </c>
      <c r="B27742" s="8" t="n">
        <v>23</v>
      </c>
      <c r="C27742" s="8" t="n">
        <v>45</v>
      </c>
      <c r="D27742" s="8" t="inlineStr">
        <is>
          <t>Disneyland Park</t>
        </is>
      </c>
      <c r="E27742" s="8" t="inlineStr">
        <is>
          <t>Le Carrousel de Lancelot</t>
        </is>
      </c>
      <c r="F27742" s="8" t="inlineStr">
        <is>
          <t>STANDBY</t>
        </is>
      </c>
      <c r="G27742" s="8" t="n">
        <v>0</v>
      </c>
      <c r="H27742" s="8" t="inlineStr">
        <is>
          <t>CLOSED</t>
        </is>
      </c>
    </row>
    <row r="27743">
      <c r="A27743" s="8" t="inlineStr">
        <is>
          <t>2026-08-05</t>
        </is>
      </c>
      <c r="B27743" s="8" t="n">
        <v>23</v>
      </c>
      <c r="C27743" s="8" t="n">
        <v>45</v>
      </c>
      <c r="D27743" s="8" t="inlineStr">
        <is>
          <t>Disneyland Park</t>
        </is>
      </c>
      <c r="E27743" s="8" t="inlineStr">
        <is>
          <t>Le Pays des Contes de Fées, presented by Vittel</t>
        </is>
      </c>
      <c r="F27743" s="8" t="inlineStr">
        <is>
          <t>STANDBY</t>
        </is>
      </c>
      <c r="G27743" s="8" t="n">
        <v>0</v>
      </c>
      <c r="H27743" s="8" t="inlineStr">
        <is>
          <t>CLOSED</t>
        </is>
      </c>
    </row>
    <row r="27744">
      <c r="A27744" s="8" t="inlineStr">
        <is>
          <t>2026-08-05</t>
        </is>
      </c>
      <c r="B27744" s="8" t="n">
        <v>23</v>
      </c>
      <c r="C27744" s="8" t="n">
        <v>45</v>
      </c>
      <c r="D27744" s="8" t="inlineStr">
        <is>
          <t>Disneyland Park</t>
        </is>
      </c>
      <c r="E27744" s="8" t="inlineStr">
        <is>
          <t>Les Voyages de Pinocchio</t>
        </is>
      </c>
      <c r="F27744" s="8" t="inlineStr">
        <is>
          <t>STANDBY</t>
        </is>
      </c>
      <c r="G27744" s="8" t="n">
        <v>0</v>
      </c>
      <c r="H27744" s="8" t="inlineStr">
        <is>
          <t>CLOSED</t>
        </is>
      </c>
    </row>
    <row r="27745">
      <c r="A27745" s="8" t="inlineStr">
        <is>
          <t>2026-08-05</t>
        </is>
      </c>
      <c r="B27745" s="8" t="n">
        <v>23</v>
      </c>
      <c r="C27745" s="8" t="n">
        <v>45</v>
      </c>
      <c r="D27745" s="8" t="inlineStr">
        <is>
          <t>Disneyland Park</t>
        </is>
      </c>
      <c r="E27745" s="8" t="inlineStr">
        <is>
          <t>Mad Hatter's Tea Cups</t>
        </is>
      </c>
      <c r="F27745" s="8" t="inlineStr">
        <is>
          <t>STANDBY</t>
        </is>
      </c>
      <c r="G27745" s="8" t="n">
        <v>0</v>
      </c>
      <c r="H27745" s="8" t="inlineStr">
        <is>
          <t>CLOSED</t>
        </is>
      </c>
    </row>
    <row r="27746">
      <c r="A27746" s="8" t="inlineStr">
        <is>
          <t>2026-08-05</t>
        </is>
      </c>
      <c r="B27746" s="8" t="n">
        <v>23</v>
      </c>
      <c r="C27746" s="8" t="n">
        <v>45</v>
      </c>
      <c r="D27746" s="8" t="inlineStr">
        <is>
          <t>Disneyland Park</t>
        </is>
      </c>
      <c r="E27746" s="8" t="inlineStr">
        <is>
          <t>Meet Mickey Mouse</t>
        </is>
      </c>
      <c r="F27746" s="8" t="inlineStr">
        <is>
          <t>STANDBY</t>
        </is>
      </c>
      <c r="G27746" s="8" t="n">
        <v>0</v>
      </c>
      <c r="H27746" s="8" t="inlineStr">
        <is>
          <t>CLOSED</t>
        </is>
      </c>
    </row>
    <row r="27747">
      <c r="A27747" s="8" t="inlineStr">
        <is>
          <t>2026-08-05</t>
        </is>
      </c>
      <c r="B27747" s="8" t="n">
        <v>23</v>
      </c>
      <c r="C27747" s="8" t="n">
        <v>45</v>
      </c>
      <c r="D27747" s="8" t="inlineStr">
        <is>
          <t>Disneyland Park</t>
        </is>
      </c>
      <c r="E27747" s="8" t="inlineStr">
        <is>
          <t>Peter Pan's Flight</t>
        </is>
      </c>
      <c r="F27747" s="8" t="inlineStr">
        <is>
          <t>STANDBY</t>
        </is>
      </c>
      <c r="G27747" s="8" t="n">
        <v>0</v>
      </c>
      <c r="H27747" s="8" t="inlineStr">
        <is>
          <t>CLOSED</t>
        </is>
      </c>
    </row>
    <row r="27748">
      <c r="A27748" s="8" t="inlineStr">
        <is>
          <t>2026-08-05</t>
        </is>
      </c>
      <c r="B27748" s="8" t="n">
        <v>23</v>
      </c>
      <c r="C27748" s="8" t="n">
        <v>45</v>
      </c>
      <c r="D27748" s="8" t="inlineStr">
        <is>
          <t>Disneyland Park</t>
        </is>
      </c>
      <c r="E27748" s="8" t="inlineStr">
        <is>
          <t>Princess Pavilion</t>
        </is>
      </c>
      <c r="F27748" s="8" t="inlineStr">
        <is>
          <t>STANDBY</t>
        </is>
      </c>
      <c r="G27748" s="8" t="n">
        <v>0</v>
      </c>
      <c r="H27748" s="8" t="inlineStr">
        <is>
          <t>CLOSED</t>
        </is>
      </c>
    </row>
    <row r="27749">
      <c r="A27749" s="8" t="inlineStr">
        <is>
          <t>2026-08-05</t>
        </is>
      </c>
      <c r="B27749" s="8" t="n">
        <v>23</v>
      </c>
      <c r="C27749" s="8" t="n">
        <v>45</v>
      </c>
      <c r="D27749" s="8" t="inlineStr">
        <is>
          <t>Disneyland Park</t>
        </is>
      </c>
      <c r="E27749" s="8" t="inlineStr">
        <is>
          <t>Big Thunder Mountain</t>
        </is>
      </c>
      <c r="F27749" s="8" t="inlineStr">
        <is>
          <t>STANDBY</t>
        </is>
      </c>
      <c r="G27749" s="8" t="n">
        <v>0</v>
      </c>
      <c r="H27749" s="8" t="inlineStr">
        <is>
          <t>CLOSED</t>
        </is>
      </c>
    </row>
    <row r="27750">
      <c r="A27750" s="8" t="inlineStr">
        <is>
          <t>2026-08-05</t>
        </is>
      </c>
      <c r="B27750" s="8" t="n">
        <v>23</v>
      </c>
      <c r="C27750" s="8" t="n">
        <v>45</v>
      </c>
      <c r="D27750" s="8" t="inlineStr">
        <is>
          <t>Disneyland Park</t>
        </is>
      </c>
      <c r="E27750" s="8" t="inlineStr">
        <is>
          <t>Disneyland Railroad Frontierland Depot</t>
        </is>
      </c>
      <c r="F27750" s="8" t="inlineStr">
        <is>
          <t>STANDBY</t>
        </is>
      </c>
      <c r="G27750" s="8" t="n">
        <v>0</v>
      </c>
      <c r="H27750" s="8" t="inlineStr">
        <is>
          <t>CLOSED</t>
        </is>
      </c>
    </row>
    <row r="27751">
      <c r="A27751" s="8" t="inlineStr">
        <is>
          <t>2026-08-05</t>
        </is>
      </c>
      <c r="B27751" s="8" t="n">
        <v>23</v>
      </c>
      <c r="C27751" s="8" t="n">
        <v>45</v>
      </c>
      <c r="D27751" s="8" t="inlineStr">
        <is>
          <t>Disneyland Park</t>
        </is>
      </c>
      <c r="E27751" s="8" t="inlineStr">
        <is>
          <t>Frontierland Playground</t>
        </is>
      </c>
      <c r="F27751" s="8" t="inlineStr">
        <is>
          <t>STANDBY</t>
        </is>
      </c>
      <c r="G27751" s="8" t="n">
        <v>0</v>
      </c>
      <c r="H27751" s="8" t="inlineStr">
        <is>
          <t>CLOSED</t>
        </is>
      </c>
    </row>
    <row r="27752">
      <c r="A27752" s="8" t="inlineStr">
        <is>
          <t>2026-08-05</t>
        </is>
      </c>
      <c r="B27752" s="8" t="n">
        <v>23</v>
      </c>
      <c r="C27752" s="8" t="n">
        <v>45</v>
      </c>
      <c r="D27752" s="8" t="inlineStr">
        <is>
          <t>Disneyland Park</t>
        </is>
      </c>
      <c r="E27752" s="8" t="inlineStr">
        <is>
          <t>Phantom Manor</t>
        </is>
      </c>
      <c r="F27752" s="8" t="inlineStr">
        <is>
          <t>STANDBY</t>
        </is>
      </c>
      <c r="G27752" s="8" t="n">
        <v>0</v>
      </c>
      <c r="H27752" s="8" t="inlineStr">
        <is>
          <t>CLOSED</t>
        </is>
      </c>
    </row>
    <row r="27753">
      <c r="A27753" s="8" t="inlineStr">
        <is>
          <t>2026-08-05</t>
        </is>
      </c>
      <c r="B27753" s="8" t="n">
        <v>23</v>
      </c>
      <c r="C27753" s="8" t="n">
        <v>45</v>
      </c>
      <c r="D27753" s="8" t="inlineStr">
        <is>
          <t>Disneyland Park</t>
        </is>
      </c>
      <c r="E27753" s="8" t="inlineStr">
        <is>
          <t>River Rogue Keelboats</t>
        </is>
      </c>
      <c r="F27753" s="8" t="inlineStr">
        <is>
          <t>STANDBY</t>
        </is>
      </c>
      <c r="G27753" s="8" t="n">
        <v>0</v>
      </c>
      <c r="H27753" s="8" t="inlineStr">
        <is>
          <t>CLOSED</t>
        </is>
      </c>
    </row>
    <row r="27754">
      <c r="A27754" s="8" t="inlineStr">
        <is>
          <t>2026-08-05</t>
        </is>
      </c>
      <c r="B27754" s="8" t="n">
        <v>23</v>
      </c>
      <c r="C27754" s="8" t="n">
        <v>45</v>
      </c>
      <c r="D27754" s="8" t="inlineStr">
        <is>
          <t>Disneyland Park</t>
        </is>
      </c>
      <c r="E27754" s="8" t="inlineStr">
        <is>
          <t>Rustler Roundup Shootin' Gallery</t>
        </is>
      </c>
      <c r="F27754" s="8" t="inlineStr">
        <is>
          <t>STANDBY</t>
        </is>
      </c>
      <c r="G27754" s="8" t="n">
        <v>0</v>
      </c>
      <c r="H27754" s="8" t="inlineStr">
        <is>
          <t>CLOSED</t>
        </is>
      </c>
    </row>
    <row r="27755">
      <c r="A27755" s="8" t="inlineStr">
        <is>
          <t>2026-08-05</t>
        </is>
      </c>
      <c r="B27755" s="8" t="n">
        <v>23</v>
      </c>
      <c r="C27755" s="8" t="n">
        <v>45</v>
      </c>
      <c r="D27755" s="8" t="inlineStr">
        <is>
          <t>Disneyland Park</t>
        </is>
      </c>
      <c r="E27755" s="8" t="inlineStr">
        <is>
          <t>Thunder Mesa Riverboat Landing</t>
        </is>
      </c>
      <c r="F27755" s="8" t="inlineStr">
        <is>
          <t>STANDBY</t>
        </is>
      </c>
      <c r="G27755" s="8" t="n">
        <v>0</v>
      </c>
      <c r="H27755" s="8" t="inlineStr">
        <is>
          <t>CLOSED</t>
        </is>
      </c>
    </row>
    <row r="27756">
      <c r="A27756" s="8" t="inlineStr">
        <is>
          <t>2026-08-05</t>
        </is>
      </c>
      <c r="B27756" s="8" t="n">
        <v>23</v>
      </c>
      <c r="C27756" s="8" t="n">
        <v>45</v>
      </c>
      <c r="D27756" s="8" t="inlineStr">
        <is>
          <t>Disneyland Park</t>
        </is>
      </c>
      <c r="E27756" s="8" t="inlineStr">
        <is>
          <t>Disneyland Railroad Main Street Station</t>
        </is>
      </c>
      <c r="F27756" s="8" t="inlineStr">
        <is>
          <t>STANDBY</t>
        </is>
      </c>
      <c r="G27756" s="8" t="n">
        <v>0</v>
      </c>
      <c r="H27756" s="8" t="inlineStr">
        <is>
          <t>CLOSED</t>
        </is>
      </c>
    </row>
    <row r="27757">
      <c r="A27757" s="8" t="inlineStr">
        <is>
          <t>2026-08-05</t>
        </is>
      </c>
      <c r="B27757" s="8" t="n">
        <v>23</v>
      </c>
      <c r="C27757" s="8" t="n">
        <v>45</v>
      </c>
      <c r="D27757" s="8" t="inlineStr">
        <is>
          <t>Disneyland Park</t>
        </is>
      </c>
      <c r="E27757" s="8" t="inlineStr">
        <is>
          <t>Main Street Vehicles</t>
        </is>
      </c>
      <c r="F27757" s="8" t="inlineStr">
        <is>
          <t>STANDBY</t>
        </is>
      </c>
      <c r="G27757" s="8" t="n">
        <v>0</v>
      </c>
      <c r="H27757" s="8" t="inlineStr">
        <is>
          <t>CLOSED</t>
        </is>
      </c>
    </row>
    <row r="27758">
      <c r="A27758" s="8" t="inlineStr">
        <is>
          <t>2026-08-05</t>
        </is>
      </c>
      <c r="B27758" s="8" t="n">
        <v>23</v>
      </c>
      <c r="C27758" s="8" t="n">
        <v>45</v>
      </c>
      <c r="D27758" s="8" t="inlineStr">
        <is>
          <t>Disney Adventure World</t>
        </is>
      </c>
      <c r="E27758" s="8" t="inlineStr">
        <is>
          <t>Avengers Assemble: Flight Force</t>
        </is>
      </c>
      <c r="F27758" s="8" t="inlineStr">
        <is>
          <t>STANDBY</t>
        </is>
      </c>
      <c r="G27758" s="8" t="n">
        <v>0</v>
      </c>
      <c r="H27758" s="8" t="inlineStr">
        <is>
          <t>CLOSED</t>
        </is>
      </c>
    </row>
    <row r="27759">
      <c r="A27759" s="8" t="inlineStr">
        <is>
          <t>2026-08-05</t>
        </is>
      </c>
      <c r="B27759" s="8" t="n">
        <v>23</v>
      </c>
      <c r="C27759" s="8" t="n">
        <v>45</v>
      </c>
      <c r="D27759" s="8" t="inlineStr">
        <is>
          <t>Disney Adventure World</t>
        </is>
      </c>
      <c r="E27759" s="8" t="inlineStr">
        <is>
          <t>Avengers Assemble: Flight Force Single Rider</t>
        </is>
      </c>
      <c r="F27759" s="8" t="inlineStr">
        <is>
          <t>STANDBY</t>
        </is>
      </c>
      <c r="G27759" s="8" t="n">
        <v>0</v>
      </c>
      <c r="H27759" s="8" t="inlineStr">
        <is>
          <t>CLOSED</t>
        </is>
      </c>
    </row>
    <row r="27760">
      <c r="A27760" s="8" t="inlineStr">
        <is>
          <t>2026-08-05</t>
        </is>
      </c>
      <c r="B27760" s="8" t="n">
        <v>23</v>
      </c>
      <c r="C27760" s="8" t="n">
        <v>45</v>
      </c>
      <c r="D27760" s="8" t="inlineStr">
        <is>
          <t>Disney Adventure World</t>
        </is>
      </c>
      <c r="E27760" s="8" t="inlineStr">
        <is>
          <t>Spider-Man W.E.B. Adventure</t>
        </is>
      </c>
      <c r="F27760" s="8" t="inlineStr">
        <is>
          <t>STANDBY</t>
        </is>
      </c>
      <c r="G27760" s="8" t="n">
        <v>0</v>
      </c>
      <c r="H27760" s="8" t="inlineStr">
        <is>
          <t>CLOSED</t>
        </is>
      </c>
    </row>
    <row r="27761">
      <c r="A27761" s="8" t="inlineStr">
        <is>
          <t>2026-08-05</t>
        </is>
      </c>
      <c r="B27761" s="8" t="n">
        <v>23</v>
      </c>
      <c r="C27761" s="8" t="n">
        <v>45</v>
      </c>
      <c r="D27761" s="8" t="inlineStr">
        <is>
          <t>Disney Adventure World</t>
        </is>
      </c>
      <c r="E27761" s="8" t="inlineStr">
        <is>
          <t>Spider-Man W.E.B. Adventure Single Rider</t>
        </is>
      </c>
      <c r="F27761" s="8" t="inlineStr">
        <is>
          <t>STANDBY</t>
        </is>
      </c>
      <c r="G27761" s="8" t="n">
        <v>0</v>
      </c>
      <c r="H27761" s="8" t="inlineStr">
        <is>
          <t>CLOSED</t>
        </is>
      </c>
    </row>
    <row r="27762">
      <c r="A27762" s="8" t="inlineStr">
        <is>
          <t>2026-08-05</t>
        </is>
      </c>
      <c r="B27762" s="8" t="n">
        <v>23</v>
      </c>
      <c r="C27762" s="8" t="n">
        <v>45</v>
      </c>
      <c r="D27762" s="8" t="inlineStr">
        <is>
          <t>Disney Adventure World</t>
        </is>
      </c>
      <c r="E27762" s="8" t="inlineStr">
        <is>
          <t>The Twilight Zone Tower of Terror</t>
        </is>
      </c>
      <c r="F27762" s="8" t="inlineStr">
        <is>
          <t>STANDBY</t>
        </is>
      </c>
      <c r="G27762" s="8" t="n">
        <v>0</v>
      </c>
      <c r="H27762" s="8" t="inlineStr">
        <is>
          <t>CLOSED</t>
        </is>
      </c>
    </row>
    <row r="27763">
      <c r="A27763" s="8" t="inlineStr">
        <is>
          <t>2026-08-05</t>
        </is>
      </c>
      <c r="B27763" s="8" t="n">
        <v>23</v>
      </c>
      <c r="C27763" s="8" t="n">
        <v>45</v>
      </c>
      <c r="D27763" s="8" t="inlineStr">
        <is>
          <t>Disney Adventure World</t>
        </is>
      </c>
      <c r="E27763" s="8" t="inlineStr">
        <is>
          <t>Cars Quatre Roues Rallye</t>
        </is>
      </c>
      <c r="F27763" s="8" t="inlineStr">
        <is>
          <t>STANDBY</t>
        </is>
      </c>
      <c r="G27763" s="8" t="n">
        <v>0</v>
      </c>
      <c r="H27763" s="8" t="inlineStr">
        <is>
          <t>CLOSED</t>
        </is>
      </c>
    </row>
    <row r="27764">
      <c r="A27764" s="8" t="inlineStr">
        <is>
          <t>2026-08-05</t>
        </is>
      </c>
      <c r="B27764" s="8" t="n">
        <v>23</v>
      </c>
      <c r="C27764" s="8" t="n">
        <v>45</v>
      </c>
      <c r="D27764" s="8" t="inlineStr">
        <is>
          <t>Disney Adventure World</t>
        </is>
      </c>
      <c r="E27764" s="8" t="inlineStr">
        <is>
          <t>Cars ROAD TRIP</t>
        </is>
      </c>
      <c r="F27764" s="8" t="inlineStr">
        <is>
          <t>STANDBY</t>
        </is>
      </c>
      <c r="G27764" s="8" t="n">
        <v>0</v>
      </c>
      <c r="H27764" s="8" t="inlineStr">
        <is>
          <t>CLOSED</t>
        </is>
      </c>
    </row>
    <row r="27765">
      <c r="A27765" s="8" t="inlineStr">
        <is>
          <t>2026-08-05</t>
        </is>
      </c>
      <c r="B27765" s="8" t="n">
        <v>23</v>
      </c>
      <c r="C27765" s="8" t="n">
        <v>45</v>
      </c>
      <c r="D27765" s="8" t="inlineStr">
        <is>
          <t>Disney Adventure World</t>
        </is>
      </c>
      <c r="E27765" s="8" t="inlineStr">
        <is>
          <t>Crush's Coaster</t>
        </is>
      </c>
      <c r="F27765" s="8" t="inlineStr">
        <is>
          <t>STANDBY</t>
        </is>
      </c>
      <c r="G27765" s="8" t="n">
        <v>0</v>
      </c>
      <c r="H27765" s="8" t="inlineStr">
        <is>
          <t>CLOSED</t>
        </is>
      </c>
    </row>
    <row r="27766">
      <c r="A27766" s="8" t="inlineStr">
        <is>
          <t>2026-08-05</t>
        </is>
      </c>
      <c r="B27766" s="8" t="n">
        <v>23</v>
      </c>
      <c r="C27766" s="8" t="n">
        <v>45</v>
      </c>
      <c r="D27766" s="8" t="inlineStr">
        <is>
          <t>Disney Adventure World</t>
        </is>
      </c>
      <c r="E27766" s="8" t="inlineStr">
        <is>
          <t>Crush's Coaster Single Rider</t>
        </is>
      </c>
      <c r="F27766" s="8" t="inlineStr">
        <is>
          <t>STANDBY</t>
        </is>
      </c>
      <c r="G27766" s="8" t="n">
        <v>0</v>
      </c>
      <c r="H27766" s="8" t="inlineStr">
        <is>
          <t>CLOSED</t>
        </is>
      </c>
    </row>
    <row r="27767">
      <c r="A27767" s="8" t="inlineStr">
        <is>
          <t>2026-08-05</t>
        </is>
      </c>
      <c r="B27767" s="8" t="n">
        <v>23</v>
      </c>
      <c r="C27767" s="8" t="n">
        <v>45</v>
      </c>
      <c r="D27767" s="8" t="inlineStr">
        <is>
          <t>Disney Adventure World</t>
        </is>
      </c>
      <c r="E27767" s="8" t="inlineStr">
        <is>
          <t>Les Tapis Volants - Flying Carpets Over Agrabah®</t>
        </is>
      </c>
      <c r="F27767" s="8" t="inlineStr">
        <is>
          <t>STANDBY</t>
        </is>
      </c>
      <c r="G27767" s="8" t="n">
        <v>0</v>
      </c>
      <c r="H27767" s="8" t="inlineStr">
        <is>
          <t>CLOSED</t>
        </is>
      </c>
    </row>
    <row r="27768">
      <c r="A27768" s="8" t="inlineStr">
        <is>
          <t>2026-08-05</t>
        </is>
      </c>
      <c r="B27768" s="8" t="n">
        <v>23</v>
      </c>
      <c r="C27768" s="8" t="n">
        <v>45</v>
      </c>
      <c r="D27768" s="8" t="inlineStr">
        <is>
          <t>Disney Adventure World</t>
        </is>
      </c>
      <c r="E27768" s="8" t="inlineStr">
        <is>
          <t>Ratatouille : L’Aventure Totalement Toquée de Rémy​</t>
        </is>
      </c>
      <c r="F27768" s="8" t="inlineStr">
        <is>
          <t>STANDBY</t>
        </is>
      </c>
      <c r="G27768" s="8" t="n">
        <v>0</v>
      </c>
      <c r="H27768" s="8" t="inlineStr">
        <is>
          <t>CLOSED</t>
        </is>
      </c>
    </row>
    <row r="27769">
      <c r="A27769" s="8" t="inlineStr">
        <is>
          <t>2026-08-05</t>
        </is>
      </c>
      <c r="B27769" s="8" t="n">
        <v>23</v>
      </c>
      <c r="C27769" s="8" t="n">
        <v>45</v>
      </c>
      <c r="D27769" s="8" t="inlineStr">
        <is>
          <t>Disney Adventure World</t>
        </is>
      </c>
      <c r="E27769" s="8" t="inlineStr">
        <is>
          <t>Ratatouille: The Adventure Single Rider</t>
        </is>
      </c>
      <c r="F27769" s="8" t="inlineStr">
        <is>
          <t>STANDBY</t>
        </is>
      </c>
      <c r="G27769" s="8" t="n">
        <v>0</v>
      </c>
      <c r="H27769" s="8" t="inlineStr">
        <is>
          <t>CLOSED</t>
        </is>
      </c>
    </row>
    <row r="27770">
      <c r="A27770" s="8" t="inlineStr">
        <is>
          <t>2026-08-05</t>
        </is>
      </c>
      <c r="B27770" s="8" t="n">
        <v>23</v>
      </c>
      <c r="C27770" s="8" t="n">
        <v>45</v>
      </c>
      <c r="D27770" s="8" t="inlineStr">
        <is>
          <t>Disney Adventure World</t>
        </is>
      </c>
      <c r="E27770" s="8" t="inlineStr">
        <is>
          <t>RC Racer</t>
        </is>
      </c>
      <c r="F27770" s="8" t="inlineStr">
        <is>
          <t>STANDBY</t>
        </is>
      </c>
      <c r="G27770" s="8" t="n">
        <v>0</v>
      </c>
      <c r="H27770" s="8" t="inlineStr">
        <is>
          <t>CLOSED</t>
        </is>
      </c>
    </row>
    <row r="27771">
      <c r="A27771" s="8" t="inlineStr">
        <is>
          <t>2026-08-05</t>
        </is>
      </c>
      <c r="B27771" s="8" t="n">
        <v>23</v>
      </c>
      <c r="C27771" s="8" t="n">
        <v>45</v>
      </c>
      <c r="D27771" s="8" t="inlineStr">
        <is>
          <t>Disney Adventure World</t>
        </is>
      </c>
      <c r="E27771" s="8" t="inlineStr">
        <is>
          <t>RC Racer Single Rider</t>
        </is>
      </c>
      <c r="F27771" s="8" t="inlineStr">
        <is>
          <t>STANDBY</t>
        </is>
      </c>
      <c r="G27771" s="8" t="n">
        <v>0</v>
      </c>
      <c r="H27771" s="8" t="inlineStr">
        <is>
          <t>CLOSED</t>
        </is>
      </c>
    </row>
    <row r="27772">
      <c r="A27772" s="8" t="inlineStr">
        <is>
          <t>2026-08-05</t>
        </is>
      </c>
      <c r="B27772" s="8" t="n">
        <v>23</v>
      </c>
      <c r="C27772" s="8" t="n">
        <v>45</v>
      </c>
      <c r="D27772" s="8" t="inlineStr">
        <is>
          <t>Disney Adventure World</t>
        </is>
      </c>
      <c r="E27772" s="8" t="inlineStr">
        <is>
          <t>Slinky® Dog Zigzag Spin</t>
        </is>
      </c>
      <c r="F27772" s="8" t="inlineStr">
        <is>
          <t>STANDBY</t>
        </is>
      </c>
      <c r="G27772" s="8" t="n">
        <v>0</v>
      </c>
      <c r="H27772" s="8" t="inlineStr">
        <is>
          <t>CLOSED</t>
        </is>
      </c>
    </row>
    <row r="27773">
      <c r="A27773" s="8" t="inlineStr">
        <is>
          <t>2026-08-05</t>
        </is>
      </c>
      <c r="B27773" s="8" t="n">
        <v>23</v>
      </c>
      <c r="C27773" s="8" t="n">
        <v>45</v>
      </c>
      <c r="D27773" s="8" t="inlineStr">
        <is>
          <t>Disney Adventure World</t>
        </is>
      </c>
      <c r="E27773" s="8" t="inlineStr">
        <is>
          <t>Toy Soldiers Parachute Drop</t>
        </is>
      </c>
      <c r="F27773" s="8" t="inlineStr">
        <is>
          <t>STANDBY</t>
        </is>
      </c>
      <c r="G27773" s="8" t="n">
        <v>0</v>
      </c>
      <c r="H27773" s="8" t="inlineStr">
        <is>
          <t>CLOSED</t>
        </is>
      </c>
    </row>
    <row r="27774">
      <c r="A27774" s="8" t="inlineStr">
        <is>
          <t>2026-08-05</t>
        </is>
      </c>
      <c r="B27774" s="8" t="n">
        <v>23</v>
      </c>
      <c r="C27774" s="8" t="n">
        <v>45</v>
      </c>
      <c r="D27774" s="8" t="inlineStr">
        <is>
          <t>Disney Adventure World</t>
        </is>
      </c>
      <c r="E27774" s="8" t="inlineStr">
        <is>
          <t>Toy Soldiers Parachute Drop Single Rider</t>
        </is>
      </c>
      <c r="F27774" s="8" t="inlineStr">
        <is>
          <t>STANDBY</t>
        </is>
      </c>
      <c r="G27774" s="8" t="n">
        <v>0</v>
      </c>
      <c r="H27774" s="8" t="inlineStr">
        <is>
          <t>CLOSED</t>
        </is>
      </c>
    </row>
    <row r="27775">
      <c r="A27775" s="8" t="inlineStr">
        <is>
          <t>2026-08-05</t>
        </is>
      </c>
      <c r="B27775" s="8" t="n">
        <v>23</v>
      </c>
      <c r="C27775" s="8" t="n">
        <v>45</v>
      </c>
      <c r="D27775" s="8" t="inlineStr">
        <is>
          <t>Disney Adventure World</t>
        </is>
      </c>
      <c r="E27775" s="8" t="inlineStr">
        <is>
          <t>Entry to World of Frozen</t>
        </is>
      </c>
      <c r="F27775" s="8" t="inlineStr">
        <is>
          <t>STANDBY</t>
        </is>
      </c>
      <c r="G27775" s="8" t="n">
        <v>0</v>
      </c>
      <c r="H27775" s="8" t="inlineStr">
        <is>
          <t>CLOSED</t>
        </is>
      </c>
    </row>
    <row r="27776">
      <c r="A27776" s="8" t="inlineStr">
        <is>
          <t>2026-08-05</t>
        </is>
      </c>
      <c r="B27776" s="8" t="n">
        <v>23</v>
      </c>
      <c r="C27776" s="8" t="n">
        <v>45</v>
      </c>
      <c r="D27776" s="8" t="inlineStr">
        <is>
          <t>Disney Adventure World</t>
        </is>
      </c>
      <c r="E27776" s="8" t="inlineStr">
        <is>
          <t>Frozen Ever After</t>
        </is>
      </c>
      <c r="F27776" s="8" t="inlineStr">
        <is>
          <t>STANDBY</t>
        </is>
      </c>
      <c r="G27776" s="8" t="n">
        <v>0</v>
      </c>
      <c r="H27776" s="8" t="inlineStr">
        <is>
          <t>CLOSED</t>
        </is>
      </c>
    </row>
    <row r="27777">
      <c r="A27777" s="8" t="inlineStr">
        <is>
          <t>2026-08-05</t>
        </is>
      </c>
      <c r="B27777" s="8" t="n">
        <v>23</v>
      </c>
      <c r="C27777" s="8" t="n">
        <v>45</v>
      </c>
      <c r="D27777" s="8" t="inlineStr">
        <is>
          <t>Disney Adventure World</t>
        </is>
      </c>
      <c r="E27777" s="8" t="inlineStr">
        <is>
          <t>Raiponce Tangled Spin</t>
        </is>
      </c>
      <c r="F27777" s="8" t="inlineStr">
        <is>
          <t>STANDBY</t>
        </is>
      </c>
      <c r="G27777" s="8" t="n">
        <v>0</v>
      </c>
      <c r="H27777" s="8" t="inlineStr">
        <is>
          <t>CLOSED</t>
        </is>
      </c>
    </row>
  </sheetData>
  <autoFilter ref="A1:H2777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IFERROR(ROUND(AVERAGEIFS(Datos!$G$2:$G$27777,Datos!$E$2:$E$27777,$A5,Datos!$B$2:$B$27777,8,Datos!$C$2:$C$27777,"&lt;30",Datos!$F$2:$F$27777,"STANDBY"),0),"")</f>
        <v/>
      </c>
      <c r="C5" s="7">
        <f>IFERROR(ROUND(AVERAGEIFS(Datos!$G$2:$G$27777,Datos!$E$2:$E$27777,$A5,Datos!$B$2:$B$27777,8,Datos!$C$2:$C$27777,"&gt;=30",Datos!$F$2:$F$27777,"STANDBY"),0),"")</f>
        <v/>
      </c>
      <c r="D5" s="7">
        <f>IFERROR(ROUND(AVERAGEIFS(Datos!$G$2:$G$27777,Datos!$E$2:$E$27777,$A5,Datos!$B$2:$B$27777,9,Datos!$C$2:$C$27777,"&lt;30",Datos!$F$2:$F$27777,"STANDBY"),0),"")</f>
        <v/>
      </c>
      <c r="E5" s="7">
        <f>IFERROR(ROUND(AVERAGEIFS(Datos!$G$2:$G$27777,Datos!$E$2:$E$27777,$A5,Datos!$B$2:$B$27777,9,Datos!$C$2:$C$27777,"&gt;=30",Datos!$F$2:$F$27777,"STANDBY"),0),"")</f>
        <v/>
      </c>
      <c r="F5" s="7">
        <f>IFERROR(ROUND(AVERAGEIFS(Datos!$G$2:$G$27777,Datos!$E$2:$E$27777,$A5,Datos!$B$2:$B$27777,10,Datos!$C$2:$C$27777,"&lt;30",Datos!$F$2:$F$27777,"STANDBY"),0),"")</f>
        <v/>
      </c>
      <c r="G5" s="7">
        <f>IFERROR(ROUND(AVERAGEIFS(Datos!$G$2:$G$27777,Datos!$E$2:$E$27777,$A5,Datos!$B$2:$B$27777,10,Datos!$C$2:$C$27777,"&gt;=30",Datos!$F$2:$F$27777,"STANDBY"),0),"")</f>
        <v/>
      </c>
      <c r="H5" s="7">
        <f>IFERROR(ROUND(AVERAGEIFS(Datos!$G$2:$G$27777,Datos!$E$2:$E$27777,$A5,Datos!$B$2:$B$27777,11,Datos!$C$2:$C$27777,"&lt;30",Datos!$F$2:$F$27777,"STANDBY"),0),"")</f>
        <v/>
      </c>
      <c r="I5" s="7">
        <f>IFERROR(ROUND(AVERAGEIFS(Datos!$G$2:$G$27777,Datos!$E$2:$E$27777,$A5,Datos!$B$2:$B$27777,11,Datos!$C$2:$C$27777,"&gt;=30",Datos!$F$2:$F$27777,"STANDBY"),0),"")</f>
        <v/>
      </c>
      <c r="J5" s="7">
        <f>IFERROR(ROUND(AVERAGEIFS(Datos!$G$2:$G$27777,Datos!$E$2:$E$27777,$A5,Datos!$B$2:$B$27777,12,Datos!$C$2:$C$27777,"&lt;30",Datos!$F$2:$F$27777,"STANDBY"),0),"")</f>
        <v/>
      </c>
      <c r="K5" s="7">
        <f>IFERROR(ROUND(AVERAGEIFS(Datos!$G$2:$G$27777,Datos!$E$2:$E$27777,$A5,Datos!$B$2:$B$27777,12,Datos!$C$2:$C$27777,"&gt;=30",Datos!$F$2:$F$27777,"STANDBY"),0),"")</f>
        <v/>
      </c>
      <c r="L5" s="7">
        <f>IFERROR(ROUND(AVERAGEIFS(Datos!$G$2:$G$27777,Datos!$E$2:$E$27777,$A5,Datos!$B$2:$B$27777,13,Datos!$C$2:$C$27777,"&lt;30",Datos!$F$2:$F$27777,"STANDBY"),0),"")</f>
        <v/>
      </c>
      <c r="M5" s="7">
        <f>IFERROR(ROUND(AVERAGEIFS(Datos!$G$2:$G$27777,Datos!$E$2:$E$27777,$A5,Datos!$B$2:$B$27777,13,Datos!$C$2:$C$27777,"&gt;=30",Datos!$F$2:$F$27777,"STANDBY"),0),"")</f>
        <v/>
      </c>
      <c r="N5" s="7">
        <f>IFERROR(ROUND(AVERAGEIFS(Datos!$G$2:$G$27777,Datos!$E$2:$E$27777,$A5,Datos!$B$2:$B$27777,14,Datos!$C$2:$C$27777,"&lt;30",Datos!$F$2:$F$27777,"STANDBY"),0),"")</f>
        <v/>
      </c>
      <c r="O5" s="7">
        <f>IFERROR(ROUND(AVERAGEIFS(Datos!$G$2:$G$27777,Datos!$E$2:$E$27777,$A5,Datos!$B$2:$B$27777,14,Datos!$C$2:$C$27777,"&gt;=30",Datos!$F$2:$F$27777,"STANDBY"),0),"")</f>
        <v/>
      </c>
      <c r="P5" s="7">
        <f>IFERROR(ROUND(AVERAGEIFS(Datos!$G$2:$G$27777,Datos!$E$2:$E$27777,$A5,Datos!$B$2:$B$27777,15,Datos!$C$2:$C$27777,"&lt;30",Datos!$F$2:$F$27777,"STANDBY"),0),"")</f>
        <v/>
      </c>
      <c r="Q5" s="7">
        <f>IFERROR(ROUND(AVERAGEIFS(Datos!$G$2:$G$27777,Datos!$E$2:$E$27777,$A5,Datos!$B$2:$B$27777,15,Datos!$C$2:$C$27777,"&gt;=30",Datos!$F$2:$F$27777,"STANDBY"),0),"")</f>
        <v/>
      </c>
      <c r="R5" s="7">
        <f>IFERROR(ROUND(AVERAGEIFS(Datos!$G$2:$G$27777,Datos!$E$2:$E$27777,$A5,Datos!$B$2:$B$27777,16,Datos!$C$2:$C$27777,"&lt;30",Datos!$F$2:$F$27777,"STANDBY"),0),"")</f>
        <v/>
      </c>
      <c r="S5" s="7">
        <f>IFERROR(ROUND(AVERAGEIFS(Datos!$G$2:$G$27777,Datos!$E$2:$E$27777,$A5,Datos!$B$2:$B$27777,16,Datos!$C$2:$C$27777,"&gt;=30",Datos!$F$2:$F$27777,"STANDBY"),0),"")</f>
        <v/>
      </c>
      <c r="T5" s="7">
        <f>IFERROR(ROUND(AVERAGEIFS(Datos!$G$2:$G$27777,Datos!$E$2:$E$27777,$A5,Datos!$B$2:$B$27777,17,Datos!$C$2:$C$27777,"&lt;30",Datos!$F$2:$F$27777,"STANDBY"),0),"")</f>
        <v/>
      </c>
      <c r="U5" s="7">
        <f>IFERROR(ROUND(AVERAGEIFS(Datos!$G$2:$G$27777,Datos!$E$2:$E$27777,$A5,Datos!$B$2:$B$27777,17,Datos!$C$2:$C$27777,"&gt;=30",Datos!$F$2:$F$27777,"STANDBY"),0),"")</f>
        <v/>
      </c>
      <c r="V5" s="7">
        <f>IFERROR(ROUND(AVERAGEIFS(Datos!$G$2:$G$27777,Datos!$E$2:$E$27777,$A5,Datos!$B$2:$B$27777,18,Datos!$C$2:$C$27777,"&lt;30",Datos!$F$2:$F$27777,"STANDBY"),0),"")</f>
        <v/>
      </c>
      <c r="W5" s="7">
        <f>IFERROR(ROUND(AVERAGEIFS(Datos!$G$2:$G$27777,Datos!$E$2:$E$27777,$A5,Datos!$B$2:$B$27777,18,Datos!$C$2:$C$27777,"&gt;=30",Datos!$F$2:$F$27777,"STANDBY"),0),"")</f>
        <v/>
      </c>
      <c r="X5" s="7">
        <f>IFERROR(ROUND(AVERAGEIFS(Datos!$G$2:$G$27777,Datos!$E$2:$E$27777,$A5,Datos!$B$2:$B$27777,19,Datos!$C$2:$C$27777,"&lt;30",Datos!$F$2:$F$27777,"STANDBY"),0),"")</f>
        <v/>
      </c>
      <c r="Y5" s="7">
        <f>IFERROR(ROUND(AVERAGEIFS(Datos!$G$2:$G$27777,Datos!$E$2:$E$27777,$A5,Datos!$B$2:$B$27777,19,Datos!$C$2:$C$27777,"&gt;=30",Datos!$F$2:$F$27777,"STANDBY"),0),"")</f>
        <v/>
      </c>
      <c r="Z5" s="7">
        <f>IFERROR(ROUND(AVERAGEIFS(Datos!$G$2:$G$27777,Datos!$E$2:$E$27777,$A5,Datos!$B$2:$B$27777,20,Datos!$C$2:$C$27777,"&lt;30",Datos!$F$2:$F$27777,"STANDBY"),0),"")</f>
        <v/>
      </c>
      <c r="AA5" s="7">
        <f>IFERROR(ROUND(AVERAGEIFS(Datos!$G$2:$G$27777,Datos!$E$2:$E$27777,$A5,Datos!$B$2:$B$27777,20,Datos!$C$2:$C$27777,"&gt;=30",Datos!$F$2:$F$27777,"STANDBY"),0),"")</f>
        <v/>
      </c>
      <c r="AB5" s="7">
        <f>IFERROR(ROUND(AVERAGEIFS(Datos!$G$2:$G$27777,Datos!$E$2:$E$27777,$A5,Datos!$B$2:$B$27777,21,Datos!$C$2:$C$27777,"&lt;30",Datos!$F$2:$F$27777,"STANDBY"),0),"")</f>
        <v/>
      </c>
      <c r="AC5" s="7">
        <f>IFERROR(ROUND(AVERAGEIFS(Datos!$G$2:$G$27777,Datos!$E$2:$E$27777,$A5,Datos!$B$2:$B$27777,21,Datos!$C$2:$C$27777,"&gt;=30",Datos!$F$2:$F$27777,"STANDBY"),0),"")</f>
        <v/>
      </c>
      <c r="AD5" s="7">
        <f>IFERROR(ROUND(AVERAGEIFS(Datos!$G$2:$G$27777,Datos!$E$2:$E$27777,$A5,Datos!$B$2:$B$27777,22,Datos!$C$2:$C$27777,"&lt;30",Datos!$F$2:$F$27777,"STANDBY"),0),"")</f>
        <v/>
      </c>
      <c r="AE5" s="7">
        <f>IFERROR(ROUND(AVERAGEIFS(Datos!$G$2:$G$27777,Datos!$E$2:$E$27777,$A5,Datos!$B$2:$B$27777,22,Datos!$C$2:$C$27777,"&gt;=30",Datos!$F$2:$F$27777,"STANDBY"),0),"")</f>
        <v/>
      </c>
      <c r="AF5" s="7">
        <f>IFERROR(ROUND(AVERAGEIFS(Datos!$G$2:$G$27777,Datos!$E$2:$E$27777,$A5,Datos!$B$2:$B$27777,23,Datos!$C$2:$C$27777,"&lt;30",Datos!$F$2:$F$27777,"STANDBY"),0),"")</f>
        <v/>
      </c>
      <c r="AG5" s="7">
        <f>IFERROR(ROUND(AVERAGEIFS(Datos!$G$2:$G$27777,Datos!$E$2:$E$27777,$A5,Datos!$B$2:$B$27777,23,Datos!$C$2:$C$27777,"&gt;=30",Datos!$F$2:$F$27777,"STANDBY"),0),"")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IFERROR(ROUND(AVERAGEIFS(Datos!$G$2:$G$27777,Datos!$E$2:$E$27777,$A6,Datos!$B$2:$B$27777,8,Datos!$C$2:$C$27777,"&lt;30",Datos!$F$2:$F$27777,"STANDBY"),0),"")</f>
        <v/>
      </c>
      <c r="C6" s="7">
        <f>IFERROR(ROUND(AVERAGEIFS(Datos!$G$2:$G$27777,Datos!$E$2:$E$27777,$A6,Datos!$B$2:$B$27777,8,Datos!$C$2:$C$27777,"&gt;=30",Datos!$F$2:$F$27777,"STANDBY"),0),"")</f>
        <v/>
      </c>
      <c r="D6" s="7">
        <f>IFERROR(ROUND(AVERAGEIFS(Datos!$G$2:$G$27777,Datos!$E$2:$E$27777,$A6,Datos!$B$2:$B$27777,9,Datos!$C$2:$C$27777,"&lt;30",Datos!$F$2:$F$27777,"STANDBY"),0),"")</f>
        <v/>
      </c>
      <c r="E6" s="7">
        <f>IFERROR(ROUND(AVERAGEIFS(Datos!$G$2:$G$27777,Datos!$E$2:$E$27777,$A6,Datos!$B$2:$B$27777,9,Datos!$C$2:$C$27777,"&gt;=30",Datos!$F$2:$F$27777,"STANDBY"),0),"")</f>
        <v/>
      </c>
      <c r="F6" s="7">
        <f>IFERROR(ROUND(AVERAGEIFS(Datos!$G$2:$G$27777,Datos!$E$2:$E$27777,$A6,Datos!$B$2:$B$27777,10,Datos!$C$2:$C$27777,"&lt;30",Datos!$F$2:$F$27777,"STANDBY"),0),"")</f>
        <v/>
      </c>
      <c r="G6" s="7">
        <f>IFERROR(ROUND(AVERAGEIFS(Datos!$G$2:$G$27777,Datos!$E$2:$E$27777,$A6,Datos!$B$2:$B$27777,10,Datos!$C$2:$C$27777,"&gt;=30",Datos!$F$2:$F$27777,"STANDBY"),0),"")</f>
        <v/>
      </c>
      <c r="H6" s="7">
        <f>IFERROR(ROUND(AVERAGEIFS(Datos!$G$2:$G$27777,Datos!$E$2:$E$27777,$A6,Datos!$B$2:$B$27777,11,Datos!$C$2:$C$27777,"&lt;30",Datos!$F$2:$F$27777,"STANDBY"),0),"")</f>
        <v/>
      </c>
      <c r="I6" s="7">
        <f>IFERROR(ROUND(AVERAGEIFS(Datos!$G$2:$G$27777,Datos!$E$2:$E$27777,$A6,Datos!$B$2:$B$27777,11,Datos!$C$2:$C$27777,"&gt;=30",Datos!$F$2:$F$27777,"STANDBY"),0),"")</f>
        <v/>
      </c>
      <c r="J6" s="7">
        <f>IFERROR(ROUND(AVERAGEIFS(Datos!$G$2:$G$27777,Datos!$E$2:$E$27777,$A6,Datos!$B$2:$B$27777,12,Datos!$C$2:$C$27777,"&lt;30",Datos!$F$2:$F$27777,"STANDBY"),0),"")</f>
        <v/>
      </c>
      <c r="K6" s="7">
        <f>IFERROR(ROUND(AVERAGEIFS(Datos!$G$2:$G$27777,Datos!$E$2:$E$27777,$A6,Datos!$B$2:$B$27777,12,Datos!$C$2:$C$27777,"&gt;=30",Datos!$F$2:$F$27777,"STANDBY"),0),"")</f>
        <v/>
      </c>
      <c r="L6" s="7">
        <f>IFERROR(ROUND(AVERAGEIFS(Datos!$G$2:$G$27777,Datos!$E$2:$E$27777,$A6,Datos!$B$2:$B$27777,13,Datos!$C$2:$C$27777,"&lt;30",Datos!$F$2:$F$27777,"STANDBY"),0),"")</f>
        <v/>
      </c>
      <c r="M6" s="7">
        <f>IFERROR(ROUND(AVERAGEIFS(Datos!$G$2:$G$27777,Datos!$E$2:$E$27777,$A6,Datos!$B$2:$B$27777,13,Datos!$C$2:$C$27777,"&gt;=30",Datos!$F$2:$F$27777,"STANDBY"),0),"")</f>
        <v/>
      </c>
      <c r="N6" s="7">
        <f>IFERROR(ROUND(AVERAGEIFS(Datos!$G$2:$G$27777,Datos!$E$2:$E$27777,$A6,Datos!$B$2:$B$27777,14,Datos!$C$2:$C$27777,"&lt;30",Datos!$F$2:$F$27777,"STANDBY"),0),"")</f>
        <v/>
      </c>
      <c r="O6" s="7">
        <f>IFERROR(ROUND(AVERAGEIFS(Datos!$G$2:$G$27777,Datos!$E$2:$E$27777,$A6,Datos!$B$2:$B$27777,14,Datos!$C$2:$C$27777,"&gt;=30",Datos!$F$2:$F$27777,"STANDBY"),0),"")</f>
        <v/>
      </c>
      <c r="P6" s="7">
        <f>IFERROR(ROUND(AVERAGEIFS(Datos!$G$2:$G$27777,Datos!$E$2:$E$27777,$A6,Datos!$B$2:$B$27777,15,Datos!$C$2:$C$27777,"&lt;30",Datos!$F$2:$F$27777,"STANDBY"),0),"")</f>
        <v/>
      </c>
      <c r="Q6" s="7">
        <f>IFERROR(ROUND(AVERAGEIFS(Datos!$G$2:$G$27777,Datos!$E$2:$E$27777,$A6,Datos!$B$2:$B$27777,15,Datos!$C$2:$C$27777,"&gt;=30",Datos!$F$2:$F$27777,"STANDBY"),0),"")</f>
        <v/>
      </c>
      <c r="R6" s="7">
        <f>IFERROR(ROUND(AVERAGEIFS(Datos!$G$2:$G$27777,Datos!$E$2:$E$27777,$A6,Datos!$B$2:$B$27777,16,Datos!$C$2:$C$27777,"&lt;30",Datos!$F$2:$F$27777,"STANDBY"),0),"")</f>
        <v/>
      </c>
      <c r="S6" s="7">
        <f>IFERROR(ROUND(AVERAGEIFS(Datos!$G$2:$G$27777,Datos!$E$2:$E$27777,$A6,Datos!$B$2:$B$27777,16,Datos!$C$2:$C$27777,"&gt;=30",Datos!$F$2:$F$27777,"STANDBY"),0),"")</f>
        <v/>
      </c>
      <c r="T6" s="7">
        <f>IFERROR(ROUND(AVERAGEIFS(Datos!$G$2:$G$27777,Datos!$E$2:$E$27777,$A6,Datos!$B$2:$B$27777,17,Datos!$C$2:$C$27777,"&lt;30",Datos!$F$2:$F$27777,"STANDBY"),0),"")</f>
        <v/>
      </c>
      <c r="U6" s="7">
        <f>IFERROR(ROUND(AVERAGEIFS(Datos!$G$2:$G$27777,Datos!$E$2:$E$27777,$A6,Datos!$B$2:$B$27777,17,Datos!$C$2:$C$27777,"&gt;=30",Datos!$F$2:$F$27777,"STANDBY"),0),"")</f>
        <v/>
      </c>
      <c r="V6" s="7">
        <f>IFERROR(ROUND(AVERAGEIFS(Datos!$G$2:$G$27777,Datos!$E$2:$E$27777,$A6,Datos!$B$2:$B$27777,18,Datos!$C$2:$C$27777,"&lt;30",Datos!$F$2:$F$27777,"STANDBY"),0),"")</f>
        <v/>
      </c>
      <c r="W6" s="7">
        <f>IFERROR(ROUND(AVERAGEIFS(Datos!$G$2:$G$27777,Datos!$E$2:$E$27777,$A6,Datos!$B$2:$B$27777,18,Datos!$C$2:$C$27777,"&gt;=30",Datos!$F$2:$F$27777,"STANDBY"),0),"")</f>
        <v/>
      </c>
      <c r="X6" s="7">
        <f>IFERROR(ROUND(AVERAGEIFS(Datos!$G$2:$G$27777,Datos!$E$2:$E$27777,$A6,Datos!$B$2:$B$27777,19,Datos!$C$2:$C$27777,"&lt;30",Datos!$F$2:$F$27777,"STANDBY"),0),"")</f>
        <v/>
      </c>
      <c r="Y6" s="7">
        <f>IFERROR(ROUND(AVERAGEIFS(Datos!$G$2:$G$27777,Datos!$E$2:$E$27777,$A6,Datos!$B$2:$B$27777,19,Datos!$C$2:$C$27777,"&gt;=30",Datos!$F$2:$F$27777,"STANDBY"),0),"")</f>
        <v/>
      </c>
      <c r="Z6" s="7">
        <f>IFERROR(ROUND(AVERAGEIFS(Datos!$G$2:$G$27777,Datos!$E$2:$E$27777,$A6,Datos!$B$2:$B$27777,20,Datos!$C$2:$C$27777,"&lt;30",Datos!$F$2:$F$27777,"STANDBY"),0),"")</f>
        <v/>
      </c>
      <c r="AA6" s="7">
        <f>IFERROR(ROUND(AVERAGEIFS(Datos!$G$2:$G$27777,Datos!$E$2:$E$27777,$A6,Datos!$B$2:$B$27777,20,Datos!$C$2:$C$27777,"&gt;=30",Datos!$F$2:$F$27777,"STANDBY"),0),"")</f>
        <v/>
      </c>
      <c r="AB6" s="7">
        <f>IFERROR(ROUND(AVERAGEIFS(Datos!$G$2:$G$27777,Datos!$E$2:$E$27777,$A6,Datos!$B$2:$B$27777,21,Datos!$C$2:$C$27777,"&lt;30",Datos!$F$2:$F$27777,"STANDBY"),0),"")</f>
        <v/>
      </c>
      <c r="AC6" s="7">
        <f>IFERROR(ROUND(AVERAGEIFS(Datos!$G$2:$G$27777,Datos!$E$2:$E$27777,$A6,Datos!$B$2:$B$27777,21,Datos!$C$2:$C$27777,"&gt;=30",Datos!$F$2:$F$27777,"STANDBY"),0),"")</f>
        <v/>
      </c>
      <c r="AD6" s="7">
        <f>IFERROR(ROUND(AVERAGEIFS(Datos!$G$2:$G$27777,Datos!$E$2:$E$27777,$A6,Datos!$B$2:$B$27777,22,Datos!$C$2:$C$27777,"&lt;30",Datos!$F$2:$F$27777,"STANDBY"),0),"")</f>
        <v/>
      </c>
      <c r="AE6" s="7">
        <f>IFERROR(ROUND(AVERAGEIFS(Datos!$G$2:$G$27777,Datos!$E$2:$E$27777,$A6,Datos!$B$2:$B$27777,22,Datos!$C$2:$C$27777,"&gt;=30",Datos!$F$2:$F$27777,"STANDBY"),0),"")</f>
        <v/>
      </c>
      <c r="AF6" s="7">
        <f>IFERROR(ROUND(AVERAGEIFS(Datos!$G$2:$G$27777,Datos!$E$2:$E$27777,$A6,Datos!$B$2:$B$27777,23,Datos!$C$2:$C$27777,"&lt;30",Datos!$F$2:$F$27777,"STANDBY"),0),"")</f>
        <v/>
      </c>
      <c r="AG6" s="7">
        <f>IFERROR(ROUND(AVERAGEIFS(Datos!$G$2:$G$27777,Datos!$E$2:$E$27777,$A6,Datos!$B$2:$B$27777,23,Datos!$C$2:$C$27777,"&gt;=30",Datos!$F$2:$F$27777,"STANDBY"),0),"")</f>
        <v/>
      </c>
    </row>
    <row r="7">
      <c r="A7" s="6" t="inlineStr">
        <is>
          <t>Cars Quatre Roues Rallye</t>
        </is>
      </c>
      <c r="B7" s="7">
        <f>IFERROR(ROUND(AVERAGEIFS(Datos!$G$2:$G$27777,Datos!$E$2:$E$27777,$A7,Datos!$B$2:$B$27777,8,Datos!$C$2:$C$27777,"&lt;30",Datos!$F$2:$F$27777,"STANDBY"),0),"")</f>
        <v/>
      </c>
      <c r="C7" s="7">
        <f>IFERROR(ROUND(AVERAGEIFS(Datos!$G$2:$G$27777,Datos!$E$2:$E$27777,$A7,Datos!$B$2:$B$27777,8,Datos!$C$2:$C$27777,"&gt;=30",Datos!$F$2:$F$27777,"STANDBY"),0),"")</f>
        <v/>
      </c>
      <c r="D7" s="7">
        <f>IFERROR(ROUND(AVERAGEIFS(Datos!$G$2:$G$27777,Datos!$E$2:$E$27777,$A7,Datos!$B$2:$B$27777,9,Datos!$C$2:$C$27777,"&lt;30",Datos!$F$2:$F$27777,"STANDBY"),0),"")</f>
        <v/>
      </c>
      <c r="E7" s="7">
        <f>IFERROR(ROUND(AVERAGEIFS(Datos!$G$2:$G$27777,Datos!$E$2:$E$27777,$A7,Datos!$B$2:$B$27777,9,Datos!$C$2:$C$27777,"&gt;=30",Datos!$F$2:$F$27777,"STANDBY"),0),"")</f>
        <v/>
      </c>
      <c r="F7" s="7">
        <f>IFERROR(ROUND(AVERAGEIFS(Datos!$G$2:$G$27777,Datos!$E$2:$E$27777,$A7,Datos!$B$2:$B$27777,10,Datos!$C$2:$C$27777,"&lt;30",Datos!$F$2:$F$27777,"STANDBY"),0),"")</f>
        <v/>
      </c>
      <c r="G7" s="7">
        <f>IFERROR(ROUND(AVERAGEIFS(Datos!$G$2:$G$27777,Datos!$E$2:$E$27777,$A7,Datos!$B$2:$B$27777,10,Datos!$C$2:$C$27777,"&gt;=30",Datos!$F$2:$F$27777,"STANDBY"),0),"")</f>
        <v/>
      </c>
      <c r="H7" s="7">
        <f>IFERROR(ROUND(AVERAGEIFS(Datos!$G$2:$G$27777,Datos!$E$2:$E$27777,$A7,Datos!$B$2:$B$27777,11,Datos!$C$2:$C$27777,"&lt;30",Datos!$F$2:$F$27777,"STANDBY"),0),"")</f>
        <v/>
      </c>
      <c r="I7" s="7">
        <f>IFERROR(ROUND(AVERAGEIFS(Datos!$G$2:$G$27777,Datos!$E$2:$E$27777,$A7,Datos!$B$2:$B$27777,11,Datos!$C$2:$C$27777,"&gt;=30",Datos!$F$2:$F$27777,"STANDBY"),0),"")</f>
        <v/>
      </c>
      <c r="J7" s="7">
        <f>IFERROR(ROUND(AVERAGEIFS(Datos!$G$2:$G$27777,Datos!$E$2:$E$27777,$A7,Datos!$B$2:$B$27777,12,Datos!$C$2:$C$27777,"&lt;30",Datos!$F$2:$F$27777,"STANDBY"),0),"")</f>
        <v/>
      </c>
      <c r="K7" s="7">
        <f>IFERROR(ROUND(AVERAGEIFS(Datos!$G$2:$G$27777,Datos!$E$2:$E$27777,$A7,Datos!$B$2:$B$27777,12,Datos!$C$2:$C$27777,"&gt;=30",Datos!$F$2:$F$27777,"STANDBY"),0),"")</f>
        <v/>
      </c>
      <c r="L7" s="7">
        <f>IFERROR(ROUND(AVERAGEIFS(Datos!$G$2:$G$27777,Datos!$E$2:$E$27777,$A7,Datos!$B$2:$B$27777,13,Datos!$C$2:$C$27777,"&lt;30",Datos!$F$2:$F$27777,"STANDBY"),0),"")</f>
        <v/>
      </c>
      <c r="M7" s="7">
        <f>IFERROR(ROUND(AVERAGEIFS(Datos!$G$2:$G$27777,Datos!$E$2:$E$27777,$A7,Datos!$B$2:$B$27777,13,Datos!$C$2:$C$27777,"&gt;=30",Datos!$F$2:$F$27777,"STANDBY"),0),"")</f>
        <v/>
      </c>
      <c r="N7" s="7">
        <f>IFERROR(ROUND(AVERAGEIFS(Datos!$G$2:$G$27777,Datos!$E$2:$E$27777,$A7,Datos!$B$2:$B$27777,14,Datos!$C$2:$C$27777,"&lt;30",Datos!$F$2:$F$27777,"STANDBY"),0),"")</f>
        <v/>
      </c>
      <c r="O7" s="7">
        <f>IFERROR(ROUND(AVERAGEIFS(Datos!$G$2:$G$27777,Datos!$E$2:$E$27777,$A7,Datos!$B$2:$B$27777,14,Datos!$C$2:$C$27777,"&gt;=30",Datos!$F$2:$F$27777,"STANDBY"),0),"")</f>
        <v/>
      </c>
      <c r="P7" s="7">
        <f>IFERROR(ROUND(AVERAGEIFS(Datos!$G$2:$G$27777,Datos!$E$2:$E$27777,$A7,Datos!$B$2:$B$27777,15,Datos!$C$2:$C$27777,"&lt;30",Datos!$F$2:$F$27777,"STANDBY"),0),"")</f>
        <v/>
      </c>
      <c r="Q7" s="7">
        <f>IFERROR(ROUND(AVERAGEIFS(Datos!$G$2:$G$27777,Datos!$E$2:$E$27777,$A7,Datos!$B$2:$B$27777,15,Datos!$C$2:$C$27777,"&gt;=30",Datos!$F$2:$F$27777,"STANDBY"),0),"")</f>
        <v/>
      </c>
      <c r="R7" s="7">
        <f>IFERROR(ROUND(AVERAGEIFS(Datos!$G$2:$G$27777,Datos!$E$2:$E$27777,$A7,Datos!$B$2:$B$27777,16,Datos!$C$2:$C$27777,"&lt;30",Datos!$F$2:$F$27777,"STANDBY"),0),"")</f>
        <v/>
      </c>
      <c r="S7" s="7">
        <f>IFERROR(ROUND(AVERAGEIFS(Datos!$G$2:$G$27777,Datos!$E$2:$E$27777,$A7,Datos!$B$2:$B$27777,16,Datos!$C$2:$C$27777,"&gt;=30",Datos!$F$2:$F$27777,"STANDBY"),0),"")</f>
        <v/>
      </c>
      <c r="T7" s="7">
        <f>IFERROR(ROUND(AVERAGEIFS(Datos!$G$2:$G$27777,Datos!$E$2:$E$27777,$A7,Datos!$B$2:$B$27777,17,Datos!$C$2:$C$27777,"&lt;30",Datos!$F$2:$F$27777,"STANDBY"),0),"")</f>
        <v/>
      </c>
      <c r="U7" s="7">
        <f>IFERROR(ROUND(AVERAGEIFS(Datos!$G$2:$G$27777,Datos!$E$2:$E$27777,$A7,Datos!$B$2:$B$27777,17,Datos!$C$2:$C$27777,"&gt;=30",Datos!$F$2:$F$27777,"STANDBY"),0),"")</f>
        <v/>
      </c>
      <c r="V7" s="7">
        <f>IFERROR(ROUND(AVERAGEIFS(Datos!$G$2:$G$27777,Datos!$E$2:$E$27777,$A7,Datos!$B$2:$B$27777,18,Datos!$C$2:$C$27777,"&lt;30",Datos!$F$2:$F$27777,"STANDBY"),0),"")</f>
        <v/>
      </c>
      <c r="W7" s="7">
        <f>IFERROR(ROUND(AVERAGEIFS(Datos!$G$2:$G$27777,Datos!$E$2:$E$27777,$A7,Datos!$B$2:$B$27777,18,Datos!$C$2:$C$27777,"&gt;=30",Datos!$F$2:$F$27777,"STANDBY"),0),"")</f>
        <v/>
      </c>
      <c r="X7" s="7">
        <f>IFERROR(ROUND(AVERAGEIFS(Datos!$G$2:$G$27777,Datos!$E$2:$E$27777,$A7,Datos!$B$2:$B$27777,19,Datos!$C$2:$C$27777,"&lt;30",Datos!$F$2:$F$27777,"STANDBY"),0),"")</f>
        <v/>
      </c>
      <c r="Y7" s="7">
        <f>IFERROR(ROUND(AVERAGEIFS(Datos!$G$2:$G$27777,Datos!$E$2:$E$27777,$A7,Datos!$B$2:$B$27777,19,Datos!$C$2:$C$27777,"&gt;=30",Datos!$F$2:$F$27777,"STANDBY"),0),"")</f>
        <v/>
      </c>
      <c r="Z7" s="7">
        <f>IFERROR(ROUND(AVERAGEIFS(Datos!$G$2:$G$27777,Datos!$E$2:$E$27777,$A7,Datos!$B$2:$B$27777,20,Datos!$C$2:$C$27777,"&lt;30",Datos!$F$2:$F$27777,"STANDBY"),0),"")</f>
        <v/>
      </c>
      <c r="AA7" s="7">
        <f>IFERROR(ROUND(AVERAGEIFS(Datos!$G$2:$G$27777,Datos!$E$2:$E$27777,$A7,Datos!$B$2:$B$27777,20,Datos!$C$2:$C$27777,"&gt;=30",Datos!$F$2:$F$27777,"STANDBY"),0),"")</f>
        <v/>
      </c>
      <c r="AB7" s="7">
        <f>IFERROR(ROUND(AVERAGEIFS(Datos!$G$2:$G$27777,Datos!$E$2:$E$27777,$A7,Datos!$B$2:$B$27777,21,Datos!$C$2:$C$27777,"&lt;30",Datos!$F$2:$F$27777,"STANDBY"),0),"")</f>
        <v/>
      </c>
      <c r="AC7" s="7">
        <f>IFERROR(ROUND(AVERAGEIFS(Datos!$G$2:$G$27777,Datos!$E$2:$E$27777,$A7,Datos!$B$2:$B$27777,21,Datos!$C$2:$C$27777,"&gt;=30",Datos!$F$2:$F$27777,"STANDBY"),0),"")</f>
        <v/>
      </c>
      <c r="AD7" s="7">
        <f>IFERROR(ROUND(AVERAGEIFS(Datos!$G$2:$G$27777,Datos!$E$2:$E$27777,$A7,Datos!$B$2:$B$27777,22,Datos!$C$2:$C$27777,"&lt;30",Datos!$F$2:$F$27777,"STANDBY"),0),"")</f>
        <v/>
      </c>
      <c r="AE7" s="7">
        <f>IFERROR(ROUND(AVERAGEIFS(Datos!$G$2:$G$27777,Datos!$E$2:$E$27777,$A7,Datos!$B$2:$B$27777,22,Datos!$C$2:$C$27777,"&gt;=30",Datos!$F$2:$F$27777,"STANDBY"),0),"")</f>
        <v/>
      </c>
      <c r="AF7" s="7">
        <f>IFERROR(ROUND(AVERAGEIFS(Datos!$G$2:$G$27777,Datos!$E$2:$E$27777,$A7,Datos!$B$2:$B$27777,23,Datos!$C$2:$C$27777,"&lt;30",Datos!$F$2:$F$27777,"STANDBY"),0),"")</f>
        <v/>
      </c>
      <c r="AG7" s="7">
        <f>IFERROR(ROUND(AVERAGEIFS(Datos!$G$2:$G$27777,Datos!$E$2:$E$27777,$A7,Datos!$B$2:$B$27777,23,Datos!$C$2:$C$27777,"&gt;=30",Datos!$F$2:$F$27777,"STANDBY"),0),"")</f>
        <v/>
      </c>
    </row>
    <row r="8">
      <c r="A8" s="6" t="inlineStr">
        <is>
          <t>Cars ROAD TRIP</t>
        </is>
      </c>
      <c r="B8" s="7">
        <f>IFERROR(ROUND(AVERAGEIFS(Datos!$G$2:$G$27777,Datos!$E$2:$E$27777,$A8,Datos!$B$2:$B$27777,8,Datos!$C$2:$C$27777,"&lt;30",Datos!$F$2:$F$27777,"STANDBY"),0),"")</f>
        <v/>
      </c>
      <c r="C8" s="7">
        <f>IFERROR(ROUND(AVERAGEIFS(Datos!$G$2:$G$27777,Datos!$E$2:$E$27777,$A8,Datos!$B$2:$B$27777,8,Datos!$C$2:$C$27777,"&gt;=30",Datos!$F$2:$F$27777,"STANDBY"),0),"")</f>
        <v/>
      </c>
      <c r="D8" s="7">
        <f>IFERROR(ROUND(AVERAGEIFS(Datos!$G$2:$G$27777,Datos!$E$2:$E$27777,$A8,Datos!$B$2:$B$27777,9,Datos!$C$2:$C$27777,"&lt;30",Datos!$F$2:$F$27777,"STANDBY"),0),"")</f>
        <v/>
      </c>
      <c r="E8" s="7">
        <f>IFERROR(ROUND(AVERAGEIFS(Datos!$G$2:$G$27777,Datos!$E$2:$E$27777,$A8,Datos!$B$2:$B$27777,9,Datos!$C$2:$C$27777,"&gt;=30",Datos!$F$2:$F$27777,"STANDBY"),0),"")</f>
        <v/>
      </c>
      <c r="F8" s="7">
        <f>IFERROR(ROUND(AVERAGEIFS(Datos!$G$2:$G$27777,Datos!$E$2:$E$27777,$A8,Datos!$B$2:$B$27777,10,Datos!$C$2:$C$27777,"&lt;30",Datos!$F$2:$F$27777,"STANDBY"),0),"")</f>
        <v/>
      </c>
      <c r="G8" s="7">
        <f>IFERROR(ROUND(AVERAGEIFS(Datos!$G$2:$G$27777,Datos!$E$2:$E$27777,$A8,Datos!$B$2:$B$27777,10,Datos!$C$2:$C$27777,"&gt;=30",Datos!$F$2:$F$27777,"STANDBY"),0),"")</f>
        <v/>
      </c>
      <c r="H8" s="7">
        <f>IFERROR(ROUND(AVERAGEIFS(Datos!$G$2:$G$27777,Datos!$E$2:$E$27777,$A8,Datos!$B$2:$B$27777,11,Datos!$C$2:$C$27777,"&lt;30",Datos!$F$2:$F$27777,"STANDBY"),0),"")</f>
        <v/>
      </c>
      <c r="I8" s="7">
        <f>IFERROR(ROUND(AVERAGEIFS(Datos!$G$2:$G$27777,Datos!$E$2:$E$27777,$A8,Datos!$B$2:$B$27777,11,Datos!$C$2:$C$27777,"&gt;=30",Datos!$F$2:$F$27777,"STANDBY"),0),"")</f>
        <v/>
      </c>
      <c r="J8" s="7">
        <f>IFERROR(ROUND(AVERAGEIFS(Datos!$G$2:$G$27777,Datos!$E$2:$E$27777,$A8,Datos!$B$2:$B$27777,12,Datos!$C$2:$C$27777,"&lt;30",Datos!$F$2:$F$27777,"STANDBY"),0),"")</f>
        <v/>
      </c>
      <c r="K8" s="7">
        <f>IFERROR(ROUND(AVERAGEIFS(Datos!$G$2:$G$27777,Datos!$E$2:$E$27777,$A8,Datos!$B$2:$B$27777,12,Datos!$C$2:$C$27777,"&gt;=30",Datos!$F$2:$F$27777,"STANDBY"),0),"")</f>
        <v/>
      </c>
      <c r="L8" s="7">
        <f>IFERROR(ROUND(AVERAGEIFS(Datos!$G$2:$G$27777,Datos!$E$2:$E$27777,$A8,Datos!$B$2:$B$27777,13,Datos!$C$2:$C$27777,"&lt;30",Datos!$F$2:$F$27777,"STANDBY"),0),"")</f>
        <v/>
      </c>
      <c r="M8" s="7">
        <f>IFERROR(ROUND(AVERAGEIFS(Datos!$G$2:$G$27777,Datos!$E$2:$E$27777,$A8,Datos!$B$2:$B$27777,13,Datos!$C$2:$C$27777,"&gt;=30",Datos!$F$2:$F$27777,"STANDBY"),0),"")</f>
        <v/>
      </c>
      <c r="N8" s="7">
        <f>IFERROR(ROUND(AVERAGEIFS(Datos!$G$2:$G$27777,Datos!$E$2:$E$27777,$A8,Datos!$B$2:$B$27777,14,Datos!$C$2:$C$27777,"&lt;30",Datos!$F$2:$F$27777,"STANDBY"),0),"")</f>
        <v/>
      </c>
      <c r="O8" s="7">
        <f>IFERROR(ROUND(AVERAGEIFS(Datos!$G$2:$G$27777,Datos!$E$2:$E$27777,$A8,Datos!$B$2:$B$27777,14,Datos!$C$2:$C$27777,"&gt;=30",Datos!$F$2:$F$27777,"STANDBY"),0),"")</f>
        <v/>
      </c>
      <c r="P8" s="7">
        <f>IFERROR(ROUND(AVERAGEIFS(Datos!$G$2:$G$27777,Datos!$E$2:$E$27777,$A8,Datos!$B$2:$B$27777,15,Datos!$C$2:$C$27777,"&lt;30",Datos!$F$2:$F$27777,"STANDBY"),0),"")</f>
        <v/>
      </c>
      <c r="Q8" s="7">
        <f>IFERROR(ROUND(AVERAGEIFS(Datos!$G$2:$G$27777,Datos!$E$2:$E$27777,$A8,Datos!$B$2:$B$27777,15,Datos!$C$2:$C$27777,"&gt;=30",Datos!$F$2:$F$27777,"STANDBY"),0),"")</f>
        <v/>
      </c>
      <c r="R8" s="7">
        <f>IFERROR(ROUND(AVERAGEIFS(Datos!$G$2:$G$27777,Datos!$E$2:$E$27777,$A8,Datos!$B$2:$B$27777,16,Datos!$C$2:$C$27777,"&lt;30",Datos!$F$2:$F$27777,"STANDBY"),0),"")</f>
        <v/>
      </c>
      <c r="S8" s="7">
        <f>IFERROR(ROUND(AVERAGEIFS(Datos!$G$2:$G$27777,Datos!$E$2:$E$27777,$A8,Datos!$B$2:$B$27777,16,Datos!$C$2:$C$27777,"&gt;=30",Datos!$F$2:$F$27777,"STANDBY"),0),"")</f>
        <v/>
      </c>
      <c r="T8" s="7">
        <f>IFERROR(ROUND(AVERAGEIFS(Datos!$G$2:$G$27777,Datos!$E$2:$E$27777,$A8,Datos!$B$2:$B$27777,17,Datos!$C$2:$C$27777,"&lt;30",Datos!$F$2:$F$27777,"STANDBY"),0),"")</f>
        <v/>
      </c>
      <c r="U8" s="7">
        <f>IFERROR(ROUND(AVERAGEIFS(Datos!$G$2:$G$27777,Datos!$E$2:$E$27777,$A8,Datos!$B$2:$B$27777,17,Datos!$C$2:$C$27777,"&gt;=30",Datos!$F$2:$F$27777,"STANDBY"),0),"")</f>
        <v/>
      </c>
      <c r="V8" s="7">
        <f>IFERROR(ROUND(AVERAGEIFS(Datos!$G$2:$G$27777,Datos!$E$2:$E$27777,$A8,Datos!$B$2:$B$27777,18,Datos!$C$2:$C$27777,"&lt;30",Datos!$F$2:$F$27777,"STANDBY"),0),"")</f>
        <v/>
      </c>
      <c r="W8" s="7">
        <f>IFERROR(ROUND(AVERAGEIFS(Datos!$G$2:$G$27777,Datos!$E$2:$E$27777,$A8,Datos!$B$2:$B$27777,18,Datos!$C$2:$C$27777,"&gt;=30",Datos!$F$2:$F$27777,"STANDBY"),0),"")</f>
        <v/>
      </c>
      <c r="X8" s="7">
        <f>IFERROR(ROUND(AVERAGEIFS(Datos!$G$2:$G$27777,Datos!$E$2:$E$27777,$A8,Datos!$B$2:$B$27777,19,Datos!$C$2:$C$27777,"&lt;30",Datos!$F$2:$F$27777,"STANDBY"),0),"")</f>
        <v/>
      </c>
      <c r="Y8" s="7">
        <f>IFERROR(ROUND(AVERAGEIFS(Datos!$G$2:$G$27777,Datos!$E$2:$E$27777,$A8,Datos!$B$2:$B$27777,19,Datos!$C$2:$C$27777,"&gt;=30",Datos!$F$2:$F$27777,"STANDBY"),0),"")</f>
        <v/>
      </c>
      <c r="Z8" s="7">
        <f>IFERROR(ROUND(AVERAGEIFS(Datos!$G$2:$G$27777,Datos!$E$2:$E$27777,$A8,Datos!$B$2:$B$27777,20,Datos!$C$2:$C$27777,"&lt;30",Datos!$F$2:$F$27777,"STANDBY"),0),"")</f>
        <v/>
      </c>
      <c r="AA8" s="7">
        <f>IFERROR(ROUND(AVERAGEIFS(Datos!$G$2:$G$27777,Datos!$E$2:$E$27777,$A8,Datos!$B$2:$B$27777,20,Datos!$C$2:$C$27777,"&gt;=30",Datos!$F$2:$F$27777,"STANDBY"),0),"")</f>
        <v/>
      </c>
      <c r="AB8" s="7">
        <f>IFERROR(ROUND(AVERAGEIFS(Datos!$G$2:$G$27777,Datos!$E$2:$E$27777,$A8,Datos!$B$2:$B$27777,21,Datos!$C$2:$C$27777,"&lt;30",Datos!$F$2:$F$27777,"STANDBY"),0),"")</f>
        <v/>
      </c>
      <c r="AC8" s="7">
        <f>IFERROR(ROUND(AVERAGEIFS(Datos!$G$2:$G$27777,Datos!$E$2:$E$27777,$A8,Datos!$B$2:$B$27777,21,Datos!$C$2:$C$27777,"&gt;=30",Datos!$F$2:$F$27777,"STANDBY"),0),"")</f>
        <v/>
      </c>
      <c r="AD8" s="7">
        <f>IFERROR(ROUND(AVERAGEIFS(Datos!$G$2:$G$27777,Datos!$E$2:$E$27777,$A8,Datos!$B$2:$B$27777,22,Datos!$C$2:$C$27777,"&lt;30",Datos!$F$2:$F$27777,"STANDBY"),0),"")</f>
        <v/>
      </c>
      <c r="AE8" s="7">
        <f>IFERROR(ROUND(AVERAGEIFS(Datos!$G$2:$G$27777,Datos!$E$2:$E$27777,$A8,Datos!$B$2:$B$27777,22,Datos!$C$2:$C$27777,"&gt;=30",Datos!$F$2:$F$27777,"STANDBY"),0),"")</f>
        <v/>
      </c>
      <c r="AF8" s="7">
        <f>IFERROR(ROUND(AVERAGEIFS(Datos!$G$2:$G$27777,Datos!$E$2:$E$27777,$A8,Datos!$B$2:$B$27777,23,Datos!$C$2:$C$27777,"&lt;30",Datos!$F$2:$F$27777,"STANDBY"),0),"")</f>
        <v/>
      </c>
      <c r="AG8" s="7">
        <f>IFERROR(ROUND(AVERAGEIFS(Datos!$G$2:$G$27777,Datos!$E$2:$E$27777,$A8,Datos!$B$2:$B$27777,23,Datos!$C$2:$C$27777,"&gt;=30",Datos!$F$2:$F$27777,"STANDBY"),0),"")</f>
        <v/>
      </c>
    </row>
    <row r="9">
      <c r="A9" s="6" t="inlineStr">
        <is>
          <t>Crush's Coaster</t>
        </is>
      </c>
      <c r="B9" s="7">
        <f>IFERROR(ROUND(AVERAGEIFS(Datos!$G$2:$G$27777,Datos!$E$2:$E$27777,$A9,Datos!$B$2:$B$27777,8,Datos!$C$2:$C$27777,"&lt;30",Datos!$F$2:$F$27777,"STANDBY"),0),"")</f>
        <v/>
      </c>
      <c r="C9" s="7">
        <f>IFERROR(ROUND(AVERAGEIFS(Datos!$G$2:$G$27777,Datos!$E$2:$E$27777,$A9,Datos!$B$2:$B$27777,8,Datos!$C$2:$C$27777,"&gt;=30",Datos!$F$2:$F$27777,"STANDBY"),0),"")</f>
        <v/>
      </c>
      <c r="D9" s="7">
        <f>IFERROR(ROUND(AVERAGEIFS(Datos!$G$2:$G$27777,Datos!$E$2:$E$27777,$A9,Datos!$B$2:$B$27777,9,Datos!$C$2:$C$27777,"&lt;30",Datos!$F$2:$F$27777,"STANDBY"),0),"")</f>
        <v/>
      </c>
      <c r="E9" s="7">
        <f>IFERROR(ROUND(AVERAGEIFS(Datos!$G$2:$G$27777,Datos!$E$2:$E$27777,$A9,Datos!$B$2:$B$27777,9,Datos!$C$2:$C$27777,"&gt;=30",Datos!$F$2:$F$27777,"STANDBY"),0),"")</f>
        <v/>
      </c>
      <c r="F9" s="7">
        <f>IFERROR(ROUND(AVERAGEIFS(Datos!$G$2:$G$27777,Datos!$E$2:$E$27777,$A9,Datos!$B$2:$B$27777,10,Datos!$C$2:$C$27777,"&lt;30",Datos!$F$2:$F$27777,"STANDBY"),0),"")</f>
        <v/>
      </c>
      <c r="G9" s="7">
        <f>IFERROR(ROUND(AVERAGEIFS(Datos!$G$2:$G$27777,Datos!$E$2:$E$27777,$A9,Datos!$B$2:$B$27777,10,Datos!$C$2:$C$27777,"&gt;=30",Datos!$F$2:$F$27777,"STANDBY"),0),"")</f>
        <v/>
      </c>
      <c r="H9" s="7">
        <f>IFERROR(ROUND(AVERAGEIFS(Datos!$G$2:$G$27777,Datos!$E$2:$E$27777,$A9,Datos!$B$2:$B$27777,11,Datos!$C$2:$C$27777,"&lt;30",Datos!$F$2:$F$27777,"STANDBY"),0),"")</f>
        <v/>
      </c>
      <c r="I9" s="7">
        <f>IFERROR(ROUND(AVERAGEIFS(Datos!$G$2:$G$27777,Datos!$E$2:$E$27777,$A9,Datos!$B$2:$B$27777,11,Datos!$C$2:$C$27777,"&gt;=30",Datos!$F$2:$F$27777,"STANDBY"),0),"")</f>
        <v/>
      </c>
      <c r="J9" s="7">
        <f>IFERROR(ROUND(AVERAGEIFS(Datos!$G$2:$G$27777,Datos!$E$2:$E$27777,$A9,Datos!$B$2:$B$27777,12,Datos!$C$2:$C$27777,"&lt;30",Datos!$F$2:$F$27777,"STANDBY"),0),"")</f>
        <v/>
      </c>
      <c r="K9" s="7">
        <f>IFERROR(ROUND(AVERAGEIFS(Datos!$G$2:$G$27777,Datos!$E$2:$E$27777,$A9,Datos!$B$2:$B$27777,12,Datos!$C$2:$C$27777,"&gt;=30",Datos!$F$2:$F$27777,"STANDBY"),0),"")</f>
        <v/>
      </c>
      <c r="L9" s="7">
        <f>IFERROR(ROUND(AVERAGEIFS(Datos!$G$2:$G$27777,Datos!$E$2:$E$27777,$A9,Datos!$B$2:$B$27777,13,Datos!$C$2:$C$27777,"&lt;30",Datos!$F$2:$F$27777,"STANDBY"),0),"")</f>
        <v/>
      </c>
      <c r="M9" s="7">
        <f>IFERROR(ROUND(AVERAGEIFS(Datos!$G$2:$G$27777,Datos!$E$2:$E$27777,$A9,Datos!$B$2:$B$27777,13,Datos!$C$2:$C$27777,"&gt;=30",Datos!$F$2:$F$27777,"STANDBY"),0),"")</f>
        <v/>
      </c>
      <c r="N9" s="7">
        <f>IFERROR(ROUND(AVERAGEIFS(Datos!$G$2:$G$27777,Datos!$E$2:$E$27777,$A9,Datos!$B$2:$B$27777,14,Datos!$C$2:$C$27777,"&lt;30",Datos!$F$2:$F$27777,"STANDBY"),0),"")</f>
        <v/>
      </c>
      <c r="O9" s="7">
        <f>IFERROR(ROUND(AVERAGEIFS(Datos!$G$2:$G$27777,Datos!$E$2:$E$27777,$A9,Datos!$B$2:$B$27777,14,Datos!$C$2:$C$27777,"&gt;=30",Datos!$F$2:$F$27777,"STANDBY"),0),"")</f>
        <v/>
      </c>
      <c r="P9" s="7">
        <f>IFERROR(ROUND(AVERAGEIFS(Datos!$G$2:$G$27777,Datos!$E$2:$E$27777,$A9,Datos!$B$2:$B$27777,15,Datos!$C$2:$C$27777,"&lt;30",Datos!$F$2:$F$27777,"STANDBY"),0),"")</f>
        <v/>
      </c>
      <c r="Q9" s="7">
        <f>IFERROR(ROUND(AVERAGEIFS(Datos!$G$2:$G$27777,Datos!$E$2:$E$27777,$A9,Datos!$B$2:$B$27777,15,Datos!$C$2:$C$27777,"&gt;=30",Datos!$F$2:$F$27777,"STANDBY"),0),"")</f>
        <v/>
      </c>
      <c r="R9" s="7">
        <f>IFERROR(ROUND(AVERAGEIFS(Datos!$G$2:$G$27777,Datos!$E$2:$E$27777,$A9,Datos!$B$2:$B$27777,16,Datos!$C$2:$C$27777,"&lt;30",Datos!$F$2:$F$27777,"STANDBY"),0),"")</f>
        <v/>
      </c>
      <c r="S9" s="7">
        <f>IFERROR(ROUND(AVERAGEIFS(Datos!$G$2:$G$27777,Datos!$E$2:$E$27777,$A9,Datos!$B$2:$B$27777,16,Datos!$C$2:$C$27777,"&gt;=30",Datos!$F$2:$F$27777,"STANDBY"),0),"")</f>
        <v/>
      </c>
      <c r="T9" s="7">
        <f>IFERROR(ROUND(AVERAGEIFS(Datos!$G$2:$G$27777,Datos!$E$2:$E$27777,$A9,Datos!$B$2:$B$27777,17,Datos!$C$2:$C$27777,"&lt;30",Datos!$F$2:$F$27777,"STANDBY"),0),"")</f>
        <v/>
      </c>
      <c r="U9" s="7">
        <f>IFERROR(ROUND(AVERAGEIFS(Datos!$G$2:$G$27777,Datos!$E$2:$E$27777,$A9,Datos!$B$2:$B$27777,17,Datos!$C$2:$C$27777,"&gt;=30",Datos!$F$2:$F$27777,"STANDBY"),0),"")</f>
        <v/>
      </c>
      <c r="V9" s="7">
        <f>IFERROR(ROUND(AVERAGEIFS(Datos!$G$2:$G$27777,Datos!$E$2:$E$27777,$A9,Datos!$B$2:$B$27777,18,Datos!$C$2:$C$27777,"&lt;30",Datos!$F$2:$F$27777,"STANDBY"),0),"")</f>
        <v/>
      </c>
      <c r="W9" s="7">
        <f>IFERROR(ROUND(AVERAGEIFS(Datos!$G$2:$G$27777,Datos!$E$2:$E$27777,$A9,Datos!$B$2:$B$27777,18,Datos!$C$2:$C$27777,"&gt;=30",Datos!$F$2:$F$27777,"STANDBY"),0),"")</f>
        <v/>
      </c>
      <c r="X9" s="7">
        <f>IFERROR(ROUND(AVERAGEIFS(Datos!$G$2:$G$27777,Datos!$E$2:$E$27777,$A9,Datos!$B$2:$B$27777,19,Datos!$C$2:$C$27777,"&lt;30",Datos!$F$2:$F$27777,"STANDBY"),0),"")</f>
        <v/>
      </c>
      <c r="Y9" s="7">
        <f>IFERROR(ROUND(AVERAGEIFS(Datos!$G$2:$G$27777,Datos!$E$2:$E$27777,$A9,Datos!$B$2:$B$27777,19,Datos!$C$2:$C$27777,"&gt;=30",Datos!$F$2:$F$27777,"STANDBY"),0),"")</f>
        <v/>
      </c>
      <c r="Z9" s="7">
        <f>IFERROR(ROUND(AVERAGEIFS(Datos!$G$2:$G$27777,Datos!$E$2:$E$27777,$A9,Datos!$B$2:$B$27777,20,Datos!$C$2:$C$27777,"&lt;30",Datos!$F$2:$F$27777,"STANDBY"),0),"")</f>
        <v/>
      </c>
      <c r="AA9" s="7">
        <f>IFERROR(ROUND(AVERAGEIFS(Datos!$G$2:$G$27777,Datos!$E$2:$E$27777,$A9,Datos!$B$2:$B$27777,20,Datos!$C$2:$C$27777,"&gt;=30",Datos!$F$2:$F$27777,"STANDBY"),0),"")</f>
        <v/>
      </c>
      <c r="AB9" s="7">
        <f>IFERROR(ROUND(AVERAGEIFS(Datos!$G$2:$G$27777,Datos!$E$2:$E$27777,$A9,Datos!$B$2:$B$27777,21,Datos!$C$2:$C$27777,"&lt;30",Datos!$F$2:$F$27777,"STANDBY"),0),"")</f>
        <v/>
      </c>
      <c r="AC9" s="7">
        <f>IFERROR(ROUND(AVERAGEIFS(Datos!$G$2:$G$27777,Datos!$E$2:$E$27777,$A9,Datos!$B$2:$B$27777,21,Datos!$C$2:$C$27777,"&gt;=30",Datos!$F$2:$F$27777,"STANDBY"),0),"")</f>
        <v/>
      </c>
      <c r="AD9" s="7">
        <f>IFERROR(ROUND(AVERAGEIFS(Datos!$G$2:$G$27777,Datos!$E$2:$E$27777,$A9,Datos!$B$2:$B$27777,22,Datos!$C$2:$C$27777,"&lt;30",Datos!$F$2:$F$27777,"STANDBY"),0),"")</f>
        <v/>
      </c>
      <c r="AE9" s="7">
        <f>IFERROR(ROUND(AVERAGEIFS(Datos!$G$2:$G$27777,Datos!$E$2:$E$27777,$A9,Datos!$B$2:$B$27777,22,Datos!$C$2:$C$27777,"&gt;=30",Datos!$F$2:$F$27777,"STANDBY"),0),"")</f>
        <v/>
      </c>
      <c r="AF9" s="7">
        <f>IFERROR(ROUND(AVERAGEIFS(Datos!$G$2:$G$27777,Datos!$E$2:$E$27777,$A9,Datos!$B$2:$B$27777,23,Datos!$C$2:$C$27777,"&lt;30",Datos!$F$2:$F$27777,"STANDBY"),0),"")</f>
        <v/>
      </c>
      <c r="AG9" s="7">
        <f>IFERROR(ROUND(AVERAGEIFS(Datos!$G$2:$G$27777,Datos!$E$2:$E$27777,$A9,Datos!$B$2:$B$27777,23,Datos!$C$2:$C$27777,"&gt;=30",Datos!$F$2:$F$27777,"STANDBY"),0),"")</f>
        <v/>
      </c>
    </row>
    <row r="10">
      <c r="A10" s="6" t="inlineStr">
        <is>
          <t>Crush's Coaster Single Rider</t>
        </is>
      </c>
      <c r="B10" s="7">
        <f>IFERROR(ROUND(AVERAGEIFS(Datos!$G$2:$G$27777,Datos!$E$2:$E$27777,$A10,Datos!$B$2:$B$27777,8,Datos!$C$2:$C$27777,"&lt;30",Datos!$F$2:$F$27777,"STANDBY"),0),"")</f>
        <v/>
      </c>
      <c r="C10" s="7">
        <f>IFERROR(ROUND(AVERAGEIFS(Datos!$G$2:$G$27777,Datos!$E$2:$E$27777,$A10,Datos!$B$2:$B$27777,8,Datos!$C$2:$C$27777,"&gt;=30",Datos!$F$2:$F$27777,"STANDBY"),0),"")</f>
        <v/>
      </c>
      <c r="D10" s="7">
        <f>IFERROR(ROUND(AVERAGEIFS(Datos!$G$2:$G$27777,Datos!$E$2:$E$27777,$A10,Datos!$B$2:$B$27777,9,Datos!$C$2:$C$27777,"&lt;30",Datos!$F$2:$F$27777,"STANDBY"),0),"")</f>
        <v/>
      </c>
      <c r="E10" s="7">
        <f>IFERROR(ROUND(AVERAGEIFS(Datos!$G$2:$G$27777,Datos!$E$2:$E$27777,$A10,Datos!$B$2:$B$27777,9,Datos!$C$2:$C$27777,"&gt;=30",Datos!$F$2:$F$27777,"STANDBY"),0),"")</f>
        <v/>
      </c>
      <c r="F10" s="7">
        <f>IFERROR(ROUND(AVERAGEIFS(Datos!$G$2:$G$27777,Datos!$E$2:$E$27777,$A10,Datos!$B$2:$B$27777,10,Datos!$C$2:$C$27777,"&lt;30",Datos!$F$2:$F$27777,"STANDBY"),0),"")</f>
        <v/>
      </c>
      <c r="G10" s="7">
        <f>IFERROR(ROUND(AVERAGEIFS(Datos!$G$2:$G$27777,Datos!$E$2:$E$27777,$A10,Datos!$B$2:$B$27777,10,Datos!$C$2:$C$27777,"&gt;=30",Datos!$F$2:$F$27777,"STANDBY"),0),"")</f>
        <v/>
      </c>
      <c r="H10" s="7">
        <f>IFERROR(ROUND(AVERAGEIFS(Datos!$G$2:$G$27777,Datos!$E$2:$E$27777,$A10,Datos!$B$2:$B$27777,11,Datos!$C$2:$C$27777,"&lt;30",Datos!$F$2:$F$27777,"STANDBY"),0),"")</f>
        <v/>
      </c>
      <c r="I10" s="7">
        <f>IFERROR(ROUND(AVERAGEIFS(Datos!$G$2:$G$27777,Datos!$E$2:$E$27777,$A10,Datos!$B$2:$B$27777,11,Datos!$C$2:$C$27777,"&gt;=30",Datos!$F$2:$F$27777,"STANDBY"),0),"")</f>
        <v/>
      </c>
      <c r="J10" s="7">
        <f>IFERROR(ROUND(AVERAGEIFS(Datos!$G$2:$G$27777,Datos!$E$2:$E$27777,$A10,Datos!$B$2:$B$27777,12,Datos!$C$2:$C$27777,"&lt;30",Datos!$F$2:$F$27777,"STANDBY"),0),"")</f>
        <v/>
      </c>
      <c r="K10" s="7">
        <f>IFERROR(ROUND(AVERAGEIFS(Datos!$G$2:$G$27777,Datos!$E$2:$E$27777,$A10,Datos!$B$2:$B$27777,12,Datos!$C$2:$C$27777,"&gt;=30",Datos!$F$2:$F$27777,"STANDBY"),0),"")</f>
        <v/>
      </c>
      <c r="L10" s="7">
        <f>IFERROR(ROUND(AVERAGEIFS(Datos!$G$2:$G$27777,Datos!$E$2:$E$27777,$A10,Datos!$B$2:$B$27777,13,Datos!$C$2:$C$27777,"&lt;30",Datos!$F$2:$F$27777,"STANDBY"),0),"")</f>
        <v/>
      </c>
      <c r="M10" s="7">
        <f>IFERROR(ROUND(AVERAGEIFS(Datos!$G$2:$G$27777,Datos!$E$2:$E$27777,$A10,Datos!$B$2:$B$27777,13,Datos!$C$2:$C$27777,"&gt;=30",Datos!$F$2:$F$27777,"STANDBY"),0),"")</f>
        <v/>
      </c>
      <c r="N10" s="7">
        <f>IFERROR(ROUND(AVERAGEIFS(Datos!$G$2:$G$27777,Datos!$E$2:$E$27777,$A10,Datos!$B$2:$B$27777,14,Datos!$C$2:$C$27777,"&lt;30",Datos!$F$2:$F$27777,"STANDBY"),0),"")</f>
        <v/>
      </c>
      <c r="O10" s="7">
        <f>IFERROR(ROUND(AVERAGEIFS(Datos!$G$2:$G$27777,Datos!$E$2:$E$27777,$A10,Datos!$B$2:$B$27777,14,Datos!$C$2:$C$27777,"&gt;=30",Datos!$F$2:$F$27777,"STANDBY"),0),"")</f>
        <v/>
      </c>
      <c r="P10" s="7">
        <f>IFERROR(ROUND(AVERAGEIFS(Datos!$G$2:$G$27777,Datos!$E$2:$E$27777,$A10,Datos!$B$2:$B$27777,15,Datos!$C$2:$C$27777,"&lt;30",Datos!$F$2:$F$27777,"STANDBY"),0),"")</f>
        <v/>
      </c>
      <c r="Q10" s="7">
        <f>IFERROR(ROUND(AVERAGEIFS(Datos!$G$2:$G$27777,Datos!$E$2:$E$27777,$A10,Datos!$B$2:$B$27777,15,Datos!$C$2:$C$27777,"&gt;=30",Datos!$F$2:$F$27777,"STANDBY"),0),"")</f>
        <v/>
      </c>
      <c r="R10" s="7">
        <f>IFERROR(ROUND(AVERAGEIFS(Datos!$G$2:$G$27777,Datos!$E$2:$E$27777,$A10,Datos!$B$2:$B$27777,16,Datos!$C$2:$C$27777,"&lt;30",Datos!$F$2:$F$27777,"STANDBY"),0),"")</f>
        <v/>
      </c>
      <c r="S10" s="7">
        <f>IFERROR(ROUND(AVERAGEIFS(Datos!$G$2:$G$27777,Datos!$E$2:$E$27777,$A10,Datos!$B$2:$B$27777,16,Datos!$C$2:$C$27777,"&gt;=30",Datos!$F$2:$F$27777,"STANDBY"),0),"")</f>
        <v/>
      </c>
      <c r="T10" s="7">
        <f>IFERROR(ROUND(AVERAGEIFS(Datos!$G$2:$G$27777,Datos!$E$2:$E$27777,$A10,Datos!$B$2:$B$27777,17,Datos!$C$2:$C$27777,"&lt;30",Datos!$F$2:$F$27777,"STANDBY"),0),"")</f>
        <v/>
      </c>
      <c r="U10" s="7">
        <f>IFERROR(ROUND(AVERAGEIFS(Datos!$G$2:$G$27777,Datos!$E$2:$E$27777,$A10,Datos!$B$2:$B$27777,17,Datos!$C$2:$C$27777,"&gt;=30",Datos!$F$2:$F$27777,"STANDBY"),0),"")</f>
        <v/>
      </c>
      <c r="V10" s="7">
        <f>IFERROR(ROUND(AVERAGEIFS(Datos!$G$2:$G$27777,Datos!$E$2:$E$27777,$A10,Datos!$B$2:$B$27777,18,Datos!$C$2:$C$27777,"&lt;30",Datos!$F$2:$F$27777,"STANDBY"),0),"")</f>
        <v/>
      </c>
      <c r="W10" s="7">
        <f>IFERROR(ROUND(AVERAGEIFS(Datos!$G$2:$G$27777,Datos!$E$2:$E$27777,$A10,Datos!$B$2:$B$27777,18,Datos!$C$2:$C$27777,"&gt;=30",Datos!$F$2:$F$27777,"STANDBY"),0),"")</f>
        <v/>
      </c>
      <c r="X10" s="7">
        <f>IFERROR(ROUND(AVERAGEIFS(Datos!$G$2:$G$27777,Datos!$E$2:$E$27777,$A10,Datos!$B$2:$B$27777,19,Datos!$C$2:$C$27777,"&lt;30",Datos!$F$2:$F$27777,"STANDBY"),0),"")</f>
        <v/>
      </c>
      <c r="Y10" s="7">
        <f>IFERROR(ROUND(AVERAGEIFS(Datos!$G$2:$G$27777,Datos!$E$2:$E$27777,$A10,Datos!$B$2:$B$27777,19,Datos!$C$2:$C$27777,"&gt;=30",Datos!$F$2:$F$27777,"STANDBY"),0),"")</f>
        <v/>
      </c>
      <c r="Z10" s="7">
        <f>IFERROR(ROUND(AVERAGEIFS(Datos!$G$2:$G$27777,Datos!$E$2:$E$27777,$A10,Datos!$B$2:$B$27777,20,Datos!$C$2:$C$27777,"&lt;30",Datos!$F$2:$F$27777,"STANDBY"),0),"")</f>
        <v/>
      </c>
      <c r="AA10" s="7">
        <f>IFERROR(ROUND(AVERAGEIFS(Datos!$G$2:$G$27777,Datos!$E$2:$E$27777,$A10,Datos!$B$2:$B$27777,20,Datos!$C$2:$C$27777,"&gt;=30",Datos!$F$2:$F$27777,"STANDBY"),0),"")</f>
        <v/>
      </c>
      <c r="AB10" s="7">
        <f>IFERROR(ROUND(AVERAGEIFS(Datos!$G$2:$G$27777,Datos!$E$2:$E$27777,$A10,Datos!$B$2:$B$27777,21,Datos!$C$2:$C$27777,"&lt;30",Datos!$F$2:$F$27777,"STANDBY"),0),"")</f>
        <v/>
      </c>
      <c r="AC10" s="7">
        <f>IFERROR(ROUND(AVERAGEIFS(Datos!$G$2:$G$27777,Datos!$E$2:$E$27777,$A10,Datos!$B$2:$B$27777,21,Datos!$C$2:$C$27777,"&gt;=30",Datos!$F$2:$F$27777,"STANDBY"),0),"")</f>
        <v/>
      </c>
      <c r="AD10" s="7">
        <f>IFERROR(ROUND(AVERAGEIFS(Datos!$G$2:$G$27777,Datos!$E$2:$E$27777,$A10,Datos!$B$2:$B$27777,22,Datos!$C$2:$C$27777,"&lt;30",Datos!$F$2:$F$27777,"STANDBY"),0),"")</f>
        <v/>
      </c>
      <c r="AE10" s="7">
        <f>IFERROR(ROUND(AVERAGEIFS(Datos!$G$2:$G$27777,Datos!$E$2:$E$27777,$A10,Datos!$B$2:$B$27777,22,Datos!$C$2:$C$27777,"&gt;=30",Datos!$F$2:$F$27777,"STANDBY"),0),"")</f>
        <v/>
      </c>
      <c r="AF10" s="7">
        <f>IFERROR(ROUND(AVERAGEIFS(Datos!$G$2:$G$27777,Datos!$E$2:$E$27777,$A10,Datos!$B$2:$B$27777,23,Datos!$C$2:$C$27777,"&lt;30",Datos!$F$2:$F$27777,"STANDBY"),0),"")</f>
        <v/>
      </c>
      <c r="AG10" s="7">
        <f>IFERROR(ROUND(AVERAGEIFS(Datos!$G$2:$G$27777,Datos!$E$2:$E$27777,$A10,Datos!$B$2:$B$27777,23,Datos!$C$2:$C$27777,"&gt;=30",Datos!$F$2:$F$27777,"STANDBY"),0),"")</f>
        <v/>
      </c>
    </row>
    <row r="11">
      <c r="A11" s="6" t="inlineStr">
        <is>
          <t>Entry to World of Frozen</t>
        </is>
      </c>
      <c r="B11" s="7">
        <f>IFERROR(ROUND(AVERAGEIFS(Datos!$G$2:$G$27777,Datos!$E$2:$E$27777,$A11,Datos!$B$2:$B$27777,8,Datos!$C$2:$C$27777,"&lt;30",Datos!$F$2:$F$27777,"STANDBY"),0),"")</f>
        <v/>
      </c>
      <c r="C11" s="7">
        <f>IFERROR(ROUND(AVERAGEIFS(Datos!$G$2:$G$27777,Datos!$E$2:$E$27777,$A11,Datos!$B$2:$B$27777,8,Datos!$C$2:$C$27777,"&gt;=30",Datos!$F$2:$F$27777,"STANDBY"),0),"")</f>
        <v/>
      </c>
      <c r="D11" s="7">
        <f>IFERROR(ROUND(AVERAGEIFS(Datos!$G$2:$G$27777,Datos!$E$2:$E$27777,$A11,Datos!$B$2:$B$27777,9,Datos!$C$2:$C$27777,"&lt;30",Datos!$F$2:$F$27777,"STANDBY"),0),"")</f>
        <v/>
      </c>
      <c r="E11" s="7">
        <f>IFERROR(ROUND(AVERAGEIFS(Datos!$G$2:$G$27777,Datos!$E$2:$E$27777,$A11,Datos!$B$2:$B$27777,9,Datos!$C$2:$C$27777,"&gt;=30",Datos!$F$2:$F$27777,"STANDBY"),0),"")</f>
        <v/>
      </c>
      <c r="F11" s="7">
        <f>IFERROR(ROUND(AVERAGEIFS(Datos!$G$2:$G$27777,Datos!$E$2:$E$27777,$A11,Datos!$B$2:$B$27777,10,Datos!$C$2:$C$27777,"&lt;30",Datos!$F$2:$F$27777,"STANDBY"),0),"")</f>
        <v/>
      </c>
      <c r="G11" s="7">
        <f>IFERROR(ROUND(AVERAGEIFS(Datos!$G$2:$G$27777,Datos!$E$2:$E$27777,$A11,Datos!$B$2:$B$27777,10,Datos!$C$2:$C$27777,"&gt;=30",Datos!$F$2:$F$27777,"STANDBY"),0),"")</f>
        <v/>
      </c>
      <c r="H11" s="7">
        <f>IFERROR(ROUND(AVERAGEIFS(Datos!$G$2:$G$27777,Datos!$E$2:$E$27777,$A11,Datos!$B$2:$B$27777,11,Datos!$C$2:$C$27777,"&lt;30",Datos!$F$2:$F$27777,"STANDBY"),0),"")</f>
        <v/>
      </c>
      <c r="I11" s="7">
        <f>IFERROR(ROUND(AVERAGEIFS(Datos!$G$2:$G$27777,Datos!$E$2:$E$27777,$A11,Datos!$B$2:$B$27777,11,Datos!$C$2:$C$27777,"&gt;=30",Datos!$F$2:$F$27777,"STANDBY"),0),"")</f>
        <v/>
      </c>
      <c r="J11" s="7">
        <f>IFERROR(ROUND(AVERAGEIFS(Datos!$G$2:$G$27777,Datos!$E$2:$E$27777,$A11,Datos!$B$2:$B$27777,12,Datos!$C$2:$C$27777,"&lt;30",Datos!$F$2:$F$27777,"STANDBY"),0),"")</f>
        <v/>
      </c>
      <c r="K11" s="7">
        <f>IFERROR(ROUND(AVERAGEIFS(Datos!$G$2:$G$27777,Datos!$E$2:$E$27777,$A11,Datos!$B$2:$B$27777,12,Datos!$C$2:$C$27777,"&gt;=30",Datos!$F$2:$F$27777,"STANDBY"),0),"")</f>
        <v/>
      </c>
      <c r="L11" s="7">
        <f>IFERROR(ROUND(AVERAGEIFS(Datos!$G$2:$G$27777,Datos!$E$2:$E$27777,$A11,Datos!$B$2:$B$27777,13,Datos!$C$2:$C$27777,"&lt;30",Datos!$F$2:$F$27777,"STANDBY"),0),"")</f>
        <v/>
      </c>
      <c r="M11" s="7">
        <f>IFERROR(ROUND(AVERAGEIFS(Datos!$G$2:$G$27777,Datos!$E$2:$E$27777,$A11,Datos!$B$2:$B$27777,13,Datos!$C$2:$C$27777,"&gt;=30",Datos!$F$2:$F$27777,"STANDBY"),0),"")</f>
        <v/>
      </c>
      <c r="N11" s="7">
        <f>IFERROR(ROUND(AVERAGEIFS(Datos!$G$2:$G$27777,Datos!$E$2:$E$27777,$A11,Datos!$B$2:$B$27777,14,Datos!$C$2:$C$27777,"&lt;30",Datos!$F$2:$F$27777,"STANDBY"),0),"")</f>
        <v/>
      </c>
      <c r="O11" s="7">
        <f>IFERROR(ROUND(AVERAGEIFS(Datos!$G$2:$G$27777,Datos!$E$2:$E$27777,$A11,Datos!$B$2:$B$27777,14,Datos!$C$2:$C$27777,"&gt;=30",Datos!$F$2:$F$27777,"STANDBY"),0),"")</f>
        <v/>
      </c>
      <c r="P11" s="7">
        <f>IFERROR(ROUND(AVERAGEIFS(Datos!$G$2:$G$27777,Datos!$E$2:$E$27777,$A11,Datos!$B$2:$B$27777,15,Datos!$C$2:$C$27777,"&lt;30",Datos!$F$2:$F$27777,"STANDBY"),0),"")</f>
        <v/>
      </c>
      <c r="Q11" s="7">
        <f>IFERROR(ROUND(AVERAGEIFS(Datos!$G$2:$G$27777,Datos!$E$2:$E$27777,$A11,Datos!$B$2:$B$27777,15,Datos!$C$2:$C$27777,"&gt;=30",Datos!$F$2:$F$27777,"STANDBY"),0),"")</f>
        <v/>
      </c>
      <c r="R11" s="7">
        <f>IFERROR(ROUND(AVERAGEIFS(Datos!$G$2:$G$27777,Datos!$E$2:$E$27777,$A11,Datos!$B$2:$B$27777,16,Datos!$C$2:$C$27777,"&lt;30",Datos!$F$2:$F$27777,"STANDBY"),0),"")</f>
        <v/>
      </c>
      <c r="S11" s="7">
        <f>IFERROR(ROUND(AVERAGEIFS(Datos!$G$2:$G$27777,Datos!$E$2:$E$27777,$A11,Datos!$B$2:$B$27777,16,Datos!$C$2:$C$27777,"&gt;=30",Datos!$F$2:$F$27777,"STANDBY"),0),"")</f>
        <v/>
      </c>
      <c r="T11" s="7">
        <f>IFERROR(ROUND(AVERAGEIFS(Datos!$G$2:$G$27777,Datos!$E$2:$E$27777,$A11,Datos!$B$2:$B$27777,17,Datos!$C$2:$C$27777,"&lt;30",Datos!$F$2:$F$27777,"STANDBY"),0),"")</f>
        <v/>
      </c>
      <c r="U11" s="7">
        <f>IFERROR(ROUND(AVERAGEIFS(Datos!$G$2:$G$27777,Datos!$E$2:$E$27777,$A11,Datos!$B$2:$B$27777,17,Datos!$C$2:$C$27777,"&gt;=30",Datos!$F$2:$F$27777,"STANDBY"),0),"")</f>
        <v/>
      </c>
      <c r="V11" s="7">
        <f>IFERROR(ROUND(AVERAGEIFS(Datos!$G$2:$G$27777,Datos!$E$2:$E$27777,$A11,Datos!$B$2:$B$27777,18,Datos!$C$2:$C$27777,"&lt;30",Datos!$F$2:$F$27777,"STANDBY"),0),"")</f>
        <v/>
      </c>
      <c r="W11" s="7">
        <f>IFERROR(ROUND(AVERAGEIFS(Datos!$G$2:$G$27777,Datos!$E$2:$E$27777,$A11,Datos!$B$2:$B$27777,18,Datos!$C$2:$C$27777,"&gt;=30",Datos!$F$2:$F$27777,"STANDBY"),0),"")</f>
        <v/>
      </c>
      <c r="X11" s="7">
        <f>IFERROR(ROUND(AVERAGEIFS(Datos!$G$2:$G$27777,Datos!$E$2:$E$27777,$A11,Datos!$B$2:$B$27777,19,Datos!$C$2:$C$27777,"&lt;30",Datos!$F$2:$F$27777,"STANDBY"),0),"")</f>
        <v/>
      </c>
      <c r="Y11" s="7">
        <f>IFERROR(ROUND(AVERAGEIFS(Datos!$G$2:$G$27777,Datos!$E$2:$E$27777,$A11,Datos!$B$2:$B$27777,19,Datos!$C$2:$C$27777,"&gt;=30",Datos!$F$2:$F$27777,"STANDBY"),0),"")</f>
        <v/>
      </c>
      <c r="Z11" s="7">
        <f>IFERROR(ROUND(AVERAGEIFS(Datos!$G$2:$G$27777,Datos!$E$2:$E$27777,$A11,Datos!$B$2:$B$27777,20,Datos!$C$2:$C$27777,"&lt;30",Datos!$F$2:$F$27777,"STANDBY"),0),"")</f>
        <v/>
      </c>
      <c r="AA11" s="7">
        <f>IFERROR(ROUND(AVERAGEIFS(Datos!$G$2:$G$27777,Datos!$E$2:$E$27777,$A11,Datos!$B$2:$B$27777,20,Datos!$C$2:$C$27777,"&gt;=30",Datos!$F$2:$F$27777,"STANDBY"),0),"")</f>
        <v/>
      </c>
      <c r="AB11" s="7">
        <f>IFERROR(ROUND(AVERAGEIFS(Datos!$G$2:$G$27777,Datos!$E$2:$E$27777,$A11,Datos!$B$2:$B$27777,21,Datos!$C$2:$C$27777,"&lt;30",Datos!$F$2:$F$27777,"STANDBY"),0),"")</f>
        <v/>
      </c>
      <c r="AC11" s="7">
        <f>IFERROR(ROUND(AVERAGEIFS(Datos!$G$2:$G$27777,Datos!$E$2:$E$27777,$A11,Datos!$B$2:$B$27777,21,Datos!$C$2:$C$27777,"&gt;=30",Datos!$F$2:$F$27777,"STANDBY"),0),"")</f>
        <v/>
      </c>
      <c r="AD11" s="7">
        <f>IFERROR(ROUND(AVERAGEIFS(Datos!$G$2:$G$27777,Datos!$E$2:$E$27777,$A11,Datos!$B$2:$B$27777,22,Datos!$C$2:$C$27777,"&lt;30",Datos!$F$2:$F$27777,"STANDBY"),0),"")</f>
        <v/>
      </c>
      <c r="AE11" s="7">
        <f>IFERROR(ROUND(AVERAGEIFS(Datos!$G$2:$G$27777,Datos!$E$2:$E$27777,$A11,Datos!$B$2:$B$27777,22,Datos!$C$2:$C$27777,"&gt;=30",Datos!$F$2:$F$27777,"STANDBY"),0),"")</f>
        <v/>
      </c>
      <c r="AF11" s="7">
        <f>IFERROR(ROUND(AVERAGEIFS(Datos!$G$2:$G$27777,Datos!$E$2:$E$27777,$A11,Datos!$B$2:$B$27777,23,Datos!$C$2:$C$27777,"&lt;30",Datos!$F$2:$F$27777,"STANDBY"),0),"")</f>
        <v/>
      </c>
      <c r="AG11" s="7">
        <f>IFERROR(ROUND(AVERAGEIFS(Datos!$G$2:$G$27777,Datos!$E$2:$E$27777,$A11,Datos!$B$2:$B$27777,23,Datos!$C$2:$C$27777,"&gt;=30",Datos!$F$2:$F$27777,"STANDBY"),0),"")</f>
        <v/>
      </c>
    </row>
    <row r="12">
      <c r="A12" s="6" t="inlineStr">
        <is>
          <t>Frozen Ever After</t>
        </is>
      </c>
      <c r="B12" s="7">
        <f>IFERROR(ROUND(AVERAGEIFS(Datos!$G$2:$G$27777,Datos!$E$2:$E$27777,$A12,Datos!$B$2:$B$27777,8,Datos!$C$2:$C$27777,"&lt;30",Datos!$F$2:$F$27777,"STANDBY"),0),"")</f>
        <v/>
      </c>
      <c r="C12" s="7">
        <f>IFERROR(ROUND(AVERAGEIFS(Datos!$G$2:$G$27777,Datos!$E$2:$E$27777,$A12,Datos!$B$2:$B$27777,8,Datos!$C$2:$C$27777,"&gt;=30",Datos!$F$2:$F$27777,"STANDBY"),0),"")</f>
        <v/>
      </c>
      <c r="D12" s="7">
        <f>IFERROR(ROUND(AVERAGEIFS(Datos!$G$2:$G$27777,Datos!$E$2:$E$27777,$A12,Datos!$B$2:$B$27777,9,Datos!$C$2:$C$27777,"&lt;30",Datos!$F$2:$F$27777,"STANDBY"),0),"")</f>
        <v/>
      </c>
      <c r="E12" s="7">
        <f>IFERROR(ROUND(AVERAGEIFS(Datos!$G$2:$G$27777,Datos!$E$2:$E$27777,$A12,Datos!$B$2:$B$27777,9,Datos!$C$2:$C$27777,"&gt;=30",Datos!$F$2:$F$27777,"STANDBY"),0),"")</f>
        <v/>
      </c>
      <c r="F12" s="7">
        <f>IFERROR(ROUND(AVERAGEIFS(Datos!$G$2:$G$27777,Datos!$E$2:$E$27777,$A12,Datos!$B$2:$B$27777,10,Datos!$C$2:$C$27777,"&lt;30",Datos!$F$2:$F$27777,"STANDBY"),0),"")</f>
        <v/>
      </c>
      <c r="G12" s="7">
        <f>IFERROR(ROUND(AVERAGEIFS(Datos!$G$2:$G$27777,Datos!$E$2:$E$27777,$A12,Datos!$B$2:$B$27777,10,Datos!$C$2:$C$27777,"&gt;=30",Datos!$F$2:$F$27777,"STANDBY"),0),"")</f>
        <v/>
      </c>
      <c r="H12" s="7">
        <f>IFERROR(ROUND(AVERAGEIFS(Datos!$G$2:$G$27777,Datos!$E$2:$E$27777,$A12,Datos!$B$2:$B$27777,11,Datos!$C$2:$C$27777,"&lt;30",Datos!$F$2:$F$27777,"STANDBY"),0),"")</f>
        <v/>
      </c>
      <c r="I12" s="7">
        <f>IFERROR(ROUND(AVERAGEIFS(Datos!$G$2:$G$27777,Datos!$E$2:$E$27777,$A12,Datos!$B$2:$B$27777,11,Datos!$C$2:$C$27777,"&gt;=30",Datos!$F$2:$F$27777,"STANDBY"),0),"")</f>
        <v/>
      </c>
      <c r="J12" s="7">
        <f>IFERROR(ROUND(AVERAGEIFS(Datos!$G$2:$G$27777,Datos!$E$2:$E$27777,$A12,Datos!$B$2:$B$27777,12,Datos!$C$2:$C$27777,"&lt;30",Datos!$F$2:$F$27777,"STANDBY"),0),"")</f>
        <v/>
      </c>
      <c r="K12" s="7">
        <f>IFERROR(ROUND(AVERAGEIFS(Datos!$G$2:$G$27777,Datos!$E$2:$E$27777,$A12,Datos!$B$2:$B$27777,12,Datos!$C$2:$C$27777,"&gt;=30",Datos!$F$2:$F$27777,"STANDBY"),0),"")</f>
        <v/>
      </c>
      <c r="L12" s="7">
        <f>IFERROR(ROUND(AVERAGEIFS(Datos!$G$2:$G$27777,Datos!$E$2:$E$27777,$A12,Datos!$B$2:$B$27777,13,Datos!$C$2:$C$27777,"&lt;30",Datos!$F$2:$F$27777,"STANDBY"),0),"")</f>
        <v/>
      </c>
      <c r="M12" s="7">
        <f>IFERROR(ROUND(AVERAGEIFS(Datos!$G$2:$G$27777,Datos!$E$2:$E$27777,$A12,Datos!$B$2:$B$27777,13,Datos!$C$2:$C$27777,"&gt;=30",Datos!$F$2:$F$27777,"STANDBY"),0),"")</f>
        <v/>
      </c>
      <c r="N12" s="7">
        <f>IFERROR(ROUND(AVERAGEIFS(Datos!$G$2:$G$27777,Datos!$E$2:$E$27777,$A12,Datos!$B$2:$B$27777,14,Datos!$C$2:$C$27777,"&lt;30",Datos!$F$2:$F$27777,"STANDBY"),0),"")</f>
        <v/>
      </c>
      <c r="O12" s="7">
        <f>IFERROR(ROUND(AVERAGEIFS(Datos!$G$2:$G$27777,Datos!$E$2:$E$27777,$A12,Datos!$B$2:$B$27777,14,Datos!$C$2:$C$27777,"&gt;=30",Datos!$F$2:$F$27777,"STANDBY"),0),"")</f>
        <v/>
      </c>
      <c r="P12" s="7">
        <f>IFERROR(ROUND(AVERAGEIFS(Datos!$G$2:$G$27777,Datos!$E$2:$E$27777,$A12,Datos!$B$2:$B$27777,15,Datos!$C$2:$C$27777,"&lt;30",Datos!$F$2:$F$27777,"STANDBY"),0),"")</f>
        <v/>
      </c>
      <c r="Q12" s="7">
        <f>IFERROR(ROUND(AVERAGEIFS(Datos!$G$2:$G$27777,Datos!$E$2:$E$27777,$A12,Datos!$B$2:$B$27777,15,Datos!$C$2:$C$27777,"&gt;=30",Datos!$F$2:$F$27777,"STANDBY"),0),"")</f>
        <v/>
      </c>
      <c r="R12" s="7">
        <f>IFERROR(ROUND(AVERAGEIFS(Datos!$G$2:$G$27777,Datos!$E$2:$E$27777,$A12,Datos!$B$2:$B$27777,16,Datos!$C$2:$C$27777,"&lt;30",Datos!$F$2:$F$27777,"STANDBY"),0),"")</f>
        <v/>
      </c>
      <c r="S12" s="7">
        <f>IFERROR(ROUND(AVERAGEIFS(Datos!$G$2:$G$27777,Datos!$E$2:$E$27777,$A12,Datos!$B$2:$B$27777,16,Datos!$C$2:$C$27777,"&gt;=30",Datos!$F$2:$F$27777,"STANDBY"),0),"")</f>
        <v/>
      </c>
      <c r="T12" s="7">
        <f>IFERROR(ROUND(AVERAGEIFS(Datos!$G$2:$G$27777,Datos!$E$2:$E$27777,$A12,Datos!$B$2:$B$27777,17,Datos!$C$2:$C$27777,"&lt;30",Datos!$F$2:$F$27777,"STANDBY"),0),"")</f>
        <v/>
      </c>
      <c r="U12" s="7">
        <f>IFERROR(ROUND(AVERAGEIFS(Datos!$G$2:$G$27777,Datos!$E$2:$E$27777,$A12,Datos!$B$2:$B$27777,17,Datos!$C$2:$C$27777,"&gt;=30",Datos!$F$2:$F$27777,"STANDBY"),0),"")</f>
        <v/>
      </c>
      <c r="V12" s="7">
        <f>IFERROR(ROUND(AVERAGEIFS(Datos!$G$2:$G$27777,Datos!$E$2:$E$27777,$A12,Datos!$B$2:$B$27777,18,Datos!$C$2:$C$27777,"&lt;30",Datos!$F$2:$F$27777,"STANDBY"),0),"")</f>
        <v/>
      </c>
      <c r="W12" s="7">
        <f>IFERROR(ROUND(AVERAGEIFS(Datos!$G$2:$G$27777,Datos!$E$2:$E$27777,$A12,Datos!$B$2:$B$27777,18,Datos!$C$2:$C$27777,"&gt;=30",Datos!$F$2:$F$27777,"STANDBY"),0),"")</f>
        <v/>
      </c>
      <c r="X12" s="7">
        <f>IFERROR(ROUND(AVERAGEIFS(Datos!$G$2:$G$27777,Datos!$E$2:$E$27777,$A12,Datos!$B$2:$B$27777,19,Datos!$C$2:$C$27777,"&lt;30",Datos!$F$2:$F$27777,"STANDBY"),0),"")</f>
        <v/>
      </c>
      <c r="Y12" s="7">
        <f>IFERROR(ROUND(AVERAGEIFS(Datos!$G$2:$G$27777,Datos!$E$2:$E$27777,$A12,Datos!$B$2:$B$27777,19,Datos!$C$2:$C$27777,"&gt;=30",Datos!$F$2:$F$27777,"STANDBY"),0),"")</f>
        <v/>
      </c>
      <c r="Z12" s="7">
        <f>IFERROR(ROUND(AVERAGEIFS(Datos!$G$2:$G$27777,Datos!$E$2:$E$27777,$A12,Datos!$B$2:$B$27777,20,Datos!$C$2:$C$27777,"&lt;30",Datos!$F$2:$F$27777,"STANDBY"),0),"")</f>
        <v/>
      </c>
      <c r="AA12" s="7">
        <f>IFERROR(ROUND(AVERAGEIFS(Datos!$G$2:$G$27777,Datos!$E$2:$E$27777,$A12,Datos!$B$2:$B$27777,20,Datos!$C$2:$C$27777,"&gt;=30",Datos!$F$2:$F$27777,"STANDBY"),0),"")</f>
        <v/>
      </c>
      <c r="AB12" s="7">
        <f>IFERROR(ROUND(AVERAGEIFS(Datos!$G$2:$G$27777,Datos!$E$2:$E$27777,$A12,Datos!$B$2:$B$27777,21,Datos!$C$2:$C$27777,"&lt;30",Datos!$F$2:$F$27777,"STANDBY"),0),"")</f>
        <v/>
      </c>
      <c r="AC12" s="7">
        <f>IFERROR(ROUND(AVERAGEIFS(Datos!$G$2:$G$27777,Datos!$E$2:$E$27777,$A12,Datos!$B$2:$B$27777,21,Datos!$C$2:$C$27777,"&gt;=30",Datos!$F$2:$F$27777,"STANDBY"),0),"")</f>
        <v/>
      </c>
      <c r="AD12" s="7">
        <f>IFERROR(ROUND(AVERAGEIFS(Datos!$G$2:$G$27777,Datos!$E$2:$E$27777,$A12,Datos!$B$2:$B$27777,22,Datos!$C$2:$C$27777,"&lt;30",Datos!$F$2:$F$27777,"STANDBY"),0),"")</f>
        <v/>
      </c>
      <c r="AE12" s="7">
        <f>IFERROR(ROUND(AVERAGEIFS(Datos!$G$2:$G$27777,Datos!$E$2:$E$27777,$A12,Datos!$B$2:$B$27777,22,Datos!$C$2:$C$27777,"&gt;=30",Datos!$F$2:$F$27777,"STANDBY"),0),"")</f>
        <v/>
      </c>
      <c r="AF12" s="7">
        <f>IFERROR(ROUND(AVERAGEIFS(Datos!$G$2:$G$27777,Datos!$E$2:$E$27777,$A12,Datos!$B$2:$B$27777,23,Datos!$C$2:$C$27777,"&lt;30",Datos!$F$2:$F$27777,"STANDBY"),0),"")</f>
        <v/>
      </c>
      <c r="AG12" s="7">
        <f>IFERROR(ROUND(AVERAGEIFS(Datos!$G$2:$G$27777,Datos!$E$2:$E$27777,$A12,Datos!$B$2:$B$27777,23,Datos!$C$2:$C$27777,"&gt;=30",Datos!$F$2:$F$27777,"STANDBY"),0),"")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IFERROR(ROUND(AVERAGEIFS(Datos!$G$2:$G$27777,Datos!$E$2:$E$27777,$A13,Datos!$B$2:$B$27777,8,Datos!$C$2:$C$27777,"&lt;30",Datos!$F$2:$F$27777,"STANDBY"),0),"")</f>
        <v/>
      </c>
      <c r="C13" s="7">
        <f>IFERROR(ROUND(AVERAGEIFS(Datos!$G$2:$G$27777,Datos!$E$2:$E$27777,$A13,Datos!$B$2:$B$27777,8,Datos!$C$2:$C$27777,"&gt;=30",Datos!$F$2:$F$27777,"STANDBY"),0),"")</f>
        <v/>
      </c>
      <c r="D13" s="7">
        <f>IFERROR(ROUND(AVERAGEIFS(Datos!$G$2:$G$27777,Datos!$E$2:$E$27777,$A13,Datos!$B$2:$B$27777,9,Datos!$C$2:$C$27777,"&lt;30",Datos!$F$2:$F$27777,"STANDBY"),0),"")</f>
        <v/>
      </c>
      <c r="E13" s="7">
        <f>IFERROR(ROUND(AVERAGEIFS(Datos!$G$2:$G$27777,Datos!$E$2:$E$27777,$A13,Datos!$B$2:$B$27777,9,Datos!$C$2:$C$27777,"&gt;=30",Datos!$F$2:$F$27777,"STANDBY"),0),"")</f>
        <v/>
      </c>
      <c r="F13" s="7">
        <f>IFERROR(ROUND(AVERAGEIFS(Datos!$G$2:$G$27777,Datos!$E$2:$E$27777,$A13,Datos!$B$2:$B$27777,10,Datos!$C$2:$C$27777,"&lt;30",Datos!$F$2:$F$27777,"STANDBY"),0),"")</f>
        <v/>
      </c>
      <c r="G13" s="7">
        <f>IFERROR(ROUND(AVERAGEIFS(Datos!$G$2:$G$27777,Datos!$E$2:$E$27777,$A13,Datos!$B$2:$B$27777,10,Datos!$C$2:$C$27777,"&gt;=30",Datos!$F$2:$F$27777,"STANDBY"),0),"")</f>
        <v/>
      </c>
      <c r="H13" s="7">
        <f>IFERROR(ROUND(AVERAGEIFS(Datos!$G$2:$G$27777,Datos!$E$2:$E$27777,$A13,Datos!$B$2:$B$27777,11,Datos!$C$2:$C$27777,"&lt;30",Datos!$F$2:$F$27777,"STANDBY"),0),"")</f>
        <v/>
      </c>
      <c r="I13" s="7">
        <f>IFERROR(ROUND(AVERAGEIFS(Datos!$G$2:$G$27777,Datos!$E$2:$E$27777,$A13,Datos!$B$2:$B$27777,11,Datos!$C$2:$C$27777,"&gt;=30",Datos!$F$2:$F$27777,"STANDBY"),0),"")</f>
        <v/>
      </c>
      <c r="J13" s="7">
        <f>IFERROR(ROUND(AVERAGEIFS(Datos!$G$2:$G$27777,Datos!$E$2:$E$27777,$A13,Datos!$B$2:$B$27777,12,Datos!$C$2:$C$27777,"&lt;30",Datos!$F$2:$F$27777,"STANDBY"),0),"")</f>
        <v/>
      </c>
      <c r="K13" s="7">
        <f>IFERROR(ROUND(AVERAGEIFS(Datos!$G$2:$G$27777,Datos!$E$2:$E$27777,$A13,Datos!$B$2:$B$27777,12,Datos!$C$2:$C$27777,"&gt;=30",Datos!$F$2:$F$27777,"STANDBY"),0),"")</f>
        <v/>
      </c>
      <c r="L13" s="7">
        <f>IFERROR(ROUND(AVERAGEIFS(Datos!$G$2:$G$27777,Datos!$E$2:$E$27777,$A13,Datos!$B$2:$B$27777,13,Datos!$C$2:$C$27777,"&lt;30",Datos!$F$2:$F$27777,"STANDBY"),0),"")</f>
        <v/>
      </c>
      <c r="M13" s="7">
        <f>IFERROR(ROUND(AVERAGEIFS(Datos!$G$2:$G$27777,Datos!$E$2:$E$27777,$A13,Datos!$B$2:$B$27777,13,Datos!$C$2:$C$27777,"&gt;=30",Datos!$F$2:$F$27777,"STANDBY"),0),"")</f>
        <v/>
      </c>
      <c r="N13" s="7">
        <f>IFERROR(ROUND(AVERAGEIFS(Datos!$G$2:$G$27777,Datos!$E$2:$E$27777,$A13,Datos!$B$2:$B$27777,14,Datos!$C$2:$C$27777,"&lt;30",Datos!$F$2:$F$27777,"STANDBY"),0),"")</f>
        <v/>
      </c>
      <c r="O13" s="7">
        <f>IFERROR(ROUND(AVERAGEIFS(Datos!$G$2:$G$27777,Datos!$E$2:$E$27777,$A13,Datos!$B$2:$B$27777,14,Datos!$C$2:$C$27777,"&gt;=30",Datos!$F$2:$F$27777,"STANDBY"),0),"")</f>
        <v/>
      </c>
      <c r="P13" s="7">
        <f>IFERROR(ROUND(AVERAGEIFS(Datos!$G$2:$G$27777,Datos!$E$2:$E$27777,$A13,Datos!$B$2:$B$27777,15,Datos!$C$2:$C$27777,"&lt;30",Datos!$F$2:$F$27777,"STANDBY"),0),"")</f>
        <v/>
      </c>
      <c r="Q13" s="7">
        <f>IFERROR(ROUND(AVERAGEIFS(Datos!$G$2:$G$27777,Datos!$E$2:$E$27777,$A13,Datos!$B$2:$B$27777,15,Datos!$C$2:$C$27777,"&gt;=30",Datos!$F$2:$F$27777,"STANDBY"),0),"")</f>
        <v/>
      </c>
      <c r="R13" s="7">
        <f>IFERROR(ROUND(AVERAGEIFS(Datos!$G$2:$G$27777,Datos!$E$2:$E$27777,$A13,Datos!$B$2:$B$27777,16,Datos!$C$2:$C$27777,"&lt;30",Datos!$F$2:$F$27777,"STANDBY"),0),"")</f>
        <v/>
      </c>
      <c r="S13" s="7">
        <f>IFERROR(ROUND(AVERAGEIFS(Datos!$G$2:$G$27777,Datos!$E$2:$E$27777,$A13,Datos!$B$2:$B$27777,16,Datos!$C$2:$C$27777,"&gt;=30",Datos!$F$2:$F$27777,"STANDBY"),0),"")</f>
        <v/>
      </c>
      <c r="T13" s="7">
        <f>IFERROR(ROUND(AVERAGEIFS(Datos!$G$2:$G$27777,Datos!$E$2:$E$27777,$A13,Datos!$B$2:$B$27777,17,Datos!$C$2:$C$27777,"&lt;30",Datos!$F$2:$F$27777,"STANDBY"),0),"")</f>
        <v/>
      </c>
      <c r="U13" s="7">
        <f>IFERROR(ROUND(AVERAGEIFS(Datos!$G$2:$G$27777,Datos!$E$2:$E$27777,$A13,Datos!$B$2:$B$27777,17,Datos!$C$2:$C$27777,"&gt;=30",Datos!$F$2:$F$27777,"STANDBY"),0),"")</f>
        <v/>
      </c>
      <c r="V13" s="7">
        <f>IFERROR(ROUND(AVERAGEIFS(Datos!$G$2:$G$27777,Datos!$E$2:$E$27777,$A13,Datos!$B$2:$B$27777,18,Datos!$C$2:$C$27777,"&lt;30",Datos!$F$2:$F$27777,"STANDBY"),0),"")</f>
        <v/>
      </c>
      <c r="W13" s="7">
        <f>IFERROR(ROUND(AVERAGEIFS(Datos!$G$2:$G$27777,Datos!$E$2:$E$27777,$A13,Datos!$B$2:$B$27777,18,Datos!$C$2:$C$27777,"&gt;=30",Datos!$F$2:$F$27777,"STANDBY"),0),"")</f>
        <v/>
      </c>
      <c r="X13" s="7">
        <f>IFERROR(ROUND(AVERAGEIFS(Datos!$G$2:$G$27777,Datos!$E$2:$E$27777,$A13,Datos!$B$2:$B$27777,19,Datos!$C$2:$C$27777,"&lt;30",Datos!$F$2:$F$27777,"STANDBY"),0),"")</f>
        <v/>
      </c>
      <c r="Y13" s="7">
        <f>IFERROR(ROUND(AVERAGEIFS(Datos!$G$2:$G$27777,Datos!$E$2:$E$27777,$A13,Datos!$B$2:$B$27777,19,Datos!$C$2:$C$27777,"&gt;=30",Datos!$F$2:$F$27777,"STANDBY"),0),"")</f>
        <v/>
      </c>
      <c r="Z13" s="7">
        <f>IFERROR(ROUND(AVERAGEIFS(Datos!$G$2:$G$27777,Datos!$E$2:$E$27777,$A13,Datos!$B$2:$B$27777,20,Datos!$C$2:$C$27777,"&lt;30",Datos!$F$2:$F$27777,"STANDBY"),0),"")</f>
        <v/>
      </c>
      <c r="AA13" s="7">
        <f>IFERROR(ROUND(AVERAGEIFS(Datos!$G$2:$G$27777,Datos!$E$2:$E$27777,$A13,Datos!$B$2:$B$27777,20,Datos!$C$2:$C$27777,"&gt;=30",Datos!$F$2:$F$27777,"STANDBY"),0),"")</f>
        <v/>
      </c>
      <c r="AB13" s="7">
        <f>IFERROR(ROUND(AVERAGEIFS(Datos!$G$2:$G$27777,Datos!$E$2:$E$27777,$A13,Datos!$B$2:$B$27777,21,Datos!$C$2:$C$27777,"&lt;30",Datos!$F$2:$F$27777,"STANDBY"),0),"")</f>
        <v/>
      </c>
      <c r="AC13" s="7">
        <f>IFERROR(ROUND(AVERAGEIFS(Datos!$G$2:$G$27777,Datos!$E$2:$E$27777,$A13,Datos!$B$2:$B$27777,21,Datos!$C$2:$C$27777,"&gt;=30",Datos!$F$2:$F$27777,"STANDBY"),0),"")</f>
        <v/>
      </c>
      <c r="AD13" s="7">
        <f>IFERROR(ROUND(AVERAGEIFS(Datos!$G$2:$G$27777,Datos!$E$2:$E$27777,$A13,Datos!$B$2:$B$27777,22,Datos!$C$2:$C$27777,"&lt;30",Datos!$F$2:$F$27777,"STANDBY"),0),"")</f>
        <v/>
      </c>
      <c r="AE13" s="7">
        <f>IFERROR(ROUND(AVERAGEIFS(Datos!$G$2:$G$27777,Datos!$E$2:$E$27777,$A13,Datos!$B$2:$B$27777,22,Datos!$C$2:$C$27777,"&gt;=30",Datos!$F$2:$F$27777,"STANDBY"),0),"")</f>
        <v/>
      </c>
      <c r="AF13" s="7">
        <f>IFERROR(ROUND(AVERAGEIFS(Datos!$G$2:$G$27777,Datos!$E$2:$E$27777,$A13,Datos!$B$2:$B$27777,23,Datos!$C$2:$C$27777,"&lt;30",Datos!$F$2:$F$27777,"STANDBY"),0),"")</f>
        <v/>
      </c>
      <c r="AG13" s="7">
        <f>IFERROR(ROUND(AVERAGEIFS(Datos!$G$2:$G$27777,Datos!$E$2:$E$27777,$A13,Datos!$B$2:$B$27777,23,Datos!$C$2:$C$27777,"&gt;=30",Datos!$F$2:$F$27777,"STANDBY"),0),"")</f>
        <v/>
      </c>
    </row>
    <row r="14">
      <c r="A14" s="6" t="inlineStr">
        <is>
          <t>RC Racer</t>
        </is>
      </c>
      <c r="B14" s="7">
        <f>IFERROR(ROUND(AVERAGEIFS(Datos!$G$2:$G$27777,Datos!$E$2:$E$27777,$A14,Datos!$B$2:$B$27777,8,Datos!$C$2:$C$27777,"&lt;30",Datos!$F$2:$F$27777,"STANDBY"),0),"")</f>
        <v/>
      </c>
      <c r="C14" s="7">
        <f>IFERROR(ROUND(AVERAGEIFS(Datos!$G$2:$G$27777,Datos!$E$2:$E$27777,$A14,Datos!$B$2:$B$27777,8,Datos!$C$2:$C$27777,"&gt;=30",Datos!$F$2:$F$27777,"STANDBY"),0),"")</f>
        <v/>
      </c>
      <c r="D14" s="7">
        <f>IFERROR(ROUND(AVERAGEIFS(Datos!$G$2:$G$27777,Datos!$E$2:$E$27777,$A14,Datos!$B$2:$B$27777,9,Datos!$C$2:$C$27777,"&lt;30",Datos!$F$2:$F$27777,"STANDBY"),0),"")</f>
        <v/>
      </c>
      <c r="E14" s="7">
        <f>IFERROR(ROUND(AVERAGEIFS(Datos!$G$2:$G$27777,Datos!$E$2:$E$27777,$A14,Datos!$B$2:$B$27777,9,Datos!$C$2:$C$27777,"&gt;=30",Datos!$F$2:$F$27777,"STANDBY"),0),"")</f>
        <v/>
      </c>
      <c r="F14" s="7">
        <f>IFERROR(ROUND(AVERAGEIFS(Datos!$G$2:$G$27777,Datos!$E$2:$E$27777,$A14,Datos!$B$2:$B$27777,10,Datos!$C$2:$C$27777,"&lt;30",Datos!$F$2:$F$27777,"STANDBY"),0),"")</f>
        <v/>
      </c>
      <c r="G14" s="7">
        <f>IFERROR(ROUND(AVERAGEIFS(Datos!$G$2:$G$27777,Datos!$E$2:$E$27777,$A14,Datos!$B$2:$B$27777,10,Datos!$C$2:$C$27777,"&gt;=30",Datos!$F$2:$F$27777,"STANDBY"),0),"")</f>
        <v/>
      </c>
      <c r="H14" s="7">
        <f>IFERROR(ROUND(AVERAGEIFS(Datos!$G$2:$G$27777,Datos!$E$2:$E$27777,$A14,Datos!$B$2:$B$27777,11,Datos!$C$2:$C$27777,"&lt;30",Datos!$F$2:$F$27777,"STANDBY"),0),"")</f>
        <v/>
      </c>
      <c r="I14" s="7">
        <f>IFERROR(ROUND(AVERAGEIFS(Datos!$G$2:$G$27777,Datos!$E$2:$E$27777,$A14,Datos!$B$2:$B$27777,11,Datos!$C$2:$C$27777,"&gt;=30",Datos!$F$2:$F$27777,"STANDBY"),0),"")</f>
        <v/>
      </c>
      <c r="J14" s="7">
        <f>IFERROR(ROUND(AVERAGEIFS(Datos!$G$2:$G$27777,Datos!$E$2:$E$27777,$A14,Datos!$B$2:$B$27777,12,Datos!$C$2:$C$27777,"&lt;30",Datos!$F$2:$F$27777,"STANDBY"),0),"")</f>
        <v/>
      </c>
      <c r="K14" s="7">
        <f>IFERROR(ROUND(AVERAGEIFS(Datos!$G$2:$G$27777,Datos!$E$2:$E$27777,$A14,Datos!$B$2:$B$27777,12,Datos!$C$2:$C$27777,"&gt;=30",Datos!$F$2:$F$27777,"STANDBY"),0),"")</f>
        <v/>
      </c>
      <c r="L14" s="7">
        <f>IFERROR(ROUND(AVERAGEIFS(Datos!$G$2:$G$27777,Datos!$E$2:$E$27777,$A14,Datos!$B$2:$B$27777,13,Datos!$C$2:$C$27777,"&lt;30",Datos!$F$2:$F$27777,"STANDBY"),0),"")</f>
        <v/>
      </c>
      <c r="M14" s="7">
        <f>IFERROR(ROUND(AVERAGEIFS(Datos!$G$2:$G$27777,Datos!$E$2:$E$27777,$A14,Datos!$B$2:$B$27777,13,Datos!$C$2:$C$27777,"&gt;=30",Datos!$F$2:$F$27777,"STANDBY"),0),"")</f>
        <v/>
      </c>
      <c r="N14" s="7">
        <f>IFERROR(ROUND(AVERAGEIFS(Datos!$G$2:$G$27777,Datos!$E$2:$E$27777,$A14,Datos!$B$2:$B$27777,14,Datos!$C$2:$C$27777,"&lt;30",Datos!$F$2:$F$27777,"STANDBY"),0),"")</f>
        <v/>
      </c>
      <c r="O14" s="7">
        <f>IFERROR(ROUND(AVERAGEIFS(Datos!$G$2:$G$27777,Datos!$E$2:$E$27777,$A14,Datos!$B$2:$B$27777,14,Datos!$C$2:$C$27777,"&gt;=30",Datos!$F$2:$F$27777,"STANDBY"),0),"")</f>
        <v/>
      </c>
      <c r="P14" s="7">
        <f>IFERROR(ROUND(AVERAGEIFS(Datos!$G$2:$G$27777,Datos!$E$2:$E$27777,$A14,Datos!$B$2:$B$27777,15,Datos!$C$2:$C$27777,"&lt;30",Datos!$F$2:$F$27777,"STANDBY"),0),"")</f>
        <v/>
      </c>
      <c r="Q14" s="7">
        <f>IFERROR(ROUND(AVERAGEIFS(Datos!$G$2:$G$27777,Datos!$E$2:$E$27777,$A14,Datos!$B$2:$B$27777,15,Datos!$C$2:$C$27777,"&gt;=30",Datos!$F$2:$F$27777,"STANDBY"),0),"")</f>
        <v/>
      </c>
      <c r="R14" s="7">
        <f>IFERROR(ROUND(AVERAGEIFS(Datos!$G$2:$G$27777,Datos!$E$2:$E$27777,$A14,Datos!$B$2:$B$27777,16,Datos!$C$2:$C$27777,"&lt;30",Datos!$F$2:$F$27777,"STANDBY"),0),"")</f>
        <v/>
      </c>
      <c r="S14" s="7">
        <f>IFERROR(ROUND(AVERAGEIFS(Datos!$G$2:$G$27777,Datos!$E$2:$E$27777,$A14,Datos!$B$2:$B$27777,16,Datos!$C$2:$C$27777,"&gt;=30",Datos!$F$2:$F$27777,"STANDBY"),0),"")</f>
        <v/>
      </c>
      <c r="T14" s="7">
        <f>IFERROR(ROUND(AVERAGEIFS(Datos!$G$2:$G$27777,Datos!$E$2:$E$27777,$A14,Datos!$B$2:$B$27777,17,Datos!$C$2:$C$27777,"&lt;30",Datos!$F$2:$F$27777,"STANDBY"),0),"")</f>
        <v/>
      </c>
      <c r="U14" s="7">
        <f>IFERROR(ROUND(AVERAGEIFS(Datos!$G$2:$G$27777,Datos!$E$2:$E$27777,$A14,Datos!$B$2:$B$27777,17,Datos!$C$2:$C$27777,"&gt;=30",Datos!$F$2:$F$27777,"STANDBY"),0),"")</f>
        <v/>
      </c>
      <c r="V14" s="7">
        <f>IFERROR(ROUND(AVERAGEIFS(Datos!$G$2:$G$27777,Datos!$E$2:$E$27777,$A14,Datos!$B$2:$B$27777,18,Datos!$C$2:$C$27777,"&lt;30",Datos!$F$2:$F$27777,"STANDBY"),0),"")</f>
        <v/>
      </c>
      <c r="W14" s="7">
        <f>IFERROR(ROUND(AVERAGEIFS(Datos!$G$2:$G$27777,Datos!$E$2:$E$27777,$A14,Datos!$B$2:$B$27777,18,Datos!$C$2:$C$27777,"&gt;=30",Datos!$F$2:$F$27777,"STANDBY"),0),"")</f>
        <v/>
      </c>
      <c r="X14" s="7">
        <f>IFERROR(ROUND(AVERAGEIFS(Datos!$G$2:$G$27777,Datos!$E$2:$E$27777,$A14,Datos!$B$2:$B$27777,19,Datos!$C$2:$C$27777,"&lt;30",Datos!$F$2:$F$27777,"STANDBY"),0),"")</f>
        <v/>
      </c>
      <c r="Y14" s="7">
        <f>IFERROR(ROUND(AVERAGEIFS(Datos!$G$2:$G$27777,Datos!$E$2:$E$27777,$A14,Datos!$B$2:$B$27777,19,Datos!$C$2:$C$27777,"&gt;=30",Datos!$F$2:$F$27777,"STANDBY"),0),"")</f>
        <v/>
      </c>
      <c r="Z14" s="7">
        <f>IFERROR(ROUND(AVERAGEIFS(Datos!$G$2:$G$27777,Datos!$E$2:$E$27777,$A14,Datos!$B$2:$B$27777,20,Datos!$C$2:$C$27777,"&lt;30",Datos!$F$2:$F$27777,"STANDBY"),0),"")</f>
        <v/>
      </c>
      <c r="AA14" s="7">
        <f>IFERROR(ROUND(AVERAGEIFS(Datos!$G$2:$G$27777,Datos!$E$2:$E$27777,$A14,Datos!$B$2:$B$27777,20,Datos!$C$2:$C$27777,"&gt;=30",Datos!$F$2:$F$27777,"STANDBY"),0),"")</f>
        <v/>
      </c>
      <c r="AB14" s="7">
        <f>IFERROR(ROUND(AVERAGEIFS(Datos!$G$2:$G$27777,Datos!$E$2:$E$27777,$A14,Datos!$B$2:$B$27777,21,Datos!$C$2:$C$27777,"&lt;30",Datos!$F$2:$F$27777,"STANDBY"),0),"")</f>
        <v/>
      </c>
      <c r="AC14" s="7">
        <f>IFERROR(ROUND(AVERAGEIFS(Datos!$G$2:$G$27777,Datos!$E$2:$E$27777,$A14,Datos!$B$2:$B$27777,21,Datos!$C$2:$C$27777,"&gt;=30",Datos!$F$2:$F$27777,"STANDBY"),0),"")</f>
        <v/>
      </c>
      <c r="AD14" s="7">
        <f>IFERROR(ROUND(AVERAGEIFS(Datos!$G$2:$G$27777,Datos!$E$2:$E$27777,$A14,Datos!$B$2:$B$27777,22,Datos!$C$2:$C$27777,"&lt;30",Datos!$F$2:$F$27777,"STANDBY"),0),"")</f>
        <v/>
      </c>
      <c r="AE14" s="7">
        <f>IFERROR(ROUND(AVERAGEIFS(Datos!$G$2:$G$27777,Datos!$E$2:$E$27777,$A14,Datos!$B$2:$B$27777,22,Datos!$C$2:$C$27777,"&gt;=30",Datos!$F$2:$F$27777,"STANDBY"),0),"")</f>
        <v/>
      </c>
      <c r="AF14" s="7">
        <f>IFERROR(ROUND(AVERAGEIFS(Datos!$G$2:$G$27777,Datos!$E$2:$E$27777,$A14,Datos!$B$2:$B$27777,23,Datos!$C$2:$C$27777,"&lt;30",Datos!$F$2:$F$27777,"STANDBY"),0),"")</f>
        <v/>
      </c>
      <c r="AG14" s="7">
        <f>IFERROR(ROUND(AVERAGEIFS(Datos!$G$2:$G$27777,Datos!$E$2:$E$27777,$A14,Datos!$B$2:$B$27777,23,Datos!$C$2:$C$27777,"&gt;=30",Datos!$F$2:$F$27777,"STANDBY"),0),"")</f>
        <v/>
      </c>
    </row>
    <row r="15">
      <c r="A15" s="6" t="inlineStr">
        <is>
          <t>RC Racer Single Rider</t>
        </is>
      </c>
      <c r="B15" s="7">
        <f>IFERROR(ROUND(AVERAGEIFS(Datos!$G$2:$G$27777,Datos!$E$2:$E$27777,$A15,Datos!$B$2:$B$27777,8,Datos!$C$2:$C$27777,"&lt;30",Datos!$F$2:$F$27777,"STANDBY"),0),"")</f>
        <v/>
      </c>
      <c r="C15" s="7">
        <f>IFERROR(ROUND(AVERAGEIFS(Datos!$G$2:$G$27777,Datos!$E$2:$E$27777,$A15,Datos!$B$2:$B$27777,8,Datos!$C$2:$C$27777,"&gt;=30",Datos!$F$2:$F$27777,"STANDBY"),0),"")</f>
        <v/>
      </c>
      <c r="D15" s="7">
        <f>IFERROR(ROUND(AVERAGEIFS(Datos!$G$2:$G$27777,Datos!$E$2:$E$27777,$A15,Datos!$B$2:$B$27777,9,Datos!$C$2:$C$27777,"&lt;30",Datos!$F$2:$F$27777,"STANDBY"),0),"")</f>
        <v/>
      </c>
      <c r="E15" s="7">
        <f>IFERROR(ROUND(AVERAGEIFS(Datos!$G$2:$G$27777,Datos!$E$2:$E$27777,$A15,Datos!$B$2:$B$27777,9,Datos!$C$2:$C$27777,"&gt;=30",Datos!$F$2:$F$27777,"STANDBY"),0),"")</f>
        <v/>
      </c>
      <c r="F15" s="7">
        <f>IFERROR(ROUND(AVERAGEIFS(Datos!$G$2:$G$27777,Datos!$E$2:$E$27777,$A15,Datos!$B$2:$B$27777,10,Datos!$C$2:$C$27777,"&lt;30",Datos!$F$2:$F$27777,"STANDBY"),0),"")</f>
        <v/>
      </c>
      <c r="G15" s="7">
        <f>IFERROR(ROUND(AVERAGEIFS(Datos!$G$2:$G$27777,Datos!$E$2:$E$27777,$A15,Datos!$B$2:$B$27777,10,Datos!$C$2:$C$27777,"&gt;=30",Datos!$F$2:$F$27777,"STANDBY"),0),"")</f>
        <v/>
      </c>
      <c r="H15" s="7">
        <f>IFERROR(ROUND(AVERAGEIFS(Datos!$G$2:$G$27777,Datos!$E$2:$E$27777,$A15,Datos!$B$2:$B$27777,11,Datos!$C$2:$C$27777,"&lt;30",Datos!$F$2:$F$27777,"STANDBY"),0),"")</f>
        <v/>
      </c>
      <c r="I15" s="7">
        <f>IFERROR(ROUND(AVERAGEIFS(Datos!$G$2:$G$27777,Datos!$E$2:$E$27777,$A15,Datos!$B$2:$B$27777,11,Datos!$C$2:$C$27777,"&gt;=30",Datos!$F$2:$F$27777,"STANDBY"),0),"")</f>
        <v/>
      </c>
      <c r="J15" s="7">
        <f>IFERROR(ROUND(AVERAGEIFS(Datos!$G$2:$G$27777,Datos!$E$2:$E$27777,$A15,Datos!$B$2:$B$27777,12,Datos!$C$2:$C$27777,"&lt;30",Datos!$F$2:$F$27777,"STANDBY"),0),"")</f>
        <v/>
      </c>
      <c r="K15" s="7">
        <f>IFERROR(ROUND(AVERAGEIFS(Datos!$G$2:$G$27777,Datos!$E$2:$E$27777,$A15,Datos!$B$2:$B$27777,12,Datos!$C$2:$C$27777,"&gt;=30",Datos!$F$2:$F$27777,"STANDBY"),0),"")</f>
        <v/>
      </c>
      <c r="L15" s="7">
        <f>IFERROR(ROUND(AVERAGEIFS(Datos!$G$2:$G$27777,Datos!$E$2:$E$27777,$A15,Datos!$B$2:$B$27777,13,Datos!$C$2:$C$27777,"&lt;30",Datos!$F$2:$F$27777,"STANDBY"),0),"")</f>
        <v/>
      </c>
      <c r="M15" s="7">
        <f>IFERROR(ROUND(AVERAGEIFS(Datos!$G$2:$G$27777,Datos!$E$2:$E$27777,$A15,Datos!$B$2:$B$27777,13,Datos!$C$2:$C$27777,"&gt;=30",Datos!$F$2:$F$27777,"STANDBY"),0),"")</f>
        <v/>
      </c>
      <c r="N15" s="7">
        <f>IFERROR(ROUND(AVERAGEIFS(Datos!$G$2:$G$27777,Datos!$E$2:$E$27777,$A15,Datos!$B$2:$B$27777,14,Datos!$C$2:$C$27777,"&lt;30",Datos!$F$2:$F$27777,"STANDBY"),0),"")</f>
        <v/>
      </c>
      <c r="O15" s="7">
        <f>IFERROR(ROUND(AVERAGEIFS(Datos!$G$2:$G$27777,Datos!$E$2:$E$27777,$A15,Datos!$B$2:$B$27777,14,Datos!$C$2:$C$27777,"&gt;=30",Datos!$F$2:$F$27777,"STANDBY"),0),"")</f>
        <v/>
      </c>
      <c r="P15" s="7">
        <f>IFERROR(ROUND(AVERAGEIFS(Datos!$G$2:$G$27777,Datos!$E$2:$E$27777,$A15,Datos!$B$2:$B$27777,15,Datos!$C$2:$C$27777,"&lt;30",Datos!$F$2:$F$27777,"STANDBY"),0),"")</f>
        <v/>
      </c>
      <c r="Q15" s="7">
        <f>IFERROR(ROUND(AVERAGEIFS(Datos!$G$2:$G$27777,Datos!$E$2:$E$27777,$A15,Datos!$B$2:$B$27777,15,Datos!$C$2:$C$27777,"&gt;=30",Datos!$F$2:$F$27777,"STANDBY"),0),"")</f>
        <v/>
      </c>
      <c r="R15" s="7">
        <f>IFERROR(ROUND(AVERAGEIFS(Datos!$G$2:$G$27777,Datos!$E$2:$E$27777,$A15,Datos!$B$2:$B$27777,16,Datos!$C$2:$C$27777,"&lt;30",Datos!$F$2:$F$27777,"STANDBY"),0),"")</f>
        <v/>
      </c>
      <c r="S15" s="7">
        <f>IFERROR(ROUND(AVERAGEIFS(Datos!$G$2:$G$27777,Datos!$E$2:$E$27777,$A15,Datos!$B$2:$B$27777,16,Datos!$C$2:$C$27777,"&gt;=30",Datos!$F$2:$F$27777,"STANDBY"),0),"")</f>
        <v/>
      </c>
      <c r="T15" s="7">
        <f>IFERROR(ROUND(AVERAGEIFS(Datos!$G$2:$G$27777,Datos!$E$2:$E$27777,$A15,Datos!$B$2:$B$27777,17,Datos!$C$2:$C$27777,"&lt;30",Datos!$F$2:$F$27777,"STANDBY"),0),"")</f>
        <v/>
      </c>
      <c r="U15" s="7">
        <f>IFERROR(ROUND(AVERAGEIFS(Datos!$G$2:$G$27777,Datos!$E$2:$E$27777,$A15,Datos!$B$2:$B$27777,17,Datos!$C$2:$C$27777,"&gt;=30",Datos!$F$2:$F$27777,"STANDBY"),0),"")</f>
        <v/>
      </c>
      <c r="V15" s="7">
        <f>IFERROR(ROUND(AVERAGEIFS(Datos!$G$2:$G$27777,Datos!$E$2:$E$27777,$A15,Datos!$B$2:$B$27777,18,Datos!$C$2:$C$27777,"&lt;30",Datos!$F$2:$F$27777,"STANDBY"),0),"")</f>
        <v/>
      </c>
      <c r="W15" s="7">
        <f>IFERROR(ROUND(AVERAGEIFS(Datos!$G$2:$G$27777,Datos!$E$2:$E$27777,$A15,Datos!$B$2:$B$27777,18,Datos!$C$2:$C$27777,"&gt;=30",Datos!$F$2:$F$27777,"STANDBY"),0),"")</f>
        <v/>
      </c>
      <c r="X15" s="7">
        <f>IFERROR(ROUND(AVERAGEIFS(Datos!$G$2:$G$27777,Datos!$E$2:$E$27777,$A15,Datos!$B$2:$B$27777,19,Datos!$C$2:$C$27777,"&lt;30",Datos!$F$2:$F$27777,"STANDBY"),0),"")</f>
        <v/>
      </c>
      <c r="Y15" s="7">
        <f>IFERROR(ROUND(AVERAGEIFS(Datos!$G$2:$G$27777,Datos!$E$2:$E$27777,$A15,Datos!$B$2:$B$27777,19,Datos!$C$2:$C$27777,"&gt;=30",Datos!$F$2:$F$27777,"STANDBY"),0),"")</f>
        <v/>
      </c>
      <c r="Z15" s="7">
        <f>IFERROR(ROUND(AVERAGEIFS(Datos!$G$2:$G$27777,Datos!$E$2:$E$27777,$A15,Datos!$B$2:$B$27777,20,Datos!$C$2:$C$27777,"&lt;30",Datos!$F$2:$F$27777,"STANDBY"),0),"")</f>
        <v/>
      </c>
      <c r="AA15" s="7">
        <f>IFERROR(ROUND(AVERAGEIFS(Datos!$G$2:$G$27777,Datos!$E$2:$E$27777,$A15,Datos!$B$2:$B$27777,20,Datos!$C$2:$C$27777,"&gt;=30",Datos!$F$2:$F$27777,"STANDBY"),0),"")</f>
        <v/>
      </c>
      <c r="AB15" s="7">
        <f>IFERROR(ROUND(AVERAGEIFS(Datos!$G$2:$G$27777,Datos!$E$2:$E$27777,$A15,Datos!$B$2:$B$27777,21,Datos!$C$2:$C$27777,"&lt;30",Datos!$F$2:$F$27777,"STANDBY"),0),"")</f>
        <v/>
      </c>
      <c r="AC15" s="7">
        <f>IFERROR(ROUND(AVERAGEIFS(Datos!$G$2:$G$27777,Datos!$E$2:$E$27777,$A15,Datos!$B$2:$B$27777,21,Datos!$C$2:$C$27777,"&gt;=30",Datos!$F$2:$F$27777,"STANDBY"),0),"")</f>
        <v/>
      </c>
      <c r="AD15" s="7">
        <f>IFERROR(ROUND(AVERAGEIFS(Datos!$G$2:$G$27777,Datos!$E$2:$E$27777,$A15,Datos!$B$2:$B$27777,22,Datos!$C$2:$C$27777,"&lt;30",Datos!$F$2:$F$27777,"STANDBY"),0),"")</f>
        <v/>
      </c>
      <c r="AE15" s="7">
        <f>IFERROR(ROUND(AVERAGEIFS(Datos!$G$2:$G$27777,Datos!$E$2:$E$27777,$A15,Datos!$B$2:$B$27777,22,Datos!$C$2:$C$27777,"&gt;=30",Datos!$F$2:$F$27777,"STANDBY"),0),"")</f>
        <v/>
      </c>
      <c r="AF15" s="7">
        <f>IFERROR(ROUND(AVERAGEIFS(Datos!$G$2:$G$27777,Datos!$E$2:$E$27777,$A15,Datos!$B$2:$B$27777,23,Datos!$C$2:$C$27777,"&lt;30",Datos!$F$2:$F$27777,"STANDBY"),0),"")</f>
        <v/>
      </c>
      <c r="AG15" s="7">
        <f>IFERROR(ROUND(AVERAGEIFS(Datos!$G$2:$G$27777,Datos!$E$2:$E$27777,$A15,Datos!$B$2:$B$27777,23,Datos!$C$2:$C$27777,"&gt;=30",Datos!$F$2:$F$27777,"STANDBY"),0),"")</f>
        <v/>
      </c>
    </row>
    <row r="16">
      <c r="A16" s="6" t="inlineStr">
        <is>
          <t>Raiponce Tangled Spin</t>
        </is>
      </c>
      <c r="B16" s="7">
        <f>IFERROR(ROUND(AVERAGEIFS(Datos!$G$2:$G$27777,Datos!$E$2:$E$27777,$A16,Datos!$B$2:$B$27777,8,Datos!$C$2:$C$27777,"&lt;30",Datos!$F$2:$F$27777,"STANDBY"),0),"")</f>
        <v/>
      </c>
      <c r="C16" s="7">
        <f>IFERROR(ROUND(AVERAGEIFS(Datos!$G$2:$G$27777,Datos!$E$2:$E$27777,$A16,Datos!$B$2:$B$27777,8,Datos!$C$2:$C$27777,"&gt;=30",Datos!$F$2:$F$27777,"STANDBY"),0),"")</f>
        <v/>
      </c>
      <c r="D16" s="7">
        <f>IFERROR(ROUND(AVERAGEIFS(Datos!$G$2:$G$27777,Datos!$E$2:$E$27777,$A16,Datos!$B$2:$B$27777,9,Datos!$C$2:$C$27777,"&lt;30",Datos!$F$2:$F$27777,"STANDBY"),0),"")</f>
        <v/>
      </c>
      <c r="E16" s="7">
        <f>IFERROR(ROUND(AVERAGEIFS(Datos!$G$2:$G$27777,Datos!$E$2:$E$27777,$A16,Datos!$B$2:$B$27777,9,Datos!$C$2:$C$27777,"&gt;=30",Datos!$F$2:$F$27777,"STANDBY"),0),"")</f>
        <v/>
      </c>
      <c r="F16" s="7">
        <f>IFERROR(ROUND(AVERAGEIFS(Datos!$G$2:$G$27777,Datos!$E$2:$E$27777,$A16,Datos!$B$2:$B$27777,10,Datos!$C$2:$C$27777,"&lt;30",Datos!$F$2:$F$27777,"STANDBY"),0),"")</f>
        <v/>
      </c>
      <c r="G16" s="7">
        <f>IFERROR(ROUND(AVERAGEIFS(Datos!$G$2:$G$27777,Datos!$E$2:$E$27777,$A16,Datos!$B$2:$B$27777,10,Datos!$C$2:$C$27777,"&gt;=30",Datos!$F$2:$F$27777,"STANDBY"),0),"")</f>
        <v/>
      </c>
      <c r="H16" s="7">
        <f>IFERROR(ROUND(AVERAGEIFS(Datos!$G$2:$G$27777,Datos!$E$2:$E$27777,$A16,Datos!$B$2:$B$27777,11,Datos!$C$2:$C$27777,"&lt;30",Datos!$F$2:$F$27777,"STANDBY"),0),"")</f>
        <v/>
      </c>
      <c r="I16" s="7">
        <f>IFERROR(ROUND(AVERAGEIFS(Datos!$G$2:$G$27777,Datos!$E$2:$E$27777,$A16,Datos!$B$2:$B$27777,11,Datos!$C$2:$C$27777,"&gt;=30",Datos!$F$2:$F$27777,"STANDBY"),0),"")</f>
        <v/>
      </c>
      <c r="J16" s="7">
        <f>IFERROR(ROUND(AVERAGEIFS(Datos!$G$2:$G$27777,Datos!$E$2:$E$27777,$A16,Datos!$B$2:$B$27777,12,Datos!$C$2:$C$27777,"&lt;30",Datos!$F$2:$F$27777,"STANDBY"),0),"")</f>
        <v/>
      </c>
      <c r="K16" s="7">
        <f>IFERROR(ROUND(AVERAGEIFS(Datos!$G$2:$G$27777,Datos!$E$2:$E$27777,$A16,Datos!$B$2:$B$27777,12,Datos!$C$2:$C$27777,"&gt;=30",Datos!$F$2:$F$27777,"STANDBY"),0),"")</f>
        <v/>
      </c>
      <c r="L16" s="7">
        <f>IFERROR(ROUND(AVERAGEIFS(Datos!$G$2:$G$27777,Datos!$E$2:$E$27777,$A16,Datos!$B$2:$B$27777,13,Datos!$C$2:$C$27777,"&lt;30",Datos!$F$2:$F$27777,"STANDBY"),0),"")</f>
        <v/>
      </c>
      <c r="M16" s="7">
        <f>IFERROR(ROUND(AVERAGEIFS(Datos!$G$2:$G$27777,Datos!$E$2:$E$27777,$A16,Datos!$B$2:$B$27777,13,Datos!$C$2:$C$27777,"&gt;=30",Datos!$F$2:$F$27777,"STANDBY"),0),"")</f>
        <v/>
      </c>
      <c r="N16" s="7">
        <f>IFERROR(ROUND(AVERAGEIFS(Datos!$G$2:$G$27777,Datos!$E$2:$E$27777,$A16,Datos!$B$2:$B$27777,14,Datos!$C$2:$C$27777,"&lt;30",Datos!$F$2:$F$27777,"STANDBY"),0),"")</f>
        <v/>
      </c>
      <c r="O16" s="7">
        <f>IFERROR(ROUND(AVERAGEIFS(Datos!$G$2:$G$27777,Datos!$E$2:$E$27777,$A16,Datos!$B$2:$B$27777,14,Datos!$C$2:$C$27777,"&gt;=30",Datos!$F$2:$F$27777,"STANDBY"),0),"")</f>
        <v/>
      </c>
      <c r="P16" s="7">
        <f>IFERROR(ROUND(AVERAGEIFS(Datos!$G$2:$G$27777,Datos!$E$2:$E$27777,$A16,Datos!$B$2:$B$27777,15,Datos!$C$2:$C$27777,"&lt;30",Datos!$F$2:$F$27777,"STANDBY"),0),"")</f>
        <v/>
      </c>
      <c r="Q16" s="7">
        <f>IFERROR(ROUND(AVERAGEIFS(Datos!$G$2:$G$27777,Datos!$E$2:$E$27777,$A16,Datos!$B$2:$B$27777,15,Datos!$C$2:$C$27777,"&gt;=30",Datos!$F$2:$F$27777,"STANDBY"),0),"")</f>
        <v/>
      </c>
      <c r="R16" s="7">
        <f>IFERROR(ROUND(AVERAGEIFS(Datos!$G$2:$G$27777,Datos!$E$2:$E$27777,$A16,Datos!$B$2:$B$27777,16,Datos!$C$2:$C$27777,"&lt;30",Datos!$F$2:$F$27777,"STANDBY"),0),"")</f>
        <v/>
      </c>
      <c r="S16" s="7">
        <f>IFERROR(ROUND(AVERAGEIFS(Datos!$G$2:$G$27777,Datos!$E$2:$E$27777,$A16,Datos!$B$2:$B$27777,16,Datos!$C$2:$C$27777,"&gt;=30",Datos!$F$2:$F$27777,"STANDBY"),0),"")</f>
        <v/>
      </c>
      <c r="T16" s="7">
        <f>IFERROR(ROUND(AVERAGEIFS(Datos!$G$2:$G$27777,Datos!$E$2:$E$27777,$A16,Datos!$B$2:$B$27777,17,Datos!$C$2:$C$27777,"&lt;30",Datos!$F$2:$F$27777,"STANDBY"),0),"")</f>
        <v/>
      </c>
      <c r="U16" s="7">
        <f>IFERROR(ROUND(AVERAGEIFS(Datos!$G$2:$G$27777,Datos!$E$2:$E$27777,$A16,Datos!$B$2:$B$27777,17,Datos!$C$2:$C$27777,"&gt;=30",Datos!$F$2:$F$27777,"STANDBY"),0),"")</f>
        <v/>
      </c>
      <c r="V16" s="7">
        <f>IFERROR(ROUND(AVERAGEIFS(Datos!$G$2:$G$27777,Datos!$E$2:$E$27777,$A16,Datos!$B$2:$B$27777,18,Datos!$C$2:$C$27777,"&lt;30",Datos!$F$2:$F$27777,"STANDBY"),0),"")</f>
        <v/>
      </c>
      <c r="W16" s="7">
        <f>IFERROR(ROUND(AVERAGEIFS(Datos!$G$2:$G$27777,Datos!$E$2:$E$27777,$A16,Datos!$B$2:$B$27777,18,Datos!$C$2:$C$27777,"&gt;=30",Datos!$F$2:$F$27777,"STANDBY"),0),"")</f>
        <v/>
      </c>
      <c r="X16" s="7">
        <f>IFERROR(ROUND(AVERAGEIFS(Datos!$G$2:$G$27777,Datos!$E$2:$E$27777,$A16,Datos!$B$2:$B$27777,19,Datos!$C$2:$C$27777,"&lt;30",Datos!$F$2:$F$27777,"STANDBY"),0),"")</f>
        <v/>
      </c>
      <c r="Y16" s="7">
        <f>IFERROR(ROUND(AVERAGEIFS(Datos!$G$2:$G$27777,Datos!$E$2:$E$27777,$A16,Datos!$B$2:$B$27777,19,Datos!$C$2:$C$27777,"&gt;=30",Datos!$F$2:$F$27777,"STANDBY"),0),"")</f>
        <v/>
      </c>
      <c r="Z16" s="7">
        <f>IFERROR(ROUND(AVERAGEIFS(Datos!$G$2:$G$27777,Datos!$E$2:$E$27777,$A16,Datos!$B$2:$B$27777,20,Datos!$C$2:$C$27777,"&lt;30",Datos!$F$2:$F$27777,"STANDBY"),0),"")</f>
        <v/>
      </c>
      <c r="AA16" s="7">
        <f>IFERROR(ROUND(AVERAGEIFS(Datos!$G$2:$G$27777,Datos!$E$2:$E$27777,$A16,Datos!$B$2:$B$27777,20,Datos!$C$2:$C$27777,"&gt;=30",Datos!$F$2:$F$27777,"STANDBY"),0),"")</f>
        <v/>
      </c>
      <c r="AB16" s="7">
        <f>IFERROR(ROUND(AVERAGEIFS(Datos!$G$2:$G$27777,Datos!$E$2:$E$27777,$A16,Datos!$B$2:$B$27777,21,Datos!$C$2:$C$27777,"&lt;30",Datos!$F$2:$F$27777,"STANDBY"),0),"")</f>
        <v/>
      </c>
      <c r="AC16" s="7">
        <f>IFERROR(ROUND(AVERAGEIFS(Datos!$G$2:$G$27777,Datos!$E$2:$E$27777,$A16,Datos!$B$2:$B$27777,21,Datos!$C$2:$C$27777,"&gt;=30",Datos!$F$2:$F$27777,"STANDBY"),0),"")</f>
        <v/>
      </c>
      <c r="AD16" s="7">
        <f>IFERROR(ROUND(AVERAGEIFS(Datos!$G$2:$G$27777,Datos!$E$2:$E$27777,$A16,Datos!$B$2:$B$27777,22,Datos!$C$2:$C$27777,"&lt;30",Datos!$F$2:$F$27777,"STANDBY"),0),"")</f>
        <v/>
      </c>
      <c r="AE16" s="7">
        <f>IFERROR(ROUND(AVERAGEIFS(Datos!$G$2:$G$27777,Datos!$E$2:$E$27777,$A16,Datos!$B$2:$B$27777,22,Datos!$C$2:$C$27777,"&gt;=30",Datos!$F$2:$F$27777,"STANDBY"),0),"")</f>
        <v/>
      </c>
      <c r="AF16" s="7">
        <f>IFERROR(ROUND(AVERAGEIFS(Datos!$G$2:$G$27777,Datos!$E$2:$E$27777,$A16,Datos!$B$2:$B$27777,23,Datos!$C$2:$C$27777,"&lt;30",Datos!$F$2:$F$27777,"STANDBY"),0),"")</f>
        <v/>
      </c>
      <c r="AG16" s="7">
        <f>IFERROR(ROUND(AVERAGEIFS(Datos!$G$2:$G$27777,Datos!$E$2:$E$27777,$A16,Datos!$B$2:$B$27777,23,Datos!$C$2:$C$27777,"&gt;=30",Datos!$F$2:$F$27777,"STANDBY"),0),"")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IFERROR(ROUND(AVERAGEIFS(Datos!$G$2:$G$27777,Datos!$E$2:$E$27777,$A17,Datos!$B$2:$B$27777,8,Datos!$C$2:$C$27777,"&lt;30",Datos!$F$2:$F$27777,"STANDBY"),0),"")</f>
        <v/>
      </c>
      <c r="C17" s="7">
        <f>IFERROR(ROUND(AVERAGEIFS(Datos!$G$2:$G$27777,Datos!$E$2:$E$27777,$A17,Datos!$B$2:$B$27777,8,Datos!$C$2:$C$27777,"&gt;=30",Datos!$F$2:$F$27777,"STANDBY"),0),"")</f>
        <v/>
      </c>
      <c r="D17" s="7">
        <f>IFERROR(ROUND(AVERAGEIFS(Datos!$G$2:$G$27777,Datos!$E$2:$E$27777,$A17,Datos!$B$2:$B$27777,9,Datos!$C$2:$C$27777,"&lt;30",Datos!$F$2:$F$27777,"STANDBY"),0),"")</f>
        <v/>
      </c>
      <c r="E17" s="7">
        <f>IFERROR(ROUND(AVERAGEIFS(Datos!$G$2:$G$27777,Datos!$E$2:$E$27777,$A17,Datos!$B$2:$B$27777,9,Datos!$C$2:$C$27777,"&gt;=30",Datos!$F$2:$F$27777,"STANDBY"),0),"")</f>
        <v/>
      </c>
      <c r="F17" s="7">
        <f>IFERROR(ROUND(AVERAGEIFS(Datos!$G$2:$G$27777,Datos!$E$2:$E$27777,$A17,Datos!$B$2:$B$27777,10,Datos!$C$2:$C$27777,"&lt;30",Datos!$F$2:$F$27777,"STANDBY"),0),"")</f>
        <v/>
      </c>
      <c r="G17" s="7">
        <f>IFERROR(ROUND(AVERAGEIFS(Datos!$G$2:$G$27777,Datos!$E$2:$E$27777,$A17,Datos!$B$2:$B$27777,10,Datos!$C$2:$C$27777,"&gt;=30",Datos!$F$2:$F$27777,"STANDBY"),0),"")</f>
        <v/>
      </c>
      <c r="H17" s="7">
        <f>IFERROR(ROUND(AVERAGEIFS(Datos!$G$2:$G$27777,Datos!$E$2:$E$27777,$A17,Datos!$B$2:$B$27777,11,Datos!$C$2:$C$27777,"&lt;30",Datos!$F$2:$F$27777,"STANDBY"),0),"")</f>
        <v/>
      </c>
      <c r="I17" s="7">
        <f>IFERROR(ROUND(AVERAGEIFS(Datos!$G$2:$G$27777,Datos!$E$2:$E$27777,$A17,Datos!$B$2:$B$27777,11,Datos!$C$2:$C$27777,"&gt;=30",Datos!$F$2:$F$27777,"STANDBY"),0),"")</f>
        <v/>
      </c>
      <c r="J17" s="7">
        <f>IFERROR(ROUND(AVERAGEIFS(Datos!$G$2:$G$27777,Datos!$E$2:$E$27777,$A17,Datos!$B$2:$B$27777,12,Datos!$C$2:$C$27777,"&lt;30",Datos!$F$2:$F$27777,"STANDBY"),0),"")</f>
        <v/>
      </c>
      <c r="K17" s="7">
        <f>IFERROR(ROUND(AVERAGEIFS(Datos!$G$2:$G$27777,Datos!$E$2:$E$27777,$A17,Datos!$B$2:$B$27777,12,Datos!$C$2:$C$27777,"&gt;=30",Datos!$F$2:$F$27777,"STANDBY"),0),"")</f>
        <v/>
      </c>
      <c r="L17" s="7">
        <f>IFERROR(ROUND(AVERAGEIFS(Datos!$G$2:$G$27777,Datos!$E$2:$E$27777,$A17,Datos!$B$2:$B$27777,13,Datos!$C$2:$C$27777,"&lt;30",Datos!$F$2:$F$27777,"STANDBY"),0),"")</f>
        <v/>
      </c>
      <c r="M17" s="7">
        <f>IFERROR(ROUND(AVERAGEIFS(Datos!$G$2:$G$27777,Datos!$E$2:$E$27777,$A17,Datos!$B$2:$B$27777,13,Datos!$C$2:$C$27777,"&gt;=30",Datos!$F$2:$F$27777,"STANDBY"),0),"")</f>
        <v/>
      </c>
      <c r="N17" s="7">
        <f>IFERROR(ROUND(AVERAGEIFS(Datos!$G$2:$G$27777,Datos!$E$2:$E$27777,$A17,Datos!$B$2:$B$27777,14,Datos!$C$2:$C$27777,"&lt;30",Datos!$F$2:$F$27777,"STANDBY"),0),"")</f>
        <v/>
      </c>
      <c r="O17" s="7">
        <f>IFERROR(ROUND(AVERAGEIFS(Datos!$G$2:$G$27777,Datos!$E$2:$E$27777,$A17,Datos!$B$2:$B$27777,14,Datos!$C$2:$C$27777,"&gt;=30",Datos!$F$2:$F$27777,"STANDBY"),0),"")</f>
        <v/>
      </c>
      <c r="P17" s="7">
        <f>IFERROR(ROUND(AVERAGEIFS(Datos!$G$2:$G$27777,Datos!$E$2:$E$27777,$A17,Datos!$B$2:$B$27777,15,Datos!$C$2:$C$27777,"&lt;30",Datos!$F$2:$F$27777,"STANDBY"),0),"")</f>
        <v/>
      </c>
      <c r="Q17" s="7">
        <f>IFERROR(ROUND(AVERAGEIFS(Datos!$G$2:$G$27777,Datos!$E$2:$E$27777,$A17,Datos!$B$2:$B$27777,15,Datos!$C$2:$C$27777,"&gt;=30",Datos!$F$2:$F$27777,"STANDBY"),0),"")</f>
        <v/>
      </c>
      <c r="R17" s="7">
        <f>IFERROR(ROUND(AVERAGEIFS(Datos!$G$2:$G$27777,Datos!$E$2:$E$27777,$A17,Datos!$B$2:$B$27777,16,Datos!$C$2:$C$27777,"&lt;30",Datos!$F$2:$F$27777,"STANDBY"),0),"")</f>
        <v/>
      </c>
      <c r="S17" s="7">
        <f>IFERROR(ROUND(AVERAGEIFS(Datos!$G$2:$G$27777,Datos!$E$2:$E$27777,$A17,Datos!$B$2:$B$27777,16,Datos!$C$2:$C$27777,"&gt;=30",Datos!$F$2:$F$27777,"STANDBY"),0),"")</f>
        <v/>
      </c>
      <c r="T17" s="7">
        <f>IFERROR(ROUND(AVERAGEIFS(Datos!$G$2:$G$27777,Datos!$E$2:$E$27777,$A17,Datos!$B$2:$B$27777,17,Datos!$C$2:$C$27777,"&lt;30",Datos!$F$2:$F$27777,"STANDBY"),0),"")</f>
        <v/>
      </c>
      <c r="U17" s="7">
        <f>IFERROR(ROUND(AVERAGEIFS(Datos!$G$2:$G$27777,Datos!$E$2:$E$27777,$A17,Datos!$B$2:$B$27777,17,Datos!$C$2:$C$27777,"&gt;=30",Datos!$F$2:$F$27777,"STANDBY"),0),"")</f>
        <v/>
      </c>
      <c r="V17" s="7">
        <f>IFERROR(ROUND(AVERAGEIFS(Datos!$G$2:$G$27777,Datos!$E$2:$E$27777,$A17,Datos!$B$2:$B$27777,18,Datos!$C$2:$C$27777,"&lt;30",Datos!$F$2:$F$27777,"STANDBY"),0),"")</f>
        <v/>
      </c>
      <c r="W17" s="7">
        <f>IFERROR(ROUND(AVERAGEIFS(Datos!$G$2:$G$27777,Datos!$E$2:$E$27777,$A17,Datos!$B$2:$B$27777,18,Datos!$C$2:$C$27777,"&gt;=30",Datos!$F$2:$F$27777,"STANDBY"),0),"")</f>
        <v/>
      </c>
      <c r="X17" s="7">
        <f>IFERROR(ROUND(AVERAGEIFS(Datos!$G$2:$G$27777,Datos!$E$2:$E$27777,$A17,Datos!$B$2:$B$27777,19,Datos!$C$2:$C$27777,"&lt;30",Datos!$F$2:$F$27777,"STANDBY"),0),"")</f>
        <v/>
      </c>
      <c r="Y17" s="7">
        <f>IFERROR(ROUND(AVERAGEIFS(Datos!$G$2:$G$27777,Datos!$E$2:$E$27777,$A17,Datos!$B$2:$B$27777,19,Datos!$C$2:$C$27777,"&gt;=30",Datos!$F$2:$F$27777,"STANDBY"),0),"")</f>
        <v/>
      </c>
      <c r="Z17" s="7">
        <f>IFERROR(ROUND(AVERAGEIFS(Datos!$G$2:$G$27777,Datos!$E$2:$E$27777,$A17,Datos!$B$2:$B$27777,20,Datos!$C$2:$C$27777,"&lt;30",Datos!$F$2:$F$27777,"STANDBY"),0),"")</f>
        <v/>
      </c>
      <c r="AA17" s="7">
        <f>IFERROR(ROUND(AVERAGEIFS(Datos!$G$2:$G$27777,Datos!$E$2:$E$27777,$A17,Datos!$B$2:$B$27777,20,Datos!$C$2:$C$27777,"&gt;=30",Datos!$F$2:$F$27777,"STANDBY"),0),"")</f>
        <v/>
      </c>
      <c r="AB17" s="7">
        <f>IFERROR(ROUND(AVERAGEIFS(Datos!$G$2:$G$27777,Datos!$E$2:$E$27777,$A17,Datos!$B$2:$B$27777,21,Datos!$C$2:$C$27777,"&lt;30",Datos!$F$2:$F$27777,"STANDBY"),0),"")</f>
        <v/>
      </c>
      <c r="AC17" s="7">
        <f>IFERROR(ROUND(AVERAGEIFS(Datos!$G$2:$G$27777,Datos!$E$2:$E$27777,$A17,Datos!$B$2:$B$27777,21,Datos!$C$2:$C$27777,"&gt;=30",Datos!$F$2:$F$27777,"STANDBY"),0),"")</f>
        <v/>
      </c>
      <c r="AD17" s="7">
        <f>IFERROR(ROUND(AVERAGEIFS(Datos!$G$2:$G$27777,Datos!$E$2:$E$27777,$A17,Datos!$B$2:$B$27777,22,Datos!$C$2:$C$27777,"&lt;30",Datos!$F$2:$F$27777,"STANDBY"),0),"")</f>
        <v/>
      </c>
      <c r="AE17" s="7">
        <f>IFERROR(ROUND(AVERAGEIFS(Datos!$G$2:$G$27777,Datos!$E$2:$E$27777,$A17,Datos!$B$2:$B$27777,22,Datos!$C$2:$C$27777,"&gt;=30",Datos!$F$2:$F$27777,"STANDBY"),0),"")</f>
        <v/>
      </c>
      <c r="AF17" s="7">
        <f>IFERROR(ROUND(AVERAGEIFS(Datos!$G$2:$G$27777,Datos!$E$2:$E$27777,$A17,Datos!$B$2:$B$27777,23,Datos!$C$2:$C$27777,"&lt;30",Datos!$F$2:$F$27777,"STANDBY"),0),"")</f>
        <v/>
      </c>
      <c r="AG17" s="7">
        <f>IFERROR(ROUND(AVERAGEIFS(Datos!$G$2:$G$27777,Datos!$E$2:$E$27777,$A17,Datos!$B$2:$B$27777,23,Datos!$C$2:$C$27777,"&gt;=30",Datos!$F$2:$F$27777,"STANDBY"),0),"")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IFERROR(ROUND(AVERAGEIFS(Datos!$G$2:$G$27777,Datos!$E$2:$E$27777,$A18,Datos!$B$2:$B$27777,8,Datos!$C$2:$C$27777,"&lt;30",Datos!$F$2:$F$27777,"STANDBY"),0),"")</f>
        <v/>
      </c>
      <c r="C18" s="7">
        <f>IFERROR(ROUND(AVERAGEIFS(Datos!$G$2:$G$27777,Datos!$E$2:$E$27777,$A18,Datos!$B$2:$B$27777,8,Datos!$C$2:$C$27777,"&gt;=30",Datos!$F$2:$F$27777,"STANDBY"),0),"")</f>
        <v/>
      </c>
      <c r="D18" s="7">
        <f>IFERROR(ROUND(AVERAGEIFS(Datos!$G$2:$G$27777,Datos!$E$2:$E$27777,$A18,Datos!$B$2:$B$27777,9,Datos!$C$2:$C$27777,"&lt;30",Datos!$F$2:$F$27777,"STANDBY"),0),"")</f>
        <v/>
      </c>
      <c r="E18" s="7">
        <f>IFERROR(ROUND(AVERAGEIFS(Datos!$G$2:$G$27777,Datos!$E$2:$E$27777,$A18,Datos!$B$2:$B$27777,9,Datos!$C$2:$C$27777,"&gt;=30",Datos!$F$2:$F$27777,"STANDBY"),0),"")</f>
        <v/>
      </c>
      <c r="F18" s="7">
        <f>IFERROR(ROUND(AVERAGEIFS(Datos!$G$2:$G$27777,Datos!$E$2:$E$27777,$A18,Datos!$B$2:$B$27777,10,Datos!$C$2:$C$27777,"&lt;30",Datos!$F$2:$F$27777,"STANDBY"),0),"")</f>
        <v/>
      </c>
      <c r="G18" s="7">
        <f>IFERROR(ROUND(AVERAGEIFS(Datos!$G$2:$G$27777,Datos!$E$2:$E$27777,$A18,Datos!$B$2:$B$27777,10,Datos!$C$2:$C$27777,"&gt;=30",Datos!$F$2:$F$27777,"STANDBY"),0),"")</f>
        <v/>
      </c>
      <c r="H18" s="7">
        <f>IFERROR(ROUND(AVERAGEIFS(Datos!$G$2:$G$27777,Datos!$E$2:$E$27777,$A18,Datos!$B$2:$B$27777,11,Datos!$C$2:$C$27777,"&lt;30",Datos!$F$2:$F$27777,"STANDBY"),0),"")</f>
        <v/>
      </c>
      <c r="I18" s="7">
        <f>IFERROR(ROUND(AVERAGEIFS(Datos!$G$2:$G$27777,Datos!$E$2:$E$27777,$A18,Datos!$B$2:$B$27777,11,Datos!$C$2:$C$27777,"&gt;=30",Datos!$F$2:$F$27777,"STANDBY"),0),"")</f>
        <v/>
      </c>
      <c r="J18" s="7">
        <f>IFERROR(ROUND(AVERAGEIFS(Datos!$G$2:$G$27777,Datos!$E$2:$E$27777,$A18,Datos!$B$2:$B$27777,12,Datos!$C$2:$C$27777,"&lt;30",Datos!$F$2:$F$27777,"STANDBY"),0),"")</f>
        <v/>
      </c>
      <c r="K18" s="7">
        <f>IFERROR(ROUND(AVERAGEIFS(Datos!$G$2:$G$27777,Datos!$E$2:$E$27777,$A18,Datos!$B$2:$B$27777,12,Datos!$C$2:$C$27777,"&gt;=30",Datos!$F$2:$F$27777,"STANDBY"),0),"")</f>
        <v/>
      </c>
      <c r="L18" s="7">
        <f>IFERROR(ROUND(AVERAGEIFS(Datos!$G$2:$G$27777,Datos!$E$2:$E$27777,$A18,Datos!$B$2:$B$27777,13,Datos!$C$2:$C$27777,"&lt;30",Datos!$F$2:$F$27777,"STANDBY"),0),"")</f>
        <v/>
      </c>
      <c r="M18" s="7">
        <f>IFERROR(ROUND(AVERAGEIFS(Datos!$G$2:$G$27777,Datos!$E$2:$E$27777,$A18,Datos!$B$2:$B$27777,13,Datos!$C$2:$C$27777,"&gt;=30",Datos!$F$2:$F$27777,"STANDBY"),0),"")</f>
        <v/>
      </c>
      <c r="N18" s="7">
        <f>IFERROR(ROUND(AVERAGEIFS(Datos!$G$2:$G$27777,Datos!$E$2:$E$27777,$A18,Datos!$B$2:$B$27777,14,Datos!$C$2:$C$27777,"&lt;30",Datos!$F$2:$F$27777,"STANDBY"),0),"")</f>
        <v/>
      </c>
      <c r="O18" s="7">
        <f>IFERROR(ROUND(AVERAGEIFS(Datos!$G$2:$G$27777,Datos!$E$2:$E$27777,$A18,Datos!$B$2:$B$27777,14,Datos!$C$2:$C$27777,"&gt;=30",Datos!$F$2:$F$27777,"STANDBY"),0),"")</f>
        <v/>
      </c>
      <c r="P18" s="7">
        <f>IFERROR(ROUND(AVERAGEIFS(Datos!$G$2:$G$27777,Datos!$E$2:$E$27777,$A18,Datos!$B$2:$B$27777,15,Datos!$C$2:$C$27777,"&lt;30",Datos!$F$2:$F$27777,"STANDBY"),0),"")</f>
        <v/>
      </c>
      <c r="Q18" s="7">
        <f>IFERROR(ROUND(AVERAGEIFS(Datos!$G$2:$G$27777,Datos!$E$2:$E$27777,$A18,Datos!$B$2:$B$27777,15,Datos!$C$2:$C$27777,"&gt;=30",Datos!$F$2:$F$27777,"STANDBY"),0),"")</f>
        <v/>
      </c>
      <c r="R18" s="7">
        <f>IFERROR(ROUND(AVERAGEIFS(Datos!$G$2:$G$27777,Datos!$E$2:$E$27777,$A18,Datos!$B$2:$B$27777,16,Datos!$C$2:$C$27777,"&lt;30",Datos!$F$2:$F$27777,"STANDBY"),0),"")</f>
        <v/>
      </c>
      <c r="S18" s="7">
        <f>IFERROR(ROUND(AVERAGEIFS(Datos!$G$2:$G$27777,Datos!$E$2:$E$27777,$A18,Datos!$B$2:$B$27777,16,Datos!$C$2:$C$27777,"&gt;=30",Datos!$F$2:$F$27777,"STANDBY"),0),"")</f>
        <v/>
      </c>
      <c r="T18" s="7">
        <f>IFERROR(ROUND(AVERAGEIFS(Datos!$G$2:$G$27777,Datos!$E$2:$E$27777,$A18,Datos!$B$2:$B$27777,17,Datos!$C$2:$C$27777,"&lt;30",Datos!$F$2:$F$27777,"STANDBY"),0),"")</f>
        <v/>
      </c>
      <c r="U18" s="7">
        <f>IFERROR(ROUND(AVERAGEIFS(Datos!$G$2:$G$27777,Datos!$E$2:$E$27777,$A18,Datos!$B$2:$B$27777,17,Datos!$C$2:$C$27777,"&gt;=30",Datos!$F$2:$F$27777,"STANDBY"),0),"")</f>
        <v/>
      </c>
      <c r="V18" s="7">
        <f>IFERROR(ROUND(AVERAGEIFS(Datos!$G$2:$G$27777,Datos!$E$2:$E$27777,$A18,Datos!$B$2:$B$27777,18,Datos!$C$2:$C$27777,"&lt;30",Datos!$F$2:$F$27777,"STANDBY"),0),"")</f>
        <v/>
      </c>
      <c r="W18" s="7">
        <f>IFERROR(ROUND(AVERAGEIFS(Datos!$G$2:$G$27777,Datos!$E$2:$E$27777,$A18,Datos!$B$2:$B$27777,18,Datos!$C$2:$C$27777,"&gt;=30",Datos!$F$2:$F$27777,"STANDBY"),0),"")</f>
        <v/>
      </c>
      <c r="X18" s="7">
        <f>IFERROR(ROUND(AVERAGEIFS(Datos!$G$2:$G$27777,Datos!$E$2:$E$27777,$A18,Datos!$B$2:$B$27777,19,Datos!$C$2:$C$27777,"&lt;30",Datos!$F$2:$F$27777,"STANDBY"),0),"")</f>
        <v/>
      </c>
      <c r="Y18" s="7">
        <f>IFERROR(ROUND(AVERAGEIFS(Datos!$G$2:$G$27777,Datos!$E$2:$E$27777,$A18,Datos!$B$2:$B$27777,19,Datos!$C$2:$C$27777,"&gt;=30",Datos!$F$2:$F$27777,"STANDBY"),0),"")</f>
        <v/>
      </c>
      <c r="Z18" s="7">
        <f>IFERROR(ROUND(AVERAGEIFS(Datos!$G$2:$G$27777,Datos!$E$2:$E$27777,$A18,Datos!$B$2:$B$27777,20,Datos!$C$2:$C$27777,"&lt;30",Datos!$F$2:$F$27777,"STANDBY"),0),"")</f>
        <v/>
      </c>
      <c r="AA18" s="7">
        <f>IFERROR(ROUND(AVERAGEIFS(Datos!$G$2:$G$27777,Datos!$E$2:$E$27777,$A18,Datos!$B$2:$B$27777,20,Datos!$C$2:$C$27777,"&gt;=30",Datos!$F$2:$F$27777,"STANDBY"),0),"")</f>
        <v/>
      </c>
      <c r="AB18" s="7">
        <f>IFERROR(ROUND(AVERAGEIFS(Datos!$G$2:$G$27777,Datos!$E$2:$E$27777,$A18,Datos!$B$2:$B$27777,21,Datos!$C$2:$C$27777,"&lt;30",Datos!$F$2:$F$27777,"STANDBY"),0),"")</f>
        <v/>
      </c>
      <c r="AC18" s="7">
        <f>IFERROR(ROUND(AVERAGEIFS(Datos!$G$2:$G$27777,Datos!$E$2:$E$27777,$A18,Datos!$B$2:$B$27777,21,Datos!$C$2:$C$27777,"&gt;=30",Datos!$F$2:$F$27777,"STANDBY"),0),"")</f>
        <v/>
      </c>
      <c r="AD18" s="7">
        <f>IFERROR(ROUND(AVERAGEIFS(Datos!$G$2:$G$27777,Datos!$E$2:$E$27777,$A18,Datos!$B$2:$B$27777,22,Datos!$C$2:$C$27777,"&lt;30",Datos!$F$2:$F$27777,"STANDBY"),0),"")</f>
        <v/>
      </c>
      <c r="AE18" s="7">
        <f>IFERROR(ROUND(AVERAGEIFS(Datos!$G$2:$G$27777,Datos!$E$2:$E$27777,$A18,Datos!$B$2:$B$27777,22,Datos!$C$2:$C$27777,"&gt;=30",Datos!$F$2:$F$27777,"STANDBY"),0),"")</f>
        <v/>
      </c>
      <c r="AF18" s="7">
        <f>IFERROR(ROUND(AVERAGEIFS(Datos!$G$2:$G$27777,Datos!$E$2:$E$27777,$A18,Datos!$B$2:$B$27777,23,Datos!$C$2:$C$27777,"&lt;30",Datos!$F$2:$F$27777,"STANDBY"),0),"")</f>
        <v/>
      </c>
      <c r="AG18" s="7">
        <f>IFERROR(ROUND(AVERAGEIFS(Datos!$G$2:$G$27777,Datos!$E$2:$E$27777,$A18,Datos!$B$2:$B$27777,23,Datos!$C$2:$C$27777,"&gt;=30",Datos!$F$2:$F$27777,"STANDBY"),0),"")</f>
        <v/>
      </c>
    </row>
    <row r="19">
      <c r="A19" s="6" t="inlineStr">
        <is>
          <t>Slinky® Dog Zigzag Spin</t>
        </is>
      </c>
      <c r="B19" s="7">
        <f>IFERROR(ROUND(AVERAGEIFS(Datos!$G$2:$G$27777,Datos!$E$2:$E$27777,$A19,Datos!$B$2:$B$27777,8,Datos!$C$2:$C$27777,"&lt;30",Datos!$F$2:$F$27777,"STANDBY"),0),"")</f>
        <v/>
      </c>
      <c r="C19" s="7">
        <f>IFERROR(ROUND(AVERAGEIFS(Datos!$G$2:$G$27777,Datos!$E$2:$E$27777,$A19,Datos!$B$2:$B$27777,8,Datos!$C$2:$C$27777,"&gt;=30",Datos!$F$2:$F$27777,"STANDBY"),0),"")</f>
        <v/>
      </c>
      <c r="D19" s="7">
        <f>IFERROR(ROUND(AVERAGEIFS(Datos!$G$2:$G$27777,Datos!$E$2:$E$27777,$A19,Datos!$B$2:$B$27777,9,Datos!$C$2:$C$27777,"&lt;30",Datos!$F$2:$F$27777,"STANDBY"),0),"")</f>
        <v/>
      </c>
      <c r="E19" s="7">
        <f>IFERROR(ROUND(AVERAGEIFS(Datos!$G$2:$G$27777,Datos!$E$2:$E$27777,$A19,Datos!$B$2:$B$27777,9,Datos!$C$2:$C$27777,"&gt;=30",Datos!$F$2:$F$27777,"STANDBY"),0),"")</f>
        <v/>
      </c>
      <c r="F19" s="7">
        <f>IFERROR(ROUND(AVERAGEIFS(Datos!$G$2:$G$27777,Datos!$E$2:$E$27777,$A19,Datos!$B$2:$B$27777,10,Datos!$C$2:$C$27777,"&lt;30",Datos!$F$2:$F$27777,"STANDBY"),0),"")</f>
        <v/>
      </c>
      <c r="G19" s="7">
        <f>IFERROR(ROUND(AVERAGEIFS(Datos!$G$2:$G$27777,Datos!$E$2:$E$27777,$A19,Datos!$B$2:$B$27777,10,Datos!$C$2:$C$27777,"&gt;=30",Datos!$F$2:$F$27777,"STANDBY"),0),"")</f>
        <v/>
      </c>
      <c r="H19" s="7">
        <f>IFERROR(ROUND(AVERAGEIFS(Datos!$G$2:$G$27777,Datos!$E$2:$E$27777,$A19,Datos!$B$2:$B$27777,11,Datos!$C$2:$C$27777,"&lt;30",Datos!$F$2:$F$27777,"STANDBY"),0),"")</f>
        <v/>
      </c>
      <c r="I19" s="7">
        <f>IFERROR(ROUND(AVERAGEIFS(Datos!$G$2:$G$27777,Datos!$E$2:$E$27777,$A19,Datos!$B$2:$B$27777,11,Datos!$C$2:$C$27777,"&gt;=30",Datos!$F$2:$F$27777,"STANDBY"),0),"")</f>
        <v/>
      </c>
      <c r="J19" s="7">
        <f>IFERROR(ROUND(AVERAGEIFS(Datos!$G$2:$G$27777,Datos!$E$2:$E$27777,$A19,Datos!$B$2:$B$27777,12,Datos!$C$2:$C$27777,"&lt;30",Datos!$F$2:$F$27777,"STANDBY"),0),"")</f>
        <v/>
      </c>
      <c r="K19" s="7">
        <f>IFERROR(ROUND(AVERAGEIFS(Datos!$G$2:$G$27777,Datos!$E$2:$E$27777,$A19,Datos!$B$2:$B$27777,12,Datos!$C$2:$C$27777,"&gt;=30",Datos!$F$2:$F$27777,"STANDBY"),0),"")</f>
        <v/>
      </c>
      <c r="L19" s="7">
        <f>IFERROR(ROUND(AVERAGEIFS(Datos!$G$2:$G$27777,Datos!$E$2:$E$27777,$A19,Datos!$B$2:$B$27777,13,Datos!$C$2:$C$27777,"&lt;30",Datos!$F$2:$F$27777,"STANDBY"),0),"")</f>
        <v/>
      </c>
      <c r="M19" s="7">
        <f>IFERROR(ROUND(AVERAGEIFS(Datos!$G$2:$G$27777,Datos!$E$2:$E$27777,$A19,Datos!$B$2:$B$27777,13,Datos!$C$2:$C$27777,"&gt;=30",Datos!$F$2:$F$27777,"STANDBY"),0),"")</f>
        <v/>
      </c>
      <c r="N19" s="7">
        <f>IFERROR(ROUND(AVERAGEIFS(Datos!$G$2:$G$27777,Datos!$E$2:$E$27777,$A19,Datos!$B$2:$B$27777,14,Datos!$C$2:$C$27777,"&lt;30",Datos!$F$2:$F$27777,"STANDBY"),0),"")</f>
        <v/>
      </c>
      <c r="O19" s="7">
        <f>IFERROR(ROUND(AVERAGEIFS(Datos!$G$2:$G$27777,Datos!$E$2:$E$27777,$A19,Datos!$B$2:$B$27777,14,Datos!$C$2:$C$27777,"&gt;=30",Datos!$F$2:$F$27777,"STANDBY"),0),"")</f>
        <v/>
      </c>
      <c r="P19" s="7">
        <f>IFERROR(ROUND(AVERAGEIFS(Datos!$G$2:$G$27777,Datos!$E$2:$E$27777,$A19,Datos!$B$2:$B$27777,15,Datos!$C$2:$C$27777,"&lt;30",Datos!$F$2:$F$27777,"STANDBY"),0),"")</f>
        <v/>
      </c>
      <c r="Q19" s="7">
        <f>IFERROR(ROUND(AVERAGEIFS(Datos!$G$2:$G$27777,Datos!$E$2:$E$27777,$A19,Datos!$B$2:$B$27777,15,Datos!$C$2:$C$27777,"&gt;=30",Datos!$F$2:$F$27777,"STANDBY"),0),"")</f>
        <v/>
      </c>
      <c r="R19" s="7">
        <f>IFERROR(ROUND(AVERAGEIFS(Datos!$G$2:$G$27777,Datos!$E$2:$E$27777,$A19,Datos!$B$2:$B$27777,16,Datos!$C$2:$C$27777,"&lt;30",Datos!$F$2:$F$27777,"STANDBY"),0),"")</f>
        <v/>
      </c>
      <c r="S19" s="7">
        <f>IFERROR(ROUND(AVERAGEIFS(Datos!$G$2:$G$27777,Datos!$E$2:$E$27777,$A19,Datos!$B$2:$B$27777,16,Datos!$C$2:$C$27777,"&gt;=30",Datos!$F$2:$F$27777,"STANDBY"),0),"")</f>
        <v/>
      </c>
      <c r="T19" s="7">
        <f>IFERROR(ROUND(AVERAGEIFS(Datos!$G$2:$G$27777,Datos!$E$2:$E$27777,$A19,Datos!$B$2:$B$27777,17,Datos!$C$2:$C$27777,"&lt;30",Datos!$F$2:$F$27777,"STANDBY"),0),"")</f>
        <v/>
      </c>
      <c r="U19" s="7">
        <f>IFERROR(ROUND(AVERAGEIFS(Datos!$G$2:$G$27777,Datos!$E$2:$E$27777,$A19,Datos!$B$2:$B$27777,17,Datos!$C$2:$C$27777,"&gt;=30",Datos!$F$2:$F$27777,"STANDBY"),0),"")</f>
        <v/>
      </c>
      <c r="V19" s="7">
        <f>IFERROR(ROUND(AVERAGEIFS(Datos!$G$2:$G$27777,Datos!$E$2:$E$27777,$A19,Datos!$B$2:$B$27777,18,Datos!$C$2:$C$27777,"&lt;30",Datos!$F$2:$F$27777,"STANDBY"),0),"")</f>
        <v/>
      </c>
      <c r="W19" s="7">
        <f>IFERROR(ROUND(AVERAGEIFS(Datos!$G$2:$G$27777,Datos!$E$2:$E$27777,$A19,Datos!$B$2:$B$27777,18,Datos!$C$2:$C$27777,"&gt;=30",Datos!$F$2:$F$27777,"STANDBY"),0),"")</f>
        <v/>
      </c>
      <c r="X19" s="7">
        <f>IFERROR(ROUND(AVERAGEIFS(Datos!$G$2:$G$27777,Datos!$E$2:$E$27777,$A19,Datos!$B$2:$B$27777,19,Datos!$C$2:$C$27777,"&lt;30",Datos!$F$2:$F$27777,"STANDBY"),0),"")</f>
        <v/>
      </c>
      <c r="Y19" s="7">
        <f>IFERROR(ROUND(AVERAGEIFS(Datos!$G$2:$G$27777,Datos!$E$2:$E$27777,$A19,Datos!$B$2:$B$27777,19,Datos!$C$2:$C$27777,"&gt;=30",Datos!$F$2:$F$27777,"STANDBY"),0),"")</f>
        <v/>
      </c>
      <c r="Z19" s="7">
        <f>IFERROR(ROUND(AVERAGEIFS(Datos!$G$2:$G$27777,Datos!$E$2:$E$27777,$A19,Datos!$B$2:$B$27777,20,Datos!$C$2:$C$27777,"&lt;30",Datos!$F$2:$F$27777,"STANDBY"),0),"")</f>
        <v/>
      </c>
      <c r="AA19" s="7">
        <f>IFERROR(ROUND(AVERAGEIFS(Datos!$G$2:$G$27777,Datos!$E$2:$E$27777,$A19,Datos!$B$2:$B$27777,20,Datos!$C$2:$C$27777,"&gt;=30",Datos!$F$2:$F$27777,"STANDBY"),0),"")</f>
        <v/>
      </c>
      <c r="AB19" s="7">
        <f>IFERROR(ROUND(AVERAGEIFS(Datos!$G$2:$G$27777,Datos!$E$2:$E$27777,$A19,Datos!$B$2:$B$27777,21,Datos!$C$2:$C$27777,"&lt;30",Datos!$F$2:$F$27777,"STANDBY"),0),"")</f>
        <v/>
      </c>
      <c r="AC19" s="7">
        <f>IFERROR(ROUND(AVERAGEIFS(Datos!$G$2:$G$27777,Datos!$E$2:$E$27777,$A19,Datos!$B$2:$B$27777,21,Datos!$C$2:$C$27777,"&gt;=30",Datos!$F$2:$F$27777,"STANDBY"),0),"")</f>
        <v/>
      </c>
      <c r="AD19" s="7">
        <f>IFERROR(ROUND(AVERAGEIFS(Datos!$G$2:$G$27777,Datos!$E$2:$E$27777,$A19,Datos!$B$2:$B$27777,22,Datos!$C$2:$C$27777,"&lt;30",Datos!$F$2:$F$27777,"STANDBY"),0),"")</f>
        <v/>
      </c>
      <c r="AE19" s="7">
        <f>IFERROR(ROUND(AVERAGEIFS(Datos!$G$2:$G$27777,Datos!$E$2:$E$27777,$A19,Datos!$B$2:$B$27777,22,Datos!$C$2:$C$27777,"&gt;=30",Datos!$F$2:$F$27777,"STANDBY"),0),"")</f>
        <v/>
      </c>
      <c r="AF19" s="7">
        <f>IFERROR(ROUND(AVERAGEIFS(Datos!$G$2:$G$27777,Datos!$E$2:$E$27777,$A19,Datos!$B$2:$B$27777,23,Datos!$C$2:$C$27777,"&lt;30",Datos!$F$2:$F$27777,"STANDBY"),0),"")</f>
        <v/>
      </c>
      <c r="AG19" s="7">
        <f>IFERROR(ROUND(AVERAGEIFS(Datos!$G$2:$G$27777,Datos!$E$2:$E$27777,$A19,Datos!$B$2:$B$27777,23,Datos!$C$2:$C$27777,"&gt;=30",Datos!$F$2:$F$27777,"STANDBY"),0),"")</f>
        <v/>
      </c>
    </row>
    <row r="20">
      <c r="A20" s="6" t="inlineStr">
        <is>
          <t>Spider-Man W.E.B. Adventure</t>
        </is>
      </c>
      <c r="B20" s="7">
        <f>IFERROR(ROUND(AVERAGEIFS(Datos!$G$2:$G$27777,Datos!$E$2:$E$27777,$A20,Datos!$B$2:$B$27777,8,Datos!$C$2:$C$27777,"&lt;30",Datos!$F$2:$F$27777,"STANDBY"),0),"")</f>
        <v/>
      </c>
      <c r="C20" s="7">
        <f>IFERROR(ROUND(AVERAGEIFS(Datos!$G$2:$G$27777,Datos!$E$2:$E$27777,$A20,Datos!$B$2:$B$27777,8,Datos!$C$2:$C$27777,"&gt;=30",Datos!$F$2:$F$27777,"STANDBY"),0),"")</f>
        <v/>
      </c>
      <c r="D20" s="7">
        <f>IFERROR(ROUND(AVERAGEIFS(Datos!$G$2:$G$27777,Datos!$E$2:$E$27777,$A20,Datos!$B$2:$B$27777,9,Datos!$C$2:$C$27777,"&lt;30",Datos!$F$2:$F$27777,"STANDBY"),0),"")</f>
        <v/>
      </c>
      <c r="E20" s="7">
        <f>IFERROR(ROUND(AVERAGEIFS(Datos!$G$2:$G$27777,Datos!$E$2:$E$27777,$A20,Datos!$B$2:$B$27777,9,Datos!$C$2:$C$27777,"&gt;=30",Datos!$F$2:$F$27777,"STANDBY"),0),"")</f>
        <v/>
      </c>
      <c r="F20" s="7">
        <f>IFERROR(ROUND(AVERAGEIFS(Datos!$G$2:$G$27777,Datos!$E$2:$E$27777,$A20,Datos!$B$2:$B$27777,10,Datos!$C$2:$C$27777,"&lt;30",Datos!$F$2:$F$27777,"STANDBY"),0),"")</f>
        <v/>
      </c>
      <c r="G20" s="7">
        <f>IFERROR(ROUND(AVERAGEIFS(Datos!$G$2:$G$27777,Datos!$E$2:$E$27777,$A20,Datos!$B$2:$B$27777,10,Datos!$C$2:$C$27777,"&gt;=30",Datos!$F$2:$F$27777,"STANDBY"),0),"")</f>
        <v/>
      </c>
      <c r="H20" s="7">
        <f>IFERROR(ROUND(AVERAGEIFS(Datos!$G$2:$G$27777,Datos!$E$2:$E$27777,$A20,Datos!$B$2:$B$27777,11,Datos!$C$2:$C$27777,"&lt;30",Datos!$F$2:$F$27777,"STANDBY"),0),"")</f>
        <v/>
      </c>
      <c r="I20" s="7">
        <f>IFERROR(ROUND(AVERAGEIFS(Datos!$G$2:$G$27777,Datos!$E$2:$E$27777,$A20,Datos!$B$2:$B$27777,11,Datos!$C$2:$C$27777,"&gt;=30",Datos!$F$2:$F$27777,"STANDBY"),0),"")</f>
        <v/>
      </c>
      <c r="J20" s="7">
        <f>IFERROR(ROUND(AVERAGEIFS(Datos!$G$2:$G$27777,Datos!$E$2:$E$27777,$A20,Datos!$B$2:$B$27777,12,Datos!$C$2:$C$27777,"&lt;30",Datos!$F$2:$F$27777,"STANDBY"),0),"")</f>
        <v/>
      </c>
      <c r="K20" s="7">
        <f>IFERROR(ROUND(AVERAGEIFS(Datos!$G$2:$G$27777,Datos!$E$2:$E$27777,$A20,Datos!$B$2:$B$27777,12,Datos!$C$2:$C$27777,"&gt;=30",Datos!$F$2:$F$27777,"STANDBY"),0),"")</f>
        <v/>
      </c>
      <c r="L20" s="7">
        <f>IFERROR(ROUND(AVERAGEIFS(Datos!$G$2:$G$27777,Datos!$E$2:$E$27777,$A20,Datos!$B$2:$B$27777,13,Datos!$C$2:$C$27777,"&lt;30",Datos!$F$2:$F$27777,"STANDBY"),0),"")</f>
        <v/>
      </c>
      <c r="M20" s="7">
        <f>IFERROR(ROUND(AVERAGEIFS(Datos!$G$2:$G$27777,Datos!$E$2:$E$27777,$A20,Datos!$B$2:$B$27777,13,Datos!$C$2:$C$27777,"&gt;=30",Datos!$F$2:$F$27777,"STANDBY"),0),"")</f>
        <v/>
      </c>
      <c r="N20" s="7">
        <f>IFERROR(ROUND(AVERAGEIFS(Datos!$G$2:$G$27777,Datos!$E$2:$E$27777,$A20,Datos!$B$2:$B$27777,14,Datos!$C$2:$C$27777,"&lt;30",Datos!$F$2:$F$27777,"STANDBY"),0),"")</f>
        <v/>
      </c>
      <c r="O20" s="7">
        <f>IFERROR(ROUND(AVERAGEIFS(Datos!$G$2:$G$27777,Datos!$E$2:$E$27777,$A20,Datos!$B$2:$B$27777,14,Datos!$C$2:$C$27777,"&gt;=30",Datos!$F$2:$F$27777,"STANDBY"),0),"")</f>
        <v/>
      </c>
      <c r="P20" s="7">
        <f>IFERROR(ROUND(AVERAGEIFS(Datos!$G$2:$G$27777,Datos!$E$2:$E$27777,$A20,Datos!$B$2:$B$27777,15,Datos!$C$2:$C$27777,"&lt;30",Datos!$F$2:$F$27777,"STANDBY"),0),"")</f>
        <v/>
      </c>
      <c r="Q20" s="7">
        <f>IFERROR(ROUND(AVERAGEIFS(Datos!$G$2:$G$27777,Datos!$E$2:$E$27777,$A20,Datos!$B$2:$B$27777,15,Datos!$C$2:$C$27777,"&gt;=30",Datos!$F$2:$F$27777,"STANDBY"),0),"")</f>
        <v/>
      </c>
      <c r="R20" s="7">
        <f>IFERROR(ROUND(AVERAGEIFS(Datos!$G$2:$G$27777,Datos!$E$2:$E$27777,$A20,Datos!$B$2:$B$27777,16,Datos!$C$2:$C$27777,"&lt;30",Datos!$F$2:$F$27777,"STANDBY"),0),"")</f>
        <v/>
      </c>
      <c r="S20" s="7">
        <f>IFERROR(ROUND(AVERAGEIFS(Datos!$G$2:$G$27777,Datos!$E$2:$E$27777,$A20,Datos!$B$2:$B$27777,16,Datos!$C$2:$C$27777,"&gt;=30",Datos!$F$2:$F$27777,"STANDBY"),0),"")</f>
        <v/>
      </c>
      <c r="T20" s="7">
        <f>IFERROR(ROUND(AVERAGEIFS(Datos!$G$2:$G$27777,Datos!$E$2:$E$27777,$A20,Datos!$B$2:$B$27777,17,Datos!$C$2:$C$27777,"&lt;30",Datos!$F$2:$F$27777,"STANDBY"),0),"")</f>
        <v/>
      </c>
      <c r="U20" s="7">
        <f>IFERROR(ROUND(AVERAGEIFS(Datos!$G$2:$G$27777,Datos!$E$2:$E$27777,$A20,Datos!$B$2:$B$27777,17,Datos!$C$2:$C$27777,"&gt;=30",Datos!$F$2:$F$27777,"STANDBY"),0),"")</f>
        <v/>
      </c>
      <c r="V20" s="7">
        <f>IFERROR(ROUND(AVERAGEIFS(Datos!$G$2:$G$27777,Datos!$E$2:$E$27777,$A20,Datos!$B$2:$B$27777,18,Datos!$C$2:$C$27777,"&lt;30",Datos!$F$2:$F$27777,"STANDBY"),0),"")</f>
        <v/>
      </c>
      <c r="W20" s="7">
        <f>IFERROR(ROUND(AVERAGEIFS(Datos!$G$2:$G$27777,Datos!$E$2:$E$27777,$A20,Datos!$B$2:$B$27777,18,Datos!$C$2:$C$27777,"&gt;=30",Datos!$F$2:$F$27777,"STANDBY"),0),"")</f>
        <v/>
      </c>
      <c r="X20" s="7">
        <f>IFERROR(ROUND(AVERAGEIFS(Datos!$G$2:$G$27777,Datos!$E$2:$E$27777,$A20,Datos!$B$2:$B$27777,19,Datos!$C$2:$C$27777,"&lt;30",Datos!$F$2:$F$27777,"STANDBY"),0),"")</f>
        <v/>
      </c>
      <c r="Y20" s="7">
        <f>IFERROR(ROUND(AVERAGEIFS(Datos!$G$2:$G$27777,Datos!$E$2:$E$27777,$A20,Datos!$B$2:$B$27777,19,Datos!$C$2:$C$27777,"&gt;=30",Datos!$F$2:$F$27777,"STANDBY"),0),"")</f>
        <v/>
      </c>
      <c r="Z20" s="7">
        <f>IFERROR(ROUND(AVERAGEIFS(Datos!$G$2:$G$27777,Datos!$E$2:$E$27777,$A20,Datos!$B$2:$B$27777,20,Datos!$C$2:$C$27777,"&lt;30",Datos!$F$2:$F$27777,"STANDBY"),0),"")</f>
        <v/>
      </c>
      <c r="AA20" s="7">
        <f>IFERROR(ROUND(AVERAGEIFS(Datos!$G$2:$G$27777,Datos!$E$2:$E$27777,$A20,Datos!$B$2:$B$27777,20,Datos!$C$2:$C$27777,"&gt;=30",Datos!$F$2:$F$27777,"STANDBY"),0),"")</f>
        <v/>
      </c>
      <c r="AB20" s="7">
        <f>IFERROR(ROUND(AVERAGEIFS(Datos!$G$2:$G$27777,Datos!$E$2:$E$27777,$A20,Datos!$B$2:$B$27777,21,Datos!$C$2:$C$27777,"&lt;30",Datos!$F$2:$F$27777,"STANDBY"),0),"")</f>
        <v/>
      </c>
      <c r="AC20" s="7">
        <f>IFERROR(ROUND(AVERAGEIFS(Datos!$G$2:$G$27777,Datos!$E$2:$E$27777,$A20,Datos!$B$2:$B$27777,21,Datos!$C$2:$C$27777,"&gt;=30",Datos!$F$2:$F$27777,"STANDBY"),0),"")</f>
        <v/>
      </c>
      <c r="AD20" s="7">
        <f>IFERROR(ROUND(AVERAGEIFS(Datos!$G$2:$G$27777,Datos!$E$2:$E$27777,$A20,Datos!$B$2:$B$27777,22,Datos!$C$2:$C$27777,"&lt;30",Datos!$F$2:$F$27777,"STANDBY"),0),"")</f>
        <v/>
      </c>
      <c r="AE20" s="7">
        <f>IFERROR(ROUND(AVERAGEIFS(Datos!$G$2:$G$27777,Datos!$E$2:$E$27777,$A20,Datos!$B$2:$B$27777,22,Datos!$C$2:$C$27777,"&gt;=30",Datos!$F$2:$F$27777,"STANDBY"),0),"")</f>
        <v/>
      </c>
      <c r="AF20" s="7">
        <f>IFERROR(ROUND(AVERAGEIFS(Datos!$G$2:$G$27777,Datos!$E$2:$E$27777,$A20,Datos!$B$2:$B$27777,23,Datos!$C$2:$C$27777,"&lt;30",Datos!$F$2:$F$27777,"STANDBY"),0),"")</f>
        <v/>
      </c>
      <c r="AG20" s="7">
        <f>IFERROR(ROUND(AVERAGEIFS(Datos!$G$2:$G$27777,Datos!$E$2:$E$27777,$A20,Datos!$B$2:$B$27777,23,Datos!$C$2:$C$27777,"&gt;=30",Datos!$F$2:$F$27777,"STANDBY"),0),"")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IFERROR(ROUND(AVERAGEIFS(Datos!$G$2:$G$27777,Datos!$E$2:$E$27777,$A21,Datos!$B$2:$B$27777,8,Datos!$C$2:$C$27777,"&lt;30",Datos!$F$2:$F$27777,"STANDBY"),0),"")</f>
        <v/>
      </c>
      <c r="C21" s="7">
        <f>IFERROR(ROUND(AVERAGEIFS(Datos!$G$2:$G$27777,Datos!$E$2:$E$27777,$A21,Datos!$B$2:$B$27777,8,Datos!$C$2:$C$27777,"&gt;=30",Datos!$F$2:$F$27777,"STANDBY"),0),"")</f>
        <v/>
      </c>
      <c r="D21" s="7">
        <f>IFERROR(ROUND(AVERAGEIFS(Datos!$G$2:$G$27777,Datos!$E$2:$E$27777,$A21,Datos!$B$2:$B$27777,9,Datos!$C$2:$C$27777,"&lt;30",Datos!$F$2:$F$27777,"STANDBY"),0),"")</f>
        <v/>
      </c>
      <c r="E21" s="7">
        <f>IFERROR(ROUND(AVERAGEIFS(Datos!$G$2:$G$27777,Datos!$E$2:$E$27777,$A21,Datos!$B$2:$B$27777,9,Datos!$C$2:$C$27777,"&gt;=30",Datos!$F$2:$F$27777,"STANDBY"),0),"")</f>
        <v/>
      </c>
      <c r="F21" s="7">
        <f>IFERROR(ROUND(AVERAGEIFS(Datos!$G$2:$G$27777,Datos!$E$2:$E$27777,$A21,Datos!$B$2:$B$27777,10,Datos!$C$2:$C$27777,"&lt;30",Datos!$F$2:$F$27777,"STANDBY"),0),"")</f>
        <v/>
      </c>
      <c r="G21" s="7">
        <f>IFERROR(ROUND(AVERAGEIFS(Datos!$G$2:$G$27777,Datos!$E$2:$E$27777,$A21,Datos!$B$2:$B$27777,10,Datos!$C$2:$C$27777,"&gt;=30",Datos!$F$2:$F$27777,"STANDBY"),0),"")</f>
        <v/>
      </c>
      <c r="H21" s="7">
        <f>IFERROR(ROUND(AVERAGEIFS(Datos!$G$2:$G$27777,Datos!$E$2:$E$27777,$A21,Datos!$B$2:$B$27777,11,Datos!$C$2:$C$27777,"&lt;30",Datos!$F$2:$F$27777,"STANDBY"),0),"")</f>
        <v/>
      </c>
      <c r="I21" s="7">
        <f>IFERROR(ROUND(AVERAGEIFS(Datos!$G$2:$G$27777,Datos!$E$2:$E$27777,$A21,Datos!$B$2:$B$27777,11,Datos!$C$2:$C$27777,"&gt;=30",Datos!$F$2:$F$27777,"STANDBY"),0),"")</f>
        <v/>
      </c>
      <c r="J21" s="7">
        <f>IFERROR(ROUND(AVERAGEIFS(Datos!$G$2:$G$27777,Datos!$E$2:$E$27777,$A21,Datos!$B$2:$B$27777,12,Datos!$C$2:$C$27777,"&lt;30",Datos!$F$2:$F$27777,"STANDBY"),0),"")</f>
        <v/>
      </c>
      <c r="K21" s="7">
        <f>IFERROR(ROUND(AVERAGEIFS(Datos!$G$2:$G$27777,Datos!$E$2:$E$27777,$A21,Datos!$B$2:$B$27777,12,Datos!$C$2:$C$27777,"&gt;=30",Datos!$F$2:$F$27777,"STANDBY"),0),"")</f>
        <v/>
      </c>
      <c r="L21" s="7">
        <f>IFERROR(ROUND(AVERAGEIFS(Datos!$G$2:$G$27777,Datos!$E$2:$E$27777,$A21,Datos!$B$2:$B$27777,13,Datos!$C$2:$C$27777,"&lt;30",Datos!$F$2:$F$27777,"STANDBY"),0),"")</f>
        <v/>
      </c>
      <c r="M21" s="7">
        <f>IFERROR(ROUND(AVERAGEIFS(Datos!$G$2:$G$27777,Datos!$E$2:$E$27777,$A21,Datos!$B$2:$B$27777,13,Datos!$C$2:$C$27777,"&gt;=30",Datos!$F$2:$F$27777,"STANDBY"),0),"")</f>
        <v/>
      </c>
      <c r="N21" s="7">
        <f>IFERROR(ROUND(AVERAGEIFS(Datos!$G$2:$G$27777,Datos!$E$2:$E$27777,$A21,Datos!$B$2:$B$27777,14,Datos!$C$2:$C$27777,"&lt;30",Datos!$F$2:$F$27777,"STANDBY"),0),"")</f>
        <v/>
      </c>
      <c r="O21" s="7">
        <f>IFERROR(ROUND(AVERAGEIFS(Datos!$G$2:$G$27777,Datos!$E$2:$E$27777,$A21,Datos!$B$2:$B$27777,14,Datos!$C$2:$C$27777,"&gt;=30",Datos!$F$2:$F$27777,"STANDBY"),0),"")</f>
        <v/>
      </c>
      <c r="P21" s="7">
        <f>IFERROR(ROUND(AVERAGEIFS(Datos!$G$2:$G$27777,Datos!$E$2:$E$27777,$A21,Datos!$B$2:$B$27777,15,Datos!$C$2:$C$27777,"&lt;30",Datos!$F$2:$F$27777,"STANDBY"),0),"")</f>
        <v/>
      </c>
      <c r="Q21" s="7">
        <f>IFERROR(ROUND(AVERAGEIFS(Datos!$G$2:$G$27777,Datos!$E$2:$E$27777,$A21,Datos!$B$2:$B$27777,15,Datos!$C$2:$C$27777,"&gt;=30",Datos!$F$2:$F$27777,"STANDBY"),0),"")</f>
        <v/>
      </c>
      <c r="R21" s="7">
        <f>IFERROR(ROUND(AVERAGEIFS(Datos!$G$2:$G$27777,Datos!$E$2:$E$27777,$A21,Datos!$B$2:$B$27777,16,Datos!$C$2:$C$27777,"&lt;30",Datos!$F$2:$F$27777,"STANDBY"),0),"")</f>
        <v/>
      </c>
      <c r="S21" s="7">
        <f>IFERROR(ROUND(AVERAGEIFS(Datos!$G$2:$G$27777,Datos!$E$2:$E$27777,$A21,Datos!$B$2:$B$27777,16,Datos!$C$2:$C$27777,"&gt;=30",Datos!$F$2:$F$27777,"STANDBY"),0),"")</f>
        <v/>
      </c>
      <c r="T21" s="7">
        <f>IFERROR(ROUND(AVERAGEIFS(Datos!$G$2:$G$27777,Datos!$E$2:$E$27777,$A21,Datos!$B$2:$B$27777,17,Datos!$C$2:$C$27777,"&lt;30",Datos!$F$2:$F$27777,"STANDBY"),0),"")</f>
        <v/>
      </c>
      <c r="U21" s="7">
        <f>IFERROR(ROUND(AVERAGEIFS(Datos!$G$2:$G$27777,Datos!$E$2:$E$27777,$A21,Datos!$B$2:$B$27777,17,Datos!$C$2:$C$27777,"&gt;=30",Datos!$F$2:$F$27777,"STANDBY"),0),"")</f>
        <v/>
      </c>
      <c r="V21" s="7">
        <f>IFERROR(ROUND(AVERAGEIFS(Datos!$G$2:$G$27777,Datos!$E$2:$E$27777,$A21,Datos!$B$2:$B$27777,18,Datos!$C$2:$C$27777,"&lt;30",Datos!$F$2:$F$27777,"STANDBY"),0),"")</f>
        <v/>
      </c>
      <c r="W21" s="7">
        <f>IFERROR(ROUND(AVERAGEIFS(Datos!$G$2:$G$27777,Datos!$E$2:$E$27777,$A21,Datos!$B$2:$B$27777,18,Datos!$C$2:$C$27777,"&gt;=30",Datos!$F$2:$F$27777,"STANDBY"),0),"")</f>
        <v/>
      </c>
      <c r="X21" s="7">
        <f>IFERROR(ROUND(AVERAGEIFS(Datos!$G$2:$G$27777,Datos!$E$2:$E$27777,$A21,Datos!$B$2:$B$27777,19,Datos!$C$2:$C$27777,"&lt;30",Datos!$F$2:$F$27777,"STANDBY"),0),"")</f>
        <v/>
      </c>
      <c r="Y21" s="7">
        <f>IFERROR(ROUND(AVERAGEIFS(Datos!$G$2:$G$27777,Datos!$E$2:$E$27777,$A21,Datos!$B$2:$B$27777,19,Datos!$C$2:$C$27777,"&gt;=30",Datos!$F$2:$F$27777,"STANDBY"),0),"")</f>
        <v/>
      </c>
      <c r="Z21" s="7">
        <f>IFERROR(ROUND(AVERAGEIFS(Datos!$G$2:$G$27777,Datos!$E$2:$E$27777,$A21,Datos!$B$2:$B$27777,20,Datos!$C$2:$C$27777,"&lt;30",Datos!$F$2:$F$27777,"STANDBY"),0),"")</f>
        <v/>
      </c>
      <c r="AA21" s="7">
        <f>IFERROR(ROUND(AVERAGEIFS(Datos!$G$2:$G$27777,Datos!$E$2:$E$27777,$A21,Datos!$B$2:$B$27777,20,Datos!$C$2:$C$27777,"&gt;=30",Datos!$F$2:$F$27777,"STANDBY"),0),"")</f>
        <v/>
      </c>
      <c r="AB21" s="7">
        <f>IFERROR(ROUND(AVERAGEIFS(Datos!$G$2:$G$27777,Datos!$E$2:$E$27777,$A21,Datos!$B$2:$B$27777,21,Datos!$C$2:$C$27777,"&lt;30",Datos!$F$2:$F$27777,"STANDBY"),0),"")</f>
        <v/>
      </c>
      <c r="AC21" s="7">
        <f>IFERROR(ROUND(AVERAGEIFS(Datos!$G$2:$G$27777,Datos!$E$2:$E$27777,$A21,Datos!$B$2:$B$27777,21,Datos!$C$2:$C$27777,"&gt;=30",Datos!$F$2:$F$27777,"STANDBY"),0),"")</f>
        <v/>
      </c>
      <c r="AD21" s="7">
        <f>IFERROR(ROUND(AVERAGEIFS(Datos!$G$2:$G$27777,Datos!$E$2:$E$27777,$A21,Datos!$B$2:$B$27777,22,Datos!$C$2:$C$27777,"&lt;30",Datos!$F$2:$F$27777,"STANDBY"),0),"")</f>
        <v/>
      </c>
      <c r="AE21" s="7">
        <f>IFERROR(ROUND(AVERAGEIFS(Datos!$G$2:$G$27777,Datos!$E$2:$E$27777,$A21,Datos!$B$2:$B$27777,22,Datos!$C$2:$C$27777,"&gt;=30",Datos!$F$2:$F$27777,"STANDBY"),0),"")</f>
        <v/>
      </c>
      <c r="AF21" s="7">
        <f>IFERROR(ROUND(AVERAGEIFS(Datos!$G$2:$G$27777,Datos!$E$2:$E$27777,$A21,Datos!$B$2:$B$27777,23,Datos!$C$2:$C$27777,"&lt;30",Datos!$F$2:$F$27777,"STANDBY"),0),"")</f>
        <v/>
      </c>
      <c r="AG21" s="7">
        <f>IFERROR(ROUND(AVERAGEIFS(Datos!$G$2:$G$27777,Datos!$E$2:$E$27777,$A21,Datos!$B$2:$B$27777,23,Datos!$C$2:$C$27777,"&gt;=30",Datos!$F$2:$F$27777,"STANDBY"),0),"")</f>
        <v/>
      </c>
    </row>
    <row r="22">
      <c r="A22" s="6" t="inlineStr">
        <is>
          <t>The Twilight Zone Tower of Terror</t>
        </is>
      </c>
      <c r="B22" s="7">
        <f>IFERROR(ROUND(AVERAGEIFS(Datos!$G$2:$G$27777,Datos!$E$2:$E$27777,$A22,Datos!$B$2:$B$27777,8,Datos!$C$2:$C$27777,"&lt;30",Datos!$F$2:$F$27777,"STANDBY"),0),"")</f>
        <v/>
      </c>
      <c r="C22" s="7">
        <f>IFERROR(ROUND(AVERAGEIFS(Datos!$G$2:$G$27777,Datos!$E$2:$E$27777,$A22,Datos!$B$2:$B$27777,8,Datos!$C$2:$C$27777,"&gt;=30",Datos!$F$2:$F$27777,"STANDBY"),0),"")</f>
        <v/>
      </c>
      <c r="D22" s="7">
        <f>IFERROR(ROUND(AVERAGEIFS(Datos!$G$2:$G$27777,Datos!$E$2:$E$27777,$A22,Datos!$B$2:$B$27777,9,Datos!$C$2:$C$27777,"&lt;30",Datos!$F$2:$F$27777,"STANDBY"),0),"")</f>
        <v/>
      </c>
      <c r="E22" s="7">
        <f>IFERROR(ROUND(AVERAGEIFS(Datos!$G$2:$G$27777,Datos!$E$2:$E$27777,$A22,Datos!$B$2:$B$27777,9,Datos!$C$2:$C$27777,"&gt;=30",Datos!$F$2:$F$27777,"STANDBY"),0),"")</f>
        <v/>
      </c>
      <c r="F22" s="7">
        <f>IFERROR(ROUND(AVERAGEIFS(Datos!$G$2:$G$27777,Datos!$E$2:$E$27777,$A22,Datos!$B$2:$B$27777,10,Datos!$C$2:$C$27777,"&lt;30",Datos!$F$2:$F$27777,"STANDBY"),0),"")</f>
        <v/>
      </c>
      <c r="G22" s="7">
        <f>IFERROR(ROUND(AVERAGEIFS(Datos!$G$2:$G$27777,Datos!$E$2:$E$27777,$A22,Datos!$B$2:$B$27777,10,Datos!$C$2:$C$27777,"&gt;=30",Datos!$F$2:$F$27777,"STANDBY"),0),"")</f>
        <v/>
      </c>
      <c r="H22" s="7">
        <f>IFERROR(ROUND(AVERAGEIFS(Datos!$G$2:$G$27777,Datos!$E$2:$E$27777,$A22,Datos!$B$2:$B$27777,11,Datos!$C$2:$C$27777,"&lt;30",Datos!$F$2:$F$27777,"STANDBY"),0),"")</f>
        <v/>
      </c>
      <c r="I22" s="7">
        <f>IFERROR(ROUND(AVERAGEIFS(Datos!$G$2:$G$27777,Datos!$E$2:$E$27777,$A22,Datos!$B$2:$B$27777,11,Datos!$C$2:$C$27777,"&gt;=30",Datos!$F$2:$F$27777,"STANDBY"),0),"")</f>
        <v/>
      </c>
      <c r="J22" s="7">
        <f>IFERROR(ROUND(AVERAGEIFS(Datos!$G$2:$G$27777,Datos!$E$2:$E$27777,$A22,Datos!$B$2:$B$27777,12,Datos!$C$2:$C$27777,"&lt;30",Datos!$F$2:$F$27777,"STANDBY"),0),"")</f>
        <v/>
      </c>
      <c r="K22" s="7">
        <f>IFERROR(ROUND(AVERAGEIFS(Datos!$G$2:$G$27777,Datos!$E$2:$E$27777,$A22,Datos!$B$2:$B$27777,12,Datos!$C$2:$C$27777,"&gt;=30",Datos!$F$2:$F$27777,"STANDBY"),0),"")</f>
        <v/>
      </c>
      <c r="L22" s="7">
        <f>IFERROR(ROUND(AVERAGEIFS(Datos!$G$2:$G$27777,Datos!$E$2:$E$27777,$A22,Datos!$B$2:$B$27777,13,Datos!$C$2:$C$27777,"&lt;30",Datos!$F$2:$F$27777,"STANDBY"),0),"")</f>
        <v/>
      </c>
      <c r="M22" s="7">
        <f>IFERROR(ROUND(AVERAGEIFS(Datos!$G$2:$G$27777,Datos!$E$2:$E$27777,$A22,Datos!$B$2:$B$27777,13,Datos!$C$2:$C$27777,"&gt;=30",Datos!$F$2:$F$27777,"STANDBY"),0),"")</f>
        <v/>
      </c>
      <c r="N22" s="7">
        <f>IFERROR(ROUND(AVERAGEIFS(Datos!$G$2:$G$27777,Datos!$E$2:$E$27777,$A22,Datos!$B$2:$B$27777,14,Datos!$C$2:$C$27777,"&lt;30",Datos!$F$2:$F$27777,"STANDBY"),0),"")</f>
        <v/>
      </c>
      <c r="O22" s="7">
        <f>IFERROR(ROUND(AVERAGEIFS(Datos!$G$2:$G$27777,Datos!$E$2:$E$27777,$A22,Datos!$B$2:$B$27777,14,Datos!$C$2:$C$27777,"&gt;=30",Datos!$F$2:$F$27777,"STANDBY"),0),"")</f>
        <v/>
      </c>
      <c r="P22" s="7">
        <f>IFERROR(ROUND(AVERAGEIFS(Datos!$G$2:$G$27777,Datos!$E$2:$E$27777,$A22,Datos!$B$2:$B$27777,15,Datos!$C$2:$C$27777,"&lt;30",Datos!$F$2:$F$27777,"STANDBY"),0),"")</f>
        <v/>
      </c>
      <c r="Q22" s="7">
        <f>IFERROR(ROUND(AVERAGEIFS(Datos!$G$2:$G$27777,Datos!$E$2:$E$27777,$A22,Datos!$B$2:$B$27777,15,Datos!$C$2:$C$27777,"&gt;=30",Datos!$F$2:$F$27777,"STANDBY"),0),"")</f>
        <v/>
      </c>
      <c r="R22" s="7">
        <f>IFERROR(ROUND(AVERAGEIFS(Datos!$G$2:$G$27777,Datos!$E$2:$E$27777,$A22,Datos!$B$2:$B$27777,16,Datos!$C$2:$C$27777,"&lt;30",Datos!$F$2:$F$27777,"STANDBY"),0),"")</f>
        <v/>
      </c>
      <c r="S22" s="7">
        <f>IFERROR(ROUND(AVERAGEIFS(Datos!$G$2:$G$27777,Datos!$E$2:$E$27777,$A22,Datos!$B$2:$B$27777,16,Datos!$C$2:$C$27777,"&gt;=30",Datos!$F$2:$F$27777,"STANDBY"),0),"")</f>
        <v/>
      </c>
      <c r="T22" s="7">
        <f>IFERROR(ROUND(AVERAGEIFS(Datos!$G$2:$G$27777,Datos!$E$2:$E$27777,$A22,Datos!$B$2:$B$27777,17,Datos!$C$2:$C$27777,"&lt;30",Datos!$F$2:$F$27777,"STANDBY"),0),"")</f>
        <v/>
      </c>
      <c r="U22" s="7">
        <f>IFERROR(ROUND(AVERAGEIFS(Datos!$G$2:$G$27777,Datos!$E$2:$E$27777,$A22,Datos!$B$2:$B$27777,17,Datos!$C$2:$C$27777,"&gt;=30",Datos!$F$2:$F$27777,"STANDBY"),0),"")</f>
        <v/>
      </c>
      <c r="V22" s="7">
        <f>IFERROR(ROUND(AVERAGEIFS(Datos!$G$2:$G$27777,Datos!$E$2:$E$27777,$A22,Datos!$B$2:$B$27777,18,Datos!$C$2:$C$27777,"&lt;30",Datos!$F$2:$F$27777,"STANDBY"),0),"")</f>
        <v/>
      </c>
      <c r="W22" s="7">
        <f>IFERROR(ROUND(AVERAGEIFS(Datos!$G$2:$G$27777,Datos!$E$2:$E$27777,$A22,Datos!$B$2:$B$27777,18,Datos!$C$2:$C$27777,"&gt;=30",Datos!$F$2:$F$27777,"STANDBY"),0),"")</f>
        <v/>
      </c>
      <c r="X22" s="7">
        <f>IFERROR(ROUND(AVERAGEIFS(Datos!$G$2:$G$27777,Datos!$E$2:$E$27777,$A22,Datos!$B$2:$B$27777,19,Datos!$C$2:$C$27777,"&lt;30",Datos!$F$2:$F$27777,"STANDBY"),0),"")</f>
        <v/>
      </c>
      <c r="Y22" s="7">
        <f>IFERROR(ROUND(AVERAGEIFS(Datos!$G$2:$G$27777,Datos!$E$2:$E$27777,$A22,Datos!$B$2:$B$27777,19,Datos!$C$2:$C$27777,"&gt;=30",Datos!$F$2:$F$27777,"STANDBY"),0),"")</f>
        <v/>
      </c>
      <c r="Z22" s="7">
        <f>IFERROR(ROUND(AVERAGEIFS(Datos!$G$2:$G$27777,Datos!$E$2:$E$27777,$A22,Datos!$B$2:$B$27777,20,Datos!$C$2:$C$27777,"&lt;30",Datos!$F$2:$F$27777,"STANDBY"),0),"")</f>
        <v/>
      </c>
      <c r="AA22" s="7">
        <f>IFERROR(ROUND(AVERAGEIFS(Datos!$G$2:$G$27777,Datos!$E$2:$E$27777,$A22,Datos!$B$2:$B$27777,20,Datos!$C$2:$C$27777,"&gt;=30",Datos!$F$2:$F$27777,"STANDBY"),0),"")</f>
        <v/>
      </c>
      <c r="AB22" s="7">
        <f>IFERROR(ROUND(AVERAGEIFS(Datos!$G$2:$G$27777,Datos!$E$2:$E$27777,$A22,Datos!$B$2:$B$27777,21,Datos!$C$2:$C$27777,"&lt;30",Datos!$F$2:$F$27777,"STANDBY"),0),"")</f>
        <v/>
      </c>
      <c r="AC22" s="7">
        <f>IFERROR(ROUND(AVERAGEIFS(Datos!$G$2:$G$27777,Datos!$E$2:$E$27777,$A22,Datos!$B$2:$B$27777,21,Datos!$C$2:$C$27777,"&gt;=30",Datos!$F$2:$F$27777,"STANDBY"),0),"")</f>
        <v/>
      </c>
      <c r="AD22" s="7">
        <f>IFERROR(ROUND(AVERAGEIFS(Datos!$G$2:$G$27777,Datos!$E$2:$E$27777,$A22,Datos!$B$2:$B$27777,22,Datos!$C$2:$C$27777,"&lt;30",Datos!$F$2:$F$27777,"STANDBY"),0),"")</f>
        <v/>
      </c>
      <c r="AE22" s="7">
        <f>IFERROR(ROUND(AVERAGEIFS(Datos!$G$2:$G$27777,Datos!$E$2:$E$27777,$A22,Datos!$B$2:$B$27777,22,Datos!$C$2:$C$27777,"&gt;=30",Datos!$F$2:$F$27777,"STANDBY"),0),"")</f>
        <v/>
      </c>
      <c r="AF22" s="7">
        <f>IFERROR(ROUND(AVERAGEIFS(Datos!$G$2:$G$27777,Datos!$E$2:$E$27777,$A22,Datos!$B$2:$B$27777,23,Datos!$C$2:$C$27777,"&lt;30",Datos!$F$2:$F$27777,"STANDBY"),0),"")</f>
        <v/>
      </c>
      <c r="AG22" s="7">
        <f>IFERROR(ROUND(AVERAGEIFS(Datos!$G$2:$G$27777,Datos!$E$2:$E$27777,$A22,Datos!$B$2:$B$27777,23,Datos!$C$2:$C$27777,"&gt;=30",Datos!$F$2:$F$27777,"STANDBY"),0),"")</f>
        <v/>
      </c>
    </row>
    <row r="23">
      <c r="A23" s="6" t="inlineStr">
        <is>
          <t>Toy Soldiers Parachute Drop</t>
        </is>
      </c>
      <c r="B23" s="7">
        <f>IFERROR(ROUND(AVERAGEIFS(Datos!$G$2:$G$27777,Datos!$E$2:$E$27777,$A23,Datos!$B$2:$B$27777,8,Datos!$C$2:$C$27777,"&lt;30",Datos!$F$2:$F$27777,"STANDBY"),0),"")</f>
        <v/>
      </c>
      <c r="C23" s="7">
        <f>IFERROR(ROUND(AVERAGEIFS(Datos!$G$2:$G$27777,Datos!$E$2:$E$27777,$A23,Datos!$B$2:$B$27777,8,Datos!$C$2:$C$27777,"&gt;=30",Datos!$F$2:$F$27777,"STANDBY"),0),"")</f>
        <v/>
      </c>
      <c r="D23" s="7">
        <f>IFERROR(ROUND(AVERAGEIFS(Datos!$G$2:$G$27777,Datos!$E$2:$E$27777,$A23,Datos!$B$2:$B$27777,9,Datos!$C$2:$C$27777,"&lt;30",Datos!$F$2:$F$27777,"STANDBY"),0),"")</f>
        <v/>
      </c>
      <c r="E23" s="7">
        <f>IFERROR(ROUND(AVERAGEIFS(Datos!$G$2:$G$27777,Datos!$E$2:$E$27777,$A23,Datos!$B$2:$B$27777,9,Datos!$C$2:$C$27777,"&gt;=30",Datos!$F$2:$F$27777,"STANDBY"),0),"")</f>
        <v/>
      </c>
      <c r="F23" s="7">
        <f>IFERROR(ROUND(AVERAGEIFS(Datos!$G$2:$G$27777,Datos!$E$2:$E$27777,$A23,Datos!$B$2:$B$27777,10,Datos!$C$2:$C$27777,"&lt;30",Datos!$F$2:$F$27777,"STANDBY"),0),"")</f>
        <v/>
      </c>
      <c r="G23" s="7">
        <f>IFERROR(ROUND(AVERAGEIFS(Datos!$G$2:$G$27777,Datos!$E$2:$E$27777,$A23,Datos!$B$2:$B$27777,10,Datos!$C$2:$C$27777,"&gt;=30",Datos!$F$2:$F$27777,"STANDBY"),0),"")</f>
        <v/>
      </c>
      <c r="H23" s="7">
        <f>IFERROR(ROUND(AVERAGEIFS(Datos!$G$2:$G$27777,Datos!$E$2:$E$27777,$A23,Datos!$B$2:$B$27777,11,Datos!$C$2:$C$27777,"&lt;30",Datos!$F$2:$F$27777,"STANDBY"),0),"")</f>
        <v/>
      </c>
      <c r="I23" s="7">
        <f>IFERROR(ROUND(AVERAGEIFS(Datos!$G$2:$G$27777,Datos!$E$2:$E$27777,$A23,Datos!$B$2:$B$27777,11,Datos!$C$2:$C$27777,"&gt;=30",Datos!$F$2:$F$27777,"STANDBY"),0),"")</f>
        <v/>
      </c>
      <c r="J23" s="7">
        <f>IFERROR(ROUND(AVERAGEIFS(Datos!$G$2:$G$27777,Datos!$E$2:$E$27777,$A23,Datos!$B$2:$B$27777,12,Datos!$C$2:$C$27777,"&lt;30",Datos!$F$2:$F$27777,"STANDBY"),0),"")</f>
        <v/>
      </c>
      <c r="K23" s="7">
        <f>IFERROR(ROUND(AVERAGEIFS(Datos!$G$2:$G$27777,Datos!$E$2:$E$27777,$A23,Datos!$B$2:$B$27777,12,Datos!$C$2:$C$27777,"&gt;=30",Datos!$F$2:$F$27777,"STANDBY"),0),"")</f>
        <v/>
      </c>
      <c r="L23" s="7">
        <f>IFERROR(ROUND(AVERAGEIFS(Datos!$G$2:$G$27777,Datos!$E$2:$E$27777,$A23,Datos!$B$2:$B$27777,13,Datos!$C$2:$C$27777,"&lt;30",Datos!$F$2:$F$27777,"STANDBY"),0),"")</f>
        <v/>
      </c>
      <c r="M23" s="7">
        <f>IFERROR(ROUND(AVERAGEIFS(Datos!$G$2:$G$27777,Datos!$E$2:$E$27777,$A23,Datos!$B$2:$B$27777,13,Datos!$C$2:$C$27777,"&gt;=30",Datos!$F$2:$F$27777,"STANDBY"),0),"")</f>
        <v/>
      </c>
      <c r="N23" s="7">
        <f>IFERROR(ROUND(AVERAGEIFS(Datos!$G$2:$G$27777,Datos!$E$2:$E$27777,$A23,Datos!$B$2:$B$27777,14,Datos!$C$2:$C$27777,"&lt;30",Datos!$F$2:$F$27777,"STANDBY"),0),"")</f>
        <v/>
      </c>
      <c r="O23" s="7">
        <f>IFERROR(ROUND(AVERAGEIFS(Datos!$G$2:$G$27777,Datos!$E$2:$E$27777,$A23,Datos!$B$2:$B$27777,14,Datos!$C$2:$C$27777,"&gt;=30",Datos!$F$2:$F$27777,"STANDBY"),0),"")</f>
        <v/>
      </c>
      <c r="P23" s="7">
        <f>IFERROR(ROUND(AVERAGEIFS(Datos!$G$2:$G$27777,Datos!$E$2:$E$27777,$A23,Datos!$B$2:$B$27777,15,Datos!$C$2:$C$27777,"&lt;30",Datos!$F$2:$F$27777,"STANDBY"),0),"")</f>
        <v/>
      </c>
      <c r="Q23" s="7">
        <f>IFERROR(ROUND(AVERAGEIFS(Datos!$G$2:$G$27777,Datos!$E$2:$E$27777,$A23,Datos!$B$2:$B$27777,15,Datos!$C$2:$C$27777,"&gt;=30",Datos!$F$2:$F$27777,"STANDBY"),0),"")</f>
        <v/>
      </c>
      <c r="R23" s="7">
        <f>IFERROR(ROUND(AVERAGEIFS(Datos!$G$2:$G$27777,Datos!$E$2:$E$27777,$A23,Datos!$B$2:$B$27777,16,Datos!$C$2:$C$27777,"&lt;30",Datos!$F$2:$F$27777,"STANDBY"),0),"")</f>
        <v/>
      </c>
      <c r="S23" s="7">
        <f>IFERROR(ROUND(AVERAGEIFS(Datos!$G$2:$G$27777,Datos!$E$2:$E$27777,$A23,Datos!$B$2:$B$27777,16,Datos!$C$2:$C$27777,"&gt;=30",Datos!$F$2:$F$27777,"STANDBY"),0),"")</f>
        <v/>
      </c>
      <c r="T23" s="7">
        <f>IFERROR(ROUND(AVERAGEIFS(Datos!$G$2:$G$27777,Datos!$E$2:$E$27777,$A23,Datos!$B$2:$B$27777,17,Datos!$C$2:$C$27777,"&lt;30",Datos!$F$2:$F$27777,"STANDBY"),0),"")</f>
        <v/>
      </c>
      <c r="U23" s="7">
        <f>IFERROR(ROUND(AVERAGEIFS(Datos!$G$2:$G$27777,Datos!$E$2:$E$27777,$A23,Datos!$B$2:$B$27777,17,Datos!$C$2:$C$27777,"&gt;=30",Datos!$F$2:$F$27777,"STANDBY"),0),"")</f>
        <v/>
      </c>
      <c r="V23" s="7">
        <f>IFERROR(ROUND(AVERAGEIFS(Datos!$G$2:$G$27777,Datos!$E$2:$E$27777,$A23,Datos!$B$2:$B$27777,18,Datos!$C$2:$C$27777,"&lt;30",Datos!$F$2:$F$27777,"STANDBY"),0),"")</f>
        <v/>
      </c>
      <c r="W23" s="7">
        <f>IFERROR(ROUND(AVERAGEIFS(Datos!$G$2:$G$27777,Datos!$E$2:$E$27777,$A23,Datos!$B$2:$B$27777,18,Datos!$C$2:$C$27777,"&gt;=30",Datos!$F$2:$F$27777,"STANDBY"),0),"")</f>
        <v/>
      </c>
      <c r="X23" s="7">
        <f>IFERROR(ROUND(AVERAGEIFS(Datos!$G$2:$G$27777,Datos!$E$2:$E$27777,$A23,Datos!$B$2:$B$27777,19,Datos!$C$2:$C$27777,"&lt;30",Datos!$F$2:$F$27777,"STANDBY"),0),"")</f>
        <v/>
      </c>
      <c r="Y23" s="7">
        <f>IFERROR(ROUND(AVERAGEIFS(Datos!$G$2:$G$27777,Datos!$E$2:$E$27777,$A23,Datos!$B$2:$B$27777,19,Datos!$C$2:$C$27777,"&gt;=30",Datos!$F$2:$F$27777,"STANDBY"),0),"")</f>
        <v/>
      </c>
      <c r="Z23" s="7">
        <f>IFERROR(ROUND(AVERAGEIFS(Datos!$G$2:$G$27777,Datos!$E$2:$E$27777,$A23,Datos!$B$2:$B$27777,20,Datos!$C$2:$C$27777,"&lt;30",Datos!$F$2:$F$27777,"STANDBY"),0),"")</f>
        <v/>
      </c>
      <c r="AA23" s="7">
        <f>IFERROR(ROUND(AVERAGEIFS(Datos!$G$2:$G$27777,Datos!$E$2:$E$27777,$A23,Datos!$B$2:$B$27777,20,Datos!$C$2:$C$27777,"&gt;=30",Datos!$F$2:$F$27777,"STANDBY"),0),"")</f>
        <v/>
      </c>
      <c r="AB23" s="7">
        <f>IFERROR(ROUND(AVERAGEIFS(Datos!$G$2:$G$27777,Datos!$E$2:$E$27777,$A23,Datos!$B$2:$B$27777,21,Datos!$C$2:$C$27777,"&lt;30",Datos!$F$2:$F$27777,"STANDBY"),0),"")</f>
        <v/>
      </c>
      <c r="AC23" s="7">
        <f>IFERROR(ROUND(AVERAGEIFS(Datos!$G$2:$G$27777,Datos!$E$2:$E$27777,$A23,Datos!$B$2:$B$27777,21,Datos!$C$2:$C$27777,"&gt;=30",Datos!$F$2:$F$27777,"STANDBY"),0),"")</f>
        <v/>
      </c>
      <c r="AD23" s="7">
        <f>IFERROR(ROUND(AVERAGEIFS(Datos!$G$2:$G$27777,Datos!$E$2:$E$27777,$A23,Datos!$B$2:$B$27777,22,Datos!$C$2:$C$27777,"&lt;30",Datos!$F$2:$F$27777,"STANDBY"),0),"")</f>
        <v/>
      </c>
      <c r="AE23" s="7">
        <f>IFERROR(ROUND(AVERAGEIFS(Datos!$G$2:$G$27777,Datos!$E$2:$E$27777,$A23,Datos!$B$2:$B$27777,22,Datos!$C$2:$C$27777,"&gt;=30",Datos!$F$2:$F$27777,"STANDBY"),0),"")</f>
        <v/>
      </c>
      <c r="AF23" s="7">
        <f>IFERROR(ROUND(AVERAGEIFS(Datos!$G$2:$G$27777,Datos!$E$2:$E$27777,$A23,Datos!$B$2:$B$27777,23,Datos!$C$2:$C$27777,"&lt;30",Datos!$F$2:$F$27777,"STANDBY"),0),"")</f>
        <v/>
      </c>
      <c r="AG23" s="7">
        <f>IFERROR(ROUND(AVERAGEIFS(Datos!$G$2:$G$27777,Datos!$E$2:$E$27777,$A23,Datos!$B$2:$B$27777,23,Datos!$C$2:$C$27777,"&gt;=30",Datos!$F$2:$F$27777,"STANDBY"),0),"")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IFERROR(ROUND(AVERAGEIFS(Datos!$G$2:$G$27777,Datos!$E$2:$E$27777,$A24,Datos!$B$2:$B$27777,8,Datos!$C$2:$C$27777,"&lt;30",Datos!$F$2:$F$27777,"STANDBY"),0),"")</f>
        <v/>
      </c>
      <c r="C24" s="7">
        <f>IFERROR(ROUND(AVERAGEIFS(Datos!$G$2:$G$27777,Datos!$E$2:$E$27777,$A24,Datos!$B$2:$B$27777,8,Datos!$C$2:$C$27777,"&gt;=30",Datos!$F$2:$F$27777,"STANDBY"),0),"")</f>
        <v/>
      </c>
      <c r="D24" s="7">
        <f>IFERROR(ROUND(AVERAGEIFS(Datos!$G$2:$G$27777,Datos!$E$2:$E$27777,$A24,Datos!$B$2:$B$27777,9,Datos!$C$2:$C$27777,"&lt;30",Datos!$F$2:$F$27777,"STANDBY"),0),"")</f>
        <v/>
      </c>
      <c r="E24" s="7">
        <f>IFERROR(ROUND(AVERAGEIFS(Datos!$G$2:$G$27777,Datos!$E$2:$E$27777,$A24,Datos!$B$2:$B$27777,9,Datos!$C$2:$C$27777,"&gt;=30",Datos!$F$2:$F$27777,"STANDBY"),0),"")</f>
        <v/>
      </c>
      <c r="F24" s="7">
        <f>IFERROR(ROUND(AVERAGEIFS(Datos!$G$2:$G$27777,Datos!$E$2:$E$27777,$A24,Datos!$B$2:$B$27777,10,Datos!$C$2:$C$27777,"&lt;30",Datos!$F$2:$F$27777,"STANDBY"),0),"")</f>
        <v/>
      </c>
      <c r="G24" s="7">
        <f>IFERROR(ROUND(AVERAGEIFS(Datos!$G$2:$G$27777,Datos!$E$2:$E$27777,$A24,Datos!$B$2:$B$27777,10,Datos!$C$2:$C$27777,"&gt;=30",Datos!$F$2:$F$27777,"STANDBY"),0),"")</f>
        <v/>
      </c>
      <c r="H24" s="7">
        <f>IFERROR(ROUND(AVERAGEIFS(Datos!$G$2:$G$27777,Datos!$E$2:$E$27777,$A24,Datos!$B$2:$B$27777,11,Datos!$C$2:$C$27777,"&lt;30",Datos!$F$2:$F$27777,"STANDBY"),0),"")</f>
        <v/>
      </c>
      <c r="I24" s="7">
        <f>IFERROR(ROUND(AVERAGEIFS(Datos!$G$2:$G$27777,Datos!$E$2:$E$27777,$A24,Datos!$B$2:$B$27777,11,Datos!$C$2:$C$27777,"&gt;=30",Datos!$F$2:$F$27777,"STANDBY"),0),"")</f>
        <v/>
      </c>
      <c r="J24" s="7">
        <f>IFERROR(ROUND(AVERAGEIFS(Datos!$G$2:$G$27777,Datos!$E$2:$E$27777,$A24,Datos!$B$2:$B$27777,12,Datos!$C$2:$C$27777,"&lt;30",Datos!$F$2:$F$27777,"STANDBY"),0),"")</f>
        <v/>
      </c>
      <c r="K24" s="7">
        <f>IFERROR(ROUND(AVERAGEIFS(Datos!$G$2:$G$27777,Datos!$E$2:$E$27777,$A24,Datos!$B$2:$B$27777,12,Datos!$C$2:$C$27777,"&gt;=30",Datos!$F$2:$F$27777,"STANDBY"),0),"")</f>
        <v/>
      </c>
      <c r="L24" s="7">
        <f>IFERROR(ROUND(AVERAGEIFS(Datos!$G$2:$G$27777,Datos!$E$2:$E$27777,$A24,Datos!$B$2:$B$27777,13,Datos!$C$2:$C$27777,"&lt;30",Datos!$F$2:$F$27777,"STANDBY"),0),"")</f>
        <v/>
      </c>
      <c r="M24" s="7">
        <f>IFERROR(ROUND(AVERAGEIFS(Datos!$G$2:$G$27777,Datos!$E$2:$E$27777,$A24,Datos!$B$2:$B$27777,13,Datos!$C$2:$C$27777,"&gt;=30",Datos!$F$2:$F$27777,"STANDBY"),0),"")</f>
        <v/>
      </c>
      <c r="N24" s="7">
        <f>IFERROR(ROUND(AVERAGEIFS(Datos!$G$2:$G$27777,Datos!$E$2:$E$27777,$A24,Datos!$B$2:$B$27777,14,Datos!$C$2:$C$27777,"&lt;30",Datos!$F$2:$F$27777,"STANDBY"),0),"")</f>
        <v/>
      </c>
      <c r="O24" s="7">
        <f>IFERROR(ROUND(AVERAGEIFS(Datos!$G$2:$G$27777,Datos!$E$2:$E$27777,$A24,Datos!$B$2:$B$27777,14,Datos!$C$2:$C$27777,"&gt;=30",Datos!$F$2:$F$27777,"STANDBY"),0),"")</f>
        <v/>
      </c>
      <c r="P24" s="7">
        <f>IFERROR(ROUND(AVERAGEIFS(Datos!$G$2:$G$27777,Datos!$E$2:$E$27777,$A24,Datos!$B$2:$B$27777,15,Datos!$C$2:$C$27777,"&lt;30",Datos!$F$2:$F$27777,"STANDBY"),0),"")</f>
        <v/>
      </c>
      <c r="Q24" s="7">
        <f>IFERROR(ROUND(AVERAGEIFS(Datos!$G$2:$G$27777,Datos!$E$2:$E$27777,$A24,Datos!$B$2:$B$27777,15,Datos!$C$2:$C$27777,"&gt;=30",Datos!$F$2:$F$27777,"STANDBY"),0),"")</f>
        <v/>
      </c>
      <c r="R24" s="7">
        <f>IFERROR(ROUND(AVERAGEIFS(Datos!$G$2:$G$27777,Datos!$E$2:$E$27777,$A24,Datos!$B$2:$B$27777,16,Datos!$C$2:$C$27777,"&lt;30",Datos!$F$2:$F$27777,"STANDBY"),0),"")</f>
        <v/>
      </c>
      <c r="S24" s="7">
        <f>IFERROR(ROUND(AVERAGEIFS(Datos!$G$2:$G$27777,Datos!$E$2:$E$27777,$A24,Datos!$B$2:$B$27777,16,Datos!$C$2:$C$27777,"&gt;=30",Datos!$F$2:$F$27777,"STANDBY"),0),"")</f>
        <v/>
      </c>
      <c r="T24" s="7">
        <f>IFERROR(ROUND(AVERAGEIFS(Datos!$G$2:$G$27777,Datos!$E$2:$E$27777,$A24,Datos!$B$2:$B$27777,17,Datos!$C$2:$C$27777,"&lt;30",Datos!$F$2:$F$27777,"STANDBY"),0),"")</f>
        <v/>
      </c>
      <c r="U24" s="7">
        <f>IFERROR(ROUND(AVERAGEIFS(Datos!$G$2:$G$27777,Datos!$E$2:$E$27777,$A24,Datos!$B$2:$B$27777,17,Datos!$C$2:$C$27777,"&gt;=30",Datos!$F$2:$F$27777,"STANDBY"),0),"")</f>
        <v/>
      </c>
      <c r="V24" s="7">
        <f>IFERROR(ROUND(AVERAGEIFS(Datos!$G$2:$G$27777,Datos!$E$2:$E$27777,$A24,Datos!$B$2:$B$27777,18,Datos!$C$2:$C$27777,"&lt;30",Datos!$F$2:$F$27777,"STANDBY"),0),"")</f>
        <v/>
      </c>
      <c r="W24" s="7">
        <f>IFERROR(ROUND(AVERAGEIFS(Datos!$G$2:$G$27777,Datos!$E$2:$E$27777,$A24,Datos!$B$2:$B$27777,18,Datos!$C$2:$C$27777,"&gt;=30",Datos!$F$2:$F$27777,"STANDBY"),0),"")</f>
        <v/>
      </c>
      <c r="X24" s="7">
        <f>IFERROR(ROUND(AVERAGEIFS(Datos!$G$2:$G$27777,Datos!$E$2:$E$27777,$A24,Datos!$B$2:$B$27777,19,Datos!$C$2:$C$27777,"&lt;30",Datos!$F$2:$F$27777,"STANDBY"),0),"")</f>
        <v/>
      </c>
      <c r="Y24" s="7">
        <f>IFERROR(ROUND(AVERAGEIFS(Datos!$G$2:$G$27777,Datos!$E$2:$E$27777,$A24,Datos!$B$2:$B$27777,19,Datos!$C$2:$C$27777,"&gt;=30",Datos!$F$2:$F$27777,"STANDBY"),0),"")</f>
        <v/>
      </c>
      <c r="Z24" s="7">
        <f>IFERROR(ROUND(AVERAGEIFS(Datos!$G$2:$G$27777,Datos!$E$2:$E$27777,$A24,Datos!$B$2:$B$27777,20,Datos!$C$2:$C$27777,"&lt;30",Datos!$F$2:$F$27777,"STANDBY"),0),"")</f>
        <v/>
      </c>
      <c r="AA24" s="7">
        <f>IFERROR(ROUND(AVERAGEIFS(Datos!$G$2:$G$27777,Datos!$E$2:$E$27777,$A24,Datos!$B$2:$B$27777,20,Datos!$C$2:$C$27777,"&gt;=30",Datos!$F$2:$F$27777,"STANDBY"),0),"")</f>
        <v/>
      </c>
      <c r="AB24" s="7">
        <f>IFERROR(ROUND(AVERAGEIFS(Datos!$G$2:$G$27777,Datos!$E$2:$E$27777,$A24,Datos!$B$2:$B$27777,21,Datos!$C$2:$C$27777,"&lt;30",Datos!$F$2:$F$27777,"STANDBY"),0),"")</f>
        <v/>
      </c>
      <c r="AC24" s="7">
        <f>IFERROR(ROUND(AVERAGEIFS(Datos!$G$2:$G$27777,Datos!$E$2:$E$27777,$A24,Datos!$B$2:$B$27777,21,Datos!$C$2:$C$27777,"&gt;=30",Datos!$F$2:$F$27777,"STANDBY"),0),"")</f>
        <v/>
      </c>
      <c r="AD24" s="7">
        <f>IFERROR(ROUND(AVERAGEIFS(Datos!$G$2:$G$27777,Datos!$E$2:$E$27777,$A24,Datos!$B$2:$B$27777,22,Datos!$C$2:$C$27777,"&lt;30",Datos!$F$2:$F$27777,"STANDBY"),0),"")</f>
        <v/>
      </c>
      <c r="AE24" s="7">
        <f>IFERROR(ROUND(AVERAGEIFS(Datos!$G$2:$G$27777,Datos!$E$2:$E$27777,$A24,Datos!$B$2:$B$27777,22,Datos!$C$2:$C$27777,"&gt;=30",Datos!$F$2:$F$27777,"STANDBY"),0),"")</f>
        <v/>
      </c>
      <c r="AF24" s="7">
        <f>IFERROR(ROUND(AVERAGEIFS(Datos!$G$2:$G$27777,Datos!$E$2:$E$27777,$A24,Datos!$B$2:$B$27777,23,Datos!$C$2:$C$27777,"&lt;30",Datos!$F$2:$F$27777,"STANDBY"),0),"")</f>
        <v/>
      </c>
      <c r="AG24" s="7">
        <f>IFERROR(ROUND(AVERAGEIFS(Datos!$G$2:$G$27777,Datos!$E$2:$E$27777,$A24,Datos!$B$2:$B$27777,23,Datos!$C$2:$C$27777,"&gt;=30",Datos!$F$2:$F$27777,"STANDBY"),0),"")</f>
        <v/>
      </c>
    </row>
    <row r="25">
      <c r="A25" s="6" t="inlineStr">
        <is>
          <t>"it's a small world"</t>
        </is>
      </c>
      <c r="B25" s="7">
        <f>IFERROR(ROUND(AVERAGEIFS(Datos!$G$2:$G$27777,Datos!$E$2:$E$27777,$A25,Datos!$B$2:$B$27777,8,Datos!$C$2:$C$27777,"&lt;30",Datos!$F$2:$F$27777,"STANDBY"),0),"")</f>
        <v/>
      </c>
      <c r="C25" s="7">
        <f>IFERROR(ROUND(AVERAGEIFS(Datos!$G$2:$G$27777,Datos!$E$2:$E$27777,$A25,Datos!$B$2:$B$27777,8,Datos!$C$2:$C$27777,"&gt;=30",Datos!$F$2:$F$27777,"STANDBY"),0),"")</f>
        <v/>
      </c>
      <c r="D25" s="7">
        <f>IFERROR(ROUND(AVERAGEIFS(Datos!$G$2:$G$27777,Datos!$E$2:$E$27777,$A25,Datos!$B$2:$B$27777,9,Datos!$C$2:$C$27777,"&lt;30",Datos!$F$2:$F$27777,"STANDBY"),0),"")</f>
        <v/>
      </c>
      <c r="E25" s="7">
        <f>IFERROR(ROUND(AVERAGEIFS(Datos!$G$2:$G$27777,Datos!$E$2:$E$27777,$A25,Datos!$B$2:$B$27777,9,Datos!$C$2:$C$27777,"&gt;=30",Datos!$F$2:$F$27777,"STANDBY"),0),"")</f>
        <v/>
      </c>
      <c r="F25" s="7">
        <f>IFERROR(ROUND(AVERAGEIFS(Datos!$G$2:$G$27777,Datos!$E$2:$E$27777,$A25,Datos!$B$2:$B$27777,10,Datos!$C$2:$C$27777,"&lt;30",Datos!$F$2:$F$27777,"STANDBY"),0),"")</f>
        <v/>
      </c>
      <c r="G25" s="7">
        <f>IFERROR(ROUND(AVERAGEIFS(Datos!$G$2:$G$27777,Datos!$E$2:$E$27777,$A25,Datos!$B$2:$B$27777,10,Datos!$C$2:$C$27777,"&gt;=30",Datos!$F$2:$F$27777,"STANDBY"),0),"")</f>
        <v/>
      </c>
      <c r="H25" s="7">
        <f>IFERROR(ROUND(AVERAGEIFS(Datos!$G$2:$G$27777,Datos!$E$2:$E$27777,$A25,Datos!$B$2:$B$27777,11,Datos!$C$2:$C$27777,"&lt;30",Datos!$F$2:$F$27777,"STANDBY"),0),"")</f>
        <v/>
      </c>
      <c r="I25" s="7">
        <f>IFERROR(ROUND(AVERAGEIFS(Datos!$G$2:$G$27777,Datos!$E$2:$E$27777,$A25,Datos!$B$2:$B$27777,11,Datos!$C$2:$C$27777,"&gt;=30",Datos!$F$2:$F$27777,"STANDBY"),0),"")</f>
        <v/>
      </c>
      <c r="J25" s="7">
        <f>IFERROR(ROUND(AVERAGEIFS(Datos!$G$2:$G$27777,Datos!$E$2:$E$27777,$A25,Datos!$B$2:$B$27777,12,Datos!$C$2:$C$27777,"&lt;30",Datos!$F$2:$F$27777,"STANDBY"),0),"")</f>
        <v/>
      </c>
      <c r="K25" s="7">
        <f>IFERROR(ROUND(AVERAGEIFS(Datos!$G$2:$G$27777,Datos!$E$2:$E$27777,$A25,Datos!$B$2:$B$27777,12,Datos!$C$2:$C$27777,"&gt;=30",Datos!$F$2:$F$27777,"STANDBY"),0),"")</f>
        <v/>
      </c>
      <c r="L25" s="7">
        <f>IFERROR(ROUND(AVERAGEIFS(Datos!$G$2:$G$27777,Datos!$E$2:$E$27777,$A25,Datos!$B$2:$B$27777,13,Datos!$C$2:$C$27777,"&lt;30",Datos!$F$2:$F$27777,"STANDBY"),0),"")</f>
        <v/>
      </c>
      <c r="M25" s="7">
        <f>IFERROR(ROUND(AVERAGEIFS(Datos!$G$2:$G$27777,Datos!$E$2:$E$27777,$A25,Datos!$B$2:$B$27777,13,Datos!$C$2:$C$27777,"&gt;=30",Datos!$F$2:$F$27777,"STANDBY"),0),"")</f>
        <v/>
      </c>
      <c r="N25" s="7">
        <f>IFERROR(ROUND(AVERAGEIFS(Datos!$G$2:$G$27777,Datos!$E$2:$E$27777,$A25,Datos!$B$2:$B$27777,14,Datos!$C$2:$C$27777,"&lt;30",Datos!$F$2:$F$27777,"STANDBY"),0),"")</f>
        <v/>
      </c>
      <c r="O25" s="7">
        <f>IFERROR(ROUND(AVERAGEIFS(Datos!$G$2:$G$27777,Datos!$E$2:$E$27777,$A25,Datos!$B$2:$B$27777,14,Datos!$C$2:$C$27777,"&gt;=30",Datos!$F$2:$F$27777,"STANDBY"),0),"")</f>
        <v/>
      </c>
      <c r="P25" s="7">
        <f>IFERROR(ROUND(AVERAGEIFS(Datos!$G$2:$G$27777,Datos!$E$2:$E$27777,$A25,Datos!$B$2:$B$27777,15,Datos!$C$2:$C$27777,"&lt;30",Datos!$F$2:$F$27777,"STANDBY"),0),"")</f>
        <v/>
      </c>
      <c r="Q25" s="7">
        <f>IFERROR(ROUND(AVERAGEIFS(Datos!$G$2:$G$27777,Datos!$E$2:$E$27777,$A25,Datos!$B$2:$B$27777,15,Datos!$C$2:$C$27777,"&gt;=30",Datos!$F$2:$F$27777,"STANDBY"),0),"")</f>
        <v/>
      </c>
      <c r="R25" s="7">
        <f>IFERROR(ROUND(AVERAGEIFS(Datos!$G$2:$G$27777,Datos!$E$2:$E$27777,$A25,Datos!$B$2:$B$27777,16,Datos!$C$2:$C$27777,"&lt;30",Datos!$F$2:$F$27777,"STANDBY"),0),"")</f>
        <v/>
      </c>
      <c r="S25" s="7">
        <f>IFERROR(ROUND(AVERAGEIFS(Datos!$G$2:$G$27777,Datos!$E$2:$E$27777,$A25,Datos!$B$2:$B$27777,16,Datos!$C$2:$C$27777,"&gt;=30",Datos!$F$2:$F$27777,"STANDBY"),0),"")</f>
        <v/>
      </c>
      <c r="T25" s="7">
        <f>IFERROR(ROUND(AVERAGEIFS(Datos!$G$2:$G$27777,Datos!$E$2:$E$27777,$A25,Datos!$B$2:$B$27777,17,Datos!$C$2:$C$27777,"&lt;30",Datos!$F$2:$F$27777,"STANDBY"),0),"")</f>
        <v/>
      </c>
      <c r="U25" s="7">
        <f>IFERROR(ROUND(AVERAGEIFS(Datos!$G$2:$G$27777,Datos!$E$2:$E$27777,$A25,Datos!$B$2:$B$27777,17,Datos!$C$2:$C$27777,"&gt;=30",Datos!$F$2:$F$27777,"STANDBY"),0),"")</f>
        <v/>
      </c>
      <c r="V25" s="7">
        <f>IFERROR(ROUND(AVERAGEIFS(Datos!$G$2:$G$27777,Datos!$E$2:$E$27777,$A25,Datos!$B$2:$B$27777,18,Datos!$C$2:$C$27777,"&lt;30",Datos!$F$2:$F$27777,"STANDBY"),0),"")</f>
        <v/>
      </c>
      <c r="W25" s="7">
        <f>IFERROR(ROUND(AVERAGEIFS(Datos!$G$2:$G$27777,Datos!$E$2:$E$27777,$A25,Datos!$B$2:$B$27777,18,Datos!$C$2:$C$27777,"&gt;=30",Datos!$F$2:$F$27777,"STANDBY"),0),"")</f>
        <v/>
      </c>
      <c r="X25" s="7">
        <f>IFERROR(ROUND(AVERAGEIFS(Datos!$G$2:$G$27777,Datos!$E$2:$E$27777,$A25,Datos!$B$2:$B$27777,19,Datos!$C$2:$C$27777,"&lt;30",Datos!$F$2:$F$27777,"STANDBY"),0),"")</f>
        <v/>
      </c>
      <c r="Y25" s="7">
        <f>IFERROR(ROUND(AVERAGEIFS(Datos!$G$2:$G$27777,Datos!$E$2:$E$27777,$A25,Datos!$B$2:$B$27777,19,Datos!$C$2:$C$27777,"&gt;=30",Datos!$F$2:$F$27777,"STANDBY"),0),"")</f>
        <v/>
      </c>
      <c r="Z25" s="7">
        <f>IFERROR(ROUND(AVERAGEIFS(Datos!$G$2:$G$27777,Datos!$E$2:$E$27777,$A25,Datos!$B$2:$B$27777,20,Datos!$C$2:$C$27777,"&lt;30",Datos!$F$2:$F$27777,"STANDBY"),0),"")</f>
        <v/>
      </c>
      <c r="AA25" s="7">
        <f>IFERROR(ROUND(AVERAGEIFS(Datos!$G$2:$G$27777,Datos!$E$2:$E$27777,$A25,Datos!$B$2:$B$27777,20,Datos!$C$2:$C$27777,"&gt;=30",Datos!$F$2:$F$27777,"STANDBY"),0),"")</f>
        <v/>
      </c>
      <c r="AB25" s="7">
        <f>IFERROR(ROUND(AVERAGEIFS(Datos!$G$2:$G$27777,Datos!$E$2:$E$27777,$A25,Datos!$B$2:$B$27777,21,Datos!$C$2:$C$27777,"&lt;30",Datos!$F$2:$F$27777,"STANDBY"),0),"")</f>
        <v/>
      </c>
      <c r="AC25" s="7">
        <f>IFERROR(ROUND(AVERAGEIFS(Datos!$G$2:$G$27777,Datos!$E$2:$E$27777,$A25,Datos!$B$2:$B$27777,21,Datos!$C$2:$C$27777,"&gt;=30",Datos!$F$2:$F$27777,"STANDBY"),0),"")</f>
        <v/>
      </c>
      <c r="AD25" s="7">
        <f>IFERROR(ROUND(AVERAGEIFS(Datos!$G$2:$G$27777,Datos!$E$2:$E$27777,$A25,Datos!$B$2:$B$27777,22,Datos!$C$2:$C$27777,"&lt;30",Datos!$F$2:$F$27777,"STANDBY"),0),"")</f>
        <v/>
      </c>
      <c r="AE25" s="7">
        <f>IFERROR(ROUND(AVERAGEIFS(Datos!$G$2:$G$27777,Datos!$E$2:$E$27777,$A25,Datos!$B$2:$B$27777,22,Datos!$C$2:$C$27777,"&gt;=30",Datos!$F$2:$F$27777,"STANDBY"),0),"")</f>
        <v/>
      </c>
      <c r="AF25" s="7">
        <f>IFERROR(ROUND(AVERAGEIFS(Datos!$G$2:$G$27777,Datos!$E$2:$E$27777,$A25,Datos!$B$2:$B$27777,23,Datos!$C$2:$C$27777,"&lt;30",Datos!$F$2:$F$27777,"STANDBY"),0),"")</f>
        <v/>
      </c>
      <c r="AG25" s="7">
        <f>IFERROR(ROUND(AVERAGEIFS(Datos!$G$2:$G$27777,Datos!$E$2:$E$27777,$A25,Datos!$B$2:$B$27777,23,Datos!$C$2:$C$27777,"&gt;=30",Datos!$F$2:$F$27777,"STANDBY"),0),"")</f>
        <v/>
      </c>
    </row>
    <row r="26">
      <c r="A26" s="6" t="inlineStr">
        <is>
          <t>Adventure Isle</t>
        </is>
      </c>
      <c r="B26" s="7">
        <f>IFERROR(ROUND(AVERAGEIFS(Datos!$G$2:$G$27777,Datos!$E$2:$E$27777,$A26,Datos!$B$2:$B$27777,8,Datos!$C$2:$C$27777,"&lt;30",Datos!$F$2:$F$27777,"STANDBY"),0),"")</f>
        <v/>
      </c>
      <c r="C26" s="7">
        <f>IFERROR(ROUND(AVERAGEIFS(Datos!$G$2:$G$27777,Datos!$E$2:$E$27777,$A26,Datos!$B$2:$B$27777,8,Datos!$C$2:$C$27777,"&gt;=30",Datos!$F$2:$F$27777,"STANDBY"),0),"")</f>
        <v/>
      </c>
      <c r="D26" s="7">
        <f>IFERROR(ROUND(AVERAGEIFS(Datos!$G$2:$G$27777,Datos!$E$2:$E$27777,$A26,Datos!$B$2:$B$27777,9,Datos!$C$2:$C$27777,"&lt;30",Datos!$F$2:$F$27777,"STANDBY"),0),"")</f>
        <v/>
      </c>
      <c r="E26" s="7">
        <f>IFERROR(ROUND(AVERAGEIFS(Datos!$G$2:$G$27777,Datos!$E$2:$E$27777,$A26,Datos!$B$2:$B$27777,9,Datos!$C$2:$C$27777,"&gt;=30",Datos!$F$2:$F$27777,"STANDBY"),0),"")</f>
        <v/>
      </c>
      <c r="F26" s="7">
        <f>IFERROR(ROUND(AVERAGEIFS(Datos!$G$2:$G$27777,Datos!$E$2:$E$27777,$A26,Datos!$B$2:$B$27777,10,Datos!$C$2:$C$27777,"&lt;30",Datos!$F$2:$F$27777,"STANDBY"),0),"")</f>
        <v/>
      </c>
      <c r="G26" s="7">
        <f>IFERROR(ROUND(AVERAGEIFS(Datos!$G$2:$G$27777,Datos!$E$2:$E$27777,$A26,Datos!$B$2:$B$27777,10,Datos!$C$2:$C$27777,"&gt;=30",Datos!$F$2:$F$27777,"STANDBY"),0),"")</f>
        <v/>
      </c>
      <c r="H26" s="7">
        <f>IFERROR(ROUND(AVERAGEIFS(Datos!$G$2:$G$27777,Datos!$E$2:$E$27777,$A26,Datos!$B$2:$B$27777,11,Datos!$C$2:$C$27777,"&lt;30",Datos!$F$2:$F$27777,"STANDBY"),0),"")</f>
        <v/>
      </c>
      <c r="I26" s="7">
        <f>IFERROR(ROUND(AVERAGEIFS(Datos!$G$2:$G$27777,Datos!$E$2:$E$27777,$A26,Datos!$B$2:$B$27777,11,Datos!$C$2:$C$27777,"&gt;=30",Datos!$F$2:$F$27777,"STANDBY"),0),"")</f>
        <v/>
      </c>
      <c r="J26" s="7">
        <f>IFERROR(ROUND(AVERAGEIFS(Datos!$G$2:$G$27777,Datos!$E$2:$E$27777,$A26,Datos!$B$2:$B$27777,12,Datos!$C$2:$C$27777,"&lt;30",Datos!$F$2:$F$27777,"STANDBY"),0),"")</f>
        <v/>
      </c>
      <c r="K26" s="7">
        <f>IFERROR(ROUND(AVERAGEIFS(Datos!$G$2:$G$27777,Datos!$E$2:$E$27777,$A26,Datos!$B$2:$B$27777,12,Datos!$C$2:$C$27777,"&gt;=30",Datos!$F$2:$F$27777,"STANDBY"),0),"")</f>
        <v/>
      </c>
      <c r="L26" s="7">
        <f>IFERROR(ROUND(AVERAGEIFS(Datos!$G$2:$G$27777,Datos!$E$2:$E$27777,$A26,Datos!$B$2:$B$27777,13,Datos!$C$2:$C$27777,"&lt;30",Datos!$F$2:$F$27777,"STANDBY"),0),"")</f>
        <v/>
      </c>
      <c r="M26" s="7">
        <f>IFERROR(ROUND(AVERAGEIFS(Datos!$G$2:$G$27777,Datos!$E$2:$E$27777,$A26,Datos!$B$2:$B$27777,13,Datos!$C$2:$C$27777,"&gt;=30",Datos!$F$2:$F$27777,"STANDBY"),0),"")</f>
        <v/>
      </c>
      <c r="N26" s="7">
        <f>IFERROR(ROUND(AVERAGEIFS(Datos!$G$2:$G$27777,Datos!$E$2:$E$27777,$A26,Datos!$B$2:$B$27777,14,Datos!$C$2:$C$27777,"&lt;30",Datos!$F$2:$F$27777,"STANDBY"),0),"")</f>
        <v/>
      </c>
      <c r="O26" s="7">
        <f>IFERROR(ROUND(AVERAGEIFS(Datos!$G$2:$G$27777,Datos!$E$2:$E$27777,$A26,Datos!$B$2:$B$27777,14,Datos!$C$2:$C$27777,"&gt;=30",Datos!$F$2:$F$27777,"STANDBY"),0),"")</f>
        <v/>
      </c>
      <c r="P26" s="7">
        <f>IFERROR(ROUND(AVERAGEIFS(Datos!$G$2:$G$27777,Datos!$E$2:$E$27777,$A26,Datos!$B$2:$B$27777,15,Datos!$C$2:$C$27777,"&lt;30",Datos!$F$2:$F$27777,"STANDBY"),0),"")</f>
        <v/>
      </c>
      <c r="Q26" s="7">
        <f>IFERROR(ROUND(AVERAGEIFS(Datos!$G$2:$G$27777,Datos!$E$2:$E$27777,$A26,Datos!$B$2:$B$27777,15,Datos!$C$2:$C$27777,"&gt;=30",Datos!$F$2:$F$27777,"STANDBY"),0),"")</f>
        <v/>
      </c>
      <c r="R26" s="7">
        <f>IFERROR(ROUND(AVERAGEIFS(Datos!$G$2:$G$27777,Datos!$E$2:$E$27777,$A26,Datos!$B$2:$B$27777,16,Datos!$C$2:$C$27777,"&lt;30",Datos!$F$2:$F$27777,"STANDBY"),0),"")</f>
        <v/>
      </c>
      <c r="S26" s="7">
        <f>IFERROR(ROUND(AVERAGEIFS(Datos!$G$2:$G$27777,Datos!$E$2:$E$27777,$A26,Datos!$B$2:$B$27777,16,Datos!$C$2:$C$27777,"&gt;=30",Datos!$F$2:$F$27777,"STANDBY"),0),"")</f>
        <v/>
      </c>
      <c r="T26" s="7">
        <f>IFERROR(ROUND(AVERAGEIFS(Datos!$G$2:$G$27777,Datos!$E$2:$E$27777,$A26,Datos!$B$2:$B$27777,17,Datos!$C$2:$C$27777,"&lt;30",Datos!$F$2:$F$27777,"STANDBY"),0),"")</f>
        <v/>
      </c>
      <c r="U26" s="7">
        <f>IFERROR(ROUND(AVERAGEIFS(Datos!$G$2:$G$27777,Datos!$E$2:$E$27777,$A26,Datos!$B$2:$B$27777,17,Datos!$C$2:$C$27777,"&gt;=30",Datos!$F$2:$F$27777,"STANDBY"),0),"")</f>
        <v/>
      </c>
      <c r="V26" s="7">
        <f>IFERROR(ROUND(AVERAGEIFS(Datos!$G$2:$G$27777,Datos!$E$2:$E$27777,$A26,Datos!$B$2:$B$27777,18,Datos!$C$2:$C$27777,"&lt;30",Datos!$F$2:$F$27777,"STANDBY"),0),"")</f>
        <v/>
      </c>
      <c r="W26" s="7">
        <f>IFERROR(ROUND(AVERAGEIFS(Datos!$G$2:$G$27777,Datos!$E$2:$E$27777,$A26,Datos!$B$2:$B$27777,18,Datos!$C$2:$C$27777,"&gt;=30",Datos!$F$2:$F$27777,"STANDBY"),0),"")</f>
        <v/>
      </c>
      <c r="X26" s="7">
        <f>IFERROR(ROUND(AVERAGEIFS(Datos!$G$2:$G$27777,Datos!$E$2:$E$27777,$A26,Datos!$B$2:$B$27777,19,Datos!$C$2:$C$27777,"&lt;30",Datos!$F$2:$F$27777,"STANDBY"),0),"")</f>
        <v/>
      </c>
      <c r="Y26" s="7">
        <f>IFERROR(ROUND(AVERAGEIFS(Datos!$G$2:$G$27777,Datos!$E$2:$E$27777,$A26,Datos!$B$2:$B$27777,19,Datos!$C$2:$C$27777,"&gt;=30",Datos!$F$2:$F$27777,"STANDBY"),0),"")</f>
        <v/>
      </c>
      <c r="Z26" s="7">
        <f>IFERROR(ROUND(AVERAGEIFS(Datos!$G$2:$G$27777,Datos!$E$2:$E$27777,$A26,Datos!$B$2:$B$27777,20,Datos!$C$2:$C$27777,"&lt;30",Datos!$F$2:$F$27777,"STANDBY"),0),"")</f>
        <v/>
      </c>
      <c r="AA26" s="7">
        <f>IFERROR(ROUND(AVERAGEIFS(Datos!$G$2:$G$27777,Datos!$E$2:$E$27777,$A26,Datos!$B$2:$B$27777,20,Datos!$C$2:$C$27777,"&gt;=30",Datos!$F$2:$F$27777,"STANDBY"),0),"")</f>
        <v/>
      </c>
      <c r="AB26" s="7">
        <f>IFERROR(ROUND(AVERAGEIFS(Datos!$G$2:$G$27777,Datos!$E$2:$E$27777,$A26,Datos!$B$2:$B$27777,21,Datos!$C$2:$C$27777,"&lt;30",Datos!$F$2:$F$27777,"STANDBY"),0),"")</f>
        <v/>
      </c>
      <c r="AC26" s="7">
        <f>IFERROR(ROUND(AVERAGEIFS(Datos!$G$2:$G$27777,Datos!$E$2:$E$27777,$A26,Datos!$B$2:$B$27777,21,Datos!$C$2:$C$27777,"&gt;=30",Datos!$F$2:$F$27777,"STANDBY"),0),"")</f>
        <v/>
      </c>
      <c r="AD26" s="7">
        <f>IFERROR(ROUND(AVERAGEIFS(Datos!$G$2:$G$27777,Datos!$E$2:$E$27777,$A26,Datos!$B$2:$B$27777,22,Datos!$C$2:$C$27777,"&lt;30",Datos!$F$2:$F$27777,"STANDBY"),0),"")</f>
        <v/>
      </c>
      <c r="AE26" s="7">
        <f>IFERROR(ROUND(AVERAGEIFS(Datos!$G$2:$G$27777,Datos!$E$2:$E$27777,$A26,Datos!$B$2:$B$27777,22,Datos!$C$2:$C$27777,"&gt;=30",Datos!$F$2:$F$27777,"STANDBY"),0),"")</f>
        <v/>
      </c>
      <c r="AF26" s="7">
        <f>IFERROR(ROUND(AVERAGEIFS(Datos!$G$2:$G$27777,Datos!$E$2:$E$27777,$A26,Datos!$B$2:$B$27777,23,Datos!$C$2:$C$27777,"&lt;30",Datos!$F$2:$F$27777,"STANDBY"),0),"")</f>
        <v/>
      </c>
      <c r="AG26" s="7">
        <f>IFERROR(ROUND(AVERAGEIFS(Datos!$G$2:$G$27777,Datos!$E$2:$E$27777,$A26,Datos!$B$2:$B$27777,23,Datos!$C$2:$C$27777,"&gt;=30",Datos!$F$2:$F$27777,"STANDBY"),0),"")</f>
        <v/>
      </c>
    </row>
    <row r="27">
      <c r="A27" s="6" t="inlineStr">
        <is>
          <t>Alice's Curious Labyrinth</t>
        </is>
      </c>
      <c r="B27" s="7">
        <f>IFERROR(ROUND(AVERAGEIFS(Datos!$G$2:$G$27777,Datos!$E$2:$E$27777,$A27,Datos!$B$2:$B$27777,8,Datos!$C$2:$C$27777,"&lt;30",Datos!$F$2:$F$27777,"STANDBY"),0),"")</f>
        <v/>
      </c>
      <c r="C27" s="7">
        <f>IFERROR(ROUND(AVERAGEIFS(Datos!$G$2:$G$27777,Datos!$E$2:$E$27777,$A27,Datos!$B$2:$B$27777,8,Datos!$C$2:$C$27777,"&gt;=30",Datos!$F$2:$F$27777,"STANDBY"),0),"")</f>
        <v/>
      </c>
      <c r="D27" s="7">
        <f>IFERROR(ROUND(AVERAGEIFS(Datos!$G$2:$G$27777,Datos!$E$2:$E$27777,$A27,Datos!$B$2:$B$27777,9,Datos!$C$2:$C$27777,"&lt;30",Datos!$F$2:$F$27777,"STANDBY"),0),"")</f>
        <v/>
      </c>
      <c r="E27" s="7">
        <f>IFERROR(ROUND(AVERAGEIFS(Datos!$G$2:$G$27777,Datos!$E$2:$E$27777,$A27,Datos!$B$2:$B$27777,9,Datos!$C$2:$C$27777,"&gt;=30",Datos!$F$2:$F$27777,"STANDBY"),0),"")</f>
        <v/>
      </c>
      <c r="F27" s="7">
        <f>IFERROR(ROUND(AVERAGEIFS(Datos!$G$2:$G$27777,Datos!$E$2:$E$27777,$A27,Datos!$B$2:$B$27777,10,Datos!$C$2:$C$27777,"&lt;30",Datos!$F$2:$F$27777,"STANDBY"),0),"")</f>
        <v/>
      </c>
      <c r="G27" s="7">
        <f>IFERROR(ROUND(AVERAGEIFS(Datos!$G$2:$G$27777,Datos!$E$2:$E$27777,$A27,Datos!$B$2:$B$27777,10,Datos!$C$2:$C$27777,"&gt;=30",Datos!$F$2:$F$27777,"STANDBY"),0),"")</f>
        <v/>
      </c>
      <c r="H27" s="7">
        <f>IFERROR(ROUND(AVERAGEIFS(Datos!$G$2:$G$27777,Datos!$E$2:$E$27777,$A27,Datos!$B$2:$B$27777,11,Datos!$C$2:$C$27777,"&lt;30",Datos!$F$2:$F$27777,"STANDBY"),0),"")</f>
        <v/>
      </c>
      <c r="I27" s="7">
        <f>IFERROR(ROUND(AVERAGEIFS(Datos!$G$2:$G$27777,Datos!$E$2:$E$27777,$A27,Datos!$B$2:$B$27777,11,Datos!$C$2:$C$27777,"&gt;=30",Datos!$F$2:$F$27777,"STANDBY"),0),"")</f>
        <v/>
      </c>
      <c r="J27" s="7">
        <f>IFERROR(ROUND(AVERAGEIFS(Datos!$G$2:$G$27777,Datos!$E$2:$E$27777,$A27,Datos!$B$2:$B$27777,12,Datos!$C$2:$C$27777,"&lt;30",Datos!$F$2:$F$27777,"STANDBY"),0),"")</f>
        <v/>
      </c>
      <c r="K27" s="7">
        <f>IFERROR(ROUND(AVERAGEIFS(Datos!$G$2:$G$27777,Datos!$E$2:$E$27777,$A27,Datos!$B$2:$B$27777,12,Datos!$C$2:$C$27777,"&gt;=30",Datos!$F$2:$F$27777,"STANDBY"),0),"")</f>
        <v/>
      </c>
      <c r="L27" s="7">
        <f>IFERROR(ROUND(AVERAGEIFS(Datos!$G$2:$G$27777,Datos!$E$2:$E$27777,$A27,Datos!$B$2:$B$27777,13,Datos!$C$2:$C$27777,"&lt;30",Datos!$F$2:$F$27777,"STANDBY"),0),"")</f>
        <v/>
      </c>
      <c r="M27" s="7">
        <f>IFERROR(ROUND(AVERAGEIFS(Datos!$G$2:$G$27777,Datos!$E$2:$E$27777,$A27,Datos!$B$2:$B$27777,13,Datos!$C$2:$C$27777,"&gt;=30",Datos!$F$2:$F$27777,"STANDBY"),0),"")</f>
        <v/>
      </c>
      <c r="N27" s="7">
        <f>IFERROR(ROUND(AVERAGEIFS(Datos!$G$2:$G$27777,Datos!$E$2:$E$27777,$A27,Datos!$B$2:$B$27777,14,Datos!$C$2:$C$27777,"&lt;30",Datos!$F$2:$F$27777,"STANDBY"),0),"")</f>
        <v/>
      </c>
      <c r="O27" s="7">
        <f>IFERROR(ROUND(AVERAGEIFS(Datos!$G$2:$G$27777,Datos!$E$2:$E$27777,$A27,Datos!$B$2:$B$27777,14,Datos!$C$2:$C$27777,"&gt;=30",Datos!$F$2:$F$27777,"STANDBY"),0),"")</f>
        <v/>
      </c>
      <c r="P27" s="7">
        <f>IFERROR(ROUND(AVERAGEIFS(Datos!$G$2:$G$27777,Datos!$E$2:$E$27777,$A27,Datos!$B$2:$B$27777,15,Datos!$C$2:$C$27777,"&lt;30",Datos!$F$2:$F$27777,"STANDBY"),0),"")</f>
        <v/>
      </c>
      <c r="Q27" s="7">
        <f>IFERROR(ROUND(AVERAGEIFS(Datos!$G$2:$G$27777,Datos!$E$2:$E$27777,$A27,Datos!$B$2:$B$27777,15,Datos!$C$2:$C$27777,"&gt;=30",Datos!$F$2:$F$27777,"STANDBY"),0),"")</f>
        <v/>
      </c>
      <c r="R27" s="7">
        <f>IFERROR(ROUND(AVERAGEIFS(Datos!$G$2:$G$27777,Datos!$E$2:$E$27777,$A27,Datos!$B$2:$B$27777,16,Datos!$C$2:$C$27777,"&lt;30",Datos!$F$2:$F$27777,"STANDBY"),0),"")</f>
        <v/>
      </c>
      <c r="S27" s="7">
        <f>IFERROR(ROUND(AVERAGEIFS(Datos!$G$2:$G$27777,Datos!$E$2:$E$27777,$A27,Datos!$B$2:$B$27777,16,Datos!$C$2:$C$27777,"&gt;=30",Datos!$F$2:$F$27777,"STANDBY"),0),"")</f>
        <v/>
      </c>
      <c r="T27" s="7">
        <f>IFERROR(ROUND(AVERAGEIFS(Datos!$G$2:$G$27777,Datos!$E$2:$E$27777,$A27,Datos!$B$2:$B$27777,17,Datos!$C$2:$C$27777,"&lt;30",Datos!$F$2:$F$27777,"STANDBY"),0),"")</f>
        <v/>
      </c>
      <c r="U27" s="7">
        <f>IFERROR(ROUND(AVERAGEIFS(Datos!$G$2:$G$27777,Datos!$E$2:$E$27777,$A27,Datos!$B$2:$B$27777,17,Datos!$C$2:$C$27777,"&gt;=30",Datos!$F$2:$F$27777,"STANDBY"),0),"")</f>
        <v/>
      </c>
      <c r="V27" s="7">
        <f>IFERROR(ROUND(AVERAGEIFS(Datos!$G$2:$G$27777,Datos!$E$2:$E$27777,$A27,Datos!$B$2:$B$27777,18,Datos!$C$2:$C$27777,"&lt;30",Datos!$F$2:$F$27777,"STANDBY"),0),"")</f>
        <v/>
      </c>
      <c r="W27" s="7">
        <f>IFERROR(ROUND(AVERAGEIFS(Datos!$G$2:$G$27777,Datos!$E$2:$E$27777,$A27,Datos!$B$2:$B$27777,18,Datos!$C$2:$C$27777,"&gt;=30",Datos!$F$2:$F$27777,"STANDBY"),0),"")</f>
        <v/>
      </c>
      <c r="X27" s="7">
        <f>IFERROR(ROUND(AVERAGEIFS(Datos!$G$2:$G$27777,Datos!$E$2:$E$27777,$A27,Datos!$B$2:$B$27777,19,Datos!$C$2:$C$27777,"&lt;30",Datos!$F$2:$F$27777,"STANDBY"),0),"")</f>
        <v/>
      </c>
      <c r="Y27" s="7">
        <f>IFERROR(ROUND(AVERAGEIFS(Datos!$G$2:$G$27777,Datos!$E$2:$E$27777,$A27,Datos!$B$2:$B$27777,19,Datos!$C$2:$C$27777,"&gt;=30",Datos!$F$2:$F$27777,"STANDBY"),0),"")</f>
        <v/>
      </c>
      <c r="Z27" s="7">
        <f>IFERROR(ROUND(AVERAGEIFS(Datos!$G$2:$G$27777,Datos!$E$2:$E$27777,$A27,Datos!$B$2:$B$27777,20,Datos!$C$2:$C$27777,"&lt;30",Datos!$F$2:$F$27777,"STANDBY"),0),"")</f>
        <v/>
      </c>
      <c r="AA27" s="7">
        <f>IFERROR(ROUND(AVERAGEIFS(Datos!$G$2:$G$27777,Datos!$E$2:$E$27777,$A27,Datos!$B$2:$B$27777,20,Datos!$C$2:$C$27777,"&gt;=30",Datos!$F$2:$F$27777,"STANDBY"),0),"")</f>
        <v/>
      </c>
      <c r="AB27" s="7">
        <f>IFERROR(ROUND(AVERAGEIFS(Datos!$G$2:$G$27777,Datos!$E$2:$E$27777,$A27,Datos!$B$2:$B$27777,21,Datos!$C$2:$C$27777,"&lt;30",Datos!$F$2:$F$27777,"STANDBY"),0),"")</f>
        <v/>
      </c>
      <c r="AC27" s="7">
        <f>IFERROR(ROUND(AVERAGEIFS(Datos!$G$2:$G$27777,Datos!$E$2:$E$27777,$A27,Datos!$B$2:$B$27777,21,Datos!$C$2:$C$27777,"&gt;=30",Datos!$F$2:$F$27777,"STANDBY"),0),"")</f>
        <v/>
      </c>
      <c r="AD27" s="7">
        <f>IFERROR(ROUND(AVERAGEIFS(Datos!$G$2:$G$27777,Datos!$E$2:$E$27777,$A27,Datos!$B$2:$B$27777,22,Datos!$C$2:$C$27777,"&lt;30",Datos!$F$2:$F$27777,"STANDBY"),0),"")</f>
        <v/>
      </c>
      <c r="AE27" s="7">
        <f>IFERROR(ROUND(AVERAGEIFS(Datos!$G$2:$G$27777,Datos!$E$2:$E$27777,$A27,Datos!$B$2:$B$27777,22,Datos!$C$2:$C$27777,"&gt;=30",Datos!$F$2:$F$27777,"STANDBY"),0),"")</f>
        <v/>
      </c>
      <c r="AF27" s="7">
        <f>IFERROR(ROUND(AVERAGEIFS(Datos!$G$2:$G$27777,Datos!$E$2:$E$27777,$A27,Datos!$B$2:$B$27777,23,Datos!$C$2:$C$27777,"&lt;30",Datos!$F$2:$F$27777,"STANDBY"),0),"")</f>
        <v/>
      </c>
      <c r="AG27" s="7">
        <f>IFERROR(ROUND(AVERAGEIFS(Datos!$G$2:$G$27777,Datos!$E$2:$E$27777,$A27,Datos!$B$2:$B$27777,23,Datos!$C$2:$C$27777,"&gt;=30",Datos!$F$2:$F$27777,"STANDBY"),0),"")</f>
        <v/>
      </c>
    </row>
    <row r="28">
      <c r="A28" s="6" t="inlineStr">
        <is>
          <t>Autopia, presented by Avis</t>
        </is>
      </c>
      <c r="B28" s="7">
        <f>IFERROR(ROUND(AVERAGEIFS(Datos!$G$2:$G$27777,Datos!$E$2:$E$27777,$A28,Datos!$B$2:$B$27777,8,Datos!$C$2:$C$27777,"&lt;30",Datos!$F$2:$F$27777,"STANDBY"),0),"")</f>
        <v/>
      </c>
      <c r="C28" s="7">
        <f>IFERROR(ROUND(AVERAGEIFS(Datos!$G$2:$G$27777,Datos!$E$2:$E$27777,$A28,Datos!$B$2:$B$27777,8,Datos!$C$2:$C$27777,"&gt;=30",Datos!$F$2:$F$27777,"STANDBY"),0),"")</f>
        <v/>
      </c>
      <c r="D28" s="7">
        <f>IFERROR(ROUND(AVERAGEIFS(Datos!$G$2:$G$27777,Datos!$E$2:$E$27777,$A28,Datos!$B$2:$B$27777,9,Datos!$C$2:$C$27777,"&lt;30",Datos!$F$2:$F$27777,"STANDBY"),0),"")</f>
        <v/>
      </c>
      <c r="E28" s="7">
        <f>IFERROR(ROUND(AVERAGEIFS(Datos!$G$2:$G$27777,Datos!$E$2:$E$27777,$A28,Datos!$B$2:$B$27777,9,Datos!$C$2:$C$27777,"&gt;=30",Datos!$F$2:$F$27777,"STANDBY"),0),"")</f>
        <v/>
      </c>
      <c r="F28" s="7">
        <f>IFERROR(ROUND(AVERAGEIFS(Datos!$G$2:$G$27777,Datos!$E$2:$E$27777,$A28,Datos!$B$2:$B$27777,10,Datos!$C$2:$C$27777,"&lt;30",Datos!$F$2:$F$27777,"STANDBY"),0),"")</f>
        <v/>
      </c>
      <c r="G28" s="7">
        <f>IFERROR(ROUND(AVERAGEIFS(Datos!$G$2:$G$27777,Datos!$E$2:$E$27777,$A28,Datos!$B$2:$B$27777,10,Datos!$C$2:$C$27777,"&gt;=30",Datos!$F$2:$F$27777,"STANDBY"),0),"")</f>
        <v/>
      </c>
      <c r="H28" s="7">
        <f>IFERROR(ROUND(AVERAGEIFS(Datos!$G$2:$G$27777,Datos!$E$2:$E$27777,$A28,Datos!$B$2:$B$27777,11,Datos!$C$2:$C$27777,"&lt;30",Datos!$F$2:$F$27777,"STANDBY"),0),"")</f>
        <v/>
      </c>
      <c r="I28" s="7">
        <f>IFERROR(ROUND(AVERAGEIFS(Datos!$G$2:$G$27777,Datos!$E$2:$E$27777,$A28,Datos!$B$2:$B$27777,11,Datos!$C$2:$C$27777,"&gt;=30",Datos!$F$2:$F$27777,"STANDBY"),0),"")</f>
        <v/>
      </c>
      <c r="J28" s="7">
        <f>IFERROR(ROUND(AVERAGEIFS(Datos!$G$2:$G$27777,Datos!$E$2:$E$27777,$A28,Datos!$B$2:$B$27777,12,Datos!$C$2:$C$27777,"&lt;30",Datos!$F$2:$F$27777,"STANDBY"),0),"")</f>
        <v/>
      </c>
      <c r="K28" s="7">
        <f>IFERROR(ROUND(AVERAGEIFS(Datos!$G$2:$G$27777,Datos!$E$2:$E$27777,$A28,Datos!$B$2:$B$27777,12,Datos!$C$2:$C$27777,"&gt;=30",Datos!$F$2:$F$27777,"STANDBY"),0),"")</f>
        <v/>
      </c>
      <c r="L28" s="7">
        <f>IFERROR(ROUND(AVERAGEIFS(Datos!$G$2:$G$27777,Datos!$E$2:$E$27777,$A28,Datos!$B$2:$B$27777,13,Datos!$C$2:$C$27777,"&lt;30",Datos!$F$2:$F$27777,"STANDBY"),0),"")</f>
        <v/>
      </c>
      <c r="M28" s="7">
        <f>IFERROR(ROUND(AVERAGEIFS(Datos!$G$2:$G$27777,Datos!$E$2:$E$27777,$A28,Datos!$B$2:$B$27777,13,Datos!$C$2:$C$27777,"&gt;=30",Datos!$F$2:$F$27777,"STANDBY"),0),"")</f>
        <v/>
      </c>
      <c r="N28" s="7">
        <f>IFERROR(ROUND(AVERAGEIFS(Datos!$G$2:$G$27777,Datos!$E$2:$E$27777,$A28,Datos!$B$2:$B$27777,14,Datos!$C$2:$C$27777,"&lt;30",Datos!$F$2:$F$27777,"STANDBY"),0),"")</f>
        <v/>
      </c>
      <c r="O28" s="7">
        <f>IFERROR(ROUND(AVERAGEIFS(Datos!$G$2:$G$27777,Datos!$E$2:$E$27777,$A28,Datos!$B$2:$B$27777,14,Datos!$C$2:$C$27777,"&gt;=30",Datos!$F$2:$F$27777,"STANDBY"),0),"")</f>
        <v/>
      </c>
      <c r="P28" s="7">
        <f>IFERROR(ROUND(AVERAGEIFS(Datos!$G$2:$G$27777,Datos!$E$2:$E$27777,$A28,Datos!$B$2:$B$27777,15,Datos!$C$2:$C$27777,"&lt;30",Datos!$F$2:$F$27777,"STANDBY"),0),"")</f>
        <v/>
      </c>
      <c r="Q28" s="7">
        <f>IFERROR(ROUND(AVERAGEIFS(Datos!$G$2:$G$27777,Datos!$E$2:$E$27777,$A28,Datos!$B$2:$B$27777,15,Datos!$C$2:$C$27777,"&gt;=30",Datos!$F$2:$F$27777,"STANDBY"),0),"")</f>
        <v/>
      </c>
      <c r="R28" s="7">
        <f>IFERROR(ROUND(AVERAGEIFS(Datos!$G$2:$G$27777,Datos!$E$2:$E$27777,$A28,Datos!$B$2:$B$27777,16,Datos!$C$2:$C$27777,"&lt;30",Datos!$F$2:$F$27777,"STANDBY"),0),"")</f>
        <v/>
      </c>
      <c r="S28" s="7">
        <f>IFERROR(ROUND(AVERAGEIFS(Datos!$G$2:$G$27777,Datos!$E$2:$E$27777,$A28,Datos!$B$2:$B$27777,16,Datos!$C$2:$C$27777,"&gt;=30",Datos!$F$2:$F$27777,"STANDBY"),0),"")</f>
        <v/>
      </c>
      <c r="T28" s="7">
        <f>IFERROR(ROUND(AVERAGEIFS(Datos!$G$2:$G$27777,Datos!$E$2:$E$27777,$A28,Datos!$B$2:$B$27777,17,Datos!$C$2:$C$27777,"&lt;30",Datos!$F$2:$F$27777,"STANDBY"),0),"")</f>
        <v/>
      </c>
      <c r="U28" s="7">
        <f>IFERROR(ROUND(AVERAGEIFS(Datos!$G$2:$G$27777,Datos!$E$2:$E$27777,$A28,Datos!$B$2:$B$27777,17,Datos!$C$2:$C$27777,"&gt;=30",Datos!$F$2:$F$27777,"STANDBY"),0),"")</f>
        <v/>
      </c>
      <c r="V28" s="7">
        <f>IFERROR(ROUND(AVERAGEIFS(Datos!$G$2:$G$27777,Datos!$E$2:$E$27777,$A28,Datos!$B$2:$B$27777,18,Datos!$C$2:$C$27777,"&lt;30",Datos!$F$2:$F$27777,"STANDBY"),0),"")</f>
        <v/>
      </c>
      <c r="W28" s="7">
        <f>IFERROR(ROUND(AVERAGEIFS(Datos!$G$2:$G$27777,Datos!$E$2:$E$27777,$A28,Datos!$B$2:$B$27777,18,Datos!$C$2:$C$27777,"&gt;=30",Datos!$F$2:$F$27777,"STANDBY"),0),"")</f>
        <v/>
      </c>
      <c r="X28" s="7">
        <f>IFERROR(ROUND(AVERAGEIFS(Datos!$G$2:$G$27777,Datos!$E$2:$E$27777,$A28,Datos!$B$2:$B$27777,19,Datos!$C$2:$C$27777,"&lt;30",Datos!$F$2:$F$27777,"STANDBY"),0),"")</f>
        <v/>
      </c>
      <c r="Y28" s="7">
        <f>IFERROR(ROUND(AVERAGEIFS(Datos!$G$2:$G$27777,Datos!$E$2:$E$27777,$A28,Datos!$B$2:$B$27777,19,Datos!$C$2:$C$27777,"&gt;=30",Datos!$F$2:$F$27777,"STANDBY"),0),"")</f>
        <v/>
      </c>
      <c r="Z28" s="7">
        <f>IFERROR(ROUND(AVERAGEIFS(Datos!$G$2:$G$27777,Datos!$E$2:$E$27777,$A28,Datos!$B$2:$B$27777,20,Datos!$C$2:$C$27777,"&lt;30",Datos!$F$2:$F$27777,"STANDBY"),0),"")</f>
        <v/>
      </c>
      <c r="AA28" s="7">
        <f>IFERROR(ROUND(AVERAGEIFS(Datos!$G$2:$G$27777,Datos!$E$2:$E$27777,$A28,Datos!$B$2:$B$27777,20,Datos!$C$2:$C$27777,"&gt;=30",Datos!$F$2:$F$27777,"STANDBY"),0),"")</f>
        <v/>
      </c>
      <c r="AB28" s="7">
        <f>IFERROR(ROUND(AVERAGEIFS(Datos!$G$2:$G$27777,Datos!$E$2:$E$27777,$A28,Datos!$B$2:$B$27777,21,Datos!$C$2:$C$27777,"&lt;30",Datos!$F$2:$F$27777,"STANDBY"),0),"")</f>
        <v/>
      </c>
      <c r="AC28" s="7">
        <f>IFERROR(ROUND(AVERAGEIFS(Datos!$G$2:$G$27777,Datos!$E$2:$E$27777,$A28,Datos!$B$2:$B$27777,21,Datos!$C$2:$C$27777,"&gt;=30",Datos!$F$2:$F$27777,"STANDBY"),0),"")</f>
        <v/>
      </c>
      <c r="AD28" s="7">
        <f>IFERROR(ROUND(AVERAGEIFS(Datos!$G$2:$G$27777,Datos!$E$2:$E$27777,$A28,Datos!$B$2:$B$27777,22,Datos!$C$2:$C$27777,"&lt;30",Datos!$F$2:$F$27777,"STANDBY"),0),"")</f>
        <v/>
      </c>
      <c r="AE28" s="7">
        <f>IFERROR(ROUND(AVERAGEIFS(Datos!$G$2:$G$27777,Datos!$E$2:$E$27777,$A28,Datos!$B$2:$B$27777,22,Datos!$C$2:$C$27777,"&gt;=30",Datos!$F$2:$F$27777,"STANDBY"),0),"")</f>
        <v/>
      </c>
      <c r="AF28" s="7">
        <f>IFERROR(ROUND(AVERAGEIFS(Datos!$G$2:$G$27777,Datos!$E$2:$E$27777,$A28,Datos!$B$2:$B$27777,23,Datos!$C$2:$C$27777,"&lt;30",Datos!$F$2:$F$27777,"STANDBY"),0),"")</f>
        <v/>
      </c>
      <c r="AG28" s="7">
        <f>IFERROR(ROUND(AVERAGEIFS(Datos!$G$2:$G$27777,Datos!$E$2:$E$27777,$A28,Datos!$B$2:$B$27777,23,Datos!$C$2:$C$27777,"&gt;=30",Datos!$F$2:$F$27777,"STANDBY"),0),"")</f>
        <v/>
      </c>
    </row>
    <row r="29">
      <c r="A29" s="6" t="inlineStr">
        <is>
          <t>Big Thunder Mountain</t>
        </is>
      </c>
      <c r="B29" s="7">
        <f>IFERROR(ROUND(AVERAGEIFS(Datos!$G$2:$G$27777,Datos!$E$2:$E$27777,$A29,Datos!$B$2:$B$27777,8,Datos!$C$2:$C$27777,"&lt;30",Datos!$F$2:$F$27777,"STANDBY"),0),"")</f>
        <v/>
      </c>
      <c r="C29" s="7">
        <f>IFERROR(ROUND(AVERAGEIFS(Datos!$G$2:$G$27777,Datos!$E$2:$E$27777,$A29,Datos!$B$2:$B$27777,8,Datos!$C$2:$C$27777,"&gt;=30",Datos!$F$2:$F$27777,"STANDBY"),0),"")</f>
        <v/>
      </c>
      <c r="D29" s="7">
        <f>IFERROR(ROUND(AVERAGEIFS(Datos!$G$2:$G$27777,Datos!$E$2:$E$27777,$A29,Datos!$B$2:$B$27777,9,Datos!$C$2:$C$27777,"&lt;30",Datos!$F$2:$F$27777,"STANDBY"),0),"")</f>
        <v/>
      </c>
      <c r="E29" s="7">
        <f>IFERROR(ROUND(AVERAGEIFS(Datos!$G$2:$G$27777,Datos!$E$2:$E$27777,$A29,Datos!$B$2:$B$27777,9,Datos!$C$2:$C$27777,"&gt;=30",Datos!$F$2:$F$27777,"STANDBY"),0),"")</f>
        <v/>
      </c>
      <c r="F29" s="7">
        <f>IFERROR(ROUND(AVERAGEIFS(Datos!$G$2:$G$27777,Datos!$E$2:$E$27777,$A29,Datos!$B$2:$B$27777,10,Datos!$C$2:$C$27777,"&lt;30",Datos!$F$2:$F$27777,"STANDBY"),0),"")</f>
        <v/>
      </c>
      <c r="G29" s="7">
        <f>IFERROR(ROUND(AVERAGEIFS(Datos!$G$2:$G$27777,Datos!$E$2:$E$27777,$A29,Datos!$B$2:$B$27777,10,Datos!$C$2:$C$27777,"&gt;=30",Datos!$F$2:$F$27777,"STANDBY"),0),"")</f>
        <v/>
      </c>
      <c r="H29" s="7">
        <f>IFERROR(ROUND(AVERAGEIFS(Datos!$G$2:$G$27777,Datos!$E$2:$E$27777,$A29,Datos!$B$2:$B$27777,11,Datos!$C$2:$C$27777,"&lt;30",Datos!$F$2:$F$27777,"STANDBY"),0),"")</f>
        <v/>
      </c>
      <c r="I29" s="7">
        <f>IFERROR(ROUND(AVERAGEIFS(Datos!$G$2:$G$27777,Datos!$E$2:$E$27777,$A29,Datos!$B$2:$B$27777,11,Datos!$C$2:$C$27777,"&gt;=30",Datos!$F$2:$F$27777,"STANDBY"),0),"")</f>
        <v/>
      </c>
      <c r="J29" s="7">
        <f>IFERROR(ROUND(AVERAGEIFS(Datos!$G$2:$G$27777,Datos!$E$2:$E$27777,$A29,Datos!$B$2:$B$27777,12,Datos!$C$2:$C$27777,"&lt;30",Datos!$F$2:$F$27777,"STANDBY"),0),"")</f>
        <v/>
      </c>
      <c r="K29" s="7">
        <f>IFERROR(ROUND(AVERAGEIFS(Datos!$G$2:$G$27777,Datos!$E$2:$E$27777,$A29,Datos!$B$2:$B$27777,12,Datos!$C$2:$C$27777,"&gt;=30",Datos!$F$2:$F$27777,"STANDBY"),0),"")</f>
        <v/>
      </c>
      <c r="L29" s="7">
        <f>IFERROR(ROUND(AVERAGEIFS(Datos!$G$2:$G$27777,Datos!$E$2:$E$27777,$A29,Datos!$B$2:$B$27777,13,Datos!$C$2:$C$27777,"&lt;30",Datos!$F$2:$F$27777,"STANDBY"),0),"")</f>
        <v/>
      </c>
      <c r="M29" s="7">
        <f>IFERROR(ROUND(AVERAGEIFS(Datos!$G$2:$G$27777,Datos!$E$2:$E$27777,$A29,Datos!$B$2:$B$27777,13,Datos!$C$2:$C$27777,"&gt;=30",Datos!$F$2:$F$27777,"STANDBY"),0),"")</f>
        <v/>
      </c>
      <c r="N29" s="7">
        <f>IFERROR(ROUND(AVERAGEIFS(Datos!$G$2:$G$27777,Datos!$E$2:$E$27777,$A29,Datos!$B$2:$B$27777,14,Datos!$C$2:$C$27777,"&lt;30",Datos!$F$2:$F$27777,"STANDBY"),0),"")</f>
        <v/>
      </c>
      <c r="O29" s="7">
        <f>IFERROR(ROUND(AVERAGEIFS(Datos!$G$2:$G$27777,Datos!$E$2:$E$27777,$A29,Datos!$B$2:$B$27777,14,Datos!$C$2:$C$27777,"&gt;=30",Datos!$F$2:$F$27777,"STANDBY"),0),"")</f>
        <v/>
      </c>
      <c r="P29" s="7">
        <f>IFERROR(ROUND(AVERAGEIFS(Datos!$G$2:$G$27777,Datos!$E$2:$E$27777,$A29,Datos!$B$2:$B$27777,15,Datos!$C$2:$C$27777,"&lt;30",Datos!$F$2:$F$27777,"STANDBY"),0),"")</f>
        <v/>
      </c>
      <c r="Q29" s="7">
        <f>IFERROR(ROUND(AVERAGEIFS(Datos!$G$2:$G$27777,Datos!$E$2:$E$27777,$A29,Datos!$B$2:$B$27777,15,Datos!$C$2:$C$27777,"&gt;=30",Datos!$F$2:$F$27777,"STANDBY"),0),"")</f>
        <v/>
      </c>
      <c r="R29" s="7">
        <f>IFERROR(ROUND(AVERAGEIFS(Datos!$G$2:$G$27777,Datos!$E$2:$E$27777,$A29,Datos!$B$2:$B$27777,16,Datos!$C$2:$C$27777,"&lt;30",Datos!$F$2:$F$27777,"STANDBY"),0),"")</f>
        <v/>
      </c>
      <c r="S29" s="7">
        <f>IFERROR(ROUND(AVERAGEIFS(Datos!$G$2:$G$27777,Datos!$E$2:$E$27777,$A29,Datos!$B$2:$B$27777,16,Datos!$C$2:$C$27777,"&gt;=30",Datos!$F$2:$F$27777,"STANDBY"),0),"")</f>
        <v/>
      </c>
      <c r="T29" s="7">
        <f>IFERROR(ROUND(AVERAGEIFS(Datos!$G$2:$G$27777,Datos!$E$2:$E$27777,$A29,Datos!$B$2:$B$27777,17,Datos!$C$2:$C$27777,"&lt;30",Datos!$F$2:$F$27777,"STANDBY"),0),"")</f>
        <v/>
      </c>
      <c r="U29" s="7">
        <f>IFERROR(ROUND(AVERAGEIFS(Datos!$G$2:$G$27777,Datos!$E$2:$E$27777,$A29,Datos!$B$2:$B$27777,17,Datos!$C$2:$C$27777,"&gt;=30",Datos!$F$2:$F$27777,"STANDBY"),0),"")</f>
        <v/>
      </c>
      <c r="V29" s="7">
        <f>IFERROR(ROUND(AVERAGEIFS(Datos!$G$2:$G$27777,Datos!$E$2:$E$27777,$A29,Datos!$B$2:$B$27777,18,Datos!$C$2:$C$27777,"&lt;30",Datos!$F$2:$F$27777,"STANDBY"),0),"")</f>
        <v/>
      </c>
      <c r="W29" s="7">
        <f>IFERROR(ROUND(AVERAGEIFS(Datos!$G$2:$G$27777,Datos!$E$2:$E$27777,$A29,Datos!$B$2:$B$27777,18,Datos!$C$2:$C$27777,"&gt;=30",Datos!$F$2:$F$27777,"STANDBY"),0),"")</f>
        <v/>
      </c>
      <c r="X29" s="7">
        <f>IFERROR(ROUND(AVERAGEIFS(Datos!$G$2:$G$27777,Datos!$E$2:$E$27777,$A29,Datos!$B$2:$B$27777,19,Datos!$C$2:$C$27777,"&lt;30",Datos!$F$2:$F$27777,"STANDBY"),0),"")</f>
        <v/>
      </c>
      <c r="Y29" s="7">
        <f>IFERROR(ROUND(AVERAGEIFS(Datos!$G$2:$G$27777,Datos!$E$2:$E$27777,$A29,Datos!$B$2:$B$27777,19,Datos!$C$2:$C$27777,"&gt;=30",Datos!$F$2:$F$27777,"STANDBY"),0),"")</f>
        <v/>
      </c>
      <c r="Z29" s="7">
        <f>IFERROR(ROUND(AVERAGEIFS(Datos!$G$2:$G$27777,Datos!$E$2:$E$27777,$A29,Datos!$B$2:$B$27777,20,Datos!$C$2:$C$27777,"&lt;30",Datos!$F$2:$F$27777,"STANDBY"),0),"")</f>
        <v/>
      </c>
      <c r="AA29" s="7">
        <f>IFERROR(ROUND(AVERAGEIFS(Datos!$G$2:$G$27777,Datos!$E$2:$E$27777,$A29,Datos!$B$2:$B$27777,20,Datos!$C$2:$C$27777,"&gt;=30",Datos!$F$2:$F$27777,"STANDBY"),0),"")</f>
        <v/>
      </c>
      <c r="AB29" s="7">
        <f>IFERROR(ROUND(AVERAGEIFS(Datos!$G$2:$G$27777,Datos!$E$2:$E$27777,$A29,Datos!$B$2:$B$27777,21,Datos!$C$2:$C$27777,"&lt;30",Datos!$F$2:$F$27777,"STANDBY"),0),"")</f>
        <v/>
      </c>
      <c r="AC29" s="7">
        <f>IFERROR(ROUND(AVERAGEIFS(Datos!$G$2:$G$27777,Datos!$E$2:$E$27777,$A29,Datos!$B$2:$B$27777,21,Datos!$C$2:$C$27777,"&gt;=30",Datos!$F$2:$F$27777,"STANDBY"),0),"")</f>
        <v/>
      </c>
      <c r="AD29" s="7">
        <f>IFERROR(ROUND(AVERAGEIFS(Datos!$G$2:$G$27777,Datos!$E$2:$E$27777,$A29,Datos!$B$2:$B$27777,22,Datos!$C$2:$C$27777,"&lt;30",Datos!$F$2:$F$27777,"STANDBY"),0),"")</f>
        <v/>
      </c>
      <c r="AE29" s="7">
        <f>IFERROR(ROUND(AVERAGEIFS(Datos!$G$2:$G$27777,Datos!$E$2:$E$27777,$A29,Datos!$B$2:$B$27777,22,Datos!$C$2:$C$27777,"&gt;=30",Datos!$F$2:$F$27777,"STANDBY"),0),"")</f>
        <v/>
      </c>
      <c r="AF29" s="7">
        <f>IFERROR(ROUND(AVERAGEIFS(Datos!$G$2:$G$27777,Datos!$E$2:$E$27777,$A29,Datos!$B$2:$B$27777,23,Datos!$C$2:$C$27777,"&lt;30",Datos!$F$2:$F$27777,"STANDBY"),0),"")</f>
        <v/>
      </c>
      <c r="AG29" s="7">
        <f>IFERROR(ROUND(AVERAGEIFS(Datos!$G$2:$G$27777,Datos!$E$2:$E$27777,$A29,Datos!$B$2:$B$27777,23,Datos!$C$2:$C$27777,"&gt;=30",Datos!$F$2:$F$27777,"STANDBY"),0),"")</f>
        <v/>
      </c>
    </row>
    <row r="30">
      <c r="A30" s="6" t="inlineStr">
        <is>
          <t>Blanche-Neige et les Sept Nains®</t>
        </is>
      </c>
      <c r="B30" s="7">
        <f>IFERROR(ROUND(AVERAGEIFS(Datos!$G$2:$G$27777,Datos!$E$2:$E$27777,$A30,Datos!$B$2:$B$27777,8,Datos!$C$2:$C$27777,"&lt;30",Datos!$F$2:$F$27777,"STANDBY"),0),"")</f>
        <v/>
      </c>
      <c r="C30" s="7">
        <f>IFERROR(ROUND(AVERAGEIFS(Datos!$G$2:$G$27777,Datos!$E$2:$E$27777,$A30,Datos!$B$2:$B$27777,8,Datos!$C$2:$C$27777,"&gt;=30",Datos!$F$2:$F$27777,"STANDBY"),0),"")</f>
        <v/>
      </c>
      <c r="D30" s="7">
        <f>IFERROR(ROUND(AVERAGEIFS(Datos!$G$2:$G$27777,Datos!$E$2:$E$27777,$A30,Datos!$B$2:$B$27777,9,Datos!$C$2:$C$27777,"&lt;30",Datos!$F$2:$F$27777,"STANDBY"),0),"")</f>
        <v/>
      </c>
      <c r="E30" s="7">
        <f>IFERROR(ROUND(AVERAGEIFS(Datos!$G$2:$G$27777,Datos!$E$2:$E$27777,$A30,Datos!$B$2:$B$27777,9,Datos!$C$2:$C$27777,"&gt;=30",Datos!$F$2:$F$27777,"STANDBY"),0),"")</f>
        <v/>
      </c>
      <c r="F30" s="7">
        <f>IFERROR(ROUND(AVERAGEIFS(Datos!$G$2:$G$27777,Datos!$E$2:$E$27777,$A30,Datos!$B$2:$B$27777,10,Datos!$C$2:$C$27777,"&lt;30",Datos!$F$2:$F$27777,"STANDBY"),0),"")</f>
        <v/>
      </c>
      <c r="G30" s="7">
        <f>IFERROR(ROUND(AVERAGEIFS(Datos!$G$2:$G$27777,Datos!$E$2:$E$27777,$A30,Datos!$B$2:$B$27777,10,Datos!$C$2:$C$27777,"&gt;=30",Datos!$F$2:$F$27777,"STANDBY"),0),"")</f>
        <v/>
      </c>
      <c r="H30" s="7">
        <f>IFERROR(ROUND(AVERAGEIFS(Datos!$G$2:$G$27777,Datos!$E$2:$E$27777,$A30,Datos!$B$2:$B$27777,11,Datos!$C$2:$C$27777,"&lt;30",Datos!$F$2:$F$27777,"STANDBY"),0),"")</f>
        <v/>
      </c>
      <c r="I30" s="7">
        <f>IFERROR(ROUND(AVERAGEIFS(Datos!$G$2:$G$27777,Datos!$E$2:$E$27777,$A30,Datos!$B$2:$B$27777,11,Datos!$C$2:$C$27777,"&gt;=30",Datos!$F$2:$F$27777,"STANDBY"),0),"")</f>
        <v/>
      </c>
      <c r="J30" s="7">
        <f>IFERROR(ROUND(AVERAGEIFS(Datos!$G$2:$G$27777,Datos!$E$2:$E$27777,$A30,Datos!$B$2:$B$27777,12,Datos!$C$2:$C$27777,"&lt;30",Datos!$F$2:$F$27777,"STANDBY"),0),"")</f>
        <v/>
      </c>
      <c r="K30" s="7">
        <f>IFERROR(ROUND(AVERAGEIFS(Datos!$G$2:$G$27777,Datos!$E$2:$E$27777,$A30,Datos!$B$2:$B$27777,12,Datos!$C$2:$C$27777,"&gt;=30",Datos!$F$2:$F$27777,"STANDBY"),0),"")</f>
        <v/>
      </c>
      <c r="L30" s="7">
        <f>IFERROR(ROUND(AVERAGEIFS(Datos!$G$2:$G$27777,Datos!$E$2:$E$27777,$A30,Datos!$B$2:$B$27777,13,Datos!$C$2:$C$27777,"&lt;30",Datos!$F$2:$F$27777,"STANDBY"),0),"")</f>
        <v/>
      </c>
      <c r="M30" s="7">
        <f>IFERROR(ROUND(AVERAGEIFS(Datos!$G$2:$G$27777,Datos!$E$2:$E$27777,$A30,Datos!$B$2:$B$27777,13,Datos!$C$2:$C$27777,"&gt;=30",Datos!$F$2:$F$27777,"STANDBY"),0),"")</f>
        <v/>
      </c>
      <c r="N30" s="7">
        <f>IFERROR(ROUND(AVERAGEIFS(Datos!$G$2:$G$27777,Datos!$E$2:$E$27777,$A30,Datos!$B$2:$B$27777,14,Datos!$C$2:$C$27777,"&lt;30",Datos!$F$2:$F$27777,"STANDBY"),0),"")</f>
        <v/>
      </c>
      <c r="O30" s="7">
        <f>IFERROR(ROUND(AVERAGEIFS(Datos!$G$2:$G$27777,Datos!$E$2:$E$27777,$A30,Datos!$B$2:$B$27777,14,Datos!$C$2:$C$27777,"&gt;=30",Datos!$F$2:$F$27777,"STANDBY"),0),"")</f>
        <v/>
      </c>
      <c r="P30" s="7">
        <f>IFERROR(ROUND(AVERAGEIFS(Datos!$G$2:$G$27777,Datos!$E$2:$E$27777,$A30,Datos!$B$2:$B$27777,15,Datos!$C$2:$C$27777,"&lt;30",Datos!$F$2:$F$27777,"STANDBY"),0),"")</f>
        <v/>
      </c>
      <c r="Q30" s="7">
        <f>IFERROR(ROUND(AVERAGEIFS(Datos!$G$2:$G$27777,Datos!$E$2:$E$27777,$A30,Datos!$B$2:$B$27777,15,Datos!$C$2:$C$27777,"&gt;=30",Datos!$F$2:$F$27777,"STANDBY"),0),"")</f>
        <v/>
      </c>
      <c r="R30" s="7">
        <f>IFERROR(ROUND(AVERAGEIFS(Datos!$G$2:$G$27777,Datos!$E$2:$E$27777,$A30,Datos!$B$2:$B$27777,16,Datos!$C$2:$C$27777,"&lt;30",Datos!$F$2:$F$27777,"STANDBY"),0),"")</f>
        <v/>
      </c>
      <c r="S30" s="7">
        <f>IFERROR(ROUND(AVERAGEIFS(Datos!$G$2:$G$27777,Datos!$E$2:$E$27777,$A30,Datos!$B$2:$B$27777,16,Datos!$C$2:$C$27777,"&gt;=30",Datos!$F$2:$F$27777,"STANDBY"),0),"")</f>
        <v/>
      </c>
      <c r="T30" s="7">
        <f>IFERROR(ROUND(AVERAGEIFS(Datos!$G$2:$G$27777,Datos!$E$2:$E$27777,$A30,Datos!$B$2:$B$27777,17,Datos!$C$2:$C$27777,"&lt;30",Datos!$F$2:$F$27777,"STANDBY"),0),"")</f>
        <v/>
      </c>
      <c r="U30" s="7">
        <f>IFERROR(ROUND(AVERAGEIFS(Datos!$G$2:$G$27777,Datos!$E$2:$E$27777,$A30,Datos!$B$2:$B$27777,17,Datos!$C$2:$C$27777,"&gt;=30",Datos!$F$2:$F$27777,"STANDBY"),0),"")</f>
        <v/>
      </c>
      <c r="V30" s="7">
        <f>IFERROR(ROUND(AVERAGEIFS(Datos!$G$2:$G$27777,Datos!$E$2:$E$27777,$A30,Datos!$B$2:$B$27777,18,Datos!$C$2:$C$27777,"&lt;30",Datos!$F$2:$F$27777,"STANDBY"),0),"")</f>
        <v/>
      </c>
      <c r="W30" s="7">
        <f>IFERROR(ROUND(AVERAGEIFS(Datos!$G$2:$G$27777,Datos!$E$2:$E$27777,$A30,Datos!$B$2:$B$27777,18,Datos!$C$2:$C$27777,"&gt;=30",Datos!$F$2:$F$27777,"STANDBY"),0),"")</f>
        <v/>
      </c>
      <c r="X30" s="7">
        <f>IFERROR(ROUND(AVERAGEIFS(Datos!$G$2:$G$27777,Datos!$E$2:$E$27777,$A30,Datos!$B$2:$B$27777,19,Datos!$C$2:$C$27777,"&lt;30",Datos!$F$2:$F$27777,"STANDBY"),0),"")</f>
        <v/>
      </c>
      <c r="Y30" s="7">
        <f>IFERROR(ROUND(AVERAGEIFS(Datos!$G$2:$G$27777,Datos!$E$2:$E$27777,$A30,Datos!$B$2:$B$27777,19,Datos!$C$2:$C$27777,"&gt;=30",Datos!$F$2:$F$27777,"STANDBY"),0),"")</f>
        <v/>
      </c>
      <c r="Z30" s="7">
        <f>IFERROR(ROUND(AVERAGEIFS(Datos!$G$2:$G$27777,Datos!$E$2:$E$27777,$A30,Datos!$B$2:$B$27777,20,Datos!$C$2:$C$27777,"&lt;30",Datos!$F$2:$F$27777,"STANDBY"),0),"")</f>
        <v/>
      </c>
      <c r="AA30" s="7">
        <f>IFERROR(ROUND(AVERAGEIFS(Datos!$G$2:$G$27777,Datos!$E$2:$E$27777,$A30,Datos!$B$2:$B$27777,20,Datos!$C$2:$C$27777,"&gt;=30",Datos!$F$2:$F$27777,"STANDBY"),0),"")</f>
        <v/>
      </c>
      <c r="AB30" s="7">
        <f>IFERROR(ROUND(AVERAGEIFS(Datos!$G$2:$G$27777,Datos!$E$2:$E$27777,$A30,Datos!$B$2:$B$27777,21,Datos!$C$2:$C$27777,"&lt;30",Datos!$F$2:$F$27777,"STANDBY"),0),"")</f>
        <v/>
      </c>
      <c r="AC30" s="7">
        <f>IFERROR(ROUND(AVERAGEIFS(Datos!$G$2:$G$27777,Datos!$E$2:$E$27777,$A30,Datos!$B$2:$B$27777,21,Datos!$C$2:$C$27777,"&gt;=30",Datos!$F$2:$F$27777,"STANDBY"),0),"")</f>
        <v/>
      </c>
      <c r="AD30" s="7">
        <f>IFERROR(ROUND(AVERAGEIFS(Datos!$G$2:$G$27777,Datos!$E$2:$E$27777,$A30,Datos!$B$2:$B$27777,22,Datos!$C$2:$C$27777,"&lt;30",Datos!$F$2:$F$27777,"STANDBY"),0),"")</f>
        <v/>
      </c>
      <c r="AE30" s="7">
        <f>IFERROR(ROUND(AVERAGEIFS(Datos!$G$2:$G$27777,Datos!$E$2:$E$27777,$A30,Datos!$B$2:$B$27777,22,Datos!$C$2:$C$27777,"&gt;=30",Datos!$F$2:$F$27777,"STANDBY"),0),"")</f>
        <v/>
      </c>
      <c r="AF30" s="7">
        <f>IFERROR(ROUND(AVERAGEIFS(Datos!$G$2:$G$27777,Datos!$E$2:$E$27777,$A30,Datos!$B$2:$B$27777,23,Datos!$C$2:$C$27777,"&lt;30",Datos!$F$2:$F$27777,"STANDBY"),0),"")</f>
        <v/>
      </c>
      <c r="AG30" s="7">
        <f>IFERROR(ROUND(AVERAGEIFS(Datos!$G$2:$G$27777,Datos!$E$2:$E$27777,$A30,Datos!$B$2:$B$27777,23,Datos!$C$2:$C$27777,"&gt;=30",Datos!$F$2:$F$27777,"STANDBY"),0),"")</f>
        <v/>
      </c>
    </row>
    <row r="31">
      <c r="A31" s="6" t="inlineStr">
        <is>
          <t>Buzz Lightyear Laser Blast</t>
        </is>
      </c>
      <c r="B31" s="7">
        <f>IFERROR(ROUND(AVERAGEIFS(Datos!$G$2:$G$27777,Datos!$E$2:$E$27777,$A31,Datos!$B$2:$B$27777,8,Datos!$C$2:$C$27777,"&lt;30",Datos!$F$2:$F$27777,"STANDBY"),0),"")</f>
        <v/>
      </c>
      <c r="C31" s="7">
        <f>IFERROR(ROUND(AVERAGEIFS(Datos!$G$2:$G$27777,Datos!$E$2:$E$27777,$A31,Datos!$B$2:$B$27777,8,Datos!$C$2:$C$27777,"&gt;=30",Datos!$F$2:$F$27777,"STANDBY"),0),"")</f>
        <v/>
      </c>
      <c r="D31" s="7">
        <f>IFERROR(ROUND(AVERAGEIFS(Datos!$G$2:$G$27777,Datos!$E$2:$E$27777,$A31,Datos!$B$2:$B$27777,9,Datos!$C$2:$C$27777,"&lt;30",Datos!$F$2:$F$27777,"STANDBY"),0),"")</f>
        <v/>
      </c>
      <c r="E31" s="7">
        <f>IFERROR(ROUND(AVERAGEIFS(Datos!$G$2:$G$27777,Datos!$E$2:$E$27777,$A31,Datos!$B$2:$B$27777,9,Datos!$C$2:$C$27777,"&gt;=30",Datos!$F$2:$F$27777,"STANDBY"),0),"")</f>
        <v/>
      </c>
      <c r="F31" s="7">
        <f>IFERROR(ROUND(AVERAGEIFS(Datos!$G$2:$G$27777,Datos!$E$2:$E$27777,$A31,Datos!$B$2:$B$27777,10,Datos!$C$2:$C$27777,"&lt;30",Datos!$F$2:$F$27777,"STANDBY"),0),"")</f>
        <v/>
      </c>
      <c r="G31" s="7">
        <f>IFERROR(ROUND(AVERAGEIFS(Datos!$G$2:$G$27777,Datos!$E$2:$E$27777,$A31,Datos!$B$2:$B$27777,10,Datos!$C$2:$C$27777,"&gt;=30",Datos!$F$2:$F$27777,"STANDBY"),0),"")</f>
        <v/>
      </c>
      <c r="H31" s="7">
        <f>IFERROR(ROUND(AVERAGEIFS(Datos!$G$2:$G$27777,Datos!$E$2:$E$27777,$A31,Datos!$B$2:$B$27777,11,Datos!$C$2:$C$27777,"&lt;30",Datos!$F$2:$F$27777,"STANDBY"),0),"")</f>
        <v/>
      </c>
      <c r="I31" s="7">
        <f>IFERROR(ROUND(AVERAGEIFS(Datos!$G$2:$G$27777,Datos!$E$2:$E$27777,$A31,Datos!$B$2:$B$27777,11,Datos!$C$2:$C$27777,"&gt;=30",Datos!$F$2:$F$27777,"STANDBY"),0),"")</f>
        <v/>
      </c>
      <c r="J31" s="7">
        <f>IFERROR(ROUND(AVERAGEIFS(Datos!$G$2:$G$27777,Datos!$E$2:$E$27777,$A31,Datos!$B$2:$B$27777,12,Datos!$C$2:$C$27777,"&lt;30",Datos!$F$2:$F$27777,"STANDBY"),0),"")</f>
        <v/>
      </c>
      <c r="K31" s="7">
        <f>IFERROR(ROUND(AVERAGEIFS(Datos!$G$2:$G$27777,Datos!$E$2:$E$27777,$A31,Datos!$B$2:$B$27777,12,Datos!$C$2:$C$27777,"&gt;=30",Datos!$F$2:$F$27777,"STANDBY"),0),"")</f>
        <v/>
      </c>
      <c r="L31" s="7">
        <f>IFERROR(ROUND(AVERAGEIFS(Datos!$G$2:$G$27777,Datos!$E$2:$E$27777,$A31,Datos!$B$2:$B$27777,13,Datos!$C$2:$C$27777,"&lt;30",Datos!$F$2:$F$27777,"STANDBY"),0),"")</f>
        <v/>
      </c>
      <c r="M31" s="7">
        <f>IFERROR(ROUND(AVERAGEIFS(Datos!$G$2:$G$27777,Datos!$E$2:$E$27777,$A31,Datos!$B$2:$B$27777,13,Datos!$C$2:$C$27777,"&gt;=30",Datos!$F$2:$F$27777,"STANDBY"),0),"")</f>
        <v/>
      </c>
      <c r="N31" s="7">
        <f>IFERROR(ROUND(AVERAGEIFS(Datos!$G$2:$G$27777,Datos!$E$2:$E$27777,$A31,Datos!$B$2:$B$27777,14,Datos!$C$2:$C$27777,"&lt;30",Datos!$F$2:$F$27777,"STANDBY"),0),"")</f>
        <v/>
      </c>
      <c r="O31" s="7">
        <f>IFERROR(ROUND(AVERAGEIFS(Datos!$G$2:$G$27777,Datos!$E$2:$E$27777,$A31,Datos!$B$2:$B$27777,14,Datos!$C$2:$C$27777,"&gt;=30",Datos!$F$2:$F$27777,"STANDBY"),0),"")</f>
        <v/>
      </c>
      <c r="P31" s="7">
        <f>IFERROR(ROUND(AVERAGEIFS(Datos!$G$2:$G$27777,Datos!$E$2:$E$27777,$A31,Datos!$B$2:$B$27777,15,Datos!$C$2:$C$27777,"&lt;30",Datos!$F$2:$F$27777,"STANDBY"),0),"")</f>
        <v/>
      </c>
      <c r="Q31" s="7">
        <f>IFERROR(ROUND(AVERAGEIFS(Datos!$G$2:$G$27777,Datos!$E$2:$E$27777,$A31,Datos!$B$2:$B$27777,15,Datos!$C$2:$C$27777,"&gt;=30",Datos!$F$2:$F$27777,"STANDBY"),0),"")</f>
        <v/>
      </c>
      <c r="R31" s="7">
        <f>IFERROR(ROUND(AVERAGEIFS(Datos!$G$2:$G$27777,Datos!$E$2:$E$27777,$A31,Datos!$B$2:$B$27777,16,Datos!$C$2:$C$27777,"&lt;30",Datos!$F$2:$F$27777,"STANDBY"),0),"")</f>
        <v/>
      </c>
      <c r="S31" s="7">
        <f>IFERROR(ROUND(AVERAGEIFS(Datos!$G$2:$G$27777,Datos!$E$2:$E$27777,$A31,Datos!$B$2:$B$27777,16,Datos!$C$2:$C$27777,"&gt;=30",Datos!$F$2:$F$27777,"STANDBY"),0),"")</f>
        <v/>
      </c>
      <c r="T31" s="7">
        <f>IFERROR(ROUND(AVERAGEIFS(Datos!$G$2:$G$27777,Datos!$E$2:$E$27777,$A31,Datos!$B$2:$B$27777,17,Datos!$C$2:$C$27777,"&lt;30",Datos!$F$2:$F$27777,"STANDBY"),0),"")</f>
        <v/>
      </c>
      <c r="U31" s="7">
        <f>IFERROR(ROUND(AVERAGEIFS(Datos!$G$2:$G$27777,Datos!$E$2:$E$27777,$A31,Datos!$B$2:$B$27777,17,Datos!$C$2:$C$27777,"&gt;=30",Datos!$F$2:$F$27777,"STANDBY"),0),"")</f>
        <v/>
      </c>
      <c r="V31" s="7">
        <f>IFERROR(ROUND(AVERAGEIFS(Datos!$G$2:$G$27777,Datos!$E$2:$E$27777,$A31,Datos!$B$2:$B$27777,18,Datos!$C$2:$C$27777,"&lt;30",Datos!$F$2:$F$27777,"STANDBY"),0),"")</f>
        <v/>
      </c>
      <c r="W31" s="7">
        <f>IFERROR(ROUND(AVERAGEIFS(Datos!$G$2:$G$27777,Datos!$E$2:$E$27777,$A31,Datos!$B$2:$B$27777,18,Datos!$C$2:$C$27777,"&gt;=30",Datos!$F$2:$F$27777,"STANDBY"),0),"")</f>
        <v/>
      </c>
      <c r="X31" s="7">
        <f>IFERROR(ROUND(AVERAGEIFS(Datos!$G$2:$G$27777,Datos!$E$2:$E$27777,$A31,Datos!$B$2:$B$27777,19,Datos!$C$2:$C$27777,"&lt;30",Datos!$F$2:$F$27777,"STANDBY"),0),"")</f>
        <v/>
      </c>
      <c r="Y31" s="7">
        <f>IFERROR(ROUND(AVERAGEIFS(Datos!$G$2:$G$27777,Datos!$E$2:$E$27777,$A31,Datos!$B$2:$B$27777,19,Datos!$C$2:$C$27777,"&gt;=30",Datos!$F$2:$F$27777,"STANDBY"),0),"")</f>
        <v/>
      </c>
      <c r="Z31" s="7">
        <f>IFERROR(ROUND(AVERAGEIFS(Datos!$G$2:$G$27777,Datos!$E$2:$E$27777,$A31,Datos!$B$2:$B$27777,20,Datos!$C$2:$C$27777,"&lt;30",Datos!$F$2:$F$27777,"STANDBY"),0),"")</f>
        <v/>
      </c>
      <c r="AA31" s="7">
        <f>IFERROR(ROUND(AVERAGEIFS(Datos!$G$2:$G$27777,Datos!$E$2:$E$27777,$A31,Datos!$B$2:$B$27777,20,Datos!$C$2:$C$27777,"&gt;=30",Datos!$F$2:$F$27777,"STANDBY"),0),"")</f>
        <v/>
      </c>
      <c r="AB31" s="7">
        <f>IFERROR(ROUND(AVERAGEIFS(Datos!$G$2:$G$27777,Datos!$E$2:$E$27777,$A31,Datos!$B$2:$B$27777,21,Datos!$C$2:$C$27777,"&lt;30",Datos!$F$2:$F$27777,"STANDBY"),0),"")</f>
        <v/>
      </c>
      <c r="AC31" s="7">
        <f>IFERROR(ROUND(AVERAGEIFS(Datos!$G$2:$G$27777,Datos!$E$2:$E$27777,$A31,Datos!$B$2:$B$27777,21,Datos!$C$2:$C$27777,"&gt;=30",Datos!$F$2:$F$27777,"STANDBY"),0),"")</f>
        <v/>
      </c>
      <c r="AD31" s="7">
        <f>IFERROR(ROUND(AVERAGEIFS(Datos!$G$2:$G$27777,Datos!$E$2:$E$27777,$A31,Datos!$B$2:$B$27777,22,Datos!$C$2:$C$27777,"&lt;30",Datos!$F$2:$F$27777,"STANDBY"),0),"")</f>
        <v/>
      </c>
      <c r="AE31" s="7">
        <f>IFERROR(ROUND(AVERAGEIFS(Datos!$G$2:$G$27777,Datos!$E$2:$E$27777,$A31,Datos!$B$2:$B$27777,22,Datos!$C$2:$C$27777,"&gt;=30",Datos!$F$2:$F$27777,"STANDBY"),0),"")</f>
        <v/>
      </c>
      <c r="AF31" s="7">
        <f>IFERROR(ROUND(AVERAGEIFS(Datos!$G$2:$G$27777,Datos!$E$2:$E$27777,$A31,Datos!$B$2:$B$27777,23,Datos!$C$2:$C$27777,"&lt;30",Datos!$F$2:$F$27777,"STANDBY"),0),"")</f>
        <v/>
      </c>
      <c r="AG31" s="7">
        <f>IFERROR(ROUND(AVERAGEIFS(Datos!$G$2:$G$27777,Datos!$E$2:$E$27777,$A31,Datos!$B$2:$B$27777,23,Datos!$C$2:$C$27777,"&gt;=30",Datos!$F$2:$F$27777,"STANDBY"),0),"")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IFERROR(ROUND(AVERAGEIFS(Datos!$G$2:$G$27777,Datos!$E$2:$E$27777,$A32,Datos!$B$2:$B$27777,8,Datos!$C$2:$C$27777,"&lt;30",Datos!$F$2:$F$27777,"STANDBY"),0),"")</f>
        <v/>
      </c>
      <c r="C32" s="7">
        <f>IFERROR(ROUND(AVERAGEIFS(Datos!$G$2:$G$27777,Datos!$E$2:$E$27777,$A32,Datos!$B$2:$B$27777,8,Datos!$C$2:$C$27777,"&gt;=30",Datos!$F$2:$F$27777,"STANDBY"),0),"")</f>
        <v/>
      </c>
      <c r="D32" s="7">
        <f>IFERROR(ROUND(AVERAGEIFS(Datos!$G$2:$G$27777,Datos!$E$2:$E$27777,$A32,Datos!$B$2:$B$27777,9,Datos!$C$2:$C$27777,"&lt;30",Datos!$F$2:$F$27777,"STANDBY"),0),"")</f>
        <v/>
      </c>
      <c r="E32" s="7">
        <f>IFERROR(ROUND(AVERAGEIFS(Datos!$G$2:$G$27777,Datos!$E$2:$E$27777,$A32,Datos!$B$2:$B$27777,9,Datos!$C$2:$C$27777,"&gt;=30",Datos!$F$2:$F$27777,"STANDBY"),0),"")</f>
        <v/>
      </c>
      <c r="F32" s="7">
        <f>IFERROR(ROUND(AVERAGEIFS(Datos!$G$2:$G$27777,Datos!$E$2:$E$27777,$A32,Datos!$B$2:$B$27777,10,Datos!$C$2:$C$27777,"&lt;30",Datos!$F$2:$F$27777,"STANDBY"),0),"")</f>
        <v/>
      </c>
      <c r="G32" s="7">
        <f>IFERROR(ROUND(AVERAGEIFS(Datos!$G$2:$G$27777,Datos!$E$2:$E$27777,$A32,Datos!$B$2:$B$27777,10,Datos!$C$2:$C$27777,"&gt;=30",Datos!$F$2:$F$27777,"STANDBY"),0),"")</f>
        <v/>
      </c>
      <c r="H32" s="7">
        <f>IFERROR(ROUND(AVERAGEIFS(Datos!$G$2:$G$27777,Datos!$E$2:$E$27777,$A32,Datos!$B$2:$B$27777,11,Datos!$C$2:$C$27777,"&lt;30",Datos!$F$2:$F$27777,"STANDBY"),0),"")</f>
        <v/>
      </c>
      <c r="I32" s="7">
        <f>IFERROR(ROUND(AVERAGEIFS(Datos!$G$2:$G$27777,Datos!$E$2:$E$27777,$A32,Datos!$B$2:$B$27777,11,Datos!$C$2:$C$27777,"&gt;=30",Datos!$F$2:$F$27777,"STANDBY"),0),"")</f>
        <v/>
      </c>
      <c r="J32" s="7">
        <f>IFERROR(ROUND(AVERAGEIFS(Datos!$G$2:$G$27777,Datos!$E$2:$E$27777,$A32,Datos!$B$2:$B$27777,12,Datos!$C$2:$C$27777,"&lt;30",Datos!$F$2:$F$27777,"STANDBY"),0),"")</f>
        <v/>
      </c>
      <c r="K32" s="7">
        <f>IFERROR(ROUND(AVERAGEIFS(Datos!$G$2:$G$27777,Datos!$E$2:$E$27777,$A32,Datos!$B$2:$B$27777,12,Datos!$C$2:$C$27777,"&gt;=30",Datos!$F$2:$F$27777,"STANDBY"),0),"")</f>
        <v/>
      </c>
      <c r="L32" s="7">
        <f>IFERROR(ROUND(AVERAGEIFS(Datos!$G$2:$G$27777,Datos!$E$2:$E$27777,$A32,Datos!$B$2:$B$27777,13,Datos!$C$2:$C$27777,"&lt;30",Datos!$F$2:$F$27777,"STANDBY"),0),"")</f>
        <v/>
      </c>
      <c r="M32" s="7">
        <f>IFERROR(ROUND(AVERAGEIFS(Datos!$G$2:$G$27777,Datos!$E$2:$E$27777,$A32,Datos!$B$2:$B$27777,13,Datos!$C$2:$C$27777,"&gt;=30",Datos!$F$2:$F$27777,"STANDBY"),0),"")</f>
        <v/>
      </c>
      <c r="N32" s="7">
        <f>IFERROR(ROUND(AVERAGEIFS(Datos!$G$2:$G$27777,Datos!$E$2:$E$27777,$A32,Datos!$B$2:$B$27777,14,Datos!$C$2:$C$27777,"&lt;30",Datos!$F$2:$F$27777,"STANDBY"),0),"")</f>
        <v/>
      </c>
      <c r="O32" s="7">
        <f>IFERROR(ROUND(AVERAGEIFS(Datos!$G$2:$G$27777,Datos!$E$2:$E$27777,$A32,Datos!$B$2:$B$27777,14,Datos!$C$2:$C$27777,"&gt;=30",Datos!$F$2:$F$27777,"STANDBY"),0),"")</f>
        <v/>
      </c>
      <c r="P32" s="7">
        <f>IFERROR(ROUND(AVERAGEIFS(Datos!$G$2:$G$27777,Datos!$E$2:$E$27777,$A32,Datos!$B$2:$B$27777,15,Datos!$C$2:$C$27777,"&lt;30",Datos!$F$2:$F$27777,"STANDBY"),0),"")</f>
        <v/>
      </c>
      <c r="Q32" s="7">
        <f>IFERROR(ROUND(AVERAGEIFS(Datos!$G$2:$G$27777,Datos!$E$2:$E$27777,$A32,Datos!$B$2:$B$27777,15,Datos!$C$2:$C$27777,"&gt;=30",Datos!$F$2:$F$27777,"STANDBY"),0),"")</f>
        <v/>
      </c>
      <c r="R32" s="7">
        <f>IFERROR(ROUND(AVERAGEIFS(Datos!$G$2:$G$27777,Datos!$E$2:$E$27777,$A32,Datos!$B$2:$B$27777,16,Datos!$C$2:$C$27777,"&lt;30",Datos!$F$2:$F$27777,"STANDBY"),0),"")</f>
        <v/>
      </c>
      <c r="S32" s="7">
        <f>IFERROR(ROUND(AVERAGEIFS(Datos!$G$2:$G$27777,Datos!$E$2:$E$27777,$A32,Datos!$B$2:$B$27777,16,Datos!$C$2:$C$27777,"&gt;=30",Datos!$F$2:$F$27777,"STANDBY"),0),"")</f>
        <v/>
      </c>
      <c r="T32" s="7">
        <f>IFERROR(ROUND(AVERAGEIFS(Datos!$G$2:$G$27777,Datos!$E$2:$E$27777,$A32,Datos!$B$2:$B$27777,17,Datos!$C$2:$C$27777,"&lt;30",Datos!$F$2:$F$27777,"STANDBY"),0),"")</f>
        <v/>
      </c>
      <c r="U32" s="7">
        <f>IFERROR(ROUND(AVERAGEIFS(Datos!$G$2:$G$27777,Datos!$E$2:$E$27777,$A32,Datos!$B$2:$B$27777,17,Datos!$C$2:$C$27777,"&gt;=30",Datos!$F$2:$F$27777,"STANDBY"),0),"")</f>
        <v/>
      </c>
      <c r="V32" s="7">
        <f>IFERROR(ROUND(AVERAGEIFS(Datos!$G$2:$G$27777,Datos!$E$2:$E$27777,$A32,Datos!$B$2:$B$27777,18,Datos!$C$2:$C$27777,"&lt;30",Datos!$F$2:$F$27777,"STANDBY"),0),"")</f>
        <v/>
      </c>
      <c r="W32" s="7">
        <f>IFERROR(ROUND(AVERAGEIFS(Datos!$G$2:$G$27777,Datos!$E$2:$E$27777,$A32,Datos!$B$2:$B$27777,18,Datos!$C$2:$C$27777,"&gt;=30",Datos!$F$2:$F$27777,"STANDBY"),0),"")</f>
        <v/>
      </c>
      <c r="X32" s="7">
        <f>IFERROR(ROUND(AVERAGEIFS(Datos!$G$2:$G$27777,Datos!$E$2:$E$27777,$A32,Datos!$B$2:$B$27777,19,Datos!$C$2:$C$27777,"&lt;30",Datos!$F$2:$F$27777,"STANDBY"),0),"")</f>
        <v/>
      </c>
      <c r="Y32" s="7">
        <f>IFERROR(ROUND(AVERAGEIFS(Datos!$G$2:$G$27777,Datos!$E$2:$E$27777,$A32,Datos!$B$2:$B$27777,19,Datos!$C$2:$C$27777,"&gt;=30",Datos!$F$2:$F$27777,"STANDBY"),0),"")</f>
        <v/>
      </c>
      <c r="Z32" s="7">
        <f>IFERROR(ROUND(AVERAGEIFS(Datos!$G$2:$G$27777,Datos!$E$2:$E$27777,$A32,Datos!$B$2:$B$27777,20,Datos!$C$2:$C$27777,"&lt;30",Datos!$F$2:$F$27777,"STANDBY"),0),"")</f>
        <v/>
      </c>
      <c r="AA32" s="7">
        <f>IFERROR(ROUND(AVERAGEIFS(Datos!$G$2:$G$27777,Datos!$E$2:$E$27777,$A32,Datos!$B$2:$B$27777,20,Datos!$C$2:$C$27777,"&gt;=30",Datos!$F$2:$F$27777,"STANDBY"),0),"")</f>
        <v/>
      </c>
      <c r="AB32" s="7">
        <f>IFERROR(ROUND(AVERAGEIFS(Datos!$G$2:$G$27777,Datos!$E$2:$E$27777,$A32,Datos!$B$2:$B$27777,21,Datos!$C$2:$C$27777,"&lt;30",Datos!$F$2:$F$27777,"STANDBY"),0),"")</f>
        <v/>
      </c>
      <c r="AC32" s="7">
        <f>IFERROR(ROUND(AVERAGEIFS(Datos!$G$2:$G$27777,Datos!$E$2:$E$27777,$A32,Datos!$B$2:$B$27777,21,Datos!$C$2:$C$27777,"&gt;=30",Datos!$F$2:$F$27777,"STANDBY"),0),"")</f>
        <v/>
      </c>
      <c r="AD32" s="7">
        <f>IFERROR(ROUND(AVERAGEIFS(Datos!$G$2:$G$27777,Datos!$E$2:$E$27777,$A32,Datos!$B$2:$B$27777,22,Datos!$C$2:$C$27777,"&lt;30",Datos!$F$2:$F$27777,"STANDBY"),0),"")</f>
        <v/>
      </c>
      <c r="AE32" s="7">
        <f>IFERROR(ROUND(AVERAGEIFS(Datos!$G$2:$G$27777,Datos!$E$2:$E$27777,$A32,Datos!$B$2:$B$27777,22,Datos!$C$2:$C$27777,"&gt;=30",Datos!$F$2:$F$27777,"STANDBY"),0),"")</f>
        <v/>
      </c>
      <c r="AF32" s="7">
        <f>IFERROR(ROUND(AVERAGEIFS(Datos!$G$2:$G$27777,Datos!$E$2:$E$27777,$A32,Datos!$B$2:$B$27777,23,Datos!$C$2:$C$27777,"&lt;30",Datos!$F$2:$F$27777,"STANDBY"),0),"")</f>
        <v/>
      </c>
      <c r="AG32" s="7">
        <f>IFERROR(ROUND(AVERAGEIFS(Datos!$G$2:$G$27777,Datos!$E$2:$E$27777,$A32,Datos!$B$2:$B$27777,23,Datos!$C$2:$C$27777,"&gt;=30",Datos!$F$2:$F$27777,"STANDBY"),0),"")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IFERROR(ROUND(AVERAGEIFS(Datos!$G$2:$G$27777,Datos!$E$2:$E$27777,$A33,Datos!$B$2:$B$27777,8,Datos!$C$2:$C$27777,"&lt;30",Datos!$F$2:$F$27777,"STANDBY"),0),"")</f>
        <v/>
      </c>
      <c r="C33" s="7">
        <f>IFERROR(ROUND(AVERAGEIFS(Datos!$G$2:$G$27777,Datos!$E$2:$E$27777,$A33,Datos!$B$2:$B$27777,8,Datos!$C$2:$C$27777,"&gt;=30",Datos!$F$2:$F$27777,"STANDBY"),0),"")</f>
        <v/>
      </c>
      <c r="D33" s="7">
        <f>IFERROR(ROUND(AVERAGEIFS(Datos!$G$2:$G$27777,Datos!$E$2:$E$27777,$A33,Datos!$B$2:$B$27777,9,Datos!$C$2:$C$27777,"&lt;30",Datos!$F$2:$F$27777,"STANDBY"),0),"")</f>
        <v/>
      </c>
      <c r="E33" s="7">
        <f>IFERROR(ROUND(AVERAGEIFS(Datos!$G$2:$G$27777,Datos!$E$2:$E$27777,$A33,Datos!$B$2:$B$27777,9,Datos!$C$2:$C$27777,"&gt;=30",Datos!$F$2:$F$27777,"STANDBY"),0),"")</f>
        <v/>
      </c>
      <c r="F33" s="7">
        <f>IFERROR(ROUND(AVERAGEIFS(Datos!$G$2:$G$27777,Datos!$E$2:$E$27777,$A33,Datos!$B$2:$B$27777,10,Datos!$C$2:$C$27777,"&lt;30",Datos!$F$2:$F$27777,"STANDBY"),0),"")</f>
        <v/>
      </c>
      <c r="G33" s="7">
        <f>IFERROR(ROUND(AVERAGEIFS(Datos!$G$2:$G$27777,Datos!$E$2:$E$27777,$A33,Datos!$B$2:$B$27777,10,Datos!$C$2:$C$27777,"&gt;=30",Datos!$F$2:$F$27777,"STANDBY"),0),"")</f>
        <v/>
      </c>
      <c r="H33" s="7">
        <f>IFERROR(ROUND(AVERAGEIFS(Datos!$G$2:$G$27777,Datos!$E$2:$E$27777,$A33,Datos!$B$2:$B$27777,11,Datos!$C$2:$C$27777,"&lt;30",Datos!$F$2:$F$27777,"STANDBY"),0),"")</f>
        <v/>
      </c>
      <c r="I33" s="7">
        <f>IFERROR(ROUND(AVERAGEIFS(Datos!$G$2:$G$27777,Datos!$E$2:$E$27777,$A33,Datos!$B$2:$B$27777,11,Datos!$C$2:$C$27777,"&gt;=30",Datos!$F$2:$F$27777,"STANDBY"),0),"")</f>
        <v/>
      </c>
      <c r="J33" s="7">
        <f>IFERROR(ROUND(AVERAGEIFS(Datos!$G$2:$G$27777,Datos!$E$2:$E$27777,$A33,Datos!$B$2:$B$27777,12,Datos!$C$2:$C$27777,"&lt;30",Datos!$F$2:$F$27777,"STANDBY"),0),"")</f>
        <v/>
      </c>
      <c r="K33" s="7">
        <f>IFERROR(ROUND(AVERAGEIFS(Datos!$G$2:$G$27777,Datos!$E$2:$E$27777,$A33,Datos!$B$2:$B$27777,12,Datos!$C$2:$C$27777,"&gt;=30",Datos!$F$2:$F$27777,"STANDBY"),0),"")</f>
        <v/>
      </c>
      <c r="L33" s="7">
        <f>IFERROR(ROUND(AVERAGEIFS(Datos!$G$2:$G$27777,Datos!$E$2:$E$27777,$A33,Datos!$B$2:$B$27777,13,Datos!$C$2:$C$27777,"&lt;30",Datos!$F$2:$F$27777,"STANDBY"),0),"")</f>
        <v/>
      </c>
      <c r="M33" s="7">
        <f>IFERROR(ROUND(AVERAGEIFS(Datos!$G$2:$G$27777,Datos!$E$2:$E$27777,$A33,Datos!$B$2:$B$27777,13,Datos!$C$2:$C$27777,"&gt;=30",Datos!$F$2:$F$27777,"STANDBY"),0),"")</f>
        <v/>
      </c>
      <c r="N33" s="7">
        <f>IFERROR(ROUND(AVERAGEIFS(Datos!$G$2:$G$27777,Datos!$E$2:$E$27777,$A33,Datos!$B$2:$B$27777,14,Datos!$C$2:$C$27777,"&lt;30",Datos!$F$2:$F$27777,"STANDBY"),0),"")</f>
        <v/>
      </c>
      <c r="O33" s="7">
        <f>IFERROR(ROUND(AVERAGEIFS(Datos!$G$2:$G$27777,Datos!$E$2:$E$27777,$A33,Datos!$B$2:$B$27777,14,Datos!$C$2:$C$27777,"&gt;=30",Datos!$F$2:$F$27777,"STANDBY"),0),"")</f>
        <v/>
      </c>
      <c r="P33" s="7">
        <f>IFERROR(ROUND(AVERAGEIFS(Datos!$G$2:$G$27777,Datos!$E$2:$E$27777,$A33,Datos!$B$2:$B$27777,15,Datos!$C$2:$C$27777,"&lt;30",Datos!$F$2:$F$27777,"STANDBY"),0),"")</f>
        <v/>
      </c>
      <c r="Q33" s="7">
        <f>IFERROR(ROUND(AVERAGEIFS(Datos!$G$2:$G$27777,Datos!$E$2:$E$27777,$A33,Datos!$B$2:$B$27777,15,Datos!$C$2:$C$27777,"&gt;=30",Datos!$F$2:$F$27777,"STANDBY"),0),"")</f>
        <v/>
      </c>
      <c r="R33" s="7">
        <f>IFERROR(ROUND(AVERAGEIFS(Datos!$G$2:$G$27777,Datos!$E$2:$E$27777,$A33,Datos!$B$2:$B$27777,16,Datos!$C$2:$C$27777,"&lt;30",Datos!$F$2:$F$27777,"STANDBY"),0),"")</f>
        <v/>
      </c>
      <c r="S33" s="7">
        <f>IFERROR(ROUND(AVERAGEIFS(Datos!$G$2:$G$27777,Datos!$E$2:$E$27777,$A33,Datos!$B$2:$B$27777,16,Datos!$C$2:$C$27777,"&gt;=30",Datos!$F$2:$F$27777,"STANDBY"),0),"")</f>
        <v/>
      </c>
      <c r="T33" s="7">
        <f>IFERROR(ROUND(AVERAGEIFS(Datos!$G$2:$G$27777,Datos!$E$2:$E$27777,$A33,Datos!$B$2:$B$27777,17,Datos!$C$2:$C$27777,"&lt;30",Datos!$F$2:$F$27777,"STANDBY"),0),"")</f>
        <v/>
      </c>
      <c r="U33" s="7">
        <f>IFERROR(ROUND(AVERAGEIFS(Datos!$G$2:$G$27777,Datos!$E$2:$E$27777,$A33,Datos!$B$2:$B$27777,17,Datos!$C$2:$C$27777,"&gt;=30",Datos!$F$2:$F$27777,"STANDBY"),0),"")</f>
        <v/>
      </c>
      <c r="V33" s="7">
        <f>IFERROR(ROUND(AVERAGEIFS(Datos!$G$2:$G$27777,Datos!$E$2:$E$27777,$A33,Datos!$B$2:$B$27777,18,Datos!$C$2:$C$27777,"&lt;30",Datos!$F$2:$F$27777,"STANDBY"),0),"")</f>
        <v/>
      </c>
      <c r="W33" s="7">
        <f>IFERROR(ROUND(AVERAGEIFS(Datos!$G$2:$G$27777,Datos!$E$2:$E$27777,$A33,Datos!$B$2:$B$27777,18,Datos!$C$2:$C$27777,"&gt;=30",Datos!$F$2:$F$27777,"STANDBY"),0),"")</f>
        <v/>
      </c>
      <c r="X33" s="7">
        <f>IFERROR(ROUND(AVERAGEIFS(Datos!$G$2:$G$27777,Datos!$E$2:$E$27777,$A33,Datos!$B$2:$B$27777,19,Datos!$C$2:$C$27777,"&lt;30",Datos!$F$2:$F$27777,"STANDBY"),0),"")</f>
        <v/>
      </c>
      <c r="Y33" s="7">
        <f>IFERROR(ROUND(AVERAGEIFS(Datos!$G$2:$G$27777,Datos!$E$2:$E$27777,$A33,Datos!$B$2:$B$27777,19,Datos!$C$2:$C$27777,"&gt;=30",Datos!$F$2:$F$27777,"STANDBY"),0),"")</f>
        <v/>
      </c>
      <c r="Z33" s="7">
        <f>IFERROR(ROUND(AVERAGEIFS(Datos!$G$2:$G$27777,Datos!$E$2:$E$27777,$A33,Datos!$B$2:$B$27777,20,Datos!$C$2:$C$27777,"&lt;30",Datos!$F$2:$F$27777,"STANDBY"),0),"")</f>
        <v/>
      </c>
      <c r="AA33" s="7">
        <f>IFERROR(ROUND(AVERAGEIFS(Datos!$G$2:$G$27777,Datos!$E$2:$E$27777,$A33,Datos!$B$2:$B$27777,20,Datos!$C$2:$C$27777,"&gt;=30",Datos!$F$2:$F$27777,"STANDBY"),0),"")</f>
        <v/>
      </c>
      <c r="AB33" s="7">
        <f>IFERROR(ROUND(AVERAGEIFS(Datos!$G$2:$G$27777,Datos!$E$2:$E$27777,$A33,Datos!$B$2:$B$27777,21,Datos!$C$2:$C$27777,"&lt;30",Datos!$F$2:$F$27777,"STANDBY"),0),"")</f>
        <v/>
      </c>
      <c r="AC33" s="7">
        <f>IFERROR(ROUND(AVERAGEIFS(Datos!$G$2:$G$27777,Datos!$E$2:$E$27777,$A33,Datos!$B$2:$B$27777,21,Datos!$C$2:$C$27777,"&gt;=30",Datos!$F$2:$F$27777,"STANDBY"),0),"")</f>
        <v/>
      </c>
      <c r="AD33" s="7">
        <f>IFERROR(ROUND(AVERAGEIFS(Datos!$G$2:$G$27777,Datos!$E$2:$E$27777,$A33,Datos!$B$2:$B$27777,22,Datos!$C$2:$C$27777,"&lt;30",Datos!$F$2:$F$27777,"STANDBY"),0),"")</f>
        <v/>
      </c>
      <c r="AE33" s="7">
        <f>IFERROR(ROUND(AVERAGEIFS(Datos!$G$2:$G$27777,Datos!$E$2:$E$27777,$A33,Datos!$B$2:$B$27777,22,Datos!$C$2:$C$27777,"&gt;=30",Datos!$F$2:$F$27777,"STANDBY"),0),"")</f>
        <v/>
      </c>
      <c r="AF33" s="7">
        <f>IFERROR(ROUND(AVERAGEIFS(Datos!$G$2:$G$27777,Datos!$E$2:$E$27777,$A33,Datos!$B$2:$B$27777,23,Datos!$C$2:$C$27777,"&lt;30",Datos!$F$2:$F$27777,"STANDBY"),0),"")</f>
        <v/>
      </c>
      <c r="AG33" s="7">
        <f>IFERROR(ROUND(AVERAGEIFS(Datos!$G$2:$G$27777,Datos!$E$2:$E$27777,$A33,Datos!$B$2:$B$27777,23,Datos!$C$2:$C$27777,"&gt;=30",Datos!$F$2:$F$27777,"STANDBY"),0),"")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IFERROR(ROUND(AVERAGEIFS(Datos!$G$2:$G$27777,Datos!$E$2:$E$27777,$A34,Datos!$B$2:$B$27777,8,Datos!$C$2:$C$27777,"&lt;30",Datos!$F$2:$F$27777,"STANDBY"),0),"")</f>
        <v/>
      </c>
      <c r="C34" s="7">
        <f>IFERROR(ROUND(AVERAGEIFS(Datos!$G$2:$G$27777,Datos!$E$2:$E$27777,$A34,Datos!$B$2:$B$27777,8,Datos!$C$2:$C$27777,"&gt;=30",Datos!$F$2:$F$27777,"STANDBY"),0),"")</f>
        <v/>
      </c>
      <c r="D34" s="7">
        <f>IFERROR(ROUND(AVERAGEIFS(Datos!$G$2:$G$27777,Datos!$E$2:$E$27777,$A34,Datos!$B$2:$B$27777,9,Datos!$C$2:$C$27777,"&lt;30",Datos!$F$2:$F$27777,"STANDBY"),0),"")</f>
        <v/>
      </c>
      <c r="E34" s="7">
        <f>IFERROR(ROUND(AVERAGEIFS(Datos!$G$2:$G$27777,Datos!$E$2:$E$27777,$A34,Datos!$B$2:$B$27777,9,Datos!$C$2:$C$27777,"&gt;=30",Datos!$F$2:$F$27777,"STANDBY"),0),"")</f>
        <v/>
      </c>
      <c r="F34" s="7">
        <f>IFERROR(ROUND(AVERAGEIFS(Datos!$G$2:$G$27777,Datos!$E$2:$E$27777,$A34,Datos!$B$2:$B$27777,10,Datos!$C$2:$C$27777,"&lt;30",Datos!$F$2:$F$27777,"STANDBY"),0),"")</f>
        <v/>
      </c>
      <c r="G34" s="7">
        <f>IFERROR(ROUND(AVERAGEIFS(Datos!$G$2:$G$27777,Datos!$E$2:$E$27777,$A34,Datos!$B$2:$B$27777,10,Datos!$C$2:$C$27777,"&gt;=30",Datos!$F$2:$F$27777,"STANDBY"),0),"")</f>
        <v/>
      </c>
      <c r="H34" s="7">
        <f>IFERROR(ROUND(AVERAGEIFS(Datos!$G$2:$G$27777,Datos!$E$2:$E$27777,$A34,Datos!$B$2:$B$27777,11,Datos!$C$2:$C$27777,"&lt;30",Datos!$F$2:$F$27777,"STANDBY"),0),"")</f>
        <v/>
      </c>
      <c r="I34" s="7">
        <f>IFERROR(ROUND(AVERAGEIFS(Datos!$G$2:$G$27777,Datos!$E$2:$E$27777,$A34,Datos!$B$2:$B$27777,11,Datos!$C$2:$C$27777,"&gt;=30",Datos!$F$2:$F$27777,"STANDBY"),0),"")</f>
        <v/>
      </c>
      <c r="J34" s="7">
        <f>IFERROR(ROUND(AVERAGEIFS(Datos!$G$2:$G$27777,Datos!$E$2:$E$27777,$A34,Datos!$B$2:$B$27777,12,Datos!$C$2:$C$27777,"&lt;30",Datos!$F$2:$F$27777,"STANDBY"),0),"")</f>
        <v/>
      </c>
      <c r="K34" s="7">
        <f>IFERROR(ROUND(AVERAGEIFS(Datos!$G$2:$G$27777,Datos!$E$2:$E$27777,$A34,Datos!$B$2:$B$27777,12,Datos!$C$2:$C$27777,"&gt;=30",Datos!$F$2:$F$27777,"STANDBY"),0),"")</f>
        <v/>
      </c>
      <c r="L34" s="7">
        <f>IFERROR(ROUND(AVERAGEIFS(Datos!$G$2:$G$27777,Datos!$E$2:$E$27777,$A34,Datos!$B$2:$B$27777,13,Datos!$C$2:$C$27777,"&lt;30",Datos!$F$2:$F$27777,"STANDBY"),0),"")</f>
        <v/>
      </c>
      <c r="M34" s="7">
        <f>IFERROR(ROUND(AVERAGEIFS(Datos!$G$2:$G$27777,Datos!$E$2:$E$27777,$A34,Datos!$B$2:$B$27777,13,Datos!$C$2:$C$27777,"&gt;=30",Datos!$F$2:$F$27777,"STANDBY"),0),"")</f>
        <v/>
      </c>
      <c r="N34" s="7">
        <f>IFERROR(ROUND(AVERAGEIFS(Datos!$G$2:$G$27777,Datos!$E$2:$E$27777,$A34,Datos!$B$2:$B$27777,14,Datos!$C$2:$C$27777,"&lt;30",Datos!$F$2:$F$27777,"STANDBY"),0),"")</f>
        <v/>
      </c>
      <c r="O34" s="7">
        <f>IFERROR(ROUND(AVERAGEIFS(Datos!$G$2:$G$27777,Datos!$E$2:$E$27777,$A34,Datos!$B$2:$B$27777,14,Datos!$C$2:$C$27777,"&gt;=30",Datos!$F$2:$F$27777,"STANDBY"),0),"")</f>
        <v/>
      </c>
      <c r="P34" s="7">
        <f>IFERROR(ROUND(AVERAGEIFS(Datos!$G$2:$G$27777,Datos!$E$2:$E$27777,$A34,Datos!$B$2:$B$27777,15,Datos!$C$2:$C$27777,"&lt;30",Datos!$F$2:$F$27777,"STANDBY"),0),"")</f>
        <v/>
      </c>
      <c r="Q34" s="7">
        <f>IFERROR(ROUND(AVERAGEIFS(Datos!$G$2:$G$27777,Datos!$E$2:$E$27777,$A34,Datos!$B$2:$B$27777,15,Datos!$C$2:$C$27777,"&gt;=30",Datos!$F$2:$F$27777,"STANDBY"),0),"")</f>
        <v/>
      </c>
      <c r="R34" s="7">
        <f>IFERROR(ROUND(AVERAGEIFS(Datos!$G$2:$G$27777,Datos!$E$2:$E$27777,$A34,Datos!$B$2:$B$27777,16,Datos!$C$2:$C$27777,"&lt;30",Datos!$F$2:$F$27777,"STANDBY"),0),"")</f>
        <v/>
      </c>
      <c r="S34" s="7">
        <f>IFERROR(ROUND(AVERAGEIFS(Datos!$G$2:$G$27777,Datos!$E$2:$E$27777,$A34,Datos!$B$2:$B$27777,16,Datos!$C$2:$C$27777,"&gt;=30",Datos!$F$2:$F$27777,"STANDBY"),0),"")</f>
        <v/>
      </c>
      <c r="T34" s="7">
        <f>IFERROR(ROUND(AVERAGEIFS(Datos!$G$2:$G$27777,Datos!$E$2:$E$27777,$A34,Datos!$B$2:$B$27777,17,Datos!$C$2:$C$27777,"&lt;30",Datos!$F$2:$F$27777,"STANDBY"),0),"")</f>
        <v/>
      </c>
      <c r="U34" s="7">
        <f>IFERROR(ROUND(AVERAGEIFS(Datos!$G$2:$G$27777,Datos!$E$2:$E$27777,$A34,Datos!$B$2:$B$27777,17,Datos!$C$2:$C$27777,"&gt;=30",Datos!$F$2:$F$27777,"STANDBY"),0),"")</f>
        <v/>
      </c>
      <c r="V34" s="7">
        <f>IFERROR(ROUND(AVERAGEIFS(Datos!$G$2:$G$27777,Datos!$E$2:$E$27777,$A34,Datos!$B$2:$B$27777,18,Datos!$C$2:$C$27777,"&lt;30",Datos!$F$2:$F$27777,"STANDBY"),0),"")</f>
        <v/>
      </c>
      <c r="W34" s="7">
        <f>IFERROR(ROUND(AVERAGEIFS(Datos!$G$2:$G$27777,Datos!$E$2:$E$27777,$A34,Datos!$B$2:$B$27777,18,Datos!$C$2:$C$27777,"&gt;=30",Datos!$F$2:$F$27777,"STANDBY"),0),"")</f>
        <v/>
      </c>
      <c r="X34" s="7">
        <f>IFERROR(ROUND(AVERAGEIFS(Datos!$G$2:$G$27777,Datos!$E$2:$E$27777,$A34,Datos!$B$2:$B$27777,19,Datos!$C$2:$C$27777,"&lt;30",Datos!$F$2:$F$27777,"STANDBY"),0),"")</f>
        <v/>
      </c>
      <c r="Y34" s="7">
        <f>IFERROR(ROUND(AVERAGEIFS(Datos!$G$2:$G$27777,Datos!$E$2:$E$27777,$A34,Datos!$B$2:$B$27777,19,Datos!$C$2:$C$27777,"&gt;=30",Datos!$F$2:$F$27777,"STANDBY"),0),"")</f>
        <v/>
      </c>
      <c r="Z34" s="7">
        <f>IFERROR(ROUND(AVERAGEIFS(Datos!$G$2:$G$27777,Datos!$E$2:$E$27777,$A34,Datos!$B$2:$B$27777,20,Datos!$C$2:$C$27777,"&lt;30",Datos!$F$2:$F$27777,"STANDBY"),0),"")</f>
        <v/>
      </c>
      <c r="AA34" s="7">
        <f>IFERROR(ROUND(AVERAGEIFS(Datos!$G$2:$G$27777,Datos!$E$2:$E$27777,$A34,Datos!$B$2:$B$27777,20,Datos!$C$2:$C$27777,"&gt;=30",Datos!$F$2:$F$27777,"STANDBY"),0),"")</f>
        <v/>
      </c>
      <c r="AB34" s="7">
        <f>IFERROR(ROUND(AVERAGEIFS(Datos!$G$2:$G$27777,Datos!$E$2:$E$27777,$A34,Datos!$B$2:$B$27777,21,Datos!$C$2:$C$27777,"&lt;30",Datos!$F$2:$F$27777,"STANDBY"),0),"")</f>
        <v/>
      </c>
      <c r="AC34" s="7">
        <f>IFERROR(ROUND(AVERAGEIFS(Datos!$G$2:$G$27777,Datos!$E$2:$E$27777,$A34,Datos!$B$2:$B$27777,21,Datos!$C$2:$C$27777,"&gt;=30",Datos!$F$2:$F$27777,"STANDBY"),0),"")</f>
        <v/>
      </c>
      <c r="AD34" s="7">
        <f>IFERROR(ROUND(AVERAGEIFS(Datos!$G$2:$G$27777,Datos!$E$2:$E$27777,$A34,Datos!$B$2:$B$27777,22,Datos!$C$2:$C$27777,"&lt;30",Datos!$F$2:$F$27777,"STANDBY"),0),"")</f>
        <v/>
      </c>
      <c r="AE34" s="7">
        <f>IFERROR(ROUND(AVERAGEIFS(Datos!$G$2:$G$27777,Datos!$E$2:$E$27777,$A34,Datos!$B$2:$B$27777,22,Datos!$C$2:$C$27777,"&gt;=30",Datos!$F$2:$F$27777,"STANDBY"),0),"")</f>
        <v/>
      </c>
      <c r="AF34" s="7">
        <f>IFERROR(ROUND(AVERAGEIFS(Datos!$G$2:$G$27777,Datos!$E$2:$E$27777,$A34,Datos!$B$2:$B$27777,23,Datos!$C$2:$C$27777,"&lt;30",Datos!$F$2:$F$27777,"STANDBY"),0),"")</f>
        <v/>
      </c>
      <c r="AG34" s="7">
        <f>IFERROR(ROUND(AVERAGEIFS(Datos!$G$2:$G$27777,Datos!$E$2:$E$27777,$A34,Datos!$B$2:$B$27777,23,Datos!$C$2:$C$27777,"&gt;=30",Datos!$F$2:$F$27777,"STANDBY"),0),"")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IFERROR(ROUND(AVERAGEIFS(Datos!$G$2:$G$27777,Datos!$E$2:$E$27777,$A35,Datos!$B$2:$B$27777,8,Datos!$C$2:$C$27777,"&lt;30",Datos!$F$2:$F$27777,"STANDBY"),0),"")</f>
        <v/>
      </c>
      <c r="C35" s="7">
        <f>IFERROR(ROUND(AVERAGEIFS(Datos!$G$2:$G$27777,Datos!$E$2:$E$27777,$A35,Datos!$B$2:$B$27777,8,Datos!$C$2:$C$27777,"&gt;=30",Datos!$F$2:$F$27777,"STANDBY"),0),"")</f>
        <v/>
      </c>
      <c r="D35" s="7">
        <f>IFERROR(ROUND(AVERAGEIFS(Datos!$G$2:$G$27777,Datos!$E$2:$E$27777,$A35,Datos!$B$2:$B$27777,9,Datos!$C$2:$C$27777,"&lt;30",Datos!$F$2:$F$27777,"STANDBY"),0),"")</f>
        <v/>
      </c>
      <c r="E35" s="7">
        <f>IFERROR(ROUND(AVERAGEIFS(Datos!$G$2:$G$27777,Datos!$E$2:$E$27777,$A35,Datos!$B$2:$B$27777,9,Datos!$C$2:$C$27777,"&gt;=30",Datos!$F$2:$F$27777,"STANDBY"),0),"")</f>
        <v/>
      </c>
      <c r="F35" s="7">
        <f>IFERROR(ROUND(AVERAGEIFS(Datos!$G$2:$G$27777,Datos!$E$2:$E$27777,$A35,Datos!$B$2:$B$27777,10,Datos!$C$2:$C$27777,"&lt;30",Datos!$F$2:$F$27777,"STANDBY"),0),"")</f>
        <v/>
      </c>
      <c r="G35" s="7">
        <f>IFERROR(ROUND(AVERAGEIFS(Datos!$G$2:$G$27777,Datos!$E$2:$E$27777,$A35,Datos!$B$2:$B$27777,10,Datos!$C$2:$C$27777,"&gt;=30",Datos!$F$2:$F$27777,"STANDBY"),0),"")</f>
        <v/>
      </c>
      <c r="H35" s="7">
        <f>IFERROR(ROUND(AVERAGEIFS(Datos!$G$2:$G$27777,Datos!$E$2:$E$27777,$A35,Datos!$B$2:$B$27777,11,Datos!$C$2:$C$27777,"&lt;30",Datos!$F$2:$F$27777,"STANDBY"),0),"")</f>
        <v/>
      </c>
      <c r="I35" s="7">
        <f>IFERROR(ROUND(AVERAGEIFS(Datos!$G$2:$G$27777,Datos!$E$2:$E$27777,$A35,Datos!$B$2:$B$27777,11,Datos!$C$2:$C$27777,"&gt;=30",Datos!$F$2:$F$27777,"STANDBY"),0),"")</f>
        <v/>
      </c>
      <c r="J35" s="7">
        <f>IFERROR(ROUND(AVERAGEIFS(Datos!$G$2:$G$27777,Datos!$E$2:$E$27777,$A35,Datos!$B$2:$B$27777,12,Datos!$C$2:$C$27777,"&lt;30",Datos!$F$2:$F$27777,"STANDBY"),0),"")</f>
        <v/>
      </c>
      <c r="K35" s="7">
        <f>IFERROR(ROUND(AVERAGEIFS(Datos!$G$2:$G$27777,Datos!$E$2:$E$27777,$A35,Datos!$B$2:$B$27777,12,Datos!$C$2:$C$27777,"&gt;=30",Datos!$F$2:$F$27777,"STANDBY"),0),"")</f>
        <v/>
      </c>
      <c r="L35" s="7">
        <f>IFERROR(ROUND(AVERAGEIFS(Datos!$G$2:$G$27777,Datos!$E$2:$E$27777,$A35,Datos!$B$2:$B$27777,13,Datos!$C$2:$C$27777,"&lt;30",Datos!$F$2:$F$27777,"STANDBY"),0),"")</f>
        <v/>
      </c>
      <c r="M35" s="7">
        <f>IFERROR(ROUND(AVERAGEIFS(Datos!$G$2:$G$27777,Datos!$E$2:$E$27777,$A35,Datos!$B$2:$B$27777,13,Datos!$C$2:$C$27777,"&gt;=30",Datos!$F$2:$F$27777,"STANDBY"),0),"")</f>
        <v/>
      </c>
      <c r="N35" s="7">
        <f>IFERROR(ROUND(AVERAGEIFS(Datos!$G$2:$G$27777,Datos!$E$2:$E$27777,$A35,Datos!$B$2:$B$27777,14,Datos!$C$2:$C$27777,"&lt;30",Datos!$F$2:$F$27777,"STANDBY"),0),"")</f>
        <v/>
      </c>
      <c r="O35" s="7">
        <f>IFERROR(ROUND(AVERAGEIFS(Datos!$G$2:$G$27777,Datos!$E$2:$E$27777,$A35,Datos!$B$2:$B$27777,14,Datos!$C$2:$C$27777,"&gt;=30",Datos!$F$2:$F$27777,"STANDBY"),0),"")</f>
        <v/>
      </c>
      <c r="P35" s="7">
        <f>IFERROR(ROUND(AVERAGEIFS(Datos!$G$2:$G$27777,Datos!$E$2:$E$27777,$A35,Datos!$B$2:$B$27777,15,Datos!$C$2:$C$27777,"&lt;30",Datos!$F$2:$F$27777,"STANDBY"),0),"")</f>
        <v/>
      </c>
      <c r="Q35" s="7">
        <f>IFERROR(ROUND(AVERAGEIFS(Datos!$G$2:$G$27777,Datos!$E$2:$E$27777,$A35,Datos!$B$2:$B$27777,15,Datos!$C$2:$C$27777,"&gt;=30",Datos!$F$2:$F$27777,"STANDBY"),0),"")</f>
        <v/>
      </c>
      <c r="R35" s="7">
        <f>IFERROR(ROUND(AVERAGEIFS(Datos!$G$2:$G$27777,Datos!$E$2:$E$27777,$A35,Datos!$B$2:$B$27777,16,Datos!$C$2:$C$27777,"&lt;30",Datos!$F$2:$F$27777,"STANDBY"),0),"")</f>
        <v/>
      </c>
      <c r="S35" s="7">
        <f>IFERROR(ROUND(AVERAGEIFS(Datos!$G$2:$G$27777,Datos!$E$2:$E$27777,$A35,Datos!$B$2:$B$27777,16,Datos!$C$2:$C$27777,"&gt;=30",Datos!$F$2:$F$27777,"STANDBY"),0),"")</f>
        <v/>
      </c>
      <c r="T35" s="7">
        <f>IFERROR(ROUND(AVERAGEIFS(Datos!$G$2:$G$27777,Datos!$E$2:$E$27777,$A35,Datos!$B$2:$B$27777,17,Datos!$C$2:$C$27777,"&lt;30",Datos!$F$2:$F$27777,"STANDBY"),0),"")</f>
        <v/>
      </c>
      <c r="U35" s="7">
        <f>IFERROR(ROUND(AVERAGEIFS(Datos!$G$2:$G$27777,Datos!$E$2:$E$27777,$A35,Datos!$B$2:$B$27777,17,Datos!$C$2:$C$27777,"&gt;=30",Datos!$F$2:$F$27777,"STANDBY"),0),"")</f>
        <v/>
      </c>
      <c r="V35" s="7">
        <f>IFERROR(ROUND(AVERAGEIFS(Datos!$G$2:$G$27777,Datos!$E$2:$E$27777,$A35,Datos!$B$2:$B$27777,18,Datos!$C$2:$C$27777,"&lt;30",Datos!$F$2:$F$27777,"STANDBY"),0),"")</f>
        <v/>
      </c>
      <c r="W35" s="7">
        <f>IFERROR(ROUND(AVERAGEIFS(Datos!$G$2:$G$27777,Datos!$E$2:$E$27777,$A35,Datos!$B$2:$B$27777,18,Datos!$C$2:$C$27777,"&gt;=30",Datos!$F$2:$F$27777,"STANDBY"),0),"")</f>
        <v/>
      </c>
      <c r="X35" s="7">
        <f>IFERROR(ROUND(AVERAGEIFS(Datos!$G$2:$G$27777,Datos!$E$2:$E$27777,$A35,Datos!$B$2:$B$27777,19,Datos!$C$2:$C$27777,"&lt;30",Datos!$F$2:$F$27777,"STANDBY"),0),"")</f>
        <v/>
      </c>
      <c r="Y35" s="7">
        <f>IFERROR(ROUND(AVERAGEIFS(Datos!$G$2:$G$27777,Datos!$E$2:$E$27777,$A35,Datos!$B$2:$B$27777,19,Datos!$C$2:$C$27777,"&gt;=30",Datos!$F$2:$F$27777,"STANDBY"),0),"")</f>
        <v/>
      </c>
      <c r="Z35" s="7">
        <f>IFERROR(ROUND(AVERAGEIFS(Datos!$G$2:$G$27777,Datos!$E$2:$E$27777,$A35,Datos!$B$2:$B$27777,20,Datos!$C$2:$C$27777,"&lt;30",Datos!$F$2:$F$27777,"STANDBY"),0),"")</f>
        <v/>
      </c>
      <c r="AA35" s="7">
        <f>IFERROR(ROUND(AVERAGEIFS(Datos!$G$2:$G$27777,Datos!$E$2:$E$27777,$A35,Datos!$B$2:$B$27777,20,Datos!$C$2:$C$27777,"&gt;=30",Datos!$F$2:$F$27777,"STANDBY"),0),"")</f>
        <v/>
      </c>
      <c r="AB35" s="7">
        <f>IFERROR(ROUND(AVERAGEIFS(Datos!$G$2:$G$27777,Datos!$E$2:$E$27777,$A35,Datos!$B$2:$B$27777,21,Datos!$C$2:$C$27777,"&lt;30",Datos!$F$2:$F$27777,"STANDBY"),0),"")</f>
        <v/>
      </c>
      <c r="AC35" s="7">
        <f>IFERROR(ROUND(AVERAGEIFS(Datos!$G$2:$G$27777,Datos!$E$2:$E$27777,$A35,Datos!$B$2:$B$27777,21,Datos!$C$2:$C$27777,"&gt;=30",Datos!$F$2:$F$27777,"STANDBY"),0),"")</f>
        <v/>
      </c>
      <c r="AD35" s="7">
        <f>IFERROR(ROUND(AVERAGEIFS(Datos!$G$2:$G$27777,Datos!$E$2:$E$27777,$A35,Datos!$B$2:$B$27777,22,Datos!$C$2:$C$27777,"&lt;30",Datos!$F$2:$F$27777,"STANDBY"),0),"")</f>
        <v/>
      </c>
      <c r="AE35" s="7">
        <f>IFERROR(ROUND(AVERAGEIFS(Datos!$G$2:$G$27777,Datos!$E$2:$E$27777,$A35,Datos!$B$2:$B$27777,22,Datos!$C$2:$C$27777,"&gt;=30",Datos!$F$2:$F$27777,"STANDBY"),0),"")</f>
        <v/>
      </c>
      <c r="AF35" s="7">
        <f>IFERROR(ROUND(AVERAGEIFS(Datos!$G$2:$G$27777,Datos!$E$2:$E$27777,$A35,Datos!$B$2:$B$27777,23,Datos!$C$2:$C$27777,"&lt;30",Datos!$F$2:$F$27777,"STANDBY"),0),"")</f>
        <v/>
      </c>
      <c r="AG35" s="7">
        <f>IFERROR(ROUND(AVERAGEIFS(Datos!$G$2:$G$27777,Datos!$E$2:$E$27777,$A35,Datos!$B$2:$B$27777,23,Datos!$C$2:$C$27777,"&gt;=30",Datos!$F$2:$F$27777,"STANDBY"),0),"")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IFERROR(ROUND(AVERAGEIFS(Datos!$G$2:$G$27777,Datos!$E$2:$E$27777,$A36,Datos!$B$2:$B$27777,8,Datos!$C$2:$C$27777,"&lt;30",Datos!$F$2:$F$27777,"STANDBY"),0),"")</f>
        <v/>
      </c>
      <c r="C36" s="7">
        <f>IFERROR(ROUND(AVERAGEIFS(Datos!$G$2:$G$27777,Datos!$E$2:$E$27777,$A36,Datos!$B$2:$B$27777,8,Datos!$C$2:$C$27777,"&gt;=30",Datos!$F$2:$F$27777,"STANDBY"),0),"")</f>
        <v/>
      </c>
      <c r="D36" s="7">
        <f>IFERROR(ROUND(AVERAGEIFS(Datos!$G$2:$G$27777,Datos!$E$2:$E$27777,$A36,Datos!$B$2:$B$27777,9,Datos!$C$2:$C$27777,"&lt;30",Datos!$F$2:$F$27777,"STANDBY"),0),"")</f>
        <v/>
      </c>
      <c r="E36" s="7">
        <f>IFERROR(ROUND(AVERAGEIFS(Datos!$G$2:$G$27777,Datos!$E$2:$E$27777,$A36,Datos!$B$2:$B$27777,9,Datos!$C$2:$C$27777,"&gt;=30",Datos!$F$2:$F$27777,"STANDBY"),0),"")</f>
        <v/>
      </c>
      <c r="F36" s="7">
        <f>IFERROR(ROUND(AVERAGEIFS(Datos!$G$2:$G$27777,Datos!$E$2:$E$27777,$A36,Datos!$B$2:$B$27777,10,Datos!$C$2:$C$27777,"&lt;30",Datos!$F$2:$F$27777,"STANDBY"),0),"")</f>
        <v/>
      </c>
      <c r="G36" s="7">
        <f>IFERROR(ROUND(AVERAGEIFS(Datos!$G$2:$G$27777,Datos!$E$2:$E$27777,$A36,Datos!$B$2:$B$27777,10,Datos!$C$2:$C$27777,"&gt;=30",Datos!$F$2:$F$27777,"STANDBY"),0),"")</f>
        <v/>
      </c>
      <c r="H36" s="7">
        <f>IFERROR(ROUND(AVERAGEIFS(Datos!$G$2:$G$27777,Datos!$E$2:$E$27777,$A36,Datos!$B$2:$B$27777,11,Datos!$C$2:$C$27777,"&lt;30",Datos!$F$2:$F$27777,"STANDBY"),0),"")</f>
        <v/>
      </c>
      <c r="I36" s="7">
        <f>IFERROR(ROUND(AVERAGEIFS(Datos!$G$2:$G$27777,Datos!$E$2:$E$27777,$A36,Datos!$B$2:$B$27777,11,Datos!$C$2:$C$27777,"&gt;=30",Datos!$F$2:$F$27777,"STANDBY"),0),"")</f>
        <v/>
      </c>
      <c r="J36" s="7">
        <f>IFERROR(ROUND(AVERAGEIFS(Datos!$G$2:$G$27777,Datos!$E$2:$E$27777,$A36,Datos!$B$2:$B$27777,12,Datos!$C$2:$C$27777,"&lt;30",Datos!$F$2:$F$27777,"STANDBY"),0),"")</f>
        <v/>
      </c>
      <c r="K36" s="7">
        <f>IFERROR(ROUND(AVERAGEIFS(Datos!$G$2:$G$27777,Datos!$E$2:$E$27777,$A36,Datos!$B$2:$B$27777,12,Datos!$C$2:$C$27777,"&gt;=30",Datos!$F$2:$F$27777,"STANDBY"),0),"")</f>
        <v/>
      </c>
      <c r="L36" s="7">
        <f>IFERROR(ROUND(AVERAGEIFS(Datos!$G$2:$G$27777,Datos!$E$2:$E$27777,$A36,Datos!$B$2:$B$27777,13,Datos!$C$2:$C$27777,"&lt;30",Datos!$F$2:$F$27777,"STANDBY"),0),"")</f>
        <v/>
      </c>
      <c r="M36" s="7">
        <f>IFERROR(ROUND(AVERAGEIFS(Datos!$G$2:$G$27777,Datos!$E$2:$E$27777,$A36,Datos!$B$2:$B$27777,13,Datos!$C$2:$C$27777,"&gt;=30",Datos!$F$2:$F$27777,"STANDBY"),0),"")</f>
        <v/>
      </c>
      <c r="N36" s="7">
        <f>IFERROR(ROUND(AVERAGEIFS(Datos!$G$2:$G$27777,Datos!$E$2:$E$27777,$A36,Datos!$B$2:$B$27777,14,Datos!$C$2:$C$27777,"&lt;30",Datos!$F$2:$F$27777,"STANDBY"),0),"")</f>
        <v/>
      </c>
      <c r="O36" s="7">
        <f>IFERROR(ROUND(AVERAGEIFS(Datos!$G$2:$G$27777,Datos!$E$2:$E$27777,$A36,Datos!$B$2:$B$27777,14,Datos!$C$2:$C$27777,"&gt;=30",Datos!$F$2:$F$27777,"STANDBY"),0),"")</f>
        <v/>
      </c>
      <c r="P36" s="7">
        <f>IFERROR(ROUND(AVERAGEIFS(Datos!$G$2:$G$27777,Datos!$E$2:$E$27777,$A36,Datos!$B$2:$B$27777,15,Datos!$C$2:$C$27777,"&lt;30",Datos!$F$2:$F$27777,"STANDBY"),0),"")</f>
        <v/>
      </c>
      <c r="Q36" s="7">
        <f>IFERROR(ROUND(AVERAGEIFS(Datos!$G$2:$G$27777,Datos!$E$2:$E$27777,$A36,Datos!$B$2:$B$27777,15,Datos!$C$2:$C$27777,"&gt;=30",Datos!$F$2:$F$27777,"STANDBY"),0),"")</f>
        <v/>
      </c>
      <c r="R36" s="7">
        <f>IFERROR(ROUND(AVERAGEIFS(Datos!$G$2:$G$27777,Datos!$E$2:$E$27777,$A36,Datos!$B$2:$B$27777,16,Datos!$C$2:$C$27777,"&lt;30",Datos!$F$2:$F$27777,"STANDBY"),0),"")</f>
        <v/>
      </c>
      <c r="S36" s="7">
        <f>IFERROR(ROUND(AVERAGEIFS(Datos!$G$2:$G$27777,Datos!$E$2:$E$27777,$A36,Datos!$B$2:$B$27777,16,Datos!$C$2:$C$27777,"&gt;=30",Datos!$F$2:$F$27777,"STANDBY"),0),"")</f>
        <v/>
      </c>
      <c r="T36" s="7">
        <f>IFERROR(ROUND(AVERAGEIFS(Datos!$G$2:$G$27777,Datos!$E$2:$E$27777,$A36,Datos!$B$2:$B$27777,17,Datos!$C$2:$C$27777,"&lt;30",Datos!$F$2:$F$27777,"STANDBY"),0),"")</f>
        <v/>
      </c>
      <c r="U36" s="7">
        <f>IFERROR(ROUND(AVERAGEIFS(Datos!$G$2:$G$27777,Datos!$E$2:$E$27777,$A36,Datos!$B$2:$B$27777,17,Datos!$C$2:$C$27777,"&gt;=30",Datos!$F$2:$F$27777,"STANDBY"),0),"")</f>
        <v/>
      </c>
      <c r="V36" s="7">
        <f>IFERROR(ROUND(AVERAGEIFS(Datos!$G$2:$G$27777,Datos!$E$2:$E$27777,$A36,Datos!$B$2:$B$27777,18,Datos!$C$2:$C$27777,"&lt;30",Datos!$F$2:$F$27777,"STANDBY"),0),"")</f>
        <v/>
      </c>
      <c r="W36" s="7">
        <f>IFERROR(ROUND(AVERAGEIFS(Datos!$G$2:$G$27777,Datos!$E$2:$E$27777,$A36,Datos!$B$2:$B$27777,18,Datos!$C$2:$C$27777,"&gt;=30",Datos!$F$2:$F$27777,"STANDBY"),0),"")</f>
        <v/>
      </c>
      <c r="X36" s="7">
        <f>IFERROR(ROUND(AVERAGEIFS(Datos!$G$2:$G$27777,Datos!$E$2:$E$27777,$A36,Datos!$B$2:$B$27777,19,Datos!$C$2:$C$27777,"&lt;30",Datos!$F$2:$F$27777,"STANDBY"),0),"")</f>
        <v/>
      </c>
      <c r="Y36" s="7">
        <f>IFERROR(ROUND(AVERAGEIFS(Datos!$G$2:$G$27777,Datos!$E$2:$E$27777,$A36,Datos!$B$2:$B$27777,19,Datos!$C$2:$C$27777,"&gt;=30",Datos!$F$2:$F$27777,"STANDBY"),0),"")</f>
        <v/>
      </c>
      <c r="Z36" s="7">
        <f>IFERROR(ROUND(AVERAGEIFS(Datos!$G$2:$G$27777,Datos!$E$2:$E$27777,$A36,Datos!$B$2:$B$27777,20,Datos!$C$2:$C$27777,"&lt;30",Datos!$F$2:$F$27777,"STANDBY"),0),"")</f>
        <v/>
      </c>
      <c r="AA36" s="7">
        <f>IFERROR(ROUND(AVERAGEIFS(Datos!$G$2:$G$27777,Datos!$E$2:$E$27777,$A36,Datos!$B$2:$B$27777,20,Datos!$C$2:$C$27777,"&gt;=30",Datos!$F$2:$F$27777,"STANDBY"),0),"")</f>
        <v/>
      </c>
      <c r="AB36" s="7">
        <f>IFERROR(ROUND(AVERAGEIFS(Datos!$G$2:$G$27777,Datos!$E$2:$E$27777,$A36,Datos!$B$2:$B$27777,21,Datos!$C$2:$C$27777,"&lt;30",Datos!$F$2:$F$27777,"STANDBY"),0),"")</f>
        <v/>
      </c>
      <c r="AC36" s="7">
        <f>IFERROR(ROUND(AVERAGEIFS(Datos!$G$2:$G$27777,Datos!$E$2:$E$27777,$A36,Datos!$B$2:$B$27777,21,Datos!$C$2:$C$27777,"&gt;=30",Datos!$F$2:$F$27777,"STANDBY"),0),"")</f>
        <v/>
      </c>
      <c r="AD36" s="7">
        <f>IFERROR(ROUND(AVERAGEIFS(Datos!$G$2:$G$27777,Datos!$E$2:$E$27777,$A36,Datos!$B$2:$B$27777,22,Datos!$C$2:$C$27777,"&lt;30",Datos!$F$2:$F$27777,"STANDBY"),0),"")</f>
        <v/>
      </c>
      <c r="AE36" s="7">
        <f>IFERROR(ROUND(AVERAGEIFS(Datos!$G$2:$G$27777,Datos!$E$2:$E$27777,$A36,Datos!$B$2:$B$27777,22,Datos!$C$2:$C$27777,"&gt;=30",Datos!$F$2:$F$27777,"STANDBY"),0),"")</f>
        <v/>
      </c>
      <c r="AF36" s="7">
        <f>IFERROR(ROUND(AVERAGEIFS(Datos!$G$2:$G$27777,Datos!$E$2:$E$27777,$A36,Datos!$B$2:$B$27777,23,Datos!$C$2:$C$27777,"&lt;30",Datos!$F$2:$F$27777,"STANDBY"),0),"")</f>
        <v/>
      </c>
      <c r="AG36" s="7">
        <f>IFERROR(ROUND(AVERAGEIFS(Datos!$G$2:$G$27777,Datos!$E$2:$E$27777,$A36,Datos!$B$2:$B$27777,23,Datos!$C$2:$C$27777,"&gt;=30",Datos!$F$2:$F$27777,"STANDBY"),0),"")</f>
        <v/>
      </c>
    </row>
    <row r="37">
      <c r="A37" s="6" t="inlineStr">
        <is>
          <t>Dumbo the Flying Elephant</t>
        </is>
      </c>
      <c r="B37" s="7">
        <f>IFERROR(ROUND(AVERAGEIFS(Datos!$G$2:$G$27777,Datos!$E$2:$E$27777,$A37,Datos!$B$2:$B$27777,8,Datos!$C$2:$C$27777,"&lt;30",Datos!$F$2:$F$27777,"STANDBY"),0),"")</f>
        <v/>
      </c>
      <c r="C37" s="7">
        <f>IFERROR(ROUND(AVERAGEIFS(Datos!$G$2:$G$27777,Datos!$E$2:$E$27777,$A37,Datos!$B$2:$B$27777,8,Datos!$C$2:$C$27777,"&gt;=30",Datos!$F$2:$F$27777,"STANDBY"),0),"")</f>
        <v/>
      </c>
      <c r="D37" s="7">
        <f>IFERROR(ROUND(AVERAGEIFS(Datos!$G$2:$G$27777,Datos!$E$2:$E$27777,$A37,Datos!$B$2:$B$27777,9,Datos!$C$2:$C$27777,"&lt;30",Datos!$F$2:$F$27777,"STANDBY"),0),"")</f>
        <v/>
      </c>
      <c r="E37" s="7">
        <f>IFERROR(ROUND(AVERAGEIFS(Datos!$G$2:$G$27777,Datos!$E$2:$E$27777,$A37,Datos!$B$2:$B$27777,9,Datos!$C$2:$C$27777,"&gt;=30",Datos!$F$2:$F$27777,"STANDBY"),0),"")</f>
        <v/>
      </c>
      <c r="F37" s="7">
        <f>IFERROR(ROUND(AVERAGEIFS(Datos!$G$2:$G$27777,Datos!$E$2:$E$27777,$A37,Datos!$B$2:$B$27777,10,Datos!$C$2:$C$27777,"&lt;30",Datos!$F$2:$F$27777,"STANDBY"),0),"")</f>
        <v/>
      </c>
      <c r="G37" s="7">
        <f>IFERROR(ROUND(AVERAGEIFS(Datos!$G$2:$G$27777,Datos!$E$2:$E$27777,$A37,Datos!$B$2:$B$27777,10,Datos!$C$2:$C$27777,"&gt;=30",Datos!$F$2:$F$27777,"STANDBY"),0),"")</f>
        <v/>
      </c>
      <c r="H37" s="7">
        <f>IFERROR(ROUND(AVERAGEIFS(Datos!$G$2:$G$27777,Datos!$E$2:$E$27777,$A37,Datos!$B$2:$B$27777,11,Datos!$C$2:$C$27777,"&lt;30",Datos!$F$2:$F$27777,"STANDBY"),0),"")</f>
        <v/>
      </c>
      <c r="I37" s="7">
        <f>IFERROR(ROUND(AVERAGEIFS(Datos!$G$2:$G$27777,Datos!$E$2:$E$27777,$A37,Datos!$B$2:$B$27777,11,Datos!$C$2:$C$27777,"&gt;=30",Datos!$F$2:$F$27777,"STANDBY"),0),"")</f>
        <v/>
      </c>
      <c r="J37" s="7">
        <f>IFERROR(ROUND(AVERAGEIFS(Datos!$G$2:$G$27777,Datos!$E$2:$E$27777,$A37,Datos!$B$2:$B$27777,12,Datos!$C$2:$C$27777,"&lt;30",Datos!$F$2:$F$27777,"STANDBY"),0),"")</f>
        <v/>
      </c>
      <c r="K37" s="7">
        <f>IFERROR(ROUND(AVERAGEIFS(Datos!$G$2:$G$27777,Datos!$E$2:$E$27777,$A37,Datos!$B$2:$B$27777,12,Datos!$C$2:$C$27777,"&gt;=30",Datos!$F$2:$F$27777,"STANDBY"),0),"")</f>
        <v/>
      </c>
      <c r="L37" s="7">
        <f>IFERROR(ROUND(AVERAGEIFS(Datos!$G$2:$G$27777,Datos!$E$2:$E$27777,$A37,Datos!$B$2:$B$27777,13,Datos!$C$2:$C$27777,"&lt;30",Datos!$F$2:$F$27777,"STANDBY"),0),"")</f>
        <v/>
      </c>
      <c r="M37" s="7">
        <f>IFERROR(ROUND(AVERAGEIFS(Datos!$G$2:$G$27777,Datos!$E$2:$E$27777,$A37,Datos!$B$2:$B$27777,13,Datos!$C$2:$C$27777,"&gt;=30",Datos!$F$2:$F$27777,"STANDBY"),0),"")</f>
        <v/>
      </c>
      <c r="N37" s="7">
        <f>IFERROR(ROUND(AVERAGEIFS(Datos!$G$2:$G$27777,Datos!$E$2:$E$27777,$A37,Datos!$B$2:$B$27777,14,Datos!$C$2:$C$27777,"&lt;30",Datos!$F$2:$F$27777,"STANDBY"),0),"")</f>
        <v/>
      </c>
      <c r="O37" s="7">
        <f>IFERROR(ROUND(AVERAGEIFS(Datos!$G$2:$G$27777,Datos!$E$2:$E$27777,$A37,Datos!$B$2:$B$27777,14,Datos!$C$2:$C$27777,"&gt;=30",Datos!$F$2:$F$27777,"STANDBY"),0),"")</f>
        <v/>
      </c>
      <c r="P37" s="7">
        <f>IFERROR(ROUND(AVERAGEIFS(Datos!$G$2:$G$27777,Datos!$E$2:$E$27777,$A37,Datos!$B$2:$B$27777,15,Datos!$C$2:$C$27777,"&lt;30",Datos!$F$2:$F$27777,"STANDBY"),0),"")</f>
        <v/>
      </c>
      <c r="Q37" s="7">
        <f>IFERROR(ROUND(AVERAGEIFS(Datos!$G$2:$G$27777,Datos!$E$2:$E$27777,$A37,Datos!$B$2:$B$27777,15,Datos!$C$2:$C$27777,"&gt;=30",Datos!$F$2:$F$27777,"STANDBY"),0),"")</f>
        <v/>
      </c>
      <c r="R37" s="7">
        <f>IFERROR(ROUND(AVERAGEIFS(Datos!$G$2:$G$27777,Datos!$E$2:$E$27777,$A37,Datos!$B$2:$B$27777,16,Datos!$C$2:$C$27777,"&lt;30",Datos!$F$2:$F$27777,"STANDBY"),0),"")</f>
        <v/>
      </c>
      <c r="S37" s="7">
        <f>IFERROR(ROUND(AVERAGEIFS(Datos!$G$2:$G$27777,Datos!$E$2:$E$27777,$A37,Datos!$B$2:$B$27777,16,Datos!$C$2:$C$27777,"&gt;=30",Datos!$F$2:$F$27777,"STANDBY"),0),"")</f>
        <v/>
      </c>
      <c r="T37" s="7">
        <f>IFERROR(ROUND(AVERAGEIFS(Datos!$G$2:$G$27777,Datos!$E$2:$E$27777,$A37,Datos!$B$2:$B$27777,17,Datos!$C$2:$C$27777,"&lt;30",Datos!$F$2:$F$27777,"STANDBY"),0),"")</f>
        <v/>
      </c>
      <c r="U37" s="7">
        <f>IFERROR(ROUND(AVERAGEIFS(Datos!$G$2:$G$27777,Datos!$E$2:$E$27777,$A37,Datos!$B$2:$B$27777,17,Datos!$C$2:$C$27777,"&gt;=30",Datos!$F$2:$F$27777,"STANDBY"),0),"")</f>
        <v/>
      </c>
      <c r="V37" s="7">
        <f>IFERROR(ROUND(AVERAGEIFS(Datos!$G$2:$G$27777,Datos!$E$2:$E$27777,$A37,Datos!$B$2:$B$27777,18,Datos!$C$2:$C$27777,"&lt;30",Datos!$F$2:$F$27777,"STANDBY"),0),"")</f>
        <v/>
      </c>
      <c r="W37" s="7">
        <f>IFERROR(ROUND(AVERAGEIFS(Datos!$G$2:$G$27777,Datos!$E$2:$E$27777,$A37,Datos!$B$2:$B$27777,18,Datos!$C$2:$C$27777,"&gt;=30",Datos!$F$2:$F$27777,"STANDBY"),0),"")</f>
        <v/>
      </c>
      <c r="X37" s="7">
        <f>IFERROR(ROUND(AVERAGEIFS(Datos!$G$2:$G$27777,Datos!$E$2:$E$27777,$A37,Datos!$B$2:$B$27777,19,Datos!$C$2:$C$27777,"&lt;30",Datos!$F$2:$F$27777,"STANDBY"),0),"")</f>
        <v/>
      </c>
      <c r="Y37" s="7">
        <f>IFERROR(ROUND(AVERAGEIFS(Datos!$G$2:$G$27777,Datos!$E$2:$E$27777,$A37,Datos!$B$2:$B$27777,19,Datos!$C$2:$C$27777,"&gt;=30",Datos!$F$2:$F$27777,"STANDBY"),0),"")</f>
        <v/>
      </c>
      <c r="Z37" s="7">
        <f>IFERROR(ROUND(AVERAGEIFS(Datos!$G$2:$G$27777,Datos!$E$2:$E$27777,$A37,Datos!$B$2:$B$27777,20,Datos!$C$2:$C$27777,"&lt;30",Datos!$F$2:$F$27777,"STANDBY"),0),"")</f>
        <v/>
      </c>
      <c r="AA37" s="7">
        <f>IFERROR(ROUND(AVERAGEIFS(Datos!$G$2:$G$27777,Datos!$E$2:$E$27777,$A37,Datos!$B$2:$B$27777,20,Datos!$C$2:$C$27777,"&gt;=30",Datos!$F$2:$F$27777,"STANDBY"),0),"")</f>
        <v/>
      </c>
      <c r="AB37" s="7">
        <f>IFERROR(ROUND(AVERAGEIFS(Datos!$G$2:$G$27777,Datos!$E$2:$E$27777,$A37,Datos!$B$2:$B$27777,21,Datos!$C$2:$C$27777,"&lt;30",Datos!$F$2:$F$27777,"STANDBY"),0),"")</f>
        <v/>
      </c>
      <c r="AC37" s="7">
        <f>IFERROR(ROUND(AVERAGEIFS(Datos!$G$2:$G$27777,Datos!$E$2:$E$27777,$A37,Datos!$B$2:$B$27777,21,Datos!$C$2:$C$27777,"&gt;=30",Datos!$F$2:$F$27777,"STANDBY"),0),"")</f>
        <v/>
      </c>
      <c r="AD37" s="7">
        <f>IFERROR(ROUND(AVERAGEIFS(Datos!$G$2:$G$27777,Datos!$E$2:$E$27777,$A37,Datos!$B$2:$B$27777,22,Datos!$C$2:$C$27777,"&lt;30",Datos!$F$2:$F$27777,"STANDBY"),0),"")</f>
        <v/>
      </c>
      <c r="AE37" s="7">
        <f>IFERROR(ROUND(AVERAGEIFS(Datos!$G$2:$G$27777,Datos!$E$2:$E$27777,$A37,Datos!$B$2:$B$27777,22,Datos!$C$2:$C$27777,"&gt;=30",Datos!$F$2:$F$27777,"STANDBY"),0),"")</f>
        <v/>
      </c>
      <c r="AF37" s="7">
        <f>IFERROR(ROUND(AVERAGEIFS(Datos!$G$2:$G$27777,Datos!$E$2:$E$27777,$A37,Datos!$B$2:$B$27777,23,Datos!$C$2:$C$27777,"&lt;30",Datos!$F$2:$F$27777,"STANDBY"),0),"")</f>
        <v/>
      </c>
      <c r="AG37" s="7">
        <f>IFERROR(ROUND(AVERAGEIFS(Datos!$G$2:$G$27777,Datos!$E$2:$E$27777,$A37,Datos!$B$2:$B$27777,23,Datos!$C$2:$C$27777,"&gt;=30",Datos!$F$2:$F$27777,"STANDBY"),0),"")</f>
        <v/>
      </c>
    </row>
    <row r="38">
      <c r="A38" s="6" t="inlineStr">
        <is>
          <t>Frontierland Playground</t>
        </is>
      </c>
      <c r="B38" s="7">
        <f>IFERROR(ROUND(AVERAGEIFS(Datos!$G$2:$G$27777,Datos!$E$2:$E$27777,$A38,Datos!$B$2:$B$27777,8,Datos!$C$2:$C$27777,"&lt;30",Datos!$F$2:$F$27777,"STANDBY"),0),"")</f>
        <v/>
      </c>
      <c r="C38" s="7">
        <f>IFERROR(ROUND(AVERAGEIFS(Datos!$G$2:$G$27777,Datos!$E$2:$E$27777,$A38,Datos!$B$2:$B$27777,8,Datos!$C$2:$C$27777,"&gt;=30",Datos!$F$2:$F$27777,"STANDBY"),0),"")</f>
        <v/>
      </c>
      <c r="D38" s="7">
        <f>IFERROR(ROUND(AVERAGEIFS(Datos!$G$2:$G$27777,Datos!$E$2:$E$27777,$A38,Datos!$B$2:$B$27777,9,Datos!$C$2:$C$27777,"&lt;30",Datos!$F$2:$F$27777,"STANDBY"),0),"")</f>
        <v/>
      </c>
      <c r="E38" s="7">
        <f>IFERROR(ROUND(AVERAGEIFS(Datos!$G$2:$G$27777,Datos!$E$2:$E$27777,$A38,Datos!$B$2:$B$27777,9,Datos!$C$2:$C$27777,"&gt;=30",Datos!$F$2:$F$27777,"STANDBY"),0),"")</f>
        <v/>
      </c>
      <c r="F38" s="7">
        <f>IFERROR(ROUND(AVERAGEIFS(Datos!$G$2:$G$27777,Datos!$E$2:$E$27777,$A38,Datos!$B$2:$B$27777,10,Datos!$C$2:$C$27777,"&lt;30",Datos!$F$2:$F$27777,"STANDBY"),0),"")</f>
        <v/>
      </c>
      <c r="G38" s="7">
        <f>IFERROR(ROUND(AVERAGEIFS(Datos!$G$2:$G$27777,Datos!$E$2:$E$27777,$A38,Datos!$B$2:$B$27777,10,Datos!$C$2:$C$27777,"&gt;=30",Datos!$F$2:$F$27777,"STANDBY"),0),"")</f>
        <v/>
      </c>
      <c r="H38" s="7">
        <f>IFERROR(ROUND(AVERAGEIFS(Datos!$G$2:$G$27777,Datos!$E$2:$E$27777,$A38,Datos!$B$2:$B$27777,11,Datos!$C$2:$C$27777,"&lt;30",Datos!$F$2:$F$27777,"STANDBY"),0),"")</f>
        <v/>
      </c>
      <c r="I38" s="7">
        <f>IFERROR(ROUND(AVERAGEIFS(Datos!$G$2:$G$27777,Datos!$E$2:$E$27777,$A38,Datos!$B$2:$B$27777,11,Datos!$C$2:$C$27777,"&gt;=30",Datos!$F$2:$F$27777,"STANDBY"),0),"")</f>
        <v/>
      </c>
      <c r="J38" s="7">
        <f>IFERROR(ROUND(AVERAGEIFS(Datos!$G$2:$G$27777,Datos!$E$2:$E$27777,$A38,Datos!$B$2:$B$27777,12,Datos!$C$2:$C$27777,"&lt;30",Datos!$F$2:$F$27777,"STANDBY"),0),"")</f>
        <v/>
      </c>
      <c r="K38" s="7">
        <f>IFERROR(ROUND(AVERAGEIFS(Datos!$G$2:$G$27777,Datos!$E$2:$E$27777,$A38,Datos!$B$2:$B$27777,12,Datos!$C$2:$C$27777,"&gt;=30",Datos!$F$2:$F$27777,"STANDBY"),0),"")</f>
        <v/>
      </c>
      <c r="L38" s="7">
        <f>IFERROR(ROUND(AVERAGEIFS(Datos!$G$2:$G$27777,Datos!$E$2:$E$27777,$A38,Datos!$B$2:$B$27777,13,Datos!$C$2:$C$27777,"&lt;30",Datos!$F$2:$F$27777,"STANDBY"),0),"")</f>
        <v/>
      </c>
      <c r="M38" s="7">
        <f>IFERROR(ROUND(AVERAGEIFS(Datos!$G$2:$G$27777,Datos!$E$2:$E$27777,$A38,Datos!$B$2:$B$27777,13,Datos!$C$2:$C$27777,"&gt;=30",Datos!$F$2:$F$27777,"STANDBY"),0),"")</f>
        <v/>
      </c>
      <c r="N38" s="7">
        <f>IFERROR(ROUND(AVERAGEIFS(Datos!$G$2:$G$27777,Datos!$E$2:$E$27777,$A38,Datos!$B$2:$B$27777,14,Datos!$C$2:$C$27777,"&lt;30",Datos!$F$2:$F$27777,"STANDBY"),0),"")</f>
        <v/>
      </c>
      <c r="O38" s="7">
        <f>IFERROR(ROUND(AVERAGEIFS(Datos!$G$2:$G$27777,Datos!$E$2:$E$27777,$A38,Datos!$B$2:$B$27777,14,Datos!$C$2:$C$27777,"&gt;=30",Datos!$F$2:$F$27777,"STANDBY"),0),"")</f>
        <v/>
      </c>
      <c r="P38" s="7">
        <f>IFERROR(ROUND(AVERAGEIFS(Datos!$G$2:$G$27777,Datos!$E$2:$E$27777,$A38,Datos!$B$2:$B$27777,15,Datos!$C$2:$C$27777,"&lt;30",Datos!$F$2:$F$27777,"STANDBY"),0),"")</f>
        <v/>
      </c>
      <c r="Q38" s="7">
        <f>IFERROR(ROUND(AVERAGEIFS(Datos!$G$2:$G$27777,Datos!$E$2:$E$27777,$A38,Datos!$B$2:$B$27777,15,Datos!$C$2:$C$27777,"&gt;=30",Datos!$F$2:$F$27777,"STANDBY"),0),"")</f>
        <v/>
      </c>
      <c r="R38" s="7">
        <f>IFERROR(ROUND(AVERAGEIFS(Datos!$G$2:$G$27777,Datos!$E$2:$E$27777,$A38,Datos!$B$2:$B$27777,16,Datos!$C$2:$C$27777,"&lt;30",Datos!$F$2:$F$27777,"STANDBY"),0),"")</f>
        <v/>
      </c>
      <c r="S38" s="7">
        <f>IFERROR(ROUND(AVERAGEIFS(Datos!$G$2:$G$27777,Datos!$E$2:$E$27777,$A38,Datos!$B$2:$B$27777,16,Datos!$C$2:$C$27777,"&gt;=30",Datos!$F$2:$F$27777,"STANDBY"),0),"")</f>
        <v/>
      </c>
      <c r="T38" s="7">
        <f>IFERROR(ROUND(AVERAGEIFS(Datos!$G$2:$G$27777,Datos!$E$2:$E$27777,$A38,Datos!$B$2:$B$27777,17,Datos!$C$2:$C$27777,"&lt;30",Datos!$F$2:$F$27777,"STANDBY"),0),"")</f>
        <v/>
      </c>
      <c r="U38" s="7">
        <f>IFERROR(ROUND(AVERAGEIFS(Datos!$G$2:$G$27777,Datos!$E$2:$E$27777,$A38,Datos!$B$2:$B$27777,17,Datos!$C$2:$C$27777,"&gt;=30",Datos!$F$2:$F$27777,"STANDBY"),0),"")</f>
        <v/>
      </c>
      <c r="V38" s="7">
        <f>IFERROR(ROUND(AVERAGEIFS(Datos!$G$2:$G$27777,Datos!$E$2:$E$27777,$A38,Datos!$B$2:$B$27777,18,Datos!$C$2:$C$27777,"&lt;30",Datos!$F$2:$F$27777,"STANDBY"),0),"")</f>
        <v/>
      </c>
      <c r="W38" s="7">
        <f>IFERROR(ROUND(AVERAGEIFS(Datos!$G$2:$G$27777,Datos!$E$2:$E$27777,$A38,Datos!$B$2:$B$27777,18,Datos!$C$2:$C$27777,"&gt;=30",Datos!$F$2:$F$27777,"STANDBY"),0),"")</f>
        <v/>
      </c>
      <c r="X38" s="7">
        <f>IFERROR(ROUND(AVERAGEIFS(Datos!$G$2:$G$27777,Datos!$E$2:$E$27777,$A38,Datos!$B$2:$B$27777,19,Datos!$C$2:$C$27777,"&lt;30",Datos!$F$2:$F$27777,"STANDBY"),0),"")</f>
        <v/>
      </c>
      <c r="Y38" s="7">
        <f>IFERROR(ROUND(AVERAGEIFS(Datos!$G$2:$G$27777,Datos!$E$2:$E$27777,$A38,Datos!$B$2:$B$27777,19,Datos!$C$2:$C$27777,"&gt;=30",Datos!$F$2:$F$27777,"STANDBY"),0),"")</f>
        <v/>
      </c>
      <c r="Z38" s="7">
        <f>IFERROR(ROUND(AVERAGEIFS(Datos!$G$2:$G$27777,Datos!$E$2:$E$27777,$A38,Datos!$B$2:$B$27777,20,Datos!$C$2:$C$27777,"&lt;30",Datos!$F$2:$F$27777,"STANDBY"),0),"")</f>
        <v/>
      </c>
      <c r="AA38" s="7">
        <f>IFERROR(ROUND(AVERAGEIFS(Datos!$G$2:$G$27777,Datos!$E$2:$E$27777,$A38,Datos!$B$2:$B$27777,20,Datos!$C$2:$C$27777,"&gt;=30",Datos!$F$2:$F$27777,"STANDBY"),0),"")</f>
        <v/>
      </c>
      <c r="AB38" s="7">
        <f>IFERROR(ROUND(AVERAGEIFS(Datos!$G$2:$G$27777,Datos!$E$2:$E$27777,$A38,Datos!$B$2:$B$27777,21,Datos!$C$2:$C$27777,"&lt;30",Datos!$F$2:$F$27777,"STANDBY"),0),"")</f>
        <v/>
      </c>
      <c r="AC38" s="7">
        <f>IFERROR(ROUND(AVERAGEIFS(Datos!$G$2:$G$27777,Datos!$E$2:$E$27777,$A38,Datos!$B$2:$B$27777,21,Datos!$C$2:$C$27777,"&gt;=30",Datos!$F$2:$F$27777,"STANDBY"),0),"")</f>
        <v/>
      </c>
      <c r="AD38" s="7">
        <f>IFERROR(ROUND(AVERAGEIFS(Datos!$G$2:$G$27777,Datos!$E$2:$E$27777,$A38,Datos!$B$2:$B$27777,22,Datos!$C$2:$C$27777,"&lt;30",Datos!$F$2:$F$27777,"STANDBY"),0),"")</f>
        <v/>
      </c>
      <c r="AE38" s="7">
        <f>IFERROR(ROUND(AVERAGEIFS(Datos!$G$2:$G$27777,Datos!$E$2:$E$27777,$A38,Datos!$B$2:$B$27777,22,Datos!$C$2:$C$27777,"&gt;=30",Datos!$F$2:$F$27777,"STANDBY"),0),"")</f>
        <v/>
      </c>
      <c r="AF38" s="7">
        <f>IFERROR(ROUND(AVERAGEIFS(Datos!$G$2:$G$27777,Datos!$E$2:$E$27777,$A38,Datos!$B$2:$B$27777,23,Datos!$C$2:$C$27777,"&lt;30",Datos!$F$2:$F$27777,"STANDBY"),0),"")</f>
        <v/>
      </c>
      <c r="AG38" s="7">
        <f>IFERROR(ROUND(AVERAGEIFS(Datos!$G$2:$G$27777,Datos!$E$2:$E$27777,$A38,Datos!$B$2:$B$27777,23,Datos!$C$2:$C$27777,"&gt;=30",Datos!$F$2:$F$27777,"STANDBY"),0),"")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IFERROR(ROUND(AVERAGEIFS(Datos!$G$2:$G$27777,Datos!$E$2:$E$27777,$A39,Datos!$B$2:$B$27777,8,Datos!$C$2:$C$27777,"&lt;30",Datos!$F$2:$F$27777,"STANDBY"),0),"")</f>
        <v/>
      </c>
      <c r="C39" s="7">
        <f>IFERROR(ROUND(AVERAGEIFS(Datos!$G$2:$G$27777,Datos!$E$2:$E$27777,$A39,Datos!$B$2:$B$27777,8,Datos!$C$2:$C$27777,"&gt;=30",Datos!$F$2:$F$27777,"STANDBY"),0),"")</f>
        <v/>
      </c>
      <c r="D39" s="7">
        <f>IFERROR(ROUND(AVERAGEIFS(Datos!$G$2:$G$27777,Datos!$E$2:$E$27777,$A39,Datos!$B$2:$B$27777,9,Datos!$C$2:$C$27777,"&lt;30",Datos!$F$2:$F$27777,"STANDBY"),0),"")</f>
        <v/>
      </c>
      <c r="E39" s="7">
        <f>IFERROR(ROUND(AVERAGEIFS(Datos!$G$2:$G$27777,Datos!$E$2:$E$27777,$A39,Datos!$B$2:$B$27777,9,Datos!$C$2:$C$27777,"&gt;=30",Datos!$F$2:$F$27777,"STANDBY"),0),"")</f>
        <v/>
      </c>
      <c r="F39" s="7">
        <f>IFERROR(ROUND(AVERAGEIFS(Datos!$G$2:$G$27777,Datos!$E$2:$E$27777,$A39,Datos!$B$2:$B$27777,10,Datos!$C$2:$C$27777,"&lt;30",Datos!$F$2:$F$27777,"STANDBY"),0),"")</f>
        <v/>
      </c>
      <c r="G39" s="7">
        <f>IFERROR(ROUND(AVERAGEIFS(Datos!$G$2:$G$27777,Datos!$E$2:$E$27777,$A39,Datos!$B$2:$B$27777,10,Datos!$C$2:$C$27777,"&gt;=30",Datos!$F$2:$F$27777,"STANDBY"),0),"")</f>
        <v/>
      </c>
      <c r="H39" s="7">
        <f>IFERROR(ROUND(AVERAGEIFS(Datos!$G$2:$G$27777,Datos!$E$2:$E$27777,$A39,Datos!$B$2:$B$27777,11,Datos!$C$2:$C$27777,"&lt;30",Datos!$F$2:$F$27777,"STANDBY"),0),"")</f>
        <v/>
      </c>
      <c r="I39" s="7">
        <f>IFERROR(ROUND(AVERAGEIFS(Datos!$G$2:$G$27777,Datos!$E$2:$E$27777,$A39,Datos!$B$2:$B$27777,11,Datos!$C$2:$C$27777,"&gt;=30",Datos!$F$2:$F$27777,"STANDBY"),0),"")</f>
        <v/>
      </c>
      <c r="J39" s="7">
        <f>IFERROR(ROUND(AVERAGEIFS(Datos!$G$2:$G$27777,Datos!$E$2:$E$27777,$A39,Datos!$B$2:$B$27777,12,Datos!$C$2:$C$27777,"&lt;30",Datos!$F$2:$F$27777,"STANDBY"),0),"")</f>
        <v/>
      </c>
      <c r="K39" s="7">
        <f>IFERROR(ROUND(AVERAGEIFS(Datos!$G$2:$G$27777,Datos!$E$2:$E$27777,$A39,Datos!$B$2:$B$27777,12,Datos!$C$2:$C$27777,"&gt;=30",Datos!$F$2:$F$27777,"STANDBY"),0),"")</f>
        <v/>
      </c>
      <c r="L39" s="7">
        <f>IFERROR(ROUND(AVERAGEIFS(Datos!$G$2:$G$27777,Datos!$E$2:$E$27777,$A39,Datos!$B$2:$B$27777,13,Datos!$C$2:$C$27777,"&lt;30",Datos!$F$2:$F$27777,"STANDBY"),0),"")</f>
        <v/>
      </c>
      <c r="M39" s="7">
        <f>IFERROR(ROUND(AVERAGEIFS(Datos!$G$2:$G$27777,Datos!$E$2:$E$27777,$A39,Datos!$B$2:$B$27777,13,Datos!$C$2:$C$27777,"&gt;=30",Datos!$F$2:$F$27777,"STANDBY"),0),"")</f>
        <v/>
      </c>
      <c r="N39" s="7">
        <f>IFERROR(ROUND(AVERAGEIFS(Datos!$G$2:$G$27777,Datos!$E$2:$E$27777,$A39,Datos!$B$2:$B$27777,14,Datos!$C$2:$C$27777,"&lt;30",Datos!$F$2:$F$27777,"STANDBY"),0),"")</f>
        <v/>
      </c>
      <c r="O39" s="7">
        <f>IFERROR(ROUND(AVERAGEIFS(Datos!$G$2:$G$27777,Datos!$E$2:$E$27777,$A39,Datos!$B$2:$B$27777,14,Datos!$C$2:$C$27777,"&gt;=30",Datos!$F$2:$F$27777,"STANDBY"),0),"")</f>
        <v/>
      </c>
      <c r="P39" s="7">
        <f>IFERROR(ROUND(AVERAGEIFS(Datos!$G$2:$G$27777,Datos!$E$2:$E$27777,$A39,Datos!$B$2:$B$27777,15,Datos!$C$2:$C$27777,"&lt;30",Datos!$F$2:$F$27777,"STANDBY"),0),"")</f>
        <v/>
      </c>
      <c r="Q39" s="7">
        <f>IFERROR(ROUND(AVERAGEIFS(Datos!$G$2:$G$27777,Datos!$E$2:$E$27777,$A39,Datos!$B$2:$B$27777,15,Datos!$C$2:$C$27777,"&gt;=30",Datos!$F$2:$F$27777,"STANDBY"),0),"")</f>
        <v/>
      </c>
      <c r="R39" s="7">
        <f>IFERROR(ROUND(AVERAGEIFS(Datos!$G$2:$G$27777,Datos!$E$2:$E$27777,$A39,Datos!$B$2:$B$27777,16,Datos!$C$2:$C$27777,"&lt;30",Datos!$F$2:$F$27777,"STANDBY"),0),"")</f>
        <v/>
      </c>
      <c r="S39" s="7">
        <f>IFERROR(ROUND(AVERAGEIFS(Datos!$G$2:$G$27777,Datos!$E$2:$E$27777,$A39,Datos!$B$2:$B$27777,16,Datos!$C$2:$C$27777,"&gt;=30",Datos!$F$2:$F$27777,"STANDBY"),0),"")</f>
        <v/>
      </c>
      <c r="T39" s="7">
        <f>IFERROR(ROUND(AVERAGEIFS(Datos!$G$2:$G$27777,Datos!$E$2:$E$27777,$A39,Datos!$B$2:$B$27777,17,Datos!$C$2:$C$27777,"&lt;30",Datos!$F$2:$F$27777,"STANDBY"),0),"")</f>
        <v/>
      </c>
      <c r="U39" s="7">
        <f>IFERROR(ROUND(AVERAGEIFS(Datos!$G$2:$G$27777,Datos!$E$2:$E$27777,$A39,Datos!$B$2:$B$27777,17,Datos!$C$2:$C$27777,"&gt;=30",Datos!$F$2:$F$27777,"STANDBY"),0),"")</f>
        <v/>
      </c>
      <c r="V39" s="7">
        <f>IFERROR(ROUND(AVERAGEIFS(Datos!$G$2:$G$27777,Datos!$E$2:$E$27777,$A39,Datos!$B$2:$B$27777,18,Datos!$C$2:$C$27777,"&lt;30",Datos!$F$2:$F$27777,"STANDBY"),0),"")</f>
        <v/>
      </c>
      <c r="W39" s="7">
        <f>IFERROR(ROUND(AVERAGEIFS(Datos!$G$2:$G$27777,Datos!$E$2:$E$27777,$A39,Datos!$B$2:$B$27777,18,Datos!$C$2:$C$27777,"&gt;=30",Datos!$F$2:$F$27777,"STANDBY"),0),"")</f>
        <v/>
      </c>
      <c r="X39" s="7">
        <f>IFERROR(ROUND(AVERAGEIFS(Datos!$G$2:$G$27777,Datos!$E$2:$E$27777,$A39,Datos!$B$2:$B$27777,19,Datos!$C$2:$C$27777,"&lt;30",Datos!$F$2:$F$27777,"STANDBY"),0),"")</f>
        <v/>
      </c>
      <c r="Y39" s="7">
        <f>IFERROR(ROUND(AVERAGEIFS(Datos!$G$2:$G$27777,Datos!$E$2:$E$27777,$A39,Datos!$B$2:$B$27777,19,Datos!$C$2:$C$27777,"&gt;=30",Datos!$F$2:$F$27777,"STANDBY"),0),"")</f>
        <v/>
      </c>
      <c r="Z39" s="7">
        <f>IFERROR(ROUND(AVERAGEIFS(Datos!$G$2:$G$27777,Datos!$E$2:$E$27777,$A39,Datos!$B$2:$B$27777,20,Datos!$C$2:$C$27777,"&lt;30",Datos!$F$2:$F$27777,"STANDBY"),0),"")</f>
        <v/>
      </c>
      <c r="AA39" s="7">
        <f>IFERROR(ROUND(AVERAGEIFS(Datos!$G$2:$G$27777,Datos!$E$2:$E$27777,$A39,Datos!$B$2:$B$27777,20,Datos!$C$2:$C$27777,"&gt;=30",Datos!$F$2:$F$27777,"STANDBY"),0),"")</f>
        <v/>
      </c>
      <c r="AB39" s="7">
        <f>IFERROR(ROUND(AVERAGEIFS(Datos!$G$2:$G$27777,Datos!$E$2:$E$27777,$A39,Datos!$B$2:$B$27777,21,Datos!$C$2:$C$27777,"&lt;30",Datos!$F$2:$F$27777,"STANDBY"),0),"")</f>
        <v/>
      </c>
      <c r="AC39" s="7">
        <f>IFERROR(ROUND(AVERAGEIFS(Datos!$G$2:$G$27777,Datos!$E$2:$E$27777,$A39,Datos!$B$2:$B$27777,21,Datos!$C$2:$C$27777,"&gt;=30",Datos!$F$2:$F$27777,"STANDBY"),0),"")</f>
        <v/>
      </c>
      <c r="AD39" s="7">
        <f>IFERROR(ROUND(AVERAGEIFS(Datos!$G$2:$G$27777,Datos!$E$2:$E$27777,$A39,Datos!$B$2:$B$27777,22,Datos!$C$2:$C$27777,"&lt;30",Datos!$F$2:$F$27777,"STANDBY"),0),"")</f>
        <v/>
      </c>
      <c r="AE39" s="7">
        <f>IFERROR(ROUND(AVERAGEIFS(Datos!$G$2:$G$27777,Datos!$E$2:$E$27777,$A39,Datos!$B$2:$B$27777,22,Datos!$C$2:$C$27777,"&gt;=30",Datos!$F$2:$F$27777,"STANDBY"),0),"")</f>
        <v/>
      </c>
      <c r="AF39" s="7">
        <f>IFERROR(ROUND(AVERAGEIFS(Datos!$G$2:$G$27777,Datos!$E$2:$E$27777,$A39,Datos!$B$2:$B$27777,23,Datos!$C$2:$C$27777,"&lt;30",Datos!$F$2:$F$27777,"STANDBY"),0),"")</f>
        <v/>
      </c>
      <c r="AG39" s="7">
        <f>IFERROR(ROUND(AVERAGEIFS(Datos!$G$2:$G$27777,Datos!$E$2:$E$27777,$A39,Datos!$B$2:$B$27777,23,Datos!$C$2:$C$27777,"&gt;=30",Datos!$F$2:$F$27777,"STANDBY"),0),"")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IFERROR(ROUND(AVERAGEIFS(Datos!$G$2:$G$27777,Datos!$E$2:$E$27777,$A40,Datos!$B$2:$B$27777,8,Datos!$C$2:$C$27777,"&lt;30",Datos!$F$2:$F$27777,"STANDBY"),0),"")</f>
        <v/>
      </c>
      <c r="C40" s="7">
        <f>IFERROR(ROUND(AVERAGEIFS(Datos!$G$2:$G$27777,Datos!$E$2:$E$27777,$A40,Datos!$B$2:$B$27777,8,Datos!$C$2:$C$27777,"&gt;=30",Datos!$F$2:$F$27777,"STANDBY"),0),"")</f>
        <v/>
      </c>
      <c r="D40" s="7">
        <f>IFERROR(ROUND(AVERAGEIFS(Datos!$G$2:$G$27777,Datos!$E$2:$E$27777,$A40,Datos!$B$2:$B$27777,9,Datos!$C$2:$C$27777,"&lt;30",Datos!$F$2:$F$27777,"STANDBY"),0),"")</f>
        <v/>
      </c>
      <c r="E40" s="7">
        <f>IFERROR(ROUND(AVERAGEIFS(Datos!$G$2:$G$27777,Datos!$E$2:$E$27777,$A40,Datos!$B$2:$B$27777,9,Datos!$C$2:$C$27777,"&gt;=30",Datos!$F$2:$F$27777,"STANDBY"),0),"")</f>
        <v/>
      </c>
      <c r="F40" s="7">
        <f>IFERROR(ROUND(AVERAGEIFS(Datos!$G$2:$G$27777,Datos!$E$2:$E$27777,$A40,Datos!$B$2:$B$27777,10,Datos!$C$2:$C$27777,"&lt;30",Datos!$F$2:$F$27777,"STANDBY"),0),"")</f>
        <v/>
      </c>
      <c r="G40" s="7">
        <f>IFERROR(ROUND(AVERAGEIFS(Datos!$G$2:$G$27777,Datos!$E$2:$E$27777,$A40,Datos!$B$2:$B$27777,10,Datos!$C$2:$C$27777,"&gt;=30",Datos!$F$2:$F$27777,"STANDBY"),0),"")</f>
        <v/>
      </c>
      <c r="H40" s="7">
        <f>IFERROR(ROUND(AVERAGEIFS(Datos!$G$2:$G$27777,Datos!$E$2:$E$27777,$A40,Datos!$B$2:$B$27777,11,Datos!$C$2:$C$27777,"&lt;30",Datos!$F$2:$F$27777,"STANDBY"),0),"")</f>
        <v/>
      </c>
      <c r="I40" s="7">
        <f>IFERROR(ROUND(AVERAGEIFS(Datos!$G$2:$G$27777,Datos!$E$2:$E$27777,$A40,Datos!$B$2:$B$27777,11,Datos!$C$2:$C$27777,"&gt;=30",Datos!$F$2:$F$27777,"STANDBY"),0),"")</f>
        <v/>
      </c>
      <c r="J40" s="7">
        <f>IFERROR(ROUND(AVERAGEIFS(Datos!$G$2:$G$27777,Datos!$E$2:$E$27777,$A40,Datos!$B$2:$B$27777,12,Datos!$C$2:$C$27777,"&lt;30",Datos!$F$2:$F$27777,"STANDBY"),0),"")</f>
        <v/>
      </c>
      <c r="K40" s="7">
        <f>IFERROR(ROUND(AVERAGEIFS(Datos!$G$2:$G$27777,Datos!$E$2:$E$27777,$A40,Datos!$B$2:$B$27777,12,Datos!$C$2:$C$27777,"&gt;=30",Datos!$F$2:$F$27777,"STANDBY"),0),"")</f>
        <v/>
      </c>
      <c r="L40" s="7">
        <f>IFERROR(ROUND(AVERAGEIFS(Datos!$G$2:$G$27777,Datos!$E$2:$E$27777,$A40,Datos!$B$2:$B$27777,13,Datos!$C$2:$C$27777,"&lt;30",Datos!$F$2:$F$27777,"STANDBY"),0),"")</f>
        <v/>
      </c>
      <c r="M40" s="7">
        <f>IFERROR(ROUND(AVERAGEIFS(Datos!$G$2:$G$27777,Datos!$E$2:$E$27777,$A40,Datos!$B$2:$B$27777,13,Datos!$C$2:$C$27777,"&gt;=30",Datos!$F$2:$F$27777,"STANDBY"),0),"")</f>
        <v/>
      </c>
      <c r="N40" s="7">
        <f>IFERROR(ROUND(AVERAGEIFS(Datos!$G$2:$G$27777,Datos!$E$2:$E$27777,$A40,Datos!$B$2:$B$27777,14,Datos!$C$2:$C$27777,"&lt;30",Datos!$F$2:$F$27777,"STANDBY"),0),"")</f>
        <v/>
      </c>
      <c r="O40" s="7">
        <f>IFERROR(ROUND(AVERAGEIFS(Datos!$G$2:$G$27777,Datos!$E$2:$E$27777,$A40,Datos!$B$2:$B$27777,14,Datos!$C$2:$C$27777,"&gt;=30",Datos!$F$2:$F$27777,"STANDBY"),0),"")</f>
        <v/>
      </c>
      <c r="P40" s="7">
        <f>IFERROR(ROUND(AVERAGEIFS(Datos!$G$2:$G$27777,Datos!$E$2:$E$27777,$A40,Datos!$B$2:$B$27777,15,Datos!$C$2:$C$27777,"&lt;30",Datos!$F$2:$F$27777,"STANDBY"),0),"")</f>
        <v/>
      </c>
      <c r="Q40" s="7">
        <f>IFERROR(ROUND(AVERAGEIFS(Datos!$G$2:$G$27777,Datos!$E$2:$E$27777,$A40,Datos!$B$2:$B$27777,15,Datos!$C$2:$C$27777,"&gt;=30",Datos!$F$2:$F$27777,"STANDBY"),0),"")</f>
        <v/>
      </c>
      <c r="R40" s="7">
        <f>IFERROR(ROUND(AVERAGEIFS(Datos!$G$2:$G$27777,Datos!$E$2:$E$27777,$A40,Datos!$B$2:$B$27777,16,Datos!$C$2:$C$27777,"&lt;30",Datos!$F$2:$F$27777,"STANDBY"),0),"")</f>
        <v/>
      </c>
      <c r="S40" s="7">
        <f>IFERROR(ROUND(AVERAGEIFS(Datos!$G$2:$G$27777,Datos!$E$2:$E$27777,$A40,Datos!$B$2:$B$27777,16,Datos!$C$2:$C$27777,"&gt;=30",Datos!$F$2:$F$27777,"STANDBY"),0),"")</f>
        <v/>
      </c>
      <c r="T40" s="7">
        <f>IFERROR(ROUND(AVERAGEIFS(Datos!$G$2:$G$27777,Datos!$E$2:$E$27777,$A40,Datos!$B$2:$B$27777,17,Datos!$C$2:$C$27777,"&lt;30",Datos!$F$2:$F$27777,"STANDBY"),0),"")</f>
        <v/>
      </c>
      <c r="U40" s="7">
        <f>IFERROR(ROUND(AVERAGEIFS(Datos!$G$2:$G$27777,Datos!$E$2:$E$27777,$A40,Datos!$B$2:$B$27777,17,Datos!$C$2:$C$27777,"&gt;=30",Datos!$F$2:$F$27777,"STANDBY"),0),"")</f>
        <v/>
      </c>
      <c r="V40" s="7">
        <f>IFERROR(ROUND(AVERAGEIFS(Datos!$G$2:$G$27777,Datos!$E$2:$E$27777,$A40,Datos!$B$2:$B$27777,18,Datos!$C$2:$C$27777,"&lt;30",Datos!$F$2:$F$27777,"STANDBY"),0),"")</f>
        <v/>
      </c>
      <c r="W40" s="7">
        <f>IFERROR(ROUND(AVERAGEIFS(Datos!$G$2:$G$27777,Datos!$E$2:$E$27777,$A40,Datos!$B$2:$B$27777,18,Datos!$C$2:$C$27777,"&gt;=30",Datos!$F$2:$F$27777,"STANDBY"),0),"")</f>
        <v/>
      </c>
      <c r="X40" s="7">
        <f>IFERROR(ROUND(AVERAGEIFS(Datos!$G$2:$G$27777,Datos!$E$2:$E$27777,$A40,Datos!$B$2:$B$27777,19,Datos!$C$2:$C$27777,"&lt;30",Datos!$F$2:$F$27777,"STANDBY"),0),"")</f>
        <v/>
      </c>
      <c r="Y40" s="7">
        <f>IFERROR(ROUND(AVERAGEIFS(Datos!$G$2:$G$27777,Datos!$E$2:$E$27777,$A40,Datos!$B$2:$B$27777,19,Datos!$C$2:$C$27777,"&gt;=30",Datos!$F$2:$F$27777,"STANDBY"),0),"")</f>
        <v/>
      </c>
      <c r="Z40" s="7">
        <f>IFERROR(ROUND(AVERAGEIFS(Datos!$G$2:$G$27777,Datos!$E$2:$E$27777,$A40,Datos!$B$2:$B$27777,20,Datos!$C$2:$C$27777,"&lt;30",Datos!$F$2:$F$27777,"STANDBY"),0),"")</f>
        <v/>
      </c>
      <c r="AA40" s="7">
        <f>IFERROR(ROUND(AVERAGEIFS(Datos!$G$2:$G$27777,Datos!$E$2:$E$27777,$A40,Datos!$B$2:$B$27777,20,Datos!$C$2:$C$27777,"&gt;=30",Datos!$F$2:$F$27777,"STANDBY"),0),"")</f>
        <v/>
      </c>
      <c r="AB40" s="7">
        <f>IFERROR(ROUND(AVERAGEIFS(Datos!$G$2:$G$27777,Datos!$E$2:$E$27777,$A40,Datos!$B$2:$B$27777,21,Datos!$C$2:$C$27777,"&lt;30",Datos!$F$2:$F$27777,"STANDBY"),0),"")</f>
        <v/>
      </c>
      <c r="AC40" s="7">
        <f>IFERROR(ROUND(AVERAGEIFS(Datos!$G$2:$G$27777,Datos!$E$2:$E$27777,$A40,Datos!$B$2:$B$27777,21,Datos!$C$2:$C$27777,"&gt;=30",Datos!$F$2:$F$27777,"STANDBY"),0),"")</f>
        <v/>
      </c>
      <c r="AD40" s="7">
        <f>IFERROR(ROUND(AVERAGEIFS(Datos!$G$2:$G$27777,Datos!$E$2:$E$27777,$A40,Datos!$B$2:$B$27777,22,Datos!$C$2:$C$27777,"&lt;30",Datos!$F$2:$F$27777,"STANDBY"),0),"")</f>
        <v/>
      </c>
      <c r="AE40" s="7">
        <f>IFERROR(ROUND(AVERAGEIFS(Datos!$G$2:$G$27777,Datos!$E$2:$E$27777,$A40,Datos!$B$2:$B$27777,22,Datos!$C$2:$C$27777,"&gt;=30",Datos!$F$2:$F$27777,"STANDBY"),0),"")</f>
        <v/>
      </c>
      <c r="AF40" s="7">
        <f>IFERROR(ROUND(AVERAGEIFS(Datos!$G$2:$G$27777,Datos!$E$2:$E$27777,$A40,Datos!$B$2:$B$27777,23,Datos!$C$2:$C$27777,"&lt;30",Datos!$F$2:$F$27777,"STANDBY"),0),"")</f>
        <v/>
      </c>
      <c r="AG40" s="7">
        <f>IFERROR(ROUND(AVERAGEIFS(Datos!$G$2:$G$27777,Datos!$E$2:$E$27777,$A40,Datos!$B$2:$B$27777,23,Datos!$C$2:$C$27777,"&gt;=30",Datos!$F$2:$F$27777,"STANDBY"),0),"")</f>
        <v/>
      </c>
    </row>
    <row r="41">
      <c r="A41" s="6" t="inlineStr">
        <is>
          <t>La Cabane des Robinson</t>
        </is>
      </c>
      <c r="B41" s="7">
        <f>IFERROR(ROUND(AVERAGEIFS(Datos!$G$2:$G$27777,Datos!$E$2:$E$27777,$A41,Datos!$B$2:$B$27777,8,Datos!$C$2:$C$27777,"&lt;30",Datos!$F$2:$F$27777,"STANDBY"),0),"")</f>
        <v/>
      </c>
      <c r="C41" s="7">
        <f>IFERROR(ROUND(AVERAGEIFS(Datos!$G$2:$G$27777,Datos!$E$2:$E$27777,$A41,Datos!$B$2:$B$27777,8,Datos!$C$2:$C$27777,"&gt;=30",Datos!$F$2:$F$27777,"STANDBY"),0),"")</f>
        <v/>
      </c>
      <c r="D41" s="7">
        <f>IFERROR(ROUND(AVERAGEIFS(Datos!$G$2:$G$27777,Datos!$E$2:$E$27777,$A41,Datos!$B$2:$B$27777,9,Datos!$C$2:$C$27777,"&lt;30",Datos!$F$2:$F$27777,"STANDBY"),0),"")</f>
        <v/>
      </c>
      <c r="E41" s="7">
        <f>IFERROR(ROUND(AVERAGEIFS(Datos!$G$2:$G$27777,Datos!$E$2:$E$27777,$A41,Datos!$B$2:$B$27777,9,Datos!$C$2:$C$27777,"&gt;=30",Datos!$F$2:$F$27777,"STANDBY"),0),"")</f>
        <v/>
      </c>
      <c r="F41" s="7">
        <f>IFERROR(ROUND(AVERAGEIFS(Datos!$G$2:$G$27777,Datos!$E$2:$E$27777,$A41,Datos!$B$2:$B$27777,10,Datos!$C$2:$C$27777,"&lt;30",Datos!$F$2:$F$27777,"STANDBY"),0),"")</f>
        <v/>
      </c>
      <c r="G41" s="7">
        <f>IFERROR(ROUND(AVERAGEIFS(Datos!$G$2:$G$27777,Datos!$E$2:$E$27777,$A41,Datos!$B$2:$B$27777,10,Datos!$C$2:$C$27777,"&gt;=30",Datos!$F$2:$F$27777,"STANDBY"),0),"")</f>
        <v/>
      </c>
      <c r="H41" s="7">
        <f>IFERROR(ROUND(AVERAGEIFS(Datos!$G$2:$G$27777,Datos!$E$2:$E$27777,$A41,Datos!$B$2:$B$27777,11,Datos!$C$2:$C$27777,"&lt;30",Datos!$F$2:$F$27777,"STANDBY"),0),"")</f>
        <v/>
      </c>
      <c r="I41" s="7">
        <f>IFERROR(ROUND(AVERAGEIFS(Datos!$G$2:$G$27777,Datos!$E$2:$E$27777,$A41,Datos!$B$2:$B$27777,11,Datos!$C$2:$C$27777,"&gt;=30",Datos!$F$2:$F$27777,"STANDBY"),0),"")</f>
        <v/>
      </c>
      <c r="J41" s="7">
        <f>IFERROR(ROUND(AVERAGEIFS(Datos!$G$2:$G$27777,Datos!$E$2:$E$27777,$A41,Datos!$B$2:$B$27777,12,Datos!$C$2:$C$27777,"&lt;30",Datos!$F$2:$F$27777,"STANDBY"),0),"")</f>
        <v/>
      </c>
      <c r="K41" s="7">
        <f>IFERROR(ROUND(AVERAGEIFS(Datos!$G$2:$G$27777,Datos!$E$2:$E$27777,$A41,Datos!$B$2:$B$27777,12,Datos!$C$2:$C$27777,"&gt;=30",Datos!$F$2:$F$27777,"STANDBY"),0),"")</f>
        <v/>
      </c>
      <c r="L41" s="7">
        <f>IFERROR(ROUND(AVERAGEIFS(Datos!$G$2:$G$27777,Datos!$E$2:$E$27777,$A41,Datos!$B$2:$B$27777,13,Datos!$C$2:$C$27777,"&lt;30",Datos!$F$2:$F$27777,"STANDBY"),0),"")</f>
        <v/>
      </c>
      <c r="M41" s="7">
        <f>IFERROR(ROUND(AVERAGEIFS(Datos!$G$2:$G$27777,Datos!$E$2:$E$27777,$A41,Datos!$B$2:$B$27777,13,Datos!$C$2:$C$27777,"&gt;=30",Datos!$F$2:$F$27777,"STANDBY"),0),"")</f>
        <v/>
      </c>
      <c r="N41" s="7">
        <f>IFERROR(ROUND(AVERAGEIFS(Datos!$G$2:$G$27777,Datos!$E$2:$E$27777,$A41,Datos!$B$2:$B$27777,14,Datos!$C$2:$C$27777,"&lt;30",Datos!$F$2:$F$27777,"STANDBY"),0),"")</f>
        <v/>
      </c>
      <c r="O41" s="7">
        <f>IFERROR(ROUND(AVERAGEIFS(Datos!$G$2:$G$27777,Datos!$E$2:$E$27777,$A41,Datos!$B$2:$B$27777,14,Datos!$C$2:$C$27777,"&gt;=30",Datos!$F$2:$F$27777,"STANDBY"),0),"")</f>
        <v/>
      </c>
      <c r="P41" s="7">
        <f>IFERROR(ROUND(AVERAGEIFS(Datos!$G$2:$G$27777,Datos!$E$2:$E$27777,$A41,Datos!$B$2:$B$27777,15,Datos!$C$2:$C$27777,"&lt;30",Datos!$F$2:$F$27777,"STANDBY"),0),"")</f>
        <v/>
      </c>
      <c r="Q41" s="7">
        <f>IFERROR(ROUND(AVERAGEIFS(Datos!$G$2:$G$27777,Datos!$E$2:$E$27777,$A41,Datos!$B$2:$B$27777,15,Datos!$C$2:$C$27777,"&gt;=30",Datos!$F$2:$F$27777,"STANDBY"),0),"")</f>
        <v/>
      </c>
      <c r="R41" s="7">
        <f>IFERROR(ROUND(AVERAGEIFS(Datos!$G$2:$G$27777,Datos!$E$2:$E$27777,$A41,Datos!$B$2:$B$27777,16,Datos!$C$2:$C$27777,"&lt;30",Datos!$F$2:$F$27777,"STANDBY"),0),"")</f>
        <v/>
      </c>
      <c r="S41" s="7">
        <f>IFERROR(ROUND(AVERAGEIFS(Datos!$G$2:$G$27777,Datos!$E$2:$E$27777,$A41,Datos!$B$2:$B$27777,16,Datos!$C$2:$C$27777,"&gt;=30",Datos!$F$2:$F$27777,"STANDBY"),0),"")</f>
        <v/>
      </c>
      <c r="T41" s="7">
        <f>IFERROR(ROUND(AVERAGEIFS(Datos!$G$2:$G$27777,Datos!$E$2:$E$27777,$A41,Datos!$B$2:$B$27777,17,Datos!$C$2:$C$27777,"&lt;30",Datos!$F$2:$F$27777,"STANDBY"),0),"")</f>
        <v/>
      </c>
      <c r="U41" s="7">
        <f>IFERROR(ROUND(AVERAGEIFS(Datos!$G$2:$G$27777,Datos!$E$2:$E$27777,$A41,Datos!$B$2:$B$27777,17,Datos!$C$2:$C$27777,"&gt;=30",Datos!$F$2:$F$27777,"STANDBY"),0),"")</f>
        <v/>
      </c>
      <c r="V41" s="7">
        <f>IFERROR(ROUND(AVERAGEIFS(Datos!$G$2:$G$27777,Datos!$E$2:$E$27777,$A41,Datos!$B$2:$B$27777,18,Datos!$C$2:$C$27777,"&lt;30",Datos!$F$2:$F$27777,"STANDBY"),0),"")</f>
        <v/>
      </c>
      <c r="W41" s="7">
        <f>IFERROR(ROUND(AVERAGEIFS(Datos!$G$2:$G$27777,Datos!$E$2:$E$27777,$A41,Datos!$B$2:$B$27777,18,Datos!$C$2:$C$27777,"&gt;=30",Datos!$F$2:$F$27777,"STANDBY"),0),"")</f>
        <v/>
      </c>
      <c r="X41" s="7">
        <f>IFERROR(ROUND(AVERAGEIFS(Datos!$G$2:$G$27777,Datos!$E$2:$E$27777,$A41,Datos!$B$2:$B$27777,19,Datos!$C$2:$C$27777,"&lt;30",Datos!$F$2:$F$27777,"STANDBY"),0),"")</f>
        <v/>
      </c>
      <c r="Y41" s="7">
        <f>IFERROR(ROUND(AVERAGEIFS(Datos!$G$2:$G$27777,Datos!$E$2:$E$27777,$A41,Datos!$B$2:$B$27777,19,Datos!$C$2:$C$27777,"&gt;=30",Datos!$F$2:$F$27777,"STANDBY"),0),"")</f>
        <v/>
      </c>
      <c r="Z41" s="7">
        <f>IFERROR(ROUND(AVERAGEIFS(Datos!$G$2:$G$27777,Datos!$E$2:$E$27777,$A41,Datos!$B$2:$B$27777,20,Datos!$C$2:$C$27777,"&lt;30",Datos!$F$2:$F$27777,"STANDBY"),0),"")</f>
        <v/>
      </c>
      <c r="AA41" s="7">
        <f>IFERROR(ROUND(AVERAGEIFS(Datos!$G$2:$G$27777,Datos!$E$2:$E$27777,$A41,Datos!$B$2:$B$27777,20,Datos!$C$2:$C$27777,"&gt;=30",Datos!$F$2:$F$27777,"STANDBY"),0),"")</f>
        <v/>
      </c>
      <c r="AB41" s="7">
        <f>IFERROR(ROUND(AVERAGEIFS(Datos!$G$2:$G$27777,Datos!$E$2:$E$27777,$A41,Datos!$B$2:$B$27777,21,Datos!$C$2:$C$27777,"&lt;30",Datos!$F$2:$F$27777,"STANDBY"),0),"")</f>
        <v/>
      </c>
      <c r="AC41" s="7">
        <f>IFERROR(ROUND(AVERAGEIFS(Datos!$G$2:$G$27777,Datos!$E$2:$E$27777,$A41,Datos!$B$2:$B$27777,21,Datos!$C$2:$C$27777,"&gt;=30",Datos!$F$2:$F$27777,"STANDBY"),0),"")</f>
        <v/>
      </c>
      <c r="AD41" s="7">
        <f>IFERROR(ROUND(AVERAGEIFS(Datos!$G$2:$G$27777,Datos!$E$2:$E$27777,$A41,Datos!$B$2:$B$27777,22,Datos!$C$2:$C$27777,"&lt;30",Datos!$F$2:$F$27777,"STANDBY"),0),"")</f>
        <v/>
      </c>
      <c r="AE41" s="7">
        <f>IFERROR(ROUND(AVERAGEIFS(Datos!$G$2:$G$27777,Datos!$E$2:$E$27777,$A41,Datos!$B$2:$B$27777,22,Datos!$C$2:$C$27777,"&gt;=30",Datos!$F$2:$F$27777,"STANDBY"),0),"")</f>
        <v/>
      </c>
      <c r="AF41" s="7">
        <f>IFERROR(ROUND(AVERAGEIFS(Datos!$G$2:$G$27777,Datos!$E$2:$E$27777,$A41,Datos!$B$2:$B$27777,23,Datos!$C$2:$C$27777,"&lt;30",Datos!$F$2:$F$27777,"STANDBY"),0),"")</f>
        <v/>
      </c>
      <c r="AG41" s="7">
        <f>IFERROR(ROUND(AVERAGEIFS(Datos!$G$2:$G$27777,Datos!$E$2:$E$27777,$A41,Datos!$B$2:$B$27777,23,Datos!$C$2:$C$27777,"&gt;=30",Datos!$F$2:$F$27777,"STANDBY"),0),"")</f>
        <v/>
      </c>
    </row>
    <row r="42">
      <c r="A42" s="6" t="inlineStr">
        <is>
          <t>La Tanière du Dragon</t>
        </is>
      </c>
      <c r="B42" s="7">
        <f>IFERROR(ROUND(AVERAGEIFS(Datos!$G$2:$G$27777,Datos!$E$2:$E$27777,$A42,Datos!$B$2:$B$27777,8,Datos!$C$2:$C$27777,"&lt;30",Datos!$F$2:$F$27777,"STANDBY"),0),"")</f>
        <v/>
      </c>
      <c r="C42" s="7">
        <f>IFERROR(ROUND(AVERAGEIFS(Datos!$G$2:$G$27777,Datos!$E$2:$E$27777,$A42,Datos!$B$2:$B$27777,8,Datos!$C$2:$C$27777,"&gt;=30",Datos!$F$2:$F$27777,"STANDBY"),0),"")</f>
        <v/>
      </c>
      <c r="D42" s="7">
        <f>IFERROR(ROUND(AVERAGEIFS(Datos!$G$2:$G$27777,Datos!$E$2:$E$27777,$A42,Datos!$B$2:$B$27777,9,Datos!$C$2:$C$27777,"&lt;30",Datos!$F$2:$F$27777,"STANDBY"),0),"")</f>
        <v/>
      </c>
      <c r="E42" s="7">
        <f>IFERROR(ROUND(AVERAGEIFS(Datos!$G$2:$G$27777,Datos!$E$2:$E$27777,$A42,Datos!$B$2:$B$27777,9,Datos!$C$2:$C$27777,"&gt;=30",Datos!$F$2:$F$27777,"STANDBY"),0),"")</f>
        <v/>
      </c>
      <c r="F42" s="7">
        <f>IFERROR(ROUND(AVERAGEIFS(Datos!$G$2:$G$27777,Datos!$E$2:$E$27777,$A42,Datos!$B$2:$B$27777,10,Datos!$C$2:$C$27777,"&lt;30",Datos!$F$2:$F$27777,"STANDBY"),0),"")</f>
        <v/>
      </c>
      <c r="G42" s="7">
        <f>IFERROR(ROUND(AVERAGEIFS(Datos!$G$2:$G$27777,Datos!$E$2:$E$27777,$A42,Datos!$B$2:$B$27777,10,Datos!$C$2:$C$27777,"&gt;=30",Datos!$F$2:$F$27777,"STANDBY"),0),"")</f>
        <v/>
      </c>
      <c r="H42" s="7">
        <f>IFERROR(ROUND(AVERAGEIFS(Datos!$G$2:$G$27777,Datos!$E$2:$E$27777,$A42,Datos!$B$2:$B$27777,11,Datos!$C$2:$C$27777,"&lt;30",Datos!$F$2:$F$27777,"STANDBY"),0),"")</f>
        <v/>
      </c>
      <c r="I42" s="7">
        <f>IFERROR(ROUND(AVERAGEIFS(Datos!$G$2:$G$27777,Datos!$E$2:$E$27777,$A42,Datos!$B$2:$B$27777,11,Datos!$C$2:$C$27777,"&gt;=30",Datos!$F$2:$F$27777,"STANDBY"),0),"")</f>
        <v/>
      </c>
      <c r="J42" s="7">
        <f>IFERROR(ROUND(AVERAGEIFS(Datos!$G$2:$G$27777,Datos!$E$2:$E$27777,$A42,Datos!$B$2:$B$27777,12,Datos!$C$2:$C$27777,"&lt;30",Datos!$F$2:$F$27777,"STANDBY"),0),"")</f>
        <v/>
      </c>
      <c r="K42" s="7">
        <f>IFERROR(ROUND(AVERAGEIFS(Datos!$G$2:$G$27777,Datos!$E$2:$E$27777,$A42,Datos!$B$2:$B$27777,12,Datos!$C$2:$C$27777,"&gt;=30",Datos!$F$2:$F$27777,"STANDBY"),0),"")</f>
        <v/>
      </c>
      <c r="L42" s="7">
        <f>IFERROR(ROUND(AVERAGEIFS(Datos!$G$2:$G$27777,Datos!$E$2:$E$27777,$A42,Datos!$B$2:$B$27777,13,Datos!$C$2:$C$27777,"&lt;30",Datos!$F$2:$F$27777,"STANDBY"),0),"")</f>
        <v/>
      </c>
      <c r="M42" s="7">
        <f>IFERROR(ROUND(AVERAGEIFS(Datos!$G$2:$G$27777,Datos!$E$2:$E$27777,$A42,Datos!$B$2:$B$27777,13,Datos!$C$2:$C$27777,"&gt;=30",Datos!$F$2:$F$27777,"STANDBY"),0),"")</f>
        <v/>
      </c>
      <c r="N42" s="7">
        <f>IFERROR(ROUND(AVERAGEIFS(Datos!$G$2:$G$27777,Datos!$E$2:$E$27777,$A42,Datos!$B$2:$B$27777,14,Datos!$C$2:$C$27777,"&lt;30",Datos!$F$2:$F$27777,"STANDBY"),0),"")</f>
        <v/>
      </c>
      <c r="O42" s="7">
        <f>IFERROR(ROUND(AVERAGEIFS(Datos!$G$2:$G$27777,Datos!$E$2:$E$27777,$A42,Datos!$B$2:$B$27777,14,Datos!$C$2:$C$27777,"&gt;=30",Datos!$F$2:$F$27777,"STANDBY"),0),"")</f>
        <v/>
      </c>
      <c r="P42" s="7">
        <f>IFERROR(ROUND(AVERAGEIFS(Datos!$G$2:$G$27777,Datos!$E$2:$E$27777,$A42,Datos!$B$2:$B$27777,15,Datos!$C$2:$C$27777,"&lt;30",Datos!$F$2:$F$27777,"STANDBY"),0),"")</f>
        <v/>
      </c>
      <c r="Q42" s="7">
        <f>IFERROR(ROUND(AVERAGEIFS(Datos!$G$2:$G$27777,Datos!$E$2:$E$27777,$A42,Datos!$B$2:$B$27777,15,Datos!$C$2:$C$27777,"&gt;=30",Datos!$F$2:$F$27777,"STANDBY"),0),"")</f>
        <v/>
      </c>
      <c r="R42" s="7">
        <f>IFERROR(ROUND(AVERAGEIFS(Datos!$G$2:$G$27777,Datos!$E$2:$E$27777,$A42,Datos!$B$2:$B$27777,16,Datos!$C$2:$C$27777,"&lt;30",Datos!$F$2:$F$27777,"STANDBY"),0),"")</f>
        <v/>
      </c>
      <c r="S42" s="7">
        <f>IFERROR(ROUND(AVERAGEIFS(Datos!$G$2:$G$27777,Datos!$E$2:$E$27777,$A42,Datos!$B$2:$B$27777,16,Datos!$C$2:$C$27777,"&gt;=30",Datos!$F$2:$F$27777,"STANDBY"),0),"")</f>
        <v/>
      </c>
      <c r="T42" s="7">
        <f>IFERROR(ROUND(AVERAGEIFS(Datos!$G$2:$G$27777,Datos!$E$2:$E$27777,$A42,Datos!$B$2:$B$27777,17,Datos!$C$2:$C$27777,"&lt;30",Datos!$F$2:$F$27777,"STANDBY"),0),"")</f>
        <v/>
      </c>
      <c r="U42" s="7">
        <f>IFERROR(ROUND(AVERAGEIFS(Datos!$G$2:$G$27777,Datos!$E$2:$E$27777,$A42,Datos!$B$2:$B$27777,17,Datos!$C$2:$C$27777,"&gt;=30",Datos!$F$2:$F$27777,"STANDBY"),0),"")</f>
        <v/>
      </c>
      <c r="V42" s="7">
        <f>IFERROR(ROUND(AVERAGEIFS(Datos!$G$2:$G$27777,Datos!$E$2:$E$27777,$A42,Datos!$B$2:$B$27777,18,Datos!$C$2:$C$27777,"&lt;30",Datos!$F$2:$F$27777,"STANDBY"),0),"")</f>
        <v/>
      </c>
      <c r="W42" s="7">
        <f>IFERROR(ROUND(AVERAGEIFS(Datos!$G$2:$G$27777,Datos!$E$2:$E$27777,$A42,Datos!$B$2:$B$27777,18,Datos!$C$2:$C$27777,"&gt;=30",Datos!$F$2:$F$27777,"STANDBY"),0),"")</f>
        <v/>
      </c>
      <c r="X42" s="7">
        <f>IFERROR(ROUND(AVERAGEIFS(Datos!$G$2:$G$27777,Datos!$E$2:$E$27777,$A42,Datos!$B$2:$B$27777,19,Datos!$C$2:$C$27777,"&lt;30",Datos!$F$2:$F$27777,"STANDBY"),0),"")</f>
        <v/>
      </c>
      <c r="Y42" s="7">
        <f>IFERROR(ROUND(AVERAGEIFS(Datos!$G$2:$G$27777,Datos!$E$2:$E$27777,$A42,Datos!$B$2:$B$27777,19,Datos!$C$2:$C$27777,"&gt;=30",Datos!$F$2:$F$27777,"STANDBY"),0),"")</f>
        <v/>
      </c>
      <c r="Z42" s="7">
        <f>IFERROR(ROUND(AVERAGEIFS(Datos!$G$2:$G$27777,Datos!$E$2:$E$27777,$A42,Datos!$B$2:$B$27777,20,Datos!$C$2:$C$27777,"&lt;30",Datos!$F$2:$F$27777,"STANDBY"),0),"")</f>
        <v/>
      </c>
      <c r="AA42" s="7">
        <f>IFERROR(ROUND(AVERAGEIFS(Datos!$G$2:$G$27777,Datos!$E$2:$E$27777,$A42,Datos!$B$2:$B$27777,20,Datos!$C$2:$C$27777,"&gt;=30",Datos!$F$2:$F$27777,"STANDBY"),0),"")</f>
        <v/>
      </c>
      <c r="AB42" s="7">
        <f>IFERROR(ROUND(AVERAGEIFS(Datos!$G$2:$G$27777,Datos!$E$2:$E$27777,$A42,Datos!$B$2:$B$27777,21,Datos!$C$2:$C$27777,"&lt;30",Datos!$F$2:$F$27777,"STANDBY"),0),"")</f>
        <v/>
      </c>
      <c r="AC42" s="7">
        <f>IFERROR(ROUND(AVERAGEIFS(Datos!$G$2:$G$27777,Datos!$E$2:$E$27777,$A42,Datos!$B$2:$B$27777,21,Datos!$C$2:$C$27777,"&gt;=30",Datos!$F$2:$F$27777,"STANDBY"),0),"")</f>
        <v/>
      </c>
      <c r="AD42" s="7">
        <f>IFERROR(ROUND(AVERAGEIFS(Datos!$G$2:$G$27777,Datos!$E$2:$E$27777,$A42,Datos!$B$2:$B$27777,22,Datos!$C$2:$C$27777,"&lt;30",Datos!$F$2:$F$27777,"STANDBY"),0),"")</f>
        <v/>
      </c>
      <c r="AE42" s="7">
        <f>IFERROR(ROUND(AVERAGEIFS(Datos!$G$2:$G$27777,Datos!$E$2:$E$27777,$A42,Datos!$B$2:$B$27777,22,Datos!$C$2:$C$27777,"&gt;=30",Datos!$F$2:$F$27777,"STANDBY"),0),"")</f>
        <v/>
      </c>
      <c r="AF42" s="7">
        <f>IFERROR(ROUND(AVERAGEIFS(Datos!$G$2:$G$27777,Datos!$E$2:$E$27777,$A42,Datos!$B$2:$B$27777,23,Datos!$C$2:$C$27777,"&lt;30",Datos!$F$2:$F$27777,"STANDBY"),0),"")</f>
        <v/>
      </c>
      <c r="AG42" s="7">
        <f>IFERROR(ROUND(AVERAGEIFS(Datos!$G$2:$G$27777,Datos!$E$2:$E$27777,$A42,Datos!$B$2:$B$27777,23,Datos!$C$2:$C$27777,"&gt;=30",Datos!$F$2:$F$27777,"STANDBY"),0),"")</f>
        <v/>
      </c>
    </row>
    <row r="43">
      <c r="A43" s="6" t="inlineStr">
        <is>
          <t>Le Carrousel de Lancelot</t>
        </is>
      </c>
      <c r="B43" s="7">
        <f>IFERROR(ROUND(AVERAGEIFS(Datos!$G$2:$G$27777,Datos!$E$2:$E$27777,$A43,Datos!$B$2:$B$27777,8,Datos!$C$2:$C$27777,"&lt;30",Datos!$F$2:$F$27777,"STANDBY"),0),"")</f>
        <v/>
      </c>
      <c r="C43" s="7">
        <f>IFERROR(ROUND(AVERAGEIFS(Datos!$G$2:$G$27777,Datos!$E$2:$E$27777,$A43,Datos!$B$2:$B$27777,8,Datos!$C$2:$C$27777,"&gt;=30",Datos!$F$2:$F$27777,"STANDBY"),0),"")</f>
        <v/>
      </c>
      <c r="D43" s="7">
        <f>IFERROR(ROUND(AVERAGEIFS(Datos!$G$2:$G$27777,Datos!$E$2:$E$27777,$A43,Datos!$B$2:$B$27777,9,Datos!$C$2:$C$27777,"&lt;30",Datos!$F$2:$F$27777,"STANDBY"),0),"")</f>
        <v/>
      </c>
      <c r="E43" s="7">
        <f>IFERROR(ROUND(AVERAGEIFS(Datos!$G$2:$G$27777,Datos!$E$2:$E$27777,$A43,Datos!$B$2:$B$27777,9,Datos!$C$2:$C$27777,"&gt;=30",Datos!$F$2:$F$27777,"STANDBY"),0),"")</f>
        <v/>
      </c>
      <c r="F43" s="7">
        <f>IFERROR(ROUND(AVERAGEIFS(Datos!$G$2:$G$27777,Datos!$E$2:$E$27777,$A43,Datos!$B$2:$B$27777,10,Datos!$C$2:$C$27777,"&lt;30",Datos!$F$2:$F$27777,"STANDBY"),0),"")</f>
        <v/>
      </c>
      <c r="G43" s="7">
        <f>IFERROR(ROUND(AVERAGEIFS(Datos!$G$2:$G$27777,Datos!$E$2:$E$27777,$A43,Datos!$B$2:$B$27777,10,Datos!$C$2:$C$27777,"&gt;=30",Datos!$F$2:$F$27777,"STANDBY"),0),"")</f>
        <v/>
      </c>
      <c r="H43" s="7">
        <f>IFERROR(ROUND(AVERAGEIFS(Datos!$G$2:$G$27777,Datos!$E$2:$E$27777,$A43,Datos!$B$2:$B$27777,11,Datos!$C$2:$C$27777,"&lt;30",Datos!$F$2:$F$27777,"STANDBY"),0),"")</f>
        <v/>
      </c>
      <c r="I43" s="7">
        <f>IFERROR(ROUND(AVERAGEIFS(Datos!$G$2:$G$27777,Datos!$E$2:$E$27777,$A43,Datos!$B$2:$B$27777,11,Datos!$C$2:$C$27777,"&gt;=30",Datos!$F$2:$F$27777,"STANDBY"),0),"")</f>
        <v/>
      </c>
      <c r="J43" s="7">
        <f>IFERROR(ROUND(AVERAGEIFS(Datos!$G$2:$G$27777,Datos!$E$2:$E$27777,$A43,Datos!$B$2:$B$27777,12,Datos!$C$2:$C$27777,"&lt;30",Datos!$F$2:$F$27777,"STANDBY"),0),"")</f>
        <v/>
      </c>
      <c r="K43" s="7">
        <f>IFERROR(ROUND(AVERAGEIFS(Datos!$G$2:$G$27777,Datos!$E$2:$E$27777,$A43,Datos!$B$2:$B$27777,12,Datos!$C$2:$C$27777,"&gt;=30",Datos!$F$2:$F$27777,"STANDBY"),0),"")</f>
        <v/>
      </c>
      <c r="L43" s="7">
        <f>IFERROR(ROUND(AVERAGEIFS(Datos!$G$2:$G$27777,Datos!$E$2:$E$27777,$A43,Datos!$B$2:$B$27777,13,Datos!$C$2:$C$27777,"&lt;30",Datos!$F$2:$F$27777,"STANDBY"),0),"")</f>
        <v/>
      </c>
      <c r="M43" s="7">
        <f>IFERROR(ROUND(AVERAGEIFS(Datos!$G$2:$G$27777,Datos!$E$2:$E$27777,$A43,Datos!$B$2:$B$27777,13,Datos!$C$2:$C$27777,"&gt;=30",Datos!$F$2:$F$27777,"STANDBY"),0),"")</f>
        <v/>
      </c>
      <c r="N43" s="7">
        <f>IFERROR(ROUND(AVERAGEIFS(Datos!$G$2:$G$27777,Datos!$E$2:$E$27777,$A43,Datos!$B$2:$B$27777,14,Datos!$C$2:$C$27777,"&lt;30",Datos!$F$2:$F$27777,"STANDBY"),0),"")</f>
        <v/>
      </c>
      <c r="O43" s="7">
        <f>IFERROR(ROUND(AVERAGEIFS(Datos!$G$2:$G$27777,Datos!$E$2:$E$27777,$A43,Datos!$B$2:$B$27777,14,Datos!$C$2:$C$27777,"&gt;=30",Datos!$F$2:$F$27777,"STANDBY"),0),"")</f>
        <v/>
      </c>
      <c r="P43" s="7">
        <f>IFERROR(ROUND(AVERAGEIFS(Datos!$G$2:$G$27777,Datos!$E$2:$E$27777,$A43,Datos!$B$2:$B$27777,15,Datos!$C$2:$C$27777,"&lt;30",Datos!$F$2:$F$27777,"STANDBY"),0),"")</f>
        <v/>
      </c>
      <c r="Q43" s="7">
        <f>IFERROR(ROUND(AVERAGEIFS(Datos!$G$2:$G$27777,Datos!$E$2:$E$27777,$A43,Datos!$B$2:$B$27777,15,Datos!$C$2:$C$27777,"&gt;=30",Datos!$F$2:$F$27777,"STANDBY"),0),"")</f>
        <v/>
      </c>
      <c r="R43" s="7">
        <f>IFERROR(ROUND(AVERAGEIFS(Datos!$G$2:$G$27777,Datos!$E$2:$E$27777,$A43,Datos!$B$2:$B$27777,16,Datos!$C$2:$C$27777,"&lt;30",Datos!$F$2:$F$27777,"STANDBY"),0),"")</f>
        <v/>
      </c>
      <c r="S43" s="7">
        <f>IFERROR(ROUND(AVERAGEIFS(Datos!$G$2:$G$27777,Datos!$E$2:$E$27777,$A43,Datos!$B$2:$B$27777,16,Datos!$C$2:$C$27777,"&gt;=30",Datos!$F$2:$F$27777,"STANDBY"),0),"")</f>
        <v/>
      </c>
      <c r="T43" s="7">
        <f>IFERROR(ROUND(AVERAGEIFS(Datos!$G$2:$G$27777,Datos!$E$2:$E$27777,$A43,Datos!$B$2:$B$27777,17,Datos!$C$2:$C$27777,"&lt;30",Datos!$F$2:$F$27777,"STANDBY"),0),"")</f>
        <v/>
      </c>
      <c r="U43" s="7">
        <f>IFERROR(ROUND(AVERAGEIFS(Datos!$G$2:$G$27777,Datos!$E$2:$E$27777,$A43,Datos!$B$2:$B$27777,17,Datos!$C$2:$C$27777,"&gt;=30",Datos!$F$2:$F$27777,"STANDBY"),0),"")</f>
        <v/>
      </c>
      <c r="V43" s="7">
        <f>IFERROR(ROUND(AVERAGEIFS(Datos!$G$2:$G$27777,Datos!$E$2:$E$27777,$A43,Datos!$B$2:$B$27777,18,Datos!$C$2:$C$27777,"&lt;30",Datos!$F$2:$F$27777,"STANDBY"),0),"")</f>
        <v/>
      </c>
      <c r="W43" s="7">
        <f>IFERROR(ROUND(AVERAGEIFS(Datos!$G$2:$G$27777,Datos!$E$2:$E$27777,$A43,Datos!$B$2:$B$27777,18,Datos!$C$2:$C$27777,"&gt;=30",Datos!$F$2:$F$27777,"STANDBY"),0),"")</f>
        <v/>
      </c>
      <c r="X43" s="7">
        <f>IFERROR(ROUND(AVERAGEIFS(Datos!$G$2:$G$27777,Datos!$E$2:$E$27777,$A43,Datos!$B$2:$B$27777,19,Datos!$C$2:$C$27777,"&lt;30",Datos!$F$2:$F$27777,"STANDBY"),0),"")</f>
        <v/>
      </c>
      <c r="Y43" s="7">
        <f>IFERROR(ROUND(AVERAGEIFS(Datos!$G$2:$G$27777,Datos!$E$2:$E$27777,$A43,Datos!$B$2:$B$27777,19,Datos!$C$2:$C$27777,"&gt;=30",Datos!$F$2:$F$27777,"STANDBY"),0),"")</f>
        <v/>
      </c>
      <c r="Z43" s="7">
        <f>IFERROR(ROUND(AVERAGEIFS(Datos!$G$2:$G$27777,Datos!$E$2:$E$27777,$A43,Datos!$B$2:$B$27777,20,Datos!$C$2:$C$27777,"&lt;30",Datos!$F$2:$F$27777,"STANDBY"),0),"")</f>
        <v/>
      </c>
      <c r="AA43" s="7">
        <f>IFERROR(ROUND(AVERAGEIFS(Datos!$G$2:$G$27777,Datos!$E$2:$E$27777,$A43,Datos!$B$2:$B$27777,20,Datos!$C$2:$C$27777,"&gt;=30",Datos!$F$2:$F$27777,"STANDBY"),0),"")</f>
        <v/>
      </c>
      <c r="AB43" s="7">
        <f>IFERROR(ROUND(AVERAGEIFS(Datos!$G$2:$G$27777,Datos!$E$2:$E$27777,$A43,Datos!$B$2:$B$27777,21,Datos!$C$2:$C$27777,"&lt;30",Datos!$F$2:$F$27777,"STANDBY"),0),"")</f>
        <v/>
      </c>
      <c r="AC43" s="7">
        <f>IFERROR(ROUND(AVERAGEIFS(Datos!$G$2:$G$27777,Datos!$E$2:$E$27777,$A43,Datos!$B$2:$B$27777,21,Datos!$C$2:$C$27777,"&gt;=30",Datos!$F$2:$F$27777,"STANDBY"),0),"")</f>
        <v/>
      </c>
      <c r="AD43" s="7">
        <f>IFERROR(ROUND(AVERAGEIFS(Datos!$G$2:$G$27777,Datos!$E$2:$E$27777,$A43,Datos!$B$2:$B$27777,22,Datos!$C$2:$C$27777,"&lt;30",Datos!$F$2:$F$27777,"STANDBY"),0),"")</f>
        <v/>
      </c>
      <c r="AE43" s="7">
        <f>IFERROR(ROUND(AVERAGEIFS(Datos!$G$2:$G$27777,Datos!$E$2:$E$27777,$A43,Datos!$B$2:$B$27777,22,Datos!$C$2:$C$27777,"&gt;=30",Datos!$F$2:$F$27777,"STANDBY"),0),"")</f>
        <v/>
      </c>
      <c r="AF43" s="7">
        <f>IFERROR(ROUND(AVERAGEIFS(Datos!$G$2:$G$27777,Datos!$E$2:$E$27777,$A43,Datos!$B$2:$B$27777,23,Datos!$C$2:$C$27777,"&lt;30",Datos!$F$2:$F$27777,"STANDBY"),0),"")</f>
        <v/>
      </c>
      <c r="AG43" s="7">
        <f>IFERROR(ROUND(AVERAGEIFS(Datos!$G$2:$G$27777,Datos!$E$2:$E$27777,$A43,Datos!$B$2:$B$27777,23,Datos!$C$2:$C$27777,"&gt;=30",Datos!$F$2:$F$27777,"STANDBY"),0),"")</f>
        <v/>
      </c>
    </row>
    <row r="44">
      <c r="A44" s="6" t="inlineStr">
        <is>
          <t>Le Passage Enchanté d'Aladdin</t>
        </is>
      </c>
      <c r="B44" s="7">
        <f>IFERROR(ROUND(AVERAGEIFS(Datos!$G$2:$G$27777,Datos!$E$2:$E$27777,$A44,Datos!$B$2:$B$27777,8,Datos!$C$2:$C$27777,"&lt;30",Datos!$F$2:$F$27777,"STANDBY"),0),"")</f>
        <v/>
      </c>
      <c r="C44" s="7">
        <f>IFERROR(ROUND(AVERAGEIFS(Datos!$G$2:$G$27777,Datos!$E$2:$E$27777,$A44,Datos!$B$2:$B$27777,8,Datos!$C$2:$C$27777,"&gt;=30",Datos!$F$2:$F$27777,"STANDBY"),0),"")</f>
        <v/>
      </c>
      <c r="D44" s="7">
        <f>IFERROR(ROUND(AVERAGEIFS(Datos!$G$2:$G$27777,Datos!$E$2:$E$27777,$A44,Datos!$B$2:$B$27777,9,Datos!$C$2:$C$27777,"&lt;30",Datos!$F$2:$F$27777,"STANDBY"),0),"")</f>
        <v/>
      </c>
      <c r="E44" s="7">
        <f>IFERROR(ROUND(AVERAGEIFS(Datos!$G$2:$G$27777,Datos!$E$2:$E$27777,$A44,Datos!$B$2:$B$27777,9,Datos!$C$2:$C$27777,"&gt;=30",Datos!$F$2:$F$27777,"STANDBY"),0),"")</f>
        <v/>
      </c>
      <c r="F44" s="7">
        <f>IFERROR(ROUND(AVERAGEIFS(Datos!$G$2:$G$27777,Datos!$E$2:$E$27777,$A44,Datos!$B$2:$B$27777,10,Datos!$C$2:$C$27777,"&lt;30",Datos!$F$2:$F$27777,"STANDBY"),0),"")</f>
        <v/>
      </c>
      <c r="G44" s="7">
        <f>IFERROR(ROUND(AVERAGEIFS(Datos!$G$2:$G$27777,Datos!$E$2:$E$27777,$A44,Datos!$B$2:$B$27777,10,Datos!$C$2:$C$27777,"&gt;=30",Datos!$F$2:$F$27777,"STANDBY"),0),"")</f>
        <v/>
      </c>
      <c r="H44" s="7">
        <f>IFERROR(ROUND(AVERAGEIFS(Datos!$G$2:$G$27777,Datos!$E$2:$E$27777,$A44,Datos!$B$2:$B$27777,11,Datos!$C$2:$C$27777,"&lt;30",Datos!$F$2:$F$27777,"STANDBY"),0),"")</f>
        <v/>
      </c>
      <c r="I44" s="7">
        <f>IFERROR(ROUND(AVERAGEIFS(Datos!$G$2:$G$27777,Datos!$E$2:$E$27777,$A44,Datos!$B$2:$B$27777,11,Datos!$C$2:$C$27777,"&gt;=30",Datos!$F$2:$F$27777,"STANDBY"),0),"")</f>
        <v/>
      </c>
      <c r="J44" s="7">
        <f>IFERROR(ROUND(AVERAGEIFS(Datos!$G$2:$G$27777,Datos!$E$2:$E$27777,$A44,Datos!$B$2:$B$27777,12,Datos!$C$2:$C$27777,"&lt;30",Datos!$F$2:$F$27777,"STANDBY"),0),"")</f>
        <v/>
      </c>
      <c r="K44" s="7">
        <f>IFERROR(ROUND(AVERAGEIFS(Datos!$G$2:$G$27777,Datos!$E$2:$E$27777,$A44,Datos!$B$2:$B$27777,12,Datos!$C$2:$C$27777,"&gt;=30",Datos!$F$2:$F$27777,"STANDBY"),0),"")</f>
        <v/>
      </c>
      <c r="L44" s="7">
        <f>IFERROR(ROUND(AVERAGEIFS(Datos!$G$2:$G$27777,Datos!$E$2:$E$27777,$A44,Datos!$B$2:$B$27777,13,Datos!$C$2:$C$27777,"&lt;30",Datos!$F$2:$F$27777,"STANDBY"),0),"")</f>
        <v/>
      </c>
      <c r="M44" s="7">
        <f>IFERROR(ROUND(AVERAGEIFS(Datos!$G$2:$G$27777,Datos!$E$2:$E$27777,$A44,Datos!$B$2:$B$27777,13,Datos!$C$2:$C$27777,"&gt;=30",Datos!$F$2:$F$27777,"STANDBY"),0),"")</f>
        <v/>
      </c>
      <c r="N44" s="7">
        <f>IFERROR(ROUND(AVERAGEIFS(Datos!$G$2:$G$27777,Datos!$E$2:$E$27777,$A44,Datos!$B$2:$B$27777,14,Datos!$C$2:$C$27777,"&lt;30",Datos!$F$2:$F$27777,"STANDBY"),0),"")</f>
        <v/>
      </c>
      <c r="O44" s="7">
        <f>IFERROR(ROUND(AVERAGEIFS(Datos!$G$2:$G$27777,Datos!$E$2:$E$27777,$A44,Datos!$B$2:$B$27777,14,Datos!$C$2:$C$27777,"&gt;=30",Datos!$F$2:$F$27777,"STANDBY"),0),"")</f>
        <v/>
      </c>
      <c r="P44" s="7">
        <f>IFERROR(ROUND(AVERAGEIFS(Datos!$G$2:$G$27777,Datos!$E$2:$E$27777,$A44,Datos!$B$2:$B$27777,15,Datos!$C$2:$C$27777,"&lt;30",Datos!$F$2:$F$27777,"STANDBY"),0),"")</f>
        <v/>
      </c>
      <c r="Q44" s="7">
        <f>IFERROR(ROUND(AVERAGEIFS(Datos!$G$2:$G$27777,Datos!$E$2:$E$27777,$A44,Datos!$B$2:$B$27777,15,Datos!$C$2:$C$27777,"&gt;=30",Datos!$F$2:$F$27777,"STANDBY"),0),"")</f>
        <v/>
      </c>
      <c r="R44" s="7">
        <f>IFERROR(ROUND(AVERAGEIFS(Datos!$G$2:$G$27777,Datos!$E$2:$E$27777,$A44,Datos!$B$2:$B$27777,16,Datos!$C$2:$C$27777,"&lt;30",Datos!$F$2:$F$27777,"STANDBY"),0),"")</f>
        <v/>
      </c>
      <c r="S44" s="7">
        <f>IFERROR(ROUND(AVERAGEIFS(Datos!$G$2:$G$27777,Datos!$E$2:$E$27777,$A44,Datos!$B$2:$B$27777,16,Datos!$C$2:$C$27777,"&gt;=30",Datos!$F$2:$F$27777,"STANDBY"),0),"")</f>
        <v/>
      </c>
      <c r="T44" s="7">
        <f>IFERROR(ROUND(AVERAGEIFS(Datos!$G$2:$G$27777,Datos!$E$2:$E$27777,$A44,Datos!$B$2:$B$27777,17,Datos!$C$2:$C$27777,"&lt;30",Datos!$F$2:$F$27777,"STANDBY"),0),"")</f>
        <v/>
      </c>
      <c r="U44" s="7">
        <f>IFERROR(ROUND(AVERAGEIFS(Datos!$G$2:$G$27777,Datos!$E$2:$E$27777,$A44,Datos!$B$2:$B$27777,17,Datos!$C$2:$C$27777,"&gt;=30",Datos!$F$2:$F$27777,"STANDBY"),0),"")</f>
        <v/>
      </c>
      <c r="V44" s="7">
        <f>IFERROR(ROUND(AVERAGEIFS(Datos!$G$2:$G$27777,Datos!$E$2:$E$27777,$A44,Datos!$B$2:$B$27777,18,Datos!$C$2:$C$27777,"&lt;30",Datos!$F$2:$F$27777,"STANDBY"),0),"")</f>
        <v/>
      </c>
      <c r="W44" s="7">
        <f>IFERROR(ROUND(AVERAGEIFS(Datos!$G$2:$G$27777,Datos!$E$2:$E$27777,$A44,Datos!$B$2:$B$27777,18,Datos!$C$2:$C$27777,"&gt;=30",Datos!$F$2:$F$27777,"STANDBY"),0),"")</f>
        <v/>
      </c>
      <c r="X44" s="7">
        <f>IFERROR(ROUND(AVERAGEIFS(Datos!$G$2:$G$27777,Datos!$E$2:$E$27777,$A44,Datos!$B$2:$B$27777,19,Datos!$C$2:$C$27777,"&lt;30",Datos!$F$2:$F$27777,"STANDBY"),0),"")</f>
        <v/>
      </c>
      <c r="Y44" s="7">
        <f>IFERROR(ROUND(AVERAGEIFS(Datos!$G$2:$G$27777,Datos!$E$2:$E$27777,$A44,Datos!$B$2:$B$27777,19,Datos!$C$2:$C$27777,"&gt;=30",Datos!$F$2:$F$27777,"STANDBY"),0),"")</f>
        <v/>
      </c>
      <c r="Z44" s="7">
        <f>IFERROR(ROUND(AVERAGEIFS(Datos!$G$2:$G$27777,Datos!$E$2:$E$27777,$A44,Datos!$B$2:$B$27777,20,Datos!$C$2:$C$27777,"&lt;30",Datos!$F$2:$F$27777,"STANDBY"),0),"")</f>
        <v/>
      </c>
      <c r="AA44" s="7">
        <f>IFERROR(ROUND(AVERAGEIFS(Datos!$G$2:$G$27777,Datos!$E$2:$E$27777,$A44,Datos!$B$2:$B$27777,20,Datos!$C$2:$C$27777,"&gt;=30",Datos!$F$2:$F$27777,"STANDBY"),0),"")</f>
        <v/>
      </c>
      <c r="AB44" s="7">
        <f>IFERROR(ROUND(AVERAGEIFS(Datos!$G$2:$G$27777,Datos!$E$2:$E$27777,$A44,Datos!$B$2:$B$27777,21,Datos!$C$2:$C$27777,"&lt;30",Datos!$F$2:$F$27777,"STANDBY"),0),"")</f>
        <v/>
      </c>
      <c r="AC44" s="7">
        <f>IFERROR(ROUND(AVERAGEIFS(Datos!$G$2:$G$27777,Datos!$E$2:$E$27777,$A44,Datos!$B$2:$B$27777,21,Datos!$C$2:$C$27777,"&gt;=30",Datos!$F$2:$F$27777,"STANDBY"),0),"")</f>
        <v/>
      </c>
      <c r="AD44" s="7">
        <f>IFERROR(ROUND(AVERAGEIFS(Datos!$G$2:$G$27777,Datos!$E$2:$E$27777,$A44,Datos!$B$2:$B$27777,22,Datos!$C$2:$C$27777,"&lt;30",Datos!$F$2:$F$27777,"STANDBY"),0),"")</f>
        <v/>
      </c>
      <c r="AE44" s="7">
        <f>IFERROR(ROUND(AVERAGEIFS(Datos!$G$2:$G$27777,Datos!$E$2:$E$27777,$A44,Datos!$B$2:$B$27777,22,Datos!$C$2:$C$27777,"&gt;=30",Datos!$F$2:$F$27777,"STANDBY"),0),"")</f>
        <v/>
      </c>
      <c r="AF44" s="7">
        <f>IFERROR(ROUND(AVERAGEIFS(Datos!$G$2:$G$27777,Datos!$E$2:$E$27777,$A44,Datos!$B$2:$B$27777,23,Datos!$C$2:$C$27777,"&lt;30",Datos!$F$2:$F$27777,"STANDBY"),0),"")</f>
        <v/>
      </c>
      <c r="AG44" s="7">
        <f>IFERROR(ROUND(AVERAGEIFS(Datos!$G$2:$G$27777,Datos!$E$2:$E$27777,$A44,Datos!$B$2:$B$27777,23,Datos!$C$2:$C$27777,"&gt;=30",Datos!$F$2:$F$27777,"STANDBY"),0),"")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IFERROR(ROUND(AVERAGEIFS(Datos!$G$2:$G$27777,Datos!$E$2:$E$27777,$A45,Datos!$B$2:$B$27777,8,Datos!$C$2:$C$27777,"&lt;30",Datos!$F$2:$F$27777,"STANDBY"),0),"")</f>
        <v/>
      </c>
      <c r="C45" s="7">
        <f>IFERROR(ROUND(AVERAGEIFS(Datos!$G$2:$G$27777,Datos!$E$2:$E$27777,$A45,Datos!$B$2:$B$27777,8,Datos!$C$2:$C$27777,"&gt;=30",Datos!$F$2:$F$27777,"STANDBY"),0),"")</f>
        <v/>
      </c>
      <c r="D45" s="7">
        <f>IFERROR(ROUND(AVERAGEIFS(Datos!$G$2:$G$27777,Datos!$E$2:$E$27777,$A45,Datos!$B$2:$B$27777,9,Datos!$C$2:$C$27777,"&lt;30",Datos!$F$2:$F$27777,"STANDBY"),0),"")</f>
        <v/>
      </c>
      <c r="E45" s="7">
        <f>IFERROR(ROUND(AVERAGEIFS(Datos!$G$2:$G$27777,Datos!$E$2:$E$27777,$A45,Datos!$B$2:$B$27777,9,Datos!$C$2:$C$27777,"&gt;=30",Datos!$F$2:$F$27777,"STANDBY"),0),"")</f>
        <v/>
      </c>
      <c r="F45" s="7">
        <f>IFERROR(ROUND(AVERAGEIFS(Datos!$G$2:$G$27777,Datos!$E$2:$E$27777,$A45,Datos!$B$2:$B$27777,10,Datos!$C$2:$C$27777,"&lt;30",Datos!$F$2:$F$27777,"STANDBY"),0),"")</f>
        <v/>
      </c>
      <c r="G45" s="7">
        <f>IFERROR(ROUND(AVERAGEIFS(Datos!$G$2:$G$27777,Datos!$E$2:$E$27777,$A45,Datos!$B$2:$B$27777,10,Datos!$C$2:$C$27777,"&gt;=30",Datos!$F$2:$F$27777,"STANDBY"),0),"")</f>
        <v/>
      </c>
      <c r="H45" s="7">
        <f>IFERROR(ROUND(AVERAGEIFS(Datos!$G$2:$G$27777,Datos!$E$2:$E$27777,$A45,Datos!$B$2:$B$27777,11,Datos!$C$2:$C$27777,"&lt;30",Datos!$F$2:$F$27777,"STANDBY"),0),"")</f>
        <v/>
      </c>
      <c r="I45" s="7">
        <f>IFERROR(ROUND(AVERAGEIFS(Datos!$G$2:$G$27777,Datos!$E$2:$E$27777,$A45,Datos!$B$2:$B$27777,11,Datos!$C$2:$C$27777,"&gt;=30",Datos!$F$2:$F$27777,"STANDBY"),0),"")</f>
        <v/>
      </c>
      <c r="J45" s="7">
        <f>IFERROR(ROUND(AVERAGEIFS(Datos!$G$2:$G$27777,Datos!$E$2:$E$27777,$A45,Datos!$B$2:$B$27777,12,Datos!$C$2:$C$27777,"&lt;30",Datos!$F$2:$F$27777,"STANDBY"),0),"")</f>
        <v/>
      </c>
      <c r="K45" s="7">
        <f>IFERROR(ROUND(AVERAGEIFS(Datos!$G$2:$G$27777,Datos!$E$2:$E$27777,$A45,Datos!$B$2:$B$27777,12,Datos!$C$2:$C$27777,"&gt;=30",Datos!$F$2:$F$27777,"STANDBY"),0),"")</f>
        <v/>
      </c>
      <c r="L45" s="7">
        <f>IFERROR(ROUND(AVERAGEIFS(Datos!$G$2:$G$27777,Datos!$E$2:$E$27777,$A45,Datos!$B$2:$B$27777,13,Datos!$C$2:$C$27777,"&lt;30",Datos!$F$2:$F$27777,"STANDBY"),0),"")</f>
        <v/>
      </c>
      <c r="M45" s="7">
        <f>IFERROR(ROUND(AVERAGEIFS(Datos!$G$2:$G$27777,Datos!$E$2:$E$27777,$A45,Datos!$B$2:$B$27777,13,Datos!$C$2:$C$27777,"&gt;=30",Datos!$F$2:$F$27777,"STANDBY"),0),"")</f>
        <v/>
      </c>
      <c r="N45" s="7">
        <f>IFERROR(ROUND(AVERAGEIFS(Datos!$G$2:$G$27777,Datos!$E$2:$E$27777,$A45,Datos!$B$2:$B$27777,14,Datos!$C$2:$C$27777,"&lt;30",Datos!$F$2:$F$27777,"STANDBY"),0),"")</f>
        <v/>
      </c>
      <c r="O45" s="7">
        <f>IFERROR(ROUND(AVERAGEIFS(Datos!$G$2:$G$27777,Datos!$E$2:$E$27777,$A45,Datos!$B$2:$B$27777,14,Datos!$C$2:$C$27777,"&gt;=30",Datos!$F$2:$F$27777,"STANDBY"),0),"")</f>
        <v/>
      </c>
      <c r="P45" s="7">
        <f>IFERROR(ROUND(AVERAGEIFS(Datos!$G$2:$G$27777,Datos!$E$2:$E$27777,$A45,Datos!$B$2:$B$27777,15,Datos!$C$2:$C$27777,"&lt;30",Datos!$F$2:$F$27777,"STANDBY"),0),"")</f>
        <v/>
      </c>
      <c r="Q45" s="7">
        <f>IFERROR(ROUND(AVERAGEIFS(Datos!$G$2:$G$27777,Datos!$E$2:$E$27777,$A45,Datos!$B$2:$B$27777,15,Datos!$C$2:$C$27777,"&gt;=30",Datos!$F$2:$F$27777,"STANDBY"),0),"")</f>
        <v/>
      </c>
      <c r="R45" s="7">
        <f>IFERROR(ROUND(AVERAGEIFS(Datos!$G$2:$G$27777,Datos!$E$2:$E$27777,$A45,Datos!$B$2:$B$27777,16,Datos!$C$2:$C$27777,"&lt;30",Datos!$F$2:$F$27777,"STANDBY"),0),"")</f>
        <v/>
      </c>
      <c r="S45" s="7">
        <f>IFERROR(ROUND(AVERAGEIFS(Datos!$G$2:$G$27777,Datos!$E$2:$E$27777,$A45,Datos!$B$2:$B$27777,16,Datos!$C$2:$C$27777,"&gt;=30",Datos!$F$2:$F$27777,"STANDBY"),0),"")</f>
        <v/>
      </c>
      <c r="T45" s="7">
        <f>IFERROR(ROUND(AVERAGEIFS(Datos!$G$2:$G$27777,Datos!$E$2:$E$27777,$A45,Datos!$B$2:$B$27777,17,Datos!$C$2:$C$27777,"&lt;30",Datos!$F$2:$F$27777,"STANDBY"),0),"")</f>
        <v/>
      </c>
      <c r="U45" s="7">
        <f>IFERROR(ROUND(AVERAGEIFS(Datos!$G$2:$G$27777,Datos!$E$2:$E$27777,$A45,Datos!$B$2:$B$27777,17,Datos!$C$2:$C$27777,"&gt;=30",Datos!$F$2:$F$27777,"STANDBY"),0),"")</f>
        <v/>
      </c>
      <c r="V45" s="7">
        <f>IFERROR(ROUND(AVERAGEIFS(Datos!$G$2:$G$27777,Datos!$E$2:$E$27777,$A45,Datos!$B$2:$B$27777,18,Datos!$C$2:$C$27777,"&lt;30",Datos!$F$2:$F$27777,"STANDBY"),0),"")</f>
        <v/>
      </c>
      <c r="W45" s="7">
        <f>IFERROR(ROUND(AVERAGEIFS(Datos!$G$2:$G$27777,Datos!$E$2:$E$27777,$A45,Datos!$B$2:$B$27777,18,Datos!$C$2:$C$27777,"&gt;=30",Datos!$F$2:$F$27777,"STANDBY"),0),"")</f>
        <v/>
      </c>
      <c r="X45" s="7">
        <f>IFERROR(ROUND(AVERAGEIFS(Datos!$G$2:$G$27777,Datos!$E$2:$E$27777,$A45,Datos!$B$2:$B$27777,19,Datos!$C$2:$C$27777,"&lt;30",Datos!$F$2:$F$27777,"STANDBY"),0),"")</f>
        <v/>
      </c>
      <c r="Y45" s="7">
        <f>IFERROR(ROUND(AVERAGEIFS(Datos!$G$2:$G$27777,Datos!$E$2:$E$27777,$A45,Datos!$B$2:$B$27777,19,Datos!$C$2:$C$27777,"&gt;=30",Datos!$F$2:$F$27777,"STANDBY"),0),"")</f>
        <v/>
      </c>
      <c r="Z45" s="7">
        <f>IFERROR(ROUND(AVERAGEIFS(Datos!$G$2:$G$27777,Datos!$E$2:$E$27777,$A45,Datos!$B$2:$B$27777,20,Datos!$C$2:$C$27777,"&lt;30",Datos!$F$2:$F$27777,"STANDBY"),0),"")</f>
        <v/>
      </c>
      <c r="AA45" s="7">
        <f>IFERROR(ROUND(AVERAGEIFS(Datos!$G$2:$G$27777,Datos!$E$2:$E$27777,$A45,Datos!$B$2:$B$27777,20,Datos!$C$2:$C$27777,"&gt;=30",Datos!$F$2:$F$27777,"STANDBY"),0),"")</f>
        <v/>
      </c>
      <c r="AB45" s="7">
        <f>IFERROR(ROUND(AVERAGEIFS(Datos!$G$2:$G$27777,Datos!$E$2:$E$27777,$A45,Datos!$B$2:$B$27777,21,Datos!$C$2:$C$27777,"&lt;30",Datos!$F$2:$F$27777,"STANDBY"),0),"")</f>
        <v/>
      </c>
      <c r="AC45" s="7">
        <f>IFERROR(ROUND(AVERAGEIFS(Datos!$G$2:$G$27777,Datos!$E$2:$E$27777,$A45,Datos!$B$2:$B$27777,21,Datos!$C$2:$C$27777,"&gt;=30",Datos!$F$2:$F$27777,"STANDBY"),0),"")</f>
        <v/>
      </c>
      <c r="AD45" s="7">
        <f>IFERROR(ROUND(AVERAGEIFS(Datos!$G$2:$G$27777,Datos!$E$2:$E$27777,$A45,Datos!$B$2:$B$27777,22,Datos!$C$2:$C$27777,"&lt;30",Datos!$F$2:$F$27777,"STANDBY"),0),"")</f>
        <v/>
      </c>
      <c r="AE45" s="7">
        <f>IFERROR(ROUND(AVERAGEIFS(Datos!$G$2:$G$27777,Datos!$E$2:$E$27777,$A45,Datos!$B$2:$B$27777,22,Datos!$C$2:$C$27777,"&gt;=30",Datos!$F$2:$F$27777,"STANDBY"),0),"")</f>
        <v/>
      </c>
      <c r="AF45" s="7">
        <f>IFERROR(ROUND(AVERAGEIFS(Datos!$G$2:$G$27777,Datos!$E$2:$E$27777,$A45,Datos!$B$2:$B$27777,23,Datos!$C$2:$C$27777,"&lt;30",Datos!$F$2:$F$27777,"STANDBY"),0),"")</f>
        <v/>
      </c>
      <c r="AG45" s="7">
        <f>IFERROR(ROUND(AVERAGEIFS(Datos!$G$2:$G$27777,Datos!$E$2:$E$27777,$A45,Datos!$B$2:$B$27777,23,Datos!$C$2:$C$27777,"&gt;=30",Datos!$F$2:$F$27777,"STANDBY"),0),"")</f>
        <v/>
      </c>
    </row>
    <row r="46">
      <c r="A46" s="6" t="inlineStr">
        <is>
          <t>Les Mystères du Nautilus</t>
        </is>
      </c>
      <c r="B46" s="7">
        <f>IFERROR(ROUND(AVERAGEIFS(Datos!$G$2:$G$27777,Datos!$E$2:$E$27777,$A46,Datos!$B$2:$B$27777,8,Datos!$C$2:$C$27777,"&lt;30",Datos!$F$2:$F$27777,"STANDBY"),0),"")</f>
        <v/>
      </c>
      <c r="C46" s="7">
        <f>IFERROR(ROUND(AVERAGEIFS(Datos!$G$2:$G$27777,Datos!$E$2:$E$27777,$A46,Datos!$B$2:$B$27777,8,Datos!$C$2:$C$27777,"&gt;=30",Datos!$F$2:$F$27777,"STANDBY"),0),"")</f>
        <v/>
      </c>
      <c r="D46" s="7">
        <f>IFERROR(ROUND(AVERAGEIFS(Datos!$G$2:$G$27777,Datos!$E$2:$E$27777,$A46,Datos!$B$2:$B$27777,9,Datos!$C$2:$C$27777,"&lt;30",Datos!$F$2:$F$27777,"STANDBY"),0),"")</f>
        <v/>
      </c>
      <c r="E46" s="7">
        <f>IFERROR(ROUND(AVERAGEIFS(Datos!$G$2:$G$27777,Datos!$E$2:$E$27777,$A46,Datos!$B$2:$B$27777,9,Datos!$C$2:$C$27777,"&gt;=30",Datos!$F$2:$F$27777,"STANDBY"),0),"")</f>
        <v/>
      </c>
      <c r="F46" s="7">
        <f>IFERROR(ROUND(AVERAGEIFS(Datos!$G$2:$G$27777,Datos!$E$2:$E$27777,$A46,Datos!$B$2:$B$27777,10,Datos!$C$2:$C$27777,"&lt;30",Datos!$F$2:$F$27777,"STANDBY"),0),"")</f>
        <v/>
      </c>
      <c r="G46" s="7">
        <f>IFERROR(ROUND(AVERAGEIFS(Datos!$G$2:$G$27777,Datos!$E$2:$E$27777,$A46,Datos!$B$2:$B$27777,10,Datos!$C$2:$C$27777,"&gt;=30",Datos!$F$2:$F$27777,"STANDBY"),0),"")</f>
        <v/>
      </c>
      <c r="H46" s="7">
        <f>IFERROR(ROUND(AVERAGEIFS(Datos!$G$2:$G$27777,Datos!$E$2:$E$27777,$A46,Datos!$B$2:$B$27777,11,Datos!$C$2:$C$27777,"&lt;30",Datos!$F$2:$F$27777,"STANDBY"),0),"")</f>
        <v/>
      </c>
      <c r="I46" s="7">
        <f>IFERROR(ROUND(AVERAGEIFS(Datos!$G$2:$G$27777,Datos!$E$2:$E$27777,$A46,Datos!$B$2:$B$27777,11,Datos!$C$2:$C$27777,"&gt;=30",Datos!$F$2:$F$27777,"STANDBY"),0),"")</f>
        <v/>
      </c>
      <c r="J46" s="7">
        <f>IFERROR(ROUND(AVERAGEIFS(Datos!$G$2:$G$27777,Datos!$E$2:$E$27777,$A46,Datos!$B$2:$B$27777,12,Datos!$C$2:$C$27777,"&lt;30",Datos!$F$2:$F$27777,"STANDBY"),0),"")</f>
        <v/>
      </c>
      <c r="K46" s="7">
        <f>IFERROR(ROUND(AVERAGEIFS(Datos!$G$2:$G$27777,Datos!$E$2:$E$27777,$A46,Datos!$B$2:$B$27777,12,Datos!$C$2:$C$27777,"&gt;=30",Datos!$F$2:$F$27777,"STANDBY"),0),"")</f>
        <v/>
      </c>
      <c r="L46" s="7">
        <f>IFERROR(ROUND(AVERAGEIFS(Datos!$G$2:$G$27777,Datos!$E$2:$E$27777,$A46,Datos!$B$2:$B$27777,13,Datos!$C$2:$C$27777,"&lt;30",Datos!$F$2:$F$27777,"STANDBY"),0),"")</f>
        <v/>
      </c>
      <c r="M46" s="7">
        <f>IFERROR(ROUND(AVERAGEIFS(Datos!$G$2:$G$27777,Datos!$E$2:$E$27777,$A46,Datos!$B$2:$B$27777,13,Datos!$C$2:$C$27777,"&gt;=30",Datos!$F$2:$F$27777,"STANDBY"),0),"")</f>
        <v/>
      </c>
      <c r="N46" s="7">
        <f>IFERROR(ROUND(AVERAGEIFS(Datos!$G$2:$G$27777,Datos!$E$2:$E$27777,$A46,Datos!$B$2:$B$27777,14,Datos!$C$2:$C$27777,"&lt;30",Datos!$F$2:$F$27777,"STANDBY"),0),"")</f>
        <v/>
      </c>
      <c r="O46" s="7">
        <f>IFERROR(ROUND(AVERAGEIFS(Datos!$G$2:$G$27777,Datos!$E$2:$E$27777,$A46,Datos!$B$2:$B$27777,14,Datos!$C$2:$C$27777,"&gt;=30",Datos!$F$2:$F$27777,"STANDBY"),0),"")</f>
        <v/>
      </c>
      <c r="P46" s="7">
        <f>IFERROR(ROUND(AVERAGEIFS(Datos!$G$2:$G$27777,Datos!$E$2:$E$27777,$A46,Datos!$B$2:$B$27777,15,Datos!$C$2:$C$27777,"&lt;30",Datos!$F$2:$F$27777,"STANDBY"),0),"")</f>
        <v/>
      </c>
      <c r="Q46" s="7">
        <f>IFERROR(ROUND(AVERAGEIFS(Datos!$G$2:$G$27777,Datos!$E$2:$E$27777,$A46,Datos!$B$2:$B$27777,15,Datos!$C$2:$C$27777,"&gt;=30",Datos!$F$2:$F$27777,"STANDBY"),0),"")</f>
        <v/>
      </c>
      <c r="R46" s="7">
        <f>IFERROR(ROUND(AVERAGEIFS(Datos!$G$2:$G$27777,Datos!$E$2:$E$27777,$A46,Datos!$B$2:$B$27777,16,Datos!$C$2:$C$27777,"&lt;30",Datos!$F$2:$F$27777,"STANDBY"),0),"")</f>
        <v/>
      </c>
      <c r="S46" s="7">
        <f>IFERROR(ROUND(AVERAGEIFS(Datos!$G$2:$G$27777,Datos!$E$2:$E$27777,$A46,Datos!$B$2:$B$27777,16,Datos!$C$2:$C$27777,"&gt;=30",Datos!$F$2:$F$27777,"STANDBY"),0),"")</f>
        <v/>
      </c>
      <c r="T46" s="7">
        <f>IFERROR(ROUND(AVERAGEIFS(Datos!$G$2:$G$27777,Datos!$E$2:$E$27777,$A46,Datos!$B$2:$B$27777,17,Datos!$C$2:$C$27777,"&lt;30",Datos!$F$2:$F$27777,"STANDBY"),0),"")</f>
        <v/>
      </c>
      <c r="U46" s="7">
        <f>IFERROR(ROUND(AVERAGEIFS(Datos!$G$2:$G$27777,Datos!$E$2:$E$27777,$A46,Datos!$B$2:$B$27777,17,Datos!$C$2:$C$27777,"&gt;=30",Datos!$F$2:$F$27777,"STANDBY"),0),"")</f>
        <v/>
      </c>
      <c r="V46" s="7">
        <f>IFERROR(ROUND(AVERAGEIFS(Datos!$G$2:$G$27777,Datos!$E$2:$E$27777,$A46,Datos!$B$2:$B$27777,18,Datos!$C$2:$C$27777,"&lt;30",Datos!$F$2:$F$27777,"STANDBY"),0),"")</f>
        <v/>
      </c>
      <c r="W46" s="7">
        <f>IFERROR(ROUND(AVERAGEIFS(Datos!$G$2:$G$27777,Datos!$E$2:$E$27777,$A46,Datos!$B$2:$B$27777,18,Datos!$C$2:$C$27777,"&gt;=30",Datos!$F$2:$F$27777,"STANDBY"),0),"")</f>
        <v/>
      </c>
      <c r="X46" s="7">
        <f>IFERROR(ROUND(AVERAGEIFS(Datos!$G$2:$G$27777,Datos!$E$2:$E$27777,$A46,Datos!$B$2:$B$27777,19,Datos!$C$2:$C$27777,"&lt;30",Datos!$F$2:$F$27777,"STANDBY"),0),"")</f>
        <v/>
      </c>
      <c r="Y46" s="7">
        <f>IFERROR(ROUND(AVERAGEIFS(Datos!$G$2:$G$27777,Datos!$E$2:$E$27777,$A46,Datos!$B$2:$B$27777,19,Datos!$C$2:$C$27777,"&gt;=30",Datos!$F$2:$F$27777,"STANDBY"),0),"")</f>
        <v/>
      </c>
      <c r="Z46" s="7">
        <f>IFERROR(ROUND(AVERAGEIFS(Datos!$G$2:$G$27777,Datos!$E$2:$E$27777,$A46,Datos!$B$2:$B$27777,20,Datos!$C$2:$C$27777,"&lt;30",Datos!$F$2:$F$27777,"STANDBY"),0),"")</f>
        <v/>
      </c>
      <c r="AA46" s="7">
        <f>IFERROR(ROUND(AVERAGEIFS(Datos!$G$2:$G$27777,Datos!$E$2:$E$27777,$A46,Datos!$B$2:$B$27777,20,Datos!$C$2:$C$27777,"&gt;=30",Datos!$F$2:$F$27777,"STANDBY"),0),"")</f>
        <v/>
      </c>
      <c r="AB46" s="7">
        <f>IFERROR(ROUND(AVERAGEIFS(Datos!$G$2:$G$27777,Datos!$E$2:$E$27777,$A46,Datos!$B$2:$B$27777,21,Datos!$C$2:$C$27777,"&lt;30",Datos!$F$2:$F$27777,"STANDBY"),0),"")</f>
        <v/>
      </c>
      <c r="AC46" s="7">
        <f>IFERROR(ROUND(AVERAGEIFS(Datos!$G$2:$G$27777,Datos!$E$2:$E$27777,$A46,Datos!$B$2:$B$27777,21,Datos!$C$2:$C$27777,"&gt;=30",Datos!$F$2:$F$27777,"STANDBY"),0),"")</f>
        <v/>
      </c>
      <c r="AD46" s="7">
        <f>IFERROR(ROUND(AVERAGEIFS(Datos!$G$2:$G$27777,Datos!$E$2:$E$27777,$A46,Datos!$B$2:$B$27777,22,Datos!$C$2:$C$27777,"&lt;30",Datos!$F$2:$F$27777,"STANDBY"),0),"")</f>
        <v/>
      </c>
      <c r="AE46" s="7">
        <f>IFERROR(ROUND(AVERAGEIFS(Datos!$G$2:$G$27777,Datos!$E$2:$E$27777,$A46,Datos!$B$2:$B$27777,22,Datos!$C$2:$C$27777,"&gt;=30",Datos!$F$2:$F$27777,"STANDBY"),0),"")</f>
        <v/>
      </c>
      <c r="AF46" s="7">
        <f>IFERROR(ROUND(AVERAGEIFS(Datos!$G$2:$G$27777,Datos!$E$2:$E$27777,$A46,Datos!$B$2:$B$27777,23,Datos!$C$2:$C$27777,"&lt;30",Datos!$F$2:$F$27777,"STANDBY"),0),"")</f>
        <v/>
      </c>
      <c r="AG46" s="7">
        <f>IFERROR(ROUND(AVERAGEIFS(Datos!$G$2:$G$27777,Datos!$E$2:$E$27777,$A46,Datos!$B$2:$B$27777,23,Datos!$C$2:$C$27777,"&gt;=30",Datos!$F$2:$F$27777,"STANDBY"),0),"")</f>
        <v/>
      </c>
    </row>
    <row r="47">
      <c r="A47" s="6" t="inlineStr">
        <is>
          <t>Les Voyages de Pinocchio</t>
        </is>
      </c>
      <c r="B47" s="7">
        <f>IFERROR(ROUND(AVERAGEIFS(Datos!$G$2:$G$27777,Datos!$E$2:$E$27777,$A47,Datos!$B$2:$B$27777,8,Datos!$C$2:$C$27777,"&lt;30",Datos!$F$2:$F$27777,"STANDBY"),0),"")</f>
        <v/>
      </c>
      <c r="C47" s="7">
        <f>IFERROR(ROUND(AVERAGEIFS(Datos!$G$2:$G$27777,Datos!$E$2:$E$27777,$A47,Datos!$B$2:$B$27777,8,Datos!$C$2:$C$27777,"&gt;=30",Datos!$F$2:$F$27777,"STANDBY"),0),"")</f>
        <v/>
      </c>
      <c r="D47" s="7">
        <f>IFERROR(ROUND(AVERAGEIFS(Datos!$G$2:$G$27777,Datos!$E$2:$E$27777,$A47,Datos!$B$2:$B$27777,9,Datos!$C$2:$C$27777,"&lt;30",Datos!$F$2:$F$27777,"STANDBY"),0),"")</f>
        <v/>
      </c>
      <c r="E47" s="7">
        <f>IFERROR(ROUND(AVERAGEIFS(Datos!$G$2:$G$27777,Datos!$E$2:$E$27777,$A47,Datos!$B$2:$B$27777,9,Datos!$C$2:$C$27777,"&gt;=30",Datos!$F$2:$F$27777,"STANDBY"),0),"")</f>
        <v/>
      </c>
      <c r="F47" s="7">
        <f>IFERROR(ROUND(AVERAGEIFS(Datos!$G$2:$G$27777,Datos!$E$2:$E$27777,$A47,Datos!$B$2:$B$27777,10,Datos!$C$2:$C$27777,"&lt;30",Datos!$F$2:$F$27777,"STANDBY"),0),"")</f>
        <v/>
      </c>
      <c r="G47" s="7">
        <f>IFERROR(ROUND(AVERAGEIFS(Datos!$G$2:$G$27777,Datos!$E$2:$E$27777,$A47,Datos!$B$2:$B$27777,10,Datos!$C$2:$C$27777,"&gt;=30",Datos!$F$2:$F$27777,"STANDBY"),0),"")</f>
        <v/>
      </c>
      <c r="H47" s="7">
        <f>IFERROR(ROUND(AVERAGEIFS(Datos!$G$2:$G$27777,Datos!$E$2:$E$27777,$A47,Datos!$B$2:$B$27777,11,Datos!$C$2:$C$27777,"&lt;30",Datos!$F$2:$F$27777,"STANDBY"),0),"")</f>
        <v/>
      </c>
      <c r="I47" s="7">
        <f>IFERROR(ROUND(AVERAGEIFS(Datos!$G$2:$G$27777,Datos!$E$2:$E$27777,$A47,Datos!$B$2:$B$27777,11,Datos!$C$2:$C$27777,"&gt;=30",Datos!$F$2:$F$27777,"STANDBY"),0),"")</f>
        <v/>
      </c>
      <c r="J47" s="7">
        <f>IFERROR(ROUND(AVERAGEIFS(Datos!$G$2:$G$27777,Datos!$E$2:$E$27777,$A47,Datos!$B$2:$B$27777,12,Datos!$C$2:$C$27777,"&lt;30",Datos!$F$2:$F$27777,"STANDBY"),0),"")</f>
        <v/>
      </c>
      <c r="K47" s="7">
        <f>IFERROR(ROUND(AVERAGEIFS(Datos!$G$2:$G$27777,Datos!$E$2:$E$27777,$A47,Datos!$B$2:$B$27777,12,Datos!$C$2:$C$27777,"&gt;=30",Datos!$F$2:$F$27777,"STANDBY"),0),"")</f>
        <v/>
      </c>
      <c r="L47" s="7">
        <f>IFERROR(ROUND(AVERAGEIFS(Datos!$G$2:$G$27777,Datos!$E$2:$E$27777,$A47,Datos!$B$2:$B$27777,13,Datos!$C$2:$C$27777,"&lt;30",Datos!$F$2:$F$27777,"STANDBY"),0),"")</f>
        <v/>
      </c>
      <c r="M47" s="7">
        <f>IFERROR(ROUND(AVERAGEIFS(Datos!$G$2:$G$27777,Datos!$E$2:$E$27777,$A47,Datos!$B$2:$B$27777,13,Datos!$C$2:$C$27777,"&gt;=30",Datos!$F$2:$F$27777,"STANDBY"),0),"")</f>
        <v/>
      </c>
      <c r="N47" s="7">
        <f>IFERROR(ROUND(AVERAGEIFS(Datos!$G$2:$G$27777,Datos!$E$2:$E$27777,$A47,Datos!$B$2:$B$27777,14,Datos!$C$2:$C$27777,"&lt;30",Datos!$F$2:$F$27777,"STANDBY"),0),"")</f>
        <v/>
      </c>
      <c r="O47" s="7">
        <f>IFERROR(ROUND(AVERAGEIFS(Datos!$G$2:$G$27777,Datos!$E$2:$E$27777,$A47,Datos!$B$2:$B$27777,14,Datos!$C$2:$C$27777,"&gt;=30",Datos!$F$2:$F$27777,"STANDBY"),0),"")</f>
        <v/>
      </c>
      <c r="P47" s="7">
        <f>IFERROR(ROUND(AVERAGEIFS(Datos!$G$2:$G$27777,Datos!$E$2:$E$27777,$A47,Datos!$B$2:$B$27777,15,Datos!$C$2:$C$27777,"&lt;30",Datos!$F$2:$F$27777,"STANDBY"),0),"")</f>
        <v/>
      </c>
      <c r="Q47" s="7">
        <f>IFERROR(ROUND(AVERAGEIFS(Datos!$G$2:$G$27777,Datos!$E$2:$E$27777,$A47,Datos!$B$2:$B$27777,15,Datos!$C$2:$C$27777,"&gt;=30",Datos!$F$2:$F$27777,"STANDBY"),0),"")</f>
        <v/>
      </c>
      <c r="R47" s="7">
        <f>IFERROR(ROUND(AVERAGEIFS(Datos!$G$2:$G$27777,Datos!$E$2:$E$27777,$A47,Datos!$B$2:$B$27777,16,Datos!$C$2:$C$27777,"&lt;30",Datos!$F$2:$F$27777,"STANDBY"),0),"")</f>
        <v/>
      </c>
      <c r="S47" s="7">
        <f>IFERROR(ROUND(AVERAGEIFS(Datos!$G$2:$G$27777,Datos!$E$2:$E$27777,$A47,Datos!$B$2:$B$27777,16,Datos!$C$2:$C$27777,"&gt;=30",Datos!$F$2:$F$27777,"STANDBY"),0),"")</f>
        <v/>
      </c>
      <c r="T47" s="7">
        <f>IFERROR(ROUND(AVERAGEIFS(Datos!$G$2:$G$27777,Datos!$E$2:$E$27777,$A47,Datos!$B$2:$B$27777,17,Datos!$C$2:$C$27777,"&lt;30",Datos!$F$2:$F$27777,"STANDBY"),0),"")</f>
        <v/>
      </c>
      <c r="U47" s="7">
        <f>IFERROR(ROUND(AVERAGEIFS(Datos!$G$2:$G$27777,Datos!$E$2:$E$27777,$A47,Datos!$B$2:$B$27777,17,Datos!$C$2:$C$27777,"&gt;=30",Datos!$F$2:$F$27777,"STANDBY"),0),"")</f>
        <v/>
      </c>
      <c r="V47" s="7">
        <f>IFERROR(ROUND(AVERAGEIFS(Datos!$G$2:$G$27777,Datos!$E$2:$E$27777,$A47,Datos!$B$2:$B$27777,18,Datos!$C$2:$C$27777,"&lt;30",Datos!$F$2:$F$27777,"STANDBY"),0),"")</f>
        <v/>
      </c>
      <c r="W47" s="7">
        <f>IFERROR(ROUND(AVERAGEIFS(Datos!$G$2:$G$27777,Datos!$E$2:$E$27777,$A47,Datos!$B$2:$B$27777,18,Datos!$C$2:$C$27777,"&gt;=30",Datos!$F$2:$F$27777,"STANDBY"),0),"")</f>
        <v/>
      </c>
      <c r="X47" s="7">
        <f>IFERROR(ROUND(AVERAGEIFS(Datos!$G$2:$G$27777,Datos!$E$2:$E$27777,$A47,Datos!$B$2:$B$27777,19,Datos!$C$2:$C$27777,"&lt;30",Datos!$F$2:$F$27777,"STANDBY"),0),"")</f>
        <v/>
      </c>
      <c r="Y47" s="7">
        <f>IFERROR(ROUND(AVERAGEIFS(Datos!$G$2:$G$27777,Datos!$E$2:$E$27777,$A47,Datos!$B$2:$B$27777,19,Datos!$C$2:$C$27777,"&gt;=30",Datos!$F$2:$F$27777,"STANDBY"),0),"")</f>
        <v/>
      </c>
      <c r="Z47" s="7">
        <f>IFERROR(ROUND(AVERAGEIFS(Datos!$G$2:$G$27777,Datos!$E$2:$E$27777,$A47,Datos!$B$2:$B$27777,20,Datos!$C$2:$C$27777,"&lt;30",Datos!$F$2:$F$27777,"STANDBY"),0),"")</f>
        <v/>
      </c>
      <c r="AA47" s="7">
        <f>IFERROR(ROUND(AVERAGEIFS(Datos!$G$2:$G$27777,Datos!$E$2:$E$27777,$A47,Datos!$B$2:$B$27777,20,Datos!$C$2:$C$27777,"&gt;=30",Datos!$F$2:$F$27777,"STANDBY"),0),"")</f>
        <v/>
      </c>
      <c r="AB47" s="7">
        <f>IFERROR(ROUND(AVERAGEIFS(Datos!$G$2:$G$27777,Datos!$E$2:$E$27777,$A47,Datos!$B$2:$B$27777,21,Datos!$C$2:$C$27777,"&lt;30",Datos!$F$2:$F$27777,"STANDBY"),0),"")</f>
        <v/>
      </c>
      <c r="AC47" s="7">
        <f>IFERROR(ROUND(AVERAGEIFS(Datos!$G$2:$G$27777,Datos!$E$2:$E$27777,$A47,Datos!$B$2:$B$27777,21,Datos!$C$2:$C$27777,"&gt;=30",Datos!$F$2:$F$27777,"STANDBY"),0),"")</f>
        <v/>
      </c>
      <c r="AD47" s="7">
        <f>IFERROR(ROUND(AVERAGEIFS(Datos!$G$2:$G$27777,Datos!$E$2:$E$27777,$A47,Datos!$B$2:$B$27777,22,Datos!$C$2:$C$27777,"&lt;30",Datos!$F$2:$F$27777,"STANDBY"),0),"")</f>
        <v/>
      </c>
      <c r="AE47" s="7">
        <f>IFERROR(ROUND(AVERAGEIFS(Datos!$G$2:$G$27777,Datos!$E$2:$E$27777,$A47,Datos!$B$2:$B$27777,22,Datos!$C$2:$C$27777,"&gt;=30",Datos!$F$2:$F$27777,"STANDBY"),0),"")</f>
        <v/>
      </c>
      <c r="AF47" s="7">
        <f>IFERROR(ROUND(AVERAGEIFS(Datos!$G$2:$G$27777,Datos!$E$2:$E$27777,$A47,Datos!$B$2:$B$27777,23,Datos!$C$2:$C$27777,"&lt;30",Datos!$F$2:$F$27777,"STANDBY"),0),"")</f>
        <v/>
      </c>
      <c r="AG47" s="7">
        <f>IFERROR(ROUND(AVERAGEIFS(Datos!$G$2:$G$27777,Datos!$E$2:$E$27777,$A47,Datos!$B$2:$B$27777,23,Datos!$C$2:$C$27777,"&gt;=30",Datos!$F$2:$F$27777,"STANDBY"),0),"")</f>
        <v/>
      </c>
    </row>
    <row r="48">
      <c r="A48" s="6" t="inlineStr">
        <is>
          <t>Mad Hatter's Tea Cups</t>
        </is>
      </c>
      <c r="B48" s="7">
        <f>IFERROR(ROUND(AVERAGEIFS(Datos!$G$2:$G$27777,Datos!$E$2:$E$27777,$A48,Datos!$B$2:$B$27777,8,Datos!$C$2:$C$27777,"&lt;30",Datos!$F$2:$F$27777,"STANDBY"),0),"")</f>
        <v/>
      </c>
      <c r="C48" s="7">
        <f>IFERROR(ROUND(AVERAGEIFS(Datos!$G$2:$G$27777,Datos!$E$2:$E$27777,$A48,Datos!$B$2:$B$27777,8,Datos!$C$2:$C$27777,"&gt;=30",Datos!$F$2:$F$27777,"STANDBY"),0),"")</f>
        <v/>
      </c>
      <c r="D48" s="7">
        <f>IFERROR(ROUND(AVERAGEIFS(Datos!$G$2:$G$27777,Datos!$E$2:$E$27777,$A48,Datos!$B$2:$B$27777,9,Datos!$C$2:$C$27777,"&lt;30",Datos!$F$2:$F$27777,"STANDBY"),0),"")</f>
        <v/>
      </c>
      <c r="E48" s="7">
        <f>IFERROR(ROUND(AVERAGEIFS(Datos!$G$2:$G$27777,Datos!$E$2:$E$27777,$A48,Datos!$B$2:$B$27777,9,Datos!$C$2:$C$27777,"&gt;=30",Datos!$F$2:$F$27777,"STANDBY"),0),"")</f>
        <v/>
      </c>
      <c r="F48" s="7">
        <f>IFERROR(ROUND(AVERAGEIFS(Datos!$G$2:$G$27777,Datos!$E$2:$E$27777,$A48,Datos!$B$2:$B$27777,10,Datos!$C$2:$C$27777,"&lt;30",Datos!$F$2:$F$27777,"STANDBY"),0),"")</f>
        <v/>
      </c>
      <c r="G48" s="7">
        <f>IFERROR(ROUND(AVERAGEIFS(Datos!$G$2:$G$27777,Datos!$E$2:$E$27777,$A48,Datos!$B$2:$B$27777,10,Datos!$C$2:$C$27777,"&gt;=30",Datos!$F$2:$F$27777,"STANDBY"),0),"")</f>
        <v/>
      </c>
      <c r="H48" s="7">
        <f>IFERROR(ROUND(AVERAGEIFS(Datos!$G$2:$G$27777,Datos!$E$2:$E$27777,$A48,Datos!$B$2:$B$27777,11,Datos!$C$2:$C$27777,"&lt;30",Datos!$F$2:$F$27777,"STANDBY"),0),"")</f>
        <v/>
      </c>
      <c r="I48" s="7">
        <f>IFERROR(ROUND(AVERAGEIFS(Datos!$G$2:$G$27777,Datos!$E$2:$E$27777,$A48,Datos!$B$2:$B$27777,11,Datos!$C$2:$C$27777,"&gt;=30",Datos!$F$2:$F$27777,"STANDBY"),0),"")</f>
        <v/>
      </c>
      <c r="J48" s="7">
        <f>IFERROR(ROUND(AVERAGEIFS(Datos!$G$2:$G$27777,Datos!$E$2:$E$27777,$A48,Datos!$B$2:$B$27777,12,Datos!$C$2:$C$27777,"&lt;30",Datos!$F$2:$F$27777,"STANDBY"),0),"")</f>
        <v/>
      </c>
      <c r="K48" s="7">
        <f>IFERROR(ROUND(AVERAGEIFS(Datos!$G$2:$G$27777,Datos!$E$2:$E$27777,$A48,Datos!$B$2:$B$27777,12,Datos!$C$2:$C$27777,"&gt;=30",Datos!$F$2:$F$27777,"STANDBY"),0),"")</f>
        <v/>
      </c>
      <c r="L48" s="7">
        <f>IFERROR(ROUND(AVERAGEIFS(Datos!$G$2:$G$27777,Datos!$E$2:$E$27777,$A48,Datos!$B$2:$B$27777,13,Datos!$C$2:$C$27777,"&lt;30",Datos!$F$2:$F$27777,"STANDBY"),0),"")</f>
        <v/>
      </c>
      <c r="M48" s="7">
        <f>IFERROR(ROUND(AVERAGEIFS(Datos!$G$2:$G$27777,Datos!$E$2:$E$27777,$A48,Datos!$B$2:$B$27777,13,Datos!$C$2:$C$27777,"&gt;=30",Datos!$F$2:$F$27777,"STANDBY"),0),"")</f>
        <v/>
      </c>
      <c r="N48" s="7">
        <f>IFERROR(ROUND(AVERAGEIFS(Datos!$G$2:$G$27777,Datos!$E$2:$E$27777,$A48,Datos!$B$2:$B$27777,14,Datos!$C$2:$C$27777,"&lt;30",Datos!$F$2:$F$27777,"STANDBY"),0),"")</f>
        <v/>
      </c>
      <c r="O48" s="7">
        <f>IFERROR(ROUND(AVERAGEIFS(Datos!$G$2:$G$27777,Datos!$E$2:$E$27777,$A48,Datos!$B$2:$B$27777,14,Datos!$C$2:$C$27777,"&gt;=30",Datos!$F$2:$F$27777,"STANDBY"),0),"")</f>
        <v/>
      </c>
      <c r="P48" s="7">
        <f>IFERROR(ROUND(AVERAGEIFS(Datos!$G$2:$G$27777,Datos!$E$2:$E$27777,$A48,Datos!$B$2:$B$27777,15,Datos!$C$2:$C$27777,"&lt;30",Datos!$F$2:$F$27777,"STANDBY"),0),"")</f>
        <v/>
      </c>
      <c r="Q48" s="7">
        <f>IFERROR(ROUND(AVERAGEIFS(Datos!$G$2:$G$27777,Datos!$E$2:$E$27777,$A48,Datos!$B$2:$B$27777,15,Datos!$C$2:$C$27777,"&gt;=30",Datos!$F$2:$F$27777,"STANDBY"),0),"")</f>
        <v/>
      </c>
      <c r="R48" s="7">
        <f>IFERROR(ROUND(AVERAGEIFS(Datos!$G$2:$G$27777,Datos!$E$2:$E$27777,$A48,Datos!$B$2:$B$27777,16,Datos!$C$2:$C$27777,"&lt;30",Datos!$F$2:$F$27777,"STANDBY"),0),"")</f>
        <v/>
      </c>
      <c r="S48" s="7">
        <f>IFERROR(ROUND(AVERAGEIFS(Datos!$G$2:$G$27777,Datos!$E$2:$E$27777,$A48,Datos!$B$2:$B$27777,16,Datos!$C$2:$C$27777,"&gt;=30",Datos!$F$2:$F$27777,"STANDBY"),0),"")</f>
        <v/>
      </c>
      <c r="T48" s="7">
        <f>IFERROR(ROUND(AVERAGEIFS(Datos!$G$2:$G$27777,Datos!$E$2:$E$27777,$A48,Datos!$B$2:$B$27777,17,Datos!$C$2:$C$27777,"&lt;30",Datos!$F$2:$F$27777,"STANDBY"),0),"")</f>
        <v/>
      </c>
      <c r="U48" s="7">
        <f>IFERROR(ROUND(AVERAGEIFS(Datos!$G$2:$G$27777,Datos!$E$2:$E$27777,$A48,Datos!$B$2:$B$27777,17,Datos!$C$2:$C$27777,"&gt;=30",Datos!$F$2:$F$27777,"STANDBY"),0),"")</f>
        <v/>
      </c>
      <c r="V48" s="7">
        <f>IFERROR(ROUND(AVERAGEIFS(Datos!$G$2:$G$27777,Datos!$E$2:$E$27777,$A48,Datos!$B$2:$B$27777,18,Datos!$C$2:$C$27777,"&lt;30",Datos!$F$2:$F$27777,"STANDBY"),0),"")</f>
        <v/>
      </c>
      <c r="W48" s="7">
        <f>IFERROR(ROUND(AVERAGEIFS(Datos!$G$2:$G$27777,Datos!$E$2:$E$27777,$A48,Datos!$B$2:$B$27777,18,Datos!$C$2:$C$27777,"&gt;=30",Datos!$F$2:$F$27777,"STANDBY"),0),"")</f>
        <v/>
      </c>
      <c r="X48" s="7">
        <f>IFERROR(ROUND(AVERAGEIFS(Datos!$G$2:$G$27777,Datos!$E$2:$E$27777,$A48,Datos!$B$2:$B$27777,19,Datos!$C$2:$C$27777,"&lt;30",Datos!$F$2:$F$27777,"STANDBY"),0),"")</f>
        <v/>
      </c>
      <c r="Y48" s="7">
        <f>IFERROR(ROUND(AVERAGEIFS(Datos!$G$2:$G$27777,Datos!$E$2:$E$27777,$A48,Datos!$B$2:$B$27777,19,Datos!$C$2:$C$27777,"&gt;=30",Datos!$F$2:$F$27777,"STANDBY"),0),"")</f>
        <v/>
      </c>
      <c r="Z48" s="7">
        <f>IFERROR(ROUND(AVERAGEIFS(Datos!$G$2:$G$27777,Datos!$E$2:$E$27777,$A48,Datos!$B$2:$B$27777,20,Datos!$C$2:$C$27777,"&lt;30",Datos!$F$2:$F$27777,"STANDBY"),0),"")</f>
        <v/>
      </c>
      <c r="AA48" s="7">
        <f>IFERROR(ROUND(AVERAGEIFS(Datos!$G$2:$G$27777,Datos!$E$2:$E$27777,$A48,Datos!$B$2:$B$27777,20,Datos!$C$2:$C$27777,"&gt;=30",Datos!$F$2:$F$27777,"STANDBY"),0),"")</f>
        <v/>
      </c>
      <c r="AB48" s="7">
        <f>IFERROR(ROUND(AVERAGEIFS(Datos!$G$2:$G$27777,Datos!$E$2:$E$27777,$A48,Datos!$B$2:$B$27777,21,Datos!$C$2:$C$27777,"&lt;30",Datos!$F$2:$F$27777,"STANDBY"),0),"")</f>
        <v/>
      </c>
      <c r="AC48" s="7">
        <f>IFERROR(ROUND(AVERAGEIFS(Datos!$G$2:$G$27777,Datos!$E$2:$E$27777,$A48,Datos!$B$2:$B$27777,21,Datos!$C$2:$C$27777,"&gt;=30",Datos!$F$2:$F$27777,"STANDBY"),0),"")</f>
        <v/>
      </c>
      <c r="AD48" s="7">
        <f>IFERROR(ROUND(AVERAGEIFS(Datos!$G$2:$G$27777,Datos!$E$2:$E$27777,$A48,Datos!$B$2:$B$27777,22,Datos!$C$2:$C$27777,"&lt;30",Datos!$F$2:$F$27777,"STANDBY"),0),"")</f>
        <v/>
      </c>
      <c r="AE48" s="7">
        <f>IFERROR(ROUND(AVERAGEIFS(Datos!$G$2:$G$27777,Datos!$E$2:$E$27777,$A48,Datos!$B$2:$B$27777,22,Datos!$C$2:$C$27777,"&gt;=30",Datos!$F$2:$F$27777,"STANDBY"),0),"")</f>
        <v/>
      </c>
      <c r="AF48" s="7">
        <f>IFERROR(ROUND(AVERAGEIFS(Datos!$G$2:$G$27777,Datos!$E$2:$E$27777,$A48,Datos!$B$2:$B$27777,23,Datos!$C$2:$C$27777,"&lt;30",Datos!$F$2:$F$27777,"STANDBY"),0),"")</f>
        <v/>
      </c>
      <c r="AG48" s="7">
        <f>IFERROR(ROUND(AVERAGEIFS(Datos!$G$2:$G$27777,Datos!$E$2:$E$27777,$A48,Datos!$B$2:$B$27777,23,Datos!$C$2:$C$27777,"&gt;=30",Datos!$F$2:$F$27777,"STANDBY"),0),"")</f>
        <v/>
      </c>
    </row>
    <row r="49">
      <c r="A49" s="6" t="inlineStr">
        <is>
          <t>Main Street Vehicles</t>
        </is>
      </c>
      <c r="B49" s="7">
        <f>IFERROR(ROUND(AVERAGEIFS(Datos!$G$2:$G$27777,Datos!$E$2:$E$27777,$A49,Datos!$B$2:$B$27777,8,Datos!$C$2:$C$27777,"&lt;30",Datos!$F$2:$F$27777,"STANDBY"),0),"")</f>
        <v/>
      </c>
      <c r="C49" s="7">
        <f>IFERROR(ROUND(AVERAGEIFS(Datos!$G$2:$G$27777,Datos!$E$2:$E$27777,$A49,Datos!$B$2:$B$27777,8,Datos!$C$2:$C$27777,"&gt;=30",Datos!$F$2:$F$27777,"STANDBY"),0),"")</f>
        <v/>
      </c>
      <c r="D49" s="7">
        <f>IFERROR(ROUND(AVERAGEIFS(Datos!$G$2:$G$27777,Datos!$E$2:$E$27777,$A49,Datos!$B$2:$B$27777,9,Datos!$C$2:$C$27777,"&lt;30",Datos!$F$2:$F$27777,"STANDBY"),0),"")</f>
        <v/>
      </c>
      <c r="E49" s="7">
        <f>IFERROR(ROUND(AVERAGEIFS(Datos!$G$2:$G$27777,Datos!$E$2:$E$27777,$A49,Datos!$B$2:$B$27777,9,Datos!$C$2:$C$27777,"&gt;=30",Datos!$F$2:$F$27777,"STANDBY"),0),"")</f>
        <v/>
      </c>
      <c r="F49" s="7">
        <f>IFERROR(ROUND(AVERAGEIFS(Datos!$G$2:$G$27777,Datos!$E$2:$E$27777,$A49,Datos!$B$2:$B$27777,10,Datos!$C$2:$C$27777,"&lt;30",Datos!$F$2:$F$27777,"STANDBY"),0),"")</f>
        <v/>
      </c>
      <c r="G49" s="7">
        <f>IFERROR(ROUND(AVERAGEIFS(Datos!$G$2:$G$27777,Datos!$E$2:$E$27777,$A49,Datos!$B$2:$B$27777,10,Datos!$C$2:$C$27777,"&gt;=30",Datos!$F$2:$F$27777,"STANDBY"),0),"")</f>
        <v/>
      </c>
      <c r="H49" s="7">
        <f>IFERROR(ROUND(AVERAGEIFS(Datos!$G$2:$G$27777,Datos!$E$2:$E$27777,$A49,Datos!$B$2:$B$27777,11,Datos!$C$2:$C$27777,"&lt;30",Datos!$F$2:$F$27777,"STANDBY"),0),"")</f>
        <v/>
      </c>
      <c r="I49" s="7">
        <f>IFERROR(ROUND(AVERAGEIFS(Datos!$G$2:$G$27777,Datos!$E$2:$E$27777,$A49,Datos!$B$2:$B$27777,11,Datos!$C$2:$C$27777,"&gt;=30",Datos!$F$2:$F$27777,"STANDBY"),0),"")</f>
        <v/>
      </c>
      <c r="J49" s="7">
        <f>IFERROR(ROUND(AVERAGEIFS(Datos!$G$2:$G$27777,Datos!$E$2:$E$27777,$A49,Datos!$B$2:$B$27777,12,Datos!$C$2:$C$27777,"&lt;30",Datos!$F$2:$F$27777,"STANDBY"),0),"")</f>
        <v/>
      </c>
      <c r="K49" s="7">
        <f>IFERROR(ROUND(AVERAGEIFS(Datos!$G$2:$G$27777,Datos!$E$2:$E$27777,$A49,Datos!$B$2:$B$27777,12,Datos!$C$2:$C$27777,"&gt;=30",Datos!$F$2:$F$27777,"STANDBY"),0),"")</f>
        <v/>
      </c>
      <c r="L49" s="7">
        <f>IFERROR(ROUND(AVERAGEIFS(Datos!$G$2:$G$27777,Datos!$E$2:$E$27777,$A49,Datos!$B$2:$B$27777,13,Datos!$C$2:$C$27777,"&lt;30",Datos!$F$2:$F$27777,"STANDBY"),0),"")</f>
        <v/>
      </c>
      <c r="M49" s="7">
        <f>IFERROR(ROUND(AVERAGEIFS(Datos!$G$2:$G$27777,Datos!$E$2:$E$27777,$A49,Datos!$B$2:$B$27777,13,Datos!$C$2:$C$27777,"&gt;=30",Datos!$F$2:$F$27777,"STANDBY"),0),"")</f>
        <v/>
      </c>
      <c r="N49" s="7">
        <f>IFERROR(ROUND(AVERAGEIFS(Datos!$G$2:$G$27777,Datos!$E$2:$E$27777,$A49,Datos!$B$2:$B$27777,14,Datos!$C$2:$C$27777,"&lt;30",Datos!$F$2:$F$27777,"STANDBY"),0),"")</f>
        <v/>
      </c>
      <c r="O49" s="7">
        <f>IFERROR(ROUND(AVERAGEIFS(Datos!$G$2:$G$27777,Datos!$E$2:$E$27777,$A49,Datos!$B$2:$B$27777,14,Datos!$C$2:$C$27777,"&gt;=30",Datos!$F$2:$F$27777,"STANDBY"),0),"")</f>
        <v/>
      </c>
      <c r="P49" s="7">
        <f>IFERROR(ROUND(AVERAGEIFS(Datos!$G$2:$G$27777,Datos!$E$2:$E$27777,$A49,Datos!$B$2:$B$27777,15,Datos!$C$2:$C$27777,"&lt;30",Datos!$F$2:$F$27777,"STANDBY"),0),"")</f>
        <v/>
      </c>
      <c r="Q49" s="7">
        <f>IFERROR(ROUND(AVERAGEIFS(Datos!$G$2:$G$27777,Datos!$E$2:$E$27777,$A49,Datos!$B$2:$B$27777,15,Datos!$C$2:$C$27777,"&gt;=30",Datos!$F$2:$F$27777,"STANDBY"),0),"")</f>
        <v/>
      </c>
      <c r="R49" s="7">
        <f>IFERROR(ROUND(AVERAGEIFS(Datos!$G$2:$G$27777,Datos!$E$2:$E$27777,$A49,Datos!$B$2:$B$27777,16,Datos!$C$2:$C$27777,"&lt;30",Datos!$F$2:$F$27777,"STANDBY"),0),"")</f>
        <v/>
      </c>
      <c r="S49" s="7">
        <f>IFERROR(ROUND(AVERAGEIFS(Datos!$G$2:$G$27777,Datos!$E$2:$E$27777,$A49,Datos!$B$2:$B$27777,16,Datos!$C$2:$C$27777,"&gt;=30",Datos!$F$2:$F$27777,"STANDBY"),0),"")</f>
        <v/>
      </c>
      <c r="T49" s="7">
        <f>IFERROR(ROUND(AVERAGEIFS(Datos!$G$2:$G$27777,Datos!$E$2:$E$27777,$A49,Datos!$B$2:$B$27777,17,Datos!$C$2:$C$27777,"&lt;30",Datos!$F$2:$F$27777,"STANDBY"),0),"")</f>
        <v/>
      </c>
      <c r="U49" s="7">
        <f>IFERROR(ROUND(AVERAGEIFS(Datos!$G$2:$G$27777,Datos!$E$2:$E$27777,$A49,Datos!$B$2:$B$27777,17,Datos!$C$2:$C$27777,"&gt;=30",Datos!$F$2:$F$27777,"STANDBY"),0),"")</f>
        <v/>
      </c>
      <c r="V49" s="7">
        <f>IFERROR(ROUND(AVERAGEIFS(Datos!$G$2:$G$27777,Datos!$E$2:$E$27777,$A49,Datos!$B$2:$B$27777,18,Datos!$C$2:$C$27777,"&lt;30",Datos!$F$2:$F$27777,"STANDBY"),0),"")</f>
        <v/>
      </c>
      <c r="W49" s="7">
        <f>IFERROR(ROUND(AVERAGEIFS(Datos!$G$2:$G$27777,Datos!$E$2:$E$27777,$A49,Datos!$B$2:$B$27777,18,Datos!$C$2:$C$27777,"&gt;=30",Datos!$F$2:$F$27777,"STANDBY"),0),"")</f>
        <v/>
      </c>
      <c r="X49" s="7">
        <f>IFERROR(ROUND(AVERAGEIFS(Datos!$G$2:$G$27777,Datos!$E$2:$E$27777,$A49,Datos!$B$2:$B$27777,19,Datos!$C$2:$C$27777,"&lt;30",Datos!$F$2:$F$27777,"STANDBY"),0),"")</f>
        <v/>
      </c>
      <c r="Y49" s="7">
        <f>IFERROR(ROUND(AVERAGEIFS(Datos!$G$2:$G$27777,Datos!$E$2:$E$27777,$A49,Datos!$B$2:$B$27777,19,Datos!$C$2:$C$27777,"&gt;=30",Datos!$F$2:$F$27777,"STANDBY"),0),"")</f>
        <v/>
      </c>
      <c r="Z49" s="7">
        <f>IFERROR(ROUND(AVERAGEIFS(Datos!$G$2:$G$27777,Datos!$E$2:$E$27777,$A49,Datos!$B$2:$B$27777,20,Datos!$C$2:$C$27777,"&lt;30",Datos!$F$2:$F$27777,"STANDBY"),0),"")</f>
        <v/>
      </c>
      <c r="AA49" s="7">
        <f>IFERROR(ROUND(AVERAGEIFS(Datos!$G$2:$G$27777,Datos!$E$2:$E$27777,$A49,Datos!$B$2:$B$27777,20,Datos!$C$2:$C$27777,"&gt;=30",Datos!$F$2:$F$27777,"STANDBY"),0),"")</f>
        <v/>
      </c>
      <c r="AB49" s="7">
        <f>IFERROR(ROUND(AVERAGEIFS(Datos!$G$2:$G$27777,Datos!$E$2:$E$27777,$A49,Datos!$B$2:$B$27777,21,Datos!$C$2:$C$27777,"&lt;30",Datos!$F$2:$F$27777,"STANDBY"),0),"")</f>
        <v/>
      </c>
      <c r="AC49" s="7">
        <f>IFERROR(ROUND(AVERAGEIFS(Datos!$G$2:$G$27777,Datos!$E$2:$E$27777,$A49,Datos!$B$2:$B$27777,21,Datos!$C$2:$C$27777,"&gt;=30",Datos!$F$2:$F$27777,"STANDBY"),0),"")</f>
        <v/>
      </c>
      <c r="AD49" s="7">
        <f>IFERROR(ROUND(AVERAGEIFS(Datos!$G$2:$G$27777,Datos!$E$2:$E$27777,$A49,Datos!$B$2:$B$27777,22,Datos!$C$2:$C$27777,"&lt;30",Datos!$F$2:$F$27777,"STANDBY"),0),"")</f>
        <v/>
      </c>
      <c r="AE49" s="7">
        <f>IFERROR(ROUND(AVERAGEIFS(Datos!$G$2:$G$27777,Datos!$E$2:$E$27777,$A49,Datos!$B$2:$B$27777,22,Datos!$C$2:$C$27777,"&gt;=30",Datos!$F$2:$F$27777,"STANDBY"),0),"")</f>
        <v/>
      </c>
      <c r="AF49" s="7">
        <f>IFERROR(ROUND(AVERAGEIFS(Datos!$G$2:$G$27777,Datos!$E$2:$E$27777,$A49,Datos!$B$2:$B$27777,23,Datos!$C$2:$C$27777,"&lt;30",Datos!$F$2:$F$27777,"STANDBY"),0),"")</f>
        <v/>
      </c>
      <c r="AG49" s="7">
        <f>IFERROR(ROUND(AVERAGEIFS(Datos!$G$2:$G$27777,Datos!$E$2:$E$27777,$A49,Datos!$B$2:$B$27777,23,Datos!$C$2:$C$27777,"&gt;=30",Datos!$F$2:$F$27777,"STANDBY"),0),"")</f>
        <v/>
      </c>
    </row>
    <row r="50">
      <c r="A50" s="6" t="inlineStr">
        <is>
          <t>Meet Mickey Mouse</t>
        </is>
      </c>
      <c r="B50" s="7">
        <f>IFERROR(ROUND(AVERAGEIFS(Datos!$G$2:$G$27777,Datos!$E$2:$E$27777,$A50,Datos!$B$2:$B$27777,8,Datos!$C$2:$C$27777,"&lt;30",Datos!$F$2:$F$27777,"STANDBY"),0),"")</f>
        <v/>
      </c>
      <c r="C50" s="7">
        <f>IFERROR(ROUND(AVERAGEIFS(Datos!$G$2:$G$27777,Datos!$E$2:$E$27777,$A50,Datos!$B$2:$B$27777,8,Datos!$C$2:$C$27777,"&gt;=30",Datos!$F$2:$F$27777,"STANDBY"),0),"")</f>
        <v/>
      </c>
      <c r="D50" s="7">
        <f>IFERROR(ROUND(AVERAGEIFS(Datos!$G$2:$G$27777,Datos!$E$2:$E$27777,$A50,Datos!$B$2:$B$27777,9,Datos!$C$2:$C$27777,"&lt;30",Datos!$F$2:$F$27777,"STANDBY"),0),"")</f>
        <v/>
      </c>
      <c r="E50" s="7">
        <f>IFERROR(ROUND(AVERAGEIFS(Datos!$G$2:$G$27777,Datos!$E$2:$E$27777,$A50,Datos!$B$2:$B$27777,9,Datos!$C$2:$C$27777,"&gt;=30",Datos!$F$2:$F$27777,"STANDBY"),0),"")</f>
        <v/>
      </c>
      <c r="F50" s="7">
        <f>IFERROR(ROUND(AVERAGEIFS(Datos!$G$2:$G$27777,Datos!$E$2:$E$27777,$A50,Datos!$B$2:$B$27777,10,Datos!$C$2:$C$27777,"&lt;30",Datos!$F$2:$F$27777,"STANDBY"),0),"")</f>
        <v/>
      </c>
      <c r="G50" s="7">
        <f>IFERROR(ROUND(AVERAGEIFS(Datos!$G$2:$G$27777,Datos!$E$2:$E$27777,$A50,Datos!$B$2:$B$27777,10,Datos!$C$2:$C$27777,"&gt;=30",Datos!$F$2:$F$27777,"STANDBY"),0),"")</f>
        <v/>
      </c>
      <c r="H50" s="7">
        <f>IFERROR(ROUND(AVERAGEIFS(Datos!$G$2:$G$27777,Datos!$E$2:$E$27777,$A50,Datos!$B$2:$B$27777,11,Datos!$C$2:$C$27777,"&lt;30",Datos!$F$2:$F$27777,"STANDBY"),0),"")</f>
        <v/>
      </c>
      <c r="I50" s="7">
        <f>IFERROR(ROUND(AVERAGEIFS(Datos!$G$2:$G$27777,Datos!$E$2:$E$27777,$A50,Datos!$B$2:$B$27777,11,Datos!$C$2:$C$27777,"&gt;=30",Datos!$F$2:$F$27777,"STANDBY"),0),"")</f>
        <v/>
      </c>
      <c r="J50" s="7">
        <f>IFERROR(ROUND(AVERAGEIFS(Datos!$G$2:$G$27777,Datos!$E$2:$E$27777,$A50,Datos!$B$2:$B$27777,12,Datos!$C$2:$C$27777,"&lt;30",Datos!$F$2:$F$27777,"STANDBY"),0),"")</f>
        <v/>
      </c>
      <c r="K50" s="7">
        <f>IFERROR(ROUND(AVERAGEIFS(Datos!$G$2:$G$27777,Datos!$E$2:$E$27777,$A50,Datos!$B$2:$B$27777,12,Datos!$C$2:$C$27777,"&gt;=30",Datos!$F$2:$F$27777,"STANDBY"),0),"")</f>
        <v/>
      </c>
      <c r="L50" s="7">
        <f>IFERROR(ROUND(AVERAGEIFS(Datos!$G$2:$G$27777,Datos!$E$2:$E$27777,$A50,Datos!$B$2:$B$27777,13,Datos!$C$2:$C$27777,"&lt;30",Datos!$F$2:$F$27777,"STANDBY"),0),"")</f>
        <v/>
      </c>
      <c r="M50" s="7">
        <f>IFERROR(ROUND(AVERAGEIFS(Datos!$G$2:$G$27777,Datos!$E$2:$E$27777,$A50,Datos!$B$2:$B$27777,13,Datos!$C$2:$C$27777,"&gt;=30",Datos!$F$2:$F$27777,"STANDBY"),0),"")</f>
        <v/>
      </c>
      <c r="N50" s="7">
        <f>IFERROR(ROUND(AVERAGEIFS(Datos!$G$2:$G$27777,Datos!$E$2:$E$27777,$A50,Datos!$B$2:$B$27777,14,Datos!$C$2:$C$27777,"&lt;30",Datos!$F$2:$F$27777,"STANDBY"),0),"")</f>
        <v/>
      </c>
      <c r="O50" s="7">
        <f>IFERROR(ROUND(AVERAGEIFS(Datos!$G$2:$G$27777,Datos!$E$2:$E$27777,$A50,Datos!$B$2:$B$27777,14,Datos!$C$2:$C$27777,"&gt;=30",Datos!$F$2:$F$27777,"STANDBY"),0),"")</f>
        <v/>
      </c>
      <c r="P50" s="7">
        <f>IFERROR(ROUND(AVERAGEIFS(Datos!$G$2:$G$27777,Datos!$E$2:$E$27777,$A50,Datos!$B$2:$B$27777,15,Datos!$C$2:$C$27777,"&lt;30",Datos!$F$2:$F$27777,"STANDBY"),0),"")</f>
        <v/>
      </c>
      <c r="Q50" s="7">
        <f>IFERROR(ROUND(AVERAGEIFS(Datos!$G$2:$G$27777,Datos!$E$2:$E$27777,$A50,Datos!$B$2:$B$27777,15,Datos!$C$2:$C$27777,"&gt;=30",Datos!$F$2:$F$27777,"STANDBY"),0),"")</f>
        <v/>
      </c>
      <c r="R50" s="7">
        <f>IFERROR(ROUND(AVERAGEIFS(Datos!$G$2:$G$27777,Datos!$E$2:$E$27777,$A50,Datos!$B$2:$B$27777,16,Datos!$C$2:$C$27777,"&lt;30",Datos!$F$2:$F$27777,"STANDBY"),0),"")</f>
        <v/>
      </c>
      <c r="S50" s="7">
        <f>IFERROR(ROUND(AVERAGEIFS(Datos!$G$2:$G$27777,Datos!$E$2:$E$27777,$A50,Datos!$B$2:$B$27777,16,Datos!$C$2:$C$27777,"&gt;=30",Datos!$F$2:$F$27777,"STANDBY"),0),"")</f>
        <v/>
      </c>
      <c r="T50" s="7">
        <f>IFERROR(ROUND(AVERAGEIFS(Datos!$G$2:$G$27777,Datos!$E$2:$E$27777,$A50,Datos!$B$2:$B$27777,17,Datos!$C$2:$C$27777,"&lt;30",Datos!$F$2:$F$27777,"STANDBY"),0),"")</f>
        <v/>
      </c>
      <c r="U50" s="7">
        <f>IFERROR(ROUND(AVERAGEIFS(Datos!$G$2:$G$27777,Datos!$E$2:$E$27777,$A50,Datos!$B$2:$B$27777,17,Datos!$C$2:$C$27777,"&gt;=30",Datos!$F$2:$F$27777,"STANDBY"),0),"")</f>
        <v/>
      </c>
      <c r="V50" s="7">
        <f>IFERROR(ROUND(AVERAGEIFS(Datos!$G$2:$G$27777,Datos!$E$2:$E$27777,$A50,Datos!$B$2:$B$27777,18,Datos!$C$2:$C$27777,"&lt;30",Datos!$F$2:$F$27777,"STANDBY"),0),"")</f>
        <v/>
      </c>
      <c r="W50" s="7">
        <f>IFERROR(ROUND(AVERAGEIFS(Datos!$G$2:$G$27777,Datos!$E$2:$E$27777,$A50,Datos!$B$2:$B$27777,18,Datos!$C$2:$C$27777,"&gt;=30",Datos!$F$2:$F$27777,"STANDBY"),0),"")</f>
        <v/>
      </c>
      <c r="X50" s="7">
        <f>IFERROR(ROUND(AVERAGEIFS(Datos!$G$2:$G$27777,Datos!$E$2:$E$27777,$A50,Datos!$B$2:$B$27777,19,Datos!$C$2:$C$27777,"&lt;30",Datos!$F$2:$F$27777,"STANDBY"),0),"")</f>
        <v/>
      </c>
      <c r="Y50" s="7">
        <f>IFERROR(ROUND(AVERAGEIFS(Datos!$G$2:$G$27777,Datos!$E$2:$E$27777,$A50,Datos!$B$2:$B$27777,19,Datos!$C$2:$C$27777,"&gt;=30",Datos!$F$2:$F$27777,"STANDBY"),0),"")</f>
        <v/>
      </c>
      <c r="Z50" s="7">
        <f>IFERROR(ROUND(AVERAGEIFS(Datos!$G$2:$G$27777,Datos!$E$2:$E$27777,$A50,Datos!$B$2:$B$27777,20,Datos!$C$2:$C$27777,"&lt;30",Datos!$F$2:$F$27777,"STANDBY"),0),"")</f>
        <v/>
      </c>
      <c r="AA50" s="7">
        <f>IFERROR(ROUND(AVERAGEIFS(Datos!$G$2:$G$27777,Datos!$E$2:$E$27777,$A50,Datos!$B$2:$B$27777,20,Datos!$C$2:$C$27777,"&gt;=30",Datos!$F$2:$F$27777,"STANDBY"),0),"")</f>
        <v/>
      </c>
      <c r="AB50" s="7">
        <f>IFERROR(ROUND(AVERAGEIFS(Datos!$G$2:$G$27777,Datos!$E$2:$E$27777,$A50,Datos!$B$2:$B$27777,21,Datos!$C$2:$C$27777,"&lt;30",Datos!$F$2:$F$27777,"STANDBY"),0),"")</f>
        <v/>
      </c>
      <c r="AC50" s="7">
        <f>IFERROR(ROUND(AVERAGEIFS(Datos!$G$2:$G$27777,Datos!$E$2:$E$27777,$A50,Datos!$B$2:$B$27777,21,Datos!$C$2:$C$27777,"&gt;=30",Datos!$F$2:$F$27777,"STANDBY"),0),"")</f>
        <v/>
      </c>
      <c r="AD50" s="7">
        <f>IFERROR(ROUND(AVERAGEIFS(Datos!$G$2:$G$27777,Datos!$E$2:$E$27777,$A50,Datos!$B$2:$B$27777,22,Datos!$C$2:$C$27777,"&lt;30",Datos!$F$2:$F$27777,"STANDBY"),0),"")</f>
        <v/>
      </c>
      <c r="AE50" s="7">
        <f>IFERROR(ROUND(AVERAGEIFS(Datos!$G$2:$G$27777,Datos!$E$2:$E$27777,$A50,Datos!$B$2:$B$27777,22,Datos!$C$2:$C$27777,"&gt;=30",Datos!$F$2:$F$27777,"STANDBY"),0),"")</f>
        <v/>
      </c>
      <c r="AF50" s="7">
        <f>IFERROR(ROUND(AVERAGEIFS(Datos!$G$2:$G$27777,Datos!$E$2:$E$27777,$A50,Datos!$B$2:$B$27777,23,Datos!$C$2:$C$27777,"&lt;30",Datos!$F$2:$F$27777,"STANDBY"),0),"")</f>
        <v/>
      </c>
      <c r="AG50" s="7">
        <f>IFERROR(ROUND(AVERAGEIFS(Datos!$G$2:$G$27777,Datos!$E$2:$E$27777,$A50,Datos!$B$2:$B$27777,23,Datos!$C$2:$C$27777,"&gt;=30",Datos!$F$2:$F$27777,"STANDBY"),0),"")</f>
        <v/>
      </c>
    </row>
    <row r="51">
      <c r="A51" s="6" t="inlineStr">
        <is>
          <t>Mickey’s PhilharMagic</t>
        </is>
      </c>
      <c r="B51" s="7">
        <f>IFERROR(ROUND(AVERAGEIFS(Datos!$G$2:$G$27777,Datos!$E$2:$E$27777,$A51,Datos!$B$2:$B$27777,8,Datos!$C$2:$C$27777,"&lt;30",Datos!$F$2:$F$27777,"STANDBY"),0),"")</f>
        <v/>
      </c>
      <c r="C51" s="7">
        <f>IFERROR(ROUND(AVERAGEIFS(Datos!$G$2:$G$27777,Datos!$E$2:$E$27777,$A51,Datos!$B$2:$B$27777,8,Datos!$C$2:$C$27777,"&gt;=30",Datos!$F$2:$F$27777,"STANDBY"),0),"")</f>
        <v/>
      </c>
      <c r="D51" s="7">
        <f>IFERROR(ROUND(AVERAGEIFS(Datos!$G$2:$G$27777,Datos!$E$2:$E$27777,$A51,Datos!$B$2:$B$27777,9,Datos!$C$2:$C$27777,"&lt;30",Datos!$F$2:$F$27777,"STANDBY"),0),"")</f>
        <v/>
      </c>
      <c r="E51" s="7">
        <f>IFERROR(ROUND(AVERAGEIFS(Datos!$G$2:$G$27777,Datos!$E$2:$E$27777,$A51,Datos!$B$2:$B$27777,9,Datos!$C$2:$C$27777,"&gt;=30",Datos!$F$2:$F$27777,"STANDBY"),0),"")</f>
        <v/>
      </c>
      <c r="F51" s="7">
        <f>IFERROR(ROUND(AVERAGEIFS(Datos!$G$2:$G$27777,Datos!$E$2:$E$27777,$A51,Datos!$B$2:$B$27777,10,Datos!$C$2:$C$27777,"&lt;30",Datos!$F$2:$F$27777,"STANDBY"),0),"")</f>
        <v/>
      </c>
      <c r="G51" s="7">
        <f>IFERROR(ROUND(AVERAGEIFS(Datos!$G$2:$G$27777,Datos!$E$2:$E$27777,$A51,Datos!$B$2:$B$27777,10,Datos!$C$2:$C$27777,"&gt;=30",Datos!$F$2:$F$27777,"STANDBY"),0),"")</f>
        <v/>
      </c>
      <c r="H51" s="7">
        <f>IFERROR(ROUND(AVERAGEIFS(Datos!$G$2:$G$27777,Datos!$E$2:$E$27777,$A51,Datos!$B$2:$B$27777,11,Datos!$C$2:$C$27777,"&lt;30",Datos!$F$2:$F$27777,"STANDBY"),0),"")</f>
        <v/>
      </c>
      <c r="I51" s="7">
        <f>IFERROR(ROUND(AVERAGEIFS(Datos!$G$2:$G$27777,Datos!$E$2:$E$27777,$A51,Datos!$B$2:$B$27777,11,Datos!$C$2:$C$27777,"&gt;=30",Datos!$F$2:$F$27777,"STANDBY"),0),"")</f>
        <v/>
      </c>
      <c r="J51" s="7">
        <f>IFERROR(ROUND(AVERAGEIFS(Datos!$G$2:$G$27777,Datos!$E$2:$E$27777,$A51,Datos!$B$2:$B$27777,12,Datos!$C$2:$C$27777,"&lt;30",Datos!$F$2:$F$27777,"STANDBY"),0),"")</f>
        <v/>
      </c>
      <c r="K51" s="7">
        <f>IFERROR(ROUND(AVERAGEIFS(Datos!$G$2:$G$27777,Datos!$E$2:$E$27777,$A51,Datos!$B$2:$B$27777,12,Datos!$C$2:$C$27777,"&gt;=30",Datos!$F$2:$F$27777,"STANDBY"),0),"")</f>
        <v/>
      </c>
      <c r="L51" s="7">
        <f>IFERROR(ROUND(AVERAGEIFS(Datos!$G$2:$G$27777,Datos!$E$2:$E$27777,$A51,Datos!$B$2:$B$27777,13,Datos!$C$2:$C$27777,"&lt;30",Datos!$F$2:$F$27777,"STANDBY"),0),"")</f>
        <v/>
      </c>
      <c r="M51" s="7">
        <f>IFERROR(ROUND(AVERAGEIFS(Datos!$G$2:$G$27777,Datos!$E$2:$E$27777,$A51,Datos!$B$2:$B$27777,13,Datos!$C$2:$C$27777,"&gt;=30",Datos!$F$2:$F$27777,"STANDBY"),0),"")</f>
        <v/>
      </c>
      <c r="N51" s="7">
        <f>IFERROR(ROUND(AVERAGEIFS(Datos!$G$2:$G$27777,Datos!$E$2:$E$27777,$A51,Datos!$B$2:$B$27777,14,Datos!$C$2:$C$27777,"&lt;30",Datos!$F$2:$F$27777,"STANDBY"),0),"")</f>
        <v/>
      </c>
      <c r="O51" s="7">
        <f>IFERROR(ROUND(AVERAGEIFS(Datos!$G$2:$G$27777,Datos!$E$2:$E$27777,$A51,Datos!$B$2:$B$27777,14,Datos!$C$2:$C$27777,"&gt;=30",Datos!$F$2:$F$27777,"STANDBY"),0),"")</f>
        <v/>
      </c>
      <c r="P51" s="7">
        <f>IFERROR(ROUND(AVERAGEIFS(Datos!$G$2:$G$27777,Datos!$E$2:$E$27777,$A51,Datos!$B$2:$B$27777,15,Datos!$C$2:$C$27777,"&lt;30",Datos!$F$2:$F$27777,"STANDBY"),0),"")</f>
        <v/>
      </c>
      <c r="Q51" s="7">
        <f>IFERROR(ROUND(AVERAGEIFS(Datos!$G$2:$G$27777,Datos!$E$2:$E$27777,$A51,Datos!$B$2:$B$27777,15,Datos!$C$2:$C$27777,"&gt;=30",Datos!$F$2:$F$27777,"STANDBY"),0),"")</f>
        <v/>
      </c>
      <c r="R51" s="7">
        <f>IFERROR(ROUND(AVERAGEIFS(Datos!$G$2:$G$27777,Datos!$E$2:$E$27777,$A51,Datos!$B$2:$B$27777,16,Datos!$C$2:$C$27777,"&lt;30",Datos!$F$2:$F$27777,"STANDBY"),0),"")</f>
        <v/>
      </c>
      <c r="S51" s="7">
        <f>IFERROR(ROUND(AVERAGEIFS(Datos!$G$2:$G$27777,Datos!$E$2:$E$27777,$A51,Datos!$B$2:$B$27777,16,Datos!$C$2:$C$27777,"&gt;=30",Datos!$F$2:$F$27777,"STANDBY"),0),"")</f>
        <v/>
      </c>
      <c r="T51" s="7">
        <f>IFERROR(ROUND(AVERAGEIFS(Datos!$G$2:$G$27777,Datos!$E$2:$E$27777,$A51,Datos!$B$2:$B$27777,17,Datos!$C$2:$C$27777,"&lt;30",Datos!$F$2:$F$27777,"STANDBY"),0),"")</f>
        <v/>
      </c>
      <c r="U51" s="7">
        <f>IFERROR(ROUND(AVERAGEIFS(Datos!$G$2:$G$27777,Datos!$E$2:$E$27777,$A51,Datos!$B$2:$B$27777,17,Datos!$C$2:$C$27777,"&gt;=30",Datos!$F$2:$F$27777,"STANDBY"),0),"")</f>
        <v/>
      </c>
      <c r="V51" s="7">
        <f>IFERROR(ROUND(AVERAGEIFS(Datos!$G$2:$G$27777,Datos!$E$2:$E$27777,$A51,Datos!$B$2:$B$27777,18,Datos!$C$2:$C$27777,"&lt;30",Datos!$F$2:$F$27777,"STANDBY"),0),"")</f>
        <v/>
      </c>
      <c r="W51" s="7">
        <f>IFERROR(ROUND(AVERAGEIFS(Datos!$G$2:$G$27777,Datos!$E$2:$E$27777,$A51,Datos!$B$2:$B$27777,18,Datos!$C$2:$C$27777,"&gt;=30",Datos!$F$2:$F$27777,"STANDBY"),0),"")</f>
        <v/>
      </c>
      <c r="X51" s="7">
        <f>IFERROR(ROUND(AVERAGEIFS(Datos!$G$2:$G$27777,Datos!$E$2:$E$27777,$A51,Datos!$B$2:$B$27777,19,Datos!$C$2:$C$27777,"&lt;30",Datos!$F$2:$F$27777,"STANDBY"),0),"")</f>
        <v/>
      </c>
      <c r="Y51" s="7">
        <f>IFERROR(ROUND(AVERAGEIFS(Datos!$G$2:$G$27777,Datos!$E$2:$E$27777,$A51,Datos!$B$2:$B$27777,19,Datos!$C$2:$C$27777,"&gt;=30",Datos!$F$2:$F$27777,"STANDBY"),0),"")</f>
        <v/>
      </c>
      <c r="Z51" s="7">
        <f>IFERROR(ROUND(AVERAGEIFS(Datos!$G$2:$G$27777,Datos!$E$2:$E$27777,$A51,Datos!$B$2:$B$27777,20,Datos!$C$2:$C$27777,"&lt;30",Datos!$F$2:$F$27777,"STANDBY"),0),"")</f>
        <v/>
      </c>
      <c r="AA51" s="7">
        <f>IFERROR(ROUND(AVERAGEIFS(Datos!$G$2:$G$27777,Datos!$E$2:$E$27777,$A51,Datos!$B$2:$B$27777,20,Datos!$C$2:$C$27777,"&gt;=30",Datos!$F$2:$F$27777,"STANDBY"),0),"")</f>
        <v/>
      </c>
      <c r="AB51" s="7">
        <f>IFERROR(ROUND(AVERAGEIFS(Datos!$G$2:$G$27777,Datos!$E$2:$E$27777,$A51,Datos!$B$2:$B$27777,21,Datos!$C$2:$C$27777,"&lt;30",Datos!$F$2:$F$27777,"STANDBY"),0),"")</f>
        <v/>
      </c>
      <c r="AC51" s="7">
        <f>IFERROR(ROUND(AVERAGEIFS(Datos!$G$2:$G$27777,Datos!$E$2:$E$27777,$A51,Datos!$B$2:$B$27777,21,Datos!$C$2:$C$27777,"&gt;=30",Datos!$F$2:$F$27777,"STANDBY"),0),"")</f>
        <v/>
      </c>
      <c r="AD51" s="7">
        <f>IFERROR(ROUND(AVERAGEIFS(Datos!$G$2:$G$27777,Datos!$E$2:$E$27777,$A51,Datos!$B$2:$B$27777,22,Datos!$C$2:$C$27777,"&lt;30",Datos!$F$2:$F$27777,"STANDBY"),0),"")</f>
        <v/>
      </c>
      <c r="AE51" s="7">
        <f>IFERROR(ROUND(AVERAGEIFS(Datos!$G$2:$G$27777,Datos!$E$2:$E$27777,$A51,Datos!$B$2:$B$27777,22,Datos!$C$2:$C$27777,"&gt;=30",Datos!$F$2:$F$27777,"STANDBY"),0),"")</f>
        <v/>
      </c>
      <c r="AF51" s="7">
        <f>IFERROR(ROUND(AVERAGEIFS(Datos!$G$2:$G$27777,Datos!$E$2:$E$27777,$A51,Datos!$B$2:$B$27777,23,Datos!$C$2:$C$27777,"&lt;30",Datos!$F$2:$F$27777,"STANDBY"),0),"")</f>
        <v/>
      </c>
      <c r="AG51" s="7">
        <f>IFERROR(ROUND(AVERAGEIFS(Datos!$G$2:$G$27777,Datos!$E$2:$E$27777,$A51,Datos!$B$2:$B$27777,23,Datos!$C$2:$C$27777,"&gt;=30",Datos!$F$2:$F$27777,"STANDBY"),0),"")</f>
        <v/>
      </c>
    </row>
    <row r="52">
      <c r="A52" s="6" t="inlineStr">
        <is>
          <t>Orbitron®</t>
        </is>
      </c>
      <c r="B52" s="7">
        <f>IFERROR(ROUND(AVERAGEIFS(Datos!$G$2:$G$27777,Datos!$E$2:$E$27777,$A52,Datos!$B$2:$B$27777,8,Datos!$C$2:$C$27777,"&lt;30",Datos!$F$2:$F$27777,"STANDBY"),0),"")</f>
        <v/>
      </c>
      <c r="C52" s="7">
        <f>IFERROR(ROUND(AVERAGEIFS(Datos!$G$2:$G$27777,Datos!$E$2:$E$27777,$A52,Datos!$B$2:$B$27777,8,Datos!$C$2:$C$27777,"&gt;=30",Datos!$F$2:$F$27777,"STANDBY"),0),"")</f>
        <v/>
      </c>
      <c r="D52" s="7">
        <f>IFERROR(ROUND(AVERAGEIFS(Datos!$G$2:$G$27777,Datos!$E$2:$E$27777,$A52,Datos!$B$2:$B$27777,9,Datos!$C$2:$C$27777,"&lt;30",Datos!$F$2:$F$27777,"STANDBY"),0),"")</f>
        <v/>
      </c>
      <c r="E52" s="7">
        <f>IFERROR(ROUND(AVERAGEIFS(Datos!$G$2:$G$27777,Datos!$E$2:$E$27777,$A52,Datos!$B$2:$B$27777,9,Datos!$C$2:$C$27777,"&gt;=30",Datos!$F$2:$F$27777,"STANDBY"),0),"")</f>
        <v/>
      </c>
      <c r="F52" s="7">
        <f>IFERROR(ROUND(AVERAGEIFS(Datos!$G$2:$G$27777,Datos!$E$2:$E$27777,$A52,Datos!$B$2:$B$27777,10,Datos!$C$2:$C$27777,"&lt;30",Datos!$F$2:$F$27777,"STANDBY"),0),"")</f>
        <v/>
      </c>
      <c r="G52" s="7">
        <f>IFERROR(ROUND(AVERAGEIFS(Datos!$G$2:$G$27777,Datos!$E$2:$E$27777,$A52,Datos!$B$2:$B$27777,10,Datos!$C$2:$C$27777,"&gt;=30",Datos!$F$2:$F$27777,"STANDBY"),0),"")</f>
        <v/>
      </c>
      <c r="H52" s="7">
        <f>IFERROR(ROUND(AVERAGEIFS(Datos!$G$2:$G$27777,Datos!$E$2:$E$27777,$A52,Datos!$B$2:$B$27777,11,Datos!$C$2:$C$27777,"&lt;30",Datos!$F$2:$F$27777,"STANDBY"),0),"")</f>
        <v/>
      </c>
      <c r="I52" s="7">
        <f>IFERROR(ROUND(AVERAGEIFS(Datos!$G$2:$G$27777,Datos!$E$2:$E$27777,$A52,Datos!$B$2:$B$27777,11,Datos!$C$2:$C$27777,"&gt;=30",Datos!$F$2:$F$27777,"STANDBY"),0),"")</f>
        <v/>
      </c>
      <c r="J52" s="7">
        <f>IFERROR(ROUND(AVERAGEIFS(Datos!$G$2:$G$27777,Datos!$E$2:$E$27777,$A52,Datos!$B$2:$B$27777,12,Datos!$C$2:$C$27777,"&lt;30",Datos!$F$2:$F$27777,"STANDBY"),0),"")</f>
        <v/>
      </c>
      <c r="K52" s="7">
        <f>IFERROR(ROUND(AVERAGEIFS(Datos!$G$2:$G$27777,Datos!$E$2:$E$27777,$A52,Datos!$B$2:$B$27777,12,Datos!$C$2:$C$27777,"&gt;=30",Datos!$F$2:$F$27777,"STANDBY"),0),"")</f>
        <v/>
      </c>
      <c r="L52" s="7">
        <f>IFERROR(ROUND(AVERAGEIFS(Datos!$G$2:$G$27777,Datos!$E$2:$E$27777,$A52,Datos!$B$2:$B$27777,13,Datos!$C$2:$C$27777,"&lt;30",Datos!$F$2:$F$27777,"STANDBY"),0),"")</f>
        <v/>
      </c>
      <c r="M52" s="7">
        <f>IFERROR(ROUND(AVERAGEIFS(Datos!$G$2:$G$27777,Datos!$E$2:$E$27777,$A52,Datos!$B$2:$B$27777,13,Datos!$C$2:$C$27777,"&gt;=30",Datos!$F$2:$F$27777,"STANDBY"),0),"")</f>
        <v/>
      </c>
      <c r="N52" s="7">
        <f>IFERROR(ROUND(AVERAGEIFS(Datos!$G$2:$G$27777,Datos!$E$2:$E$27777,$A52,Datos!$B$2:$B$27777,14,Datos!$C$2:$C$27777,"&lt;30",Datos!$F$2:$F$27777,"STANDBY"),0),"")</f>
        <v/>
      </c>
      <c r="O52" s="7">
        <f>IFERROR(ROUND(AVERAGEIFS(Datos!$G$2:$G$27777,Datos!$E$2:$E$27777,$A52,Datos!$B$2:$B$27777,14,Datos!$C$2:$C$27777,"&gt;=30",Datos!$F$2:$F$27777,"STANDBY"),0),"")</f>
        <v/>
      </c>
      <c r="P52" s="7">
        <f>IFERROR(ROUND(AVERAGEIFS(Datos!$G$2:$G$27777,Datos!$E$2:$E$27777,$A52,Datos!$B$2:$B$27777,15,Datos!$C$2:$C$27777,"&lt;30",Datos!$F$2:$F$27777,"STANDBY"),0),"")</f>
        <v/>
      </c>
      <c r="Q52" s="7">
        <f>IFERROR(ROUND(AVERAGEIFS(Datos!$G$2:$G$27777,Datos!$E$2:$E$27777,$A52,Datos!$B$2:$B$27777,15,Datos!$C$2:$C$27777,"&gt;=30",Datos!$F$2:$F$27777,"STANDBY"),0),"")</f>
        <v/>
      </c>
      <c r="R52" s="7">
        <f>IFERROR(ROUND(AVERAGEIFS(Datos!$G$2:$G$27777,Datos!$E$2:$E$27777,$A52,Datos!$B$2:$B$27777,16,Datos!$C$2:$C$27777,"&lt;30",Datos!$F$2:$F$27777,"STANDBY"),0),"")</f>
        <v/>
      </c>
      <c r="S52" s="7">
        <f>IFERROR(ROUND(AVERAGEIFS(Datos!$G$2:$G$27777,Datos!$E$2:$E$27777,$A52,Datos!$B$2:$B$27777,16,Datos!$C$2:$C$27777,"&gt;=30",Datos!$F$2:$F$27777,"STANDBY"),0),"")</f>
        <v/>
      </c>
      <c r="T52" s="7">
        <f>IFERROR(ROUND(AVERAGEIFS(Datos!$G$2:$G$27777,Datos!$E$2:$E$27777,$A52,Datos!$B$2:$B$27777,17,Datos!$C$2:$C$27777,"&lt;30",Datos!$F$2:$F$27777,"STANDBY"),0),"")</f>
        <v/>
      </c>
      <c r="U52" s="7">
        <f>IFERROR(ROUND(AVERAGEIFS(Datos!$G$2:$G$27777,Datos!$E$2:$E$27777,$A52,Datos!$B$2:$B$27777,17,Datos!$C$2:$C$27777,"&gt;=30",Datos!$F$2:$F$27777,"STANDBY"),0),"")</f>
        <v/>
      </c>
      <c r="V52" s="7">
        <f>IFERROR(ROUND(AVERAGEIFS(Datos!$G$2:$G$27777,Datos!$E$2:$E$27777,$A52,Datos!$B$2:$B$27777,18,Datos!$C$2:$C$27777,"&lt;30",Datos!$F$2:$F$27777,"STANDBY"),0),"")</f>
        <v/>
      </c>
      <c r="W52" s="7">
        <f>IFERROR(ROUND(AVERAGEIFS(Datos!$G$2:$G$27777,Datos!$E$2:$E$27777,$A52,Datos!$B$2:$B$27777,18,Datos!$C$2:$C$27777,"&gt;=30",Datos!$F$2:$F$27777,"STANDBY"),0),"")</f>
        <v/>
      </c>
      <c r="X52" s="7">
        <f>IFERROR(ROUND(AVERAGEIFS(Datos!$G$2:$G$27777,Datos!$E$2:$E$27777,$A52,Datos!$B$2:$B$27777,19,Datos!$C$2:$C$27777,"&lt;30",Datos!$F$2:$F$27777,"STANDBY"),0),"")</f>
        <v/>
      </c>
      <c r="Y52" s="7">
        <f>IFERROR(ROUND(AVERAGEIFS(Datos!$G$2:$G$27777,Datos!$E$2:$E$27777,$A52,Datos!$B$2:$B$27777,19,Datos!$C$2:$C$27777,"&gt;=30",Datos!$F$2:$F$27777,"STANDBY"),0),"")</f>
        <v/>
      </c>
      <c r="Z52" s="7">
        <f>IFERROR(ROUND(AVERAGEIFS(Datos!$G$2:$G$27777,Datos!$E$2:$E$27777,$A52,Datos!$B$2:$B$27777,20,Datos!$C$2:$C$27777,"&lt;30",Datos!$F$2:$F$27777,"STANDBY"),0),"")</f>
        <v/>
      </c>
      <c r="AA52" s="7">
        <f>IFERROR(ROUND(AVERAGEIFS(Datos!$G$2:$G$27777,Datos!$E$2:$E$27777,$A52,Datos!$B$2:$B$27777,20,Datos!$C$2:$C$27777,"&gt;=30",Datos!$F$2:$F$27777,"STANDBY"),0),"")</f>
        <v/>
      </c>
      <c r="AB52" s="7">
        <f>IFERROR(ROUND(AVERAGEIFS(Datos!$G$2:$G$27777,Datos!$E$2:$E$27777,$A52,Datos!$B$2:$B$27777,21,Datos!$C$2:$C$27777,"&lt;30",Datos!$F$2:$F$27777,"STANDBY"),0),"")</f>
        <v/>
      </c>
      <c r="AC52" s="7">
        <f>IFERROR(ROUND(AVERAGEIFS(Datos!$G$2:$G$27777,Datos!$E$2:$E$27777,$A52,Datos!$B$2:$B$27777,21,Datos!$C$2:$C$27777,"&gt;=30",Datos!$F$2:$F$27777,"STANDBY"),0),"")</f>
        <v/>
      </c>
      <c r="AD52" s="7">
        <f>IFERROR(ROUND(AVERAGEIFS(Datos!$G$2:$G$27777,Datos!$E$2:$E$27777,$A52,Datos!$B$2:$B$27777,22,Datos!$C$2:$C$27777,"&lt;30",Datos!$F$2:$F$27777,"STANDBY"),0),"")</f>
        <v/>
      </c>
      <c r="AE52" s="7">
        <f>IFERROR(ROUND(AVERAGEIFS(Datos!$G$2:$G$27777,Datos!$E$2:$E$27777,$A52,Datos!$B$2:$B$27777,22,Datos!$C$2:$C$27777,"&gt;=30",Datos!$F$2:$F$27777,"STANDBY"),0),"")</f>
        <v/>
      </c>
      <c r="AF52" s="7">
        <f>IFERROR(ROUND(AVERAGEIFS(Datos!$G$2:$G$27777,Datos!$E$2:$E$27777,$A52,Datos!$B$2:$B$27777,23,Datos!$C$2:$C$27777,"&lt;30",Datos!$F$2:$F$27777,"STANDBY"),0),"")</f>
        <v/>
      </c>
      <c r="AG52" s="7">
        <f>IFERROR(ROUND(AVERAGEIFS(Datos!$G$2:$G$27777,Datos!$E$2:$E$27777,$A52,Datos!$B$2:$B$27777,23,Datos!$C$2:$C$27777,"&gt;=30",Datos!$F$2:$F$27777,"STANDBY"),0),"")</f>
        <v/>
      </c>
    </row>
    <row r="53">
      <c r="A53" s="6" t="inlineStr">
        <is>
          <t>Peter Pan's Flight</t>
        </is>
      </c>
      <c r="B53" s="7">
        <f>IFERROR(ROUND(AVERAGEIFS(Datos!$G$2:$G$27777,Datos!$E$2:$E$27777,$A53,Datos!$B$2:$B$27777,8,Datos!$C$2:$C$27777,"&lt;30",Datos!$F$2:$F$27777,"STANDBY"),0),"")</f>
        <v/>
      </c>
      <c r="C53" s="7">
        <f>IFERROR(ROUND(AVERAGEIFS(Datos!$G$2:$G$27777,Datos!$E$2:$E$27777,$A53,Datos!$B$2:$B$27777,8,Datos!$C$2:$C$27777,"&gt;=30",Datos!$F$2:$F$27777,"STANDBY"),0),"")</f>
        <v/>
      </c>
      <c r="D53" s="7">
        <f>IFERROR(ROUND(AVERAGEIFS(Datos!$G$2:$G$27777,Datos!$E$2:$E$27777,$A53,Datos!$B$2:$B$27777,9,Datos!$C$2:$C$27777,"&lt;30",Datos!$F$2:$F$27777,"STANDBY"),0),"")</f>
        <v/>
      </c>
      <c r="E53" s="7">
        <f>IFERROR(ROUND(AVERAGEIFS(Datos!$G$2:$G$27777,Datos!$E$2:$E$27777,$A53,Datos!$B$2:$B$27777,9,Datos!$C$2:$C$27777,"&gt;=30",Datos!$F$2:$F$27777,"STANDBY"),0),"")</f>
        <v/>
      </c>
      <c r="F53" s="7">
        <f>IFERROR(ROUND(AVERAGEIFS(Datos!$G$2:$G$27777,Datos!$E$2:$E$27777,$A53,Datos!$B$2:$B$27777,10,Datos!$C$2:$C$27777,"&lt;30",Datos!$F$2:$F$27777,"STANDBY"),0),"")</f>
        <v/>
      </c>
      <c r="G53" s="7">
        <f>IFERROR(ROUND(AVERAGEIFS(Datos!$G$2:$G$27777,Datos!$E$2:$E$27777,$A53,Datos!$B$2:$B$27777,10,Datos!$C$2:$C$27777,"&gt;=30",Datos!$F$2:$F$27777,"STANDBY"),0),"")</f>
        <v/>
      </c>
      <c r="H53" s="7">
        <f>IFERROR(ROUND(AVERAGEIFS(Datos!$G$2:$G$27777,Datos!$E$2:$E$27777,$A53,Datos!$B$2:$B$27777,11,Datos!$C$2:$C$27777,"&lt;30",Datos!$F$2:$F$27777,"STANDBY"),0),"")</f>
        <v/>
      </c>
      <c r="I53" s="7">
        <f>IFERROR(ROUND(AVERAGEIFS(Datos!$G$2:$G$27777,Datos!$E$2:$E$27777,$A53,Datos!$B$2:$B$27777,11,Datos!$C$2:$C$27777,"&gt;=30",Datos!$F$2:$F$27777,"STANDBY"),0),"")</f>
        <v/>
      </c>
      <c r="J53" s="7">
        <f>IFERROR(ROUND(AVERAGEIFS(Datos!$G$2:$G$27777,Datos!$E$2:$E$27777,$A53,Datos!$B$2:$B$27777,12,Datos!$C$2:$C$27777,"&lt;30",Datos!$F$2:$F$27777,"STANDBY"),0),"")</f>
        <v/>
      </c>
      <c r="K53" s="7">
        <f>IFERROR(ROUND(AVERAGEIFS(Datos!$G$2:$G$27777,Datos!$E$2:$E$27777,$A53,Datos!$B$2:$B$27777,12,Datos!$C$2:$C$27777,"&gt;=30",Datos!$F$2:$F$27777,"STANDBY"),0),"")</f>
        <v/>
      </c>
      <c r="L53" s="7">
        <f>IFERROR(ROUND(AVERAGEIFS(Datos!$G$2:$G$27777,Datos!$E$2:$E$27777,$A53,Datos!$B$2:$B$27777,13,Datos!$C$2:$C$27777,"&lt;30",Datos!$F$2:$F$27777,"STANDBY"),0),"")</f>
        <v/>
      </c>
      <c r="M53" s="7">
        <f>IFERROR(ROUND(AVERAGEIFS(Datos!$G$2:$G$27777,Datos!$E$2:$E$27777,$A53,Datos!$B$2:$B$27777,13,Datos!$C$2:$C$27777,"&gt;=30",Datos!$F$2:$F$27777,"STANDBY"),0),"")</f>
        <v/>
      </c>
      <c r="N53" s="7">
        <f>IFERROR(ROUND(AVERAGEIFS(Datos!$G$2:$G$27777,Datos!$E$2:$E$27777,$A53,Datos!$B$2:$B$27777,14,Datos!$C$2:$C$27777,"&lt;30",Datos!$F$2:$F$27777,"STANDBY"),0),"")</f>
        <v/>
      </c>
      <c r="O53" s="7">
        <f>IFERROR(ROUND(AVERAGEIFS(Datos!$G$2:$G$27777,Datos!$E$2:$E$27777,$A53,Datos!$B$2:$B$27777,14,Datos!$C$2:$C$27777,"&gt;=30",Datos!$F$2:$F$27777,"STANDBY"),0),"")</f>
        <v/>
      </c>
      <c r="P53" s="7">
        <f>IFERROR(ROUND(AVERAGEIFS(Datos!$G$2:$G$27777,Datos!$E$2:$E$27777,$A53,Datos!$B$2:$B$27777,15,Datos!$C$2:$C$27777,"&lt;30",Datos!$F$2:$F$27777,"STANDBY"),0),"")</f>
        <v/>
      </c>
      <c r="Q53" s="7">
        <f>IFERROR(ROUND(AVERAGEIFS(Datos!$G$2:$G$27777,Datos!$E$2:$E$27777,$A53,Datos!$B$2:$B$27777,15,Datos!$C$2:$C$27777,"&gt;=30",Datos!$F$2:$F$27777,"STANDBY"),0),"")</f>
        <v/>
      </c>
      <c r="R53" s="7">
        <f>IFERROR(ROUND(AVERAGEIFS(Datos!$G$2:$G$27777,Datos!$E$2:$E$27777,$A53,Datos!$B$2:$B$27777,16,Datos!$C$2:$C$27777,"&lt;30",Datos!$F$2:$F$27777,"STANDBY"),0),"")</f>
        <v/>
      </c>
      <c r="S53" s="7">
        <f>IFERROR(ROUND(AVERAGEIFS(Datos!$G$2:$G$27777,Datos!$E$2:$E$27777,$A53,Datos!$B$2:$B$27777,16,Datos!$C$2:$C$27777,"&gt;=30",Datos!$F$2:$F$27777,"STANDBY"),0),"")</f>
        <v/>
      </c>
      <c r="T53" s="7">
        <f>IFERROR(ROUND(AVERAGEIFS(Datos!$G$2:$G$27777,Datos!$E$2:$E$27777,$A53,Datos!$B$2:$B$27777,17,Datos!$C$2:$C$27777,"&lt;30",Datos!$F$2:$F$27777,"STANDBY"),0),"")</f>
        <v/>
      </c>
      <c r="U53" s="7">
        <f>IFERROR(ROUND(AVERAGEIFS(Datos!$G$2:$G$27777,Datos!$E$2:$E$27777,$A53,Datos!$B$2:$B$27777,17,Datos!$C$2:$C$27777,"&gt;=30",Datos!$F$2:$F$27777,"STANDBY"),0),"")</f>
        <v/>
      </c>
      <c r="V53" s="7">
        <f>IFERROR(ROUND(AVERAGEIFS(Datos!$G$2:$G$27777,Datos!$E$2:$E$27777,$A53,Datos!$B$2:$B$27777,18,Datos!$C$2:$C$27777,"&lt;30",Datos!$F$2:$F$27777,"STANDBY"),0),"")</f>
        <v/>
      </c>
      <c r="W53" s="7">
        <f>IFERROR(ROUND(AVERAGEIFS(Datos!$G$2:$G$27777,Datos!$E$2:$E$27777,$A53,Datos!$B$2:$B$27777,18,Datos!$C$2:$C$27777,"&gt;=30",Datos!$F$2:$F$27777,"STANDBY"),0),"")</f>
        <v/>
      </c>
      <c r="X53" s="7">
        <f>IFERROR(ROUND(AVERAGEIFS(Datos!$G$2:$G$27777,Datos!$E$2:$E$27777,$A53,Datos!$B$2:$B$27777,19,Datos!$C$2:$C$27777,"&lt;30",Datos!$F$2:$F$27777,"STANDBY"),0),"")</f>
        <v/>
      </c>
      <c r="Y53" s="7">
        <f>IFERROR(ROUND(AVERAGEIFS(Datos!$G$2:$G$27777,Datos!$E$2:$E$27777,$A53,Datos!$B$2:$B$27777,19,Datos!$C$2:$C$27777,"&gt;=30",Datos!$F$2:$F$27777,"STANDBY"),0),"")</f>
        <v/>
      </c>
      <c r="Z53" s="7">
        <f>IFERROR(ROUND(AVERAGEIFS(Datos!$G$2:$G$27777,Datos!$E$2:$E$27777,$A53,Datos!$B$2:$B$27777,20,Datos!$C$2:$C$27777,"&lt;30",Datos!$F$2:$F$27777,"STANDBY"),0),"")</f>
        <v/>
      </c>
      <c r="AA53" s="7">
        <f>IFERROR(ROUND(AVERAGEIFS(Datos!$G$2:$G$27777,Datos!$E$2:$E$27777,$A53,Datos!$B$2:$B$27777,20,Datos!$C$2:$C$27777,"&gt;=30",Datos!$F$2:$F$27777,"STANDBY"),0),"")</f>
        <v/>
      </c>
      <c r="AB53" s="7">
        <f>IFERROR(ROUND(AVERAGEIFS(Datos!$G$2:$G$27777,Datos!$E$2:$E$27777,$A53,Datos!$B$2:$B$27777,21,Datos!$C$2:$C$27777,"&lt;30",Datos!$F$2:$F$27777,"STANDBY"),0),"")</f>
        <v/>
      </c>
      <c r="AC53" s="7">
        <f>IFERROR(ROUND(AVERAGEIFS(Datos!$G$2:$G$27777,Datos!$E$2:$E$27777,$A53,Datos!$B$2:$B$27777,21,Datos!$C$2:$C$27777,"&gt;=30",Datos!$F$2:$F$27777,"STANDBY"),0),"")</f>
        <v/>
      </c>
      <c r="AD53" s="7">
        <f>IFERROR(ROUND(AVERAGEIFS(Datos!$G$2:$G$27777,Datos!$E$2:$E$27777,$A53,Datos!$B$2:$B$27777,22,Datos!$C$2:$C$27777,"&lt;30",Datos!$F$2:$F$27777,"STANDBY"),0),"")</f>
        <v/>
      </c>
      <c r="AE53" s="7">
        <f>IFERROR(ROUND(AVERAGEIFS(Datos!$G$2:$G$27777,Datos!$E$2:$E$27777,$A53,Datos!$B$2:$B$27777,22,Datos!$C$2:$C$27777,"&gt;=30",Datos!$F$2:$F$27777,"STANDBY"),0),"")</f>
        <v/>
      </c>
      <c r="AF53" s="7">
        <f>IFERROR(ROUND(AVERAGEIFS(Datos!$G$2:$G$27777,Datos!$E$2:$E$27777,$A53,Datos!$B$2:$B$27777,23,Datos!$C$2:$C$27777,"&lt;30",Datos!$F$2:$F$27777,"STANDBY"),0),"")</f>
        <v/>
      </c>
      <c r="AG53" s="7">
        <f>IFERROR(ROUND(AVERAGEIFS(Datos!$G$2:$G$27777,Datos!$E$2:$E$27777,$A53,Datos!$B$2:$B$27777,23,Datos!$C$2:$C$27777,"&gt;=30",Datos!$F$2:$F$27777,"STANDBY"),0),"")</f>
        <v/>
      </c>
    </row>
    <row r="54">
      <c r="A54" s="6" t="inlineStr">
        <is>
          <t>Phantom Manor</t>
        </is>
      </c>
      <c r="B54" s="7">
        <f>IFERROR(ROUND(AVERAGEIFS(Datos!$G$2:$G$27777,Datos!$E$2:$E$27777,$A54,Datos!$B$2:$B$27777,8,Datos!$C$2:$C$27777,"&lt;30",Datos!$F$2:$F$27777,"STANDBY"),0),"")</f>
        <v/>
      </c>
      <c r="C54" s="7">
        <f>IFERROR(ROUND(AVERAGEIFS(Datos!$G$2:$G$27777,Datos!$E$2:$E$27777,$A54,Datos!$B$2:$B$27777,8,Datos!$C$2:$C$27777,"&gt;=30",Datos!$F$2:$F$27777,"STANDBY"),0),"")</f>
        <v/>
      </c>
      <c r="D54" s="7">
        <f>IFERROR(ROUND(AVERAGEIFS(Datos!$G$2:$G$27777,Datos!$E$2:$E$27777,$A54,Datos!$B$2:$B$27777,9,Datos!$C$2:$C$27777,"&lt;30",Datos!$F$2:$F$27777,"STANDBY"),0),"")</f>
        <v/>
      </c>
      <c r="E54" s="7">
        <f>IFERROR(ROUND(AVERAGEIFS(Datos!$G$2:$G$27777,Datos!$E$2:$E$27777,$A54,Datos!$B$2:$B$27777,9,Datos!$C$2:$C$27777,"&gt;=30",Datos!$F$2:$F$27777,"STANDBY"),0),"")</f>
        <v/>
      </c>
      <c r="F54" s="7">
        <f>IFERROR(ROUND(AVERAGEIFS(Datos!$G$2:$G$27777,Datos!$E$2:$E$27777,$A54,Datos!$B$2:$B$27777,10,Datos!$C$2:$C$27777,"&lt;30",Datos!$F$2:$F$27777,"STANDBY"),0),"")</f>
        <v/>
      </c>
      <c r="G54" s="7">
        <f>IFERROR(ROUND(AVERAGEIFS(Datos!$G$2:$G$27777,Datos!$E$2:$E$27777,$A54,Datos!$B$2:$B$27777,10,Datos!$C$2:$C$27777,"&gt;=30",Datos!$F$2:$F$27777,"STANDBY"),0),"")</f>
        <v/>
      </c>
      <c r="H54" s="7">
        <f>IFERROR(ROUND(AVERAGEIFS(Datos!$G$2:$G$27777,Datos!$E$2:$E$27777,$A54,Datos!$B$2:$B$27777,11,Datos!$C$2:$C$27777,"&lt;30",Datos!$F$2:$F$27777,"STANDBY"),0),"")</f>
        <v/>
      </c>
      <c r="I54" s="7">
        <f>IFERROR(ROUND(AVERAGEIFS(Datos!$G$2:$G$27777,Datos!$E$2:$E$27777,$A54,Datos!$B$2:$B$27777,11,Datos!$C$2:$C$27777,"&gt;=30",Datos!$F$2:$F$27777,"STANDBY"),0),"")</f>
        <v/>
      </c>
      <c r="J54" s="7">
        <f>IFERROR(ROUND(AVERAGEIFS(Datos!$G$2:$G$27777,Datos!$E$2:$E$27777,$A54,Datos!$B$2:$B$27777,12,Datos!$C$2:$C$27777,"&lt;30",Datos!$F$2:$F$27777,"STANDBY"),0),"")</f>
        <v/>
      </c>
      <c r="K54" s="7">
        <f>IFERROR(ROUND(AVERAGEIFS(Datos!$G$2:$G$27777,Datos!$E$2:$E$27777,$A54,Datos!$B$2:$B$27777,12,Datos!$C$2:$C$27777,"&gt;=30",Datos!$F$2:$F$27777,"STANDBY"),0),"")</f>
        <v/>
      </c>
      <c r="L54" s="7">
        <f>IFERROR(ROUND(AVERAGEIFS(Datos!$G$2:$G$27777,Datos!$E$2:$E$27777,$A54,Datos!$B$2:$B$27777,13,Datos!$C$2:$C$27777,"&lt;30",Datos!$F$2:$F$27777,"STANDBY"),0),"")</f>
        <v/>
      </c>
      <c r="M54" s="7">
        <f>IFERROR(ROUND(AVERAGEIFS(Datos!$G$2:$G$27777,Datos!$E$2:$E$27777,$A54,Datos!$B$2:$B$27777,13,Datos!$C$2:$C$27777,"&gt;=30",Datos!$F$2:$F$27777,"STANDBY"),0),"")</f>
        <v/>
      </c>
      <c r="N54" s="7">
        <f>IFERROR(ROUND(AVERAGEIFS(Datos!$G$2:$G$27777,Datos!$E$2:$E$27777,$A54,Datos!$B$2:$B$27777,14,Datos!$C$2:$C$27777,"&lt;30",Datos!$F$2:$F$27777,"STANDBY"),0),"")</f>
        <v/>
      </c>
      <c r="O54" s="7">
        <f>IFERROR(ROUND(AVERAGEIFS(Datos!$G$2:$G$27777,Datos!$E$2:$E$27777,$A54,Datos!$B$2:$B$27777,14,Datos!$C$2:$C$27777,"&gt;=30",Datos!$F$2:$F$27777,"STANDBY"),0),"")</f>
        <v/>
      </c>
      <c r="P54" s="7">
        <f>IFERROR(ROUND(AVERAGEIFS(Datos!$G$2:$G$27777,Datos!$E$2:$E$27777,$A54,Datos!$B$2:$B$27777,15,Datos!$C$2:$C$27777,"&lt;30",Datos!$F$2:$F$27777,"STANDBY"),0),"")</f>
        <v/>
      </c>
      <c r="Q54" s="7">
        <f>IFERROR(ROUND(AVERAGEIFS(Datos!$G$2:$G$27777,Datos!$E$2:$E$27777,$A54,Datos!$B$2:$B$27777,15,Datos!$C$2:$C$27777,"&gt;=30",Datos!$F$2:$F$27777,"STANDBY"),0),"")</f>
        <v/>
      </c>
      <c r="R54" s="7">
        <f>IFERROR(ROUND(AVERAGEIFS(Datos!$G$2:$G$27777,Datos!$E$2:$E$27777,$A54,Datos!$B$2:$B$27777,16,Datos!$C$2:$C$27777,"&lt;30",Datos!$F$2:$F$27777,"STANDBY"),0),"")</f>
        <v/>
      </c>
      <c r="S54" s="7">
        <f>IFERROR(ROUND(AVERAGEIFS(Datos!$G$2:$G$27777,Datos!$E$2:$E$27777,$A54,Datos!$B$2:$B$27777,16,Datos!$C$2:$C$27777,"&gt;=30",Datos!$F$2:$F$27777,"STANDBY"),0),"")</f>
        <v/>
      </c>
      <c r="T54" s="7">
        <f>IFERROR(ROUND(AVERAGEIFS(Datos!$G$2:$G$27777,Datos!$E$2:$E$27777,$A54,Datos!$B$2:$B$27777,17,Datos!$C$2:$C$27777,"&lt;30",Datos!$F$2:$F$27777,"STANDBY"),0),"")</f>
        <v/>
      </c>
      <c r="U54" s="7">
        <f>IFERROR(ROUND(AVERAGEIFS(Datos!$G$2:$G$27777,Datos!$E$2:$E$27777,$A54,Datos!$B$2:$B$27777,17,Datos!$C$2:$C$27777,"&gt;=30",Datos!$F$2:$F$27777,"STANDBY"),0),"")</f>
        <v/>
      </c>
      <c r="V54" s="7">
        <f>IFERROR(ROUND(AVERAGEIFS(Datos!$G$2:$G$27777,Datos!$E$2:$E$27777,$A54,Datos!$B$2:$B$27777,18,Datos!$C$2:$C$27777,"&lt;30",Datos!$F$2:$F$27777,"STANDBY"),0),"")</f>
        <v/>
      </c>
      <c r="W54" s="7">
        <f>IFERROR(ROUND(AVERAGEIFS(Datos!$G$2:$G$27777,Datos!$E$2:$E$27777,$A54,Datos!$B$2:$B$27777,18,Datos!$C$2:$C$27777,"&gt;=30",Datos!$F$2:$F$27777,"STANDBY"),0),"")</f>
        <v/>
      </c>
      <c r="X54" s="7">
        <f>IFERROR(ROUND(AVERAGEIFS(Datos!$G$2:$G$27777,Datos!$E$2:$E$27777,$A54,Datos!$B$2:$B$27777,19,Datos!$C$2:$C$27777,"&lt;30",Datos!$F$2:$F$27777,"STANDBY"),0),"")</f>
        <v/>
      </c>
      <c r="Y54" s="7">
        <f>IFERROR(ROUND(AVERAGEIFS(Datos!$G$2:$G$27777,Datos!$E$2:$E$27777,$A54,Datos!$B$2:$B$27777,19,Datos!$C$2:$C$27777,"&gt;=30",Datos!$F$2:$F$27777,"STANDBY"),0),"")</f>
        <v/>
      </c>
      <c r="Z54" s="7">
        <f>IFERROR(ROUND(AVERAGEIFS(Datos!$G$2:$G$27777,Datos!$E$2:$E$27777,$A54,Datos!$B$2:$B$27777,20,Datos!$C$2:$C$27777,"&lt;30",Datos!$F$2:$F$27777,"STANDBY"),0),"")</f>
        <v/>
      </c>
      <c r="AA54" s="7">
        <f>IFERROR(ROUND(AVERAGEIFS(Datos!$G$2:$G$27777,Datos!$E$2:$E$27777,$A54,Datos!$B$2:$B$27777,20,Datos!$C$2:$C$27777,"&gt;=30",Datos!$F$2:$F$27777,"STANDBY"),0),"")</f>
        <v/>
      </c>
      <c r="AB54" s="7">
        <f>IFERROR(ROUND(AVERAGEIFS(Datos!$G$2:$G$27777,Datos!$E$2:$E$27777,$A54,Datos!$B$2:$B$27777,21,Datos!$C$2:$C$27777,"&lt;30",Datos!$F$2:$F$27777,"STANDBY"),0),"")</f>
        <v/>
      </c>
      <c r="AC54" s="7">
        <f>IFERROR(ROUND(AVERAGEIFS(Datos!$G$2:$G$27777,Datos!$E$2:$E$27777,$A54,Datos!$B$2:$B$27777,21,Datos!$C$2:$C$27777,"&gt;=30",Datos!$F$2:$F$27777,"STANDBY"),0),"")</f>
        <v/>
      </c>
      <c r="AD54" s="7">
        <f>IFERROR(ROUND(AVERAGEIFS(Datos!$G$2:$G$27777,Datos!$E$2:$E$27777,$A54,Datos!$B$2:$B$27777,22,Datos!$C$2:$C$27777,"&lt;30",Datos!$F$2:$F$27777,"STANDBY"),0),"")</f>
        <v/>
      </c>
      <c r="AE54" s="7">
        <f>IFERROR(ROUND(AVERAGEIFS(Datos!$G$2:$G$27777,Datos!$E$2:$E$27777,$A54,Datos!$B$2:$B$27777,22,Datos!$C$2:$C$27777,"&gt;=30",Datos!$F$2:$F$27777,"STANDBY"),0),"")</f>
        <v/>
      </c>
      <c r="AF54" s="7">
        <f>IFERROR(ROUND(AVERAGEIFS(Datos!$G$2:$G$27777,Datos!$E$2:$E$27777,$A54,Datos!$B$2:$B$27777,23,Datos!$C$2:$C$27777,"&lt;30",Datos!$F$2:$F$27777,"STANDBY"),0),"")</f>
        <v/>
      </c>
      <c r="AG54" s="7">
        <f>IFERROR(ROUND(AVERAGEIFS(Datos!$G$2:$G$27777,Datos!$E$2:$E$27777,$A54,Datos!$B$2:$B$27777,23,Datos!$C$2:$C$27777,"&gt;=30",Datos!$F$2:$F$27777,"STANDBY"),0),"")</f>
        <v/>
      </c>
    </row>
    <row r="55">
      <c r="A55" s="6" t="inlineStr">
        <is>
          <t>Pirate Galleon</t>
        </is>
      </c>
      <c r="B55" s="7">
        <f>IFERROR(ROUND(AVERAGEIFS(Datos!$G$2:$G$27777,Datos!$E$2:$E$27777,$A55,Datos!$B$2:$B$27777,8,Datos!$C$2:$C$27777,"&lt;30",Datos!$F$2:$F$27777,"STANDBY"),0),"")</f>
        <v/>
      </c>
      <c r="C55" s="7">
        <f>IFERROR(ROUND(AVERAGEIFS(Datos!$G$2:$G$27777,Datos!$E$2:$E$27777,$A55,Datos!$B$2:$B$27777,8,Datos!$C$2:$C$27777,"&gt;=30",Datos!$F$2:$F$27777,"STANDBY"),0),"")</f>
        <v/>
      </c>
      <c r="D55" s="7">
        <f>IFERROR(ROUND(AVERAGEIFS(Datos!$G$2:$G$27777,Datos!$E$2:$E$27777,$A55,Datos!$B$2:$B$27777,9,Datos!$C$2:$C$27777,"&lt;30",Datos!$F$2:$F$27777,"STANDBY"),0),"")</f>
        <v/>
      </c>
      <c r="E55" s="7">
        <f>IFERROR(ROUND(AVERAGEIFS(Datos!$G$2:$G$27777,Datos!$E$2:$E$27777,$A55,Datos!$B$2:$B$27777,9,Datos!$C$2:$C$27777,"&gt;=30",Datos!$F$2:$F$27777,"STANDBY"),0),"")</f>
        <v/>
      </c>
      <c r="F55" s="7">
        <f>IFERROR(ROUND(AVERAGEIFS(Datos!$G$2:$G$27777,Datos!$E$2:$E$27777,$A55,Datos!$B$2:$B$27777,10,Datos!$C$2:$C$27777,"&lt;30",Datos!$F$2:$F$27777,"STANDBY"),0),"")</f>
        <v/>
      </c>
      <c r="G55" s="7">
        <f>IFERROR(ROUND(AVERAGEIFS(Datos!$G$2:$G$27777,Datos!$E$2:$E$27777,$A55,Datos!$B$2:$B$27777,10,Datos!$C$2:$C$27777,"&gt;=30",Datos!$F$2:$F$27777,"STANDBY"),0),"")</f>
        <v/>
      </c>
      <c r="H55" s="7">
        <f>IFERROR(ROUND(AVERAGEIFS(Datos!$G$2:$G$27777,Datos!$E$2:$E$27777,$A55,Datos!$B$2:$B$27777,11,Datos!$C$2:$C$27777,"&lt;30",Datos!$F$2:$F$27777,"STANDBY"),0),"")</f>
        <v/>
      </c>
      <c r="I55" s="7">
        <f>IFERROR(ROUND(AVERAGEIFS(Datos!$G$2:$G$27777,Datos!$E$2:$E$27777,$A55,Datos!$B$2:$B$27777,11,Datos!$C$2:$C$27777,"&gt;=30",Datos!$F$2:$F$27777,"STANDBY"),0),"")</f>
        <v/>
      </c>
      <c r="J55" s="7">
        <f>IFERROR(ROUND(AVERAGEIFS(Datos!$G$2:$G$27777,Datos!$E$2:$E$27777,$A55,Datos!$B$2:$B$27777,12,Datos!$C$2:$C$27777,"&lt;30",Datos!$F$2:$F$27777,"STANDBY"),0),"")</f>
        <v/>
      </c>
      <c r="K55" s="7">
        <f>IFERROR(ROUND(AVERAGEIFS(Datos!$G$2:$G$27777,Datos!$E$2:$E$27777,$A55,Datos!$B$2:$B$27777,12,Datos!$C$2:$C$27777,"&gt;=30",Datos!$F$2:$F$27777,"STANDBY"),0),"")</f>
        <v/>
      </c>
      <c r="L55" s="7">
        <f>IFERROR(ROUND(AVERAGEIFS(Datos!$G$2:$G$27777,Datos!$E$2:$E$27777,$A55,Datos!$B$2:$B$27777,13,Datos!$C$2:$C$27777,"&lt;30",Datos!$F$2:$F$27777,"STANDBY"),0),"")</f>
        <v/>
      </c>
      <c r="M55" s="7">
        <f>IFERROR(ROUND(AVERAGEIFS(Datos!$G$2:$G$27777,Datos!$E$2:$E$27777,$A55,Datos!$B$2:$B$27777,13,Datos!$C$2:$C$27777,"&gt;=30",Datos!$F$2:$F$27777,"STANDBY"),0),"")</f>
        <v/>
      </c>
      <c r="N55" s="7">
        <f>IFERROR(ROUND(AVERAGEIFS(Datos!$G$2:$G$27777,Datos!$E$2:$E$27777,$A55,Datos!$B$2:$B$27777,14,Datos!$C$2:$C$27777,"&lt;30",Datos!$F$2:$F$27777,"STANDBY"),0),"")</f>
        <v/>
      </c>
      <c r="O55" s="7">
        <f>IFERROR(ROUND(AVERAGEIFS(Datos!$G$2:$G$27777,Datos!$E$2:$E$27777,$A55,Datos!$B$2:$B$27777,14,Datos!$C$2:$C$27777,"&gt;=30",Datos!$F$2:$F$27777,"STANDBY"),0),"")</f>
        <v/>
      </c>
      <c r="P55" s="7">
        <f>IFERROR(ROUND(AVERAGEIFS(Datos!$G$2:$G$27777,Datos!$E$2:$E$27777,$A55,Datos!$B$2:$B$27777,15,Datos!$C$2:$C$27777,"&lt;30",Datos!$F$2:$F$27777,"STANDBY"),0),"")</f>
        <v/>
      </c>
      <c r="Q55" s="7">
        <f>IFERROR(ROUND(AVERAGEIFS(Datos!$G$2:$G$27777,Datos!$E$2:$E$27777,$A55,Datos!$B$2:$B$27777,15,Datos!$C$2:$C$27777,"&gt;=30",Datos!$F$2:$F$27777,"STANDBY"),0),"")</f>
        <v/>
      </c>
      <c r="R55" s="7">
        <f>IFERROR(ROUND(AVERAGEIFS(Datos!$G$2:$G$27777,Datos!$E$2:$E$27777,$A55,Datos!$B$2:$B$27777,16,Datos!$C$2:$C$27777,"&lt;30",Datos!$F$2:$F$27777,"STANDBY"),0),"")</f>
        <v/>
      </c>
      <c r="S55" s="7">
        <f>IFERROR(ROUND(AVERAGEIFS(Datos!$G$2:$G$27777,Datos!$E$2:$E$27777,$A55,Datos!$B$2:$B$27777,16,Datos!$C$2:$C$27777,"&gt;=30",Datos!$F$2:$F$27777,"STANDBY"),0),"")</f>
        <v/>
      </c>
      <c r="T55" s="7">
        <f>IFERROR(ROUND(AVERAGEIFS(Datos!$G$2:$G$27777,Datos!$E$2:$E$27777,$A55,Datos!$B$2:$B$27777,17,Datos!$C$2:$C$27777,"&lt;30",Datos!$F$2:$F$27777,"STANDBY"),0),"")</f>
        <v/>
      </c>
      <c r="U55" s="7">
        <f>IFERROR(ROUND(AVERAGEIFS(Datos!$G$2:$G$27777,Datos!$E$2:$E$27777,$A55,Datos!$B$2:$B$27777,17,Datos!$C$2:$C$27777,"&gt;=30",Datos!$F$2:$F$27777,"STANDBY"),0),"")</f>
        <v/>
      </c>
      <c r="V55" s="7">
        <f>IFERROR(ROUND(AVERAGEIFS(Datos!$G$2:$G$27777,Datos!$E$2:$E$27777,$A55,Datos!$B$2:$B$27777,18,Datos!$C$2:$C$27777,"&lt;30",Datos!$F$2:$F$27777,"STANDBY"),0),"")</f>
        <v/>
      </c>
      <c r="W55" s="7">
        <f>IFERROR(ROUND(AVERAGEIFS(Datos!$G$2:$G$27777,Datos!$E$2:$E$27777,$A55,Datos!$B$2:$B$27777,18,Datos!$C$2:$C$27777,"&gt;=30",Datos!$F$2:$F$27777,"STANDBY"),0),"")</f>
        <v/>
      </c>
      <c r="X55" s="7">
        <f>IFERROR(ROUND(AVERAGEIFS(Datos!$G$2:$G$27777,Datos!$E$2:$E$27777,$A55,Datos!$B$2:$B$27777,19,Datos!$C$2:$C$27777,"&lt;30",Datos!$F$2:$F$27777,"STANDBY"),0),"")</f>
        <v/>
      </c>
      <c r="Y55" s="7">
        <f>IFERROR(ROUND(AVERAGEIFS(Datos!$G$2:$G$27777,Datos!$E$2:$E$27777,$A55,Datos!$B$2:$B$27777,19,Datos!$C$2:$C$27777,"&gt;=30",Datos!$F$2:$F$27777,"STANDBY"),0),"")</f>
        <v/>
      </c>
      <c r="Z55" s="7">
        <f>IFERROR(ROUND(AVERAGEIFS(Datos!$G$2:$G$27777,Datos!$E$2:$E$27777,$A55,Datos!$B$2:$B$27777,20,Datos!$C$2:$C$27777,"&lt;30",Datos!$F$2:$F$27777,"STANDBY"),0),"")</f>
        <v/>
      </c>
      <c r="AA55" s="7">
        <f>IFERROR(ROUND(AVERAGEIFS(Datos!$G$2:$G$27777,Datos!$E$2:$E$27777,$A55,Datos!$B$2:$B$27777,20,Datos!$C$2:$C$27777,"&gt;=30",Datos!$F$2:$F$27777,"STANDBY"),0),"")</f>
        <v/>
      </c>
      <c r="AB55" s="7">
        <f>IFERROR(ROUND(AVERAGEIFS(Datos!$G$2:$G$27777,Datos!$E$2:$E$27777,$A55,Datos!$B$2:$B$27777,21,Datos!$C$2:$C$27777,"&lt;30",Datos!$F$2:$F$27777,"STANDBY"),0),"")</f>
        <v/>
      </c>
      <c r="AC55" s="7">
        <f>IFERROR(ROUND(AVERAGEIFS(Datos!$G$2:$G$27777,Datos!$E$2:$E$27777,$A55,Datos!$B$2:$B$27777,21,Datos!$C$2:$C$27777,"&gt;=30",Datos!$F$2:$F$27777,"STANDBY"),0),"")</f>
        <v/>
      </c>
      <c r="AD55" s="7">
        <f>IFERROR(ROUND(AVERAGEIFS(Datos!$G$2:$G$27777,Datos!$E$2:$E$27777,$A55,Datos!$B$2:$B$27777,22,Datos!$C$2:$C$27777,"&lt;30",Datos!$F$2:$F$27777,"STANDBY"),0),"")</f>
        <v/>
      </c>
      <c r="AE55" s="7">
        <f>IFERROR(ROUND(AVERAGEIFS(Datos!$G$2:$G$27777,Datos!$E$2:$E$27777,$A55,Datos!$B$2:$B$27777,22,Datos!$C$2:$C$27777,"&gt;=30",Datos!$F$2:$F$27777,"STANDBY"),0),"")</f>
        <v/>
      </c>
      <c r="AF55" s="7">
        <f>IFERROR(ROUND(AVERAGEIFS(Datos!$G$2:$G$27777,Datos!$E$2:$E$27777,$A55,Datos!$B$2:$B$27777,23,Datos!$C$2:$C$27777,"&lt;30",Datos!$F$2:$F$27777,"STANDBY"),0),"")</f>
        <v/>
      </c>
      <c r="AG55" s="7">
        <f>IFERROR(ROUND(AVERAGEIFS(Datos!$G$2:$G$27777,Datos!$E$2:$E$27777,$A55,Datos!$B$2:$B$27777,23,Datos!$C$2:$C$27777,"&gt;=30",Datos!$F$2:$F$27777,"STANDBY"),0),"")</f>
        <v/>
      </c>
    </row>
    <row r="56">
      <c r="A56" s="6" t="inlineStr">
        <is>
          <t>Pirates of the Caribbean</t>
        </is>
      </c>
      <c r="B56" s="7">
        <f>IFERROR(ROUND(AVERAGEIFS(Datos!$G$2:$G$27777,Datos!$E$2:$E$27777,$A56,Datos!$B$2:$B$27777,8,Datos!$C$2:$C$27777,"&lt;30",Datos!$F$2:$F$27777,"STANDBY"),0),"")</f>
        <v/>
      </c>
      <c r="C56" s="7">
        <f>IFERROR(ROUND(AVERAGEIFS(Datos!$G$2:$G$27777,Datos!$E$2:$E$27777,$A56,Datos!$B$2:$B$27777,8,Datos!$C$2:$C$27777,"&gt;=30",Datos!$F$2:$F$27777,"STANDBY"),0),"")</f>
        <v/>
      </c>
      <c r="D56" s="7">
        <f>IFERROR(ROUND(AVERAGEIFS(Datos!$G$2:$G$27777,Datos!$E$2:$E$27777,$A56,Datos!$B$2:$B$27777,9,Datos!$C$2:$C$27777,"&lt;30",Datos!$F$2:$F$27777,"STANDBY"),0),"")</f>
        <v/>
      </c>
      <c r="E56" s="7">
        <f>IFERROR(ROUND(AVERAGEIFS(Datos!$G$2:$G$27777,Datos!$E$2:$E$27777,$A56,Datos!$B$2:$B$27777,9,Datos!$C$2:$C$27777,"&gt;=30",Datos!$F$2:$F$27777,"STANDBY"),0),"")</f>
        <v/>
      </c>
      <c r="F56" s="7">
        <f>IFERROR(ROUND(AVERAGEIFS(Datos!$G$2:$G$27777,Datos!$E$2:$E$27777,$A56,Datos!$B$2:$B$27777,10,Datos!$C$2:$C$27777,"&lt;30",Datos!$F$2:$F$27777,"STANDBY"),0),"")</f>
        <v/>
      </c>
      <c r="G56" s="7">
        <f>IFERROR(ROUND(AVERAGEIFS(Datos!$G$2:$G$27777,Datos!$E$2:$E$27777,$A56,Datos!$B$2:$B$27777,10,Datos!$C$2:$C$27777,"&gt;=30",Datos!$F$2:$F$27777,"STANDBY"),0),"")</f>
        <v/>
      </c>
      <c r="H56" s="7">
        <f>IFERROR(ROUND(AVERAGEIFS(Datos!$G$2:$G$27777,Datos!$E$2:$E$27777,$A56,Datos!$B$2:$B$27777,11,Datos!$C$2:$C$27777,"&lt;30",Datos!$F$2:$F$27777,"STANDBY"),0),"")</f>
        <v/>
      </c>
      <c r="I56" s="7">
        <f>IFERROR(ROUND(AVERAGEIFS(Datos!$G$2:$G$27777,Datos!$E$2:$E$27777,$A56,Datos!$B$2:$B$27777,11,Datos!$C$2:$C$27777,"&gt;=30",Datos!$F$2:$F$27777,"STANDBY"),0),"")</f>
        <v/>
      </c>
      <c r="J56" s="7">
        <f>IFERROR(ROUND(AVERAGEIFS(Datos!$G$2:$G$27777,Datos!$E$2:$E$27777,$A56,Datos!$B$2:$B$27777,12,Datos!$C$2:$C$27777,"&lt;30",Datos!$F$2:$F$27777,"STANDBY"),0),"")</f>
        <v/>
      </c>
      <c r="K56" s="7">
        <f>IFERROR(ROUND(AVERAGEIFS(Datos!$G$2:$G$27777,Datos!$E$2:$E$27777,$A56,Datos!$B$2:$B$27777,12,Datos!$C$2:$C$27777,"&gt;=30",Datos!$F$2:$F$27777,"STANDBY"),0),"")</f>
        <v/>
      </c>
      <c r="L56" s="7">
        <f>IFERROR(ROUND(AVERAGEIFS(Datos!$G$2:$G$27777,Datos!$E$2:$E$27777,$A56,Datos!$B$2:$B$27777,13,Datos!$C$2:$C$27777,"&lt;30",Datos!$F$2:$F$27777,"STANDBY"),0),"")</f>
        <v/>
      </c>
      <c r="M56" s="7">
        <f>IFERROR(ROUND(AVERAGEIFS(Datos!$G$2:$G$27777,Datos!$E$2:$E$27777,$A56,Datos!$B$2:$B$27777,13,Datos!$C$2:$C$27777,"&gt;=30",Datos!$F$2:$F$27777,"STANDBY"),0),"")</f>
        <v/>
      </c>
      <c r="N56" s="7">
        <f>IFERROR(ROUND(AVERAGEIFS(Datos!$G$2:$G$27777,Datos!$E$2:$E$27777,$A56,Datos!$B$2:$B$27777,14,Datos!$C$2:$C$27777,"&lt;30",Datos!$F$2:$F$27777,"STANDBY"),0),"")</f>
        <v/>
      </c>
      <c r="O56" s="7">
        <f>IFERROR(ROUND(AVERAGEIFS(Datos!$G$2:$G$27777,Datos!$E$2:$E$27777,$A56,Datos!$B$2:$B$27777,14,Datos!$C$2:$C$27777,"&gt;=30",Datos!$F$2:$F$27777,"STANDBY"),0),"")</f>
        <v/>
      </c>
      <c r="P56" s="7">
        <f>IFERROR(ROUND(AVERAGEIFS(Datos!$G$2:$G$27777,Datos!$E$2:$E$27777,$A56,Datos!$B$2:$B$27777,15,Datos!$C$2:$C$27777,"&lt;30",Datos!$F$2:$F$27777,"STANDBY"),0),"")</f>
        <v/>
      </c>
      <c r="Q56" s="7">
        <f>IFERROR(ROUND(AVERAGEIFS(Datos!$G$2:$G$27777,Datos!$E$2:$E$27777,$A56,Datos!$B$2:$B$27777,15,Datos!$C$2:$C$27777,"&gt;=30",Datos!$F$2:$F$27777,"STANDBY"),0),"")</f>
        <v/>
      </c>
      <c r="R56" s="7">
        <f>IFERROR(ROUND(AVERAGEIFS(Datos!$G$2:$G$27777,Datos!$E$2:$E$27777,$A56,Datos!$B$2:$B$27777,16,Datos!$C$2:$C$27777,"&lt;30",Datos!$F$2:$F$27777,"STANDBY"),0),"")</f>
        <v/>
      </c>
      <c r="S56" s="7">
        <f>IFERROR(ROUND(AVERAGEIFS(Datos!$G$2:$G$27777,Datos!$E$2:$E$27777,$A56,Datos!$B$2:$B$27777,16,Datos!$C$2:$C$27777,"&gt;=30",Datos!$F$2:$F$27777,"STANDBY"),0),"")</f>
        <v/>
      </c>
      <c r="T56" s="7">
        <f>IFERROR(ROUND(AVERAGEIFS(Datos!$G$2:$G$27777,Datos!$E$2:$E$27777,$A56,Datos!$B$2:$B$27777,17,Datos!$C$2:$C$27777,"&lt;30",Datos!$F$2:$F$27777,"STANDBY"),0),"")</f>
        <v/>
      </c>
      <c r="U56" s="7">
        <f>IFERROR(ROUND(AVERAGEIFS(Datos!$G$2:$G$27777,Datos!$E$2:$E$27777,$A56,Datos!$B$2:$B$27777,17,Datos!$C$2:$C$27777,"&gt;=30",Datos!$F$2:$F$27777,"STANDBY"),0),"")</f>
        <v/>
      </c>
      <c r="V56" s="7">
        <f>IFERROR(ROUND(AVERAGEIFS(Datos!$G$2:$G$27777,Datos!$E$2:$E$27777,$A56,Datos!$B$2:$B$27777,18,Datos!$C$2:$C$27777,"&lt;30",Datos!$F$2:$F$27777,"STANDBY"),0),"")</f>
        <v/>
      </c>
      <c r="W56" s="7">
        <f>IFERROR(ROUND(AVERAGEIFS(Datos!$G$2:$G$27777,Datos!$E$2:$E$27777,$A56,Datos!$B$2:$B$27777,18,Datos!$C$2:$C$27777,"&gt;=30",Datos!$F$2:$F$27777,"STANDBY"),0),"")</f>
        <v/>
      </c>
      <c r="X56" s="7">
        <f>IFERROR(ROUND(AVERAGEIFS(Datos!$G$2:$G$27777,Datos!$E$2:$E$27777,$A56,Datos!$B$2:$B$27777,19,Datos!$C$2:$C$27777,"&lt;30",Datos!$F$2:$F$27777,"STANDBY"),0),"")</f>
        <v/>
      </c>
      <c r="Y56" s="7">
        <f>IFERROR(ROUND(AVERAGEIFS(Datos!$G$2:$G$27777,Datos!$E$2:$E$27777,$A56,Datos!$B$2:$B$27777,19,Datos!$C$2:$C$27777,"&gt;=30",Datos!$F$2:$F$27777,"STANDBY"),0),"")</f>
        <v/>
      </c>
      <c r="Z56" s="7">
        <f>IFERROR(ROUND(AVERAGEIFS(Datos!$G$2:$G$27777,Datos!$E$2:$E$27777,$A56,Datos!$B$2:$B$27777,20,Datos!$C$2:$C$27777,"&lt;30",Datos!$F$2:$F$27777,"STANDBY"),0),"")</f>
        <v/>
      </c>
      <c r="AA56" s="7">
        <f>IFERROR(ROUND(AVERAGEIFS(Datos!$G$2:$G$27777,Datos!$E$2:$E$27777,$A56,Datos!$B$2:$B$27777,20,Datos!$C$2:$C$27777,"&gt;=30",Datos!$F$2:$F$27777,"STANDBY"),0),"")</f>
        <v/>
      </c>
      <c r="AB56" s="7">
        <f>IFERROR(ROUND(AVERAGEIFS(Datos!$G$2:$G$27777,Datos!$E$2:$E$27777,$A56,Datos!$B$2:$B$27777,21,Datos!$C$2:$C$27777,"&lt;30",Datos!$F$2:$F$27777,"STANDBY"),0),"")</f>
        <v/>
      </c>
      <c r="AC56" s="7">
        <f>IFERROR(ROUND(AVERAGEIFS(Datos!$G$2:$G$27777,Datos!$E$2:$E$27777,$A56,Datos!$B$2:$B$27777,21,Datos!$C$2:$C$27777,"&gt;=30",Datos!$F$2:$F$27777,"STANDBY"),0),"")</f>
        <v/>
      </c>
      <c r="AD56" s="7">
        <f>IFERROR(ROUND(AVERAGEIFS(Datos!$G$2:$G$27777,Datos!$E$2:$E$27777,$A56,Datos!$B$2:$B$27777,22,Datos!$C$2:$C$27777,"&lt;30",Datos!$F$2:$F$27777,"STANDBY"),0),"")</f>
        <v/>
      </c>
      <c r="AE56" s="7">
        <f>IFERROR(ROUND(AVERAGEIFS(Datos!$G$2:$G$27777,Datos!$E$2:$E$27777,$A56,Datos!$B$2:$B$27777,22,Datos!$C$2:$C$27777,"&gt;=30",Datos!$F$2:$F$27777,"STANDBY"),0),"")</f>
        <v/>
      </c>
      <c r="AF56" s="7">
        <f>IFERROR(ROUND(AVERAGEIFS(Datos!$G$2:$G$27777,Datos!$E$2:$E$27777,$A56,Datos!$B$2:$B$27777,23,Datos!$C$2:$C$27777,"&lt;30",Datos!$F$2:$F$27777,"STANDBY"),0),"")</f>
        <v/>
      </c>
      <c r="AG56" s="7">
        <f>IFERROR(ROUND(AVERAGEIFS(Datos!$G$2:$G$27777,Datos!$E$2:$E$27777,$A56,Datos!$B$2:$B$27777,23,Datos!$C$2:$C$27777,"&gt;=30",Datos!$F$2:$F$27777,"STANDBY"),0),"")</f>
        <v/>
      </c>
    </row>
    <row r="57">
      <c r="A57" s="6" t="inlineStr">
        <is>
          <t>Pirates' Beach</t>
        </is>
      </c>
      <c r="B57" s="7">
        <f>IFERROR(ROUND(AVERAGEIFS(Datos!$G$2:$G$27777,Datos!$E$2:$E$27777,$A57,Datos!$B$2:$B$27777,8,Datos!$C$2:$C$27777,"&lt;30",Datos!$F$2:$F$27777,"STANDBY"),0),"")</f>
        <v/>
      </c>
      <c r="C57" s="7">
        <f>IFERROR(ROUND(AVERAGEIFS(Datos!$G$2:$G$27777,Datos!$E$2:$E$27777,$A57,Datos!$B$2:$B$27777,8,Datos!$C$2:$C$27777,"&gt;=30",Datos!$F$2:$F$27777,"STANDBY"),0),"")</f>
        <v/>
      </c>
      <c r="D57" s="7">
        <f>IFERROR(ROUND(AVERAGEIFS(Datos!$G$2:$G$27777,Datos!$E$2:$E$27777,$A57,Datos!$B$2:$B$27777,9,Datos!$C$2:$C$27777,"&lt;30",Datos!$F$2:$F$27777,"STANDBY"),0),"")</f>
        <v/>
      </c>
      <c r="E57" s="7">
        <f>IFERROR(ROUND(AVERAGEIFS(Datos!$G$2:$G$27777,Datos!$E$2:$E$27777,$A57,Datos!$B$2:$B$27777,9,Datos!$C$2:$C$27777,"&gt;=30",Datos!$F$2:$F$27777,"STANDBY"),0),"")</f>
        <v/>
      </c>
      <c r="F57" s="7">
        <f>IFERROR(ROUND(AVERAGEIFS(Datos!$G$2:$G$27777,Datos!$E$2:$E$27777,$A57,Datos!$B$2:$B$27777,10,Datos!$C$2:$C$27777,"&lt;30",Datos!$F$2:$F$27777,"STANDBY"),0),"")</f>
        <v/>
      </c>
      <c r="G57" s="7">
        <f>IFERROR(ROUND(AVERAGEIFS(Datos!$G$2:$G$27777,Datos!$E$2:$E$27777,$A57,Datos!$B$2:$B$27777,10,Datos!$C$2:$C$27777,"&gt;=30",Datos!$F$2:$F$27777,"STANDBY"),0),"")</f>
        <v/>
      </c>
      <c r="H57" s="7">
        <f>IFERROR(ROUND(AVERAGEIFS(Datos!$G$2:$G$27777,Datos!$E$2:$E$27777,$A57,Datos!$B$2:$B$27777,11,Datos!$C$2:$C$27777,"&lt;30",Datos!$F$2:$F$27777,"STANDBY"),0),"")</f>
        <v/>
      </c>
      <c r="I57" s="7">
        <f>IFERROR(ROUND(AVERAGEIFS(Datos!$G$2:$G$27777,Datos!$E$2:$E$27777,$A57,Datos!$B$2:$B$27777,11,Datos!$C$2:$C$27777,"&gt;=30",Datos!$F$2:$F$27777,"STANDBY"),0),"")</f>
        <v/>
      </c>
      <c r="J57" s="7">
        <f>IFERROR(ROUND(AVERAGEIFS(Datos!$G$2:$G$27777,Datos!$E$2:$E$27777,$A57,Datos!$B$2:$B$27777,12,Datos!$C$2:$C$27777,"&lt;30",Datos!$F$2:$F$27777,"STANDBY"),0),"")</f>
        <v/>
      </c>
      <c r="K57" s="7">
        <f>IFERROR(ROUND(AVERAGEIFS(Datos!$G$2:$G$27777,Datos!$E$2:$E$27777,$A57,Datos!$B$2:$B$27777,12,Datos!$C$2:$C$27777,"&gt;=30",Datos!$F$2:$F$27777,"STANDBY"),0),"")</f>
        <v/>
      </c>
      <c r="L57" s="7">
        <f>IFERROR(ROUND(AVERAGEIFS(Datos!$G$2:$G$27777,Datos!$E$2:$E$27777,$A57,Datos!$B$2:$B$27777,13,Datos!$C$2:$C$27777,"&lt;30",Datos!$F$2:$F$27777,"STANDBY"),0),"")</f>
        <v/>
      </c>
      <c r="M57" s="7">
        <f>IFERROR(ROUND(AVERAGEIFS(Datos!$G$2:$G$27777,Datos!$E$2:$E$27777,$A57,Datos!$B$2:$B$27777,13,Datos!$C$2:$C$27777,"&gt;=30",Datos!$F$2:$F$27777,"STANDBY"),0),"")</f>
        <v/>
      </c>
      <c r="N57" s="7">
        <f>IFERROR(ROUND(AVERAGEIFS(Datos!$G$2:$G$27777,Datos!$E$2:$E$27777,$A57,Datos!$B$2:$B$27777,14,Datos!$C$2:$C$27777,"&lt;30",Datos!$F$2:$F$27777,"STANDBY"),0),"")</f>
        <v/>
      </c>
      <c r="O57" s="7">
        <f>IFERROR(ROUND(AVERAGEIFS(Datos!$G$2:$G$27777,Datos!$E$2:$E$27777,$A57,Datos!$B$2:$B$27777,14,Datos!$C$2:$C$27777,"&gt;=30",Datos!$F$2:$F$27777,"STANDBY"),0),"")</f>
        <v/>
      </c>
      <c r="P57" s="7">
        <f>IFERROR(ROUND(AVERAGEIFS(Datos!$G$2:$G$27777,Datos!$E$2:$E$27777,$A57,Datos!$B$2:$B$27777,15,Datos!$C$2:$C$27777,"&lt;30",Datos!$F$2:$F$27777,"STANDBY"),0),"")</f>
        <v/>
      </c>
      <c r="Q57" s="7">
        <f>IFERROR(ROUND(AVERAGEIFS(Datos!$G$2:$G$27777,Datos!$E$2:$E$27777,$A57,Datos!$B$2:$B$27777,15,Datos!$C$2:$C$27777,"&gt;=30",Datos!$F$2:$F$27777,"STANDBY"),0),"")</f>
        <v/>
      </c>
      <c r="R57" s="7">
        <f>IFERROR(ROUND(AVERAGEIFS(Datos!$G$2:$G$27777,Datos!$E$2:$E$27777,$A57,Datos!$B$2:$B$27777,16,Datos!$C$2:$C$27777,"&lt;30",Datos!$F$2:$F$27777,"STANDBY"),0),"")</f>
        <v/>
      </c>
      <c r="S57" s="7">
        <f>IFERROR(ROUND(AVERAGEIFS(Datos!$G$2:$G$27777,Datos!$E$2:$E$27777,$A57,Datos!$B$2:$B$27777,16,Datos!$C$2:$C$27777,"&gt;=30",Datos!$F$2:$F$27777,"STANDBY"),0),"")</f>
        <v/>
      </c>
      <c r="T57" s="7">
        <f>IFERROR(ROUND(AVERAGEIFS(Datos!$G$2:$G$27777,Datos!$E$2:$E$27777,$A57,Datos!$B$2:$B$27777,17,Datos!$C$2:$C$27777,"&lt;30",Datos!$F$2:$F$27777,"STANDBY"),0),"")</f>
        <v/>
      </c>
      <c r="U57" s="7">
        <f>IFERROR(ROUND(AVERAGEIFS(Datos!$G$2:$G$27777,Datos!$E$2:$E$27777,$A57,Datos!$B$2:$B$27777,17,Datos!$C$2:$C$27777,"&gt;=30",Datos!$F$2:$F$27777,"STANDBY"),0),"")</f>
        <v/>
      </c>
      <c r="V57" s="7">
        <f>IFERROR(ROUND(AVERAGEIFS(Datos!$G$2:$G$27777,Datos!$E$2:$E$27777,$A57,Datos!$B$2:$B$27777,18,Datos!$C$2:$C$27777,"&lt;30",Datos!$F$2:$F$27777,"STANDBY"),0),"")</f>
        <v/>
      </c>
      <c r="W57" s="7">
        <f>IFERROR(ROUND(AVERAGEIFS(Datos!$G$2:$G$27777,Datos!$E$2:$E$27777,$A57,Datos!$B$2:$B$27777,18,Datos!$C$2:$C$27777,"&gt;=30",Datos!$F$2:$F$27777,"STANDBY"),0),"")</f>
        <v/>
      </c>
      <c r="X57" s="7">
        <f>IFERROR(ROUND(AVERAGEIFS(Datos!$G$2:$G$27777,Datos!$E$2:$E$27777,$A57,Datos!$B$2:$B$27777,19,Datos!$C$2:$C$27777,"&lt;30",Datos!$F$2:$F$27777,"STANDBY"),0),"")</f>
        <v/>
      </c>
      <c r="Y57" s="7">
        <f>IFERROR(ROUND(AVERAGEIFS(Datos!$G$2:$G$27777,Datos!$E$2:$E$27777,$A57,Datos!$B$2:$B$27777,19,Datos!$C$2:$C$27777,"&gt;=30",Datos!$F$2:$F$27777,"STANDBY"),0),"")</f>
        <v/>
      </c>
      <c r="Z57" s="7">
        <f>IFERROR(ROUND(AVERAGEIFS(Datos!$G$2:$G$27777,Datos!$E$2:$E$27777,$A57,Datos!$B$2:$B$27777,20,Datos!$C$2:$C$27777,"&lt;30",Datos!$F$2:$F$27777,"STANDBY"),0),"")</f>
        <v/>
      </c>
      <c r="AA57" s="7">
        <f>IFERROR(ROUND(AVERAGEIFS(Datos!$G$2:$G$27777,Datos!$E$2:$E$27777,$A57,Datos!$B$2:$B$27777,20,Datos!$C$2:$C$27777,"&gt;=30",Datos!$F$2:$F$27777,"STANDBY"),0),"")</f>
        <v/>
      </c>
      <c r="AB57" s="7">
        <f>IFERROR(ROUND(AVERAGEIFS(Datos!$G$2:$G$27777,Datos!$E$2:$E$27777,$A57,Datos!$B$2:$B$27777,21,Datos!$C$2:$C$27777,"&lt;30",Datos!$F$2:$F$27777,"STANDBY"),0),"")</f>
        <v/>
      </c>
      <c r="AC57" s="7">
        <f>IFERROR(ROUND(AVERAGEIFS(Datos!$G$2:$G$27777,Datos!$E$2:$E$27777,$A57,Datos!$B$2:$B$27777,21,Datos!$C$2:$C$27777,"&gt;=30",Datos!$F$2:$F$27777,"STANDBY"),0),"")</f>
        <v/>
      </c>
      <c r="AD57" s="7">
        <f>IFERROR(ROUND(AVERAGEIFS(Datos!$G$2:$G$27777,Datos!$E$2:$E$27777,$A57,Datos!$B$2:$B$27777,22,Datos!$C$2:$C$27777,"&lt;30",Datos!$F$2:$F$27777,"STANDBY"),0),"")</f>
        <v/>
      </c>
      <c r="AE57" s="7">
        <f>IFERROR(ROUND(AVERAGEIFS(Datos!$G$2:$G$27777,Datos!$E$2:$E$27777,$A57,Datos!$B$2:$B$27777,22,Datos!$C$2:$C$27777,"&gt;=30",Datos!$F$2:$F$27777,"STANDBY"),0),"")</f>
        <v/>
      </c>
      <c r="AF57" s="7">
        <f>IFERROR(ROUND(AVERAGEIFS(Datos!$G$2:$G$27777,Datos!$E$2:$E$27777,$A57,Datos!$B$2:$B$27777,23,Datos!$C$2:$C$27777,"&lt;30",Datos!$F$2:$F$27777,"STANDBY"),0),"")</f>
        <v/>
      </c>
      <c r="AG57" s="7">
        <f>IFERROR(ROUND(AVERAGEIFS(Datos!$G$2:$G$27777,Datos!$E$2:$E$27777,$A57,Datos!$B$2:$B$27777,23,Datos!$C$2:$C$27777,"&gt;=30",Datos!$F$2:$F$27777,"STANDBY"),0),"")</f>
        <v/>
      </c>
    </row>
    <row r="58">
      <c r="A58" s="6" t="inlineStr">
        <is>
          <t>Princess Pavilion</t>
        </is>
      </c>
      <c r="B58" s="7">
        <f>IFERROR(ROUND(AVERAGEIFS(Datos!$G$2:$G$27777,Datos!$E$2:$E$27777,$A58,Datos!$B$2:$B$27777,8,Datos!$C$2:$C$27777,"&lt;30",Datos!$F$2:$F$27777,"STANDBY"),0),"")</f>
        <v/>
      </c>
      <c r="C58" s="7">
        <f>IFERROR(ROUND(AVERAGEIFS(Datos!$G$2:$G$27777,Datos!$E$2:$E$27777,$A58,Datos!$B$2:$B$27777,8,Datos!$C$2:$C$27777,"&gt;=30",Datos!$F$2:$F$27777,"STANDBY"),0),"")</f>
        <v/>
      </c>
      <c r="D58" s="7">
        <f>IFERROR(ROUND(AVERAGEIFS(Datos!$G$2:$G$27777,Datos!$E$2:$E$27777,$A58,Datos!$B$2:$B$27777,9,Datos!$C$2:$C$27777,"&lt;30",Datos!$F$2:$F$27777,"STANDBY"),0),"")</f>
        <v/>
      </c>
      <c r="E58" s="7">
        <f>IFERROR(ROUND(AVERAGEIFS(Datos!$G$2:$G$27777,Datos!$E$2:$E$27777,$A58,Datos!$B$2:$B$27777,9,Datos!$C$2:$C$27777,"&gt;=30",Datos!$F$2:$F$27777,"STANDBY"),0),"")</f>
        <v/>
      </c>
      <c r="F58" s="7">
        <f>IFERROR(ROUND(AVERAGEIFS(Datos!$G$2:$G$27777,Datos!$E$2:$E$27777,$A58,Datos!$B$2:$B$27777,10,Datos!$C$2:$C$27777,"&lt;30",Datos!$F$2:$F$27777,"STANDBY"),0),"")</f>
        <v/>
      </c>
      <c r="G58" s="7">
        <f>IFERROR(ROUND(AVERAGEIFS(Datos!$G$2:$G$27777,Datos!$E$2:$E$27777,$A58,Datos!$B$2:$B$27777,10,Datos!$C$2:$C$27777,"&gt;=30",Datos!$F$2:$F$27777,"STANDBY"),0),"")</f>
        <v/>
      </c>
      <c r="H58" s="7">
        <f>IFERROR(ROUND(AVERAGEIFS(Datos!$G$2:$G$27777,Datos!$E$2:$E$27777,$A58,Datos!$B$2:$B$27777,11,Datos!$C$2:$C$27777,"&lt;30",Datos!$F$2:$F$27777,"STANDBY"),0),"")</f>
        <v/>
      </c>
      <c r="I58" s="7">
        <f>IFERROR(ROUND(AVERAGEIFS(Datos!$G$2:$G$27777,Datos!$E$2:$E$27777,$A58,Datos!$B$2:$B$27777,11,Datos!$C$2:$C$27777,"&gt;=30",Datos!$F$2:$F$27777,"STANDBY"),0),"")</f>
        <v/>
      </c>
      <c r="J58" s="7">
        <f>IFERROR(ROUND(AVERAGEIFS(Datos!$G$2:$G$27777,Datos!$E$2:$E$27777,$A58,Datos!$B$2:$B$27777,12,Datos!$C$2:$C$27777,"&lt;30",Datos!$F$2:$F$27777,"STANDBY"),0),"")</f>
        <v/>
      </c>
      <c r="K58" s="7">
        <f>IFERROR(ROUND(AVERAGEIFS(Datos!$G$2:$G$27777,Datos!$E$2:$E$27777,$A58,Datos!$B$2:$B$27777,12,Datos!$C$2:$C$27777,"&gt;=30",Datos!$F$2:$F$27777,"STANDBY"),0),"")</f>
        <v/>
      </c>
      <c r="L58" s="7">
        <f>IFERROR(ROUND(AVERAGEIFS(Datos!$G$2:$G$27777,Datos!$E$2:$E$27777,$A58,Datos!$B$2:$B$27777,13,Datos!$C$2:$C$27777,"&lt;30",Datos!$F$2:$F$27777,"STANDBY"),0),"")</f>
        <v/>
      </c>
      <c r="M58" s="7">
        <f>IFERROR(ROUND(AVERAGEIFS(Datos!$G$2:$G$27777,Datos!$E$2:$E$27777,$A58,Datos!$B$2:$B$27777,13,Datos!$C$2:$C$27777,"&gt;=30",Datos!$F$2:$F$27777,"STANDBY"),0),"")</f>
        <v/>
      </c>
      <c r="N58" s="7">
        <f>IFERROR(ROUND(AVERAGEIFS(Datos!$G$2:$G$27777,Datos!$E$2:$E$27777,$A58,Datos!$B$2:$B$27777,14,Datos!$C$2:$C$27777,"&lt;30",Datos!$F$2:$F$27777,"STANDBY"),0),"")</f>
        <v/>
      </c>
      <c r="O58" s="7">
        <f>IFERROR(ROUND(AVERAGEIFS(Datos!$G$2:$G$27777,Datos!$E$2:$E$27777,$A58,Datos!$B$2:$B$27777,14,Datos!$C$2:$C$27777,"&gt;=30",Datos!$F$2:$F$27777,"STANDBY"),0),"")</f>
        <v/>
      </c>
      <c r="P58" s="7">
        <f>IFERROR(ROUND(AVERAGEIFS(Datos!$G$2:$G$27777,Datos!$E$2:$E$27777,$A58,Datos!$B$2:$B$27777,15,Datos!$C$2:$C$27777,"&lt;30",Datos!$F$2:$F$27777,"STANDBY"),0),"")</f>
        <v/>
      </c>
      <c r="Q58" s="7">
        <f>IFERROR(ROUND(AVERAGEIFS(Datos!$G$2:$G$27777,Datos!$E$2:$E$27777,$A58,Datos!$B$2:$B$27777,15,Datos!$C$2:$C$27777,"&gt;=30",Datos!$F$2:$F$27777,"STANDBY"),0),"")</f>
        <v/>
      </c>
      <c r="R58" s="7">
        <f>IFERROR(ROUND(AVERAGEIFS(Datos!$G$2:$G$27777,Datos!$E$2:$E$27777,$A58,Datos!$B$2:$B$27777,16,Datos!$C$2:$C$27777,"&lt;30",Datos!$F$2:$F$27777,"STANDBY"),0),"")</f>
        <v/>
      </c>
      <c r="S58" s="7">
        <f>IFERROR(ROUND(AVERAGEIFS(Datos!$G$2:$G$27777,Datos!$E$2:$E$27777,$A58,Datos!$B$2:$B$27777,16,Datos!$C$2:$C$27777,"&gt;=30",Datos!$F$2:$F$27777,"STANDBY"),0),"")</f>
        <v/>
      </c>
      <c r="T58" s="7">
        <f>IFERROR(ROUND(AVERAGEIFS(Datos!$G$2:$G$27777,Datos!$E$2:$E$27777,$A58,Datos!$B$2:$B$27777,17,Datos!$C$2:$C$27777,"&lt;30",Datos!$F$2:$F$27777,"STANDBY"),0),"")</f>
        <v/>
      </c>
      <c r="U58" s="7">
        <f>IFERROR(ROUND(AVERAGEIFS(Datos!$G$2:$G$27777,Datos!$E$2:$E$27777,$A58,Datos!$B$2:$B$27777,17,Datos!$C$2:$C$27777,"&gt;=30",Datos!$F$2:$F$27777,"STANDBY"),0),"")</f>
        <v/>
      </c>
      <c r="V58" s="7">
        <f>IFERROR(ROUND(AVERAGEIFS(Datos!$G$2:$G$27777,Datos!$E$2:$E$27777,$A58,Datos!$B$2:$B$27777,18,Datos!$C$2:$C$27777,"&lt;30",Datos!$F$2:$F$27777,"STANDBY"),0),"")</f>
        <v/>
      </c>
      <c r="W58" s="7">
        <f>IFERROR(ROUND(AVERAGEIFS(Datos!$G$2:$G$27777,Datos!$E$2:$E$27777,$A58,Datos!$B$2:$B$27777,18,Datos!$C$2:$C$27777,"&gt;=30",Datos!$F$2:$F$27777,"STANDBY"),0),"")</f>
        <v/>
      </c>
      <c r="X58" s="7">
        <f>IFERROR(ROUND(AVERAGEIFS(Datos!$G$2:$G$27777,Datos!$E$2:$E$27777,$A58,Datos!$B$2:$B$27777,19,Datos!$C$2:$C$27777,"&lt;30",Datos!$F$2:$F$27777,"STANDBY"),0),"")</f>
        <v/>
      </c>
      <c r="Y58" s="7">
        <f>IFERROR(ROUND(AVERAGEIFS(Datos!$G$2:$G$27777,Datos!$E$2:$E$27777,$A58,Datos!$B$2:$B$27777,19,Datos!$C$2:$C$27777,"&gt;=30",Datos!$F$2:$F$27777,"STANDBY"),0),"")</f>
        <v/>
      </c>
      <c r="Z58" s="7">
        <f>IFERROR(ROUND(AVERAGEIFS(Datos!$G$2:$G$27777,Datos!$E$2:$E$27777,$A58,Datos!$B$2:$B$27777,20,Datos!$C$2:$C$27777,"&lt;30",Datos!$F$2:$F$27777,"STANDBY"),0),"")</f>
        <v/>
      </c>
      <c r="AA58" s="7">
        <f>IFERROR(ROUND(AVERAGEIFS(Datos!$G$2:$G$27777,Datos!$E$2:$E$27777,$A58,Datos!$B$2:$B$27777,20,Datos!$C$2:$C$27777,"&gt;=30",Datos!$F$2:$F$27777,"STANDBY"),0),"")</f>
        <v/>
      </c>
      <c r="AB58" s="7">
        <f>IFERROR(ROUND(AVERAGEIFS(Datos!$G$2:$G$27777,Datos!$E$2:$E$27777,$A58,Datos!$B$2:$B$27777,21,Datos!$C$2:$C$27777,"&lt;30",Datos!$F$2:$F$27777,"STANDBY"),0),"")</f>
        <v/>
      </c>
      <c r="AC58" s="7">
        <f>IFERROR(ROUND(AVERAGEIFS(Datos!$G$2:$G$27777,Datos!$E$2:$E$27777,$A58,Datos!$B$2:$B$27777,21,Datos!$C$2:$C$27777,"&gt;=30",Datos!$F$2:$F$27777,"STANDBY"),0),"")</f>
        <v/>
      </c>
      <c r="AD58" s="7">
        <f>IFERROR(ROUND(AVERAGEIFS(Datos!$G$2:$G$27777,Datos!$E$2:$E$27777,$A58,Datos!$B$2:$B$27777,22,Datos!$C$2:$C$27777,"&lt;30",Datos!$F$2:$F$27777,"STANDBY"),0),"")</f>
        <v/>
      </c>
      <c r="AE58" s="7">
        <f>IFERROR(ROUND(AVERAGEIFS(Datos!$G$2:$G$27777,Datos!$E$2:$E$27777,$A58,Datos!$B$2:$B$27777,22,Datos!$C$2:$C$27777,"&gt;=30",Datos!$F$2:$F$27777,"STANDBY"),0),"")</f>
        <v/>
      </c>
      <c r="AF58" s="7">
        <f>IFERROR(ROUND(AVERAGEIFS(Datos!$G$2:$G$27777,Datos!$E$2:$E$27777,$A58,Datos!$B$2:$B$27777,23,Datos!$C$2:$C$27777,"&lt;30",Datos!$F$2:$F$27777,"STANDBY"),0),"")</f>
        <v/>
      </c>
      <c r="AG58" s="7">
        <f>IFERROR(ROUND(AVERAGEIFS(Datos!$G$2:$G$27777,Datos!$E$2:$E$27777,$A58,Datos!$B$2:$B$27777,23,Datos!$C$2:$C$27777,"&gt;=30",Datos!$F$2:$F$27777,"STANDBY"),0),"")</f>
        <v/>
      </c>
    </row>
    <row r="59">
      <c r="A59" s="6" t="inlineStr">
        <is>
          <t>River Rogue Keelboats</t>
        </is>
      </c>
      <c r="B59" s="7">
        <f>IFERROR(ROUND(AVERAGEIFS(Datos!$G$2:$G$27777,Datos!$E$2:$E$27777,$A59,Datos!$B$2:$B$27777,8,Datos!$C$2:$C$27777,"&lt;30",Datos!$F$2:$F$27777,"STANDBY"),0),"")</f>
        <v/>
      </c>
      <c r="C59" s="7">
        <f>IFERROR(ROUND(AVERAGEIFS(Datos!$G$2:$G$27777,Datos!$E$2:$E$27777,$A59,Datos!$B$2:$B$27777,8,Datos!$C$2:$C$27777,"&gt;=30",Datos!$F$2:$F$27777,"STANDBY"),0),"")</f>
        <v/>
      </c>
      <c r="D59" s="7">
        <f>IFERROR(ROUND(AVERAGEIFS(Datos!$G$2:$G$27777,Datos!$E$2:$E$27777,$A59,Datos!$B$2:$B$27777,9,Datos!$C$2:$C$27777,"&lt;30",Datos!$F$2:$F$27777,"STANDBY"),0),"")</f>
        <v/>
      </c>
      <c r="E59" s="7">
        <f>IFERROR(ROUND(AVERAGEIFS(Datos!$G$2:$G$27777,Datos!$E$2:$E$27777,$A59,Datos!$B$2:$B$27777,9,Datos!$C$2:$C$27777,"&gt;=30",Datos!$F$2:$F$27777,"STANDBY"),0),"")</f>
        <v/>
      </c>
      <c r="F59" s="7">
        <f>IFERROR(ROUND(AVERAGEIFS(Datos!$G$2:$G$27777,Datos!$E$2:$E$27777,$A59,Datos!$B$2:$B$27777,10,Datos!$C$2:$C$27777,"&lt;30",Datos!$F$2:$F$27777,"STANDBY"),0),"")</f>
        <v/>
      </c>
      <c r="G59" s="7">
        <f>IFERROR(ROUND(AVERAGEIFS(Datos!$G$2:$G$27777,Datos!$E$2:$E$27777,$A59,Datos!$B$2:$B$27777,10,Datos!$C$2:$C$27777,"&gt;=30",Datos!$F$2:$F$27777,"STANDBY"),0),"")</f>
        <v/>
      </c>
      <c r="H59" s="7">
        <f>IFERROR(ROUND(AVERAGEIFS(Datos!$G$2:$G$27777,Datos!$E$2:$E$27777,$A59,Datos!$B$2:$B$27777,11,Datos!$C$2:$C$27777,"&lt;30",Datos!$F$2:$F$27777,"STANDBY"),0),"")</f>
        <v/>
      </c>
      <c r="I59" s="7">
        <f>IFERROR(ROUND(AVERAGEIFS(Datos!$G$2:$G$27777,Datos!$E$2:$E$27777,$A59,Datos!$B$2:$B$27777,11,Datos!$C$2:$C$27777,"&gt;=30",Datos!$F$2:$F$27777,"STANDBY"),0),"")</f>
        <v/>
      </c>
      <c r="J59" s="7">
        <f>IFERROR(ROUND(AVERAGEIFS(Datos!$G$2:$G$27777,Datos!$E$2:$E$27777,$A59,Datos!$B$2:$B$27777,12,Datos!$C$2:$C$27777,"&lt;30",Datos!$F$2:$F$27777,"STANDBY"),0),"")</f>
        <v/>
      </c>
      <c r="K59" s="7">
        <f>IFERROR(ROUND(AVERAGEIFS(Datos!$G$2:$G$27777,Datos!$E$2:$E$27777,$A59,Datos!$B$2:$B$27777,12,Datos!$C$2:$C$27777,"&gt;=30",Datos!$F$2:$F$27777,"STANDBY"),0),"")</f>
        <v/>
      </c>
      <c r="L59" s="7">
        <f>IFERROR(ROUND(AVERAGEIFS(Datos!$G$2:$G$27777,Datos!$E$2:$E$27777,$A59,Datos!$B$2:$B$27777,13,Datos!$C$2:$C$27777,"&lt;30",Datos!$F$2:$F$27777,"STANDBY"),0),"")</f>
        <v/>
      </c>
      <c r="M59" s="7">
        <f>IFERROR(ROUND(AVERAGEIFS(Datos!$G$2:$G$27777,Datos!$E$2:$E$27777,$A59,Datos!$B$2:$B$27777,13,Datos!$C$2:$C$27777,"&gt;=30",Datos!$F$2:$F$27777,"STANDBY"),0),"")</f>
        <v/>
      </c>
      <c r="N59" s="7">
        <f>IFERROR(ROUND(AVERAGEIFS(Datos!$G$2:$G$27777,Datos!$E$2:$E$27777,$A59,Datos!$B$2:$B$27777,14,Datos!$C$2:$C$27777,"&lt;30",Datos!$F$2:$F$27777,"STANDBY"),0),"")</f>
        <v/>
      </c>
      <c r="O59" s="7">
        <f>IFERROR(ROUND(AVERAGEIFS(Datos!$G$2:$G$27777,Datos!$E$2:$E$27777,$A59,Datos!$B$2:$B$27777,14,Datos!$C$2:$C$27777,"&gt;=30",Datos!$F$2:$F$27777,"STANDBY"),0),"")</f>
        <v/>
      </c>
      <c r="P59" s="7">
        <f>IFERROR(ROUND(AVERAGEIFS(Datos!$G$2:$G$27777,Datos!$E$2:$E$27777,$A59,Datos!$B$2:$B$27777,15,Datos!$C$2:$C$27777,"&lt;30",Datos!$F$2:$F$27777,"STANDBY"),0),"")</f>
        <v/>
      </c>
      <c r="Q59" s="7">
        <f>IFERROR(ROUND(AVERAGEIFS(Datos!$G$2:$G$27777,Datos!$E$2:$E$27777,$A59,Datos!$B$2:$B$27777,15,Datos!$C$2:$C$27777,"&gt;=30",Datos!$F$2:$F$27777,"STANDBY"),0),"")</f>
        <v/>
      </c>
      <c r="R59" s="7">
        <f>IFERROR(ROUND(AVERAGEIFS(Datos!$G$2:$G$27777,Datos!$E$2:$E$27777,$A59,Datos!$B$2:$B$27777,16,Datos!$C$2:$C$27777,"&lt;30",Datos!$F$2:$F$27777,"STANDBY"),0),"")</f>
        <v/>
      </c>
      <c r="S59" s="7">
        <f>IFERROR(ROUND(AVERAGEIFS(Datos!$G$2:$G$27777,Datos!$E$2:$E$27777,$A59,Datos!$B$2:$B$27777,16,Datos!$C$2:$C$27777,"&gt;=30",Datos!$F$2:$F$27777,"STANDBY"),0),"")</f>
        <v/>
      </c>
      <c r="T59" s="7">
        <f>IFERROR(ROUND(AVERAGEIFS(Datos!$G$2:$G$27777,Datos!$E$2:$E$27777,$A59,Datos!$B$2:$B$27777,17,Datos!$C$2:$C$27777,"&lt;30",Datos!$F$2:$F$27777,"STANDBY"),0),"")</f>
        <v/>
      </c>
      <c r="U59" s="7">
        <f>IFERROR(ROUND(AVERAGEIFS(Datos!$G$2:$G$27777,Datos!$E$2:$E$27777,$A59,Datos!$B$2:$B$27777,17,Datos!$C$2:$C$27777,"&gt;=30",Datos!$F$2:$F$27777,"STANDBY"),0),"")</f>
        <v/>
      </c>
      <c r="V59" s="7">
        <f>IFERROR(ROUND(AVERAGEIFS(Datos!$G$2:$G$27777,Datos!$E$2:$E$27777,$A59,Datos!$B$2:$B$27777,18,Datos!$C$2:$C$27777,"&lt;30",Datos!$F$2:$F$27777,"STANDBY"),0),"")</f>
        <v/>
      </c>
      <c r="W59" s="7">
        <f>IFERROR(ROUND(AVERAGEIFS(Datos!$G$2:$G$27777,Datos!$E$2:$E$27777,$A59,Datos!$B$2:$B$27777,18,Datos!$C$2:$C$27777,"&gt;=30",Datos!$F$2:$F$27777,"STANDBY"),0),"")</f>
        <v/>
      </c>
      <c r="X59" s="7">
        <f>IFERROR(ROUND(AVERAGEIFS(Datos!$G$2:$G$27777,Datos!$E$2:$E$27777,$A59,Datos!$B$2:$B$27777,19,Datos!$C$2:$C$27777,"&lt;30",Datos!$F$2:$F$27777,"STANDBY"),0),"")</f>
        <v/>
      </c>
      <c r="Y59" s="7">
        <f>IFERROR(ROUND(AVERAGEIFS(Datos!$G$2:$G$27777,Datos!$E$2:$E$27777,$A59,Datos!$B$2:$B$27777,19,Datos!$C$2:$C$27777,"&gt;=30",Datos!$F$2:$F$27777,"STANDBY"),0),"")</f>
        <v/>
      </c>
      <c r="Z59" s="7">
        <f>IFERROR(ROUND(AVERAGEIFS(Datos!$G$2:$G$27777,Datos!$E$2:$E$27777,$A59,Datos!$B$2:$B$27777,20,Datos!$C$2:$C$27777,"&lt;30",Datos!$F$2:$F$27777,"STANDBY"),0),"")</f>
        <v/>
      </c>
      <c r="AA59" s="7">
        <f>IFERROR(ROUND(AVERAGEIFS(Datos!$G$2:$G$27777,Datos!$E$2:$E$27777,$A59,Datos!$B$2:$B$27777,20,Datos!$C$2:$C$27777,"&gt;=30",Datos!$F$2:$F$27777,"STANDBY"),0),"")</f>
        <v/>
      </c>
      <c r="AB59" s="7">
        <f>IFERROR(ROUND(AVERAGEIFS(Datos!$G$2:$G$27777,Datos!$E$2:$E$27777,$A59,Datos!$B$2:$B$27777,21,Datos!$C$2:$C$27777,"&lt;30",Datos!$F$2:$F$27777,"STANDBY"),0),"")</f>
        <v/>
      </c>
      <c r="AC59" s="7">
        <f>IFERROR(ROUND(AVERAGEIFS(Datos!$G$2:$G$27777,Datos!$E$2:$E$27777,$A59,Datos!$B$2:$B$27777,21,Datos!$C$2:$C$27777,"&gt;=30",Datos!$F$2:$F$27777,"STANDBY"),0),"")</f>
        <v/>
      </c>
      <c r="AD59" s="7">
        <f>IFERROR(ROUND(AVERAGEIFS(Datos!$G$2:$G$27777,Datos!$E$2:$E$27777,$A59,Datos!$B$2:$B$27777,22,Datos!$C$2:$C$27777,"&lt;30",Datos!$F$2:$F$27777,"STANDBY"),0),"")</f>
        <v/>
      </c>
      <c r="AE59" s="7">
        <f>IFERROR(ROUND(AVERAGEIFS(Datos!$G$2:$G$27777,Datos!$E$2:$E$27777,$A59,Datos!$B$2:$B$27777,22,Datos!$C$2:$C$27777,"&gt;=30",Datos!$F$2:$F$27777,"STANDBY"),0),"")</f>
        <v/>
      </c>
      <c r="AF59" s="7">
        <f>IFERROR(ROUND(AVERAGEIFS(Datos!$G$2:$G$27777,Datos!$E$2:$E$27777,$A59,Datos!$B$2:$B$27777,23,Datos!$C$2:$C$27777,"&lt;30",Datos!$F$2:$F$27777,"STANDBY"),0),"")</f>
        <v/>
      </c>
      <c r="AG59" s="7">
        <f>IFERROR(ROUND(AVERAGEIFS(Datos!$G$2:$G$27777,Datos!$E$2:$E$27777,$A59,Datos!$B$2:$B$27777,23,Datos!$C$2:$C$27777,"&gt;=30",Datos!$F$2:$F$27777,"STANDBY"),0),"")</f>
        <v/>
      </c>
    </row>
    <row r="60">
      <c r="A60" s="6" t="inlineStr">
        <is>
          <t>Rustler Roundup Shootin' Gallery</t>
        </is>
      </c>
      <c r="B60" s="7">
        <f>IFERROR(ROUND(AVERAGEIFS(Datos!$G$2:$G$27777,Datos!$E$2:$E$27777,$A60,Datos!$B$2:$B$27777,8,Datos!$C$2:$C$27777,"&lt;30",Datos!$F$2:$F$27777,"STANDBY"),0),"")</f>
        <v/>
      </c>
      <c r="C60" s="7">
        <f>IFERROR(ROUND(AVERAGEIFS(Datos!$G$2:$G$27777,Datos!$E$2:$E$27777,$A60,Datos!$B$2:$B$27777,8,Datos!$C$2:$C$27777,"&gt;=30",Datos!$F$2:$F$27777,"STANDBY"),0),"")</f>
        <v/>
      </c>
      <c r="D60" s="7">
        <f>IFERROR(ROUND(AVERAGEIFS(Datos!$G$2:$G$27777,Datos!$E$2:$E$27777,$A60,Datos!$B$2:$B$27777,9,Datos!$C$2:$C$27777,"&lt;30",Datos!$F$2:$F$27777,"STANDBY"),0),"")</f>
        <v/>
      </c>
      <c r="E60" s="7">
        <f>IFERROR(ROUND(AVERAGEIFS(Datos!$G$2:$G$27777,Datos!$E$2:$E$27777,$A60,Datos!$B$2:$B$27777,9,Datos!$C$2:$C$27777,"&gt;=30",Datos!$F$2:$F$27777,"STANDBY"),0),"")</f>
        <v/>
      </c>
      <c r="F60" s="7">
        <f>IFERROR(ROUND(AVERAGEIFS(Datos!$G$2:$G$27777,Datos!$E$2:$E$27777,$A60,Datos!$B$2:$B$27777,10,Datos!$C$2:$C$27777,"&lt;30",Datos!$F$2:$F$27777,"STANDBY"),0),"")</f>
        <v/>
      </c>
      <c r="G60" s="7">
        <f>IFERROR(ROUND(AVERAGEIFS(Datos!$G$2:$G$27777,Datos!$E$2:$E$27777,$A60,Datos!$B$2:$B$27777,10,Datos!$C$2:$C$27777,"&gt;=30",Datos!$F$2:$F$27777,"STANDBY"),0),"")</f>
        <v/>
      </c>
      <c r="H60" s="7">
        <f>IFERROR(ROUND(AVERAGEIFS(Datos!$G$2:$G$27777,Datos!$E$2:$E$27777,$A60,Datos!$B$2:$B$27777,11,Datos!$C$2:$C$27777,"&lt;30",Datos!$F$2:$F$27777,"STANDBY"),0),"")</f>
        <v/>
      </c>
      <c r="I60" s="7">
        <f>IFERROR(ROUND(AVERAGEIFS(Datos!$G$2:$G$27777,Datos!$E$2:$E$27777,$A60,Datos!$B$2:$B$27777,11,Datos!$C$2:$C$27777,"&gt;=30",Datos!$F$2:$F$27777,"STANDBY"),0),"")</f>
        <v/>
      </c>
      <c r="J60" s="7">
        <f>IFERROR(ROUND(AVERAGEIFS(Datos!$G$2:$G$27777,Datos!$E$2:$E$27777,$A60,Datos!$B$2:$B$27777,12,Datos!$C$2:$C$27777,"&lt;30",Datos!$F$2:$F$27777,"STANDBY"),0),"")</f>
        <v/>
      </c>
      <c r="K60" s="7">
        <f>IFERROR(ROUND(AVERAGEIFS(Datos!$G$2:$G$27777,Datos!$E$2:$E$27777,$A60,Datos!$B$2:$B$27777,12,Datos!$C$2:$C$27777,"&gt;=30",Datos!$F$2:$F$27777,"STANDBY"),0),"")</f>
        <v/>
      </c>
      <c r="L60" s="7">
        <f>IFERROR(ROUND(AVERAGEIFS(Datos!$G$2:$G$27777,Datos!$E$2:$E$27777,$A60,Datos!$B$2:$B$27777,13,Datos!$C$2:$C$27777,"&lt;30",Datos!$F$2:$F$27777,"STANDBY"),0),"")</f>
        <v/>
      </c>
      <c r="M60" s="7">
        <f>IFERROR(ROUND(AVERAGEIFS(Datos!$G$2:$G$27777,Datos!$E$2:$E$27777,$A60,Datos!$B$2:$B$27777,13,Datos!$C$2:$C$27777,"&gt;=30",Datos!$F$2:$F$27777,"STANDBY"),0),"")</f>
        <v/>
      </c>
      <c r="N60" s="7">
        <f>IFERROR(ROUND(AVERAGEIFS(Datos!$G$2:$G$27777,Datos!$E$2:$E$27777,$A60,Datos!$B$2:$B$27777,14,Datos!$C$2:$C$27777,"&lt;30",Datos!$F$2:$F$27777,"STANDBY"),0),"")</f>
        <v/>
      </c>
      <c r="O60" s="7">
        <f>IFERROR(ROUND(AVERAGEIFS(Datos!$G$2:$G$27777,Datos!$E$2:$E$27777,$A60,Datos!$B$2:$B$27777,14,Datos!$C$2:$C$27777,"&gt;=30",Datos!$F$2:$F$27777,"STANDBY"),0),"")</f>
        <v/>
      </c>
      <c r="P60" s="7">
        <f>IFERROR(ROUND(AVERAGEIFS(Datos!$G$2:$G$27777,Datos!$E$2:$E$27777,$A60,Datos!$B$2:$B$27777,15,Datos!$C$2:$C$27777,"&lt;30",Datos!$F$2:$F$27777,"STANDBY"),0),"")</f>
        <v/>
      </c>
      <c r="Q60" s="7">
        <f>IFERROR(ROUND(AVERAGEIFS(Datos!$G$2:$G$27777,Datos!$E$2:$E$27777,$A60,Datos!$B$2:$B$27777,15,Datos!$C$2:$C$27777,"&gt;=30",Datos!$F$2:$F$27777,"STANDBY"),0),"")</f>
        <v/>
      </c>
      <c r="R60" s="7">
        <f>IFERROR(ROUND(AVERAGEIFS(Datos!$G$2:$G$27777,Datos!$E$2:$E$27777,$A60,Datos!$B$2:$B$27777,16,Datos!$C$2:$C$27777,"&lt;30",Datos!$F$2:$F$27777,"STANDBY"),0),"")</f>
        <v/>
      </c>
      <c r="S60" s="7">
        <f>IFERROR(ROUND(AVERAGEIFS(Datos!$G$2:$G$27777,Datos!$E$2:$E$27777,$A60,Datos!$B$2:$B$27777,16,Datos!$C$2:$C$27777,"&gt;=30",Datos!$F$2:$F$27777,"STANDBY"),0),"")</f>
        <v/>
      </c>
      <c r="T60" s="7">
        <f>IFERROR(ROUND(AVERAGEIFS(Datos!$G$2:$G$27777,Datos!$E$2:$E$27777,$A60,Datos!$B$2:$B$27777,17,Datos!$C$2:$C$27777,"&lt;30",Datos!$F$2:$F$27777,"STANDBY"),0),"")</f>
        <v/>
      </c>
      <c r="U60" s="7">
        <f>IFERROR(ROUND(AVERAGEIFS(Datos!$G$2:$G$27777,Datos!$E$2:$E$27777,$A60,Datos!$B$2:$B$27777,17,Datos!$C$2:$C$27777,"&gt;=30",Datos!$F$2:$F$27777,"STANDBY"),0),"")</f>
        <v/>
      </c>
      <c r="V60" s="7">
        <f>IFERROR(ROUND(AVERAGEIFS(Datos!$G$2:$G$27777,Datos!$E$2:$E$27777,$A60,Datos!$B$2:$B$27777,18,Datos!$C$2:$C$27777,"&lt;30",Datos!$F$2:$F$27777,"STANDBY"),0),"")</f>
        <v/>
      </c>
      <c r="W60" s="7">
        <f>IFERROR(ROUND(AVERAGEIFS(Datos!$G$2:$G$27777,Datos!$E$2:$E$27777,$A60,Datos!$B$2:$B$27777,18,Datos!$C$2:$C$27777,"&gt;=30",Datos!$F$2:$F$27777,"STANDBY"),0),"")</f>
        <v/>
      </c>
      <c r="X60" s="7">
        <f>IFERROR(ROUND(AVERAGEIFS(Datos!$G$2:$G$27777,Datos!$E$2:$E$27777,$A60,Datos!$B$2:$B$27777,19,Datos!$C$2:$C$27777,"&lt;30",Datos!$F$2:$F$27777,"STANDBY"),0),"")</f>
        <v/>
      </c>
      <c r="Y60" s="7">
        <f>IFERROR(ROUND(AVERAGEIFS(Datos!$G$2:$G$27777,Datos!$E$2:$E$27777,$A60,Datos!$B$2:$B$27777,19,Datos!$C$2:$C$27777,"&gt;=30",Datos!$F$2:$F$27777,"STANDBY"),0),"")</f>
        <v/>
      </c>
      <c r="Z60" s="7">
        <f>IFERROR(ROUND(AVERAGEIFS(Datos!$G$2:$G$27777,Datos!$E$2:$E$27777,$A60,Datos!$B$2:$B$27777,20,Datos!$C$2:$C$27777,"&lt;30",Datos!$F$2:$F$27777,"STANDBY"),0),"")</f>
        <v/>
      </c>
      <c r="AA60" s="7">
        <f>IFERROR(ROUND(AVERAGEIFS(Datos!$G$2:$G$27777,Datos!$E$2:$E$27777,$A60,Datos!$B$2:$B$27777,20,Datos!$C$2:$C$27777,"&gt;=30",Datos!$F$2:$F$27777,"STANDBY"),0),"")</f>
        <v/>
      </c>
      <c r="AB60" s="7">
        <f>IFERROR(ROUND(AVERAGEIFS(Datos!$G$2:$G$27777,Datos!$E$2:$E$27777,$A60,Datos!$B$2:$B$27777,21,Datos!$C$2:$C$27777,"&lt;30",Datos!$F$2:$F$27777,"STANDBY"),0),"")</f>
        <v/>
      </c>
      <c r="AC60" s="7">
        <f>IFERROR(ROUND(AVERAGEIFS(Datos!$G$2:$G$27777,Datos!$E$2:$E$27777,$A60,Datos!$B$2:$B$27777,21,Datos!$C$2:$C$27777,"&gt;=30",Datos!$F$2:$F$27777,"STANDBY"),0),"")</f>
        <v/>
      </c>
      <c r="AD60" s="7">
        <f>IFERROR(ROUND(AVERAGEIFS(Datos!$G$2:$G$27777,Datos!$E$2:$E$27777,$A60,Datos!$B$2:$B$27777,22,Datos!$C$2:$C$27777,"&lt;30",Datos!$F$2:$F$27777,"STANDBY"),0),"")</f>
        <v/>
      </c>
      <c r="AE60" s="7">
        <f>IFERROR(ROUND(AVERAGEIFS(Datos!$G$2:$G$27777,Datos!$E$2:$E$27777,$A60,Datos!$B$2:$B$27777,22,Datos!$C$2:$C$27777,"&gt;=30",Datos!$F$2:$F$27777,"STANDBY"),0),"")</f>
        <v/>
      </c>
      <c r="AF60" s="7">
        <f>IFERROR(ROUND(AVERAGEIFS(Datos!$G$2:$G$27777,Datos!$E$2:$E$27777,$A60,Datos!$B$2:$B$27777,23,Datos!$C$2:$C$27777,"&lt;30",Datos!$F$2:$F$27777,"STANDBY"),0),"")</f>
        <v/>
      </c>
      <c r="AG60" s="7">
        <f>IFERROR(ROUND(AVERAGEIFS(Datos!$G$2:$G$27777,Datos!$E$2:$E$27777,$A60,Datos!$B$2:$B$27777,23,Datos!$C$2:$C$27777,"&gt;=30",Datos!$F$2:$F$27777,"STANDBY"),0),"")</f>
        <v/>
      </c>
    </row>
    <row r="61">
      <c r="A61" s="6" t="inlineStr">
        <is>
          <t>Star Tours: The Adventures Continue*</t>
        </is>
      </c>
      <c r="B61" s="7">
        <f>IFERROR(ROUND(AVERAGEIFS(Datos!$G$2:$G$27777,Datos!$E$2:$E$27777,$A61,Datos!$B$2:$B$27777,8,Datos!$C$2:$C$27777,"&lt;30",Datos!$F$2:$F$27777,"STANDBY"),0),"")</f>
        <v/>
      </c>
      <c r="C61" s="7">
        <f>IFERROR(ROUND(AVERAGEIFS(Datos!$G$2:$G$27777,Datos!$E$2:$E$27777,$A61,Datos!$B$2:$B$27777,8,Datos!$C$2:$C$27777,"&gt;=30",Datos!$F$2:$F$27777,"STANDBY"),0),"")</f>
        <v/>
      </c>
      <c r="D61" s="7">
        <f>IFERROR(ROUND(AVERAGEIFS(Datos!$G$2:$G$27777,Datos!$E$2:$E$27777,$A61,Datos!$B$2:$B$27777,9,Datos!$C$2:$C$27777,"&lt;30",Datos!$F$2:$F$27777,"STANDBY"),0),"")</f>
        <v/>
      </c>
      <c r="E61" s="7">
        <f>IFERROR(ROUND(AVERAGEIFS(Datos!$G$2:$G$27777,Datos!$E$2:$E$27777,$A61,Datos!$B$2:$B$27777,9,Datos!$C$2:$C$27777,"&gt;=30",Datos!$F$2:$F$27777,"STANDBY"),0),"")</f>
        <v/>
      </c>
      <c r="F61" s="7">
        <f>IFERROR(ROUND(AVERAGEIFS(Datos!$G$2:$G$27777,Datos!$E$2:$E$27777,$A61,Datos!$B$2:$B$27777,10,Datos!$C$2:$C$27777,"&lt;30",Datos!$F$2:$F$27777,"STANDBY"),0),"")</f>
        <v/>
      </c>
      <c r="G61" s="7">
        <f>IFERROR(ROUND(AVERAGEIFS(Datos!$G$2:$G$27777,Datos!$E$2:$E$27777,$A61,Datos!$B$2:$B$27777,10,Datos!$C$2:$C$27777,"&gt;=30",Datos!$F$2:$F$27777,"STANDBY"),0),"")</f>
        <v/>
      </c>
      <c r="H61" s="7">
        <f>IFERROR(ROUND(AVERAGEIFS(Datos!$G$2:$G$27777,Datos!$E$2:$E$27777,$A61,Datos!$B$2:$B$27777,11,Datos!$C$2:$C$27777,"&lt;30",Datos!$F$2:$F$27777,"STANDBY"),0),"")</f>
        <v/>
      </c>
      <c r="I61" s="7">
        <f>IFERROR(ROUND(AVERAGEIFS(Datos!$G$2:$G$27777,Datos!$E$2:$E$27777,$A61,Datos!$B$2:$B$27777,11,Datos!$C$2:$C$27777,"&gt;=30",Datos!$F$2:$F$27777,"STANDBY"),0),"")</f>
        <v/>
      </c>
      <c r="J61" s="7">
        <f>IFERROR(ROUND(AVERAGEIFS(Datos!$G$2:$G$27777,Datos!$E$2:$E$27777,$A61,Datos!$B$2:$B$27777,12,Datos!$C$2:$C$27777,"&lt;30",Datos!$F$2:$F$27777,"STANDBY"),0),"")</f>
        <v/>
      </c>
      <c r="K61" s="7">
        <f>IFERROR(ROUND(AVERAGEIFS(Datos!$G$2:$G$27777,Datos!$E$2:$E$27777,$A61,Datos!$B$2:$B$27777,12,Datos!$C$2:$C$27777,"&gt;=30",Datos!$F$2:$F$27777,"STANDBY"),0),"")</f>
        <v/>
      </c>
      <c r="L61" s="7">
        <f>IFERROR(ROUND(AVERAGEIFS(Datos!$G$2:$G$27777,Datos!$E$2:$E$27777,$A61,Datos!$B$2:$B$27777,13,Datos!$C$2:$C$27777,"&lt;30",Datos!$F$2:$F$27777,"STANDBY"),0),"")</f>
        <v/>
      </c>
      <c r="M61" s="7">
        <f>IFERROR(ROUND(AVERAGEIFS(Datos!$G$2:$G$27777,Datos!$E$2:$E$27777,$A61,Datos!$B$2:$B$27777,13,Datos!$C$2:$C$27777,"&gt;=30",Datos!$F$2:$F$27777,"STANDBY"),0),"")</f>
        <v/>
      </c>
      <c r="N61" s="7">
        <f>IFERROR(ROUND(AVERAGEIFS(Datos!$G$2:$G$27777,Datos!$E$2:$E$27777,$A61,Datos!$B$2:$B$27777,14,Datos!$C$2:$C$27777,"&lt;30",Datos!$F$2:$F$27777,"STANDBY"),0),"")</f>
        <v/>
      </c>
      <c r="O61" s="7">
        <f>IFERROR(ROUND(AVERAGEIFS(Datos!$G$2:$G$27777,Datos!$E$2:$E$27777,$A61,Datos!$B$2:$B$27777,14,Datos!$C$2:$C$27777,"&gt;=30",Datos!$F$2:$F$27777,"STANDBY"),0),"")</f>
        <v/>
      </c>
      <c r="P61" s="7">
        <f>IFERROR(ROUND(AVERAGEIFS(Datos!$G$2:$G$27777,Datos!$E$2:$E$27777,$A61,Datos!$B$2:$B$27777,15,Datos!$C$2:$C$27777,"&lt;30",Datos!$F$2:$F$27777,"STANDBY"),0),"")</f>
        <v/>
      </c>
      <c r="Q61" s="7">
        <f>IFERROR(ROUND(AVERAGEIFS(Datos!$G$2:$G$27777,Datos!$E$2:$E$27777,$A61,Datos!$B$2:$B$27777,15,Datos!$C$2:$C$27777,"&gt;=30",Datos!$F$2:$F$27777,"STANDBY"),0),"")</f>
        <v/>
      </c>
      <c r="R61" s="7">
        <f>IFERROR(ROUND(AVERAGEIFS(Datos!$G$2:$G$27777,Datos!$E$2:$E$27777,$A61,Datos!$B$2:$B$27777,16,Datos!$C$2:$C$27777,"&lt;30",Datos!$F$2:$F$27777,"STANDBY"),0),"")</f>
        <v/>
      </c>
      <c r="S61" s="7">
        <f>IFERROR(ROUND(AVERAGEIFS(Datos!$G$2:$G$27777,Datos!$E$2:$E$27777,$A61,Datos!$B$2:$B$27777,16,Datos!$C$2:$C$27777,"&gt;=30",Datos!$F$2:$F$27777,"STANDBY"),0),"")</f>
        <v/>
      </c>
      <c r="T61" s="7">
        <f>IFERROR(ROUND(AVERAGEIFS(Datos!$G$2:$G$27777,Datos!$E$2:$E$27777,$A61,Datos!$B$2:$B$27777,17,Datos!$C$2:$C$27777,"&lt;30",Datos!$F$2:$F$27777,"STANDBY"),0),"")</f>
        <v/>
      </c>
      <c r="U61" s="7">
        <f>IFERROR(ROUND(AVERAGEIFS(Datos!$G$2:$G$27777,Datos!$E$2:$E$27777,$A61,Datos!$B$2:$B$27777,17,Datos!$C$2:$C$27777,"&gt;=30",Datos!$F$2:$F$27777,"STANDBY"),0),"")</f>
        <v/>
      </c>
      <c r="V61" s="7">
        <f>IFERROR(ROUND(AVERAGEIFS(Datos!$G$2:$G$27777,Datos!$E$2:$E$27777,$A61,Datos!$B$2:$B$27777,18,Datos!$C$2:$C$27777,"&lt;30",Datos!$F$2:$F$27777,"STANDBY"),0),"")</f>
        <v/>
      </c>
      <c r="W61" s="7">
        <f>IFERROR(ROUND(AVERAGEIFS(Datos!$G$2:$G$27777,Datos!$E$2:$E$27777,$A61,Datos!$B$2:$B$27777,18,Datos!$C$2:$C$27777,"&gt;=30",Datos!$F$2:$F$27777,"STANDBY"),0),"")</f>
        <v/>
      </c>
      <c r="X61" s="7">
        <f>IFERROR(ROUND(AVERAGEIFS(Datos!$G$2:$G$27777,Datos!$E$2:$E$27777,$A61,Datos!$B$2:$B$27777,19,Datos!$C$2:$C$27777,"&lt;30",Datos!$F$2:$F$27777,"STANDBY"),0),"")</f>
        <v/>
      </c>
      <c r="Y61" s="7">
        <f>IFERROR(ROUND(AVERAGEIFS(Datos!$G$2:$G$27777,Datos!$E$2:$E$27777,$A61,Datos!$B$2:$B$27777,19,Datos!$C$2:$C$27777,"&gt;=30",Datos!$F$2:$F$27777,"STANDBY"),0),"")</f>
        <v/>
      </c>
      <c r="Z61" s="7">
        <f>IFERROR(ROUND(AVERAGEIFS(Datos!$G$2:$G$27777,Datos!$E$2:$E$27777,$A61,Datos!$B$2:$B$27777,20,Datos!$C$2:$C$27777,"&lt;30",Datos!$F$2:$F$27777,"STANDBY"),0),"")</f>
        <v/>
      </c>
      <c r="AA61" s="7">
        <f>IFERROR(ROUND(AVERAGEIFS(Datos!$G$2:$G$27777,Datos!$E$2:$E$27777,$A61,Datos!$B$2:$B$27777,20,Datos!$C$2:$C$27777,"&gt;=30",Datos!$F$2:$F$27777,"STANDBY"),0),"")</f>
        <v/>
      </c>
      <c r="AB61" s="7">
        <f>IFERROR(ROUND(AVERAGEIFS(Datos!$G$2:$G$27777,Datos!$E$2:$E$27777,$A61,Datos!$B$2:$B$27777,21,Datos!$C$2:$C$27777,"&lt;30",Datos!$F$2:$F$27777,"STANDBY"),0),"")</f>
        <v/>
      </c>
      <c r="AC61" s="7">
        <f>IFERROR(ROUND(AVERAGEIFS(Datos!$G$2:$G$27777,Datos!$E$2:$E$27777,$A61,Datos!$B$2:$B$27777,21,Datos!$C$2:$C$27777,"&gt;=30",Datos!$F$2:$F$27777,"STANDBY"),0),"")</f>
        <v/>
      </c>
      <c r="AD61" s="7">
        <f>IFERROR(ROUND(AVERAGEIFS(Datos!$G$2:$G$27777,Datos!$E$2:$E$27777,$A61,Datos!$B$2:$B$27777,22,Datos!$C$2:$C$27777,"&lt;30",Datos!$F$2:$F$27777,"STANDBY"),0),"")</f>
        <v/>
      </c>
      <c r="AE61" s="7">
        <f>IFERROR(ROUND(AVERAGEIFS(Datos!$G$2:$G$27777,Datos!$E$2:$E$27777,$A61,Datos!$B$2:$B$27777,22,Datos!$C$2:$C$27777,"&gt;=30",Datos!$F$2:$F$27777,"STANDBY"),0),"")</f>
        <v/>
      </c>
      <c r="AF61" s="7">
        <f>IFERROR(ROUND(AVERAGEIFS(Datos!$G$2:$G$27777,Datos!$E$2:$E$27777,$A61,Datos!$B$2:$B$27777,23,Datos!$C$2:$C$27777,"&lt;30",Datos!$F$2:$F$27777,"STANDBY"),0),"")</f>
        <v/>
      </c>
      <c r="AG61" s="7">
        <f>IFERROR(ROUND(AVERAGEIFS(Datos!$G$2:$G$27777,Datos!$E$2:$E$27777,$A61,Datos!$B$2:$B$27777,23,Datos!$C$2:$C$27777,"&gt;=30",Datos!$F$2:$F$27777,"STANDBY"),0),"")</f>
        <v/>
      </c>
    </row>
    <row r="62">
      <c r="A62" s="6" t="inlineStr">
        <is>
          <t>Star Wars Hyperspace Mountain</t>
        </is>
      </c>
      <c r="B62" s="7">
        <f>IFERROR(ROUND(AVERAGEIFS(Datos!$G$2:$G$27777,Datos!$E$2:$E$27777,$A62,Datos!$B$2:$B$27777,8,Datos!$C$2:$C$27777,"&lt;30",Datos!$F$2:$F$27777,"STANDBY"),0),"")</f>
        <v/>
      </c>
      <c r="C62" s="7">
        <f>IFERROR(ROUND(AVERAGEIFS(Datos!$G$2:$G$27777,Datos!$E$2:$E$27777,$A62,Datos!$B$2:$B$27777,8,Datos!$C$2:$C$27777,"&gt;=30",Datos!$F$2:$F$27777,"STANDBY"),0),"")</f>
        <v/>
      </c>
      <c r="D62" s="7">
        <f>IFERROR(ROUND(AVERAGEIFS(Datos!$G$2:$G$27777,Datos!$E$2:$E$27777,$A62,Datos!$B$2:$B$27777,9,Datos!$C$2:$C$27777,"&lt;30",Datos!$F$2:$F$27777,"STANDBY"),0),"")</f>
        <v/>
      </c>
      <c r="E62" s="7">
        <f>IFERROR(ROUND(AVERAGEIFS(Datos!$G$2:$G$27777,Datos!$E$2:$E$27777,$A62,Datos!$B$2:$B$27777,9,Datos!$C$2:$C$27777,"&gt;=30",Datos!$F$2:$F$27777,"STANDBY"),0),"")</f>
        <v/>
      </c>
      <c r="F62" s="7">
        <f>IFERROR(ROUND(AVERAGEIFS(Datos!$G$2:$G$27777,Datos!$E$2:$E$27777,$A62,Datos!$B$2:$B$27777,10,Datos!$C$2:$C$27777,"&lt;30",Datos!$F$2:$F$27777,"STANDBY"),0),"")</f>
        <v/>
      </c>
      <c r="G62" s="7">
        <f>IFERROR(ROUND(AVERAGEIFS(Datos!$G$2:$G$27777,Datos!$E$2:$E$27777,$A62,Datos!$B$2:$B$27777,10,Datos!$C$2:$C$27777,"&gt;=30",Datos!$F$2:$F$27777,"STANDBY"),0),"")</f>
        <v/>
      </c>
      <c r="H62" s="7">
        <f>IFERROR(ROUND(AVERAGEIFS(Datos!$G$2:$G$27777,Datos!$E$2:$E$27777,$A62,Datos!$B$2:$B$27777,11,Datos!$C$2:$C$27777,"&lt;30",Datos!$F$2:$F$27777,"STANDBY"),0),"")</f>
        <v/>
      </c>
      <c r="I62" s="7">
        <f>IFERROR(ROUND(AVERAGEIFS(Datos!$G$2:$G$27777,Datos!$E$2:$E$27777,$A62,Datos!$B$2:$B$27777,11,Datos!$C$2:$C$27777,"&gt;=30",Datos!$F$2:$F$27777,"STANDBY"),0),"")</f>
        <v/>
      </c>
      <c r="J62" s="7">
        <f>IFERROR(ROUND(AVERAGEIFS(Datos!$G$2:$G$27777,Datos!$E$2:$E$27777,$A62,Datos!$B$2:$B$27777,12,Datos!$C$2:$C$27777,"&lt;30",Datos!$F$2:$F$27777,"STANDBY"),0),"")</f>
        <v/>
      </c>
      <c r="K62" s="7">
        <f>IFERROR(ROUND(AVERAGEIFS(Datos!$G$2:$G$27777,Datos!$E$2:$E$27777,$A62,Datos!$B$2:$B$27777,12,Datos!$C$2:$C$27777,"&gt;=30",Datos!$F$2:$F$27777,"STANDBY"),0),"")</f>
        <v/>
      </c>
      <c r="L62" s="7">
        <f>IFERROR(ROUND(AVERAGEIFS(Datos!$G$2:$G$27777,Datos!$E$2:$E$27777,$A62,Datos!$B$2:$B$27777,13,Datos!$C$2:$C$27777,"&lt;30",Datos!$F$2:$F$27777,"STANDBY"),0),"")</f>
        <v/>
      </c>
      <c r="M62" s="7">
        <f>IFERROR(ROUND(AVERAGEIFS(Datos!$G$2:$G$27777,Datos!$E$2:$E$27777,$A62,Datos!$B$2:$B$27777,13,Datos!$C$2:$C$27777,"&gt;=30",Datos!$F$2:$F$27777,"STANDBY"),0),"")</f>
        <v/>
      </c>
      <c r="N62" s="7">
        <f>IFERROR(ROUND(AVERAGEIFS(Datos!$G$2:$G$27777,Datos!$E$2:$E$27777,$A62,Datos!$B$2:$B$27777,14,Datos!$C$2:$C$27777,"&lt;30",Datos!$F$2:$F$27777,"STANDBY"),0),"")</f>
        <v/>
      </c>
      <c r="O62" s="7">
        <f>IFERROR(ROUND(AVERAGEIFS(Datos!$G$2:$G$27777,Datos!$E$2:$E$27777,$A62,Datos!$B$2:$B$27777,14,Datos!$C$2:$C$27777,"&gt;=30",Datos!$F$2:$F$27777,"STANDBY"),0),"")</f>
        <v/>
      </c>
      <c r="P62" s="7">
        <f>IFERROR(ROUND(AVERAGEIFS(Datos!$G$2:$G$27777,Datos!$E$2:$E$27777,$A62,Datos!$B$2:$B$27777,15,Datos!$C$2:$C$27777,"&lt;30",Datos!$F$2:$F$27777,"STANDBY"),0),"")</f>
        <v/>
      </c>
      <c r="Q62" s="7">
        <f>IFERROR(ROUND(AVERAGEIFS(Datos!$G$2:$G$27777,Datos!$E$2:$E$27777,$A62,Datos!$B$2:$B$27777,15,Datos!$C$2:$C$27777,"&gt;=30",Datos!$F$2:$F$27777,"STANDBY"),0),"")</f>
        <v/>
      </c>
      <c r="R62" s="7">
        <f>IFERROR(ROUND(AVERAGEIFS(Datos!$G$2:$G$27777,Datos!$E$2:$E$27777,$A62,Datos!$B$2:$B$27777,16,Datos!$C$2:$C$27777,"&lt;30",Datos!$F$2:$F$27777,"STANDBY"),0),"")</f>
        <v/>
      </c>
      <c r="S62" s="7">
        <f>IFERROR(ROUND(AVERAGEIFS(Datos!$G$2:$G$27777,Datos!$E$2:$E$27777,$A62,Datos!$B$2:$B$27777,16,Datos!$C$2:$C$27777,"&gt;=30",Datos!$F$2:$F$27777,"STANDBY"),0),"")</f>
        <v/>
      </c>
      <c r="T62" s="7">
        <f>IFERROR(ROUND(AVERAGEIFS(Datos!$G$2:$G$27777,Datos!$E$2:$E$27777,$A62,Datos!$B$2:$B$27777,17,Datos!$C$2:$C$27777,"&lt;30",Datos!$F$2:$F$27777,"STANDBY"),0),"")</f>
        <v/>
      </c>
      <c r="U62" s="7">
        <f>IFERROR(ROUND(AVERAGEIFS(Datos!$G$2:$G$27777,Datos!$E$2:$E$27777,$A62,Datos!$B$2:$B$27777,17,Datos!$C$2:$C$27777,"&gt;=30",Datos!$F$2:$F$27777,"STANDBY"),0),"")</f>
        <v/>
      </c>
      <c r="V62" s="7">
        <f>IFERROR(ROUND(AVERAGEIFS(Datos!$G$2:$G$27777,Datos!$E$2:$E$27777,$A62,Datos!$B$2:$B$27777,18,Datos!$C$2:$C$27777,"&lt;30",Datos!$F$2:$F$27777,"STANDBY"),0),"")</f>
        <v/>
      </c>
      <c r="W62" s="7">
        <f>IFERROR(ROUND(AVERAGEIFS(Datos!$G$2:$G$27777,Datos!$E$2:$E$27777,$A62,Datos!$B$2:$B$27777,18,Datos!$C$2:$C$27777,"&gt;=30",Datos!$F$2:$F$27777,"STANDBY"),0),"")</f>
        <v/>
      </c>
      <c r="X62" s="7">
        <f>IFERROR(ROUND(AVERAGEIFS(Datos!$G$2:$G$27777,Datos!$E$2:$E$27777,$A62,Datos!$B$2:$B$27777,19,Datos!$C$2:$C$27777,"&lt;30",Datos!$F$2:$F$27777,"STANDBY"),0),"")</f>
        <v/>
      </c>
      <c r="Y62" s="7">
        <f>IFERROR(ROUND(AVERAGEIFS(Datos!$G$2:$G$27777,Datos!$E$2:$E$27777,$A62,Datos!$B$2:$B$27777,19,Datos!$C$2:$C$27777,"&gt;=30",Datos!$F$2:$F$27777,"STANDBY"),0),"")</f>
        <v/>
      </c>
      <c r="Z62" s="7">
        <f>IFERROR(ROUND(AVERAGEIFS(Datos!$G$2:$G$27777,Datos!$E$2:$E$27777,$A62,Datos!$B$2:$B$27777,20,Datos!$C$2:$C$27777,"&lt;30",Datos!$F$2:$F$27777,"STANDBY"),0),"")</f>
        <v/>
      </c>
      <c r="AA62" s="7">
        <f>IFERROR(ROUND(AVERAGEIFS(Datos!$G$2:$G$27777,Datos!$E$2:$E$27777,$A62,Datos!$B$2:$B$27777,20,Datos!$C$2:$C$27777,"&gt;=30",Datos!$F$2:$F$27777,"STANDBY"),0),"")</f>
        <v/>
      </c>
      <c r="AB62" s="7">
        <f>IFERROR(ROUND(AVERAGEIFS(Datos!$G$2:$G$27777,Datos!$E$2:$E$27777,$A62,Datos!$B$2:$B$27777,21,Datos!$C$2:$C$27777,"&lt;30",Datos!$F$2:$F$27777,"STANDBY"),0),"")</f>
        <v/>
      </c>
      <c r="AC62" s="7">
        <f>IFERROR(ROUND(AVERAGEIFS(Datos!$G$2:$G$27777,Datos!$E$2:$E$27777,$A62,Datos!$B$2:$B$27777,21,Datos!$C$2:$C$27777,"&gt;=30",Datos!$F$2:$F$27777,"STANDBY"),0),"")</f>
        <v/>
      </c>
      <c r="AD62" s="7">
        <f>IFERROR(ROUND(AVERAGEIFS(Datos!$G$2:$G$27777,Datos!$E$2:$E$27777,$A62,Datos!$B$2:$B$27777,22,Datos!$C$2:$C$27777,"&lt;30",Datos!$F$2:$F$27777,"STANDBY"),0),"")</f>
        <v/>
      </c>
      <c r="AE62" s="7">
        <f>IFERROR(ROUND(AVERAGEIFS(Datos!$G$2:$G$27777,Datos!$E$2:$E$27777,$A62,Datos!$B$2:$B$27777,22,Datos!$C$2:$C$27777,"&gt;=30",Datos!$F$2:$F$27777,"STANDBY"),0),"")</f>
        <v/>
      </c>
      <c r="AF62" s="7">
        <f>IFERROR(ROUND(AVERAGEIFS(Datos!$G$2:$G$27777,Datos!$E$2:$E$27777,$A62,Datos!$B$2:$B$27777,23,Datos!$C$2:$C$27777,"&lt;30",Datos!$F$2:$F$27777,"STANDBY"),0),"")</f>
        <v/>
      </c>
      <c r="AG62" s="7">
        <f>IFERROR(ROUND(AVERAGEIFS(Datos!$G$2:$G$27777,Datos!$E$2:$E$27777,$A62,Datos!$B$2:$B$27777,23,Datos!$C$2:$C$27777,"&gt;=30",Datos!$F$2:$F$27777,"STANDBY"),0),"")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IFERROR(ROUND(AVERAGEIFS(Datos!$G$2:$G$27777,Datos!$E$2:$E$27777,$A63,Datos!$B$2:$B$27777,8,Datos!$C$2:$C$27777,"&lt;30",Datos!$F$2:$F$27777,"STANDBY"),0),"")</f>
        <v/>
      </c>
      <c r="C63" s="7">
        <f>IFERROR(ROUND(AVERAGEIFS(Datos!$G$2:$G$27777,Datos!$E$2:$E$27777,$A63,Datos!$B$2:$B$27777,8,Datos!$C$2:$C$27777,"&gt;=30",Datos!$F$2:$F$27777,"STANDBY"),0),"")</f>
        <v/>
      </c>
      <c r="D63" s="7">
        <f>IFERROR(ROUND(AVERAGEIFS(Datos!$G$2:$G$27777,Datos!$E$2:$E$27777,$A63,Datos!$B$2:$B$27777,9,Datos!$C$2:$C$27777,"&lt;30",Datos!$F$2:$F$27777,"STANDBY"),0),"")</f>
        <v/>
      </c>
      <c r="E63" s="7">
        <f>IFERROR(ROUND(AVERAGEIFS(Datos!$G$2:$G$27777,Datos!$E$2:$E$27777,$A63,Datos!$B$2:$B$27777,9,Datos!$C$2:$C$27777,"&gt;=30",Datos!$F$2:$F$27777,"STANDBY"),0),"")</f>
        <v/>
      </c>
      <c r="F63" s="7">
        <f>IFERROR(ROUND(AVERAGEIFS(Datos!$G$2:$G$27777,Datos!$E$2:$E$27777,$A63,Datos!$B$2:$B$27777,10,Datos!$C$2:$C$27777,"&lt;30",Datos!$F$2:$F$27777,"STANDBY"),0),"")</f>
        <v/>
      </c>
      <c r="G63" s="7">
        <f>IFERROR(ROUND(AVERAGEIFS(Datos!$G$2:$G$27777,Datos!$E$2:$E$27777,$A63,Datos!$B$2:$B$27777,10,Datos!$C$2:$C$27777,"&gt;=30",Datos!$F$2:$F$27777,"STANDBY"),0),"")</f>
        <v/>
      </c>
      <c r="H63" s="7">
        <f>IFERROR(ROUND(AVERAGEIFS(Datos!$G$2:$G$27777,Datos!$E$2:$E$27777,$A63,Datos!$B$2:$B$27777,11,Datos!$C$2:$C$27777,"&lt;30",Datos!$F$2:$F$27777,"STANDBY"),0),"")</f>
        <v/>
      </c>
      <c r="I63" s="7">
        <f>IFERROR(ROUND(AVERAGEIFS(Datos!$G$2:$G$27777,Datos!$E$2:$E$27777,$A63,Datos!$B$2:$B$27777,11,Datos!$C$2:$C$27777,"&gt;=30",Datos!$F$2:$F$27777,"STANDBY"),0),"")</f>
        <v/>
      </c>
      <c r="J63" s="7">
        <f>IFERROR(ROUND(AVERAGEIFS(Datos!$G$2:$G$27777,Datos!$E$2:$E$27777,$A63,Datos!$B$2:$B$27777,12,Datos!$C$2:$C$27777,"&lt;30",Datos!$F$2:$F$27777,"STANDBY"),0),"")</f>
        <v/>
      </c>
      <c r="K63" s="7">
        <f>IFERROR(ROUND(AVERAGEIFS(Datos!$G$2:$G$27777,Datos!$E$2:$E$27777,$A63,Datos!$B$2:$B$27777,12,Datos!$C$2:$C$27777,"&gt;=30",Datos!$F$2:$F$27777,"STANDBY"),0),"")</f>
        <v/>
      </c>
      <c r="L63" s="7">
        <f>IFERROR(ROUND(AVERAGEIFS(Datos!$G$2:$G$27777,Datos!$E$2:$E$27777,$A63,Datos!$B$2:$B$27777,13,Datos!$C$2:$C$27777,"&lt;30",Datos!$F$2:$F$27777,"STANDBY"),0),"")</f>
        <v/>
      </c>
      <c r="M63" s="7">
        <f>IFERROR(ROUND(AVERAGEIFS(Datos!$G$2:$G$27777,Datos!$E$2:$E$27777,$A63,Datos!$B$2:$B$27777,13,Datos!$C$2:$C$27777,"&gt;=30",Datos!$F$2:$F$27777,"STANDBY"),0),"")</f>
        <v/>
      </c>
      <c r="N63" s="7">
        <f>IFERROR(ROUND(AVERAGEIFS(Datos!$G$2:$G$27777,Datos!$E$2:$E$27777,$A63,Datos!$B$2:$B$27777,14,Datos!$C$2:$C$27777,"&lt;30",Datos!$F$2:$F$27777,"STANDBY"),0),"")</f>
        <v/>
      </c>
      <c r="O63" s="7">
        <f>IFERROR(ROUND(AVERAGEIFS(Datos!$G$2:$G$27777,Datos!$E$2:$E$27777,$A63,Datos!$B$2:$B$27777,14,Datos!$C$2:$C$27777,"&gt;=30",Datos!$F$2:$F$27777,"STANDBY"),0),"")</f>
        <v/>
      </c>
      <c r="P63" s="7">
        <f>IFERROR(ROUND(AVERAGEIFS(Datos!$G$2:$G$27777,Datos!$E$2:$E$27777,$A63,Datos!$B$2:$B$27777,15,Datos!$C$2:$C$27777,"&lt;30",Datos!$F$2:$F$27777,"STANDBY"),0),"")</f>
        <v/>
      </c>
      <c r="Q63" s="7">
        <f>IFERROR(ROUND(AVERAGEIFS(Datos!$G$2:$G$27777,Datos!$E$2:$E$27777,$A63,Datos!$B$2:$B$27777,15,Datos!$C$2:$C$27777,"&gt;=30",Datos!$F$2:$F$27777,"STANDBY"),0),"")</f>
        <v/>
      </c>
      <c r="R63" s="7">
        <f>IFERROR(ROUND(AVERAGEIFS(Datos!$G$2:$G$27777,Datos!$E$2:$E$27777,$A63,Datos!$B$2:$B$27777,16,Datos!$C$2:$C$27777,"&lt;30",Datos!$F$2:$F$27777,"STANDBY"),0),"")</f>
        <v/>
      </c>
      <c r="S63" s="7">
        <f>IFERROR(ROUND(AVERAGEIFS(Datos!$G$2:$G$27777,Datos!$E$2:$E$27777,$A63,Datos!$B$2:$B$27777,16,Datos!$C$2:$C$27777,"&gt;=30",Datos!$F$2:$F$27777,"STANDBY"),0),"")</f>
        <v/>
      </c>
      <c r="T63" s="7">
        <f>IFERROR(ROUND(AVERAGEIFS(Datos!$G$2:$G$27777,Datos!$E$2:$E$27777,$A63,Datos!$B$2:$B$27777,17,Datos!$C$2:$C$27777,"&lt;30",Datos!$F$2:$F$27777,"STANDBY"),0),"")</f>
        <v/>
      </c>
      <c r="U63" s="7">
        <f>IFERROR(ROUND(AVERAGEIFS(Datos!$G$2:$G$27777,Datos!$E$2:$E$27777,$A63,Datos!$B$2:$B$27777,17,Datos!$C$2:$C$27777,"&gt;=30",Datos!$F$2:$F$27777,"STANDBY"),0),"")</f>
        <v/>
      </c>
      <c r="V63" s="7">
        <f>IFERROR(ROUND(AVERAGEIFS(Datos!$G$2:$G$27777,Datos!$E$2:$E$27777,$A63,Datos!$B$2:$B$27777,18,Datos!$C$2:$C$27777,"&lt;30",Datos!$F$2:$F$27777,"STANDBY"),0),"")</f>
        <v/>
      </c>
      <c r="W63" s="7">
        <f>IFERROR(ROUND(AVERAGEIFS(Datos!$G$2:$G$27777,Datos!$E$2:$E$27777,$A63,Datos!$B$2:$B$27777,18,Datos!$C$2:$C$27777,"&gt;=30",Datos!$F$2:$F$27777,"STANDBY"),0),"")</f>
        <v/>
      </c>
      <c r="X63" s="7">
        <f>IFERROR(ROUND(AVERAGEIFS(Datos!$G$2:$G$27777,Datos!$E$2:$E$27777,$A63,Datos!$B$2:$B$27777,19,Datos!$C$2:$C$27777,"&lt;30",Datos!$F$2:$F$27777,"STANDBY"),0),"")</f>
        <v/>
      </c>
      <c r="Y63" s="7">
        <f>IFERROR(ROUND(AVERAGEIFS(Datos!$G$2:$G$27777,Datos!$E$2:$E$27777,$A63,Datos!$B$2:$B$27777,19,Datos!$C$2:$C$27777,"&gt;=30",Datos!$F$2:$F$27777,"STANDBY"),0),"")</f>
        <v/>
      </c>
      <c r="Z63" s="7">
        <f>IFERROR(ROUND(AVERAGEIFS(Datos!$G$2:$G$27777,Datos!$E$2:$E$27777,$A63,Datos!$B$2:$B$27777,20,Datos!$C$2:$C$27777,"&lt;30",Datos!$F$2:$F$27777,"STANDBY"),0),"")</f>
        <v/>
      </c>
      <c r="AA63" s="7">
        <f>IFERROR(ROUND(AVERAGEIFS(Datos!$G$2:$G$27777,Datos!$E$2:$E$27777,$A63,Datos!$B$2:$B$27777,20,Datos!$C$2:$C$27777,"&gt;=30",Datos!$F$2:$F$27777,"STANDBY"),0),"")</f>
        <v/>
      </c>
      <c r="AB63" s="7">
        <f>IFERROR(ROUND(AVERAGEIFS(Datos!$G$2:$G$27777,Datos!$E$2:$E$27777,$A63,Datos!$B$2:$B$27777,21,Datos!$C$2:$C$27777,"&lt;30",Datos!$F$2:$F$27777,"STANDBY"),0),"")</f>
        <v/>
      </c>
      <c r="AC63" s="7">
        <f>IFERROR(ROUND(AVERAGEIFS(Datos!$G$2:$G$27777,Datos!$E$2:$E$27777,$A63,Datos!$B$2:$B$27777,21,Datos!$C$2:$C$27777,"&gt;=30",Datos!$F$2:$F$27777,"STANDBY"),0),"")</f>
        <v/>
      </c>
      <c r="AD63" s="7">
        <f>IFERROR(ROUND(AVERAGEIFS(Datos!$G$2:$G$27777,Datos!$E$2:$E$27777,$A63,Datos!$B$2:$B$27777,22,Datos!$C$2:$C$27777,"&lt;30",Datos!$F$2:$F$27777,"STANDBY"),0),"")</f>
        <v/>
      </c>
      <c r="AE63" s="7">
        <f>IFERROR(ROUND(AVERAGEIFS(Datos!$G$2:$G$27777,Datos!$E$2:$E$27777,$A63,Datos!$B$2:$B$27777,22,Datos!$C$2:$C$27777,"&gt;=30",Datos!$F$2:$F$27777,"STANDBY"),0),"")</f>
        <v/>
      </c>
      <c r="AF63" s="7">
        <f>IFERROR(ROUND(AVERAGEIFS(Datos!$G$2:$G$27777,Datos!$E$2:$E$27777,$A63,Datos!$B$2:$B$27777,23,Datos!$C$2:$C$27777,"&lt;30",Datos!$F$2:$F$27777,"STANDBY"),0),"")</f>
        <v/>
      </c>
      <c r="AG63" s="7">
        <f>IFERROR(ROUND(AVERAGEIFS(Datos!$G$2:$G$27777,Datos!$E$2:$E$27777,$A63,Datos!$B$2:$B$27777,23,Datos!$C$2:$C$27777,"&gt;=30",Datos!$F$2:$F$27777,"STANDBY"),0),"")</f>
        <v/>
      </c>
    </row>
    <row r="64">
      <c r="A64" s="6" t="inlineStr">
        <is>
          <t>Thunder Mesa Riverboat Landing</t>
        </is>
      </c>
      <c r="B64" s="7">
        <f>IFERROR(ROUND(AVERAGEIFS(Datos!$G$2:$G$27777,Datos!$E$2:$E$27777,$A64,Datos!$B$2:$B$27777,8,Datos!$C$2:$C$27777,"&lt;30",Datos!$F$2:$F$27777,"STANDBY"),0),"")</f>
        <v/>
      </c>
      <c r="C64" s="7">
        <f>IFERROR(ROUND(AVERAGEIFS(Datos!$G$2:$G$27777,Datos!$E$2:$E$27777,$A64,Datos!$B$2:$B$27777,8,Datos!$C$2:$C$27777,"&gt;=30",Datos!$F$2:$F$27777,"STANDBY"),0),"")</f>
        <v/>
      </c>
      <c r="D64" s="7">
        <f>IFERROR(ROUND(AVERAGEIFS(Datos!$G$2:$G$27777,Datos!$E$2:$E$27777,$A64,Datos!$B$2:$B$27777,9,Datos!$C$2:$C$27777,"&lt;30",Datos!$F$2:$F$27777,"STANDBY"),0),"")</f>
        <v/>
      </c>
      <c r="E64" s="7">
        <f>IFERROR(ROUND(AVERAGEIFS(Datos!$G$2:$G$27777,Datos!$E$2:$E$27777,$A64,Datos!$B$2:$B$27777,9,Datos!$C$2:$C$27777,"&gt;=30",Datos!$F$2:$F$27777,"STANDBY"),0),"")</f>
        <v/>
      </c>
      <c r="F64" s="7">
        <f>IFERROR(ROUND(AVERAGEIFS(Datos!$G$2:$G$27777,Datos!$E$2:$E$27777,$A64,Datos!$B$2:$B$27777,10,Datos!$C$2:$C$27777,"&lt;30",Datos!$F$2:$F$27777,"STANDBY"),0),"")</f>
        <v/>
      </c>
      <c r="G64" s="7">
        <f>IFERROR(ROUND(AVERAGEIFS(Datos!$G$2:$G$27777,Datos!$E$2:$E$27777,$A64,Datos!$B$2:$B$27777,10,Datos!$C$2:$C$27777,"&gt;=30",Datos!$F$2:$F$27777,"STANDBY"),0),"")</f>
        <v/>
      </c>
      <c r="H64" s="7">
        <f>IFERROR(ROUND(AVERAGEIFS(Datos!$G$2:$G$27777,Datos!$E$2:$E$27777,$A64,Datos!$B$2:$B$27777,11,Datos!$C$2:$C$27777,"&lt;30",Datos!$F$2:$F$27777,"STANDBY"),0),"")</f>
        <v/>
      </c>
      <c r="I64" s="7">
        <f>IFERROR(ROUND(AVERAGEIFS(Datos!$G$2:$G$27777,Datos!$E$2:$E$27777,$A64,Datos!$B$2:$B$27777,11,Datos!$C$2:$C$27777,"&gt;=30",Datos!$F$2:$F$27777,"STANDBY"),0),"")</f>
        <v/>
      </c>
      <c r="J64" s="7">
        <f>IFERROR(ROUND(AVERAGEIFS(Datos!$G$2:$G$27777,Datos!$E$2:$E$27777,$A64,Datos!$B$2:$B$27777,12,Datos!$C$2:$C$27777,"&lt;30",Datos!$F$2:$F$27777,"STANDBY"),0),"")</f>
        <v/>
      </c>
      <c r="K64" s="7">
        <f>IFERROR(ROUND(AVERAGEIFS(Datos!$G$2:$G$27777,Datos!$E$2:$E$27777,$A64,Datos!$B$2:$B$27777,12,Datos!$C$2:$C$27777,"&gt;=30",Datos!$F$2:$F$27777,"STANDBY"),0),"")</f>
        <v/>
      </c>
      <c r="L64" s="7">
        <f>IFERROR(ROUND(AVERAGEIFS(Datos!$G$2:$G$27777,Datos!$E$2:$E$27777,$A64,Datos!$B$2:$B$27777,13,Datos!$C$2:$C$27777,"&lt;30",Datos!$F$2:$F$27777,"STANDBY"),0),"")</f>
        <v/>
      </c>
      <c r="M64" s="7">
        <f>IFERROR(ROUND(AVERAGEIFS(Datos!$G$2:$G$27777,Datos!$E$2:$E$27777,$A64,Datos!$B$2:$B$27777,13,Datos!$C$2:$C$27777,"&gt;=30",Datos!$F$2:$F$27777,"STANDBY"),0),"")</f>
        <v/>
      </c>
      <c r="N64" s="7">
        <f>IFERROR(ROUND(AVERAGEIFS(Datos!$G$2:$G$27777,Datos!$E$2:$E$27777,$A64,Datos!$B$2:$B$27777,14,Datos!$C$2:$C$27777,"&lt;30",Datos!$F$2:$F$27777,"STANDBY"),0),"")</f>
        <v/>
      </c>
      <c r="O64" s="7">
        <f>IFERROR(ROUND(AVERAGEIFS(Datos!$G$2:$G$27777,Datos!$E$2:$E$27777,$A64,Datos!$B$2:$B$27777,14,Datos!$C$2:$C$27777,"&gt;=30",Datos!$F$2:$F$27777,"STANDBY"),0),"")</f>
        <v/>
      </c>
      <c r="P64" s="7">
        <f>IFERROR(ROUND(AVERAGEIFS(Datos!$G$2:$G$27777,Datos!$E$2:$E$27777,$A64,Datos!$B$2:$B$27777,15,Datos!$C$2:$C$27777,"&lt;30",Datos!$F$2:$F$27777,"STANDBY"),0),"")</f>
        <v/>
      </c>
      <c r="Q64" s="7">
        <f>IFERROR(ROUND(AVERAGEIFS(Datos!$G$2:$G$27777,Datos!$E$2:$E$27777,$A64,Datos!$B$2:$B$27777,15,Datos!$C$2:$C$27777,"&gt;=30",Datos!$F$2:$F$27777,"STANDBY"),0),"")</f>
        <v/>
      </c>
      <c r="R64" s="7">
        <f>IFERROR(ROUND(AVERAGEIFS(Datos!$G$2:$G$27777,Datos!$E$2:$E$27777,$A64,Datos!$B$2:$B$27777,16,Datos!$C$2:$C$27777,"&lt;30",Datos!$F$2:$F$27777,"STANDBY"),0),"")</f>
        <v/>
      </c>
      <c r="S64" s="7">
        <f>IFERROR(ROUND(AVERAGEIFS(Datos!$G$2:$G$27777,Datos!$E$2:$E$27777,$A64,Datos!$B$2:$B$27777,16,Datos!$C$2:$C$27777,"&gt;=30",Datos!$F$2:$F$27777,"STANDBY"),0),"")</f>
        <v/>
      </c>
      <c r="T64" s="7">
        <f>IFERROR(ROUND(AVERAGEIFS(Datos!$G$2:$G$27777,Datos!$E$2:$E$27777,$A64,Datos!$B$2:$B$27777,17,Datos!$C$2:$C$27777,"&lt;30",Datos!$F$2:$F$27777,"STANDBY"),0),"")</f>
        <v/>
      </c>
      <c r="U64" s="7">
        <f>IFERROR(ROUND(AVERAGEIFS(Datos!$G$2:$G$27777,Datos!$E$2:$E$27777,$A64,Datos!$B$2:$B$27777,17,Datos!$C$2:$C$27777,"&gt;=30",Datos!$F$2:$F$27777,"STANDBY"),0),"")</f>
        <v/>
      </c>
      <c r="V64" s="7">
        <f>IFERROR(ROUND(AVERAGEIFS(Datos!$G$2:$G$27777,Datos!$E$2:$E$27777,$A64,Datos!$B$2:$B$27777,18,Datos!$C$2:$C$27777,"&lt;30",Datos!$F$2:$F$27777,"STANDBY"),0),"")</f>
        <v/>
      </c>
      <c r="W64" s="7">
        <f>IFERROR(ROUND(AVERAGEIFS(Datos!$G$2:$G$27777,Datos!$E$2:$E$27777,$A64,Datos!$B$2:$B$27777,18,Datos!$C$2:$C$27777,"&gt;=30",Datos!$F$2:$F$27777,"STANDBY"),0),"")</f>
        <v/>
      </c>
      <c r="X64" s="7">
        <f>IFERROR(ROUND(AVERAGEIFS(Datos!$G$2:$G$27777,Datos!$E$2:$E$27777,$A64,Datos!$B$2:$B$27777,19,Datos!$C$2:$C$27777,"&lt;30",Datos!$F$2:$F$27777,"STANDBY"),0),"")</f>
        <v/>
      </c>
      <c r="Y64" s="7">
        <f>IFERROR(ROUND(AVERAGEIFS(Datos!$G$2:$G$27777,Datos!$E$2:$E$27777,$A64,Datos!$B$2:$B$27777,19,Datos!$C$2:$C$27777,"&gt;=30",Datos!$F$2:$F$27777,"STANDBY"),0),"")</f>
        <v/>
      </c>
      <c r="Z64" s="7">
        <f>IFERROR(ROUND(AVERAGEIFS(Datos!$G$2:$G$27777,Datos!$E$2:$E$27777,$A64,Datos!$B$2:$B$27777,20,Datos!$C$2:$C$27777,"&lt;30",Datos!$F$2:$F$27777,"STANDBY"),0),"")</f>
        <v/>
      </c>
      <c r="AA64" s="7">
        <f>IFERROR(ROUND(AVERAGEIFS(Datos!$G$2:$G$27777,Datos!$E$2:$E$27777,$A64,Datos!$B$2:$B$27777,20,Datos!$C$2:$C$27777,"&gt;=30",Datos!$F$2:$F$27777,"STANDBY"),0),"")</f>
        <v/>
      </c>
      <c r="AB64" s="7">
        <f>IFERROR(ROUND(AVERAGEIFS(Datos!$G$2:$G$27777,Datos!$E$2:$E$27777,$A64,Datos!$B$2:$B$27777,21,Datos!$C$2:$C$27777,"&lt;30",Datos!$F$2:$F$27777,"STANDBY"),0),"")</f>
        <v/>
      </c>
      <c r="AC64" s="7">
        <f>IFERROR(ROUND(AVERAGEIFS(Datos!$G$2:$G$27777,Datos!$E$2:$E$27777,$A64,Datos!$B$2:$B$27777,21,Datos!$C$2:$C$27777,"&gt;=30",Datos!$F$2:$F$27777,"STANDBY"),0),"")</f>
        <v/>
      </c>
      <c r="AD64" s="7">
        <f>IFERROR(ROUND(AVERAGEIFS(Datos!$G$2:$G$27777,Datos!$E$2:$E$27777,$A64,Datos!$B$2:$B$27777,22,Datos!$C$2:$C$27777,"&lt;30",Datos!$F$2:$F$27777,"STANDBY"),0),"")</f>
        <v/>
      </c>
      <c r="AE64" s="7">
        <f>IFERROR(ROUND(AVERAGEIFS(Datos!$G$2:$G$27777,Datos!$E$2:$E$27777,$A64,Datos!$B$2:$B$27777,22,Datos!$C$2:$C$27777,"&gt;=30",Datos!$F$2:$F$27777,"STANDBY"),0),"")</f>
        <v/>
      </c>
      <c r="AF64" s="7">
        <f>IFERROR(ROUND(AVERAGEIFS(Datos!$G$2:$G$27777,Datos!$E$2:$E$27777,$A64,Datos!$B$2:$B$27777,23,Datos!$C$2:$C$27777,"&lt;30",Datos!$F$2:$F$27777,"STANDBY"),0),"")</f>
        <v/>
      </c>
      <c r="AG64" s="7">
        <f>IFERROR(ROUND(AVERAGEIFS(Datos!$G$2:$G$27777,Datos!$E$2:$E$27777,$A64,Datos!$B$2:$B$27777,23,Datos!$C$2:$C$27777,"&gt;=30",Datos!$F$2:$F$27777,"STANDBY"),0),"")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IFERROR(ROUND(AVERAGEIFS(Datos!$G$2:$G$27777,Datos!$E$2:$E$27777,$A65,Datos!$B$2:$B$27777,8,Datos!$C$2:$C$27777,"&lt;30",Datos!$F$2:$F$27777,"STANDBY"),0),"")</f>
        <v/>
      </c>
      <c r="C65" s="7">
        <f>IFERROR(ROUND(AVERAGEIFS(Datos!$G$2:$G$27777,Datos!$E$2:$E$27777,$A65,Datos!$B$2:$B$27777,8,Datos!$C$2:$C$27777,"&gt;=30",Datos!$F$2:$F$27777,"STANDBY"),0),"")</f>
        <v/>
      </c>
      <c r="D65" s="7">
        <f>IFERROR(ROUND(AVERAGEIFS(Datos!$G$2:$G$27777,Datos!$E$2:$E$27777,$A65,Datos!$B$2:$B$27777,9,Datos!$C$2:$C$27777,"&lt;30",Datos!$F$2:$F$27777,"STANDBY"),0),"")</f>
        <v/>
      </c>
      <c r="E65" s="7">
        <f>IFERROR(ROUND(AVERAGEIFS(Datos!$G$2:$G$27777,Datos!$E$2:$E$27777,$A65,Datos!$B$2:$B$27777,9,Datos!$C$2:$C$27777,"&gt;=30",Datos!$F$2:$F$27777,"STANDBY"),0),"")</f>
        <v/>
      </c>
      <c r="F65" s="7">
        <f>IFERROR(ROUND(AVERAGEIFS(Datos!$G$2:$G$27777,Datos!$E$2:$E$27777,$A65,Datos!$B$2:$B$27777,10,Datos!$C$2:$C$27777,"&lt;30",Datos!$F$2:$F$27777,"STANDBY"),0),"")</f>
        <v/>
      </c>
      <c r="G65" s="7">
        <f>IFERROR(ROUND(AVERAGEIFS(Datos!$G$2:$G$27777,Datos!$E$2:$E$27777,$A65,Datos!$B$2:$B$27777,10,Datos!$C$2:$C$27777,"&gt;=30",Datos!$F$2:$F$27777,"STANDBY"),0),"")</f>
        <v/>
      </c>
      <c r="H65" s="7">
        <f>IFERROR(ROUND(AVERAGEIFS(Datos!$G$2:$G$27777,Datos!$E$2:$E$27777,$A65,Datos!$B$2:$B$27777,11,Datos!$C$2:$C$27777,"&lt;30",Datos!$F$2:$F$27777,"STANDBY"),0),"")</f>
        <v/>
      </c>
      <c r="I65" s="7">
        <f>IFERROR(ROUND(AVERAGEIFS(Datos!$G$2:$G$27777,Datos!$E$2:$E$27777,$A65,Datos!$B$2:$B$27777,11,Datos!$C$2:$C$27777,"&gt;=30",Datos!$F$2:$F$27777,"STANDBY"),0),"")</f>
        <v/>
      </c>
      <c r="J65" s="7">
        <f>IFERROR(ROUND(AVERAGEIFS(Datos!$G$2:$G$27777,Datos!$E$2:$E$27777,$A65,Datos!$B$2:$B$27777,12,Datos!$C$2:$C$27777,"&lt;30",Datos!$F$2:$F$27777,"STANDBY"),0),"")</f>
        <v/>
      </c>
      <c r="K65" s="7">
        <f>IFERROR(ROUND(AVERAGEIFS(Datos!$G$2:$G$27777,Datos!$E$2:$E$27777,$A65,Datos!$B$2:$B$27777,12,Datos!$C$2:$C$27777,"&gt;=30",Datos!$F$2:$F$27777,"STANDBY"),0),"")</f>
        <v/>
      </c>
      <c r="L65" s="7">
        <f>IFERROR(ROUND(AVERAGEIFS(Datos!$G$2:$G$27777,Datos!$E$2:$E$27777,$A65,Datos!$B$2:$B$27777,13,Datos!$C$2:$C$27777,"&lt;30",Datos!$F$2:$F$27777,"STANDBY"),0),"")</f>
        <v/>
      </c>
      <c r="M65" s="7">
        <f>IFERROR(ROUND(AVERAGEIFS(Datos!$G$2:$G$27777,Datos!$E$2:$E$27777,$A65,Datos!$B$2:$B$27777,13,Datos!$C$2:$C$27777,"&gt;=30",Datos!$F$2:$F$27777,"STANDBY"),0),"")</f>
        <v/>
      </c>
      <c r="N65" s="7">
        <f>IFERROR(ROUND(AVERAGEIFS(Datos!$G$2:$G$27777,Datos!$E$2:$E$27777,$A65,Datos!$B$2:$B$27777,14,Datos!$C$2:$C$27777,"&lt;30",Datos!$F$2:$F$27777,"STANDBY"),0),"")</f>
        <v/>
      </c>
      <c r="O65" s="7">
        <f>IFERROR(ROUND(AVERAGEIFS(Datos!$G$2:$G$27777,Datos!$E$2:$E$27777,$A65,Datos!$B$2:$B$27777,14,Datos!$C$2:$C$27777,"&gt;=30",Datos!$F$2:$F$27777,"STANDBY"),0),"")</f>
        <v/>
      </c>
      <c r="P65" s="7">
        <f>IFERROR(ROUND(AVERAGEIFS(Datos!$G$2:$G$27777,Datos!$E$2:$E$27777,$A65,Datos!$B$2:$B$27777,15,Datos!$C$2:$C$27777,"&lt;30",Datos!$F$2:$F$27777,"STANDBY"),0),"")</f>
        <v/>
      </c>
      <c r="Q65" s="7">
        <f>IFERROR(ROUND(AVERAGEIFS(Datos!$G$2:$G$27777,Datos!$E$2:$E$27777,$A65,Datos!$B$2:$B$27777,15,Datos!$C$2:$C$27777,"&gt;=30",Datos!$F$2:$F$27777,"STANDBY"),0),"")</f>
        <v/>
      </c>
      <c r="R65" s="7">
        <f>IFERROR(ROUND(AVERAGEIFS(Datos!$G$2:$G$27777,Datos!$E$2:$E$27777,$A65,Datos!$B$2:$B$27777,16,Datos!$C$2:$C$27777,"&lt;30",Datos!$F$2:$F$27777,"STANDBY"),0),"")</f>
        <v/>
      </c>
      <c r="S65" s="7">
        <f>IFERROR(ROUND(AVERAGEIFS(Datos!$G$2:$G$27777,Datos!$E$2:$E$27777,$A65,Datos!$B$2:$B$27777,16,Datos!$C$2:$C$27777,"&gt;=30",Datos!$F$2:$F$27777,"STANDBY"),0),"")</f>
        <v/>
      </c>
      <c r="T65" s="7">
        <f>IFERROR(ROUND(AVERAGEIFS(Datos!$G$2:$G$27777,Datos!$E$2:$E$27777,$A65,Datos!$B$2:$B$27777,17,Datos!$C$2:$C$27777,"&lt;30",Datos!$F$2:$F$27777,"STANDBY"),0),"")</f>
        <v/>
      </c>
      <c r="U65" s="7">
        <f>IFERROR(ROUND(AVERAGEIFS(Datos!$G$2:$G$27777,Datos!$E$2:$E$27777,$A65,Datos!$B$2:$B$27777,17,Datos!$C$2:$C$27777,"&gt;=30",Datos!$F$2:$F$27777,"STANDBY"),0),"")</f>
        <v/>
      </c>
      <c r="V65" s="7">
        <f>IFERROR(ROUND(AVERAGEIFS(Datos!$G$2:$G$27777,Datos!$E$2:$E$27777,$A65,Datos!$B$2:$B$27777,18,Datos!$C$2:$C$27777,"&lt;30",Datos!$F$2:$F$27777,"STANDBY"),0),"")</f>
        <v/>
      </c>
      <c r="W65" s="7">
        <f>IFERROR(ROUND(AVERAGEIFS(Datos!$G$2:$G$27777,Datos!$E$2:$E$27777,$A65,Datos!$B$2:$B$27777,18,Datos!$C$2:$C$27777,"&gt;=30",Datos!$F$2:$F$27777,"STANDBY"),0),"")</f>
        <v/>
      </c>
      <c r="X65" s="7">
        <f>IFERROR(ROUND(AVERAGEIFS(Datos!$G$2:$G$27777,Datos!$E$2:$E$27777,$A65,Datos!$B$2:$B$27777,19,Datos!$C$2:$C$27777,"&lt;30",Datos!$F$2:$F$27777,"STANDBY"),0),"")</f>
        <v/>
      </c>
      <c r="Y65" s="7">
        <f>IFERROR(ROUND(AVERAGEIFS(Datos!$G$2:$G$27777,Datos!$E$2:$E$27777,$A65,Datos!$B$2:$B$27777,19,Datos!$C$2:$C$27777,"&gt;=30",Datos!$F$2:$F$27777,"STANDBY"),0),"")</f>
        <v/>
      </c>
      <c r="Z65" s="7">
        <f>IFERROR(ROUND(AVERAGEIFS(Datos!$G$2:$G$27777,Datos!$E$2:$E$27777,$A65,Datos!$B$2:$B$27777,20,Datos!$C$2:$C$27777,"&lt;30",Datos!$F$2:$F$27777,"STANDBY"),0),"")</f>
        <v/>
      </c>
      <c r="AA65" s="7">
        <f>IFERROR(ROUND(AVERAGEIFS(Datos!$G$2:$G$27777,Datos!$E$2:$E$27777,$A65,Datos!$B$2:$B$27777,20,Datos!$C$2:$C$27777,"&gt;=30",Datos!$F$2:$F$27777,"STANDBY"),0),"")</f>
        <v/>
      </c>
      <c r="AB65" s="7">
        <f>IFERROR(ROUND(AVERAGEIFS(Datos!$G$2:$G$27777,Datos!$E$2:$E$27777,$A65,Datos!$B$2:$B$27777,21,Datos!$C$2:$C$27777,"&lt;30",Datos!$F$2:$F$27777,"STANDBY"),0),"")</f>
        <v/>
      </c>
      <c r="AC65" s="7">
        <f>IFERROR(ROUND(AVERAGEIFS(Datos!$G$2:$G$27777,Datos!$E$2:$E$27777,$A65,Datos!$B$2:$B$27777,21,Datos!$C$2:$C$27777,"&gt;=30",Datos!$F$2:$F$27777,"STANDBY"),0),"")</f>
        <v/>
      </c>
      <c r="AD65" s="7">
        <f>IFERROR(ROUND(AVERAGEIFS(Datos!$G$2:$G$27777,Datos!$E$2:$E$27777,$A65,Datos!$B$2:$B$27777,22,Datos!$C$2:$C$27777,"&lt;30",Datos!$F$2:$F$27777,"STANDBY"),0),"")</f>
        <v/>
      </c>
      <c r="AE65" s="7">
        <f>IFERROR(ROUND(AVERAGEIFS(Datos!$G$2:$G$27777,Datos!$E$2:$E$27777,$A65,Datos!$B$2:$B$27777,22,Datos!$C$2:$C$27777,"&gt;=30",Datos!$F$2:$F$27777,"STANDBY"),0),"")</f>
        <v/>
      </c>
      <c r="AF65" s="7">
        <f>IFERROR(ROUND(AVERAGEIFS(Datos!$G$2:$G$27777,Datos!$E$2:$E$27777,$A65,Datos!$B$2:$B$27777,23,Datos!$C$2:$C$27777,"&lt;30",Datos!$F$2:$F$27777,"STANDBY"),0),"")</f>
        <v/>
      </c>
      <c r="AG65" s="7">
        <f>IFERROR(ROUND(AVERAGEIFS(Datos!$G$2:$G$27777,Datos!$E$2:$E$27777,$A65,Datos!$B$2:$B$27777,23,Datos!$C$2:$C$27777,"&gt;=30",Datos!$F$2:$F$27777,"STANDBY"),0),"")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2026-08-05T23:15:51Z</dcterms:created>
  <dcterms:modified xsi:type="dcterms:W3CDTF">2026-08-05T23:15:53Z</dcterms:modified>
</cp:coreProperties>
</file>