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'Datos'!$A$1:$H$18911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IFERROR(ROUND(AVERAGEIFS(Datos!$G$2:$G$18911,Datos!$E$2:$E$18911,$A5,Datos!$D$2:$D$18911,$B5,Datos!$F$2:$F$18911,"STANDBY"),1),"")</f>
        <v/>
      </c>
      <c r="D5" s="5">
        <f>IFERROR(_xlfn.MAXIFS(Datos!$G$2:$G$18911,Datos!$E$2:$E$18911,$A5,Datos!$D$2:$D$18911,$B5,Datos!$F$2:$F$18911,"STANDBY"),"")</f>
        <v/>
      </c>
      <c r="E5" s="5">
        <f>IFERROR(_xlfn.MINIFS(Datos!$G$2:$G$18911,Datos!$E$2:$E$18911,$A5,Datos!$D$2:$D$18911,$B5,Datos!$F$2:$F$18911,"STANDBY"),"")</f>
        <v/>
      </c>
      <c r="F5" s="5">
        <f>IFERROR(ROUND(AVERAGEIFS(Datos!$G$2:$G$18911,Datos!$E$2:$E$18911,$A5,Datos!$D$2:$D$18911,$B5,Datos!$F$2:$F$18911,"SINGLE_RIDER"),1),"")</f>
        <v/>
      </c>
      <c r="G5" s="5">
        <f>COUNTIFS(Datos!$E$2:$E$18911,$A5,Datos!$D$2:$D$18911,$B5,Datos!$F$2:$F$18911,"STANDBY")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IFERROR(ROUND(AVERAGEIFS(Datos!$G$2:$G$18911,Datos!$E$2:$E$18911,$A6,Datos!$D$2:$D$18911,$B6,Datos!$F$2:$F$18911,"STANDBY"),1),"")</f>
        <v/>
      </c>
      <c r="D6" s="7">
        <f>IFERROR(_xlfn.MAXIFS(Datos!$G$2:$G$18911,Datos!$E$2:$E$18911,$A6,Datos!$D$2:$D$18911,$B6,Datos!$F$2:$F$18911,"STANDBY"),"")</f>
        <v/>
      </c>
      <c r="E6" s="7">
        <f>IFERROR(_xlfn.MINIFS(Datos!$G$2:$G$18911,Datos!$E$2:$E$18911,$A6,Datos!$D$2:$D$18911,$B6,Datos!$F$2:$F$18911,"STANDBY"),"")</f>
        <v/>
      </c>
      <c r="F6" s="7">
        <f>IFERROR(ROUND(AVERAGEIFS(Datos!$G$2:$G$18911,Datos!$E$2:$E$18911,$A6,Datos!$D$2:$D$18911,$B6,Datos!$F$2:$F$18911,"SINGLE_RIDER"),1),"")</f>
        <v/>
      </c>
      <c r="G6" s="7">
        <f>COUNTIFS(Datos!$E$2:$E$18911,$A6,Datos!$D$2:$D$18911,$B6,Datos!$F$2:$F$18911,"STANDBY")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IFERROR(ROUND(AVERAGEIFS(Datos!$G$2:$G$18911,Datos!$E$2:$E$18911,$A7,Datos!$D$2:$D$18911,$B7,Datos!$F$2:$F$18911,"STANDBY"),1),"")</f>
        <v/>
      </c>
      <c r="D7" s="5">
        <f>IFERROR(_xlfn.MAXIFS(Datos!$G$2:$G$18911,Datos!$E$2:$E$18911,$A7,Datos!$D$2:$D$18911,$B7,Datos!$F$2:$F$18911,"STANDBY"),"")</f>
        <v/>
      </c>
      <c r="E7" s="5">
        <f>IFERROR(_xlfn.MINIFS(Datos!$G$2:$G$18911,Datos!$E$2:$E$18911,$A7,Datos!$D$2:$D$18911,$B7,Datos!$F$2:$F$18911,"STANDBY"),"")</f>
        <v/>
      </c>
      <c r="F7" s="5">
        <f>IFERROR(ROUND(AVERAGEIFS(Datos!$G$2:$G$18911,Datos!$E$2:$E$18911,$A7,Datos!$D$2:$D$18911,$B7,Datos!$F$2:$F$18911,"SINGLE_RIDER"),1),"")</f>
        <v/>
      </c>
      <c r="G7" s="5">
        <f>COUNTIFS(Datos!$E$2:$E$18911,$A7,Datos!$D$2:$D$18911,$B7,Datos!$F$2:$F$18911,"STANDBY")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IFERROR(ROUND(AVERAGEIFS(Datos!$G$2:$G$18911,Datos!$E$2:$E$18911,$A8,Datos!$D$2:$D$18911,$B8,Datos!$F$2:$F$18911,"STANDBY"),1),"")</f>
        <v/>
      </c>
      <c r="D8" s="7">
        <f>IFERROR(_xlfn.MAXIFS(Datos!$G$2:$G$18911,Datos!$E$2:$E$18911,$A8,Datos!$D$2:$D$18911,$B8,Datos!$F$2:$F$18911,"STANDBY"),"")</f>
        <v/>
      </c>
      <c r="E8" s="7">
        <f>IFERROR(_xlfn.MINIFS(Datos!$G$2:$G$18911,Datos!$E$2:$E$18911,$A8,Datos!$D$2:$D$18911,$B8,Datos!$F$2:$F$18911,"STANDBY"),"")</f>
        <v/>
      </c>
      <c r="F8" s="7">
        <f>IFERROR(ROUND(AVERAGEIFS(Datos!$G$2:$G$18911,Datos!$E$2:$E$18911,$A8,Datos!$D$2:$D$18911,$B8,Datos!$F$2:$F$18911,"SINGLE_RIDER"),1),"")</f>
        <v/>
      </c>
      <c r="G8" s="7">
        <f>COUNTIFS(Datos!$E$2:$E$18911,$A8,Datos!$D$2:$D$18911,$B8,Datos!$F$2:$F$18911,"STANDBY")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IFERROR(ROUND(AVERAGEIFS(Datos!$G$2:$G$18911,Datos!$E$2:$E$18911,$A9,Datos!$D$2:$D$18911,$B9,Datos!$F$2:$F$18911,"STANDBY"),1),"")</f>
        <v/>
      </c>
      <c r="D9" s="5">
        <f>IFERROR(_xlfn.MAXIFS(Datos!$G$2:$G$18911,Datos!$E$2:$E$18911,$A9,Datos!$D$2:$D$18911,$B9,Datos!$F$2:$F$18911,"STANDBY"),"")</f>
        <v/>
      </c>
      <c r="E9" s="5">
        <f>IFERROR(_xlfn.MINIFS(Datos!$G$2:$G$18911,Datos!$E$2:$E$18911,$A9,Datos!$D$2:$D$18911,$B9,Datos!$F$2:$F$18911,"STANDBY"),"")</f>
        <v/>
      </c>
      <c r="F9" s="5">
        <f>IFERROR(ROUND(AVERAGEIFS(Datos!$G$2:$G$18911,Datos!$E$2:$E$18911,$A9,Datos!$D$2:$D$18911,$B9,Datos!$F$2:$F$18911,"SINGLE_RIDER"),1),"")</f>
        <v/>
      </c>
      <c r="G9" s="5">
        <f>COUNTIFS(Datos!$E$2:$E$18911,$A9,Datos!$D$2:$D$18911,$B9,Datos!$F$2:$F$18911,"STANDBY")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IFERROR(ROUND(AVERAGEIFS(Datos!$G$2:$G$18911,Datos!$E$2:$E$18911,$A10,Datos!$D$2:$D$18911,$B10,Datos!$F$2:$F$18911,"STANDBY"),1),"")</f>
        <v/>
      </c>
      <c r="D10" s="7">
        <f>IFERROR(_xlfn.MAXIFS(Datos!$G$2:$G$18911,Datos!$E$2:$E$18911,$A10,Datos!$D$2:$D$18911,$B10,Datos!$F$2:$F$18911,"STANDBY"),"")</f>
        <v/>
      </c>
      <c r="E10" s="7">
        <f>IFERROR(_xlfn.MINIFS(Datos!$G$2:$G$18911,Datos!$E$2:$E$18911,$A10,Datos!$D$2:$D$18911,$B10,Datos!$F$2:$F$18911,"STANDBY"),"")</f>
        <v/>
      </c>
      <c r="F10" s="7">
        <f>IFERROR(ROUND(AVERAGEIFS(Datos!$G$2:$G$18911,Datos!$E$2:$E$18911,$A10,Datos!$D$2:$D$18911,$B10,Datos!$F$2:$F$18911,"SINGLE_RIDER"),1),"")</f>
        <v/>
      </c>
      <c r="G10" s="7">
        <f>COUNTIFS(Datos!$E$2:$E$18911,$A10,Datos!$D$2:$D$18911,$B10,Datos!$F$2:$F$18911,"STANDBY")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IFERROR(ROUND(AVERAGEIFS(Datos!$G$2:$G$18911,Datos!$E$2:$E$18911,$A11,Datos!$D$2:$D$18911,$B11,Datos!$F$2:$F$18911,"STANDBY"),1),"")</f>
        <v/>
      </c>
      <c r="D11" s="5">
        <f>IFERROR(_xlfn.MAXIFS(Datos!$G$2:$G$18911,Datos!$E$2:$E$18911,$A11,Datos!$D$2:$D$18911,$B11,Datos!$F$2:$F$18911,"STANDBY"),"")</f>
        <v/>
      </c>
      <c r="E11" s="5">
        <f>IFERROR(_xlfn.MINIFS(Datos!$G$2:$G$18911,Datos!$E$2:$E$18911,$A11,Datos!$D$2:$D$18911,$B11,Datos!$F$2:$F$18911,"STANDBY"),"")</f>
        <v/>
      </c>
      <c r="F11" s="5">
        <f>IFERROR(ROUND(AVERAGEIFS(Datos!$G$2:$G$18911,Datos!$E$2:$E$18911,$A11,Datos!$D$2:$D$18911,$B11,Datos!$F$2:$F$18911,"SINGLE_RIDER"),1),"")</f>
        <v/>
      </c>
      <c r="G11" s="5">
        <f>COUNTIFS(Datos!$E$2:$E$18911,$A11,Datos!$D$2:$D$18911,$B11,Datos!$F$2:$F$18911,"STANDBY")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IFERROR(ROUND(AVERAGEIFS(Datos!$G$2:$G$18911,Datos!$E$2:$E$18911,$A12,Datos!$D$2:$D$18911,$B12,Datos!$F$2:$F$18911,"STANDBY"),1),"")</f>
        <v/>
      </c>
      <c r="D12" s="7">
        <f>IFERROR(_xlfn.MAXIFS(Datos!$G$2:$G$18911,Datos!$E$2:$E$18911,$A12,Datos!$D$2:$D$18911,$B12,Datos!$F$2:$F$18911,"STANDBY"),"")</f>
        <v/>
      </c>
      <c r="E12" s="7">
        <f>IFERROR(_xlfn.MINIFS(Datos!$G$2:$G$18911,Datos!$E$2:$E$18911,$A12,Datos!$D$2:$D$18911,$B12,Datos!$F$2:$F$18911,"STANDBY"),"")</f>
        <v/>
      </c>
      <c r="F12" s="7">
        <f>IFERROR(ROUND(AVERAGEIFS(Datos!$G$2:$G$18911,Datos!$E$2:$E$18911,$A12,Datos!$D$2:$D$18911,$B12,Datos!$F$2:$F$18911,"SINGLE_RIDER"),1),"")</f>
        <v/>
      </c>
      <c r="G12" s="7">
        <f>COUNTIFS(Datos!$E$2:$E$18911,$A12,Datos!$D$2:$D$18911,$B12,Datos!$F$2:$F$18911,"STANDBY")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IFERROR(ROUND(AVERAGEIFS(Datos!$G$2:$G$18911,Datos!$E$2:$E$18911,$A13,Datos!$D$2:$D$18911,$B13,Datos!$F$2:$F$18911,"STANDBY"),1),"")</f>
        <v/>
      </c>
      <c r="D13" s="5">
        <f>IFERROR(_xlfn.MAXIFS(Datos!$G$2:$G$18911,Datos!$E$2:$E$18911,$A13,Datos!$D$2:$D$18911,$B13,Datos!$F$2:$F$18911,"STANDBY"),"")</f>
        <v/>
      </c>
      <c r="E13" s="5">
        <f>IFERROR(_xlfn.MINIFS(Datos!$G$2:$G$18911,Datos!$E$2:$E$18911,$A13,Datos!$D$2:$D$18911,$B13,Datos!$F$2:$F$18911,"STANDBY"),"")</f>
        <v/>
      </c>
      <c r="F13" s="5">
        <f>IFERROR(ROUND(AVERAGEIFS(Datos!$G$2:$G$18911,Datos!$E$2:$E$18911,$A13,Datos!$D$2:$D$18911,$B13,Datos!$F$2:$F$18911,"SINGLE_RIDER"),1),"")</f>
        <v/>
      </c>
      <c r="G13" s="5">
        <f>COUNTIFS(Datos!$E$2:$E$18911,$A13,Datos!$D$2:$D$18911,$B13,Datos!$F$2:$F$18911,"STANDBY")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IFERROR(ROUND(AVERAGEIFS(Datos!$G$2:$G$18911,Datos!$E$2:$E$18911,$A14,Datos!$D$2:$D$18911,$B14,Datos!$F$2:$F$18911,"STANDBY"),1),"")</f>
        <v/>
      </c>
      <c r="D14" s="7">
        <f>IFERROR(_xlfn.MAXIFS(Datos!$G$2:$G$18911,Datos!$E$2:$E$18911,$A14,Datos!$D$2:$D$18911,$B14,Datos!$F$2:$F$18911,"STANDBY"),"")</f>
        <v/>
      </c>
      <c r="E14" s="7">
        <f>IFERROR(_xlfn.MINIFS(Datos!$G$2:$G$18911,Datos!$E$2:$E$18911,$A14,Datos!$D$2:$D$18911,$B14,Datos!$F$2:$F$18911,"STANDBY"),"")</f>
        <v/>
      </c>
      <c r="F14" s="7">
        <f>IFERROR(ROUND(AVERAGEIFS(Datos!$G$2:$G$18911,Datos!$E$2:$E$18911,$A14,Datos!$D$2:$D$18911,$B14,Datos!$F$2:$F$18911,"SINGLE_RIDER"),1),"")</f>
        <v/>
      </c>
      <c r="G14" s="7">
        <f>COUNTIFS(Datos!$E$2:$E$18911,$A14,Datos!$D$2:$D$18911,$B14,Datos!$F$2:$F$18911,"STANDBY")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IFERROR(ROUND(AVERAGEIFS(Datos!$G$2:$G$18911,Datos!$E$2:$E$18911,$A15,Datos!$D$2:$D$18911,$B15,Datos!$F$2:$F$18911,"STANDBY"),1),"")</f>
        <v/>
      </c>
      <c r="D15" s="5">
        <f>IFERROR(_xlfn.MAXIFS(Datos!$G$2:$G$18911,Datos!$E$2:$E$18911,$A15,Datos!$D$2:$D$18911,$B15,Datos!$F$2:$F$18911,"STANDBY"),"")</f>
        <v/>
      </c>
      <c r="E15" s="5">
        <f>IFERROR(_xlfn.MINIFS(Datos!$G$2:$G$18911,Datos!$E$2:$E$18911,$A15,Datos!$D$2:$D$18911,$B15,Datos!$F$2:$F$18911,"STANDBY"),"")</f>
        <v/>
      </c>
      <c r="F15" s="5">
        <f>IFERROR(ROUND(AVERAGEIFS(Datos!$G$2:$G$18911,Datos!$E$2:$E$18911,$A15,Datos!$D$2:$D$18911,$B15,Datos!$F$2:$F$18911,"SINGLE_RIDER"),1),"")</f>
        <v/>
      </c>
      <c r="G15" s="5">
        <f>COUNTIFS(Datos!$E$2:$E$18911,$A15,Datos!$D$2:$D$18911,$B15,Datos!$F$2:$F$18911,"STANDBY")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IFERROR(ROUND(AVERAGEIFS(Datos!$G$2:$G$18911,Datos!$E$2:$E$18911,$A16,Datos!$D$2:$D$18911,$B16,Datos!$F$2:$F$18911,"STANDBY"),1),"")</f>
        <v/>
      </c>
      <c r="D16" s="7">
        <f>IFERROR(_xlfn.MAXIFS(Datos!$G$2:$G$18911,Datos!$E$2:$E$18911,$A16,Datos!$D$2:$D$18911,$B16,Datos!$F$2:$F$18911,"STANDBY"),"")</f>
        <v/>
      </c>
      <c r="E16" s="7">
        <f>IFERROR(_xlfn.MINIFS(Datos!$G$2:$G$18911,Datos!$E$2:$E$18911,$A16,Datos!$D$2:$D$18911,$B16,Datos!$F$2:$F$18911,"STANDBY"),"")</f>
        <v/>
      </c>
      <c r="F16" s="7">
        <f>IFERROR(ROUND(AVERAGEIFS(Datos!$G$2:$G$18911,Datos!$E$2:$E$18911,$A16,Datos!$D$2:$D$18911,$B16,Datos!$F$2:$F$18911,"SINGLE_RIDER"),1),"")</f>
        <v/>
      </c>
      <c r="G16" s="7">
        <f>COUNTIFS(Datos!$E$2:$E$18911,$A16,Datos!$D$2:$D$18911,$B16,Datos!$F$2:$F$18911,"STANDBY")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IFERROR(ROUND(AVERAGEIFS(Datos!$G$2:$G$18911,Datos!$E$2:$E$18911,$A17,Datos!$D$2:$D$18911,$B17,Datos!$F$2:$F$18911,"STANDBY"),1),"")</f>
        <v/>
      </c>
      <c r="D17" s="5">
        <f>IFERROR(_xlfn.MAXIFS(Datos!$G$2:$G$18911,Datos!$E$2:$E$18911,$A17,Datos!$D$2:$D$18911,$B17,Datos!$F$2:$F$18911,"STANDBY"),"")</f>
        <v/>
      </c>
      <c r="E17" s="5">
        <f>IFERROR(_xlfn.MINIFS(Datos!$G$2:$G$18911,Datos!$E$2:$E$18911,$A17,Datos!$D$2:$D$18911,$B17,Datos!$F$2:$F$18911,"STANDBY"),"")</f>
        <v/>
      </c>
      <c r="F17" s="5">
        <f>IFERROR(ROUND(AVERAGEIFS(Datos!$G$2:$G$18911,Datos!$E$2:$E$18911,$A17,Datos!$D$2:$D$18911,$B17,Datos!$F$2:$F$18911,"SINGLE_RIDER"),1),"")</f>
        <v/>
      </c>
      <c r="G17" s="5">
        <f>COUNTIFS(Datos!$E$2:$E$18911,$A17,Datos!$D$2:$D$18911,$B17,Datos!$F$2:$F$18911,"STANDBY")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IFERROR(ROUND(AVERAGEIFS(Datos!$G$2:$G$18911,Datos!$E$2:$E$18911,$A18,Datos!$D$2:$D$18911,$B18,Datos!$F$2:$F$18911,"STANDBY"),1),"")</f>
        <v/>
      </c>
      <c r="D18" s="7">
        <f>IFERROR(_xlfn.MAXIFS(Datos!$G$2:$G$18911,Datos!$E$2:$E$18911,$A18,Datos!$D$2:$D$18911,$B18,Datos!$F$2:$F$18911,"STANDBY"),"")</f>
        <v/>
      </c>
      <c r="E18" s="7">
        <f>IFERROR(_xlfn.MINIFS(Datos!$G$2:$G$18911,Datos!$E$2:$E$18911,$A18,Datos!$D$2:$D$18911,$B18,Datos!$F$2:$F$18911,"STANDBY"),"")</f>
        <v/>
      </c>
      <c r="F18" s="7">
        <f>IFERROR(ROUND(AVERAGEIFS(Datos!$G$2:$G$18911,Datos!$E$2:$E$18911,$A18,Datos!$D$2:$D$18911,$B18,Datos!$F$2:$F$18911,"SINGLE_RIDER"),1),"")</f>
        <v/>
      </c>
      <c r="G18" s="7">
        <f>COUNTIFS(Datos!$E$2:$E$18911,$A18,Datos!$D$2:$D$18911,$B18,Datos!$F$2:$F$18911,"STANDBY")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IFERROR(ROUND(AVERAGEIFS(Datos!$G$2:$G$18911,Datos!$E$2:$E$18911,$A19,Datos!$D$2:$D$18911,$B19,Datos!$F$2:$F$18911,"STANDBY"),1),"")</f>
        <v/>
      </c>
      <c r="D19" s="5">
        <f>IFERROR(_xlfn.MAXIFS(Datos!$G$2:$G$18911,Datos!$E$2:$E$18911,$A19,Datos!$D$2:$D$18911,$B19,Datos!$F$2:$F$18911,"STANDBY"),"")</f>
        <v/>
      </c>
      <c r="E19" s="5">
        <f>IFERROR(_xlfn.MINIFS(Datos!$G$2:$G$18911,Datos!$E$2:$E$18911,$A19,Datos!$D$2:$D$18911,$B19,Datos!$F$2:$F$18911,"STANDBY"),"")</f>
        <v/>
      </c>
      <c r="F19" s="5">
        <f>IFERROR(ROUND(AVERAGEIFS(Datos!$G$2:$G$18911,Datos!$E$2:$E$18911,$A19,Datos!$D$2:$D$18911,$B19,Datos!$F$2:$F$18911,"SINGLE_RIDER"),1),"")</f>
        <v/>
      </c>
      <c r="G19" s="5">
        <f>COUNTIFS(Datos!$E$2:$E$18911,$A19,Datos!$D$2:$D$18911,$B19,Datos!$F$2:$F$18911,"STANDBY")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IFERROR(ROUND(AVERAGEIFS(Datos!$G$2:$G$18911,Datos!$E$2:$E$18911,$A20,Datos!$D$2:$D$18911,$B20,Datos!$F$2:$F$18911,"STANDBY"),1),"")</f>
        <v/>
      </c>
      <c r="D20" s="7">
        <f>IFERROR(_xlfn.MAXIFS(Datos!$G$2:$G$18911,Datos!$E$2:$E$18911,$A20,Datos!$D$2:$D$18911,$B20,Datos!$F$2:$F$18911,"STANDBY"),"")</f>
        <v/>
      </c>
      <c r="E20" s="7">
        <f>IFERROR(_xlfn.MINIFS(Datos!$G$2:$G$18911,Datos!$E$2:$E$18911,$A20,Datos!$D$2:$D$18911,$B20,Datos!$F$2:$F$18911,"STANDBY"),"")</f>
        <v/>
      </c>
      <c r="F20" s="7">
        <f>IFERROR(ROUND(AVERAGEIFS(Datos!$G$2:$G$18911,Datos!$E$2:$E$18911,$A20,Datos!$D$2:$D$18911,$B20,Datos!$F$2:$F$18911,"SINGLE_RIDER"),1),"")</f>
        <v/>
      </c>
      <c r="G20" s="7">
        <f>COUNTIFS(Datos!$E$2:$E$18911,$A20,Datos!$D$2:$D$18911,$B20,Datos!$F$2:$F$18911,"STANDBY")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IFERROR(ROUND(AVERAGEIFS(Datos!$G$2:$G$18911,Datos!$E$2:$E$18911,$A21,Datos!$D$2:$D$18911,$B21,Datos!$F$2:$F$18911,"STANDBY"),1),"")</f>
        <v/>
      </c>
      <c r="D21" s="5">
        <f>IFERROR(_xlfn.MAXIFS(Datos!$G$2:$G$18911,Datos!$E$2:$E$18911,$A21,Datos!$D$2:$D$18911,$B21,Datos!$F$2:$F$18911,"STANDBY"),"")</f>
        <v/>
      </c>
      <c r="E21" s="5">
        <f>IFERROR(_xlfn.MINIFS(Datos!$G$2:$G$18911,Datos!$E$2:$E$18911,$A21,Datos!$D$2:$D$18911,$B21,Datos!$F$2:$F$18911,"STANDBY"),"")</f>
        <v/>
      </c>
      <c r="F21" s="5">
        <f>IFERROR(ROUND(AVERAGEIFS(Datos!$G$2:$G$18911,Datos!$E$2:$E$18911,$A21,Datos!$D$2:$D$18911,$B21,Datos!$F$2:$F$18911,"SINGLE_RIDER"),1),"")</f>
        <v/>
      </c>
      <c r="G21" s="5">
        <f>COUNTIFS(Datos!$E$2:$E$18911,$A21,Datos!$D$2:$D$18911,$B21,Datos!$F$2:$F$18911,"STANDBY")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IFERROR(ROUND(AVERAGEIFS(Datos!$G$2:$G$18911,Datos!$E$2:$E$18911,$A22,Datos!$D$2:$D$18911,$B22,Datos!$F$2:$F$18911,"STANDBY"),1),"")</f>
        <v/>
      </c>
      <c r="D22" s="7">
        <f>IFERROR(_xlfn.MAXIFS(Datos!$G$2:$G$18911,Datos!$E$2:$E$18911,$A22,Datos!$D$2:$D$18911,$B22,Datos!$F$2:$F$18911,"STANDBY"),"")</f>
        <v/>
      </c>
      <c r="E22" s="7">
        <f>IFERROR(_xlfn.MINIFS(Datos!$G$2:$G$18911,Datos!$E$2:$E$18911,$A22,Datos!$D$2:$D$18911,$B22,Datos!$F$2:$F$18911,"STANDBY"),"")</f>
        <v/>
      </c>
      <c r="F22" s="7">
        <f>IFERROR(ROUND(AVERAGEIFS(Datos!$G$2:$G$18911,Datos!$E$2:$E$18911,$A22,Datos!$D$2:$D$18911,$B22,Datos!$F$2:$F$18911,"SINGLE_RIDER"),1),"")</f>
        <v/>
      </c>
      <c r="G22" s="7">
        <f>COUNTIFS(Datos!$E$2:$E$18911,$A22,Datos!$D$2:$D$18911,$B22,Datos!$F$2:$F$18911,"STANDBY")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IFERROR(ROUND(AVERAGEIFS(Datos!$G$2:$G$18911,Datos!$E$2:$E$18911,$A23,Datos!$D$2:$D$18911,$B23,Datos!$F$2:$F$18911,"STANDBY"),1),"")</f>
        <v/>
      </c>
      <c r="D23" s="5">
        <f>IFERROR(_xlfn.MAXIFS(Datos!$G$2:$G$18911,Datos!$E$2:$E$18911,$A23,Datos!$D$2:$D$18911,$B23,Datos!$F$2:$F$18911,"STANDBY"),"")</f>
        <v/>
      </c>
      <c r="E23" s="5">
        <f>IFERROR(_xlfn.MINIFS(Datos!$G$2:$G$18911,Datos!$E$2:$E$18911,$A23,Datos!$D$2:$D$18911,$B23,Datos!$F$2:$F$18911,"STANDBY"),"")</f>
        <v/>
      </c>
      <c r="F23" s="5">
        <f>IFERROR(ROUND(AVERAGEIFS(Datos!$G$2:$G$18911,Datos!$E$2:$E$18911,$A23,Datos!$D$2:$D$18911,$B23,Datos!$F$2:$F$18911,"SINGLE_RIDER"),1),"")</f>
        <v/>
      </c>
      <c r="G23" s="5">
        <f>COUNTIFS(Datos!$E$2:$E$18911,$A23,Datos!$D$2:$D$18911,$B23,Datos!$F$2:$F$18911,"STANDBY")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IFERROR(ROUND(AVERAGEIFS(Datos!$G$2:$G$18911,Datos!$E$2:$E$18911,$A24,Datos!$D$2:$D$18911,$B24,Datos!$F$2:$F$18911,"STANDBY"),1),"")</f>
        <v/>
      </c>
      <c r="D24" s="7">
        <f>IFERROR(_xlfn.MAXIFS(Datos!$G$2:$G$18911,Datos!$E$2:$E$18911,$A24,Datos!$D$2:$D$18911,$B24,Datos!$F$2:$F$18911,"STANDBY"),"")</f>
        <v/>
      </c>
      <c r="E24" s="7">
        <f>IFERROR(_xlfn.MINIFS(Datos!$G$2:$G$18911,Datos!$E$2:$E$18911,$A24,Datos!$D$2:$D$18911,$B24,Datos!$F$2:$F$18911,"STANDBY"),"")</f>
        <v/>
      </c>
      <c r="F24" s="7">
        <f>IFERROR(ROUND(AVERAGEIFS(Datos!$G$2:$G$18911,Datos!$E$2:$E$18911,$A24,Datos!$D$2:$D$18911,$B24,Datos!$F$2:$F$18911,"SINGLE_RIDER"),1),"")</f>
        <v/>
      </c>
      <c r="G24" s="7">
        <f>COUNTIFS(Datos!$E$2:$E$18911,$A24,Datos!$D$2:$D$18911,$B24,Datos!$F$2:$F$18911,"STANDBY")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IFERROR(ROUND(AVERAGEIFS(Datos!$G$2:$G$18911,Datos!$E$2:$E$18911,$A25,Datos!$D$2:$D$18911,$B25,Datos!$F$2:$F$18911,"STANDBY"),1),"")</f>
        <v/>
      </c>
      <c r="D25" s="5">
        <f>IFERROR(_xlfn.MAXIFS(Datos!$G$2:$G$18911,Datos!$E$2:$E$18911,$A25,Datos!$D$2:$D$18911,$B25,Datos!$F$2:$F$18911,"STANDBY"),"")</f>
        <v/>
      </c>
      <c r="E25" s="5">
        <f>IFERROR(_xlfn.MINIFS(Datos!$G$2:$G$18911,Datos!$E$2:$E$18911,$A25,Datos!$D$2:$D$18911,$B25,Datos!$F$2:$F$18911,"STANDBY"),"")</f>
        <v/>
      </c>
      <c r="F25" s="5">
        <f>IFERROR(ROUND(AVERAGEIFS(Datos!$G$2:$G$18911,Datos!$E$2:$E$18911,$A25,Datos!$D$2:$D$18911,$B25,Datos!$F$2:$F$18911,"SINGLE_RIDER"),1),"")</f>
        <v/>
      </c>
      <c r="G25" s="5">
        <f>COUNTIFS(Datos!$E$2:$E$18911,$A25,Datos!$D$2:$D$18911,$B25,Datos!$F$2:$F$18911,"STANDBY")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IFERROR(ROUND(AVERAGEIFS(Datos!$G$2:$G$18911,Datos!$E$2:$E$18911,$A26,Datos!$D$2:$D$18911,$B26,Datos!$F$2:$F$18911,"STANDBY"),1),"")</f>
        <v/>
      </c>
      <c r="D26" s="7">
        <f>IFERROR(_xlfn.MAXIFS(Datos!$G$2:$G$18911,Datos!$E$2:$E$18911,$A26,Datos!$D$2:$D$18911,$B26,Datos!$F$2:$F$18911,"STANDBY"),"")</f>
        <v/>
      </c>
      <c r="E26" s="7">
        <f>IFERROR(_xlfn.MINIFS(Datos!$G$2:$G$18911,Datos!$E$2:$E$18911,$A26,Datos!$D$2:$D$18911,$B26,Datos!$F$2:$F$18911,"STANDBY"),"")</f>
        <v/>
      </c>
      <c r="F26" s="7">
        <f>IFERROR(ROUND(AVERAGEIFS(Datos!$G$2:$G$18911,Datos!$E$2:$E$18911,$A26,Datos!$D$2:$D$18911,$B26,Datos!$F$2:$F$18911,"SINGLE_RIDER"),1),"")</f>
        <v/>
      </c>
      <c r="G26" s="7">
        <f>COUNTIFS(Datos!$E$2:$E$18911,$A26,Datos!$D$2:$D$18911,$B26,Datos!$F$2:$F$18911,"STANDBY")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IFERROR(ROUND(AVERAGEIFS(Datos!$G$2:$G$18911,Datos!$E$2:$E$18911,$A27,Datos!$D$2:$D$18911,$B27,Datos!$F$2:$F$18911,"STANDBY"),1),"")</f>
        <v/>
      </c>
      <c r="D27" s="5">
        <f>IFERROR(_xlfn.MAXIFS(Datos!$G$2:$G$18911,Datos!$E$2:$E$18911,$A27,Datos!$D$2:$D$18911,$B27,Datos!$F$2:$F$18911,"STANDBY"),"")</f>
        <v/>
      </c>
      <c r="E27" s="5">
        <f>IFERROR(_xlfn.MINIFS(Datos!$G$2:$G$18911,Datos!$E$2:$E$18911,$A27,Datos!$D$2:$D$18911,$B27,Datos!$F$2:$F$18911,"STANDBY"),"")</f>
        <v/>
      </c>
      <c r="F27" s="5">
        <f>IFERROR(ROUND(AVERAGEIFS(Datos!$G$2:$G$18911,Datos!$E$2:$E$18911,$A27,Datos!$D$2:$D$18911,$B27,Datos!$F$2:$F$18911,"SINGLE_RIDER"),1),"")</f>
        <v/>
      </c>
      <c r="G27" s="5">
        <f>COUNTIFS(Datos!$E$2:$E$18911,$A27,Datos!$D$2:$D$18911,$B27,Datos!$F$2:$F$18911,"STANDBY")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IFERROR(ROUND(AVERAGEIFS(Datos!$G$2:$G$18911,Datos!$E$2:$E$18911,$A28,Datos!$D$2:$D$18911,$B28,Datos!$F$2:$F$18911,"STANDBY"),1),"")</f>
        <v/>
      </c>
      <c r="D28" s="7">
        <f>IFERROR(_xlfn.MAXIFS(Datos!$G$2:$G$18911,Datos!$E$2:$E$18911,$A28,Datos!$D$2:$D$18911,$B28,Datos!$F$2:$F$18911,"STANDBY"),"")</f>
        <v/>
      </c>
      <c r="E28" s="7">
        <f>IFERROR(_xlfn.MINIFS(Datos!$G$2:$G$18911,Datos!$E$2:$E$18911,$A28,Datos!$D$2:$D$18911,$B28,Datos!$F$2:$F$18911,"STANDBY"),"")</f>
        <v/>
      </c>
      <c r="F28" s="7">
        <f>IFERROR(ROUND(AVERAGEIFS(Datos!$G$2:$G$18911,Datos!$E$2:$E$18911,$A28,Datos!$D$2:$D$18911,$B28,Datos!$F$2:$F$18911,"SINGLE_RIDER"),1),"")</f>
        <v/>
      </c>
      <c r="G28" s="7">
        <f>COUNTIFS(Datos!$E$2:$E$18911,$A28,Datos!$D$2:$D$18911,$B28,Datos!$F$2:$F$18911,"STANDBY")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IFERROR(ROUND(AVERAGEIFS(Datos!$G$2:$G$18911,Datos!$E$2:$E$18911,$A29,Datos!$D$2:$D$18911,$B29,Datos!$F$2:$F$18911,"STANDBY"),1),"")</f>
        <v/>
      </c>
      <c r="D29" s="5">
        <f>IFERROR(_xlfn.MAXIFS(Datos!$G$2:$G$18911,Datos!$E$2:$E$18911,$A29,Datos!$D$2:$D$18911,$B29,Datos!$F$2:$F$18911,"STANDBY"),"")</f>
        <v/>
      </c>
      <c r="E29" s="5">
        <f>IFERROR(_xlfn.MINIFS(Datos!$G$2:$G$18911,Datos!$E$2:$E$18911,$A29,Datos!$D$2:$D$18911,$B29,Datos!$F$2:$F$18911,"STANDBY"),"")</f>
        <v/>
      </c>
      <c r="F29" s="5">
        <f>IFERROR(ROUND(AVERAGEIFS(Datos!$G$2:$G$18911,Datos!$E$2:$E$18911,$A29,Datos!$D$2:$D$18911,$B29,Datos!$F$2:$F$18911,"SINGLE_RIDER"),1),"")</f>
        <v/>
      </c>
      <c r="G29" s="5">
        <f>COUNTIFS(Datos!$E$2:$E$18911,$A29,Datos!$D$2:$D$18911,$B29,Datos!$F$2:$F$18911,"STANDBY")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IFERROR(ROUND(AVERAGEIFS(Datos!$G$2:$G$18911,Datos!$E$2:$E$18911,$A30,Datos!$D$2:$D$18911,$B30,Datos!$F$2:$F$18911,"STANDBY"),1),"")</f>
        <v/>
      </c>
      <c r="D30" s="7">
        <f>IFERROR(_xlfn.MAXIFS(Datos!$G$2:$G$18911,Datos!$E$2:$E$18911,$A30,Datos!$D$2:$D$18911,$B30,Datos!$F$2:$F$18911,"STANDBY"),"")</f>
        <v/>
      </c>
      <c r="E30" s="7">
        <f>IFERROR(_xlfn.MINIFS(Datos!$G$2:$G$18911,Datos!$E$2:$E$18911,$A30,Datos!$D$2:$D$18911,$B30,Datos!$F$2:$F$18911,"STANDBY"),"")</f>
        <v/>
      </c>
      <c r="F30" s="7">
        <f>IFERROR(ROUND(AVERAGEIFS(Datos!$G$2:$G$18911,Datos!$E$2:$E$18911,$A30,Datos!$D$2:$D$18911,$B30,Datos!$F$2:$F$18911,"SINGLE_RIDER"),1),"")</f>
        <v/>
      </c>
      <c r="G30" s="7">
        <f>COUNTIFS(Datos!$E$2:$E$18911,$A30,Datos!$D$2:$D$18911,$B30,Datos!$F$2:$F$18911,"STANDBY")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IFERROR(ROUND(AVERAGEIFS(Datos!$G$2:$G$18911,Datos!$E$2:$E$18911,$A31,Datos!$D$2:$D$18911,$B31,Datos!$F$2:$F$18911,"STANDBY"),1),"")</f>
        <v/>
      </c>
      <c r="D31" s="5">
        <f>IFERROR(_xlfn.MAXIFS(Datos!$G$2:$G$18911,Datos!$E$2:$E$18911,$A31,Datos!$D$2:$D$18911,$B31,Datos!$F$2:$F$18911,"STANDBY"),"")</f>
        <v/>
      </c>
      <c r="E31" s="5">
        <f>IFERROR(_xlfn.MINIFS(Datos!$G$2:$G$18911,Datos!$E$2:$E$18911,$A31,Datos!$D$2:$D$18911,$B31,Datos!$F$2:$F$18911,"STANDBY"),"")</f>
        <v/>
      </c>
      <c r="F31" s="5">
        <f>IFERROR(ROUND(AVERAGEIFS(Datos!$G$2:$G$18911,Datos!$E$2:$E$18911,$A31,Datos!$D$2:$D$18911,$B31,Datos!$F$2:$F$18911,"SINGLE_RIDER"),1),"")</f>
        <v/>
      </c>
      <c r="G31" s="5">
        <f>COUNTIFS(Datos!$E$2:$E$18911,$A31,Datos!$D$2:$D$18911,$B31,Datos!$F$2:$F$18911,"STANDBY")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IFERROR(ROUND(AVERAGEIFS(Datos!$G$2:$G$18911,Datos!$E$2:$E$18911,$A32,Datos!$D$2:$D$18911,$B32,Datos!$F$2:$F$18911,"STANDBY"),1),"")</f>
        <v/>
      </c>
      <c r="D32" s="7">
        <f>IFERROR(_xlfn.MAXIFS(Datos!$G$2:$G$18911,Datos!$E$2:$E$18911,$A32,Datos!$D$2:$D$18911,$B32,Datos!$F$2:$F$18911,"STANDBY"),"")</f>
        <v/>
      </c>
      <c r="E32" s="7">
        <f>IFERROR(_xlfn.MINIFS(Datos!$G$2:$G$18911,Datos!$E$2:$E$18911,$A32,Datos!$D$2:$D$18911,$B32,Datos!$F$2:$F$18911,"STANDBY"),"")</f>
        <v/>
      </c>
      <c r="F32" s="7">
        <f>IFERROR(ROUND(AVERAGEIFS(Datos!$G$2:$G$18911,Datos!$E$2:$E$18911,$A32,Datos!$D$2:$D$18911,$B32,Datos!$F$2:$F$18911,"SINGLE_RIDER"),1),"")</f>
        <v/>
      </c>
      <c r="G32" s="7">
        <f>COUNTIFS(Datos!$E$2:$E$18911,$A32,Datos!$D$2:$D$18911,$B32,Datos!$F$2:$F$18911,"STANDBY")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IFERROR(ROUND(AVERAGEIFS(Datos!$G$2:$G$18911,Datos!$E$2:$E$18911,$A33,Datos!$D$2:$D$18911,$B33,Datos!$F$2:$F$18911,"STANDBY"),1),"")</f>
        <v/>
      </c>
      <c r="D33" s="5">
        <f>IFERROR(_xlfn.MAXIFS(Datos!$G$2:$G$18911,Datos!$E$2:$E$18911,$A33,Datos!$D$2:$D$18911,$B33,Datos!$F$2:$F$18911,"STANDBY"),"")</f>
        <v/>
      </c>
      <c r="E33" s="5">
        <f>IFERROR(_xlfn.MINIFS(Datos!$G$2:$G$18911,Datos!$E$2:$E$18911,$A33,Datos!$D$2:$D$18911,$B33,Datos!$F$2:$F$18911,"STANDBY"),"")</f>
        <v/>
      </c>
      <c r="F33" s="5">
        <f>IFERROR(ROUND(AVERAGEIFS(Datos!$G$2:$G$18911,Datos!$E$2:$E$18911,$A33,Datos!$D$2:$D$18911,$B33,Datos!$F$2:$F$18911,"SINGLE_RIDER"),1),"")</f>
        <v/>
      </c>
      <c r="G33" s="5">
        <f>COUNTIFS(Datos!$E$2:$E$18911,$A33,Datos!$D$2:$D$18911,$B33,Datos!$F$2:$F$18911,"STANDBY")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IFERROR(ROUND(AVERAGEIFS(Datos!$G$2:$G$18911,Datos!$E$2:$E$18911,$A34,Datos!$D$2:$D$18911,$B34,Datos!$F$2:$F$18911,"STANDBY"),1),"")</f>
        <v/>
      </c>
      <c r="D34" s="7">
        <f>IFERROR(_xlfn.MAXIFS(Datos!$G$2:$G$18911,Datos!$E$2:$E$18911,$A34,Datos!$D$2:$D$18911,$B34,Datos!$F$2:$F$18911,"STANDBY"),"")</f>
        <v/>
      </c>
      <c r="E34" s="7">
        <f>IFERROR(_xlfn.MINIFS(Datos!$G$2:$G$18911,Datos!$E$2:$E$18911,$A34,Datos!$D$2:$D$18911,$B34,Datos!$F$2:$F$18911,"STANDBY"),"")</f>
        <v/>
      </c>
      <c r="F34" s="7">
        <f>IFERROR(ROUND(AVERAGEIFS(Datos!$G$2:$G$18911,Datos!$E$2:$E$18911,$A34,Datos!$D$2:$D$18911,$B34,Datos!$F$2:$F$18911,"SINGLE_RIDER"),1),"")</f>
        <v/>
      </c>
      <c r="G34" s="7">
        <f>COUNTIFS(Datos!$E$2:$E$18911,$A34,Datos!$D$2:$D$18911,$B34,Datos!$F$2:$F$18911,"STANDBY")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IFERROR(ROUND(AVERAGEIFS(Datos!$G$2:$G$18911,Datos!$E$2:$E$18911,$A35,Datos!$D$2:$D$18911,$B35,Datos!$F$2:$F$18911,"STANDBY"),1),"")</f>
        <v/>
      </c>
      <c r="D35" s="5">
        <f>IFERROR(_xlfn.MAXIFS(Datos!$G$2:$G$18911,Datos!$E$2:$E$18911,$A35,Datos!$D$2:$D$18911,$B35,Datos!$F$2:$F$18911,"STANDBY"),"")</f>
        <v/>
      </c>
      <c r="E35" s="5">
        <f>IFERROR(_xlfn.MINIFS(Datos!$G$2:$G$18911,Datos!$E$2:$E$18911,$A35,Datos!$D$2:$D$18911,$B35,Datos!$F$2:$F$18911,"STANDBY"),"")</f>
        <v/>
      </c>
      <c r="F35" s="5">
        <f>IFERROR(ROUND(AVERAGEIFS(Datos!$G$2:$G$18911,Datos!$E$2:$E$18911,$A35,Datos!$D$2:$D$18911,$B35,Datos!$F$2:$F$18911,"SINGLE_RIDER"),1),"")</f>
        <v/>
      </c>
      <c r="G35" s="5">
        <f>COUNTIFS(Datos!$E$2:$E$18911,$A35,Datos!$D$2:$D$18911,$B35,Datos!$F$2:$F$18911,"STANDBY")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IFERROR(ROUND(AVERAGEIFS(Datos!$G$2:$G$18911,Datos!$E$2:$E$18911,$A36,Datos!$D$2:$D$18911,$B36,Datos!$F$2:$F$18911,"STANDBY"),1),"")</f>
        <v/>
      </c>
      <c r="D36" s="7">
        <f>IFERROR(_xlfn.MAXIFS(Datos!$G$2:$G$18911,Datos!$E$2:$E$18911,$A36,Datos!$D$2:$D$18911,$B36,Datos!$F$2:$F$18911,"STANDBY"),"")</f>
        <v/>
      </c>
      <c r="E36" s="7">
        <f>IFERROR(_xlfn.MINIFS(Datos!$G$2:$G$18911,Datos!$E$2:$E$18911,$A36,Datos!$D$2:$D$18911,$B36,Datos!$F$2:$F$18911,"STANDBY"),"")</f>
        <v/>
      </c>
      <c r="F36" s="7">
        <f>IFERROR(ROUND(AVERAGEIFS(Datos!$G$2:$G$18911,Datos!$E$2:$E$18911,$A36,Datos!$D$2:$D$18911,$B36,Datos!$F$2:$F$18911,"SINGLE_RIDER"),1),"")</f>
        <v/>
      </c>
      <c r="G36" s="7">
        <f>COUNTIFS(Datos!$E$2:$E$18911,$A36,Datos!$D$2:$D$18911,$B36,Datos!$F$2:$F$18911,"STANDBY")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IFERROR(ROUND(AVERAGEIFS(Datos!$G$2:$G$18911,Datos!$E$2:$E$18911,$A37,Datos!$D$2:$D$18911,$B37,Datos!$F$2:$F$18911,"STANDBY"),1),"")</f>
        <v/>
      </c>
      <c r="D37" s="5">
        <f>IFERROR(_xlfn.MAXIFS(Datos!$G$2:$G$18911,Datos!$E$2:$E$18911,$A37,Datos!$D$2:$D$18911,$B37,Datos!$F$2:$F$18911,"STANDBY"),"")</f>
        <v/>
      </c>
      <c r="E37" s="5">
        <f>IFERROR(_xlfn.MINIFS(Datos!$G$2:$G$18911,Datos!$E$2:$E$18911,$A37,Datos!$D$2:$D$18911,$B37,Datos!$F$2:$F$18911,"STANDBY"),"")</f>
        <v/>
      </c>
      <c r="F37" s="5">
        <f>IFERROR(ROUND(AVERAGEIFS(Datos!$G$2:$G$18911,Datos!$E$2:$E$18911,$A37,Datos!$D$2:$D$18911,$B37,Datos!$F$2:$F$18911,"SINGLE_RIDER"),1),"")</f>
        <v/>
      </c>
      <c r="G37" s="5">
        <f>COUNTIFS(Datos!$E$2:$E$18911,$A37,Datos!$D$2:$D$18911,$B37,Datos!$F$2:$F$18911,"STANDBY")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IFERROR(ROUND(AVERAGEIFS(Datos!$G$2:$G$18911,Datos!$E$2:$E$18911,$A38,Datos!$D$2:$D$18911,$B38,Datos!$F$2:$F$18911,"STANDBY"),1),"")</f>
        <v/>
      </c>
      <c r="D38" s="7">
        <f>IFERROR(_xlfn.MAXIFS(Datos!$G$2:$G$18911,Datos!$E$2:$E$18911,$A38,Datos!$D$2:$D$18911,$B38,Datos!$F$2:$F$18911,"STANDBY"),"")</f>
        <v/>
      </c>
      <c r="E38" s="7">
        <f>IFERROR(_xlfn.MINIFS(Datos!$G$2:$G$18911,Datos!$E$2:$E$18911,$A38,Datos!$D$2:$D$18911,$B38,Datos!$F$2:$F$18911,"STANDBY"),"")</f>
        <v/>
      </c>
      <c r="F38" s="7">
        <f>IFERROR(ROUND(AVERAGEIFS(Datos!$G$2:$G$18911,Datos!$E$2:$E$18911,$A38,Datos!$D$2:$D$18911,$B38,Datos!$F$2:$F$18911,"SINGLE_RIDER"),1),"")</f>
        <v/>
      </c>
      <c r="G38" s="7">
        <f>COUNTIFS(Datos!$E$2:$E$18911,$A38,Datos!$D$2:$D$18911,$B38,Datos!$F$2:$F$18911,"STANDBY")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IFERROR(ROUND(AVERAGEIFS(Datos!$G$2:$G$18911,Datos!$E$2:$E$18911,$A39,Datos!$D$2:$D$18911,$B39,Datos!$F$2:$F$18911,"STANDBY"),1),"")</f>
        <v/>
      </c>
      <c r="D39" s="5">
        <f>IFERROR(_xlfn.MAXIFS(Datos!$G$2:$G$18911,Datos!$E$2:$E$18911,$A39,Datos!$D$2:$D$18911,$B39,Datos!$F$2:$F$18911,"STANDBY"),"")</f>
        <v/>
      </c>
      <c r="E39" s="5">
        <f>IFERROR(_xlfn.MINIFS(Datos!$G$2:$G$18911,Datos!$E$2:$E$18911,$A39,Datos!$D$2:$D$18911,$B39,Datos!$F$2:$F$18911,"STANDBY"),"")</f>
        <v/>
      </c>
      <c r="F39" s="5">
        <f>IFERROR(ROUND(AVERAGEIFS(Datos!$G$2:$G$18911,Datos!$E$2:$E$18911,$A39,Datos!$D$2:$D$18911,$B39,Datos!$F$2:$F$18911,"SINGLE_RIDER"),1),"")</f>
        <v/>
      </c>
      <c r="G39" s="5">
        <f>COUNTIFS(Datos!$E$2:$E$18911,$A39,Datos!$D$2:$D$18911,$B39,Datos!$F$2:$F$18911,"STANDBY")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IFERROR(ROUND(AVERAGEIFS(Datos!$G$2:$G$18911,Datos!$E$2:$E$18911,$A40,Datos!$D$2:$D$18911,$B40,Datos!$F$2:$F$18911,"STANDBY"),1),"")</f>
        <v/>
      </c>
      <c r="D40" s="7">
        <f>IFERROR(_xlfn.MAXIFS(Datos!$G$2:$G$18911,Datos!$E$2:$E$18911,$A40,Datos!$D$2:$D$18911,$B40,Datos!$F$2:$F$18911,"STANDBY"),"")</f>
        <v/>
      </c>
      <c r="E40" s="7">
        <f>IFERROR(_xlfn.MINIFS(Datos!$G$2:$G$18911,Datos!$E$2:$E$18911,$A40,Datos!$D$2:$D$18911,$B40,Datos!$F$2:$F$18911,"STANDBY"),"")</f>
        <v/>
      </c>
      <c r="F40" s="7">
        <f>IFERROR(ROUND(AVERAGEIFS(Datos!$G$2:$G$18911,Datos!$E$2:$E$18911,$A40,Datos!$D$2:$D$18911,$B40,Datos!$F$2:$F$18911,"SINGLE_RIDER"),1),"")</f>
        <v/>
      </c>
      <c r="G40" s="7">
        <f>COUNTIFS(Datos!$E$2:$E$18911,$A40,Datos!$D$2:$D$18911,$B40,Datos!$F$2:$F$18911,"STANDBY")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IFERROR(ROUND(AVERAGEIFS(Datos!$G$2:$G$18911,Datos!$E$2:$E$18911,$A41,Datos!$D$2:$D$18911,$B41,Datos!$F$2:$F$18911,"STANDBY"),1),"")</f>
        <v/>
      </c>
      <c r="D41" s="5">
        <f>IFERROR(_xlfn.MAXIFS(Datos!$G$2:$G$18911,Datos!$E$2:$E$18911,$A41,Datos!$D$2:$D$18911,$B41,Datos!$F$2:$F$18911,"STANDBY"),"")</f>
        <v/>
      </c>
      <c r="E41" s="5">
        <f>IFERROR(_xlfn.MINIFS(Datos!$G$2:$G$18911,Datos!$E$2:$E$18911,$A41,Datos!$D$2:$D$18911,$B41,Datos!$F$2:$F$18911,"STANDBY"),"")</f>
        <v/>
      </c>
      <c r="F41" s="5">
        <f>IFERROR(ROUND(AVERAGEIFS(Datos!$G$2:$G$18911,Datos!$E$2:$E$18911,$A41,Datos!$D$2:$D$18911,$B41,Datos!$F$2:$F$18911,"SINGLE_RIDER"),1),"")</f>
        <v/>
      </c>
      <c r="G41" s="5">
        <f>COUNTIFS(Datos!$E$2:$E$18911,$A41,Datos!$D$2:$D$18911,$B41,Datos!$F$2:$F$18911,"STANDBY")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IFERROR(ROUND(AVERAGEIFS(Datos!$G$2:$G$18911,Datos!$E$2:$E$18911,$A42,Datos!$D$2:$D$18911,$B42,Datos!$F$2:$F$18911,"STANDBY"),1),"")</f>
        <v/>
      </c>
      <c r="D42" s="7">
        <f>IFERROR(_xlfn.MAXIFS(Datos!$G$2:$G$18911,Datos!$E$2:$E$18911,$A42,Datos!$D$2:$D$18911,$B42,Datos!$F$2:$F$18911,"STANDBY"),"")</f>
        <v/>
      </c>
      <c r="E42" s="7">
        <f>IFERROR(_xlfn.MINIFS(Datos!$G$2:$G$18911,Datos!$E$2:$E$18911,$A42,Datos!$D$2:$D$18911,$B42,Datos!$F$2:$F$18911,"STANDBY"),"")</f>
        <v/>
      </c>
      <c r="F42" s="7">
        <f>IFERROR(ROUND(AVERAGEIFS(Datos!$G$2:$G$18911,Datos!$E$2:$E$18911,$A42,Datos!$D$2:$D$18911,$B42,Datos!$F$2:$F$18911,"SINGLE_RIDER"),1),"")</f>
        <v/>
      </c>
      <c r="G42" s="7">
        <f>COUNTIFS(Datos!$E$2:$E$18911,$A42,Datos!$D$2:$D$18911,$B42,Datos!$F$2:$F$18911,"STANDBY")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IFERROR(ROUND(AVERAGEIFS(Datos!$G$2:$G$18911,Datos!$E$2:$E$18911,$A43,Datos!$D$2:$D$18911,$B43,Datos!$F$2:$F$18911,"STANDBY"),1),"")</f>
        <v/>
      </c>
      <c r="D43" s="5">
        <f>IFERROR(_xlfn.MAXIFS(Datos!$G$2:$G$18911,Datos!$E$2:$E$18911,$A43,Datos!$D$2:$D$18911,$B43,Datos!$F$2:$F$18911,"STANDBY"),"")</f>
        <v/>
      </c>
      <c r="E43" s="5">
        <f>IFERROR(_xlfn.MINIFS(Datos!$G$2:$G$18911,Datos!$E$2:$E$18911,$A43,Datos!$D$2:$D$18911,$B43,Datos!$F$2:$F$18911,"STANDBY"),"")</f>
        <v/>
      </c>
      <c r="F43" s="5">
        <f>IFERROR(ROUND(AVERAGEIFS(Datos!$G$2:$G$18911,Datos!$E$2:$E$18911,$A43,Datos!$D$2:$D$18911,$B43,Datos!$F$2:$F$18911,"SINGLE_RIDER"),1),"")</f>
        <v/>
      </c>
      <c r="G43" s="5">
        <f>COUNTIFS(Datos!$E$2:$E$18911,$A43,Datos!$D$2:$D$18911,$B43,Datos!$F$2:$F$18911,"STANDBY")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IFERROR(ROUND(AVERAGEIFS(Datos!$G$2:$G$18911,Datos!$E$2:$E$18911,$A44,Datos!$D$2:$D$18911,$B44,Datos!$F$2:$F$18911,"STANDBY"),1),"")</f>
        <v/>
      </c>
      <c r="D44" s="7">
        <f>IFERROR(_xlfn.MAXIFS(Datos!$G$2:$G$18911,Datos!$E$2:$E$18911,$A44,Datos!$D$2:$D$18911,$B44,Datos!$F$2:$F$18911,"STANDBY"),"")</f>
        <v/>
      </c>
      <c r="E44" s="7">
        <f>IFERROR(_xlfn.MINIFS(Datos!$G$2:$G$18911,Datos!$E$2:$E$18911,$A44,Datos!$D$2:$D$18911,$B44,Datos!$F$2:$F$18911,"STANDBY"),"")</f>
        <v/>
      </c>
      <c r="F44" s="7">
        <f>IFERROR(ROUND(AVERAGEIFS(Datos!$G$2:$G$18911,Datos!$E$2:$E$18911,$A44,Datos!$D$2:$D$18911,$B44,Datos!$F$2:$F$18911,"SINGLE_RIDER"),1),"")</f>
        <v/>
      </c>
      <c r="G44" s="7">
        <f>COUNTIFS(Datos!$E$2:$E$18911,$A44,Datos!$D$2:$D$18911,$B44,Datos!$F$2:$F$18911,"STANDBY")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IFERROR(ROUND(AVERAGEIFS(Datos!$G$2:$G$18911,Datos!$E$2:$E$18911,$A45,Datos!$D$2:$D$18911,$B45,Datos!$F$2:$F$18911,"STANDBY"),1),"")</f>
        <v/>
      </c>
      <c r="D45" s="5">
        <f>IFERROR(_xlfn.MAXIFS(Datos!$G$2:$G$18911,Datos!$E$2:$E$18911,$A45,Datos!$D$2:$D$18911,$B45,Datos!$F$2:$F$18911,"STANDBY"),"")</f>
        <v/>
      </c>
      <c r="E45" s="5">
        <f>IFERROR(_xlfn.MINIFS(Datos!$G$2:$G$18911,Datos!$E$2:$E$18911,$A45,Datos!$D$2:$D$18911,$B45,Datos!$F$2:$F$18911,"STANDBY"),"")</f>
        <v/>
      </c>
      <c r="F45" s="5">
        <f>IFERROR(ROUND(AVERAGEIFS(Datos!$G$2:$G$18911,Datos!$E$2:$E$18911,$A45,Datos!$D$2:$D$18911,$B45,Datos!$F$2:$F$18911,"SINGLE_RIDER"),1),"")</f>
        <v/>
      </c>
      <c r="G45" s="5">
        <f>COUNTIFS(Datos!$E$2:$E$18911,$A45,Datos!$D$2:$D$18911,$B45,Datos!$F$2:$F$18911,"STANDBY")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IFERROR(ROUND(AVERAGEIFS(Datos!$G$2:$G$18911,Datos!$E$2:$E$18911,$A46,Datos!$D$2:$D$18911,$B46,Datos!$F$2:$F$18911,"STANDBY"),1),"")</f>
        <v/>
      </c>
      <c r="D46" s="7">
        <f>IFERROR(_xlfn.MAXIFS(Datos!$G$2:$G$18911,Datos!$E$2:$E$18911,$A46,Datos!$D$2:$D$18911,$B46,Datos!$F$2:$F$18911,"STANDBY"),"")</f>
        <v/>
      </c>
      <c r="E46" s="7">
        <f>IFERROR(_xlfn.MINIFS(Datos!$G$2:$G$18911,Datos!$E$2:$E$18911,$A46,Datos!$D$2:$D$18911,$B46,Datos!$F$2:$F$18911,"STANDBY"),"")</f>
        <v/>
      </c>
      <c r="F46" s="7">
        <f>IFERROR(ROUND(AVERAGEIFS(Datos!$G$2:$G$18911,Datos!$E$2:$E$18911,$A46,Datos!$D$2:$D$18911,$B46,Datos!$F$2:$F$18911,"SINGLE_RIDER"),1),"")</f>
        <v/>
      </c>
      <c r="G46" s="7">
        <f>COUNTIFS(Datos!$E$2:$E$18911,$A46,Datos!$D$2:$D$18911,$B46,Datos!$F$2:$F$18911,"STANDBY")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IFERROR(ROUND(AVERAGEIFS(Datos!$G$2:$G$18911,Datos!$E$2:$E$18911,$A47,Datos!$D$2:$D$18911,$B47,Datos!$F$2:$F$18911,"STANDBY"),1),"")</f>
        <v/>
      </c>
      <c r="D47" s="5">
        <f>IFERROR(_xlfn.MAXIFS(Datos!$G$2:$G$18911,Datos!$E$2:$E$18911,$A47,Datos!$D$2:$D$18911,$B47,Datos!$F$2:$F$18911,"STANDBY"),"")</f>
        <v/>
      </c>
      <c r="E47" s="5">
        <f>IFERROR(_xlfn.MINIFS(Datos!$G$2:$G$18911,Datos!$E$2:$E$18911,$A47,Datos!$D$2:$D$18911,$B47,Datos!$F$2:$F$18911,"STANDBY"),"")</f>
        <v/>
      </c>
      <c r="F47" s="5">
        <f>IFERROR(ROUND(AVERAGEIFS(Datos!$G$2:$G$18911,Datos!$E$2:$E$18911,$A47,Datos!$D$2:$D$18911,$B47,Datos!$F$2:$F$18911,"SINGLE_RIDER"),1),"")</f>
        <v/>
      </c>
      <c r="G47" s="5">
        <f>COUNTIFS(Datos!$E$2:$E$18911,$A47,Datos!$D$2:$D$18911,$B47,Datos!$F$2:$F$18911,"STANDBY")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IFERROR(ROUND(AVERAGEIFS(Datos!$G$2:$G$18911,Datos!$E$2:$E$18911,$A48,Datos!$D$2:$D$18911,$B48,Datos!$F$2:$F$18911,"STANDBY"),1),"")</f>
        <v/>
      </c>
      <c r="D48" s="7">
        <f>IFERROR(_xlfn.MAXIFS(Datos!$G$2:$G$18911,Datos!$E$2:$E$18911,$A48,Datos!$D$2:$D$18911,$B48,Datos!$F$2:$F$18911,"STANDBY"),"")</f>
        <v/>
      </c>
      <c r="E48" s="7">
        <f>IFERROR(_xlfn.MINIFS(Datos!$G$2:$G$18911,Datos!$E$2:$E$18911,$A48,Datos!$D$2:$D$18911,$B48,Datos!$F$2:$F$18911,"STANDBY"),"")</f>
        <v/>
      </c>
      <c r="F48" s="7">
        <f>IFERROR(ROUND(AVERAGEIFS(Datos!$G$2:$G$18911,Datos!$E$2:$E$18911,$A48,Datos!$D$2:$D$18911,$B48,Datos!$F$2:$F$18911,"SINGLE_RIDER"),1),"")</f>
        <v/>
      </c>
      <c r="G48" s="7">
        <f>COUNTIFS(Datos!$E$2:$E$18911,$A48,Datos!$D$2:$D$18911,$B48,Datos!$F$2:$F$18911,"STANDBY")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IFERROR(ROUND(AVERAGEIFS(Datos!$G$2:$G$18911,Datos!$E$2:$E$18911,$A49,Datos!$D$2:$D$18911,$B49,Datos!$F$2:$F$18911,"STANDBY"),1),"")</f>
        <v/>
      </c>
      <c r="D49" s="5">
        <f>IFERROR(_xlfn.MAXIFS(Datos!$G$2:$G$18911,Datos!$E$2:$E$18911,$A49,Datos!$D$2:$D$18911,$B49,Datos!$F$2:$F$18911,"STANDBY"),"")</f>
        <v/>
      </c>
      <c r="E49" s="5">
        <f>IFERROR(_xlfn.MINIFS(Datos!$G$2:$G$18911,Datos!$E$2:$E$18911,$A49,Datos!$D$2:$D$18911,$B49,Datos!$F$2:$F$18911,"STANDBY"),"")</f>
        <v/>
      </c>
      <c r="F49" s="5">
        <f>IFERROR(ROUND(AVERAGEIFS(Datos!$G$2:$G$18911,Datos!$E$2:$E$18911,$A49,Datos!$D$2:$D$18911,$B49,Datos!$F$2:$F$18911,"SINGLE_RIDER"),1),"")</f>
        <v/>
      </c>
      <c r="G49" s="5">
        <f>COUNTIFS(Datos!$E$2:$E$18911,$A49,Datos!$D$2:$D$18911,$B49,Datos!$F$2:$F$18911,"STANDBY")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IFERROR(ROUND(AVERAGEIFS(Datos!$G$2:$G$18911,Datos!$E$2:$E$18911,$A50,Datos!$D$2:$D$18911,$B50,Datos!$F$2:$F$18911,"STANDBY"),1),"")</f>
        <v/>
      </c>
      <c r="D50" s="7">
        <f>IFERROR(_xlfn.MAXIFS(Datos!$G$2:$G$18911,Datos!$E$2:$E$18911,$A50,Datos!$D$2:$D$18911,$B50,Datos!$F$2:$F$18911,"STANDBY"),"")</f>
        <v/>
      </c>
      <c r="E50" s="7">
        <f>IFERROR(_xlfn.MINIFS(Datos!$G$2:$G$18911,Datos!$E$2:$E$18911,$A50,Datos!$D$2:$D$18911,$B50,Datos!$F$2:$F$18911,"STANDBY"),"")</f>
        <v/>
      </c>
      <c r="F50" s="7">
        <f>IFERROR(ROUND(AVERAGEIFS(Datos!$G$2:$G$18911,Datos!$E$2:$E$18911,$A50,Datos!$D$2:$D$18911,$B50,Datos!$F$2:$F$18911,"SINGLE_RIDER"),1),"")</f>
        <v/>
      </c>
      <c r="G50" s="7">
        <f>COUNTIFS(Datos!$E$2:$E$18911,$A50,Datos!$D$2:$D$18911,$B50,Datos!$F$2:$F$18911,"STANDBY")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IFERROR(ROUND(AVERAGEIFS(Datos!$G$2:$G$18911,Datos!$E$2:$E$18911,$A51,Datos!$D$2:$D$18911,$B51,Datos!$F$2:$F$18911,"STANDBY"),1),"")</f>
        <v/>
      </c>
      <c r="D51" s="5">
        <f>IFERROR(_xlfn.MAXIFS(Datos!$G$2:$G$18911,Datos!$E$2:$E$18911,$A51,Datos!$D$2:$D$18911,$B51,Datos!$F$2:$F$18911,"STANDBY"),"")</f>
        <v/>
      </c>
      <c r="E51" s="5">
        <f>IFERROR(_xlfn.MINIFS(Datos!$G$2:$G$18911,Datos!$E$2:$E$18911,$A51,Datos!$D$2:$D$18911,$B51,Datos!$F$2:$F$18911,"STANDBY"),"")</f>
        <v/>
      </c>
      <c r="F51" s="5">
        <f>IFERROR(ROUND(AVERAGEIFS(Datos!$G$2:$G$18911,Datos!$E$2:$E$18911,$A51,Datos!$D$2:$D$18911,$B51,Datos!$F$2:$F$18911,"SINGLE_RIDER"),1),"")</f>
        <v/>
      </c>
      <c r="G51" s="5">
        <f>COUNTIFS(Datos!$E$2:$E$18911,$A51,Datos!$D$2:$D$18911,$B51,Datos!$F$2:$F$18911,"STANDBY")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IFERROR(ROUND(AVERAGEIFS(Datos!$G$2:$G$18911,Datos!$E$2:$E$18911,$A52,Datos!$D$2:$D$18911,$B52,Datos!$F$2:$F$18911,"STANDBY"),1),"")</f>
        <v/>
      </c>
      <c r="D52" s="7">
        <f>IFERROR(_xlfn.MAXIFS(Datos!$G$2:$G$18911,Datos!$E$2:$E$18911,$A52,Datos!$D$2:$D$18911,$B52,Datos!$F$2:$F$18911,"STANDBY"),"")</f>
        <v/>
      </c>
      <c r="E52" s="7">
        <f>IFERROR(_xlfn.MINIFS(Datos!$G$2:$G$18911,Datos!$E$2:$E$18911,$A52,Datos!$D$2:$D$18911,$B52,Datos!$F$2:$F$18911,"STANDBY"),"")</f>
        <v/>
      </c>
      <c r="F52" s="7">
        <f>IFERROR(ROUND(AVERAGEIFS(Datos!$G$2:$G$18911,Datos!$E$2:$E$18911,$A52,Datos!$D$2:$D$18911,$B52,Datos!$F$2:$F$18911,"SINGLE_RIDER"),1),"")</f>
        <v/>
      </c>
      <c r="G52" s="7">
        <f>COUNTIFS(Datos!$E$2:$E$18911,$A52,Datos!$D$2:$D$18911,$B52,Datos!$F$2:$F$18911,"STANDBY")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IFERROR(ROUND(AVERAGEIFS(Datos!$G$2:$G$18911,Datos!$E$2:$E$18911,$A53,Datos!$D$2:$D$18911,$B53,Datos!$F$2:$F$18911,"STANDBY"),1),"")</f>
        <v/>
      </c>
      <c r="D53" s="5">
        <f>IFERROR(_xlfn.MAXIFS(Datos!$G$2:$G$18911,Datos!$E$2:$E$18911,$A53,Datos!$D$2:$D$18911,$B53,Datos!$F$2:$F$18911,"STANDBY"),"")</f>
        <v/>
      </c>
      <c r="E53" s="5">
        <f>IFERROR(_xlfn.MINIFS(Datos!$G$2:$G$18911,Datos!$E$2:$E$18911,$A53,Datos!$D$2:$D$18911,$B53,Datos!$F$2:$F$18911,"STANDBY"),"")</f>
        <v/>
      </c>
      <c r="F53" s="5">
        <f>IFERROR(ROUND(AVERAGEIFS(Datos!$G$2:$G$18911,Datos!$E$2:$E$18911,$A53,Datos!$D$2:$D$18911,$B53,Datos!$F$2:$F$18911,"SINGLE_RIDER"),1),"")</f>
        <v/>
      </c>
      <c r="G53" s="5">
        <f>COUNTIFS(Datos!$E$2:$E$18911,$A53,Datos!$D$2:$D$18911,$B53,Datos!$F$2:$F$18911,"STANDBY")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IFERROR(ROUND(AVERAGEIFS(Datos!$G$2:$G$18911,Datos!$E$2:$E$18911,$A54,Datos!$D$2:$D$18911,$B54,Datos!$F$2:$F$18911,"STANDBY"),1),"")</f>
        <v/>
      </c>
      <c r="D54" s="7">
        <f>IFERROR(_xlfn.MAXIFS(Datos!$G$2:$G$18911,Datos!$E$2:$E$18911,$A54,Datos!$D$2:$D$18911,$B54,Datos!$F$2:$F$18911,"STANDBY"),"")</f>
        <v/>
      </c>
      <c r="E54" s="7">
        <f>IFERROR(_xlfn.MINIFS(Datos!$G$2:$G$18911,Datos!$E$2:$E$18911,$A54,Datos!$D$2:$D$18911,$B54,Datos!$F$2:$F$18911,"STANDBY"),"")</f>
        <v/>
      </c>
      <c r="F54" s="7">
        <f>IFERROR(ROUND(AVERAGEIFS(Datos!$G$2:$G$18911,Datos!$E$2:$E$18911,$A54,Datos!$D$2:$D$18911,$B54,Datos!$F$2:$F$18911,"SINGLE_RIDER"),1),"")</f>
        <v/>
      </c>
      <c r="G54" s="7">
        <f>COUNTIFS(Datos!$E$2:$E$18911,$A54,Datos!$D$2:$D$18911,$B54,Datos!$F$2:$F$18911,"STANDBY")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IFERROR(ROUND(AVERAGEIFS(Datos!$G$2:$G$18911,Datos!$E$2:$E$18911,$A55,Datos!$D$2:$D$18911,$B55,Datos!$F$2:$F$18911,"STANDBY"),1),"")</f>
        <v/>
      </c>
      <c r="D55" s="5">
        <f>IFERROR(_xlfn.MAXIFS(Datos!$G$2:$G$18911,Datos!$E$2:$E$18911,$A55,Datos!$D$2:$D$18911,$B55,Datos!$F$2:$F$18911,"STANDBY"),"")</f>
        <v/>
      </c>
      <c r="E55" s="5">
        <f>IFERROR(_xlfn.MINIFS(Datos!$G$2:$G$18911,Datos!$E$2:$E$18911,$A55,Datos!$D$2:$D$18911,$B55,Datos!$F$2:$F$18911,"STANDBY"),"")</f>
        <v/>
      </c>
      <c r="F55" s="5">
        <f>IFERROR(ROUND(AVERAGEIFS(Datos!$G$2:$G$18911,Datos!$E$2:$E$18911,$A55,Datos!$D$2:$D$18911,$B55,Datos!$F$2:$F$18911,"SINGLE_RIDER"),1),"")</f>
        <v/>
      </c>
      <c r="G55" s="5">
        <f>COUNTIFS(Datos!$E$2:$E$18911,$A55,Datos!$D$2:$D$18911,$B55,Datos!$F$2:$F$18911,"STANDBY")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IFERROR(ROUND(AVERAGEIFS(Datos!$G$2:$G$18911,Datos!$E$2:$E$18911,$A56,Datos!$D$2:$D$18911,$B56,Datos!$F$2:$F$18911,"STANDBY"),1),"")</f>
        <v/>
      </c>
      <c r="D56" s="7">
        <f>IFERROR(_xlfn.MAXIFS(Datos!$G$2:$G$18911,Datos!$E$2:$E$18911,$A56,Datos!$D$2:$D$18911,$B56,Datos!$F$2:$F$18911,"STANDBY"),"")</f>
        <v/>
      </c>
      <c r="E56" s="7">
        <f>IFERROR(_xlfn.MINIFS(Datos!$G$2:$G$18911,Datos!$E$2:$E$18911,$A56,Datos!$D$2:$D$18911,$B56,Datos!$F$2:$F$18911,"STANDBY"),"")</f>
        <v/>
      </c>
      <c r="F56" s="7">
        <f>IFERROR(ROUND(AVERAGEIFS(Datos!$G$2:$G$18911,Datos!$E$2:$E$18911,$A56,Datos!$D$2:$D$18911,$B56,Datos!$F$2:$F$18911,"SINGLE_RIDER"),1),"")</f>
        <v/>
      </c>
      <c r="G56" s="7">
        <f>COUNTIFS(Datos!$E$2:$E$18911,$A56,Datos!$D$2:$D$18911,$B56,Datos!$F$2:$F$18911,"STANDBY")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IFERROR(ROUND(AVERAGEIFS(Datos!$G$2:$G$18911,Datos!$E$2:$E$18911,$A57,Datos!$D$2:$D$18911,$B57,Datos!$F$2:$F$18911,"STANDBY"),1),"")</f>
        <v/>
      </c>
      <c r="D57" s="5">
        <f>IFERROR(_xlfn.MAXIFS(Datos!$G$2:$G$18911,Datos!$E$2:$E$18911,$A57,Datos!$D$2:$D$18911,$B57,Datos!$F$2:$F$18911,"STANDBY"),"")</f>
        <v/>
      </c>
      <c r="E57" s="5">
        <f>IFERROR(_xlfn.MINIFS(Datos!$G$2:$G$18911,Datos!$E$2:$E$18911,$A57,Datos!$D$2:$D$18911,$B57,Datos!$F$2:$F$18911,"STANDBY"),"")</f>
        <v/>
      </c>
      <c r="F57" s="5">
        <f>IFERROR(ROUND(AVERAGEIFS(Datos!$G$2:$G$18911,Datos!$E$2:$E$18911,$A57,Datos!$D$2:$D$18911,$B57,Datos!$F$2:$F$18911,"SINGLE_RIDER"),1),"")</f>
        <v/>
      </c>
      <c r="G57" s="5">
        <f>COUNTIFS(Datos!$E$2:$E$18911,$A57,Datos!$D$2:$D$18911,$B57,Datos!$F$2:$F$18911,"STANDBY")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IFERROR(ROUND(AVERAGEIFS(Datos!$G$2:$G$18911,Datos!$E$2:$E$18911,$A58,Datos!$D$2:$D$18911,$B58,Datos!$F$2:$F$18911,"STANDBY"),1),"")</f>
        <v/>
      </c>
      <c r="D58" s="7">
        <f>IFERROR(_xlfn.MAXIFS(Datos!$G$2:$G$18911,Datos!$E$2:$E$18911,$A58,Datos!$D$2:$D$18911,$B58,Datos!$F$2:$F$18911,"STANDBY"),"")</f>
        <v/>
      </c>
      <c r="E58" s="7">
        <f>IFERROR(_xlfn.MINIFS(Datos!$G$2:$G$18911,Datos!$E$2:$E$18911,$A58,Datos!$D$2:$D$18911,$B58,Datos!$F$2:$F$18911,"STANDBY"),"")</f>
        <v/>
      </c>
      <c r="F58" s="7">
        <f>IFERROR(ROUND(AVERAGEIFS(Datos!$G$2:$G$18911,Datos!$E$2:$E$18911,$A58,Datos!$D$2:$D$18911,$B58,Datos!$F$2:$F$18911,"SINGLE_RIDER"),1),"")</f>
        <v/>
      </c>
      <c r="G58" s="7">
        <f>COUNTIFS(Datos!$E$2:$E$18911,$A58,Datos!$D$2:$D$18911,$B58,Datos!$F$2:$F$18911,"STANDBY")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IFERROR(ROUND(AVERAGEIFS(Datos!$G$2:$G$18911,Datos!$E$2:$E$18911,$A59,Datos!$D$2:$D$18911,$B59,Datos!$F$2:$F$18911,"STANDBY"),1),"")</f>
        <v/>
      </c>
      <c r="D59" s="5">
        <f>IFERROR(_xlfn.MAXIFS(Datos!$G$2:$G$18911,Datos!$E$2:$E$18911,$A59,Datos!$D$2:$D$18911,$B59,Datos!$F$2:$F$18911,"STANDBY"),"")</f>
        <v/>
      </c>
      <c r="E59" s="5">
        <f>IFERROR(_xlfn.MINIFS(Datos!$G$2:$G$18911,Datos!$E$2:$E$18911,$A59,Datos!$D$2:$D$18911,$B59,Datos!$F$2:$F$18911,"STANDBY"),"")</f>
        <v/>
      </c>
      <c r="F59" s="5">
        <f>IFERROR(ROUND(AVERAGEIFS(Datos!$G$2:$G$18911,Datos!$E$2:$E$18911,$A59,Datos!$D$2:$D$18911,$B59,Datos!$F$2:$F$18911,"SINGLE_RIDER"),1),"")</f>
        <v/>
      </c>
      <c r="G59" s="5">
        <f>COUNTIFS(Datos!$E$2:$E$18911,$A59,Datos!$D$2:$D$18911,$B59,Datos!$F$2:$F$18911,"STANDBY")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IFERROR(ROUND(AVERAGEIFS(Datos!$G$2:$G$18911,Datos!$E$2:$E$18911,$A60,Datos!$D$2:$D$18911,$B60,Datos!$F$2:$F$18911,"STANDBY"),1),"")</f>
        <v/>
      </c>
      <c r="D60" s="7">
        <f>IFERROR(_xlfn.MAXIFS(Datos!$G$2:$G$18911,Datos!$E$2:$E$18911,$A60,Datos!$D$2:$D$18911,$B60,Datos!$F$2:$F$18911,"STANDBY"),"")</f>
        <v/>
      </c>
      <c r="E60" s="7">
        <f>IFERROR(_xlfn.MINIFS(Datos!$G$2:$G$18911,Datos!$E$2:$E$18911,$A60,Datos!$D$2:$D$18911,$B60,Datos!$F$2:$F$18911,"STANDBY"),"")</f>
        <v/>
      </c>
      <c r="F60" s="7">
        <f>IFERROR(ROUND(AVERAGEIFS(Datos!$G$2:$G$18911,Datos!$E$2:$E$18911,$A60,Datos!$D$2:$D$18911,$B60,Datos!$F$2:$F$18911,"SINGLE_RIDER"),1),"")</f>
        <v/>
      </c>
      <c r="G60" s="7">
        <f>COUNTIFS(Datos!$E$2:$E$18911,$A60,Datos!$D$2:$D$18911,$B60,Datos!$F$2:$F$18911,"STANDBY")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IFERROR(ROUND(AVERAGEIFS(Datos!$G$2:$G$18911,Datos!$E$2:$E$18911,$A61,Datos!$D$2:$D$18911,$B61,Datos!$F$2:$F$18911,"STANDBY"),1),"")</f>
        <v/>
      </c>
      <c r="D61" s="5">
        <f>IFERROR(_xlfn.MAXIFS(Datos!$G$2:$G$18911,Datos!$E$2:$E$18911,$A61,Datos!$D$2:$D$18911,$B61,Datos!$F$2:$F$18911,"STANDBY"),"")</f>
        <v/>
      </c>
      <c r="E61" s="5">
        <f>IFERROR(_xlfn.MINIFS(Datos!$G$2:$G$18911,Datos!$E$2:$E$18911,$A61,Datos!$D$2:$D$18911,$B61,Datos!$F$2:$F$18911,"STANDBY"),"")</f>
        <v/>
      </c>
      <c r="F61" s="5">
        <f>IFERROR(ROUND(AVERAGEIFS(Datos!$G$2:$G$18911,Datos!$E$2:$E$18911,$A61,Datos!$D$2:$D$18911,$B61,Datos!$F$2:$F$18911,"SINGLE_RIDER"),1),"")</f>
        <v/>
      </c>
      <c r="G61" s="5">
        <f>COUNTIFS(Datos!$E$2:$E$18911,$A61,Datos!$D$2:$D$18911,$B61,Datos!$F$2:$F$18911,"STANDBY")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IFERROR(ROUND(AVERAGEIFS(Datos!$G$2:$G$18911,Datos!$E$2:$E$18911,$A62,Datos!$D$2:$D$18911,$B62,Datos!$F$2:$F$18911,"STANDBY"),1),"")</f>
        <v/>
      </c>
      <c r="D62" s="7">
        <f>IFERROR(_xlfn.MAXIFS(Datos!$G$2:$G$18911,Datos!$E$2:$E$18911,$A62,Datos!$D$2:$D$18911,$B62,Datos!$F$2:$F$18911,"STANDBY"),"")</f>
        <v/>
      </c>
      <c r="E62" s="7">
        <f>IFERROR(_xlfn.MINIFS(Datos!$G$2:$G$18911,Datos!$E$2:$E$18911,$A62,Datos!$D$2:$D$18911,$B62,Datos!$F$2:$F$18911,"STANDBY"),"")</f>
        <v/>
      </c>
      <c r="F62" s="7">
        <f>IFERROR(ROUND(AVERAGEIFS(Datos!$G$2:$G$18911,Datos!$E$2:$E$18911,$A62,Datos!$D$2:$D$18911,$B62,Datos!$F$2:$F$18911,"SINGLE_RIDER"),1),"")</f>
        <v/>
      </c>
      <c r="G62" s="7">
        <f>COUNTIFS(Datos!$E$2:$E$18911,$A62,Datos!$D$2:$D$18911,$B62,Datos!$F$2:$F$18911,"STANDBY")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IFERROR(ROUND(AVERAGEIFS(Datos!$G$2:$G$18911,Datos!$E$2:$E$18911,$A63,Datos!$D$2:$D$18911,$B63,Datos!$F$2:$F$18911,"STANDBY"),1),"")</f>
        <v/>
      </c>
      <c r="D63" s="5">
        <f>IFERROR(_xlfn.MAXIFS(Datos!$G$2:$G$18911,Datos!$E$2:$E$18911,$A63,Datos!$D$2:$D$18911,$B63,Datos!$F$2:$F$18911,"STANDBY"),"")</f>
        <v/>
      </c>
      <c r="E63" s="5">
        <f>IFERROR(_xlfn.MINIFS(Datos!$G$2:$G$18911,Datos!$E$2:$E$18911,$A63,Datos!$D$2:$D$18911,$B63,Datos!$F$2:$F$18911,"STANDBY"),"")</f>
        <v/>
      </c>
      <c r="F63" s="5">
        <f>IFERROR(ROUND(AVERAGEIFS(Datos!$G$2:$G$18911,Datos!$E$2:$E$18911,$A63,Datos!$D$2:$D$18911,$B63,Datos!$F$2:$F$18911,"SINGLE_RIDER"),1),"")</f>
        <v/>
      </c>
      <c r="G63" s="5">
        <f>COUNTIFS(Datos!$E$2:$E$18911,$A63,Datos!$D$2:$D$18911,$B63,Datos!$F$2:$F$18911,"STANDBY")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IFERROR(ROUND(AVERAGEIFS(Datos!$G$2:$G$18911,Datos!$E$2:$E$18911,$A64,Datos!$D$2:$D$18911,$B64,Datos!$F$2:$F$18911,"STANDBY"),1),"")</f>
        <v/>
      </c>
      <c r="D64" s="7">
        <f>IFERROR(_xlfn.MAXIFS(Datos!$G$2:$G$18911,Datos!$E$2:$E$18911,$A64,Datos!$D$2:$D$18911,$B64,Datos!$F$2:$F$18911,"STANDBY"),"")</f>
        <v/>
      </c>
      <c r="E64" s="7">
        <f>IFERROR(_xlfn.MINIFS(Datos!$G$2:$G$18911,Datos!$E$2:$E$18911,$A64,Datos!$D$2:$D$18911,$B64,Datos!$F$2:$F$18911,"STANDBY"),"")</f>
        <v/>
      </c>
      <c r="F64" s="7">
        <f>IFERROR(ROUND(AVERAGEIFS(Datos!$G$2:$G$18911,Datos!$E$2:$E$18911,$A64,Datos!$D$2:$D$18911,$B64,Datos!$F$2:$F$18911,"SINGLE_RIDER"),1),"")</f>
        <v/>
      </c>
      <c r="G64" s="7">
        <f>COUNTIFS(Datos!$E$2:$E$18911,$A64,Datos!$D$2:$D$18911,$B64,Datos!$F$2:$F$18911,"STANDBY")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IFERROR(ROUND(AVERAGEIFS(Datos!$G$2:$G$18911,Datos!$E$2:$E$18911,$A65,Datos!$D$2:$D$18911,$B65,Datos!$F$2:$F$18911,"STANDBY"),1),"")</f>
        <v/>
      </c>
      <c r="D65" s="5">
        <f>IFERROR(_xlfn.MAXIFS(Datos!$G$2:$G$18911,Datos!$E$2:$E$18911,$A65,Datos!$D$2:$D$18911,$B65,Datos!$F$2:$F$18911,"STANDBY"),"")</f>
        <v/>
      </c>
      <c r="E65" s="5">
        <f>IFERROR(_xlfn.MINIFS(Datos!$G$2:$G$18911,Datos!$E$2:$E$18911,$A65,Datos!$D$2:$D$18911,$B65,Datos!$F$2:$F$18911,"STANDBY"),"")</f>
        <v/>
      </c>
      <c r="F65" s="5">
        <f>IFERROR(ROUND(AVERAGEIFS(Datos!$G$2:$G$18911,Datos!$E$2:$E$18911,$A65,Datos!$D$2:$D$18911,$B65,Datos!$F$2:$F$18911,"SINGLE_RIDER"),1),"")</f>
        <v/>
      </c>
      <c r="G65" s="5">
        <f>COUNTIFS(Datos!$E$2:$E$18911,$A65,Datos!$D$2:$D$18911,$B65,Datos!$F$2:$F$18911,"STANDBY")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89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  <row r="14448">
      <c r="A14448" s="8" t="inlineStr">
        <is>
          <t>2026-08-03</t>
        </is>
      </c>
      <c r="B14448" s="8" t="n">
        <v>12</v>
      </c>
      <c r="C14448" s="8" t="n">
        <v>15</v>
      </c>
      <c r="D14448" s="8" t="inlineStr">
        <is>
          <t>Disneyland Park</t>
        </is>
      </c>
      <c r="E14448" s="8" t="inlineStr">
        <is>
          <t>Adventure Isle</t>
        </is>
      </c>
      <c r="F14448" s="8" t="inlineStr">
        <is>
          <t>STANDBY</t>
        </is>
      </c>
      <c r="G14448" s="8" t="n">
        <v>0</v>
      </c>
      <c r="H14448" s="8" t="inlineStr">
        <is>
          <t>OPERATING</t>
        </is>
      </c>
    </row>
    <row r="14449">
      <c r="A14449" s="8" t="inlineStr">
        <is>
          <t>2026-08-03</t>
        </is>
      </c>
      <c r="B14449" s="8" t="n">
        <v>12</v>
      </c>
      <c r="C14449" s="8" t="n">
        <v>15</v>
      </c>
      <c r="D14449" s="8" t="inlineStr">
        <is>
          <t>Disneyland Park</t>
        </is>
      </c>
      <c r="E14449" s="8" t="inlineStr">
        <is>
          <t>Indiana Jones and the Temple of Peril Single Rider</t>
        </is>
      </c>
      <c r="F14449" s="8" t="inlineStr">
        <is>
          <t>STANDBY</t>
        </is>
      </c>
      <c r="G14449" s="8" t="n">
        <v>10</v>
      </c>
      <c r="H14449" s="8" t="inlineStr">
        <is>
          <t>OPERATING</t>
        </is>
      </c>
    </row>
    <row r="14450">
      <c r="A14450" s="8" t="inlineStr">
        <is>
          <t>2026-08-03</t>
        </is>
      </c>
      <c r="B14450" s="8" t="n">
        <v>12</v>
      </c>
      <c r="C14450" s="8" t="n">
        <v>15</v>
      </c>
      <c r="D14450" s="8" t="inlineStr">
        <is>
          <t>Disneyland Park</t>
        </is>
      </c>
      <c r="E14450" s="8" t="inlineStr">
        <is>
          <t>Indiana Jones™ and the Temple of Peril</t>
        </is>
      </c>
      <c r="F14450" s="8" t="inlineStr">
        <is>
          <t>STANDBY</t>
        </is>
      </c>
      <c r="G14450" s="8" t="n">
        <v>15</v>
      </c>
      <c r="H14450" s="8" t="inlineStr">
        <is>
          <t>OPERATING</t>
        </is>
      </c>
    </row>
    <row r="14451">
      <c r="A14451" s="8" t="inlineStr">
        <is>
          <t>2026-08-03</t>
        </is>
      </c>
      <c r="B14451" s="8" t="n">
        <v>12</v>
      </c>
      <c r="C14451" s="8" t="n">
        <v>15</v>
      </c>
      <c r="D14451" s="8" t="inlineStr">
        <is>
          <t>Disneyland Park</t>
        </is>
      </c>
      <c r="E14451" s="8" t="inlineStr">
        <is>
          <t>La Cabane des Robinson</t>
        </is>
      </c>
      <c r="F14451" s="8" t="inlineStr">
        <is>
          <t>STANDBY</t>
        </is>
      </c>
      <c r="G14451" s="8" t="n">
        <v>5</v>
      </c>
      <c r="H14451" s="8" t="inlineStr">
        <is>
          <t>OPERATING</t>
        </is>
      </c>
    </row>
    <row r="14452">
      <c r="A14452" s="8" t="inlineStr">
        <is>
          <t>2026-08-03</t>
        </is>
      </c>
      <c r="B14452" s="8" t="n">
        <v>12</v>
      </c>
      <c r="C14452" s="8" t="n">
        <v>15</v>
      </c>
      <c r="D14452" s="8" t="inlineStr">
        <is>
          <t>Disneyland Park</t>
        </is>
      </c>
      <c r="E14452" s="8" t="inlineStr">
        <is>
          <t>Le Passage Enchanté d'Aladdin</t>
        </is>
      </c>
      <c r="F14452" s="8" t="inlineStr">
        <is>
          <t>STANDBY</t>
        </is>
      </c>
      <c r="G14452" s="8" t="n">
        <v>0</v>
      </c>
      <c r="H14452" s="8" t="inlineStr">
        <is>
          <t>OPERATING</t>
        </is>
      </c>
    </row>
    <row r="14453">
      <c r="A14453" s="8" t="inlineStr">
        <is>
          <t>2026-08-03</t>
        </is>
      </c>
      <c r="B14453" s="8" t="n">
        <v>12</v>
      </c>
      <c r="C14453" s="8" t="n">
        <v>15</v>
      </c>
      <c r="D14453" s="8" t="inlineStr">
        <is>
          <t>Disneyland Park</t>
        </is>
      </c>
      <c r="E14453" s="8" t="inlineStr">
        <is>
          <t>Pirate Galleon</t>
        </is>
      </c>
      <c r="F14453" s="8" t="inlineStr">
        <is>
          <t>STANDBY</t>
        </is>
      </c>
      <c r="G14453" s="8" t="n">
        <v>0</v>
      </c>
      <c r="H14453" s="8" t="inlineStr">
        <is>
          <t>CLOSED</t>
        </is>
      </c>
    </row>
    <row r="14454">
      <c r="A14454" s="8" t="inlineStr">
        <is>
          <t>2026-08-03</t>
        </is>
      </c>
      <c r="B14454" s="8" t="n">
        <v>12</v>
      </c>
      <c r="C14454" s="8" t="n">
        <v>15</v>
      </c>
      <c r="D14454" s="8" t="inlineStr">
        <is>
          <t>Disneyland Park</t>
        </is>
      </c>
      <c r="E14454" s="8" t="inlineStr">
        <is>
          <t>Pirates of the Caribbean</t>
        </is>
      </c>
      <c r="F14454" s="8" t="inlineStr">
        <is>
          <t>STANDBY</t>
        </is>
      </c>
      <c r="G14454" s="8" t="n">
        <v>30</v>
      </c>
      <c r="H14454" s="8" t="inlineStr">
        <is>
          <t>OPERATING</t>
        </is>
      </c>
    </row>
    <row r="14455">
      <c r="A14455" s="8" t="inlineStr">
        <is>
          <t>2026-08-03</t>
        </is>
      </c>
      <c r="B14455" s="8" t="n">
        <v>12</v>
      </c>
      <c r="C14455" s="8" t="n">
        <v>15</v>
      </c>
      <c r="D14455" s="8" t="inlineStr">
        <is>
          <t>Disneyland Park</t>
        </is>
      </c>
      <c r="E14455" s="8" t="inlineStr">
        <is>
          <t>Pirates' Beach</t>
        </is>
      </c>
      <c r="F14455" s="8" t="inlineStr">
        <is>
          <t>STANDBY</t>
        </is>
      </c>
      <c r="G14455" s="8" t="n">
        <v>0</v>
      </c>
      <c r="H14455" s="8" t="inlineStr">
        <is>
          <t>OPERATING</t>
        </is>
      </c>
    </row>
    <row r="14456">
      <c r="A14456" s="8" t="inlineStr">
        <is>
          <t>2026-08-03</t>
        </is>
      </c>
      <c r="B14456" s="8" t="n">
        <v>12</v>
      </c>
      <c r="C14456" s="8" t="n">
        <v>15</v>
      </c>
      <c r="D14456" s="8" t="inlineStr">
        <is>
          <t>Disneyland Park</t>
        </is>
      </c>
      <c r="E14456" s="8" t="inlineStr">
        <is>
          <t>Autopia, presented by Avis</t>
        </is>
      </c>
      <c r="F14456" s="8" t="inlineStr">
        <is>
          <t>STANDBY</t>
        </is>
      </c>
      <c r="G14456" s="8" t="n">
        <v>0</v>
      </c>
      <c r="H14456" s="8" t="inlineStr">
        <is>
          <t>CLOSED</t>
        </is>
      </c>
    </row>
    <row r="14457">
      <c r="A14457" s="8" t="inlineStr">
        <is>
          <t>2026-08-03</t>
        </is>
      </c>
      <c r="B14457" s="8" t="n">
        <v>12</v>
      </c>
      <c r="C14457" s="8" t="n">
        <v>15</v>
      </c>
      <c r="D14457" s="8" t="inlineStr">
        <is>
          <t>Disneyland Park</t>
        </is>
      </c>
      <c r="E14457" s="8" t="inlineStr">
        <is>
          <t>Buzz Lightyear Laser Blast</t>
        </is>
      </c>
      <c r="F14457" s="8" t="inlineStr">
        <is>
          <t>STANDBY</t>
        </is>
      </c>
      <c r="G14457" s="8" t="n">
        <v>60</v>
      </c>
      <c r="H14457" s="8" t="inlineStr">
        <is>
          <t>OPERATING</t>
        </is>
      </c>
    </row>
    <row r="14458">
      <c r="A14458" s="8" t="inlineStr">
        <is>
          <t>2026-08-03</t>
        </is>
      </c>
      <c r="B14458" s="8" t="n">
        <v>12</v>
      </c>
      <c r="C14458" s="8" t="n">
        <v>15</v>
      </c>
      <c r="D14458" s="8" t="inlineStr">
        <is>
          <t>Disneyland Park</t>
        </is>
      </c>
      <c r="E14458" s="8" t="inlineStr">
        <is>
          <t>Disneyland Railroad Discoveryland Station</t>
        </is>
      </c>
      <c r="F14458" s="8" t="inlineStr">
        <is>
          <t>STANDBY</t>
        </is>
      </c>
      <c r="G14458" s="8" t="n">
        <v>0</v>
      </c>
      <c r="H14458" s="8" t="inlineStr">
        <is>
          <t>CLOSED</t>
        </is>
      </c>
    </row>
    <row r="14459">
      <c r="A14459" s="8" t="inlineStr">
        <is>
          <t>2026-08-03</t>
        </is>
      </c>
      <c r="B14459" s="8" t="n">
        <v>12</v>
      </c>
      <c r="C14459" s="8" t="n">
        <v>15</v>
      </c>
      <c r="D14459" s="8" t="inlineStr">
        <is>
          <t>Disneyland Park</t>
        </is>
      </c>
      <c r="E14459" s="8" t="inlineStr">
        <is>
          <t>Les Mystères du Nautilus</t>
        </is>
      </c>
      <c r="F14459" s="8" t="inlineStr">
        <is>
          <t>STANDBY</t>
        </is>
      </c>
      <c r="G14459" s="8" t="n">
        <v>5</v>
      </c>
      <c r="H14459" s="8" t="inlineStr">
        <is>
          <t>OPERATING</t>
        </is>
      </c>
    </row>
    <row r="14460">
      <c r="A14460" s="8" t="inlineStr">
        <is>
          <t>2026-08-03</t>
        </is>
      </c>
      <c r="B14460" s="8" t="n">
        <v>12</v>
      </c>
      <c r="C14460" s="8" t="n">
        <v>15</v>
      </c>
      <c r="D14460" s="8" t="inlineStr">
        <is>
          <t>Disneyland Park</t>
        </is>
      </c>
      <c r="E14460" s="8" t="inlineStr">
        <is>
          <t>Mickey’s PhilharMagic</t>
        </is>
      </c>
      <c r="F14460" s="8" t="inlineStr">
        <is>
          <t>STANDBY</t>
        </is>
      </c>
      <c r="G14460" s="8" t="n">
        <v>0</v>
      </c>
      <c r="H14460" s="8" t="inlineStr">
        <is>
          <t>CLOSED</t>
        </is>
      </c>
    </row>
    <row r="14461">
      <c r="A14461" s="8" t="inlineStr">
        <is>
          <t>2026-08-03</t>
        </is>
      </c>
      <c r="B14461" s="8" t="n">
        <v>12</v>
      </c>
      <c r="C14461" s="8" t="n">
        <v>15</v>
      </c>
      <c r="D14461" s="8" t="inlineStr">
        <is>
          <t>Disneyland Park</t>
        </is>
      </c>
      <c r="E14461" s="8" t="inlineStr">
        <is>
          <t>Orbitron®</t>
        </is>
      </c>
      <c r="F14461" s="8" t="inlineStr">
        <is>
          <t>STANDBY</t>
        </is>
      </c>
      <c r="G14461" s="8" t="n">
        <v>60</v>
      </c>
      <c r="H14461" s="8" t="inlineStr">
        <is>
          <t>OPERATING</t>
        </is>
      </c>
    </row>
    <row r="14462">
      <c r="A14462" s="8" t="inlineStr">
        <is>
          <t>2026-08-03</t>
        </is>
      </c>
      <c r="B14462" s="8" t="n">
        <v>12</v>
      </c>
      <c r="C14462" s="8" t="n">
        <v>15</v>
      </c>
      <c r="D14462" s="8" t="inlineStr">
        <is>
          <t>Disneyland Park</t>
        </is>
      </c>
      <c r="E14462" s="8" t="inlineStr">
        <is>
          <t>Star Tours: The Adventures Continue*</t>
        </is>
      </c>
      <c r="F14462" s="8" t="inlineStr">
        <is>
          <t>STANDBY</t>
        </is>
      </c>
      <c r="G14462" s="8" t="n">
        <v>30</v>
      </c>
      <c r="H14462" s="8" t="inlineStr">
        <is>
          <t>OPERATING</t>
        </is>
      </c>
    </row>
    <row r="14463">
      <c r="A14463" s="8" t="inlineStr">
        <is>
          <t>2026-08-03</t>
        </is>
      </c>
      <c r="B14463" s="8" t="n">
        <v>12</v>
      </c>
      <c r="C14463" s="8" t="n">
        <v>15</v>
      </c>
      <c r="D14463" s="8" t="inlineStr">
        <is>
          <t>Disneyland Park</t>
        </is>
      </c>
      <c r="E14463" s="8" t="inlineStr">
        <is>
          <t>Star Wars Hyperspace Mountain</t>
        </is>
      </c>
      <c r="F14463" s="8" t="inlineStr">
        <is>
          <t>STANDBY</t>
        </is>
      </c>
      <c r="G14463" s="8" t="n">
        <v>40</v>
      </c>
      <c r="H14463" s="8" t="inlineStr">
        <is>
          <t>OPERATING</t>
        </is>
      </c>
    </row>
    <row r="14464">
      <c r="A14464" s="8" t="inlineStr">
        <is>
          <t>2026-08-03</t>
        </is>
      </c>
      <c r="B14464" s="8" t="n">
        <v>12</v>
      </c>
      <c r="C14464" s="8" t="n">
        <v>15</v>
      </c>
      <c r="D14464" s="8" t="inlineStr">
        <is>
          <t>Disneyland Park</t>
        </is>
      </c>
      <c r="E14464" s="8" t="inlineStr">
        <is>
          <t>Star Wars Hyperspace Mountain Single Rider</t>
        </is>
      </c>
      <c r="F14464" s="8" t="inlineStr">
        <is>
          <t>STANDBY</t>
        </is>
      </c>
      <c r="G14464" s="8" t="n">
        <v>20</v>
      </c>
      <c r="H14464" s="8" t="inlineStr">
        <is>
          <t>OPERATING</t>
        </is>
      </c>
    </row>
    <row r="14465">
      <c r="A14465" s="8" t="inlineStr">
        <is>
          <t>2026-08-03</t>
        </is>
      </c>
      <c r="B14465" s="8" t="n">
        <v>12</v>
      </c>
      <c r="C14465" s="8" t="n">
        <v>15</v>
      </c>
      <c r="D14465" s="8" t="inlineStr">
        <is>
          <t>Disneyland Park</t>
        </is>
      </c>
      <c r="E14465" s="8" t="inlineStr">
        <is>
          <t>Welcome to Starport: A Star Wars Encounter</t>
        </is>
      </c>
      <c r="F14465" s="8" t="inlineStr">
        <is>
          <t>STANDBY</t>
        </is>
      </c>
      <c r="G14465" s="8" t="n">
        <v>30</v>
      </c>
      <c r="H14465" s="8" t="inlineStr">
        <is>
          <t>OPERATING</t>
        </is>
      </c>
    </row>
    <row r="14466">
      <c r="A14466" s="8" t="inlineStr">
        <is>
          <t>2026-08-03</t>
        </is>
      </c>
      <c r="B14466" s="8" t="n">
        <v>12</v>
      </c>
      <c r="C14466" s="8" t="n">
        <v>15</v>
      </c>
      <c r="D14466" s="8" t="inlineStr">
        <is>
          <t>Disneyland Park</t>
        </is>
      </c>
      <c r="E14466" s="8" t="inlineStr">
        <is>
          <t>"it's a small world"</t>
        </is>
      </c>
      <c r="F14466" s="8" t="inlineStr">
        <is>
          <t>STANDBY</t>
        </is>
      </c>
      <c r="G14466" s="8" t="n">
        <v>25</v>
      </c>
      <c r="H14466" s="8" t="inlineStr">
        <is>
          <t>OPERATING</t>
        </is>
      </c>
    </row>
    <row r="14467">
      <c r="A14467" s="8" t="inlineStr">
        <is>
          <t>2026-08-03</t>
        </is>
      </c>
      <c r="B14467" s="8" t="n">
        <v>12</v>
      </c>
      <c r="C14467" s="8" t="n">
        <v>15</v>
      </c>
      <c r="D14467" s="8" t="inlineStr">
        <is>
          <t>Disneyland Park</t>
        </is>
      </c>
      <c r="E14467" s="8" t="inlineStr">
        <is>
          <t>Alice's Curious Labyrinth</t>
        </is>
      </c>
      <c r="F14467" s="8" t="inlineStr">
        <is>
          <t>STANDBY</t>
        </is>
      </c>
      <c r="G14467" s="8" t="n">
        <v>5</v>
      </c>
      <c r="H14467" s="8" t="inlineStr">
        <is>
          <t>OPERATING</t>
        </is>
      </c>
    </row>
    <row r="14468">
      <c r="A14468" s="8" t="inlineStr">
        <is>
          <t>2026-08-03</t>
        </is>
      </c>
      <c r="B14468" s="8" t="n">
        <v>12</v>
      </c>
      <c r="C14468" s="8" t="n">
        <v>15</v>
      </c>
      <c r="D14468" s="8" t="inlineStr">
        <is>
          <t>Disneyland Park</t>
        </is>
      </c>
      <c r="E14468" s="8" t="inlineStr">
        <is>
          <t>Blanche-Neige et les Sept Nains®</t>
        </is>
      </c>
      <c r="F14468" s="8" t="inlineStr">
        <is>
          <t>STANDBY</t>
        </is>
      </c>
      <c r="G14468" s="8" t="n">
        <v>10</v>
      </c>
      <c r="H14468" s="8" t="inlineStr">
        <is>
          <t>OPERATING</t>
        </is>
      </c>
    </row>
    <row r="14469">
      <c r="A14469" s="8" t="inlineStr">
        <is>
          <t>2026-08-03</t>
        </is>
      </c>
      <c r="B14469" s="8" t="n">
        <v>12</v>
      </c>
      <c r="C14469" s="8" t="n">
        <v>15</v>
      </c>
      <c r="D14469" s="8" t="inlineStr">
        <is>
          <t>Disneyland Park</t>
        </is>
      </c>
      <c r="E14469" s="8" t="inlineStr">
        <is>
          <t>Casey Jr. – le Petit Train du Cirque</t>
        </is>
      </c>
      <c r="F14469" s="8" t="inlineStr">
        <is>
          <t>STANDBY</t>
        </is>
      </c>
      <c r="G14469" s="8" t="n">
        <v>15</v>
      </c>
      <c r="H14469" s="8" t="inlineStr">
        <is>
          <t>OPERATING</t>
        </is>
      </c>
    </row>
    <row r="14470">
      <c r="A14470" s="8" t="inlineStr">
        <is>
          <t>2026-08-03</t>
        </is>
      </c>
      <c r="B14470" s="8" t="n">
        <v>12</v>
      </c>
      <c r="C14470" s="8" t="n">
        <v>15</v>
      </c>
      <c r="D14470" s="8" t="inlineStr">
        <is>
          <t>Disneyland Park</t>
        </is>
      </c>
      <c r="E14470" s="8" t="inlineStr">
        <is>
          <t>Disneyland Railroad Fantasyland Station</t>
        </is>
      </c>
      <c r="F14470" s="8" t="inlineStr">
        <is>
          <t>STANDBY</t>
        </is>
      </c>
      <c r="G14470" s="8" t="n">
        <v>0</v>
      </c>
      <c r="H14470" s="8" t="inlineStr">
        <is>
          <t>CLOSED</t>
        </is>
      </c>
    </row>
    <row r="14471">
      <c r="A14471" s="8" t="inlineStr">
        <is>
          <t>2026-08-03</t>
        </is>
      </c>
      <c r="B14471" s="8" t="n">
        <v>12</v>
      </c>
      <c r="C14471" s="8" t="n">
        <v>15</v>
      </c>
      <c r="D14471" s="8" t="inlineStr">
        <is>
          <t>Disneyland Park</t>
        </is>
      </c>
      <c r="E14471" s="8" t="inlineStr">
        <is>
          <t>Disneyland Railroad Main Street Station</t>
        </is>
      </c>
      <c r="F14471" s="8" t="inlineStr">
        <is>
          <t>STANDBY</t>
        </is>
      </c>
      <c r="G14471" s="8" t="n">
        <v>0</v>
      </c>
      <c r="H14471" s="8" t="inlineStr">
        <is>
          <t>CLOSED</t>
        </is>
      </c>
    </row>
    <row r="14472">
      <c r="A14472" s="8" t="inlineStr">
        <is>
          <t>2026-08-03</t>
        </is>
      </c>
      <c r="B14472" s="8" t="n">
        <v>12</v>
      </c>
      <c r="C14472" s="8" t="n">
        <v>15</v>
      </c>
      <c r="D14472" s="8" t="inlineStr">
        <is>
          <t>Disneyland Park</t>
        </is>
      </c>
      <c r="E14472" s="8" t="inlineStr">
        <is>
          <t>Dumbo the Flying Elephant</t>
        </is>
      </c>
      <c r="F14472" s="8" t="inlineStr">
        <is>
          <t>STANDBY</t>
        </is>
      </c>
      <c r="G14472" s="8" t="n">
        <v>30</v>
      </c>
      <c r="H14472" s="8" t="inlineStr">
        <is>
          <t>OPERATING</t>
        </is>
      </c>
    </row>
    <row r="14473">
      <c r="A14473" s="8" t="inlineStr">
        <is>
          <t>2026-08-03</t>
        </is>
      </c>
      <c r="B14473" s="8" t="n">
        <v>12</v>
      </c>
      <c r="C14473" s="8" t="n">
        <v>15</v>
      </c>
      <c r="D14473" s="8" t="inlineStr">
        <is>
          <t>Disneyland Park</t>
        </is>
      </c>
      <c r="E14473" s="8" t="inlineStr">
        <is>
          <t>La Tanière du Dragon</t>
        </is>
      </c>
      <c r="F14473" s="8" t="inlineStr">
        <is>
          <t>STANDBY</t>
        </is>
      </c>
      <c r="G14473" s="8" t="n">
        <v>0</v>
      </c>
      <c r="H14473" s="8" t="inlineStr">
        <is>
          <t>OPERATING</t>
        </is>
      </c>
    </row>
    <row r="14474">
      <c r="A14474" s="8" t="inlineStr">
        <is>
          <t>2026-08-03</t>
        </is>
      </c>
      <c r="B14474" s="8" t="n">
        <v>12</v>
      </c>
      <c r="C14474" s="8" t="n">
        <v>15</v>
      </c>
      <c r="D14474" s="8" t="inlineStr">
        <is>
          <t>Disneyland Park</t>
        </is>
      </c>
      <c r="E14474" s="8" t="inlineStr">
        <is>
          <t>Le Carrousel de Lancelot</t>
        </is>
      </c>
      <c r="F14474" s="8" t="inlineStr">
        <is>
          <t>STANDBY</t>
        </is>
      </c>
      <c r="G14474" s="8" t="n">
        <v>15</v>
      </c>
      <c r="H14474" s="8" t="inlineStr">
        <is>
          <t>OPERATING</t>
        </is>
      </c>
    </row>
    <row r="14475">
      <c r="A14475" s="8" t="inlineStr">
        <is>
          <t>2026-08-03</t>
        </is>
      </c>
      <c r="B14475" s="8" t="n">
        <v>12</v>
      </c>
      <c r="C14475" s="8" t="n">
        <v>15</v>
      </c>
      <c r="D14475" s="8" t="inlineStr">
        <is>
          <t>Disneyland Park</t>
        </is>
      </c>
      <c r="E14475" s="8" t="inlineStr">
        <is>
          <t>Le Pays des Contes de Fées, presented by Vittel</t>
        </is>
      </c>
      <c r="F14475" s="8" t="inlineStr">
        <is>
          <t>STANDBY</t>
        </is>
      </c>
      <c r="G14475" s="8" t="n">
        <v>0</v>
      </c>
      <c r="H14475" s="8" t="inlineStr">
        <is>
          <t>CLOSED</t>
        </is>
      </c>
    </row>
    <row r="14476">
      <c r="A14476" s="8" t="inlineStr">
        <is>
          <t>2026-08-03</t>
        </is>
      </c>
      <c r="B14476" s="8" t="n">
        <v>12</v>
      </c>
      <c r="C14476" s="8" t="n">
        <v>15</v>
      </c>
      <c r="D14476" s="8" t="inlineStr">
        <is>
          <t>Disneyland Park</t>
        </is>
      </c>
      <c r="E14476" s="8" t="inlineStr">
        <is>
          <t>Les Voyages de Pinocchio</t>
        </is>
      </c>
      <c r="F14476" s="8" t="inlineStr">
        <is>
          <t>STANDBY</t>
        </is>
      </c>
      <c r="G14476" s="8" t="n">
        <v>15</v>
      </c>
      <c r="H14476" s="8" t="inlineStr">
        <is>
          <t>OPERATING</t>
        </is>
      </c>
    </row>
    <row r="14477">
      <c r="A14477" s="8" t="inlineStr">
        <is>
          <t>2026-08-03</t>
        </is>
      </c>
      <c r="B14477" s="8" t="n">
        <v>12</v>
      </c>
      <c r="C14477" s="8" t="n">
        <v>15</v>
      </c>
      <c r="D14477" s="8" t="inlineStr">
        <is>
          <t>Disneyland Park</t>
        </is>
      </c>
      <c r="E14477" s="8" t="inlineStr">
        <is>
          <t>Mad Hatter's Tea Cups</t>
        </is>
      </c>
      <c r="F14477" s="8" t="inlineStr">
        <is>
          <t>STANDBY</t>
        </is>
      </c>
      <c r="G14477" s="8" t="n">
        <v>5</v>
      </c>
      <c r="H14477" s="8" t="inlineStr">
        <is>
          <t>OPERATING</t>
        </is>
      </c>
    </row>
    <row r="14478">
      <c r="A14478" s="8" t="inlineStr">
        <is>
          <t>2026-08-03</t>
        </is>
      </c>
      <c r="B14478" s="8" t="n">
        <v>12</v>
      </c>
      <c r="C14478" s="8" t="n">
        <v>15</v>
      </c>
      <c r="D14478" s="8" t="inlineStr">
        <is>
          <t>Disneyland Park</t>
        </is>
      </c>
      <c r="E14478" s="8" t="inlineStr">
        <is>
          <t>Meet Mickey Mouse</t>
        </is>
      </c>
      <c r="F14478" s="8" t="inlineStr">
        <is>
          <t>STANDBY</t>
        </is>
      </c>
      <c r="G14478" s="8" t="n">
        <v>0</v>
      </c>
      <c r="H14478" s="8" t="inlineStr">
        <is>
          <t>OPERATING</t>
        </is>
      </c>
    </row>
    <row r="14479">
      <c r="A14479" s="8" t="inlineStr">
        <is>
          <t>2026-08-03</t>
        </is>
      </c>
      <c r="B14479" s="8" t="n">
        <v>12</v>
      </c>
      <c r="C14479" s="8" t="n">
        <v>15</v>
      </c>
      <c r="D14479" s="8" t="inlineStr">
        <is>
          <t>Disneyland Park</t>
        </is>
      </c>
      <c r="E14479" s="8" t="inlineStr">
        <is>
          <t>Peter Pan's Flight</t>
        </is>
      </c>
      <c r="F14479" s="8" t="inlineStr">
        <is>
          <t>STANDBY</t>
        </is>
      </c>
      <c r="G14479" s="8" t="n">
        <v>65</v>
      </c>
      <c r="H14479" s="8" t="inlineStr">
        <is>
          <t>OPERATING</t>
        </is>
      </c>
    </row>
    <row r="14480">
      <c r="A14480" s="8" t="inlineStr">
        <is>
          <t>2026-08-03</t>
        </is>
      </c>
      <c r="B14480" s="8" t="n">
        <v>12</v>
      </c>
      <c r="C14480" s="8" t="n">
        <v>15</v>
      </c>
      <c r="D14480" s="8" t="inlineStr">
        <is>
          <t>Disneyland Park</t>
        </is>
      </c>
      <c r="E14480" s="8" t="inlineStr">
        <is>
          <t>Princess Pavilion</t>
        </is>
      </c>
      <c r="F14480" s="8" t="inlineStr">
        <is>
          <t>STANDBY</t>
        </is>
      </c>
      <c r="G14480" s="8" t="n">
        <v>0</v>
      </c>
      <c r="H14480" s="8" t="inlineStr">
        <is>
          <t>OPERATING</t>
        </is>
      </c>
    </row>
    <row r="14481">
      <c r="A14481" s="8" t="inlineStr">
        <is>
          <t>2026-08-03</t>
        </is>
      </c>
      <c r="B14481" s="8" t="n">
        <v>12</v>
      </c>
      <c r="C14481" s="8" t="n">
        <v>15</v>
      </c>
      <c r="D14481" s="8" t="inlineStr">
        <is>
          <t>Disneyland Park</t>
        </is>
      </c>
      <c r="E14481" s="8" t="inlineStr">
        <is>
          <t>Big Thunder Mountain</t>
        </is>
      </c>
      <c r="F14481" s="8" t="inlineStr">
        <is>
          <t>STANDBY</t>
        </is>
      </c>
      <c r="G14481" s="8" t="n">
        <v>60</v>
      </c>
      <c r="H14481" s="8" t="inlineStr">
        <is>
          <t>OPERATING</t>
        </is>
      </c>
    </row>
    <row r="14482">
      <c r="A14482" s="8" t="inlineStr">
        <is>
          <t>2026-08-03</t>
        </is>
      </c>
      <c r="B14482" s="8" t="n">
        <v>12</v>
      </c>
      <c r="C14482" s="8" t="n">
        <v>15</v>
      </c>
      <c r="D14482" s="8" t="inlineStr">
        <is>
          <t>Disneyland Park</t>
        </is>
      </c>
      <c r="E14482" s="8" t="inlineStr">
        <is>
          <t>Disneyland Railroad Frontierland Depot</t>
        </is>
      </c>
      <c r="F14482" s="8" t="inlineStr">
        <is>
          <t>STANDBY</t>
        </is>
      </c>
      <c r="G14482" s="8" t="n">
        <v>0</v>
      </c>
      <c r="H14482" s="8" t="inlineStr">
        <is>
          <t>CLOSED</t>
        </is>
      </c>
    </row>
    <row r="14483">
      <c r="A14483" s="8" t="inlineStr">
        <is>
          <t>2026-08-03</t>
        </is>
      </c>
      <c r="B14483" s="8" t="n">
        <v>12</v>
      </c>
      <c r="C14483" s="8" t="n">
        <v>15</v>
      </c>
      <c r="D14483" s="8" t="inlineStr">
        <is>
          <t>Disneyland Park</t>
        </is>
      </c>
      <c r="E14483" s="8" t="inlineStr">
        <is>
          <t>Frontierland Playground</t>
        </is>
      </c>
      <c r="F14483" s="8" t="inlineStr">
        <is>
          <t>STANDBY</t>
        </is>
      </c>
      <c r="G14483" s="8" t="n">
        <v>0</v>
      </c>
      <c r="H14483" s="8" t="inlineStr">
        <is>
          <t>OPERATING</t>
        </is>
      </c>
    </row>
    <row r="14484">
      <c r="A14484" s="8" t="inlineStr">
        <is>
          <t>2026-08-03</t>
        </is>
      </c>
      <c r="B14484" s="8" t="n">
        <v>12</v>
      </c>
      <c r="C14484" s="8" t="n">
        <v>15</v>
      </c>
      <c r="D14484" s="8" t="inlineStr">
        <is>
          <t>Disneyland Park</t>
        </is>
      </c>
      <c r="E14484" s="8" t="inlineStr">
        <is>
          <t>Phantom Manor</t>
        </is>
      </c>
      <c r="F14484" s="8" t="inlineStr">
        <is>
          <t>STANDBY</t>
        </is>
      </c>
      <c r="G14484" s="8" t="n">
        <v>15</v>
      </c>
      <c r="H14484" s="8" t="inlineStr">
        <is>
          <t>OPERATING</t>
        </is>
      </c>
    </row>
    <row r="14485">
      <c r="A14485" s="8" t="inlineStr">
        <is>
          <t>2026-08-03</t>
        </is>
      </c>
      <c r="B14485" s="8" t="n">
        <v>12</v>
      </c>
      <c r="C14485" s="8" t="n">
        <v>15</v>
      </c>
      <c r="D14485" s="8" t="inlineStr">
        <is>
          <t>Disneyland Park</t>
        </is>
      </c>
      <c r="E14485" s="8" t="inlineStr">
        <is>
          <t>River Rogue Keelboats</t>
        </is>
      </c>
      <c r="F14485" s="8" t="inlineStr">
        <is>
          <t>STANDBY</t>
        </is>
      </c>
      <c r="G14485" s="8" t="n">
        <v>0</v>
      </c>
      <c r="H14485" s="8" t="inlineStr">
        <is>
          <t>CLOSED</t>
        </is>
      </c>
    </row>
    <row r="14486">
      <c r="A14486" s="8" t="inlineStr">
        <is>
          <t>2026-08-03</t>
        </is>
      </c>
      <c r="B14486" s="8" t="n">
        <v>12</v>
      </c>
      <c r="C14486" s="8" t="n">
        <v>15</v>
      </c>
      <c r="D14486" s="8" t="inlineStr">
        <is>
          <t>Disneyland Park</t>
        </is>
      </c>
      <c r="E14486" s="8" t="inlineStr">
        <is>
          <t>Rustler Roundup Shootin' Gallery</t>
        </is>
      </c>
      <c r="F14486" s="8" t="inlineStr">
        <is>
          <t>STANDBY</t>
        </is>
      </c>
      <c r="G14486" s="8" t="n">
        <v>0</v>
      </c>
      <c r="H14486" s="8" t="inlineStr">
        <is>
          <t>OPERATING</t>
        </is>
      </c>
    </row>
    <row r="14487">
      <c r="A14487" s="8" t="inlineStr">
        <is>
          <t>2026-08-03</t>
        </is>
      </c>
      <c r="B14487" s="8" t="n">
        <v>12</v>
      </c>
      <c r="C14487" s="8" t="n">
        <v>15</v>
      </c>
      <c r="D14487" s="8" t="inlineStr">
        <is>
          <t>Disneyland Park</t>
        </is>
      </c>
      <c r="E14487" s="8" t="inlineStr">
        <is>
          <t>Thunder Mesa Riverboat Landing</t>
        </is>
      </c>
      <c r="F14487" s="8" t="inlineStr">
        <is>
          <t>STANDBY</t>
        </is>
      </c>
      <c r="G14487" s="8" t="n">
        <v>20</v>
      </c>
      <c r="H14487" s="8" t="inlineStr">
        <is>
          <t>OPERATING</t>
        </is>
      </c>
    </row>
    <row r="14488">
      <c r="A14488" s="8" t="inlineStr">
        <is>
          <t>2026-08-03</t>
        </is>
      </c>
      <c r="B14488" s="8" t="n">
        <v>12</v>
      </c>
      <c r="C14488" s="8" t="n">
        <v>15</v>
      </c>
      <c r="D14488" s="8" t="inlineStr">
        <is>
          <t>Disneyland Park</t>
        </is>
      </c>
      <c r="E14488" s="8" t="inlineStr">
        <is>
          <t>Disneyland Railroad Main Street Station</t>
        </is>
      </c>
      <c r="F14488" s="8" t="inlineStr">
        <is>
          <t>STANDBY</t>
        </is>
      </c>
      <c r="G14488" s="8" t="n">
        <v>0</v>
      </c>
      <c r="H14488" s="8" t="inlineStr">
        <is>
          <t>CLOSED</t>
        </is>
      </c>
    </row>
    <row r="14489">
      <c r="A14489" s="8" t="inlineStr">
        <is>
          <t>2026-08-03</t>
        </is>
      </c>
      <c r="B14489" s="8" t="n">
        <v>12</v>
      </c>
      <c r="C14489" s="8" t="n">
        <v>15</v>
      </c>
      <c r="D14489" s="8" t="inlineStr">
        <is>
          <t>Disneyland Park</t>
        </is>
      </c>
      <c r="E14489" s="8" t="inlineStr">
        <is>
          <t>Main Street Vehicles</t>
        </is>
      </c>
      <c r="F14489" s="8" t="inlineStr">
        <is>
          <t>STANDBY</t>
        </is>
      </c>
      <c r="G14489" s="8" t="n">
        <v>0</v>
      </c>
      <c r="H14489" s="8" t="inlineStr">
        <is>
          <t>CLOSED</t>
        </is>
      </c>
    </row>
    <row r="14490">
      <c r="A14490" s="8" t="inlineStr">
        <is>
          <t>2026-08-03</t>
        </is>
      </c>
      <c r="B14490" s="8" t="n">
        <v>12</v>
      </c>
      <c r="C14490" s="8" t="n">
        <v>15</v>
      </c>
      <c r="D14490" s="8" t="inlineStr">
        <is>
          <t>Disney Adventure World</t>
        </is>
      </c>
      <c r="E14490" s="8" t="inlineStr">
        <is>
          <t>Avengers Assemble: Flight Force</t>
        </is>
      </c>
      <c r="F14490" s="8" t="inlineStr">
        <is>
          <t>STANDBY</t>
        </is>
      </c>
      <c r="G14490" s="8" t="n">
        <v>20</v>
      </c>
      <c r="H14490" s="8" t="inlineStr">
        <is>
          <t>OPERATING</t>
        </is>
      </c>
    </row>
    <row r="14491">
      <c r="A14491" s="8" t="inlineStr">
        <is>
          <t>2026-08-03</t>
        </is>
      </c>
      <c r="B14491" s="8" t="n">
        <v>12</v>
      </c>
      <c r="C14491" s="8" t="n">
        <v>15</v>
      </c>
      <c r="D14491" s="8" t="inlineStr">
        <is>
          <t>Disney Adventure World</t>
        </is>
      </c>
      <c r="E14491" s="8" t="inlineStr">
        <is>
          <t>Avengers Assemble: Flight Force Single Rider</t>
        </is>
      </c>
      <c r="F14491" s="8" t="inlineStr">
        <is>
          <t>STANDBY</t>
        </is>
      </c>
      <c r="G14491" s="8" t="n">
        <v>15</v>
      </c>
      <c r="H14491" s="8" t="inlineStr">
        <is>
          <t>OPERATING</t>
        </is>
      </c>
    </row>
    <row r="14492">
      <c r="A14492" s="8" t="inlineStr">
        <is>
          <t>2026-08-03</t>
        </is>
      </c>
      <c r="B14492" s="8" t="n">
        <v>12</v>
      </c>
      <c r="C14492" s="8" t="n">
        <v>15</v>
      </c>
      <c r="D14492" s="8" t="inlineStr">
        <is>
          <t>Disney Adventure World</t>
        </is>
      </c>
      <c r="E14492" s="8" t="inlineStr">
        <is>
          <t>Spider-Man W.E.B. Adventure</t>
        </is>
      </c>
      <c r="F14492" s="8" t="inlineStr">
        <is>
          <t>STANDBY</t>
        </is>
      </c>
      <c r="G14492" s="8" t="n">
        <v>60</v>
      </c>
      <c r="H14492" s="8" t="inlineStr">
        <is>
          <t>OPERATING</t>
        </is>
      </c>
    </row>
    <row r="14493">
      <c r="A14493" s="8" t="inlineStr">
        <is>
          <t>2026-08-03</t>
        </is>
      </c>
      <c r="B14493" s="8" t="n">
        <v>12</v>
      </c>
      <c r="C14493" s="8" t="n">
        <v>15</v>
      </c>
      <c r="D14493" s="8" t="inlineStr">
        <is>
          <t>Disney Adventure World</t>
        </is>
      </c>
      <c r="E14493" s="8" t="inlineStr">
        <is>
          <t>Spider-Man W.E.B. Adventure Single Rider</t>
        </is>
      </c>
      <c r="F14493" s="8" t="inlineStr">
        <is>
          <t>STANDBY</t>
        </is>
      </c>
      <c r="G14493" s="8" t="n">
        <v>15</v>
      </c>
      <c r="H14493" s="8" t="inlineStr">
        <is>
          <t>OPERATING</t>
        </is>
      </c>
    </row>
    <row r="14494">
      <c r="A14494" s="8" t="inlineStr">
        <is>
          <t>2026-08-03</t>
        </is>
      </c>
      <c r="B14494" s="8" t="n">
        <v>12</v>
      </c>
      <c r="C14494" s="8" t="n">
        <v>15</v>
      </c>
      <c r="D14494" s="8" t="inlineStr">
        <is>
          <t>Disney Adventure World</t>
        </is>
      </c>
      <c r="E14494" s="8" t="inlineStr">
        <is>
          <t>The Twilight Zone Tower of Terror</t>
        </is>
      </c>
      <c r="F14494" s="8" t="inlineStr">
        <is>
          <t>STANDBY</t>
        </is>
      </c>
      <c r="G14494" s="8" t="n">
        <v>35</v>
      </c>
      <c r="H14494" s="8" t="inlineStr">
        <is>
          <t>OPERATING</t>
        </is>
      </c>
    </row>
    <row r="14495">
      <c r="A14495" s="8" t="inlineStr">
        <is>
          <t>2026-08-03</t>
        </is>
      </c>
      <c r="B14495" s="8" t="n">
        <v>12</v>
      </c>
      <c r="C14495" s="8" t="n">
        <v>15</v>
      </c>
      <c r="D14495" s="8" t="inlineStr">
        <is>
          <t>Disney Adventure World</t>
        </is>
      </c>
      <c r="E14495" s="8" t="inlineStr">
        <is>
          <t>Cars Quatre Roues Rallye</t>
        </is>
      </c>
      <c r="F14495" s="8" t="inlineStr">
        <is>
          <t>STANDBY</t>
        </is>
      </c>
      <c r="G14495" s="8" t="n">
        <v>15</v>
      </c>
      <c r="H14495" s="8" t="inlineStr">
        <is>
          <t>OPERATING</t>
        </is>
      </c>
    </row>
    <row r="14496">
      <c r="A14496" s="8" t="inlineStr">
        <is>
          <t>2026-08-03</t>
        </is>
      </c>
      <c r="B14496" s="8" t="n">
        <v>12</v>
      </c>
      <c r="C14496" s="8" t="n">
        <v>15</v>
      </c>
      <c r="D14496" s="8" t="inlineStr">
        <is>
          <t>Disney Adventure World</t>
        </is>
      </c>
      <c r="E14496" s="8" t="inlineStr">
        <is>
          <t>Cars ROAD TRIP</t>
        </is>
      </c>
      <c r="F14496" s="8" t="inlineStr">
        <is>
          <t>STANDBY</t>
        </is>
      </c>
      <c r="G14496" s="8" t="n">
        <v>40</v>
      </c>
      <c r="H14496" s="8" t="inlineStr">
        <is>
          <t>OPERATING</t>
        </is>
      </c>
    </row>
    <row r="14497">
      <c r="A14497" s="8" t="inlineStr">
        <is>
          <t>2026-08-03</t>
        </is>
      </c>
      <c r="B14497" s="8" t="n">
        <v>12</v>
      </c>
      <c r="C14497" s="8" t="n">
        <v>15</v>
      </c>
      <c r="D14497" s="8" t="inlineStr">
        <is>
          <t>Disney Adventure World</t>
        </is>
      </c>
      <c r="E14497" s="8" t="inlineStr">
        <is>
          <t>Crush's Coaster</t>
        </is>
      </c>
      <c r="F14497" s="8" t="inlineStr">
        <is>
          <t>STANDBY</t>
        </is>
      </c>
      <c r="G14497" s="8" t="n">
        <v>65</v>
      </c>
      <c r="H14497" s="8" t="inlineStr">
        <is>
          <t>OPERATING</t>
        </is>
      </c>
    </row>
    <row r="14498">
      <c r="A14498" s="8" t="inlineStr">
        <is>
          <t>2026-08-03</t>
        </is>
      </c>
      <c r="B14498" s="8" t="n">
        <v>12</v>
      </c>
      <c r="C14498" s="8" t="n">
        <v>15</v>
      </c>
      <c r="D14498" s="8" t="inlineStr">
        <is>
          <t>Disney Adventure World</t>
        </is>
      </c>
      <c r="E14498" s="8" t="inlineStr">
        <is>
          <t>Crush's Coaster Single Rider</t>
        </is>
      </c>
      <c r="F14498" s="8" t="inlineStr">
        <is>
          <t>STANDBY</t>
        </is>
      </c>
      <c r="G14498" s="8" t="n">
        <v>35</v>
      </c>
      <c r="H14498" s="8" t="inlineStr">
        <is>
          <t>OPERATING</t>
        </is>
      </c>
    </row>
    <row r="14499">
      <c r="A14499" s="8" t="inlineStr">
        <is>
          <t>2026-08-03</t>
        </is>
      </c>
      <c r="B14499" s="8" t="n">
        <v>12</v>
      </c>
      <c r="C14499" s="8" t="n">
        <v>15</v>
      </c>
      <c r="D14499" s="8" t="inlineStr">
        <is>
          <t>Disney Adventure World</t>
        </is>
      </c>
      <c r="E14499" s="8" t="inlineStr">
        <is>
          <t>Les Tapis Volants - Flying Carpets Over Agrabah®</t>
        </is>
      </c>
      <c r="F14499" s="8" t="inlineStr">
        <is>
          <t>STANDBY</t>
        </is>
      </c>
      <c r="G14499" s="8" t="n">
        <v>15</v>
      </c>
      <c r="H14499" s="8" t="inlineStr">
        <is>
          <t>OPERATING</t>
        </is>
      </c>
    </row>
    <row r="14500">
      <c r="A14500" s="8" t="inlineStr">
        <is>
          <t>2026-08-03</t>
        </is>
      </c>
      <c r="B14500" s="8" t="n">
        <v>12</v>
      </c>
      <c r="C14500" s="8" t="n">
        <v>15</v>
      </c>
      <c r="D14500" s="8" t="inlineStr">
        <is>
          <t>Disney Adventure World</t>
        </is>
      </c>
      <c r="E14500" s="8" t="inlineStr">
        <is>
          <t>Ratatouille : L’Aventure Totalement Toquée de Rémy​</t>
        </is>
      </c>
      <c r="F14500" s="8" t="inlineStr">
        <is>
          <t>STANDBY</t>
        </is>
      </c>
      <c r="G14500" s="8" t="n">
        <v>0</v>
      </c>
      <c r="H14500" s="8" t="inlineStr">
        <is>
          <t>CLOSED</t>
        </is>
      </c>
    </row>
    <row r="14501">
      <c r="A14501" s="8" t="inlineStr">
        <is>
          <t>2026-08-03</t>
        </is>
      </c>
      <c r="B14501" s="8" t="n">
        <v>12</v>
      </c>
      <c r="C14501" s="8" t="n">
        <v>15</v>
      </c>
      <c r="D14501" s="8" t="inlineStr">
        <is>
          <t>Disney Adventure World</t>
        </is>
      </c>
      <c r="E14501" s="8" t="inlineStr">
        <is>
          <t>Ratatouille: The Adventure Single Rider</t>
        </is>
      </c>
      <c r="F14501" s="8" t="inlineStr">
        <is>
          <t>STANDBY</t>
        </is>
      </c>
      <c r="G14501" s="8" t="n">
        <v>0</v>
      </c>
      <c r="H14501" s="8" t="inlineStr">
        <is>
          <t>CLOSED</t>
        </is>
      </c>
    </row>
    <row r="14502">
      <c r="A14502" s="8" t="inlineStr">
        <is>
          <t>2026-08-03</t>
        </is>
      </c>
      <c r="B14502" s="8" t="n">
        <v>12</v>
      </c>
      <c r="C14502" s="8" t="n">
        <v>15</v>
      </c>
      <c r="D14502" s="8" t="inlineStr">
        <is>
          <t>Disney Adventure World</t>
        </is>
      </c>
      <c r="E14502" s="8" t="inlineStr">
        <is>
          <t>RC Racer</t>
        </is>
      </c>
      <c r="F14502" s="8" t="inlineStr">
        <is>
          <t>STANDBY</t>
        </is>
      </c>
      <c r="G14502" s="8" t="n">
        <v>40</v>
      </c>
      <c r="H14502" s="8" t="inlineStr">
        <is>
          <t>OPERATING</t>
        </is>
      </c>
    </row>
    <row r="14503">
      <c r="A14503" s="8" t="inlineStr">
        <is>
          <t>2026-08-03</t>
        </is>
      </c>
      <c r="B14503" s="8" t="n">
        <v>12</v>
      </c>
      <c r="C14503" s="8" t="n">
        <v>15</v>
      </c>
      <c r="D14503" s="8" t="inlineStr">
        <is>
          <t>Disney Adventure World</t>
        </is>
      </c>
      <c r="E14503" s="8" t="inlineStr">
        <is>
          <t>RC Racer Single Rider</t>
        </is>
      </c>
      <c r="F14503" s="8" t="inlineStr">
        <is>
          <t>STANDBY</t>
        </is>
      </c>
      <c r="G14503" s="8" t="n">
        <v>35</v>
      </c>
      <c r="H14503" s="8" t="inlineStr">
        <is>
          <t>OPERATING</t>
        </is>
      </c>
    </row>
    <row r="14504">
      <c r="A14504" s="8" t="inlineStr">
        <is>
          <t>2026-08-03</t>
        </is>
      </c>
      <c r="B14504" s="8" t="n">
        <v>12</v>
      </c>
      <c r="C14504" s="8" t="n">
        <v>15</v>
      </c>
      <c r="D14504" s="8" t="inlineStr">
        <is>
          <t>Disney Adventure World</t>
        </is>
      </c>
      <c r="E14504" s="8" t="inlineStr">
        <is>
          <t>Slinky® Dog Zigzag Spin</t>
        </is>
      </c>
      <c r="F14504" s="8" t="inlineStr">
        <is>
          <t>STANDBY</t>
        </is>
      </c>
      <c r="G14504" s="8" t="n">
        <v>20</v>
      </c>
      <c r="H14504" s="8" t="inlineStr">
        <is>
          <t>OPERATING</t>
        </is>
      </c>
    </row>
    <row r="14505">
      <c r="A14505" s="8" t="inlineStr">
        <is>
          <t>2026-08-03</t>
        </is>
      </c>
      <c r="B14505" s="8" t="n">
        <v>12</v>
      </c>
      <c r="C14505" s="8" t="n">
        <v>15</v>
      </c>
      <c r="D14505" s="8" t="inlineStr">
        <is>
          <t>Disney Adventure World</t>
        </is>
      </c>
      <c r="E14505" s="8" t="inlineStr">
        <is>
          <t>Toy Soldiers Parachute Drop</t>
        </is>
      </c>
      <c r="F14505" s="8" t="inlineStr">
        <is>
          <t>STANDBY</t>
        </is>
      </c>
      <c r="G14505" s="8" t="n">
        <v>50</v>
      </c>
      <c r="H14505" s="8" t="inlineStr">
        <is>
          <t>OPERATING</t>
        </is>
      </c>
    </row>
    <row r="14506">
      <c r="A14506" s="8" t="inlineStr">
        <is>
          <t>2026-08-03</t>
        </is>
      </c>
      <c r="B14506" s="8" t="n">
        <v>12</v>
      </c>
      <c r="C14506" s="8" t="n">
        <v>15</v>
      </c>
      <c r="D14506" s="8" t="inlineStr">
        <is>
          <t>Disney Adventure World</t>
        </is>
      </c>
      <c r="E14506" s="8" t="inlineStr">
        <is>
          <t>Toy Soldiers Parachute Drop Single Rider</t>
        </is>
      </c>
      <c r="F14506" s="8" t="inlineStr">
        <is>
          <t>STANDBY</t>
        </is>
      </c>
      <c r="G14506" s="8" t="n">
        <v>15</v>
      </c>
      <c r="H14506" s="8" t="inlineStr">
        <is>
          <t>OPERATING</t>
        </is>
      </c>
    </row>
    <row r="14507">
      <c r="A14507" s="8" t="inlineStr">
        <is>
          <t>2026-08-03</t>
        </is>
      </c>
      <c r="B14507" s="8" t="n">
        <v>12</v>
      </c>
      <c r="C14507" s="8" t="n">
        <v>15</v>
      </c>
      <c r="D14507" s="8" t="inlineStr">
        <is>
          <t>Disney Adventure World</t>
        </is>
      </c>
      <c r="E14507" s="8" t="inlineStr">
        <is>
          <t>Entry to World of Frozen</t>
        </is>
      </c>
      <c r="F14507" s="8" t="inlineStr">
        <is>
          <t>STANDBY</t>
        </is>
      </c>
      <c r="G14507" s="8" t="n">
        <v>0</v>
      </c>
      <c r="H14507" s="8" t="inlineStr">
        <is>
          <t>OPERATING</t>
        </is>
      </c>
    </row>
    <row r="14508">
      <c r="A14508" s="8" t="inlineStr">
        <is>
          <t>2026-08-03</t>
        </is>
      </c>
      <c r="B14508" s="8" t="n">
        <v>12</v>
      </c>
      <c r="C14508" s="8" t="n">
        <v>15</v>
      </c>
      <c r="D14508" s="8" t="inlineStr">
        <is>
          <t>Disney Adventure World</t>
        </is>
      </c>
      <c r="E14508" s="8" t="inlineStr">
        <is>
          <t>Frozen Ever After</t>
        </is>
      </c>
      <c r="F14508" s="8" t="inlineStr">
        <is>
          <t>STANDBY</t>
        </is>
      </c>
      <c r="G14508" s="8" t="n">
        <v>70</v>
      </c>
      <c r="H14508" s="8" t="inlineStr">
        <is>
          <t>OPERATING</t>
        </is>
      </c>
    </row>
    <row r="14509">
      <c r="A14509" s="8" t="inlineStr">
        <is>
          <t>2026-08-03</t>
        </is>
      </c>
      <c r="B14509" s="8" t="n">
        <v>12</v>
      </c>
      <c r="C14509" s="8" t="n">
        <v>15</v>
      </c>
      <c r="D14509" s="8" t="inlineStr">
        <is>
          <t>Disney Adventure World</t>
        </is>
      </c>
      <c r="E14509" s="8" t="inlineStr">
        <is>
          <t>Raiponce Tangled Spin</t>
        </is>
      </c>
      <c r="F14509" s="8" t="inlineStr">
        <is>
          <t>STANDBY</t>
        </is>
      </c>
      <c r="G14509" s="8" t="n">
        <v>15</v>
      </c>
      <c r="H14509" s="8" t="inlineStr">
        <is>
          <t>OPERATING</t>
        </is>
      </c>
    </row>
    <row r="14510">
      <c r="A14510" s="8" t="inlineStr">
        <is>
          <t>2026-08-03</t>
        </is>
      </c>
      <c r="B14510" s="8" t="n">
        <v>12</v>
      </c>
      <c r="C14510" s="8" t="n">
        <v>31</v>
      </c>
      <c r="D14510" s="8" t="inlineStr">
        <is>
          <t>Disneyland Park</t>
        </is>
      </c>
      <c r="E14510" s="8" t="inlineStr">
        <is>
          <t>Adventure Isle</t>
        </is>
      </c>
      <c r="F14510" s="8" t="inlineStr">
        <is>
          <t>STANDBY</t>
        </is>
      </c>
      <c r="G14510" s="8" t="n">
        <v>0</v>
      </c>
      <c r="H14510" s="8" t="inlineStr">
        <is>
          <t>OPERATING</t>
        </is>
      </c>
    </row>
    <row r="14511">
      <c r="A14511" s="8" t="inlineStr">
        <is>
          <t>2026-08-03</t>
        </is>
      </c>
      <c r="B14511" s="8" t="n">
        <v>12</v>
      </c>
      <c r="C14511" s="8" t="n">
        <v>31</v>
      </c>
      <c r="D14511" s="8" t="inlineStr">
        <is>
          <t>Disneyland Park</t>
        </is>
      </c>
      <c r="E14511" s="8" t="inlineStr">
        <is>
          <t>Indiana Jones and the Temple of Peril Single Rider</t>
        </is>
      </c>
      <c r="F14511" s="8" t="inlineStr">
        <is>
          <t>STANDBY</t>
        </is>
      </c>
      <c r="G14511" s="8" t="n">
        <v>5</v>
      </c>
      <c r="H14511" s="8" t="inlineStr">
        <is>
          <t>OPERATING</t>
        </is>
      </c>
    </row>
    <row r="14512">
      <c r="A14512" s="8" t="inlineStr">
        <is>
          <t>2026-08-03</t>
        </is>
      </c>
      <c r="B14512" s="8" t="n">
        <v>12</v>
      </c>
      <c r="C14512" s="8" t="n">
        <v>31</v>
      </c>
      <c r="D14512" s="8" t="inlineStr">
        <is>
          <t>Disneyland Park</t>
        </is>
      </c>
      <c r="E14512" s="8" t="inlineStr">
        <is>
          <t>Indiana Jones™ and the Temple of Peril</t>
        </is>
      </c>
      <c r="F14512" s="8" t="inlineStr">
        <is>
          <t>STANDBY</t>
        </is>
      </c>
      <c r="G14512" s="8" t="n">
        <v>15</v>
      </c>
      <c r="H14512" s="8" t="inlineStr">
        <is>
          <t>OPERATING</t>
        </is>
      </c>
    </row>
    <row r="14513">
      <c r="A14513" s="8" t="inlineStr">
        <is>
          <t>2026-08-03</t>
        </is>
      </c>
      <c r="B14513" s="8" t="n">
        <v>12</v>
      </c>
      <c r="C14513" s="8" t="n">
        <v>31</v>
      </c>
      <c r="D14513" s="8" t="inlineStr">
        <is>
          <t>Disneyland Park</t>
        </is>
      </c>
      <c r="E14513" s="8" t="inlineStr">
        <is>
          <t>La Cabane des Robinson</t>
        </is>
      </c>
      <c r="F14513" s="8" t="inlineStr">
        <is>
          <t>STANDBY</t>
        </is>
      </c>
      <c r="G14513" s="8" t="n">
        <v>5</v>
      </c>
      <c r="H14513" s="8" t="inlineStr">
        <is>
          <t>OPERATING</t>
        </is>
      </c>
    </row>
    <row r="14514">
      <c r="A14514" s="8" t="inlineStr">
        <is>
          <t>2026-08-03</t>
        </is>
      </c>
      <c r="B14514" s="8" t="n">
        <v>12</v>
      </c>
      <c r="C14514" s="8" t="n">
        <v>31</v>
      </c>
      <c r="D14514" s="8" t="inlineStr">
        <is>
          <t>Disneyland Park</t>
        </is>
      </c>
      <c r="E14514" s="8" t="inlineStr">
        <is>
          <t>Le Passage Enchanté d'Aladdin</t>
        </is>
      </c>
      <c r="F14514" s="8" t="inlineStr">
        <is>
          <t>STANDBY</t>
        </is>
      </c>
      <c r="G14514" s="8" t="n">
        <v>0</v>
      </c>
      <c r="H14514" s="8" t="inlineStr">
        <is>
          <t>OPERATING</t>
        </is>
      </c>
    </row>
    <row r="14515">
      <c r="A14515" s="8" t="inlineStr">
        <is>
          <t>2026-08-03</t>
        </is>
      </c>
      <c r="B14515" s="8" t="n">
        <v>12</v>
      </c>
      <c r="C14515" s="8" t="n">
        <v>31</v>
      </c>
      <c r="D14515" s="8" t="inlineStr">
        <is>
          <t>Disneyland Park</t>
        </is>
      </c>
      <c r="E14515" s="8" t="inlineStr">
        <is>
          <t>Pirate Galleon</t>
        </is>
      </c>
      <c r="F14515" s="8" t="inlineStr">
        <is>
          <t>STANDBY</t>
        </is>
      </c>
      <c r="G14515" s="8" t="n">
        <v>0</v>
      </c>
      <c r="H14515" s="8" t="inlineStr">
        <is>
          <t>CLOSED</t>
        </is>
      </c>
    </row>
    <row r="14516">
      <c r="A14516" s="8" t="inlineStr">
        <is>
          <t>2026-08-03</t>
        </is>
      </c>
      <c r="B14516" s="8" t="n">
        <v>12</v>
      </c>
      <c r="C14516" s="8" t="n">
        <v>31</v>
      </c>
      <c r="D14516" s="8" t="inlineStr">
        <is>
          <t>Disneyland Park</t>
        </is>
      </c>
      <c r="E14516" s="8" t="inlineStr">
        <is>
          <t>Pirates of the Caribbean</t>
        </is>
      </c>
      <c r="F14516" s="8" t="inlineStr">
        <is>
          <t>STANDBY</t>
        </is>
      </c>
      <c r="G14516" s="8" t="n">
        <v>30</v>
      </c>
      <c r="H14516" s="8" t="inlineStr">
        <is>
          <t>OPERATING</t>
        </is>
      </c>
    </row>
    <row r="14517">
      <c r="A14517" s="8" t="inlineStr">
        <is>
          <t>2026-08-03</t>
        </is>
      </c>
      <c r="B14517" s="8" t="n">
        <v>12</v>
      </c>
      <c r="C14517" s="8" t="n">
        <v>31</v>
      </c>
      <c r="D14517" s="8" t="inlineStr">
        <is>
          <t>Disneyland Park</t>
        </is>
      </c>
      <c r="E14517" s="8" t="inlineStr">
        <is>
          <t>Pirates' Beach</t>
        </is>
      </c>
      <c r="F14517" s="8" t="inlineStr">
        <is>
          <t>STANDBY</t>
        </is>
      </c>
      <c r="G14517" s="8" t="n">
        <v>0</v>
      </c>
      <c r="H14517" s="8" t="inlineStr">
        <is>
          <t>OPERATING</t>
        </is>
      </c>
    </row>
    <row r="14518">
      <c r="A14518" s="8" t="inlineStr">
        <is>
          <t>2026-08-03</t>
        </is>
      </c>
      <c r="B14518" s="8" t="n">
        <v>12</v>
      </c>
      <c r="C14518" s="8" t="n">
        <v>31</v>
      </c>
      <c r="D14518" s="8" t="inlineStr">
        <is>
          <t>Disneyland Park</t>
        </is>
      </c>
      <c r="E14518" s="8" t="inlineStr">
        <is>
          <t>Autopia, presented by Avis</t>
        </is>
      </c>
      <c r="F14518" s="8" t="inlineStr">
        <is>
          <t>STANDBY</t>
        </is>
      </c>
      <c r="G14518" s="8" t="n">
        <v>0</v>
      </c>
      <c r="H14518" s="8" t="inlineStr">
        <is>
          <t>CLOSED</t>
        </is>
      </c>
    </row>
    <row r="14519">
      <c r="A14519" s="8" t="inlineStr">
        <is>
          <t>2026-08-03</t>
        </is>
      </c>
      <c r="B14519" s="8" t="n">
        <v>12</v>
      </c>
      <c r="C14519" s="8" t="n">
        <v>31</v>
      </c>
      <c r="D14519" s="8" t="inlineStr">
        <is>
          <t>Disneyland Park</t>
        </is>
      </c>
      <c r="E14519" s="8" t="inlineStr">
        <is>
          <t>Buzz Lightyear Laser Blast</t>
        </is>
      </c>
      <c r="F14519" s="8" t="inlineStr">
        <is>
          <t>STANDBY</t>
        </is>
      </c>
      <c r="G14519" s="8" t="n">
        <v>45</v>
      </c>
      <c r="H14519" s="8" t="inlineStr">
        <is>
          <t>OPERATING</t>
        </is>
      </c>
    </row>
    <row r="14520">
      <c r="A14520" s="8" t="inlineStr">
        <is>
          <t>2026-08-03</t>
        </is>
      </c>
      <c r="B14520" s="8" t="n">
        <v>12</v>
      </c>
      <c r="C14520" s="8" t="n">
        <v>31</v>
      </c>
      <c r="D14520" s="8" t="inlineStr">
        <is>
          <t>Disneyland Park</t>
        </is>
      </c>
      <c r="E14520" s="8" t="inlineStr">
        <is>
          <t>Disneyland Railroad Discoveryland Station</t>
        </is>
      </c>
      <c r="F14520" s="8" t="inlineStr">
        <is>
          <t>STANDBY</t>
        </is>
      </c>
      <c r="G14520" s="8" t="n">
        <v>0</v>
      </c>
      <c r="H14520" s="8" t="inlineStr">
        <is>
          <t>CLOSED</t>
        </is>
      </c>
    </row>
    <row r="14521">
      <c r="A14521" s="8" t="inlineStr">
        <is>
          <t>2026-08-03</t>
        </is>
      </c>
      <c r="B14521" s="8" t="n">
        <v>12</v>
      </c>
      <c r="C14521" s="8" t="n">
        <v>31</v>
      </c>
      <c r="D14521" s="8" t="inlineStr">
        <is>
          <t>Disneyland Park</t>
        </is>
      </c>
      <c r="E14521" s="8" t="inlineStr">
        <is>
          <t>Les Mystères du Nautilus</t>
        </is>
      </c>
      <c r="F14521" s="8" t="inlineStr">
        <is>
          <t>STANDBY</t>
        </is>
      </c>
      <c r="G14521" s="8" t="n">
        <v>5</v>
      </c>
      <c r="H14521" s="8" t="inlineStr">
        <is>
          <t>OPERATING</t>
        </is>
      </c>
    </row>
    <row r="14522">
      <c r="A14522" s="8" t="inlineStr">
        <is>
          <t>2026-08-03</t>
        </is>
      </c>
      <c r="B14522" s="8" t="n">
        <v>12</v>
      </c>
      <c r="C14522" s="8" t="n">
        <v>31</v>
      </c>
      <c r="D14522" s="8" t="inlineStr">
        <is>
          <t>Disneyland Park</t>
        </is>
      </c>
      <c r="E14522" s="8" t="inlineStr">
        <is>
          <t>Mickey’s PhilharMagic</t>
        </is>
      </c>
      <c r="F14522" s="8" t="inlineStr">
        <is>
          <t>STANDBY</t>
        </is>
      </c>
      <c r="G14522" s="8" t="n">
        <v>0</v>
      </c>
      <c r="H14522" s="8" t="inlineStr">
        <is>
          <t>OPERATING</t>
        </is>
      </c>
    </row>
    <row r="14523">
      <c r="A14523" s="8" t="inlineStr">
        <is>
          <t>2026-08-03</t>
        </is>
      </c>
      <c r="B14523" s="8" t="n">
        <v>12</v>
      </c>
      <c r="C14523" s="8" t="n">
        <v>31</v>
      </c>
      <c r="D14523" s="8" t="inlineStr">
        <is>
          <t>Disneyland Park</t>
        </is>
      </c>
      <c r="E14523" s="8" t="inlineStr">
        <is>
          <t>Orbitron®</t>
        </is>
      </c>
      <c r="F14523" s="8" t="inlineStr">
        <is>
          <t>STANDBY</t>
        </is>
      </c>
      <c r="G14523" s="8" t="n">
        <v>55</v>
      </c>
      <c r="H14523" s="8" t="inlineStr">
        <is>
          <t>OPERATING</t>
        </is>
      </c>
    </row>
    <row r="14524">
      <c r="A14524" s="8" t="inlineStr">
        <is>
          <t>2026-08-03</t>
        </is>
      </c>
      <c r="B14524" s="8" t="n">
        <v>12</v>
      </c>
      <c r="C14524" s="8" t="n">
        <v>31</v>
      </c>
      <c r="D14524" s="8" t="inlineStr">
        <is>
          <t>Disneyland Park</t>
        </is>
      </c>
      <c r="E14524" s="8" t="inlineStr">
        <is>
          <t>Star Tours: The Adventures Continue*</t>
        </is>
      </c>
      <c r="F14524" s="8" t="inlineStr">
        <is>
          <t>STANDBY</t>
        </is>
      </c>
      <c r="G14524" s="8" t="n">
        <v>30</v>
      </c>
      <c r="H14524" s="8" t="inlineStr">
        <is>
          <t>OPERATING</t>
        </is>
      </c>
    </row>
    <row r="14525">
      <c r="A14525" s="8" t="inlineStr">
        <is>
          <t>2026-08-03</t>
        </is>
      </c>
      <c r="B14525" s="8" t="n">
        <v>12</v>
      </c>
      <c r="C14525" s="8" t="n">
        <v>31</v>
      </c>
      <c r="D14525" s="8" t="inlineStr">
        <is>
          <t>Disneyland Park</t>
        </is>
      </c>
      <c r="E14525" s="8" t="inlineStr">
        <is>
          <t>Star Wars Hyperspace Mountain</t>
        </is>
      </c>
      <c r="F14525" s="8" t="inlineStr">
        <is>
          <t>STANDBY</t>
        </is>
      </c>
      <c r="G14525" s="8" t="n">
        <v>35</v>
      </c>
      <c r="H14525" s="8" t="inlineStr">
        <is>
          <t>OPERATING</t>
        </is>
      </c>
    </row>
    <row r="14526">
      <c r="A14526" s="8" t="inlineStr">
        <is>
          <t>2026-08-03</t>
        </is>
      </c>
      <c r="B14526" s="8" t="n">
        <v>12</v>
      </c>
      <c r="C14526" s="8" t="n">
        <v>31</v>
      </c>
      <c r="D14526" s="8" t="inlineStr">
        <is>
          <t>Disneyland Park</t>
        </is>
      </c>
      <c r="E14526" s="8" t="inlineStr">
        <is>
          <t>Star Wars Hyperspace Mountain Single Rider</t>
        </is>
      </c>
      <c r="F14526" s="8" t="inlineStr">
        <is>
          <t>STANDBY</t>
        </is>
      </c>
      <c r="G14526" s="8" t="n">
        <v>25</v>
      </c>
      <c r="H14526" s="8" t="inlineStr">
        <is>
          <t>OPERATING</t>
        </is>
      </c>
    </row>
    <row r="14527">
      <c r="A14527" s="8" t="inlineStr">
        <is>
          <t>2026-08-03</t>
        </is>
      </c>
      <c r="B14527" s="8" t="n">
        <v>12</v>
      </c>
      <c r="C14527" s="8" t="n">
        <v>31</v>
      </c>
      <c r="D14527" s="8" t="inlineStr">
        <is>
          <t>Disneyland Park</t>
        </is>
      </c>
      <c r="E14527" s="8" t="inlineStr">
        <is>
          <t>Welcome to Starport: A Star Wars Encounter</t>
        </is>
      </c>
      <c r="F14527" s="8" t="inlineStr">
        <is>
          <t>STANDBY</t>
        </is>
      </c>
      <c r="G14527" s="8" t="n">
        <v>20</v>
      </c>
      <c r="H14527" s="8" t="inlineStr">
        <is>
          <t>OPERATING</t>
        </is>
      </c>
    </row>
    <row r="14528">
      <c r="A14528" s="8" t="inlineStr">
        <is>
          <t>2026-08-03</t>
        </is>
      </c>
      <c r="B14528" s="8" t="n">
        <v>12</v>
      </c>
      <c r="C14528" s="8" t="n">
        <v>31</v>
      </c>
      <c r="D14528" s="8" t="inlineStr">
        <is>
          <t>Disneyland Park</t>
        </is>
      </c>
      <c r="E14528" s="8" t="inlineStr">
        <is>
          <t>"it's a small world"</t>
        </is>
      </c>
      <c r="F14528" s="8" t="inlineStr">
        <is>
          <t>STANDBY</t>
        </is>
      </c>
      <c r="G14528" s="8" t="n">
        <v>20</v>
      </c>
      <c r="H14528" s="8" t="inlineStr">
        <is>
          <t>OPERATING</t>
        </is>
      </c>
    </row>
    <row r="14529">
      <c r="A14529" s="8" t="inlineStr">
        <is>
          <t>2026-08-03</t>
        </is>
      </c>
      <c r="B14529" s="8" t="n">
        <v>12</v>
      </c>
      <c r="C14529" s="8" t="n">
        <v>31</v>
      </c>
      <c r="D14529" s="8" t="inlineStr">
        <is>
          <t>Disneyland Park</t>
        </is>
      </c>
      <c r="E14529" s="8" t="inlineStr">
        <is>
          <t>Alice's Curious Labyrinth</t>
        </is>
      </c>
      <c r="F14529" s="8" t="inlineStr">
        <is>
          <t>STANDBY</t>
        </is>
      </c>
      <c r="G14529" s="8" t="n">
        <v>5</v>
      </c>
      <c r="H14529" s="8" t="inlineStr">
        <is>
          <t>OPERATING</t>
        </is>
      </c>
    </row>
    <row r="14530">
      <c r="A14530" s="8" t="inlineStr">
        <is>
          <t>2026-08-03</t>
        </is>
      </c>
      <c r="B14530" s="8" t="n">
        <v>12</v>
      </c>
      <c r="C14530" s="8" t="n">
        <v>31</v>
      </c>
      <c r="D14530" s="8" t="inlineStr">
        <is>
          <t>Disneyland Park</t>
        </is>
      </c>
      <c r="E14530" s="8" t="inlineStr">
        <is>
          <t>Blanche-Neige et les Sept Nains®</t>
        </is>
      </c>
      <c r="F14530" s="8" t="inlineStr">
        <is>
          <t>STANDBY</t>
        </is>
      </c>
      <c r="G14530" s="8" t="n">
        <v>10</v>
      </c>
      <c r="H14530" s="8" t="inlineStr">
        <is>
          <t>OPERATING</t>
        </is>
      </c>
    </row>
    <row r="14531">
      <c r="A14531" s="8" t="inlineStr">
        <is>
          <t>2026-08-03</t>
        </is>
      </c>
      <c r="B14531" s="8" t="n">
        <v>12</v>
      </c>
      <c r="C14531" s="8" t="n">
        <v>31</v>
      </c>
      <c r="D14531" s="8" t="inlineStr">
        <is>
          <t>Disneyland Park</t>
        </is>
      </c>
      <c r="E14531" s="8" t="inlineStr">
        <is>
          <t>Casey Jr. – le Petit Train du Cirque</t>
        </is>
      </c>
      <c r="F14531" s="8" t="inlineStr">
        <is>
          <t>STANDBY</t>
        </is>
      </c>
      <c r="G14531" s="8" t="n">
        <v>10</v>
      </c>
      <c r="H14531" s="8" t="inlineStr">
        <is>
          <t>OPERATING</t>
        </is>
      </c>
    </row>
    <row r="14532">
      <c r="A14532" s="8" t="inlineStr">
        <is>
          <t>2026-08-03</t>
        </is>
      </c>
      <c r="B14532" s="8" t="n">
        <v>12</v>
      </c>
      <c r="C14532" s="8" t="n">
        <v>31</v>
      </c>
      <c r="D14532" s="8" t="inlineStr">
        <is>
          <t>Disneyland Park</t>
        </is>
      </c>
      <c r="E14532" s="8" t="inlineStr">
        <is>
          <t>Disneyland Railroad Fantasyland Station</t>
        </is>
      </c>
      <c r="F14532" s="8" t="inlineStr">
        <is>
          <t>STANDBY</t>
        </is>
      </c>
      <c r="G14532" s="8" t="n">
        <v>0</v>
      </c>
      <c r="H14532" s="8" t="inlineStr">
        <is>
          <t>CLOSED</t>
        </is>
      </c>
    </row>
    <row r="14533">
      <c r="A14533" s="8" t="inlineStr">
        <is>
          <t>2026-08-03</t>
        </is>
      </c>
      <c r="B14533" s="8" t="n">
        <v>12</v>
      </c>
      <c r="C14533" s="8" t="n">
        <v>31</v>
      </c>
      <c r="D14533" s="8" t="inlineStr">
        <is>
          <t>Disneyland Park</t>
        </is>
      </c>
      <c r="E14533" s="8" t="inlineStr">
        <is>
          <t>Disneyland Railroad Main Street Station</t>
        </is>
      </c>
      <c r="F14533" s="8" t="inlineStr">
        <is>
          <t>STANDBY</t>
        </is>
      </c>
      <c r="G14533" s="8" t="n">
        <v>0</v>
      </c>
      <c r="H14533" s="8" t="inlineStr">
        <is>
          <t>CLOSED</t>
        </is>
      </c>
    </row>
    <row r="14534">
      <c r="A14534" s="8" t="inlineStr">
        <is>
          <t>2026-08-03</t>
        </is>
      </c>
      <c r="B14534" s="8" t="n">
        <v>12</v>
      </c>
      <c r="C14534" s="8" t="n">
        <v>31</v>
      </c>
      <c r="D14534" s="8" t="inlineStr">
        <is>
          <t>Disneyland Park</t>
        </is>
      </c>
      <c r="E14534" s="8" t="inlineStr">
        <is>
          <t>Dumbo the Flying Elephant</t>
        </is>
      </c>
      <c r="F14534" s="8" t="inlineStr">
        <is>
          <t>STANDBY</t>
        </is>
      </c>
      <c r="G14534" s="8" t="n">
        <v>40</v>
      </c>
      <c r="H14534" s="8" t="inlineStr">
        <is>
          <t>OPERATING</t>
        </is>
      </c>
    </row>
    <row r="14535">
      <c r="A14535" s="8" t="inlineStr">
        <is>
          <t>2026-08-03</t>
        </is>
      </c>
      <c r="B14535" s="8" t="n">
        <v>12</v>
      </c>
      <c r="C14535" s="8" t="n">
        <v>31</v>
      </c>
      <c r="D14535" s="8" t="inlineStr">
        <is>
          <t>Disneyland Park</t>
        </is>
      </c>
      <c r="E14535" s="8" t="inlineStr">
        <is>
          <t>La Tanière du Dragon</t>
        </is>
      </c>
      <c r="F14535" s="8" t="inlineStr">
        <is>
          <t>STANDBY</t>
        </is>
      </c>
      <c r="G14535" s="8" t="n">
        <v>0</v>
      </c>
      <c r="H14535" s="8" t="inlineStr">
        <is>
          <t>OPERATING</t>
        </is>
      </c>
    </row>
    <row r="14536">
      <c r="A14536" s="8" t="inlineStr">
        <is>
          <t>2026-08-03</t>
        </is>
      </c>
      <c r="B14536" s="8" t="n">
        <v>12</v>
      </c>
      <c r="C14536" s="8" t="n">
        <v>31</v>
      </c>
      <c r="D14536" s="8" t="inlineStr">
        <is>
          <t>Disneyland Park</t>
        </is>
      </c>
      <c r="E14536" s="8" t="inlineStr">
        <is>
          <t>Le Carrousel de Lancelot</t>
        </is>
      </c>
      <c r="F14536" s="8" t="inlineStr">
        <is>
          <t>STANDBY</t>
        </is>
      </c>
      <c r="G14536" s="8" t="n">
        <v>10</v>
      </c>
      <c r="H14536" s="8" t="inlineStr">
        <is>
          <t>OPERATING</t>
        </is>
      </c>
    </row>
    <row r="14537">
      <c r="A14537" s="8" t="inlineStr">
        <is>
          <t>2026-08-03</t>
        </is>
      </c>
      <c r="B14537" s="8" t="n">
        <v>12</v>
      </c>
      <c r="C14537" s="8" t="n">
        <v>31</v>
      </c>
      <c r="D14537" s="8" t="inlineStr">
        <is>
          <t>Disneyland Park</t>
        </is>
      </c>
      <c r="E14537" s="8" t="inlineStr">
        <is>
          <t>Le Pays des Contes de Fées, presented by Vittel</t>
        </is>
      </c>
      <c r="F14537" s="8" t="inlineStr">
        <is>
          <t>STANDBY</t>
        </is>
      </c>
      <c r="G14537" s="8" t="n">
        <v>0</v>
      </c>
      <c r="H14537" s="8" t="inlineStr">
        <is>
          <t>CLOSED</t>
        </is>
      </c>
    </row>
    <row r="14538">
      <c r="A14538" s="8" t="inlineStr">
        <is>
          <t>2026-08-03</t>
        </is>
      </c>
      <c r="B14538" s="8" t="n">
        <v>12</v>
      </c>
      <c r="C14538" s="8" t="n">
        <v>31</v>
      </c>
      <c r="D14538" s="8" t="inlineStr">
        <is>
          <t>Disneyland Park</t>
        </is>
      </c>
      <c r="E14538" s="8" t="inlineStr">
        <is>
          <t>Les Voyages de Pinocchio</t>
        </is>
      </c>
      <c r="F14538" s="8" t="inlineStr">
        <is>
          <t>STANDBY</t>
        </is>
      </c>
      <c r="G14538" s="8" t="n">
        <v>15</v>
      </c>
      <c r="H14538" s="8" t="inlineStr">
        <is>
          <t>OPERATING</t>
        </is>
      </c>
    </row>
    <row r="14539">
      <c r="A14539" s="8" t="inlineStr">
        <is>
          <t>2026-08-03</t>
        </is>
      </c>
      <c r="B14539" s="8" t="n">
        <v>12</v>
      </c>
      <c r="C14539" s="8" t="n">
        <v>31</v>
      </c>
      <c r="D14539" s="8" t="inlineStr">
        <is>
          <t>Disneyland Park</t>
        </is>
      </c>
      <c r="E14539" s="8" t="inlineStr">
        <is>
          <t>Mad Hatter's Tea Cups</t>
        </is>
      </c>
      <c r="F14539" s="8" t="inlineStr">
        <is>
          <t>STANDBY</t>
        </is>
      </c>
      <c r="G14539" s="8" t="n">
        <v>10</v>
      </c>
      <c r="H14539" s="8" t="inlineStr">
        <is>
          <t>OPERATING</t>
        </is>
      </c>
    </row>
    <row r="14540">
      <c r="A14540" s="8" t="inlineStr">
        <is>
          <t>2026-08-03</t>
        </is>
      </c>
      <c r="B14540" s="8" t="n">
        <v>12</v>
      </c>
      <c r="C14540" s="8" t="n">
        <v>31</v>
      </c>
      <c r="D14540" s="8" t="inlineStr">
        <is>
          <t>Disneyland Park</t>
        </is>
      </c>
      <c r="E14540" s="8" t="inlineStr">
        <is>
          <t>Meet Mickey Mouse</t>
        </is>
      </c>
      <c r="F14540" s="8" t="inlineStr">
        <is>
          <t>STANDBY</t>
        </is>
      </c>
      <c r="G14540" s="8" t="n">
        <v>0</v>
      </c>
      <c r="H14540" s="8" t="inlineStr">
        <is>
          <t>OPERATING</t>
        </is>
      </c>
    </row>
    <row r="14541">
      <c r="A14541" s="8" t="inlineStr">
        <is>
          <t>2026-08-03</t>
        </is>
      </c>
      <c r="B14541" s="8" t="n">
        <v>12</v>
      </c>
      <c r="C14541" s="8" t="n">
        <v>31</v>
      </c>
      <c r="D14541" s="8" t="inlineStr">
        <is>
          <t>Disneyland Park</t>
        </is>
      </c>
      <c r="E14541" s="8" t="inlineStr">
        <is>
          <t>Peter Pan's Flight</t>
        </is>
      </c>
      <c r="F14541" s="8" t="inlineStr">
        <is>
          <t>STANDBY</t>
        </is>
      </c>
      <c r="G14541" s="8" t="n">
        <v>65</v>
      </c>
      <c r="H14541" s="8" t="inlineStr">
        <is>
          <t>OPERATING</t>
        </is>
      </c>
    </row>
    <row r="14542">
      <c r="A14542" s="8" t="inlineStr">
        <is>
          <t>2026-08-03</t>
        </is>
      </c>
      <c r="B14542" s="8" t="n">
        <v>12</v>
      </c>
      <c r="C14542" s="8" t="n">
        <v>31</v>
      </c>
      <c r="D14542" s="8" t="inlineStr">
        <is>
          <t>Disneyland Park</t>
        </is>
      </c>
      <c r="E14542" s="8" t="inlineStr">
        <is>
          <t>Princess Pavilion</t>
        </is>
      </c>
      <c r="F14542" s="8" t="inlineStr">
        <is>
          <t>STANDBY</t>
        </is>
      </c>
      <c r="G14542" s="8" t="n">
        <v>0</v>
      </c>
      <c r="H14542" s="8" t="inlineStr">
        <is>
          <t>OPERATING</t>
        </is>
      </c>
    </row>
    <row r="14543">
      <c r="A14543" s="8" t="inlineStr">
        <is>
          <t>2026-08-03</t>
        </is>
      </c>
      <c r="B14543" s="8" t="n">
        <v>12</v>
      </c>
      <c r="C14543" s="8" t="n">
        <v>31</v>
      </c>
      <c r="D14543" s="8" t="inlineStr">
        <is>
          <t>Disneyland Park</t>
        </is>
      </c>
      <c r="E14543" s="8" t="inlineStr">
        <is>
          <t>Big Thunder Mountain</t>
        </is>
      </c>
      <c r="F14543" s="8" t="inlineStr">
        <is>
          <t>STANDBY</t>
        </is>
      </c>
      <c r="G14543" s="8" t="n">
        <v>60</v>
      </c>
      <c r="H14543" s="8" t="inlineStr">
        <is>
          <t>OPERATING</t>
        </is>
      </c>
    </row>
    <row r="14544">
      <c r="A14544" s="8" t="inlineStr">
        <is>
          <t>2026-08-03</t>
        </is>
      </c>
      <c r="B14544" s="8" t="n">
        <v>12</v>
      </c>
      <c r="C14544" s="8" t="n">
        <v>31</v>
      </c>
      <c r="D14544" s="8" t="inlineStr">
        <is>
          <t>Disneyland Park</t>
        </is>
      </c>
      <c r="E14544" s="8" t="inlineStr">
        <is>
          <t>Disneyland Railroad Frontierland Depot</t>
        </is>
      </c>
      <c r="F14544" s="8" t="inlineStr">
        <is>
          <t>STANDBY</t>
        </is>
      </c>
      <c r="G14544" s="8" t="n">
        <v>0</v>
      </c>
      <c r="H14544" s="8" t="inlineStr">
        <is>
          <t>CLOSED</t>
        </is>
      </c>
    </row>
    <row r="14545">
      <c r="A14545" s="8" t="inlineStr">
        <is>
          <t>2026-08-03</t>
        </is>
      </c>
      <c r="B14545" s="8" t="n">
        <v>12</v>
      </c>
      <c r="C14545" s="8" t="n">
        <v>31</v>
      </c>
      <c r="D14545" s="8" t="inlineStr">
        <is>
          <t>Disneyland Park</t>
        </is>
      </c>
      <c r="E14545" s="8" t="inlineStr">
        <is>
          <t>Frontierland Playground</t>
        </is>
      </c>
      <c r="F14545" s="8" t="inlineStr">
        <is>
          <t>STANDBY</t>
        </is>
      </c>
      <c r="G14545" s="8" t="n">
        <v>0</v>
      </c>
      <c r="H14545" s="8" t="inlineStr">
        <is>
          <t>OPERATING</t>
        </is>
      </c>
    </row>
    <row r="14546">
      <c r="A14546" s="8" t="inlineStr">
        <is>
          <t>2026-08-03</t>
        </is>
      </c>
      <c r="B14546" s="8" t="n">
        <v>12</v>
      </c>
      <c r="C14546" s="8" t="n">
        <v>31</v>
      </c>
      <c r="D14546" s="8" t="inlineStr">
        <is>
          <t>Disneyland Park</t>
        </is>
      </c>
      <c r="E14546" s="8" t="inlineStr">
        <is>
          <t>Phantom Manor</t>
        </is>
      </c>
      <c r="F14546" s="8" t="inlineStr">
        <is>
          <t>STANDBY</t>
        </is>
      </c>
      <c r="G14546" s="8" t="n">
        <v>15</v>
      </c>
      <c r="H14546" s="8" t="inlineStr">
        <is>
          <t>OPERATING</t>
        </is>
      </c>
    </row>
    <row r="14547">
      <c r="A14547" s="8" t="inlineStr">
        <is>
          <t>2026-08-03</t>
        </is>
      </c>
      <c r="B14547" s="8" t="n">
        <v>12</v>
      </c>
      <c r="C14547" s="8" t="n">
        <v>31</v>
      </c>
      <c r="D14547" s="8" t="inlineStr">
        <is>
          <t>Disneyland Park</t>
        </is>
      </c>
      <c r="E14547" s="8" t="inlineStr">
        <is>
          <t>River Rogue Keelboats</t>
        </is>
      </c>
      <c r="F14547" s="8" t="inlineStr">
        <is>
          <t>STANDBY</t>
        </is>
      </c>
      <c r="G14547" s="8" t="n">
        <v>0</v>
      </c>
      <c r="H14547" s="8" t="inlineStr">
        <is>
          <t>CLOSED</t>
        </is>
      </c>
    </row>
    <row r="14548">
      <c r="A14548" s="8" t="inlineStr">
        <is>
          <t>2026-08-03</t>
        </is>
      </c>
      <c r="B14548" s="8" t="n">
        <v>12</v>
      </c>
      <c r="C14548" s="8" t="n">
        <v>31</v>
      </c>
      <c r="D14548" s="8" t="inlineStr">
        <is>
          <t>Disneyland Park</t>
        </is>
      </c>
      <c r="E14548" s="8" t="inlineStr">
        <is>
          <t>Rustler Roundup Shootin' Gallery</t>
        </is>
      </c>
      <c r="F14548" s="8" t="inlineStr">
        <is>
          <t>STANDBY</t>
        </is>
      </c>
      <c r="G14548" s="8" t="n">
        <v>0</v>
      </c>
      <c r="H14548" s="8" t="inlineStr">
        <is>
          <t>OPERATING</t>
        </is>
      </c>
    </row>
    <row r="14549">
      <c r="A14549" s="8" t="inlineStr">
        <is>
          <t>2026-08-03</t>
        </is>
      </c>
      <c r="B14549" s="8" t="n">
        <v>12</v>
      </c>
      <c r="C14549" s="8" t="n">
        <v>31</v>
      </c>
      <c r="D14549" s="8" t="inlineStr">
        <is>
          <t>Disneyland Park</t>
        </is>
      </c>
      <c r="E14549" s="8" t="inlineStr">
        <is>
          <t>Thunder Mesa Riverboat Landing</t>
        </is>
      </c>
      <c r="F14549" s="8" t="inlineStr">
        <is>
          <t>STANDBY</t>
        </is>
      </c>
      <c r="G14549" s="8" t="n">
        <v>20</v>
      </c>
      <c r="H14549" s="8" t="inlineStr">
        <is>
          <t>OPERATING</t>
        </is>
      </c>
    </row>
    <row r="14550">
      <c r="A14550" s="8" t="inlineStr">
        <is>
          <t>2026-08-03</t>
        </is>
      </c>
      <c r="B14550" s="8" t="n">
        <v>12</v>
      </c>
      <c r="C14550" s="8" t="n">
        <v>31</v>
      </c>
      <c r="D14550" s="8" t="inlineStr">
        <is>
          <t>Disneyland Park</t>
        </is>
      </c>
      <c r="E14550" s="8" t="inlineStr">
        <is>
          <t>Disneyland Railroad Main Street Station</t>
        </is>
      </c>
      <c r="F14550" s="8" t="inlineStr">
        <is>
          <t>STANDBY</t>
        </is>
      </c>
      <c r="G14550" s="8" t="n">
        <v>0</v>
      </c>
      <c r="H14550" s="8" t="inlineStr">
        <is>
          <t>CLOSED</t>
        </is>
      </c>
    </row>
    <row r="14551">
      <c r="A14551" s="8" t="inlineStr">
        <is>
          <t>2026-08-03</t>
        </is>
      </c>
      <c r="B14551" s="8" t="n">
        <v>12</v>
      </c>
      <c r="C14551" s="8" t="n">
        <v>31</v>
      </c>
      <c r="D14551" s="8" t="inlineStr">
        <is>
          <t>Disneyland Park</t>
        </is>
      </c>
      <c r="E14551" s="8" t="inlineStr">
        <is>
          <t>Main Street Vehicles</t>
        </is>
      </c>
      <c r="F14551" s="8" t="inlineStr">
        <is>
          <t>STANDBY</t>
        </is>
      </c>
      <c r="G14551" s="8" t="n">
        <v>5</v>
      </c>
      <c r="H14551" s="8" t="inlineStr">
        <is>
          <t>OPERATING</t>
        </is>
      </c>
    </row>
    <row r="14552">
      <c r="A14552" s="8" t="inlineStr">
        <is>
          <t>2026-08-03</t>
        </is>
      </c>
      <c r="B14552" s="8" t="n">
        <v>12</v>
      </c>
      <c r="C14552" s="8" t="n">
        <v>31</v>
      </c>
      <c r="D14552" s="8" t="inlineStr">
        <is>
          <t>Disney Adventure World</t>
        </is>
      </c>
      <c r="E14552" s="8" t="inlineStr">
        <is>
          <t>Avengers Assemble: Flight Force</t>
        </is>
      </c>
      <c r="F14552" s="8" t="inlineStr">
        <is>
          <t>STANDBY</t>
        </is>
      </c>
      <c r="G14552" s="8" t="n">
        <v>20</v>
      </c>
      <c r="H14552" s="8" t="inlineStr">
        <is>
          <t>OPERATING</t>
        </is>
      </c>
    </row>
    <row r="14553">
      <c r="A14553" s="8" t="inlineStr">
        <is>
          <t>2026-08-03</t>
        </is>
      </c>
      <c r="B14553" s="8" t="n">
        <v>12</v>
      </c>
      <c r="C14553" s="8" t="n">
        <v>31</v>
      </c>
      <c r="D14553" s="8" t="inlineStr">
        <is>
          <t>Disney Adventure World</t>
        </is>
      </c>
      <c r="E14553" s="8" t="inlineStr">
        <is>
          <t>Avengers Assemble: Flight Force Single Rider</t>
        </is>
      </c>
      <c r="F14553" s="8" t="inlineStr">
        <is>
          <t>STANDBY</t>
        </is>
      </c>
      <c r="G14553" s="8" t="n">
        <v>15</v>
      </c>
      <c r="H14553" s="8" t="inlineStr">
        <is>
          <t>OPERATING</t>
        </is>
      </c>
    </row>
    <row r="14554">
      <c r="A14554" s="8" t="inlineStr">
        <is>
          <t>2026-08-03</t>
        </is>
      </c>
      <c r="B14554" s="8" t="n">
        <v>12</v>
      </c>
      <c r="C14554" s="8" t="n">
        <v>31</v>
      </c>
      <c r="D14554" s="8" t="inlineStr">
        <is>
          <t>Disney Adventure World</t>
        </is>
      </c>
      <c r="E14554" s="8" t="inlineStr">
        <is>
          <t>Spider-Man W.E.B. Adventure</t>
        </is>
      </c>
      <c r="F14554" s="8" t="inlineStr">
        <is>
          <t>STANDBY</t>
        </is>
      </c>
      <c r="G14554" s="8" t="n">
        <v>50</v>
      </c>
      <c r="H14554" s="8" t="inlineStr">
        <is>
          <t>OPERATING</t>
        </is>
      </c>
    </row>
    <row r="14555">
      <c r="A14555" s="8" t="inlineStr">
        <is>
          <t>2026-08-03</t>
        </is>
      </c>
      <c r="B14555" s="8" t="n">
        <v>12</v>
      </c>
      <c r="C14555" s="8" t="n">
        <v>31</v>
      </c>
      <c r="D14555" s="8" t="inlineStr">
        <is>
          <t>Disney Adventure World</t>
        </is>
      </c>
      <c r="E14555" s="8" t="inlineStr">
        <is>
          <t>Spider-Man W.E.B. Adventure Single Rider</t>
        </is>
      </c>
      <c r="F14555" s="8" t="inlineStr">
        <is>
          <t>STANDBY</t>
        </is>
      </c>
      <c r="G14555" s="8" t="n">
        <v>15</v>
      </c>
      <c r="H14555" s="8" t="inlineStr">
        <is>
          <t>OPERATING</t>
        </is>
      </c>
    </row>
    <row r="14556">
      <c r="A14556" s="8" t="inlineStr">
        <is>
          <t>2026-08-03</t>
        </is>
      </c>
      <c r="B14556" s="8" t="n">
        <v>12</v>
      </c>
      <c r="C14556" s="8" t="n">
        <v>31</v>
      </c>
      <c r="D14556" s="8" t="inlineStr">
        <is>
          <t>Disney Adventure World</t>
        </is>
      </c>
      <c r="E14556" s="8" t="inlineStr">
        <is>
          <t>The Twilight Zone Tower of Terror</t>
        </is>
      </c>
      <c r="F14556" s="8" t="inlineStr">
        <is>
          <t>STANDBY</t>
        </is>
      </c>
      <c r="G14556" s="8" t="n">
        <v>30</v>
      </c>
      <c r="H14556" s="8" t="inlineStr">
        <is>
          <t>OPERATING</t>
        </is>
      </c>
    </row>
    <row r="14557">
      <c r="A14557" s="8" t="inlineStr">
        <is>
          <t>2026-08-03</t>
        </is>
      </c>
      <c r="B14557" s="8" t="n">
        <v>12</v>
      </c>
      <c r="C14557" s="8" t="n">
        <v>31</v>
      </c>
      <c r="D14557" s="8" t="inlineStr">
        <is>
          <t>Disney Adventure World</t>
        </is>
      </c>
      <c r="E14557" s="8" t="inlineStr">
        <is>
          <t>Cars Quatre Roues Rallye</t>
        </is>
      </c>
      <c r="F14557" s="8" t="inlineStr">
        <is>
          <t>STANDBY</t>
        </is>
      </c>
      <c r="G14557" s="8" t="n">
        <v>10</v>
      </c>
      <c r="H14557" s="8" t="inlineStr">
        <is>
          <t>OPERATING</t>
        </is>
      </c>
    </row>
    <row r="14558">
      <c r="A14558" s="8" t="inlineStr">
        <is>
          <t>2026-08-03</t>
        </is>
      </c>
      <c r="B14558" s="8" t="n">
        <v>12</v>
      </c>
      <c r="C14558" s="8" t="n">
        <v>31</v>
      </c>
      <c r="D14558" s="8" t="inlineStr">
        <is>
          <t>Disney Adventure World</t>
        </is>
      </c>
      <c r="E14558" s="8" t="inlineStr">
        <is>
          <t>Cars ROAD TRIP</t>
        </is>
      </c>
      <c r="F14558" s="8" t="inlineStr">
        <is>
          <t>STANDBY</t>
        </is>
      </c>
      <c r="G14558" s="8" t="n">
        <v>20</v>
      </c>
      <c r="H14558" s="8" t="inlineStr">
        <is>
          <t>OPERATING</t>
        </is>
      </c>
    </row>
    <row r="14559">
      <c r="A14559" s="8" t="inlineStr">
        <is>
          <t>2026-08-03</t>
        </is>
      </c>
      <c r="B14559" s="8" t="n">
        <v>12</v>
      </c>
      <c r="C14559" s="8" t="n">
        <v>31</v>
      </c>
      <c r="D14559" s="8" t="inlineStr">
        <is>
          <t>Disney Adventure World</t>
        </is>
      </c>
      <c r="E14559" s="8" t="inlineStr">
        <is>
          <t>Crush's Coaster</t>
        </is>
      </c>
      <c r="F14559" s="8" t="inlineStr">
        <is>
          <t>STANDBY</t>
        </is>
      </c>
      <c r="G14559" s="8" t="n">
        <v>65</v>
      </c>
      <c r="H14559" s="8" t="inlineStr">
        <is>
          <t>OPERATING</t>
        </is>
      </c>
    </row>
    <row r="14560">
      <c r="A14560" s="8" t="inlineStr">
        <is>
          <t>2026-08-03</t>
        </is>
      </c>
      <c r="B14560" s="8" t="n">
        <v>12</v>
      </c>
      <c r="C14560" s="8" t="n">
        <v>31</v>
      </c>
      <c r="D14560" s="8" t="inlineStr">
        <is>
          <t>Disney Adventure World</t>
        </is>
      </c>
      <c r="E14560" s="8" t="inlineStr">
        <is>
          <t>Crush's Coaster Single Rider</t>
        </is>
      </c>
      <c r="F14560" s="8" t="inlineStr">
        <is>
          <t>STANDBY</t>
        </is>
      </c>
      <c r="G14560" s="8" t="n">
        <v>55</v>
      </c>
      <c r="H14560" s="8" t="inlineStr">
        <is>
          <t>OPERATING</t>
        </is>
      </c>
    </row>
    <row r="14561">
      <c r="A14561" s="8" t="inlineStr">
        <is>
          <t>2026-08-03</t>
        </is>
      </c>
      <c r="B14561" s="8" t="n">
        <v>12</v>
      </c>
      <c r="C14561" s="8" t="n">
        <v>31</v>
      </c>
      <c r="D14561" s="8" t="inlineStr">
        <is>
          <t>Disney Adventure World</t>
        </is>
      </c>
      <c r="E14561" s="8" t="inlineStr">
        <is>
          <t>Les Tapis Volants - Flying Carpets Over Agrabah®</t>
        </is>
      </c>
      <c r="F14561" s="8" t="inlineStr">
        <is>
          <t>STANDBY</t>
        </is>
      </c>
      <c r="G14561" s="8" t="n">
        <v>5</v>
      </c>
      <c r="H14561" s="8" t="inlineStr">
        <is>
          <t>OPERATING</t>
        </is>
      </c>
    </row>
    <row r="14562">
      <c r="A14562" s="8" t="inlineStr">
        <is>
          <t>2026-08-03</t>
        </is>
      </c>
      <c r="B14562" s="8" t="n">
        <v>12</v>
      </c>
      <c r="C14562" s="8" t="n">
        <v>31</v>
      </c>
      <c r="D14562" s="8" t="inlineStr">
        <is>
          <t>Disney Adventure World</t>
        </is>
      </c>
      <c r="E14562" s="8" t="inlineStr">
        <is>
          <t>Ratatouille : L’Aventure Totalement Toquée de Rémy​</t>
        </is>
      </c>
      <c r="F14562" s="8" t="inlineStr">
        <is>
          <t>STANDBY</t>
        </is>
      </c>
      <c r="G14562" s="8" t="n">
        <v>15</v>
      </c>
      <c r="H14562" s="8" t="inlineStr">
        <is>
          <t>OPERATING</t>
        </is>
      </c>
    </row>
    <row r="14563">
      <c r="A14563" s="8" t="inlineStr">
        <is>
          <t>2026-08-03</t>
        </is>
      </c>
      <c r="B14563" s="8" t="n">
        <v>12</v>
      </c>
      <c r="C14563" s="8" t="n">
        <v>31</v>
      </c>
      <c r="D14563" s="8" t="inlineStr">
        <is>
          <t>Disney Adventure World</t>
        </is>
      </c>
      <c r="E14563" s="8" t="inlineStr">
        <is>
          <t>Ratatouille: The Adventure Single Rider</t>
        </is>
      </c>
      <c r="F14563" s="8" t="inlineStr">
        <is>
          <t>STANDBY</t>
        </is>
      </c>
      <c r="G14563" s="8" t="n">
        <v>5</v>
      </c>
      <c r="H14563" s="8" t="inlineStr">
        <is>
          <t>OPERATING</t>
        </is>
      </c>
    </row>
    <row r="14564">
      <c r="A14564" s="8" t="inlineStr">
        <is>
          <t>2026-08-03</t>
        </is>
      </c>
      <c r="B14564" s="8" t="n">
        <v>12</v>
      </c>
      <c r="C14564" s="8" t="n">
        <v>31</v>
      </c>
      <c r="D14564" s="8" t="inlineStr">
        <is>
          <t>Disney Adventure World</t>
        </is>
      </c>
      <c r="E14564" s="8" t="inlineStr">
        <is>
          <t>RC Racer</t>
        </is>
      </c>
      <c r="F14564" s="8" t="inlineStr">
        <is>
          <t>STANDBY</t>
        </is>
      </c>
      <c r="G14564" s="8" t="n">
        <v>45</v>
      </c>
      <c r="H14564" s="8" t="inlineStr">
        <is>
          <t>OPERATING</t>
        </is>
      </c>
    </row>
    <row r="14565">
      <c r="A14565" s="8" t="inlineStr">
        <is>
          <t>2026-08-03</t>
        </is>
      </c>
      <c r="B14565" s="8" t="n">
        <v>12</v>
      </c>
      <c r="C14565" s="8" t="n">
        <v>31</v>
      </c>
      <c r="D14565" s="8" t="inlineStr">
        <is>
          <t>Disney Adventure World</t>
        </is>
      </c>
      <c r="E14565" s="8" t="inlineStr">
        <is>
          <t>RC Racer Single Rider</t>
        </is>
      </c>
      <c r="F14565" s="8" t="inlineStr">
        <is>
          <t>STANDBY</t>
        </is>
      </c>
      <c r="G14565" s="8" t="n">
        <v>35</v>
      </c>
      <c r="H14565" s="8" t="inlineStr">
        <is>
          <t>OPERATING</t>
        </is>
      </c>
    </row>
    <row r="14566">
      <c r="A14566" s="8" t="inlineStr">
        <is>
          <t>2026-08-03</t>
        </is>
      </c>
      <c r="B14566" s="8" t="n">
        <v>12</v>
      </c>
      <c r="C14566" s="8" t="n">
        <v>31</v>
      </c>
      <c r="D14566" s="8" t="inlineStr">
        <is>
          <t>Disney Adventure World</t>
        </is>
      </c>
      <c r="E14566" s="8" t="inlineStr">
        <is>
          <t>Slinky® Dog Zigzag Spin</t>
        </is>
      </c>
      <c r="F14566" s="8" t="inlineStr">
        <is>
          <t>STANDBY</t>
        </is>
      </c>
      <c r="G14566" s="8" t="n">
        <v>20</v>
      </c>
      <c r="H14566" s="8" t="inlineStr">
        <is>
          <t>OPERATING</t>
        </is>
      </c>
    </row>
    <row r="14567">
      <c r="A14567" s="8" t="inlineStr">
        <is>
          <t>2026-08-03</t>
        </is>
      </c>
      <c r="B14567" s="8" t="n">
        <v>12</v>
      </c>
      <c r="C14567" s="8" t="n">
        <v>31</v>
      </c>
      <c r="D14567" s="8" t="inlineStr">
        <is>
          <t>Disney Adventure World</t>
        </is>
      </c>
      <c r="E14567" s="8" t="inlineStr">
        <is>
          <t>Toy Soldiers Parachute Drop</t>
        </is>
      </c>
      <c r="F14567" s="8" t="inlineStr">
        <is>
          <t>STANDBY</t>
        </is>
      </c>
      <c r="G14567" s="8" t="n">
        <v>45</v>
      </c>
      <c r="H14567" s="8" t="inlineStr">
        <is>
          <t>OPERATING</t>
        </is>
      </c>
    </row>
    <row r="14568">
      <c r="A14568" s="8" t="inlineStr">
        <is>
          <t>2026-08-03</t>
        </is>
      </c>
      <c r="B14568" s="8" t="n">
        <v>12</v>
      </c>
      <c r="C14568" s="8" t="n">
        <v>31</v>
      </c>
      <c r="D14568" s="8" t="inlineStr">
        <is>
          <t>Disney Adventure World</t>
        </is>
      </c>
      <c r="E14568" s="8" t="inlineStr">
        <is>
          <t>Toy Soldiers Parachute Drop Single Rider</t>
        </is>
      </c>
      <c r="F14568" s="8" t="inlineStr">
        <is>
          <t>STANDBY</t>
        </is>
      </c>
      <c r="G14568" s="8" t="n">
        <v>10</v>
      </c>
      <c r="H14568" s="8" t="inlineStr">
        <is>
          <t>OPERATING</t>
        </is>
      </c>
    </row>
    <row r="14569">
      <c r="A14569" s="8" t="inlineStr">
        <is>
          <t>2026-08-03</t>
        </is>
      </c>
      <c r="B14569" s="8" t="n">
        <v>12</v>
      </c>
      <c r="C14569" s="8" t="n">
        <v>31</v>
      </c>
      <c r="D14569" s="8" t="inlineStr">
        <is>
          <t>Disney Adventure World</t>
        </is>
      </c>
      <c r="E14569" s="8" t="inlineStr">
        <is>
          <t>Entry to World of Frozen</t>
        </is>
      </c>
      <c r="F14569" s="8" t="inlineStr">
        <is>
          <t>STANDBY</t>
        </is>
      </c>
      <c r="G14569" s="8" t="n">
        <v>0</v>
      </c>
      <c r="H14569" s="8" t="inlineStr">
        <is>
          <t>OPERATING</t>
        </is>
      </c>
    </row>
    <row r="14570">
      <c r="A14570" s="8" t="inlineStr">
        <is>
          <t>2026-08-03</t>
        </is>
      </c>
      <c r="B14570" s="8" t="n">
        <v>12</v>
      </c>
      <c r="C14570" s="8" t="n">
        <v>31</v>
      </c>
      <c r="D14570" s="8" t="inlineStr">
        <is>
          <t>Disney Adventure World</t>
        </is>
      </c>
      <c r="E14570" s="8" t="inlineStr">
        <is>
          <t>Frozen Ever After</t>
        </is>
      </c>
      <c r="F14570" s="8" t="inlineStr">
        <is>
          <t>STANDBY</t>
        </is>
      </c>
      <c r="G14570" s="8" t="n">
        <v>70</v>
      </c>
      <c r="H14570" s="8" t="inlineStr">
        <is>
          <t>OPERATING</t>
        </is>
      </c>
    </row>
    <row r="14571">
      <c r="A14571" s="8" t="inlineStr">
        <is>
          <t>2026-08-03</t>
        </is>
      </c>
      <c r="B14571" s="8" t="n">
        <v>12</v>
      </c>
      <c r="C14571" s="8" t="n">
        <v>31</v>
      </c>
      <c r="D14571" s="8" t="inlineStr">
        <is>
          <t>Disney Adventure World</t>
        </is>
      </c>
      <c r="E14571" s="8" t="inlineStr">
        <is>
          <t>Raiponce Tangled Spin</t>
        </is>
      </c>
      <c r="F14571" s="8" t="inlineStr">
        <is>
          <t>STANDBY</t>
        </is>
      </c>
      <c r="G14571" s="8" t="n">
        <v>5</v>
      </c>
      <c r="H14571" s="8" t="inlineStr">
        <is>
          <t>OPERATING</t>
        </is>
      </c>
    </row>
    <row r="14572">
      <c r="A14572" s="8" t="inlineStr">
        <is>
          <t>2026-08-03</t>
        </is>
      </c>
      <c r="B14572" s="8" t="n">
        <v>12</v>
      </c>
      <c r="C14572" s="8" t="n">
        <v>45</v>
      </c>
      <c r="D14572" s="8" t="inlineStr">
        <is>
          <t>Disneyland Park</t>
        </is>
      </c>
      <c r="E14572" s="8" t="inlineStr">
        <is>
          <t>Adventure Isle</t>
        </is>
      </c>
      <c r="F14572" s="8" t="inlineStr">
        <is>
          <t>STANDBY</t>
        </is>
      </c>
      <c r="G14572" s="8" t="n">
        <v>0</v>
      </c>
      <c r="H14572" s="8" t="inlineStr">
        <is>
          <t>OPERATING</t>
        </is>
      </c>
    </row>
    <row r="14573">
      <c r="A14573" s="8" t="inlineStr">
        <is>
          <t>2026-08-03</t>
        </is>
      </c>
      <c r="B14573" s="8" t="n">
        <v>12</v>
      </c>
      <c r="C14573" s="8" t="n">
        <v>45</v>
      </c>
      <c r="D14573" s="8" t="inlineStr">
        <is>
          <t>Disneyland Park</t>
        </is>
      </c>
      <c r="E14573" s="8" t="inlineStr">
        <is>
          <t>Indiana Jones and the Temple of Peril Single Rider</t>
        </is>
      </c>
      <c r="F14573" s="8" t="inlineStr">
        <is>
          <t>STANDBY</t>
        </is>
      </c>
      <c r="G14573" s="8" t="n">
        <v>10</v>
      </c>
      <c r="H14573" s="8" t="inlineStr">
        <is>
          <t>OPERATING</t>
        </is>
      </c>
    </row>
    <row r="14574">
      <c r="A14574" s="8" t="inlineStr">
        <is>
          <t>2026-08-03</t>
        </is>
      </c>
      <c r="B14574" s="8" t="n">
        <v>12</v>
      </c>
      <c r="C14574" s="8" t="n">
        <v>45</v>
      </c>
      <c r="D14574" s="8" t="inlineStr">
        <is>
          <t>Disneyland Park</t>
        </is>
      </c>
      <c r="E14574" s="8" t="inlineStr">
        <is>
          <t>Indiana Jones™ and the Temple of Peril</t>
        </is>
      </c>
      <c r="F14574" s="8" t="inlineStr">
        <is>
          <t>STANDBY</t>
        </is>
      </c>
      <c r="G14574" s="8" t="n">
        <v>20</v>
      </c>
      <c r="H14574" s="8" t="inlineStr">
        <is>
          <t>OPERATING</t>
        </is>
      </c>
    </row>
    <row r="14575">
      <c r="A14575" s="8" t="inlineStr">
        <is>
          <t>2026-08-03</t>
        </is>
      </c>
      <c r="B14575" s="8" t="n">
        <v>12</v>
      </c>
      <c r="C14575" s="8" t="n">
        <v>45</v>
      </c>
      <c r="D14575" s="8" t="inlineStr">
        <is>
          <t>Disneyland Park</t>
        </is>
      </c>
      <c r="E14575" s="8" t="inlineStr">
        <is>
          <t>La Cabane des Robinson</t>
        </is>
      </c>
      <c r="F14575" s="8" t="inlineStr">
        <is>
          <t>STANDBY</t>
        </is>
      </c>
      <c r="G14575" s="8" t="n">
        <v>5</v>
      </c>
      <c r="H14575" s="8" t="inlineStr">
        <is>
          <t>OPERATING</t>
        </is>
      </c>
    </row>
    <row r="14576">
      <c r="A14576" s="8" t="inlineStr">
        <is>
          <t>2026-08-03</t>
        </is>
      </c>
      <c r="B14576" s="8" t="n">
        <v>12</v>
      </c>
      <c r="C14576" s="8" t="n">
        <v>45</v>
      </c>
      <c r="D14576" s="8" t="inlineStr">
        <is>
          <t>Disneyland Park</t>
        </is>
      </c>
      <c r="E14576" s="8" t="inlineStr">
        <is>
          <t>Le Passage Enchanté d'Aladdin</t>
        </is>
      </c>
      <c r="F14576" s="8" t="inlineStr">
        <is>
          <t>STANDBY</t>
        </is>
      </c>
      <c r="G14576" s="8" t="n">
        <v>0</v>
      </c>
      <c r="H14576" s="8" t="inlineStr">
        <is>
          <t>OPERATING</t>
        </is>
      </c>
    </row>
    <row r="14577">
      <c r="A14577" s="8" t="inlineStr">
        <is>
          <t>2026-08-03</t>
        </is>
      </c>
      <c r="B14577" s="8" t="n">
        <v>12</v>
      </c>
      <c r="C14577" s="8" t="n">
        <v>45</v>
      </c>
      <c r="D14577" s="8" t="inlineStr">
        <is>
          <t>Disneyland Park</t>
        </is>
      </c>
      <c r="E14577" s="8" t="inlineStr">
        <is>
          <t>Pirate Galleon</t>
        </is>
      </c>
      <c r="F14577" s="8" t="inlineStr">
        <is>
          <t>STANDBY</t>
        </is>
      </c>
      <c r="G14577" s="8" t="n">
        <v>0</v>
      </c>
      <c r="H14577" s="8" t="inlineStr">
        <is>
          <t>CLOSED</t>
        </is>
      </c>
    </row>
    <row r="14578">
      <c r="A14578" s="8" t="inlineStr">
        <is>
          <t>2026-08-03</t>
        </is>
      </c>
      <c r="B14578" s="8" t="n">
        <v>12</v>
      </c>
      <c r="C14578" s="8" t="n">
        <v>45</v>
      </c>
      <c r="D14578" s="8" t="inlineStr">
        <is>
          <t>Disneyland Park</t>
        </is>
      </c>
      <c r="E14578" s="8" t="inlineStr">
        <is>
          <t>Pirates of the Caribbean</t>
        </is>
      </c>
      <c r="F14578" s="8" t="inlineStr">
        <is>
          <t>STANDBY</t>
        </is>
      </c>
      <c r="G14578" s="8" t="n">
        <v>25</v>
      </c>
      <c r="H14578" s="8" t="inlineStr">
        <is>
          <t>OPERATING</t>
        </is>
      </c>
    </row>
    <row r="14579">
      <c r="A14579" s="8" t="inlineStr">
        <is>
          <t>2026-08-03</t>
        </is>
      </c>
      <c r="B14579" s="8" t="n">
        <v>12</v>
      </c>
      <c r="C14579" s="8" t="n">
        <v>45</v>
      </c>
      <c r="D14579" s="8" t="inlineStr">
        <is>
          <t>Disneyland Park</t>
        </is>
      </c>
      <c r="E14579" s="8" t="inlineStr">
        <is>
          <t>Pirates' Beach</t>
        </is>
      </c>
      <c r="F14579" s="8" t="inlineStr">
        <is>
          <t>STANDBY</t>
        </is>
      </c>
      <c r="G14579" s="8" t="n">
        <v>0</v>
      </c>
      <c r="H14579" s="8" t="inlineStr">
        <is>
          <t>OPERATING</t>
        </is>
      </c>
    </row>
    <row r="14580">
      <c r="A14580" s="8" t="inlineStr">
        <is>
          <t>2026-08-03</t>
        </is>
      </c>
      <c r="B14580" s="8" t="n">
        <v>12</v>
      </c>
      <c r="C14580" s="8" t="n">
        <v>45</v>
      </c>
      <c r="D14580" s="8" t="inlineStr">
        <is>
          <t>Disneyland Park</t>
        </is>
      </c>
      <c r="E14580" s="8" t="inlineStr">
        <is>
          <t>Autopia, presented by Avis</t>
        </is>
      </c>
      <c r="F14580" s="8" t="inlineStr">
        <is>
          <t>STANDBY</t>
        </is>
      </c>
      <c r="G14580" s="8" t="n">
        <v>0</v>
      </c>
      <c r="H14580" s="8" t="inlineStr">
        <is>
          <t>CLOSED</t>
        </is>
      </c>
    </row>
    <row r="14581">
      <c r="A14581" s="8" t="inlineStr">
        <is>
          <t>2026-08-03</t>
        </is>
      </c>
      <c r="B14581" s="8" t="n">
        <v>12</v>
      </c>
      <c r="C14581" s="8" t="n">
        <v>45</v>
      </c>
      <c r="D14581" s="8" t="inlineStr">
        <is>
          <t>Disneyland Park</t>
        </is>
      </c>
      <c r="E14581" s="8" t="inlineStr">
        <is>
          <t>Buzz Lightyear Laser Blast</t>
        </is>
      </c>
      <c r="F14581" s="8" t="inlineStr">
        <is>
          <t>STANDBY</t>
        </is>
      </c>
      <c r="G14581" s="8" t="n">
        <v>45</v>
      </c>
      <c r="H14581" s="8" t="inlineStr">
        <is>
          <t>OPERATING</t>
        </is>
      </c>
    </row>
    <row r="14582">
      <c r="A14582" s="8" t="inlineStr">
        <is>
          <t>2026-08-03</t>
        </is>
      </c>
      <c r="B14582" s="8" t="n">
        <v>12</v>
      </c>
      <c r="C14582" s="8" t="n">
        <v>45</v>
      </c>
      <c r="D14582" s="8" t="inlineStr">
        <is>
          <t>Disneyland Park</t>
        </is>
      </c>
      <c r="E14582" s="8" t="inlineStr">
        <is>
          <t>Disneyland Railroad Discoveryland Station</t>
        </is>
      </c>
      <c r="F14582" s="8" t="inlineStr">
        <is>
          <t>STANDBY</t>
        </is>
      </c>
      <c r="G14582" s="8" t="n">
        <v>0</v>
      </c>
      <c r="H14582" s="8" t="inlineStr">
        <is>
          <t>CLOSED</t>
        </is>
      </c>
    </row>
    <row r="14583">
      <c r="A14583" s="8" t="inlineStr">
        <is>
          <t>2026-08-03</t>
        </is>
      </c>
      <c r="B14583" s="8" t="n">
        <v>12</v>
      </c>
      <c r="C14583" s="8" t="n">
        <v>45</v>
      </c>
      <c r="D14583" s="8" t="inlineStr">
        <is>
          <t>Disneyland Park</t>
        </is>
      </c>
      <c r="E14583" s="8" t="inlineStr">
        <is>
          <t>Les Mystères du Nautilus</t>
        </is>
      </c>
      <c r="F14583" s="8" t="inlineStr">
        <is>
          <t>STANDBY</t>
        </is>
      </c>
      <c r="G14583" s="8" t="n">
        <v>5</v>
      </c>
      <c r="H14583" s="8" t="inlineStr">
        <is>
          <t>OPERATING</t>
        </is>
      </c>
    </row>
    <row r="14584">
      <c r="A14584" s="8" t="inlineStr">
        <is>
          <t>2026-08-03</t>
        </is>
      </c>
      <c r="B14584" s="8" t="n">
        <v>12</v>
      </c>
      <c r="C14584" s="8" t="n">
        <v>45</v>
      </c>
      <c r="D14584" s="8" t="inlineStr">
        <is>
          <t>Disneyland Park</t>
        </is>
      </c>
      <c r="E14584" s="8" t="inlineStr">
        <is>
          <t>Mickey’s PhilharMagic</t>
        </is>
      </c>
      <c r="F14584" s="8" t="inlineStr">
        <is>
          <t>STANDBY</t>
        </is>
      </c>
      <c r="G14584" s="8" t="n">
        <v>0</v>
      </c>
      <c r="H14584" s="8" t="inlineStr">
        <is>
          <t>OPERATING</t>
        </is>
      </c>
    </row>
    <row r="14585">
      <c r="A14585" s="8" t="inlineStr">
        <is>
          <t>2026-08-03</t>
        </is>
      </c>
      <c r="B14585" s="8" t="n">
        <v>12</v>
      </c>
      <c r="C14585" s="8" t="n">
        <v>45</v>
      </c>
      <c r="D14585" s="8" t="inlineStr">
        <is>
          <t>Disneyland Park</t>
        </is>
      </c>
      <c r="E14585" s="8" t="inlineStr">
        <is>
          <t>Orbitron®</t>
        </is>
      </c>
      <c r="F14585" s="8" t="inlineStr">
        <is>
          <t>STANDBY</t>
        </is>
      </c>
      <c r="G14585" s="8" t="n">
        <v>45</v>
      </c>
      <c r="H14585" s="8" t="inlineStr">
        <is>
          <t>OPERATING</t>
        </is>
      </c>
    </row>
    <row r="14586">
      <c r="A14586" s="8" t="inlineStr">
        <is>
          <t>2026-08-03</t>
        </is>
      </c>
      <c r="B14586" s="8" t="n">
        <v>12</v>
      </c>
      <c r="C14586" s="8" t="n">
        <v>45</v>
      </c>
      <c r="D14586" s="8" t="inlineStr">
        <is>
          <t>Disneyland Park</t>
        </is>
      </c>
      <c r="E14586" s="8" t="inlineStr">
        <is>
          <t>Star Tours: The Adventures Continue*</t>
        </is>
      </c>
      <c r="F14586" s="8" t="inlineStr">
        <is>
          <t>STANDBY</t>
        </is>
      </c>
      <c r="G14586" s="8" t="n">
        <v>15</v>
      </c>
      <c r="H14586" s="8" t="inlineStr">
        <is>
          <t>OPERATING</t>
        </is>
      </c>
    </row>
    <row r="14587">
      <c r="A14587" s="8" t="inlineStr">
        <is>
          <t>2026-08-03</t>
        </is>
      </c>
      <c r="B14587" s="8" t="n">
        <v>12</v>
      </c>
      <c r="C14587" s="8" t="n">
        <v>45</v>
      </c>
      <c r="D14587" s="8" t="inlineStr">
        <is>
          <t>Disneyland Park</t>
        </is>
      </c>
      <c r="E14587" s="8" t="inlineStr">
        <is>
          <t>Star Wars Hyperspace Mountain</t>
        </is>
      </c>
      <c r="F14587" s="8" t="inlineStr">
        <is>
          <t>STANDBY</t>
        </is>
      </c>
      <c r="G14587" s="8" t="n">
        <v>30</v>
      </c>
      <c r="H14587" s="8" t="inlineStr">
        <is>
          <t>OPERATING</t>
        </is>
      </c>
    </row>
    <row r="14588">
      <c r="A14588" s="8" t="inlineStr">
        <is>
          <t>2026-08-03</t>
        </is>
      </c>
      <c r="B14588" s="8" t="n">
        <v>12</v>
      </c>
      <c r="C14588" s="8" t="n">
        <v>45</v>
      </c>
      <c r="D14588" s="8" t="inlineStr">
        <is>
          <t>Disneyland Park</t>
        </is>
      </c>
      <c r="E14588" s="8" t="inlineStr">
        <is>
          <t>Star Wars Hyperspace Mountain Single Rider</t>
        </is>
      </c>
      <c r="F14588" s="8" t="inlineStr">
        <is>
          <t>STANDBY</t>
        </is>
      </c>
      <c r="G14588" s="8" t="n">
        <v>25</v>
      </c>
      <c r="H14588" s="8" t="inlineStr">
        <is>
          <t>OPERATING</t>
        </is>
      </c>
    </row>
    <row r="14589">
      <c r="A14589" s="8" t="inlineStr">
        <is>
          <t>2026-08-03</t>
        </is>
      </c>
      <c r="B14589" s="8" t="n">
        <v>12</v>
      </c>
      <c r="C14589" s="8" t="n">
        <v>45</v>
      </c>
      <c r="D14589" s="8" t="inlineStr">
        <is>
          <t>Disneyland Park</t>
        </is>
      </c>
      <c r="E14589" s="8" t="inlineStr">
        <is>
          <t>Welcome to Starport: A Star Wars Encounter</t>
        </is>
      </c>
      <c r="F14589" s="8" t="inlineStr">
        <is>
          <t>STANDBY</t>
        </is>
      </c>
      <c r="G14589" s="8" t="n">
        <v>20</v>
      </c>
      <c r="H14589" s="8" t="inlineStr">
        <is>
          <t>OPERATING</t>
        </is>
      </c>
    </row>
    <row r="14590">
      <c r="A14590" s="8" t="inlineStr">
        <is>
          <t>2026-08-03</t>
        </is>
      </c>
      <c r="B14590" s="8" t="n">
        <v>12</v>
      </c>
      <c r="C14590" s="8" t="n">
        <v>45</v>
      </c>
      <c r="D14590" s="8" t="inlineStr">
        <is>
          <t>Disneyland Park</t>
        </is>
      </c>
      <c r="E14590" s="8" t="inlineStr">
        <is>
          <t>"it's a small world"</t>
        </is>
      </c>
      <c r="F14590" s="8" t="inlineStr">
        <is>
          <t>STANDBY</t>
        </is>
      </c>
      <c r="G14590" s="8" t="n">
        <v>10</v>
      </c>
      <c r="H14590" s="8" t="inlineStr">
        <is>
          <t>OPERATING</t>
        </is>
      </c>
    </row>
    <row r="14591">
      <c r="A14591" s="8" t="inlineStr">
        <is>
          <t>2026-08-03</t>
        </is>
      </c>
      <c r="B14591" s="8" t="n">
        <v>12</v>
      </c>
      <c r="C14591" s="8" t="n">
        <v>45</v>
      </c>
      <c r="D14591" s="8" t="inlineStr">
        <is>
          <t>Disneyland Park</t>
        </is>
      </c>
      <c r="E14591" s="8" t="inlineStr">
        <is>
          <t>Alice's Curious Labyrinth</t>
        </is>
      </c>
      <c r="F14591" s="8" t="inlineStr">
        <is>
          <t>STANDBY</t>
        </is>
      </c>
      <c r="G14591" s="8" t="n">
        <v>5</v>
      </c>
      <c r="H14591" s="8" t="inlineStr">
        <is>
          <t>OPERATING</t>
        </is>
      </c>
    </row>
    <row r="14592">
      <c r="A14592" s="8" t="inlineStr">
        <is>
          <t>2026-08-03</t>
        </is>
      </c>
      <c r="B14592" s="8" t="n">
        <v>12</v>
      </c>
      <c r="C14592" s="8" t="n">
        <v>45</v>
      </c>
      <c r="D14592" s="8" t="inlineStr">
        <is>
          <t>Disneyland Park</t>
        </is>
      </c>
      <c r="E14592" s="8" t="inlineStr">
        <is>
          <t>Blanche-Neige et les Sept Nains®</t>
        </is>
      </c>
      <c r="F14592" s="8" t="inlineStr">
        <is>
          <t>STANDBY</t>
        </is>
      </c>
      <c r="G14592" s="8" t="n">
        <v>20</v>
      </c>
      <c r="H14592" s="8" t="inlineStr">
        <is>
          <t>OPERATING</t>
        </is>
      </c>
    </row>
    <row r="14593">
      <c r="A14593" s="8" t="inlineStr">
        <is>
          <t>2026-08-03</t>
        </is>
      </c>
      <c r="B14593" s="8" t="n">
        <v>12</v>
      </c>
      <c r="C14593" s="8" t="n">
        <v>45</v>
      </c>
      <c r="D14593" s="8" t="inlineStr">
        <is>
          <t>Disneyland Park</t>
        </is>
      </c>
      <c r="E14593" s="8" t="inlineStr">
        <is>
          <t>Casey Jr. – le Petit Train du Cirque</t>
        </is>
      </c>
      <c r="F14593" s="8" t="inlineStr">
        <is>
          <t>STANDBY</t>
        </is>
      </c>
      <c r="G14593" s="8" t="n">
        <v>20</v>
      </c>
      <c r="H14593" s="8" t="inlineStr">
        <is>
          <t>OPERATING</t>
        </is>
      </c>
    </row>
    <row r="14594">
      <c r="A14594" s="8" t="inlineStr">
        <is>
          <t>2026-08-03</t>
        </is>
      </c>
      <c r="B14594" s="8" t="n">
        <v>12</v>
      </c>
      <c r="C14594" s="8" t="n">
        <v>45</v>
      </c>
      <c r="D14594" s="8" t="inlineStr">
        <is>
          <t>Disneyland Park</t>
        </is>
      </c>
      <c r="E14594" s="8" t="inlineStr">
        <is>
          <t>Disneyland Railroad Fantasyland Station</t>
        </is>
      </c>
      <c r="F14594" s="8" t="inlineStr">
        <is>
          <t>STANDBY</t>
        </is>
      </c>
      <c r="G14594" s="8" t="n">
        <v>0</v>
      </c>
      <c r="H14594" s="8" t="inlineStr">
        <is>
          <t>CLOSED</t>
        </is>
      </c>
    </row>
    <row r="14595">
      <c r="A14595" s="8" t="inlineStr">
        <is>
          <t>2026-08-03</t>
        </is>
      </c>
      <c r="B14595" s="8" t="n">
        <v>12</v>
      </c>
      <c r="C14595" s="8" t="n">
        <v>45</v>
      </c>
      <c r="D14595" s="8" t="inlineStr">
        <is>
          <t>Disneyland Park</t>
        </is>
      </c>
      <c r="E14595" s="8" t="inlineStr">
        <is>
          <t>Disneyland Railroad Main Street Station</t>
        </is>
      </c>
      <c r="F14595" s="8" t="inlineStr">
        <is>
          <t>STANDBY</t>
        </is>
      </c>
      <c r="G14595" s="8" t="n">
        <v>0</v>
      </c>
      <c r="H14595" s="8" t="inlineStr">
        <is>
          <t>CLOSED</t>
        </is>
      </c>
    </row>
    <row r="14596">
      <c r="A14596" s="8" t="inlineStr">
        <is>
          <t>2026-08-03</t>
        </is>
      </c>
      <c r="B14596" s="8" t="n">
        <v>12</v>
      </c>
      <c r="C14596" s="8" t="n">
        <v>45</v>
      </c>
      <c r="D14596" s="8" t="inlineStr">
        <is>
          <t>Disneyland Park</t>
        </is>
      </c>
      <c r="E14596" s="8" t="inlineStr">
        <is>
          <t>Dumbo the Flying Elephant</t>
        </is>
      </c>
      <c r="F14596" s="8" t="inlineStr">
        <is>
          <t>STANDBY</t>
        </is>
      </c>
      <c r="G14596" s="8" t="n">
        <v>40</v>
      </c>
      <c r="H14596" s="8" t="inlineStr">
        <is>
          <t>OPERATING</t>
        </is>
      </c>
    </row>
    <row r="14597">
      <c r="A14597" s="8" t="inlineStr">
        <is>
          <t>2026-08-03</t>
        </is>
      </c>
      <c r="B14597" s="8" t="n">
        <v>12</v>
      </c>
      <c r="C14597" s="8" t="n">
        <v>45</v>
      </c>
      <c r="D14597" s="8" t="inlineStr">
        <is>
          <t>Disneyland Park</t>
        </is>
      </c>
      <c r="E14597" s="8" t="inlineStr">
        <is>
          <t>La Tanière du Dragon</t>
        </is>
      </c>
      <c r="F14597" s="8" t="inlineStr">
        <is>
          <t>STANDBY</t>
        </is>
      </c>
      <c r="G14597" s="8" t="n">
        <v>0</v>
      </c>
      <c r="H14597" s="8" t="inlineStr">
        <is>
          <t>OPERATING</t>
        </is>
      </c>
    </row>
    <row r="14598">
      <c r="A14598" s="8" t="inlineStr">
        <is>
          <t>2026-08-03</t>
        </is>
      </c>
      <c r="B14598" s="8" t="n">
        <v>12</v>
      </c>
      <c r="C14598" s="8" t="n">
        <v>45</v>
      </c>
      <c r="D14598" s="8" t="inlineStr">
        <is>
          <t>Disneyland Park</t>
        </is>
      </c>
      <c r="E14598" s="8" t="inlineStr">
        <is>
          <t>Le Carrousel de Lancelot</t>
        </is>
      </c>
      <c r="F14598" s="8" t="inlineStr">
        <is>
          <t>STANDBY</t>
        </is>
      </c>
      <c r="G14598" s="8" t="n">
        <v>10</v>
      </c>
      <c r="H14598" s="8" t="inlineStr">
        <is>
          <t>OPERATING</t>
        </is>
      </c>
    </row>
    <row r="14599">
      <c r="A14599" s="8" t="inlineStr">
        <is>
          <t>2026-08-03</t>
        </is>
      </c>
      <c r="B14599" s="8" t="n">
        <v>12</v>
      </c>
      <c r="C14599" s="8" t="n">
        <v>45</v>
      </c>
      <c r="D14599" s="8" t="inlineStr">
        <is>
          <t>Disneyland Park</t>
        </is>
      </c>
      <c r="E14599" s="8" t="inlineStr">
        <is>
          <t>Le Pays des Contes de Fées, presented by Vittel</t>
        </is>
      </c>
      <c r="F14599" s="8" t="inlineStr">
        <is>
          <t>STANDBY</t>
        </is>
      </c>
      <c r="G14599" s="8" t="n">
        <v>0</v>
      </c>
      <c r="H14599" s="8" t="inlineStr">
        <is>
          <t>CLOSED</t>
        </is>
      </c>
    </row>
    <row r="14600">
      <c r="A14600" s="8" t="inlineStr">
        <is>
          <t>2026-08-03</t>
        </is>
      </c>
      <c r="B14600" s="8" t="n">
        <v>12</v>
      </c>
      <c r="C14600" s="8" t="n">
        <v>45</v>
      </c>
      <c r="D14600" s="8" t="inlineStr">
        <is>
          <t>Disneyland Park</t>
        </is>
      </c>
      <c r="E14600" s="8" t="inlineStr">
        <is>
          <t>Les Voyages de Pinocchio</t>
        </is>
      </c>
      <c r="F14600" s="8" t="inlineStr">
        <is>
          <t>STANDBY</t>
        </is>
      </c>
      <c r="G14600" s="8" t="n">
        <v>15</v>
      </c>
      <c r="H14600" s="8" t="inlineStr">
        <is>
          <t>OPERATING</t>
        </is>
      </c>
    </row>
    <row r="14601">
      <c r="A14601" s="8" t="inlineStr">
        <is>
          <t>2026-08-03</t>
        </is>
      </c>
      <c r="B14601" s="8" t="n">
        <v>12</v>
      </c>
      <c r="C14601" s="8" t="n">
        <v>45</v>
      </c>
      <c r="D14601" s="8" t="inlineStr">
        <is>
          <t>Disneyland Park</t>
        </is>
      </c>
      <c r="E14601" s="8" t="inlineStr">
        <is>
          <t>Mad Hatter's Tea Cups</t>
        </is>
      </c>
      <c r="F14601" s="8" t="inlineStr">
        <is>
          <t>STANDBY</t>
        </is>
      </c>
      <c r="G14601" s="8" t="n">
        <v>10</v>
      </c>
      <c r="H14601" s="8" t="inlineStr">
        <is>
          <t>OPERATING</t>
        </is>
      </c>
    </row>
    <row r="14602">
      <c r="A14602" s="8" t="inlineStr">
        <is>
          <t>2026-08-03</t>
        </is>
      </c>
      <c r="B14602" s="8" t="n">
        <v>12</v>
      </c>
      <c r="C14602" s="8" t="n">
        <v>45</v>
      </c>
      <c r="D14602" s="8" t="inlineStr">
        <is>
          <t>Disneyland Park</t>
        </is>
      </c>
      <c r="E14602" s="8" t="inlineStr">
        <is>
          <t>Meet Mickey Mouse</t>
        </is>
      </c>
      <c r="F14602" s="8" t="inlineStr">
        <is>
          <t>STANDBY</t>
        </is>
      </c>
      <c r="G14602" s="8" t="n">
        <v>0</v>
      </c>
      <c r="H14602" s="8" t="inlineStr">
        <is>
          <t>OPERATING</t>
        </is>
      </c>
    </row>
    <row r="14603">
      <c r="A14603" s="8" t="inlineStr">
        <is>
          <t>2026-08-03</t>
        </is>
      </c>
      <c r="B14603" s="8" t="n">
        <v>12</v>
      </c>
      <c r="C14603" s="8" t="n">
        <v>45</v>
      </c>
      <c r="D14603" s="8" t="inlineStr">
        <is>
          <t>Disneyland Park</t>
        </is>
      </c>
      <c r="E14603" s="8" t="inlineStr">
        <is>
          <t>Peter Pan's Flight</t>
        </is>
      </c>
      <c r="F14603" s="8" t="inlineStr">
        <is>
          <t>STANDBY</t>
        </is>
      </c>
      <c r="G14603" s="8" t="n">
        <v>65</v>
      </c>
      <c r="H14603" s="8" t="inlineStr">
        <is>
          <t>OPERATING</t>
        </is>
      </c>
    </row>
    <row r="14604">
      <c r="A14604" s="8" t="inlineStr">
        <is>
          <t>2026-08-03</t>
        </is>
      </c>
      <c r="B14604" s="8" t="n">
        <v>12</v>
      </c>
      <c r="C14604" s="8" t="n">
        <v>45</v>
      </c>
      <c r="D14604" s="8" t="inlineStr">
        <is>
          <t>Disneyland Park</t>
        </is>
      </c>
      <c r="E14604" s="8" t="inlineStr">
        <is>
          <t>Princess Pavilion</t>
        </is>
      </c>
      <c r="F14604" s="8" t="inlineStr">
        <is>
          <t>STANDBY</t>
        </is>
      </c>
      <c r="G14604" s="8" t="n">
        <v>0</v>
      </c>
      <c r="H14604" s="8" t="inlineStr">
        <is>
          <t>OPERATING</t>
        </is>
      </c>
    </row>
    <row r="14605">
      <c r="A14605" s="8" t="inlineStr">
        <is>
          <t>2026-08-03</t>
        </is>
      </c>
      <c r="B14605" s="8" t="n">
        <v>12</v>
      </c>
      <c r="C14605" s="8" t="n">
        <v>45</v>
      </c>
      <c r="D14605" s="8" t="inlineStr">
        <is>
          <t>Disneyland Park</t>
        </is>
      </c>
      <c r="E14605" s="8" t="inlineStr">
        <is>
          <t>Big Thunder Mountain</t>
        </is>
      </c>
      <c r="F14605" s="8" t="inlineStr">
        <is>
          <t>STANDBY</t>
        </is>
      </c>
      <c r="G14605" s="8" t="n">
        <v>60</v>
      </c>
      <c r="H14605" s="8" t="inlineStr">
        <is>
          <t>OPERATING</t>
        </is>
      </c>
    </row>
    <row r="14606">
      <c r="A14606" s="8" t="inlineStr">
        <is>
          <t>2026-08-03</t>
        </is>
      </c>
      <c r="B14606" s="8" t="n">
        <v>12</v>
      </c>
      <c r="C14606" s="8" t="n">
        <v>45</v>
      </c>
      <c r="D14606" s="8" t="inlineStr">
        <is>
          <t>Disneyland Park</t>
        </is>
      </c>
      <c r="E14606" s="8" t="inlineStr">
        <is>
          <t>Disneyland Railroad Frontierland Depot</t>
        </is>
      </c>
      <c r="F14606" s="8" t="inlineStr">
        <is>
          <t>STANDBY</t>
        </is>
      </c>
      <c r="G14606" s="8" t="n">
        <v>0</v>
      </c>
      <c r="H14606" s="8" t="inlineStr">
        <is>
          <t>CLOSED</t>
        </is>
      </c>
    </row>
    <row r="14607">
      <c r="A14607" s="8" t="inlineStr">
        <is>
          <t>2026-08-03</t>
        </is>
      </c>
      <c r="B14607" s="8" t="n">
        <v>12</v>
      </c>
      <c r="C14607" s="8" t="n">
        <v>45</v>
      </c>
      <c r="D14607" s="8" t="inlineStr">
        <is>
          <t>Disneyland Park</t>
        </is>
      </c>
      <c r="E14607" s="8" t="inlineStr">
        <is>
          <t>Frontierland Playground</t>
        </is>
      </c>
      <c r="F14607" s="8" t="inlineStr">
        <is>
          <t>STANDBY</t>
        </is>
      </c>
      <c r="G14607" s="8" t="n">
        <v>0</v>
      </c>
      <c r="H14607" s="8" t="inlineStr">
        <is>
          <t>OPERATING</t>
        </is>
      </c>
    </row>
    <row r="14608">
      <c r="A14608" s="8" t="inlineStr">
        <is>
          <t>2026-08-03</t>
        </is>
      </c>
      <c r="B14608" s="8" t="n">
        <v>12</v>
      </c>
      <c r="C14608" s="8" t="n">
        <v>45</v>
      </c>
      <c r="D14608" s="8" t="inlineStr">
        <is>
          <t>Disneyland Park</t>
        </is>
      </c>
      <c r="E14608" s="8" t="inlineStr">
        <is>
          <t>Phantom Manor</t>
        </is>
      </c>
      <c r="F14608" s="8" t="inlineStr">
        <is>
          <t>STANDBY</t>
        </is>
      </c>
      <c r="G14608" s="8" t="n">
        <v>15</v>
      </c>
      <c r="H14608" s="8" t="inlineStr">
        <is>
          <t>OPERATING</t>
        </is>
      </c>
    </row>
    <row r="14609">
      <c r="A14609" s="8" t="inlineStr">
        <is>
          <t>2026-08-03</t>
        </is>
      </c>
      <c r="B14609" s="8" t="n">
        <v>12</v>
      </c>
      <c r="C14609" s="8" t="n">
        <v>45</v>
      </c>
      <c r="D14609" s="8" t="inlineStr">
        <is>
          <t>Disneyland Park</t>
        </is>
      </c>
      <c r="E14609" s="8" t="inlineStr">
        <is>
          <t>River Rogue Keelboats</t>
        </is>
      </c>
      <c r="F14609" s="8" t="inlineStr">
        <is>
          <t>STANDBY</t>
        </is>
      </c>
      <c r="G14609" s="8" t="n">
        <v>0</v>
      </c>
      <c r="H14609" s="8" t="inlineStr">
        <is>
          <t>CLOSED</t>
        </is>
      </c>
    </row>
    <row r="14610">
      <c r="A14610" s="8" t="inlineStr">
        <is>
          <t>2026-08-03</t>
        </is>
      </c>
      <c r="B14610" s="8" t="n">
        <v>12</v>
      </c>
      <c r="C14610" s="8" t="n">
        <v>45</v>
      </c>
      <c r="D14610" s="8" t="inlineStr">
        <is>
          <t>Disneyland Park</t>
        </is>
      </c>
      <c r="E14610" s="8" t="inlineStr">
        <is>
          <t>Rustler Roundup Shootin' Gallery</t>
        </is>
      </c>
      <c r="F14610" s="8" t="inlineStr">
        <is>
          <t>STANDBY</t>
        </is>
      </c>
      <c r="G14610" s="8" t="n">
        <v>0</v>
      </c>
      <c r="H14610" s="8" t="inlineStr">
        <is>
          <t>OPERATING</t>
        </is>
      </c>
    </row>
    <row r="14611">
      <c r="A14611" s="8" t="inlineStr">
        <is>
          <t>2026-08-03</t>
        </is>
      </c>
      <c r="B14611" s="8" t="n">
        <v>12</v>
      </c>
      <c r="C14611" s="8" t="n">
        <v>45</v>
      </c>
      <c r="D14611" s="8" t="inlineStr">
        <is>
          <t>Disneyland Park</t>
        </is>
      </c>
      <c r="E14611" s="8" t="inlineStr">
        <is>
          <t>Thunder Mesa Riverboat Landing</t>
        </is>
      </c>
      <c r="F14611" s="8" t="inlineStr">
        <is>
          <t>STANDBY</t>
        </is>
      </c>
      <c r="G14611" s="8" t="n">
        <v>20</v>
      </c>
      <c r="H14611" s="8" t="inlineStr">
        <is>
          <t>OPERATING</t>
        </is>
      </c>
    </row>
    <row r="14612">
      <c r="A14612" s="8" t="inlineStr">
        <is>
          <t>2026-08-03</t>
        </is>
      </c>
      <c r="B14612" s="8" t="n">
        <v>12</v>
      </c>
      <c r="C14612" s="8" t="n">
        <v>45</v>
      </c>
      <c r="D14612" s="8" t="inlineStr">
        <is>
          <t>Disneyland Park</t>
        </is>
      </c>
      <c r="E14612" s="8" t="inlineStr">
        <is>
          <t>Disneyland Railroad Main Street Station</t>
        </is>
      </c>
      <c r="F14612" s="8" t="inlineStr">
        <is>
          <t>STANDBY</t>
        </is>
      </c>
      <c r="G14612" s="8" t="n">
        <v>0</v>
      </c>
      <c r="H14612" s="8" t="inlineStr">
        <is>
          <t>CLOSED</t>
        </is>
      </c>
    </row>
    <row r="14613">
      <c r="A14613" s="8" t="inlineStr">
        <is>
          <t>2026-08-03</t>
        </is>
      </c>
      <c r="B14613" s="8" t="n">
        <v>12</v>
      </c>
      <c r="C14613" s="8" t="n">
        <v>45</v>
      </c>
      <c r="D14613" s="8" t="inlineStr">
        <is>
          <t>Disneyland Park</t>
        </is>
      </c>
      <c r="E14613" s="8" t="inlineStr">
        <is>
          <t>Main Street Vehicles</t>
        </is>
      </c>
      <c r="F14613" s="8" t="inlineStr">
        <is>
          <t>STANDBY</t>
        </is>
      </c>
      <c r="G14613" s="8" t="n">
        <v>5</v>
      </c>
      <c r="H14613" s="8" t="inlineStr">
        <is>
          <t>OPERATING</t>
        </is>
      </c>
    </row>
    <row r="14614">
      <c r="A14614" s="8" t="inlineStr">
        <is>
          <t>2026-08-03</t>
        </is>
      </c>
      <c r="B14614" s="8" t="n">
        <v>12</v>
      </c>
      <c r="C14614" s="8" t="n">
        <v>45</v>
      </c>
      <c r="D14614" s="8" t="inlineStr">
        <is>
          <t>Disney Adventure World</t>
        </is>
      </c>
      <c r="E14614" s="8" t="inlineStr">
        <is>
          <t>Avengers Assemble: Flight Force</t>
        </is>
      </c>
      <c r="F14614" s="8" t="inlineStr">
        <is>
          <t>STANDBY</t>
        </is>
      </c>
      <c r="G14614" s="8" t="n">
        <v>25</v>
      </c>
      <c r="H14614" s="8" t="inlineStr">
        <is>
          <t>OPERATING</t>
        </is>
      </c>
    </row>
    <row r="14615">
      <c r="A14615" s="8" t="inlineStr">
        <is>
          <t>2026-08-03</t>
        </is>
      </c>
      <c r="B14615" s="8" t="n">
        <v>12</v>
      </c>
      <c r="C14615" s="8" t="n">
        <v>45</v>
      </c>
      <c r="D14615" s="8" t="inlineStr">
        <is>
          <t>Disney Adventure World</t>
        </is>
      </c>
      <c r="E14615" s="8" t="inlineStr">
        <is>
          <t>Avengers Assemble: Flight Force Single Rider</t>
        </is>
      </c>
      <c r="F14615" s="8" t="inlineStr">
        <is>
          <t>STANDBY</t>
        </is>
      </c>
      <c r="G14615" s="8" t="n">
        <v>10</v>
      </c>
      <c r="H14615" s="8" t="inlineStr">
        <is>
          <t>OPERATING</t>
        </is>
      </c>
    </row>
    <row r="14616">
      <c r="A14616" s="8" t="inlineStr">
        <is>
          <t>2026-08-03</t>
        </is>
      </c>
      <c r="B14616" s="8" t="n">
        <v>12</v>
      </c>
      <c r="C14616" s="8" t="n">
        <v>45</v>
      </c>
      <c r="D14616" s="8" t="inlineStr">
        <is>
          <t>Disney Adventure World</t>
        </is>
      </c>
      <c r="E14616" s="8" t="inlineStr">
        <is>
          <t>Spider-Man W.E.B. Adventure</t>
        </is>
      </c>
      <c r="F14616" s="8" t="inlineStr">
        <is>
          <t>STANDBY</t>
        </is>
      </c>
      <c r="G14616" s="8" t="n">
        <v>60</v>
      </c>
      <c r="H14616" s="8" t="inlineStr">
        <is>
          <t>OPERATING</t>
        </is>
      </c>
    </row>
    <row r="14617">
      <c r="A14617" s="8" t="inlineStr">
        <is>
          <t>2026-08-03</t>
        </is>
      </c>
      <c r="B14617" s="8" t="n">
        <v>12</v>
      </c>
      <c r="C14617" s="8" t="n">
        <v>45</v>
      </c>
      <c r="D14617" s="8" t="inlineStr">
        <is>
          <t>Disney Adventure World</t>
        </is>
      </c>
      <c r="E14617" s="8" t="inlineStr">
        <is>
          <t>Spider-Man W.E.B. Adventure Single Rider</t>
        </is>
      </c>
      <c r="F14617" s="8" t="inlineStr">
        <is>
          <t>STANDBY</t>
        </is>
      </c>
      <c r="G14617" s="8" t="n">
        <v>15</v>
      </c>
      <c r="H14617" s="8" t="inlineStr">
        <is>
          <t>OPERATING</t>
        </is>
      </c>
    </row>
    <row r="14618">
      <c r="A14618" s="8" t="inlineStr">
        <is>
          <t>2026-08-03</t>
        </is>
      </c>
      <c r="B14618" s="8" t="n">
        <v>12</v>
      </c>
      <c r="C14618" s="8" t="n">
        <v>45</v>
      </c>
      <c r="D14618" s="8" t="inlineStr">
        <is>
          <t>Disney Adventure World</t>
        </is>
      </c>
      <c r="E14618" s="8" t="inlineStr">
        <is>
          <t>The Twilight Zone Tower of Terror</t>
        </is>
      </c>
      <c r="F14618" s="8" t="inlineStr">
        <is>
          <t>STANDBY</t>
        </is>
      </c>
      <c r="G14618" s="8" t="n">
        <v>30</v>
      </c>
      <c r="H14618" s="8" t="inlineStr">
        <is>
          <t>OPERATING</t>
        </is>
      </c>
    </row>
    <row r="14619">
      <c r="A14619" s="8" t="inlineStr">
        <is>
          <t>2026-08-03</t>
        </is>
      </c>
      <c r="B14619" s="8" t="n">
        <v>12</v>
      </c>
      <c r="C14619" s="8" t="n">
        <v>45</v>
      </c>
      <c r="D14619" s="8" t="inlineStr">
        <is>
          <t>Disney Adventure World</t>
        </is>
      </c>
      <c r="E14619" s="8" t="inlineStr">
        <is>
          <t>Cars Quatre Roues Rallye</t>
        </is>
      </c>
      <c r="F14619" s="8" t="inlineStr">
        <is>
          <t>STANDBY</t>
        </is>
      </c>
      <c r="G14619" s="8" t="n">
        <v>5</v>
      </c>
      <c r="H14619" s="8" t="inlineStr">
        <is>
          <t>OPERATING</t>
        </is>
      </c>
    </row>
    <row r="14620">
      <c r="A14620" s="8" t="inlineStr">
        <is>
          <t>2026-08-03</t>
        </is>
      </c>
      <c r="B14620" s="8" t="n">
        <v>12</v>
      </c>
      <c r="C14620" s="8" t="n">
        <v>45</v>
      </c>
      <c r="D14620" s="8" t="inlineStr">
        <is>
          <t>Disney Adventure World</t>
        </is>
      </c>
      <c r="E14620" s="8" t="inlineStr">
        <is>
          <t>Cars ROAD TRIP</t>
        </is>
      </c>
      <c r="F14620" s="8" t="inlineStr">
        <is>
          <t>STANDBY</t>
        </is>
      </c>
      <c r="G14620" s="8" t="n">
        <v>5</v>
      </c>
      <c r="H14620" s="8" t="inlineStr">
        <is>
          <t>OPERATING</t>
        </is>
      </c>
    </row>
    <row r="14621">
      <c r="A14621" s="8" t="inlineStr">
        <is>
          <t>2026-08-03</t>
        </is>
      </c>
      <c r="B14621" s="8" t="n">
        <v>12</v>
      </c>
      <c r="C14621" s="8" t="n">
        <v>45</v>
      </c>
      <c r="D14621" s="8" t="inlineStr">
        <is>
          <t>Disney Adventure World</t>
        </is>
      </c>
      <c r="E14621" s="8" t="inlineStr">
        <is>
          <t>Crush's Coaster</t>
        </is>
      </c>
      <c r="F14621" s="8" t="inlineStr">
        <is>
          <t>STANDBY</t>
        </is>
      </c>
      <c r="G14621" s="8" t="n">
        <v>65</v>
      </c>
      <c r="H14621" s="8" t="inlineStr">
        <is>
          <t>OPERATING</t>
        </is>
      </c>
    </row>
    <row r="14622">
      <c r="A14622" s="8" t="inlineStr">
        <is>
          <t>2026-08-03</t>
        </is>
      </c>
      <c r="B14622" s="8" t="n">
        <v>12</v>
      </c>
      <c r="C14622" s="8" t="n">
        <v>45</v>
      </c>
      <c r="D14622" s="8" t="inlineStr">
        <is>
          <t>Disney Adventure World</t>
        </is>
      </c>
      <c r="E14622" s="8" t="inlineStr">
        <is>
          <t>Crush's Coaster Single Rider</t>
        </is>
      </c>
      <c r="F14622" s="8" t="inlineStr">
        <is>
          <t>STANDBY</t>
        </is>
      </c>
      <c r="G14622" s="8" t="n">
        <v>45</v>
      </c>
      <c r="H14622" s="8" t="inlineStr">
        <is>
          <t>OPERATING</t>
        </is>
      </c>
    </row>
    <row r="14623">
      <c r="A14623" s="8" t="inlineStr">
        <is>
          <t>2026-08-03</t>
        </is>
      </c>
      <c r="B14623" s="8" t="n">
        <v>12</v>
      </c>
      <c r="C14623" s="8" t="n">
        <v>45</v>
      </c>
      <c r="D14623" s="8" t="inlineStr">
        <is>
          <t>Disney Adventure World</t>
        </is>
      </c>
      <c r="E14623" s="8" t="inlineStr">
        <is>
          <t>Les Tapis Volants - Flying Carpets Over Agrabah®</t>
        </is>
      </c>
      <c r="F14623" s="8" t="inlineStr">
        <is>
          <t>STANDBY</t>
        </is>
      </c>
      <c r="G14623" s="8" t="n">
        <v>5</v>
      </c>
      <c r="H14623" s="8" t="inlineStr">
        <is>
          <t>OPERATING</t>
        </is>
      </c>
    </row>
    <row r="14624">
      <c r="A14624" s="8" t="inlineStr">
        <is>
          <t>2026-08-03</t>
        </is>
      </c>
      <c r="B14624" s="8" t="n">
        <v>12</v>
      </c>
      <c r="C14624" s="8" t="n">
        <v>45</v>
      </c>
      <c r="D14624" s="8" t="inlineStr">
        <is>
          <t>Disney Adventure World</t>
        </is>
      </c>
      <c r="E14624" s="8" t="inlineStr">
        <is>
          <t>Ratatouille : L’Aventure Totalement Toquée de Rémy​</t>
        </is>
      </c>
      <c r="F14624" s="8" t="inlineStr">
        <is>
          <t>STANDBY</t>
        </is>
      </c>
      <c r="G14624" s="8" t="n">
        <v>35</v>
      </c>
      <c r="H14624" s="8" t="inlineStr">
        <is>
          <t>OPERATING</t>
        </is>
      </c>
    </row>
    <row r="14625">
      <c r="A14625" s="8" t="inlineStr">
        <is>
          <t>2026-08-03</t>
        </is>
      </c>
      <c r="B14625" s="8" t="n">
        <v>12</v>
      </c>
      <c r="C14625" s="8" t="n">
        <v>45</v>
      </c>
      <c r="D14625" s="8" t="inlineStr">
        <is>
          <t>Disney Adventure World</t>
        </is>
      </c>
      <c r="E14625" s="8" t="inlineStr">
        <is>
          <t>Ratatouille: The Adventure Single Rider</t>
        </is>
      </c>
      <c r="F14625" s="8" t="inlineStr">
        <is>
          <t>STANDBY</t>
        </is>
      </c>
      <c r="G14625" s="8" t="n">
        <v>10</v>
      </c>
      <c r="H14625" s="8" t="inlineStr">
        <is>
          <t>OPERATING</t>
        </is>
      </c>
    </row>
    <row r="14626">
      <c r="A14626" s="8" t="inlineStr">
        <is>
          <t>2026-08-03</t>
        </is>
      </c>
      <c r="B14626" s="8" t="n">
        <v>12</v>
      </c>
      <c r="C14626" s="8" t="n">
        <v>45</v>
      </c>
      <c r="D14626" s="8" t="inlineStr">
        <is>
          <t>Disney Adventure World</t>
        </is>
      </c>
      <c r="E14626" s="8" t="inlineStr">
        <is>
          <t>RC Racer</t>
        </is>
      </c>
      <c r="F14626" s="8" t="inlineStr">
        <is>
          <t>STANDBY</t>
        </is>
      </c>
      <c r="G14626" s="8" t="n">
        <v>40</v>
      </c>
      <c r="H14626" s="8" t="inlineStr">
        <is>
          <t>OPERATING</t>
        </is>
      </c>
    </row>
    <row r="14627">
      <c r="A14627" s="8" t="inlineStr">
        <is>
          <t>2026-08-03</t>
        </is>
      </c>
      <c r="B14627" s="8" t="n">
        <v>12</v>
      </c>
      <c r="C14627" s="8" t="n">
        <v>45</v>
      </c>
      <c r="D14627" s="8" t="inlineStr">
        <is>
          <t>Disney Adventure World</t>
        </is>
      </c>
      <c r="E14627" s="8" t="inlineStr">
        <is>
          <t>RC Racer Single Rider</t>
        </is>
      </c>
      <c r="F14627" s="8" t="inlineStr">
        <is>
          <t>STANDBY</t>
        </is>
      </c>
      <c r="G14627" s="8" t="n">
        <v>35</v>
      </c>
      <c r="H14627" s="8" t="inlineStr">
        <is>
          <t>OPERATING</t>
        </is>
      </c>
    </row>
    <row r="14628">
      <c r="A14628" s="8" t="inlineStr">
        <is>
          <t>2026-08-03</t>
        </is>
      </c>
      <c r="B14628" s="8" t="n">
        <v>12</v>
      </c>
      <c r="C14628" s="8" t="n">
        <v>45</v>
      </c>
      <c r="D14628" s="8" t="inlineStr">
        <is>
          <t>Disney Adventure World</t>
        </is>
      </c>
      <c r="E14628" s="8" t="inlineStr">
        <is>
          <t>Slinky® Dog Zigzag Spin</t>
        </is>
      </c>
      <c r="F14628" s="8" t="inlineStr">
        <is>
          <t>STANDBY</t>
        </is>
      </c>
      <c r="G14628" s="8" t="n">
        <v>15</v>
      </c>
      <c r="H14628" s="8" t="inlineStr">
        <is>
          <t>OPERATING</t>
        </is>
      </c>
    </row>
    <row r="14629">
      <c r="A14629" s="8" t="inlineStr">
        <is>
          <t>2026-08-03</t>
        </is>
      </c>
      <c r="B14629" s="8" t="n">
        <v>12</v>
      </c>
      <c r="C14629" s="8" t="n">
        <v>45</v>
      </c>
      <c r="D14629" s="8" t="inlineStr">
        <is>
          <t>Disney Adventure World</t>
        </is>
      </c>
      <c r="E14629" s="8" t="inlineStr">
        <is>
          <t>Toy Soldiers Parachute Drop</t>
        </is>
      </c>
      <c r="F14629" s="8" t="inlineStr">
        <is>
          <t>STANDBY</t>
        </is>
      </c>
      <c r="G14629" s="8" t="n">
        <v>45</v>
      </c>
      <c r="H14629" s="8" t="inlineStr">
        <is>
          <t>OPERATING</t>
        </is>
      </c>
    </row>
    <row r="14630">
      <c r="A14630" s="8" t="inlineStr">
        <is>
          <t>2026-08-03</t>
        </is>
      </c>
      <c r="B14630" s="8" t="n">
        <v>12</v>
      </c>
      <c r="C14630" s="8" t="n">
        <v>45</v>
      </c>
      <c r="D14630" s="8" t="inlineStr">
        <is>
          <t>Disney Adventure World</t>
        </is>
      </c>
      <c r="E14630" s="8" t="inlineStr">
        <is>
          <t>Toy Soldiers Parachute Drop Single Rider</t>
        </is>
      </c>
      <c r="F14630" s="8" t="inlineStr">
        <is>
          <t>STANDBY</t>
        </is>
      </c>
      <c r="G14630" s="8" t="n">
        <v>10</v>
      </c>
      <c r="H14630" s="8" t="inlineStr">
        <is>
          <t>OPERATING</t>
        </is>
      </c>
    </row>
    <row r="14631">
      <c r="A14631" s="8" t="inlineStr">
        <is>
          <t>2026-08-03</t>
        </is>
      </c>
      <c r="B14631" s="8" t="n">
        <v>12</v>
      </c>
      <c r="C14631" s="8" t="n">
        <v>45</v>
      </c>
      <c r="D14631" s="8" t="inlineStr">
        <is>
          <t>Disney Adventure World</t>
        </is>
      </c>
      <c r="E14631" s="8" t="inlineStr">
        <is>
          <t>Entry to World of Frozen</t>
        </is>
      </c>
      <c r="F14631" s="8" t="inlineStr">
        <is>
          <t>STANDBY</t>
        </is>
      </c>
      <c r="G14631" s="8" t="n">
        <v>0</v>
      </c>
      <c r="H14631" s="8" t="inlineStr">
        <is>
          <t>OPERATING</t>
        </is>
      </c>
    </row>
    <row r="14632">
      <c r="A14632" s="8" t="inlineStr">
        <is>
          <t>2026-08-03</t>
        </is>
      </c>
      <c r="B14632" s="8" t="n">
        <v>12</v>
      </c>
      <c r="C14632" s="8" t="n">
        <v>45</v>
      </c>
      <c r="D14632" s="8" t="inlineStr">
        <is>
          <t>Disney Adventure World</t>
        </is>
      </c>
      <c r="E14632" s="8" t="inlineStr">
        <is>
          <t>Frozen Ever After</t>
        </is>
      </c>
      <c r="F14632" s="8" t="inlineStr">
        <is>
          <t>STANDBY</t>
        </is>
      </c>
      <c r="G14632" s="8" t="n">
        <v>70</v>
      </c>
      <c r="H14632" s="8" t="inlineStr">
        <is>
          <t>OPERATING</t>
        </is>
      </c>
    </row>
    <row r="14633">
      <c r="A14633" s="8" t="inlineStr">
        <is>
          <t>2026-08-03</t>
        </is>
      </c>
      <c r="B14633" s="8" t="n">
        <v>12</v>
      </c>
      <c r="C14633" s="8" t="n">
        <v>45</v>
      </c>
      <c r="D14633" s="8" t="inlineStr">
        <is>
          <t>Disney Adventure World</t>
        </is>
      </c>
      <c r="E14633" s="8" t="inlineStr">
        <is>
          <t>Raiponce Tangled Spin</t>
        </is>
      </c>
      <c r="F14633" s="8" t="inlineStr">
        <is>
          <t>STANDBY</t>
        </is>
      </c>
      <c r="G14633" s="8" t="n">
        <v>5</v>
      </c>
      <c r="H14633" s="8" t="inlineStr">
        <is>
          <t>OPERATING</t>
        </is>
      </c>
    </row>
    <row r="14634">
      <c r="A14634" s="8" t="inlineStr">
        <is>
          <t>2026-08-03</t>
        </is>
      </c>
      <c r="B14634" s="8" t="n">
        <v>13</v>
      </c>
      <c r="C14634" s="8" t="n">
        <v>1</v>
      </c>
      <c r="D14634" s="8" t="inlineStr">
        <is>
          <t>Disneyland Park</t>
        </is>
      </c>
      <c r="E14634" s="8" t="inlineStr">
        <is>
          <t>Adventure Isle</t>
        </is>
      </c>
      <c r="F14634" s="8" t="inlineStr">
        <is>
          <t>STANDBY</t>
        </is>
      </c>
      <c r="G14634" s="8" t="n">
        <v>0</v>
      </c>
      <c r="H14634" s="8" t="inlineStr">
        <is>
          <t>OPERATING</t>
        </is>
      </c>
    </row>
    <row r="14635">
      <c r="A14635" s="8" t="inlineStr">
        <is>
          <t>2026-08-03</t>
        </is>
      </c>
      <c r="B14635" s="8" t="n">
        <v>13</v>
      </c>
      <c r="C14635" s="8" t="n">
        <v>1</v>
      </c>
      <c r="D14635" s="8" t="inlineStr">
        <is>
          <t>Disneyland Park</t>
        </is>
      </c>
      <c r="E14635" s="8" t="inlineStr">
        <is>
          <t>Indiana Jones and the Temple of Peril Single Rider</t>
        </is>
      </c>
      <c r="F14635" s="8" t="inlineStr">
        <is>
          <t>STANDBY</t>
        </is>
      </c>
      <c r="G14635" s="8" t="n">
        <v>10</v>
      </c>
      <c r="H14635" s="8" t="inlineStr">
        <is>
          <t>OPERATING</t>
        </is>
      </c>
    </row>
    <row r="14636">
      <c r="A14636" s="8" t="inlineStr">
        <is>
          <t>2026-08-03</t>
        </is>
      </c>
      <c r="B14636" s="8" t="n">
        <v>13</v>
      </c>
      <c r="C14636" s="8" t="n">
        <v>1</v>
      </c>
      <c r="D14636" s="8" t="inlineStr">
        <is>
          <t>Disneyland Park</t>
        </is>
      </c>
      <c r="E14636" s="8" t="inlineStr">
        <is>
          <t>Indiana Jones™ and the Temple of Peril</t>
        </is>
      </c>
      <c r="F14636" s="8" t="inlineStr">
        <is>
          <t>STANDBY</t>
        </is>
      </c>
      <c r="G14636" s="8" t="n">
        <v>25</v>
      </c>
      <c r="H14636" s="8" t="inlineStr">
        <is>
          <t>OPERATING</t>
        </is>
      </c>
    </row>
    <row r="14637">
      <c r="A14637" s="8" t="inlineStr">
        <is>
          <t>2026-08-03</t>
        </is>
      </c>
      <c r="B14637" s="8" t="n">
        <v>13</v>
      </c>
      <c r="C14637" s="8" t="n">
        <v>1</v>
      </c>
      <c r="D14637" s="8" t="inlineStr">
        <is>
          <t>Disneyland Park</t>
        </is>
      </c>
      <c r="E14637" s="8" t="inlineStr">
        <is>
          <t>La Cabane des Robinson</t>
        </is>
      </c>
      <c r="F14637" s="8" t="inlineStr">
        <is>
          <t>STANDBY</t>
        </is>
      </c>
      <c r="G14637" s="8" t="n">
        <v>5</v>
      </c>
      <c r="H14637" s="8" t="inlineStr">
        <is>
          <t>OPERATING</t>
        </is>
      </c>
    </row>
    <row r="14638">
      <c r="A14638" s="8" t="inlineStr">
        <is>
          <t>2026-08-03</t>
        </is>
      </c>
      <c r="B14638" s="8" t="n">
        <v>13</v>
      </c>
      <c r="C14638" s="8" t="n">
        <v>1</v>
      </c>
      <c r="D14638" s="8" t="inlineStr">
        <is>
          <t>Disneyland Park</t>
        </is>
      </c>
      <c r="E14638" s="8" t="inlineStr">
        <is>
          <t>Le Passage Enchanté d'Aladdin</t>
        </is>
      </c>
      <c r="F14638" s="8" t="inlineStr">
        <is>
          <t>STANDBY</t>
        </is>
      </c>
      <c r="G14638" s="8" t="n">
        <v>0</v>
      </c>
      <c r="H14638" s="8" t="inlineStr">
        <is>
          <t>OPERATING</t>
        </is>
      </c>
    </row>
    <row r="14639">
      <c r="A14639" s="8" t="inlineStr">
        <is>
          <t>2026-08-03</t>
        </is>
      </c>
      <c r="B14639" s="8" t="n">
        <v>13</v>
      </c>
      <c r="C14639" s="8" t="n">
        <v>1</v>
      </c>
      <c r="D14639" s="8" t="inlineStr">
        <is>
          <t>Disneyland Park</t>
        </is>
      </c>
      <c r="E14639" s="8" t="inlineStr">
        <is>
          <t>Pirate Galleon</t>
        </is>
      </c>
      <c r="F14639" s="8" t="inlineStr">
        <is>
          <t>STANDBY</t>
        </is>
      </c>
      <c r="G14639" s="8" t="n">
        <v>0</v>
      </c>
      <c r="H14639" s="8" t="inlineStr">
        <is>
          <t>CLOSED</t>
        </is>
      </c>
    </row>
    <row r="14640">
      <c r="A14640" s="8" t="inlineStr">
        <is>
          <t>2026-08-03</t>
        </is>
      </c>
      <c r="B14640" s="8" t="n">
        <v>13</v>
      </c>
      <c r="C14640" s="8" t="n">
        <v>1</v>
      </c>
      <c r="D14640" s="8" t="inlineStr">
        <is>
          <t>Disneyland Park</t>
        </is>
      </c>
      <c r="E14640" s="8" t="inlineStr">
        <is>
          <t>Pirates of the Caribbean</t>
        </is>
      </c>
      <c r="F14640" s="8" t="inlineStr">
        <is>
          <t>STANDBY</t>
        </is>
      </c>
      <c r="G14640" s="8" t="n">
        <v>35</v>
      </c>
      <c r="H14640" s="8" t="inlineStr">
        <is>
          <t>OPERATING</t>
        </is>
      </c>
    </row>
    <row r="14641">
      <c r="A14641" s="8" t="inlineStr">
        <is>
          <t>2026-08-03</t>
        </is>
      </c>
      <c r="B14641" s="8" t="n">
        <v>13</v>
      </c>
      <c r="C14641" s="8" t="n">
        <v>1</v>
      </c>
      <c r="D14641" s="8" t="inlineStr">
        <is>
          <t>Disneyland Park</t>
        </is>
      </c>
      <c r="E14641" s="8" t="inlineStr">
        <is>
          <t>Pirates' Beach</t>
        </is>
      </c>
      <c r="F14641" s="8" t="inlineStr">
        <is>
          <t>STANDBY</t>
        </is>
      </c>
      <c r="G14641" s="8" t="n">
        <v>0</v>
      </c>
      <c r="H14641" s="8" t="inlineStr">
        <is>
          <t>OPERATING</t>
        </is>
      </c>
    </row>
    <row r="14642">
      <c r="A14642" s="8" t="inlineStr">
        <is>
          <t>2026-08-03</t>
        </is>
      </c>
      <c r="B14642" s="8" t="n">
        <v>13</v>
      </c>
      <c r="C14642" s="8" t="n">
        <v>1</v>
      </c>
      <c r="D14642" s="8" t="inlineStr">
        <is>
          <t>Disneyland Park</t>
        </is>
      </c>
      <c r="E14642" s="8" t="inlineStr">
        <is>
          <t>Autopia, presented by Avis</t>
        </is>
      </c>
      <c r="F14642" s="8" t="inlineStr">
        <is>
          <t>STANDBY</t>
        </is>
      </c>
      <c r="G14642" s="8" t="n">
        <v>0</v>
      </c>
      <c r="H14642" s="8" t="inlineStr">
        <is>
          <t>CLOSED</t>
        </is>
      </c>
    </row>
    <row r="14643">
      <c r="A14643" s="8" t="inlineStr">
        <is>
          <t>2026-08-03</t>
        </is>
      </c>
      <c r="B14643" s="8" t="n">
        <v>13</v>
      </c>
      <c r="C14643" s="8" t="n">
        <v>1</v>
      </c>
      <c r="D14643" s="8" t="inlineStr">
        <is>
          <t>Disneyland Park</t>
        </is>
      </c>
      <c r="E14643" s="8" t="inlineStr">
        <is>
          <t>Buzz Lightyear Laser Blast</t>
        </is>
      </c>
      <c r="F14643" s="8" t="inlineStr">
        <is>
          <t>STANDBY</t>
        </is>
      </c>
      <c r="G14643" s="8" t="n">
        <v>45</v>
      </c>
      <c r="H14643" s="8" t="inlineStr">
        <is>
          <t>OPERATING</t>
        </is>
      </c>
    </row>
    <row r="14644">
      <c r="A14644" s="8" t="inlineStr">
        <is>
          <t>2026-08-03</t>
        </is>
      </c>
      <c r="B14644" s="8" t="n">
        <v>13</v>
      </c>
      <c r="C14644" s="8" t="n">
        <v>1</v>
      </c>
      <c r="D14644" s="8" t="inlineStr">
        <is>
          <t>Disneyland Park</t>
        </is>
      </c>
      <c r="E14644" s="8" t="inlineStr">
        <is>
          <t>Disneyland Railroad Discoveryland Station</t>
        </is>
      </c>
      <c r="F14644" s="8" t="inlineStr">
        <is>
          <t>STANDBY</t>
        </is>
      </c>
      <c r="G14644" s="8" t="n">
        <v>0</v>
      </c>
      <c r="H14644" s="8" t="inlineStr">
        <is>
          <t>CLOSED</t>
        </is>
      </c>
    </row>
    <row r="14645">
      <c r="A14645" s="8" t="inlineStr">
        <is>
          <t>2026-08-03</t>
        </is>
      </c>
      <c r="B14645" s="8" t="n">
        <v>13</v>
      </c>
      <c r="C14645" s="8" t="n">
        <v>1</v>
      </c>
      <c r="D14645" s="8" t="inlineStr">
        <is>
          <t>Disneyland Park</t>
        </is>
      </c>
      <c r="E14645" s="8" t="inlineStr">
        <is>
          <t>Les Mystères du Nautilus</t>
        </is>
      </c>
      <c r="F14645" s="8" t="inlineStr">
        <is>
          <t>STANDBY</t>
        </is>
      </c>
      <c r="G14645" s="8" t="n">
        <v>5</v>
      </c>
      <c r="H14645" s="8" t="inlineStr">
        <is>
          <t>OPERATING</t>
        </is>
      </c>
    </row>
    <row r="14646">
      <c r="A14646" s="8" t="inlineStr">
        <is>
          <t>2026-08-03</t>
        </is>
      </c>
      <c r="B14646" s="8" t="n">
        <v>13</v>
      </c>
      <c r="C14646" s="8" t="n">
        <v>1</v>
      </c>
      <c r="D14646" s="8" t="inlineStr">
        <is>
          <t>Disneyland Park</t>
        </is>
      </c>
      <c r="E14646" s="8" t="inlineStr">
        <is>
          <t>Mickey’s PhilharMagic</t>
        </is>
      </c>
      <c r="F14646" s="8" t="inlineStr">
        <is>
          <t>STANDBY</t>
        </is>
      </c>
      <c r="G14646" s="8" t="n">
        <v>0</v>
      </c>
      <c r="H14646" s="8" t="inlineStr">
        <is>
          <t>OPERATING</t>
        </is>
      </c>
    </row>
    <row r="14647">
      <c r="A14647" s="8" t="inlineStr">
        <is>
          <t>2026-08-03</t>
        </is>
      </c>
      <c r="B14647" s="8" t="n">
        <v>13</v>
      </c>
      <c r="C14647" s="8" t="n">
        <v>1</v>
      </c>
      <c r="D14647" s="8" t="inlineStr">
        <is>
          <t>Disneyland Park</t>
        </is>
      </c>
      <c r="E14647" s="8" t="inlineStr">
        <is>
          <t>Orbitron®</t>
        </is>
      </c>
      <c r="F14647" s="8" t="inlineStr">
        <is>
          <t>STANDBY</t>
        </is>
      </c>
      <c r="G14647" s="8" t="n">
        <v>45</v>
      </c>
      <c r="H14647" s="8" t="inlineStr">
        <is>
          <t>OPERATING</t>
        </is>
      </c>
    </row>
    <row r="14648">
      <c r="A14648" s="8" t="inlineStr">
        <is>
          <t>2026-08-03</t>
        </is>
      </c>
      <c r="B14648" s="8" t="n">
        <v>13</v>
      </c>
      <c r="C14648" s="8" t="n">
        <v>1</v>
      </c>
      <c r="D14648" s="8" t="inlineStr">
        <is>
          <t>Disneyland Park</t>
        </is>
      </c>
      <c r="E14648" s="8" t="inlineStr">
        <is>
          <t>Star Tours: The Adventures Continue*</t>
        </is>
      </c>
      <c r="F14648" s="8" t="inlineStr">
        <is>
          <t>STANDBY</t>
        </is>
      </c>
      <c r="G14648" s="8" t="n">
        <v>15</v>
      </c>
      <c r="H14648" s="8" t="inlineStr">
        <is>
          <t>OPERATING</t>
        </is>
      </c>
    </row>
    <row r="14649">
      <c r="A14649" s="8" t="inlineStr">
        <is>
          <t>2026-08-03</t>
        </is>
      </c>
      <c r="B14649" s="8" t="n">
        <v>13</v>
      </c>
      <c r="C14649" s="8" t="n">
        <v>1</v>
      </c>
      <c r="D14649" s="8" t="inlineStr">
        <is>
          <t>Disneyland Park</t>
        </is>
      </c>
      <c r="E14649" s="8" t="inlineStr">
        <is>
          <t>Star Wars Hyperspace Mountain</t>
        </is>
      </c>
      <c r="F14649" s="8" t="inlineStr">
        <is>
          <t>STANDBY</t>
        </is>
      </c>
      <c r="G14649" s="8" t="n">
        <v>35</v>
      </c>
      <c r="H14649" s="8" t="inlineStr">
        <is>
          <t>OPERATING</t>
        </is>
      </c>
    </row>
    <row r="14650">
      <c r="A14650" s="8" t="inlineStr">
        <is>
          <t>2026-08-03</t>
        </is>
      </c>
      <c r="B14650" s="8" t="n">
        <v>13</v>
      </c>
      <c r="C14650" s="8" t="n">
        <v>1</v>
      </c>
      <c r="D14650" s="8" t="inlineStr">
        <is>
          <t>Disneyland Park</t>
        </is>
      </c>
      <c r="E14650" s="8" t="inlineStr">
        <is>
          <t>Star Wars Hyperspace Mountain Single Rider</t>
        </is>
      </c>
      <c r="F14650" s="8" t="inlineStr">
        <is>
          <t>STANDBY</t>
        </is>
      </c>
      <c r="G14650" s="8" t="n">
        <v>25</v>
      </c>
      <c r="H14650" s="8" t="inlineStr">
        <is>
          <t>OPERATING</t>
        </is>
      </c>
    </row>
    <row r="14651">
      <c r="A14651" s="8" t="inlineStr">
        <is>
          <t>2026-08-03</t>
        </is>
      </c>
      <c r="B14651" s="8" t="n">
        <v>13</v>
      </c>
      <c r="C14651" s="8" t="n">
        <v>1</v>
      </c>
      <c r="D14651" s="8" t="inlineStr">
        <is>
          <t>Disneyland Park</t>
        </is>
      </c>
      <c r="E14651" s="8" t="inlineStr">
        <is>
          <t>Welcome to Starport: A Star Wars Encounter</t>
        </is>
      </c>
      <c r="F14651" s="8" t="inlineStr">
        <is>
          <t>STANDBY</t>
        </is>
      </c>
      <c r="G14651" s="8" t="n">
        <v>20</v>
      </c>
      <c r="H14651" s="8" t="inlineStr">
        <is>
          <t>OPERATING</t>
        </is>
      </c>
    </row>
    <row r="14652">
      <c r="A14652" s="8" t="inlineStr">
        <is>
          <t>2026-08-03</t>
        </is>
      </c>
      <c r="B14652" s="8" t="n">
        <v>13</v>
      </c>
      <c r="C14652" s="8" t="n">
        <v>1</v>
      </c>
      <c r="D14652" s="8" t="inlineStr">
        <is>
          <t>Disneyland Park</t>
        </is>
      </c>
      <c r="E14652" s="8" t="inlineStr">
        <is>
          <t>"it's a small world"</t>
        </is>
      </c>
      <c r="F14652" s="8" t="inlineStr">
        <is>
          <t>STANDBY</t>
        </is>
      </c>
      <c r="G14652" s="8" t="n">
        <v>10</v>
      </c>
      <c r="H14652" s="8" t="inlineStr">
        <is>
          <t>OPERATING</t>
        </is>
      </c>
    </row>
    <row r="14653">
      <c r="A14653" s="8" t="inlineStr">
        <is>
          <t>2026-08-03</t>
        </is>
      </c>
      <c r="B14653" s="8" t="n">
        <v>13</v>
      </c>
      <c r="C14653" s="8" t="n">
        <v>1</v>
      </c>
      <c r="D14653" s="8" t="inlineStr">
        <is>
          <t>Disneyland Park</t>
        </is>
      </c>
      <c r="E14653" s="8" t="inlineStr">
        <is>
          <t>Alice's Curious Labyrinth</t>
        </is>
      </c>
      <c r="F14653" s="8" t="inlineStr">
        <is>
          <t>STANDBY</t>
        </is>
      </c>
      <c r="G14653" s="8" t="n">
        <v>5</v>
      </c>
      <c r="H14653" s="8" t="inlineStr">
        <is>
          <t>OPERATING</t>
        </is>
      </c>
    </row>
    <row r="14654">
      <c r="A14654" s="8" t="inlineStr">
        <is>
          <t>2026-08-03</t>
        </is>
      </c>
      <c r="B14654" s="8" t="n">
        <v>13</v>
      </c>
      <c r="C14654" s="8" t="n">
        <v>1</v>
      </c>
      <c r="D14654" s="8" t="inlineStr">
        <is>
          <t>Disneyland Park</t>
        </is>
      </c>
      <c r="E14654" s="8" t="inlineStr">
        <is>
          <t>Blanche-Neige et les Sept Nains®</t>
        </is>
      </c>
      <c r="F14654" s="8" t="inlineStr">
        <is>
          <t>STANDBY</t>
        </is>
      </c>
      <c r="G14654" s="8" t="n">
        <v>30</v>
      </c>
      <c r="H14654" s="8" t="inlineStr">
        <is>
          <t>OPERATING</t>
        </is>
      </c>
    </row>
    <row r="14655">
      <c r="A14655" s="8" t="inlineStr">
        <is>
          <t>2026-08-03</t>
        </is>
      </c>
      <c r="B14655" s="8" t="n">
        <v>13</v>
      </c>
      <c r="C14655" s="8" t="n">
        <v>1</v>
      </c>
      <c r="D14655" s="8" t="inlineStr">
        <is>
          <t>Disneyland Park</t>
        </is>
      </c>
      <c r="E14655" s="8" t="inlineStr">
        <is>
          <t>Casey Jr. – le Petit Train du Cirque</t>
        </is>
      </c>
      <c r="F14655" s="8" t="inlineStr">
        <is>
          <t>STANDBY</t>
        </is>
      </c>
      <c r="G14655" s="8" t="n">
        <v>15</v>
      </c>
      <c r="H14655" s="8" t="inlineStr">
        <is>
          <t>OPERATING</t>
        </is>
      </c>
    </row>
    <row r="14656">
      <c r="A14656" s="8" t="inlineStr">
        <is>
          <t>2026-08-03</t>
        </is>
      </c>
      <c r="B14656" s="8" t="n">
        <v>13</v>
      </c>
      <c r="C14656" s="8" t="n">
        <v>1</v>
      </c>
      <c r="D14656" s="8" t="inlineStr">
        <is>
          <t>Disneyland Park</t>
        </is>
      </c>
      <c r="E14656" s="8" t="inlineStr">
        <is>
          <t>Disneyland Railroad Fantasyland Station</t>
        </is>
      </c>
      <c r="F14656" s="8" t="inlineStr">
        <is>
          <t>STANDBY</t>
        </is>
      </c>
      <c r="G14656" s="8" t="n">
        <v>0</v>
      </c>
      <c r="H14656" s="8" t="inlineStr">
        <is>
          <t>CLOSED</t>
        </is>
      </c>
    </row>
    <row r="14657">
      <c r="A14657" s="8" t="inlineStr">
        <is>
          <t>2026-08-03</t>
        </is>
      </c>
      <c r="B14657" s="8" t="n">
        <v>13</v>
      </c>
      <c r="C14657" s="8" t="n">
        <v>1</v>
      </c>
      <c r="D14657" s="8" t="inlineStr">
        <is>
          <t>Disneyland Park</t>
        </is>
      </c>
      <c r="E14657" s="8" t="inlineStr">
        <is>
          <t>Disneyland Railroad Main Street Station</t>
        </is>
      </c>
      <c r="F14657" s="8" t="inlineStr">
        <is>
          <t>STANDBY</t>
        </is>
      </c>
      <c r="G14657" s="8" t="n">
        <v>0</v>
      </c>
      <c r="H14657" s="8" t="inlineStr">
        <is>
          <t>CLOSED</t>
        </is>
      </c>
    </row>
    <row r="14658">
      <c r="A14658" s="8" t="inlineStr">
        <is>
          <t>2026-08-03</t>
        </is>
      </c>
      <c r="B14658" s="8" t="n">
        <v>13</v>
      </c>
      <c r="C14658" s="8" t="n">
        <v>1</v>
      </c>
      <c r="D14658" s="8" t="inlineStr">
        <is>
          <t>Disneyland Park</t>
        </is>
      </c>
      <c r="E14658" s="8" t="inlineStr">
        <is>
          <t>Dumbo the Flying Elephant</t>
        </is>
      </c>
      <c r="F14658" s="8" t="inlineStr">
        <is>
          <t>STANDBY</t>
        </is>
      </c>
      <c r="G14658" s="8" t="n">
        <v>0</v>
      </c>
      <c r="H14658" s="8" t="inlineStr">
        <is>
          <t>CLOSED</t>
        </is>
      </c>
    </row>
    <row r="14659">
      <c r="A14659" s="8" t="inlineStr">
        <is>
          <t>2026-08-03</t>
        </is>
      </c>
      <c r="B14659" s="8" t="n">
        <v>13</v>
      </c>
      <c r="C14659" s="8" t="n">
        <v>1</v>
      </c>
      <c r="D14659" s="8" t="inlineStr">
        <is>
          <t>Disneyland Park</t>
        </is>
      </c>
      <c r="E14659" s="8" t="inlineStr">
        <is>
          <t>La Tanière du Dragon</t>
        </is>
      </c>
      <c r="F14659" s="8" t="inlineStr">
        <is>
          <t>STANDBY</t>
        </is>
      </c>
      <c r="G14659" s="8" t="n">
        <v>0</v>
      </c>
      <c r="H14659" s="8" t="inlineStr">
        <is>
          <t>OPERATING</t>
        </is>
      </c>
    </row>
    <row r="14660">
      <c r="A14660" s="8" t="inlineStr">
        <is>
          <t>2026-08-03</t>
        </is>
      </c>
      <c r="B14660" s="8" t="n">
        <v>13</v>
      </c>
      <c r="C14660" s="8" t="n">
        <v>1</v>
      </c>
      <c r="D14660" s="8" t="inlineStr">
        <is>
          <t>Disneyland Park</t>
        </is>
      </c>
      <c r="E14660" s="8" t="inlineStr">
        <is>
          <t>Le Carrousel de Lancelot</t>
        </is>
      </c>
      <c r="F14660" s="8" t="inlineStr">
        <is>
          <t>STANDBY</t>
        </is>
      </c>
      <c r="G14660" s="8" t="n">
        <v>10</v>
      </c>
      <c r="H14660" s="8" t="inlineStr">
        <is>
          <t>OPERATING</t>
        </is>
      </c>
    </row>
    <row r="14661">
      <c r="A14661" s="8" t="inlineStr">
        <is>
          <t>2026-08-03</t>
        </is>
      </c>
      <c r="B14661" s="8" t="n">
        <v>13</v>
      </c>
      <c r="C14661" s="8" t="n">
        <v>1</v>
      </c>
      <c r="D14661" s="8" t="inlineStr">
        <is>
          <t>Disneyland Park</t>
        </is>
      </c>
      <c r="E14661" s="8" t="inlineStr">
        <is>
          <t>Le Pays des Contes de Fées, presented by Vittel</t>
        </is>
      </c>
      <c r="F14661" s="8" t="inlineStr">
        <is>
          <t>STANDBY</t>
        </is>
      </c>
      <c r="G14661" s="8" t="n">
        <v>0</v>
      </c>
      <c r="H14661" s="8" t="inlineStr">
        <is>
          <t>CLOSED</t>
        </is>
      </c>
    </row>
    <row r="14662">
      <c r="A14662" s="8" t="inlineStr">
        <is>
          <t>2026-08-03</t>
        </is>
      </c>
      <c r="B14662" s="8" t="n">
        <v>13</v>
      </c>
      <c r="C14662" s="8" t="n">
        <v>1</v>
      </c>
      <c r="D14662" s="8" t="inlineStr">
        <is>
          <t>Disneyland Park</t>
        </is>
      </c>
      <c r="E14662" s="8" t="inlineStr">
        <is>
          <t>Les Voyages de Pinocchio</t>
        </is>
      </c>
      <c r="F14662" s="8" t="inlineStr">
        <is>
          <t>STANDBY</t>
        </is>
      </c>
      <c r="G14662" s="8" t="n">
        <v>25</v>
      </c>
      <c r="H14662" s="8" t="inlineStr">
        <is>
          <t>OPERATING</t>
        </is>
      </c>
    </row>
    <row r="14663">
      <c r="A14663" s="8" t="inlineStr">
        <is>
          <t>2026-08-03</t>
        </is>
      </c>
      <c r="B14663" s="8" t="n">
        <v>13</v>
      </c>
      <c r="C14663" s="8" t="n">
        <v>1</v>
      </c>
      <c r="D14663" s="8" t="inlineStr">
        <is>
          <t>Disneyland Park</t>
        </is>
      </c>
      <c r="E14663" s="8" t="inlineStr">
        <is>
          <t>Mad Hatter's Tea Cups</t>
        </is>
      </c>
      <c r="F14663" s="8" t="inlineStr">
        <is>
          <t>STANDBY</t>
        </is>
      </c>
      <c r="G14663" s="8" t="n">
        <v>10</v>
      </c>
      <c r="H14663" s="8" t="inlineStr">
        <is>
          <t>OPERATING</t>
        </is>
      </c>
    </row>
    <row r="14664">
      <c r="A14664" s="8" t="inlineStr">
        <is>
          <t>2026-08-03</t>
        </is>
      </c>
      <c r="B14664" s="8" t="n">
        <v>13</v>
      </c>
      <c r="C14664" s="8" t="n">
        <v>1</v>
      </c>
      <c r="D14664" s="8" t="inlineStr">
        <is>
          <t>Disneyland Park</t>
        </is>
      </c>
      <c r="E14664" s="8" t="inlineStr">
        <is>
          <t>Meet Mickey Mouse</t>
        </is>
      </c>
      <c r="F14664" s="8" t="inlineStr">
        <is>
          <t>STANDBY</t>
        </is>
      </c>
      <c r="G14664" s="8" t="n">
        <v>0</v>
      </c>
      <c r="H14664" s="8" t="inlineStr">
        <is>
          <t>OPERATING</t>
        </is>
      </c>
    </row>
    <row r="14665">
      <c r="A14665" s="8" t="inlineStr">
        <is>
          <t>2026-08-03</t>
        </is>
      </c>
      <c r="B14665" s="8" t="n">
        <v>13</v>
      </c>
      <c r="C14665" s="8" t="n">
        <v>1</v>
      </c>
      <c r="D14665" s="8" t="inlineStr">
        <is>
          <t>Disneyland Park</t>
        </is>
      </c>
      <c r="E14665" s="8" t="inlineStr">
        <is>
          <t>Peter Pan's Flight</t>
        </is>
      </c>
      <c r="F14665" s="8" t="inlineStr">
        <is>
          <t>STANDBY</t>
        </is>
      </c>
      <c r="G14665" s="8" t="n">
        <v>60</v>
      </c>
      <c r="H14665" s="8" t="inlineStr">
        <is>
          <t>OPERATING</t>
        </is>
      </c>
    </row>
    <row r="14666">
      <c r="A14666" s="8" t="inlineStr">
        <is>
          <t>2026-08-03</t>
        </is>
      </c>
      <c r="B14666" s="8" t="n">
        <v>13</v>
      </c>
      <c r="C14666" s="8" t="n">
        <v>1</v>
      </c>
      <c r="D14666" s="8" t="inlineStr">
        <is>
          <t>Disneyland Park</t>
        </is>
      </c>
      <c r="E14666" s="8" t="inlineStr">
        <is>
          <t>Princess Pavilion</t>
        </is>
      </c>
      <c r="F14666" s="8" t="inlineStr">
        <is>
          <t>STANDBY</t>
        </is>
      </c>
      <c r="G14666" s="8" t="n">
        <v>0</v>
      </c>
      <c r="H14666" s="8" t="inlineStr">
        <is>
          <t>OPERATING</t>
        </is>
      </c>
    </row>
    <row r="14667">
      <c r="A14667" s="8" t="inlineStr">
        <is>
          <t>2026-08-03</t>
        </is>
      </c>
      <c r="B14667" s="8" t="n">
        <v>13</v>
      </c>
      <c r="C14667" s="8" t="n">
        <v>1</v>
      </c>
      <c r="D14667" s="8" t="inlineStr">
        <is>
          <t>Disneyland Park</t>
        </is>
      </c>
      <c r="E14667" s="8" t="inlineStr">
        <is>
          <t>Big Thunder Mountain</t>
        </is>
      </c>
      <c r="F14667" s="8" t="inlineStr">
        <is>
          <t>STANDBY</t>
        </is>
      </c>
      <c r="G14667" s="8" t="n">
        <v>90</v>
      </c>
      <c r="H14667" s="8" t="inlineStr">
        <is>
          <t>OPERATING</t>
        </is>
      </c>
    </row>
    <row r="14668">
      <c r="A14668" s="8" t="inlineStr">
        <is>
          <t>2026-08-03</t>
        </is>
      </c>
      <c r="B14668" s="8" t="n">
        <v>13</v>
      </c>
      <c r="C14668" s="8" t="n">
        <v>1</v>
      </c>
      <c r="D14668" s="8" t="inlineStr">
        <is>
          <t>Disneyland Park</t>
        </is>
      </c>
      <c r="E14668" s="8" t="inlineStr">
        <is>
          <t>Disneyland Railroad Frontierland Depot</t>
        </is>
      </c>
      <c r="F14668" s="8" t="inlineStr">
        <is>
          <t>STANDBY</t>
        </is>
      </c>
      <c r="G14668" s="8" t="n">
        <v>0</v>
      </c>
      <c r="H14668" s="8" t="inlineStr">
        <is>
          <t>CLOSED</t>
        </is>
      </c>
    </row>
    <row r="14669">
      <c r="A14669" s="8" t="inlineStr">
        <is>
          <t>2026-08-03</t>
        </is>
      </c>
      <c r="B14669" s="8" t="n">
        <v>13</v>
      </c>
      <c r="C14669" s="8" t="n">
        <v>1</v>
      </c>
      <c r="D14669" s="8" t="inlineStr">
        <is>
          <t>Disneyland Park</t>
        </is>
      </c>
      <c r="E14669" s="8" t="inlineStr">
        <is>
          <t>Frontierland Playground</t>
        </is>
      </c>
      <c r="F14669" s="8" t="inlineStr">
        <is>
          <t>STANDBY</t>
        </is>
      </c>
      <c r="G14669" s="8" t="n">
        <v>0</v>
      </c>
      <c r="H14669" s="8" t="inlineStr">
        <is>
          <t>CLOSED</t>
        </is>
      </c>
    </row>
    <row r="14670">
      <c r="A14670" s="8" t="inlineStr">
        <is>
          <t>2026-08-03</t>
        </is>
      </c>
      <c r="B14670" s="8" t="n">
        <v>13</v>
      </c>
      <c r="C14670" s="8" t="n">
        <v>1</v>
      </c>
      <c r="D14670" s="8" t="inlineStr">
        <is>
          <t>Disneyland Park</t>
        </is>
      </c>
      <c r="E14670" s="8" t="inlineStr">
        <is>
          <t>Phantom Manor</t>
        </is>
      </c>
      <c r="F14670" s="8" t="inlineStr">
        <is>
          <t>STANDBY</t>
        </is>
      </c>
      <c r="G14670" s="8" t="n">
        <v>15</v>
      </c>
      <c r="H14670" s="8" t="inlineStr">
        <is>
          <t>OPERATING</t>
        </is>
      </c>
    </row>
    <row r="14671">
      <c r="A14671" s="8" t="inlineStr">
        <is>
          <t>2026-08-03</t>
        </is>
      </c>
      <c r="B14671" s="8" t="n">
        <v>13</v>
      </c>
      <c r="C14671" s="8" t="n">
        <v>1</v>
      </c>
      <c r="D14671" s="8" t="inlineStr">
        <is>
          <t>Disneyland Park</t>
        </is>
      </c>
      <c r="E14671" s="8" t="inlineStr">
        <is>
          <t>River Rogue Keelboats</t>
        </is>
      </c>
      <c r="F14671" s="8" t="inlineStr">
        <is>
          <t>STANDBY</t>
        </is>
      </c>
      <c r="G14671" s="8" t="n">
        <v>0</v>
      </c>
      <c r="H14671" s="8" t="inlineStr">
        <is>
          <t>CLOSED</t>
        </is>
      </c>
    </row>
    <row r="14672">
      <c r="A14672" s="8" t="inlineStr">
        <is>
          <t>2026-08-03</t>
        </is>
      </c>
      <c r="B14672" s="8" t="n">
        <v>13</v>
      </c>
      <c r="C14672" s="8" t="n">
        <v>1</v>
      </c>
      <c r="D14672" s="8" t="inlineStr">
        <is>
          <t>Disneyland Park</t>
        </is>
      </c>
      <c r="E14672" s="8" t="inlineStr">
        <is>
          <t>Rustler Roundup Shootin' Gallery</t>
        </is>
      </c>
      <c r="F14672" s="8" t="inlineStr">
        <is>
          <t>STANDBY</t>
        </is>
      </c>
      <c r="G14672" s="8" t="n">
        <v>0</v>
      </c>
      <c r="H14672" s="8" t="inlineStr">
        <is>
          <t>OPERATING</t>
        </is>
      </c>
    </row>
    <row r="14673">
      <c r="A14673" s="8" t="inlineStr">
        <is>
          <t>2026-08-03</t>
        </is>
      </c>
      <c r="B14673" s="8" t="n">
        <v>13</v>
      </c>
      <c r="C14673" s="8" t="n">
        <v>1</v>
      </c>
      <c r="D14673" s="8" t="inlineStr">
        <is>
          <t>Disneyland Park</t>
        </is>
      </c>
      <c r="E14673" s="8" t="inlineStr">
        <is>
          <t>Thunder Mesa Riverboat Landing</t>
        </is>
      </c>
      <c r="F14673" s="8" t="inlineStr">
        <is>
          <t>STANDBY</t>
        </is>
      </c>
      <c r="G14673" s="8" t="n">
        <v>20</v>
      </c>
      <c r="H14673" s="8" t="inlineStr">
        <is>
          <t>OPERATING</t>
        </is>
      </c>
    </row>
    <row r="14674">
      <c r="A14674" s="8" t="inlineStr">
        <is>
          <t>2026-08-03</t>
        </is>
      </c>
      <c r="B14674" s="8" t="n">
        <v>13</v>
      </c>
      <c r="C14674" s="8" t="n">
        <v>1</v>
      </c>
      <c r="D14674" s="8" t="inlineStr">
        <is>
          <t>Disneyland Park</t>
        </is>
      </c>
      <c r="E14674" s="8" t="inlineStr">
        <is>
          <t>Disneyland Railroad Main Street Station</t>
        </is>
      </c>
      <c r="F14674" s="8" t="inlineStr">
        <is>
          <t>STANDBY</t>
        </is>
      </c>
      <c r="G14674" s="8" t="n">
        <v>0</v>
      </c>
      <c r="H14674" s="8" t="inlineStr">
        <is>
          <t>CLOSED</t>
        </is>
      </c>
    </row>
    <row r="14675">
      <c r="A14675" s="8" t="inlineStr">
        <is>
          <t>2026-08-03</t>
        </is>
      </c>
      <c r="B14675" s="8" t="n">
        <v>13</v>
      </c>
      <c r="C14675" s="8" t="n">
        <v>1</v>
      </c>
      <c r="D14675" s="8" t="inlineStr">
        <is>
          <t>Disneyland Park</t>
        </is>
      </c>
      <c r="E14675" s="8" t="inlineStr">
        <is>
          <t>Main Street Vehicles</t>
        </is>
      </c>
      <c r="F14675" s="8" t="inlineStr">
        <is>
          <t>STANDBY</t>
        </is>
      </c>
      <c r="G14675" s="8" t="n">
        <v>5</v>
      </c>
      <c r="H14675" s="8" t="inlineStr">
        <is>
          <t>OPERATING</t>
        </is>
      </c>
    </row>
    <row r="14676">
      <c r="A14676" s="8" t="inlineStr">
        <is>
          <t>2026-08-03</t>
        </is>
      </c>
      <c r="B14676" s="8" t="n">
        <v>13</v>
      </c>
      <c r="C14676" s="8" t="n">
        <v>1</v>
      </c>
      <c r="D14676" s="8" t="inlineStr">
        <is>
          <t>Disney Adventure World</t>
        </is>
      </c>
      <c r="E14676" s="8" t="inlineStr">
        <is>
          <t>Avengers Assemble: Flight Force</t>
        </is>
      </c>
      <c r="F14676" s="8" t="inlineStr">
        <is>
          <t>STANDBY</t>
        </is>
      </c>
      <c r="G14676" s="8" t="n">
        <v>15</v>
      </c>
      <c r="H14676" s="8" t="inlineStr">
        <is>
          <t>OPERATING</t>
        </is>
      </c>
    </row>
    <row r="14677">
      <c r="A14677" s="8" t="inlineStr">
        <is>
          <t>2026-08-03</t>
        </is>
      </c>
      <c r="B14677" s="8" t="n">
        <v>13</v>
      </c>
      <c r="C14677" s="8" t="n">
        <v>1</v>
      </c>
      <c r="D14677" s="8" t="inlineStr">
        <is>
          <t>Disney Adventure World</t>
        </is>
      </c>
      <c r="E14677" s="8" t="inlineStr">
        <is>
          <t>Avengers Assemble: Flight Force Single Rider</t>
        </is>
      </c>
      <c r="F14677" s="8" t="inlineStr">
        <is>
          <t>STANDBY</t>
        </is>
      </c>
      <c r="G14677" s="8" t="n">
        <v>10</v>
      </c>
      <c r="H14677" s="8" t="inlineStr">
        <is>
          <t>OPERATING</t>
        </is>
      </c>
    </row>
    <row r="14678">
      <c r="A14678" s="8" t="inlineStr">
        <is>
          <t>2026-08-03</t>
        </is>
      </c>
      <c r="B14678" s="8" t="n">
        <v>13</v>
      </c>
      <c r="C14678" s="8" t="n">
        <v>1</v>
      </c>
      <c r="D14678" s="8" t="inlineStr">
        <is>
          <t>Disney Adventure World</t>
        </is>
      </c>
      <c r="E14678" s="8" t="inlineStr">
        <is>
          <t>Spider-Man W.E.B. Adventure</t>
        </is>
      </c>
      <c r="F14678" s="8" t="inlineStr">
        <is>
          <t>STANDBY</t>
        </is>
      </c>
      <c r="G14678" s="8" t="n">
        <v>50</v>
      </c>
      <c r="H14678" s="8" t="inlineStr">
        <is>
          <t>OPERATING</t>
        </is>
      </c>
    </row>
    <row r="14679">
      <c r="A14679" s="8" t="inlineStr">
        <is>
          <t>2026-08-03</t>
        </is>
      </c>
      <c r="B14679" s="8" t="n">
        <v>13</v>
      </c>
      <c r="C14679" s="8" t="n">
        <v>1</v>
      </c>
      <c r="D14679" s="8" t="inlineStr">
        <is>
          <t>Disney Adventure World</t>
        </is>
      </c>
      <c r="E14679" s="8" t="inlineStr">
        <is>
          <t>Spider-Man W.E.B. Adventure Single Rider</t>
        </is>
      </c>
      <c r="F14679" s="8" t="inlineStr">
        <is>
          <t>STANDBY</t>
        </is>
      </c>
      <c r="G14679" s="8" t="n">
        <v>30</v>
      </c>
      <c r="H14679" s="8" t="inlineStr">
        <is>
          <t>OPERATING</t>
        </is>
      </c>
    </row>
    <row r="14680">
      <c r="A14680" s="8" t="inlineStr">
        <is>
          <t>2026-08-03</t>
        </is>
      </c>
      <c r="B14680" s="8" t="n">
        <v>13</v>
      </c>
      <c r="C14680" s="8" t="n">
        <v>1</v>
      </c>
      <c r="D14680" s="8" t="inlineStr">
        <is>
          <t>Disney Adventure World</t>
        </is>
      </c>
      <c r="E14680" s="8" t="inlineStr">
        <is>
          <t>The Twilight Zone Tower of Terror</t>
        </is>
      </c>
      <c r="F14680" s="8" t="inlineStr">
        <is>
          <t>STANDBY</t>
        </is>
      </c>
      <c r="G14680" s="8" t="n">
        <v>25</v>
      </c>
      <c r="H14680" s="8" t="inlineStr">
        <is>
          <t>OPERATING</t>
        </is>
      </c>
    </row>
    <row r="14681">
      <c r="A14681" s="8" t="inlineStr">
        <is>
          <t>2026-08-03</t>
        </is>
      </c>
      <c r="B14681" s="8" t="n">
        <v>13</v>
      </c>
      <c r="C14681" s="8" t="n">
        <v>1</v>
      </c>
      <c r="D14681" s="8" t="inlineStr">
        <is>
          <t>Disney Adventure World</t>
        </is>
      </c>
      <c r="E14681" s="8" t="inlineStr">
        <is>
          <t>Cars Quatre Roues Rallye</t>
        </is>
      </c>
      <c r="F14681" s="8" t="inlineStr">
        <is>
          <t>STANDBY</t>
        </is>
      </c>
      <c r="G14681" s="8" t="n">
        <v>5</v>
      </c>
      <c r="H14681" s="8" t="inlineStr">
        <is>
          <t>OPERATING</t>
        </is>
      </c>
    </row>
    <row r="14682">
      <c r="A14682" s="8" t="inlineStr">
        <is>
          <t>2026-08-03</t>
        </is>
      </c>
      <c r="B14682" s="8" t="n">
        <v>13</v>
      </c>
      <c r="C14682" s="8" t="n">
        <v>1</v>
      </c>
      <c r="D14682" s="8" t="inlineStr">
        <is>
          <t>Disney Adventure World</t>
        </is>
      </c>
      <c r="E14682" s="8" t="inlineStr">
        <is>
          <t>Cars ROAD TRIP</t>
        </is>
      </c>
      <c r="F14682" s="8" t="inlineStr">
        <is>
          <t>STANDBY</t>
        </is>
      </c>
      <c r="G14682" s="8" t="n">
        <v>15</v>
      </c>
      <c r="H14682" s="8" t="inlineStr">
        <is>
          <t>OPERATING</t>
        </is>
      </c>
    </row>
    <row r="14683">
      <c r="A14683" s="8" t="inlineStr">
        <is>
          <t>2026-08-03</t>
        </is>
      </c>
      <c r="B14683" s="8" t="n">
        <v>13</v>
      </c>
      <c r="C14683" s="8" t="n">
        <v>1</v>
      </c>
      <c r="D14683" s="8" t="inlineStr">
        <is>
          <t>Disney Adventure World</t>
        </is>
      </c>
      <c r="E14683" s="8" t="inlineStr">
        <is>
          <t>Crush's Coaster</t>
        </is>
      </c>
      <c r="F14683" s="8" t="inlineStr">
        <is>
          <t>STANDBY</t>
        </is>
      </c>
      <c r="G14683" s="8" t="n">
        <v>75</v>
      </c>
      <c r="H14683" s="8" t="inlineStr">
        <is>
          <t>OPERATING</t>
        </is>
      </c>
    </row>
    <row r="14684">
      <c r="A14684" s="8" t="inlineStr">
        <is>
          <t>2026-08-03</t>
        </is>
      </c>
      <c r="B14684" s="8" t="n">
        <v>13</v>
      </c>
      <c r="C14684" s="8" t="n">
        <v>1</v>
      </c>
      <c r="D14684" s="8" t="inlineStr">
        <is>
          <t>Disney Adventure World</t>
        </is>
      </c>
      <c r="E14684" s="8" t="inlineStr">
        <is>
          <t>Crush's Coaster Single Rider</t>
        </is>
      </c>
      <c r="F14684" s="8" t="inlineStr">
        <is>
          <t>STANDBY</t>
        </is>
      </c>
      <c r="G14684" s="8" t="n">
        <v>55</v>
      </c>
      <c r="H14684" s="8" t="inlineStr">
        <is>
          <t>OPERATING</t>
        </is>
      </c>
    </row>
    <row r="14685">
      <c r="A14685" s="8" t="inlineStr">
        <is>
          <t>2026-08-03</t>
        </is>
      </c>
      <c r="B14685" s="8" t="n">
        <v>13</v>
      </c>
      <c r="C14685" s="8" t="n">
        <v>1</v>
      </c>
      <c r="D14685" s="8" t="inlineStr">
        <is>
          <t>Disney Adventure World</t>
        </is>
      </c>
      <c r="E14685" s="8" t="inlineStr">
        <is>
          <t>Les Tapis Volants - Flying Carpets Over Agrabah®</t>
        </is>
      </c>
      <c r="F14685" s="8" t="inlineStr">
        <is>
          <t>STANDBY</t>
        </is>
      </c>
      <c r="G14685" s="8" t="n">
        <v>5</v>
      </c>
      <c r="H14685" s="8" t="inlineStr">
        <is>
          <t>OPERATING</t>
        </is>
      </c>
    </row>
    <row r="14686">
      <c r="A14686" s="8" t="inlineStr">
        <is>
          <t>2026-08-03</t>
        </is>
      </c>
      <c r="B14686" s="8" t="n">
        <v>13</v>
      </c>
      <c r="C14686" s="8" t="n">
        <v>1</v>
      </c>
      <c r="D14686" s="8" t="inlineStr">
        <is>
          <t>Disney Adventure World</t>
        </is>
      </c>
      <c r="E14686" s="8" t="inlineStr">
        <is>
          <t>Ratatouille : L’Aventure Totalement Toquée de Rémy​</t>
        </is>
      </c>
      <c r="F14686" s="8" t="inlineStr">
        <is>
          <t>STANDBY</t>
        </is>
      </c>
      <c r="G14686" s="8" t="n">
        <v>60</v>
      </c>
      <c r="H14686" s="8" t="inlineStr">
        <is>
          <t>OPERATING</t>
        </is>
      </c>
    </row>
    <row r="14687">
      <c r="A14687" s="8" t="inlineStr">
        <is>
          <t>2026-08-03</t>
        </is>
      </c>
      <c r="B14687" s="8" t="n">
        <v>13</v>
      </c>
      <c r="C14687" s="8" t="n">
        <v>1</v>
      </c>
      <c r="D14687" s="8" t="inlineStr">
        <is>
          <t>Disney Adventure World</t>
        </is>
      </c>
      <c r="E14687" s="8" t="inlineStr">
        <is>
          <t>Ratatouille: The Adventure Single Rider</t>
        </is>
      </c>
      <c r="F14687" s="8" t="inlineStr">
        <is>
          <t>STANDBY</t>
        </is>
      </c>
      <c r="G14687" s="8" t="n">
        <v>10</v>
      </c>
      <c r="H14687" s="8" t="inlineStr">
        <is>
          <t>OPERATING</t>
        </is>
      </c>
    </row>
    <row r="14688">
      <c r="A14688" s="8" t="inlineStr">
        <is>
          <t>2026-08-03</t>
        </is>
      </c>
      <c r="B14688" s="8" t="n">
        <v>13</v>
      </c>
      <c r="C14688" s="8" t="n">
        <v>1</v>
      </c>
      <c r="D14688" s="8" t="inlineStr">
        <is>
          <t>Disney Adventure World</t>
        </is>
      </c>
      <c r="E14688" s="8" t="inlineStr">
        <is>
          <t>RC Racer</t>
        </is>
      </c>
      <c r="F14688" s="8" t="inlineStr">
        <is>
          <t>STANDBY</t>
        </is>
      </c>
      <c r="G14688" s="8" t="n">
        <v>35</v>
      </c>
      <c r="H14688" s="8" t="inlineStr">
        <is>
          <t>OPERATING</t>
        </is>
      </c>
    </row>
    <row r="14689">
      <c r="A14689" s="8" t="inlineStr">
        <is>
          <t>2026-08-03</t>
        </is>
      </c>
      <c r="B14689" s="8" t="n">
        <v>13</v>
      </c>
      <c r="C14689" s="8" t="n">
        <v>1</v>
      </c>
      <c r="D14689" s="8" t="inlineStr">
        <is>
          <t>Disney Adventure World</t>
        </is>
      </c>
      <c r="E14689" s="8" t="inlineStr">
        <is>
          <t>RC Racer Single Rider</t>
        </is>
      </c>
      <c r="F14689" s="8" t="inlineStr">
        <is>
          <t>STANDBY</t>
        </is>
      </c>
      <c r="G14689" s="8" t="n">
        <v>30</v>
      </c>
      <c r="H14689" s="8" t="inlineStr">
        <is>
          <t>OPERATING</t>
        </is>
      </c>
    </row>
    <row r="14690">
      <c r="A14690" s="8" t="inlineStr">
        <is>
          <t>2026-08-03</t>
        </is>
      </c>
      <c r="B14690" s="8" t="n">
        <v>13</v>
      </c>
      <c r="C14690" s="8" t="n">
        <v>1</v>
      </c>
      <c r="D14690" s="8" t="inlineStr">
        <is>
          <t>Disney Adventure World</t>
        </is>
      </c>
      <c r="E14690" s="8" t="inlineStr">
        <is>
          <t>Slinky® Dog Zigzag Spin</t>
        </is>
      </c>
      <c r="F14690" s="8" t="inlineStr">
        <is>
          <t>STANDBY</t>
        </is>
      </c>
      <c r="G14690" s="8" t="n">
        <v>10</v>
      </c>
      <c r="H14690" s="8" t="inlineStr">
        <is>
          <t>OPERATING</t>
        </is>
      </c>
    </row>
    <row r="14691">
      <c r="A14691" s="8" t="inlineStr">
        <is>
          <t>2026-08-03</t>
        </is>
      </c>
      <c r="B14691" s="8" t="n">
        <v>13</v>
      </c>
      <c r="C14691" s="8" t="n">
        <v>1</v>
      </c>
      <c r="D14691" s="8" t="inlineStr">
        <is>
          <t>Disney Adventure World</t>
        </is>
      </c>
      <c r="E14691" s="8" t="inlineStr">
        <is>
          <t>Toy Soldiers Parachute Drop</t>
        </is>
      </c>
      <c r="F14691" s="8" t="inlineStr">
        <is>
          <t>STANDBY</t>
        </is>
      </c>
      <c r="G14691" s="8" t="n">
        <v>45</v>
      </c>
      <c r="H14691" s="8" t="inlineStr">
        <is>
          <t>OPERATING</t>
        </is>
      </c>
    </row>
    <row r="14692">
      <c r="A14692" s="8" t="inlineStr">
        <is>
          <t>2026-08-03</t>
        </is>
      </c>
      <c r="B14692" s="8" t="n">
        <v>13</v>
      </c>
      <c r="C14692" s="8" t="n">
        <v>1</v>
      </c>
      <c r="D14692" s="8" t="inlineStr">
        <is>
          <t>Disney Adventure World</t>
        </is>
      </c>
      <c r="E14692" s="8" t="inlineStr">
        <is>
          <t>Toy Soldiers Parachute Drop Single Rider</t>
        </is>
      </c>
      <c r="F14692" s="8" t="inlineStr">
        <is>
          <t>STANDBY</t>
        </is>
      </c>
      <c r="G14692" s="8" t="n">
        <v>10</v>
      </c>
      <c r="H14692" s="8" t="inlineStr">
        <is>
          <t>OPERATING</t>
        </is>
      </c>
    </row>
    <row r="14693">
      <c r="A14693" s="8" t="inlineStr">
        <is>
          <t>2026-08-03</t>
        </is>
      </c>
      <c r="B14693" s="8" t="n">
        <v>13</v>
      </c>
      <c r="C14693" s="8" t="n">
        <v>1</v>
      </c>
      <c r="D14693" s="8" t="inlineStr">
        <is>
          <t>Disney Adventure World</t>
        </is>
      </c>
      <c r="E14693" s="8" t="inlineStr">
        <is>
          <t>Entry to World of Frozen</t>
        </is>
      </c>
      <c r="F14693" s="8" t="inlineStr">
        <is>
          <t>STANDBY</t>
        </is>
      </c>
      <c r="G14693" s="8" t="n">
        <v>0</v>
      </c>
      <c r="H14693" s="8" t="inlineStr">
        <is>
          <t>OPERATING</t>
        </is>
      </c>
    </row>
    <row r="14694">
      <c r="A14694" s="8" t="inlineStr">
        <is>
          <t>2026-08-03</t>
        </is>
      </c>
      <c r="B14694" s="8" t="n">
        <v>13</v>
      </c>
      <c r="C14694" s="8" t="n">
        <v>1</v>
      </c>
      <c r="D14694" s="8" t="inlineStr">
        <is>
          <t>Disney Adventure World</t>
        </is>
      </c>
      <c r="E14694" s="8" t="inlineStr">
        <is>
          <t>Frozen Ever After</t>
        </is>
      </c>
      <c r="F14694" s="8" t="inlineStr">
        <is>
          <t>STANDBY</t>
        </is>
      </c>
      <c r="G14694" s="8" t="n">
        <v>70</v>
      </c>
      <c r="H14694" s="8" t="inlineStr">
        <is>
          <t>OPERATING</t>
        </is>
      </c>
    </row>
    <row r="14695">
      <c r="A14695" s="8" t="inlineStr">
        <is>
          <t>2026-08-03</t>
        </is>
      </c>
      <c r="B14695" s="8" t="n">
        <v>13</v>
      </c>
      <c r="C14695" s="8" t="n">
        <v>1</v>
      </c>
      <c r="D14695" s="8" t="inlineStr">
        <is>
          <t>Disney Adventure World</t>
        </is>
      </c>
      <c r="E14695" s="8" t="inlineStr">
        <is>
          <t>Raiponce Tangled Spin</t>
        </is>
      </c>
      <c r="F14695" s="8" t="inlineStr">
        <is>
          <t>STANDBY</t>
        </is>
      </c>
      <c r="G14695" s="8" t="n">
        <v>10</v>
      </c>
      <c r="H14695" s="8" t="inlineStr">
        <is>
          <t>OPERATING</t>
        </is>
      </c>
    </row>
    <row r="14696">
      <c r="A14696" s="8" t="inlineStr">
        <is>
          <t>2026-08-03</t>
        </is>
      </c>
      <c r="B14696" s="8" t="n">
        <v>13</v>
      </c>
      <c r="C14696" s="8" t="n">
        <v>15</v>
      </c>
      <c r="D14696" s="8" t="inlineStr">
        <is>
          <t>Disneyland Park</t>
        </is>
      </c>
      <c r="E14696" s="8" t="inlineStr">
        <is>
          <t>Adventure Isle</t>
        </is>
      </c>
      <c r="F14696" s="8" t="inlineStr">
        <is>
          <t>STANDBY</t>
        </is>
      </c>
      <c r="G14696" s="8" t="n">
        <v>0</v>
      </c>
      <c r="H14696" s="8" t="inlineStr">
        <is>
          <t>OPERATING</t>
        </is>
      </c>
    </row>
    <row r="14697">
      <c r="A14697" s="8" t="inlineStr">
        <is>
          <t>2026-08-03</t>
        </is>
      </c>
      <c r="B14697" s="8" t="n">
        <v>13</v>
      </c>
      <c r="C14697" s="8" t="n">
        <v>15</v>
      </c>
      <c r="D14697" s="8" t="inlineStr">
        <is>
          <t>Disneyland Park</t>
        </is>
      </c>
      <c r="E14697" s="8" t="inlineStr">
        <is>
          <t>Indiana Jones and the Temple of Peril Single Rider</t>
        </is>
      </c>
      <c r="F14697" s="8" t="inlineStr">
        <is>
          <t>STANDBY</t>
        </is>
      </c>
      <c r="G14697" s="8" t="n">
        <v>20</v>
      </c>
      <c r="H14697" s="8" t="inlineStr">
        <is>
          <t>OPERATING</t>
        </is>
      </c>
    </row>
    <row r="14698">
      <c r="A14698" s="8" t="inlineStr">
        <is>
          <t>2026-08-03</t>
        </is>
      </c>
      <c r="B14698" s="8" t="n">
        <v>13</v>
      </c>
      <c r="C14698" s="8" t="n">
        <v>15</v>
      </c>
      <c r="D14698" s="8" t="inlineStr">
        <is>
          <t>Disneyland Park</t>
        </is>
      </c>
      <c r="E14698" s="8" t="inlineStr">
        <is>
          <t>Indiana Jones™ and the Temple of Peril</t>
        </is>
      </c>
      <c r="F14698" s="8" t="inlineStr">
        <is>
          <t>STANDBY</t>
        </is>
      </c>
      <c r="G14698" s="8" t="n">
        <v>40</v>
      </c>
      <c r="H14698" s="8" t="inlineStr">
        <is>
          <t>OPERATING</t>
        </is>
      </c>
    </row>
    <row r="14699">
      <c r="A14699" s="8" t="inlineStr">
        <is>
          <t>2026-08-03</t>
        </is>
      </c>
      <c r="B14699" s="8" t="n">
        <v>13</v>
      </c>
      <c r="C14699" s="8" t="n">
        <v>15</v>
      </c>
      <c r="D14699" s="8" t="inlineStr">
        <is>
          <t>Disneyland Park</t>
        </is>
      </c>
      <c r="E14699" s="8" t="inlineStr">
        <is>
          <t>La Cabane des Robinson</t>
        </is>
      </c>
      <c r="F14699" s="8" t="inlineStr">
        <is>
          <t>STANDBY</t>
        </is>
      </c>
      <c r="G14699" s="8" t="n">
        <v>5</v>
      </c>
      <c r="H14699" s="8" t="inlineStr">
        <is>
          <t>OPERATING</t>
        </is>
      </c>
    </row>
    <row r="14700">
      <c r="A14700" s="8" t="inlineStr">
        <is>
          <t>2026-08-03</t>
        </is>
      </c>
      <c r="B14700" s="8" t="n">
        <v>13</v>
      </c>
      <c r="C14700" s="8" t="n">
        <v>15</v>
      </c>
      <c r="D14700" s="8" t="inlineStr">
        <is>
          <t>Disneyland Park</t>
        </is>
      </c>
      <c r="E14700" s="8" t="inlineStr">
        <is>
          <t>Le Passage Enchanté d'Aladdin</t>
        </is>
      </c>
      <c r="F14700" s="8" t="inlineStr">
        <is>
          <t>STANDBY</t>
        </is>
      </c>
      <c r="G14700" s="8" t="n">
        <v>0</v>
      </c>
      <c r="H14700" s="8" t="inlineStr">
        <is>
          <t>OPERATING</t>
        </is>
      </c>
    </row>
    <row r="14701">
      <c r="A14701" s="8" t="inlineStr">
        <is>
          <t>2026-08-03</t>
        </is>
      </c>
      <c r="B14701" s="8" t="n">
        <v>13</v>
      </c>
      <c r="C14701" s="8" t="n">
        <v>15</v>
      </c>
      <c r="D14701" s="8" t="inlineStr">
        <is>
          <t>Disneyland Park</t>
        </is>
      </c>
      <c r="E14701" s="8" t="inlineStr">
        <is>
          <t>Pirate Galleon</t>
        </is>
      </c>
      <c r="F14701" s="8" t="inlineStr">
        <is>
          <t>STANDBY</t>
        </is>
      </c>
      <c r="G14701" s="8" t="n">
        <v>0</v>
      </c>
      <c r="H14701" s="8" t="inlineStr">
        <is>
          <t>CLOSED</t>
        </is>
      </c>
    </row>
    <row r="14702">
      <c r="A14702" s="8" t="inlineStr">
        <is>
          <t>2026-08-03</t>
        </is>
      </c>
      <c r="B14702" s="8" t="n">
        <v>13</v>
      </c>
      <c r="C14702" s="8" t="n">
        <v>15</v>
      </c>
      <c r="D14702" s="8" t="inlineStr">
        <is>
          <t>Disneyland Park</t>
        </is>
      </c>
      <c r="E14702" s="8" t="inlineStr">
        <is>
          <t>Pirates of the Caribbean</t>
        </is>
      </c>
      <c r="F14702" s="8" t="inlineStr">
        <is>
          <t>STANDBY</t>
        </is>
      </c>
      <c r="G14702" s="8" t="n">
        <v>35</v>
      </c>
      <c r="H14702" s="8" t="inlineStr">
        <is>
          <t>OPERATING</t>
        </is>
      </c>
    </row>
    <row r="14703">
      <c r="A14703" s="8" t="inlineStr">
        <is>
          <t>2026-08-03</t>
        </is>
      </c>
      <c r="B14703" s="8" t="n">
        <v>13</v>
      </c>
      <c r="C14703" s="8" t="n">
        <v>15</v>
      </c>
      <c r="D14703" s="8" t="inlineStr">
        <is>
          <t>Disneyland Park</t>
        </is>
      </c>
      <c r="E14703" s="8" t="inlineStr">
        <is>
          <t>Pirates' Beach</t>
        </is>
      </c>
      <c r="F14703" s="8" t="inlineStr">
        <is>
          <t>STANDBY</t>
        </is>
      </c>
      <c r="G14703" s="8" t="n">
        <v>0</v>
      </c>
      <c r="H14703" s="8" t="inlineStr">
        <is>
          <t>OPERATING</t>
        </is>
      </c>
    </row>
    <row r="14704">
      <c r="A14704" s="8" t="inlineStr">
        <is>
          <t>2026-08-03</t>
        </is>
      </c>
      <c r="B14704" s="8" t="n">
        <v>13</v>
      </c>
      <c r="C14704" s="8" t="n">
        <v>15</v>
      </c>
      <c r="D14704" s="8" t="inlineStr">
        <is>
          <t>Disneyland Park</t>
        </is>
      </c>
      <c r="E14704" s="8" t="inlineStr">
        <is>
          <t>Autopia, presented by Avis</t>
        </is>
      </c>
      <c r="F14704" s="8" t="inlineStr">
        <is>
          <t>STANDBY</t>
        </is>
      </c>
      <c r="G14704" s="8" t="n">
        <v>0</v>
      </c>
      <c r="H14704" s="8" t="inlineStr">
        <is>
          <t>CLOSED</t>
        </is>
      </c>
    </row>
    <row r="14705">
      <c r="A14705" s="8" t="inlineStr">
        <is>
          <t>2026-08-03</t>
        </is>
      </c>
      <c r="B14705" s="8" t="n">
        <v>13</v>
      </c>
      <c r="C14705" s="8" t="n">
        <v>15</v>
      </c>
      <c r="D14705" s="8" t="inlineStr">
        <is>
          <t>Disneyland Park</t>
        </is>
      </c>
      <c r="E14705" s="8" t="inlineStr">
        <is>
          <t>Buzz Lightyear Laser Blast</t>
        </is>
      </c>
      <c r="F14705" s="8" t="inlineStr">
        <is>
          <t>STANDBY</t>
        </is>
      </c>
      <c r="G14705" s="8" t="n">
        <v>30</v>
      </c>
      <c r="H14705" s="8" t="inlineStr">
        <is>
          <t>OPERATING</t>
        </is>
      </c>
    </row>
    <row r="14706">
      <c r="A14706" s="8" t="inlineStr">
        <is>
          <t>2026-08-03</t>
        </is>
      </c>
      <c r="B14706" s="8" t="n">
        <v>13</v>
      </c>
      <c r="C14706" s="8" t="n">
        <v>15</v>
      </c>
      <c r="D14706" s="8" t="inlineStr">
        <is>
          <t>Disneyland Park</t>
        </is>
      </c>
      <c r="E14706" s="8" t="inlineStr">
        <is>
          <t>Disneyland Railroad Discoveryland Station</t>
        </is>
      </c>
      <c r="F14706" s="8" t="inlineStr">
        <is>
          <t>STANDBY</t>
        </is>
      </c>
      <c r="G14706" s="8" t="n">
        <v>0</v>
      </c>
      <c r="H14706" s="8" t="inlineStr">
        <is>
          <t>CLOSED</t>
        </is>
      </c>
    </row>
    <row r="14707">
      <c r="A14707" s="8" t="inlineStr">
        <is>
          <t>2026-08-03</t>
        </is>
      </c>
      <c r="B14707" s="8" t="n">
        <v>13</v>
      </c>
      <c r="C14707" s="8" t="n">
        <v>15</v>
      </c>
      <c r="D14707" s="8" t="inlineStr">
        <is>
          <t>Disneyland Park</t>
        </is>
      </c>
      <c r="E14707" s="8" t="inlineStr">
        <is>
          <t>Les Mystères du Nautilus</t>
        </is>
      </c>
      <c r="F14707" s="8" t="inlineStr">
        <is>
          <t>STANDBY</t>
        </is>
      </c>
      <c r="G14707" s="8" t="n">
        <v>5</v>
      </c>
      <c r="H14707" s="8" t="inlineStr">
        <is>
          <t>OPERATING</t>
        </is>
      </c>
    </row>
    <row r="14708">
      <c r="A14708" s="8" t="inlineStr">
        <is>
          <t>2026-08-03</t>
        </is>
      </c>
      <c r="B14708" s="8" t="n">
        <v>13</v>
      </c>
      <c r="C14708" s="8" t="n">
        <v>15</v>
      </c>
      <c r="D14708" s="8" t="inlineStr">
        <is>
          <t>Disneyland Park</t>
        </is>
      </c>
      <c r="E14708" s="8" t="inlineStr">
        <is>
          <t>Mickey’s PhilharMagic</t>
        </is>
      </c>
      <c r="F14708" s="8" t="inlineStr">
        <is>
          <t>STANDBY</t>
        </is>
      </c>
      <c r="G14708" s="8" t="n">
        <v>0</v>
      </c>
      <c r="H14708" s="8" t="inlineStr">
        <is>
          <t>OPERATING</t>
        </is>
      </c>
    </row>
    <row r="14709">
      <c r="A14709" s="8" t="inlineStr">
        <is>
          <t>2026-08-03</t>
        </is>
      </c>
      <c r="B14709" s="8" t="n">
        <v>13</v>
      </c>
      <c r="C14709" s="8" t="n">
        <v>15</v>
      </c>
      <c r="D14709" s="8" t="inlineStr">
        <is>
          <t>Disneyland Park</t>
        </is>
      </c>
      <c r="E14709" s="8" t="inlineStr">
        <is>
          <t>Orbitron®</t>
        </is>
      </c>
      <c r="F14709" s="8" t="inlineStr">
        <is>
          <t>STANDBY</t>
        </is>
      </c>
      <c r="G14709" s="8" t="n">
        <v>0</v>
      </c>
      <c r="H14709" s="8" t="inlineStr">
        <is>
          <t>CLOSED</t>
        </is>
      </c>
    </row>
    <row r="14710">
      <c r="A14710" s="8" t="inlineStr">
        <is>
          <t>2026-08-03</t>
        </is>
      </c>
      <c r="B14710" s="8" t="n">
        <v>13</v>
      </c>
      <c r="C14710" s="8" t="n">
        <v>15</v>
      </c>
      <c r="D14710" s="8" t="inlineStr">
        <is>
          <t>Disneyland Park</t>
        </is>
      </c>
      <c r="E14710" s="8" t="inlineStr">
        <is>
          <t>Star Tours: The Adventures Continue*</t>
        </is>
      </c>
      <c r="F14710" s="8" t="inlineStr">
        <is>
          <t>STANDBY</t>
        </is>
      </c>
      <c r="G14710" s="8" t="n">
        <v>15</v>
      </c>
      <c r="H14710" s="8" t="inlineStr">
        <is>
          <t>OPERATING</t>
        </is>
      </c>
    </row>
    <row r="14711">
      <c r="A14711" s="8" t="inlineStr">
        <is>
          <t>2026-08-03</t>
        </is>
      </c>
      <c r="B14711" s="8" t="n">
        <v>13</v>
      </c>
      <c r="C14711" s="8" t="n">
        <v>15</v>
      </c>
      <c r="D14711" s="8" t="inlineStr">
        <is>
          <t>Disneyland Park</t>
        </is>
      </c>
      <c r="E14711" s="8" t="inlineStr">
        <is>
          <t>Star Wars Hyperspace Mountain</t>
        </is>
      </c>
      <c r="F14711" s="8" t="inlineStr">
        <is>
          <t>STANDBY</t>
        </is>
      </c>
      <c r="G14711" s="8" t="n">
        <v>30</v>
      </c>
      <c r="H14711" s="8" t="inlineStr">
        <is>
          <t>OPERATING</t>
        </is>
      </c>
    </row>
    <row r="14712">
      <c r="A14712" s="8" t="inlineStr">
        <is>
          <t>2026-08-03</t>
        </is>
      </c>
      <c r="B14712" s="8" t="n">
        <v>13</v>
      </c>
      <c r="C14712" s="8" t="n">
        <v>15</v>
      </c>
      <c r="D14712" s="8" t="inlineStr">
        <is>
          <t>Disneyland Park</t>
        </is>
      </c>
      <c r="E14712" s="8" t="inlineStr">
        <is>
          <t>Star Wars Hyperspace Mountain Single Rider</t>
        </is>
      </c>
      <c r="F14712" s="8" t="inlineStr">
        <is>
          <t>STANDBY</t>
        </is>
      </c>
      <c r="G14712" s="8" t="n">
        <v>20</v>
      </c>
      <c r="H14712" s="8" t="inlineStr">
        <is>
          <t>OPERATING</t>
        </is>
      </c>
    </row>
    <row r="14713">
      <c r="A14713" s="8" t="inlineStr">
        <is>
          <t>2026-08-03</t>
        </is>
      </c>
      <c r="B14713" s="8" t="n">
        <v>13</v>
      </c>
      <c r="C14713" s="8" t="n">
        <v>15</v>
      </c>
      <c r="D14713" s="8" t="inlineStr">
        <is>
          <t>Disneyland Park</t>
        </is>
      </c>
      <c r="E14713" s="8" t="inlineStr">
        <is>
          <t>Welcome to Starport: A Star Wars Encounter</t>
        </is>
      </c>
      <c r="F14713" s="8" t="inlineStr">
        <is>
          <t>STANDBY</t>
        </is>
      </c>
      <c r="G14713" s="8" t="n">
        <v>20</v>
      </c>
      <c r="H14713" s="8" t="inlineStr">
        <is>
          <t>OPERATING</t>
        </is>
      </c>
    </row>
    <row r="14714">
      <c r="A14714" s="8" t="inlineStr">
        <is>
          <t>2026-08-03</t>
        </is>
      </c>
      <c r="B14714" s="8" t="n">
        <v>13</v>
      </c>
      <c r="C14714" s="8" t="n">
        <v>15</v>
      </c>
      <c r="D14714" s="8" t="inlineStr">
        <is>
          <t>Disneyland Park</t>
        </is>
      </c>
      <c r="E14714" s="8" t="inlineStr">
        <is>
          <t>"it's a small world"</t>
        </is>
      </c>
      <c r="F14714" s="8" t="inlineStr">
        <is>
          <t>STANDBY</t>
        </is>
      </c>
      <c r="G14714" s="8" t="n">
        <v>20</v>
      </c>
      <c r="H14714" s="8" t="inlineStr">
        <is>
          <t>OPERATING</t>
        </is>
      </c>
    </row>
    <row r="14715">
      <c r="A14715" s="8" t="inlineStr">
        <is>
          <t>2026-08-03</t>
        </is>
      </c>
      <c r="B14715" s="8" t="n">
        <v>13</v>
      </c>
      <c r="C14715" s="8" t="n">
        <v>15</v>
      </c>
      <c r="D14715" s="8" t="inlineStr">
        <is>
          <t>Disneyland Park</t>
        </is>
      </c>
      <c r="E14715" s="8" t="inlineStr">
        <is>
          <t>Alice's Curious Labyrinth</t>
        </is>
      </c>
      <c r="F14715" s="8" t="inlineStr">
        <is>
          <t>STANDBY</t>
        </is>
      </c>
      <c r="G14715" s="8" t="n">
        <v>5</v>
      </c>
      <c r="H14715" s="8" t="inlineStr">
        <is>
          <t>OPERATING</t>
        </is>
      </c>
    </row>
    <row r="14716">
      <c r="A14716" s="8" t="inlineStr">
        <is>
          <t>2026-08-03</t>
        </is>
      </c>
      <c r="B14716" s="8" t="n">
        <v>13</v>
      </c>
      <c r="C14716" s="8" t="n">
        <v>15</v>
      </c>
      <c r="D14716" s="8" t="inlineStr">
        <is>
          <t>Disneyland Park</t>
        </is>
      </c>
      <c r="E14716" s="8" t="inlineStr">
        <is>
          <t>Blanche-Neige et les Sept Nains®</t>
        </is>
      </c>
      <c r="F14716" s="8" t="inlineStr">
        <is>
          <t>STANDBY</t>
        </is>
      </c>
      <c r="G14716" s="8" t="n">
        <v>30</v>
      </c>
      <c r="H14716" s="8" t="inlineStr">
        <is>
          <t>OPERATING</t>
        </is>
      </c>
    </row>
    <row r="14717">
      <c r="A14717" s="8" t="inlineStr">
        <is>
          <t>2026-08-03</t>
        </is>
      </c>
      <c r="B14717" s="8" t="n">
        <v>13</v>
      </c>
      <c r="C14717" s="8" t="n">
        <v>15</v>
      </c>
      <c r="D14717" s="8" t="inlineStr">
        <is>
          <t>Disneyland Park</t>
        </is>
      </c>
      <c r="E14717" s="8" t="inlineStr">
        <is>
          <t>Casey Jr. – le Petit Train du Cirque</t>
        </is>
      </c>
      <c r="F14717" s="8" t="inlineStr">
        <is>
          <t>STANDBY</t>
        </is>
      </c>
      <c r="G14717" s="8" t="n">
        <v>0</v>
      </c>
      <c r="H14717" s="8" t="inlineStr">
        <is>
          <t>CLOSED</t>
        </is>
      </c>
    </row>
    <row r="14718">
      <c r="A14718" s="8" t="inlineStr">
        <is>
          <t>2026-08-03</t>
        </is>
      </c>
      <c r="B14718" s="8" t="n">
        <v>13</v>
      </c>
      <c r="C14718" s="8" t="n">
        <v>15</v>
      </c>
      <c r="D14718" s="8" t="inlineStr">
        <is>
          <t>Disneyland Park</t>
        </is>
      </c>
      <c r="E14718" s="8" t="inlineStr">
        <is>
          <t>Disneyland Railroad Fantasyland Station</t>
        </is>
      </c>
      <c r="F14718" s="8" t="inlineStr">
        <is>
          <t>STANDBY</t>
        </is>
      </c>
      <c r="G14718" s="8" t="n">
        <v>0</v>
      </c>
      <c r="H14718" s="8" t="inlineStr">
        <is>
          <t>CLOSED</t>
        </is>
      </c>
    </row>
    <row r="14719">
      <c r="A14719" s="8" t="inlineStr">
        <is>
          <t>2026-08-03</t>
        </is>
      </c>
      <c r="B14719" s="8" t="n">
        <v>13</v>
      </c>
      <c r="C14719" s="8" t="n">
        <v>15</v>
      </c>
      <c r="D14719" s="8" t="inlineStr">
        <is>
          <t>Disneyland Park</t>
        </is>
      </c>
      <c r="E14719" s="8" t="inlineStr">
        <is>
          <t>Disneyland Railroad Main Street Station</t>
        </is>
      </c>
      <c r="F14719" s="8" t="inlineStr">
        <is>
          <t>STANDBY</t>
        </is>
      </c>
      <c r="G14719" s="8" t="n">
        <v>0</v>
      </c>
      <c r="H14719" s="8" t="inlineStr">
        <is>
          <t>CLOSED</t>
        </is>
      </c>
    </row>
    <row r="14720">
      <c r="A14720" s="8" t="inlineStr">
        <is>
          <t>2026-08-03</t>
        </is>
      </c>
      <c r="B14720" s="8" t="n">
        <v>13</v>
      </c>
      <c r="C14720" s="8" t="n">
        <v>15</v>
      </c>
      <c r="D14720" s="8" t="inlineStr">
        <is>
          <t>Disneyland Park</t>
        </is>
      </c>
      <c r="E14720" s="8" t="inlineStr">
        <is>
          <t>Dumbo the Flying Elephant</t>
        </is>
      </c>
      <c r="F14720" s="8" t="inlineStr">
        <is>
          <t>STANDBY</t>
        </is>
      </c>
      <c r="G14720" s="8" t="n">
        <v>0</v>
      </c>
      <c r="H14720" s="8" t="inlineStr">
        <is>
          <t>CLOSED</t>
        </is>
      </c>
    </row>
    <row r="14721">
      <c r="A14721" s="8" t="inlineStr">
        <is>
          <t>2026-08-03</t>
        </is>
      </c>
      <c r="B14721" s="8" t="n">
        <v>13</v>
      </c>
      <c r="C14721" s="8" t="n">
        <v>15</v>
      </c>
      <c r="D14721" s="8" t="inlineStr">
        <is>
          <t>Disneyland Park</t>
        </is>
      </c>
      <c r="E14721" s="8" t="inlineStr">
        <is>
          <t>La Tanière du Dragon</t>
        </is>
      </c>
      <c r="F14721" s="8" t="inlineStr">
        <is>
          <t>STANDBY</t>
        </is>
      </c>
      <c r="G14721" s="8" t="n">
        <v>0</v>
      </c>
      <c r="H14721" s="8" t="inlineStr">
        <is>
          <t>OPERATING</t>
        </is>
      </c>
    </row>
    <row r="14722">
      <c r="A14722" s="8" t="inlineStr">
        <is>
          <t>2026-08-03</t>
        </is>
      </c>
      <c r="B14722" s="8" t="n">
        <v>13</v>
      </c>
      <c r="C14722" s="8" t="n">
        <v>15</v>
      </c>
      <c r="D14722" s="8" t="inlineStr">
        <is>
          <t>Disneyland Park</t>
        </is>
      </c>
      <c r="E14722" s="8" t="inlineStr">
        <is>
          <t>Le Carrousel de Lancelot</t>
        </is>
      </c>
      <c r="F14722" s="8" t="inlineStr">
        <is>
          <t>STANDBY</t>
        </is>
      </c>
      <c r="G14722" s="8" t="n">
        <v>10</v>
      </c>
      <c r="H14722" s="8" t="inlineStr">
        <is>
          <t>OPERATING</t>
        </is>
      </c>
    </row>
    <row r="14723">
      <c r="A14723" s="8" t="inlineStr">
        <is>
          <t>2026-08-03</t>
        </is>
      </c>
      <c r="B14723" s="8" t="n">
        <v>13</v>
      </c>
      <c r="C14723" s="8" t="n">
        <v>15</v>
      </c>
      <c r="D14723" s="8" t="inlineStr">
        <is>
          <t>Disneyland Park</t>
        </is>
      </c>
      <c r="E14723" s="8" t="inlineStr">
        <is>
          <t>Le Pays des Contes de Fées, presented by Vittel</t>
        </is>
      </c>
      <c r="F14723" s="8" t="inlineStr">
        <is>
          <t>STANDBY</t>
        </is>
      </c>
      <c r="G14723" s="8" t="n">
        <v>0</v>
      </c>
      <c r="H14723" s="8" t="inlineStr">
        <is>
          <t>CLOSED</t>
        </is>
      </c>
    </row>
    <row r="14724">
      <c r="A14724" s="8" t="inlineStr">
        <is>
          <t>2026-08-03</t>
        </is>
      </c>
      <c r="B14724" s="8" t="n">
        <v>13</v>
      </c>
      <c r="C14724" s="8" t="n">
        <v>15</v>
      </c>
      <c r="D14724" s="8" t="inlineStr">
        <is>
          <t>Disneyland Park</t>
        </is>
      </c>
      <c r="E14724" s="8" t="inlineStr">
        <is>
          <t>Les Voyages de Pinocchio</t>
        </is>
      </c>
      <c r="F14724" s="8" t="inlineStr">
        <is>
          <t>STANDBY</t>
        </is>
      </c>
      <c r="G14724" s="8" t="n">
        <v>25</v>
      </c>
      <c r="H14724" s="8" t="inlineStr">
        <is>
          <t>OPERATING</t>
        </is>
      </c>
    </row>
    <row r="14725">
      <c r="A14725" s="8" t="inlineStr">
        <is>
          <t>2026-08-03</t>
        </is>
      </c>
      <c r="B14725" s="8" t="n">
        <v>13</v>
      </c>
      <c r="C14725" s="8" t="n">
        <v>15</v>
      </c>
      <c r="D14725" s="8" t="inlineStr">
        <is>
          <t>Disneyland Park</t>
        </is>
      </c>
      <c r="E14725" s="8" t="inlineStr">
        <is>
          <t>Mad Hatter's Tea Cups</t>
        </is>
      </c>
      <c r="F14725" s="8" t="inlineStr">
        <is>
          <t>STANDBY</t>
        </is>
      </c>
      <c r="G14725" s="8" t="n">
        <v>10</v>
      </c>
      <c r="H14725" s="8" t="inlineStr">
        <is>
          <t>OPERATING</t>
        </is>
      </c>
    </row>
    <row r="14726">
      <c r="A14726" s="8" t="inlineStr">
        <is>
          <t>2026-08-03</t>
        </is>
      </c>
      <c r="B14726" s="8" t="n">
        <v>13</v>
      </c>
      <c r="C14726" s="8" t="n">
        <v>15</v>
      </c>
      <c r="D14726" s="8" t="inlineStr">
        <is>
          <t>Disneyland Park</t>
        </is>
      </c>
      <c r="E14726" s="8" t="inlineStr">
        <is>
          <t>Meet Mickey Mouse</t>
        </is>
      </c>
      <c r="F14726" s="8" t="inlineStr">
        <is>
          <t>STANDBY</t>
        </is>
      </c>
      <c r="G14726" s="8" t="n">
        <v>0</v>
      </c>
      <c r="H14726" s="8" t="inlineStr">
        <is>
          <t>OPERATING</t>
        </is>
      </c>
    </row>
    <row r="14727">
      <c r="A14727" s="8" t="inlineStr">
        <is>
          <t>2026-08-03</t>
        </is>
      </c>
      <c r="B14727" s="8" t="n">
        <v>13</v>
      </c>
      <c r="C14727" s="8" t="n">
        <v>15</v>
      </c>
      <c r="D14727" s="8" t="inlineStr">
        <is>
          <t>Disneyland Park</t>
        </is>
      </c>
      <c r="E14727" s="8" t="inlineStr">
        <is>
          <t>Peter Pan's Flight</t>
        </is>
      </c>
      <c r="F14727" s="8" t="inlineStr">
        <is>
          <t>STANDBY</t>
        </is>
      </c>
      <c r="G14727" s="8" t="n">
        <v>50</v>
      </c>
      <c r="H14727" s="8" t="inlineStr">
        <is>
          <t>OPERATING</t>
        </is>
      </c>
    </row>
    <row r="14728">
      <c r="A14728" s="8" t="inlineStr">
        <is>
          <t>2026-08-03</t>
        </is>
      </c>
      <c r="B14728" s="8" t="n">
        <v>13</v>
      </c>
      <c r="C14728" s="8" t="n">
        <v>15</v>
      </c>
      <c r="D14728" s="8" t="inlineStr">
        <is>
          <t>Disneyland Park</t>
        </is>
      </c>
      <c r="E14728" s="8" t="inlineStr">
        <is>
          <t>Princess Pavilion</t>
        </is>
      </c>
      <c r="F14728" s="8" t="inlineStr">
        <is>
          <t>STANDBY</t>
        </is>
      </c>
      <c r="G14728" s="8" t="n">
        <v>0</v>
      </c>
      <c r="H14728" s="8" t="inlineStr">
        <is>
          <t>OPERATING</t>
        </is>
      </c>
    </row>
    <row r="14729">
      <c r="A14729" s="8" t="inlineStr">
        <is>
          <t>2026-08-03</t>
        </is>
      </c>
      <c r="B14729" s="8" t="n">
        <v>13</v>
      </c>
      <c r="C14729" s="8" t="n">
        <v>15</v>
      </c>
      <c r="D14729" s="8" t="inlineStr">
        <is>
          <t>Disneyland Park</t>
        </is>
      </c>
      <c r="E14729" s="8" t="inlineStr">
        <is>
          <t>Big Thunder Mountain</t>
        </is>
      </c>
      <c r="F14729" s="8" t="inlineStr">
        <is>
          <t>STANDBY</t>
        </is>
      </c>
      <c r="G14729" s="8" t="n">
        <v>65</v>
      </c>
      <c r="H14729" s="8" t="inlineStr">
        <is>
          <t>OPERATING</t>
        </is>
      </c>
    </row>
    <row r="14730">
      <c r="A14730" s="8" t="inlineStr">
        <is>
          <t>2026-08-03</t>
        </is>
      </c>
      <c r="B14730" s="8" t="n">
        <v>13</v>
      </c>
      <c r="C14730" s="8" t="n">
        <v>15</v>
      </c>
      <c r="D14730" s="8" t="inlineStr">
        <is>
          <t>Disneyland Park</t>
        </is>
      </c>
      <c r="E14730" s="8" t="inlineStr">
        <is>
          <t>Disneyland Railroad Frontierland Depot</t>
        </is>
      </c>
      <c r="F14730" s="8" t="inlineStr">
        <is>
          <t>STANDBY</t>
        </is>
      </c>
      <c r="G14730" s="8" t="n">
        <v>0</v>
      </c>
      <c r="H14730" s="8" t="inlineStr">
        <is>
          <t>CLOSED</t>
        </is>
      </c>
    </row>
    <row r="14731">
      <c r="A14731" s="8" t="inlineStr">
        <is>
          <t>2026-08-03</t>
        </is>
      </c>
      <c r="B14731" s="8" t="n">
        <v>13</v>
      </c>
      <c r="C14731" s="8" t="n">
        <v>15</v>
      </c>
      <c r="D14731" s="8" t="inlineStr">
        <is>
          <t>Disneyland Park</t>
        </is>
      </c>
      <c r="E14731" s="8" t="inlineStr">
        <is>
          <t>Frontierland Playground</t>
        </is>
      </c>
      <c r="F14731" s="8" t="inlineStr">
        <is>
          <t>STANDBY</t>
        </is>
      </c>
      <c r="G14731" s="8" t="n">
        <v>0</v>
      </c>
      <c r="H14731" s="8" t="inlineStr">
        <is>
          <t>CLOSED</t>
        </is>
      </c>
    </row>
    <row r="14732">
      <c r="A14732" s="8" t="inlineStr">
        <is>
          <t>2026-08-03</t>
        </is>
      </c>
      <c r="B14732" s="8" t="n">
        <v>13</v>
      </c>
      <c r="C14732" s="8" t="n">
        <v>15</v>
      </c>
      <c r="D14732" s="8" t="inlineStr">
        <is>
          <t>Disneyland Park</t>
        </is>
      </c>
      <c r="E14732" s="8" t="inlineStr">
        <is>
          <t>Phantom Manor</t>
        </is>
      </c>
      <c r="F14732" s="8" t="inlineStr">
        <is>
          <t>STANDBY</t>
        </is>
      </c>
      <c r="G14732" s="8" t="n">
        <v>15</v>
      </c>
      <c r="H14732" s="8" t="inlineStr">
        <is>
          <t>OPERATING</t>
        </is>
      </c>
    </row>
    <row r="14733">
      <c r="A14733" s="8" t="inlineStr">
        <is>
          <t>2026-08-03</t>
        </is>
      </c>
      <c r="B14733" s="8" t="n">
        <v>13</v>
      </c>
      <c r="C14733" s="8" t="n">
        <v>15</v>
      </c>
      <c r="D14733" s="8" t="inlineStr">
        <is>
          <t>Disneyland Park</t>
        </is>
      </c>
      <c r="E14733" s="8" t="inlineStr">
        <is>
          <t>River Rogue Keelboats</t>
        </is>
      </c>
      <c r="F14733" s="8" t="inlineStr">
        <is>
          <t>STANDBY</t>
        </is>
      </c>
      <c r="G14733" s="8" t="n">
        <v>0</v>
      </c>
      <c r="H14733" s="8" t="inlineStr">
        <is>
          <t>CLOSED</t>
        </is>
      </c>
    </row>
    <row r="14734">
      <c r="A14734" s="8" t="inlineStr">
        <is>
          <t>2026-08-03</t>
        </is>
      </c>
      <c r="B14734" s="8" t="n">
        <v>13</v>
      </c>
      <c r="C14734" s="8" t="n">
        <v>15</v>
      </c>
      <c r="D14734" s="8" t="inlineStr">
        <is>
          <t>Disneyland Park</t>
        </is>
      </c>
      <c r="E14734" s="8" t="inlineStr">
        <is>
          <t>Rustler Roundup Shootin' Gallery</t>
        </is>
      </c>
      <c r="F14734" s="8" t="inlineStr">
        <is>
          <t>STANDBY</t>
        </is>
      </c>
      <c r="G14734" s="8" t="n">
        <v>0</v>
      </c>
      <c r="H14734" s="8" t="inlineStr">
        <is>
          <t>OPERATING</t>
        </is>
      </c>
    </row>
    <row r="14735">
      <c r="A14735" s="8" t="inlineStr">
        <is>
          <t>2026-08-03</t>
        </is>
      </c>
      <c r="B14735" s="8" t="n">
        <v>13</v>
      </c>
      <c r="C14735" s="8" t="n">
        <v>15</v>
      </c>
      <c r="D14735" s="8" t="inlineStr">
        <is>
          <t>Disneyland Park</t>
        </is>
      </c>
      <c r="E14735" s="8" t="inlineStr">
        <is>
          <t>Thunder Mesa Riverboat Landing</t>
        </is>
      </c>
      <c r="F14735" s="8" t="inlineStr">
        <is>
          <t>STANDBY</t>
        </is>
      </c>
      <c r="G14735" s="8" t="n">
        <v>20</v>
      </c>
      <c r="H14735" s="8" t="inlineStr">
        <is>
          <t>OPERATING</t>
        </is>
      </c>
    </row>
    <row r="14736">
      <c r="A14736" s="8" t="inlineStr">
        <is>
          <t>2026-08-03</t>
        </is>
      </c>
      <c r="B14736" s="8" t="n">
        <v>13</v>
      </c>
      <c r="C14736" s="8" t="n">
        <v>15</v>
      </c>
      <c r="D14736" s="8" t="inlineStr">
        <is>
          <t>Disneyland Park</t>
        </is>
      </c>
      <c r="E14736" s="8" t="inlineStr">
        <is>
          <t>Disneyland Railroad Main Street Station</t>
        </is>
      </c>
      <c r="F14736" s="8" t="inlineStr">
        <is>
          <t>STANDBY</t>
        </is>
      </c>
      <c r="G14736" s="8" t="n">
        <v>0</v>
      </c>
      <c r="H14736" s="8" t="inlineStr">
        <is>
          <t>CLOSED</t>
        </is>
      </c>
    </row>
    <row r="14737">
      <c r="A14737" s="8" t="inlineStr">
        <is>
          <t>2026-08-03</t>
        </is>
      </c>
      <c r="B14737" s="8" t="n">
        <v>13</v>
      </c>
      <c r="C14737" s="8" t="n">
        <v>15</v>
      </c>
      <c r="D14737" s="8" t="inlineStr">
        <is>
          <t>Disneyland Park</t>
        </is>
      </c>
      <c r="E14737" s="8" t="inlineStr">
        <is>
          <t>Main Street Vehicles</t>
        </is>
      </c>
      <c r="F14737" s="8" t="inlineStr">
        <is>
          <t>STANDBY</t>
        </is>
      </c>
      <c r="G14737" s="8" t="n">
        <v>5</v>
      </c>
      <c r="H14737" s="8" t="inlineStr">
        <is>
          <t>OPERATING</t>
        </is>
      </c>
    </row>
    <row r="14738">
      <c r="A14738" s="8" t="inlineStr">
        <is>
          <t>2026-08-03</t>
        </is>
      </c>
      <c r="B14738" s="8" t="n">
        <v>13</v>
      </c>
      <c r="C14738" s="8" t="n">
        <v>15</v>
      </c>
      <c r="D14738" s="8" t="inlineStr">
        <is>
          <t>Disney Adventure World</t>
        </is>
      </c>
      <c r="E14738" s="8" t="inlineStr">
        <is>
          <t>Avengers Assemble: Flight Force</t>
        </is>
      </c>
      <c r="F14738" s="8" t="inlineStr">
        <is>
          <t>STANDBY</t>
        </is>
      </c>
      <c r="G14738" s="8" t="n">
        <v>15</v>
      </c>
      <c r="H14738" s="8" t="inlineStr">
        <is>
          <t>OPERATING</t>
        </is>
      </c>
    </row>
    <row r="14739">
      <c r="A14739" s="8" t="inlineStr">
        <is>
          <t>2026-08-03</t>
        </is>
      </c>
      <c r="B14739" s="8" t="n">
        <v>13</v>
      </c>
      <c r="C14739" s="8" t="n">
        <v>15</v>
      </c>
      <c r="D14739" s="8" t="inlineStr">
        <is>
          <t>Disney Adventure World</t>
        </is>
      </c>
      <c r="E14739" s="8" t="inlineStr">
        <is>
          <t>Avengers Assemble: Flight Force Single Rider</t>
        </is>
      </c>
      <c r="F14739" s="8" t="inlineStr">
        <is>
          <t>STANDBY</t>
        </is>
      </c>
      <c r="G14739" s="8" t="n">
        <v>10</v>
      </c>
      <c r="H14739" s="8" t="inlineStr">
        <is>
          <t>OPERATING</t>
        </is>
      </c>
    </row>
    <row r="14740">
      <c r="A14740" s="8" t="inlineStr">
        <is>
          <t>2026-08-03</t>
        </is>
      </c>
      <c r="B14740" s="8" t="n">
        <v>13</v>
      </c>
      <c r="C14740" s="8" t="n">
        <v>15</v>
      </c>
      <c r="D14740" s="8" t="inlineStr">
        <is>
          <t>Disney Adventure World</t>
        </is>
      </c>
      <c r="E14740" s="8" t="inlineStr">
        <is>
          <t>Spider-Man W.E.B. Adventure</t>
        </is>
      </c>
      <c r="F14740" s="8" t="inlineStr">
        <is>
          <t>STANDBY</t>
        </is>
      </c>
      <c r="G14740" s="8" t="n">
        <v>55</v>
      </c>
      <c r="H14740" s="8" t="inlineStr">
        <is>
          <t>OPERATING</t>
        </is>
      </c>
    </row>
    <row r="14741">
      <c r="A14741" s="8" t="inlineStr">
        <is>
          <t>2026-08-03</t>
        </is>
      </c>
      <c r="B14741" s="8" t="n">
        <v>13</v>
      </c>
      <c r="C14741" s="8" t="n">
        <v>15</v>
      </c>
      <c r="D14741" s="8" t="inlineStr">
        <is>
          <t>Disney Adventure World</t>
        </is>
      </c>
      <c r="E14741" s="8" t="inlineStr">
        <is>
          <t>Spider-Man W.E.B. Adventure Single Rider</t>
        </is>
      </c>
      <c r="F14741" s="8" t="inlineStr">
        <is>
          <t>STANDBY</t>
        </is>
      </c>
      <c r="G14741" s="8" t="n">
        <v>30</v>
      </c>
      <c r="H14741" s="8" t="inlineStr">
        <is>
          <t>OPERATING</t>
        </is>
      </c>
    </row>
    <row r="14742">
      <c r="A14742" s="8" t="inlineStr">
        <is>
          <t>2026-08-03</t>
        </is>
      </c>
      <c r="B14742" s="8" t="n">
        <v>13</v>
      </c>
      <c r="C14742" s="8" t="n">
        <v>15</v>
      </c>
      <c r="D14742" s="8" t="inlineStr">
        <is>
          <t>Disney Adventure World</t>
        </is>
      </c>
      <c r="E14742" s="8" t="inlineStr">
        <is>
          <t>The Twilight Zone Tower of Terror</t>
        </is>
      </c>
      <c r="F14742" s="8" t="inlineStr">
        <is>
          <t>STANDBY</t>
        </is>
      </c>
      <c r="G14742" s="8" t="n">
        <v>25</v>
      </c>
      <c r="H14742" s="8" t="inlineStr">
        <is>
          <t>OPERATING</t>
        </is>
      </c>
    </row>
    <row r="14743">
      <c r="A14743" s="8" t="inlineStr">
        <is>
          <t>2026-08-03</t>
        </is>
      </c>
      <c r="B14743" s="8" t="n">
        <v>13</v>
      </c>
      <c r="C14743" s="8" t="n">
        <v>15</v>
      </c>
      <c r="D14743" s="8" t="inlineStr">
        <is>
          <t>Disney Adventure World</t>
        </is>
      </c>
      <c r="E14743" s="8" t="inlineStr">
        <is>
          <t>Cars Quatre Roues Rallye</t>
        </is>
      </c>
      <c r="F14743" s="8" t="inlineStr">
        <is>
          <t>STANDBY</t>
        </is>
      </c>
      <c r="G14743" s="8" t="n">
        <v>10</v>
      </c>
      <c r="H14743" s="8" t="inlineStr">
        <is>
          <t>OPERATING</t>
        </is>
      </c>
    </row>
    <row r="14744">
      <c r="A14744" s="8" t="inlineStr">
        <is>
          <t>2026-08-03</t>
        </is>
      </c>
      <c r="B14744" s="8" t="n">
        <v>13</v>
      </c>
      <c r="C14744" s="8" t="n">
        <v>15</v>
      </c>
      <c r="D14744" s="8" t="inlineStr">
        <is>
          <t>Disney Adventure World</t>
        </is>
      </c>
      <c r="E14744" s="8" t="inlineStr">
        <is>
          <t>Cars ROAD TRIP</t>
        </is>
      </c>
      <c r="F14744" s="8" t="inlineStr">
        <is>
          <t>STANDBY</t>
        </is>
      </c>
      <c r="G14744" s="8" t="n">
        <v>10</v>
      </c>
      <c r="H14744" s="8" t="inlineStr">
        <is>
          <t>OPERATING</t>
        </is>
      </c>
    </row>
    <row r="14745">
      <c r="A14745" s="8" t="inlineStr">
        <is>
          <t>2026-08-03</t>
        </is>
      </c>
      <c r="B14745" s="8" t="n">
        <v>13</v>
      </c>
      <c r="C14745" s="8" t="n">
        <v>15</v>
      </c>
      <c r="D14745" s="8" t="inlineStr">
        <is>
          <t>Disney Adventure World</t>
        </is>
      </c>
      <c r="E14745" s="8" t="inlineStr">
        <is>
          <t>Crush's Coaster</t>
        </is>
      </c>
      <c r="F14745" s="8" t="inlineStr">
        <is>
          <t>STANDBY</t>
        </is>
      </c>
      <c r="G14745" s="8" t="n">
        <v>65</v>
      </c>
      <c r="H14745" s="8" t="inlineStr">
        <is>
          <t>OPERATING</t>
        </is>
      </c>
    </row>
    <row r="14746">
      <c r="A14746" s="8" t="inlineStr">
        <is>
          <t>2026-08-03</t>
        </is>
      </c>
      <c r="B14746" s="8" t="n">
        <v>13</v>
      </c>
      <c r="C14746" s="8" t="n">
        <v>15</v>
      </c>
      <c r="D14746" s="8" t="inlineStr">
        <is>
          <t>Disney Adventure World</t>
        </is>
      </c>
      <c r="E14746" s="8" t="inlineStr">
        <is>
          <t>Crush's Coaster Single Rider</t>
        </is>
      </c>
      <c r="F14746" s="8" t="inlineStr">
        <is>
          <t>STANDBY</t>
        </is>
      </c>
      <c r="G14746" s="8" t="n">
        <v>45</v>
      </c>
      <c r="H14746" s="8" t="inlineStr">
        <is>
          <t>OPERATING</t>
        </is>
      </c>
    </row>
    <row r="14747">
      <c r="A14747" s="8" t="inlineStr">
        <is>
          <t>2026-08-03</t>
        </is>
      </c>
      <c r="B14747" s="8" t="n">
        <v>13</v>
      </c>
      <c r="C14747" s="8" t="n">
        <v>15</v>
      </c>
      <c r="D14747" s="8" t="inlineStr">
        <is>
          <t>Disney Adventure World</t>
        </is>
      </c>
      <c r="E14747" s="8" t="inlineStr">
        <is>
          <t>Les Tapis Volants - Flying Carpets Over Agrabah®</t>
        </is>
      </c>
      <c r="F14747" s="8" t="inlineStr">
        <is>
          <t>STANDBY</t>
        </is>
      </c>
      <c r="G14747" s="8" t="n">
        <v>5</v>
      </c>
      <c r="H14747" s="8" t="inlineStr">
        <is>
          <t>OPERATING</t>
        </is>
      </c>
    </row>
    <row r="14748">
      <c r="A14748" s="8" t="inlineStr">
        <is>
          <t>2026-08-03</t>
        </is>
      </c>
      <c r="B14748" s="8" t="n">
        <v>13</v>
      </c>
      <c r="C14748" s="8" t="n">
        <v>15</v>
      </c>
      <c r="D14748" s="8" t="inlineStr">
        <is>
          <t>Disney Adventure World</t>
        </is>
      </c>
      <c r="E14748" s="8" t="inlineStr">
        <is>
          <t>Ratatouille : L’Aventure Totalement Toquée de Rémy​</t>
        </is>
      </c>
      <c r="F14748" s="8" t="inlineStr">
        <is>
          <t>STANDBY</t>
        </is>
      </c>
      <c r="G14748" s="8" t="n">
        <v>45</v>
      </c>
      <c r="H14748" s="8" t="inlineStr">
        <is>
          <t>OPERATING</t>
        </is>
      </c>
    </row>
    <row r="14749">
      <c r="A14749" s="8" t="inlineStr">
        <is>
          <t>2026-08-03</t>
        </is>
      </c>
      <c r="B14749" s="8" t="n">
        <v>13</v>
      </c>
      <c r="C14749" s="8" t="n">
        <v>15</v>
      </c>
      <c r="D14749" s="8" t="inlineStr">
        <is>
          <t>Disney Adventure World</t>
        </is>
      </c>
      <c r="E14749" s="8" t="inlineStr">
        <is>
          <t>Ratatouille: The Adventure Single Rider</t>
        </is>
      </c>
      <c r="F14749" s="8" t="inlineStr">
        <is>
          <t>STANDBY</t>
        </is>
      </c>
      <c r="G14749" s="8" t="n">
        <v>5</v>
      </c>
      <c r="H14749" s="8" t="inlineStr">
        <is>
          <t>OPERATING</t>
        </is>
      </c>
    </row>
    <row r="14750">
      <c r="A14750" s="8" t="inlineStr">
        <is>
          <t>2026-08-03</t>
        </is>
      </c>
      <c r="B14750" s="8" t="n">
        <v>13</v>
      </c>
      <c r="C14750" s="8" t="n">
        <v>15</v>
      </c>
      <c r="D14750" s="8" t="inlineStr">
        <is>
          <t>Disney Adventure World</t>
        </is>
      </c>
      <c r="E14750" s="8" t="inlineStr">
        <is>
          <t>RC Racer</t>
        </is>
      </c>
      <c r="F14750" s="8" t="inlineStr">
        <is>
          <t>STANDBY</t>
        </is>
      </c>
      <c r="G14750" s="8" t="n">
        <v>45</v>
      </c>
      <c r="H14750" s="8" t="inlineStr">
        <is>
          <t>OPERATING</t>
        </is>
      </c>
    </row>
    <row r="14751">
      <c r="A14751" s="8" t="inlineStr">
        <is>
          <t>2026-08-03</t>
        </is>
      </c>
      <c r="B14751" s="8" t="n">
        <v>13</v>
      </c>
      <c r="C14751" s="8" t="n">
        <v>15</v>
      </c>
      <c r="D14751" s="8" t="inlineStr">
        <is>
          <t>Disney Adventure World</t>
        </is>
      </c>
      <c r="E14751" s="8" t="inlineStr">
        <is>
          <t>RC Racer Single Rider</t>
        </is>
      </c>
      <c r="F14751" s="8" t="inlineStr">
        <is>
          <t>STANDBY</t>
        </is>
      </c>
      <c r="G14751" s="8" t="n">
        <v>30</v>
      </c>
      <c r="H14751" s="8" t="inlineStr">
        <is>
          <t>OPERATING</t>
        </is>
      </c>
    </row>
    <row r="14752">
      <c r="A14752" s="8" t="inlineStr">
        <is>
          <t>2026-08-03</t>
        </is>
      </c>
      <c r="B14752" s="8" t="n">
        <v>13</v>
      </c>
      <c r="C14752" s="8" t="n">
        <v>15</v>
      </c>
      <c r="D14752" s="8" t="inlineStr">
        <is>
          <t>Disney Adventure World</t>
        </is>
      </c>
      <c r="E14752" s="8" t="inlineStr">
        <is>
          <t>Slinky® Dog Zigzag Spin</t>
        </is>
      </c>
      <c r="F14752" s="8" t="inlineStr">
        <is>
          <t>STANDBY</t>
        </is>
      </c>
      <c r="G14752" s="8" t="n">
        <v>0</v>
      </c>
      <c r="H14752" s="8" t="inlineStr">
        <is>
          <t>CLOSED</t>
        </is>
      </c>
    </row>
    <row r="14753">
      <c r="A14753" s="8" t="inlineStr">
        <is>
          <t>2026-08-03</t>
        </is>
      </c>
      <c r="B14753" s="8" t="n">
        <v>13</v>
      </c>
      <c r="C14753" s="8" t="n">
        <v>15</v>
      </c>
      <c r="D14753" s="8" t="inlineStr">
        <is>
          <t>Disney Adventure World</t>
        </is>
      </c>
      <c r="E14753" s="8" t="inlineStr">
        <is>
          <t>Toy Soldiers Parachute Drop</t>
        </is>
      </c>
      <c r="F14753" s="8" t="inlineStr">
        <is>
          <t>STANDBY</t>
        </is>
      </c>
      <c r="G14753" s="8" t="n">
        <v>45</v>
      </c>
      <c r="H14753" s="8" t="inlineStr">
        <is>
          <t>OPERATING</t>
        </is>
      </c>
    </row>
    <row r="14754">
      <c r="A14754" s="8" t="inlineStr">
        <is>
          <t>2026-08-03</t>
        </is>
      </c>
      <c r="B14754" s="8" t="n">
        <v>13</v>
      </c>
      <c r="C14754" s="8" t="n">
        <v>15</v>
      </c>
      <c r="D14754" s="8" t="inlineStr">
        <is>
          <t>Disney Adventure World</t>
        </is>
      </c>
      <c r="E14754" s="8" t="inlineStr">
        <is>
          <t>Toy Soldiers Parachute Drop Single Rider</t>
        </is>
      </c>
      <c r="F14754" s="8" t="inlineStr">
        <is>
          <t>STANDBY</t>
        </is>
      </c>
      <c r="G14754" s="8" t="n">
        <v>10</v>
      </c>
      <c r="H14754" s="8" t="inlineStr">
        <is>
          <t>OPERATING</t>
        </is>
      </c>
    </row>
    <row r="14755">
      <c r="A14755" s="8" t="inlineStr">
        <is>
          <t>2026-08-03</t>
        </is>
      </c>
      <c r="B14755" s="8" t="n">
        <v>13</v>
      </c>
      <c r="C14755" s="8" t="n">
        <v>15</v>
      </c>
      <c r="D14755" s="8" t="inlineStr">
        <is>
          <t>Disney Adventure World</t>
        </is>
      </c>
      <c r="E14755" s="8" t="inlineStr">
        <is>
          <t>Entry to World of Frozen</t>
        </is>
      </c>
      <c r="F14755" s="8" t="inlineStr">
        <is>
          <t>STANDBY</t>
        </is>
      </c>
      <c r="G14755" s="8" t="n">
        <v>0</v>
      </c>
      <c r="H14755" s="8" t="inlineStr">
        <is>
          <t>OPERATING</t>
        </is>
      </c>
    </row>
    <row r="14756">
      <c r="A14756" s="8" t="inlineStr">
        <is>
          <t>2026-08-03</t>
        </is>
      </c>
      <c r="B14756" s="8" t="n">
        <v>13</v>
      </c>
      <c r="C14756" s="8" t="n">
        <v>15</v>
      </c>
      <c r="D14756" s="8" t="inlineStr">
        <is>
          <t>Disney Adventure World</t>
        </is>
      </c>
      <c r="E14756" s="8" t="inlineStr">
        <is>
          <t>Frozen Ever After</t>
        </is>
      </c>
      <c r="F14756" s="8" t="inlineStr">
        <is>
          <t>STANDBY</t>
        </is>
      </c>
      <c r="G14756" s="8" t="n">
        <v>65</v>
      </c>
      <c r="H14756" s="8" t="inlineStr">
        <is>
          <t>OPERATING</t>
        </is>
      </c>
    </row>
    <row r="14757">
      <c r="A14757" s="8" t="inlineStr">
        <is>
          <t>2026-08-03</t>
        </is>
      </c>
      <c r="B14757" s="8" t="n">
        <v>13</v>
      </c>
      <c r="C14757" s="8" t="n">
        <v>15</v>
      </c>
      <c r="D14757" s="8" t="inlineStr">
        <is>
          <t>Disney Adventure World</t>
        </is>
      </c>
      <c r="E14757" s="8" t="inlineStr">
        <is>
          <t>Raiponce Tangled Spin</t>
        </is>
      </c>
      <c r="F14757" s="8" t="inlineStr">
        <is>
          <t>STANDBY</t>
        </is>
      </c>
      <c r="G14757" s="8" t="n">
        <v>10</v>
      </c>
      <c r="H14757" s="8" t="inlineStr">
        <is>
          <t>OPERATING</t>
        </is>
      </c>
    </row>
    <row r="14758">
      <c r="A14758" s="8" t="inlineStr">
        <is>
          <t>2026-08-03</t>
        </is>
      </c>
      <c r="B14758" s="8" t="n">
        <v>13</v>
      </c>
      <c r="C14758" s="8" t="n">
        <v>31</v>
      </c>
      <c r="D14758" s="8" t="inlineStr">
        <is>
          <t>Disneyland Park</t>
        </is>
      </c>
      <c r="E14758" s="8" t="inlineStr">
        <is>
          <t>Adventure Isle</t>
        </is>
      </c>
      <c r="F14758" s="8" t="inlineStr">
        <is>
          <t>STANDBY</t>
        </is>
      </c>
      <c r="G14758" s="8" t="n">
        <v>0</v>
      </c>
      <c r="H14758" s="8" t="inlineStr">
        <is>
          <t>OPERATING</t>
        </is>
      </c>
    </row>
    <row r="14759">
      <c r="A14759" s="8" t="inlineStr">
        <is>
          <t>2026-08-03</t>
        </is>
      </c>
      <c r="B14759" s="8" t="n">
        <v>13</v>
      </c>
      <c r="C14759" s="8" t="n">
        <v>31</v>
      </c>
      <c r="D14759" s="8" t="inlineStr">
        <is>
          <t>Disneyland Park</t>
        </is>
      </c>
      <c r="E14759" s="8" t="inlineStr">
        <is>
          <t>Indiana Jones and the Temple of Peril Single Rider</t>
        </is>
      </c>
      <c r="F14759" s="8" t="inlineStr">
        <is>
          <t>STANDBY</t>
        </is>
      </c>
      <c r="G14759" s="8" t="n">
        <v>30</v>
      </c>
      <c r="H14759" s="8" t="inlineStr">
        <is>
          <t>OPERATING</t>
        </is>
      </c>
    </row>
    <row r="14760">
      <c r="A14760" s="8" t="inlineStr">
        <is>
          <t>2026-08-03</t>
        </is>
      </c>
      <c r="B14760" s="8" t="n">
        <v>13</v>
      </c>
      <c r="C14760" s="8" t="n">
        <v>31</v>
      </c>
      <c r="D14760" s="8" t="inlineStr">
        <is>
          <t>Disneyland Park</t>
        </is>
      </c>
      <c r="E14760" s="8" t="inlineStr">
        <is>
          <t>Indiana Jones™ and the Temple of Peril</t>
        </is>
      </c>
      <c r="F14760" s="8" t="inlineStr">
        <is>
          <t>STANDBY</t>
        </is>
      </c>
      <c r="G14760" s="8" t="n">
        <v>45</v>
      </c>
      <c r="H14760" s="8" t="inlineStr">
        <is>
          <t>OPERATING</t>
        </is>
      </c>
    </row>
    <row r="14761">
      <c r="A14761" s="8" t="inlineStr">
        <is>
          <t>2026-08-03</t>
        </is>
      </c>
      <c r="B14761" s="8" t="n">
        <v>13</v>
      </c>
      <c r="C14761" s="8" t="n">
        <v>31</v>
      </c>
      <c r="D14761" s="8" t="inlineStr">
        <is>
          <t>Disneyland Park</t>
        </is>
      </c>
      <c r="E14761" s="8" t="inlineStr">
        <is>
          <t>La Cabane des Robinson</t>
        </is>
      </c>
      <c r="F14761" s="8" t="inlineStr">
        <is>
          <t>STANDBY</t>
        </is>
      </c>
      <c r="G14761" s="8" t="n">
        <v>5</v>
      </c>
      <c r="H14761" s="8" t="inlineStr">
        <is>
          <t>OPERATING</t>
        </is>
      </c>
    </row>
    <row r="14762">
      <c r="A14762" s="8" t="inlineStr">
        <is>
          <t>2026-08-03</t>
        </is>
      </c>
      <c r="B14762" s="8" t="n">
        <v>13</v>
      </c>
      <c r="C14762" s="8" t="n">
        <v>31</v>
      </c>
      <c r="D14762" s="8" t="inlineStr">
        <is>
          <t>Disneyland Park</t>
        </is>
      </c>
      <c r="E14762" s="8" t="inlineStr">
        <is>
          <t>Le Passage Enchanté d'Aladdin</t>
        </is>
      </c>
      <c r="F14762" s="8" t="inlineStr">
        <is>
          <t>STANDBY</t>
        </is>
      </c>
      <c r="G14762" s="8" t="n">
        <v>0</v>
      </c>
      <c r="H14762" s="8" t="inlineStr">
        <is>
          <t>OPERATING</t>
        </is>
      </c>
    </row>
    <row r="14763">
      <c r="A14763" s="8" t="inlineStr">
        <is>
          <t>2026-08-03</t>
        </is>
      </c>
      <c r="B14763" s="8" t="n">
        <v>13</v>
      </c>
      <c r="C14763" s="8" t="n">
        <v>31</v>
      </c>
      <c r="D14763" s="8" t="inlineStr">
        <is>
          <t>Disneyland Park</t>
        </is>
      </c>
      <c r="E14763" s="8" t="inlineStr">
        <is>
          <t>Pirate Galleon</t>
        </is>
      </c>
      <c r="F14763" s="8" t="inlineStr">
        <is>
          <t>STANDBY</t>
        </is>
      </c>
      <c r="G14763" s="8" t="n">
        <v>0</v>
      </c>
      <c r="H14763" s="8" t="inlineStr">
        <is>
          <t>CLOSED</t>
        </is>
      </c>
    </row>
    <row r="14764">
      <c r="A14764" s="8" t="inlineStr">
        <is>
          <t>2026-08-03</t>
        </is>
      </c>
      <c r="B14764" s="8" t="n">
        <v>13</v>
      </c>
      <c r="C14764" s="8" t="n">
        <v>31</v>
      </c>
      <c r="D14764" s="8" t="inlineStr">
        <is>
          <t>Disneyland Park</t>
        </is>
      </c>
      <c r="E14764" s="8" t="inlineStr">
        <is>
          <t>Pirates of the Caribbean</t>
        </is>
      </c>
      <c r="F14764" s="8" t="inlineStr">
        <is>
          <t>STANDBY</t>
        </is>
      </c>
      <c r="G14764" s="8" t="n">
        <v>30</v>
      </c>
      <c r="H14764" s="8" t="inlineStr">
        <is>
          <t>OPERATING</t>
        </is>
      </c>
    </row>
    <row r="14765">
      <c r="A14765" s="8" t="inlineStr">
        <is>
          <t>2026-08-03</t>
        </is>
      </c>
      <c r="B14765" s="8" t="n">
        <v>13</v>
      </c>
      <c r="C14765" s="8" t="n">
        <v>31</v>
      </c>
      <c r="D14765" s="8" t="inlineStr">
        <is>
          <t>Disneyland Park</t>
        </is>
      </c>
      <c r="E14765" s="8" t="inlineStr">
        <is>
          <t>Pirates' Beach</t>
        </is>
      </c>
      <c r="F14765" s="8" t="inlineStr">
        <is>
          <t>STANDBY</t>
        </is>
      </c>
      <c r="G14765" s="8" t="n">
        <v>0</v>
      </c>
      <c r="H14765" s="8" t="inlineStr">
        <is>
          <t>OPERATING</t>
        </is>
      </c>
    </row>
    <row r="14766">
      <c r="A14766" s="8" t="inlineStr">
        <is>
          <t>2026-08-03</t>
        </is>
      </c>
      <c r="B14766" s="8" t="n">
        <v>13</v>
      </c>
      <c r="C14766" s="8" t="n">
        <v>31</v>
      </c>
      <c r="D14766" s="8" t="inlineStr">
        <is>
          <t>Disneyland Park</t>
        </is>
      </c>
      <c r="E14766" s="8" t="inlineStr">
        <is>
          <t>Autopia, presented by Avis</t>
        </is>
      </c>
      <c r="F14766" s="8" t="inlineStr">
        <is>
          <t>STANDBY</t>
        </is>
      </c>
      <c r="G14766" s="8" t="n">
        <v>0</v>
      </c>
      <c r="H14766" s="8" t="inlineStr">
        <is>
          <t>CLOSED</t>
        </is>
      </c>
    </row>
    <row r="14767">
      <c r="A14767" s="8" t="inlineStr">
        <is>
          <t>2026-08-03</t>
        </is>
      </c>
      <c r="B14767" s="8" t="n">
        <v>13</v>
      </c>
      <c r="C14767" s="8" t="n">
        <v>31</v>
      </c>
      <c r="D14767" s="8" t="inlineStr">
        <is>
          <t>Disneyland Park</t>
        </is>
      </c>
      <c r="E14767" s="8" t="inlineStr">
        <is>
          <t>Buzz Lightyear Laser Blast</t>
        </is>
      </c>
      <c r="F14767" s="8" t="inlineStr">
        <is>
          <t>STANDBY</t>
        </is>
      </c>
      <c r="G14767" s="8" t="n">
        <v>30</v>
      </c>
      <c r="H14767" s="8" t="inlineStr">
        <is>
          <t>OPERATING</t>
        </is>
      </c>
    </row>
    <row r="14768">
      <c r="A14768" s="8" t="inlineStr">
        <is>
          <t>2026-08-03</t>
        </is>
      </c>
      <c r="B14768" s="8" t="n">
        <v>13</v>
      </c>
      <c r="C14768" s="8" t="n">
        <v>31</v>
      </c>
      <c r="D14768" s="8" t="inlineStr">
        <is>
          <t>Disneyland Park</t>
        </is>
      </c>
      <c r="E14768" s="8" t="inlineStr">
        <is>
          <t>Disneyland Railroad Discoveryland Station</t>
        </is>
      </c>
      <c r="F14768" s="8" t="inlineStr">
        <is>
          <t>STANDBY</t>
        </is>
      </c>
      <c r="G14768" s="8" t="n">
        <v>0</v>
      </c>
      <c r="H14768" s="8" t="inlineStr">
        <is>
          <t>CLOSED</t>
        </is>
      </c>
    </row>
    <row r="14769">
      <c r="A14769" s="8" t="inlineStr">
        <is>
          <t>2026-08-03</t>
        </is>
      </c>
      <c r="B14769" s="8" t="n">
        <v>13</v>
      </c>
      <c r="C14769" s="8" t="n">
        <v>31</v>
      </c>
      <c r="D14769" s="8" t="inlineStr">
        <is>
          <t>Disneyland Park</t>
        </is>
      </c>
      <c r="E14769" s="8" t="inlineStr">
        <is>
          <t>Les Mystères du Nautilus</t>
        </is>
      </c>
      <c r="F14769" s="8" t="inlineStr">
        <is>
          <t>STANDBY</t>
        </is>
      </c>
      <c r="G14769" s="8" t="n">
        <v>5</v>
      </c>
      <c r="H14769" s="8" t="inlineStr">
        <is>
          <t>OPERATING</t>
        </is>
      </c>
    </row>
    <row r="14770">
      <c r="A14770" s="8" t="inlineStr">
        <is>
          <t>2026-08-03</t>
        </is>
      </c>
      <c r="B14770" s="8" t="n">
        <v>13</v>
      </c>
      <c r="C14770" s="8" t="n">
        <v>31</v>
      </c>
      <c r="D14770" s="8" t="inlineStr">
        <is>
          <t>Disneyland Park</t>
        </is>
      </c>
      <c r="E14770" s="8" t="inlineStr">
        <is>
          <t>Mickey’s PhilharMagic</t>
        </is>
      </c>
      <c r="F14770" s="8" t="inlineStr">
        <is>
          <t>STANDBY</t>
        </is>
      </c>
      <c r="G14770" s="8" t="n">
        <v>0</v>
      </c>
      <c r="H14770" s="8" t="inlineStr">
        <is>
          <t>OPERATING</t>
        </is>
      </c>
    </row>
    <row r="14771">
      <c r="A14771" s="8" t="inlineStr">
        <is>
          <t>2026-08-03</t>
        </is>
      </c>
      <c r="B14771" s="8" t="n">
        <v>13</v>
      </c>
      <c r="C14771" s="8" t="n">
        <v>31</v>
      </c>
      <c r="D14771" s="8" t="inlineStr">
        <is>
          <t>Disneyland Park</t>
        </is>
      </c>
      <c r="E14771" s="8" t="inlineStr">
        <is>
          <t>Orbitron®</t>
        </is>
      </c>
      <c r="F14771" s="8" t="inlineStr">
        <is>
          <t>STANDBY</t>
        </is>
      </c>
      <c r="G14771" s="8" t="n">
        <v>0</v>
      </c>
      <c r="H14771" s="8" t="inlineStr">
        <is>
          <t>CLOSED</t>
        </is>
      </c>
    </row>
    <row r="14772">
      <c r="A14772" s="8" t="inlineStr">
        <is>
          <t>2026-08-03</t>
        </is>
      </c>
      <c r="B14772" s="8" t="n">
        <v>13</v>
      </c>
      <c r="C14772" s="8" t="n">
        <v>31</v>
      </c>
      <c r="D14772" s="8" t="inlineStr">
        <is>
          <t>Disneyland Park</t>
        </is>
      </c>
      <c r="E14772" s="8" t="inlineStr">
        <is>
          <t>Star Tours: The Adventures Continue*</t>
        </is>
      </c>
      <c r="F14772" s="8" t="inlineStr">
        <is>
          <t>STANDBY</t>
        </is>
      </c>
      <c r="G14772" s="8" t="n">
        <v>20</v>
      </c>
      <c r="H14772" s="8" t="inlineStr">
        <is>
          <t>OPERATING</t>
        </is>
      </c>
    </row>
    <row r="14773">
      <c r="A14773" s="8" t="inlineStr">
        <is>
          <t>2026-08-03</t>
        </is>
      </c>
      <c r="B14773" s="8" t="n">
        <v>13</v>
      </c>
      <c r="C14773" s="8" t="n">
        <v>31</v>
      </c>
      <c r="D14773" s="8" t="inlineStr">
        <is>
          <t>Disneyland Park</t>
        </is>
      </c>
      <c r="E14773" s="8" t="inlineStr">
        <is>
          <t>Star Wars Hyperspace Mountain</t>
        </is>
      </c>
      <c r="F14773" s="8" t="inlineStr">
        <is>
          <t>STANDBY</t>
        </is>
      </c>
      <c r="G14773" s="8" t="n">
        <v>40</v>
      </c>
      <c r="H14773" s="8" t="inlineStr">
        <is>
          <t>OPERATING</t>
        </is>
      </c>
    </row>
    <row r="14774">
      <c r="A14774" s="8" t="inlineStr">
        <is>
          <t>2026-08-03</t>
        </is>
      </c>
      <c r="B14774" s="8" t="n">
        <v>13</v>
      </c>
      <c r="C14774" s="8" t="n">
        <v>31</v>
      </c>
      <c r="D14774" s="8" t="inlineStr">
        <is>
          <t>Disneyland Park</t>
        </is>
      </c>
      <c r="E14774" s="8" t="inlineStr">
        <is>
          <t>Star Wars Hyperspace Mountain Single Rider</t>
        </is>
      </c>
      <c r="F14774" s="8" t="inlineStr">
        <is>
          <t>STANDBY</t>
        </is>
      </c>
      <c r="G14774" s="8" t="n">
        <v>15</v>
      </c>
      <c r="H14774" s="8" t="inlineStr">
        <is>
          <t>OPERATING</t>
        </is>
      </c>
    </row>
    <row r="14775">
      <c r="A14775" s="8" t="inlineStr">
        <is>
          <t>2026-08-03</t>
        </is>
      </c>
      <c r="B14775" s="8" t="n">
        <v>13</v>
      </c>
      <c r="C14775" s="8" t="n">
        <v>31</v>
      </c>
      <c r="D14775" s="8" t="inlineStr">
        <is>
          <t>Disneyland Park</t>
        </is>
      </c>
      <c r="E14775" s="8" t="inlineStr">
        <is>
          <t>Welcome to Starport: A Star Wars Encounter</t>
        </is>
      </c>
      <c r="F14775" s="8" t="inlineStr">
        <is>
          <t>STANDBY</t>
        </is>
      </c>
      <c r="G14775" s="8" t="n">
        <v>20</v>
      </c>
      <c r="H14775" s="8" t="inlineStr">
        <is>
          <t>OPERATING</t>
        </is>
      </c>
    </row>
    <row r="14776">
      <c r="A14776" s="8" t="inlineStr">
        <is>
          <t>2026-08-03</t>
        </is>
      </c>
      <c r="B14776" s="8" t="n">
        <v>13</v>
      </c>
      <c r="C14776" s="8" t="n">
        <v>31</v>
      </c>
      <c r="D14776" s="8" t="inlineStr">
        <is>
          <t>Disneyland Park</t>
        </is>
      </c>
      <c r="E14776" s="8" t="inlineStr">
        <is>
          <t>"it's a small world"</t>
        </is>
      </c>
      <c r="F14776" s="8" t="inlineStr">
        <is>
          <t>STANDBY</t>
        </is>
      </c>
      <c r="G14776" s="8" t="n">
        <v>25</v>
      </c>
      <c r="H14776" s="8" t="inlineStr">
        <is>
          <t>OPERATING</t>
        </is>
      </c>
    </row>
    <row r="14777">
      <c r="A14777" s="8" t="inlineStr">
        <is>
          <t>2026-08-03</t>
        </is>
      </c>
      <c r="B14777" s="8" t="n">
        <v>13</v>
      </c>
      <c r="C14777" s="8" t="n">
        <v>31</v>
      </c>
      <c r="D14777" s="8" t="inlineStr">
        <is>
          <t>Disneyland Park</t>
        </is>
      </c>
      <c r="E14777" s="8" t="inlineStr">
        <is>
          <t>Alice's Curious Labyrinth</t>
        </is>
      </c>
      <c r="F14777" s="8" t="inlineStr">
        <is>
          <t>STANDBY</t>
        </is>
      </c>
      <c r="G14777" s="8" t="n">
        <v>5</v>
      </c>
      <c r="H14777" s="8" t="inlineStr">
        <is>
          <t>OPERATING</t>
        </is>
      </c>
    </row>
    <row r="14778">
      <c r="A14778" s="8" t="inlineStr">
        <is>
          <t>2026-08-03</t>
        </is>
      </c>
      <c r="B14778" s="8" t="n">
        <v>13</v>
      </c>
      <c r="C14778" s="8" t="n">
        <v>31</v>
      </c>
      <c r="D14778" s="8" t="inlineStr">
        <is>
          <t>Disneyland Park</t>
        </is>
      </c>
      <c r="E14778" s="8" t="inlineStr">
        <is>
          <t>Blanche-Neige et les Sept Nains®</t>
        </is>
      </c>
      <c r="F14778" s="8" t="inlineStr">
        <is>
          <t>STANDBY</t>
        </is>
      </c>
      <c r="G14778" s="8" t="n">
        <v>30</v>
      </c>
      <c r="H14778" s="8" t="inlineStr">
        <is>
          <t>OPERATING</t>
        </is>
      </c>
    </row>
    <row r="14779">
      <c r="A14779" s="8" t="inlineStr">
        <is>
          <t>2026-08-03</t>
        </is>
      </c>
      <c r="B14779" s="8" t="n">
        <v>13</v>
      </c>
      <c r="C14779" s="8" t="n">
        <v>31</v>
      </c>
      <c r="D14779" s="8" t="inlineStr">
        <is>
          <t>Disneyland Park</t>
        </is>
      </c>
      <c r="E14779" s="8" t="inlineStr">
        <is>
          <t>Casey Jr. – le Petit Train du Cirque</t>
        </is>
      </c>
      <c r="F14779" s="8" t="inlineStr">
        <is>
          <t>STANDBY</t>
        </is>
      </c>
      <c r="G14779" s="8" t="n">
        <v>0</v>
      </c>
      <c r="H14779" s="8" t="inlineStr">
        <is>
          <t>CLOSED</t>
        </is>
      </c>
    </row>
    <row r="14780">
      <c r="A14780" s="8" t="inlineStr">
        <is>
          <t>2026-08-03</t>
        </is>
      </c>
      <c r="B14780" s="8" t="n">
        <v>13</v>
      </c>
      <c r="C14780" s="8" t="n">
        <v>31</v>
      </c>
      <c r="D14780" s="8" t="inlineStr">
        <is>
          <t>Disneyland Park</t>
        </is>
      </c>
      <c r="E14780" s="8" t="inlineStr">
        <is>
          <t>Disneyland Railroad Fantasyland Station</t>
        </is>
      </c>
      <c r="F14780" s="8" t="inlineStr">
        <is>
          <t>STANDBY</t>
        </is>
      </c>
      <c r="G14780" s="8" t="n">
        <v>0</v>
      </c>
      <c r="H14780" s="8" t="inlineStr">
        <is>
          <t>CLOSED</t>
        </is>
      </c>
    </row>
    <row r="14781">
      <c r="A14781" s="8" t="inlineStr">
        <is>
          <t>2026-08-03</t>
        </is>
      </c>
      <c r="B14781" s="8" t="n">
        <v>13</v>
      </c>
      <c r="C14781" s="8" t="n">
        <v>31</v>
      </c>
      <c r="D14781" s="8" t="inlineStr">
        <is>
          <t>Disneyland Park</t>
        </is>
      </c>
      <c r="E14781" s="8" t="inlineStr">
        <is>
          <t>Disneyland Railroad Main Street Station</t>
        </is>
      </c>
      <c r="F14781" s="8" t="inlineStr">
        <is>
          <t>STANDBY</t>
        </is>
      </c>
      <c r="G14781" s="8" t="n">
        <v>0</v>
      </c>
      <c r="H14781" s="8" t="inlineStr">
        <is>
          <t>CLOSED</t>
        </is>
      </c>
    </row>
    <row r="14782">
      <c r="A14782" s="8" t="inlineStr">
        <is>
          <t>2026-08-03</t>
        </is>
      </c>
      <c r="B14782" s="8" t="n">
        <v>13</v>
      </c>
      <c r="C14782" s="8" t="n">
        <v>31</v>
      </c>
      <c r="D14782" s="8" t="inlineStr">
        <is>
          <t>Disneyland Park</t>
        </is>
      </c>
      <c r="E14782" s="8" t="inlineStr">
        <is>
          <t>Dumbo the Flying Elephant</t>
        </is>
      </c>
      <c r="F14782" s="8" t="inlineStr">
        <is>
          <t>STANDBY</t>
        </is>
      </c>
      <c r="G14782" s="8" t="n">
        <v>0</v>
      </c>
      <c r="H14782" s="8" t="inlineStr">
        <is>
          <t>CLOSED</t>
        </is>
      </c>
    </row>
    <row r="14783">
      <c r="A14783" s="8" t="inlineStr">
        <is>
          <t>2026-08-03</t>
        </is>
      </c>
      <c r="B14783" s="8" t="n">
        <v>13</v>
      </c>
      <c r="C14783" s="8" t="n">
        <v>31</v>
      </c>
      <c r="D14783" s="8" t="inlineStr">
        <is>
          <t>Disneyland Park</t>
        </is>
      </c>
      <c r="E14783" s="8" t="inlineStr">
        <is>
          <t>La Tanière du Dragon</t>
        </is>
      </c>
      <c r="F14783" s="8" t="inlineStr">
        <is>
          <t>STANDBY</t>
        </is>
      </c>
      <c r="G14783" s="8" t="n">
        <v>0</v>
      </c>
      <c r="H14783" s="8" t="inlineStr">
        <is>
          <t>OPERATING</t>
        </is>
      </c>
    </row>
    <row r="14784">
      <c r="A14784" s="8" t="inlineStr">
        <is>
          <t>2026-08-03</t>
        </is>
      </c>
      <c r="B14784" s="8" t="n">
        <v>13</v>
      </c>
      <c r="C14784" s="8" t="n">
        <v>31</v>
      </c>
      <c r="D14784" s="8" t="inlineStr">
        <is>
          <t>Disneyland Park</t>
        </is>
      </c>
      <c r="E14784" s="8" t="inlineStr">
        <is>
          <t>Le Carrousel de Lancelot</t>
        </is>
      </c>
      <c r="F14784" s="8" t="inlineStr">
        <is>
          <t>STANDBY</t>
        </is>
      </c>
      <c r="G14784" s="8" t="n">
        <v>10</v>
      </c>
      <c r="H14784" s="8" t="inlineStr">
        <is>
          <t>OPERATING</t>
        </is>
      </c>
    </row>
    <row r="14785">
      <c r="A14785" s="8" t="inlineStr">
        <is>
          <t>2026-08-03</t>
        </is>
      </c>
      <c r="B14785" s="8" t="n">
        <v>13</v>
      </c>
      <c r="C14785" s="8" t="n">
        <v>31</v>
      </c>
      <c r="D14785" s="8" t="inlineStr">
        <is>
          <t>Disneyland Park</t>
        </is>
      </c>
      <c r="E14785" s="8" t="inlineStr">
        <is>
          <t>Le Pays des Contes de Fées, presented by Vittel</t>
        </is>
      </c>
      <c r="F14785" s="8" t="inlineStr">
        <is>
          <t>STANDBY</t>
        </is>
      </c>
      <c r="G14785" s="8" t="n">
        <v>0</v>
      </c>
      <c r="H14785" s="8" t="inlineStr">
        <is>
          <t>CLOSED</t>
        </is>
      </c>
    </row>
    <row r="14786">
      <c r="A14786" s="8" t="inlineStr">
        <is>
          <t>2026-08-03</t>
        </is>
      </c>
      <c r="B14786" s="8" t="n">
        <v>13</v>
      </c>
      <c r="C14786" s="8" t="n">
        <v>31</v>
      </c>
      <c r="D14786" s="8" t="inlineStr">
        <is>
          <t>Disneyland Park</t>
        </is>
      </c>
      <c r="E14786" s="8" t="inlineStr">
        <is>
          <t>Les Voyages de Pinocchio</t>
        </is>
      </c>
      <c r="F14786" s="8" t="inlineStr">
        <is>
          <t>STANDBY</t>
        </is>
      </c>
      <c r="G14786" s="8" t="n">
        <v>25</v>
      </c>
      <c r="H14786" s="8" t="inlineStr">
        <is>
          <t>OPERATING</t>
        </is>
      </c>
    </row>
    <row r="14787">
      <c r="A14787" s="8" t="inlineStr">
        <is>
          <t>2026-08-03</t>
        </is>
      </c>
      <c r="B14787" s="8" t="n">
        <v>13</v>
      </c>
      <c r="C14787" s="8" t="n">
        <v>31</v>
      </c>
      <c r="D14787" s="8" t="inlineStr">
        <is>
          <t>Disneyland Park</t>
        </is>
      </c>
      <c r="E14787" s="8" t="inlineStr">
        <is>
          <t>Mad Hatter's Tea Cups</t>
        </is>
      </c>
      <c r="F14787" s="8" t="inlineStr">
        <is>
          <t>STANDBY</t>
        </is>
      </c>
      <c r="G14787" s="8" t="n">
        <v>15</v>
      </c>
      <c r="H14787" s="8" t="inlineStr">
        <is>
          <t>OPERATING</t>
        </is>
      </c>
    </row>
    <row r="14788">
      <c r="A14788" s="8" t="inlineStr">
        <is>
          <t>2026-08-03</t>
        </is>
      </c>
      <c r="B14788" s="8" t="n">
        <v>13</v>
      </c>
      <c r="C14788" s="8" t="n">
        <v>31</v>
      </c>
      <c r="D14788" s="8" t="inlineStr">
        <is>
          <t>Disneyland Park</t>
        </is>
      </c>
      <c r="E14788" s="8" t="inlineStr">
        <is>
          <t>Meet Mickey Mouse</t>
        </is>
      </c>
      <c r="F14788" s="8" t="inlineStr">
        <is>
          <t>STANDBY</t>
        </is>
      </c>
      <c r="G14788" s="8" t="n">
        <v>0</v>
      </c>
      <c r="H14788" s="8" t="inlineStr">
        <is>
          <t>OPERATING</t>
        </is>
      </c>
    </row>
    <row r="14789">
      <c r="A14789" s="8" t="inlineStr">
        <is>
          <t>2026-08-03</t>
        </is>
      </c>
      <c r="B14789" s="8" t="n">
        <v>13</v>
      </c>
      <c r="C14789" s="8" t="n">
        <v>31</v>
      </c>
      <c r="D14789" s="8" t="inlineStr">
        <is>
          <t>Disneyland Park</t>
        </is>
      </c>
      <c r="E14789" s="8" t="inlineStr">
        <is>
          <t>Peter Pan's Flight</t>
        </is>
      </c>
      <c r="F14789" s="8" t="inlineStr">
        <is>
          <t>STANDBY</t>
        </is>
      </c>
      <c r="G14789" s="8" t="n">
        <v>50</v>
      </c>
      <c r="H14789" s="8" t="inlineStr">
        <is>
          <t>OPERATING</t>
        </is>
      </c>
    </row>
    <row r="14790">
      <c r="A14790" s="8" t="inlineStr">
        <is>
          <t>2026-08-03</t>
        </is>
      </c>
      <c r="B14790" s="8" t="n">
        <v>13</v>
      </c>
      <c r="C14790" s="8" t="n">
        <v>31</v>
      </c>
      <c r="D14790" s="8" t="inlineStr">
        <is>
          <t>Disneyland Park</t>
        </is>
      </c>
      <c r="E14790" s="8" t="inlineStr">
        <is>
          <t>Princess Pavilion</t>
        </is>
      </c>
      <c r="F14790" s="8" t="inlineStr">
        <is>
          <t>STANDBY</t>
        </is>
      </c>
      <c r="G14790" s="8" t="n">
        <v>0</v>
      </c>
      <c r="H14790" s="8" t="inlineStr">
        <is>
          <t>OPERATING</t>
        </is>
      </c>
    </row>
    <row r="14791">
      <c r="A14791" s="8" t="inlineStr">
        <is>
          <t>2026-08-03</t>
        </is>
      </c>
      <c r="B14791" s="8" t="n">
        <v>13</v>
      </c>
      <c r="C14791" s="8" t="n">
        <v>31</v>
      </c>
      <c r="D14791" s="8" t="inlineStr">
        <is>
          <t>Disneyland Park</t>
        </is>
      </c>
      <c r="E14791" s="8" t="inlineStr">
        <is>
          <t>Big Thunder Mountain</t>
        </is>
      </c>
      <c r="F14791" s="8" t="inlineStr">
        <is>
          <t>STANDBY</t>
        </is>
      </c>
      <c r="G14791" s="8" t="n">
        <v>65</v>
      </c>
      <c r="H14791" s="8" t="inlineStr">
        <is>
          <t>OPERATING</t>
        </is>
      </c>
    </row>
    <row r="14792">
      <c r="A14792" s="8" t="inlineStr">
        <is>
          <t>2026-08-03</t>
        </is>
      </c>
      <c r="B14792" s="8" t="n">
        <v>13</v>
      </c>
      <c r="C14792" s="8" t="n">
        <v>31</v>
      </c>
      <c r="D14792" s="8" t="inlineStr">
        <is>
          <t>Disneyland Park</t>
        </is>
      </c>
      <c r="E14792" s="8" t="inlineStr">
        <is>
          <t>Disneyland Railroad Frontierland Depot</t>
        </is>
      </c>
      <c r="F14792" s="8" t="inlineStr">
        <is>
          <t>STANDBY</t>
        </is>
      </c>
      <c r="G14792" s="8" t="n">
        <v>0</v>
      </c>
      <c r="H14792" s="8" t="inlineStr">
        <is>
          <t>CLOSED</t>
        </is>
      </c>
    </row>
    <row r="14793">
      <c r="A14793" s="8" t="inlineStr">
        <is>
          <t>2026-08-03</t>
        </is>
      </c>
      <c r="B14793" s="8" t="n">
        <v>13</v>
      </c>
      <c r="C14793" s="8" t="n">
        <v>31</v>
      </c>
      <c r="D14793" s="8" t="inlineStr">
        <is>
          <t>Disneyland Park</t>
        </is>
      </c>
      <c r="E14793" s="8" t="inlineStr">
        <is>
          <t>Frontierland Playground</t>
        </is>
      </c>
      <c r="F14793" s="8" t="inlineStr">
        <is>
          <t>STANDBY</t>
        </is>
      </c>
      <c r="G14793" s="8" t="n">
        <v>0</v>
      </c>
      <c r="H14793" s="8" t="inlineStr">
        <is>
          <t>CLOSED</t>
        </is>
      </c>
    </row>
    <row r="14794">
      <c r="A14794" s="8" t="inlineStr">
        <is>
          <t>2026-08-03</t>
        </is>
      </c>
      <c r="B14794" s="8" t="n">
        <v>13</v>
      </c>
      <c r="C14794" s="8" t="n">
        <v>31</v>
      </c>
      <c r="D14794" s="8" t="inlineStr">
        <is>
          <t>Disneyland Park</t>
        </is>
      </c>
      <c r="E14794" s="8" t="inlineStr">
        <is>
          <t>Phantom Manor</t>
        </is>
      </c>
      <c r="F14794" s="8" t="inlineStr">
        <is>
          <t>STANDBY</t>
        </is>
      </c>
      <c r="G14794" s="8" t="n">
        <v>0</v>
      </c>
      <c r="H14794" s="8" t="inlineStr">
        <is>
          <t>CLOSED</t>
        </is>
      </c>
    </row>
    <row r="14795">
      <c r="A14795" s="8" t="inlineStr">
        <is>
          <t>2026-08-03</t>
        </is>
      </c>
      <c r="B14795" s="8" t="n">
        <v>13</v>
      </c>
      <c r="C14795" s="8" t="n">
        <v>31</v>
      </c>
      <c r="D14795" s="8" t="inlineStr">
        <is>
          <t>Disneyland Park</t>
        </is>
      </c>
      <c r="E14795" s="8" t="inlineStr">
        <is>
          <t>River Rogue Keelboats</t>
        </is>
      </c>
      <c r="F14795" s="8" t="inlineStr">
        <is>
          <t>STANDBY</t>
        </is>
      </c>
      <c r="G14795" s="8" t="n">
        <v>0</v>
      </c>
      <c r="H14795" s="8" t="inlineStr">
        <is>
          <t>CLOSED</t>
        </is>
      </c>
    </row>
    <row r="14796">
      <c r="A14796" s="8" t="inlineStr">
        <is>
          <t>2026-08-03</t>
        </is>
      </c>
      <c r="B14796" s="8" t="n">
        <v>13</v>
      </c>
      <c r="C14796" s="8" t="n">
        <v>31</v>
      </c>
      <c r="D14796" s="8" t="inlineStr">
        <is>
          <t>Disneyland Park</t>
        </is>
      </c>
      <c r="E14796" s="8" t="inlineStr">
        <is>
          <t>Rustler Roundup Shootin' Gallery</t>
        </is>
      </c>
      <c r="F14796" s="8" t="inlineStr">
        <is>
          <t>STANDBY</t>
        </is>
      </c>
      <c r="G14796" s="8" t="n">
        <v>0</v>
      </c>
      <c r="H14796" s="8" t="inlineStr">
        <is>
          <t>OPERATING</t>
        </is>
      </c>
    </row>
    <row r="14797">
      <c r="A14797" s="8" t="inlineStr">
        <is>
          <t>2026-08-03</t>
        </is>
      </c>
      <c r="B14797" s="8" t="n">
        <v>13</v>
      </c>
      <c r="C14797" s="8" t="n">
        <v>31</v>
      </c>
      <c r="D14797" s="8" t="inlineStr">
        <is>
          <t>Disneyland Park</t>
        </is>
      </c>
      <c r="E14797" s="8" t="inlineStr">
        <is>
          <t>Thunder Mesa Riverboat Landing</t>
        </is>
      </c>
      <c r="F14797" s="8" t="inlineStr">
        <is>
          <t>STANDBY</t>
        </is>
      </c>
      <c r="G14797" s="8" t="n">
        <v>0</v>
      </c>
      <c r="H14797" s="8" t="inlineStr">
        <is>
          <t>CLOSED</t>
        </is>
      </c>
    </row>
    <row r="14798">
      <c r="A14798" s="8" t="inlineStr">
        <is>
          <t>2026-08-03</t>
        </is>
      </c>
      <c r="B14798" s="8" t="n">
        <v>13</v>
      </c>
      <c r="C14798" s="8" t="n">
        <v>31</v>
      </c>
      <c r="D14798" s="8" t="inlineStr">
        <is>
          <t>Disneyland Park</t>
        </is>
      </c>
      <c r="E14798" s="8" t="inlineStr">
        <is>
          <t>Disneyland Railroad Main Street Station</t>
        </is>
      </c>
      <c r="F14798" s="8" t="inlineStr">
        <is>
          <t>STANDBY</t>
        </is>
      </c>
      <c r="G14798" s="8" t="n">
        <v>0</v>
      </c>
      <c r="H14798" s="8" t="inlineStr">
        <is>
          <t>CLOSED</t>
        </is>
      </c>
    </row>
    <row r="14799">
      <c r="A14799" s="8" t="inlineStr">
        <is>
          <t>2026-08-03</t>
        </is>
      </c>
      <c r="B14799" s="8" t="n">
        <v>13</v>
      </c>
      <c r="C14799" s="8" t="n">
        <v>31</v>
      </c>
      <c r="D14799" s="8" t="inlineStr">
        <is>
          <t>Disneyland Park</t>
        </is>
      </c>
      <c r="E14799" s="8" t="inlineStr">
        <is>
          <t>Main Street Vehicles</t>
        </is>
      </c>
      <c r="F14799" s="8" t="inlineStr">
        <is>
          <t>STANDBY</t>
        </is>
      </c>
      <c r="G14799" s="8" t="n">
        <v>5</v>
      </c>
      <c r="H14799" s="8" t="inlineStr">
        <is>
          <t>OPERATING</t>
        </is>
      </c>
    </row>
    <row r="14800">
      <c r="A14800" s="8" t="inlineStr">
        <is>
          <t>2026-08-03</t>
        </is>
      </c>
      <c r="B14800" s="8" t="n">
        <v>13</v>
      </c>
      <c r="C14800" s="8" t="n">
        <v>31</v>
      </c>
      <c r="D14800" s="8" t="inlineStr">
        <is>
          <t>Disney Adventure World</t>
        </is>
      </c>
      <c r="E14800" s="8" t="inlineStr">
        <is>
          <t>Avengers Assemble: Flight Force</t>
        </is>
      </c>
      <c r="F14800" s="8" t="inlineStr">
        <is>
          <t>STANDBY</t>
        </is>
      </c>
      <c r="G14800" s="8" t="n">
        <v>20</v>
      </c>
      <c r="H14800" s="8" t="inlineStr">
        <is>
          <t>OPERATING</t>
        </is>
      </c>
    </row>
    <row r="14801">
      <c r="A14801" s="8" t="inlineStr">
        <is>
          <t>2026-08-03</t>
        </is>
      </c>
      <c r="B14801" s="8" t="n">
        <v>13</v>
      </c>
      <c r="C14801" s="8" t="n">
        <v>31</v>
      </c>
      <c r="D14801" s="8" t="inlineStr">
        <is>
          <t>Disney Adventure World</t>
        </is>
      </c>
      <c r="E14801" s="8" t="inlineStr">
        <is>
          <t>Avengers Assemble: Flight Force Single Rider</t>
        </is>
      </c>
      <c r="F14801" s="8" t="inlineStr">
        <is>
          <t>STANDBY</t>
        </is>
      </c>
      <c r="G14801" s="8" t="n">
        <v>10</v>
      </c>
      <c r="H14801" s="8" t="inlineStr">
        <is>
          <t>OPERATING</t>
        </is>
      </c>
    </row>
    <row r="14802">
      <c r="A14802" s="8" t="inlineStr">
        <is>
          <t>2026-08-03</t>
        </is>
      </c>
      <c r="B14802" s="8" t="n">
        <v>13</v>
      </c>
      <c r="C14802" s="8" t="n">
        <v>31</v>
      </c>
      <c r="D14802" s="8" t="inlineStr">
        <is>
          <t>Disney Adventure World</t>
        </is>
      </c>
      <c r="E14802" s="8" t="inlineStr">
        <is>
          <t>Spider-Man W.E.B. Adventure</t>
        </is>
      </c>
      <c r="F14802" s="8" t="inlineStr">
        <is>
          <t>STANDBY</t>
        </is>
      </c>
      <c r="G14802" s="8" t="n">
        <v>50</v>
      </c>
      <c r="H14802" s="8" t="inlineStr">
        <is>
          <t>OPERATING</t>
        </is>
      </c>
    </row>
    <row r="14803">
      <c r="A14803" s="8" t="inlineStr">
        <is>
          <t>2026-08-03</t>
        </is>
      </c>
      <c r="B14803" s="8" t="n">
        <v>13</v>
      </c>
      <c r="C14803" s="8" t="n">
        <v>31</v>
      </c>
      <c r="D14803" s="8" t="inlineStr">
        <is>
          <t>Disney Adventure World</t>
        </is>
      </c>
      <c r="E14803" s="8" t="inlineStr">
        <is>
          <t>Spider-Man W.E.B. Adventure Single Rider</t>
        </is>
      </c>
      <c r="F14803" s="8" t="inlineStr">
        <is>
          <t>STANDBY</t>
        </is>
      </c>
      <c r="G14803" s="8" t="n">
        <v>15</v>
      </c>
      <c r="H14803" s="8" t="inlineStr">
        <is>
          <t>OPERATING</t>
        </is>
      </c>
    </row>
    <row r="14804">
      <c r="A14804" s="8" t="inlineStr">
        <is>
          <t>2026-08-03</t>
        </is>
      </c>
      <c r="B14804" s="8" t="n">
        <v>13</v>
      </c>
      <c r="C14804" s="8" t="n">
        <v>31</v>
      </c>
      <c r="D14804" s="8" t="inlineStr">
        <is>
          <t>Disney Adventure World</t>
        </is>
      </c>
      <c r="E14804" s="8" t="inlineStr">
        <is>
          <t>The Twilight Zone Tower of Terror</t>
        </is>
      </c>
      <c r="F14804" s="8" t="inlineStr">
        <is>
          <t>STANDBY</t>
        </is>
      </c>
      <c r="G14804" s="8" t="n">
        <v>20</v>
      </c>
      <c r="H14804" s="8" t="inlineStr">
        <is>
          <t>OPERATING</t>
        </is>
      </c>
    </row>
    <row r="14805">
      <c r="A14805" s="8" t="inlineStr">
        <is>
          <t>2026-08-03</t>
        </is>
      </c>
      <c r="B14805" s="8" t="n">
        <v>13</v>
      </c>
      <c r="C14805" s="8" t="n">
        <v>31</v>
      </c>
      <c r="D14805" s="8" t="inlineStr">
        <is>
          <t>Disney Adventure World</t>
        </is>
      </c>
      <c r="E14805" s="8" t="inlineStr">
        <is>
          <t>Cars Quatre Roues Rallye</t>
        </is>
      </c>
      <c r="F14805" s="8" t="inlineStr">
        <is>
          <t>STANDBY</t>
        </is>
      </c>
      <c r="G14805" s="8" t="n">
        <v>10</v>
      </c>
      <c r="H14805" s="8" t="inlineStr">
        <is>
          <t>OPERATING</t>
        </is>
      </c>
    </row>
    <row r="14806">
      <c r="A14806" s="8" t="inlineStr">
        <is>
          <t>2026-08-03</t>
        </is>
      </c>
      <c r="B14806" s="8" t="n">
        <v>13</v>
      </c>
      <c r="C14806" s="8" t="n">
        <v>31</v>
      </c>
      <c r="D14806" s="8" t="inlineStr">
        <is>
          <t>Disney Adventure World</t>
        </is>
      </c>
      <c r="E14806" s="8" t="inlineStr">
        <is>
          <t>Cars ROAD TRIP</t>
        </is>
      </c>
      <c r="F14806" s="8" t="inlineStr">
        <is>
          <t>STANDBY</t>
        </is>
      </c>
      <c r="G14806" s="8" t="n">
        <v>5</v>
      </c>
      <c r="H14806" s="8" t="inlineStr">
        <is>
          <t>OPERATING</t>
        </is>
      </c>
    </row>
    <row r="14807">
      <c r="A14807" s="8" t="inlineStr">
        <is>
          <t>2026-08-03</t>
        </is>
      </c>
      <c r="B14807" s="8" t="n">
        <v>13</v>
      </c>
      <c r="C14807" s="8" t="n">
        <v>31</v>
      </c>
      <c r="D14807" s="8" t="inlineStr">
        <is>
          <t>Disney Adventure World</t>
        </is>
      </c>
      <c r="E14807" s="8" t="inlineStr">
        <is>
          <t>Crush's Coaster</t>
        </is>
      </c>
      <c r="F14807" s="8" t="inlineStr">
        <is>
          <t>STANDBY</t>
        </is>
      </c>
      <c r="G14807" s="8" t="n">
        <v>80</v>
      </c>
      <c r="H14807" s="8" t="inlineStr">
        <is>
          <t>OPERATING</t>
        </is>
      </c>
    </row>
    <row r="14808">
      <c r="A14808" s="8" t="inlineStr">
        <is>
          <t>2026-08-03</t>
        </is>
      </c>
      <c r="B14808" s="8" t="n">
        <v>13</v>
      </c>
      <c r="C14808" s="8" t="n">
        <v>31</v>
      </c>
      <c r="D14808" s="8" t="inlineStr">
        <is>
          <t>Disney Adventure World</t>
        </is>
      </c>
      <c r="E14808" s="8" t="inlineStr">
        <is>
          <t>Crush's Coaster Single Rider</t>
        </is>
      </c>
      <c r="F14808" s="8" t="inlineStr">
        <is>
          <t>STANDBY</t>
        </is>
      </c>
      <c r="G14808" s="8" t="n">
        <v>60</v>
      </c>
      <c r="H14808" s="8" t="inlineStr">
        <is>
          <t>OPERATING</t>
        </is>
      </c>
    </row>
    <row r="14809">
      <c r="A14809" s="8" t="inlineStr">
        <is>
          <t>2026-08-03</t>
        </is>
      </c>
      <c r="B14809" s="8" t="n">
        <v>13</v>
      </c>
      <c r="C14809" s="8" t="n">
        <v>31</v>
      </c>
      <c r="D14809" s="8" t="inlineStr">
        <is>
          <t>Disney Adventure World</t>
        </is>
      </c>
      <c r="E14809" s="8" t="inlineStr">
        <is>
          <t>Les Tapis Volants - Flying Carpets Over Agrabah®</t>
        </is>
      </c>
      <c r="F14809" s="8" t="inlineStr">
        <is>
          <t>STANDBY</t>
        </is>
      </c>
      <c r="G14809" s="8" t="n">
        <v>0</v>
      </c>
      <c r="H14809" s="8" t="inlineStr">
        <is>
          <t>CLOSED</t>
        </is>
      </c>
    </row>
    <row r="14810">
      <c r="A14810" s="8" t="inlineStr">
        <is>
          <t>2026-08-03</t>
        </is>
      </c>
      <c r="B14810" s="8" t="n">
        <v>13</v>
      </c>
      <c r="C14810" s="8" t="n">
        <v>31</v>
      </c>
      <c r="D14810" s="8" t="inlineStr">
        <is>
          <t>Disney Adventure World</t>
        </is>
      </c>
      <c r="E14810" s="8" t="inlineStr">
        <is>
          <t>Ratatouille : L’Aventure Totalement Toquée de Rémy​</t>
        </is>
      </c>
      <c r="F14810" s="8" t="inlineStr">
        <is>
          <t>STANDBY</t>
        </is>
      </c>
      <c r="G14810" s="8" t="n">
        <v>50</v>
      </c>
      <c r="H14810" s="8" t="inlineStr">
        <is>
          <t>OPERATING</t>
        </is>
      </c>
    </row>
    <row r="14811">
      <c r="A14811" s="8" t="inlineStr">
        <is>
          <t>2026-08-03</t>
        </is>
      </c>
      <c r="B14811" s="8" t="n">
        <v>13</v>
      </c>
      <c r="C14811" s="8" t="n">
        <v>31</v>
      </c>
      <c r="D14811" s="8" t="inlineStr">
        <is>
          <t>Disney Adventure World</t>
        </is>
      </c>
      <c r="E14811" s="8" t="inlineStr">
        <is>
          <t>Ratatouille: The Adventure Single Rider</t>
        </is>
      </c>
      <c r="F14811" s="8" t="inlineStr">
        <is>
          <t>STANDBY</t>
        </is>
      </c>
      <c r="G14811" s="8" t="n">
        <v>25</v>
      </c>
      <c r="H14811" s="8" t="inlineStr">
        <is>
          <t>OPERATING</t>
        </is>
      </c>
    </row>
    <row r="14812">
      <c r="A14812" s="8" t="inlineStr">
        <is>
          <t>2026-08-03</t>
        </is>
      </c>
      <c r="B14812" s="8" t="n">
        <v>13</v>
      </c>
      <c r="C14812" s="8" t="n">
        <v>31</v>
      </c>
      <c r="D14812" s="8" t="inlineStr">
        <is>
          <t>Disney Adventure World</t>
        </is>
      </c>
      <c r="E14812" s="8" t="inlineStr">
        <is>
          <t>RC Racer</t>
        </is>
      </c>
      <c r="F14812" s="8" t="inlineStr">
        <is>
          <t>STANDBY</t>
        </is>
      </c>
      <c r="G14812" s="8" t="n">
        <v>35</v>
      </c>
      <c r="H14812" s="8" t="inlineStr">
        <is>
          <t>OPERATING</t>
        </is>
      </c>
    </row>
    <row r="14813">
      <c r="A14813" s="8" t="inlineStr">
        <is>
          <t>2026-08-03</t>
        </is>
      </c>
      <c r="B14813" s="8" t="n">
        <v>13</v>
      </c>
      <c r="C14813" s="8" t="n">
        <v>31</v>
      </c>
      <c r="D14813" s="8" t="inlineStr">
        <is>
          <t>Disney Adventure World</t>
        </is>
      </c>
      <c r="E14813" s="8" t="inlineStr">
        <is>
          <t>RC Racer Single Rider</t>
        </is>
      </c>
      <c r="F14813" s="8" t="inlineStr">
        <is>
          <t>STANDBY</t>
        </is>
      </c>
      <c r="G14813" s="8" t="n">
        <v>20</v>
      </c>
      <c r="H14813" s="8" t="inlineStr">
        <is>
          <t>OPERATING</t>
        </is>
      </c>
    </row>
    <row r="14814">
      <c r="A14814" s="8" t="inlineStr">
        <is>
          <t>2026-08-03</t>
        </is>
      </c>
      <c r="B14814" s="8" t="n">
        <v>13</v>
      </c>
      <c r="C14814" s="8" t="n">
        <v>31</v>
      </c>
      <c r="D14814" s="8" t="inlineStr">
        <is>
          <t>Disney Adventure World</t>
        </is>
      </c>
      <c r="E14814" s="8" t="inlineStr">
        <is>
          <t>Slinky® Dog Zigzag Spin</t>
        </is>
      </c>
      <c r="F14814" s="8" t="inlineStr">
        <is>
          <t>STANDBY</t>
        </is>
      </c>
      <c r="G14814" s="8" t="n">
        <v>0</v>
      </c>
      <c r="H14814" s="8" t="inlineStr">
        <is>
          <t>CLOSED</t>
        </is>
      </c>
    </row>
    <row r="14815">
      <c r="A14815" s="8" t="inlineStr">
        <is>
          <t>2026-08-03</t>
        </is>
      </c>
      <c r="B14815" s="8" t="n">
        <v>13</v>
      </c>
      <c r="C14815" s="8" t="n">
        <v>31</v>
      </c>
      <c r="D14815" s="8" t="inlineStr">
        <is>
          <t>Disney Adventure World</t>
        </is>
      </c>
      <c r="E14815" s="8" t="inlineStr">
        <is>
          <t>Toy Soldiers Parachute Drop</t>
        </is>
      </c>
      <c r="F14815" s="8" t="inlineStr">
        <is>
          <t>STANDBY</t>
        </is>
      </c>
      <c r="G14815" s="8" t="n">
        <v>35</v>
      </c>
      <c r="H14815" s="8" t="inlineStr">
        <is>
          <t>OPERATING</t>
        </is>
      </c>
    </row>
    <row r="14816">
      <c r="A14816" s="8" t="inlineStr">
        <is>
          <t>2026-08-03</t>
        </is>
      </c>
      <c r="B14816" s="8" t="n">
        <v>13</v>
      </c>
      <c r="C14816" s="8" t="n">
        <v>31</v>
      </c>
      <c r="D14816" s="8" t="inlineStr">
        <is>
          <t>Disney Adventure World</t>
        </is>
      </c>
      <c r="E14816" s="8" t="inlineStr">
        <is>
          <t>Toy Soldiers Parachute Drop Single Rider</t>
        </is>
      </c>
      <c r="F14816" s="8" t="inlineStr">
        <is>
          <t>STANDBY</t>
        </is>
      </c>
      <c r="G14816" s="8" t="n">
        <v>30</v>
      </c>
      <c r="H14816" s="8" t="inlineStr">
        <is>
          <t>OPERATING</t>
        </is>
      </c>
    </row>
    <row r="14817">
      <c r="A14817" s="8" t="inlineStr">
        <is>
          <t>2026-08-03</t>
        </is>
      </c>
      <c r="B14817" s="8" t="n">
        <v>13</v>
      </c>
      <c r="C14817" s="8" t="n">
        <v>31</v>
      </c>
      <c r="D14817" s="8" t="inlineStr">
        <is>
          <t>Disney Adventure World</t>
        </is>
      </c>
      <c r="E14817" s="8" t="inlineStr">
        <is>
          <t>Entry to World of Frozen</t>
        </is>
      </c>
      <c r="F14817" s="8" t="inlineStr">
        <is>
          <t>STANDBY</t>
        </is>
      </c>
      <c r="G14817" s="8" t="n">
        <v>0</v>
      </c>
      <c r="H14817" s="8" t="inlineStr">
        <is>
          <t>OPERATING</t>
        </is>
      </c>
    </row>
    <row r="14818">
      <c r="A14818" s="8" t="inlineStr">
        <is>
          <t>2026-08-03</t>
        </is>
      </c>
      <c r="B14818" s="8" t="n">
        <v>13</v>
      </c>
      <c r="C14818" s="8" t="n">
        <v>31</v>
      </c>
      <c r="D14818" s="8" t="inlineStr">
        <is>
          <t>Disney Adventure World</t>
        </is>
      </c>
      <c r="E14818" s="8" t="inlineStr">
        <is>
          <t>Frozen Ever After</t>
        </is>
      </c>
      <c r="F14818" s="8" t="inlineStr">
        <is>
          <t>STANDBY</t>
        </is>
      </c>
      <c r="G14818" s="8" t="n">
        <v>50</v>
      </c>
      <c r="H14818" s="8" t="inlineStr">
        <is>
          <t>OPERATING</t>
        </is>
      </c>
    </row>
    <row r="14819">
      <c r="A14819" s="8" t="inlineStr">
        <is>
          <t>2026-08-03</t>
        </is>
      </c>
      <c r="B14819" s="8" t="n">
        <v>13</v>
      </c>
      <c r="C14819" s="8" t="n">
        <v>31</v>
      </c>
      <c r="D14819" s="8" t="inlineStr">
        <is>
          <t>Disney Adventure World</t>
        </is>
      </c>
      <c r="E14819" s="8" t="inlineStr">
        <is>
          <t>Raiponce Tangled Spin</t>
        </is>
      </c>
      <c r="F14819" s="8" t="inlineStr">
        <is>
          <t>STANDBY</t>
        </is>
      </c>
      <c r="G14819" s="8" t="n">
        <v>5</v>
      </c>
      <c r="H14819" s="8" t="inlineStr">
        <is>
          <t>OPERATING</t>
        </is>
      </c>
    </row>
    <row r="14820">
      <c r="A14820" s="8" t="inlineStr">
        <is>
          <t>2026-08-03</t>
        </is>
      </c>
      <c r="B14820" s="8" t="n">
        <v>13</v>
      </c>
      <c r="C14820" s="8" t="n">
        <v>45</v>
      </c>
      <c r="D14820" s="8" t="inlineStr">
        <is>
          <t>Disneyland Park</t>
        </is>
      </c>
      <c r="E14820" s="8" t="inlineStr">
        <is>
          <t>Adventure Isle</t>
        </is>
      </c>
      <c r="F14820" s="8" t="inlineStr">
        <is>
          <t>STANDBY</t>
        </is>
      </c>
      <c r="G14820" s="8" t="n">
        <v>0</v>
      </c>
      <c r="H14820" s="8" t="inlineStr">
        <is>
          <t>OPERATING</t>
        </is>
      </c>
    </row>
    <row r="14821">
      <c r="A14821" s="8" t="inlineStr">
        <is>
          <t>2026-08-03</t>
        </is>
      </c>
      <c r="B14821" s="8" t="n">
        <v>13</v>
      </c>
      <c r="C14821" s="8" t="n">
        <v>45</v>
      </c>
      <c r="D14821" s="8" t="inlineStr">
        <is>
          <t>Disneyland Park</t>
        </is>
      </c>
      <c r="E14821" s="8" t="inlineStr">
        <is>
          <t>Indiana Jones and the Temple of Peril Single Rider</t>
        </is>
      </c>
      <c r="F14821" s="8" t="inlineStr">
        <is>
          <t>STANDBY</t>
        </is>
      </c>
      <c r="G14821" s="8" t="n">
        <v>35</v>
      </c>
      <c r="H14821" s="8" t="inlineStr">
        <is>
          <t>OPERATING</t>
        </is>
      </c>
    </row>
    <row r="14822">
      <c r="A14822" s="8" t="inlineStr">
        <is>
          <t>2026-08-03</t>
        </is>
      </c>
      <c r="B14822" s="8" t="n">
        <v>13</v>
      </c>
      <c r="C14822" s="8" t="n">
        <v>45</v>
      </c>
      <c r="D14822" s="8" t="inlineStr">
        <is>
          <t>Disneyland Park</t>
        </is>
      </c>
      <c r="E14822" s="8" t="inlineStr">
        <is>
          <t>Indiana Jones™ and the Temple of Peril</t>
        </is>
      </c>
      <c r="F14822" s="8" t="inlineStr">
        <is>
          <t>STANDBY</t>
        </is>
      </c>
      <c r="G14822" s="8" t="n">
        <v>60</v>
      </c>
      <c r="H14822" s="8" t="inlineStr">
        <is>
          <t>OPERATING</t>
        </is>
      </c>
    </row>
    <row r="14823">
      <c r="A14823" s="8" t="inlineStr">
        <is>
          <t>2026-08-03</t>
        </is>
      </c>
      <c r="B14823" s="8" t="n">
        <v>13</v>
      </c>
      <c r="C14823" s="8" t="n">
        <v>45</v>
      </c>
      <c r="D14823" s="8" t="inlineStr">
        <is>
          <t>Disneyland Park</t>
        </is>
      </c>
      <c r="E14823" s="8" t="inlineStr">
        <is>
          <t>La Cabane des Robinson</t>
        </is>
      </c>
      <c r="F14823" s="8" t="inlineStr">
        <is>
          <t>STANDBY</t>
        </is>
      </c>
      <c r="G14823" s="8" t="n">
        <v>5</v>
      </c>
      <c r="H14823" s="8" t="inlineStr">
        <is>
          <t>OPERATING</t>
        </is>
      </c>
    </row>
    <row r="14824">
      <c r="A14824" s="8" t="inlineStr">
        <is>
          <t>2026-08-03</t>
        </is>
      </c>
      <c r="B14824" s="8" t="n">
        <v>13</v>
      </c>
      <c r="C14824" s="8" t="n">
        <v>45</v>
      </c>
      <c r="D14824" s="8" t="inlineStr">
        <is>
          <t>Disneyland Park</t>
        </is>
      </c>
      <c r="E14824" s="8" t="inlineStr">
        <is>
          <t>Le Passage Enchanté d'Aladdin</t>
        </is>
      </c>
      <c r="F14824" s="8" t="inlineStr">
        <is>
          <t>STANDBY</t>
        </is>
      </c>
      <c r="G14824" s="8" t="n">
        <v>0</v>
      </c>
      <c r="H14824" s="8" t="inlineStr">
        <is>
          <t>OPERATING</t>
        </is>
      </c>
    </row>
    <row r="14825">
      <c r="A14825" s="8" t="inlineStr">
        <is>
          <t>2026-08-03</t>
        </is>
      </c>
      <c r="B14825" s="8" t="n">
        <v>13</v>
      </c>
      <c r="C14825" s="8" t="n">
        <v>45</v>
      </c>
      <c r="D14825" s="8" t="inlineStr">
        <is>
          <t>Disneyland Park</t>
        </is>
      </c>
      <c r="E14825" s="8" t="inlineStr">
        <is>
          <t>Pirate Galleon</t>
        </is>
      </c>
      <c r="F14825" s="8" t="inlineStr">
        <is>
          <t>STANDBY</t>
        </is>
      </c>
      <c r="G14825" s="8" t="n">
        <v>0</v>
      </c>
      <c r="H14825" s="8" t="inlineStr">
        <is>
          <t>CLOSED</t>
        </is>
      </c>
    </row>
    <row r="14826">
      <c r="A14826" s="8" t="inlineStr">
        <is>
          <t>2026-08-03</t>
        </is>
      </c>
      <c r="B14826" s="8" t="n">
        <v>13</v>
      </c>
      <c r="C14826" s="8" t="n">
        <v>45</v>
      </c>
      <c r="D14826" s="8" t="inlineStr">
        <is>
          <t>Disneyland Park</t>
        </is>
      </c>
      <c r="E14826" s="8" t="inlineStr">
        <is>
          <t>Pirates of the Caribbean</t>
        </is>
      </c>
      <c r="F14826" s="8" t="inlineStr">
        <is>
          <t>STANDBY</t>
        </is>
      </c>
      <c r="G14826" s="8" t="n">
        <v>30</v>
      </c>
      <c r="H14826" s="8" t="inlineStr">
        <is>
          <t>OPERATING</t>
        </is>
      </c>
    </row>
    <row r="14827">
      <c r="A14827" s="8" t="inlineStr">
        <is>
          <t>2026-08-03</t>
        </is>
      </c>
      <c r="B14827" s="8" t="n">
        <v>13</v>
      </c>
      <c r="C14827" s="8" t="n">
        <v>45</v>
      </c>
      <c r="D14827" s="8" t="inlineStr">
        <is>
          <t>Disneyland Park</t>
        </is>
      </c>
      <c r="E14827" s="8" t="inlineStr">
        <is>
          <t>Pirates' Beach</t>
        </is>
      </c>
      <c r="F14827" s="8" t="inlineStr">
        <is>
          <t>STANDBY</t>
        </is>
      </c>
      <c r="G14827" s="8" t="n">
        <v>0</v>
      </c>
      <c r="H14827" s="8" t="inlineStr">
        <is>
          <t>OPERATING</t>
        </is>
      </c>
    </row>
    <row r="14828">
      <c r="A14828" s="8" t="inlineStr">
        <is>
          <t>2026-08-03</t>
        </is>
      </c>
      <c r="B14828" s="8" t="n">
        <v>13</v>
      </c>
      <c r="C14828" s="8" t="n">
        <v>45</v>
      </c>
      <c r="D14828" s="8" t="inlineStr">
        <is>
          <t>Disneyland Park</t>
        </is>
      </c>
      <c r="E14828" s="8" t="inlineStr">
        <is>
          <t>Autopia, presented by Avis</t>
        </is>
      </c>
      <c r="F14828" s="8" t="inlineStr">
        <is>
          <t>STANDBY</t>
        </is>
      </c>
      <c r="G14828" s="8" t="n">
        <v>0</v>
      </c>
      <c r="H14828" s="8" t="inlineStr">
        <is>
          <t>CLOSED</t>
        </is>
      </c>
    </row>
    <row r="14829">
      <c r="A14829" s="8" t="inlineStr">
        <is>
          <t>2026-08-03</t>
        </is>
      </c>
      <c r="B14829" s="8" t="n">
        <v>13</v>
      </c>
      <c r="C14829" s="8" t="n">
        <v>45</v>
      </c>
      <c r="D14829" s="8" t="inlineStr">
        <is>
          <t>Disneyland Park</t>
        </is>
      </c>
      <c r="E14829" s="8" t="inlineStr">
        <is>
          <t>Buzz Lightyear Laser Blast</t>
        </is>
      </c>
      <c r="F14829" s="8" t="inlineStr">
        <is>
          <t>STANDBY</t>
        </is>
      </c>
      <c r="G14829" s="8" t="n">
        <v>30</v>
      </c>
      <c r="H14829" s="8" t="inlineStr">
        <is>
          <t>OPERATING</t>
        </is>
      </c>
    </row>
    <row r="14830">
      <c r="A14830" s="8" t="inlineStr">
        <is>
          <t>2026-08-03</t>
        </is>
      </c>
      <c r="B14830" s="8" t="n">
        <v>13</v>
      </c>
      <c r="C14830" s="8" t="n">
        <v>45</v>
      </c>
      <c r="D14830" s="8" t="inlineStr">
        <is>
          <t>Disneyland Park</t>
        </is>
      </c>
      <c r="E14830" s="8" t="inlineStr">
        <is>
          <t>Disneyland Railroad Discoveryland Station</t>
        </is>
      </c>
      <c r="F14830" s="8" t="inlineStr">
        <is>
          <t>STANDBY</t>
        </is>
      </c>
      <c r="G14830" s="8" t="n">
        <v>0</v>
      </c>
      <c r="H14830" s="8" t="inlineStr">
        <is>
          <t>CLOSED</t>
        </is>
      </c>
    </row>
    <row r="14831">
      <c r="A14831" s="8" t="inlineStr">
        <is>
          <t>2026-08-03</t>
        </is>
      </c>
      <c r="B14831" s="8" t="n">
        <v>13</v>
      </c>
      <c r="C14831" s="8" t="n">
        <v>45</v>
      </c>
      <c r="D14831" s="8" t="inlineStr">
        <is>
          <t>Disneyland Park</t>
        </is>
      </c>
      <c r="E14831" s="8" t="inlineStr">
        <is>
          <t>Les Mystères du Nautilus</t>
        </is>
      </c>
      <c r="F14831" s="8" t="inlineStr">
        <is>
          <t>STANDBY</t>
        </is>
      </c>
      <c r="G14831" s="8" t="n">
        <v>5</v>
      </c>
      <c r="H14831" s="8" t="inlineStr">
        <is>
          <t>OPERATING</t>
        </is>
      </c>
    </row>
    <row r="14832">
      <c r="A14832" s="8" t="inlineStr">
        <is>
          <t>2026-08-03</t>
        </is>
      </c>
      <c r="B14832" s="8" t="n">
        <v>13</v>
      </c>
      <c r="C14832" s="8" t="n">
        <v>45</v>
      </c>
      <c r="D14832" s="8" t="inlineStr">
        <is>
          <t>Disneyland Park</t>
        </is>
      </c>
      <c r="E14832" s="8" t="inlineStr">
        <is>
          <t>Mickey’s PhilharMagic</t>
        </is>
      </c>
      <c r="F14832" s="8" t="inlineStr">
        <is>
          <t>STANDBY</t>
        </is>
      </c>
      <c r="G14832" s="8" t="n">
        <v>0</v>
      </c>
      <c r="H14832" s="8" t="inlineStr">
        <is>
          <t>OPERATING</t>
        </is>
      </c>
    </row>
    <row r="14833">
      <c r="A14833" s="8" t="inlineStr">
        <is>
          <t>2026-08-03</t>
        </is>
      </c>
      <c r="B14833" s="8" t="n">
        <v>13</v>
      </c>
      <c r="C14833" s="8" t="n">
        <v>45</v>
      </c>
      <c r="D14833" s="8" t="inlineStr">
        <is>
          <t>Disneyland Park</t>
        </is>
      </c>
      <c r="E14833" s="8" t="inlineStr">
        <is>
          <t>Orbitron®</t>
        </is>
      </c>
      <c r="F14833" s="8" t="inlineStr">
        <is>
          <t>STANDBY</t>
        </is>
      </c>
      <c r="G14833" s="8" t="n">
        <v>0</v>
      </c>
      <c r="H14833" s="8" t="inlineStr">
        <is>
          <t>CLOSED</t>
        </is>
      </c>
    </row>
    <row r="14834">
      <c r="A14834" s="8" t="inlineStr">
        <is>
          <t>2026-08-03</t>
        </is>
      </c>
      <c r="B14834" s="8" t="n">
        <v>13</v>
      </c>
      <c r="C14834" s="8" t="n">
        <v>45</v>
      </c>
      <c r="D14834" s="8" t="inlineStr">
        <is>
          <t>Disneyland Park</t>
        </is>
      </c>
      <c r="E14834" s="8" t="inlineStr">
        <is>
          <t>Star Tours: The Adventures Continue*</t>
        </is>
      </c>
      <c r="F14834" s="8" t="inlineStr">
        <is>
          <t>STANDBY</t>
        </is>
      </c>
      <c r="G14834" s="8" t="n">
        <v>25</v>
      </c>
      <c r="H14834" s="8" t="inlineStr">
        <is>
          <t>OPERATING</t>
        </is>
      </c>
    </row>
    <row r="14835">
      <c r="A14835" s="8" t="inlineStr">
        <is>
          <t>2026-08-03</t>
        </is>
      </c>
      <c r="B14835" s="8" t="n">
        <v>13</v>
      </c>
      <c r="C14835" s="8" t="n">
        <v>45</v>
      </c>
      <c r="D14835" s="8" t="inlineStr">
        <is>
          <t>Disneyland Park</t>
        </is>
      </c>
      <c r="E14835" s="8" t="inlineStr">
        <is>
          <t>Star Wars Hyperspace Mountain</t>
        </is>
      </c>
      <c r="F14835" s="8" t="inlineStr">
        <is>
          <t>STANDBY</t>
        </is>
      </c>
      <c r="G14835" s="8" t="n">
        <v>40</v>
      </c>
      <c r="H14835" s="8" t="inlineStr">
        <is>
          <t>OPERATING</t>
        </is>
      </c>
    </row>
    <row r="14836">
      <c r="A14836" s="8" t="inlineStr">
        <is>
          <t>2026-08-03</t>
        </is>
      </c>
      <c r="B14836" s="8" t="n">
        <v>13</v>
      </c>
      <c r="C14836" s="8" t="n">
        <v>45</v>
      </c>
      <c r="D14836" s="8" t="inlineStr">
        <is>
          <t>Disneyland Park</t>
        </is>
      </c>
      <c r="E14836" s="8" t="inlineStr">
        <is>
          <t>Star Wars Hyperspace Mountain Single Rider</t>
        </is>
      </c>
      <c r="F14836" s="8" t="inlineStr">
        <is>
          <t>STANDBY</t>
        </is>
      </c>
      <c r="G14836" s="8" t="n">
        <v>30</v>
      </c>
      <c r="H14836" s="8" t="inlineStr">
        <is>
          <t>OPERATING</t>
        </is>
      </c>
    </row>
    <row r="14837">
      <c r="A14837" s="8" t="inlineStr">
        <is>
          <t>2026-08-03</t>
        </is>
      </c>
      <c r="B14837" s="8" t="n">
        <v>13</v>
      </c>
      <c r="C14837" s="8" t="n">
        <v>45</v>
      </c>
      <c r="D14837" s="8" t="inlineStr">
        <is>
          <t>Disneyland Park</t>
        </is>
      </c>
      <c r="E14837" s="8" t="inlineStr">
        <is>
          <t>Welcome to Starport: A Star Wars Encounter</t>
        </is>
      </c>
      <c r="F14837" s="8" t="inlineStr">
        <is>
          <t>STANDBY</t>
        </is>
      </c>
      <c r="G14837" s="8" t="n">
        <v>20</v>
      </c>
      <c r="H14837" s="8" t="inlineStr">
        <is>
          <t>OPERATING</t>
        </is>
      </c>
    </row>
    <row r="14838">
      <c r="A14838" s="8" t="inlineStr">
        <is>
          <t>2026-08-03</t>
        </is>
      </c>
      <c r="B14838" s="8" t="n">
        <v>13</v>
      </c>
      <c r="C14838" s="8" t="n">
        <v>45</v>
      </c>
      <c r="D14838" s="8" t="inlineStr">
        <is>
          <t>Disneyland Park</t>
        </is>
      </c>
      <c r="E14838" s="8" t="inlineStr">
        <is>
          <t>"it's a small world"</t>
        </is>
      </c>
      <c r="F14838" s="8" t="inlineStr">
        <is>
          <t>STANDBY</t>
        </is>
      </c>
      <c r="G14838" s="8" t="n">
        <v>20</v>
      </c>
      <c r="H14838" s="8" t="inlineStr">
        <is>
          <t>OPERATING</t>
        </is>
      </c>
    </row>
    <row r="14839">
      <c r="A14839" s="8" t="inlineStr">
        <is>
          <t>2026-08-03</t>
        </is>
      </c>
      <c r="B14839" s="8" t="n">
        <v>13</v>
      </c>
      <c r="C14839" s="8" t="n">
        <v>45</v>
      </c>
      <c r="D14839" s="8" t="inlineStr">
        <is>
          <t>Disneyland Park</t>
        </is>
      </c>
      <c r="E14839" s="8" t="inlineStr">
        <is>
          <t>Alice's Curious Labyrinth</t>
        </is>
      </c>
      <c r="F14839" s="8" t="inlineStr">
        <is>
          <t>STANDBY</t>
        </is>
      </c>
      <c r="G14839" s="8" t="n">
        <v>5</v>
      </c>
      <c r="H14839" s="8" t="inlineStr">
        <is>
          <t>OPERATING</t>
        </is>
      </c>
    </row>
    <row r="14840">
      <c r="A14840" s="8" t="inlineStr">
        <is>
          <t>2026-08-03</t>
        </is>
      </c>
      <c r="B14840" s="8" t="n">
        <v>13</v>
      </c>
      <c r="C14840" s="8" t="n">
        <v>45</v>
      </c>
      <c r="D14840" s="8" t="inlineStr">
        <is>
          <t>Disneyland Park</t>
        </is>
      </c>
      <c r="E14840" s="8" t="inlineStr">
        <is>
          <t>Blanche-Neige et les Sept Nains®</t>
        </is>
      </c>
      <c r="F14840" s="8" t="inlineStr">
        <is>
          <t>STANDBY</t>
        </is>
      </c>
      <c r="G14840" s="8" t="n">
        <v>20</v>
      </c>
      <c r="H14840" s="8" t="inlineStr">
        <is>
          <t>OPERATING</t>
        </is>
      </c>
    </row>
    <row r="14841">
      <c r="A14841" s="8" t="inlineStr">
        <is>
          <t>2026-08-03</t>
        </is>
      </c>
      <c r="B14841" s="8" t="n">
        <v>13</v>
      </c>
      <c r="C14841" s="8" t="n">
        <v>45</v>
      </c>
      <c r="D14841" s="8" t="inlineStr">
        <is>
          <t>Disneyland Park</t>
        </is>
      </c>
      <c r="E14841" s="8" t="inlineStr">
        <is>
          <t>Casey Jr. – le Petit Train du Cirque</t>
        </is>
      </c>
      <c r="F14841" s="8" t="inlineStr">
        <is>
          <t>STANDBY</t>
        </is>
      </c>
      <c r="G14841" s="8" t="n">
        <v>0</v>
      </c>
      <c r="H14841" s="8" t="inlineStr">
        <is>
          <t>CLOSED</t>
        </is>
      </c>
    </row>
    <row r="14842">
      <c r="A14842" s="8" t="inlineStr">
        <is>
          <t>2026-08-03</t>
        </is>
      </c>
      <c r="B14842" s="8" t="n">
        <v>13</v>
      </c>
      <c r="C14842" s="8" t="n">
        <v>45</v>
      </c>
      <c r="D14842" s="8" t="inlineStr">
        <is>
          <t>Disneyland Park</t>
        </is>
      </c>
      <c r="E14842" s="8" t="inlineStr">
        <is>
          <t>Disneyland Railroad Fantasyland Station</t>
        </is>
      </c>
      <c r="F14842" s="8" t="inlineStr">
        <is>
          <t>STANDBY</t>
        </is>
      </c>
      <c r="G14842" s="8" t="n">
        <v>0</v>
      </c>
      <c r="H14842" s="8" t="inlineStr">
        <is>
          <t>CLOSED</t>
        </is>
      </c>
    </row>
    <row r="14843">
      <c r="A14843" s="8" t="inlineStr">
        <is>
          <t>2026-08-03</t>
        </is>
      </c>
      <c r="B14843" s="8" t="n">
        <v>13</v>
      </c>
      <c r="C14843" s="8" t="n">
        <v>45</v>
      </c>
      <c r="D14843" s="8" t="inlineStr">
        <is>
          <t>Disneyland Park</t>
        </is>
      </c>
      <c r="E14843" s="8" t="inlineStr">
        <is>
          <t>Disneyland Railroad Main Street Station</t>
        </is>
      </c>
      <c r="F14843" s="8" t="inlineStr">
        <is>
          <t>STANDBY</t>
        </is>
      </c>
      <c r="G14843" s="8" t="n">
        <v>0</v>
      </c>
      <c r="H14843" s="8" t="inlineStr">
        <is>
          <t>CLOSED</t>
        </is>
      </c>
    </row>
    <row r="14844">
      <c r="A14844" s="8" t="inlineStr">
        <is>
          <t>2026-08-03</t>
        </is>
      </c>
      <c r="B14844" s="8" t="n">
        <v>13</v>
      </c>
      <c r="C14844" s="8" t="n">
        <v>45</v>
      </c>
      <c r="D14844" s="8" t="inlineStr">
        <is>
          <t>Disneyland Park</t>
        </is>
      </c>
      <c r="E14844" s="8" t="inlineStr">
        <is>
          <t>Dumbo the Flying Elephant</t>
        </is>
      </c>
      <c r="F14844" s="8" t="inlineStr">
        <is>
          <t>STANDBY</t>
        </is>
      </c>
      <c r="G14844" s="8" t="n">
        <v>0</v>
      </c>
      <c r="H14844" s="8" t="inlineStr">
        <is>
          <t>CLOSED</t>
        </is>
      </c>
    </row>
    <row r="14845">
      <c r="A14845" s="8" t="inlineStr">
        <is>
          <t>2026-08-03</t>
        </is>
      </c>
      <c r="B14845" s="8" t="n">
        <v>13</v>
      </c>
      <c r="C14845" s="8" t="n">
        <v>45</v>
      </c>
      <c r="D14845" s="8" t="inlineStr">
        <is>
          <t>Disneyland Park</t>
        </is>
      </c>
      <c r="E14845" s="8" t="inlineStr">
        <is>
          <t>La Tanière du Dragon</t>
        </is>
      </c>
      <c r="F14845" s="8" t="inlineStr">
        <is>
          <t>STANDBY</t>
        </is>
      </c>
      <c r="G14845" s="8" t="n">
        <v>0</v>
      </c>
      <c r="H14845" s="8" t="inlineStr">
        <is>
          <t>OPERATING</t>
        </is>
      </c>
    </row>
    <row r="14846">
      <c r="A14846" s="8" t="inlineStr">
        <is>
          <t>2026-08-03</t>
        </is>
      </c>
      <c r="B14846" s="8" t="n">
        <v>13</v>
      </c>
      <c r="C14846" s="8" t="n">
        <v>45</v>
      </c>
      <c r="D14846" s="8" t="inlineStr">
        <is>
          <t>Disneyland Park</t>
        </is>
      </c>
      <c r="E14846" s="8" t="inlineStr">
        <is>
          <t>Le Carrousel de Lancelot</t>
        </is>
      </c>
      <c r="F14846" s="8" t="inlineStr">
        <is>
          <t>STANDBY</t>
        </is>
      </c>
      <c r="G14846" s="8" t="n">
        <v>10</v>
      </c>
      <c r="H14846" s="8" t="inlineStr">
        <is>
          <t>OPERATING</t>
        </is>
      </c>
    </row>
    <row r="14847">
      <c r="A14847" s="8" t="inlineStr">
        <is>
          <t>2026-08-03</t>
        </is>
      </c>
      <c r="B14847" s="8" t="n">
        <v>13</v>
      </c>
      <c r="C14847" s="8" t="n">
        <v>45</v>
      </c>
      <c r="D14847" s="8" t="inlineStr">
        <is>
          <t>Disneyland Park</t>
        </is>
      </c>
      <c r="E14847" s="8" t="inlineStr">
        <is>
          <t>Le Pays des Contes de Fées, presented by Vittel</t>
        </is>
      </c>
      <c r="F14847" s="8" t="inlineStr">
        <is>
          <t>STANDBY</t>
        </is>
      </c>
      <c r="G14847" s="8" t="n">
        <v>0</v>
      </c>
      <c r="H14847" s="8" t="inlineStr">
        <is>
          <t>CLOSED</t>
        </is>
      </c>
    </row>
    <row r="14848">
      <c r="A14848" s="8" t="inlineStr">
        <is>
          <t>2026-08-03</t>
        </is>
      </c>
      <c r="B14848" s="8" t="n">
        <v>13</v>
      </c>
      <c r="C14848" s="8" t="n">
        <v>45</v>
      </c>
      <c r="D14848" s="8" t="inlineStr">
        <is>
          <t>Disneyland Park</t>
        </is>
      </c>
      <c r="E14848" s="8" t="inlineStr">
        <is>
          <t>Les Voyages de Pinocchio</t>
        </is>
      </c>
      <c r="F14848" s="8" t="inlineStr">
        <is>
          <t>STANDBY</t>
        </is>
      </c>
      <c r="G14848" s="8" t="n">
        <v>25</v>
      </c>
      <c r="H14848" s="8" t="inlineStr">
        <is>
          <t>OPERATING</t>
        </is>
      </c>
    </row>
    <row r="14849">
      <c r="A14849" s="8" t="inlineStr">
        <is>
          <t>2026-08-03</t>
        </is>
      </c>
      <c r="B14849" s="8" t="n">
        <v>13</v>
      </c>
      <c r="C14849" s="8" t="n">
        <v>45</v>
      </c>
      <c r="D14849" s="8" t="inlineStr">
        <is>
          <t>Disneyland Park</t>
        </is>
      </c>
      <c r="E14849" s="8" t="inlineStr">
        <is>
          <t>Mad Hatter's Tea Cups</t>
        </is>
      </c>
      <c r="F14849" s="8" t="inlineStr">
        <is>
          <t>STANDBY</t>
        </is>
      </c>
      <c r="G14849" s="8" t="n">
        <v>20</v>
      </c>
      <c r="H14849" s="8" t="inlineStr">
        <is>
          <t>OPERATING</t>
        </is>
      </c>
    </row>
    <row r="14850">
      <c r="A14850" s="8" t="inlineStr">
        <is>
          <t>2026-08-03</t>
        </is>
      </c>
      <c r="B14850" s="8" t="n">
        <v>13</v>
      </c>
      <c r="C14850" s="8" t="n">
        <v>45</v>
      </c>
      <c r="D14850" s="8" t="inlineStr">
        <is>
          <t>Disneyland Park</t>
        </is>
      </c>
      <c r="E14850" s="8" t="inlineStr">
        <is>
          <t>Meet Mickey Mouse</t>
        </is>
      </c>
      <c r="F14850" s="8" t="inlineStr">
        <is>
          <t>STANDBY</t>
        </is>
      </c>
      <c r="G14850" s="8" t="n">
        <v>0</v>
      </c>
      <c r="H14850" s="8" t="inlineStr">
        <is>
          <t>OPERATING</t>
        </is>
      </c>
    </row>
    <row r="14851">
      <c r="A14851" s="8" t="inlineStr">
        <is>
          <t>2026-08-03</t>
        </is>
      </c>
      <c r="B14851" s="8" t="n">
        <v>13</v>
      </c>
      <c r="C14851" s="8" t="n">
        <v>45</v>
      </c>
      <c r="D14851" s="8" t="inlineStr">
        <is>
          <t>Disneyland Park</t>
        </is>
      </c>
      <c r="E14851" s="8" t="inlineStr">
        <is>
          <t>Peter Pan's Flight</t>
        </is>
      </c>
      <c r="F14851" s="8" t="inlineStr">
        <is>
          <t>STANDBY</t>
        </is>
      </c>
      <c r="G14851" s="8" t="n">
        <v>40</v>
      </c>
      <c r="H14851" s="8" t="inlineStr">
        <is>
          <t>OPERATING</t>
        </is>
      </c>
    </row>
    <row r="14852">
      <c r="A14852" s="8" t="inlineStr">
        <is>
          <t>2026-08-03</t>
        </is>
      </c>
      <c r="B14852" s="8" t="n">
        <v>13</v>
      </c>
      <c r="C14852" s="8" t="n">
        <v>45</v>
      </c>
      <c r="D14852" s="8" t="inlineStr">
        <is>
          <t>Disneyland Park</t>
        </is>
      </c>
      <c r="E14852" s="8" t="inlineStr">
        <is>
          <t>Princess Pavilion</t>
        </is>
      </c>
      <c r="F14852" s="8" t="inlineStr">
        <is>
          <t>STANDBY</t>
        </is>
      </c>
      <c r="G14852" s="8" t="n">
        <v>0</v>
      </c>
      <c r="H14852" s="8" t="inlineStr">
        <is>
          <t>OPERATING</t>
        </is>
      </c>
    </row>
    <row r="14853">
      <c r="A14853" s="8" t="inlineStr">
        <is>
          <t>2026-08-03</t>
        </is>
      </c>
      <c r="B14853" s="8" t="n">
        <v>13</v>
      </c>
      <c r="C14853" s="8" t="n">
        <v>45</v>
      </c>
      <c r="D14853" s="8" t="inlineStr">
        <is>
          <t>Disneyland Park</t>
        </is>
      </c>
      <c r="E14853" s="8" t="inlineStr">
        <is>
          <t>Big Thunder Mountain</t>
        </is>
      </c>
      <c r="F14853" s="8" t="inlineStr">
        <is>
          <t>STANDBY</t>
        </is>
      </c>
      <c r="G14853" s="8" t="n">
        <v>65</v>
      </c>
      <c r="H14853" s="8" t="inlineStr">
        <is>
          <t>OPERATING</t>
        </is>
      </c>
    </row>
    <row r="14854">
      <c r="A14854" s="8" t="inlineStr">
        <is>
          <t>2026-08-03</t>
        </is>
      </c>
      <c r="B14854" s="8" t="n">
        <v>13</v>
      </c>
      <c r="C14854" s="8" t="n">
        <v>45</v>
      </c>
      <c r="D14854" s="8" t="inlineStr">
        <is>
          <t>Disneyland Park</t>
        </is>
      </c>
      <c r="E14854" s="8" t="inlineStr">
        <is>
          <t>Disneyland Railroad Frontierland Depot</t>
        </is>
      </c>
      <c r="F14854" s="8" t="inlineStr">
        <is>
          <t>STANDBY</t>
        </is>
      </c>
      <c r="G14854" s="8" t="n">
        <v>0</v>
      </c>
      <c r="H14854" s="8" t="inlineStr">
        <is>
          <t>CLOSED</t>
        </is>
      </c>
    </row>
    <row r="14855">
      <c r="A14855" s="8" t="inlineStr">
        <is>
          <t>2026-08-03</t>
        </is>
      </c>
      <c r="B14855" s="8" t="n">
        <v>13</v>
      </c>
      <c r="C14855" s="8" t="n">
        <v>45</v>
      </c>
      <c r="D14855" s="8" t="inlineStr">
        <is>
          <t>Disneyland Park</t>
        </is>
      </c>
      <c r="E14855" s="8" t="inlineStr">
        <is>
          <t>Frontierland Playground</t>
        </is>
      </c>
      <c r="F14855" s="8" t="inlineStr">
        <is>
          <t>STANDBY</t>
        </is>
      </c>
      <c r="G14855" s="8" t="n">
        <v>0</v>
      </c>
      <c r="H14855" s="8" t="inlineStr">
        <is>
          <t>CLOSED</t>
        </is>
      </c>
    </row>
    <row r="14856">
      <c r="A14856" s="8" t="inlineStr">
        <is>
          <t>2026-08-03</t>
        </is>
      </c>
      <c r="B14856" s="8" t="n">
        <v>13</v>
      </c>
      <c r="C14856" s="8" t="n">
        <v>45</v>
      </c>
      <c r="D14856" s="8" t="inlineStr">
        <is>
          <t>Disneyland Park</t>
        </is>
      </c>
      <c r="E14856" s="8" t="inlineStr">
        <is>
          <t>Phantom Manor</t>
        </is>
      </c>
      <c r="F14856" s="8" t="inlineStr">
        <is>
          <t>STANDBY</t>
        </is>
      </c>
      <c r="G14856" s="8" t="n">
        <v>0</v>
      </c>
      <c r="H14856" s="8" t="inlineStr">
        <is>
          <t>CLOSED</t>
        </is>
      </c>
    </row>
    <row r="14857">
      <c r="A14857" s="8" t="inlineStr">
        <is>
          <t>2026-08-03</t>
        </is>
      </c>
      <c r="B14857" s="8" t="n">
        <v>13</v>
      </c>
      <c r="C14857" s="8" t="n">
        <v>45</v>
      </c>
      <c r="D14857" s="8" t="inlineStr">
        <is>
          <t>Disneyland Park</t>
        </is>
      </c>
      <c r="E14857" s="8" t="inlineStr">
        <is>
          <t>River Rogue Keelboats</t>
        </is>
      </c>
      <c r="F14857" s="8" t="inlineStr">
        <is>
          <t>STANDBY</t>
        </is>
      </c>
      <c r="G14857" s="8" t="n">
        <v>0</v>
      </c>
      <c r="H14857" s="8" t="inlineStr">
        <is>
          <t>CLOSED</t>
        </is>
      </c>
    </row>
    <row r="14858">
      <c r="A14858" s="8" t="inlineStr">
        <is>
          <t>2026-08-03</t>
        </is>
      </c>
      <c r="B14858" s="8" t="n">
        <v>13</v>
      </c>
      <c r="C14858" s="8" t="n">
        <v>45</v>
      </c>
      <c r="D14858" s="8" t="inlineStr">
        <is>
          <t>Disneyland Park</t>
        </is>
      </c>
      <c r="E14858" s="8" t="inlineStr">
        <is>
          <t>Rustler Roundup Shootin' Gallery</t>
        </is>
      </c>
      <c r="F14858" s="8" t="inlineStr">
        <is>
          <t>STANDBY</t>
        </is>
      </c>
      <c r="G14858" s="8" t="n">
        <v>0</v>
      </c>
      <c r="H14858" s="8" t="inlineStr">
        <is>
          <t>OPERATING</t>
        </is>
      </c>
    </row>
    <row r="14859">
      <c r="A14859" s="8" t="inlineStr">
        <is>
          <t>2026-08-03</t>
        </is>
      </c>
      <c r="B14859" s="8" t="n">
        <v>13</v>
      </c>
      <c r="C14859" s="8" t="n">
        <v>45</v>
      </c>
      <c r="D14859" s="8" t="inlineStr">
        <is>
          <t>Disneyland Park</t>
        </is>
      </c>
      <c r="E14859" s="8" t="inlineStr">
        <is>
          <t>Thunder Mesa Riverboat Landing</t>
        </is>
      </c>
      <c r="F14859" s="8" t="inlineStr">
        <is>
          <t>STANDBY</t>
        </is>
      </c>
      <c r="G14859" s="8" t="n">
        <v>0</v>
      </c>
      <c r="H14859" s="8" t="inlineStr">
        <is>
          <t>CLOSED</t>
        </is>
      </c>
    </row>
    <row r="14860">
      <c r="A14860" s="8" t="inlineStr">
        <is>
          <t>2026-08-03</t>
        </is>
      </c>
      <c r="B14860" s="8" t="n">
        <v>13</v>
      </c>
      <c r="C14860" s="8" t="n">
        <v>45</v>
      </c>
      <c r="D14860" s="8" t="inlineStr">
        <is>
          <t>Disneyland Park</t>
        </is>
      </c>
      <c r="E14860" s="8" t="inlineStr">
        <is>
          <t>Disneyland Railroad Main Street Station</t>
        </is>
      </c>
      <c r="F14860" s="8" t="inlineStr">
        <is>
          <t>STANDBY</t>
        </is>
      </c>
      <c r="G14860" s="8" t="n">
        <v>0</v>
      </c>
      <c r="H14860" s="8" t="inlineStr">
        <is>
          <t>CLOSED</t>
        </is>
      </c>
    </row>
    <row r="14861">
      <c r="A14861" s="8" t="inlineStr">
        <is>
          <t>2026-08-03</t>
        </is>
      </c>
      <c r="B14861" s="8" t="n">
        <v>13</v>
      </c>
      <c r="C14861" s="8" t="n">
        <v>45</v>
      </c>
      <c r="D14861" s="8" t="inlineStr">
        <is>
          <t>Disneyland Park</t>
        </is>
      </c>
      <c r="E14861" s="8" t="inlineStr">
        <is>
          <t>Main Street Vehicles</t>
        </is>
      </c>
      <c r="F14861" s="8" t="inlineStr">
        <is>
          <t>STANDBY</t>
        </is>
      </c>
      <c r="G14861" s="8" t="n">
        <v>5</v>
      </c>
      <c r="H14861" s="8" t="inlineStr">
        <is>
          <t>OPERATING</t>
        </is>
      </c>
    </row>
    <row r="14862">
      <c r="A14862" s="8" t="inlineStr">
        <is>
          <t>2026-08-03</t>
        </is>
      </c>
      <c r="B14862" s="8" t="n">
        <v>13</v>
      </c>
      <c r="C14862" s="8" t="n">
        <v>45</v>
      </c>
      <c r="D14862" s="8" t="inlineStr">
        <is>
          <t>Disney Adventure World</t>
        </is>
      </c>
      <c r="E14862" s="8" t="inlineStr">
        <is>
          <t>Avengers Assemble: Flight Force</t>
        </is>
      </c>
      <c r="F14862" s="8" t="inlineStr">
        <is>
          <t>STANDBY</t>
        </is>
      </c>
      <c r="G14862" s="8" t="n">
        <v>20</v>
      </c>
      <c r="H14862" s="8" t="inlineStr">
        <is>
          <t>OPERATING</t>
        </is>
      </c>
    </row>
    <row r="14863">
      <c r="A14863" s="8" t="inlineStr">
        <is>
          <t>2026-08-03</t>
        </is>
      </c>
      <c r="B14863" s="8" t="n">
        <v>13</v>
      </c>
      <c r="C14863" s="8" t="n">
        <v>45</v>
      </c>
      <c r="D14863" s="8" t="inlineStr">
        <is>
          <t>Disney Adventure World</t>
        </is>
      </c>
      <c r="E14863" s="8" t="inlineStr">
        <is>
          <t>Avengers Assemble: Flight Force Single Rider</t>
        </is>
      </c>
      <c r="F14863" s="8" t="inlineStr">
        <is>
          <t>STANDBY</t>
        </is>
      </c>
      <c r="G14863" s="8" t="n">
        <v>10</v>
      </c>
      <c r="H14863" s="8" t="inlineStr">
        <is>
          <t>OPERATING</t>
        </is>
      </c>
    </row>
    <row r="14864">
      <c r="A14864" s="8" t="inlineStr">
        <is>
          <t>2026-08-03</t>
        </is>
      </c>
      <c r="B14864" s="8" t="n">
        <v>13</v>
      </c>
      <c r="C14864" s="8" t="n">
        <v>45</v>
      </c>
      <c r="D14864" s="8" t="inlineStr">
        <is>
          <t>Disney Adventure World</t>
        </is>
      </c>
      <c r="E14864" s="8" t="inlineStr">
        <is>
          <t>Spider-Man W.E.B. Adventure</t>
        </is>
      </c>
      <c r="F14864" s="8" t="inlineStr">
        <is>
          <t>STANDBY</t>
        </is>
      </c>
      <c r="G14864" s="8" t="n">
        <v>50</v>
      </c>
      <c r="H14864" s="8" t="inlineStr">
        <is>
          <t>OPERATING</t>
        </is>
      </c>
    </row>
    <row r="14865">
      <c r="A14865" s="8" t="inlineStr">
        <is>
          <t>2026-08-03</t>
        </is>
      </c>
      <c r="B14865" s="8" t="n">
        <v>13</v>
      </c>
      <c r="C14865" s="8" t="n">
        <v>45</v>
      </c>
      <c r="D14865" s="8" t="inlineStr">
        <is>
          <t>Disney Adventure World</t>
        </is>
      </c>
      <c r="E14865" s="8" t="inlineStr">
        <is>
          <t>Spider-Man W.E.B. Adventure Single Rider</t>
        </is>
      </c>
      <c r="F14865" s="8" t="inlineStr">
        <is>
          <t>STANDBY</t>
        </is>
      </c>
      <c r="G14865" s="8" t="n">
        <v>15</v>
      </c>
      <c r="H14865" s="8" t="inlineStr">
        <is>
          <t>OPERATING</t>
        </is>
      </c>
    </row>
    <row r="14866">
      <c r="A14866" s="8" t="inlineStr">
        <is>
          <t>2026-08-03</t>
        </is>
      </c>
      <c r="B14866" s="8" t="n">
        <v>13</v>
      </c>
      <c r="C14866" s="8" t="n">
        <v>45</v>
      </c>
      <c r="D14866" s="8" t="inlineStr">
        <is>
          <t>Disney Adventure World</t>
        </is>
      </c>
      <c r="E14866" s="8" t="inlineStr">
        <is>
          <t>The Twilight Zone Tower of Terror</t>
        </is>
      </c>
      <c r="F14866" s="8" t="inlineStr">
        <is>
          <t>STANDBY</t>
        </is>
      </c>
      <c r="G14866" s="8" t="n">
        <v>20</v>
      </c>
      <c r="H14866" s="8" t="inlineStr">
        <is>
          <t>OPERATING</t>
        </is>
      </c>
    </row>
    <row r="14867">
      <c r="A14867" s="8" t="inlineStr">
        <is>
          <t>2026-08-03</t>
        </is>
      </c>
      <c r="B14867" s="8" t="n">
        <v>13</v>
      </c>
      <c r="C14867" s="8" t="n">
        <v>45</v>
      </c>
      <c r="D14867" s="8" t="inlineStr">
        <is>
          <t>Disney Adventure World</t>
        </is>
      </c>
      <c r="E14867" s="8" t="inlineStr">
        <is>
          <t>Cars Quatre Roues Rallye</t>
        </is>
      </c>
      <c r="F14867" s="8" t="inlineStr">
        <is>
          <t>STANDBY</t>
        </is>
      </c>
      <c r="G14867" s="8" t="n">
        <v>10</v>
      </c>
      <c r="H14867" s="8" t="inlineStr">
        <is>
          <t>OPERATING</t>
        </is>
      </c>
    </row>
    <row r="14868">
      <c r="A14868" s="8" t="inlineStr">
        <is>
          <t>2026-08-03</t>
        </is>
      </c>
      <c r="B14868" s="8" t="n">
        <v>13</v>
      </c>
      <c r="C14868" s="8" t="n">
        <v>45</v>
      </c>
      <c r="D14868" s="8" t="inlineStr">
        <is>
          <t>Disney Adventure World</t>
        </is>
      </c>
      <c r="E14868" s="8" t="inlineStr">
        <is>
          <t>Cars ROAD TRIP</t>
        </is>
      </c>
      <c r="F14868" s="8" t="inlineStr">
        <is>
          <t>STANDBY</t>
        </is>
      </c>
      <c r="G14868" s="8" t="n">
        <v>10</v>
      </c>
      <c r="H14868" s="8" t="inlineStr">
        <is>
          <t>OPERATING</t>
        </is>
      </c>
    </row>
    <row r="14869">
      <c r="A14869" s="8" t="inlineStr">
        <is>
          <t>2026-08-03</t>
        </is>
      </c>
      <c r="B14869" s="8" t="n">
        <v>13</v>
      </c>
      <c r="C14869" s="8" t="n">
        <v>45</v>
      </c>
      <c r="D14869" s="8" t="inlineStr">
        <is>
          <t>Disney Adventure World</t>
        </is>
      </c>
      <c r="E14869" s="8" t="inlineStr">
        <is>
          <t>Crush's Coaster</t>
        </is>
      </c>
      <c r="F14869" s="8" t="inlineStr">
        <is>
          <t>STANDBY</t>
        </is>
      </c>
      <c r="G14869" s="8" t="n">
        <v>80</v>
      </c>
      <c r="H14869" s="8" t="inlineStr">
        <is>
          <t>OPERATING</t>
        </is>
      </c>
    </row>
    <row r="14870">
      <c r="A14870" s="8" t="inlineStr">
        <is>
          <t>2026-08-03</t>
        </is>
      </c>
      <c r="B14870" s="8" t="n">
        <v>13</v>
      </c>
      <c r="C14870" s="8" t="n">
        <v>45</v>
      </c>
      <c r="D14870" s="8" t="inlineStr">
        <is>
          <t>Disney Adventure World</t>
        </is>
      </c>
      <c r="E14870" s="8" t="inlineStr">
        <is>
          <t>Crush's Coaster Single Rider</t>
        </is>
      </c>
      <c r="F14870" s="8" t="inlineStr">
        <is>
          <t>STANDBY</t>
        </is>
      </c>
      <c r="G14870" s="8" t="n">
        <v>60</v>
      </c>
      <c r="H14870" s="8" t="inlineStr">
        <is>
          <t>OPERATING</t>
        </is>
      </c>
    </row>
    <row r="14871">
      <c r="A14871" s="8" t="inlineStr">
        <is>
          <t>2026-08-03</t>
        </is>
      </c>
      <c r="B14871" s="8" t="n">
        <v>13</v>
      </c>
      <c r="C14871" s="8" t="n">
        <v>45</v>
      </c>
      <c r="D14871" s="8" t="inlineStr">
        <is>
          <t>Disney Adventure World</t>
        </is>
      </c>
      <c r="E14871" s="8" t="inlineStr">
        <is>
          <t>Les Tapis Volants - Flying Carpets Over Agrabah®</t>
        </is>
      </c>
      <c r="F14871" s="8" t="inlineStr">
        <is>
          <t>STANDBY</t>
        </is>
      </c>
      <c r="G14871" s="8" t="n">
        <v>0</v>
      </c>
      <c r="H14871" s="8" t="inlineStr">
        <is>
          <t>CLOSED</t>
        </is>
      </c>
    </row>
    <row r="14872">
      <c r="A14872" s="8" t="inlineStr">
        <is>
          <t>2026-08-03</t>
        </is>
      </c>
      <c r="B14872" s="8" t="n">
        <v>13</v>
      </c>
      <c r="C14872" s="8" t="n">
        <v>45</v>
      </c>
      <c r="D14872" s="8" t="inlineStr">
        <is>
          <t>Disney Adventure World</t>
        </is>
      </c>
      <c r="E14872" s="8" t="inlineStr">
        <is>
          <t>Ratatouille : L’Aventure Totalement Toquée de Rémy​</t>
        </is>
      </c>
      <c r="F14872" s="8" t="inlineStr">
        <is>
          <t>STANDBY</t>
        </is>
      </c>
      <c r="G14872" s="8" t="n">
        <v>50</v>
      </c>
      <c r="H14872" s="8" t="inlineStr">
        <is>
          <t>OPERATING</t>
        </is>
      </c>
    </row>
    <row r="14873">
      <c r="A14873" s="8" t="inlineStr">
        <is>
          <t>2026-08-03</t>
        </is>
      </c>
      <c r="B14873" s="8" t="n">
        <v>13</v>
      </c>
      <c r="C14873" s="8" t="n">
        <v>45</v>
      </c>
      <c r="D14873" s="8" t="inlineStr">
        <is>
          <t>Disney Adventure World</t>
        </is>
      </c>
      <c r="E14873" s="8" t="inlineStr">
        <is>
          <t>Ratatouille: The Adventure Single Rider</t>
        </is>
      </c>
      <c r="F14873" s="8" t="inlineStr">
        <is>
          <t>STANDBY</t>
        </is>
      </c>
      <c r="G14873" s="8" t="n">
        <v>30</v>
      </c>
      <c r="H14873" s="8" t="inlineStr">
        <is>
          <t>OPERATING</t>
        </is>
      </c>
    </row>
    <row r="14874">
      <c r="A14874" s="8" t="inlineStr">
        <is>
          <t>2026-08-03</t>
        </is>
      </c>
      <c r="B14874" s="8" t="n">
        <v>13</v>
      </c>
      <c r="C14874" s="8" t="n">
        <v>45</v>
      </c>
      <c r="D14874" s="8" t="inlineStr">
        <is>
          <t>Disney Adventure World</t>
        </is>
      </c>
      <c r="E14874" s="8" t="inlineStr">
        <is>
          <t>RC Racer</t>
        </is>
      </c>
      <c r="F14874" s="8" t="inlineStr">
        <is>
          <t>STANDBY</t>
        </is>
      </c>
      <c r="G14874" s="8" t="n">
        <v>35</v>
      </c>
      <c r="H14874" s="8" t="inlineStr">
        <is>
          <t>OPERATING</t>
        </is>
      </c>
    </row>
    <row r="14875">
      <c r="A14875" s="8" t="inlineStr">
        <is>
          <t>2026-08-03</t>
        </is>
      </c>
      <c r="B14875" s="8" t="n">
        <v>13</v>
      </c>
      <c r="C14875" s="8" t="n">
        <v>45</v>
      </c>
      <c r="D14875" s="8" t="inlineStr">
        <is>
          <t>Disney Adventure World</t>
        </is>
      </c>
      <c r="E14875" s="8" t="inlineStr">
        <is>
          <t>RC Racer Single Rider</t>
        </is>
      </c>
      <c r="F14875" s="8" t="inlineStr">
        <is>
          <t>STANDBY</t>
        </is>
      </c>
      <c r="G14875" s="8" t="n">
        <v>25</v>
      </c>
      <c r="H14875" s="8" t="inlineStr">
        <is>
          <t>OPERATING</t>
        </is>
      </c>
    </row>
    <row r="14876">
      <c r="A14876" s="8" t="inlineStr">
        <is>
          <t>2026-08-03</t>
        </is>
      </c>
      <c r="B14876" s="8" t="n">
        <v>13</v>
      </c>
      <c r="C14876" s="8" t="n">
        <v>45</v>
      </c>
      <c r="D14876" s="8" t="inlineStr">
        <is>
          <t>Disney Adventure World</t>
        </is>
      </c>
      <c r="E14876" s="8" t="inlineStr">
        <is>
          <t>Slinky® Dog Zigzag Spin</t>
        </is>
      </c>
      <c r="F14876" s="8" t="inlineStr">
        <is>
          <t>STANDBY</t>
        </is>
      </c>
      <c r="G14876" s="8" t="n">
        <v>0</v>
      </c>
      <c r="H14876" s="8" t="inlineStr">
        <is>
          <t>CLOSED</t>
        </is>
      </c>
    </row>
    <row r="14877">
      <c r="A14877" s="8" t="inlineStr">
        <is>
          <t>2026-08-03</t>
        </is>
      </c>
      <c r="B14877" s="8" t="n">
        <v>13</v>
      </c>
      <c r="C14877" s="8" t="n">
        <v>45</v>
      </c>
      <c r="D14877" s="8" t="inlineStr">
        <is>
          <t>Disney Adventure World</t>
        </is>
      </c>
      <c r="E14877" s="8" t="inlineStr">
        <is>
          <t>Toy Soldiers Parachute Drop</t>
        </is>
      </c>
      <c r="F14877" s="8" t="inlineStr">
        <is>
          <t>STANDBY</t>
        </is>
      </c>
      <c r="G14877" s="8" t="n">
        <v>45</v>
      </c>
      <c r="H14877" s="8" t="inlineStr">
        <is>
          <t>OPERATING</t>
        </is>
      </c>
    </row>
    <row r="14878">
      <c r="A14878" s="8" t="inlineStr">
        <is>
          <t>2026-08-03</t>
        </is>
      </c>
      <c r="B14878" s="8" t="n">
        <v>13</v>
      </c>
      <c r="C14878" s="8" t="n">
        <v>45</v>
      </c>
      <c r="D14878" s="8" t="inlineStr">
        <is>
          <t>Disney Adventure World</t>
        </is>
      </c>
      <c r="E14878" s="8" t="inlineStr">
        <is>
          <t>Toy Soldiers Parachute Drop Single Rider</t>
        </is>
      </c>
      <c r="F14878" s="8" t="inlineStr">
        <is>
          <t>STANDBY</t>
        </is>
      </c>
      <c r="G14878" s="8" t="n">
        <v>15</v>
      </c>
      <c r="H14878" s="8" t="inlineStr">
        <is>
          <t>OPERATING</t>
        </is>
      </c>
    </row>
    <row r="14879">
      <c r="A14879" s="8" t="inlineStr">
        <is>
          <t>2026-08-03</t>
        </is>
      </c>
      <c r="B14879" s="8" t="n">
        <v>13</v>
      </c>
      <c r="C14879" s="8" t="n">
        <v>45</v>
      </c>
      <c r="D14879" s="8" t="inlineStr">
        <is>
          <t>Disney Adventure World</t>
        </is>
      </c>
      <c r="E14879" s="8" t="inlineStr">
        <is>
          <t>Entry to World of Frozen</t>
        </is>
      </c>
      <c r="F14879" s="8" t="inlineStr">
        <is>
          <t>STANDBY</t>
        </is>
      </c>
      <c r="G14879" s="8" t="n">
        <v>0</v>
      </c>
      <c r="H14879" s="8" t="inlineStr">
        <is>
          <t>OPERATING</t>
        </is>
      </c>
    </row>
    <row r="14880">
      <c r="A14880" s="8" t="inlineStr">
        <is>
          <t>2026-08-03</t>
        </is>
      </c>
      <c r="B14880" s="8" t="n">
        <v>13</v>
      </c>
      <c r="C14880" s="8" t="n">
        <v>45</v>
      </c>
      <c r="D14880" s="8" t="inlineStr">
        <is>
          <t>Disney Adventure World</t>
        </is>
      </c>
      <c r="E14880" s="8" t="inlineStr">
        <is>
          <t>Frozen Ever After</t>
        </is>
      </c>
      <c r="F14880" s="8" t="inlineStr">
        <is>
          <t>STANDBY</t>
        </is>
      </c>
      <c r="G14880" s="8" t="n">
        <v>45</v>
      </c>
      <c r="H14880" s="8" t="inlineStr">
        <is>
          <t>OPERATING</t>
        </is>
      </c>
    </row>
    <row r="14881">
      <c r="A14881" s="8" t="inlineStr">
        <is>
          <t>2026-08-03</t>
        </is>
      </c>
      <c r="B14881" s="8" t="n">
        <v>13</v>
      </c>
      <c r="C14881" s="8" t="n">
        <v>45</v>
      </c>
      <c r="D14881" s="8" t="inlineStr">
        <is>
          <t>Disney Adventure World</t>
        </is>
      </c>
      <c r="E14881" s="8" t="inlineStr">
        <is>
          <t>Raiponce Tangled Spin</t>
        </is>
      </c>
      <c r="F14881" s="8" t="inlineStr">
        <is>
          <t>STANDBY</t>
        </is>
      </c>
      <c r="G14881" s="8" t="n">
        <v>10</v>
      </c>
      <c r="H14881" s="8" t="inlineStr">
        <is>
          <t>OPERATING</t>
        </is>
      </c>
    </row>
    <row r="14882">
      <c r="A14882" s="8" t="inlineStr">
        <is>
          <t>2026-08-03</t>
        </is>
      </c>
      <c r="B14882" s="8" t="n">
        <v>14</v>
      </c>
      <c r="C14882" s="8" t="n">
        <v>1</v>
      </c>
      <c r="D14882" s="8" t="inlineStr">
        <is>
          <t>Disneyland Park</t>
        </is>
      </c>
      <c r="E14882" s="8" t="inlineStr">
        <is>
          <t>Adventure Isle</t>
        </is>
      </c>
      <c r="F14882" s="8" t="inlineStr">
        <is>
          <t>STANDBY</t>
        </is>
      </c>
      <c r="G14882" s="8" t="n">
        <v>0</v>
      </c>
      <c r="H14882" s="8" t="inlineStr">
        <is>
          <t>OPERATING</t>
        </is>
      </c>
    </row>
    <row r="14883">
      <c r="A14883" s="8" t="inlineStr">
        <is>
          <t>2026-08-03</t>
        </is>
      </c>
      <c r="B14883" s="8" t="n">
        <v>14</v>
      </c>
      <c r="C14883" s="8" t="n">
        <v>1</v>
      </c>
      <c r="D14883" s="8" t="inlineStr">
        <is>
          <t>Disneyland Park</t>
        </is>
      </c>
      <c r="E14883" s="8" t="inlineStr">
        <is>
          <t>Indiana Jones and the Temple of Peril Single Rider</t>
        </is>
      </c>
      <c r="F14883" s="8" t="inlineStr">
        <is>
          <t>STANDBY</t>
        </is>
      </c>
      <c r="G14883" s="8" t="n">
        <v>40</v>
      </c>
      <c r="H14883" s="8" t="inlineStr">
        <is>
          <t>OPERATING</t>
        </is>
      </c>
    </row>
    <row r="14884">
      <c r="A14884" s="8" t="inlineStr">
        <is>
          <t>2026-08-03</t>
        </is>
      </c>
      <c r="B14884" s="8" t="n">
        <v>14</v>
      </c>
      <c r="C14884" s="8" t="n">
        <v>1</v>
      </c>
      <c r="D14884" s="8" t="inlineStr">
        <is>
          <t>Disneyland Park</t>
        </is>
      </c>
      <c r="E14884" s="8" t="inlineStr">
        <is>
          <t>Indiana Jones™ and the Temple of Peril</t>
        </is>
      </c>
      <c r="F14884" s="8" t="inlineStr">
        <is>
          <t>STANDBY</t>
        </is>
      </c>
      <c r="G14884" s="8" t="n">
        <v>60</v>
      </c>
      <c r="H14884" s="8" t="inlineStr">
        <is>
          <t>OPERATING</t>
        </is>
      </c>
    </row>
    <row r="14885">
      <c r="A14885" s="8" t="inlineStr">
        <is>
          <t>2026-08-03</t>
        </is>
      </c>
      <c r="B14885" s="8" t="n">
        <v>14</v>
      </c>
      <c r="C14885" s="8" t="n">
        <v>1</v>
      </c>
      <c r="D14885" s="8" t="inlineStr">
        <is>
          <t>Disneyland Park</t>
        </is>
      </c>
      <c r="E14885" s="8" t="inlineStr">
        <is>
          <t>La Cabane des Robinson</t>
        </is>
      </c>
      <c r="F14885" s="8" t="inlineStr">
        <is>
          <t>STANDBY</t>
        </is>
      </c>
      <c r="G14885" s="8" t="n">
        <v>5</v>
      </c>
      <c r="H14885" s="8" t="inlineStr">
        <is>
          <t>OPERATING</t>
        </is>
      </c>
    </row>
    <row r="14886">
      <c r="A14886" s="8" t="inlineStr">
        <is>
          <t>2026-08-03</t>
        </is>
      </c>
      <c r="B14886" s="8" t="n">
        <v>14</v>
      </c>
      <c r="C14886" s="8" t="n">
        <v>1</v>
      </c>
      <c r="D14886" s="8" t="inlineStr">
        <is>
          <t>Disneyland Park</t>
        </is>
      </c>
      <c r="E14886" s="8" t="inlineStr">
        <is>
          <t>Le Passage Enchanté d'Aladdin</t>
        </is>
      </c>
      <c r="F14886" s="8" t="inlineStr">
        <is>
          <t>STANDBY</t>
        </is>
      </c>
      <c r="G14886" s="8" t="n">
        <v>0</v>
      </c>
      <c r="H14886" s="8" t="inlineStr">
        <is>
          <t>OPERATING</t>
        </is>
      </c>
    </row>
    <row r="14887">
      <c r="A14887" s="8" t="inlineStr">
        <is>
          <t>2026-08-03</t>
        </is>
      </c>
      <c r="B14887" s="8" t="n">
        <v>14</v>
      </c>
      <c r="C14887" s="8" t="n">
        <v>1</v>
      </c>
      <c r="D14887" s="8" t="inlineStr">
        <is>
          <t>Disneyland Park</t>
        </is>
      </c>
      <c r="E14887" s="8" t="inlineStr">
        <is>
          <t>Pirate Galleon</t>
        </is>
      </c>
      <c r="F14887" s="8" t="inlineStr">
        <is>
          <t>STANDBY</t>
        </is>
      </c>
      <c r="G14887" s="8" t="n">
        <v>0</v>
      </c>
      <c r="H14887" s="8" t="inlineStr">
        <is>
          <t>CLOSED</t>
        </is>
      </c>
    </row>
    <row r="14888">
      <c r="A14888" s="8" t="inlineStr">
        <is>
          <t>2026-08-03</t>
        </is>
      </c>
      <c r="B14888" s="8" t="n">
        <v>14</v>
      </c>
      <c r="C14888" s="8" t="n">
        <v>1</v>
      </c>
      <c r="D14888" s="8" t="inlineStr">
        <is>
          <t>Disneyland Park</t>
        </is>
      </c>
      <c r="E14888" s="8" t="inlineStr">
        <is>
          <t>Pirates of the Caribbean</t>
        </is>
      </c>
      <c r="F14888" s="8" t="inlineStr">
        <is>
          <t>STANDBY</t>
        </is>
      </c>
      <c r="G14888" s="8" t="n">
        <v>30</v>
      </c>
      <c r="H14888" s="8" t="inlineStr">
        <is>
          <t>OPERATING</t>
        </is>
      </c>
    </row>
    <row r="14889">
      <c r="A14889" s="8" t="inlineStr">
        <is>
          <t>2026-08-03</t>
        </is>
      </c>
      <c r="B14889" s="8" t="n">
        <v>14</v>
      </c>
      <c r="C14889" s="8" t="n">
        <v>1</v>
      </c>
      <c r="D14889" s="8" t="inlineStr">
        <is>
          <t>Disneyland Park</t>
        </is>
      </c>
      <c r="E14889" s="8" t="inlineStr">
        <is>
          <t>Pirates' Beach</t>
        </is>
      </c>
      <c r="F14889" s="8" t="inlineStr">
        <is>
          <t>STANDBY</t>
        </is>
      </c>
      <c r="G14889" s="8" t="n">
        <v>0</v>
      </c>
      <c r="H14889" s="8" t="inlineStr">
        <is>
          <t>OPERATING</t>
        </is>
      </c>
    </row>
    <row r="14890">
      <c r="A14890" s="8" t="inlineStr">
        <is>
          <t>2026-08-03</t>
        </is>
      </c>
      <c r="B14890" s="8" t="n">
        <v>14</v>
      </c>
      <c r="C14890" s="8" t="n">
        <v>1</v>
      </c>
      <c r="D14890" s="8" t="inlineStr">
        <is>
          <t>Disneyland Park</t>
        </is>
      </c>
      <c r="E14890" s="8" t="inlineStr">
        <is>
          <t>Autopia, presented by Avis</t>
        </is>
      </c>
      <c r="F14890" s="8" t="inlineStr">
        <is>
          <t>STANDBY</t>
        </is>
      </c>
      <c r="G14890" s="8" t="n">
        <v>0</v>
      </c>
      <c r="H14890" s="8" t="inlineStr">
        <is>
          <t>CLOSED</t>
        </is>
      </c>
    </row>
    <row r="14891">
      <c r="A14891" s="8" t="inlineStr">
        <is>
          <t>2026-08-03</t>
        </is>
      </c>
      <c r="B14891" s="8" t="n">
        <v>14</v>
      </c>
      <c r="C14891" s="8" t="n">
        <v>1</v>
      </c>
      <c r="D14891" s="8" t="inlineStr">
        <is>
          <t>Disneyland Park</t>
        </is>
      </c>
      <c r="E14891" s="8" t="inlineStr">
        <is>
          <t>Buzz Lightyear Laser Blast</t>
        </is>
      </c>
      <c r="F14891" s="8" t="inlineStr">
        <is>
          <t>STANDBY</t>
        </is>
      </c>
      <c r="G14891" s="8" t="n">
        <v>45</v>
      </c>
      <c r="H14891" s="8" t="inlineStr">
        <is>
          <t>OPERATING</t>
        </is>
      </c>
    </row>
    <row r="14892">
      <c r="A14892" s="8" t="inlineStr">
        <is>
          <t>2026-08-03</t>
        </is>
      </c>
      <c r="B14892" s="8" t="n">
        <v>14</v>
      </c>
      <c r="C14892" s="8" t="n">
        <v>1</v>
      </c>
      <c r="D14892" s="8" t="inlineStr">
        <is>
          <t>Disneyland Park</t>
        </is>
      </c>
      <c r="E14892" s="8" t="inlineStr">
        <is>
          <t>Disneyland Railroad Discoveryland Station</t>
        </is>
      </c>
      <c r="F14892" s="8" t="inlineStr">
        <is>
          <t>STANDBY</t>
        </is>
      </c>
      <c r="G14892" s="8" t="n">
        <v>0</v>
      </c>
      <c r="H14892" s="8" t="inlineStr">
        <is>
          <t>CLOSED</t>
        </is>
      </c>
    </row>
    <row r="14893">
      <c r="A14893" s="8" t="inlineStr">
        <is>
          <t>2026-08-03</t>
        </is>
      </c>
      <c r="B14893" s="8" t="n">
        <v>14</v>
      </c>
      <c r="C14893" s="8" t="n">
        <v>1</v>
      </c>
      <c r="D14893" s="8" t="inlineStr">
        <is>
          <t>Disneyland Park</t>
        </is>
      </c>
      <c r="E14893" s="8" t="inlineStr">
        <is>
          <t>Les Mystères du Nautilus</t>
        </is>
      </c>
      <c r="F14893" s="8" t="inlineStr">
        <is>
          <t>STANDBY</t>
        </is>
      </c>
      <c r="G14893" s="8" t="n">
        <v>5</v>
      </c>
      <c r="H14893" s="8" t="inlineStr">
        <is>
          <t>OPERATING</t>
        </is>
      </c>
    </row>
    <row r="14894">
      <c r="A14894" s="8" t="inlineStr">
        <is>
          <t>2026-08-03</t>
        </is>
      </c>
      <c r="B14894" s="8" t="n">
        <v>14</v>
      </c>
      <c r="C14894" s="8" t="n">
        <v>1</v>
      </c>
      <c r="D14894" s="8" t="inlineStr">
        <is>
          <t>Disneyland Park</t>
        </is>
      </c>
      <c r="E14894" s="8" t="inlineStr">
        <is>
          <t>Mickey’s PhilharMagic</t>
        </is>
      </c>
      <c r="F14894" s="8" t="inlineStr">
        <is>
          <t>STANDBY</t>
        </is>
      </c>
      <c r="G14894" s="8" t="n">
        <v>0</v>
      </c>
      <c r="H14894" s="8" t="inlineStr">
        <is>
          <t>OPERATING</t>
        </is>
      </c>
    </row>
    <row r="14895">
      <c r="A14895" s="8" t="inlineStr">
        <is>
          <t>2026-08-03</t>
        </is>
      </c>
      <c r="B14895" s="8" t="n">
        <v>14</v>
      </c>
      <c r="C14895" s="8" t="n">
        <v>1</v>
      </c>
      <c r="D14895" s="8" t="inlineStr">
        <is>
          <t>Disneyland Park</t>
        </is>
      </c>
      <c r="E14895" s="8" t="inlineStr">
        <is>
          <t>Orbitron®</t>
        </is>
      </c>
      <c r="F14895" s="8" t="inlineStr">
        <is>
          <t>STANDBY</t>
        </is>
      </c>
      <c r="G14895" s="8" t="n">
        <v>0</v>
      </c>
      <c r="H14895" s="8" t="inlineStr">
        <is>
          <t>CLOSED</t>
        </is>
      </c>
    </row>
    <row r="14896">
      <c r="A14896" s="8" t="inlineStr">
        <is>
          <t>2026-08-03</t>
        </is>
      </c>
      <c r="B14896" s="8" t="n">
        <v>14</v>
      </c>
      <c r="C14896" s="8" t="n">
        <v>1</v>
      </c>
      <c r="D14896" s="8" t="inlineStr">
        <is>
          <t>Disneyland Park</t>
        </is>
      </c>
      <c r="E14896" s="8" t="inlineStr">
        <is>
          <t>Star Tours: The Adventures Continue*</t>
        </is>
      </c>
      <c r="F14896" s="8" t="inlineStr">
        <is>
          <t>STANDBY</t>
        </is>
      </c>
      <c r="G14896" s="8" t="n">
        <v>30</v>
      </c>
      <c r="H14896" s="8" t="inlineStr">
        <is>
          <t>OPERATING</t>
        </is>
      </c>
    </row>
    <row r="14897">
      <c r="A14897" s="8" t="inlineStr">
        <is>
          <t>2026-08-03</t>
        </is>
      </c>
      <c r="B14897" s="8" t="n">
        <v>14</v>
      </c>
      <c r="C14897" s="8" t="n">
        <v>1</v>
      </c>
      <c r="D14897" s="8" t="inlineStr">
        <is>
          <t>Disneyland Park</t>
        </is>
      </c>
      <c r="E14897" s="8" t="inlineStr">
        <is>
          <t>Star Wars Hyperspace Mountain</t>
        </is>
      </c>
      <c r="F14897" s="8" t="inlineStr">
        <is>
          <t>STANDBY</t>
        </is>
      </c>
      <c r="G14897" s="8" t="n">
        <v>50</v>
      </c>
      <c r="H14897" s="8" t="inlineStr">
        <is>
          <t>OPERATING</t>
        </is>
      </c>
    </row>
    <row r="14898">
      <c r="A14898" s="8" t="inlineStr">
        <is>
          <t>2026-08-03</t>
        </is>
      </c>
      <c r="B14898" s="8" t="n">
        <v>14</v>
      </c>
      <c r="C14898" s="8" t="n">
        <v>1</v>
      </c>
      <c r="D14898" s="8" t="inlineStr">
        <is>
          <t>Disneyland Park</t>
        </is>
      </c>
      <c r="E14898" s="8" t="inlineStr">
        <is>
          <t>Star Wars Hyperspace Mountain Single Rider</t>
        </is>
      </c>
      <c r="F14898" s="8" t="inlineStr">
        <is>
          <t>STANDBY</t>
        </is>
      </c>
      <c r="G14898" s="8" t="n">
        <v>40</v>
      </c>
      <c r="H14898" s="8" t="inlineStr">
        <is>
          <t>OPERATING</t>
        </is>
      </c>
    </row>
    <row r="14899">
      <c r="A14899" s="8" t="inlineStr">
        <is>
          <t>2026-08-03</t>
        </is>
      </c>
      <c r="B14899" s="8" t="n">
        <v>14</v>
      </c>
      <c r="C14899" s="8" t="n">
        <v>1</v>
      </c>
      <c r="D14899" s="8" t="inlineStr">
        <is>
          <t>Disneyland Park</t>
        </is>
      </c>
      <c r="E14899" s="8" t="inlineStr">
        <is>
          <t>Welcome to Starport: A Star Wars Encounter</t>
        </is>
      </c>
      <c r="F14899" s="8" t="inlineStr">
        <is>
          <t>STANDBY</t>
        </is>
      </c>
      <c r="G14899" s="8" t="n">
        <v>30</v>
      </c>
      <c r="H14899" s="8" t="inlineStr">
        <is>
          <t>OPERATING</t>
        </is>
      </c>
    </row>
    <row r="14900">
      <c r="A14900" s="8" t="inlineStr">
        <is>
          <t>2026-08-03</t>
        </is>
      </c>
      <c r="B14900" s="8" t="n">
        <v>14</v>
      </c>
      <c r="C14900" s="8" t="n">
        <v>1</v>
      </c>
      <c r="D14900" s="8" t="inlineStr">
        <is>
          <t>Disneyland Park</t>
        </is>
      </c>
      <c r="E14900" s="8" t="inlineStr">
        <is>
          <t>"it's a small world"</t>
        </is>
      </c>
      <c r="F14900" s="8" t="inlineStr">
        <is>
          <t>STANDBY</t>
        </is>
      </c>
      <c r="G14900" s="8" t="n">
        <v>15</v>
      </c>
      <c r="H14900" s="8" t="inlineStr">
        <is>
          <t>OPERATING</t>
        </is>
      </c>
    </row>
    <row r="14901">
      <c r="A14901" s="8" t="inlineStr">
        <is>
          <t>2026-08-03</t>
        </is>
      </c>
      <c r="B14901" s="8" t="n">
        <v>14</v>
      </c>
      <c r="C14901" s="8" t="n">
        <v>1</v>
      </c>
      <c r="D14901" s="8" t="inlineStr">
        <is>
          <t>Disneyland Park</t>
        </is>
      </c>
      <c r="E14901" s="8" t="inlineStr">
        <is>
          <t>Alice's Curious Labyrinth</t>
        </is>
      </c>
      <c r="F14901" s="8" t="inlineStr">
        <is>
          <t>STANDBY</t>
        </is>
      </c>
      <c r="G14901" s="8" t="n">
        <v>5</v>
      </c>
      <c r="H14901" s="8" t="inlineStr">
        <is>
          <t>OPERATING</t>
        </is>
      </c>
    </row>
    <row r="14902">
      <c r="A14902" s="8" t="inlineStr">
        <is>
          <t>2026-08-03</t>
        </is>
      </c>
      <c r="B14902" s="8" t="n">
        <v>14</v>
      </c>
      <c r="C14902" s="8" t="n">
        <v>1</v>
      </c>
      <c r="D14902" s="8" t="inlineStr">
        <is>
          <t>Disneyland Park</t>
        </is>
      </c>
      <c r="E14902" s="8" t="inlineStr">
        <is>
          <t>Blanche-Neige et les Sept Nains®</t>
        </is>
      </c>
      <c r="F14902" s="8" t="inlineStr">
        <is>
          <t>STANDBY</t>
        </is>
      </c>
      <c r="G14902" s="8" t="n">
        <v>15</v>
      </c>
      <c r="H14902" s="8" t="inlineStr">
        <is>
          <t>OPERATING</t>
        </is>
      </c>
    </row>
    <row r="14903">
      <c r="A14903" s="8" t="inlineStr">
        <is>
          <t>2026-08-03</t>
        </is>
      </c>
      <c r="B14903" s="8" t="n">
        <v>14</v>
      </c>
      <c r="C14903" s="8" t="n">
        <v>1</v>
      </c>
      <c r="D14903" s="8" t="inlineStr">
        <is>
          <t>Disneyland Park</t>
        </is>
      </c>
      <c r="E14903" s="8" t="inlineStr">
        <is>
          <t>Casey Jr. – le Petit Train du Cirque</t>
        </is>
      </c>
      <c r="F14903" s="8" t="inlineStr">
        <is>
          <t>STANDBY</t>
        </is>
      </c>
      <c r="G14903" s="8" t="n">
        <v>0</v>
      </c>
      <c r="H14903" s="8" t="inlineStr">
        <is>
          <t>CLOSED</t>
        </is>
      </c>
    </row>
    <row r="14904">
      <c r="A14904" s="8" t="inlineStr">
        <is>
          <t>2026-08-03</t>
        </is>
      </c>
      <c r="B14904" s="8" t="n">
        <v>14</v>
      </c>
      <c r="C14904" s="8" t="n">
        <v>1</v>
      </c>
      <c r="D14904" s="8" t="inlineStr">
        <is>
          <t>Disneyland Park</t>
        </is>
      </c>
      <c r="E14904" s="8" t="inlineStr">
        <is>
          <t>Disneyland Railroad Fantasyland Station</t>
        </is>
      </c>
      <c r="F14904" s="8" t="inlineStr">
        <is>
          <t>STANDBY</t>
        </is>
      </c>
      <c r="G14904" s="8" t="n">
        <v>0</v>
      </c>
      <c r="H14904" s="8" t="inlineStr">
        <is>
          <t>CLOSED</t>
        </is>
      </c>
    </row>
    <row r="14905">
      <c r="A14905" s="8" t="inlineStr">
        <is>
          <t>2026-08-03</t>
        </is>
      </c>
      <c r="B14905" s="8" t="n">
        <v>14</v>
      </c>
      <c r="C14905" s="8" t="n">
        <v>1</v>
      </c>
      <c r="D14905" s="8" t="inlineStr">
        <is>
          <t>Disneyland Park</t>
        </is>
      </c>
      <c r="E14905" s="8" t="inlineStr">
        <is>
          <t>Disneyland Railroad Main Street Station</t>
        </is>
      </c>
      <c r="F14905" s="8" t="inlineStr">
        <is>
          <t>STANDBY</t>
        </is>
      </c>
      <c r="G14905" s="8" t="n">
        <v>0</v>
      </c>
      <c r="H14905" s="8" t="inlineStr">
        <is>
          <t>CLOSED</t>
        </is>
      </c>
    </row>
    <row r="14906">
      <c r="A14906" s="8" t="inlineStr">
        <is>
          <t>2026-08-03</t>
        </is>
      </c>
      <c r="B14906" s="8" t="n">
        <v>14</v>
      </c>
      <c r="C14906" s="8" t="n">
        <v>1</v>
      </c>
      <c r="D14906" s="8" t="inlineStr">
        <is>
          <t>Disneyland Park</t>
        </is>
      </c>
      <c r="E14906" s="8" t="inlineStr">
        <is>
          <t>Dumbo the Flying Elephant</t>
        </is>
      </c>
      <c r="F14906" s="8" t="inlineStr">
        <is>
          <t>STANDBY</t>
        </is>
      </c>
      <c r="G14906" s="8" t="n">
        <v>0</v>
      </c>
      <c r="H14906" s="8" t="inlineStr">
        <is>
          <t>CLOSED</t>
        </is>
      </c>
    </row>
    <row r="14907">
      <c r="A14907" s="8" t="inlineStr">
        <is>
          <t>2026-08-03</t>
        </is>
      </c>
      <c r="B14907" s="8" t="n">
        <v>14</v>
      </c>
      <c r="C14907" s="8" t="n">
        <v>1</v>
      </c>
      <c r="D14907" s="8" t="inlineStr">
        <is>
          <t>Disneyland Park</t>
        </is>
      </c>
      <c r="E14907" s="8" t="inlineStr">
        <is>
          <t>La Tanière du Dragon</t>
        </is>
      </c>
      <c r="F14907" s="8" t="inlineStr">
        <is>
          <t>STANDBY</t>
        </is>
      </c>
      <c r="G14907" s="8" t="n">
        <v>0</v>
      </c>
      <c r="H14907" s="8" t="inlineStr">
        <is>
          <t>OPERATING</t>
        </is>
      </c>
    </row>
    <row r="14908">
      <c r="A14908" s="8" t="inlineStr">
        <is>
          <t>2026-08-03</t>
        </is>
      </c>
      <c r="B14908" s="8" t="n">
        <v>14</v>
      </c>
      <c r="C14908" s="8" t="n">
        <v>1</v>
      </c>
      <c r="D14908" s="8" t="inlineStr">
        <is>
          <t>Disneyland Park</t>
        </is>
      </c>
      <c r="E14908" s="8" t="inlineStr">
        <is>
          <t>Le Carrousel de Lancelot</t>
        </is>
      </c>
      <c r="F14908" s="8" t="inlineStr">
        <is>
          <t>STANDBY</t>
        </is>
      </c>
      <c r="G14908" s="8" t="n">
        <v>10</v>
      </c>
      <c r="H14908" s="8" t="inlineStr">
        <is>
          <t>OPERATING</t>
        </is>
      </c>
    </row>
    <row r="14909">
      <c r="A14909" s="8" t="inlineStr">
        <is>
          <t>2026-08-03</t>
        </is>
      </c>
      <c r="B14909" s="8" t="n">
        <v>14</v>
      </c>
      <c r="C14909" s="8" t="n">
        <v>1</v>
      </c>
      <c r="D14909" s="8" t="inlineStr">
        <is>
          <t>Disneyland Park</t>
        </is>
      </c>
      <c r="E14909" s="8" t="inlineStr">
        <is>
          <t>Le Pays des Contes de Fées, presented by Vittel</t>
        </is>
      </c>
      <c r="F14909" s="8" t="inlineStr">
        <is>
          <t>STANDBY</t>
        </is>
      </c>
      <c r="G14909" s="8" t="n">
        <v>0</v>
      </c>
      <c r="H14909" s="8" t="inlineStr">
        <is>
          <t>CLOSED</t>
        </is>
      </c>
    </row>
    <row r="14910">
      <c r="A14910" s="8" t="inlineStr">
        <is>
          <t>2026-08-03</t>
        </is>
      </c>
      <c r="B14910" s="8" t="n">
        <v>14</v>
      </c>
      <c r="C14910" s="8" t="n">
        <v>1</v>
      </c>
      <c r="D14910" s="8" t="inlineStr">
        <is>
          <t>Disneyland Park</t>
        </is>
      </c>
      <c r="E14910" s="8" t="inlineStr">
        <is>
          <t>Les Voyages de Pinocchio</t>
        </is>
      </c>
      <c r="F14910" s="8" t="inlineStr">
        <is>
          <t>STANDBY</t>
        </is>
      </c>
      <c r="G14910" s="8" t="n">
        <v>25</v>
      </c>
      <c r="H14910" s="8" t="inlineStr">
        <is>
          <t>OPERATING</t>
        </is>
      </c>
    </row>
    <row r="14911">
      <c r="A14911" s="8" t="inlineStr">
        <is>
          <t>2026-08-03</t>
        </is>
      </c>
      <c r="B14911" s="8" t="n">
        <v>14</v>
      </c>
      <c r="C14911" s="8" t="n">
        <v>1</v>
      </c>
      <c r="D14911" s="8" t="inlineStr">
        <is>
          <t>Disneyland Park</t>
        </is>
      </c>
      <c r="E14911" s="8" t="inlineStr">
        <is>
          <t>Mad Hatter's Tea Cups</t>
        </is>
      </c>
      <c r="F14911" s="8" t="inlineStr">
        <is>
          <t>STANDBY</t>
        </is>
      </c>
      <c r="G14911" s="8" t="n">
        <v>20</v>
      </c>
      <c r="H14911" s="8" t="inlineStr">
        <is>
          <t>OPERATING</t>
        </is>
      </c>
    </row>
    <row r="14912">
      <c r="A14912" s="8" t="inlineStr">
        <is>
          <t>2026-08-03</t>
        </is>
      </c>
      <c r="B14912" s="8" t="n">
        <v>14</v>
      </c>
      <c r="C14912" s="8" t="n">
        <v>1</v>
      </c>
      <c r="D14912" s="8" t="inlineStr">
        <is>
          <t>Disneyland Park</t>
        </is>
      </c>
      <c r="E14912" s="8" t="inlineStr">
        <is>
          <t>Meet Mickey Mouse</t>
        </is>
      </c>
      <c r="F14912" s="8" t="inlineStr">
        <is>
          <t>STANDBY</t>
        </is>
      </c>
      <c r="G14912" s="8" t="n">
        <v>0</v>
      </c>
      <c r="H14912" s="8" t="inlineStr">
        <is>
          <t>OPERATING</t>
        </is>
      </c>
    </row>
    <row r="14913">
      <c r="A14913" s="8" t="inlineStr">
        <is>
          <t>2026-08-03</t>
        </is>
      </c>
      <c r="B14913" s="8" t="n">
        <v>14</v>
      </c>
      <c r="C14913" s="8" t="n">
        <v>1</v>
      </c>
      <c r="D14913" s="8" t="inlineStr">
        <is>
          <t>Disneyland Park</t>
        </is>
      </c>
      <c r="E14913" s="8" t="inlineStr">
        <is>
          <t>Peter Pan's Flight</t>
        </is>
      </c>
      <c r="F14913" s="8" t="inlineStr">
        <is>
          <t>STANDBY</t>
        </is>
      </c>
      <c r="G14913" s="8" t="n">
        <v>65</v>
      </c>
      <c r="H14913" s="8" t="inlineStr">
        <is>
          <t>OPERATING</t>
        </is>
      </c>
    </row>
    <row r="14914">
      <c r="A14914" s="8" t="inlineStr">
        <is>
          <t>2026-08-03</t>
        </is>
      </c>
      <c r="B14914" s="8" t="n">
        <v>14</v>
      </c>
      <c r="C14914" s="8" t="n">
        <v>1</v>
      </c>
      <c r="D14914" s="8" t="inlineStr">
        <is>
          <t>Disneyland Park</t>
        </is>
      </c>
      <c r="E14914" s="8" t="inlineStr">
        <is>
          <t>Princess Pavilion</t>
        </is>
      </c>
      <c r="F14914" s="8" t="inlineStr">
        <is>
          <t>STANDBY</t>
        </is>
      </c>
      <c r="G14914" s="8" t="n">
        <v>0</v>
      </c>
      <c r="H14914" s="8" t="inlineStr">
        <is>
          <t>OPERATING</t>
        </is>
      </c>
    </row>
    <row r="14915">
      <c r="A14915" s="8" t="inlineStr">
        <is>
          <t>2026-08-03</t>
        </is>
      </c>
      <c r="B14915" s="8" t="n">
        <v>14</v>
      </c>
      <c r="C14915" s="8" t="n">
        <v>1</v>
      </c>
      <c r="D14915" s="8" t="inlineStr">
        <is>
          <t>Disneyland Park</t>
        </is>
      </c>
      <c r="E14915" s="8" t="inlineStr">
        <is>
          <t>Big Thunder Mountain</t>
        </is>
      </c>
      <c r="F14915" s="8" t="inlineStr">
        <is>
          <t>STANDBY</t>
        </is>
      </c>
      <c r="G14915" s="8" t="n">
        <v>0</v>
      </c>
      <c r="H14915" s="8" t="inlineStr">
        <is>
          <t>CLOSED</t>
        </is>
      </c>
    </row>
    <row r="14916">
      <c r="A14916" s="8" t="inlineStr">
        <is>
          <t>2026-08-03</t>
        </is>
      </c>
      <c r="B14916" s="8" t="n">
        <v>14</v>
      </c>
      <c r="C14916" s="8" t="n">
        <v>1</v>
      </c>
      <c r="D14916" s="8" t="inlineStr">
        <is>
          <t>Disneyland Park</t>
        </is>
      </c>
      <c r="E14916" s="8" t="inlineStr">
        <is>
          <t>Disneyland Railroad Frontierland Depot</t>
        </is>
      </c>
      <c r="F14916" s="8" t="inlineStr">
        <is>
          <t>STANDBY</t>
        </is>
      </c>
      <c r="G14916" s="8" t="n">
        <v>0</v>
      </c>
      <c r="H14916" s="8" t="inlineStr">
        <is>
          <t>CLOSED</t>
        </is>
      </c>
    </row>
    <row r="14917">
      <c r="A14917" s="8" t="inlineStr">
        <is>
          <t>2026-08-03</t>
        </is>
      </c>
      <c r="B14917" s="8" t="n">
        <v>14</v>
      </c>
      <c r="C14917" s="8" t="n">
        <v>1</v>
      </c>
      <c r="D14917" s="8" t="inlineStr">
        <is>
          <t>Disneyland Park</t>
        </is>
      </c>
      <c r="E14917" s="8" t="inlineStr">
        <is>
          <t>Frontierland Playground</t>
        </is>
      </c>
      <c r="F14917" s="8" t="inlineStr">
        <is>
          <t>STANDBY</t>
        </is>
      </c>
      <c r="G14917" s="8" t="n">
        <v>0</v>
      </c>
      <c r="H14917" s="8" t="inlineStr">
        <is>
          <t>CLOSED</t>
        </is>
      </c>
    </row>
    <row r="14918">
      <c r="A14918" s="8" t="inlineStr">
        <is>
          <t>2026-08-03</t>
        </is>
      </c>
      <c r="B14918" s="8" t="n">
        <v>14</v>
      </c>
      <c r="C14918" s="8" t="n">
        <v>1</v>
      </c>
      <c r="D14918" s="8" t="inlineStr">
        <is>
          <t>Disneyland Park</t>
        </is>
      </c>
      <c r="E14918" s="8" t="inlineStr">
        <is>
          <t>Phantom Manor</t>
        </is>
      </c>
      <c r="F14918" s="8" t="inlineStr">
        <is>
          <t>STANDBY</t>
        </is>
      </c>
      <c r="G14918" s="8" t="n">
        <v>0</v>
      </c>
      <c r="H14918" s="8" t="inlineStr">
        <is>
          <t>CLOSED</t>
        </is>
      </c>
    </row>
    <row r="14919">
      <c r="A14919" s="8" t="inlineStr">
        <is>
          <t>2026-08-03</t>
        </is>
      </c>
      <c r="B14919" s="8" t="n">
        <v>14</v>
      </c>
      <c r="C14919" s="8" t="n">
        <v>1</v>
      </c>
      <c r="D14919" s="8" t="inlineStr">
        <is>
          <t>Disneyland Park</t>
        </is>
      </c>
      <c r="E14919" s="8" t="inlineStr">
        <is>
          <t>River Rogue Keelboats</t>
        </is>
      </c>
      <c r="F14919" s="8" t="inlineStr">
        <is>
          <t>STANDBY</t>
        </is>
      </c>
      <c r="G14919" s="8" t="n">
        <v>0</v>
      </c>
      <c r="H14919" s="8" t="inlineStr">
        <is>
          <t>CLOSED</t>
        </is>
      </c>
    </row>
    <row r="14920">
      <c r="A14920" s="8" t="inlineStr">
        <is>
          <t>2026-08-03</t>
        </is>
      </c>
      <c r="B14920" s="8" t="n">
        <v>14</v>
      </c>
      <c r="C14920" s="8" t="n">
        <v>1</v>
      </c>
      <c r="D14920" s="8" t="inlineStr">
        <is>
          <t>Disneyland Park</t>
        </is>
      </c>
      <c r="E14920" s="8" t="inlineStr">
        <is>
          <t>Rustler Roundup Shootin' Gallery</t>
        </is>
      </c>
      <c r="F14920" s="8" t="inlineStr">
        <is>
          <t>STANDBY</t>
        </is>
      </c>
      <c r="G14920" s="8" t="n">
        <v>0</v>
      </c>
      <c r="H14920" s="8" t="inlineStr">
        <is>
          <t>OPERATING</t>
        </is>
      </c>
    </row>
    <row r="14921">
      <c r="A14921" s="8" t="inlineStr">
        <is>
          <t>2026-08-03</t>
        </is>
      </c>
      <c r="B14921" s="8" t="n">
        <v>14</v>
      </c>
      <c r="C14921" s="8" t="n">
        <v>1</v>
      </c>
      <c r="D14921" s="8" t="inlineStr">
        <is>
          <t>Disneyland Park</t>
        </is>
      </c>
      <c r="E14921" s="8" t="inlineStr">
        <is>
          <t>Thunder Mesa Riverboat Landing</t>
        </is>
      </c>
      <c r="F14921" s="8" t="inlineStr">
        <is>
          <t>STANDBY</t>
        </is>
      </c>
      <c r="G14921" s="8" t="n">
        <v>0</v>
      </c>
      <c r="H14921" s="8" t="inlineStr">
        <is>
          <t>CLOSED</t>
        </is>
      </c>
    </row>
    <row r="14922">
      <c r="A14922" s="8" t="inlineStr">
        <is>
          <t>2026-08-03</t>
        </is>
      </c>
      <c r="B14922" s="8" t="n">
        <v>14</v>
      </c>
      <c r="C14922" s="8" t="n">
        <v>1</v>
      </c>
      <c r="D14922" s="8" t="inlineStr">
        <is>
          <t>Disneyland Park</t>
        </is>
      </c>
      <c r="E14922" s="8" t="inlineStr">
        <is>
          <t>Disneyland Railroad Main Street Station</t>
        </is>
      </c>
      <c r="F14922" s="8" t="inlineStr">
        <is>
          <t>STANDBY</t>
        </is>
      </c>
      <c r="G14922" s="8" t="n">
        <v>0</v>
      </c>
      <c r="H14922" s="8" t="inlineStr">
        <is>
          <t>CLOSED</t>
        </is>
      </c>
    </row>
    <row r="14923">
      <c r="A14923" s="8" t="inlineStr">
        <is>
          <t>2026-08-03</t>
        </is>
      </c>
      <c r="B14923" s="8" t="n">
        <v>14</v>
      </c>
      <c r="C14923" s="8" t="n">
        <v>1</v>
      </c>
      <c r="D14923" s="8" t="inlineStr">
        <is>
          <t>Disneyland Park</t>
        </is>
      </c>
      <c r="E14923" s="8" t="inlineStr">
        <is>
          <t>Main Street Vehicles</t>
        </is>
      </c>
      <c r="F14923" s="8" t="inlineStr">
        <is>
          <t>STANDBY</t>
        </is>
      </c>
      <c r="G14923" s="8" t="n">
        <v>0</v>
      </c>
      <c r="H14923" s="8" t="inlineStr">
        <is>
          <t>CLOSED</t>
        </is>
      </c>
    </row>
    <row r="14924">
      <c r="A14924" s="8" t="inlineStr">
        <is>
          <t>2026-08-03</t>
        </is>
      </c>
      <c r="B14924" s="8" t="n">
        <v>14</v>
      </c>
      <c r="C14924" s="8" t="n">
        <v>1</v>
      </c>
      <c r="D14924" s="8" t="inlineStr">
        <is>
          <t>Disney Adventure World</t>
        </is>
      </c>
      <c r="E14924" s="8" t="inlineStr">
        <is>
          <t>Avengers Assemble: Flight Force</t>
        </is>
      </c>
      <c r="F14924" s="8" t="inlineStr">
        <is>
          <t>STANDBY</t>
        </is>
      </c>
      <c r="G14924" s="8" t="n">
        <v>15</v>
      </c>
      <c r="H14924" s="8" t="inlineStr">
        <is>
          <t>OPERATING</t>
        </is>
      </c>
    </row>
    <row r="14925">
      <c r="A14925" s="8" t="inlineStr">
        <is>
          <t>2026-08-03</t>
        </is>
      </c>
      <c r="B14925" s="8" t="n">
        <v>14</v>
      </c>
      <c r="C14925" s="8" t="n">
        <v>1</v>
      </c>
      <c r="D14925" s="8" t="inlineStr">
        <is>
          <t>Disney Adventure World</t>
        </is>
      </c>
      <c r="E14925" s="8" t="inlineStr">
        <is>
          <t>Avengers Assemble: Flight Force Single Rider</t>
        </is>
      </c>
      <c r="F14925" s="8" t="inlineStr">
        <is>
          <t>STANDBY</t>
        </is>
      </c>
      <c r="G14925" s="8" t="n">
        <v>10</v>
      </c>
      <c r="H14925" s="8" t="inlineStr">
        <is>
          <t>OPERATING</t>
        </is>
      </c>
    </row>
    <row r="14926">
      <c r="A14926" s="8" t="inlineStr">
        <is>
          <t>2026-08-03</t>
        </is>
      </c>
      <c r="B14926" s="8" t="n">
        <v>14</v>
      </c>
      <c r="C14926" s="8" t="n">
        <v>1</v>
      </c>
      <c r="D14926" s="8" t="inlineStr">
        <is>
          <t>Disney Adventure World</t>
        </is>
      </c>
      <c r="E14926" s="8" t="inlineStr">
        <is>
          <t>Spider-Man W.E.B. Adventure</t>
        </is>
      </c>
      <c r="F14926" s="8" t="inlineStr">
        <is>
          <t>STANDBY</t>
        </is>
      </c>
      <c r="G14926" s="8" t="n">
        <v>40</v>
      </c>
      <c r="H14926" s="8" t="inlineStr">
        <is>
          <t>OPERATING</t>
        </is>
      </c>
    </row>
    <row r="14927">
      <c r="A14927" s="8" t="inlineStr">
        <is>
          <t>2026-08-03</t>
        </is>
      </c>
      <c r="B14927" s="8" t="n">
        <v>14</v>
      </c>
      <c r="C14927" s="8" t="n">
        <v>1</v>
      </c>
      <c r="D14927" s="8" t="inlineStr">
        <is>
          <t>Disney Adventure World</t>
        </is>
      </c>
      <c r="E14927" s="8" t="inlineStr">
        <is>
          <t>Spider-Man W.E.B. Adventure Single Rider</t>
        </is>
      </c>
      <c r="F14927" s="8" t="inlineStr">
        <is>
          <t>STANDBY</t>
        </is>
      </c>
      <c r="G14927" s="8" t="n">
        <v>20</v>
      </c>
      <c r="H14927" s="8" t="inlineStr">
        <is>
          <t>OPERATING</t>
        </is>
      </c>
    </row>
    <row r="14928">
      <c r="A14928" s="8" t="inlineStr">
        <is>
          <t>2026-08-03</t>
        </is>
      </c>
      <c r="B14928" s="8" t="n">
        <v>14</v>
      </c>
      <c r="C14928" s="8" t="n">
        <v>1</v>
      </c>
      <c r="D14928" s="8" t="inlineStr">
        <is>
          <t>Disney Adventure World</t>
        </is>
      </c>
      <c r="E14928" s="8" t="inlineStr">
        <is>
          <t>The Twilight Zone Tower of Terror</t>
        </is>
      </c>
      <c r="F14928" s="8" t="inlineStr">
        <is>
          <t>STANDBY</t>
        </is>
      </c>
      <c r="G14928" s="8" t="n">
        <v>30</v>
      </c>
      <c r="H14928" s="8" t="inlineStr">
        <is>
          <t>OPERATING</t>
        </is>
      </c>
    </row>
    <row r="14929">
      <c r="A14929" s="8" t="inlineStr">
        <is>
          <t>2026-08-03</t>
        </is>
      </c>
      <c r="B14929" s="8" t="n">
        <v>14</v>
      </c>
      <c r="C14929" s="8" t="n">
        <v>1</v>
      </c>
      <c r="D14929" s="8" t="inlineStr">
        <is>
          <t>Disney Adventure World</t>
        </is>
      </c>
      <c r="E14929" s="8" t="inlineStr">
        <is>
          <t>Cars Quatre Roues Rallye</t>
        </is>
      </c>
      <c r="F14929" s="8" t="inlineStr">
        <is>
          <t>STANDBY</t>
        </is>
      </c>
      <c r="G14929" s="8" t="n">
        <v>10</v>
      </c>
      <c r="H14929" s="8" t="inlineStr">
        <is>
          <t>OPERATING</t>
        </is>
      </c>
    </row>
    <row r="14930">
      <c r="A14930" s="8" t="inlineStr">
        <is>
          <t>2026-08-03</t>
        </is>
      </c>
      <c r="B14930" s="8" t="n">
        <v>14</v>
      </c>
      <c r="C14930" s="8" t="n">
        <v>1</v>
      </c>
      <c r="D14930" s="8" t="inlineStr">
        <is>
          <t>Disney Adventure World</t>
        </is>
      </c>
      <c r="E14930" s="8" t="inlineStr">
        <is>
          <t>Cars ROAD TRIP</t>
        </is>
      </c>
      <c r="F14930" s="8" t="inlineStr">
        <is>
          <t>STANDBY</t>
        </is>
      </c>
      <c r="G14930" s="8" t="n">
        <v>10</v>
      </c>
      <c r="H14930" s="8" t="inlineStr">
        <is>
          <t>OPERATING</t>
        </is>
      </c>
    </row>
    <row r="14931">
      <c r="A14931" s="8" t="inlineStr">
        <is>
          <t>2026-08-03</t>
        </is>
      </c>
      <c r="B14931" s="8" t="n">
        <v>14</v>
      </c>
      <c r="C14931" s="8" t="n">
        <v>1</v>
      </c>
      <c r="D14931" s="8" t="inlineStr">
        <is>
          <t>Disney Adventure World</t>
        </is>
      </c>
      <c r="E14931" s="8" t="inlineStr">
        <is>
          <t>Crush's Coaster</t>
        </is>
      </c>
      <c r="F14931" s="8" t="inlineStr">
        <is>
          <t>STANDBY</t>
        </is>
      </c>
      <c r="G14931" s="8" t="n">
        <v>75</v>
      </c>
      <c r="H14931" s="8" t="inlineStr">
        <is>
          <t>OPERATING</t>
        </is>
      </c>
    </row>
    <row r="14932">
      <c r="A14932" s="8" t="inlineStr">
        <is>
          <t>2026-08-03</t>
        </is>
      </c>
      <c r="B14932" s="8" t="n">
        <v>14</v>
      </c>
      <c r="C14932" s="8" t="n">
        <v>1</v>
      </c>
      <c r="D14932" s="8" t="inlineStr">
        <is>
          <t>Disney Adventure World</t>
        </is>
      </c>
      <c r="E14932" s="8" t="inlineStr">
        <is>
          <t>Crush's Coaster Single Rider</t>
        </is>
      </c>
      <c r="F14932" s="8" t="inlineStr">
        <is>
          <t>STANDBY</t>
        </is>
      </c>
      <c r="G14932" s="8" t="n">
        <v>60</v>
      </c>
      <c r="H14932" s="8" t="inlineStr">
        <is>
          <t>OPERATING</t>
        </is>
      </c>
    </row>
    <row r="14933">
      <c r="A14933" s="8" t="inlineStr">
        <is>
          <t>2026-08-03</t>
        </is>
      </c>
      <c r="B14933" s="8" t="n">
        <v>14</v>
      </c>
      <c r="C14933" s="8" t="n">
        <v>1</v>
      </c>
      <c r="D14933" s="8" t="inlineStr">
        <is>
          <t>Disney Adventure World</t>
        </is>
      </c>
      <c r="E14933" s="8" t="inlineStr">
        <is>
          <t>Les Tapis Volants - Flying Carpets Over Agrabah®</t>
        </is>
      </c>
      <c r="F14933" s="8" t="inlineStr">
        <is>
          <t>STANDBY</t>
        </is>
      </c>
      <c r="G14933" s="8" t="n">
        <v>0</v>
      </c>
      <c r="H14933" s="8" t="inlineStr">
        <is>
          <t>CLOSED</t>
        </is>
      </c>
    </row>
    <row r="14934">
      <c r="A14934" s="8" t="inlineStr">
        <is>
          <t>2026-08-03</t>
        </is>
      </c>
      <c r="B14934" s="8" t="n">
        <v>14</v>
      </c>
      <c r="C14934" s="8" t="n">
        <v>1</v>
      </c>
      <c r="D14934" s="8" t="inlineStr">
        <is>
          <t>Disney Adventure World</t>
        </is>
      </c>
      <c r="E14934" s="8" t="inlineStr">
        <is>
          <t>Ratatouille : L’Aventure Totalement Toquée de Rémy​</t>
        </is>
      </c>
      <c r="F14934" s="8" t="inlineStr">
        <is>
          <t>STANDBY</t>
        </is>
      </c>
      <c r="G14934" s="8" t="n">
        <v>65</v>
      </c>
      <c r="H14934" s="8" t="inlineStr">
        <is>
          <t>OPERATING</t>
        </is>
      </c>
    </row>
    <row r="14935">
      <c r="A14935" s="8" t="inlineStr">
        <is>
          <t>2026-08-03</t>
        </is>
      </c>
      <c r="B14935" s="8" t="n">
        <v>14</v>
      </c>
      <c r="C14935" s="8" t="n">
        <v>1</v>
      </c>
      <c r="D14935" s="8" t="inlineStr">
        <is>
          <t>Disney Adventure World</t>
        </is>
      </c>
      <c r="E14935" s="8" t="inlineStr">
        <is>
          <t>Ratatouille: The Adventure Single Rider</t>
        </is>
      </c>
      <c r="F14935" s="8" t="inlineStr">
        <is>
          <t>STANDBY</t>
        </is>
      </c>
      <c r="G14935" s="8" t="n">
        <v>15</v>
      </c>
      <c r="H14935" s="8" t="inlineStr">
        <is>
          <t>OPERATING</t>
        </is>
      </c>
    </row>
    <row r="14936">
      <c r="A14936" s="8" t="inlineStr">
        <is>
          <t>2026-08-03</t>
        </is>
      </c>
      <c r="B14936" s="8" t="n">
        <v>14</v>
      </c>
      <c r="C14936" s="8" t="n">
        <v>1</v>
      </c>
      <c r="D14936" s="8" t="inlineStr">
        <is>
          <t>Disney Adventure World</t>
        </is>
      </c>
      <c r="E14936" s="8" t="inlineStr">
        <is>
          <t>RC Racer</t>
        </is>
      </c>
      <c r="F14936" s="8" t="inlineStr">
        <is>
          <t>STANDBY</t>
        </is>
      </c>
      <c r="G14936" s="8" t="n">
        <v>40</v>
      </c>
      <c r="H14936" s="8" t="inlineStr">
        <is>
          <t>OPERATING</t>
        </is>
      </c>
    </row>
    <row r="14937">
      <c r="A14937" s="8" t="inlineStr">
        <is>
          <t>2026-08-03</t>
        </is>
      </c>
      <c r="B14937" s="8" t="n">
        <v>14</v>
      </c>
      <c r="C14937" s="8" t="n">
        <v>1</v>
      </c>
      <c r="D14937" s="8" t="inlineStr">
        <is>
          <t>Disney Adventure World</t>
        </is>
      </c>
      <c r="E14937" s="8" t="inlineStr">
        <is>
          <t>RC Racer Single Rider</t>
        </is>
      </c>
      <c r="F14937" s="8" t="inlineStr">
        <is>
          <t>STANDBY</t>
        </is>
      </c>
      <c r="G14937" s="8" t="n">
        <v>35</v>
      </c>
      <c r="H14937" s="8" t="inlineStr">
        <is>
          <t>OPERATING</t>
        </is>
      </c>
    </row>
    <row r="14938">
      <c r="A14938" s="8" t="inlineStr">
        <is>
          <t>2026-08-03</t>
        </is>
      </c>
      <c r="B14938" s="8" t="n">
        <v>14</v>
      </c>
      <c r="C14938" s="8" t="n">
        <v>1</v>
      </c>
      <c r="D14938" s="8" t="inlineStr">
        <is>
          <t>Disney Adventure World</t>
        </is>
      </c>
      <c r="E14938" s="8" t="inlineStr">
        <is>
          <t>Slinky® Dog Zigzag Spin</t>
        </is>
      </c>
      <c r="F14938" s="8" t="inlineStr">
        <is>
          <t>STANDBY</t>
        </is>
      </c>
      <c r="G14938" s="8" t="n">
        <v>0</v>
      </c>
      <c r="H14938" s="8" t="inlineStr">
        <is>
          <t>CLOSED</t>
        </is>
      </c>
    </row>
    <row r="14939">
      <c r="A14939" s="8" t="inlineStr">
        <is>
          <t>2026-08-03</t>
        </is>
      </c>
      <c r="B14939" s="8" t="n">
        <v>14</v>
      </c>
      <c r="C14939" s="8" t="n">
        <v>1</v>
      </c>
      <c r="D14939" s="8" t="inlineStr">
        <is>
          <t>Disney Adventure World</t>
        </is>
      </c>
      <c r="E14939" s="8" t="inlineStr">
        <is>
          <t>Toy Soldiers Parachute Drop</t>
        </is>
      </c>
      <c r="F14939" s="8" t="inlineStr">
        <is>
          <t>STANDBY</t>
        </is>
      </c>
      <c r="G14939" s="8" t="n">
        <v>45</v>
      </c>
      <c r="H14939" s="8" t="inlineStr">
        <is>
          <t>OPERATING</t>
        </is>
      </c>
    </row>
    <row r="14940">
      <c r="A14940" s="8" t="inlineStr">
        <is>
          <t>2026-08-03</t>
        </is>
      </c>
      <c r="B14940" s="8" t="n">
        <v>14</v>
      </c>
      <c r="C14940" s="8" t="n">
        <v>1</v>
      </c>
      <c r="D14940" s="8" t="inlineStr">
        <is>
          <t>Disney Adventure World</t>
        </is>
      </c>
      <c r="E14940" s="8" t="inlineStr">
        <is>
          <t>Toy Soldiers Parachute Drop Single Rider</t>
        </is>
      </c>
      <c r="F14940" s="8" t="inlineStr">
        <is>
          <t>STANDBY</t>
        </is>
      </c>
      <c r="G14940" s="8" t="n">
        <v>15</v>
      </c>
      <c r="H14940" s="8" t="inlineStr">
        <is>
          <t>OPERATING</t>
        </is>
      </c>
    </row>
    <row r="14941">
      <c r="A14941" s="8" t="inlineStr">
        <is>
          <t>2026-08-03</t>
        </is>
      </c>
      <c r="B14941" s="8" t="n">
        <v>14</v>
      </c>
      <c r="C14941" s="8" t="n">
        <v>1</v>
      </c>
      <c r="D14941" s="8" t="inlineStr">
        <is>
          <t>Disney Adventure World</t>
        </is>
      </c>
      <c r="E14941" s="8" t="inlineStr">
        <is>
          <t>Entry to World of Frozen</t>
        </is>
      </c>
      <c r="F14941" s="8" t="inlineStr">
        <is>
          <t>STANDBY</t>
        </is>
      </c>
      <c r="G14941" s="8" t="n">
        <v>0</v>
      </c>
      <c r="H14941" s="8" t="inlineStr">
        <is>
          <t>OPERATING</t>
        </is>
      </c>
    </row>
    <row r="14942">
      <c r="A14942" s="8" t="inlineStr">
        <is>
          <t>2026-08-03</t>
        </is>
      </c>
      <c r="B14942" s="8" t="n">
        <v>14</v>
      </c>
      <c r="C14942" s="8" t="n">
        <v>1</v>
      </c>
      <c r="D14942" s="8" t="inlineStr">
        <is>
          <t>Disney Adventure World</t>
        </is>
      </c>
      <c r="E14942" s="8" t="inlineStr">
        <is>
          <t>Frozen Ever After</t>
        </is>
      </c>
      <c r="F14942" s="8" t="inlineStr">
        <is>
          <t>STANDBY</t>
        </is>
      </c>
      <c r="G14942" s="8" t="n">
        <v>45</v>
      </c>
      <c r="H14942" s="8" t="inlineStr">
        <is>
          <t>OPERATING</t>
        </is>
      </c>
    </row>
    <row r="14943">
      <c r="A14943" s="8" t="inlineStr">
        <is>
          <t>2026-08-03</t>
        </is>
      </c>
      <c r="B14943" s="8" t="n">
        <v>14</v>
      </c>
      <c r="C14943" s="8" t="n">
        <v>1</v>
      </c>
      <c r="D14943" s="8" t="inlineStr">
        <is>
          <t>Disney Adventure World</t>
        </is>
      </c>
      <c r="E14943" s="8" t="inlineStr">
        <is>
          <t>Raiponce Tangled Spin</t>
        </is>
      </c>
      <c r="F14943" s="8" t="inlineStr">
        <is>
          <t>STANDBY</t>
        </is>
      </c>
      <c r="G14943" s="8" t="n">
        <v>5</v>
      </c>
      <c r="H14943" s="8" t="inlineStr">
        <is>
          <t>OPERATING</t>
        </is>
      </c>
    </row>
    <row r="14944">
      <c r="A14944" s="8" t="inlineStr">
        <is>
          <t>2026-08-03</t>
        </is>
      </c>
      <c r="B14944" s="8" t="n">
        <v>14</v>
      </c>
      <c r="C14944" s="8" t="n">
        <v>15</v>
      </c>
      <c r="D14944" s="8" t="inlineStr">
        <is>
          <t>Disneyland Park</t>
        </is>
      </c>
      <c r="E14944" s="8" t="inlineStr">
        <is>
          <t>Adventure Isle</t>
        </is>
      </c>
      <c r="F14944" s="8" t="inlineStr">
        <is>
          <t>STANDBY</t>
        </is>
      </c>
      <c r="G14944" s="8" t="n">
        <v>0</v>
      </c>
      <c r="H14944" s="8" t="inlineStr">
        <is>
          <t>OPERATING</t>
        </is>
      </c>
    </row>
    <row r="14945">
      <c r="A14945" s="8" t="inlineStr">
        <is>
          <t>2026-08-03</t>
        </is>
      </c>
      <c r="B14945" s="8" t="n">
        <v>14</v>
      </c>
      <c r="C14945" s="8" t="n">
        <v>15</v>
      </c>
      <c r="D14945" s="8" t="inlineStr">
        <is>
          <t>Disneyland Park</t>
        </is>
      </c>
      <c r="E14945" s="8" t="inlineStr">
        <is>
          <t>Indiana Jones and the Temple of Peril Single Rider</t>
        </is>
      </c>
      <c r="F14945" s="8" t="inlineStr">
        <is>
          <t>STANDBY</t>
        </is>
      </c>
      <c r="G14945" s="8" t="n">
        <v>40</v>
      </c>
      <c r="H14945" s="8" t="inlineStr">
        <is>
          <t>OPERATING</t>
        </is>
      </c>
    </row>
    <row r="14946">
      <c r="A14946" s="8" t="inlineStr">
        <is>
          <t>2026-08-03</t>
        </is>
      </c>
      <c r="B14946" s="8" t="n">
        <v>14</v>
      </c>
      <c r="C14946" s="8" t="n">
        <v>15</v>
      </c>
      <c r="D14946" s="8" t="inlineStr">
        <is>
          <t>Disneyland Park</t>
        </is>
      </c>
      <c r="E14946" s="8" t="inlineStr">
        <is>
          <t>Indiana Jones™ and the Temple of Peril</t>
        </is>
      </c>
      <c r="F14946" s="8" t="inlineStr">
        <is>
          <t>STANDBY</t>
        </is>
      </c>
      <c r="G14946" s="8" t="n">
        <v>60</v>
      </c>
      <c r="H14946" s="8" t="inlineStr">
        <is>
          <t>OPERATING</t>
        </is>
      </c>
    </row>
    <row r="14947">
      <c r="A14947" s="8" t="inlineStr">
        <is>
          <t>2026-08-03</t>
        </is>
      </c>
      <c r="B14947" s="8" t="n">
        <v>14</v>
      </c>
      <c r="C14947" s="8" t="n">
        <v>15</v>
      </c>
      <c r="D14947" s="8" t="inlineStr">
        <is>
          <t>Disneyland Park</t>
        </is>
      </c>
      <c r="E14947" s="8" t="inlineStr">
        <is>
          <t>La Cabane des Robinson</t>
        </is>
      </c>
      <c r="F14947" s="8" t="inlineStr">
        <is>
          <t>STANDBY</t>
        </is>
      </c>
      <c r="G14947" s="8" t="n">
        <v>5</v>
      </c>
      <c r="H14947" s="8" t="inlineStr">
        <is>
          <t>OPERATING</t>
        </is>
      </c>
    </row>
    <row r="14948">
      <c r="A14948" s="8" t="inlineStr">
        <is>
          <t>2026-08-03</t>
        </is>
      </c>
      <c r="B14948" s="8" t="n">
        <v>14</v>
      </c>
      <c r="C14948" s="8" t="n">
        <v>15</v>
      </c>
      <c r="D14948" s="8" t="inlineStr">
        <is>
          <t>Disneyland Park</t>
        </is>
      </c>
      <c r="E14948" s="8" t="inlineStr">
        <is>
          <t>Le Passage Enchanté d'Aladdin</t>
        </is>
      </c>
      <c r="F14948" s="8" t="inlineStr">
        <is>
          <t>STANDBY</t>
        </is>
      </c>
      <c r="G14948" s="8" t="n">
        <v>0</v>
      </c>
      <c r="H14948" s="8" t="inlineStr">
        <is>
          <t>OPERATING</t>
        </is>
      </c>
    </row>
    <row r="14949">
      <c r="A14949" s="8" t="inlineStr">
        <is>
          <t>2026-08-03</t>
        </is>
      </c>
      <c r="B14949" s="8" t="n">
        <v>14</v>
      </c>
      <c r="C14949" s="8" t="n">
        <v>15</v>
      </c>
      <c r="D14949" s="8" t="inlineStr">
        <is>
          <t>Disneyland Park</t>
        </is>
      </c>
      <c r="E14949" s="8" t="inlineStr">
        <is>
          <t>Pirate Galleon</t>
        </is>
      </c>
      <c r="F14949" s="8" t="inlineStr">
        <is>
          <t>STANDBY</t>
        </is>
      </c>
      <c r="G14949" s="8" t="n">
        <v>0</v>
      </c>
      <c r="H14949" s="8" t="inlineStr">
        <is>
          <t>CLOSED</t>
        </is>
      </c>
    </row>
    <row r="14950">
      <c r="A14950" s="8" t="inlineStr">
        <is>
          <t>2026-08-03</t>
        </is>
      </c>
      <c r="B14950" s="8" t="n">
        <v>14</v>
      </c>
      <c r="C14950" s="8" t="n">
        <v>15</v>
      </c>
      <c r="D14950" s="8" t="inlineStr">
        <is>
          <t>Disneyland Park</t>
        </is>
      </c>
      <c r="E14950" s="8" t="inlineStr">
        <is>
          <t>Pirates of the Caribbean</t>
        </is>
      </c>
      <c r="F14950" s="8" t="inlineStr">
        <is>
          <t>STANDBY</t>
        </is>
      </c>
      <c r="G14950" s="8" t="n">
        <v>35</v>
      </c>
      <c r="H14950" s="8" t="inlineStr">
        <is>
          <t>OPERATING</t>
        </is>
      </c>
    </row>
    <row r="14951">
      <c r="A14951" s="8" t="inlineStr">
        <is>
          <t>2026-08-03</t>
        </is>
      </c>
      <c r="B14951" s="8" t="n">
        <v>14</v>
      </c>
      <c r="C14951" s="8" t="n">
        <v>15</v>
      </c>
      <c r="D14951" s="8" t="inlineStr">
        <is>
          <t>Disneyland Park</t>
        </is>
      </c>
      <c r="E14951" s="8" t="inlineStr">
        <is>
          <t>Pirates' Beach</t>
        </is>
      </c>
      <c r="F14951" s="8" t="inlineStr">
        <is>
          <t>STANDBY</t>
        </is>
      </c>
      <c r="G14951" s="8" t="n">
        <v>0</v>
      </c>
      <c r="H14951" s="8" t="inlineStr">
        <is>
          <t>OPERATING</t>
        </is>
      </c>
    </row>
    <row r="14952">
      <c r="A14952" s="8" t="inlineStr">
        <is>
          <t>2026-08-03</t>
        </is>
      </c>
      <c r="B14952" s="8" t="n">
        <v>14</v>
      </c>
      <c r="C14952" s="8" t="n">
        <v>15</v>
      </c>
      <c r="D14952" s="8" t="inlineStr">
        <is>
          <t>Disneyland Park</t>
        </is>
      </c>
      <c r="E14952" s="8" t="inlineStr">
        <is>
          <t>Autopia, presented by Avis</t>
        </is>
      </c>
      <c r="F14952" s="8" t="inlineStr">
        <is>
          <t>STANDBY</t>
        </is>
      </c>
      <c r="G14952" s="8" t="n">
        <v>0</v>
      </c>
      <c r="H14952" s="8" t="inlineStr">
        <is>
          <t>CLOSED</t>
        </is>
      </c>
    </row>
    <row r="14953">
      <c r="A14953" s="8" t="inlineStr">
        <is>
          <t>2026-08-03</t>
        </is>
      </c>
      <c r="B14953" s="8" t="n">
        <v>14</v>
      </c>
      <c r="C14953" s="8" t="n">
        <v>15</v>
      </c>
      <c r="D14953" s="8" t="inlineStr">
        <is>
          <t>Disneyland Park</t>
        </is>
      </c>
      <c r="E14953" s="8" t="inlineStr">
        <is>
          <t>Buzz Lightyear Laser Blast</t>
        </is>
      </c>
      <c r="F14953" s="8" t="inlineStr">
        <is>
          <t>STANDBY</t>
        </is>
      </c>
      <c r="G14953" s="8" t="n">
        <v>35</v>
      </c>
      <c r="H14953" s="8" t="inlineStr">
        <is>
          <t>OPERATING</t>
        </is>
      </c>
    </row>
    <row r="14954">
      <c r="A14954" s="8" t="inlineStr">
        <is>
          <t>2026-08-03</t>
        </is>
      </c>
      <c r="B14954" s="8" t="n">
        <v>14</v>
      </c>
      <c r="C14954" s="8" t="n">
        <v>15</v>
      </c>
      <c r="D14954" s="8" t="inlineStr">
        <is>
          <t>Disneyland Park</t>
        </is>
      </c>
      <c r="E14954" s="8" t="inlineStr">
        <is>
          <t>Disneyland Railroad Discoveryland Station</t>
        </is>
      </c>
      <c r="F14954" s="8" t="inlineStr">
        <is>
          <t>STANDBY</t>
        </is>
      </c>
      <c r="G14954" s="8" t="n">
        <v>0</v>
      </c>
      <c r="H14954" s="8" t="inlineStr">
        <is>
          <t>CLOSED</t>
        </is>
      </c>
    </row>
    <row r="14955">
      <c r="A14955" s="8" t="inlineStr">
        <is>
          <t>2026-08-03</t>
        </is>
      </c>
      <c r="B14955" s="8" t="n">
        <v>14</v>
      </c>
      <c r="C14955" s="8" t="n">
        <v>15</v>
      </c>
      <c r="D14955" s="8" t="inlineStr">
        <is>
          <t>Disneyland Park</t>
        </is>
      </c>
      <c r="E14955" s="8" t="inlineStr">
        <is>
          <t>Les Mystères du Nautilus</t>
        </is>
      </c>
      <c r="F14955" s="8" t="inlineStr">
        <is>
          <t>STANDBY</t>
        </is>
      </c>
      <c r="G14955" s="8" t="n">
        <v>5</v>
      </c>
      <c r="H14955" s="8" t="inlineStr">
        <is>
          <t>OPERATING</t>
        </is>
      </c>
    </row>
    <row r="14956">
      <c r="A14956" s="8" t="inlineStr">
        <is>
          <t>2026-08-03</t>
        </is>
      </c>
      <c r="B14956" s="8" t="n">
        <v>14</v>
      </c>
      <c r="C14956" s="8" t="n">
        <v>15</v>
      </c>
      <c r="D14956" s="8" t="inlineStr">
        <is>
          <t>Disneyland Park</t>
        </is>
      </c>
      <c r="E14956" s="8" t="inlineStr">
        <is>
          <t>Mickey’s PhilharMagic</t>
        </is>
      </c>
      <c r="F14956" s="8" t="inlineStr">
        <is>
          <t>STANDBY</t>
        </is>
      </c>
      <c r="G14956" s="8" t="n">
        <v>0</v>
      </c>
      <c r="H14956" s="8" t="inlineStr">
        <is>
          <t>OPERATING</t>
        </is>
      </c>
    </row>
    <row r="14957">
      <c r="A14957" s="8" t="inlineStr">
        <is>
          <t>2026-08-03</t>
        </is>
      </c>
      <c r="B14957" s="8" t="n">
        <v>14</v>
      </c>
      <c r="C14957" s="8" t="n">
        <v>15</v>
      </c>
      <c r="D14957" s="8" t="inlineStr">
        <is>
          <t>Disneyland Park</t>
        </is>
      </c>
      <c r="E14957" s="8" t="inlineStr">
        <is>
          <t>Orbitron®</t>
        </is>
      </c>
      <c r="F14957" s="8" t="inlineStr">
        <is>
          <t>STANDBY</t>
        </is>
      </c>
      <c r="G14957" s="8" t="n">
        <v>0</v>
      </c>
      <c r="H14957" s="8" t="inlineStr">
        <is>
          <t>CLOSED</t>
        </is>
      </c>
    </row>
    <row r="14958">
      <c r="A14958" s="8" t="inlineStr">
        <is>
          <t>2026-08-03</t>
        </is>
      </c>
      <c r="B14958" s="8" t="n">
        <v>14</v>
      </c>
      <c r="C14958" s="8" t="n">
        <v>15</v>
      </c>
      <c r="D14958" s="8" t="inlineStr">
        <is>
          <t>Disneyland Park</t>
        </is>
      </c>
      <c r="E14958" s="8" t="inlineStr">
        <is>
          <t>Star Tours: The Adventures Continue*</t>
        </is>
      </c>
      <c r="F14958" s="8" t="inlineStr">
        <is>
          <t>STANDBY</t>
        </is>
      </c>
      <c r="G14958" s="8" t="n">
        <v>25</v>
      </c>
      <c r="H14958" s="8" t="inlineStr">
        <is>
          <t>OPERATING</t>
        </is>
      </c>
    </row>
    <row r="14959">
      <c r="A14959" s="8" t="inlineStr">
        <is>
          <t>2026-08-03</t>
        </is>
      </c>
      <c r="B14959" s="8" t="n">
        <v>14</v>
      </c>
      <c r="C14959" s="8" t="n">
        <v>15</v>
      </c>
      <c r="D14959" s="8" t="inlineStr">
        <is>
          <t>Disneyland Park</t>
        </is>
      </c>
      <c r="E14959" s="8" t="inlineStr">
        <is>
          <t>Star Wars Hyperspace Mountain</t>
        </is>
      </c>
      <c r="F14959" s="8" t="inlineStr">
        <is>
          <t>STANDBY</t>
        </is>
      </c>
      <c r="G14959" s="8" t="n">
        <v>50</v>
      </c>
      <c r="H14959" s="8" t="inlineStr">
        <is>
          <t>OPERATING</t>
        </is>
      </c>
    </row>
    <row r="14960">
      <c r="A14960" s="8" t="inlineStr">
        <is>
          <t>2026-08-03</t>
        </is>
      </c>
      <c r="B14960" s="8" t="n">
        <v>14</v>
      </c>
      <c r="C14960" s="8" t="n">
        <v>15</v>
      </c>
      <c r="D14960" s="8" t="inlineStr">
        <is>
          <t>Disneyland Park</t>
        </is>
      </c>
      <c r="E14960" s="8" t="inlineStr">
        <is>
          <t>Star Wars Hyperspace Mountain Single Rider</t>
        </is>
      </c>
      <c r="F14960" s="8" t="inlineStr">
        <is>
          <t>STANDBY</t>
        </is>
      </c>
      <c r="G14960" s="8" t="n">
        <v>25</v>
      </c>
      <c r="H14960" s="8" t="inlineStr">
        <is>
          <t>OPERATING</t>
        </is>
      </c>
    </row>
    <row r="14961">
      <c r="A14961" s="8" t="inlineStr">
        <is>
          <t>2026-08-03</t>
        </is>
      </c>
      <c r="B14961" s="8" t="n">
        <v>14</v>
      </c>
      <c r="C14961" s="8" t="n">
        <v>15</v>
      </c>
      <c r="D14961" s="8" t="inlineStr">
        <is>
          <t>Disneyland Park</t>
        </is>
      </c>
      <c r="E14961" s="8" t="inlineStr">
        <is>
          <t>Welcome to Starport: A Star Wars Encounter</t>
        </is>
      </c>
      <c r="F14961" s="8" t="inlineStr">
        <is>
          <t>STANDBY</t>
        </is>
      </c>
      <c r="G14961" s="8" t="n">
        <v>30</v>
      </c>
      <c r="H14961" s="8" t="inlineStr">
        <is>
          <t>OPERATING</t>
        </is>
      </c>
    </row>
    <row r="14962">
      <c r="A14962" s="8" t="inlineStr">
        <is>
          <t>2026-08-03</t>
        </is>
      </c>
      <c r="B14962" s="8" t="n">
        <v>14</v>
      </c>
      <c r="C14962" s="8" t="n">
        <v>15</v>
      </c>
      <c r="D14962" s="8" t="inlineStr">
        <is>
          <t>Disneyland Park</t>
        </is>
      </c>
      <c r="E14962" s="8" t="inlineStr">
        <is>
          <t>"it's a small world"</t>
        </is>
      </c>
      <c r="F14962" s="8" t="inlineStr">
        <is>
          <t>STANDBY</t>
        </is>
      </c>
      <c r="G14962" s="8" t="n">
        <v>15</v>
      </c>
      <c r="H14962" s="8" t="inlineStr">
        <is>
          <t>OPERATING</t>
        </is>
      </c>
    </row>
    <row r="14963">
      <c r="A14963" s="8" t="inlineStr">
        <is>
          <t>2026-08-03</t>
        </is>
      </c>
      <c r="B14963" s="8" t="n">
        <v>14</v>
      </c>
      <c r="C14963" s="8" t="n">
        <v>15</v>
      </c>
      <c r="D14963" s="8" t="inlineStr">
        <is>
          <t>Disneyland Park</t>
        </is>
      </c>
      <c r="E14963" s="8" t="inlineStr">
        <is>
          <t>Alice's Curious Labyrinth</t>
        </is>
      </c>
      <c r="F14963" s="8" t="inlineStr">
        <is>
          <t>STANDBY</t>
        </is>
      </c>
      <c r="G14963" s="8" t="n">
        <v>5</v>
      </c>
      <c r="H14963" s="8" t="inlineStr">
        <is>
          <t>OPERATING</t>
        </is>
      </c>
    </row>
    <row r="14964">
      <c r="A14964" s="8" t="inlineStr">
        <is>
          <t>2026-08-03</t>
        </is>
      </c>
      <c r="B14964" s="8" t="n">
        <v>14</v>
      </c>
      <c r="C14964" s="8" t="n">
        <v>15</v>
      </c>
      <c r="D14964" s="8" t="inlineStr">
        <is>
          <t>Disneyland Park</t>
        </is>
      </c>
      <c r="E14964" s="8" t="inlineStr">
        <is>
          <t>Blanche-Neige et les Sept Nains®</t>
        </is>
      </c>
      <c r="F14964" s="8" t="inlineStr">
        <is>
          <t>STANDBY</t>
        </is>
      </c>
      <c r="G14964" s="8" t="n">
        <v>15</v>
      </c>
      <c r="H14964" s="8" t="inlineStr">
        <is>
          <t>OPERATING</t>
        </is>
      </c>
    </row>
    <row r="14965">
      <c r="A14965" s="8" t="inlineStr">
        <is>
          <t>2026-08-03</t>
        </is>
      </c>
      <c r="B14965" s="8" t="n">
        <v>14</v>
      </c>
      <c r="C14965" s="8" t="n">
        <v>15</v>
      </c>
      <c r="D14965" s="8" t="inlineStr">
        <is>
          <t>Disneyland Park</t>
        </is>
      </c>
      <c r="E14965" s="8" t="inlineStr">
        <is>
          <t>Casey Jr. – le Petit Train du Cirque</t>
        </is>
      </c>
      <c r="F14965" s="8" t="inlineStr">
        <is>
          <t>STANDBY</t>
        </is>
      </c>
      <c r="G14965" s="8" t="n">
        <v>0</v>
      </c>
      <c r="H14965" s="8" t="inlineStr">
        <is>
          <t>CLOSED</t>
        </is>
      </c>
    </row>
    <row r="14966">
      <c r="A14966" s="8" t="inlineStr">
        <is>
          <t>2026-08-03</t>
        </is>
      </c>
      <c r="B14966" s="8" t="n">
        <v>14</v>
      </c>
      <c r="C14966" s="8" t="n">
        <v>15</v>
      </c>
      <c r="D14966" s="8" t="inlineStr">
        <is>
          <t>Disneyland Park</t>
        </is>
      </c>
      <c r="E14966" s="8" t="inlineStr">
        <is>
          <t>Disneyland Railroad Fantasyland Station</t>
        </is>
      </c>
      <c r="F14966" s="8" t="inlineStr">
        <is>
          <t>STANDBY</t>
        </is>
      </c>
      <c r="G14966" s="8" t="n">
        <v>0</v>
      </c>
      <c r="H14966" s="8" t="inlineStr">
        <is>
          <t>CLOSED</t>
        </is>
      </c>
    </row>
    <row r="14967">
      <c r="A14967" s="8" t="inlineStr">
        <is>
          <t>2026-08-03</t>
        </is>
      </c>
      <c r="B14967" s="8" t="n">
        <v>14</v>
      </c>
      <c r="C14967" s="8" t="n">
        <v>15</v>
      </c>
      <c r="D14967" s="8" t="inlineStr">
        <is>
          <t>Disneyland Park</t>
        </is>
      </c>
      <c r="E14967" s="8" t="inlineStr">
        <is>
          <t>Disneyland Railroad Main Street Station</t>
        </is>
      </c>
      <c r="F14967" s="8" t="inlineStr">
        <is>
          <t>STANDBY</t>
        </is>
      </c>
      <c r="G14967" s="8" t="n">
        <v>0</v>
      </c>
      <c r="H14967" s="8" t="inlineStr">
        <is>
          <t>CLOSED</t>
        </is>
      </c>
    </row>
    <row r="14968">
      <c r="A14968" s="8" t="inlineStr">
        <is>
          <t>2026-08-03</t>
        </is>
      </c>
      <c r="B14968" s="8" t="n">
        <v>14</v>
      </c>
      <c r="C14968" s="8" t="n">
        <v>15</v>
      </c>
      <c r="D14968" s="8" t="inlineStr">
        <is>
          <t>Disneyland Park</t>
        </is>
      </c>
      <c r="E14968" s="8" t="inlineStr">
        <is>
          <t>Dumbo the Flying Elephant</t>
        </is>
      </c>
      <c r="F14968" s="8" t="inlineStr">
        <is>
          <t>STANDBY</t>
        </is>
      </c>
      <c r="G14968" s="8" t="n">
        <v>0</v>
      </c>
      <c r="H14968" s="8" t="inlineStr">
        <is>
          <t>CLOSED</t>
        </is>
      </c>
    </row>
    <row r="14969">
      <c r="A14969" s="8" t="inlineStr">
        <is>
          <t>2026-08-03</t>
        </is>
      </c>
      <c r="B14969" s="8" t="n">
        <v>14</v>
      </c>
      <c r="C14969" s="8" t="n">
        <v>15</v>
      </c>
      <c r="D14969" s="8" t="inlineStr">
        <is>
          <t>Disneyland Park</t>
        </is>
      </c>
      <c r="E14969" s="8" t="inlineStr">
        <is>
          <t>La Tanière du Dragon</t>
        </is>
      </c>
      <c r="F14969" s="8" t="inlineStr">
        <is>
          <t>STANDBY</t>
        </is>
      </c>
      <c r="G14969" s="8" t="n">
        <v>0</v>
      </c>
      <c r="H14969" s="8" t="inlineStr">
        <is>
          <t>OPERATING</t>
        </is>
      </c>
    </row>
    <row r="14970">
      <c r="A14970" s="8" t="inlineStr">
        <is>
          <t>2026-08-03</t>
        </is>
      </c>
      <c r="B14970" s="8" t="n">
        <v>14</v>
      </c>
      <c r="C14970" s="8" t="n">
        <v>15</v>
      </c>
      <c r="D14970" s="8" t="inlineStr">
        <is>
          <t>Disneyland Park</t>
        </is>
      </c>
      <c r="E14970" s="8" t="inlineStr">
        <is>
          <t>Le Carrousel de Lancelot</t>
        </is>
      </c>
      <c r="F14970" s="8" t="inlineStr">
        <is>
          <t>STANDBY</t>
        </is>
      </c>
      <c r="G14970" s="8" t="n">
        <v>10</v>
      </c>
      <c r="H14970" s="8" t="inlineStr">
        <is>
          <t>OPERATING</t>
        </is>
      </c>
    </row>
    <row r="14971">
      <c r="A14971" s="8" t="inlineStr">
        <is>
          <t>2026-08-03</t>
        </is>
      </c>
      <c r="B14971" s="8" t="n">
        <v>14</v>
      </c>
      <c r="C14971" s="8" t="n">
        <v>15</v>
      </c>
      <c r="D14971" s="8" t="inlineStr">
        <is>
          <t>Disneyland Park</t>
        </is>
      </c>
      <c r="E14971" s="8" t="inlineStr">
        <is>
          <t>Le Pays des Contes de Fées, presented by Vittel</t>
        </is>
      </c>
      <c r="F14971" s="8" t="inlineStr">
        <is>
          <t>STANDBY</t>
        </is>
      </c>
      <c r="G14971" s="8" t="n">
        <v>0</v>
      </c>
      <c r="H14971" s="8" t="inlineStr">
        <is>
          <t>CLOSED</t>
        </is>
      </c>
    </row>
    <row r="14972">
      <c r="A14972" s="8" t="inlineStr">
        <is>
          <t>2026-08-03</t>
        </is>
      </c>
      <c r="B14972" s="8" t="n">
        <v>14</v>
      </c>
      <c r="C14972" s="8" t="n">
        <v>15</v>
      </c>
      <c r="D14972" s="8" t="inlineStr">
        <is>
          <t>Disneyland Park</t>
        </is>
      </c>
      <c r="E14972" s="8" t="inlineStr">
        <is>
          <t>Les Voyages de Pinocchio</t>
        </is>
      </c>
      <c r="F14972" s="8" t="inlineStr">
        <is>
          <t>STANDBY</t>
        </is>
      </c>
      <c r="G14972" s="8" t="n">
        <v>25</v>
      </c>
      <c r="H14972" s="8" t="inlineStr">
        <is>
          <t>OPERATING</t>
        </is>
      </c>
    </row>
    <row r="14973">
      <c r="A14973" s="8" t="inlineStr">
        <is>
          <t>2026-08-03</t>
        </is>
      </c>
      <c r="B14973" s="8" t="n">
        <v>14</v>
      </c>
      <c r="C14973" s="8" t="n">
        <v>15</v>
      </c>
      <c r="D14973" s="8" t="inlineStr">
        <is>
          <t>Disneyland Park</t>
        </is>
      </c>
      <c r="E14973" s="8" t="inlineStr">
        <is>
          <t>Mad Hatter's Tea Cups</t>
        </is>
      </c>
      <c r="F14973" s="8" t="inlineStr">
        <is>
          <t>STANDBY</t>
        </is>
      </c>
      <c r="G14973" s="8" t="n">
        <v>10</v>
      </c>
      <c r="H14973" s="8" t="inlineStr">
        <is>
          <t>OPERATING</t>
        </is>
      </c>
    </row>
    <row r="14974">
      <c r="A14974" s="8" t="inlineStr">
        <is>
          <t>2026-08-03</t>
        </is>
      </c>
      <c r="B14974" s="8" t="n">
        <v>14</v>
      </c>
      <c r="C14974" s="8" t="n">
        <v>15</v>
      </c>
      <c r="D14974" s="8" t="inlineStr">
        <is>
          <t>Disneyland Park</t>
        </is>
      </c>
      <c r="E14974" s="8" t="inlineStr">
        <is>
          <t>Meet Mickey Mouse</t>
        </is>
      </c>
      <c r="F14974" s="8" t="inlineStr">
        <is>
          <t>STANDBY</t>
        </is>
      </c>
      <c r="G14974" s="8" t="n">
        <v>0</v>
      </c>
      <c r="H14974" s="8" t="inlineStr">
        <is>
          <t>OPERATING</t>
        </is>
      </c>
    </row>
    <row r="14975">
      <c r="A14975" s="8" t="inlineStr">
        <is>
          <t>2026-08-03</t>
        </is>
      </c>
      <c r="B14975" s="8" t="n">
        <v>14</v>
      </c>
      <c r="C14975" s="8" t="n">
        <v>15</v>
      </c>
      <c r="D14975" s="8" t="inlineStr">
        <is>
          <t>Disneyland Park</t>
        </is>
      </c>
      <c r="E14975" s="8" t="inlineStr">
        <is>
          <t>Peter Pan's Flight</t>
        </is>
      </c>
      <c r="F14975" s="8" t="inlineStr">
        <is>
          <t>STANDBY</t>
        </is>
      </c>
      <c r="G14975" s="8" t="n">
        <v>75</v>
      </c>
      <c r="H14975" s="8" t="inlineStr">
        <is>
          <t>OPERATING</t>
        </is>
      </c>
    </row>
    <row r="14976">
      <c r="A14976" s="8" t="inlineStr">
        <is>
          <t>2026-08-03</t>
        </is>
      </c>
      <c r="B14976" s="8" t="n">
        <v>14</v>
      </c>
      <c r="C14976" s="8" t="n">
        <v>15</v>
      </c>
      <c r="D14976" s="8" t="inlineStr">
        <is>
          <t>Disneyland Park</t>
        </is>
      </c>
      <c r="E14976" s="8" t="inlineStr">
        <is>
          <t>Princess Pavilion</t>
        </is>
      </c>
      <c r="F14976" s="8" t="inlineStr">
        <is>
          <t>STANDBY</t>
        </is>
      </c>
      <c r="G14976" s="8" t="n">
        <v>0</v>
      </c>
      <c r="H14976" s="8" t="inlineStr">
        <is>
          <t>OPERATING</t>
        </is>
      </c>
    </row>
    <row r="14977">
      <c r="A14977" s="8" t="inlineStr">
        <is>
          <t>2026-08-03</t>
        </is>
      </c>
      <c r="B14977" s="8" t="n">
        <v>14</v>
      </c>
      <c r="C14977" s="8" t="n">
        <v>15</v>
      </c>
      <c r="D14977" s="8" t="inlineStr">
        <is>
          <t>Disneyland Park</t>
        </is>
      </c>
      <c r="E14977" s="8" t="inlineStr">
        <is>
          <t>Big Thunder Mountain</t>
        </is>
      </c>
      <c r="F14977" s="8" t="inlineStr">
        <is>
          <t>STANDBY</t>
        </is>
      </c>
      <c r="G14977" s="8" t="n">
        <v>60</v>
      </c>
      <c r="H14977" s="8" t="inlineStr">
        <is>
          <t>OPERATING</t>
        </is>
      </c>
    </row>
    <row r="14978">
      <c r="A14978" s="8" t="inlineStr">
        <is>
          <t>2026-08-03</t>
        </is>
      </c>
      <c r="B14978" s="8" t="n">
        <v>14</v>
      </c>
      <c r="C14978" s="8" t="n">
        <v>15</v>
      </c>
      <c r="D14978" s="8" t="inlineStr">
        <is>
          <t>Disneyland Park</t>
        </is>
      </c>
      <c r="E14978" s="8" t="inlineStr">
        <is>
          <t>Disneyland Railroad Frontierland Depot</t>
        </is>
      </c>
      <c r="F14978" s="8" t="inlineStr">
        <is>
          <t>STANDBY</t>
        </is>
      </c>
      <c r="G14978" s="8" t="n">
        <v>0</v>
      </c>
      <c r="H14978" s="8" t="inlineStr">
        <is>
          <t>CLOSED</t>
        </is>
      </c>
    </row>
    <row r="14979">
      <c r="A14979" s="8" t="inlineStr">
        <is>
          <t>2026-08-03</t>
        </is>
      </c>
      <c r="B14979" s="8" t="n">
        <v>14</v>
      </c>
      <c r="C14979" s="8" t="n">
        <v>15</v>
      </c>
      <c r="D14979" s="8" t="inlineStr">
        <is>
          <t>Disneyland Park</t>
        </is>
      </c>
      <c r="E14979" s="8" t="inlineStr">
        <is>
          <t>Frontierland Playground</t>
        </is>
      </c>
      <c r="F14979" s="8" t="inlineStr">
        <is>
          <t>STANDBY</t>
        </is>
      </c>
      <c r="G14979" s="8" t="n">
        <v>0</v>
      </c>
      <c r="H14979" s="8" t="inlineStr">
        <is>
          <t>CLOSED</t>
        </is>
      </c>
    </row>
    <row r="14980">
      <c r="A14980" s="8" t="inlineStr">
        <is>
          <t>2026-08-03</t>
        </is>
      </c>
      <c r="B14980" s="8" t="n">
        <v>14</v>
      </c>
      <c r="C14980" s="8" t="n">
        <v>15</v>
      </c>
      <c r="D14980" s="8" t="inlineStr">
        <is>
          <t>Disneyland Park</t>
        </is>
      </c>
      <c r="E14980" s="8" t="inlineStr">
        <is>
          <t>Phantom Manor</t>
        </is>
      </c>
      <c r="F14980" s="8" t="inlineStr">
        <is>
          <t>STANDBY</t>
        </is>
      </c>
      <c r="G14980" s="8" t="n">
        <v>5</v>
      </c>
      <c r="H14980" s="8" t="inlineStr">
        <is>
          <t>OPERATING</t>
        </is>
      </c>
    </row>
    <row r="14981">
      <c r="A14981" s="8" t="inlineStr">
        <is>
          <t>2026-08-03</t>
        </is>
      </c>
      <c r="B14981" s="8" t="n">
        <v>14</v>
      </c>
      <c r="C14981" s="8" t="n">
        <v>15</v>
      </c>
      <c r="D14981" s="8" t="inlineStr">
        <is>
          <t>Disneyland Park</t>
        </is>
      </c>
      <c r="E14981" s="8" t="inlineStr">
        <is>
          <t>River Rogue Keelboats</t>
        </is>
      </c>
      <c r="F14981" s="8" t="inlineStr">
        <is>
          <t>STANDBY</t>
        </is>
      </c>
      <c r="G14981" s="8" t="n">
        <v>0</v>
      </c>
      <c r="H14981" s="8" t="inlineStr">
        <is>
          <t>CLOSED</t>
        </is>
      </c>
    </row>
    <row r="14982">
      <c r="A14982" s="8" t="inlineStr">
        <is>
          <t>2026-08-03</t>
        </is>
      </c>
      <c r="B14982" s="8" t="n">
        <v>14</v>
      </c>
      <c r="C14982" s="8" t="n">
        <v>15</v>
      </c>
      <c r="D14982" s="8" t="inlineStr">
        <is>
          <t>Disneyland Park</t>
        </is>
      </c>
      <c r="E14982" s="8" t="inlineStr">
        <is>
          <t>Rustler Roundup Shootin' Gallery</t>
        </is>
      </c>
      <c r="F14982" s="8" t="inlineStr">
        <is>
          <t>STANDBY</t>
        </is>
      </c>
      <c r="G14982" s="8" t="n">
        <v>0</v>
      </c>
      <c r="H14982" s="8" t="inlineStr">
        <is>
          <t>OPERATING</t>
        </is>
      </c>
    </row>
    <row r="14983">
      <c r="A14983" s="8" t="inlineStr">
        <is>
          <t>2026-08-03</t>
        </is>
      </c>
      <c r="B14983" s="8" t="n">
        <v>14</v>
      </c>
      <c r="C14983" s="8" t="n">
        <v>15</v>
      </c>
      <c r="D14983" s="8" t="inlineStr">
        <is>
          <t>Disneyland Park</t>
        </is>
      </c>
      <c r="E14983" s="8" t="inlineStr">
        <is>
          <t>Thunder Mesa Riverboat Landing</t>
        </is>
      </c>
      <c r="F14983" s="8" t="inlineStr">
        <is>
          <t>STANDBY</t>
        </is>
      </c>
      <c r="G14983" s="8" t="n">
        <v>20</v>
      </c>
      <c r="H14983" s="8" t="inlineStr">
        <is>
          <t>OPERATING</t>
        </is>
      </c>
    </row>
    <row r="14984">
      <c r="A14984" s="8" t="inlineStr">
        <is>
          <t>2026-08-03</t>
        </is>
      </c>
      <c r="B14984" s="8" t="n">
        <v>14</v>
      </c>
      <c r="C14984" s="8" t="n">
        <v>15</v>
      </c>
      <c r="D14984" s="8" t="inlineStr">
        <is>
          <t>Disneyland Park</t>
        </is>
      </c>
      <c r="E14984" s="8" t="inlineStr">
        <is>
          <t>Disneyland Railroad Main Street Station</t>
        </is>
      </c>
      <c r="F14984" s="8" t="inlineStr">
        <is>
          <t>STANDBY</t>
        </is>
      </c>
      <c r="G14984" s="8" t="n">
        <v>0</v>
      </c>
      <c r="H14984" s="8" t="inlineStr">
        <is>
          <t>CLOSED</t>
        </is>
      </c>
    </row>
    <row r="14985">
      <c r="A14985" s="8" t="inlineStr">
        <is>
          <t>2026-08-03</t>
        </is>
      </c>
      <c r="B14985" s="8" t="n">
        <v>14</v>
      </c>
      <c r="C14985" s="8" t="n">
        <v>15</v>
      </c>
      <c r="D14985" s="8" t="inlineStr">
        <is>
          <t>Disneyland Park</t>
        </is>
      </c>
      <c r="E14985" s="8" t="inlineStr">
        <is>
          <t>Main Street Vehicles</t>
        </is>
      </c>
      <c r="F14985" s="8" t="inlineStr">
        <is>
          <t>STANDBY</t>
        </is>
      </c>
      <c r="G14985" s="8" t="n">
        <v>0</v>
      </c>
      <c r="H14985" s="8" t="inlineStr">
        <is>
          <t>CLOSED</t>
        </is>
      </c>
    </row>
    <row r="14986">
      <c r="A14986" s="8" t="inlineStr">
        <is>
          <t>2026-08-03</t>
        </is>
      </c>
      <c r="B14986" s="8" t="n">
        <v>14</v>
      </c>
      <c r="C14986" s="8" t="n">
        <v>15</v>
      </c>
      <c r="D14986" s="8" t="inlineStr">
        <is>
          <t>Disney Adventure World</t>
        </is>
      </c>
      <c r="E14986" s="8" t="inlineStr">
        <is>
          <t>Avengers Assemble: Flight Force</t>
        </is>
      </c>
      <c r="F14986" s="8" t="inlineStr">
        <is>
          <t>STANDBY</t>
        </is>
      </c>
      <c r="G14986" s="8" t="n">
        <v>15</v>
      </c>
      <c r="H14986" s="8" t="inlineStr">
        <is>
          <t>OPERATING</t>
        </is>
      </c>
    </row>
    <row r="14987">
      <c r="A14987" s="8" t="inlineStr">
        <is>
          <t>2026-08-03</t>
        </is>
      </c>
      <c r="B14987" s="8" t="n">
        <v>14</v>
      </c>
      <c r="C14987" s="8" t="n">
        <v>15</v>
      </c>
      <c r="D14987" s="8" t="inlineStr">
        <is>
          <t>Disney Adventure World</t>
        </is>
      </c>
      <c r="E14987" s="8" t="inlineStr">
        <is>
          <t>Avengers Assemble: Flight Force Single Rider</t>
        </is>
      </c>
      <c r="F14987" s="8" t="inlineStr">
        <is>
          <t>STANDBY</t>
        </is>
      </c>
      <c r="G14987" s="8" t="n">
        <v>10</v>
      </c>
      <c r="H14987" s="8" t="inlineStr">
        <is>
          <t>OPERATING</t>
        </is>
      </c>
    </row>
    <row r="14988">
      <c r="A14988" s="8" t="inlineStr">
        <is>
          <t>2026-08-03</t>
        </is>
      </c>
      <c r="B14988" s="8" t="n">
        <v>14</v>
      </c>
      <c r="C14988" s="8" t="n">
        <v>15</v>
      </c>
      <c r="D14988" s="8" t="inlineStr">
        <is>
          <t>Disney Adventure World</t>
        </is>
      </c>
      <c r="E14988" s="8" t="inlineStr">
        <is>
          <t>Spider-Man W.E.B. Adventure</t>
        </is>
      </c>
      <c r="F14988" s="8" t="inlineStr">
        <is>
          <t>STANDBY</t>
        </is>
      </c>
      <c r="G14988" s="8" t="n">
        <v>30</v>
      </c>
      <c r="H14988" s="8" t="inlineStr">
        <is>
          <t>OPERATING</t>
        </is>
      </c>
    </row>
    <row r="14989">
      <c r="A14989" s="8" t="inlineStr">
        <is>
          <t>2026-08-03</t>
        </is>
      </c>
      <c r="B14989" s="8" t="n">
        <v>14</v>
      </c>
      <c r="C14989" s="8" t="n">
        <v>15</v>
      </c>
      <c r="D14989" s="8" t="inlineStr">
        <is>
          <t>Disney Adventure World</t>
        </is>
      </c>
      <c r="E14989" s="8" t="inlineStr">
        <is>
          <t>Spider-Man W.E.B. Adventure Single Rider</t>
        </is>
      </c>
      <c r="F14989" s="8" t="inlineStr">
        <is>
          <t>STANDBY</t>
        </is>
      </c>
      <c r="G14989" s="8" t="n">
        <v>15</v>
      </c>
      <c r="H14989" s="8" t="inlineStr">
        <is>
          <t>OPERATING</t>
        </is>
      </c>
    </row>
    <row r="14990">
      <c r="A14990" s="8" t="inlineStr">
        <is>
          <t>2026-08-03</t>
        </is>
      </c>
      <c r="B14990" s="8" t="n">
        <v>14</v>
      </c>
      <c r="C14990" s="8" t="n">
        <v>15</v>
      </c>
      <c r="D14990" s="8" t="inlineStr">
        <is>
          <t>Disney Adventure World</t>
        </is>
      </c>
      <c r="E14990" s="8" t="inlineStr">
        <is>
          <t>The Twilight Zone Tower of Terror</t>
        </is>
      </c>
      <c r="F14990" s="8" t="inlineStr">
        <is>
          <t>STANDBY</t>
        </is>
      </c>
      <c r="G14990" s="8" t="n">
        <v>50</v>
      </c>
      <c r="H14990" s="8" t="inlineStr">
        <is>
          <t>OPERATING</t>
        </is>
      </c>
    </row>
    <row r="14991">
      <c r="A14991" s="8" t="inlineStr">
        <is>
          <t>2026-08-03</t>
        </is>
      </c>
      <c r="B14991" s="8" t="n">
        <v>14</v>
      </c>
      <c r="C14991" s="8" t="n">
        <v>15</v>
      </c>
      <c r="D14991" s="8" t="inlineStr">
        <is>
          <t>Disney Adventure World</t>
        </is>
      </c>
      <c r="E14991" s="8" t="inlineStr">
        <is>
          <t>Cars Quatre Roues Rallye</t>
        </is>
      </c>
      <c r="F14991" s="8" t="inlineStr">
        <is>
          <t>STANDBY</t>
        </is>
      </c>
      <c r="G14991" s="8" t="n">
        <v>5</v>
      </c>
      <c r="H14991" s="8" t="inlineStr">
        <is>
          <t>OPERATING</t>
        </is>
      </c>
    </row>
    <row r="14992">
      <c r="A14992" s="8" t="inlineStr">
        <is>
          <t>2026-08-03</t>
        </is>
      </c>
      <c r="B14992" s="8" t="n">
        <v>14</v>
      </c>
      <c r="C14992" s="8" t="n">
        <v>15</v>
      </c>
      <c r="D14992" s="8" t="inlineStr">
        <is>
          <t>Disney Adventure World</t>
        </is>
      </c>
      <c r="E14992" s="8" t="inlineStr">
        <is>
          <t>Cars ROAD TRIP</t>
        </is>
      </c>
      <c r="F14992" s="8" t="inlineStr">
        <is>
          <t>STANDBY</t>
        </is>
      </c>
      <c r="G14992" s="8" t="n">
        <v>5</v>
      </c>
      <c r="H14992" s="8" t="inlineStr">
        <is>
          <t>OPERATING</t>
        </is>
      </c>
    </row>
    <row r="14993">
      <c r="A14993" s="8" t="inlineStr">
        <is>
          <t>2026-08-03</t>
        </is>
      </c>
      <c r="B14993" s="8" t="n">
        <v>14</v>
      </c>
      <c r="C14993" s="8" t="n">
        <v>15</v>
      </c>
      <c r="D14993" s="8" t="inlineStr">
        <is>
          <t>Disney Adventure World</t>
        </is>
      </c>
      <c r="E14993" s="8" t="inlineStr">
        <is>
          <t>Crush's Coaster</t>
        </is>
      </c>
      <c r="F14993" s="8" t="inlineStr">
        <is>
          <t>STANDBY</t>
        </is>
      </c>
      <c r="G14993" s="8" t="n">
        <v>60</v>
      </c>
      <c r="H14993" s="8" t="inlineStr">
        <is>
          <t>OPERATING</t>
        </is>
      </c>
    </row>
    <row r="14994">
      <c r="A14994" s="8" t="inlineStr">
        <is>
          <t>2026-08-03</t>
        </is>
      </c>
      <c r="B14994" s="8" t="n">
        <v>14</v>
      </c>
      <c r="C14994" s="8" t="n">
        <v>15</v>
      </c>
      <c r="D14994" s="8" t="inlineStr">
        <is>
          <t>Disney Adventure World</t>
        </is>
      </c>
      <c r="E14994" s="8" t="inlineStr">
        <is>
          <t>Crush's Coaster Single Rider</t>
        </is>
      </c>
      <c r="F14994" s="8" t="inlineStr">
        <is>
          <t>STANDBY</t>
        </is>
      </c>
      <c r="G14994" s="8" t="n">
        <v>55</v>
      </c>
      <c r="H14994" s="8" t="inlineStr">
        <is>
          <t>OPERATING</t>
        </is>
      </c>
    </row>
    <row r="14995">
      <c r="A14995" s="8" t="inlineStr">
        <is>
          <t>2026-08-03</t>
        </is>
      </c>
      <c r="B14995" s="8" t="n">
        <v>14</v>
      </c>
      <c r="C14995" s="8" t="n">
        <v>15</v>
      </c>
      <c r="D14995" s="8" t="inlineStr">
        <is>
          <t>Disney Adventure World</t>
        </is>
      </c>
      <c r="E14995" s="8" t="inlineStr">
        <is>
          <t>Les Tapis Volants - Flying Carpets Over Agrabah®</t>
        </is>
      </c>
      <c r="F14995" s="8" t="inlineStr">
        <is>
          <t>STANDBY</t>
        </is>
      </c>
      <c r="G14995" s="8" t="n">
        <v>0</v>
      </c>
      <c r="H14995" s="8" t="inlineStr">
        <is>
          <t>CLOSED</t>
        </is>
      </c>
    </row>
    <row r="14996">
      <c r="A14996" s="8" t="inlineStr">
        <is>
          <t>2026-08-03</t>
        </is>
      </c>
      <c r="B14996" s="8" t="n">
        <v>14</v>
      </c>
      <c r="C14996" s="8" t="n">
        <v>15</v>
      </c>
      <c r="D14996" s="8" t="inlineStr">
        <is>
          <t>Disney Adventure World</t>
        </is>
      </c>
      <c r="E14996" s="8" t="inlineStr">
        <is>
          <t>Ratatouille : L’Aventure Totalement Toquée de Rémy​</t>
        </is>
      </c>
      <c r="F14996" s="8" t="inlineStr">
        <is>
          <t>STANDBY</t>
        </is>
      </c>
      <c r="G14996" s="8" t="n">
        <v>65</v>
      </c>
      <c r="H14996" s="8" t="inlineStr">
        <is>
          <t>OPERATING</t>
        </is>
      </c>
    </row>
    <row r="14997">
      <c r="A14997" s="8" t="inlineStr">
        <is>
          <t>2026-08-03</t>
        </is>
      </c>
      <c r="B14997" s="8" t="n">
        <v>14</v>
      </c>
      <c r="C14997" s="8" t="n">
        <v>15</v>
      </c>
      <c r="D14997" s="8" t="inlineStr">
        <is>
          <t>Disney Adventure World</t>
        </is>
      </c>
      <c r="E14997" s="8" t="inlineStr">
        <is>
          <t>Ratatouille: The Adventure Single Rider</t>
        </is>
      </c>
      <c r="F14997" s="8" t="inlineStr">
        <is>
          <t>STANDBY</t>
        </is>
      </c>
      <c r="G14997" s="8" t="n">
        <v>25</v>
      </c>
      <c r="H14997" s="8" t="inlineStr">
        <is>
          <t>OPERATING</t>
        </is>
      </c>
    </row>
    <row r="14998">
      <c r="A14998" s="8" t="inlineStr">
        <is>
          <t>2026-08-03</t>
        </is>
      </c>
      <c r="B14998" s="8" t="n">
        <v>14</v>
      </c>
      <c r="C14998" s="8" t="n">
        <v>15</v>
      </c>
      <c r="D14998" s="8" t="inlineStr">
        <is>
          <t>Disney Adventure World</t>
        </is>
      </c>
      <c r="E14998" s="8" t="inlineStr">
        <is>
          <t>RC Racer</t>
        </is>
      </c>
      <c r="F14998" s="8" t="inlineStr">
        <is>
          <t>STANDBY</t>
        </is>
      </c>
      <c r="G14998" s="8" t="n">
        <v>45</v>
      </c>
      <c r="H14998" s="8" t="inlineStr">
        <is>
          <t>OPERATING</t>
        </is>
      </c>
    </row>
    <row r="14999">
      <c r="A14999" s="8" t="inlineStr">
        <is>
          <t>2026-08-03</t>
        </is>
      </c>
      <c r="B14999" s="8" t="n">
        <v>14</v>
      </c>
      <c r="C14999" s="8" t="n">
        <v>15</v>
      </c>
      <c r="D14999" s="8" t="inlineStr">
        <is>
          <t>Disney Adventure World</t>
        </is>
      </c>
      <c r="E14999" s="8" t="inlineStr">
        <is>
          <t>RC Racer Single Rider</t>
        </is>
      </c>
      <c r="F14999" s="8" t="inlineStr">
        <is>
          <t>STANDBY</t>
        </is>
      </c>
      <c r="G14999" s="8" t="n">
        <v>40</v>
      </c>
      <c r="H14999" s="8" t="inlineStr">
        <is>
          <t>OPERATING</t>
        </is>
      </c>
    </row>
    <row r="15000">
      <c r="A15000" s="8" t="inlineStr">
        <is>
          <t>2026-08-03</t>
        </is>
      </c>
      <c r="B15000" s="8" t="n">
        <v>14</v>
      </c>
      <c r="C15000" s="8" t="n">
        <v>15</v>
      </c>
      <c r="D15000" s="8" t="inlineStr">
        <is>
          <t>Disney Adventure World</t>
        </is>
      </c>
      <c r="E15000" s="8" t="inlineStr">
        <is>
          <t>Slinky® Dog Zigzag Spin</t>
        </is>
      </c>
      <c r="F15000" s="8" t="inlineStr">
        <is>
          <t>STANDBY</t>
        </is>
      </c>
      <c r="G15000" s="8" t="n">
        <v>0</v>
      </c>
      <c r="H15000" s="8" t="inlineStr">
        <is>
          <t>CLOSED</t>
        </is>
      </c>
    </row>
    <row r="15001">
      <c r="A15001" s="8" t="inlineStr">
        <is>
          <t>2026-08-03</t>
        </is>
      </c>
      <c r="B15001" s="8" t="n">
        <v>14</v>
      </c>
      <c r="C15001" s="8" t="n">
        <v>15</v>
      </c>
      <c r="D15001" s="8" t="inlineStr">
        <is>
          <t>Disney Adventure World</t>
        </is>
      </c>
      <c r="E15001" s="8" t="inlineStr">
        <is>
          <t>Toy Soldiers Parachute Drop</t>
        </is>
      </c>
      <c r="F15001" s="8" t="inlineStr">
        <is>
          <t>STANDBY</t>
        </is>
      </c>
      <c r="G15001" s="8" t="n">
        <v>45</v>
      </c>
      <c r="H15001" s="8" t="inlineStr">
        <is>
          <t>OPERATING</t>
        </is>
      </c>
    </row>
    <row r="15002">
      <c r="A15002" s="8" t="inlineStr">
        <is>
          <t>2026-08-03</t>
        </is>
      </c>
      <c r="B15002" s="8" t="n">
        <v>14</v>
      </c>
      <c r="C15002" s="8" t="n">
        <v>15</v>
      </c>
      <c r="D15002" s="8" t="inlineStr">
        <is>
          <t>Disney Adventure World</t>
        </is>
      </c>
      <c r="E15002" s="8" t="inlineStr">
        <is>
          <t>Toy Soldiers Parachute Drop Single Rider</t>
        </is>
      </c>
      <c r="F15002" s="8" t="inlineStr">
        <is>
          <t>STANDBY</t>
        </is>
      </c>
      <c r="G15002" s="8" t="n">
        <v>15</v>
      </c>
      <c r="H15002" s="8" t="inlineStr">
        <is>
          <t>OPERATING</t>
        </is>
      </c>
    </row>
    <row r="15003">
      <c r="A15003" s="8" t="inlineStr">
        <is>
          <t>2026-08-03</t>
        </is>
      </c>
      <c r="B15003" s="8" t="n">
        <v>14</v>
      </c>
      <c r="C15003" s="8" t="n">
        <v>15</v>
      </c>
      <c r="D15003" s="8" t="inlineStr">
        <is>
          <t>Disney Adventure World</t>
        </is>
      </c>
      <c r="E15003" s="8" t="inlineStr">
        <is>
          <t>Entry to World of Frozen</t>
        </is>
      </c>
      <c r="F15003" s="8" t="inlineStr">
        <is>
          <t>STANDBY</t>
        </is>
      </c>
      <c r="G15003" s="8" t="n">
        <v>0</v>
      </c>
      <c r="H15003" s="8" t="inlineStr">
        <is>
          <t>OPERATING</t>
        </is>
      </c>
    </row>
    <row r="15004">
      <c r="A15004" s="8" t="inlineStr">
        <is>
          <t>2026-08-03</t>
        </is>
      </c>
      <c r="B15004" s="8" t="n">
        <v>14</v>
      </c>
      <c r="C15004" s="8" t="n">
        <v>15</v>
      </c>
      <c r="D15004" s="8" t="inlineStr">
        <is>
          <t>Disney Adventure World</t>
        </is>
      </c>
      <c r="E15004" s="8" t="inlineStr">
        <is>
          <t>Frozen Ever After</t>
        </is>
      </c>
      <c r="F15004" s="8" t="inlineStr">
        <is>
          <t>STANDBY</t>
        </is>
      </c>
      <c r="G15004" s="8" t="n">
        <v>45</v>
      </c>
      <c r="H15004" s="8" t="inlineStr">
        <is>
          <t>OPERATING</t>
        </is>
      </c>
    </row>
    <row r="15005">
      <c r="A15005" s="8" t="inlineStr">
        <is>
          <t>2026-08-03</t>
        </is>
      </c>
      <c r="B15005" s="8" t="n">
        <v>14</v>
      </c>
      <c r="C15005" s="8" t="n">
        <v>15</v>
      </c>
      <c r="D15005" s="8" t="inlineStr">
        <is>
          <t>Disney Adventure World</t>
        </is>
      </c>
      <c r="E15005" s="8" t="inlineStr">
        <is>
          <t>Raiponce Tangled Spin</t>
        </is>
      </c>
      <c r="F15005" s="8" t="inlineStr">
        <is>
          <t>STANDBY</t>
        </is>
      </c>
      <c r="G15005" s="8" t="n">
        <v>5</v>
      </c>
      <c r="H15005" s="8" t="inlineStr">
        <is>
          <t>OPERATING</t>
        </is>
      </c>
    </row>
    <row r="15006">
      <c r="A15006" s="8" t="inlineStr">
        <is>
          <t>2026-08-03</t>
        </is>
      </c>
      <c r="B15006" s="8" t="n">
        <v>14</v>
      </c>
      <c r="C15006" s="8" t="n">
        <v>31</v>
      </c>
      <c r="D15006" s="8" t="inlineStr">
        <is>
          <t>Disneyland Park</t>
        </is>
      </c>
      <c r="E15006" s="8" t="inlineStr">
        <is>
          <t>Adventure Isle</t>
        </is>
      </c>
      <c r="F15006" s="8" t="inlineStr">
        <is>
          <t>STANDBY</t>
        </is>
      </c>
      <c r="G15006" s="8" t="n">
        <v>0</v>
      </c>
      <c r="H15006" s="8" t="inlineStr">
        <is>
          <t>OPERATING</t>
        </is>
      </c>
    </row>
    <row r="15007">
      <c r="A15007" s="8" t="inlineStr">
        <is>
          <t>2026-08-03</t>
        </is>
      </c>
      <c r="B15007" s="8" t="n">
        <v>14</v>
      </c>
      <c r="C15007" s="8" t="n">
        <v>31</v>
      </c>
      <c r="D15007" s="8" t="inlineStr">
        <is>
          <t>Disneyland Park</t>
        </is>
      </c>
      <c r="E15007" s="8" t="inlineStr">
        <is>
          <t>Indiana Jones and the Temple of Peril Single Rider</t>
        </is>
      </c>
      <c r="F15007" s="8" t="inlineStr">
        <is>
          <t>STANDBY</t>
        </is>
      </c>
      <c r="G15007" s="8" t="n">
        <v>20</v>
      </c>
      <c r="H15007" s="8" t="inlineStr">
        <is>
          <t>OPERATING</t>
        </is>
      </c>
    </row>
    <row r="15008">
      <c r="A15008" s="8" t="inlineStr">
        <is>
          <t>2026-08-03</t>
        </is>
      </c>
      <c r="B15008" s="8" t="n">
        <v>14</v>
      </c>
      <c r="C15008" s="8" t="n">
        <v>31</v>
      </c>
      <c r="D15008" s="8" t="inlineStr">
        <is>
          <t>Disneyland Park</t>
        </is>
      </c>
      <c r="E15008" s="8" t="inlineStr">
        <is>
          <t>Indiana Jones™ and the Temple of Peril</t>
        </is>
      </c>
      <c r="F15008" s="8" t="inlineStr">
        <is>
          <t>STANDBY</t>
        </is>
      </c>
      <c r="G15008" s="8" t="n">
        <v>45</v>
      </c>
      <c r="H15008" s="8" t="inlineStr">
        <is>
          <t>OPERATING</t>
        </is>
      </c>
    </row>
    <row r="15009">
      <c r="A15009" s="8" t="inlineStr">
        <is>
          <t>2026-08-03</t>
        </is>
      </c>
      <c r="B15009" s="8" t="n">
        <v>14</v>
      </c>
      <c r="C15009" s="8" t="n">
        <v>31</v>
      </c>
      <c r="D15009" s="8" t="inlineStr">
        <is>
          <t>Disneyland Park</t>
        </is>
      </c>
      <c r="E15009" s="8" t="inlineStr">
        <is>
          <t>La Cabane des Robinson</t>
        </is>
      </c>
      <c r="F15009" s="8" t="inlineStr">
        <is>
          <t>STANDBY</t>
        </is>
      </c>
      <c r="G15009" s="8" t="n">
        <v>5</v>
      </c>
      <c r="H15009" s="8" t="inlineStr">
        <is>
          <t>OPERATING</t>
        </is>
      </c>
    </row>
    <row r="15010">
      <c r="A15010" s="8" t="inlineStr">
        <is>
          <t>2026-08-03</t>
        </is>
      </c>
      <c r="B15010" s="8" t="n">
        <v>14</v>
      </c>
      <c r="C15010" s="8" t="n">
        <v>31</v>
      </c>
      <c r="D15010" s="8" t="inlineStr">
        <is>
          <t>Disneyland Park</t>
        </is>
      </c>
      <c r="E15010" s="8" t="inlineStr">
        <is>
          <t>Le Passage Enchanté d'Aladdin</t>
        </is>
      </c>
      <c r="F15010" s="8" t="inlineStr">
        <is>
          <t>STANDBY</t>
        </is>
      </c>
      <c r="G15010" s="8" t="n">
        <v>0</v>
      </c>
      <c r="H15010" s="8" t="inlineStr">
        <is>
          <t>OPERATING</t>
        </is>
      </c>
    </row>
    <row r="15011">
      <c r="A15011" s="8" t="inlineStr">
        <is>
          <t>2026-08-03</t>
        </is>
      </c>
      <c r="B15011" s="8" t="n">
        <v>14</v>
      </c>
      <c r="C15011" s="8" t="n">
        <v>31</v>
      </c>
      <c r="D15011" s="8" t="inlineStr">
        <is>
          <t>Disneyland Park</t>
        </is>
      </c>
      <c r="E15011" s="8" t="inlineStr">
        <is>
          <t>Pirate Galleon</t>
        </is>
      </c>
      <c r="F15011" s="8" t="inlineStr">
        <is>
          <t>STANDBY</t>
        </is>
      </c>
      <c r="G15011" s="8" t="n">
        <v>0</v>
      </c>
      <c r="H15011" s="8" t="inlineStr">
        <is>
          <t>CLOSED</t>
        </is>
      </c>
    </row>
    <row r="15012">
      <c r="A15012" s="8" t="inlineStr">
        <is>
          <t>2026-08-03</t>
        </is>
      </c>
      <c r="B15012" s="8" t="n">
        <v>14</v>
      </c>
      <c r="C15012" s="8" t="n">
        <v>31</v>
      </c>
      <c r="D15012" s="8" t="inlineStr">
        <is>
          <t>Disneyland Park</t>
        </is>
      </c>
      <c r="E15012" s="8" t="inlineStr">
        <is>
          <t>Pirates of the Caribbean</t>
        </is>
      </c>
      <c r="F15012" s="8" t="inlineStr">
        <is>
          <t>STANDBY</t>
        </is>
      </c>
      <c r="G15012" s="8" t="n">
        <v>40</v>
      </c>
      <c r="H15012" s="8" t="inlineStr">
        <is>
          <t>OPERATING</t>
        </is>
      </c>
    </row>
    <row r="15013">
      <c r="A15013" s="8" t="inlineStr">
        <is>
          <t>2026-08-03</t>
        </is>
      </c>
      <c r="B15013" s="8" t="n">
        <v>14</v>
      </c>
      <c r="C15013" s="8" t="n">
        <v>31</v>
      </c>
      <c r="D15013" s="8" t="inlineStr">
        <is>
          <t>Disneyland Park</t>
        </is>
      </c>
      <c r="E15013" s="8" t="inlineStr">
        <is>
          <t>Pirates' Beach</t>
        </is>
      </c>
      <c r="F15013" s="8" t="inlineStr">
        <is>
          <t>STANDBY</t>
        </is>
      </c>
      <c r="G15013" s="8" t="n">
        <v>0</v>
      </c>
      <c r="H15013" s="8" t="inlineStr">
        <is>
          <t>OPERATING</t>
        </is>
      </c>
    </row>
    <row r="15014">
      <c r="A15014" s="8" t="inlineStr">
        <is>
          <t>2026-08-03</t>
        </is>
      </c>
      <c r="B15014" s="8" t="n">
        <v>14</v>
      </c>
      <c r="C15014" s="8" t="n">
        <v>31</v>
      </c>
      <c r="D15014" s="8" t="inlineStr">
        <is>
          <t>Disneyland Park</t>
        </is>
      </c>
      <c r="E15014" s="8" t="inlineStr">
        <is>
          <t>Autopia, presented by Avis</t>
        </is>
      </c>
      <c r="F15014" s="8" t="inlineStr">
        <is>
          <t>STANDBY</t>
        </is>
      </c>
      <c r="G15014" s="8" t="n">
        <v>0</v>
      </c>
      <c r="H15014" s="8" t="inlineStr">
        <is>
          <t>CLOSED</t>
        </is>
      </c>
    </row>
    <row r="15015">
      <c r="A15015" s="8" t="inlineStr">
        <is>
          <t>2026-08-03</t>
        </is>
      </c>
      <c r="B15015" s="8" t="n">
        <v>14</v>
      </c>
      <c r="C15015" s="8" t="n">
        <v>31</v>
      </c>
      <c r="D15015" s="8" t="inlineStr">
        <is>
          <t>Disneyland Park</t>
        </is>
      </c>
      <c r="E15015" s="8" t="inlineStr">
        <is>
          <t>Buzz Lightyear Laser Blast</t>
        </is>
      </c>
      <c r="F15015" s="8" t="inlineStr">
        <is>
          <t>STANDBY</t>
        </is>
      </c>
      <c r="G15015" s="8" t="n">
        <v>40</v>
      </c>
      <c r="H15015" s="8" t="inlineStr">
        <is>
          <t>OPERATING</t>
        </is>
      </c>
    </row>
    <row r="15016">
      <c r="A15016" s="8" t="inlineStr">
        <is>
          <t>2026-08-03</t>
        </is>
      </c>
      <c r="B15016" s="8" t="n">
        <v>14</v>
      </c>
      <c r="C15016" s="8" t="n">
        <v>31</v>
      </c>
      <c r="D15016" s="8" t="inlineStr">
        <is>
          <t>Disneyland Park</t>
        </is>
      </c>
      <c r="E15016" s="8" t="inlineStr">
        <is>
          <t>Disneyland Railroad Discoveryland Station</t>
        </is>
      </c>
      <c r="F15016" s="8" t="inlineStr">
        <is>
          <t>STANDBY</t>
        </is>
      </c>
      <c r="G15016" s="8" t="n">
        <v>0</v>
      </c>
      <c r="H15016" s="8" t="inlineStr">
        <is>
          <t>CLOSED</t>
        </is>
      </c>
    </row>
    <row r="15017">
      <c r="A15017" s="8" t="inlineStr">
        <is>
          <t>2026-08-03</t>
        </is>
      </c>
      <c r="B15017" s="8" t="n">
        <v>14</v>
      </c>
      <c r="C15017" s="8" t="n">
        <v>31</v>
      </c>
      <c r="D15017" s="8" t="inlineStr">
        <is>
          <t>Disneyland Park</t>
        </is>
      </c>
      <c r="E15017" s="8" t="inlineStr">
        <is>
          <t>Les Mystères du Nautilus</t>
        </is>
      </c>
      <c r="F15017" s="8" t="inlineStr">
        <is>
          <t>STANDBY</t>
        </is>
      </c>
      <c r="G15017" s="8" t="n">
        <v>5</v>
      </c>
      <c r="H15017" s="8" t="inlineStr">
        <is>
          <t>OPERATING</t>
        </is>
      </c>
    </row>
    <row r="15018">
      <c r="A15018" s="8" t="inlineStr">
        <is>
          <t>2026-08-03</t>
        </is>
      </c>
      <c r="B15018" s="8" t="n">
        <v>14</v>
      </c>
      <c r="C15018" s="8" t="n">
        <v>31</v>
      </c>
      <c r="D15018" s="8" t="inlineStr">
        <is>
          <t>Disneyland Park</t>
        </is>
      </c>
      <c r="E15018" s="8" t="inlineStr">
        <is>
          <t>Mickey’s PhilharMagic</t>
        </is>
      </c>
      <c r="F15018" s="8" t="inlineStr">
        <is>
          <t>STANDBY</t>
        </is>
      </c>
      <c r="G15018" s="8" t="n">
        <v>0</v>
      </c>
      <c r="H15018" s="8" t="inlineStr">
        <is>
          <t>OPERATING</t>
        </is>
      </c>
    </row>
    <row r="15019">
      <c r="A15019" s="8" t="inlineStr">
        <is>
          <t>2026-08-03</t>
        </is>
      </c>
      <c r="B15019" s="8" t="n">
        <v>14</v>
      </c>
      <c r="C15019" s="8" t="n">
        <v>31</v>
      </c>
      <c r="D15019" s="8" t="inlineStr">
        <is>
          <t>Disneyland Park</t>
        </is>
      </c>
      <c r="E15019" s="8" t="inlineStr">
        <is>
          <t>Orbitron®</t>
        </is>
      </c>
      <c r="F15019" s="8" t="inlineStr">
        <is>
          <t>STANDBY</t>
        </is>
      </c>
      <c r="G15019" s="8" t="n">
        <v>0</v>
      </c>
      <c r="H15019" s="8" t="inlineStr">
        <is>
          <t>CLOSED</t>
        </is>
      </c>
    </row>
    <row r="15020">
      <c r="A15020" s="8" t="inlineStr">
        <is>
          <t>2026-08-03</t>
        </is>
      </c>
      <c r="B15020" s="8" t="n">
        <v>14</v>
      </c>
      <c r="C15020" s="8" t="n">
        <v>31</v>
      </c>
      <c r="D15020" s="8" t="inlineStr">
        <is>
          <t>Disneyland Park</t>
        </is>
      </c>
      <c r="E15020" s="8" t="inlineStr">
        <is>
          <t>Star Tours: The Adventures Continue*</t>
        </is>
      </c>
      <c r="F15020" s="8" t="inlineStr">
        <is>
          <t>STANDBY</t>
        </is>
      </c>
      <c r="G15020" s="8" t="n">
        <v>25</v>
      </c>
      <c r="H15020" s="8" t="inlineStr">
        <is>
          <t>OPERATING</t>
        </is>
      </c>
    </row>
    <row r="15021">
      <c r="A15021" s="8" t="inlineStr">
        <is>
          <t>2026-08-03</t>
        </is>
      </c>
      <c r="B15021" s="8" t="n">
        <v>14</v>
      </c>
      <c r="C15021" s="8" t="n">
        <v>31</v>
      </c>
      <c r="D15021" s="8" t="inlineStr">
        <is>
          <t>Disneyland Park</t>
        </is>
      </c>
      <c r="E15021" s="8" t="inlineStr">
        <is>
          <t>Star Wars Hyperspace Mountain</t>
        </is>
      </c>
      <c r="F15021" s="8" t="inlineStr">
        <is>
          <t>STANDBY</t>
        </is>
      </c>
      <c r="G15021" s="8" t="n">
        <v>50</v>
      </c>
      <c r="H15021" s="8" t="inlineStr">
        <is>
          <t>OPERATING</t>
        </is>
      </c>
    </row>
    <row r="15022">
      <c r="A15022" s="8" t="inlineStr">
        <is>
          <t>2026-08-03</t>
        </is>
      </c>
      <c r="B15022" s="8" t="n">
        <v>14</v>
      </c>
      <c r="C15022" s="8" t="n">
        <v>31</v>
      </c>
      <c r="D15022" s="8" t="inlineStr">
        <is>
          <t>Disneyland Park</t>
        </is>
      </c>
      <c r="E15022" s="8" t="inlineStr">
        <is>
          <t>Star Wars Hyperspace Mountain Single Rider</t>
        </is>
      </c>
      <c r="F15022" s="8" t="inlineStr">
        <is>
          <t>STANDBY</t>
        </is>
      </c>
      <c r="G15022" s="8" t="n">
        <v>40</v>
      </c>
      <c r="H15022" s="8" t="inlineStr">
        <is>
          <t>OPERATING</t>
        </is>
      </c>
    </row>
    <row r="15023">
      <c r="A15023" s="8" t="inlineStr">
        <is>
          <t>2026-08-03</t>
        </is>
      </c>
      <c r="B15023" s="8" t="n">
        <v>14</v>
      </c>
      <c r="C15023" s="8" t="n">
        <v>31</v>
      </c>
      <c r="D15023" s="8" t="inlineStr">
        <is>
          <t>Disneyland Park</t>
        </is>
      </c>
      <c r="E15023" s="8" t="inlineStr">
        <is>
          <t>Welcome to Starport: A Star Wars Encounter</t>
        </is>
      </c>
      <c r="F15023" s="8" t="inlineStr">
        <is>
          <t>STANDBY</t>
        </is>
      </c>
      <c r="G15023" s="8" t="n">
        <v>30</v>
      </c>
      <c r="H15023" s="8" t="inlineStr">
        <is>
          <t>OPERATING</t>
        </is>
      </c>
    </row>
    <row r="15024">
      <c r="A15024" s="8" t="inlineStr">
        <is>
          <t>2026-08-03</t>
        </is>
      </c>
      <c r="B15024" s="8" t="n">
        <v>14</v>
      </c>
      <c r="C15024" s="8" t="n">
        <v>31</v>
      </c>
      <c r="D15024" s="8" t="inlineStr">
        <is>
          <t>Disneyland Park</t>
        </is>
      </c>
      <c r="E15024" s="8" t="inlineStr">
        <is>
          <t>"it's a small world"</t>
        </is>
      </c>
      <c r="F15024" s="8" t="inlineStr">
        <is>
          <t>STANDBY</t>
        </is>
      </c>
      <c r="G15024" s="8" t="n">
        <v>20</v>
      </c>
      <c r="H15024" s="8" t="inlineStr">
        <is>
          <t>OPERATING</t>
        </is>
      </c>
    </row>
    <row r="15025">
      <c r="A15025" s="8" t="inlineStr">
        <is>
          <t>2026-08-03</t>
        </is>
      </c>
      <c r="B15025" s="8" t="n">
        <v>14</v>
      </c>
      <c r="C15025" s="8" t="n">
        <v>31</v>
      </c>
      <c r="D15025" s="8" t="inlineStr">
        <is>
          <t>Disneyland Park</t>
        </is>
      </c>
      <c r="E15025" s="8" t="inlineStr">
        <is>
          <t>Alice's Curious Labyrinth</t>
        </is>
      </c>
      <c r="F15025" s="8" t="inlineStr">
        <is>
          <t>STANDBY</t>
        </is>
      </c>
      <c r="G15025" s="8" t="n">
        <v>5</v>
      </c>
      <c r="H15025" s="8" t="inlineStr">
        <is>
          <t>OPERATING</t>
        </is>
      </c>
    </row>
    <row r="15026">
      <c r="A15026" s="8" t="inlineStr">
        <is>
          <t>2026-08-03</t>
        </is>
      </c>
      <c r="B15026" s="8" t="n">
        <v>14</v>
      </c>
      <c r="C15026" s="8" t="n">
        <v>31</v>
      </c>
      <c r="D15026" s="8" t="inlineStr">
        <is>
          <t>Disneyland Park</t>
        </is>
      </c>
      <c r="E15026" s="8" t="inlineStr">
        <is>
          <t>Blanche-Neige et les Sept Nains®</t>
        </is>
      </c>
      <c r="F15026" s="8" t="inlineStr">
        <is>
          <t>STANDBY</t>
        </is>
      </c>
      <c r="G15026" s="8" t="n">
        <v>25</v>
      </c>
      <c r="H15026" s="8" t="inlineStr">
        <is>
          <t>OPERATING</t>
        </is>
      </c>
    </row>
    <row r="15027">
      <c r="A15027" s="8" t="inlineStr">
        <is>
          <t>2026-08-03</t>
        </is>
      </c>
      <c r="B15027" s="8" t="n">
        <v>14</v>
      </c>
      <c r="C15027" s="8" t="n">
        <v>31</v>
      </c>
      <c r="D15027" s="8" t="inlineStr">
        <is>
          <t>Disneyland Park</t>
        </is>
      </c>
      <c r="E15027" s="8" t="inlineStr">
        <is>
          <t>Casey Jr. – le Petit Train du Cirque</t>
        </is>
      </c>
      <c r="F15027" s="8" t="inlineStr">
        <is>
          <t>STANDBY</t>
        </is>
      </c>
      <c r="G15027" s="8" t="n">
        <v>0</v>
      </c>
      <c r="H15027" s="8" t="inlineStr">
        <is>
          <t>CLOSED</t>
        </is>
      </c>
    </row>
    <row r="15028">
      <c r="A15028" s="8" t="inlineStr">
        <is>
          <t>2026-08-03</t>
        </is>
      </c>
      <c r="B15028" s="8" t="n">
        <v>14</v>
      </c>
      <c r="C15028" s="8" t="n">
        <v>31</v>
      </c>
      <c r="D15028" s="8" t="inlineStr">
        <is>
          <t>Disneyland Park</t>
        </is>
      </c>
      <c r="E15028" s="8" t="inlineStr">
        <is>
          <t>Disneyland Railroad Fantasyland Station</t>
        </is>
      </c>
      <c r="F15028" s="8" t="inlineStr">
        <is>
          <t>STANDBY</t>
        </is>
      </c>
      <c r="G15028" s="8" t="n">
        <v>0</v>
      </c>
      <c r="H15028" s="8" t="inlineStr">
        <is>
          <t>CLOSED</t>
        </is>
      </c>
    </row>
    <row r="15029">
      <c r="A15029" s="8" t="inlineStr">
        <is>
          <t>2026-08-03</t>
        </is>
      </c>
      <c r="B15029" s="8" t="n">
        <v>14</v>
      </c>
      <c r="C15029" s="8" t="n">
        <v>31</v>
      </c>
      <c r="D15029" s="8" t="inlineStr">
        <is>
          <t>Disneyland Park</t>
        </is>
      </c>
      <c r="E15029" s="8" t="inlineStr">
        <is>
          <t>Disneyland Railroad Main Street Station</t>
        </is>
      </c>
      <c r="F15029" s="8" t="inlineStr">
        <is>
          <t>STANDBY</t>
        </is>
      </c>
      <c r="G15029" s="8" t="n">
        <v>0</v>
      </c>
      <c r="H15029" s="8" t="inlineStr">
        <is>
          <t>CLOSED</t>
        </is>
      </c>
    </row>
    <row r="15030">
      <c r="A15030" s="8" t="inlineStr">
        <is>
          <t>2026-08-03</t>
        </is>
      </c>
      <c r="B15030" s="8" t="n">
        <v>14</v>
      </c>
      <c r="C15030" s="8" t="n">
        <v>31</v>
      </c>
      <c r="D15030" s="8" t="inlineStr">
        <is>
          <t>Disneyland Park</t>
        </is>
      </c>
      <c r="E15030" s="8" t="inlineStr">
        <is>
          <t>Dumbo the Flying Elephant</t>
        </is>
      </c>
      <c r="F15030" s="8" t="inlineStr">
        <is>
          <t>STANDBY</t>
        </is>
      </c>
      <c r="G15030" s="8" t="n">
        <v>0</v>
      </c>
      <c r="H15030" s="8" t="inlineStr">
        <is>
          <t>CLOSED</t>
        </is>
      </c>
    </row>
    <row r="15031">
      <c r="A15031" s="8" t="inlineStr">
        <is>
          <t>2026-08-03</t>
        </is>
      </c>
      <c r="B15031" s="8" t="n">
        <v>14</v>
      </c>
      <c r="C15031" s="8" t="n">
        <v>31</v>
      </c>
      <c r="D15031" s="8" t="inlineStr">
        <is>
          <t>Disneyland Park</t>
        </is>
      </c>
      <c r="E15031" s="8" t="inlineStr">
        <is>
          <t>La Tanière du Dragon</t>
        </is>
      </c>
      <c r="F15031" s="8" t="inlineStr">
        <is>
          <t>STANDBY</t>
        </is>
      </c>
      <c r="G15031" s="8" t="n">
        <v>0</v>
      </c>
      <c r="H15031" s="8" t="inlineStr">
        <is>
          <t>OPERATING</t>
        </is>
      </c>
    </row>
    <row r="15032">
      <c r="A15032" s="8" t="inlineStr">
        <is>
          <t>2026-08-03</t>
        </is>
      </c>
      <c r="B15032" s="8" t="n">
        <v>14</v>
      </c>
      <c r="C15032" s="8" t="n">
        <v>31</v>
      </c>
      <c r="D15032" s="8" t="inlineStr">
        <is>
          <t>Disneyland Park</t>
        </is>
      </c>
      <c r="E15032" s="8" t="inlineStr">
        <is>
          <t>Le Carrousel de Lancelot</t>
        </is>
      </c>
      <c r="F15032" s="8" t="inlineStr">
        <is>
          <t>STANDBY</t>
        </is>
      </c>
      <c r="G15032" s="8" t="n">
        <v>10</v>
      </c>
      <c r="H15032" s="8" t="inlineStr">
        <is>
          <t>OPERATING</t>
        </is>
      </c>
    </row>
    <row r="15033">
      <c r="A15033" s="8" t="inlineStr">
        <is>
          <t>2026-08-03</t>
        </is>
      </c>
      <c r="B15033" s="8" t="n">
        <v>14</v>
      </c>
      <c r="C15033" s="8" t="n">
        <v>31</v>
      </c>
      <c r="D15033" s="8" t="inlineStr">
        <is>
          <t>Disneyland Park</t>
        </is>
      </c>
      <c r="E15033" s="8" t="inlineStr">
        <is>
          <t>Le Pays des Contes de Fées, presented by Vittel</t>
        </is>
      </c>
      <c r="F15033" s="8" t="inlineStr">
        <is>
          <t>STANDBY</t>
        </is>
      </c>
      <c r="G15033" s="8" t="n">
        <v>0</v>
      </c>
      <c r="H15033" s="8" t="inlineStr">
        <is>
          <t>CLOSED</t>
        </is>
      </c>
    </row>
    <row r="15034">
      <c r="A15034" s="8" t="inlineStr">
        <is>
          <t>2026-08-03</t>
        </is>
      </c>
      <c r="B15034" s="8" t="n">
        <v>14</v>
      </c>
      <c r="C15034" s="8" t="n">
        <v>31</v>
      </c>
      <c r="D15034" s="8" t="inlineStr">
        <is>
          <t>Disneyland Park</t>
        </is>
      </c>
      <c r="E15034" s="8" t="inlineStr">
        <is>
          <t>Les Voyages de Pinocchio</t>
        </is>
      </c>
      <c r="F15034" s="8" t="inlineStr">
        <is>
          <t>STANDBY</t>
        </is>
      </c>
      <c r="G15034" s="8" t="n">
        <v>25</v>
      </c>
      <c r="H15034" s="8" t="inlineStr">
        <is>
          <t>OPERATING</t>
        </is>
      </c>
    </row>
    <row r="15035">
      <c r="A15035" s="8" t="inlineStr">
        <is>
          <t>2026-08-03</t>
        </is>
      </c>
      <c r="B15035" s="8" t="n">
        <v>14</v>
      </c>
      <c r="C15035" s="8" t="n">
        <v>31</v>
      </c>
      <c r="D15035" s="8" t="inlineStr">
        <is>
          <t>Disneyland Park</t>
        </is>
      </c>
      <c r="E15035" s="8" t="inlineStr">
        <is>
          <t>Mad Hatter's Tea Cups</t>
        </is>
      </c>
      <c r="F15035" s="8" t="inlineStr">
        <is>
          <t>STANDBY</t>
        </is>
      </c>
      <c r="G15035" s="8" t="n">
        <v>15</v>
      </c>
      <c r="H15035" s="8" t="inlineStr">
        <is>
          <t>OPERATING</t>
        </is>
      </c>
    </row>
    <row r="15036">
      <c r="A15036" s="8" t="inlineStr">
        <is>
          <t>2026-08-03</t>
        </is>
      </c>
      <c r="B15036" s="8" t="n">
        <v>14</v>
      </c>
      <c r="C15036" s="8" t="n">
        <v>31</v>
      </c>
      <c r="D15036" s="8" t="inlineStr">
        <is>
          <t>Disneyland Park</t>
        </is>
      </c>
      <c r="E15036" s="8" t="inlineStr">
        <is>
          <t>Meet Mickey Mouse</t>
        </is>
      </c>
      <c r="F15036" s="8" t="inlineStr">
        <is>
          <t>STANDBY</t>
        </is>
      </c>
      <c r="G15036" s="8" t="n">
        <v>0</v>
      </c>
      <c r="H15036" s="8" t="inlineStr">
        <is>
          <t>OPERATING</t>
        </is>
      </c>
    </row>
    <row r="15037">
      <c r="A15037" s="8" t="inlineStr">
        <is>
          <t>2026-08-03</t>
        </is>
      </c>
      <c r="B15037" s="8" t="n">
        <v>14</v>
      </c>
      <c r="C15037" s="8" t="n">
        <v>31</v>
      </c>
      <c r="D15037" s="8" t="inlineStr">
        <is>
          <t>Disneyland Park</t>
        </is>
      </c>
      <c r="E15037" s="8" t="inlineStr">
        <is>
          <t>Peter Pan's Flight</t>
        </is>
      </c>
      <c r="F15037" s="8" t="inlineStr">
        <is>
          <t>STANDBY</t>
        </is>
      </c>
      <c r="G15037" s="8" t="n">
        <v>75</v>
      </c>
      <c r="H15037" s="8" t="inlineStr">
        <is>
          <t>OPERATING</t>
        </is>
      </c>
    </row>
    <row r="15038">
      <c r="A15038" s="8" t="inlineStr">
        <is>
          <t>2026-08-03</t>
        </is>
      </c>
      <c r="B15038" s="8" t="n">
        <v>14</v>
      </c>
      <c r="C15038" s="8" t="n">
        <v>31</v>
      </c>
      <c r="D15038" s="8" t="inlineStr">
        <is>
          <t>Disneyland Park</t>
        </is>
      </c>
      <c r="E15038" s="8" t="inlineStr">
        <is>
          <t>Princess Pavilion</t>
        </is>
      </c>
      <c r="F15038" s="8" t="inlineStr">
        <is>
          <t>STANDBY</t>
        </is>
      </c>
      <c r="G15038" s="8" t="n">
        <v>0</v>
      </c>
      <c r="H15038" s="8" t="inlineStr">
        <is>
          <t>OPERATING</t>
        </is>
      </c>
    </row>
    <row r="15039">
      <c r="A15039" s="8" t="inlineStr">
        <is>
          <t>2026-08-03</t>
        </is>
      </c>
      <c r="B15039" s="8" t="n">
        <v>14</v>
      </c>
      <c r="C15039" s="8" t="n">
        <v>31</v>
      </c>
      <c r="D15039" s="8" t="inlineStr">
        <is>
          <t>Disneyland Park</t>
        </is>
      </c>
      <c r="E15039" s="8" t="inlineStr">
        <is>
          <t>Big Thunder Mountain</t>
        </is>
      </c>
      <c r="F15039" s="8" t="inlineStr">
        <is>
          <t>STANDBY</t>
        </is>
      </c>
      <c r="G15039" s="8" t="n">
        <v>60</v>
      </c>
      <c r="H15039" s="8" t="inlineStr">
        <is>
          <t>OPERATING</t>
        </is>
      </c>
    </row>
    <row r="15040">
      <c r="A15040" s="8" t="inlineStr">
        <is>
          <t>2026-08-03</t>
        </is>
      </c>
      <c r="B15040" s="8" t="n">
        <v>14</v>
      </c>
      <c r="C15040" s="8" t="n">
        <v>31</v>
      </c>
      <c r="D15040" s="8" t="inlineStr">
        <is>
          <t>Disneyland Park</t>
        </is>
      </c>
      <c r="E15040" s="8" t="inlineStr">
        <is>
          <t>Disneyland Railroad Frontierland Depot</t>
        </is>
      </c>
      <c r="F15040" s="8" t="inlineStr">
        <is>
          <t>STANDBY</t>
        </is>
      </c>
      <c r="G15040" s="8" t="n">
        <v>0</v>
      </c>
      <c r="H15040" s="8" t="inlineStr">
        <is>
          <t>CLOSED</t>
        </is>
      </c>
    </row>
    <row r="15041">
      <c r="A15041" s="8" t="inlineStr">
        <is>
          <t>2026-08-03</t>
        </is>
      </c>
      <c r="B15041" s="8" t="n">
        <v>14</v>
      </c>
      <c r="C15041" s="8" t="n">
        <v>31</v>
      </c>
      <c r="D15041" s="8" t="inlineStr">
        <is>
          <t>Disneyland Park</t>
        </is>
      </c>
      <c r="E15041" s="8" t="inlineStr">
        <is>
          <t>Frontierland Playground</t>
        </is>
      </c>
      <c r="F15041" s="8" t="inlineStr">
        <is>
          <t>STANDBY</t>
        </is>
      </c>
      <c r="G15041" s="8" t="n">
        <v>0</v>
      </c>
      <c r="H15041" s="8" t="inlineStr">
        <is>
          <t>CLOSED</t>
        </is>
      </c>
    </row>
    <row r="15042">
      <c r="A15042" s="8" t="inlineStr">
        <is>
          <t>2026-08-03</t>
        </is>
      </c>
      <c r="B15042" s="8" t="n">
        <v>14</v>
      </c>
      <c r="C15042" s="8" t="n">
        <v>31</v>
      </c>
      <c r="D15042" s="8" t="inlineStr">
        <is>
          <t>Disneyland Park</t>
        </is>
      </c>
      <c r="E15042" s="8" t="inlineStr">
        <is>
          <t>Phantom Manor</t>
        </is>
      </c>
      <c r="F15042" s="8" t="inlineStr">
        <is>
          <t>STANDBY</t>
        </is>
      </c>
      <c r="G15042" s="8" t="n">
        <v>5</v>
      </c>
      <c r="H15042" s="8" t="inlineStr">
        <is>
          <t>OPERATING</t>
        </is>
      </c>
    </row>
    <row r="15043">
      <c r="A15043" s="8" t="inlineStr">
        <is>
          <t>2026-08-03</t>
        </is>
      </c>
      <c r="B15043" s="8" t="n">
        <v>14</v>
      </c>
      <c r="C15043" s="8" t="n">
        <v>31</v>
      </c>
      <c r="D15043" s="8" t="inlineStr">
        <is>
          <t>Disneyland Park</t>
        </is>
      </c>
      <c r="E15043" s="8" t="inlineStr">
        <is>
          <t>River Rogue Keelboats</t>
        </is>
      </c>
      <c r="F15043" s="8" t="inlineStr">
        <is>
          <t>STANDBY</t>
        </is>
      </c>
      <c r="G15043" s="8" t="n">
        <v>0</v>
      </c>
      <c r="H15043" s="8" t="inlineStr">
        <is>
          <t>CLOSED</t>
        </is>
      </c>
    </row>
    <row r="15044">
      <c r="A15044" s="8" t="inlineStr">
        <is>
          <t>2026-08-03</t>
        </is>
      </c>
      <c r="B15044" s="8" t="n">
        <v>14</v>
      </c>
      <c r="C15044" s="8" t="n">
        <v>31</v>
      </c>
      <c r="D15044" s="8" t="inlineStr">
        <is>
          <t>Disneyland Park</t>
        </is>
      </c>
      <c r="E15044" s="8" t="inlineStr">
        <is>
          <t>Rustler Roundup Shootin' Gallery</t>
        </is>
      </c>
      <c r="F15044" s="8" t="inlineStr">
        <is>
          <t>STANDBY</t>
        </is>
      </c>
      <c r="G15044" s="8" t="n">
        <v>0</v>
      </c>
      <c r="H15044" s="8" t="inlineStr">
        <is>
          <t>OPERATING</t>
        </is>
      </c>
    </row>
    <row r="15045">
      <c r="A15045" s="8" t="inlineStr">
        <is>
          <t>2026-08-03</t>
        </is>
      </c>
      <c r="B15045" s="8" t="n">
        <v>14</v>
      </c>
      <c r="C15045" s="8" t="n">
        <v>31</v>
      </c>
      <c r="D15045" s="8" t="inlineStr">
        <is>
          <t>Disneyland Park</t>
        </is>
      </c>
      <c r="E15045" s="8" t="inlineStr">
        <is>
          <t>Thunder Mesa Riverboat Landing</t>
        </is>
      </c>
      <c r="F15045" s="8" t="inlineStr">
        <is>
          <t>STANDBY</t>
        </is>
      </c>
      <c r="G15045" s="8" t="n">
        <v>20</v>
      </c>
      <c r="H15045" s="8" t="inlineStr">
        <is>
          <t>OPERATING</t>
        </is>
      </c>
    </row>
    <row r="15046">
      <c r="A15046" s="8" t="inlineStr">
        <is>
          <t>2026-08-03</t>
        </is>
      </c>
      <c r="B15046" s="8" t="n">
        <v>14</v>
      </c>
      <c r="C15046" s="8" t="n">
        <v>31</v>
      </c>
      <c r="D15046" s="8" t="inlineStr">
        <is>
          <t>Disneyland Park</t>
        </is>
      </c>
      <c r="E15046" s="8" t="inlineStr">
        <is>
          <t>Disneyland Railroad Main Street Station</t>
        </is>
      </c>
      <c r="F15046" s="8" t="inlineStr">
        <is>
          <t>STANDBY</t>
        </is>
      </c>
      <c r="G15046" s="8" t="n">
        <v>0</v>
      </c>
      <c r="H15046" s="8" t="inlineStr">
        <is>
          <t>CLOSED</t>
        </is>
      </c>
    </row>
    <row r="15047">
      <c r="A15047" s="8" t="inlineStr">
        <is>
          <t>2026-08-03</t>
        </is>
      </c>
      <c r="B15047" s="8" t="n">
        <v>14</v>
      </c>
      <c r="C15047" s="8" t="n">
        <v>31</v>
      </c>
      <c r="D15047" s="8" t="inlineStr">
        <is>
          <t>Disneyland Park</t>
        </is>
      </c>
      <c r="E15047" s="8" t="inlineStr">
        <is>
          <t>Main Street Vehicles</t>
        </is>
      </c>
      <c r="F15047" s="8" t="inlineStr">
        <is>
          <t>STANDBY</t>
        </is>
      </c>
      <c r="G15047" s="8" t="n">
        <v>0</v>
      </c>
      <c r="H15047" s="8" t="inlineStr">
        <is>
          <t>CLOSED</t>
        </is>
      </c>
    </row>
    <row r="15048">
      <c r="A15048" s="8" t="inlineStr">
        <is>
          <t>2026-08-03</t>
        </is>
      </c>
      <c r="B15048" s="8" t="n">
        <v>14</v>
      </c>
      <c r="C15048" s="8" t="n">
        <v>31</v>
      </c>
      <c r="D15048" s="8" t="inlineStr">
        <is>
          <t>Disney Adventure World</t>
        </is>
      </c>
      <c r="E15048" s="8" t="inlineStr">
        <is>
          <t>Avengers Assemble: Flight Force</t>
        </is>
      </c>
      <c r="F15048" s="8" t="inlineStr">
        <is>
          <t>STANDBY</t>
        </is>
      </c>
      <c r="G15048" s="8" t="n">
        <v>15</v>
      </c>
      <c r="H15048" s="8" t="inlineStr">
        <is>
          <t>OPERATING</t>
        </is>
      </c>
    </row>
    <row r="15049">
      <c r="A15049" s="8" t="inlineStr">
        <is>
          <t>2026-08-03</t>
        </is>
      </c>
      <c r="B15049" s="8" t="n">
        <v>14</v>
      </c>
      <c r="C15049" s="8" t="n">
        <v>31</v>
      </c>
      <c r="D15049" s="8" t="inlineStr">
        <is>
          <t>Disney Adventure World</t>
        </is>
      </c>
      <c r="E15049" s="8" t="inlineStr">
        <is>
          <t>Avengers Assemble: Flight Force Single Rider</t>
        </is>
      </c>
      <c r="F15049" s="8" t="inlineStr">
        <is>
          <t>STANDBY</t>
        </is>
      </c>
      <c r="G15049" s="8" t="n">
        <v>10</v>
      </c>
      <c r="H15049" s="8" t="inlineStr">
        <is>
          <t>OPERATING</t>
        </is>
      </c>
    </row>
    <row r="15050">
      <c r="A15050" s="8" t="inlineStr">
        <is>
          <t>2026-08-03</t>
        </is>
      </c>
      <c r="B15050" s="8" t="n">
        <v>14</v>
      </c>
      <c r="C15050" s="8" t="n">
        <v>31</v>
      </c>
      <c r="D15050" s="8" t="inlineStr">
        <is>
          <t>Disney Adventure World</t>
        </is>
      </c>
      <c r="E15050" s="8" t="inlineStr">
        <is>
          <t>Spider-Man W.E.B. Adventure</t>
        </is>
      </c>
      <c r="F15050" s="8" t="inlineStr">
        <is>
          <t>STANDBY</t>
        </is>
      </c>
      <c r="G15050" s="8" t="n">
        <v>45</v>
      </c>
      <c r="H15050" s="8" t="inlineStr">
        <is>
          <t>OPERATING</t>
        </is>
      </c>
    </row>
    <row r="15051">
      <c r="A15051" s="8" t="inlineStr">
        <is>
          <t>2026-08-03</t>
        </is>
      </c>
      <c r="B15051" s="8" t="n">
        <v>14</v>
      </c>
      <c r="C15051" s="8" t="n">
        <v>31</v>
      </c>
      <c r="D15051" s="8" t="inlineStr">
        <is>
          <t>Disney Adventure World</t>
        </is>
      </c>
      <c r="E15051" s="8" t="inlineStr">
        <is>
          <t>Spider-Man W.E.B. Adventure Single Rider</t>
        </is>
      </c>
      <c r="F15051" s="8" t="inlineStr">
        <is>
          <t>STANDBY</t>
        </is>
      </c>
      <c r="G15051" s="8" t="n">
        <v>15</v>
      </c>
      <c r="H15051" s="8" t="inlineStr">
        <is>
          <t>OPERATING</t>
        </is>
      </c>
    </row>
    <row r="15052">
      <c r="A15052" s="8" t="inlineStr">
        <is>
          <t>2026-08-03</t>
        </is>
      </c>
      <c r="B15052" s="8" t="n">
        <v>14</v>
      </c>
      <c r="C15052" s="8" t="n">
        <v>31</v>
      </c>
      <c r="D15052" s="8" t="inlineStr">
        <is>
          <t>Disney Adventure World</t>
        </is>
      </c>
      <c r="E15052" s="8" t="inlineStr">
        <is>
          <t>The Twilight Zone Tower of Terror</t>
        </is>
      </c>
      <c r="F15052" s="8" t="inlineStr">
        <is>
          <t>STANDBY</t>
        </is>
      </c>
      <c r="G15052" s="8" t="n">
        <v>50</v>
      </c>
      <c r="H15052" s="8" t="inlineStr">
        <is>
          <t>OPERATING</t>
        </is>
      </c>
    </row>
    <row r="15053">
      <c r="A15053" s="8" t="inlineStr">
        <is>
          <t>2026-08-03</t>
        </is>
      </c>
      <c r="B15053" s="8" t="n">
        <v>14</v>
      </c>
      <c r="C15053" s="8" t="n">
        <v>31</v>
      </c>
      <c r="D15053" s="8" t="inlineStr">
        <is>
          <t>Disney Adventure World</t>
        </is>
      </c>
      <c r="E15053" s="8" t="inlineStr">
        <is>
          <t>Cars Quatre Roues Rallye</t>
        </is>
      </c>
      <c r="F15053" s="8" t="inlineStr">
        <is>
          <t>STANDBY</t>
        </is>
      </c>
      <c r="G15053" s="8" t="n">
        <v>15</v>
      </c>
      <c r="H15053" s="8" t="inlineStr">
        <is>
          <t>OPERATING</t>
        </is>
      </c>
    </row>
    <row r="15054">
      <c r="A15054" s="8" t="inlineStr">
        <is>
          <t>2026-08-03</t>
        </is>
      </c>
      <c r="B15054" s="8" t="n">
        <v>14</v>
      </c>
      <c r="C15054" s="8" t="n">
        <v>31</v>
      </c>
      <c r="D15054" s="8" t="inlineStr">
        <is>
          <t>Disney Adventure World</t>
        </is>
      </c>
      <c r="E15054" s="8" t="inlineStr">
        <is>
          <t>Cars ROAD TRIP</t>
        </is>
      </c>
      <c r="F15054" s="8" t="inlineStr">
        <is>
          <t>STANDBY</t>
        </is>
      </c>
      <c r="G15054" s="8" t="n">
        <v>0</v>
      </c>
      <c r="H15054" s="8" t="inlineStr">
        <is>
          <t>CLOSED</t>
        </is>
      </c>
    </row>
    <row r="15055">
      <c r="A15055" s="8" t="inlineStr">
        <is>
          <t>2026-08-03</t>
        </is>
      </c>
      <c r="B15055" s="8" t="n">
        <v>14</v>
      </c>
      <c r="C15055" s="8" t="n">
        <v>31</v>
      </c>
      <c r="D15055" s="8" t="inlineStr">
        <is>
          <t>Disney Adventure World</t>
        </is>
      </c>
      <c r="E15055" s="8" t="inlineStr">
        <is>
          <t>Crush's Coaster</t>
        </is>
      </c>
      <c r="F15055" s="8" t="inlineStr">
        <is>
          <t>STANDBY</t>
        </is>
      </c>
      <c r="G15055" s="8" t="n">
        <v>50</v>
      </c>
      <c r="H15055" s="8" t="inlineStr">
        <is>
          <t>OPERATING</t>
        </is>
      </c>
    </row>
    <row r="15056">
      <c r="A15056" s="8" t="inlineStr">
        <is>
          <t>2026-08-03</t>
        </is>
      </c>
      <c r="B15056" s="8" t="n">
        <v>14</v>
      </c>
      <c r="C15056" s="8" t="n">
        <v>31</v>
      </c>
      <c r="D15056" s="8" t="inlineStr">
        <is>
          <t>Disney Adventure World</t>
        </is>
      </c>
      <c r="E15056" s="8" t="inlineStr">
        <is>
          <t>Crush's Coaster Single Rider</t>
        </is>
      </c>
      <c r="F15056" s="8" t="inlineStr">
        <is>
          <t>STANDBY</t>
        </is>
      </c>
      <c r="G15056" s="8" t="n">
        <v>45</v>
      </c>
      <c r="H15056" s="8" t="inlineStr">
        <is>
          <t>OPERATING</t>
        </is>
      </c>
    </row>
    <row r="15057">
      <c r="A15057" s="8" t="inlineStr">
        <is>
          <t>2026-08-03</t>
        </is>
      </c>
      <c r="B15057" s="8" t="n">
        <v>14</v>
      </c>
      <c r="C15057" s="8" t="n">
        <v>31</v>
      </c>
      <c r="D15057" s="8" t="inlineStr">
        <is>
          <t>Disney Adventure World</t>
        </is>
      </c>
      <c r="E15057" s="8" t="inlineStr">
        <is>
          <t>Les Tapis Volants - Flying Carpets Over Agrabah®</t>
        </is>
      </c>
      <c r="F15057" s="8" t="inlineStr">
        <is>
          <t>STANDBY</t>
        </is>
      </c>
      <c r="G15057" s="8" t="n">
        <v>0</v>
      </c>
      <c r="H15057" s="8" t="inlineStr">
        <is>
          <t>CLOSED</t>
        </is>
      </c>
    </row>
    <row r="15058">
      <c r="A15058" s="8" t="inlineStr">
        <is>
          <t>2026-08-03</t>
        </is>
      </c>
      <c r="B15058" s="8" t="n">
        <v>14</v>
      </c>
      <c r="C15058" s="8" t="n">
        <v>31</v>
      </c>
      <c r="D15058" s="8" t="inlineStr">
        <is>
          <t>Disney Adventure World</t>
        </is>
      </c>
      <c r="E15058" s="8" t="inlineStr">
        <is>
          <t>Ratatouille : L’Aventure Totalement Toquée de Rémy​</t>
        </is>
      </c>
      <c r="F15058" s="8" t="inlineStr">
        <is>
          <t>STANDBY</t>
        </is>
      </c>
      <c r="G15058" s="8" t="n">
        <v>55</v>
      </c>
      <c r="H15058" s="8" t="inlineStr">
        <is>
          <t>OPERATING</t>
        </is>
      </c>
    </row>
    <row r="15059">
      <c r="A15059" s="8" t="inlineStr">
        <is>
          <t>2026-08-03</t>
        </is>
      </c>
      <c r="B15059" s="8" t="n">
        <v>14</v>
      </c>
      <c r="C15059" s="8" t="n">
        <v>31</v>
      </c>
      <c r="D15059" s="8" t="inlineStr">
        <is>
          <t>Disney Adventure World</t>
        </is>
      </c>
      <c r="E15059" s="8" t="inlineStr">
        <is>
          <t>Ratatouille: The Adventure Single Rider</t>
        </is>
      </c>
      <c r="F15059" s="8" t="inlineStr">
        <is>
          <t>STANDBY</t>
        </is>
      </c>
      <c r="G15059" s="8" t="n">
        <v>20</v>
      </c>
      <c r="H15059" s="8" t="inlineStr">
        <is>
          <t>OPERATING</t>
        </is>
      </c>
    </row>
    <row r="15060">
      <c r="A15060" s="8" t="inlineStr">
        <is>
          <t>2026-08-03</t>
        </is>
      </c>
      <c r="B15060" s="8" t="n">
        <v>14</v>
      </c>
      <c r="C15060" s="8" t="n">
        <v>31</v>
      </c>
      <c r="D15060" s="8" t="inlineStr">
        <is>
          <t>Disney Adventure World</t>
        </is>
      </c>
      <c r="E15060" s="8" t="inlineStr">
        <is>
          <t>RC Racer</t>
        </is>
      </c>
      <c r="F15060" s="8" t="inlineStr">
        <is>
          <t>STANDBY</t>
        </is>
      </c>
      <c r="G15060" s="8" t="n">
        <v>0</v>
      </c>
      <c r="H15060" s="8" t="inlineStr">
        <is>
          <t>CLOSED</t>
        </is>
      </c>
    </row>
    <row r="15061">
      <c r="A15061" s="8" t="inlineStr">
        <is>
          <t>2026-08-03</t>
        </is>
      </c>
      <c r="B15061" s="8" t="n">
        <v>14</v>
      </c>
      <c r="C15061" s="8" t="n">
        <v>31</v>
      </c>
      <c r="D15061" s="8" t="inlineStr">
        <is>
          <t>Disney Adventure World</t>
        </is>
      </c>
      <c r="E15061" s="8" t="inlineStr">
        <is>
          <t>RC Racer Single Rider</t>
        </is>
      </c>
      <c r="F15061" s="8" t="inlineStr">
        <is>
          <t>STANDBY</t>
        </is>
      </c>
      <c r="G15061" s="8" t="n">
        <v>0</v>
      </c>
      <c r="H15061" s="8" t="inlineStr">
        <is>
          <t>CLOSED</t>
        </is>
      </c>
    </row>
    <row r="15062">
      <c r="A15062" s="8" t="inlineStr">
        <is>
          <t>2026-08-03</t>
        </is>
      </c>
      <c r="B15062" s="8" t="n">
        <v>14</v>
      </c>
      <c r="C15062" s="8" t="n">
        <v>31</v>
      </c>
      <c r="D15062" s="8" t="inlineStr">
        <is>
          <t>Disney Adventure World</t>
        </is>
      </c>
      <c r="E15062" s="8" t="inlineStr">
        <is>
          <t>Slinky® Dog Zigzag Spin</t>
        </is>
      </c>
      <c r="F15062" s="8" t="inlineStr">
        <is>
          <t>STANDBY</t>
        </is>
      </c>
      <c r="G15062" s="8" t="n">
        <v>0</v>
      </c>
      <c r="H15062" s="8" t="inlineStr">
        <is>
          <t>CLOSED</t>
        </is>
      </c>
    </row>
    <row r="15063">
      <c r="A15063" s="8" t="inlineStr">
        <is>
          <t>2026-08-03</t>
        </is>
      </c>
      <c r="B15063" s="8" t="n">
        <v>14</v>
      </c>
      <c r="C15063" s="8" t="n">
        <v>31</v>
      </c>
      <c r="D15063" s="8" t="inlineStr">
        <is>
          <t>Disney Adventure World</t>
        </is>
      </c>
      <c r="E15063" s="8" t="inlineStr">
        <is>
          <t>Toy Soldiers Parachute Drop</t>
        </is>
      </c>
      <c r="F15063" s="8" t="inlineStr">
        <is>
          <t>STANDBY</t>
        </is>
      </c>
      <c r="G15063" s="8" t="n">
        <v>40</v>
      </c>
      <c r="H15063" s="8" t="inlineStr">
        <is>
          <t>OPERATING</t>
        </is>
      </c>
    </row>
    <row r="15064">
      <c r="A15064" s="8" t="inlineStr">
        <is>
          <t>2026-08-03</t>
        </is>
      </c>
      <c r="B15064" s="8" t="n">
        <v>14</v>
      </c>
      <c r="C15064" s="8" t="n">
        <v>31</v>
      </c>
      <c r="D15064" s="8" t="inlineStr">
        <is>
          <t>Disney Adventure World</t>
        </is>
      </c>
      <c r="E15064" s="8" t="inlineStr">
        <is>
          <t>Toy Soldiers Parachute Drop Single Rider</t>
        </is>
      </c>
      <c r="F15064" s="8" t="inlineStr">
        <is>
          <t>STANDBY</t>
        </is>
      </c>
      <c r="G15064" s="8" t="n">
        <v>5</v>
      </c>
      <c r="H15064" s="8" t="inlineStr">
        <is>
          <t>OPERATING</t>
        </is>
      </c>
    </row>
    <row r="15065">
      <c r="A15065" s="8" t="inlineStr">
        <is>
          <t>2026-08-03</t>
        </is>
      </c>
      <c r="B15065" s="8" t="n">
        <v>14</v>
      </c>
      <c r="C15065" s="8" t="n">
        <v>31</v>
      </c>
      <c r="D15065" s="8" t="inlineStr">
        <is>
          <t>Disney Adventure World</t>
        </is>
      </c>
      <c r="E15065" s="8" t="inlineStr">
        <is>
          <t>Entry to World of Frozen</t>
        </is>
      </c>
      <c r="F15065" s="8" t="inlineStr">
        <is>
          <t>STANDBY</t>
        </is>
      </c>
      <c r="G15065" s="8" t="n">
        <v>0</v>
      </c>
      <c r="H15065" s="8" t="inlineStr">
        <is>
          <t>OPERATING</t>
        </is>
      </c>
    </row>
    <row r="15066">
      <c r="A15066" s="8" t="inlineStr">
        <is>
          <t>2026-08-03</t>
        </is>
      </c>
      <c r="B15066" s="8" t="n">
        <v>14</v>
      </c>
      <c r="C15066" s="8" t="n">
        <v>31</v>
      </c>
      <c r="D15066" s="8" t="inlineStr">
        <is>
          <t>Disney Adventure World</t>
        </is>
      </c>
      <c r="E15066" s="8" t="inlineStr">
        <is>
          <t>Frozen Ever After</t>
        </is>
      </c>
      <c r="F15066" s="8" t="inlineStr">
        <is>
          <t>STANDBY</t>
        </is>
      </c>
      <c r="G15066" s="8" t="n">
        <v>65</v>
      </c>
      <c r="H15066" s="8" t="inlineStr">
        <is>
          <t>OPERATING</t>
        </is>
      </c>
    </row>
    <row r="15067">
      <c r="A15067" s="8" t="inlineStr">
        <is>
          <t>2026-08-03</t>
        </is>
      </c>
      <c r="B15067" s="8" t="n">
        <v>14</v>
      </c>
      <c r="C15067" s="8" t="n">
        <v>31</v>
      </c>
      <c r="D15067" s="8" t="inlineStr">
        <is>
          <t>Disney Adventure World</t>
        </is>
      </c>
      <c r="E15067" s="8" t="inlineStr">
        <is>
          <t>Raiponce Tangled Spin</t>
        </is>
      </c>
      <c r="F15067" s="8" t="inlineStr">
        <is>
          <t>STANDBY</t>
        </is>
      </c>
      <c r="G15067" s="8" t="n">
        <v>10</v>
      </c>
      <c r="H15067" s="8" t="inlineStr">
        <is>
          <t>OPERATING</t>
        </is>
      </c>
    </row>
    <row r="15068">
      <c r="A15068" s="8" t="inlineStr">
        <is>
          <t>2026-08-03</t>
        </is>
      </c>
      <c r="B15068" s="8" t="n">
        <v>14</v>
      </c>
      <c r="C15068" s="8" t="n">
        <v>45</v>
      </c>
      <c r="D15068" s="8" t="inlineStr">
        <is>
          <t>Disneyland Park</t>
        </is>
      </c>
      <c r="E15068" s="8" t="inlineStr">
        <is>
          <t>Adventure Isle</t>
        </is>
      </c>
      <c r="F15068" s="8" t="inlineStr">
        <is>
          <t>STANDBY</t>
        </is>
      </c>
      <c r="G15068" s="8" t="n">
        <v>0</v>
      </c>
      <c r="H15068" s="8" t="inlineStr">
        <is>
          <t>OPERATING</t>
        </is>
      </c>
    </row>
    <row r="15069">
      <c r="A15069" s="8" t="inlineStr">
        <is>
          <t>2026-08-03</t>
        </is>
      </c>
      <c r="B15069" s="8" t="n">
        <v>14</v>
      </c>
      <c r="C15069" s="8" t="n">
        <v>45</v>
      </c>
      <c r="D15069" s="8" t="inlineStr">
        <is>
          <t>Disneyland Park</t>
        </is>
      </c>
      <c r="E15069" s="8" t="inlineStr">
        <is>
          <t>Indiana Jones and the Temple of Peril Single Rider</t>
        </is>
      </c>
      <c r="F15069" s="8" t="inlineStr">
        <is>
          <t>STANDBY</t>
        </is>
      </c>
      <c r="G15069" s="8" t="n">
        <v>30</v>
      </c>
      <c r="H15069" s="8" t="inlineStr">
        <is>
          <t>OPERATING</t>
        </is>
      </c>
    </row>
    <row r="15070">
      <c r="A15070" s="8" t="inlineStr">
        <is>
          <t>2026-08-03</t>
        </is>
      </c>
      <c r="B15070" s="8" t="n">
        <v>14</v>
      </c>
      <c r="C15070" s="8" t="n">
        <v>45</v>
      </c>
      <c r="D15070" s="8" t="inlineStr">
        <is>
          <t>Disneyland Park</t>
        </is>
      </c>
      <c r="E15070" s="8" t="inlineStr">
        <is>
          <t>Indiana Jones™ and the Temple of Peril</t>
        </is>
      </c>
      <c r="F15070" s="8" t="inlineStr">
        <is>
          <t>STANDBY</t>
        </is>
      </c>
      <c r="G15070" s="8" t="n">
        <v>45</v>
      </c>
      <c r="H15070" s="8" t="inlineStr">
        <is>
          <t>OPERATING</t>
        </is>
      </c>
    </row>
    <row r="15071">
      <c r="A15071" s="8" t="inlineStr">
        <is>
          <t>2026-08-03</t>
        </is>
      </c>
      <c r="B15071" s="8" t="n">
        <v>14</v>
      </c>
      <c r="C15071" s="8" t="n">
        <v>45</v>
      </c>
      <c r="D15071" s="8" t="inlineStr">
        <is>
          <t>Disneyland Park</t>
        </is>
      </c>
      <c r="E15071" s="8" t="inlineStr">
        <is>
          <t>La Cabane des Robinson</t>
        </is>
      </c>
      <c r="F15071" s="8" t="inlineStr">
        <is>
          <t>STANDBY</t>
        </is>
      </c>
      <c r="G15071" s="8" t="n">
        <v>5</v>
      </c>
      <c r="H15071" s="8" t="inlineStr">
        <is>
          <t>OPERATING</t>
        </is>
      </c>
    </row>
    <row r="15072">
      <c r="A15072" s="8" t="inlineStr">
        <is>
          <t>2026-08-03</t>
        </is>
      </c>
      <c r="B15072" s="8" t="n">
        <v>14</v>
      </c>
      <c r="C15072" s="8" t="n">
        <v>45</v>
      </c>
      <c r="D15072" s="8" t="inlineStr">
        <is>
          <t>Disneyland Park</t>
        </is>
      </c>
      <c r="E15072" s="8" t="inlineStr">
        <is>
          <t>Le Passage Enchanté d'Aladdin</t>
        </is>
      </c>
      <c r="F15072" s="8" t="inlineStr">
        <is>
          <t>STANDBY</t>
        </is>
      </c>
      <c r="G15072" s="8" t="n">
        <v>0</v>
      </c>
      <c r="H15072" s="8" t="inlineStr">
        <is>
          <t>OPERATING</t>
        </is>
      </c>
    </row>
    <row r="15073">
      <c r="A15073" s="8" t="inlineStr">
        <is>
          <t>2026-08-03</t>
        </is>
      </c>
      <c r="B15073" s="8" t="n">
        <v>14</v>
      </c>
      <c r="C15073" s="8" t="n">
        <v>45</v>
      </c>
      <c r="D15073" s="8" t="inlineStr">
        <is>
          <t>Disneyland Park</t>
        </is>
      </c>
      <c r="E15073" s="8" t="inlineStr">
        <is>
          <t>Pirate Galleon</t>
        </is>
      </c>
      <c r="F15073" s="8" t="inlineStr">
        <is>
          <t>STANDBY</t>
        </is>
      </c>
      <c r="G15073" s="8" t="n">
        <v>0</v>
      </c>
      <c r="H15073" s="8" t="inlineStr">
        <is>
          <t>CLOSED</t>
        </is>
      </c>
    </row>
    <row r="15074">
      <c r="A15074" s="8" t="inlineStr">
        <is>
          <t>2026-08-03</t>
        </is>
      </c>
      <c r="B15074" s="8" t="n">
        <v>14</v>
      </c>
      <c r="C15074" s="8" t="n">
        <v>45</v>
      </c>
      <c r="D15074" s="8" t="inlineStr">
        <is>
          <t>Disneyland Park</t>
        </is>
      </c>
      <c r="E15074" s="8" t="inlineStr">
        <is>
          <t>Pirates of the Caribbean</t>
        </is>
      </c>
      <c r="F15074" s="8" t="inlineStr">
        <is>
          <t>STANDBY</t>
        </is>
      </c>
      <c r="G15074" s="8" t="n">
        <v>35</v>
      </c>
      <c r="H15074" s="8" t="inlineStr">
        <is>
          <t>OPERATING</t>
        </is>
      </c>
    </row>
    <row r="15075">
      <c r="A15075" s="8" t="inlineStr">
        <is>
          <t>2026-08-03</t>
        </is>
      </c>
      <c r="B15075" s="8" t="n">
        <v>14</v>
      </c>
      <c r="C15075" s="8" t="n">
        <v>45</v>
      </c>
      <c r="D15075" s="8" t="inlineStr">
        <is>
          <t>Disneyland Park</t>
        </is>
      </c>
      <c r="E15075" s="8" t="inlineStr">
        <is>
          <t>Pirates' Beach</t>
        </is>
      </c>
      <c r="F15075" s="8" t="inlineStr">
        <is>
          <t>STANDBY</t>
        </is>
      </c>
      <c r="G15075" s="8" t="n">
        <v>0</v>
      </c>
      <c r="H15075" s="8" t="inlineStr">
        <is>
          <t>OPERATING</t>
        </is>
      </c>
    </row>
    <row r="15076">
      <c r="A15076" s="8" t="inlineStr">
        <is>
          <t>2026-08-03</t>
        </is>
      </c>
      <c r="B15076" s="8" t="n">
        <v>14</v>
      </c>
      <c r="C15076" s="8" t="n">
        <v>45</v>
      </c>
      <c r="D15076" s="8" t="inlineStr">
        <is>
          <t>Disneyland Park</t>
        </is>
      </c>
      <c r="E15076" s="8" t="inlineStr">
        <is>
          <t>Autopia, presented by Avis</t>
        </is>
      </c>
      <c r="F15076" s="8" t="inlineStr">
        <is>
          <t>STANDBY</t>
        </is>
      </c>
      <c r="G15076" s="8" t="n">
        <v>0</v>
      </c>
      <c r="H15076" s="8" t="inlineStr">
        <is>
          <t>CLOSED</t>
        </is>
      </c>
    </row>
    <row r="15077">
      <c r="A15077" s="8" t="inlineStr">
        <is>
          <t>2026-08-03</t>
        </is>
      </c>
      <c r="B15077" s="8" t="n">
        <v>14</v>
      </c>
      <c r="C15077" s="8" t="n">
        <v>45</v>
      </c>
      <c r="D15077" s="8" t="inlineStr">
        <is>
          <t>Disneyland Park</t>
        </is>
      </c>
      <c r="E15077" s="8" t="inlineStr">
        <is>
          <t>Buzz Lightyear Laser Blast</t>
        </is>
      </c>
      <c r="F15077" s="8" t="inlineStr">
        <is>
          <t>STANDBY</t>
        </is>
      </c>
      <c r="G15077" s="8" t="n">
        <v>40</v>
      </c>
      <c r="H15077" s="8" t="inlineStr">
        <is>
          <t>OPERATING</t>
        </is>
      </c>
    </row>
    <row r="15078">
      <c r="A15078" s="8" t="inlineStr">
        <is>
          <t>2026-08-03</t>
        </is>
      </c>
      <c r="B15078" s="8" t="n">
        <v>14</v>
      </c>
      <c r="C15078" s="8" t="n">
        <v>45</v>
      </c>
      <c r="D15078" s="8" t="inlineStr">
        <is>
          <t>Disneyland Park</t>
        </is>
      </c>
      <c r="E15078" s="8" t="inlineStr">
        <is>
          <t>Disneyland Railroad Discoveryland Station</t>
        </is>
      </c>
      <c r="F15078" s="8" t="inlineStr">
        <is>
          <t>STANDBY</t>
        </is>
      </c>
      <c r="G15078" s="8" t="n">
        <v>0</v>
      </c>
      <c r="H15078" s="8" t="inlineStr">
        <is>
          <t>CLOSED</t>
        </is>
      </c>
    </row>
    <row r="15079">
      <c r="A15079" s="8" t="inlineStr">
        <is>
          <t>2026-08-03</t>
        </is>
      </c>
      <c r="B15079" s="8" t="n">
        <v>14</v>
      </c>
      <c r="C15079" s="8" t="n">
        <v>45</v>
      </c>
      <c r="D15079" s="8" t="inlineStr">
        <is>
          <t>Disneyland Park</t>
        </is>
      </c>
      <c r="E15079" s="8" t="inlineStr">
        <is>
          <t>Les Mystères du Nautilus</t>
        </is>
      </c>
      <c r="F15079" s="8" t="inlineStr">
        <is>
          <t>STANDBY</t>
        </is>
      </c>
      <c r="G15079" s="8" t="n">
        <v>5</v>
      </c>
      <c r="H15079" s="8" t="inlineStr">
        <is>
          <t>OPERATING</t>
        </is>
      </c>
    </row>
    <row r="15080">
      <c r="A15080" s="8" t="inlineStr">
        <is>
          <t>2026-08-03</t>
        </is>
      </c>
      <c r="B15080" s="8" t="n">
        <v>14</v>
      </c>
      <c r="C15080" s="8" t="n">
        <v>45</v>
      </c>
      <c r="D15080" s="8" t="inlineStr">
        <is>
          <t>Disneyland Park</t>
        </is>
      </c>
      <c r="E15080" s="8" t="inlineStr">
        <is>
          <t>Mickey’s PhilharMagic</t>
        </is>
      </c>
      <c r="F15080" s="8" t="inlineStr">
        <is>
          <t>STANDBY</t>
        </is>
      </c>
      <c r="G15080" s="8" t="n">
        <v>0</v>
      </c>
      <c r="H15080" s="8" t="inlineStr">
        <is>
          <t>OPERATING</t>
        </is>
      </c>
    </row>
    <row r="15081">
      <c r="A15081" s="8" t="inlineStr">
        <is>
          <t>2026-08-03</t>
        </is>
      </c>
      <c r="B15081" s="8" t="n">
        <v>14</v>
      </c>
      <c r="C15081" s="8" t="n">
        <v>45</v>
      </c>
      <c r="D15081" s="8" t="inlineStr">
        <is>
          <t>Disneyland Park</t>
        </is>
      </c>
      <c r="E15081" s="8" t="inlineStr">
        <is>
          <t>Orbitron®</t>
        </is>
      </c>
      <c r="F15081" s="8" t="inlineStr">
        <is>
          <t>STANDBY</t>
        </is>
      </c>
      <c r="G15081" s="8" t="n">
        <v>0</v>
      </c>
      <c r="H15081" s="8" t="inlineStr">
        <is>
          <t>CLOSED</t>
        </is>
      </c>
    </row>
    <row r="15082">
      <c r="A15082" s="8" t="inlineStr">
        <is>
          <t>2026-08-03</t>
        </is>
      </c>
      <c r="B15082" s="8" t="n">
        <v>14</v>
      </c>
      <c r="C15082" s="8" t="n">
        <v>45</v>
      </c>
      <c r="D15082" s="8" t="inlineStr">
        <is>
          <t>Disneyland Park</t>
        </is>
      </c>
      <c r="E15082" s="8" t="inlineStr">
        <is>
          <t>Star Tours: The Adventures Continue*</t>
        </is>
      </c>
      <c r="F15082" s="8" t="inlineStr">
        <is>
          <t>STANDBY</t>
        </is>
      </c>
      <c r="G15082" s="8" t="n">
        <v>20</v>
      </c>
      <c r="H15082" s="8" t="inlineStr">
        <is>
          <t>OPERATING</t>
        </is>
      </c>
    </row>
    <row r="15083">
      <c r="A15083" s="8" t="inlineStr">
        <is>
          <t>2026-08-03</t>
        </is>
      </c>
      <c r="B15083" s="8" t="n">
        <v>14</v>
      </c>
      <c r="C15083" s="8" t="n">
        <v>45</v>
      </c>
      <c r="D15083" s="8" t="inlineStr">
        <is>
          <t>Disneyland Park</t>
        </is>
      </c>
      <c r="E15083" s="8" t="inlineStr">
        <is>
          <t>Star Wars Hyperspace Mountain</t>
        </is>
      </c>
      <c r="F15083" s="8" t="inlineStr">
        <is>
          <t>STANDBY</t>
        </is>
      </c>
      <c r="G15083" s="8" t="n">
        <v>45</v>
      </c>
      <c r="H15083" s="8" t="inlineStr">
        <is>
          <t>OPERATING</t>
        </is>
      </c>
    </row>
    <row r="15084">
      <c r="A15084" s="8" t="inlineStr">
        <is>
          <t>2026-08-03</t>
        </is>
      </c>
      <c r="B15084" s="8" t="n">
        <v>14</v>
      </c>
      <c r="C15084" s="8" t="n">
        <v>45</v>
      </c>
      <c r="D15084" s="8" t="inlineStr">
        <is>
          <t>Disneyland Park</t>
        </is>
      </c>
      <c r="E15084" s="8" t="inlineStr">
        <is>
          <t>Star Wars Hyperspace Mountain Single Rider</t>
        </is>
      </c>
      <c r="F15084" s="8" t="inlineStr">
        <is>
          <t>STANDBY</t>
        </is>
      </c>
      <c r="G15084" s="8" t="n">
        <v>35</v>
      </c>
      <c r="H15084" s="8" t="inlineStr">
        <is>
          <t>OPERATING</t>
        </is>
      </c>
    </row>
    <row r="15085">
      <c r="A15085" s="8" t="inlineStr">
        <is>
          <t>2026-08-03</t>
        </is>
      </c>
      <c r="B15085" s="8" t="n">
        <v>14</v>
      </c>
      <c r="C15085" s="8" t="n">
        <v>45</v>
      </c>
      <c r="D15085" s="8" t="inlineStr">
        <is>
          <t>Disneyland Park</t>
        </is>
      </c>
      <c r="E15085" s="8" t="inlineStr">
        <is>
          <t>Welcome to Starport: A Star Wars Encounter</t>
        </is>
      </c>
      <c r="F15085" s="8" t="inlineStr">
        <is>
          <t>STANDBY</t>
        </is>
      </c>
      <c r="G15085" s="8" t="n">
        <v>40</v>
      </c>
      <c r="H15085" s="8" t="inlineStr">
        <is>
          <t>OPERATING</t>
        </is>
      </c>
    </row>
    <row r="15086">
      <c r="A15086" s="8" t="inlineStr">
        <is>
          <t>2026-08-03</t>
        </is>
      </c>
      <c r="B15086" s="8" t="n">
        <v>14</v>
      </c>
      <c r="C15086" s="8" t="n">
        <v>45</v>
      </c>
      <c r="D15086" s="8" t="inlineStr">
        <is>
          <t>Disneyland Park</t>
        </is>
      </c>
      <c r="E15086" s="8" t="inlineStr">
        <is>
          <t>"it's a small world"</t>
        </is>
      </c>
      <c r="F15086" s="8" t="inlineStr">
        <is>
          <t>STANDBY</t>
        </is>
      </c>
      <c r="G15086" s="8" t="n">
        <v>15</v>
      </c>
      <c r="H15086" s="8" t="inlineStr">
        <is>
          <t>OPERATING</t>
        </is>
      </c>
    </row>
    <row r="15087">
      <c r="A15087" s="8" t="inlineStr">
        <is>
          <t>2026-08-03</t>
        </is>
      </c>
      <c r="B15087" s="8" t="n">
        <v>14</v>
      </c>
      <c r="C15087" s="8" t="n">
        <v>45</v>
      </c>
      <c r="D15087" s="8" t="inlineStr">
        <is>
          <t>Disneyland Park</t>
        </is>
      </c>
      <c r="E15087" s="8" t="inlineStr">
        <is>
          <t>Alice's Curious Labyrinth</t>
        </is>
      </c>
      <c r="F15087" s="8" t="inlineStr">
        <is>
          <t>STANDBY</t>
        </is>
      </c>
      <c r="G15087" s="8" t="n">
        <v>5</v>
      </c>
      <c r="H15087" s="8" t="inlineStr">
        <is>
          <t>OPERATING</t>
        </is>
      </c>
    </row>
    <row r="15088">
      <c r="A15088" s="8" t="inlineStr">
        <is>
          <t>2026-08-03</t>
        </is>
      </c>
      <c r="B15088" s="8" t="n">
        <v>14</v>
      </c>
      <c r="C15088" s="8" t="n">
        <v>45</v>
      </c>
      <c r="D15088" s="8" t="inlineStr">
        <is>
          <t>Disneyland Park</t>
        </is>
      </c>
      <c r="E15088" s="8" t="inlineStr">
        <is>
          <t>Blanche-Neige et les Sept Nains®</t>
        </is>
      </c>
      <c r="F15088" s="8" t="inlineStr">
        <is>
          <t>STANDBY</t>
        </is>
      </c>
      <c r="G15088" s="8" t="n">
        <v>35</v>
      </c>
      <c r="H15088" s="8" t="inlineStr">
        <is>
          <t>OPERATING</t>
        </is>
      </c>
    </row>
    <row r="15089">
      <c r="A15089" s="8" t="inlineStr">
        <is>
          <t>2026-08-03</t>
        </is>
      </c>
      <c r="B15089" s="8" t="n">
        <v>14</v>
      </c>
      <c r="C15089" s="8" t="n">
        <v>45</v>
      </c>
      <c r="D15089" s="8" t="inlineStr">
        <is>
          <t>Disneyland Park</t>
        </is>
      </c>
      <c r="E15089" s="8" t="inlineStr">
        <is>
          <t>Casey Jr. – le Petit Train du Cirque</t>
        </is>
      </c>
      <c r="F15089" s="8" t="inlineStr">
        <is>
          <t>STANDBY</t>
        </is>
      </c>
      <c r="G15089" s="8" t="n">
        <v>0</v>
      </c>
      <c r="H15089" s="8" t="inlineStr">
        <is>
          <t>CLOSED</t>
        </is>
      </c>
    </row>
    <row r="15090">
      <c r="A15090" s="8" t="inlineStr">
        <is>
          <t>2026-08-03</t>
        </is>
      </c>
      <c r="B15090" s="8" t="n">
        <v>14</v>
      </c>
      <c r="C15090" s="8" t="n">
        <v>45</v>
      </c>
      <c r="D15090" s="8" t="inlineStr">
        <is>
          <t>Disneyland Park</t>
        </is>
      </c>
      <c r="E15090" s="8" t="inlineStr">
        <is>
          <t>Disneyland Railroad Fantasyland Station</t>
        </is>
      </c>
      <c r="F15090" s="8" t="inlineStr">
        <is>
          <t>STANDBY</t>
        </is>
      </c>
      <c r="G15090" s="8" t="n">
        <v>0</v>
      </c>
      <c r="H15090" s="8" t="inlineStr">
        <is>
          <t>CLOSED</t>
        </is>
      </c>
    </row>
    <row r="15091">
      <c r="A15091" s="8" t="inlineStr">
        <is>
          <t>2026-08-03</t>
        </is>
      </c>
      <c r="B15091" s="8" t="n">
        <v>14</v>
      </c>
      <c r="C15091" s="8" t="n">
        <v>45</v>
      </c>
      <c r="D15091" s="8" t="inlineStr">
        <is>
          <t>Disneyland Park</t>
        </is>
      </c>
      <c r="E15091" s="8" t="inlineStr">
        <is>
          <t>Disneyland Railroad Main Street Station</t>
        </is>
      </c>
      <c r="F15091" s="8" t="inlineStr">
        <is>
          <t>STANDBY</t>
        </is>
      </c>
      <c r="G15091" s="8" t="n">
        <v>0</v>
      </c>
      <c r="H15091" s="8" t="inlineStr">
        <is>
          <t>CLOSED</t>
        </is>
      </c>
    </row>
    <row r="15092">
      <c r="A15092" s="8" t="inlineStr">
        <is>
          <t>2026-08-03</t>
        </is>
      </c>
      <c r="B15092" s="8" t="n">
        <v>14</v>
      </c>
      <c r="C15092" s="8" t="n">
        <v>45</v>
      </c>
      <c r="D15092" s="8" t="inlineStr">
        <is>
          <t>Disneyland Park</t>
        </is>
      </c>
      <c r="E15092" s="8" t="inlineStr">
        <is>
          <t>Dumbo the Flying Elephant</t>
        </is>
      </c>
      <c r="F15092" s="8" t="inlineStr">
        <is>
          <t>STANDBY</t>
        </is>
      </c>
      <c r="G15092" s="8" t="n">
        <v>0</v>
      </c>
      <c r="H15092" s="8" t="inlineStr">
        <is>
          <t>CLOSED</t>
        </is>
      </c>
    </row>
    <row r="15093">
      <c r="A15093" s="8" t="inlineStr">
        <is>
          <t>2026-08-03</t>
        </is>
      </c>
      <c r="B15093" s="8" t="n">
        <v>14</v>
      </c>
      <c r="C15093" s="8" t="n">
        <v>45</v>
      </c>
      <c r="D15093" s="8" t="inlineStr">
        <is>
          <t>Disneyland Park</t>
        </is>
      </c>
      <c r="E15093" s="8" t="inlineStr">
        <is>
          <t>La Tanière du Dragon</t>
        </is>
      </c>
      <c r="F15093" s="8" t="inlineStr">
        <is>
          <t>STANDBY</t>
        </is>
      </c>
      <c r="G15093" s="8" t="n">
        <v>0</v>
      </c>
      <c r="H15093" s="8" t="inlineStr">
        <is>
          <t>OPERATING</t>
        </is>
      </c>
    </row>
    <row r="15094">
      <c r="A15094" s="8" t="inlineStr">
        <is>
          <t>2026-08-03</t>
        </is>
      </c>
      <c r="B15094" s="8" t="n">
        <v>14</v>
      </c>
      <c r="C15094" s="8" t="n">
        <v>45</v>
      </c>
      <c r="D15094" s="8" t="inlineStr">
        <is>
          <t>Disneyland Park</t>
        </is>
      </c>
      <c r="E15094" s="8" t="inlineStr">
        <is>
          <t>Le Carrousel de Lancelot</t>
        </is>
      </c>
      <c r="F15094" s="8" t="inlineStr">
        <is>
          <t>STANDBY</t>
        </is>
      </c>
      <c r="G15094" s="8" t="n">
        <v>10</v>
      </c>
      <c r="H15094" s="8" t="inlineStr">
        <is>
          <t>OPERATING</t>
        </is>
      </c>
    </row>
    <row r="15095">
      <c r="A15095" s="8" t="inlineStr">
        <is>
          <t>2026-08-03</t>
        </is>
      </c>
      <c r="B15095" s="8" t="n">
        <v>14</v>
      </c>
      <c r="C15095" s="8" t="n">
        <v>45</v>
      </c>
      <c r="D15095" s="8" t="inlineStr">
        <is>
          <t>Disneyland Park</t>
        </is>
      </c>
      <c r="E15095" s="8" t="inlineStr">
        <is>
          <t>Le Pays des Contes de Fées, presented by Vittel</t>
        </is>
      </c>
      <c r="F15095" s="8" t="inlineStr">
        <is>
          <t>STANDBY</t>
        </is>
      </c>
      <c r="G15095" s="8" t="n">
        <v>0</v>
      </c>
      <c r="H15095" s="8" t="inlineStr">
        <is>
          <t>CLOSED</t>
        </is>
      </c>
    </row>
    <row r="15096">
      <c r="A15096" s="8" t="inlineStr">
        <is>
          <t>2026-08-03</t>
        </is>
      </c>
      <c r="B15096" s="8" t="n">
        <v>14</v>
      </c>
      <c r="C15096" s="8" t="n">
        <v>45</v>
      </c>
      <c r="D15096" s="8" t="inlineStr">
        <is>
          <t>Disneyland Park</t>
        </is>
      </c>
      <c r="E15096" s="8" t="inlineStr">
        <is>
          <t>Les Voyages de Pinocchio</t>
        </is>
      </c>
      <c r="F15096" s="8" t="inlineStr">
        <is>
          <t>STANDBY</t>
        </is>
      </c>
      <c r="G15096" s="8" t="n">
        <v>25</v>
      </c>
      <c r="H15096" s="8" t="inlineStr">
        <is>
          <t>OPERATING</t>
        </is>
      </c>
    </row>
    <row r="15097">
      <c r="A15097" s="8" t="inlineStr">
        <is>
          <t>2026-08-03</t>
        </is>
      </c>
      <c r="B15097" s="8" t="n">
        <v>14</v>
      </c>
      <c r="C15097" s="8" t="n">
        <v>45</v>
      </c>
      <c r="D15097" s="8" t="inlineStr">
        <is>
          <t>Disneyland Park</t>
        </is>
      </c>
      <c r="E15097" s="8" t="inlineStr">
        <is>
          <t>Mad Hatter's Tea Cups</t>
        </is>
      </c>
      <c r="F15097" s="8" t="inlineStr">
        <is>
          <t>STANDBY</t>
        </is>
      </c>
      <c r="G15097" s="8" t="n">
        <v>15</v>
      </c>
      <c r="H15097" s="8" t="inlineStr">
        <is>
          <t>OPERATING</t>
        </is>
      </c>
    </row>
    <row r="15098">
      <c r="A15098" s="8" t="inlineStr">
        <is>
          <t>2026-08-03</t>
        </is>
      </c>
      <c r="B15098" s="8" t="n">
        <v>14</v>
      </c>
      <c r="C15098" s="8" t="n">
        <v>45</v>
      </c>
      <c r="D15098" s="8" t="inlineStr">
        <is>
          <t>Disneyland Park</t>
        </is>
      </c>
      <c r="E15098" s="8" t="inlineStr">
        <is>
          <t>Meet Mickey Mouse</t>
        </is>
      </c>
      <c r="F15098" s="8" t="inlineStr">
        <is>
          <t>STANDBY</t>
        </is>
      </c>
      <c r="G15098" s="8" t="n">
        <v>0</v>
      </c>
      <c r="H15098" s="8" t="inlineStr">
        <is>
          <t>OPERATING</t>
        </is>
      </c>
    </row>
    <row r="15099">
      <c r="A15099" s="8" t="inlineStr">
        <is>
          <t>2026-08-03</t>
        </is>
      </c>
      <c r="B15099" s="8" t="n">
        <v>14</v>
      </c>
      <c r="C15099" s="8" t="n">
        <v>45</v>
      </c>
      <c r="D15099" s="8" t="inlineStr">
        <is>
          <t>Disneyland Park</t>
        </is>
      </c>
      <c r="E15099" s="8" t="inlineStr">
        <is>
          <t>Peter Pan's Flight</t>
        </is>
      </c>
      <c r="F15099" s="8" t="inlineStr">
        <is>
          <t>STANDBY</t>
        </is>
      </c>
      <c r="G15099" s="8" t="n">
        <v>65</v>
      </c>
      <c r="H15099" s="8" t="inlineStr">
        <is>
          <t>OPERATING</t>
        </is>
      </c>
    </row>
    <row r="15100">
      <c r="A15100" s="8" t="inlineStr">
        <is>
          <t>2026-08-03</t>
        </is>
      </c>
      <c r="B15100" s="8" t="n">
        <v>14</v>
      </c>
      <c r="C15100" s="8" t="n">
        <v>45</v>
      </c>
      <c r="D15100" s="8" t="inlineStr">
        <is>
          <t>Disneyland Park</t>
        </is>
      </c>
      <c r="E15100" s="8" t="inlineStr">
        <is>
          <t>Princess Pavilion</t>
        </is>
      </c>
      <c r="F15100" s="8" t="inlineStr">
        <is>
          <t>STANDBY</t>
        </is>
      </c>
      <c r="G15100" s="8" t="n">
        <v>0</v>
      </c>
      <c r="H15100" s="8" t="inlineStr">
        <is>
          <t>OPERATING</t>
        </is>
      </c>
    </row>
    <row r="15101">
      <c r="A15101" s="8" t="inlineStr">
        <is>
          <t>2026-08-03</t>
        </is>
      </c>
      <c r="B15101" s="8" t="n">
        <v>14</v>
      </c>
      <c r="C15101" s="8" t="n">
        <v>45</v>
      </c>
      <c r="D15101" s="8" t="inlineStr">
        <is>
          <t>Disneyland Park</t>
        </is>
      </c>
      <c r="E15101" s="8" t="inlineStr">
        <is>
          <t>Big Thunder Mountain</t>
        </is>
      </c>
      <c r="F15101" s="8" t="inlineStr">
        <is>
          <t>STANDBY</t>
        </is>
      </c>
      <c r="G15101" s="8" t="n">
        <v>60</v>
      </c>
      <c r="H15101" s="8" t="inlineStr">
        <is>
          <t>OPERATING</t>
        </is>
      </c>
    </row>
    <row r="15102">
      <c r="A15102" s="8" t="inlineStr">
        <is>
          <t>2026-08-03</t>
        </is>
      </c>
      <c r="B15102" s="8" t="n">
        <v>14</v>
      </c>
      <c r="C15102" s="8" t="n">
        <v>45</v>
      </c>
      <c r="D15102" s="8" t="inlineStr">
        <is>
          <t>Disneyland Park</t>
        </is>
      </c>
      <c r="E15102" s="8" t="inlineStr">
        <is>
          <t>Disneyland Railroad Frontierland Depot</t>
        </is>
      </c>
      <c r="F15102" s="8" t="inlineStr">
        <is>
          <t>STANDBY</t>
        </is>
      </c>
      <c r="G15102" s="8" t="n">
        <v>0</v>
      </c>
      <c r="H15102" s="8" t="inlineStr">
        <is>
          <t>CLOSED</t>
        </is>
      </c>
    </row>
    <row r="15103">
      <c r="A15103" s="8" t="inlineStr">
        <is>
          <t>2026-08-03</t>
        </is>
      </c>
      <c r="B15103" s="8" t="n">
        <v>14</v>
      </c>
      <c r="C15103" s="8" t="n">
        <v>45</v>
      </c>
      <c r="D15103" s="8" t="inlineStr">
        <is>
          <t>Disneyland Park</t>
        </is>
      </c>
      <c r="E15103" s="8" t="inlineStr">
        <is>
          <t>Frontierland Playground</t>
        </is>
      </c>
      <c r="F15103" s="8" t="inlineStr">
        <is>
          <t>STANDBY</t>
        </is>
      </c>
      <c r="G15103" s="8" t="n">
        <v>0</v>
      </c>
      <c r="H15103" s="8" t="inlineStr">
        <is>
          <t>CLOSED</t>
        </is>
      </c>
    </row>
    <row r="15104">
      <c r="A15104" s="8" t="inlineStr">
        <is>
          <t>2026-08-03</t>
        </is>
      </c>
      <c r="B15104" s="8" t="n">
        <v>14</v>
      </c>
      <c r="C15104" s="8" t="n">
        <v>45</v>
      </c>
      <c r="D15104" s="8" t="inlineStr">
        <is>
          <t>Disneyland Park</t>
        </is>
      </c>
      <c r="E15104" s="8" t="inlineStr">
        <is>
          <t>Phantom Manor</t>
        </is>
      </c>
      <c r="F15104" s="8" t="inlineStr">
        <is>
          <t>STANDBY</t>
        </is>
      </c>
      <c r="G15104" s="8" t="n">
        <v>20</v>
      </c>
      <c r="H15104" s="8" t="inlineStr">
        <is>
          <t>OPERATING</t>
        </is>
      </c>
    </row>
    <row r="15105">
      <c r="A15105" s="8" t="inlineStr">
        <is>
          <t>2026-08-03</t>
        </is>
      </c>
      <c r="B15105" s="8" t="n">
        <v>14</v>
      </c>
      <c r="C15105" s="8" t="n">
        <v>45</v>
      </c>
      <c r="D15105" s="8" t="inlineStr">
        <is>
          <t>Disneyland Park</t>
        </is>
      </c>
      <c r="E15105" s="8" t="inlineStr">
        <is>
          <t>River Rogue Keelboats</t>
        </is>
      </c>
      <c r="F15105" s="8" t="inlineStr">
        <is>
          <t>STANDBY</t>
        </is>
      </c>
      <c r="G15105" s="8" t="n">
        <v>0</v>
      </c>
      <c r="H15105" s="8" t="inlineStr">
        <is>
          <t>CLOSED</t>
        </is>
      </c>
    </row>
    <row r="15106">
      <c r="A15106" s="8" t="inlineStr">
        <is>
          <t>2026-08-03</t>
        </is>
      </c>
      <c r="B15106" s="8" t="n">
        <v>14</v>
      </c>
      <c r="C15106" s="8" t="n">
        <v>45</v>
      </c>
      <c r="D15106" s="8" t="inlineStr">
        <is>
          <t>Disneyland Park</t>
        </is>
      </c>
      <c r="E15106" s="8" t="inlineStr">
        <is>
          <t>Rustler Roundup Shootin' Gallery</t>
        </is>
      </c>
      <c r="F15106" s="8" t="inlineStr">
        <is>
          <t>STANDBY</t>
        </is>
      </c>
      <c r="G15106" s="8" t="n">
        <v>0</v>
      </c>
      <c r="H15106" s="8" t="inlineStr">
        <is>
          <t>OPERATING</t>
        </is>
      </c>
    </row>
    <row r="15107">
      <c r="A15107" s="8" t="inlineStr">
        <is>
          <t>2026-08-03</t>
        </is>
      </c>
      <c r="B15107" s="8" t="n">
        <v>14</v>
      </c>
      <c r="C15107" s="8" t="n">
        <v>45</v>
      </c>
      <c r="D15107" s="8" t="inlineStr">
        <is>
          <t>Disneyland Park</t>
        </is>
      </c>
      <c r="E15107" s="8" t="inlineStr">
        <is>
          <t>Thunder Mesa Riverboat Landing</t>
        </is>
      </c>
      <c r="F15107" s="8" t="inlineStr">
        <is>
          <t>STANDBY</t>
        </is>
      </c>
      <c r="G15107" s="8" t="n">
        <v>20</v>
      </c>
      <c r="H15107" s="8" t="inlineStr">
        <is>
          <t>OPERATING</t>
        </is>
      </c>
    </row>
    <row r="15108">
      <c r="A15108" s="8" t="inlineStr">
        <is>
          <t>2026-08-03</t>
        </is>
      </c>
      <c r="B15108" s="8" t="n">
        <v>14</v>
      </c>
      <c r="C15108" s="8" t="n">
        <v>45</v>
      </c>
      <c r="D15108" s="8" t="inlineStr">
        <is>
          <t>Disneyland Park</t>
        </is>
      </c>
      <c r="E15108" s="8" t="inlineStr">
        <is>
          <t>Disneyland Railroad Main Street Station</t>
        </is>
      </c>
      <c r="F15108" s="8" t="inlineStr">
        <is>
          <t>STANDBY</t>
        </is>
      </c>
      <c r="G15108" s="8" t="n">
        <v>0</v>
      </c>
      <c r="H15108" s="8" t="inlineStr">
        <is>
          <t>CLOSED</t>
        </is>
      </c>
    </row>
    <row r="15109">
      <c r="A15109" s="8" t="inlineStr">
        <is>
          <t>2026-08-03</t>
        </is>
      </c>
      <c r="B15109" s="8" t="n">
        <v>14</v>
      </c>
      <c r="C15109" s="8" t="n">
        <v>45</v>
      </c>
      <c r="D15109" s="8" t="inlineStr">
        <is>
          <t>Disneyland Park</t>
        </is>
      </c>
      <c r="E15109" s="8" t="inlineStr">
        <is>
          <t>Main Street Vehicles</t>
        </is>
      </c>
      <c r="F15109" s="8" t="inlineStr">
        <is>
          <t>STANDBY</t>
        </is>
      </c>
      <c r="G15109" s="8" t="n">
        <v>0</v>
      </c>
      <c r="H15109" s="8" t="inlineStr">
        <is>
          <t>CLOSED</t>
        </is>
      </c>
    </row>
    <row r="15110">
      <c r="A15110" s="8" t="inlineStr">
        <is>
          <t>2026-08-03</t>
        </is>
      </c>
      <c r="B15110" s="8" t="n">
        <v>14</v>
      </c>
      <c r="C15110" s="8" t="n">
        <v>45</v>
      </c>
      <c r="D15110" s="8" t="inlineStr">
        <is>
          <t>Disney Adventure World</t>
        </is>
      </c>
      <c r="E15110" s="8" t="inlineStr">
        <is>
          <t>Avengers Assemble: Flight Force</t>
        </is>
      </c>
      <c r="F15110" s="8" t="inlineStr">
        <is>
          <t>STANDBY</t>
        </is>
      </c>
      <c r="G15110" s="8" t="n">
        <v>25</v>
      </c>
      <c r="H15110" s="8" t="inlineStr">
        <is>
          <t>OPERATING</t>
        </is>
      </c>
    </row>
    <row r="15111">
      <c r="A15111" s="8" t="inlineStr">
        <is>
          <t>2026-08-03</t>
        </is>
      </c>
      <c r="B15111" s="8" t="n">
        <v>14</v>
      </c>
      <c r="C15111" s="8" t="n">
        <v>45</v>
      </c>
      <c r="D15111" s="8" t="inlineStr">
        <is>
          <t>Disney Adventure World</t>
        </is>
      </c>
      <c r="E15111" s="8" t="inlineStr">
        <is>
          <t>Avengers Assemble: Flight Force Single Rider</t>
        </is>
      </c>
      <c r="F15111" s="8" t="inlineStr">
        <is>
          <t>STANDBY</t>
        </is>
      </c>
      <c r="G15111" s="8" t="n">
        <v>15</v>
      </c>
      <c r="H15111" s="8" t="inlineStr">
        <is>
          <t>OPERATING</t>
        </is>
      </c>
    </row>
    <row r="15112">
      <c r="A15112" s="8" t="inlineStr">
        <is>
          <t>2026-08-03</t>
        </is>
      </c>
      <c r="B15112" s="8" t="n">
        <v>14</v>
      </c>
      <c r="C15112" s="8" t="n">
        <v>45</v>
      </c>
      <c r="D15112" s="8" t="inlineStr">
        <is>
          <t>Disney Adventure World</t>
        </is>
      </c>
      <c r="E15112" s="8" t="inlineStr">
        <is>
          <t>Spider-Man W.E.B. Adventure</t>
        </is>
      </c>
      <c r="F15112" s="8" t="inlineStr">
        <is>
          <t>STANDBY</t>
        </is>
      </c>
      <c r="G15112" s="8" t="n">
        <v>45</v>
      </c>
      <c r="H15112" s="8" t="inlineStr">
        <is>
          <t>OPERATING</t>
        </is>
      </c>
    </row>
    <row r="15113">
      <c r="A15113" s="8" t="inlineStr">
        <is>
          <t>2026-08-03</t>
        </is>
      </c>
      <c r="B15113" s="8" t="n">
        <v>14</v>
      </c>
      <c r="C15113" s="8" t="n">
        <v>45</v>
      </c>
      <c r="D15113" s="8" t="inlineStr">
        <is>
          <t>Disney Adventure World</t>
        </is>
      </c>
      <c r="E15113" s="8" t="inlineStr">
        <is>
          <t>Spider-Man W.E.B. Adventure Single Rider</t>
        </is>
      </c>
      <c r="F15113" s="8" t="inlineStr">
        <is>
          <t>STANDBY</t>
        </is>
      </c>
      <c r="G15113" s="8" t="n">
        <v>30</v>
      </c>
      <c r="H15113" s="8" t="inlineStr">
        <is>
          <t>OPERATING</t>
        </is>
      </c>
    </row>
    <row r="15114">
      <c r="A15114" s="8" t="inlineStr">
        <is>
          <t>2026-08-03</t>
        </is>
      </c>
      <c r="B15114" s="8" t="n">
        <v>14</v>
      </c>
      <c r="C15114" s="8" t="n">
        <v>45</v>
      </c>
      <c r="D15114" s="8" t="inlineStr">
        <is>
          <t>Disney Adventure World</t>
        </is>
      </c>
      <c r="E15114" s="8" t="inlineStr">
        <is>
          <t>The Twilight Zone Tower of Terror</t>
        </is>
      </c>
      <c r="F15114" s="8" t="inlineStr">
        <is>
          <t>STANDBY</t>
        </is>
      </c>
      <c r="G15114" s="8" t="n">
        <v>15</v>
      </c>
      <c r="H15114" s="8" t="inlineStr">
        <is>
          <t>OPERATING</t>
        </is>
      </c>
    </row>
    <row r="15115">
      <c r="A15115" s="8" t="inlineStr">
        <is>
          <t>2026-08-03</t>
        </is>
      </c>
      <c r="B15115" s="8" t="n">
        <v>14</v>
      </c>
      <c r="C15115" s="8" t="n">
        <v>45</v>
      </c>
      <c r="D15115" s="8" t="inlineStr">
        <is>
          <t>Disney Adventure World</t>
        </is>
      </c>
      <c r="E15115" s="8" t="inlineStr">
        <is>
          <t>Cars Quatre Roues Rallye</t>
        </is>
      </c>
      <c r="F15115" s="8" t="inlineStr">
        <is>
          <t>STANDBY</t>
        </is>
      </c>
      <c r="G15115" s="8" t="n">
        <v>15</v>
      </c>
      <c r="H15115" s="8" t="inlineStr">
        <is>
          <t>OPERATING</t>
        </is>
      </c>
    </row>
    <row r="15116">
      <c r="A15116" s="8" t="inlineStr">
        <is>
          <t>2026-08-03</t>
        </is>
      </c>
      <c r="B15116" s="8" t="n">
        <v>14</v>
      </c>
      <c r="C15116" s="8" t="n">
        <v>45</v>
      </c>
      <c r="D15116" s="8" t="inlineStr">
        <is>
          <t>Disney Adventure World</t>
        </is>
      </c>
      <c r="E15116" s="8" t="inlineStr">
        <is>
          <t>Cars ROAD TRIP</t>
        </is>
      </c>
      <c r="F15116" s="8" t="inlineStr">
        <is>
          <t>STANDBY</t>
        </is>
      </c>
      <c r="G15116" s="8" t="n">
        <v>0</v>
      </c>
      <c r="H15116" s="8" t="inlineStr">
        <is>
          <t>CLOSED</t>
        </is>
      </c>
    </row>
    <row r="15117">
      <c r="A15117" s="8" t="inlineStr">
        <is>
          <t>2026-08-03</t>
        </is>
      </c>
      <c r="B15117" s="8" t="n">
        <v>14</v>
      </c>
      <c r="C15117" s="8" t="n">
        <v>45</v>
      </c>
      <c r="D15117" s="8" t="inlineStr">
        <is>
          <t>Disney Adventure World</t>
        </is>
      </c>
      <c r="E15117" s="8" t="inlineStr">
        <is>
          <t>Crush's Coaster</t>
        </is>
      </c>
      <c r="F15117" s="8" t="inlineStr">
        <is>
          <t>STANDBY</t>
        </is>
      </c>
      <c r="G15117" s="8" t="n">
        <v>70</v>
      </c>
      <c r="H15117" s="8" t="inlineStr">
        <is>
          <t>OPERATING</t>
        </is>
      </c>
    </row>
    <row r="15118">
      <c r="A15118" s="8" t="inlineStr">
        <is>
          <t>2026-08-03</t>
        </is>
      </c>
      <c r="B15118" s="8" t="n">
        <v>14</v>
      </c>
      <c r="C15118" s="8" t="n">
        <v>45</v>
      </c>
      <c r="D15118" s="8" t="inlineStr">
        <is>
          <t>Disney Adventure World</t>
        </is>
      </c>
      <c r="E15118" s="8" t="inlineStr">
        <is>
          <t>Crush's Coaster Single Rider</t>
        </is>
      </c>
      <c r="F15118" s="8" t="inlineStr">
        <is>
          <t>STANDBY</t>
        </is>
      </c>
      <c r="G15118" s="8" t="n">
        <v>60</v>
      </c>
      <c r="H15118" s="8" t="inlineStr">
        <is>
          <t>OPERATING</t>
        </is>
      </c>
    </row>
    <row r="15119">
      <c r="A15119" s="8" t="inlineStr">
        <is>
          <t>2026-08-03</t>
        </is>
      </c>
      <c r="B15119" s="8" t="n">
        <v>14</v>
      </c>
      <c r="C15119" s="8" t="n">
        <v>45</v>
      </c>
      <c r="D15119" s="8" t="inlineStr">
        <is>
          <t>Disney Adventure World</t>
        </is>
      </c>
      <c r="E15119" s="8" t="inlineStr">
        <is>
          <t>Les Tapis Volants - Flying Carpets Over Agrabah®</t>
        </is>
      </c>
      <c r="F15119" s="8" t="inlineStr">
        <is>
          <t>STANDBY</t>
        </is>
      </c>
      <c r="G15119" s="8" t="n">
        <v>0</v>
      </c>
      <c r="H15119" s="8" t="inlineStr">
        <is>
          <t>CLOSED</t>
        </is>
      </c>
    </row>
    <row r="15120">
      <c r="A15120" s="8" t="inlineStr">
        <is>
          <t>2026-08-03</t>
        </is>
      </c>
      <c r="B15120" s="8" t="n">
        <v>14</v>
      </c>
      <c r="C15120" s="8" t="n">
        <v>45</v>
      </c>
      <c r="D15120" s="8" t="inlineStr">
        <is>
          <t>Disney Adventure World</t>
        </is>
      </c>
      <c r="E15120" s="8" t="inlineStr">
        <is>
          <t>Ratatouille : L’Aventure Totalement Toquée de Rémy​</t>
        </is>
      </c>
      <c r="F15120" s="8" t="inlineStr">
        <is>
          <t>STANDBY</t>
        </is>
      </c>
      <c r="G15120" s="8" t="n">
        <v>80</v>
      </c>
      <c r="H15120" s="8" t="inlineStr">
        <is>
          <t>OPERATING</t>
        </is>
      </c>
    </row>
    <row r="15121">
      <c r="A15121" s="8" t="inlineStr">
        <is>
          <t>2026-08-03</t>
        </is>
      </c>
      <c r="B15121" s="8" t="n">
        <v>14</v>
      </c>
      <c r="C15121" s="8" t="n">
        <v>45</v>
      </c>
      <c r="D15121" s="8" t="inlineStr">
        <is>
          <t>Disney Adventure World</t>
        </is>
      </c>
      <c r="E15121" s="8" t="inlineStr">
        <is>
          <t>Ratatouille: The Adventure Single Rider</t>
        </is>
      </c>
      <c r="F15121" s="8" t="inlineStr">
        <is>
          <t>STANDBY</t>
        </is>
      </c>
      <c r="G15121" s="8" t="n">
        <v>15</v>
      </c>
      <c r="H15121" s="8" t="inlineStr">
        <is>
          <t>OPERATING</t>
        </is>
      </c>
    </row>
    <row r="15122">
      <c r="A15122" s="8" t="inlineStr">
        <is>
          <t>2026-08-03</t>
        </is>
      </c>
      <c r="B15122" s="8" t="n">
        <v>14</v>
      </c>
      <c r="C15122" s="8" t="n">
        <v>45</v>
      </c>
      <c r="D15122" s="8" t="inlineStr">
        <is>
          <t>Disney Adventure World</t>
        </is>
      </c>
      <c r="E15122" s="8" t="inlineStr">
        <is>
          <t>RC Racer</t>
        </is>
      </c>
      <c r="F15122" s="8" t="inlineStr">
        <is>
          <t>STANDBY</t>
        </is>
      </c>
      <c r="G15122" s="8" t="n">
        <v>0</v>
      </c>
      <c r="H15122" s="8" t="inlineStr">
        <is>
          <t>CLOSED</t>
        </is>
      </c>
    </row>
    <row r="15123">
      <c r="A15123" s="8" t="inlineStr">
        <is>
          <t>2026-08-03</t>
        </is>
      </c>
      <c r="B15123" s="8" t="n">
        <v>14</v>
      </c>
      <c r="C15123" s="8" t="n">
        <v>45</v>
      </c>
      <c r="D15123" s="8" t="inlineStr">
        <is>
          <t>Disney Adventure World</t>
        </is>
      </c>
      <c r="E15123" s="8" t="inlineStr">
        <is>
          <t>RC Racer Single Rider</t>
        </is>
      </c>
      <c r="F15123" s="8" t="inlineStr">
        <is>
          <t>STANDBY</t>
        </is>
      </c>
      <c r="G15123" s="8" t="n">
        <v>0</v>
      </c>
      <c r="H15123" s="8" t="inlineStr">
        <is>
          <t>CLOSED</t>
        </is>
      </c>
    </row>
    <row r="15124">
      <c r="A15124" s="8" t="inlineStr">
        <is>
          <t>2026-08-03</t>
        </is>
      </c>
      <c r="B15124" s="8" t="n">
        <v>14</v>
      </c>
      <c r="C15124" s="8" t="n">
        <v>45</v>
      </c>
      <c r="D15124" s="8" t="inlineStr">
        <is>
          <t>Disney Adventure World</t>
        </is>
      </c>
      <c r="E15124" s="8" t="inlineStr">
        <is>
          <t>Slinky® Dog Zigzag Spin</t>
        </is>
      </c>
      <c r="F15124" s="8" t="inlineStr">
        <is>
          <t>STANDBY</t>
        </is>
      </c>
      <c r="G15124" s="8" t="n">
        <v>0</v>
      </c>
      <c r="H15124" s="8" t="inlineStr">
        <is>
          <t>CLOSED</t>
        </is>
      </c>
    </row>
    <row r="15125">
      <c r="A15125" s="8" t="inlineStr">
        <is>
          <t>2026-08-03</t>
        </is>
      </c>
      <c r="B15125" s="8" t="n">
        <v>14</v>
      </c>
      <c r="C15125" s="8" t="n">
        <v>45</v>
      </c>
      <c r="D15125" s="8" t="inlineStr">
        <is>
          <t>Disney Adventure World</t>
        </is>
      </c>
      <c r="E15125" s="8" t="inlineStr">
        <is>
          <t>Toy Soldiers Parachute Drop</t>
        </is>
      </c>
      <c r="F15125" s="8" t="inlineStr">
        <is>
          <t>STANDBY</t>
        </is>
      </c>
      <c r="G15125" s="8" t="n">
        <v>45</v>
      </c>
      <c r="H15125" s="8" t="inlineStr">
        <is>
          <t>OPERATING</t>
        </is>
      </c>
    </row>
    <row r="15126">
      <c r="A15126" s="8" t="inlineStr">
        <is>
          <t>2026-08-03</t>
        </is>
      </c>
      <c r="B15126" s="8" t="n">
        <v>14</v>
      </c>
      <c r="C15126" s="8" t="n">
        <v>45</v>
      </c>
      <c r="D15126" s="8" t="inlineStr">
        <is>
          <t>Disney Adventure World</t>
        </is>
      </c>
      <c r="E15126" s="8" t="inlineStr">
        <is>
          <t>Toy Soldiers Parachute Drop Single Rider</t>
        </is>
      </c>
      <c r="F15126" s="8" t="inlineStr">
        <is>
          <t>STANDBY</t>
        </is>
      </c>
      <c r="G15126" s="8" t="n">
        <v>25</v>
      </c>
      <c r="H15126" s="8" t="inlineStr">
        <is>
          <t>OPERATING</t>
        </is>
      </c>
    </row>
    <row r="15127">
      <c r="A15127" s="8" t="inlineStr">
        <is>
          <t>2026-08-03</t>
        </is>
      </c>
      <c r="B15127" s="8" t="n">
        <v>14</v>
      </c>
      <c r="C15127" s="8" t="n">
        <v>45</v>
      </c>
      <c r="D15127" s="8" t="inlineStr">
        <is>
          <t>Disney Adventure World</t>
        </is>
      </c>
      <c r="E15127" s="8" t="inlineStr">
        <is>
          <t>Entry to World of Frozen</t>
        </is>
      </c>
      <c r="F15127" s="8" t="inlineStr">
        <is>
          <t>STANDBY</t>
        </is>
      </c>
      <c r="G15127" s="8" t="n">
        <v>0</v>
      </c>
      <c r="H15127" s="8" t="inlineStr">
        <is>
          <t>OPERATING</t>
        </is>
      </c>
    </row>
    <row r="15128">
      <c r="A15128" s="8" t="inlineStr">
        <is>
          <t>2026-08-03</t>
        </is>
      </c>
      <c r="B15128" s="8" t="n">
        <v>14</v>
      </c>
      <c r="C15128" s="8" t="n">
        <v>45</v>
      </c>
      <c r="D15128" s="8" t="inlineStr">
        <is>
          <t>Disney Adventure World</t>
        </is>
      </c>
      <c r="E15128" s="8" t="inlineStr">
        <is>
          <t>Frozen Ever After</t>
        </is>
      </c>
      <c r="F15128" s="8" t="inlineStr">
        <is>
          <t>STANDBY</t>
        </is>
      </c>
      <c r="G15128" s="8" t="n">
        <v>70</v>
      </c>
      <c r="H15128" s="8" t="inlineStr">
        <is>
          <t>OPERATING</t>
        </is>
      </c>
    </row>
    <row r="15129">
      <c r="A15129" s="8" t="inlineStr">
        <is>
          <t>2026-08-03</t>
        </is>
      </c>
      <c r="B15129" s="8" t="n">
        <v>14</v>
      </c>
      <c r="C15129" s="8" t="n">
        <v>45</v>
      </c>
      <c r="D15129" s="8" t="inlineStr">
        <is>
          <t>Disney Adventure World</t>
        </is>
      </c>
      <c r="E15129" s="8" t="inlineStr">
        <is>
          <t>Raiponce Tangled Spin</t>
        </is>
      </c>
      <c r="F15129" s="8" t="inlineStr">
        <is>
          <t>STANDBY</t>
        </is>
      </c>
      <c r="G15129" s="8" t="n">
        <v>10</v>
      </c>
      <c r="H15129" s="8" t="inlineStr">
        <is>
          <t>OPERATING</t>
        </is>
      </c>
    </row>
    <row r="15130">
      <c r="A15130" s="8" t="inlineStr">
        <is>
          <t>2026-08-03</t>
        </is>
      </c>
      <c r="B15130" s="8" t="n">
        <v>15</v>
      </c>
      <c r="C15130" s="8" t="n">
        <v>1</v>
      </c>
      <c r="D15130" s="8" t="inlineStr">
        <is>
          <t>Disneyland Park</t>
        </is>
      </c>
      <c r="E15130" s="8" t="inlineStr">
        <is>
          <t>Adventure Isle</t>
        </is>
      </c>
      <c r="F15130" s="8" t="inlineStr">
        <is>
          <t>STANDBY</t>
        </is>
      </c>
      <c r="G15130" s="8" t="n">
        <v>0</v>
      </c>
      <c r="H15130" s="8" t="inlineStr">
        <is>
          <t>OPERATING</t>
        </is>
      </c>
    </row>
    <row r="15131">
      <c r="A15131" s="8" t="inlineStr">
        <is>
          <t>2026-08-03</t>
        </is>
      </c>
      <c r="B15131" s="8" t="n">
        <v>15</v>
      </c>
      <c r="C15131" s="8" t="n">
        <v>1</v>
      </c>
      <c r="D15131" s="8" t="inlineStr">
        <is>
          <t>Disneyland Park</t>
        </is>
      </c>
      <c r="E15131" s="8" t="inlineStr">
        <is>
          <t>Indiana Jones and the Temple of Peril Single Rider</t>
        </is>
      </c>
      <c r="F15131" s="8" t="inlineStr">
        <is>
          <t>STANDBY</t>
        </is>
      </c>
      <c r="G15131" s="8" t="n">
        <v>15</v>
      </c>
      <c r="H15131" s="8" t="inlineStr">
        <is>
          <t>OPERATING</t>
        </is>
      </c>
    </row>
    <row r="15132">
      <c r="A15132" s="8" t="inlineStr">
        <is>
          <t>2026-08-03</t>
        </is>
      </c>
      <c r="B15132" s="8" t="n">
        <v>15</v>
      </c>
      <c r="C15132" s="8" t="n">
        <v>1</v>
      </c>
      <c r="D15132" s="8" t="inlineStr">
        <is>
          <t>Disneyland Park</t>
        </is>
      </c>
      <c r="E15132" s="8" t="inlineStr">
        <is>
          <t>Indiana Jones™ and the Temple of Peril</t>
        </is>
      </c>
      <c r="F15132" s="8" t="inlineStr">
        <is>
          <t>STANDBY</t>
        </is>
      </c>
      <c r="G15132" s="8" t="n">
        <v>30</v>
      </c>
      <c r="H15132" s="8" t="inlineStr">
        <is>
          <t>OPERATING</t>
        </is>
      </c>
    </row>
    <row r="15133">
      <c r="A15133" s="8" t="inlineStr">
        <is>
          <t>2026-08-03</t>
        </is>
      </c>
      <c r="B15133" s="8" t="n">
        <v>15</v>
      </c>
      <c r="C15133" s="8" t="n">
        <v>1</v>
      </c>
      <c r="D15133" s="8" t="inlineStr">
        <is>
          <t>Disneyland Park</t>
        </is>
      </c>
      <c r="E15133" s="8" t="inlineStr">
        <is>
          <t>La Cabane des Robinson</t>
        </is>
      </c>
      <c r="F15133" s="8" t="inlineStr">
        <is>
          <t>STANDBY</t>
        </is>
      </c>
      <c r="G15133" s="8" t="n">
        <v>5</v>
      </c>
      <c r="H15133" s="8" t="inlineStr">
        <is>
          <t>OPERATING</t>
        </is>
      </c>
    </row>
    <row r="15134">
      <c r="A15134" s="8" t="inlineStr">
        <is>
          <t>2026-08-03</t>
        </is>
      </c>
      <c r="B15134" s="8" t="n">
        <v>15</v>
      </c>
      <c r="C15134" s="8" t="n">
        <v>1</v>
      </c>
      <c r="D15134" s="8" t="inlineStr">
        <is>
          <t>Disneyland Park</t>
        </is>
      </c>
      <c r="E15134" s="8" t="inlineStr">
        <is>
          <t>Le Passage Enchanté d'Aladdin</t>
        </is>
      </c>
      <c r="F15134" s="8" t="inlineStr">
        <is>
          <t>STANDBY</t>
        </is>
      </c>
      <c r="G15134" s="8" t="n">
        <v>0</v>
      </c>
      <c r="H15134" s="8" t="inlineStr">
        <is>
          <t>OPERATING</t>
        </is>
      </c>
    </row>
    <row r="15135">
      <c r="A15135" s="8" t="inlineStr">
        <is>
          <t>2026-08-03</t>
        </is>
      </c>
      <c r="B15135" s="8" t="n">
        <v>15</v>
      </c>
      <c r="C15135" s="8" t="n">
        <v>1</v>
      </c>
      <c r="D15135" s="8" t="inlineStr">
        <is>
          <t>Disneyland Park</t>
        </is>
      </c>
      <c r="E15135" s="8" t="inlineStr">
        <is>
          <t>Pirate Galleon</t>
        </is>
      </c>
      <c r="F15135" s="8" t="inlineStr">
        <is>
          <t>STANDBY</t>
        </is>
      </c>
      <c r="G15135" s="8" t="n">
        <v>0</v>
      </c>
      <c r="H15135" s="8" t="inlineStr">
        <is>
          <t>CLOSED</t>
        </is>
      </c>
    </row>
    <row r="15136">
      <c r="A15136" s="8" t="inlineStr">
        <is>
          <t>2026-08-03</t>
        </is>
      </c>
      <c r="B15136" s="8" t="n">
        <v>15</v>
      </c>
      <c r="C15136" s="8" t="n">
        <v>1</v>
      </c>
      <c r="D15136" s="8" t="inlineStr">
        <is>
          <t>Disneyland Park</t>
        </is>
      </c>
      <c r="E15136" s="8" t="inlineStr">
        <is>
          <t>Pirates of the Caribbean</t>
        </is>
      </c>
      <c r="F15136" s="8" t="inlineStr">
        <is>
          <t>STANDBY</t>
        </is>
      </c>
      <c r="G15136" s="8" t="n">
        <v>30</v>
      </c>
      <c r="H15136" s="8" t="inlineStr">
        <is>
          <t>OPERATING</t>
        </is>
      </c>
    </row>
    <row r="15137">
      <c r="A15137" s="8" t="inlineStr">
        <is>
          <t>2026-08-03</t>
        </is>
      </c>
      <c r="B15137" s="8" t="n">
        <v>15</v>
      </c>
      <c r="C15137" s="8" t="n">
        <v>1</v>
      </c>
      <c r="D15137" s="8" t="inlineStr">
        <is>
          <t>Disneyland Park</t>
        </is>
      </c>
      <c r="E15137" s="8" t="inlineStr">
        <is>
          <t>Pirates' Beach</t>
        </is>
      </c>
      <c r="F15137" s="8" t="inlineStr">
        <is>
          <t>STANDBY</t>
        </is>
      </c>
      <c r="G15137" s="8" t="n">
        <v>0</v>
      </c>
      <c r="H15137" s="8" t="inlineStr">
        <is>
          <t>OPERATING</t>
        </is>
      </c>
    </row>
    <row r="15138">
      <c r="A15138" s="8" t="inlineStr">
        <is>
          <t>2026-08-03</t>
        </is>
      </c>
      <c r="B15138" s="8" t="n">
        <v>15</v>
      </c>
      <c r="C15138" s="8" t="n">
        <v>1</v>
      </c>
      <c r="D15138" s="8" t="inlineStr">
        <is>
          <t>Disneyland Park</t>
        </is>
      </c>
      <c r="E15138" s="8" t="inlineStr">
        <is>
          <t>Autopia, presented by Avis</t>
        </is>
      </c>
      <c r="F15138" s="8" t="inlineStr">
        <is>
          <t>STANDBY</t>
        </is>
      </c>
      <c r="G15138" s="8" t="n">
        <v>0</v>
      </c>
      <c r="H15138" s="8" t="inlineStr">
        <is>
          <t>CLOSED</t>
        </is>
      </c>
    </row>
    <row r="15139">
      <c r="A15139" s="8" t="inlineStr">
        <is>
          <t>2026-08-03</t>
        </is>
      </c>
      <c r="B15139" s="8" t="n">
        <v>15</v>
      </c>
      <c r="C15139" s="8" t="n">
        <v>1</v>
      </c>
      <c r="D15139" s="8" t="inlineStr">
        <is>
          <t>Disneyland Park</t>
        </is>
      </c>
      <c r="E15139" s="8" t="inlineStr">
        <is>
          <t>Buzz Lightyear Laser Blast</t>
        </is>
      </c>
      <c r="F15139" s="8" t="inlineStr">
        <is>
          <t>STANDBY</t>
        </is>
      </c>
      <c r="G15139" s="8" t="n">
        <v>40</v>
      </c>
      <c r="H15139" s="8" t="inlineStr">
        <is>
          <t>OPERATING</t>
        </is>
      </c>
    </row>
    <row r="15140">
      <c r="A15140" s="8" t="inlineStr">
        <is>
          <t>2026-08-03</t>
        </is>
      </c>
      <c r="B15140" s="8" t="n">
        <v>15</v>
      </c>
      <c r="C15140" s="8" t="n">
        <v>1</v>
      </c>
      <c r="D15140" s="8" t="inlineStr">
        <is>
          <t>Disneyland Park</t>
        </is>
      </c>
      <c r="E15140" s="8" t="inlineStr">
        <is>
          <t>Disneyland Railroad Discoveryland Station</t>
        </is>
      </c>
      <c r="F15140" s="8" t="inlineStr">
        <is>
          <t>STANDBY</t>
        </is>
      </c>
      <c r="G15140" s="8" t="n">
        <v>0</v>
      </c>
      <c r="H15140" s="8" t="inlineStr">
        <is>
          <t>CLOSED</t>
        </is>
      </c>
    </row>
    <row r="15141">
      <c r="A15141" s="8" t="inlineStr">
        <is>
          <t>2026-08-03</t>
        </is>
      </c>
      <c r="B15141" s="8" t="n">
        <v>15</v>
      </c>
      <c r="C15141" s="8" t="n">
        <v>1</v>
      </c>
      <c r="D15141" s="8" t="inlineStr">
        <is>
          <t>Disneyland Park</t>
        </is>
      </c>
      <c r="E15141" s="8" t="inlineStr">
        <is>
          <t>Les Mystères du Nautilus</t>
        </is>
      </c>
      <c r="F15141" s="8" t="inlineStr">
        <is>
          <t>STANDBY</t>
        </is>
      </c>
      <c r="G15141" s="8" t="n">
        <v>5</v>
      </c>
      <c r="H15141" s="8" t="inlineStr">
        <is>
          <t>OPERATING</t>
        </is>
      </c>
    </row>
    <row r="15142">
      <c r="A15142" s="8" t="inlineStr">
        <is>
          <t>2026-08-03</t>
        </is>
      </c>
      <c r="B15142" s="8" t="n">
        <v>15</v>
      </c>
      <c r="C15142" s="8" t="n">
        <v>1</v>
      </c>
      <c r="D15142" s="8" t="inlineStr">
        <is>
          <t>Disneyland Park</t>
        </is>
      </c>
      <c r="E15142" s="8" t="inlineStr">
        <is>
          <t>Mickey’s PhilharMagic</t>
        </is>
      </c>
      <c r="F15142" s="8" t="inlineStr">
        <is>
          <t>STANDBY</t>
        </is>
      </c>
      <c r="G15142" s="8" t="n">
        <v>0</v>
      </c>
      <c r="H15142" s="8" t="inlineStr">
        <is>
          <t>OPERATING</t>
        </is>
      </c>
    </row>
    <row r="15143">
      <c r="A15143" s="8" t="inlineStr">
        <is>
          <t>2026-08-03</t>
        </is>
      </c>
      <c r="B15143" s="8" t="n">
        <v>15</v>
      </c>
      <c r="C15143" s="8" t="n">
        <v>1</v>
      </c>
      <c r="D15143" s="8" t="inlineStr">
        <is>
          <t>Disneyland Park</t>
        </is>
      </c>
      <c r="E15143" s="8" t="inlineStr">
        <is>
          <t>Orbitron®</t>
        </is>
      </c>
      <c r="F15143" s="8" t="inlineStr">
        <is>
          <t>STANDBY</t>
        </is>
      </c>
      <c r="G15143" s="8" t="n">
        <v>0</v>
      </c>
      <c r="H15143" s="8" t="inlineStr">
        <is>
          <t>CLOSED</t>
        </is>
      </c>
    </row>
    <row r="15144">
      <c r="A15144" s="8" t="inlineStr">
        <is>
          <t>2026-08-03</t>
        </is>
      </c>
      <c r="B15144" s="8" t="n">
        <v>15</v>
      </c>
      <c r="C15144" s="8" t="n">
        <v>1</v>
      </c>
      <c r="D15144" s="8" t="inlineStr">
        <is>
          <t>Disneyland Park</t>
        </is>
      </c>
      <c r="E15144" s="8" t="inlineStr">
        <is>
          <t>Star Tours: The Adventures Continue*</t>
        </is>
      </c>
      <c r="F15144" s="8" t="inlineStr">
        <is>
          <t>STANDBY</t>
        </is>
      </c>
      <c r="G15144" s="8" t="n">
        <v>20</v>
      </c>
      <c r="H15144" s="8" t="inlineStr">
        <is>
          <t>OPERATING</t>
        </is>
      </c>
    </row>
    <row r="15145">
      <c r="A15145" s="8" t="inlineStr">
        <is>
          <t>2026-08-03</t>
        </is>
      </c>
      <c r="B15145" s="8" t="n">
        <v>15</v>
      </c>
      <c r="C15145" s="8" t="n">
        <v>1</v>
      </c>
      <c r="D15145" s="8" t="inlineStr">
        <is>
          <t>Disneyland Park</t>
        </is>
      </c>
      <c r="E15145" s="8" t="inlineStr">
        <is>
          <t>Star Wars Hyperspace Mountain</t>
        </is>
      </c>
      <c r="F15145" s="8" t="inlineStr">
        <is>
          <t>STANDBY</t>
        </is>
      </c>
      <c r="G15145" s="8" t="n">
        <v>60</v>
      </c>
      <c r="H15145" s="8" t="inlineStr">
        <is>
          <t>OPERATING</t>
        </is>
      </c>
    </row>
    <row r="15146">
      <c r="A15146" s="8" t="inlineStr">
        <is>
          <t>2026-08-03</t>
        </is>
      </c>
      <c r="B15146" s="8" t="n">
        <v>15</v>
      </c>
      <c r="C15146" s="8" t="n">
        <v>1</v>
      </c>
      <c r="D15146" s="8" t="inlineStr">
        <is>
          <t>Disneyland Park</t>
        </is>
      </c>
      <c r="E15146" s="8" t="inlineStr">
        <is>
          <t>Star Wars Hyperspace Mountain Single Rider</t>
        </is>
      </c>
      <c r="F15146" s="8" t="inlineStr">
        <is>
          <t>STANDBY</t>
        </is>
      </c>
      <c r="G15146" s="8" t="n">
        <v>40</v>
      </c>
      <c r="H15146" s="8" t="inlineStr">
        <is>
          <t>OPERATING</t>
        </is>
      </c>
    </row>
    <row r="15147">
      <c r="A15147" s="8" t="inlineStr">
        <is>
          <t>2026-08-03</t>
        </is>
      </c>
      <c r="B15147" s="8" t="n">
        <v>15</v>
      </c>
      <c r="C15147" s="8" t="n">
        <v>1</v>
      </c>
      <c r="D15147" s="8" t="inlineStr">
        <is>
          <t>Disneyland Park</t>
        </is>
      </c>
      <c r="E15147" s="8" t="inlineStr">
        <is>
          <t>Welcome to Starport: A Star Wars Encounter</t>
        </is>
      </c>
      <c r="F15147" s="8" t="inlineStr">
        <is>
          <t>STANDBY</t>
        </is>
      </c>
      <c r="G15147" s="8" t="n">
        <v>40</v>
      </c>
      <c r="H15147" s="8" t="inlineStr">
        <is>
          <t>OPERATING</t>
        </is>
      </c>
    </row>
    <row r="15148">
      <c r="A15148" s="8" t="inlineStr">
        <is>
          <t>2026-08-03</t>
        </is>
      </c>
      <c r="B15148" s="8" t="n">
        <v>15</v>
      </c>
      <c r="C15148" s="8" t="n">
        <v>1</v>
      </c>
      <c r="D15148" s="8" t="inlineStr">
        <is>
          <t>Disneyland Park</t>
        </is>
      </c>
      <c r="E15148" s="8" t="inlineStr">
        <is>
          <t>"it's a small world"</t>
        </is>
      </c>
      <c r="F15148" s="8" t="inlineStr">
        <is>
          <t>STANDBY</t>
        </is>
      </c>
      <c r="G15148" s="8" t="n">
        <v>20</v>
      </c>
      <c r="H15148" s="8" t="inlineStr">
        <is>
          <t>OPERATING</t>
        </is>
      </c>
    </row>
    <row r="15149">
      <c r="A15149" s="8" t="inlineStr">
        <is>
          <t>2026-08-03</t>
        </is>
      </c>
      <c r="B15149" s="8" t="n">
        <v>15</v>
      </c>
      <c r="C15149" s="8" t="n">
        <v>1</v>
      </c>
      <c r="D15149" s="8" t="inlineStr">
        <is>
          <t>Disneyland Park</t>
        </is>
      </c>
      <c r="E15149" s="8" t="inlineStr">
        <is>
          <t>Alice's Curious Labyrinth</t>
        </is>
      </c>
      <c r="F15149" s="8" t="inlineStr">
        <is>
          <t>STANDBY</t>
        </is>
      </c>
      <c r="G15149" s="8" t="n">
        <v>5</v>
      </c>
      <c r="H15149" s="8" t="inlineStr">
        <is>
          <t>OPERATING</t>
        </is>
      </c>
    </row>
    <row r="15150">
      <c r="A15150" s="8" t="inlineStr">
        <is>
          <t>2026-08-03</t>
        </is>
      </c>
      <c r="B15150" s="8" t="n">
        <v>15</v>
      </c>
      <c r="C15150" s="8" t="n">
        <v>1</v>
      </c>
      <c r="D15150" s="8" t="inlineStr">
        <is>
          <t>Disneyland Park</t>
        </is>
      </c>
      <c r="E15150" s="8" t="inlineStr">
        <is>
          <t>Blanche-Neige et les Sept Nains®</t>
        </is>
      </c>
      <c r="F15150" s="8" t="inlineStr">
        <is>
          <t>STANDBY</t>
        </is>
      </c>
      <c r="G15150" s="8" t="n">
        <v>35</v>
      </c>
      <c r="H15150" s="8" t="inlineStr">
        <is>
          <t>OPERATING</t>
        </is>
      </c>
    </row>
    <row r="15151">
      <c r="A15151" s="8" t="inlineStr">
        <is>
          <t>2026-08-03</t>
        </is>
      </c>
      <c r="B15151" s="8" t="n">
        <v>15</v>
      </c>
      <c r="C15151" s="8" t="n">
        <v>1</v>
      </c>
      <c r="D15151" s="8" t="inlineStr">
        <is>
          <t>Disneyland Park</t>
        </is>
      </c>
      <c r="E15151" s="8" t="inlineStr">
        <is>
          <t>Casey Jr. – le Petit Train du Cirque</t>
        </is>
      </c>
      <c r="F15151" s="8" t="inlineStr">
        <is>
          <t>STANDBY</t>
        </is>
      </c>
      <c r="G15151" s="8" t="n">
        <v>0</v>
      </c>
      <c r="H15151" s="8" t="inlineStr">
        <is>
          <t>CLOSED</t>
        </is>
      </c>
    </row>
    <row r="15152">
      <c r="A15152" s="8" t="inlineStr">
        <is>
          <t>2026-08-03</t>
        </is>
      </c>
      <c r="B15152" s="8" t="n">
        <v>15</v>
      </c>
      <c r="C15152" s="8" t="n">
        <v>1</v>
      </c>
      <c r="D15152" s="8" t="inlineStr">
        <is>
          <t>Disneyland Park</t>
        </is>
      </c>
      <c r="E15152" s="8" t="inlineStr">
        <is>
          <t>Disneyland Railroad Fantasyland Station</t>
        </is>
      </c>
      <c r="F15152" s="8" t="inlineStr">
        <is>
          <t>STANDBY</t>
        </is>
      </c>
      <c r="G15152" s="8" t="n">
        <v>0</v>
      </c>
      <c r="H15152" s="8" t="inlineStr">
        <is>
          <t>CLOSED</t>
        </is>
      </c>
    </row>
    <row r="15153">
      <c r="A15153" s="8" t="inlineStr">
        <is>
          <t>2026-08-03</t>
        </is>
      </c>
      <c r="B15153" s="8" t="n">
        <v>15</v>
      </c>
      <c r="C15153" s="8" t="n">
        <v>1</v>
      </c>
      <c r="D15153" s="8" t="inlineStr">
        <is>
          <t>Disneyland Park</t>
        </is>
      </c>
      <c r="E15153" s="8" t="inlineStr">
        <is>
          <t>Disneyland Railroad Main Street Station</t>
        </is>
      </c>
      <c r="F15153" s="8" t="inlineStr">
        <is>
          <t>STANDBY</t>
        </is>
      </c>
      <c r="G15153" s="8" t="n">
        <v>0</v>
      </c>
      <c r="H15153" s="8" t="inlineStr">
        <is>
          <t>CLOSED</t>
        </is>
      </c>
    </row>
    <row r="15154">
      <c r="A15154" s="8" t="inlineStr">
        <is>
          <t>2026-08-03</t>
        </is>
      </c>
      <c r="B15154" s="8" t="n">
        <v>15</v>
      </c>
      <c r="C15154" s="8" t="n">
        <v>1</v>
      </c>
      <c r="D15154" s="8" t="inlineStr">
        <is>
          <t>Disneyland Park</t>
        </is>
      </c>
      <c r="E15154" s="8" t="inlineStr">
        <is>
          <t>Dumbo the Flying Elephant</t>
        </is>
      </c>
      <c r="F15154" s="8" t="inlineStr">
        <is>
          <t>STANDBY</t>
        </is>
      </c>
      <c r="G15154" s="8" t="n">
        <v>0</v>
      </c>
      <c r="H15154" s="8" t="inlineStr">
        <is>
          <t>CLOSED</t>
        </is>
      </c>
    </row>
    <row r="15155">
      <c r="A15155" s="8" t="inlineStr">
        <is>
          <t>2026-08-03</t>
        </is>
      </c>
      <c r="B15155" s="8" t="n">
        <v>15</v>
      </c>
      <c r="C15155" s="8" t="n">
        <v>1</v>
      </c>
      <c r="D15155" s="8" t="inlineStr">
        <is>
          <t>Disneyland Park</t>
        </is>
      </c>
      <c r="E15155" s="8" t="inlineStr">
        <is>
          <t>La Tanière du Dragon</t>
        </is>
      </c>
      <c r="F15155" s="8" t="inlineStr">
        <is>
          <t>STANDBY</t>
        </is>
      </c>
      <c r="G15155" s="8" t="n">
        <v>0</v>
      </c>
      <c r="H15155" s="8" t="inlineStr">
        <is>
          <t>OPERATING</t>
        </is>
      </c>
    </row>
    <row r="15156">
      <c r="A15156" s="8" t="inlineStr">
        <is>
          <t>2026-08-03</t>
        </is>
      </c>
      <c r="B15156" s="8" t="n">
        <v>15</v>
      </c>
      <c r="C15156" s="8" t="n">
        <v>1</v>
      </c>
      <c r="D15156" s="8" t="inlineStr">
        <is>
          <t>Disneyland Park</t>
        </is>
      </c>
      <c r="E15156" s="8" t="inlineStr">
        <is>
          <t>Le Carrousel de Lancelot</t>
        </is>
      </c>
      <c r="F15156" s="8" t="inlineStr">
        <is>
          <t>STANDBY</t>
        </is>
      </c>
      <c r="G15156" s="8" t="n">
        <v>10</v>
      </c>
      <c r="H15156" s="8" t="inlineStr">
        <is>
          <t>OPERATING</t>
        </is>
      </c>
    </row>
    <row r="15157">
      <c r="A15157" s="8" t="inlineStr">
        <is>
          <t>2026-08-03</t>
        </is>
      </c>
      <c r="B15157" s="8" t="n">
        <v>15</v>
      </c>
      <c r="C15157" s="8" t="n">
        <v>1</v>
      </c>
      <c r="D15157" s="8" t="inlineStr">
        <is>
          <t>Disneyland Park</t>
        </is>
      </c>
      <c r="E15157" s="8" t="inlineStr">
        <is>
          <t>Le Pays des Contes de Fées, presented by Vittel</t>
        </is>
      </c>
      <c r="F15157" s="8" t="inlineStr">
        <is>
          <t>STANDBY</t>
        </is>
      </c>
      <c r="G15157" s="8" t="n">
        <v>0</v>
      </c>
      <c r="H15157" s="8" t="inlineStr">
        <is>
          <t>CLOSED</t>
        </is>
      </c>
    </row>
    <row r="15158">
      <c r="A15158" s="8" t="inlineStr">
        <is>
          <t>2026-08-03</t>
        </is>
      </c>
      <c r="B15158" s="8" t="n">
        <v>15</v>
      </c>
      <c r="C15158" s="8" t="n">
        <v>1</v>
      </c>
      <c r="D15158" s="8" t="inlineStr">
        <is>
          <t>Disneyland Park</t>
        </is>
      </c>
      <c r="E15158" s="8" t="inlineStr">
        <is>
          <t>Les Voyages de Pinocchio</t>
        </is>
      </c>
      <c r="F15158" s="8" t="inlineStr">
        <is>
          <t>STANDBY</t>
        </is>
      </c>
      <c r="G15158" s="8" t="n">
        <v>25</v>
      </c>
      <c r="H15158" s="8" t="inlineStr">
        <is>
          <t>OPERATING</t>
        </is>
      </c>
    </row>
    <row r="15159">
      <c r="A15159" s="8" t="inlineStr">
        <is>
          <t>2026-08-03</t>
        </is>
      </c>
      <c r="B15159" s="8" t="n">
        <v>15</v>
      </c>
      <c r="C15159" s="8" t="n">
        <v>1</v>
      </c>
      <c r="D15159" s="8" t="inlineStr">
        <is>
          <t>Disneyland Park</t>
        </is>
      </c>
      <c r="E15159" s="8" t="inlineStr">
        <is>
          <t>Mad Hatter's Tea Cups</t>
        </is>
      </c>
      <c r="F15159" s="8" t="inlineStr">
        <is>
          <t>STANDBY</t>
        </is>
      </c>
      <c r="G15159" s="8" t="n">
        <v>15</v>
      </c>
      <c r="H15159" s="8" t="inlineStr">
        <is>
          <t>OPERATING</t>
        </is>
      </c>
    </row>
    <row r="15160">
      <c r="A15160" s="8" t="inlineStr">
        <is>
          <t>2026-08-03</t>
        </is>
      </c>
      <c r="B15160" s="8" t="n">
        <v>15</v>
      </c>
      <c r="C15160" s="8" t="n">
        <v>1</v>
      </c>
      <c r="D15160" s="8" t="inlineStr">
        <is>
          <t>Disneyland Park</t>
        </is>
      </c>
      <c r="E15160" s="8" t="inlineStr">
        <is>
          <t>Meet Mickey Mouse</t>
        </is>
      </c>
      <c r="F15160" s="8" t="inlineStr">
        <is>
          <t>STANDBY</t>
        </is>
      </c>
      <c r="G15160" s="8" t="n">
        <v>0</v>
      </c>
      <c r="H15160" s="8" t="inlineStr">
        <is>
          <t>OPERATING</t>
        </is>
      </c>
    </row>
    <row r="15161">
      <c r="A15161" s="8" t="inlineStr">
        <is>
          <t>2026-08-03</t>
        </is>
      </c>
      <c r="B15161" s="8" t="n">
        <v>15</v>
      </c>
      <c r="C15161" s="8" t="n">
        <v>1</v>
      </c>
      <c r="D15161" s="8" t="inlineStr">
        <is>
          <t>Disneyland Park</t>
        </is>
      </c>
      <c r="E15161" s="8" t="inlineStr">
        <is>
          <t>Peter Pan's Flight</t>
        </is>
      </c>
      <c r="F15161" s="8" t="inlineStr">
        <is>
          <t>STANDBY</t>
        </is>
      </c>
      <c r="G15161" s="8" t="n">
        <v>65</v>
      </c>
      <c r="H15161" s="8" t="inlineStr">
        <is>
          <t>OPERATING</t>
        </is>
      </c>
    </row>
    <row r="15162">
      <c r="A15162" s="8" t="inlineStr">
        <is>
          <t>2026-08-03</t>
        </is>
      </c>
      <c r="B15162" s="8" t="n">
        <v>15</v>
      </c>
      <c r="C15162" s="8" t="n">
        <v>1</v>
      </c>
      <c r="D15162" s="8" t="inlineStr">
        <is>
          <t>Disneyland Park</t>
        </is>
      </c>
      <c r="E15162" s="8" t="inlineStr">
        <is>
          <t>Princess Pavilion</t>
        </is>
      </c>
      <c r="F15162" s="8" t="inlineStr">
        <is>
          <t>STANDBY</t>
        </is>
      </c>
      <c r="G15162" s="8" t="n">
        <v>0</v>
      </c>
      <c r="H15162" s="8" t="inlineStr">
        <is>
          <t>OPERATING</t>
        </is>
      </c>
    </row>
    <row r="15163">
      <c r="A15163" s="8" t="inlineStr">
        <is>
          <t>2026-08-03</t>
        </is>
      </c>
      <c r="B15163" s="8" t="n">
        <v>15</v>
      </c>
      <c r="C15163" s="8" t="n">
        <v>1</v>
      </c>
      <c r="D15163" s="8" t="inlineStr">
        <is>
          <t>Disneyland Park</t>
        </is>
      </c>
      <c r="E15163" s="8" t="inlineStr">
        <is>
          <t>Big Thunder Mountain</t>
        </is>
      </c>
      <c r="F15163" s="8" t="inlineStr">
        <is>
          <t>STANDBY</t>
        </is>
      </c>
      <c r="G15163" s="8" t="n">
        <v>60</v>
      </c>
      <c r="H15163" s="8" t="inlineStr">
        <is>
          <t>OPERATING</t>
        </is>
      </c>
    </row>
    <row r="15164">
      <c r="A15164" s="8" t="inlineStr">
        <is>
          <t>2026-08-03</t>
        </is>
      </c>
      <c r="B15164" s="8" t="n">
        <v>15</v>
      </c>
      <c r="C15164" s="8" t="n">
        <v>1</v>
      </c>
      <c r="D15164" s="8" t="inlineStr">
        <is>
          <t>Disneyland Park</t>
        </is>
      </c>
      <c r="E15164" s="8" t="inlineStr">
        <is>
          <t>Disneyland Railroad Frontierland Depot</t>
        </is>
      </c>
      <c r="F15164" s="8" t="inlineStr">
        <is>
          <t>STANDBY</t>
        </is>
      </c>
      <c r="G15164" s="8" t="n">
        <v>0</v>
      </c>
      <c r="H15164" s="8" t="inlineStr">
        <is>
          <t>CLOSED</t>
        </is>
      </c>
    </row>
    <row r="15165">
      <c r="A15165" s="8" t="inlineStr">
        <is>
          <t>2026-08-03</t>
        </is>
      </c>
      <c r="B15165" s="8" t="n">
        <v>15</v>
      </c>
      <c r="C15165" s="8" t="n">
        <v>1</v>
      </c>
      <c r="D15165" s="8" t="inlineStr">
        <is>
          <t>Disneyland Park</t>
        </is>
      </c>
      <c r="E15165" s="8" t="inlineStr">
        <is>
          <t>Frontierland Playground</t>
        </is>
      </c>
      <c r="F15165" s="8" t="inlineStr">
        <is>
          <t>STANDBY</t>
        </is>
      </c>
      <c r="G15165" s="8" t="n">
        <v>0</v>
      </c>
      <c r="H15165" s="8" t="inlineStr">
        <is>
          <t>CLOSED</t>
        </is>
      </c>
    </row>
    <row r="15166">
      <c r="A15166" s="8" t="inlineStr">
        <is>
          <t>2026-08-03</t>
        </is>
      </c>
      <c r="B15166" s="8" t="n">
        <v>15</v>
      </c>
      <c r="C15166" s="8" t="n">
        <v>1</v>
      </c>
      <c r="D15166" s="8" t="inlineStr">
        <is>
          <t>Disneyland Park</t>
        </is>
      </c>
      <c r="E15166" s="8" t="inlineStr">
        <is>
          <t>Phantom Manor</t>
        </is>
      </c>
      <c r="F15166" s="8" t="inlineStr">
        <is>
          <t>STANDBY</t>
        </is>
      </c>
      <c r="G15166" s="8" t="n">
        <v>20</v>
      </c>
      <c r="H15166" s="8" t="inlineStr">
        <is>
          <t>OPERATING</t>
        </is>
      </c>
    </row>
    <row r="15167">
      <c r="A15167" s="8" t="inlineStr">
        <is>
          <t>2026-08-03</t>
        </is>
      </c>
      <c r="B15167" s="8" t="n">
        <v>15</v>
      </c>
      <c r="C15167" s="8" t="n">
        <v>1</v>
      </c>
      <c r="D15167" s="8" t="inlineStr">
        <is>
          <t>Disneyland Park</t>
        </is>
      </c>
      <c r="E15167" s="8" t="inlineStr">
        <is>
          <t>River Rogue Keelboats</t>
        </is>
      </c>
      <c r="F15167" s="8" t="inlineStr">
        <is>
          <t>STANDBY</t>
        </is>
      </c>
      <c r="G15167" s="8" t="n">
        <v>0</v>
      </c>
      <c r="H15167" s="8" t="inlineStr">
        <is>
          <t>CLOSED</t>
        </is>
      </c>
    </row>
    <row r="15168">
      <c r="A15168" s="8" t="inlineStr">
        <is>
          <t>2026-08-03</t>
        </is>
      </c>
      <c r="B15168" s="8" t="n">
        <v>15</v>
      </c>
      <c r="C15168" s="8" t="n">
        <v>1</v>
      </c>
      <c r="D15168" s="8" t="inlineStr">
        <is>
          <t>Disneyland Park</t>
        </is>
      </c>
      <c r="E15168" s="8" t="inlineStr">
        <is>
          <t>Rustler Roundup Shootin' Gallery</t>
        </is>
      </c>
      <c r="F15168" s="8" t="inlineStr">
        <is>
          <t>STANDBY</t>
        </is>
      </c>
      <c r="G15168" s="8" t="n">
        <v>0</v>
      </c>
      <c r="H15168" s="8" t="inlineStr">
        <is>
          <t>OPERATING</t>
        </is>
      </c>
    </row>
    <row r="15169">
      <c r="A15169" s="8" t="inlineStr">
        <is>
          <t>2026-08-03</t>
        </is>
      </c>
      <c r="B15169" s="8" t="n">
        <v>15</v>
      </c>
      <c r="C15169" s="8" t="n">
        <v>1</v>
      </c>
      <c r="D15169" s="8" t="inlineStr">
        <is>
          <t>Disneyland Park</t>
        </is>
      </c>
      <c r="E15169" s="8" t="inlineStr">
        <is>
          <t>Thunder Mesa Riverboat Landing</t>
        </is>
      </c>
      <c r="F15169" s="8" t="inlineStr">
        <is>
          <t>STANDBY</t>
        </is>
      </c>
      <c r="G15169" s="8" t="n">
        <v>20</v>
      </c>
      <c r="H15169" s="8" t="inlineStr">
        <is>
          <t>OPERATING</t>
        </is>
      </c>
    </row>
    <row r="15170">
      <c r="A15170" s="8" t="inlineStr">
        <is>
          <t>2026-08-03</t>
        </is>
      </c>
      <c r="B15170" s="8" t="n">
        <v>15</v>
      </c>
      <c r="C15170" s="8" t="n">
        <v>1</v>
      </c>
      <c r="D15170" s="8" t="inlineStr">
        <is>
          <t>Disneyland Park</t>
        </is>
      </c>
      <c r="E15170" s="8" t="inlineStr">
        <is>
          <t>Disneyland Railroad Main Street Station</t>
        </is>
      </c>
      <c r="F15170" s="8" t="inlineStr">
        <is>
          <t>STANDBY</t>
        </is>
      </c>
      <c r="G15170" s="8" t="n">
        <v>0</v>
      </c>
      <c r="H15170" s="8" t="inlineStr">
        <is>
          <t>CLOSED</t>
        </is>
      </c>
    </row>
    <row r="15171">
      <c r="A15171" s="8" t="inlineStr">
        <is>
          <t>2026-08-03</t>
        </is>
      </c>
      <c r="B15171" s="8" t="n">
        <v>15</v>
      </c>
      <c r="C15171" s="8" t="n">
        <v>1</v>
      </c>
      <c r="D15171" s="8" t="inlineStr">
        <is>
          <t>Disneyland Park</t>
        </is>
      </c>
      <c r="E15171" s="8" t="inlineStr">
        <is>
          <t>Main Street Vehicles</t>
        </is>
      </c>
      <c r="F15171" s="8" t="inlineStr">
        <is>
          <t>STANDBY</t>
        </is>
      </c>
      <c r="G15171" s="8" t="n">
        <v>0</v>
      </c>
      <c r="H15171" s="8" t="inlineStr">
        <is>
          <t>CLOSED</t>
        </is>
      </c>
    </row>
    <row r="15172">
      <c r="A15172" s="8" t="inlineStr">
        <is>
          <t>2026-08-03</t>
        </is>
      </c>
      <c r="B15172" s="8" t="n">
        <v>15</v>
      </c>
      <c r="C15172" s="8" t="n">
        <v>1</v>
      </c>
      <c r="D15172" s="8" t="inlineStr">
        <is>
          <t>Disney Adventure World</t>
        </is>
      </c>
      <c r="E15172" s="8" t="inlineStr">
        <is>
          <t>Avengers Assemble: Flight Force</t>
        </is>
      </c>
      <c r="F15172" s="8" t="inlineStr">
        <is>
          <t>STANDBY</t>
        </is>
      </c>
      <c r="G15172" s="8" t="n">
        <v>25</v>
      </c>
      <c r="H15172" s="8" t="inlineStr">
        <is>
          <t>OPERATING</t>
        </is>
      </c>
    </row>
    <row r="15173">
      <c r="A15173" s="8" t="inlineStr">
        <is>
          <t>2026-08-03</t>
        </is>
      </c>
      <c r="B15173" s="8" t="n">
        <v>15</v>
      </c>
      <c r="C15173" s="8" t="n">
        <v>1</v>
      </c>
      <c r="D15173" s="8" t="inlineStr">
        <is>
          <t>Disney Adventure World</t>
        </is>
      </c>
      <c r="E15173" s="8" t="inlineStr">
        <is>
          <t>Avengers Assemble: Flight Force Single Rider</t>
        </is>
      </c>
      <c r="F15173" s="8" t="inlineStr">
        <is>
          <t>STANDBY</t>
        </is>
      </c>
      <c r="G15173" s="8" t="n">
        <v>20</v>
      </c>
      <c r="H15173" s="8" t="inlineStr">
        <is>
          <t>OPERATING</t>
        </is>
      </c>
    </row>
    <row r="15174">
      <c r="A15174" s="8" t="inlineStr">
        <is>
          <t>2026-08-03</t>
        </is>
      </c>
      <c r="B15174" s="8" t="n">
        <v>15</v>
      </c>
      <c r="C15174" s="8" t="n">
        <v>1</v>
      </c>
      <c r="D15174" s="8" t="inlineStr">
        <is>
          <t>Disney Adventure World</t>
        </is>
      </c>
      <c r="E15174" s="8" t="inlineStr">
        <is>
          <t>Spider-Man W.E.B. Adventure</t>
        </is>
      </c>
      <c r="F15174" s="8" t="inlineStr">
        <is>
          <t>STANDBY</t>
        </is>
      </c>
      <c r="G15174" s="8" t="n">
        <v>45</v>
      </c>
      <c r="H15174" s="8" t="inlineStr">
        <is>
          <t>OPERATING</t>
        </is>
      </c>
    </row>
    <row r="15175">
      <c r="A15175" s="8" t="inlineStr">
        <is>
          <t>2026-08-03</t>
        </is>
      </c>
      <c r="B15175" s="8" t="n">
        <v>15</v>
      </c>
      <c r="C15175" s="8" t="n">
        <v>1</v>
      </c>
      <c r="D15175" s="8" t="inlineStr">
        <is>
          <t>Disney Adventure World</t>
        </is>
      </c>
      <c r="E15175" s="8" t="inlineStr">
        <is>
          <t>Spider-Man W.E.B. Adventure Single Rider</t>
        </is>
      </c>
      <c r="F15175" s="8" t="inlineStr">
        <is>
          <t>STANDBY</t>
        </is>
      </c>
      <c r="G15175" s="8" t="n">
        <v>20</v>
      </c>
      <c r="H15175" s="8" t="inlineStr">
        <is>
          <t>OPERATING</t>
        </is>
      </c>
    </row>
    <row r="15176">
      <c r="A15176" s="8" t="inlineStr">
        <is>
          <t>2026-08-03</t>
        </is>
      </c>
      <c r="B15176" s="8" t="n">
        <v>15</v>
      </c>
      <c r="C15176" s="8" t="n">
        <v>1</v>
      </c>
      <c r="D15176" s="8" t="inlineStr">
        <is>
          <t>Disney Adventure World</t>
        </is>
      </c>
      <c r="E15176" s="8" t="inlineStr">
        <is>
          <t>The Twilight Zone Tower of Terror</t>
        </is>
      </c>
      <c r="F15176" s="8" t="inlineStr">
        <is>
          <t>STANDBY</t>
        </is>
      </c>
      <c r="G15176" s="8" t="n">
        <v>30</v>
      </c>
      <c r="H15176" s="8" t="inlineStr">
        <is>
          <t>OPERATING</t>
        </is>
      </c>
    </row>
    <row r="15177">
      <c r="A15177" s="8" t="inlineStr">
        <is>
          <t>2026-08-03</t>
        </is>
      </c>
      <c r="B15177" s="8" t="n">
        <v>15</v>
      </c>
      <c r="C15177" s="8" t="n">
        <v>1</v>
      </c>
      <c r="D15177" s="8" t="inlineStr">
        <is>
          <t>Disney Adventure World</t>
        </is>
      </c>
      <c r="E15177" s="8" t="inlineStr">
        <is>
          <t>Cars Quatre Roues Rallye</t>
        </is>
      </c>
      <c r="F15177" s="8" t="inlineStr">
        <is>
          <t>STANDBY</t>
        </is>
      </c>
      <c r="G15177" s="8" t="n">
        <v>15</v>
      </c>
      <c r="H15177" s="8" t="inlineStr">
        <is>
          <t>OPERATING</t>
        </is>
      </c>
    </row>
    <row r="15178">
      <c r="A15178" s="8" t="inlineStr">
        <is>
          <t>2026-08-03</t>
        </is>
      </c>
      <c r="B15178" s="8" t="n">
        <v>15</v>
      </c>
      <c r="C15178" s="8" t="n">
        <v>1</v>
      </c>
      <c r="D15178" s="8" t="inlineStr">
        <is>
          <t>Disney Adventure World</t>
        </is>
      </c>
      <c r="E15178" s="8" t="inlineStr">
        <is>
          <t>Cars ROAD TRIP</t>
        </is>
      </c>
      <c r="F15178" s="8" t="inlineStr">
        <is>
          <t>STANDBY</t>
        </is>
      </c>
      <c r="G15178" s="8" t="n">
        <v>5</v>
      </c>
      <c r="H15178" s="8" t="inlineStr">
        <is>
          <t>OPERATING</t>
        </is>
      </c>
    </row>
    <row r="15179">
      <c r="A15179" s="8" t="inlineStr">
        <is>
          <t>2026-08-03</t>
        </is>
      </c>
      <c r="B15179" s="8" t="n">
        <v>15</v>
      </c>
      <c r="C15179" s="8" t="n">
        <v>1</v>
      </c>
      <c r="D15179" s="8" t="inlineStr">
        <is>
          <t>Disney Adventure World</t>
        </is>
      </c>
      <c r="E15179" s="8" t="inlineStr">
        <is>
          <t>Crush's Coaster</t>
        </is>
      </c>
      <c r="F15179" s="8" t="inlineStr">
        <is>
          <t>STANDBY</t>
        </is>
      </c>
      <c r="G15179" s="8" t="n">
        <v>70</v>
      </c>
      <c r="H15179" s="8" t="inlineStr">
        <is>
          <t>OPERATING</t>
        </is>
      </c>
    </row>
    <row r="15180">
      <c r="A15180" s="8" t="inlineStr">
        <is>
          <t>2026-08-03</t>
        </is>
      </c>
      <c r="B15180" s="8" t="n">
        <v>15</v>
      </c>
      <c r="C15180" s="8" t="n">
        <v>1</v>
      </c>
      <c r="D15180" s="8" t="inlineStr">
        <is>
          <t>Disney Adventure World</t>
        </is>
      </c>
      <c r="E15180" s="8" t="inlineStr">
        <is>
          <t>Crush's Coaster Single Rider</t>
        </is>
      </c>
      <c r="F15180" s="8" t="inlineStr">
        <is>
          <t>STANDBY</t>
        </is>
      </c>
      <c r="G15180" s="8" t="n">
        <v>50</v>
      </c>
      <c r="H15180" s="8" t="inlineStr">
        <is>
          <t>OPERATING</t>
        </is>
      </c>
    </row>
    <row r="15181">
      <c r="A15181" s="8" t="inlineStr">
        <is>
          <t>2026-08-03</t>
        </is>
      </c>
      <c r="B15181" s="8" t="n">
        <v>15</v>
      </c>
      <c r="C15181" s="8" t="n">
        <v>1</v>
      </c>
      <c r="D15181" s="8" t="inlineStr">
        <is>
          <t>Disney Adventure World</t>
        </is>
      </c>
      <c r="E15181" s="8" t="inlineStr">
        <is>
          <t>Les Tapis Volants - Flying Carpets Over Agrabah®</t>
        </is>
      </c>
      <c r="F15181" s="8" t="inlineStr">
        <is>
          <t>STANDBY</t>
        </is>
      </c>
      <c r="G15181" s="8" t="n">
        <v>0</v>
      </c>
      <c r="H15181" s="8" t="inlineStr">
        <is>
          <t>CLOSED</t>
        </is>
      </c>
    </row>
    <row r="15182">
      <c r="A15182" s="8" t="inlineStr">
        <is>
          <t>2026-08-03</t>
        </is>
      </c>
      <c r="B15182" s="8" t="n">
        <v>15</v>
      </c>
      <c r="C15182" s="8" t="n">
        <v>1</v>
      </c>
      <c r="D15182" s="8" t="inlineStr">
        <is>
          <t>Disney Adventure World</t>
        </is>
      </c>
      <c r="E15182" s="8" t="inlineStr">
        <is>
          <t>Ratatouille : L’Aventure Totalement Toquée de Rémy​</t>
        </is>
      </c>
      <c r="F15182" s="8" t="inlineStr">
        <is>
          <t>STANDBY</t>
        </is>
      </c>
      <c r="G15182" s="8" t="n">
        <v>55</v>
      </c>
      <c r="H15182" s="8" t="inlineStr">
        <is>
          <t>OPERATING</t>
        </is>
      </c>
    </row>
    <row r="15183">
      <c r="A15183" s="8" t="inlineStr">
        <is>
          <t>2026-08-03</t>
        </is>
      </c>
      <c r="B15183" s="8" t="n">
        <v>15</v>
      </c>
      <c r="C15183" s="8" t="n">
        <v>1</v>
      </c>
      <c r="D15183" s="8" t="inlineStr">
        <is>
          <t>Disney Adventure World</t>
        </is>
      </c>
      <c r="E15183" s="8" t="inlineStr">
        <is>
          <t>Ratatouille: The Adventure Single Rider</t>
        </is>
      </c>
      <c r="F15183" s="8" t="inlineStr">
        <is>
          <t>STANDBY</t>
        </is>
      </c>
      <c r="G15183" s="8" t="n">
        <v>30</v>
      </c>
      <c r="H15183" s="8" t="inlineStr">
        <is>
          <t>OPERATING</t>
        </is>
      </c>
    </row>
    <row r="15184">
      <c r="A15184" s="8" t="inlineStr">
        <is>
          <t>2026-08-03</t>
        </is>
      </c>
      <c r="B15184" s="8" t="n">
        <v>15</v>
      </c>
      <c r="C15184" s="8" t="n">
        <v>1</v>
      </c>
      <c r="D15184" s="8" t="inlineStr">
        <is>
          <t>Disney Adventure World</t>
        </is>
      </c>
      <c r="E15184" s="8" t="inlineStr">
        <is>
          <t>RC Racer</t>
        </is>
      </c>
      <c r="F15184" s="8" t="inlineStr">
        <is>
          <t>STANDBY</t>
        </is>
      </c>
      <c r="G15184" s="8" t="n">
        <v>20</v>
      </c>
      <c r="H15184" s="8" t="inlineStr">
        <is>
          <t>OPERATING</t>
        </is>
      </c>
    </row>
    <row r="15185">
      <c r="A15185" s="8" t="inlineStr">
        <is>
          <t>2026-08-03</t>
        </is>
      </c>
      <c r="B15185" s="8" t="n">
        <v>15</v>
      </c>
      <c r="C15185" s="8" t="n">
        <v>1</v>
      </c>
      <c r="D15185" s="8" t="inlineStr">
        <is>
          <t>Disney Adventure World</t>
        </is>
      </c>
      <c r="E15185" s="8" t="inlineStr">
        <is>
          <t>RC Racer Single Rider</t>
        </is>
      </c>
      <c r="F15185" s="8" t="inlineStr">
        <is>
          <t>STANDBY</t>
        </is>
      </c>
      <c r="G15185" s="8" t="n">
        <v>15</v>
      </c>
      <c r="H15185" s="8" t="inlineStr">
        <is>
          <t>OPERATING</t>
        </is>
      </c>
    </row>
    <row r="15186">
      <c r="A15186" s="8" t="inlineStr">
        <is>
          <t>2026-08-03</t>
        </is>
      </c>
      <c r="B15186" s="8" t="n">
        <v>15</v>
      </c>
      <c r="C15186" s="8" t="n">
        <v>1</v>
      </c>
      <c r="D15186" s="8" t="inlineStr">
        <is>
          <t>Disney Adventure World</t>
        </is>
      </c>
      <c r="E15186" s="8" t="inlineStr">
        <is>
          <t>Slinky® Dog Zigzag Spin</t>
        </is>
      </c>
      <c r="F15186" s="8" t="inlineStr">
        <is>
          <t>STANDBY</t>
        </is>
      </c>
      <c r="G15186" s="8" t="n">
        <v>0</v>
      </c>
      <c r="H15186" s="8" t="inlineStr">
        <is>
          <t>CLOSED</t>
        </is>
      </c>
    </row>
    <row r="15187">
      <c r="A15187" s="8" t="inlineStr">
        <is>
          <t>2026-08-03</t>
        </is>
      </c>
      <c r="B15187" s="8" t="n">
        <v>15</v>
      </c>
      <c r="C15187" s="8" t="n">
        <v>1</v>
      </c>
      <c r="D15187" s="8" t="inlineStr">
        <is>
          <t>Disney Adventure World</t>
        </is>
      </c>
      <c r="E15187" s="8" t="inlineStr">
        <is>
          <t>Toy Soldiers Parachute Drop</t>
        </is>
      </c>
      <c r="F15187" s="8" t="inlineStr">
        <is>
          <t>STANDBY</t>
        </is>
      </c>
      <c r="G15187" s="8" t="n">
        <v>45</v>
      </c>
      <c r="H15187" s="8" t="inlineStr">
        <is>
          <t>OPERATING</t>
        </is>
      </c>
    </row>
    <row r="15188">
      <c r="A15188" s="8" t="inlineStr">
        <is>
          <t>2026-08-03</t>
        </is>
      </c>
      <c r="B15188" s="8" t="n">
        <v>15</v>
      </c>
      <c r="C15188" s="8" t="n">
        <v>1</v>
      </c>
      <c r="D15188" s="8" t="inlineStr">
        <is>
          <t>Disney Adventure World</t>
        </is>
      </c>
      <c r="E15188" s="8" t="inlineStr">
        <is>
          <t>Toy Soldiers Parachute Drop Single Rider</t>
        </is>
      </c>
      <c r="F15188" s="8" t="inlineStr">
        <is>
          <t>STANDBY</t>
        </is>
      </c>
      <c r="G15188" s="8" t="n">
        <v>20</v>
      </c>
      <c r="H15188" s="8" t="inlineStr">
        <is>
          <t>OPERATING</t>
        </is>
      </c>
    </row>
    <row r="15189">
      <c r="A15189" s="8" t="inlineStr">
        <is>
          <t>2026-08-03</t>
        </is>
      </c>
      <c r="B15189" s="8" t="n">
        <v>15</v>
      </c>
      <c r="C15189" s="8" t="n">
        <v>1</v>
      </c>
      <c r="D15189" s="8" t="inlineStr">
        <is>
          <t>Disney Adventure World</t>
        </is>
      </c>
      <c r="E15189" s="8" t="inlineStr">
        <is>
          <t>Entry to World of Frozen</t>
        </is>
      </c>
      <c r="F15189" s="8" t="inlineStr">
        <is>
          <t>STANDBY</t>
        </is>
      </c>
      <c r="G15189" s="8" t="n">
        <v>0</v>
      </c>
      <c r="H15189" s="8" t="inlineStr">
        <is>
          <t>OPERATING</t>
        </is>
      </c>
    </row>
    <row r="15190">
      <c r="A15190" s="8" t="inlineStr">
        <is>
          <t>2026-08-03</t>
        </is>
      </c>
      <c r="B15190" s="8" t="n">
        <v>15</v>
      </c>
      <c r="C15190" s="8" t="n">
        <v>1</v>
      </c>
      <c r="D15190" s="8" t="inlineStr">
        <is>
          <t>Disney Adventure World</t>
        </is>
      </c>
      <c r="E15190" s="8" t="inlineStr">
        <is>
          <t>Frozen Ever After</t>
        </is>
      </c>
      <c r="F15190" s="8" t="inlineStr">
        <is>
          <t>STANDBY</t>
        </is>
      </c>
      <c r="G15190" s="8" t="n">
        <v>70</v>
      </c>
      <c r="H15190" s="8" t="inlineStr">
        <is>
          <t>OPERATING</t>
        </is>
      </c>
    </row>
    <row r="15191">
      <c r="A15191" s="8" t="inlineStr">
        <is>
          <t>2026-08-03</t>
        </is>
      </c>
      <c r="B15191" s="8" t="n">
        <v>15</v>
      </c>
      <c r="C15191" s="8" t="n">
        <v>1</v>
      </c>
      <c r="D15191" s="8" t="inlineStr">
        <is>
          <t>Disney Adventure World</t>
        </is>
      </c>
      <c r="E15191" s="8" t="inlineStr">
        <is>
          <t>Raiponce Tangled Spin</t>
        </is>
      </c>
      <c r="F15191" s="8" t="inlineStr">
        <is>
          <t>STANDBY</t>
        </is>
      </c>
      <c r="G15191" s="8" t="n">
        <v>10</v>
      </c>
      <c r="H15191" s="8" t="inlineStr">
        <is>
          <t>OPERATING</t>
        </is>
      </c>
    </row>
    <row r="15192">
      <c r="A15192" s="8" t="inlineStr">
        <is>
          <t>2026-08-03</t>
        </is>
      </c>
      <c r="B15192" s="8" t="n">
        <v>15</v>
      </c>
      <c r="C15192" s="8" t="n">
        <v>15</v>
      </c>
      <c r="D15192" s="8" t="inlineStr">
        <is>
          <t>Disneyland Park</t>
        </is>
      </c>
      <c r="E15192" s="8" t="inlineStr">
        <is>
          <t>Adventure Isle</t>
        </is>
      </c>
      <c r="F15192" s="8" t="inlineStr">
        <is>
          <t>STANDBY</t>
        </is>
      </c>
      <c r="G15192" s="8" t="n">
        <v>0</v>
      </c>
      <c r="H15192" s="8" t="inlineStr">
        <is>
          <t>OPERATING</t>
        </is>
      </c>
    </row>
    <row r="15193">
      <c r="A15193" s="8" t="inlineStr">
        <is>
          <t>2026-08-03</t>
        </is>
      </c>
      <c r="B15193" s="8" t="n">
        <v>15</v>
      </c>
      <c r="C15193" s="8" t="n">
        <v>15</v>
      </c>
      <c r="D15193" s="8" t="inlineStr">
        <is>
          <t>Disneyland Park</t>
        </is>
      </c>
      <c r="E15193" s="8" t="inlineStr">
        <is>
          <t>Indiana Jones and the Temple of Peril Single Rider</t>
        </is>
      </c>
      <c r="F15193" s="8" t="inlineStr">
        <is>
          <t>STANDBY</t>
        </is>
      </c>
      <c r="G15193" s="8" t="n">
        <v>15</v>
      </c>
      <c r="H15193" s="8" t="inlineStr">
        <is>
          <t>OPERATING</t>
        </is>
      </c>
    </row>
    <row r="15194">
      <c r="A15194" s="8" t="inlineStr">
        <is>
          <t>2026-08-03</t>
        </is>
      </c>
      <c r="B15194" s="8" t="n">
        <v>15</v>
      </c>
      <c r="C15194" s="8" t="n">
        <v>15</v>
      </c>
      <c r="D15194" s="8" t="inlineStr">
        <is>
          <t>Disneyland Park</t>
        </is>
      </c>
      <c r="E15194" s="8" t="inlineStr">
        <is>
          <t>Indiana Jones™ and the Temple of Peril</t>
        </is>
      </c>
      <c r="F15194" s="8" t="inlineStr">
        <is>
          <t>STANDBY</t>
        </is>
      </c>
      <c r="G15194" s="8" t="n">
        <v>30</v>
      </c>
      <c r="H15194" s="8" t="inlineStr">
        <is>
          <t>OPERATING</t>
        </is>
      </c>
    </row>
    <row r="15195">
      <c r="A15195" s="8" t="inlineStr">
        <is>
          <t>2026-08-03</t>
        </is>
      </c>
      <c r="B15195" s="8" t="n">
        <v>15</v>
      </c>
      <c r="C15195" s="8" t="n">
        <v>15</v>
      </c>
      <c r="D15195" s="8" t="inlineStr">
        <is>
          <t>Disneyland Park</t>
        </is>
      </c>
      <c r="E15195" s="8" t="inlineStr">
        <is>
          <t>La Cabane des Robinson</t>
        </is>
      </c>
      <c r="F15195" s="8" t="inlineStr">
        <is>
          <t>STANDBY</t>
        </is>
      </c>
      <c r="G15195" s="8" t="n">
        <v>5</v>
      </c>
      <c r="H15195" s="8" t="inlineStr">
        <is>
          <t>OPERATING</t>
        </is>
      </c>
    </row>
    <row r="15196">
      <c r="A15196" s="8" t="inlineStr">
        <is>
          <t>2026-08-03</t>
        </is>
      </c>
      <c r="B15196" s="8" t="n">
        <v>15</v>
      </c>
      <c r="C15196" s="8" t="n">
        <v>15</v>
      </c>
      <c r="D15196" s="8" t="inlineStr">
        <is>
          <t>Disneyland Park</t>
        </is>
      </c>
      <c r="E15196" s="8" t="inlineStr">
        <is>
          <t>Le Passage Enchanté d'Aladdin</t>
        </is>
      </c>
      <c r="F15196" s="8" t="inlineStr">
        <is>
          <t>STANDBY</t>
        </is>
      </c>
      <c r="G15196" s="8" t="n">
        <v>0</v>
      </c>
      <c r="H15196" s="8" t="inlineStr">
        <is>
          <t>OPERATING</t>
        </is>
      </c>
    </row>
    <row r="15197">
      <c r="A15197" s="8" t="inlineStr">
        <is>
          <t>2026-08-03</t>
        </is>
      </c>
      <c r="B15197" s="8" t="n">
        <v>15</v>
      </c>
      <c r="C15197" s="8" t="n">
        <v>15</v>
      </c>
      <c r="D15197" s="8" t="inlineStr">
        <is>
          <t>Disneyland Park</t>
        </is>
      </c>
      <c r="E15197" s="8" t="inlineStr">
        <is>
          <t>Pirate Galleon</t>
        </is>
      </c>
      <c r="F15197" s="8" t="inlineStr">
        <is>
          <t>STANDBY</t>
        </is>
      </c>
      <c r="G15197" s="8" t="n">
        <v>0</v>
      </c>
      <c r="H15197" s="8" t="inlineStr">
        <is>
          <t>CLOSED</t>
        </is>
      </c>
    </row>
    <row r="15198">
      <c r="A15198" s="8" t="inlineStr">
        <is>
          <t>2026-08-03</t>
        </is>
      </c>
      <c r="B15198" s="8" t="n">
        <v>15</v>
      </c>
      <c r="C15198" s="8" t="n">
        <v>15</v>
      </c>
      <c r="D15198" s="8" t="inlineStr">
        <is>
          <t>Disneyland Park</t>
        </is>
      </c>
      <c r="E15198" s="8" t="inlineStr">
        <is>
          <t>Pirates of the Caribbean</t>
        </is>
      </c>
      <c r="F15198" s="8" t="inlineStr">
        <is>
          <t>STANDBY</t>
        </is>
      </c>
      <c r="G15198" s="8" t="n">
        <v>30</v>
      </c>
      <c r="H15198" s="8" t="inlineStr">
        <is>
          <t>OPERATING</t>
        </is>
      </c>
    </row>
    <row r="15199">
      <c r="A15199" s="8" t="inlineStr">
        <is>
          <t>2026-08-03</t>
        </is>
      </c>
      <c r="B15199" s="8" t="n">
        <v>15</v>
      </c>
      <c r="C15199" s="8" t="n">
        <v>15</v>
      </c>
      <c r="D15199" s="8" t="inlineStr">
        <is>
          <t>Disneyland Park</t>
        </is>
      </c>
      <c r="E15199" s="8" t="inlineStr">
        <is>
          <t>Pirates' Beach</t>
        </is>
      </c>
      <c r="F15199" s="8" t="inlineStr">
        <is>
          <t>STANDBY</t>
        </is>
      </c>
      <c r="G15199" s="8" t="n">
        <v>0</v>
      </c>
      <c r="H15199" s="8" t="inlineStr">
        <is>
          <t>OPERATING</t>
        </is>
      </c>
    </row>
    <row r="15200">
      <c r="A15200" s="8" t="inlineStr">
        <is>
          <t>2026-08-03</t>
        </is>
      </c>
      <c r="B15200" s="8" t="n">
        <v>15</v>
      </c>
      <c r="C15200" s="8" t="n">
        <v>15</v>
      </c>
      <c r="D15200" s="8" t="inlineStr">
        <is>
          <t>Disneyland Park</t>
        </is>
      </c>
      <c r="E15200" s="8" t="inlineStr">
        <is>
          <t>Autopia, presented by Avis</t>
        </is>
      </c>
      <c r="F15200" s="8" t="inlineStr">
        <is>
          <t>STANDBY</t>
        </is>
      </c>
      <c r="G15200" s="8" t="n">
        <v>0</v>
      </c>
      <c r="H15200" s="8" t="inlineStr">
        <is>
          <t>CLOSED</t>
        </is>
      </c>
    </row>
    <row r="15201">
      <c r="A15201" s="8" t="inlineStr">
        <is>
          <t>2026-08-03</t>
        </is>
      </c>
      <c r="B15201" s="8" t="n">
        <v>15</v>
      </c>
      <c r="C15201" s="8" t="n">
        <v>15</v>
      </c>
      <c r="D15201" s="8" t="inlineStr">
        <is>
          <t>Disneyland Park</t>
        </is>
      </c>
      <c r="E15201" s="8" t="inlineStr">
        <is>
          <t>Buzz Lightyear Laser Blast</t>
        </is>
      </c>
      <c r="F15201" s="8" t="inlineStr">
        <is>
          <t>STANDBY</t>
        </is>
      </c>
      <c r="G15201" s="8" t="n">
        <v>50</v>
      </c>
      <c r="H15201" s="8" t="inlineStr">
        <is>
          <t>OPERATING</t>
        </is>
      </c>
    </row>
    <row r="15202">
      <c r="A15202" s="8" t="inlineStr">
        <is>
          <t>2026-08-03</t>
        </is>
      </c>
      <c r="B15202" s="8" t="n">
        <v>15</v>
      </c>
      <c r="C15202" s="8" t="n">
        <v>15</v>
      </c>
      <c r="D15202" s="8" t="inlineStr">
        <is>
          <t>Disneyland Park</t>
        </is>
      </c>
      <c r="E15202" s="8" t="inlineStr">
        <is>
          <t>Disneyland Railroad Discoveryland Station</t>
        </is>
      </c>
      <c r="F15202" s="8" t="inlineStr">
        <is>
          <t>STANDBY</t>
        </is>
      </c>
      <c r="G15202" s="8" t="n">
        <v>0</v>
      </c>
      <c r="H15202" s="8" t="inlineStr">
        <is>
          <t>CLOSED</t>
        </is>
      </c>
    </row>
    <row r="15203">
      <c r="A15203" s="8" t="inlineStr">
        <is>
          <t>2026-08-03</t>
        </is>
      </c>
      <c r="B15203" s="8" t="n">
        <v>15</v>
      </c>
      <c r="C15203" s="8" t="n">
        <v>15</v>
      </c>
      <c r="D15203" s="8" t="inlineStr">
        <is>
          <t>Disneyland Park</t>
        </is>
      </c>
      <c r="E15203" s="8" t="inlineStr">
        <is>
          <t>Les Mystères du Nautilus</t>
        </is>
      </c>
      <c r="F15203" s="8" t="inlineStr">
        <is>
          <t>STANDBY</t>
        </is>
      </c>
      <c r="G15203" s="8" t="n">
        <v>5</v>
      </c>
      <c r="H15203" s="8" t="inlineStr">
        <is>
          <t>OPERATING</t>
        </is>
      </c>
    </row>
    <row r="15204">
      <c r="A15204" s="8" t="inlineStr">
        <is>
          <t>2026-08-03</t>
        </is>
      </c>
      <c r="B15204" s="8" t="n">
        <v>15</v>
      </c>
      <c r="C15204" s="8" t="n">
        <v>15</v>
      </c>
      <c r="D15204" s="8" t="inlineStr">
        <is>
          <t>Disneyland Park</t>
        </is>
      </c>
      <c r="E15204" s="8" t="inlineStr">
        <is>
          <t>Mickey’s PhilharMagic</t>
        </is>
      </c>
      <c r="F15204" s="8" t="inlineStr">
        <is>
          <t>STANDBY</t>
        </is>
      </c>
      <c r="G15204" s="8" t="n">
        <v>0</v>
      </c>
      <c r="H15204" s="8" t="inlineStr">
        <is>
          <t>OPERATING</t>
        </is>
      </c>
    </row>
    <row r="15205">
      <c r="A15205" s="8" t="inlineStr">
        <is>
          <t>2026-08-03</t>
        </is>
      </c>
      <c r="B15205" s="8" t="n">
        <v>15</v>
      </c>
      <c r="C15205" s="8" t="n">
        <v>15</v>
      </c>
      <c r="D15205" s="8" t="inlineStr">
        <is>
          <t>Disneyland Park</t>
        </is>
      </c>
      <c r="E15205" s="8" t="inlineStr">
        <is>
          <t>Orbitron®</t>
        </is>
      </c>
      <c r="F15205" s="8" t="inlineStr">
        <is>
          <t>STANDBY</t>
        </is>
      </c>
      <c r="G15205" s="8" t="n">
        <v>0</v>
      </c>
      <c r="H15205" s="8" t="inlineStr">
        <is>
          <t>CLOSED</t>
        </is>
      </c>
    </row>
    <row r="15206">
      <c r="A15206" s="8" t="inlineStr">
        <is>
          <t>2026-08-03</t>
        </is>
      </c>
      <c r="B15206" s="8" t="n">
        <v>15</v>
      </c>
      <c r="C15206" s="8" t="n">
        <v>15</v>
      </c>
      <c r="D15206" s="8" t="inlineStr">
        <is>
          <t>Disneyland Park</t>
        </is>
      </c>
      <c r="E15206" s="8" t="inlineStr">
        <is>
          <t>Star Tours: The Adventures Continue*</t>
        </is>
      </c>
      <c r="F15206" s="8" t="inlineStr">
        <is>
          <t>STANDBY</t>
        </is>
      </c>
      <c r="G15206" s="8" t="n">
        <v>20</v>
      </c>
      <c r="H15206" s="8" t="inlineStr">
        <is>
          <t>OPERATING</t>
        </is>
      </c>
    </row>
    <row r="15207">
      <c r="A15207" s="8" t="inlineStr">
        <is>
          <t>2026-08-03</t>
        </is>
      </c>
      <c r="B15207" s="8" t="n">
        <v>15</v>
      </c>
      <c r="C15207" s="8" t="n">
        <v>15</v>
      </c>
      <c r="D15207" s="8" t="inlineStr">
        <is>
          <t>Disneyland Park</t>
        </is>
      </c>
      <c r="E15207" s="8" t="inlineStr">
        <is>
          <t>Star Wars Hyperspace Mountain</t>
        </is>
      </c>
      <c r="F15207" s="8" t="inlineStr">
        <is>
          <t>STANDBY</t>
        </is>
      </c>
      <c r="G15207" s="8" t="n">
        <v>40</v>
      </c>
      <c r="H15207" s="8" t="inlineStr">
        <is>
          <t>OPERATING</t>
        </is>
      </c>
    </row>
    <row r="15208">
      <c r="A15208" s="8" t="inlineStr">
        <is>
          <t>2026-08-03</t>
        </is>
      </c>
      <c r="B15208" s="8" t="n">
        <v>15</v>
      </c>
      <c r="C15208" s="8" t="n">
        <v>15</v>
      </c>
      <c r="D15208" s="8" t="inlineStr">
        <is>
          <t>Disneyland Park</t>
        </is>
      </c>
      <c r="E15208" s="8" t="inlineStr">
        <is>
          <t>Star Wars Hyperspace Mountain Single Rider</t>
        </is>
      </c>
      <c r="F15208" s="8" t="inlineStr">
        <is>
          <t>STANDBY</t>
        </is>
      </c>
      <c r="G15208" s="8" t="n">
        <v>35</v>
      </c>
      <c r="H15208" s="8" t="inlineStr">
        <is>
          <t>OPERATING</t>
        </is>
      </c>
    </row>
    <row r="15209">
      <c r="A15209" s="8" t="inlineStr">
        <is>
          <t>2026-08-03</t>
        </is>
      </c>
      <c r="B15209" s="8" t="n">
        <v>15</v>
      </c>
      <c r="C15209" s="8" t="n">
        <v>15</v>
      </c>
      <c r="D15209" s="8" t="inlineStr">
        <is>
          <t>Disneyland Park</t>
        </is>
      </c>
      <c r="E15209" s="8" t="inlineStr">
        <is>
          <t>Welcome to Starport: A Star Wars Encounter</t>
        </is>
      </c>
      <c r="F15209" s="8" t="inlineStr">
        <is>
          <t>STANDBY</t>
        </is>
      </c>
      <c r="G15209" s="8" t="n">
        <v>40</v>
      </c>
      <c r="H15209" s="8" t="inlineStr">
        <is>
          <t>OPERATING</t>
        </is>
      </c>
    </row>
    <row r="15210">
      <c r="A15210" s="8" t="inlineStr">
        <is>
          <t>2026-08-03</t>
        </is>
      </c>
      <c r="B15210" s="8" t="n">
        <v>15</v>
      </c>
      <c r="C15210" s="8" t="n">
        <v>15</v>
      </c>
      <c r="D15210" s="8" t="inlineStr">
        <is>
          <t>Disneyland Park</t>
        </is>
      </c>
      <c r="E15210" s="8" t="inlineStr">
        <is>
          <t>"it's a small world"</t>
        </is>
      </c>
      <c r="F15210" s="8" t="inlineStr">
        <is>
          <t>STANDBY</t>
        </is>
      </c>
      <c r="G15210" s="8" t="n">
        <v>20</v>
      </c>
      <c r="H15210" s="8" t="inlineStr">
        <is>
          <t>OPERATING</t>
        </is>
      </c>
    </row>
    <row r="15211">
      <c r="A15211" s="8" t="inlineStr">
        <is>
          <t>2026-08-03</t>
        </is>
      </c>
      <c r="B15211" s="8" t="n">
        <v>15</v>
      </c>
      <c r="C15211" s="8" t="n">
        <v>15</v>
      </c>
      <c r="D15211" s="8" t="inlineStr">
        <is>
          <t>Disneyland Park</t>
        </is>
      </c>
      <c r="E15211" s="8" t="inlineStr">
        <is>
          <t>Alice's Curious Labyrinth</t>
        </is>
      </c>
      <c r="F15211" s="8" t="inlineStr">
        <is>
          <t>STANDBY</t>
        </is>
      </c>
      <c r="G15211" s="8" t="n">
        <v>5</v>
      </c>
      <c r="H15211" s="8" t="inlineStr">
        <is>
          <t>OPERATING</t>
        </is>
      </c>
    </row>
    <row r="15212">
      <c r="A15212" s="8" t="inlineStr">
        <is>
          <t>2026-08-03</t>
        </is>
      </c>
      <c r="B15212" s="8" t="n">
        <v>15</v>
      </c>
      <c r="C15212" s="8" t="n">
        <v>15</v>
      </c>
      <c r="D15212" s="8" t="inlineStr">
        <is>
          <t>Disneyland Park</t>
        </is>
      </c>
      <c r="E15212" s="8" t="inlineStr">
        <is>
          <t>Blanche-Neige et les Sept Nains®</t>
        </is>
      </c>
      <c r="F15212" s="8" t="inlineStr">
        <is>
          <t>STANDBY</t>
        </is>
      </c>
      <c r="G15212" s="8" t="n">
        <v>35</v>
      </c>
      <c r="H15212" s="8" t="inlineStr">
        <is>
          <t>OPERATING</t>
        </is>
      </c>
    </row>
    <row r="15213">
      <c r="A15213" s="8" t="inlineStr">
        <is>
          <t>2026-08-03</t>
        </is>
      </c>
      <c r="B15213" s="8" t="n">
        <v>15</v>
      </c>
      <c r="C15213" s="8" t="n">
        <v>15</v>
      </c>
      <c r="D15213" s="8" t="inlineStr">
        <is>
          <t>Disneyland Park</t>
        </is>
      </c>
      <c r="E15213" s="8" t="inlineStr">
        <is>
          <t>Casey Jr. – le Petit Train du Cirque</t>
        </is>
      </c>
      <c r="F15213" s="8" t="inlineStr">
        <is>
          <t>STANDBY</t>
        </is>
      </c>
      <c r="G15213" s="8" t="n">
        <v>0</v>
      </c>
      <c r="H15213" s="8" t="inlineStr">
        <is>
          <t>CLOSED</t>
        </is>
      </c>
    </row>
    <row r="15214">
      <c r="A15214" s="8" t="inlineStr">
        <is>
          <t>2026-08-03</t>
        </is>
      </c>
      <c r="B15214" s="8" t="n">
        <v>15</v>
      </c>
      <c r="C15214" s="8" t="n">
        <v>15</v>
      </c>
      <c r="D15214" s="8" t="inlineStr">
        <is>
          <t>Disneyland Park</t>
        </is>
      </c>
      <c r="E15214" s="8" t="inlineStr">
        <is>
          <t>Disneyland Railroad Fantasyland Station</t>
        </is>
      </c>
      <c r="F15214" s="8" t="inlineStr">
        <is>
          <t>STANDBY</t>
        </is>
      </c>
      <c r="G15214" s="8" t="n">
        <v>0</v>
      </c>
      <c r="H15214" s="8" t="inlineStr">
        <is>
          <t>CLOSED</t>
        </is>
      </c>
    </row>
    <row r="15215">
      <c r="A15215" s="8" t="inlineStr">
        <is>
          <t>2026-08-03</t>
        </is>
      </c>
      <c r="B15215" s="8" t="n">
        <v>15</v>
      </c>
      <c r="C15215" s="8" t="n">
        <v>15</v>
      </c>
      <c r="D15215" s="8" t="inlineStr">
        <is>
          <t>Disneyland Park</t>
        </is>
      </c>
      <c r="E15215" s="8" t="inlineStr">
        <is>
          <t>Disneyland Railroad Main Street Station</t>
        </is>
      </c>
      <c r="F15215" s="8" t="inlineStr">
        <is>
          <t>STANDBY</t>
        </is>
      </c>
      <c r="G15215" s="8" t="n">
        <v>0</v>
      </c>
      <c r="H15215" s="8" t="inlineStr">
        <is>
          <t>CLOSED</t>
        </is>
      </c>
    </row>
    <row r="15216">
      <c r="A15216" s="8" t="inlineStr">
        <is>
          <t>2026-08-03</t>
        </is>
      </c>
      <c r="B15216" s="8" t="n">
        <v>15</v>
      </c>
      <c r="C15216" s="8" t="n">
        <v>15</v>
      </c>
      <c r="D15216" s="8" t="inlineStr">
        <is>
          <t>Disneyland Park</t>
        </is>
      </c>
      <c r="E15216" s="8" t="inlineStr">
        <is>
          <t>Dumbo the Flying Elephant</t>
        </is>
      </c>
      <c r="F15216" s="8" t="inlineStr">
        <is>
          <t>STANDBY</t>
        </is>
      </c>
      <c r="G15216" s="8" t="n">
        <v>0</v>
      </c>
      <c r="H15216" s="8" t="inlineStr">
        <is>
          <t>CLOSED</t>
        </is>
      </c>
    </row>
    <row r="15217">
      <c r="A15217" s="8" t="inlineStr">
        <is>
          <t>2026-08-03</t>
        </is>
      </c>
      <c r="B15217" s="8" t="n">
        <v>15</v>
      </c>
      <c r="C15217" s="8" t="n">
        <v>15</v>
      </c>
      <c r="D15217" s="8" t="inlineStr">
        <is>
          <t>Disneyland Park</t>
        </is>
      </c>
      <c r="E15217" s="8" t="inlineStr">
        <is>
          <t>La Tanière du Dragon</t>
        </is>
      </c>
      <c r="F15217" s="8" t="inlineStr">
        <is>
          <t>STANDBY</t>
        </is>
      </c>
      <c r="G15217" s="8" t="n">
        <v>0</v>
      </c>
      <c r="H15217" s="8" t="inlineStr">
        <is>
          <t>OPERATING</t>
        </is>
      </c>
    </row>
    <row r="15218">
      <c r="A15218" s="8" t="inlineStr">
        <is>
          <t>2026-08-03</t>
        </is>
      </c>
      <c r="B15218" s="8" t="n">
        <v>15</v>
      </c>
      <c r="C15218" s="8" t="n">
        <v>15</v>
      </c>
      <c r="D15218" s="8" t="inlineStr">
        <is>
          <t>Disneyland Park</t>
        </is>
      </c>
      <c r="E15218" s="8" t="inlineStr">
        <is>
          <t>Le Carrousel de Lancelot</t>
        </is>
      </c>
      <c r="F15218" s="8" t="inlineStr">
        <is>
          <t>STANDBY</t>
        </is>
      </c>
      <c r="G15218" s="8" t="n">
        <v>10</v>
      </c>
      <c r="H15218" s="8" t="inlineStr">
        <is>
          <t>OPERATING</t>
        </is>
      </c>
    </row>
    <row r="15219">
      <c r="A15219" s="8" t="inlineStr">
        <is>
          <t>2026-08-03</t>
        </is>
      </c>
      <c r="B15219" s="8" t="n">
        <v>15</v>
      </c>
      <c r="C15219" s="8" t="n">
        <v>15</v>
      </c>
      <c r="D15219" s="8" t="inlineStr">
        <is>
          <t>Disneyland Park</t>
        </is>
      </c>
      <c r="E15219" s="8" t="inlineStr">
        <is>
          <t>Le Pays des Contes de Fées, presented by Vittel</t>
        </is>
      </c>
      <c r="F15219" s="8" t="inlineStr">
        <is>
          <t>STANDBY</t>
        </is>
      </c>
      <c r="G15219" s="8" t="n">
        <v>0</v>
      </c>
      <c r="H15219" s="8" t="inlineStr">
        <is>
          <t>CLOSED</t>
        </is>
      </c>
    </row>
    <row r="15220">
      <c r="A15220" s="8" t="inlineStr">
        <is>
          <t>2026-08-03</t>
        </is>
      </c>
      <c r="B15220" s="8" t="n">
        <v>15</v>
      </c>
      <c r="C15220" s="8" t="n">
        <v>15</v>
      </c>
      <c r="D15220" s="8" t="inlineStr">
        <is>
          <t>Disneyland Park</t>
        </is>
      </c>
      <c r="E15220" s="8" t="inlineStr">
        <is>
          <t>Les Voyages de Pinocchio</t>
        </is>
      </c>
      <c r="F15220" s="8" t="inlineStr">
        <is>
          <t>STANDBY</t>
        </is>
      </c>
      <c r="G15220" s="8" t="n">
        <v>25</v>
      </c>
      <c r="H15220" s="8" t="inlineStr">
        <is>
          <t>OPERATING</t>
        </is>
      </c>
    </row>
    <row r="15221">
      <c r="A15221" s="8" t="inlineStr">
        <is>
          <t>2026-08-03</t>
        </is>
      </c>
      <c r="B15221" s="8" t="n">
        <v>15</v>
      </c>
      <c r="C15221" s="8" t="n">
        <v>15</v>
      </c>
      <c r="D15221" s="8" t="inlineStr">
        <is>
          <t>Disneyland Park</t>
        </is>
      </c>
      <c r="E15221" s="8" t="inlineStr">
        <is>
          <t>Mad Hatter's Tea Cups</t>
        </is>
      </c>
      <c r="F15221" s="8" t="inlineStr">
        <is>
          <t>STANDBY</t>
        </is>
      </c>
      <c r="G15221" s="8" t="n">
        <v>15</v>
      </c>
      <c r="H15221" s="8" t="inlineStr">
        <is>
          <t>OPERATING</t>
        </is>
      </c>
    </row>
    <row r="15222">
      <c r="A15222" s="8" t="inlineStr">
        <is>
          <t>2026-08-03</t>
        </is>
      </c>
      <c r="B15222" s="8" t="n">
        <v>15</v>
      </c>
      <c r="C15222" s="8" t="n">
        <v>15</v>
      </c>
      <c r="D15222" s="8" t="inlineStr">
        <is>
          <t>Disneyland Park</t>
        </is>
      </c>
      <c r="E15222" s="8" t="inlineStr">
        <is>
          <t>Meet Mickey Mouse</t>
        </is>
      </c>
      <c r="F15222" s="8" t="inlineStr">
        <is>
          <t>STANDBY</t>
        </is>
      </c>
      <c r="G15222" s="8" t="n">
        <v>0</v>
      </c>
      <c r="H15222" s="8" t="inlineStr">
        <is>
          <t>OPERATING</t>
        </is>
      </c>
    </row>
    <row r="15223">
      <c r="A15223" s="8" t="inlineStr">
        <is>
          <t>2026-08-03</t>
        </is>
      </c>
      <c r="B15223" s="8" t="n">
        <v>15</v>
      </c>
      <c r="C15223" s="8" t="n">
        <v>15</v>
      </c>
      <c r="D15223" s="8" t="inlineStr">
        <is>
          <t>Disneyland Park</t>
        </is>
      </c>
      <c r="E15223" s="8" t="inlineStr">
        <is>
          <t>Peter Pan's Flight</t>
        </is>
      </c>
      <c r="F15223" s="8" t="inlineStr">
        <is>
          <t>STANDBY</t>
        </is>
      </c>
      <c r="G15223" s="8" t="n">
        <v>65</v>
      </c>
      <c r="H15223" s="8" t="inlineStr">
        <is>
          <t>OPERATING</t>
        </is>
      </c>
    </row>
    <row r="15224">
      <c r="A15224" s="8" t="inlineStr">
        <is>
          <t>2026-08-03</t>
        </is>
      </c>
      <c r="B15224" s="8" t="n">
        <v>15</v>
      </c>
      <c r="C15224" s="8" t="n">
        <v>15</v>
      </c>
      <c r="D15224" s="8" t="inlineStr">
        <is>
          <t>Disneyland Park</t>
        </is>
      </c>
      <c r="E15224" s="8" t="inlineStr">
        <is>
          <t>Princess Pavilion</t>
        </is>
      </c>
      <c r="F15224" s="8" t="inlineStr">
        <is>
          <t>STANDBY</t>
        </is>
      </c>
      <c r="G15224" s="8" t="n">
        <v>0</v>
      </c>
      <c r="H15224" s="8" t="inlineStr">
        <is>
          <t>OPERATING</t>
        </is>
      </c>
    </row>
    <row r="15225">
      <c r="A15225" s="8" t="inlineStr">
        <is>
          <t>2026-08-03</t>
        </is>
      </c>
      <c r="B15225" s="8" t="n">
        <v>15</v>
      </c>
      <c r="C15225" s="8" t="n">
        <v>15</v>
      </c>
      <c r="D15225" s="8" t="inlineStr">
        <is>
          <t>Disneyland Park</t>
        </is>
      </c>
      <c r="E15225" s="8" t="inlineStr">
        <is>
          <t>Big Thunder Mountain</t>
        </is>
      </c>
      <c r="F15225" s="8" t="inlineStr">
        <is>
          <t>STANDBY</t>
        </is>
      </c>
      <c r="G15225" s="8" t="n">
        <v>60</v>
      </c>
      <c r="H15225" s="8" t="inlineStr">
        <is>
          <t>OPERATING</t>
        </is>
      </c>
    </row>
    <row r="15226">
      <c r="A15226" s="8" t="inlineStr">
        <is>
          <t>2026-08-03</t>
        </is>
      </c>
      <c r="B15226" s="8" t="n">
        <v>15</v>
      </c>
      <c r="C15226" s="8" t="n">
        <v>15</v>
      </c>
      <c r="D15226" s="8" t="inlineStr">
        <is>
          <t>Disneyland Park</t>
        </is>
      </c>
      <c r="E15226" s="8" t="inlineStr">
        <is>
          <t>Disneyland Railroad Frontierland Depot</t>
        </is>
      </c>
      <c r="F15226" s="8" t="inlineStr">
        <is>
          <t>STANDBY</t>
        </is>
      </c>
      <c r="G15226" s="8" t="n">
        <v>0</v>
      </c>
      <c r="H15226" s="8" t="inlineStr">
        <is>
          <t>CLOSED</t>
        </is>
      </c>
    </row>
    <row r="15227">
      <c r="A15227" s="8" t="inlineStr">
        <is>
          <t>2026-08-03</t>
        </is>
      </c>
      <c r="B15227" s="8" t="n">
        <v>15</v>
      </c>
      <c r="C15227" s="8" t="n">
        <v>15</v>
      </c>
      <c r="D15227" s="8" t="inlineStr">
        <is>
          <t>Disneyland Park</t>
        </is>
      </c>
      <c r="E15227" s="8" t="inlineStr">
        <is>
          <t>Frontierland Playground</t>
        </is>
      </c>
      <c r="F15227" s="8" t="inlineStr">
        <is>
          <t>STANDBY</t>
        </is>
      </c>
      <c r="G15227" s="8" t="n">
        <v>0</v>
      </c>
      <c r="H15227" s="8" t="inlineStr">
        <is>
          <t>CLOSED</t>
        </is>
      </c>
    </row>
    <row r="15228">
      <c r="A15228" s="8" t="inlineStr">
        <is>
          <t>2026-08-03</t>
        </is>
      </c>
      <c r="B15228" s="8" t="n">
        <v>15</v>
      </c>
      <c r="C15228" s="8" t="n">
        <v>15</v>
      </c>
      <c r="D15228" s="8" t="inlineStr">
        <is>
          <t>Disneyland Park</t>
        </is>
      </c>
      <c r="E15228" s="8" t="inlineStr">
        <is>
          <t>Phantom Manor</t>
        </is>
      </c>
      <c r="F15228" s="8" t="inlineStr">
        <is>
          <t>STANDBY</t>
        </is>
      </c>
      <c r="G15228" s="8" t="n">
        <v>20</v>
      </c>
      <c r="H15228" s="8" t="inlineStr">
        <is>
          <t>OPERATING</t>
        </is>
      </c>
    </row>
    <row r="15229">
      <c r="A15229" s="8" t="inlineStr">
        <is>
          <t>2026-08-03</t>
        </is>
      </c>
      <c r="B15229" s="8" t="n">
        <v>15</v>
      </c>
      <c r="C15229" s="8" t="n">
        <v>15</v>
      </c>
      <c r="D15229" s="8" t="inlineStr">
        <is>
          <t>Disneyland Park</t>
        </is>
      </c>
      <c r="E15229" s="8" t="inlineStr">
        <is>
          <t>River Rogue Keelboats</t>
        </is>
      </c>
      <c r="F15229" s="8" t="inlineStr">
        <is>
          <t>STANDBY</t>
        </is>
      </c>
      <c r="G15229" s="8" t="n">
        <v>0</v>
      </c>
      <c r="H15229" s="8" t="inlineStr">
        <is>
          <t>CLOSED</t>
        </is>
      </c>
    </row>
    <row r="15230">
      <c r="A15230" s="8" t="inlineStr">
        <is>
          <t>2026-08-03</t>
        </is>
      </c>
      <c r="B15230" s="8" t="n">
        <v>15</v>
      </c>
      <c r="C15230" s="8" t="n">
        <v>15</v>
      </c>
      <c r="D15230" s="8" t="inlineStr">
        <is>
          <t>Disneyland Park</t>
        </is>
      </c>
      <c r="E15230" s="8" t="inlineStr">
        <is>
          <t>Rustler Roundup Shootin' Gallery</t>
        </is>
      </c>
      <c r="F15230" s="8" t="inlineStr">
        <is>
          <t>STANDBY</t>
        </is>
      </c>
      <c r="G15230" s="8" t="n">
        <v>0</v>
      </c>
      <c r="H15230" s="8" t="inlineStr">
        <is>
          <t>OPERATING</t>
        </is>
      </c>
    </row>
    <row r="15231">
      <c r="A15231" s="8" t="inlineStr">
        <is>
          <t>2026-08-03</t>
        </is>
      </c>
      <c r="B15231" s="8" t="n">
        <v>15</v>
      </c>
      <c r="C15231" s="8" t="n">
        <v>15</v>
      </c>
      <c r="D15231" s="8" t="inlineStr">
        <is>
          <t>Disneyland Park</t>
        </is>
      </c>
      <c r="E15231" s="8" t="inlineStr">
        <is>
          <t>Thunder Mesa Riverboat Landing</t>
        </is>
      </c>
      <c r="F15231" s="8" t="inlineStr">
        <is>
          <t>STANDBY</t>
        </is>
      </c>
      <c r="G15231" s="8" t="n">
        <v>20</v>
      </c>
      <c r="H15231" s="8" t="inlineStr">
        <is>
          <t>OPERATING</t>
        </is>
      </c>
    </row>
    <row r="15232">
      <c r="A15232" s="8" t="inlineStr">
        <is>
          <t>2026-08-03</t>
        </is>
      </c>
      <c r="B15232" s="8" t="n">
        <v>15</v>
      </c>
      <c r="C15232" s="8" t="n">
        <v>15</v>
      </c>
      <c r="D15232" s="8" t="inlineStr">
        <is>
          <t>Disneyland Park</t>
        </is>
      </c>
      <c r="E15232" s="8" t="inlineStr">
        <is>
          <t>Disneyland Railroad Main Street Station</t>
        </is>
      </c>
      <c r="F15232" s="8" t="inlineStr">
        <is>
          <t>STANDBY</t>
        </is>
      </c>
      <c r="G15232" s="8" t="n">
        <v>0</v>
      </c>
      <c r="H15232" s="8" t="inlineStr">
        <is>
          <t>CLOSED</t>
        </is>
      </c>
    </row>
    <row r="15233">
      <c r="A15233" s="8" t="inlineStr">
        <is>
          <t>2026-08-03</t>
        </is>
      </c>
      <c r="B15233" s="8" t="n">
        <v>15</v>
      </c>
      <c r="C15233" s="8" t="n">
        <v>15</v>
      </c>
      <c r="D15233" s="8" t="inlineStr">
        <is>
          <t>Disneyland Park</t>
        </is>
      </c>
      <c r="E15233" s="8" t="inlineStr">
        <is>
          <t>Main Street Vehicles</t>
        </is>
      </c>
      <c r="F15233" s="8" t="inlineStr">
        <is>
          <t>STANDBY</t>
        </is>
      </c>
      <c r="G15233" s="8" t="n">
        <v>0</v>
      </c>
      <c r="H15233" s="8" t="inlineStr">
        <is>
          <t>CLOSED</t>
        </is>
      </c>
    </row>
    <row r="15234">
      <c r="A15234" s="8" t="inlineStr">
        <is>
          <t>2026-08-03</t>
        </is>
      </c>
      <c r="B15234" s="8" t="n">
        <v>15</v>
      </c>
      <c r="C15234" s="8" t="n">
        <v>15</v>
      </c>
      <c r="D15234" s="8" t="inlineStr">
        <is>
          <t>Disney Adventure World</t>
        </is>
      </c>
      <c r="E15234" s="8" t="inlineStr">
        <is>
          <t>Avengers Assemble: Flight Force</t>
        </is>
      </c>
      <c r="F15234" s="8" t="inlineStr">
        <is>
          <t>STANDBY</t>
        </is>
      </c>
      <c r="G15234" s="8" t="n">
        <v>25</v>
      </c>
      <c r="H15234" s="8" t="inlineStr">
        <is>
          <t>OPERATING</t>
        </is>
      </c>
    </row>
    <row r="15235">
      <c r="A15235" s="8" t="inlineStr">
        <is>
          <t>2026-08-03</t>
        </is>
      </c>
      <c r="B15235" s="8" t="n">
        <v>15</v>
      </c>
      <c r="C15235" s="8" t="n">
        <v>15</v>
      </c>
      <c r="D15235" s="8" t="inlineStr">
        <is>
          <t>Disney Adventure World</t>
        </is>
      </c>
      <c r="E15235" s="8" t="inlineStr">
        <is>
          <t>Avengers Assemble: Flight Force Single Rider</t>
        </is>
      </c>
      <c r="F15235" s="8" t="inlineStr">
        <is>
          <t>STANDBY</t>
        </is>
      </c>
      <c r="G15235" s="8" t="n">
        <v>10</v>
      </c>
      <c r="H15235" s="8" t="inlineStr">
        <is>
          <t>OPERATING</t>
        </is>
      </c>
    </row>
    <row r="15236">
      <c r="A15236" s="8" t="inlineStr">
        <is>
          <t>2026-08-03</t>
        </is>
      </c>
      <c r="B15236" s="8" t="n">
        <v>15</v>
      </c>
      <c r="C15236" s="8" t="n">
        <v>15</v>
      </c>
      <c r="D15236" s="8" t="inlineStr">
        <is>
          <t>Disney Adventure World</t>
        </is>
      </c>
      <c r="E15236" s="8" t="inlineStr">
        <is>
          <t>Spider-Man W.E.B. Adventure</t>
        </is>
      </c>
      <c r="F15236" s="8" t="inlineStr">
        <is>
          <t>STANDBY</t>
        </is>
      </c>
      <c r="G15236" s="8" t="n">
        <v>45</v>
      </c>
      <c r="H15236" s="8" t="inlineStr">
        <is>
          <t>OPERATING</t>
        </is>
      </c>
    </row>
    <row r="15237">
      <c r="A15237" s="8" t="inlineStr">
        <is>
          <t>2026-08-03</t>
        </is>
      </c>
      <c r="B15237" s="8" t="n">
        <v>15</v>
      </c>
      <c r="C15237" s="8" t="n">
        <v>15</v>
      </c>
      <c r="D15237" s="8" t="inlineStr">
        <is>
          <t>Disney Adventure World</t>
        </is>
      </c>
      <c r="E15237" s="8" t="inlineStr">
        <is>
          <t>Spider-Man W.E.B. Adventure Single Rider</t>
        </is>
      </c>
      <c r="F15237" s="8" t="inlineStr">
        <is>
          <t>STANDBY</t>
        </is>
      </c>
      <c r="G15237" s="8" t="n">
        <v>20</v>
      </c>
      <c r="H15237" s="8" t="inlineStr">
        <is>
          <t>OPERATING</t>
        </is>
      </c>
    </row>
    <row r="15238">
      <c r="A15238" s="8" t="inlineStr">
        <is>
          <t>2026-08-03</t>
        </is>
      </c>
      <c r="B15238" s="8" t="n">
        <v>15</v>
      </c>
      <c r="C15238" s="8" t="n">
        <v>15</v>
      </c>
      <c r="D15238" s="8" t="inlineStr">
        <is>
          <t>Disney Adventure World</t>
        </is>
      </c>
      <c r="E15238" s="8" t="inlineStr">
        <is>
          <t>The Twilight Zone Tower of Terror</t>
        </is>
      </c>
      <c r="F15238" s="8" t="inlineStr">
        <is>
          <t>STANDBY</t>
        </is>
      </c>
      <c r="G15238" s="8" t="n">
        <v>30</v>
      </c>
      <c r="H15238" s="8" t="inlineStr">
        <is>
          <t>OPERATING</t>
        </is>
      </c>
    </row>
    <row r="15239">
      <c r="A15239" s="8" t="inlineStr">
        <is>
          <t>2026-08-03</t>
        </is>
      </c>
      <c r="B15239" s="8" t="n">
        <v>15</v>
      </c>
      <c r="C15239" s="8" t="n">
        <v>15</v>
      </c>
      <c r="D15239" s="8" t="inlineStr">
        <is>
          <t>Disney Adventure World</t>
        </is>
      </c>
      <c r="E15239" s="8" t="inlineStr">
        <is>
          <t>Cars Quatre Roues Rallye</t>
        </is>
      </c>
      <c r="F15239" s="8" t="inlineStr">
        <is>
          <t>STANDBY</t>
        </is>
      </c>
      <c r="G15239" s="8" t="n">
        <v>5</v>
      </c>
      <c r="H15239" s="8" t="inlineStr">
        <is>
          <t>OPERATING</t>
        </is>
      </c>
    </row>
    <row r="15240">
      <c r="A15240" s="8" t="inlineStr">
        <is>
          <t>2026-08-03</t>
        </is>
      </c>
      <c r="B15240" s="8" t="n">
        <v>15</v>
      </c>
      <c r="C15240" s="8" t="n">
        <v>15</v>
      </c>
      <c r="D15240" s="8" t="inlineStr">
        <is>
          <t>Disney Adventure World</t>
        </is>
      </c>
      <c r="E15240" s="8" t="inlineStr">
        <is>
          <t>Cars ROAD TRIP</t>
        </is>
      </c>
      <c r="F15240" s="8" t="inlineStr">
        <is>
          <t>STANDBY</t>
        </is>
      </c>
      <c r="G15240" s="8" t="n">
        <v>5</v>
      </c>
      <c r="H15240" s="8" t="inlineStr">
        <is>
          <t>OPERATING</t>
        </is>
      </c>
    </row>
    <row r="15241">
      <c r="A15241" s="8" t="inlineStr">
        <is>
          <t>2026-08-03</t>
        </is>
      </c>
      <c r="B15241" s="8" t="n">
        <v>15</v>
      </c>
      <c r="C15241" s="8" t="n">
        <v>15</v>
      </c>
      <c r="D15241" s="8" t="inlineStr">
        <is>
          <t>Disney Adventure World</t>
        </is>
      </c>
      <c r="E15241" s="8" t="inlineStr">
        <is>
          <t>Crush's Coaster</t>
        </is>
      </c>
      <c r="F15241" s="8" t="inlineStr">
        <is>
          <t>STANDBY</t>
        </is>
      </c>
      <c r="G15241" s="8" t="n">
        <v>70</v>
      </c>
      <c r="H15241" s="8" t="inlineStr">
        <is>
          <t>OPERATING</t>
        </is>
      </c>
    </row>
    <row r="15242">
      <c r="A15242" s="8" t="inlineStr">
        <is>
          <t>2026-08-03</t>
        </is>
      </c>
      <c r="B15242" s="8" t="n">
        <v>15</v>
      </c>
      <c r="C15242" s="8" t="n">
        <v>15</v>
      </c>
      <c r="D15242" s="8" t="inlineStr">
        <is>
          <t>Disney Adventure World</t>
        </is>
      </c>
      <c r="E15242" s="8" t="inlineStr">
        <is>
          <t>Crush's Coaster Single Rider</t>
        </is>
      </c>
      <c r="F15242" s="8" t="inlineStr">
        <is>
          <t>STANDBY</t>
        </is>
      </c>
      <c r="G15242" s="8" t="n">
        <v>60</v>
      </c>
      <c r="H15242" s="8" t="inlineStr">
        <is>
          <t>OPERATING</t>
        </is>
      </c>
    </row>
    <row r="15243">
      <c r="A15243" s="8" t="inlineStr">
        <is>
          <t>2026-08-03</t>
        </is>
      </c>
      <c r="B15243" s="8" t="n">
        <v>15</v>
      </c>
      <c r="C15243" s="8" t="n">
        <v>15</v>
      </c>
      <c r="D15243" s="8" t="inlineStr">
        <is>
          <t>Disney Adventure World</t>
        </is>
      </c>
      <c r="E15243" s="8" t="inlineStr">
        <is>
          <t>Les Tapis Volants - Flying Carpets Over Agrabah®</t>
        </is>
      </c>
      <c r="F15243" s="8" t="inlineStr">
        <is>
          <t>STANDBY</t>
        </is>
      </c>
      <c r="G15243" s="8" t="n">
        <v>0</v>
      </c>
      <c r="H15243" s="8" t="inlineStr">
        <is>
          <t>CLOSED</t>
        </is>
      </c>
    </row>
    <row r="15244">
      <c r="A15244" s="8" t="inlineStr">
        <is>
          <t>2026-08-03</t>
        </is>
      </c>
      <c r="B15244" s="8" t="n">
        <v>15</v>
      </c>
      <c r="C15244" s="8" t="n">
        <v>15</v>
      </c>
      <c r="D15244" s="8" t="inlineStr">
        <is>
          <t>Disney Adventure World</t>
        </is>
      </c>
      <c r="E15244" s="8" t="inlineStr">
        <is>
          <t>Ratatouille : L’Aventure Totalement Toquée de Rémy​</t>
        </is>
      </c>
      <c r="F15244" s="8" t="inlineStr">
        <is>
          <t>STANDBY</t>
        </is>
      </c>
      <c r="G15244" s="8" t="n">
        <v>45</v>
      </c>
      <c r="H15244" s="8" t="inlineStr">
        <is>
          <t>OPERATING</t>
        </is>
      </c>
    </row>
    <row r="15245">
      <c r="A15245" s="8" t="inlineStr">
        <is>
          <t>2026-08-03</t>
        </is>
      </c>
      <c r="B15245" s="8" t="n">
        <v>15</v>
      </c>
      <c r="C15245" s="8" t="n">
        <v>15</v>
      </c>
      <c r="D15245" s="8" t="inlineStr">
        <is>
          <t>Disney Adventure World</t>
        </is>
      </c>
      <c r="E15245" s="8" t="inlineStr">
        <is>
          <t>Ratatouille: The Adventure Single Rider</t>
        </is>
      </c>
      <c r="F15245" s="8" t="inlineStr">
        <is>
          <t>STANDBY</t>
        </is>
      </c>
      <c r="G15245" s="8" t="n">
        <v>15</v>
      </c>
      <c r="H15245" s="8" t="inlineStr">
        <is>
          <t>OPERATING</t>
        </is>
      </c>
    </row>
    <row r="15246">
      <c r="A15246" s="8" t="inlineStr">
        <is>
          <t>2026-08-03</t>
        </is>
      </c>
      <c r="B15246" s="8" t="n">
        <v>15</v>
      </c>
      <c r="C15246" s="8" t="n">
        <v>15</v>
      </c>
      <c r="D15246" s="8" t="inlineStr">
        <is>
          <t>Disney Adventure World</t>
        </is>
      </c>
      <c r="E15246" s="8" t="inlineStr">
        <is>
          <t>RC Racer</t>
        </is>
      </c>
      <c r="F15246" s="8" t="inlineStr">
        <is>
          <t>STANDBY</t>
        </is>
      </c>
      <c r="G15246" s="8" t="n">
        <v>35</v>
      </c>
      <c r="H15246" s="8" t="inlineStr">
        <is>
          <t>OPERATING</t>
        </is>
      </c>
    </row>
    <row r="15247">
      <c r="A15247" s="8" t="inlineStr">
        <is>
          <t>2026-08-03</t>
        </is>
      </c>
      <c r="B15247" s="8" t="n">
        <v>15</v>
      </c>
      <c r="C15247" s="8" t="n">
        <v>15</v>
      </c>
      <c r="D15247" s="8" t="inlineStr">
        <is>
          <t>Disney Adventure World</t>
        </is>
      </c>
      <c r="E15247" s="8" t="inlineStr">
        <is>
          <t>RC Racer Single Rider</t>
        </is>
      </c>
      <c r="F15247" s="8" t="inlineStr">
        <is>
          <t>STANDBY</t>
        </is>
      </c>
      <c r="G15247" s="8" t="n">
        <v>30</v>
      </c>
      <c r="H15247" s="8" t="inlineStr">
        <is>
          <t>OPERATING</t>
        </is>
      </c>
    </row>
    <row r="15248">
      <c r="A15248" s="8" t="inlineStr">
        <is>
          <t>2026-08-03</t>
        </is>
      </c>
      <c r="B15248" s="8" t="n">
        <v>15</v>
      </c>
      <c r="C15248" s="8" t="n">
        <v>15</v>
      </c>
      <c r="D15248" s="8" t="inlineStr">
        <is>
          <t>Disney Adventure World</t>
        </is>
      </c>
      <c r="E15248" s="8" t="inlineStr">
        <is>
          <t>Slinky® Dog Zigzag Spin</t>
        </is>
      </c>
      <c r="F15248" s="8" t="inlineStr">
        <is>
          <t>STANDBY</t>
        </is>
      </c>
      <c r="G15248" s="8" t="n">
        <v>0</v>
      </c>
      <c r="H15248" s="8" t="inlineStr">
        <is>
          <t>CLOSED</t>
        </is>
      </c>
    </row>
    <row r="15249">
      <c r="A15249" s="8" t="inlineStr">
        <is>
          <t>2026-08-03</t>
        </is>
      </c>
      <c r="B15249" s="8" t="n">
        <v>15</v>
      </c>
      <c r="C15249" s="8" t="n">
        <v>15</v>
      </c>
      <c r="D15249" s="8" t="inlineStr">
        <is>
          <t>Disney Adventure World</t>
        </is>
      </c>
      <c r="E15249" s="8" t="inlineStr">
        <is>
          <t>Toy Soldiers Parachute Drop</t>
        </is>
      </c>
      <c r="F15249" s="8" t="inlineStr">
        <is>
          <t>STANDBY</t>
        </is>
      </c>
      <c r="G15249" s="8" t="n">
        <v>45</v>
      </c>
      <c r="H15249" s="8" t="inlineStr">
        <is>
          <t>OPERATING</t>
        </is>
      </c>
    </row>
    <row r="15250">
      <c r="A15250" s="8" t="inlineStr">
        <is>
          <t>2026-08-03</t>
        </is>
      </c>
      <c r="B15250" s="8" t="n">
        <v>15</v>
      </c>
      <c r="C15250" s="8" t="n">
        <v>15</v>
      </c>
      <c r="D15250" s="8" t="inlineStr">
        <is>
          <t>Disney Adventure World</t>
        </is>
      </c>
      <c r="E15250" s="8" t="inlineStr">
        <is>
          <t>Toy Soldiers Parachute Drop Single Rider</t>
        </is>
      </c>
      <c r="F15250" s="8" t="inlineStr">
        <is>
          <t>STANDBY</t>
        </is>
      </c>
      <c r="G15250" s="8" t="n">
        <v>15</v>
      </c>
      <c r="H15250" s="8" t="inlineStr">
        <is>
          <t>OPERATING</t>
        </is>
      </c>
    </row>
    <row r="15251">
      <c r="A15251" s="8" t="inlineStr">
        <is>
          <t>2026-08-03</t>
        </is>
      </c>
      <c r="B15251" s="8" t="n">
        <v>15</v>
      </c>
      <c r="C15251" s="8" t="n">
        <v>15</v>
      </c>
      <c r="D15251" s="8" t="inlineStr">
        <is>
          <t>Disney Adventure World</t>
        </is>
      </c>
      <c r="E15251" s="8" t="inlineStr">
        <is>
          <t>Entry to World of Frozen</t>
        </is>
      </c>
      <c r="F15251" s="8" t="inlineStr">
        <is>
          <t>STANDBY</t>
        </is>
      </c>
      <c r="G15251" s="8" t="n">
        <v>0</v>
      </c>
      <c r="H15251" s="8" t="inlineStr">
        <is>
          <t>OPERATING</t>
        </is>
      </c>
    </row>
    <row r="15252">
      <c r="A15252" s="8" t="inlineStr">
        <is>
          <t>2026-08-03</t>
        </is>
      </c>
      <c r="B15252" s="8" t="n">
        <v>15</v>
      </c>
      <c r="C15252" s="8" t="n">
        <v>15</v>
      </c>
      <c r="D15252" s="8" t="inlineStr">
        <is>
          <t>Disney Adventure World</t>
        </is>
      </c>
      <c r="E15252" s="8" t="inlineStr">
        <is>
          <t>Frozen Ever After</t>
        </is>
      </c>
      <c r="F15252" s="8" t="inlineStr">
        <is>
          <t>STANDBY</t>
        </is>
      </c>
      <c r="G15252" s="8" t="n">
        <v>50</v>
      </c>
      <c r="H15252" s="8" t="inlineStr">
        <is>
          <t>OPERATING</t>
        </is>
      </c>
    </row>
    <row r="15253">
      <c r="A15253" s="8" t="inlineStr">
        <is>
          <t>2026-08-03</t>
        </is>
      </c>
      <c r="B15253" s="8" t="n">
        <v>15</v>
      </c>
      <c r="C15253" s="8" t="n">
        <v>15</v>
      </c>
      <c r="D15253" s="8" t="inlineStr">
        <is>
          <t>Disney Adventure World</t>
        </is>
      </c>
      <c r="E15253" s="8" t="inlineStr">
        <is>
          <t>Raiponce Tangled Spin</t>
        </is>
      </c>
      <c r="F15253" s="8" t="inlineStr">
        <is>
          <t>STANDBY</t>
        </is>
      </c>
      <c r="G15253" s="8" t="n">
        <v>10</v>
      </c>
      <c r="H15253" s="8" t="inlineStr">
        <is>
          <t>OPERATING</t>
        </is>
      </c>
    </row>
    <row r="15254">
      <c r="A15254" s="8" t="inlineStr">
        <is>
          <t>2026-08-03</t>
        </is>
      </c>
      <c r="B15254" s="8" t="n">
        <v>15</v>
      </c>
      <c r="C15254" s="8" t="n">
        <v>17</v>
      </c>
      <c r="D15254" s="8" t="inlineStr">
        <is>
          <t>Disneyland Park</t>
        </is>
      </c>
      <c r="E15254" s="8" t="inlineStr">
        <is>
          <t>Adventure Isle</t>
        </is>
      </c>
      <c r="F15254" s="8" t="inlineStr">
        <is>
          <t>STANDBY</t>
        </is>
      </c>
      <c r="G15254" s="8" t="n">
        <v>0</v>
      </c>
      <c r="H15254" s="8" t="inlineStr">
        <is>
          <t>OPERATING</t>
        </is>
      </c>
    </row>
    <row r="15255">
      <c r="A15255" s="8" t="inlineStr">
        <is>
          <t>2026-08-03</t>
        </is>
      </c>
      <c r="B15255" s="8" t="n">
        <v>15</v>
      </c>
      <c r="C15255" s="8" t="n">
        <v>17</v>
      </c>
      <c r="D15255" s="8" t="inlineStr">
        <is>
          <t>Disneyland Park</t>
        </is>
      </c>
      <c r="E15255" s="8" t="inlineStr">
        <is>
          <t>Indiana Jones and the Temple of Peril Single Rider</t>
        </is>
      </c>
      <c r="F15255" s="8" t="inlineStr">
        <is>
          <t>STANDBY</t>
        </is>
      </c>
      <c r="G15255" s="8" t="n">
        <v>15</v>
      </c>
      <c r="H15255" s="8" t="inlineStr">
        <is>
          <t>OPERATING</t>
        </is>
      </c>
    </row>
    <row r="15256">
      <c r="A15256" s="8" t="inlineStr">
        <is>
          <t>2026-08-03</t>
        </is>
      </c>
      <c r="B15256" s="8" t="n">
        <v>15</v>
      </c>
      <c r="C15256" s="8" t="n">
        <v>17</v>
      </c>
      <c r="D15256" s="8" t="inlineStr">
        <is>
          <t>Disneyland Park</t>
        </is>
      </c>
      <c r="E15256" s="8" t="inlineStr">
        <is>
          <t>Indiana Jones™ and the Temple of Peril</t>
        </is>
      </c>
      <c r="F15256" s="8" t="inlineStr">
        <is>
          <t>STANDBY</t>
        </is>
      </c>
      <c r="G15256" s="8" t="n">
        <v>30</v>
      </c>
      <c r="H15256" s="8" t="inlineStr">
        <is>
          <t>OPERATING</t>
        </is>
      </c>
    </row>
    <row r="15257">
      <c r="A15257" s="8" t="inlineStr">
        <is>
          <t>2026-08-03</t>
        </is>
      </c>
      <c r="B15257" s="8" t="n">
        <v>15</v>
      </c>
      <c r="C15257" s="8" t="n">
        <v>17</v>
      </c>
      <c r="D15257" s="8" t="inlineStr">
        <is>
          <t>Disneyland Park</t>
        </is>
      </c>
      <c r="E15257" s="8" t="inlineStr">
        <is>
          <t>La Cabane des Robinson</t>
        </is>
      </c>
      <c r="F15257" s="8" t="inlineStr">
        <is>
          <t>STANDBY</t>
        </is>
      </c>
      <c r="G15257" s="8" t="n">
        <v>5</v>
      </c>
      <c r="H15257" s="8" t="inlineStr">
        <is>
          <t>OPERATING</t>
        </is>
      </c>
    </row>
    <row r="15258">
      <c r="A15258" s="8" t="inlineStr">
        <is>
          <t>2026-08-03</t>
        </is>
      </c>
      <c r="B15258" s="8" t="n">
        <v>15</v>
      </c>
      <c r="C15258" s="8" t="n">
        <v>17</v>
      </c>
      <c r="D15258" s="8" t="inlineStr">
        <is>
          <t>Disneyland Park</t>
        </is>
      </c>
      <c r="E15258" s="8" t="inlineStr">
        <is>
          <t>Le Passage Enchanté d'Aladdin</t>
        </is>
      </c>
      <c r="F15258" s="8" t="inlineStr">
        <is>
          <t>STANDBY</t>
        </is>
      </c>
      <c r="G15258" s="8" t="n">
        <v>0</v>
      </c>
      <c r="H15258" s="8" t="inlineStr">
        <is>
          <t>OPERATING</t>
        </is>
      </c>
    </row>
    <row r="15259">
      <c r="A15259" s="8" t="inlineStr">
        <is>
          <t>2026-08-03</t>
        </is>
      </c>
      <c r="B15259" s="8" t="n">
        <v>15</v>
      </c>
      <c r="C15259" s="8" t="n">
        <v>17</v>
      </c>
      <c r="D15259" s="8" t="inlineStr">
        <is>
          <t>Disneyland Park</t>
        </is>
      </c>
      <c r="E15259" s="8" t="inlineStr">
        <is>
          <t>Pirate Galleon</t>
        </is>
      </c>
      <c r="F15259" s="8" t="inlineStr">
        <is>
          <t>STANDBY</t>
        </is>
      </c>
      <c r="G15259" s="8" t="n">
        <v>0</v>
      </c>
      <c r="H15259" s="8" t="inlineStr">
        <is>
          <t>CLOSED</t>
        </is>
      </c>
    </row>
    <row r="15260">
      <c r="A15260" s="8" t="inlineStr">
        <is>
          <t>2026-08-03</t>
        </is>
      </c>
      <c r="B15260" s="8" t="n">
        <v>15</v>
      </c>
      <c r="C15260" s="8" t="n">
        <v>17</v>
      </c>
      <c r="D15260" s="8" t="inlineStr">
        <is>
          <t>Disneyland Park</t>
        </is>
      </c>
      <c r="E15260" s="8" t="inlineStr">
        <is>
          <t>Pirates of the Caribbean</t>
        </is>
      </c>
      <c r="F15260" s="8" t="inlineStr">
        <is>
          <t>STANDBY</t>
        </is>
      </c>
      <c r="G15260" s="8" t="n">
        <v>30</v>
      </c>
      <c r="H15260" s="8" t="inlineStr">
        <is>
          <t>OPERATING</t>
        </is>
      </c>
    </row>
    <row r="15261">
      <c r="A15261" s="8" t="inlineStr">
        <is>
          <t>2026-08-03</t>
        </is>
      </c>
      <c r="B15261" s="8" t="n">
        <v>15</v>
      </c>
      <c r="C15261" s="8" t="n">
        <v>17</v>
      </c>
      <c r="D15261" s="8" t="inlineStr">
        <is>
          <t>Disneyland Park</t>
        </is>
      </c>
      <c r="E15261" s="8" t="inlineStr">
        <is>
          <t>Pirates' Beach</t>
        </is>
      </c>
      <c r="F15261" s="8" t="inlineStr">
        <is>
          <t>STANDBY</t>
        </is>
      </c>
      <c r="G15261" s="8" t="n">
        <v>0</v>
      </c>
      <c r="H15261" s="8" t="inlineStr">
        <is>
          <t>OPERATING</t>
        </is>
      </c>
    </row>
    <row r="15262">
      <c r="A15262" s="8" t="inlineStr">
        <is>
          <t>2026-08-03</t>
        </is>
      </c>
      <c r="B15262" s="8" t="n">
        <v>15</v>
      </c>
      <c r="C15262" s="8" t="n">
        <v>17</v>
      </c>
      <c r="D15262" s="8" t="inlineStr">
        <is>
          <t>Disneyland Park</t>
        </is>
      </c>
      <c r="E15262" s="8" t="inlineStr">
        <is>
          <t>Autopia, presented by Avis</t>
        </is>
      </c>
      <c r="F15262" s="8" t="inlineStr">
        <is>
          <t>STANDBY</t>
        </is>
      </c>
      <c r="G15262" s="8" t="n">
        <v>0</v>
      </c>
      <c r="H15262" s="8" t="inlineStr">
        <is>
          <t>CLOSED</t>
        </is>
      </c>
    </row>
    <row r="15263">
      <c r="A15263" s="8" t="inlineStr">
        <is>
          <t>2026-08-03</t>
        </is>
      </c>
      <c r="B15263" s="8" t="n">
        <v>15</v>
      </c>
      <c r="C15263" s="8" t="n">
        <v>17</v>
      </c>
      <c r="D15263" s="8" t="inlineStr">
        <is>
          <t>Disneyland Park</t>
        </is>
      </c>
      <c r="E15263" s="8" t="inlineStr">
        <is>
          <t>Buzz Lightyear Laser Blast</t>
        </is>
      </c>
      <c r="F15263" s="8" t="inlineStr">
        <is>
          <t>STANDBY</t>
        </is>
      </c>
      <c r="G15263" s="8" t="n">
        <v>50</v>
      </c>
      <c r="H15263" s="8" t="inlineStr">
        <is>
          <t>OPERATING</t>
        </is>
      </c>
    </row>
    <row r="15264">
      <c r="A15264" s="8" t="inlineStr">
        <is>
          <t>2026-08-03</t>
        </is>
      </c>
      <c r="B15264" s="8" t="n">
        <v>15</v>
      </c>
      <c r="C15264" s="8" t="n">
        <v>17</v>
      </c>
      <c r="D15264" s="8" t="inlineStr">
        <is>
          <t>Disneyland Park</t>
        </is>
      </c>
      <c r="E15264" s="8" t="inlineStr">
        <is>
          <t>Disneyland Railroad Discoveryland Station</t>
        </is>
      </c>
      <c r="F15264" s="8" t="inlineStr">
        <is>
          <t>STANDBY</t>
        </is>
      </c>
      <c r="G15264" s="8" t="n">
        <v>0</v>
      </c>
      <c r="H15264" s="8" t="inlineStr">
        <is>
          <t>CLOSED</t>
        </is>
      </c>
    </row>
    <row r="15265">
      <c r="A15265" s="8" t="inlineStr">
        <is>
          <t>2026-08-03</t>
        </is>
      </c>
      <c r="B15265" s="8" t="n">
        <v>15</v>
      </c>
      <c r="C15265" s="8" t="n">
        <v>17</v>
      </c>
      <c r="D15265" s="8" t="inlineStr">
        <is>
          <t>Disneyland Park</t>
        </is>
      </c>
      <c r="E15265" s="8" t="inlineStr">
        <is>
          <t>Les Mystères du Nautilus</t>
        </is>
      </c>
      <c r="F15265" s="8" t="inlineStr">
        <is>
          <t>STANDBY</t>
        </is>
      </c>
      <c r="G15265" s="8" t="n">
        <v>5</v>
      </c>
      <c r="H15265" s="8" t="inlineStr">
        <is>
          <t>OPERATING</t>
        </is>
      </c>
    </row>
    <row r="15266">
      <c r="A15266" s="8" t="inlineStr">
        <is>
          <t>2026-08-03</t>
        </is>
      </c>
      <c r="B15266" s="8" t="n">
        <v>15</v>
      </c>
      <c r="C15266" s="8" t="n">
        <v>17</v>
      </c>
      <c r="D15266" s="8" t="inlineStr">
        <is>
          <t>Disneyland Park</t>
        </is>
      </c>
      <c r="E15266" s="8" t="inlineStr">
        <is>
          <t>Mickey’s PhilharMagic</t>
        </is>
      </c>
      <c r="F15266" s="8" t="inlineStr">
        <is>
          <t>STANDBY</t>
        </is>
      </c>
      <c r="G15266" s="8" t="n">
        <v>0</v>
      </c>
      <c r="H15266" s="8" t="inlineStr">
        <is>
          <t>OPERATING</t>
        </is>
      </c>
    </row>
    <row r="15267">
      <c r="A15267" s="8" t="inlineStr">
        <is>
          <t>2026-08-03</t>
        </is>
      </c>
      <c r="B15267" s="8" t="n">
        <v>15</v>
      </c>
      <c r="C15267" s="8" t="n">
        <v>17</v>
      </c>
      <c r="D15267" s="8" t="inlineStr">
        <is>
          <t>Disneyland Park</t>
        </is>
      </c>
      <c r="E15267" s="8" t="inlineStr">
        <is>
          <t>Orbitron®</t>
        </is>
      </c>
      <c r="F15267" s="8" t="inlineStr">
        <is>
          <t>STANDBY</t>
        </is>
      </c>
      <c r="G15267" s="8" t="n">
        <v>0</v>
      </c>
      <c r="H15267" s="8" t="inlineStr">
        <is>
          <t>CLOSED</t>
        </is>
      </c>
    </row>
    <row r="15268">
      <c r="A15268" s="8" t="inlineStr">
        <is>
          <t>2026-08-03</t>
        </is>
      </c>
      <c r="B15268" s="8" t="n">
        <v>15</v>
      </c>
      <c r="C15268" s="8" t="n">
        <v>17</v>
      </c>
      <c r="D15268" s="8" t="inlineStr">
        <is>
          <t>Disneyland Park</t>
        </is>
      </c>
      <c r="E15268" s="8" t="inlineStr">
        <is>
          <t>Star Tours: The Adventures Continue*</t>
        </is>
      </c>
      <c r="F15268" s="8" t="inlineStr">
        <is>
          <t>STANDBY</t>
        </is>
      </c>
      <c r="G15268" s="8" t="n">
        <v>20</v>
      </c>
      <c r="H15268" s="8" t="inlineStr">
        <is>
          <t>OPERATING</t>
        </is>
      </c>
    </row>
    <row r="15269">
      <c r="A15269" s="8" t="inlineStr">
        <is>
          <t>2026-08-03</t>
        </is>
      </c>
      <c r="B15269" s="8" t="n">
        <v>15</v>
      </c>
      <c r="C15269" s="8" t="n">
        <v>17</v>
      </c>
      <c r="D15269" s="8" t="inlineStr">
        <is>
          <t>Disneyland Park</t>
        </is>
      </c>
      <c r="E15269" s="8" t="inlineStr">
        <is>
          <t>Star Wars Hyperspace Mountain</t>
        </is>
      </c>
      <c r="F15269" s="8" t="inlineStr">
        <is>
          <t>STANDBY</t>
        </is>
      </c>
      <c r="G15269" s="8" t="n">
        <v>40</v>
      </c>
      <c r="H15269" s="8" t="inlineStr">
        <is>
          <t>OPERATING</t>
        </is>
      </c>
    </row>
    <row r="15270">
      <c r="A15270" s="8" t="inlineStr">
        <is>
          <t>2026-08-03</t>
        </is>
      </c>
      <c r="B15270" s="8" t="n">
        <v>15</v>
      </c>
      <c r="C15270" s="8" t="n">
        <v>17</v>
      </c>
      <c r="D15270" s="8" t="inlineStr">
        <is>
          <t>Disneyland Park</t>
        </is>
      </c>
      <c r="E15270" s="8" t="inlineStr">
        <is>
          <t>Star Wars Hyperspace Mountain Single Rider</t>
        </is>
      </c>
      <c r="F15270" s="8" t="inlineStr">
        <is>
          <t>STANDBY</t>
        </is>
      </c>
      <c r="G15270" s="8" t="n">
        <v>35</v>
      </c>
      <c r="H15270" s="8" t="inlineStr">
        <is>
          <t>OPERATING</t>
        </is>
      </c>
    </row>
    <row r="15271">
      <c r="A15271" s="8" t="inlineStr">
        <is>
          <t>2026-08-03</t>
        </is>
      </c>
      <c r="B15271" s="8" t="n">
        <v>15</v>
      </c>
      <c r="C15271" s="8" t="n">
        <v>17</v>
      </c>
      <c r="D15271" s="8" t="inlineStr">
        <is>
          <t>Disneyland Park</t>
        </is>
      </c>
      <c r="E15271" s="8" t="inlineStr">
        <is>
          <t>Welcome to Starport: A Star Wars Encounter</t>
        </is>
      </c>
      <c r="F15271" s="8" t="inlineStr">
        <is>
          <t>STANDBY</t>
        </is>
      </c>
      <c r="G15271" s="8" t="n">
        <v>40</v>
      </c>
      <c r="H15271" s="8" t="inlineStr">
        <is>
          <t>OPERATING</t>
        </is>
      </c>
    </row>
    <row r="15272">
      <c r="A15272" s="8" t="inlineStr">
        <is>
          <t>2026-08-03</t>
        </is>
      </c>
      <c r="B15272" s="8" t="n">
        <v>15</v>
      </c>
      <c r="C15272" s="8" t="n">
        <v>17</v>
      </c>
      <c r="D15272" s="8" t="inlineStr">
        <is>
          <t>Disneyland Park</t>
        </is>
      </c>
      <c r="E15272" s="8" t="inlineStr">
        <is>
          <t>"it's a small world"</t>
        </is>
      </c>
      <c r="F15272" s="8" t="inlineStr">
        <is>
          <t>STANDBY</t>
        </is>
      </c>
      <c r="G15272" s="8" t="n">
        <v>20</v>
      </c>
      <c r="H15272" s="8" t="inlineStr">
        <is>
          <t>OPERATING</t>
        </is>
      </c>
    </row>
    <row r="15273">
      <c r="A15273" s="8" t="inlineStr">
        <is>
          <t>2026-08-03</t>
        </is>
      </c>
      <c r="B15273" s="8" t="n">
        <v>15</v>
      </c>
      <c r="C15273" s="8" t="n">
        <v>17</v>
      </c>
      <c r="D15273" s="8" t="inlineStr">
        <is>
          <t>Disneyland Park</t>
        </is>
      </c>
      <c r="E15273" s="8" t="inlineStr">
        <is>
          <t>Alice's Curious Labyrinth</t>
        </is>
      </c>
      <c r="F15273" s="8" t="inlineStr">
        <is>
          <t>STANDBY</t>
        </is>
      </c>
      <c r="G15273" s="8" t="n">
        <v>5</v>
      </c>
      <c r="H15273" s="8" t="inlineStr">
        <is>
          <t>OPERATING</t>
        </is>
      </c>
    </row>
    <row r="15274">
      <c r="A15274" s="8" t="inlineStr">
        <is>
          <t>2026-08-03</t>
        </is>
      </c>
      <c r="B15274" s="8" t="n">
        <v>15</v>
      </c>
      <c r="C15274" s="8" t="n">
        <v>17</v>
      </c>
      <c r="D15274" s="8" t="inlineStr">
        <is>
          <t>Disneyland Park</t>
        </is>
      </c>
      <c r="E15274" s="8" t="inlineStr">
        <is>
          <t>Blanche-Neige et les Sept Nains®</t>
        </is>
      </c>
      <c r="F15274" s="8" t="inlineStr">
        <is>
          <t>STANDBY</t>
        </is>
      </c>
      <c r="G15274" s="8" t="n">
        <v>35</v>
      </c>
      <c r="H15274" s="8" t="inlineStr">
        <is>
          <t>OPERATING</t>
        </is>
      </c>
    </row>
    <row r="15275">
      <c r="A15275" s="8" t="inlineStr">
        <is>
          <t>2026-08-03</t>
        </is>
      </c>
      <c r="B15275" s="8" t="n">
        <v>15</v>
      </c>
      <c r="C15275" s="8" t="n">
        <v>17</v>
      </c>
      <c r="D15275" s="8" t="inlineStr">
        <is>
          <t>Disneyland Park</t>
        </is>
      </c>
      <c r="E15275" s="8" t="inlineStr">
        <is>
          <t>Casey Jr. – le Petit Train du Cirque</t>
        </is>
      </c>
      <c r="F15275" s="8" t="inlineStr">
        <is>
          <t>STANDBY</t>
        </is>
      </c>
      <c r="G15275" s="8" t="n">
        <v>0</v>
      </c>
      <c r="H15275" s="8" t="inlineStr">
        <is>
          <t>CLOSED</t>
        </is>
      </c>
    </row>
    <row r="15276">
      <c r="A15276" s="8" t="inlineStr">
        <is>
          <t>2026-08-03</t>
        </is>
      </c>
      <c r="B15276" s="8" t="n">
        <v>15</v>
      </c>
      <c r="C15276" s="8" t="n">
        <v>17</v>
      </c>
      <c r="D15276" s="8" t="inlineStr">
        <is>
          <t>Disneyland Park</t>
        </is>
      </c>
      <c r="E15276" s="8" t="inlineStr">
        <is>
          <t>Disneyland Railroad Fantasyland Station</t>
        </is>
      </c>
      <c r="F15276" s="8" t="inlineStr">
        <is>
          <t>STANDBY</t>
        </is>
      </c>
      <c r="G15276" s="8" t="n">
        <v>0</v>
      </c>
      <c r="H15276" s="8" t="inlineStr">
        <is>
          <t>CLOSED</t>
        </is>
      </c>
    </row>
    <row r="15277">
      <c r="A15277" s="8" t="inlineStr">
        <is>
          <t>2026-08-03</t>
        </is>
      </c>
      <c r="B15277" s="8" t="n">
        <v>15</v>
      </c>
      <c r="C15277" s="8" t="n">
        <v>17</v>
      </c>
      <c r="D15277" s="8" t="inlineStr">
        <is>
          <t>Disneyland Park</t>
        </is>
      </c>
      <c r="E15277" s="8" t="inlineStr">
        <is>
          <t>Disneyland Railroad Main Street Station</t>
        </is>
      </c>
      <c r="F15277" s="8" t="inlineStr">
        <is>
          <t>STANDBY</t>
        </is>
      </c>
      <c r="G15277" s="8" t="n">
        <v>0</v>
      </c>
      <c r="H15277" s="8" t="inlineStr">
        <is>
          <t>CLOSED</t>
        </is>
      </c>
    </row>
    <row r="15278">
      <c r="A15278" s="8" t="inlineStr">
        <is>
          <t>2026-08-03</t>
        </is>
      </c>
      <c r="B15278" s="8" t="n">
        <v>15</v>
      </c>
      <c r="C15278" s="8" t="n">
        <v>17</v>
      </c>
      <c r="D15278" s="8" t="inlineStr">
        <is>
          <t>Disneyland Park</t>
        </is>
      </c>
      <c r="E15278" s="8" t="inlineStr">
        <is>
          <t>Dumbo the Flying Elephant</t>
        </is>
      </c>
      <c r="F15278" s="8" t="inlineStr">
        <is>
          <t>STANDBY</t>
        </is>
      </c>
      <c r="G15278" s="8" t="n">
        <v>0</v>
      </c>
      <c r="H15278" s="8" t="inlineStr">
        <is>
          <t>CLOSED</t>
        </is>
      </c>
    </row>
    <row r="15279">
      <c r="A15279" s="8" t="inlineStr">
        <is>
          <t>2026-08-03</t>
        </is>
      </c>
      <c r="B15279" s="8" t="n">
        <v>15</v>
      </c>
      <c r="C15279" s="8" t="n">
        <v>17</v>
      </c>
      <c r="D15279" s="8" t="inlineStr">
        <is>
          <t>Disneyland Park</t>
        </is>
      </c>
      <c r="E15279" s="8" t="inlineStr">
        <is>
          <t>La Tanière du Dragon</t>
        </is>
      </c>
      <c r="F15279" s="8" t="inlineStr">
        <is>
          <t>STANDBY</t>
        </is>
      </c>
      <c r="G15279" s="8" t="n">
        <v>0</v>
      </c>
      <c r="H15279" s="8" t="inlineStr">
        <is>
          <t>OPERATING</t>
        </is>
      </c>
    </row>
    <row r="15280">
      <c r="A15280" s="8" t="inlineStr">
        <is>
          <t>2026-08-03</t>
        </is>
      </c>
      <c r="B15280" s="8" t="n">
        <v>15</v>
      </c>
      <c r="C15280" s="8" t="n">
        <v>17</v>
      </c>
      <c r="D15280" s="8" t="inlineStr">
        <is>
          <t>Disneyland Park</t>
        </is>
      </c>
      <c r="E15280" s="8" t="inlineStr">
        <is>
          <t>Le Carrousel de Lancelot</t>
        </is>
      </c>
      <c r="F15280" s="8" t="inlineStr">
        <is>
          <t>STANDBY</t>
        </is>
      </c>
      <c r="G15280" s="8" t="n">
        <v>10</v>
      </c>
      <c r="H15280" s="8" t="inlineStr">
        <is>
          <t>OPERATING</t>
        </is>
      </c>
    </row>
    <row r="15281">
      <c r="A15281" s="8" t="inlineStr">
        <is>
          <t>2026-08-03</t>
        </is>
      </c>
      <c r="B15281" s="8" t="n">
        <v>15</v>
      </c>
      <c r="C15281" s="8" t="n">
        <v>17</v>
      </c>
      <c r="D15281" s="8" t="inlineStr">
        <is>
          <t>Disneyland Park</t>
        </is>
      </c>
      <c r="E15281" s="8" t="inlineStr">
        <is>
          <t>Le Pays des Contes de Fées, presented by Vittel</t>
        </is>
      </c>
      <c r="F15281" s="8" t="inlineStr">
        <is>
          <t>STANDBY</t>
        </is>
      </c>
      <c r="G15281" s="8" t="n">
        <v>0</v>
      </c>
      <c r="H15281" s="8" t="inlineStr">
        <is>
          <t>CLOSED</t>
        </is>
      </c>
    </row>
    <row r="15282">
      <c r="A15282" s="8" t="inlineStr">
        <is>
          <t>2026-08-03</t>
        </is>
      </c>
      <c r="B15282" s="8" t="n">
        <v>15</v>
      </c>
      <c r="C15282" s="8" t="n">
        <v>17</v>
      </c>
      <c r="D15282" s="8" t="inlineStr">
        <is>
          <t>Disneyland Park</t>
        </is>
      </c>
      <c r="E15282" s="8" t="inlineStr">
        <is>
          <t>Les Voyages de Pinocchio</t>
        </is>
      </c>
      <c r="F15282" s="8" t="inlineStr">
        <is>
          <t>STANDBY</t>
        </is>
      </c>
      <c r="G15282" s="8" t="n">
        <v>25</v>
      </c>
      <c r="H15282" s="8" t="inlineStr">
        <is>
          <t>OPERATING</t>
        </is>
      </c>
    </row>
    <row r="15283">
      <c r="A15283" s="8" t="inlineStr">
        <is>
          <t>2026-08-03</t>
        </is>
      </c>
      <c r="B15283" s="8" t="n">
        <v>15</v>
      </c>
      <c r="C15283" s="8" t="n">
        <v>17</v>
      </c>
      <c r="D15283" s="8" t="inlineStr">
        <is>
          <t>Disneyland Park</t>
        </is>
      </c>
      <c r="E15283" s="8" t="inlineStr">
        <is>
          <t>Mad Hatter's Tea Cups</t>
        </is>
      </c>
      <c r="F15283" s="8" t="inlineStr">
        <is>
          <t>STANDBY</t>
        </is>
      </c>
      <c r="G15283" s="8" t="n">
        <v>15</v>
      </c>
      <c r="H15283" s="8" t="inlineStr">
        <is>
          <t>OPERATING</t>
        </is>
      </c>
    </row>
    <row r="15284">
      <c r="A15284" s="8" t="inlineStr">
        <is>
          <t>2026-08-03</t>
        </is>
      </c>
      <c r="B15284" s="8" t="n">
        <v>15</v>
      </c>
      <c r="C15284" s="8" t="n">
        <v>17</v>
      </c>
      <c r="D15284" s="8" t="inlineStr">
        <is>
          <t>Disneyland Park</t>
        </is>
      </c>
      <c r="E15284" s="8" t="inlineStr">
        <is>
          <t>Meet Mickey Mouse</t>
        </is>
      </c>
      <c r="F15284" s="8" t="inlineStr">
        <is>
          <t>STANDBY</t>
        </is>
      </c>
      <c r="G15284" s="8" t="n">
        <v>0</v>
      </c>
      <c r="H15284" s="8" t="inlineStr">
        <is>
          <t>OPERATING</t>
        </is>
      </c>
    </row>
    <row r="15285">
      <c r="A15285" s="8" t="inlineStr">
        <is>
          <t>2026-08-03</t>
        </is>
      </c>
      <c r="B15285" s="8" t="n">
        <v>15</v>
      </c>
      <c r="C15285" s="8" t="n">
        <v>17</v>
      </c>
      <c r="D15285" s="8" t="inlineStr">
        <is>
          <t>Disneyland Park</t>
        </is>
      </c>
      <c r="E15285" s="8" t="inlineStr">
        <is>
          <t>Peter Pan's Flight</t>
        </is>
      </c>
      <c r="F15285" s="8" t="inlineStr">
        <is>
          <t>STANDBY</t>
        </is>
      </c>
      <c r="G15285" s="8" t="n">
        <v>65</v>
      </c>
      <c r="H15285" s="8" t="inlineStr">
        <is>
          <t>OPERATING</t>
        </is>
      </c>
    </row>
    <row r="15286">
      <c r="A15286" s="8" t="inlineStr">
        <is>
          <t>2026-08-03</t>
        </is>
      </c>
      <c r="B15286" s="8" t="n">
        <v>15</v>
      </c>
      <c r="C15286" s="8" t="n">
        <v>17</v>
      </c>
      <c r="D15286" s="8" t="inlineStr">
        <is>
          <t>Disneyland Park</t>
        </is>
      </c>
      <c r="E15286" s="8" t="inlineStr">
        <is>
          <t>Princess Pavilion</t>
        </is>
      </c>
      <c r="F15286" s="8" t="inlineStr">
        <is>
          <t>STANDBY</t>
        </is>
      </c>
      <c r="G15286" s="8" t="n">
        <v>0</v>
      </c>
      <c r="H15286" s="8" t="inlineStr">
        <is>
          <t>OPERATING</t>
        </is>
      </c>
    </row>
    <row r="15287">
      <c r="A15287" s="8" t="inlineStr">
        <is>
          <t>2026-08-03</t>
        </is>
      </c>
      <c r="B15287" s="8" t="n">
        <v>15</v>
      </c>
      <c r="C15287" s="8" t="n">
        <v>17</v>
      </c>
      <c r="D15287" s="8" t="inlineStr">
        <is>
          <t>Disneyland Park</t>
        </is>
      </c>
      <c r="E15287" s="8" t="inlineStr">
        <is>
          <t>Big Thunder Mountain</t>
        </is>
      </c>
      <c r="F15287" s="8" t="inlineStr">
        <is>
          <t>STANDBY</t>
        </is>
      </c>
      <c r="G15287" s="8" t="n">
        <v>60</v>
      </c>
      <c r="H15287" s="8" t="inlineStr">
        <is>
          <t>OPERATING</t>
        </is>
      </c>
    </row>
    <row r="15288">
      <c r="A15288" s="8" t="inlineStr">
        <is>
          <t>2026-08-03</t>
        </is>
      </c>
      <c r="B15288" s="8" t="n">
        <v>15</v>
      </c>
      <c r="C15288" s="8" t="n">
        <v>17</v>
      </c>
      <c r="D15288" s="8" t="inlineStr">
        <is>
          <t>Disneyland Park</t>
        </is>
      </c>
      <c r="E15288" s="8" t="inlineStr">
        <is>
          <t>Disneyland Railroad Frontierland Depot</t>
        </is>
      </c>
      <c r="F15288" s="8" t="inlineStr">
        <is>
          <t>STANDBY</t>
        </is>
      </c>
      <c r="G15288" s="8" t="n">
        <v>0</v>
      </c>
      <c r="H15288" s="8" t="inlineStr">
        <is>
          <t>CLOSED</t>
        </is>
      </c>
    </row>
    <row r="15289">
      <c r="A15289" s="8" t="inlineStr">
        <is>
          <t>2026-08-03</t>
        </is>
      </c>
      <c r="B15289" s="8" t="n">
        <v>15</v>
      </c>
      <c r="C15289" s="8" t="n">
        <v>17</v>
      </c>
      <c r="D15289" s="8" t="inlineStr">
        <is>
          <t>Disneyland Park</t>
        </is>
      </c>
      <c r="E15289" s="8" t="inlineStr">
        <is>
          <t>Frontierland Playground</t>
        </is>
      </c>
      <c r="F15289" s="8" t="inlineStr">
        <is>
          <t>STANDBY</t>
        </is>
      </c>
      <c r="G15289" s="8" t="n">
        <v>0</v>
      </c>
      <c r="H15289" s="8" t="inlineStr">
        <is>
          <t>CLOSED</t>
        </is>
      </c>
    </row>
    <row r="15290">
      <c r="A15290" s="8" t="inlineStr">
        <is>
          <t>2026-08-03</t>
        </is>
      </c>
      <c r="B15290" s="8" t="n">
        <v>15</v>
      </c>
      <c r="C15290" s="8" t="n">
        <v>17</v>
      </c>
      <c r="D15290" s="8" t="inlineStr">
        <is>
          <t>Disneyland Park</t>
        </is>
      </c>
      <c r="E15290" s="8" t="inlineStr">
        <is>
          <t>Phantom Manor</t>
        </is>
      </c>
      <c r="F15290" s="8" t="inlineStr">
        <is>
          <t>STANDBY</t>
        </is>
      </c>
      <c r="G15290" s="8" t="n">
        <v>20</v>
      </c>
      <c r="H15290" s="8" t="inlineStr">
        <is>
          <t>OPERATING</t>
        </is>
      </c>
    </row>
    <row r="15291">
      <c r="A15291" s="8" t="inlineStr">
        <is>
          <t>2026-08-03</t>
        </is>
      </c>
      <c r="B15291" s="8" t="n">
        <v>15</v>
      </c>
      <c r="C15291" s="8" t="n">
        <v>17</v>
      </c>
      <c r="D15291" s="8" t="inlineStr">
        <is>
          <t>Disneyland Park</t>
        </is>
      </c>
      <c r="E15291" s="8" t="inlineStr">
        <is>
          <t>River Rogue Keelboats</t>
        </is>
      </c>
      <c r="F15291" s="8" t="inlineStr">
        <is>
          <t>STANDBY</t>
        </is>
      </c>
      <c r="G15291" s="8" t="n">
        <v>0</v>
      </c>
      <c r="H15291" s="8" t="inlineStr">
        <is>
          <t>CLOSED</t>
        </is>
      </c>
    </row>
    <row r="15292">
      <c r="A15292" s="8" t="inlineStr">
        <is>
          <t>2026-08-03</t>
        </is>
      </c>
      <c r="B15292" s="8" t="n">
        <v>15</v>
      </c>
      <c r="C15292" s="8" t="n">
        <v>17</v>
      </c>
      <c r="D15292" s="8" t="inlineStr">
        <is>
          <t>Disneyland Park</t>
        </is>
      </c>
      <c r="E15292" s="8" t="inlineStr">
        <is>
          <t>Rustler Roundup Shootin' Gallery</t>
        </is>
      </c>
      <c r="F15292" s="8" t="inlineStr">
        <is>
          <t>STANDBY</t>
        </is>
      </c>
      <c r="G15292" s="8" t="n">
        <v>0</v>
      </c>
      <c r="H15292" s="8" t="inlineStr">
        <is>
          <t>OPERATING</t>
        </is>
      </c>
    </row>
    <row r="15293">
      <c r="A15293" s="8" t="inlineStr">
        <is>
          <t>2026-08-03</t>
        </is>
      </c>
      <c r="B15293" s="8" t="n">
        <v>15</v>
      </c>
      <c r="C15293" s="8" t="n">
        <v>17</v>
      </c>
      <c r="D15293" s="8" t="inlineStr">
        <is>
          <t>Disneyland Park</t>
        </is>
      </c>
      <c r="E15293" s="8" t="inlineStr">
        <is>
          <t>Thunder Mesa Riverboat Landing</t>
        </is>
      </c>
      <c r="F15293" s="8" t="inlineStr">
        <is>
          <t>STANDBY</t>
        </is>
      </c>
      <c r="G15293" s="8" t="n">
        <v>20</v>
      </c>
      <c r="H15293" s="8" t="inlineStr">
        <is>
          <t>OPERATING</t>
        </is>
      </c>
    </row>
    <row r="15294">
      <c r="A15294" s="8" t="inlineStr">
        <is>
          <t>2026-08-03</t>
        </is>
      </c>
      <c r="B15294" s="8" t="n">
        <v>15</v>
      </c>
      <c r="C15294" s="8" t="n">
        <v>17</v>
      </c>
      <c r="D15294" s="8" t="inlineStr">
        <is>
          <t>Disneyland Park</t>
        </is>
      </c>
      <c r="E15294" s="8" t="inlineStr">
        <is>
          <t>Disneyland Railroad Main Street Station</t>
        </is>
      </c>
      <c r="F15294" s="8" t="inlineStr">
        <is>
          <t>STANDBY</t>
        </is>
      </c>
      <c r="G15294" s="8" t="n">
        <v>0</v>
      </c>
      <c r="H15294" s="8" t="inlineStr">
        <is>
          <t>CLOSED</t>
        </is>
      </c>
    </row>
    <row r="15295">
      <c r="A15295" s="8" t="inlineStr">
        <is>
          <t>2026-08-03</t>
        </is>
      </c>
      <c r="B15295" s="8" t="n">
        <v>15</v>
      </c>
      <c r="C15295" s="8" t="n">
        <v>17</v>
      </c>
      <c r="D15295" s="8" t="inlineStr">
        <is>
          <t>Disneyland Park</t>
        </is>
      </c>
      <c r="E15295" s="8" t="inlineStr">
        <is>
          <t>Main Street Vehicles</t>
        </is>
      </c>
      <c r="F15295" s="8" t="inlineStr">
        <is>
          <t>STANDBY</t>
        </is>
      </c>
      <c r="G15295" s="8" t="n">
        <v>0</v>
      </c>
      <c r="H15295" s="8" t="inlineStr">
        <is>
          <t>CLOSED</t>
        </is>
      </c>
    </row>
    <row r="15296">
      <c r="A15296" s="8" t="inlineStr">
        <is>
          <t>2026-08-03</t>
        </is>
      </c>
      <c r="B15296" s="8" t="n">
        <v>15</v>
      </c>
      <c r="C15296" s="8" t="n">
        <v>17</v>
      </c>
      <c r="D15296" s="8" t="inlineStr">
        <is>
          <t>Disney Adventure World</t>
        </is>
      </c>
      <c r="E15296" s="8" t="inlineStr">
        <is>
          <t>Avengers Assemble: Flight Force</t>
        </is>
      </c>
      <c r="F15296" s="8" t="inlineStr">
        <is>
          <t>STANDBY</t>
        </is>
      </c>
      <c r="G15296" s="8" t="n">
        <v>25</v>
      </c>
      <c r="H15296" s="8" t="inlineStr">
        <is>
          <t>OPERATING</t>
        </is>
      </c>
    </row>
    <row r="15297">
      <c r="A15297" s="8" t="inlineStr">
        <is>
          <t>2026-08-03</t>
        </is>
      </c>
      <c r="B15297" s="8" t="n">
        <v>15</v>
      </c>
      <c r="C15297" s="8" t="n">
        <v>17</v>
      </c>
      <c r="D15297" s="8" t="inlineStr">
        <is>
          <t>Disney Adventure World</t>
        </is>
      </c>
      <c r="E15297" s="8" t="inlineStr">
        <is>
          <t>Avengers Assemble: Flight Force Single Rider</t>
        </is>
      </c>
      <c r="F15297" s="8" t="inlineStr">
        <is>
          <t>STANDBY</t>
        </is>
      </c>
      <c r="G15297" s="8" t="n">
        <v>10</v>
      </c>
      <c r="H15297" s="8" t="inlineStr">
        <is>
          <t>OPERATING</t>
        </is>
      </c>
    </row>
    <row r="15298">
      <c r="A15298" s="8" t="inlineStr">
        <is>
          <t>2026-08-03</t>
        </is>
      </c>
      <c r="B15298" s="8" t="n">
        <v>15</v>
      </c>
      <c r="C15298" s="8" t="n">
        <v>17</v>
      </c>
      <c r="D15298" s="8" t="inlineStr">
        <is>
          <t>Disney Adventure World</t>
        </is>
      </c>
      <c r="E15298" s="8" t="inlineStr">
        <is>
          <t>Spider-Man W.E.B. Adventure</t>
        </is>
      </c>
      <c r="F15298" s="8" t="inlineStr">
        <is>
          <t>STANDBY</t>
        </is>
      </c>
      <c r="G15298" s="8" t="n">
        <v>45</v>
      </c>
      <c r="H15298" s="8" t="inlineStr">
        <is>
          <t>OPERATING</t>
        </is>
      </c>
    </row>
    <row r="15299">
      <c r="A15299" s="8" t="inlineStr">
        <is>
          <t>2026-08-03</t>
        </is>
      </c>
      <c r="B15299" s="8" t="n">
        <v>15</v>
      </c>
      <c r="C15299" s="8" t="n">
        <v>17</v>
      </c>
      <c r="D15299" s="8" t="inlineStr">
        <is>
          <t>Disney Adventure World</t>
        </is>
      </c>
      <c r="E15299" s="8" t="inlineStr">
        <is>
          <t>Spider-Man W.E.B. Adventure Single Rider</t>
        </is>
      </c>
      <c r="F15299" s="8" t="inlineStr">
        <is>
          <t>STANDBY</t>
        </is>
      </c>
      <c r="G15299" s="8" t="n">
        <v>20</v>
      </c>
      <c r="H15299" s="8" t="inlineStr">
        <is>
          <t>OPERATING</t>
        </is>
      </c>
    </row>
    <row r="15300">
      <c r="A15300" s="8" t="inlineStr">
        <is>
          <t>2026-08-03</t>
        </is>
      </c>
      <c r="B15300" s="8" t="n">
        <v>15</v>
      </c>
      <c r="C15300" s="8" t="n">
        <v>17</v>
      </c>
      <c r="D15300" s="8" t="inlineStr">
        <is>
          <t>Disney Adventure World</t>
        </is>
      </c>
      <c r="E15300" s="8" t="inlineStr">
        <is>
          <t>The Twilight Zone Tower of Terror</t>
        </is>
      </c>
      <c r="F15300" s="8" t="inlineStr">
        <is>
          <t>STANDBY</t>
        </is>
      </c>
      <c r="G15300" s="8" t="n">
        <v>30</v>
      </c>
      <c r="H15300" s="8" t="inlineStr">
        <is>
          <t>OPERATING</t>
        </is>
      </c>
    </row>
    <row r="15301">
      <c r="A15301" s="8" t="inlineStr">
        <is>
          <t>2026-08-03</t>
        </is>
      </c>
      <c r="B15301" s="8" t="n">
        <v>15</v>
      </c>
      <c r="C15301" s="8" t="n">
        <v>17</v>
      </c>
      <c r="D15301" s="8" t="inlineStr">
        <is>
          <t>Disney Adventure World</t>
        </is>
      </c>
      <c r="E15301" s="8" t="inlineStr">
        <is>
          <t>Cars Quatre Roues Rallye</t>
        </is>
      </c>
      <c r="F15301" s="8" t="inlineStr">
        <is>
          <t>STANDBY</t>
        </is>
      </c>
      <c r="G15301" s="8" t="n">
        <v>5</v>
      </c>
      <c r="H15301" s="8" t="inlineStr">
        <is>
          <t>OPERATING</t>
        </is>
      </c>
    </row>
    <row r="15302">
      <c r="A15302" s="8" t="inlineStr">
        <is>
          <t>2026-08-03</t>
        </is>
      </c>
      <c r="B15302" s="8" t="n">
        <v>15</v>
      </c>
      <c r="C15302" s="8" t="n">
        <v>17</v>
      </c>
      <c r="D15302" s="8" t="inlineStr">
        <is>
          <t>Disney Adventure World</t>
        </is>
      </c>
      <c r="E15302" s="8" t="inlineStr">
        <is>
          <t>Cars ROAD TRIP</t>
        </is>
      </c>
      <c r="F15302" s="8" t="inlineStr">
        <is>
          <t>STANDBY</t>
        </is>
      </c>
      <c r="G15302" s="8" t="n">
        <v>5</v>
      </c>
      <c r="H15302" s="8" t="inlineStr">
        <is>
          <t>OPERATING</t>
        </is>
      </c>
    </row>
    <row r="15303">
      <c r="A15303" s="8" t="inlineStr">
        <is>
          <t>2026-08-03</t>
        </is>
      </c>
      <c r="B15303" s="8" t="n">
        <v>15</v>
      </c>
      <c r="C15303" s="8" t="n">
        <v>17</v>
      </c>
      <c r="D15303" s="8" t="inlineStr">
        <is>
          <t>Disney Adventure World</t>
        </is>
      </c>
      <c r="E15303" s="8" t="inlineStr">
        <is>
          <t>Crush's Coaster</t>
        </is>
      </c>
      <c r="F15303" s="8" t="inlineStr">
        <is>
          <t>STANDBY</t>
        </is>
      </c>
      <c r="G15303" s="8" t="n">
        <v>70</v>
      </c>
      <c r="H15303" s="8" t="inlineStr">
        <is>
          <t>OPERATING</t>
        </is>
      </c>
    </row>
    <row r="15304">
      <c r="A15304" s="8" t="inlineStr">
        <is>
          <t>2026-08-03</t>
        </is>
      </c>
      <c r="B15304" s="8" t="n">
        <v>15</v>
      </c>
      <c r="C15304" s="8" t="n">
        <v>17</v>
      </c>
      <c r="D15304" s="8" t="inlineStr">
        <is>
          <t>Disney Adventure World</t>
        </is>
      </c>
      <c r="E15304" s="8" t="inlineStr">
        <is>
          <t>Crush's Coaster Single Rider</t>
        </is>
      </c>
      <c r="F15304" s="8" t="inlineStr">
        <is>
          <t>STANDBY</t>
        </is>
      </c>
      <c r="G15304" s="8" t="n">
        <v>60</v>
      </c>
      <c r="H15304" s="8" t="inlineStr">
        <is>
          <t>OPERATING</t>
        </is>
      </c>
    </row>
    <row r="15305">
      <c r="A15305" s="8" t="inlineStr">
        <is>
          <t>2026-08-03</t>
        </is>
      </c>
      <c r="B15305" s="8" t="n">
        <v>15</v>
      </c>
      <c r="C15305" s="8" t="n">
        <v>17</v>
      </c>
      <c r="D15305" s="8" t="inlineStr">
        <is>
          <t>Disney Adventure World</t>
        </is>
      </c>
      <c r="E15305" s="8" t="inlineStr">
        <is>
          <t>Les Tapis Volants - Flying Carpets Over Agrabah®</t>
        </is>
      </c>
      <c r="F15305" s="8" t="inlineStr">
        <is>
          <t>STANDBY</t>
        </is>
      </c>
      <c r="G15305" s="8" t="n">
        <v>0</v>
      </c>
      <c r="H15305" s="8" t="inlineStr">
        <is>
          <t>CLOSED</t>
        </is>
      </c>
    </row>
    <row r="15306">
      <c r="A15306" s="8" t="inlineStr">
        <is>
          <t>2026-08-03</t>
        </is>
      </c>
      <c r="B15306" s="8" t="n">
        <v>15</v>
      </c>
      <c r="C15306" s="8" t="n">
        <v>17</v>
      </c>
      <c r="D15306" s="8" t="inlineStr">
        <is>
          <t>Disney Adventure World</t>
        </is>
      </c>
      <c r="E15306" s="8" t="inlineStr">
        <is>
          <t>Ratatouille : L’Aventure Totalement Toquée de Rémy​</t>
        </is>
      </c>
      <c r="F15306" s="8" t="inlineStr">
        <is>
          <t>STANDBY</t>
        </is>
      </c>
      <c r="G15306" s="8" t="n">
        <v>45</v>
      </c>
      <c r="H15306" s="8" t="inlineStr">
        <is>
          <t>OPERATING</t>
        </is>
      </c>
    </row>
    <row r="15307">
      <c r="A15307" s="8" t="inlineStr">
        <is>
          <t>2026-08-03</t>
        </is>
      </c>
      <c r="B15307" s="8" t="n">
        <v>15</v>
      </c>
      <c r="C15307" s="8" t="n">
        <v>17</v>
      </c>
      <c r="D15307" s="8" t="inlineStr">
        <is>
          <t>Disney Adventure World</t>
        </is>
      </c>
      <c r="E15307" s="8" t="inlineStr">
        <is>
          <t>Ratatouille: The Adventure Single Rider</t>
        </is>
      </c>
      <c r="F15307" s="8" t="inlineStr">
        <is>
          <t>STANDBY</t>
        </is>
      </c>
      <c r="G15307" s="8" t="n">
        <v>15</v>
      </c>
      <c r="H15307" s="8" t="inlineStr">
        <is>
          <t>OPERATING</t>
        </is>
      </c>
    </row>
    <row r="15308">
      <c r="A15308" s="8" t="inlineStr">
        <is>
          <t>2026-08-03</t>
        </is>
      </c>
      <c r="B15308" s="8" t="n">
        <v>15</v>
      </c>
      <c r="C15308" s="8" t="n">
        <v>17</v>
      </c>
      <c r="D15308" s="8" t="inlineStr">
        <is>
          <t>Disney Adventure World</t>
        </is>
      </c>
      <c r="E15308" s="8" t="inlineStr">
        <is>
          <t>RC Racer</t>
        </is>
      </c>
      <c r="F15308" s="8" t="inlineStr">
        <is>
          <t>STANDBY</t>
        </is>
      </c>
      <c r="G15308" s="8" t="n">
        <v>35</v>
      </c>
      <c r="H15308" s="8" t="inlineStr">
        <is>
          <t>OPERATING</t>
        </is>
      </c>
    </row>
    <row r="15309">
      <c r="A15309" s="8" t="inlineStr">
        <is>
          <t>2026-08-03</t>
        </is>
      </c>
      <c r="B15309" s="8" t="n">
        <v>15</v>
      </c>
      <c r="C15309" s="8" t="n">
        <v>17</v>
      </c>
      <c r="D15309" s="8" t="inlineStr">
        <is>
          <t>Disney Adventure World</t>
        </is>
      </c>
      <c r="E15309" s="8" t="inlineStr">
        <is>
          <t>RC Racer Single Rider</t>
        </is>
      </c>
      <c r="F15309" s="8" t="inlineStr">
        <is>
          <t>STANDBY</t>
        </is>
      </c>
      <c r="G15309" s="8" t="n">
        <v>30</v>
      </c>
      <c r="H15309" s="8" t="inlineStr">
        <is>
          <t>OPERATING</t>
        </is>
      </c>
    </row>
    <row r="15310">
      <c r="A15310" s="8" t="inlineStr">
        <is>
          <t>2026-08-03</t>
        </is>
      </c>
      <c r="B15310" s="8" t="n">
        <v>15</v>
      </c>
      <c r="C15310" s="8" t="n">
        <v>17</v>
      </c>
      <c r="D15310" s="8" t="inlineStr">
        <is>
          <t>Disney Adventure World</t>
        </is>
      </c>
      <c r="E15310" s="8" t="inlineStr">
        <is>
          <t>Slinky® Dog Zigzag Spin</t>
        </is>
      </c>
      <c r="F15310" s="8" t="inlineStr">
        <is>
          <t>STANDBY</t>
        </is>
      </c>
      <c r="G15310" s="8" t="n">
        <v>0</v>
      </c>
      <c r="H15310" s="8" t="inlineStr">
        <is>
          <t>CLOSED</t>
        </is>
      </c>
    </row>
    <row r="15311">
      <c r="A15311" s="8" t="inlineStr">
        <is>
          <t>2026-08-03</t>
        </is>
      </c>
      <c r="B15311" s="8" t="n">
        <v>15</v>
      </c>
      <c r="C15311" s="8" t="n">
        <v>17</v>
      </c>
      <c r="D15311" s="8" t="inlineStr">
        <is>
          <t>Disney Adventure World</t>
        </is>
      </c>
      <c r="E15311" s="8" t="inlineStr">
        <is>
          <t>Toy Soldiers Parachute Drop</t>
        </is>
      </c>
      <c r="F15311" s="8" t="inlineStr">
        <is>
          <t>STANDBY</t>
        </is>
      </c>
      <c r="G15311" s="8" t="n">
        <v>45</v>
      </c>
      <c r="H15311" s="8" t="inlineStr">
        <is>
          <t>OPERATING</t>
        </is>
      </c>
    </row>
    <row r="15312">
      <c r="A15312" s="8" t="inlineStr">
        <is>
          <t>2026-08-03</t>
        </is>
      </c>
      <c r="B15312" s="8" t="n">
        <v>15</v>
      </c>
      <c r="C15312" s="8" t="n">
        <v>17</v>
      </c>
      <c r="D15312" s="8" t="inlineStr">
        <is>
          <t>Disney Adventure World</t>
        </is>
      </c>
      <c r="E15312" s="8" t="inlineStr">
        <is>
          <t>Toy Soldiers Parachute Drop Single Rider</t>
        </is>
      </c>
      <c r="F15312" s="8" t="inlineStr">
        <is>
          <t>STANDBY</t>
        </is>
      </c>
      <c r="G15312" s="8" t="n">
        <v>15</v>
      </c>
      <c r="H15312" s="8" t="inlineStr">
        <is>
          <t>OPERATING</t>
        </is>
      </c>
    </row>
    <row r="15313">
      <c r="A15313" s="8" t="inlineStr">
        <is>
          <t>2026-08-03</t>
        </is>
      </c>
      <c r="B15313" s="8" t="n">
        <v>15</v>
      </c>
      <c r="C15313" s="8" t="n">
        <v>17</v>
      </c>
      <c r="D15313" s="8" t="inlineStr">
        <is>
          <t>Disney Adventure World</t>
        </is>
      </c>
      <c r="E15313" s="8" t="inlineStr">
        <is>
          <t>Entry to World of Frozen</t>
        </is>
      </c>
      <c r="F15313" s="8" t="inlineStr">
        <is>
          <t>STANDBY</t>
        </is>
      </c>
      <c r="G15313" s="8" t="n">
        <v>0</v>
      </c>
      <c r="H15313" s="8" t="inlineStr">
        <is>
          <t>OPERATING</t>
        </is>
      </c>
    </row>
    <row r="15314">
      <c r="A15314" s="8" t="inlineStr">
        <is>
          <t>2026-08-03</t>
        </is>
      </c>
      <c r="B15314" s="8" t="n">
        <v>15</v>
      </c>
      <c r="C15314" s="8" t="n">
        <v>17</v>
      </c>
      <c r="D15314" s="8" t="inlineStr">
        <is>
          <t>Disney Adventure World</t>
        </is>
      </c>
      <c r="E15314" s="8" t="inlineStr">
        <is>
          <t>Frozen Ever After</t>
        </is>
      </c>
      <c r="F15314" s="8" t="inlineStr">
        <is>
          <t>STANDBY</t>
        </is>
      </c>
      <c r="G15314" s="8" t="n">
        <v>50</v>
      </c>
      <c r="H15314" s="8" t="inlineStr">
        <is>
          <t>OPERATING</t>
        </is>
      </c>
    </row>
    <row r="15315">
      <c r="A15315" s="8" t="inlineStr">
        <is>
          <t>2026-08-03</t>
        </is>
      </c>
      <c r="B15315" s="8" t="n">
        <v>15</v>
      </c>
      <c r="C15315" s="8" t="n">
        <v>17</v>
      </c>
      <c r="D15315" s="8" t="inlineStr">
        <is>
          <t>Disney Adventure World</t>
        </is>
      </c>
      <c r="E15315" s="8" t="inlineStr">
        <is>
          <t>Raiponce Tangled Spin</t>
        </is>
      </c>
      <c r="F15315" s="8" t="inlineStr">
        <is>
          <t>STANDBY</t>
        </is>
      </c>
      <c r="G15315" s="8" t="n">
        <v>10</v>
      </c>
      <c r="H15315" s="8" t="inlineStr">
        <is>
          <t>OPERATING</t>
        </is>
      </c>
    </row>
    <row r="15316">
      <c r="A15316" s="8" t="inlineStr">
        <is>
          <t>2026-08-03</t>
        </is>
      </c>
      <c r="B15316" s="8" t="n">
        <v>15</v>
      </c>
      <c r="C15316" s="8" t="n">
        <v>31</v>
      </c>
      <c r="D15316" s="8" t="inlineStr">
        <is>
          <t>Disneyland Park</t>
        </is>
      </c>
      <c r="E15316" s="8" t="inlineStr">
        <is>
          <t>Adventure Isle</t>
        </is>
      </c>
      <c r="F15316" s="8" t="inlineStr">
        <is>
          <t>STANDBY</t>
        </is>
      </c>
      <c r="G15316" s="8" t="n">
        <v>0</v>
      </c>
      <c r="H15316" s="8" t="inlineStr">
        <is>
          <t>OPERATING</t>
        </is>
      </c>
    </row>
    <row r="15317">
      <c r="A15317" s="8" t="inlineStr">
        <is>
          <t>2026-08-03</t>
        </is>
      </c>
      <c r="B15317" s="8" t="n">
        <v>15</v>
      </c>
      <c r="C15317" s="8" t="n">
        <v>31</v>
      </c>
      <c r="D15317" s="8" t="inlineStr">
        <is>
          <t>Disneyland Park</t>
        </is>
      </c>
      <c r="E15317" s="8" t="inlineStr">
        <is>
          <t>Indiana Jones and the Temple of Peril Single Rider</t>
        </is>
      </c>
      <c r="F15317" s="8" t="inlineStr">
        <is>
          <t>STANDBY</t>
        </is>
      </c>
      <c r="G15317" s="8" t="n">
        <v>20</v>
      </c>
      <c r="H15317" s="8" t="inlineStr">
        <is>
          <t>OPERATING</t>
        </is>
      </c>
    </row>
    <row r="15318">
      <c r="A15318" s="8" t="inlineStr">
        <is>
          <t>2026-08-03</t>
        </is>
      </c>
      <c r="B15318" s="8" t="n">
        <v>15</v>
      </c>
      <c r="C15318" s="8" t="n">
        <v>31</v>
      </c>
      <c r="D15318" s="8" t="inlineStr">
        <is>
          <t>Disneyland Park</t>
        </is>
      </c>
      <c r="E15318" s="8" t="inlineStr">
        <is>
          <t>Indiana Jones™ and the Temple of Peril</t>
        </is>
      </c>
      <c r="F15318" s="8" t="inlineStr">
        <is>
          <t>STANDBY</t>
        </is>
      </c>
      <c r="G15318" s="8" t="n">
        <v>30</v>
      </c>
      <c r="H15318" s="8" t="inlineStr">
        <is>
          <t>OPERATING</t>
        </is>
      </c>
    </row>
    <row r="15319">
      <c r="A15319" s="8" t="inlineStr">
        <is>
          <t>2026-08-03</t>
        </is>
      </c>
      <c r="B15319" s="8" t="n">
        <v>15</v>
      </c>
      <c r="C15319" s="8" t="n">
        <v>31</v>
      </c>
      <c r="D15319" s="8" t="inlineStr">
        <is>
          <t>Disneyland Park</t>
        </is>
      </c>
      <c r="E15319" s="8" t="inlineStr">
        <is>
          <t>La Cabane des Robinson</t>
        </is>
      </c>
      <c r="F15319" s="8" t="inlineStr">
        <is>
          <t>STANDBY</t>
        </is>
      </c>
      <c r="G15319" s="8" t="n">
        <v>5</v>
      </c>
      <c r="H15319" s="8" t="inlineStr">
        <is>
          <t>OPERATING</t>
        </is>
      </c>
    </row>
    <row r="15320">
      <c r="A15320" s="8" t="inlineStr">
        <is>
          <t>2026-08-03</t>
        </is>
      </c>
      <c r="B15320" s="8" t="n">
        <v>15</v>
      </c>
      <c r="C15320" s="8" t="n">
        <v>31</v>
      </c>
      <c r="D15320" s="8" t="inlineStr">
        <is>
          <t>Disneyland Park</t>
        </is>
      </c>
      <c r="E15320" s="8" t="inlineStr">
        <is>
          <t>Le Passage Enchanté d'Aladdin</t>
        </is>
      </c>
      <c r="F15320" s="8" t="inlineStr">
        <is>
          <t>STANDBY</t>
        </is>
      </c>
      <c r="G15320" s="8" t="n">
        <v>0</v>
      </c>
      <c r="H15320" s="8" t="inlineStr">
        <is>
          <t>OPERATING</t>
        </is>
      </c>
    </row>
    <row r="15321">
      <c r="A15321" s="8" t="inlineStr">
        <is>
          <t>2026-08-03</t>
        </is>
      </c>
      <c r="B15321" s="8" t="n">
        <v>15</v>
      </c>
      <c r="C15321" s="8" t="n">
        <v>31</v>
      </c>
      <c r="D15321" s="8" t="inlineStr">
        <is>
          <t>Disneyland Park</t>
        </is>
      </c>
      <c r="E15321" s="8" t="inlineStr">
        <is>
          <t>Pirate Galleon</t>
        </is>
      </c>
      <c r="F15321" s="8" t="inlineStr">
        <is>
          <t>STANDBY</t>
        </is>
      </c>
      <c r="G15321" s="8" t="n">
        <v>0</v>
      </c>
      <c r="H15321" s="8" t="inlineStr">
        <is>
          <t>CLOSED</t>
        </is>
      </c>
    </row>
    <row r="15322">
      <c r="A15322" s="8" t="inlineStr">
        <is>
          <t>2026-08-03</t>
        </is>
      </c>
      <c r="B15322" s="8" t="n">
        <v>15</v>
      </c>
      <c r="C15322" s="8" t="n">
        <v>31</v>
      </c>
      <c r="D15322" s="8" t="inlineStr">
        <is>
          <t>Disneyland Park</t>
        </is>
      </c>
      <c r="E15322" s="8" t="inlineStr">
        <is>
          <t>Pirates of the Caribbean</t>
        </is>
      </c>
      <c r="F15322" s="8" t="inlineStr">
        <is>
          <t>STANDBY</t>
        </is>
      </c>
      <c r="G15322" s="8" t="n">
        <v>20</v>
      </c>
      <c r="H15322" s="8" t="inlineStr">
        <is>
          <t>OPERATING</t>
        </is>
      </c>
    </row>
    <row r="15323">
      <c r="A15323" s="8" t="inlineStr">
        <is>
          <t>2026-08-03</t>
        </is>
      </c>
      <c r="B15323" s="8" t="n">
        <v>15</v>
      </c>
      <c r="C15323" s="8" t="n">
        <v>31</v>
      </c>
      <c r="D15323" s="8" t="inlineStr">
        <is>
          <t>Disneyland Park</t>
        </is>
      </c>
      <c r="E15323" s="8" t="inlineStr">
        <is>
          <t>Pirates' Beach</t>
        </is>
      </c>
      <c r="F15323" s="8" t="inlineStr">
        <is>
          <t>STANDBY</t>
        </is>
      </c>
      <c r="G15323" s="8" t="n">
        <v>0</v>
      </c>
      <c r="H15323" s="8" t="inlineStr">
        <is>
          <t>OPERATING</t>
        </is>
      </c>
    </row>
    <row r="15324">
      <c r="A15324" s="8" t="inlineStr">
        <is>
          <t>2026-08-03</t>
        </is>
      </c>
      <c r="B15324" s="8" t="n">
        <v>15</v>
      </c>
      <c r="C15324" s="8" t="n">
        <v>31</v>
      </c>
      <c r="D15324" s="8" t="inlineStr">
        <is>
          <t>Disneyland Park</t>
        </is>
      </c>
      <c r="E15324" s="8" t="inlineStr">
        <is>
          <t>Autopia, presented by Avis</t>
        </is>
      </c>
      <c r="F15324" s="8" t="inlineStr">
        <is>
          <t>STANDBY</t>
        </is>
      </c>
      <c r="G15324" s="8" t="n">
        <v>0</v>
      </c>
      <c r="H15324" s="8" t="inlineStr">
        <is>
          <t>CLOSED</t>
        </is>
      </c>
    </row>
    <row r="15325">
      <c r="A15325" s="8" t="inlineStr">
        <is>
          <t>2026-08-03</t>
        </is>
      </c>
      <c r="B15325" s="8" t="n">
        <v>15</v>
      </c>
      <c r="C15325" s="8" t="n">
        <v>31</v>
      </c>
      <c r="D15325" s="8" t="inlineStr">
        <is>
          <t>Disneyland Park</t>
        </is>
      </c>
      <c r="E15325" s="8" t="inlineStr">
        <is>
          <t>Buzz Lightyear Laser Blast</t>
        </is>
      </c>
      <c r="F15325" s="8" t="inlineStr">
        <is>
          <t>STANDBY</t>
        </is>
      </c>
      <c r="G15325" s="8" t="n">
        <v>70</v>
      </c>
      <c r="H15325" s="8" t="inlineStr">
        <is>
          <t>OPERATING</t>
        </is>
      </c>
    </row>
    <row r="15326">
      <c r="A15326" s="8" t="inlineStr">
        <is>
          <t>2026-08-03</t>
        </is>
      </c>
      <c r="B15326" s="8" t="n">
        <v>15</v>
      </c>
      <c r="C15326" s="8" t="n">
        <v>31</v>
      </c>
      <c r="D15326" s="8" t="inlineStr">
        <is>
          <t>Disneyland Park</t>
        </is>
      </c>
      <c r="E15326" s="8" t="inlineStr">
        <is>
          <t>Disneyland Railroad Discoveryland Station</t>
        </is>
      </c>
      <c r="F15326" s="8" t="inlineStr">
        <is>
          <t>STANDBY</t>
        </is>
      </c>
      <c r="G15326" s="8" t="n">
        <v>0</v>
      </c>
      <c r="H15326" s="8" t="inlineStr">
        <is>
          <t>CLOSED</t>
        </is>
      </c>
    </row>
    <row r="15327">
      <c r="A15327" s="8" t="inlineStr">
        <is>
          <t>2026-08-03</t>
        </is>
      </c>
      <c r="B15327" s="8" t="n">
        <v>15</v>
      </c>
      <c r="C15327" s="8" t="n">
        <v>31</v>
      </c>
      <c r="D15327" s="8" t="inlineStr">
        <is>
          <t>Disneyland Park</t>
        </is>
      </c>
      <c r="E15327" s="8" t="inlineStr">
        <is>
          <t>Les Mystères du Nautilus</t>
        </is>
      </c>
      <c r="F15327" s="8" t="inlineStr">
        <is>
          <t>STANDBY</t>
        </is>
      </c>
      <c r="G15327" s="8" t="n">
        <v>5</v>
      </c>
      <c r="H15327" s="8" t="inlineStr">
        <is>
          <t>OPERATING</t>
        </is>
      </c>
    </row>
    <row r="15328">
      <c r="A15328" s="8" t="inlineStr">
        <is>
          <t>2026-08-03</t>
        </is>
      </c>
      <c r="B15328" s="8" t="n">
        <v>15</v>
      </c>
      <c r="C15328" s="8" t="n">
        <v>31</v>
      </c>
      <c r="D15328" s="8" t="inlineStr">
        <is>
          <t>Disneyland Park</t>
        </is>
      </c>
      <c r="E15328" s="8" t="inlineStr">
        <is>
          <t>Mickey’s PhilharMagic</t>
        </is>
      </c>
      <c r="F15328" s="8" t="inlineStr">
        <is>
          <t>STANDBY</t>
        </is>
      </c>
      <c r="G15328" s="8" t="n">
        <v>0</v>
      </c>
      <c r="H15328" s="8" t="inlineStr">
        <is>
          <t>OPERATING</t>
        </is>
      </c>
    </row>
    <row r="15329">
      <c r="A15329" s="8" t="inlineStr">
        <is>
          <t>2026-08-03</t>
        </is>
      </c>
      <c r="B15329" s="8" t="n">
        <v>15</v>
      </c>
      <c r="C15329" s="8" t="n">
        <v>31</v>
      </c>
      <c r="D15329" s="8" t="inlineStr">
        <is>
          <t>Disneyland Park</t>
        </is>
      </c>
      <c r="E15329" s="8" t="inlineStr">
        <is>
          <t>Orbitron®</t>
        </is>
      </c>
      <c r="F15329" s="8" t="inlineStr">
        <is>
          <t>STANDBY</t>
        </is>
      </c>
      <c r="G15329" s="8" t="n">
        <v>0</v>
      </c>
      <c r="H15329" s="8" t="inlineStr">
        <is>
          <t>CLOSED</t>
        </is>
      </c>
    </row>
    <row r="15330">
      <c r="A15330" s="8" t="inlineStr">
        <is>
          <t>2026-08-03</t>
        </is>
      </c>
      <c r="B15330" s="8" t="n">
        <v>15</v>
      </c>
      <c r="C15330" s="8" t="n">
        <v>31</v>
      </c>
      <c r="D15330" s="8" t="inlineStr">
        <is>
          <t>Disneyland Park</t>
        </is>
      </c>
      <c r="E15330" s="8" t="inlineStr">
        <is>
          <t>Star Tours: The Adventures Continue*</t>
        </is>
      </c>
      <c r="F15330" s="8" t="inlineStr">
        <is>
          <t>STANDBY</t>
        </is>
      </c>
      <c r="G15330" s="8" t="n">
        <v>15</v>
      </c>
      <c r="H15330" s="8" t="inlineStr">
        <is>
          <t>OPERATING</t>
        </is>
      </c>
    </row>
    <row r="15331">
      <c r="A15331" s="8" t="inlineStr">
        <is>
          <t>2026-08-03</t>
        </is>
      </c>
      <c r="B15331" s="8" t="n">
        <v>15</v>
      </c>
      <c r="C15331" s="8" t="n">
        <v>31</v>
      </c>
      <c r="D15331" s="8" t="inlineStr">
        <is>
          <t>Disneyland Park</t>
        </is>
      </c>
      <c r="E15331" s="8" t="inlineStr">
        <is>
          <t>Star Wars Hyperspace Mountain</t>
        </is>
      </c>
      <c r="F15331" s="8" t="inlineStr">
        <is>
          <t>STANDBY</t>
        </is>
      </c>
      <c r="G15331" s="8" t="n">
        <v>40</v>
      </c>
      <c r="H15331" s="8" t="inlineStr">
        <is>
          <t>OPERATING</t>
        </is>
      </c>
    </row>
    <row r="15332">
      <c r="A15332" s="8" t="inlineStr">
        <is>
          <t>2026-08-03</t>
        </is>
      </c>
      <c r="B15332" s="8" t="n">
        <v>15</v>
      </c>
      <c r="C15332" s="8" t="n">
        <v>31</v>
      </c>
      <c r="D15332" s="8" t="inlineStr">
        <is>
          <t>Disneyland Park</t>
        </is>
      </c>
      <c r="E15332" s="8" t="inlineStr">
        <is>
          <t>Star Wars Hyperspace Mountain Single Rider</t>
        </is>
      </c>
      <c r="F15332" s="8" t="inlineStr">
        <is>
          <t>STANDBY</t>
        </is>
      </c>
      <c r="G15332" s="8" t="n">
        <v>35</v>
      </c>
      <c r="H15332" s="8" t="inlineStr">
        <is>
          <t>OPERATING</t>
        </is>
      </c>
    </row>
    <row r="15333">
      <c r="A15333" s="8" t="inlineStr">
        <is>
          <t>2026-08-03</t>
        </is>
      </c>
      <c r="B15333" s="8" t="n">
        <v>15</v>
      </c>
      <c r="C15333" s="8" t="n">
        <v>31</v>
      </c>
      <c r="D15333" s="8" t="inlineStr">
        <is>
          <t>Disneyland Park</t>
        </is>
      </c>
      <c r="E15333" s="8" t="inlineStr">
        <is>
          <t>Welcome to Starport: A Star Wars Encounter</t>
        </is>
      </c>
      <c r="F15333" s="8" t="inlineStr">
        <is>
          <t>STANDBY</t>
        </is>
      </c>
      <c r="G15333" s="8" t="n">
        <v>40</v>
      </c>
      <c r="H15333" s="8" t="inlineStr">
        <is>
          <t>OPERATING</t>
        </is>
      </c>
    </row>
    <row r="15334">
      <c r="A15334" s="8" t="inlineStr">
        <is>
          <t>2026-08-03</t>
        </is>
      </c>
      <c r="B15334" s="8" t="n">
        <v>15</v>
      </c>
      <c r="C15334" s="8" t="n">
        <v>31</v>
      </c>
      <c r="D15334" s="8" t="inlineStr">
        <is>
          <t>Disneyland Park</t>
        </is>
      </c>
      <c r="E15334" s="8" t="inlineStr">
        <is>
          <t>"it's a small world"</t>
        </is>
      </c>
      <c r="F15334" s="8" t="inlineStr">
        <is>
          <t>STANDBY</t>
        </is>
      </c>
      <c r="G15334" s="8" t="n">
        <v>10</v>
      </c>
      <c r="H15334" s="8" t="inlineStr">
        <is>
          <t>OPERATING</t>
        </is>
      </c>
    </row>
    <row r="15335">
      <c r="A15335" s="8" t="inlineStr">
        <is>
          <t>2026-08-03</t>
        </is>
      </c>
      <c r="B15335" s="8" t="n">
        <v>15</v>
      </c>
      <c r="C15335" s="8" t="n">
        <v>31</v>
      </c>
      <c r="D15335" s="8" t="inlineStr">
        <is>
          <t>Disneyland Park</t>
        </is>
      </c>
      <c r="E15335" s="8" t="inlineStr">
        <is>
          <t>Alice's Curious Labyrinth</t>
        </is>
      </c>
      <c r="F15335" s="8" t="inlineStr">
        <is>
          <t>STANDBY</t>
        </is>
      </c>
      <c r="G15335" s="8" t="n">
        <v>5</v>
      </c>
      <c r="H15335" s="8" t="inlineStr">
        <is>
          <t>OPERATING</t>
        </is>
      </c>
    </row>
    <row r="15336">
      <c r="A15336" s="8" t="inlineStr">
        <is>
          <t>2026-08-03</t>
        </is>
      </c>
      <c r="B15336" s="8" t="n">
        <v>15</v>
      </c>
      <c r="C15336" s="8" t="n">
        <v>31</v>
      </c>
      <c r="D15336" s="8" t="inlineStr">
        <is>
          <t>Disneyland Park</t>
        </is>
      </c>
      <c r="E15336" s="8" t="inlineStr">
        <is>
          <t>Blanche-Neige et les Sept Nains®</t>
        </is>
      </c>
      <c r="F15336" s="8" t="inlineStr">
        <is>
          <t>STANDBY</t>
        </is>
      </c>
      <c r="G15336" s="8" t="n">
        <v>35</v>
      </c>
      <c r="H15336" s="8" t="inlineStr">
        <is>
          <t>OPERATING</t>
        </is>
      </c>
    </row>
    <row r="15337">
      <c r="A15337" s="8" t="inlineStr">
        <is>
          <t>2026-08-03</t>
        </is>
      </c>
      <c r="B15337" s="8" t="n">
        <v>15</v>
      </c>
      <c r="C15337" s="8" t="n">
        <v>31</v>
      </c>
      <c r="D15337" s="8" t="inlineStr">
        <is>
          <t>Disneyland Park</t>
        </is>
      </c>
      <c r="E15337" s="8" t="inlineStr">
        <is>
          <t>Casey Jr. – le Petit Train du Cirque</t>
        </is>
      </c>
      <c r="F15337" s="8" t="inlineStr">
        <is>
          <t>STANDBY</t>
        </is>
      </c>
      <c r="G15337" s="8" t="n">
        <v>0</v>
      </c>
      <c r="H15337" s="8" t="inlineStr">
        <is>
          <t>CLOSED</t>
        </is>
      </c>
    </row>
    <row r="15338">
      <c r="A15338" s="8" t="inlineStr">
        <is>
          <t>2026-08-03</t>
        </is>
      </c>
      <c r="B15338" s="8" t="n">
        <v>15</v>
      </c>
      <c r="C15338" s="8" t="n">
        <v>31</v>
      </c>
      <c r="D15338" s="8" t="inlineStr">
        <is>
          <t>Disneyland Park</t>
        </is>
      </c>
      <c r="E15338" s="8" t="inlineStr">
        <is>
          <t>Disneyland Railroad Fantasyland Station</t>
        </is>
      </c>
      <c r="F15338" s="8" t="inlineStr">
        <is>
          <t>STANDBY</t>
        </is>
      </c>
      <c r="G15338" s="8" t="n">
        <v>0</v>
      </c>
      <c r="H15338" s="8" t="inlineStr">
        <is>
          <t>CLOSED</t>
        </is>
      </c>
    </row>
    <row r="15339">
      <c r="A15339" s="8" t="inlineStr">
        <is>
          <t>2026-08-03</t>
        </is>
      </c>
      <c r="B15339" s="8" t="n">
        <v>15</v>
      </c>
      <c r="C15339" s="8" t="n">
        <v>31</v>
      </c>
      <c r="D15339" s="8" t="inlineStr">
        <is>
          <t>Disneyland Park</t>
        </is>
      </c>
      <c r="E15339" s="8" t="inlineStr">
        <is>
          <t>Disneyland Railroad Main Street Station</t>
        </is>
      </c>
      <c r="F15339" s="8" t="inlineStr">
        <is>
          <t>STANDBY</t>
        </is>
      </c>
      <c r="G15339" s="8" t="n">
        <v>0</v>
      </c>
      <c r="H15339" s="8" t="inlineStr">
        <is>
          <t>CLOSED</t>
        </is>
      </c>
    </row>
    <row r="15340">
      <c r="A15340" s="8" t="inlineStr">
        <is>
          <t>2026-08-03</t>
        </is>
      </c>
      <c r="B15340" s="8" t="n">
        <v>15</v>
      </c>
      <c r="C15340" s="8" t="n">
        <v>31</v>
      </c>
      <c r="D15340" s="8" t="inlineStr">
        <is>
          <t>Disneyland Park</t>
        </is>
      </c>
      <c r="E15340" s="8" t="inlineStr">
        <is>
          <t>Dumbo the Flying Elephant</t>
        </is>
      </c>
      <c r="F15340" s="8" t="inlineStr">
        <is>
          <t>STANDBY</t>
        </is>
      </c>
      <c r="G15340" s="8" t="n">
        <v>0</v>
      </c>
      <c r="H15340" s="8" t="inlineStr">
        <is>
          <t>CLOSED</t>
        </is>
      </c>
    </row>
    <row r="15341">
      <c r="A15341" s="8" t="inlineStr">
        <is>
          <t>2026-08-03</t>
        </is>
      </c>
      <c r="B15341" s="8" t="n">
        <v>15</v>
      </c>
      <c r="C15341" s="8" t="n">
        <v>31</v>
      </c>
      <c r="D15341" s="8" t="inlineStr">
        <is>
          <t>Disneyland Park</t>
        </is>
      </c>
      <c r="E15341" s="8" t="inlineStr">
        <is>
          <t>La Tanière du Dragon</t>
        </is>
      </c>
      <c r="F15341" s="8" t="inlineStr">
        <is>
          <t>STANDBY</t>
        </is>
      </c>
      <c r="G15341" s="8" t="n">
        <v>0</v>
      </c>
      <c r="H15341" s="8" t="inlineStr">
        <is>
          <t>OPERATING</t>
        </is>
      </c>
    </row>
    <row r="15342">
      <c r="A15342" s="8" t="inlineStr">
        <is>
          <t>2026-08-03</t>
        </is>
      </c>
      <c r="B15342" s="8" t="n">
        <v>15</v>
      </c>
      <c r="C15342" s="8" t="n">
        <v>31</v>
      </c>
      <c r="D15342" s="8" t="inlineStr">
        <is>
          <t>Disneyland Park</t>
        </is>
      </c>
      <c r="E15342" s="8" t="inlineStr">
        <is>
          <t>Le Carrousel de Lancelot</t>
        </is>
      </c>
      <c r="F15342" s="8" t="inlineStr">
        <is>
          <t>STANDBY</t>
        </is>
      </c>
      <c r="G15342" s="8" t="n">
        <v>10</v>
      </c>
      <c r="H15342" s="8" t="inlineStr">
        <is>
          <t>OPERATING</t>
        </is>
      </c>
    </row>
    <row r="15343">
      <c r="A15343" s="8" t="inlineStr">
        <is>
          <t>2026-08-03</t>
        </is>
      </c>
      <c r="B15343" s="8" t="n">
        <v>15</v>
      </c>
      <c r="C15343" s="8" t="n">
        <v>31</v>
      </c>
      <c r="D15343" s="8" t="inlineStr">
        <is>
          <t>Disneyland Park</t>
        </is>
      </c>
      <c r="E15343" s="8" t="inlineStr">
        <is>
          <t>Le Pays des Contes de Fées, presented by Vittel</t>
        </is>
      </c>
      <c r="F15343" s="8" t="inlineStr">
        <is>
          <t>STANDBY</t>
        </is>
      </c>
      <c r="G15343" s="8" t="n">
        <v>0</v>
      </c>
      <c r="H15343" s="8" t="inlineStr">
        <is>
          <t>CLOSED</t>
        </is>
      </c>
    </row>
    <row r="15344">
      <c r="A15344" s="8" t="inlineStr">
        <is>
          <t>2026-08-03</t>
        </is>
      </c>
      <c r="B15344" s="8" t="n">
        <v>15</v>
      </c>
      <c r="C15344" s="8" t="n">
        <v>31</v>
      </c>
      <c r="D15344" s="8" t="inlineStr">
        <is>
          <t>Disneyland Park</t>
        </is>
      </c>
      <c r="E15344" s="8" t="inlineStr">
        <is>
          <t>Les Voyages de Pinocchio</t>
        </is>
      </c>
      <c r="F15344" s="8" t="inlineStr">
        <is>
          <t>STANDBY</t>
        </is>
      </c>
      <c r="G15344" s="8" t="n">
        <v>25</v>
      </c>
      <c r="H15344" s="8" t="inlineStr">
        <is>
          <t>OPERATING</t>
        </is>
      </c>
    </row>
    <row r="15345">
      <c r="A15345" s="8" t="inlineStr">
        <is>
          <t>2026-08-03</t>
        </is>
      </c>
      <c r="B15345" s="8" t="n">
        <v>15</v>
      </c>
      <c r="C15345" s="8" t="n">
        <v>31</v>
      </c>
      <c r="D15345" s="8" t="inlineStr">
        <is>
          <t>Disneyland Park</t>
        </is>
      </c>
      <c r="E15345" s="8" t="inlineStr">
        <is>
          <t>Mad Hatter's Tea Cups</t>
        </is>
      </c>
      <c r="F15345" s="8" t="inlineStr">
        <is>
          <t>STANDBY</t>
        </is>
      </c>
      <c r="G15345" s="8" t="n">
        <v>5</v>
      </c>
      <c r="H15345" s="8" t="inlineStr">
        <is>
          <t>OPERATING</t>
        </is>
      </c>
    </row>
    <row r="15346">
      <c r="A15346" s="8" t="inlineStr">
        <is>
          <t>2026-08-03</t>
        </is>
      </c>
      <c r="B15346" s="8" t="n">
        <v>15</v>
      </c>
      <c r="C15346" s="8" t="n">
        <v>31</v>
      </c>
      <c r="D15346" s="8" t="inlineStr">
        <is>
          <t>Disneyland Park</t>
        </is>
      </c>
      <c r="E15346" s="8" t="inlineStr">
        <is>
          <t>Meet Mickey Mouse</t>
        </is>
      </c>
      <c r="F15346" s="8" t="inlineStr">
        <is>
          <t>STANDBY</t>
        </is>
      </c>
      <c r="G15346" s="8" t="n">
        <v>0</v>
      </c>
      <c r="H15346" s="8" t="inlineStr">
        <is>
          <t>OPERATING</t>
        </is>
      </c>
    </row>
    <row r="15347">
      <c r="A15347" s="8" t="inlineStr">
        <is>
          <t>2026-08-03</t>
        </is>
      </c>
      <c r="B15347" s="8" t="n">
        <v>15</v>
      </c>
      <c r="C15347" s="8" t="n">
        <v>31</v>
      </c>
      <c r="D15347" s="8" t="inlineStr">
        <is>
          <t>Disneyland Park</t>
        </is>
      </c>
      <c r="E15347" s="8" t="inlineStr">
        <is>
          <t>Peter Pan's Flight</t>
        </is>
      </c>
      <c r="F15347" s="8" t="inlineStr">
        <is>
          <t>STANDBY</t>
        </is>
      </c>
      <c r="G15347" s="8" t="n">
        <v>65</v>
      </c>
      <c r="H15347" s="8" t="inlineStr">
        <is>
          <t>OPERATING</t>
        </is>
      </c>
    </row>
    <row r="15348">
      <c r="A15348" s="8" t="inlineStr">
        <is>
          <t>2026-08-03</t>
        </is>
      </c>
      <c r="B15348" s="8" t="n">
        <v>15</v>
      </c>
      <c r="C15348" s="8" t="n">
        <v>31</v>
      </c>
      <c r="D15348" s="8" t="inlineStr">
        <is>
          <t>Disneyland Park</t>
        </is>
      </c>
      <c r="E15348" s="8" t="inlineStr">
        <is>
          <t>Princess Pavilion</t>
        </is>
      </c>
      <c r="F15348" s="8" t="inlineStr">
        <is>
          <t>STANDBY</t>
        </is>
      </c>
      <c r="G15348" s="8" t="n">
        <v>0</v>
      </c>
      <c r="H15348" s="8" t="inlineStr">
        <is>
          <t>OPERATING</t>
        </is>
      </c>
    </row>
    <row r="15349">
      <c r="A15349" s="8" t="inlineStr">
        <is>
          <t>2026-08-03</t>
        </is>
      </c>
      <c r="B15349" s="8" t="n">
        <v>15</v>
      </c>
      <c r="C15349" s="8" t="n">
        <v>31</v>
      </c>
      <c r="D15349" s="8" t="inlineStr">
        <is>
          <t>Disneyland Park</t>
        </is>
      </c>
      <c r="E15349" s="8" t="inlineStr">
        <is>
          <t>Big Thunder Mountain</t>
        </is>
      </c>
      <c r="F15349" s="8" t="inlineStr">
        <is>
          <t>STANDBY</t>
        </is>
      </c>
      <c r="G15349" s="8" t="n">
        <v>60</v>
      </c>
      <c r="H15349" s="8" t="inlineStr">
        <is>
          <t>OPERATING</t>
        </is>
      </c>
    </row>
    <row r="15350">
      <c r="A15350" s="8" t="inlineStr">
        <is>
          <t>2026-08-03</t>
        </is>
      </c>
      <c r="B15350" s="8" t="n">
        <v>15</v>
      </c>
      <c r="C15350" s="8" t="n">
        <v>31</v>
      </c>
      <c r="D15350" s="8" t="inlineStr">
        <is>
          <t>Disneyland Park</t>
        </is>
      </c>
      <c r="E15350" s="8" t="inlineStr">
        <is>
          <t>Disneyland Railroad Frontierland Depot</t>
        </is>
      </c>
      <c r="F15350" s="8" t="inlineStr">
        <is>
          <t>STANDBY</t>
        </is>
      </c>
      <c r="G15350" s="8" t="n">
        <v>0</v>
      </c>
      <c r="H15350" s="8" t="inlineStr">
        <is>
          <t>CLOSED</t>
        </is>
      </c>
    </row>
    <row r="15351">
      <c r="A15351" s="8" t="inlineStr">
        <is>
          <t>2026-08-03</t>
        </is>
      </c>
      <c r="B15351" s="8" t="n">
        <v>15</v>
      </c>
      <c r="C15351" s="8" t="n">
        <v>31</v>
      </c>
      <c r="D15351" s="8" t="inlineStr">
        <is>
          <t>Disneyland Park</t>
        </is>
      </c>
      <c r="E15351" s="8" t="inlineStr">
        <is>
          <t>Frontierland Playground</t>
        </is>
      </c>
      <c r="F15351" s="8" t="inlineStr">
        <is>
          <t>STANDBY</t>
        </is>
      </c>
      <c r="G15351" s="8" t="n">
        <v>0</v>
      </c>
      <c r="H15351" s="8" t="inlineStr">
        <is>
          <t>CLOSED</t>
        </is>
      </c>
    </row>
    <row r="15352">
      <c r="A15352" s="8" t="inlineStr">
        <is>
          <t>2026-08-03</t>
        </is>
      </c>
      <c r="B15352" s="8" t="n">
        <v>15</v>
      </c>
      <c r="C15352" s="8" t="n">
        <v>31</v>
      </c>
      <c r="D15352" s="8" t="inlineStr">
        <is>
          <t>Disneyland Park</t>
        </is>
      </c>
      <c r="E15352" s="8" t="inlineStr">
        <is>
          <t>Phantom Manor</t>
        </is>
      </c>
      <c r="F15352" s="8" t="inlineStr">
        <is>
          <t>STANDBY</t>
        </is>
      </c>
      <c r="G15352" s="8" t="n">
        <v>15</v>
      </c>
      <c r="H15352" s="8" t="inlineStr">
        <is>
          <t>OPERATING</t>
        </is>
      </c>
    </row>
    <row r="15353">
      <c r="A15353" s="8" t="inlineStr">
        <is>
          <t>2026-08-03</t>
        </is>
      </c>
      <c r="B15353" s="8" t="n">
        <v>15</v>
      </c>
      <c r="C15353" s="8" t="n">
        <v>31</v>
      </c>
      <c r="D15353" s="8" t="inlineStr">
        <is>
          <t>Disneyland Park</t>
        </is>
      </c>
      <c r="E15353" s="8" t="inlineStr">
        <is>
          <t>River Rogue Keelboats</t>
        </is>
      </c>
      <c r="F15353" s="8" t="inlineStr">
        <is>
          <t>STANDBY</t>
        </is>
      </c>
      <c r="G15353" s="8" t="n">
        <v>0</v>
      </c>
      <c r="H15353" s="8" t="inlineStr">
        <is>
          <t>CLOSED</t>
        </is>
      </c>
    </row>
    <row r="15354">
      <c r="A15354" s="8" t="inlineStr">
        <is>
          <t>2026-08-03</t>
        </is>
      </c>
      <c r="B15354" s="8" t="n">
        <v>15</v>
      </c>
      <c r="C15354" s="8" t="n">
        <v>31</v>
      </c>
      <c r="D15354" s="8" t="inlineStr">
        <is>
          <t>Disneyland Park</t>
        </is>
      </c>
      <c r="E15354" s="8" t="inlineStr">
        <is>
          <t>Rustler Roundup Shootin' Gallery</t>
        </is>
      </c>
      <c r="F15354" s="8" t="inlineStr">
        <is>
          <t>STANDBY</t>
        </is>
      </c>
      <c r="G15354" s="8" t="n">
        <v>0</v>
      </c>
      <c r="H15354" s="8" t="inlineStr">
        <is>
          <t>OPERATING</t>
        </is>
      </c>
    </row>
    <row r="15355">
      <c r="A15355" s="8" t="inlineStr">
        <is>
          <t>2026-08-03</t>
        </is>
      </c>
      <c r="B15355" s="8" t="n">
        <v>15</v>
      </c>
      <c r="C15355" s="8" t="n">
        <v>31</v>
      </c>
      <c r="D15355" s="8" t="inlineStr">
        <is>
          <t>Disneyland Park</t>
        </is>
      </c>
      <c r="E15355" s="8" t="inlineStr">
        <is>
          <t>Thunder Mesa Riverboat Landing</t>
        </is>
      </c>
      <c r="F15355" s="8" t="inlineStr">
        <is>
          <t>STANDBY</t>
        </is>
      </c>
      <c r="G15355" s="8" t="n">
        <v>20</v>
      </c>
      <c r="H15355" s="8" t="inlineStr">
        <is>
          <t>OPERATING</t>
        </is>
      </c>
    </row>
    <row r="15356">
      <c r="A15356" s="8" t="inlineStr">
        <is>
          <t>2026-08-03</t>
        </is>
      </c>
      <c r="B15356" s="8" t="n">
        <v>15</v>
      </c>
      <c r="C15356" s="8" t="n">
        <v>31</v>
      </c>
      <c r="D15356" s="8" t="inlineStr">
        <is>
          <t>Disneyland Park</t>
        </is>
      </c>
      <c r="E15356" s="8" t="inlineStr">
        <is>
          <t>Disneyland Railroad Main Street Station</t>
        </is>
      </c>
      <c r="F15356" s="8" t="inlineStr">
        <is>
          <t>STANDBY</t>
        </is>
      </c>
      <c r="G15356" s="8" t="n">
        <v>0</v>
      </c>
      <c r="H15356" s="8" t="inlineStr">
        <is>
          <t>CLOSED</t>
        </is>
      </c>
    </row>
    <row r="15357">
      <c r="A15357" s="8" t="inlineStr">
        <is>
          <t>2026-08-03</t>
        </is>
      </c>
      <c r="B15357" s="8" t="n">
        <v>15</v>
      </c>
      <c r="C15357" s="8" t="n">
        <v>31</v>
      </c>
      <c r="D15357" s="8" t="inlineStr">
        <is>
          <t>Disneyland Park</t>
        </is>
      </c>
      <c r="E15357" s="8" t="inlineStr">
        <is>
          <t>Main Street Vehicles</t>
        </is>
      </c>
      <c r="F15357" s="8" t="inlineStr">
        <is>
          <t>STANDBY</t>
        </is>
      </c>
      <c r="G15357" s="8" t="n">
        <v>0</v>
      </c>
      <c r="H15357" s="8" t="inlineStr">
        <is>
          <t>CLOSED</t>
        </is>
      </c>
    </row>
    <row r="15358">
      <c r="A15358" s="8" t="inlineStr">
        <is>
          <t>2026-08-03</t>
        </is>
      </c>
      <c r="B15358" s="8" t="n">
        <v>15</v>
      </c>
      <c r="C15358" s="8" t="n">
        <v>31</v>
      </c>
      <c r="D15358" s="8" t="inlineStr">
        <is>
          <t>Disney Adventure World</t>
        </is>
      </c>
      <c r="E15358" s="8" t="inlineStr">
        <is>
          <t>Avengers Assemble: Flight Force</t>
        </is>
      </c>
      <c r="F15358" s="8" t="inlineStr">
        <is>
          <t>STANDBY</t>
        </is>
      </c>
      <c r="G15358" s="8" t="n">
        <v>20</v>
      </c>
      <c r="H15358" s="8" t="inlineStr">
        <is>
          <t>OPERATING</t>
        </is>
      </c>
    </row>
    <row r="15359">
      <c r="A15359" s="8" t="inlineStr">
        <is>
          <t>2026-08-03</t>
        </is>
      </c>
      <c r="B15359" s="8" t="n">
        <v>15</v>
      </c>
      <c r="C15359" s="8" t="n">
        <v>31</v>
      </c>
      <c r="D15359" s="8" t="inlineStr">
        <is>
          <t>Disney Adventure World</t>
        </is>
      </c>
      <c r="E15359" s="8" t="inlineStr">
        <is>
          <t>Avengers Assemble: Flight Force Single Rider</t>
        </is>
      </c>
      <c r="F15359" s="8" t="inlineStr">
        <is>
          <t>STANDBY</t>
        </is>
      </c>
      <c r="G15359" s="8" t="n">
        <v>15</v>
      </c>
      <c r="H15359" s="8" t="inlineStr">
        <is>
          <t>OPERATING</t>
        </is>
      </c>
    </row>
    <row r="15360">
      <c r="A15360" s="8" t="inlineStr">
        <is>
          <t>2026-08-03</t>
        </is>
      </c>
      <c r="B15360" s="8" t="n">
        <v>15</v>
      </c>
      <c r="C15360" s="8" t="n">
        <v>31</v>
      </c>
      <c r="D15360" s="8" t="inlineStr">
        <is>
          <t>Disney Adventure World</t>
        </is>
      </c>
      <c r="E15360" s="8" t="inlineStr">
        <is>
          <t>Spider-Man W.E.B. Adventure</t>
        </is>
      </c>
      <c r="F15360" s="8" t="inlineStr">
        <is>
          <t>STANDBY</t>
        </is>
      </c>
      <c r="G15360" s="8" t="n">
        <v>50</v>
      </c>
      <c r="H15360" s="8" t="inlineStr">
        <is>
          <t>OPERATING</t>
        </is>
      </c>
    </row>
    <row r="15361">
      <c r="A15361" s="8" t="inlineStr">
        <is>
          <t>2026-08-03</t>
        </is>
      </c>
      <c r="B15361" s="8" t="n">
        <v>15</v>
      </c>
      <c r="C15361" s="8" t="n">
        <v>31</v>
      </c>
      <c r="D15361" s="8" t="inlineStr">
        <is>
          <t>Disney Adventure World</t>
        </is>
      </c>
      <c r="E15361" s="8" t="inlineStr">
        <is>
          <t>Spider-Man W.E.B. Adventure Single Rider</t>
        </is>
      </c>
      <c r="F15361" s="8" t="inlineStr">
        <is>
          <t>STANDBY</t>
        </is>
      </c>
      <c r="G15361" s="8" t="n">
        <v>25</v>
      </c>
      <c r="H15361" s="8" t="inlineStr">
        <is>
          <t>OPERATING</t>
        </is>
      </c>
    </row>
    <row r="15362">
      <c r="A15362" s="8" t="inlineStr">
        <is>
          <t>2026-08-03</t>
        </is>
      </c>
      <c r="B15362" s="8" t="n">
        <v>15</v>
      </c>
      <c r="C15362" s="8" t="n">
        <v>31</v>
      </c>
      <c r="D15362" s="8" t="inlineStr">
        <is>
          <t>Disney Adventure World</t>
        </is>
      </c>
      <c r="E15362" s="8" t="inlineStr">
        <is>
          <t>The Twilight Zone Tower of Terror</t>
        </is>
      </c>
      <c r="F15362" s="8" t="inlineStr">
        <is>
          <t>STANDBY</t>
        </is>
      </c>
      <c r="G15362" s="8" t="n">
        <v>25</v>
      </c>
      <c r="H15362" s="8" t="inlineStr">
        <is>
          <t>OPERATING</t>
        </is>
      </c>
    </row>
    <row r="15363">
      <c r="A15363" s="8" t="inlineStr">
        <is>
          <t>2026-08-03</t>
        </is>
      </c>
      <c r="B15363" s="8" t="n">
        <v>15</v>
      </c>
      <c r="C15363" s="8" t="n">
        <v>31</v>
      </c>
      <c r="D15363" s="8" t="inlineStr">
        <is>
          <t>Disney Adventure World</t>
        </is>
      </c>
      <c r="E15363" s="8" t="inlineStr">
        <is>
          <t>Cars Quatre Roues Rallye</t>
        </is>
      </c>
      <c r="F15363" s="8" t="inlineStr">
        <is>
          <t>STANDBY</t>
        </is>
      </c>
      <c r="G15363" s="8" t="n">
        <v>5</v>
      </c>
      <c r="H15363" s="8" t="inlineStr">
        <is>
          <t>OPERATING</t>
        </is>
      </c>
    </row>
    <row r="15364">
      <c r="A15364" s="8" t="inlineStr">
        <is>
          <t>2026-08-03</t>
        </is>
      </c>
      <c r="B15364" s="8" t="n">
        <v>15</v>
      </c>
      <c r="C15364" s="8" t="n">
        <v>31</v>
      </c>
      <c r="D15364" s="8" t="inlineStr">
        <is>
          <t>Disney Adventure World</t>
        </is>
      </c>
      <c r="E15364" s="8" t="inlineStr">
        <is>
          <t>Cars ROAD TRIP</t>
        </is>
      </c>
      <c r="F15364" s="8" t="inlineStr">
        <is>
          <t>STANDBY</t>
        </is>
      </c>
      <c r="G15364" s="8" t="n">
        <v>5</v>
      </c>
      <c r="H15364" s="8" t="inlineStr">
        <is>
          <t>OPERATING</t>
        </is>
      </c>
    </row>
    <row r="15365">
      <c r="A15365" s="8" t="inlineStr">
        <is>
          <t>2026-08-03</t>
        </is>
      </c>
      <c r="B15365" s="8" t="n">
        <v>15</v>
      </c>
      <c r="C15365" s="8" t="n">
        <v>31</v>
      </c>
      <c r="D15365" s="8" t="inlineStr">
        <is>
          <t>Disney Adventure World</t>
        </is>
      </c>
      <c r="E15365" s="8" t="inlineStr">
        <is>
          <t>Crush's Coaster</t>
        </is>
      </c>
      <c r="F15365" s="8" t="inlineStr">
        <is>
          <t>STANDBY</t>
        </is>
      </c>
      <c r="G15365" s="8" t="n">
        <v>75</v>
      </c>
      <c r="H15365" s="8" t="inlineStr">
        <is>
          <t>OPERATING</t>
        </is>
      </c>
    </row>
    <row r="15366">
      <c r="A15366" s="8" t="inlineStr">
        <is>
          <t>2026-08-03</t>
        </is>
      </c>
      <c r="B15366" s="8" t="n">
        <v>15</v>
      </c>
      <c r="C15366" s="8" t="n">
        <v>31</v>
      </c>
      <c r="D15366" s="8" t="inlineStr">
        <is>
          <t>Disney Adventure World</t>
        </is>
      </c>
      <c r="E15366" s="8" t="inlineStr">
        <is>
          <t>Crush's Coaster Single Rider</t>
        </is>
      </c>
      <c r="F15366" s="8" t="inlineStr">
        <is>
          <t>STANDBY</t>
        </is>
      </c>
      <c r="G15366" s="8" t="n">
        <v>65</v>
      </c>
      <c r="H15366" s="8" t="inlineStr">
        <is>
          <t>OPERATING</t>
        </is>
      </c>
    </row>
    <row r="15367">
      <c r="A15367" s="8" t="inlineStr">
        <is>
          <t>2026-08-03</t>
        </is>
      </c>
      <c r="B15367" s="8" t="n">
        <v>15</v>
      </c>
      <c r="C15367" s="8" t="n">
        <v>31</v>
      </c>
      <c r="D15367" s="8" t="inlineStr">
        <is>
          <t>Disney Adventure World</t>
        </is>
      </c>
      <c r="E15367" s="8" t="inlineStr">
        <is>
          <t>Les Tapis Volants - Flying Carpets Over Agrabah®</t>
        </is>
      </c>
      <c r="F15367" s="8" t="inlineStr">
        <is>
          <t>STANDBY</t>
        </is>
      </c>
      <c r="G15367" s="8" t="n">
        <v>0</v>
      </c>
      <c r="H15367" s="8" t="inlineStr">
        <is>
          <t>CLOSED</t>
        </is>
      </c>
    </row>
    <row r="15368">
      <c r="A15368" s="8" t="inlineStr">
        <is>
          <t>2026-08-03</t>
        </is>
      </c>
      <c r="B15368" s="8" t="n">
        <v>15</v>
      </c>
      <c r="C15368" s="8" t="n">
        <v>31</v>
      </c>
      <c r="D15368" s="8" t="inlineStr">
        <is>
          <t>Disney Adventure World</t>
        </is>
      </c>
      <c r="E15368" s="8" t="inlineStr">
        <is>
          <t>Ratatouille : L’Aventure Totalement Toquée de Rémy​</t>
        </is>
      </c>
      <c r="F15368" s="8" t="inlineStr">
        <is>
          <t>STANDBY</t>
        </is>
      </c>
      <c r="G15368" s="8" t="n">
        <v>45</v>
      </c>
      <c r="H15368" s="8" t="inlineStr">
        <is>
          <t>OPERATING</t>
        </is>
      </c>
    </row>
    <row r="15369">
      <c r="A15369" s="8" t="inlineStr">
        <is>
          <t>2026-08-03</t>
        </is>
      </c>
      <c r="B15369" s="8" t="n">
        <v>15</v>
      </c>
      <c r="C15369" s="8" t="n">
        <v>31</v>
      </c>
      <c r="D15369" s="8" t="inlineStr">
        <is>
          <t>Disney Adventure World</t>
        </is>
      </c>
      <c r="E15369" s="8" t="inlineStr">
        <is>
          <t>Ratatouille: The Adventure Single Rider</t>
        </is>
      </c>
      <c r="F15369" s="8" t="inlineStr">
        <is>
          <t>STANDBY</t>
        </is>
      </c>
      <c r="G15369" s="8" t="n">
        <v>15</v>
      </c>
      <c r="H15369" s="8" t="inlineStr">
        <is>
          <t>OPERATING</t>
        </is>
      </c>
    </row>
    <row r="15370">
      <c r="A15370" s="8" t="inlineStr">
        <is>
          <t>2026-08-03</t>
        </is>
      </c>
      <c r="B15370" s="8" t="n">
        <v>15</v>
      </c>
      <c r="C15370" s="8" t="n">
        <v>31</v>
      </c>
      <c r="D15370" s="8" t="inlineStr">
        <is>
          <t>Disney Adventure World</t>
        </is>
      </c>
      <c r="E15370" s="8" t="inlineStr">
        <is>
          <t>RC Racer</t>
        </is>
      </c>
      <c r="F15370" s="8" t="inlineStr">
        <is>
          <t>STANDBY</t>
        </is>
      </c>
      <c r="G15370" s="8" t="n">
        <v>45</v>
      </c>
      <c r="H15370" s="8" t="inlineStr">
        <is>
          <t>OPERATING</t>
        </is>
      </c>
    </row>
    <row r="15371">
      <c r="A15371" s="8" t="inlineStr">
        <is>
          <t>2026-08-03</t>
        </is>
      </c>
      <c r="B15371" s="8" t="n">
        <v>15</v>
      </c>
      <c r="C15371" s="8" t="n">
        <v>31</v>
      </c>
      <c r="D15371" s="8" t="inlineStr">
        <is>
          <t>Disney Adventure World</t>
        </is>
      </c>
      <c r="E15371" s="8" t="inlineStr">
        <is>
          <t>RC Racer Single Rider</t>
        </is>
      </c>
      <c r="F15371" s="8" t="inlineStr">
        <is>
          <t>STANDBY</t>
        </is>
      </c>
      <c r="G15371" s="8" t="n">
        <v>35</v>
      </c>
      <c r="H15371" s="8" t="inlineStr">
        <is>
          <t>OPERATING</t>
        </is>
      </c>
    </row>
    <row r="15372">
      <c r="A15372" s="8" t="inlineStr">
        <is>
          <t>2026-08-03</t>
        </is>
      </c>
      <c r="B15372" s="8" t="n">
        <v>15</v>
      </c>
      <c r="C15372" s="8" t="n">
        <v>31</v>
      </c>
      <c r="D15372" s="8" t="inlineStr">
        <is>
          <t>Disney Adventure World</t>
        </is>
      </c>
      <c r="E15372" s="8" t="inlineStr">
        <is>
          <t>Slinky® Dog Zigzag Spin</t>
        </is>
      </c>
      <c r="F15372" s="8" t="inlineStr">
        <is>
          <t>STANDBY</t>
        </is>
      </c>
      <c r="G15372" s="8" t="n">
        <v>0</v>
      </c>
      <c r="H15372" s="8" t="inlineStr">
        <is>
          <t>CLOSED</t>
        </is>
      </c>
    </row>
    <row r="15373">
      <c r="A15373" s="8" t="inlineStr">
        <is>
          <t>2026-08-03</t>
        </is>
      </c>
      <c r="B15373" s="8" t="n">
        <v>15</v>
      </c>
      <c r="C15373" s="8" t="n">
        <v>31</v>
      </c>
      <c r="D15373" s="8" t="inlineStr">
        <is>
          <t>Disney Adventure World</t>
        </is>
      </c>
      <c r="E15373" s="8" t="inlineStr">
        <is>
          <t>Toy Soldiers Parachute Drop</t>
        </is>
      </c>
      <c r="F15373" s="8" t="inlineStr">
        <is>
          <t>STANDBY</t>
        </is>
      </c>
      <c r="G15373" s="8" t="n">
        <v>35</v>
      </c>
      <c r="H15373" s="8" t="inlineStr">
        <is>
          <t>OPERATING</t>
        </is>
      </c>
    </row>
    <row r="15374">
      <c r="A15374" s="8" t="inlineStr">
        <is>
          <t>2026-08-03</t>
        </is>
      </c>
      <c r="B15374" s="8" t="n">
        <v>15</v>
      </c>
      <c r="C15374" s="8" t="n">
        <v>31</v>
      </c>
      <c r="D15374" s="8" t="inlineStr">
        <is>
          <t>Disney Adventure World</t>
        </is>
      </c>
      <c r="E15374" s="8" t="inlineStr">
        <is>
          <t>Toy Soldiers Parachute Drop Single Rider</t>
        </is>
      </c>
      <c r="F15374" s="8" t="inlineStr">
        <is>
          <t>STANDBY</t>
        </is>
      </c>
      <c r="G15374" s="8" t="n">
        <v>15</v>
      </c>
      <c r="H15374" s="8" t="inlineStr">
        <is>
          <t>OPERATING</t>
        </is>
      </c>
    </row>
    <row r="15375">
      <c r="A15375" s="8" t="inlineStr">
        <is>
          <t>2026-08-03</t>
        </is>
      </c>
      <c r="B15375" s="8" t="n">
        <v>15</v>
      </c>
      <c r="C15375" s="8" t="n">
        <v>31</v>
      </c>
      <c r="D15375" s="8" t="inlineStr">
        <is>
          <t>Disney Adventure World</t>
        </is>
      </c>
      <c r="E15375" s="8" t="inlineStr">
        <is>
          <t>Entry to World of Frozen</t>
        </is>
      </c>
      <c r="F15375" s="8" t="inlineStr">
        <is>
          <t>STANDBY</t>
        </is>
      </c>
      <c r="G15375" s="8" t="n">
        <v>0</v>
      </c>
      <c r="H15375" s="8" t="inlineStr">
        <is>
          <t>OPERATING</t>
        </is>
      </c>
    </row>
    <row r="15376">
      <c r="A15376" s="8" t="inlineStr">
        <is>
          <t>2026-08-03</t>
        </is>
      </c>
      <c r="B15376" s="8" t="n">
        <v>15</v>
      </c>
      <c r="C15376" s="8" t="n">
        <v>31</v>
      </c>
      <c r="D15376" s="8" t="inlineStr">
        <is>
          <t>Disney Adventure World</t>
        </is>
      </c>
      <c r="E15376" s="8" t="inlineStr">
        <is>
          <t>Frozen Ever After</t>
        </is>
      </c>
      <c r="F15376" s="8" t="inlineStr">
        <is>
          <t>STANDBY</t>
        </is>
      </c>
      <c r="G15376" s="8" t="n">
        <v>45</v>
      </c>
      <c r="H15376" s="8" t="inlineStr">
        <is>
          <t>OPERATING</t>
        </is>
      </c>
    </row>
    <row r="15377">
      <c r="A15377" s="8" t="inlineStr">
        <is>
          <t>2026-08-03</t>
        </is>
      </c>
      <c r="B15377" s="8" t="n">
        <v>15</v>
      </c>
      <c r="C15377" s="8" t="n">
        <v>31</v>
      </c>
      <c r="D15377" s="8" t="inlineStr">
        <is>
          <t>Disney Adventure World</t>
        </is>
      </c>
      <c r="E15377" s="8" t="inlineStr">
        <is>
          <t>Raiponce Tangled Spin</t>
        </is>
      </c>
      <c r="F15377" s="8" t="inlineStr">
        <is>
          <t>STANDBY</t>
        </is>
      </c>
      <c r="G15377" s="8" t="n">
        <v>10</v>
      </c>
      <c r="H15377" s="8" t="inlineStr">
        <is>
          <t>OPERATING</t>
        </is>
      </c>
    </row>
    <row r="15378">
      <c r="A15378" s="8" t="inlineStr">
        <is>
          <t>2026-08-03</t>
        </is>
      </c>
      <c r="B15378" s="8" t="n">
        <v>15</v>
      </c>
      <c r="C15378" s="8" t="n">
        <v>45</v>
      </c>
      <c r="D15378" s="8" t="inlineStr">
        <is>
          <t>Disneyland Park</t>
        </is>
      </c>
      <c r="E15378" s="8" t="inlineStr">
        <is>
          <t>Adventure Isle</t>
        </is>
      </c>
      <c r="F15378" s="8" t="inlineStr">
        <is>
          <t>STANDBY</t>
        </is>
      </c>
      <c r="G15378" s="8" t="n">
        <v>0</v>
      </c>
      <c r="H15378" s="8" t="inlineStr">
        <is>
          <t>OPERATING</t>
        </is>
      </c>
    </row>
    <row r="15379">
      <c r="A15379" s="8" t="inlineStr">
        <is>
          <t>2026-08-03</t>
        </is>
      </c>
      <c r="B15379" s="8" t="n">
        <v>15</v>
      </c>
      <c r="C15379" s="8" t="n">
        <v>45</v>
      </c>
      <c r="D15379" s="8" t="inlineStr">
        <is>
          <t>Disneyland Park</t>
        </is>
      </c>
      <c r="E15379" s="8" t="inlineStr">
        <is>
          <t>Indiana Jones and the Temple of Peril Single Rider</t>
        </is>
      </c>
      <c r="F15379" s="8" t="inlineStr">
        <is>
          <t>STANDBY</t>
        </is>
      </c>
      <c r="G15379" s="8" t="n">
        <v>10</v>
      </c>
      <c r="H15379" s="8" t="inlineStr">
        <is>
          <t>OPERATING</t>
        </is>
      </c>
    </row>
    <row r="15380">
      <c r="A15380" s="8" t="inlineStr">
        <is>
          <t>2026-08-03</t>
        </is>
      </c>
      <c r="B15380" s="8" t="n">
        <v>15</v>
      </c>
      <c r="C15380" s="8" t="n">
        <v>45</v>
      </c>
      <c r="D15380" s="8" t="inlineStr">
        <is>
          <t>Disneyland Park</t>
        </is>
      </c>
      <c r="E15380" s="8" t="inlineStr">
        <is>
          <t>Indiana Jones™ and the Temple of Peril</t>
        </is>
      </c>
      <c r="F15380" s="8" t="inlineStr">
        <is>
          <t>STANDBY</t>
        </is>
      </c>
      <c r="G15380" s="8" t="n">
        <v>25</v>
      </c>
      <c r="H15380" s="8" t="inlineStr">
        <is>
          <t>OPERATING</t>
        </is>
      </c>
    </row>
    <row r="15381">
      <c r="A15381" s="8" t="inlineStr">
        <is>
          <t>2026-08-03</t>
        </is>
      </c>
      <c r="B15381" s="8" t="n">
        <v>15</v>
      </c>
      <c r="C15381" s="8" t="n">
        <v>45</v>
      </c>
      <c r="D15381" s="8" t="inlineStr">
        <is>
          <t>Disneyland Park</t>
        </is>
      </c>
      <c r="E15381" s="8" t="inlineStr">
        <is>
          <t>La Cabane des Robinson</t>
        </is>
      </c>
      <c r="F15381" s="8" t="inlineStr">
        <is>
          <t>STANDBY</t>
        </is>
      </c>
      <c r="G15381" s="8" t="n">
        <v>0</v>
      </c>
      <c r="H15381" s="8" t="inlineStr">
        <is>
          <t>CLOSED</t>
        </is>
      </c>
    </row>
    <row r="15382">
      <c r="A15382" s="8" t="inlineStr">
        <is>
          <t>2026-08-03</t>
        </is>
      </c>
      <c r="B15382" s="8" t="n">
        <v>15</v>
      </c>
      <c r="C15382" s="8" t="n">
        <v>45</v>
      </c>
      <c r="D15382" s="8" t="inlineStr">
        <is>
          <t>Disneyland Park</t>
        </is>
      </c>
      <c r="E15382" s="8" t="inlineStr">
        <is>
          <t>Le Passage Enchanté d'Aladdin</t>
        </is>
      </c>
      <c r="F15382" s="8" t="inlineStr">
        <is>
          <t>STANDBY</t>
        </is>
      </c>
      <c r="G15382" s="8" t="n">
        <v>0</v>
      </c>
      <c r="H15382" s="8" t="inlineStr">
        <is>
          <t>OPERATING</t>
        </is>
      </c>
    </row>
    <row r="15383">
      <c r="A15383" s="8" t="inlineStr">
        <is>
          <t>2026-08-03</t>
        </is>
      </c>
      <c r="B15383" s="8" t="n">
        <v>15</v>
      </c>
      <c r="C15383" s="8" t="n">
        <v>45</v>
      </c>
      <c r="D15383" s="8" t="inlineStr">
        <is>
          <t>Disneyland Park</t>
        </is>
      </c>
      <c r="E15383" s="8" t="inlineStr">
        <is>
          <t>Pirate Galleon</t>
        </is>
      </c>
      <c r="F15383" s="8" t="inlineStr">
        <is>
          <t>STANDBY</t>
        </is>
      </c>
      <c r="G15383" s="8" t="n">
        <v>0</v>
      </c>
      <c r="H15383" s="8" t="inlineStr">
        <is>
          <t>CLOSED</t>
        </is>
      </c>
    </row>
    <row r="15384">
      <c r="A15384" s="8" t="inlineStr">
        <is>
          <t>2026-08-03</t>
        </is>
      </c>
      <c r="B15384" s="8" t="n">
        <v>15</v>
      </c>
      <c r="C15384" s="8" t="n">
        <v>45</v>
      </c>
      <c r="D15384" s="8" t="inlineStr">
        <is>
          <t>Disneyland Park</t>
        </is>
      </c>
      <c r="E15384" s="8" t="inlineStr">
        <is>
          <t>Pirates of the Caribbean</t>
        </is>
      </c>
      <c r="F15384" s="8" t="inlineStr">
        <is>
          <t>STANDBY</t>
        </is>
      </c>
      <c r="G15384" s="8" t="n">
        <v>20</v>
      </c>
      <c r="H15384" s="8" t="inlineStr">
        <is>
          <t>OPERATING</t>
        </is>
      </c>
    </row>
    <row r="15385">
      <c r="A15385" s="8" t="inlineStr">
        <is>
          <t>2026-08-03</t>
        </is>
      </c>
      <c r="B15385" s="8" t="n">
        <v>15</v>
      </c>
      <c r="C15385" s="8" t="n">
        <v>45</v>
      </c>
      <c r="D15385" s="8" t="inlineStr">
        <is>
          <t>Disneyland Park</t>
        </is>
      </c>
      <c r="E15385" s="8" t="inlineStr">
        <is>
          <t>Pirates' Beach</t>
        </is>
      </c>
      <c r="F15385" s="8" t="inlineStr">
        <is>
          <t>STANDBY</t>
        </is>
      </c>
      <c r="G15385" s="8" t="n">
        <v>0</v>
      </c>
      <c r="H15385" s="8" t="inlineStr">
        <is>
          <t>OPERATING</t>
        </is>
      </c>
    </row>
    <row r="15386">
      <c r="A15386" s="8" t="inlineStr">
        <is>
          <t>2026-08-03</t>
        </is>
      </c>
      <c r="B15386" s="8" t="n">
        <v>15</v>
      </c>
      <c r="C15386" s="8" t="n">
        <v>45</v>
      </c>
      <c r="D15386" s="8" t="inlineStr">
        <is>
          <t>Disneyland Park</t>
        </is>
      </c>
      <c r="E15386" s="8" t="inlineStr">
        <is>
          <t>Autopia, presented by Avis</t>
        </is>
      </c>
      <c r="F15386" s="8" t="inlineStr">
        <is>
          <t>STANDBY</t>
        </is>
      </c>
      <c r="G15386" s="8" t="n">
        <v>0</v>
      </c>
      <c r="H15386" s="8" t="inlineStr">
        <is>
          <t>CLOSED</t>
        </is>
      </c>
    </row>
    <row r="15387">
      <c r="A15387" s="8" t="inlineStr">
        <is>
          <t>2026-08-03</t>
        </is>
      </c>
      <c r="B15387" s="8" t="n">
        <v>15</v>
      </c>
      <c r="C15387" s="8" t="n">
        <v>45</v>
      </c>
      <c r="D15387" s="8" t="inlineStr">
        <is>
          <t>Disneyland Park</t>
        </is>
      </c>
      <c r="E15387" s="8" t="inlineStr">
        <is>
          <t>Buzz Lightyear Laser Blast</t>
        </is>
      </c>
      <c r="F15387" s="8" t="inlineStr">
        <is>
          <t>STANDBY</t>
        </is>
      </c>
      <c r="G15387" s="8" t="n">
        <v>35</v>
      </c>
      <c r="H15387" s="8" t="inlineStr">
        <is>
          <t>OPERATING</t>
        </is>
      </c>
    </row>
    <row r="15388">
      <c r="A15388" s="8" t="inlineStr">
        <is>
          <t>2026-08-03</t>
        </is>
      </c>
      <c r="B15388" s="8" t="n">
        <v>15</v>
      </c>
      <c r="C15388" s="8" t="n">
        <v>45</v>
      </c>
      <c r="D15388" s="8" t="inlineStr">
        <is>
          <t>Disneyland Park</t>
        </is>
      </c>
      <c r="E15388" s="8" t="inlineStr">
        <is>
          <t>Disneyland Railroad Discoveryland Station</t>
        </is>
      </c>
      <c r="F15388" s="8" t="inlineStr">
        <is>
          <t>STANDBY</t>
        </is>
      </c>
      <c r="G15388" s="8" t="n">
        <v>0</v>
      </c>
      <c r="H15388" s="8" t="inlineStr">
        <is>
          <t>CLOSED</t>
        </is>
      </c>
    </row>
    <row r="15389">
      <c r="A15389" s="8" t="inlineStr">
        <is>
          <t>2026-08-03</t>
        </is>
      </c>
      <c r="B15389" s="8" t="n">
        <v>15</v>
      </c>
      <c r="C15389" s="8" t="n">
        <v>45</v>
      </c>
      <c r="D15389" s="8" t="inlineStr">
        <is>
          <t>Disneyland Park</t>
        </is>
      </c>
      <c r="E15389" s="8" t="inlineStr">
        <is>
          <t>Les Mystères du Nautilus</t>
        </is>
      </c>
      <c r="F15389" s="8" t="inlineStr">
        <is>
          <t>STANDBY</t>
        </is>
      </c>
      <c r="G15389" s="8" t="n">
        <v>5</v>
      </c>
      <c r="H15389" s="8" t="inlineStr">
        <is>
          <t>OPERATING</t>
        </is>
      </c>
    </row>
    <row r="15390">
      <c r="A15390" s="8" t="inlineStr">
        <is>
          <t>2026-08-03</t>
        </is>
      </c>
      <c r="B15390" s="8" t="n">
        <v>15</v>
      </c>
      <c r="C15390" s="8" t="n">
        <v>45</v>
      </c>
      <c r="D15390" s="8" t="inlineStr">
        <is>
          <t>Disneyland Park</t>
        </is>
      </c>
      <c r="E15390" s="8" t="inlineStr">
        <is>
          <t>Mickey’s PhilharMagic</t>
        </is>
      </c>
      <c r="F15390" s="8" t="inlineStr">
        <is>
          <t>STANDBY</t>
        </is>
      </c>
      <c r="G15390" s="8" t="n">
        <v>0</v>
      </c>
      <c r="H15390" s="8" t="inlineStr">
        <is>
          <t>OPERATING</t>
        </is>
      </c>
    </row>
    <row r="15391">
      <c r="A15391" s="8" t="inlineStr">
        <is>
          <t>2026-08-03</t>
        </is>
      </c>
      <c r="B15391" s="8" t="n">
        <v>15</v>
      </c>
      <c r="C15391" s="8" t="n">
        <v>45</v>
      </c>
      <c r="D15391" s="8" t="inlineStr">
        <is>
          <t>Disneyland Park</t>
        </is>
      </c>
      <c r="E15391" s="8" t="inlineStr">
        <is>
          <t>Orbitron®</t>
        </is>
      </c>
      <c r="F15391" s="8" t="inlineStr">
        <is>
          <t>STANDBY</t>
        </is>
      </c>
      <c r="G15391" s="8" t="n">
        <v>0</v>
      </c>
      <c r="H15391" s="8" t="inlineStr">
        <is>
          <t>CLOSED</t>
        </is>
      </c>
    </row>
    <row r="15392">
      <c r="A15392" s="8" t="inlineStr">
        <is>
          <t>2026-08-03</t>
        </is>
      </c>
      <c r="B15392" s="8" t="n">
        <v>15</v>
      </c>
      <c r="C15392" s="8" t="n">
        <v>45</v>
      </c>
      <c r="D15392" s="8" t="inlineStr">
        <is>
          <t>Disneyland Park</t>
        </is>
      </c>
      <c r="E15392" s="8" t="inlineStr">
        <is>
          <t>Star Tours: The Adventures Continue*</t>
        </is>
      </c>
      <c r="F15392" s="8" t="inlineStr">
        <is>
          <t>STANDBY</t>
        </is>
      </c>
      <c r="G15392" s="8" t="n">
        <v>15</v>
      </c>
      <c r="H15392" s="8" t="inlineStr">
        <is>
          <t>OPERATING</t>
        </is>
      </c>
    </row>
    <row r="15393">
      <c r="A15393" s="8" t="inlineStr">
        <is>
          <t>2026-08-03</t>
        </is>
      </c>
      <c r="B15393" s="8" t="n">
        <v>15</v>
      </c>
      <c r="C15393" s="8" t="n">
        <v>45</v>
      </c>
      <c r="D15393" s="8" t="inlineStr">
        <is>
          <t>Disneyland Park</t>
        </is>
      </c>
      <c r="E15393" s="8" t="inlineStr">
        <is>
          <t>Star Wars Hyperspace Mountain</t>
        </is>
      </c>
      <c r="F15393" s="8" t="inlineStr">
        <is>
          <t>STANDBY</t>
        </is>
      </c>
      <c r="G15393" s="8" t="n">
        <v>45</v>
      </c>
      <c r="H15393" s="8" t="inlineStr">
        <is>
          <t>OPERATING</t>
        </is>
      </c>
    </row>
    <row r="15394">
      <c r="A15394" s="8" t="inlineStr">
        <is>
          <t>2026-08-03</t>
        </is>
      </c>
      <c r="B15394" s="8" t="n">
        <v>15</v>
      </c>
      <c r="C15394" s="8" t="n">
        <v>45</v>
      </c>
      <c r="D15394" s="8" t="inlineStr">
        <is>
          <t>Disneyland Park</t>
        </is>
      </c>
      <c r="E15394" s="8" t="inlineStr">
        <is>
          <t>Star Wars Hyperspace Mountain Single Rider</t>
        </is>
      </c>
      <c r="F15394" s="8" t="inlineStr">
        <is>
          <t>STANDBY</t>
        </is>
      </c>
      <c r="G15394" s="8" t="n">
        <v>10</v>
      </c>
      <c r="H15394" s="8" t="inlineStr">
        <is>
          <t>OPERATING</t>
        </is>
      </c>
    </row>
    <row r="15395">
      <c r="A15395" s="8" t="inlineStr">
        <is>
          <t>2026-08-03</t>
        </is>
      </c>
      <c r="B15395" s="8" t="n">
        <v>15</v>
      </c>
      <c r="C15395" s="8" t="n">
        <v>45</v>
      </c>
      <c r="D15395" s="8" t="inlineStr">
        <is>
          <t>Disneyland Park</t>
        </is>
      </c>
      <c r="E15395" s="8" t="inlineStr">
        <is>
          <t>Welcome to Starport: A Star Wars Encounter</t>
        </is>
      </c>
      <c r="F15395" s="8" t="inlineStr">
        <is>
          <t>STANDBY</t>
        </is>
      </c>
      <c r="G15395" s="8" t="n">
        <v>20</v>
      </c>
      <c r="H15395" s="8" t="inlineStr">
        <is>
          <t>OPERATING</t>
        </is>
      </c>
    </row>
    <row r="15396">
      <c r="A15396" s="8" t="inlineStr">
        <is>
          <t>2026-08-03</t>
        </is>
      </c>
      <c r="B15396" s="8" t="n">
        <v>15</v>
      </c>
      <c r="C15396" s="8" t="n">
        <v>45</v>
      </c>
      <c r="D15396" s="8" t="inlineStr">
        <is>
          <t>Disneyland Park</t>
        </is>
      </c>
      <c r="E15396" s="8" t="inlineStr">
        <is>
          <t>"it's a small world"</t>
        </is>
      </c>
      <c r="F15396" s="8" t="inlineStr">
        <is>
          <t>STANDBY</t>
        </is>
      </c>
      <c r="G15396" s="8" t="n">
        <v>5</v>
      </c>
      <c r="H15396" s="8" t="inlineStr">
        <is>
          <t>OPERATING</t>
        </is>
      </c>
    </row>
    <row r="15397">
      <c r="A15397" s="8" t="inlineStr">
        <is>
          <t>2026-08-03</t>
        </is>
      </c>
      <c r="B15397" s="8" t="n">
        <v>15</v>
      </c>
      <c r="C15397" s="8" t="n">
        <v>45</v>
      </c>
      <c r="D15397" s="8" t="inlineStr">
        <is>
          <t>Disneyland Park</t>
        </is>
      </c>
      <c r="E15397" s="8" t="inlineStr">
        <is>
          <t>Alice's Curious Labyrinth</t>
        </is>
      </c>
      <c r="F15397" s="8" t="inlineStr">
        <is>
          <t>STANDBY</t>
        </is>
      </c>
      <c r="G15397" s="8" t="n">
        <v>5</v>
      </c>
      <c r="H15397" s="8" t="inlineStr">
        <is>
          <t>OPERATING</t>
        </is>
      </c>
    </row>
    <row r="15398">
      <c r="A15398" s="8" t="inlineStr">
        <is>
          <t>2026-08-03</t>
        </is>
      </c>
      <c r="B15398" s="8" t="n">
        <v>15</v>
      </c>
      <c r="C15398" s="8" t="n">
        <v>45</v>
      </c>
      <c r="D15398" s="8" t="inlineStr">
        <is>
          <t>Disneyland Park</t>
        </is>
      </c>
      <c r="E15398" s="8" t="inlineStr">
        <is>
          <t>Blanche-Neige et les Sept Nains®</t>
        </is>
      </c>
      <c r="F15398" s="8" t="inlineStr">
        <is>
          <t>STANDBY</t>
        </is>
      </c>
      <c r="G15398" s="8" t="n">
        <v>15</v>
      </c>
      <c r="H15398" s="8" t="inlineStr">
        <is>
          <t>OPERATING</t>
        </is>
      </c>
    </row>
    <row r="15399">
      <c r="A15399" s="8" t="inlineStr">
        <is>
          <t>2026-08-03</t>
        </is>
      </c>
      <c r="B15399" s="8" t="n">
        <v>15</v>
      </c>
      <c r="C15399" s="8" t="n">
        <v>45</v>
      </c>
      <c r="D15399" s="8" t="inlineStr">
        <is>
          <t>Disneyland Park</t>
        </is>
      </c>
      <c r="E15399" s="8" t="inlineStr">
        <is>
          <t>Casey Jr. – le Petit Train du Cirque</t>
        </is>
      </c>
      <c r="F15399" s="8" t="inlineStr">
        <is>
          <t>STANDBY</t>
        </is>
      </c>
      <c r="G15399" s="8" t="n">
        <v>0</v>
      </c>
      <c r="H15399" s="8" t="inlineStr">
        <is>
          <t>CLOSED</t>
        </is>
      </c>
    </row>
    <row r="15400">
      <c r="A15400" s="8" t="inlineStr">
        <is>
          <t>2026-08-03</t>
        </is>
      </c>
      <c r="B15400" s="8" t="n">
        <v>15</v>
      </c>
      <c r="C15400" s="8" t="n">
        <v>45</v>
      </c>
      <c r="D15400" s="8" t="inlineStr">
        <is>
          <t>Disneyland Park</t>
        </is>
      </c>
      <c r="E15400" s="8" t="inlineStr">
        <is>
          <t>Disneyland Railroad Fantasyland Station</t>
        </is>
      </c>
      <c r="F15400" s="8" t="inlineStr">
        <is>
          <t>STANDBY</t>
        </is>
      </c>
      <c r="G15400" s="8" t="n">
        <v>0</v>
      </c>
      <c r="H15400" s="8" t="inlineStr">
        <is>
          <t>CLOSED</t>
        </is>
      </c>
    </row>
    <row r="15401">
      <c r="A15401" s="8" t="inlineStr">
        <is>
          <t>2026-08-03</t>
        </is>
      </c>
      <c r="B15401" s="8" t="n">
        <v>15</v>
      </c>
      <c r="C15401" s="8" t="n">
        <v>45</v>
      </c>
      <c r="D15401" s="8" t="inlineStr">
        <is>
          <t>Disneyland Park</t>
        </is>
      </c>
      <c r="E15401" s="8" t="inlineStr">
        <is>
          <t>Disneyland Railroad Main Street Station</t>
        </is>
      </c>
      <c r="F15401" s="8" t="inlineStr">
        <is>
          <t>STANDBY</t>
        </is>
      </c>
      <c r="G15401" s="8" t="n">
        <v>0</v>
      </c>
      <c r="H15401" s="8" t="inlineStr">
        <is>
          <t>CLOSED</t>
        </is>
      </c>
    </row>
    <row r="15402">
      <c r="A15402" s="8" t="inlineStr">
        <is>
          <t>2026-08-03</t>
        </is>
      </c>
      <c r="B15402" s="8" t="n">
        <v>15</v>
      </c>
      <c r="C15402" s="8" t="n">
        <v>45</v>
      </c>
      <c r="D15402" s="8" t="inlineStr">
        <is>
          <t>Disneyland Park</t>
        </is>
      </c>
      <c r="E15402" s="8" t="inlineStr">
        <is>
          <t>Dumbo the Flying Elephant</t>
        </is>
      </c>
      <c r="F15402" s="8" t="inlineStr">
        <is>
          <t>STANDBY</t>
        </is>
      </c>
      <c r="G15402" s="8" t="n">
        <v>0</v>
      </c>
      <c r="H15402" s="8" t="inlineStr">
        <is>
          <t>CLOSED</t>
        </is>
      </c>
    </row>
    <row r="15403">
      <c r="A15403" s="8" t="inlineStr">
        <is>
          <t>2026-08-03</t>
        </is>
      </c>
      <c r="B15403" s="8" t="n">
        <v>15</v>
      </c>
      <c r="C15403" s="8" t="n">
        <v>45</v>
      </c>
      <c r="D15403" s="8" t="inlineStr">
        <is>
          <t>Disneyland Park</t>
        </is>
      </c>
      <c r="E15403" s="8" t="inlineStr">
        <is>
          <t>La Tanière du Dragon</t>
        </is>
      </c>
      <c r="F15403" s="8" t="inlineStr">
        <is>
          <t>STANDBY</t>
        </is>
      </c>
      <c r="G15403" s="8" t="n">
        <v>0</v>
      </c>
      <c r="H15403" s="8" t="inlineStr">
        <is>
          <t>OPERATING</t>
        </is>
      </c>
    </row>
    <row r="15404">
      <c r="A15404" s="8" t="inlineStr">
        <is>
          <t>2026-08-03</t>
        </is>
      </c>
      <c r="B15404" s="8" t="n">
        <v>15</v>
      </c>
      <c r="C15404" s="8" t="n">
        <v>45</v>
      </c>
      <c r="D15404" s="8" t="inlineStr">
        <is>
          <t>Disneyland Park</t>
        </is>
      </c>
      <c r="E15404" s="8" t="inlineStr">
        <is>
          <t>Le Carrousel de Lancelot</t>
        </is>
      </c>
      <c r="F15404" s="8" t="inlineStr">
        <is>
          <t>STANDBY</t>
        </is>
      </c>
      <c r="G15404" s="8" t="n">
        <v>10</v>
      </c>
      <c r="H15404" s="8" t="inlineStr">
        <is>
          <t>OPERATING</t>
        </is>
      </c>
    </row>
    <row r="15405">
      <c r="A15405" s="8" t="inlineStr">
        <is>
          <t>2026-08-03</t>
        </is>
      </c>
      <c r="B15405" s="8" t="n">
        <v>15</v>
      </c>
      <c r="C15405" s="8" t="n">
        <v>45</v>
      </c>
      <c r="D15405" s="8" t="inlineStr">
        <is>
          <t>Disneyland Park</t>
        </is>
      </c>
      <c r="E15405" s="8" t="inlineStr">
        <is>
          <t>Le Pays des Contes de Fées, presented by Vittel</t>
        </is>
      </c>
      <c r="F15405" s="8" t="inlineStr">
        <is>
          <t>STANDBY</t>
        </is>
      </c>
      <c r="G15405" s="8" t="n">
        <v>0</v>
      </c>
      <c r="H15405" s="8" t="inlineStr">
        <is>
          <t>CLOSED</t>
        </is>
      </c>
    </row>
    <row r="15406">
      <c r="A15406" s="8" t="inlineStr">
        <is>
          <t>2026-08-03</t>
        </is>
      </c>
      <c r="B15406" s="8" t="n">
        <v>15</v>
      </c>
      <c r="C15406" s="8" t="n">
        <v>45</v>
      </c>
      <c r="D15406" s="8" t="inlineStr">
        <is>
          <t>Disneyland Park</t>
        </is>
      </c>
      <c r="E15406" s="8" t="inlineStr">
        <is>
          <t>Les Voyages de Pinocchio</t>
        </is>
      </c>
      <c r="F15406" s="8" t="inlineStr">
        <is>
          <t>STANDBY</t>
        </is>
      </c>
      <c r="G15406" s="8" t="n">
        <v>25</v>
      </c>
      <c r="H15406" s="8" t="inlineStr">
        <is>
          <t>OPERATING</t>
        </is>
      </c>
    </row>
    <row r="15407">
      <c r="A15407" s="8" t="inlineStr">
        <is>
          <t>2026-08-03</t>
        </is>
      </c>
      <c r="B15407" s="8" t="n">
        <v>15</v>
      </c>
      <c r="C15407" s="8" t="n">
        <v>45</v>
      </c>
      <c r="D15407" s="8" t="inlineStr">
        <is>
          <t>Disneyland Park</t>
        </is>
      </c>
      <c r="E15407" s="8" t="inlineStr">
        <is>
          <t>Mad Hatter's Tea Cups</t>
        </is>
      </c>
      <c r="F15407" s="8" t="inlineStr">
        <is>
          <t>STANDBY</t>
        </is>
      </c>
      <c r="G15407" s="8" t="n">
        <v>5</v>
      </c>
      <c r="H15407" s="8" t="inlineStr">
        <is>
          <t>OPERATING</t>
        </is>
      </c>
    </row>
    <row r="15408">
      <c r="A15408" s="8" t="inlineStr">
        <is>
          <t>2026-08-03</t>
        </is>
      </c>
      <c r="B15408" s="8" t="n">
        <v>15</v>
      </c>
      <c r="C15408" s="8" t="n">
        <v>45</v>
      </c>
      <c r="D15408" s="8" t="inlineStr">
        <is>
          <t>Disneyland Park</t>
        </is>
      </c>
      <c r="E15408" s="8" t="inlineStr">
        <is>
          <t>Meet Mickey Mouse</t>
        </is>
      </c>
      <c r="F15408" s="8" t="inlineStr">
        <is>
          <t>STANDBY</t>
        </is>
      </c>
      <c r="G15408" s="8" t="n">
        <v>0</v>
      </c>
      <c r="H15408" s="8" t="inlineStr">
        <is>
          <t>OPERATING</t>
        </is>
      </c>
    </row>
    <row r="15409">
      <c r="A15409" s="8" t="inlineStr">
        <is>
          <t>2026-08-03</t>
        </is>
      </c>
      <c r="B15409" s="8" t="n">
        <v>15</v>
      </c>
      <c r="C15409" s="8" t="n">
        <v>45</v>
      </c>
      <c r="D15409" s="8" t="inlineStr">
        <is>
          <t>Disneyland Park</t>
        </is>
      </c>
      <c r="E15409" s="8" t="inlineStr">
        <is>
          <t>Peter Pan's Flight</t>
        </is>
      </c>
      <c r="F15409" s="8" t="inlineStr">
        <is>
          <t>STANDBY</t>
        </is>
      </c>
      <c r="G15409" s="8" t="n">
        <v>55</v>
      </c>
      <c r="H15409" s="8" t="inlineStr">
        <is>
          <t>OPERATING</t>
        </is>
      </c>
    </row>
    <row r="15410">
      <c r="A15410" s="8" t="inlineStr">
        <is>
          <t>2026-08-03</t>
        </is>
      </c>
      <c r="B15410" s="8" t="n">
        <v>15</v>
      </c>
      <c r="C15410" s="8" t="n">
        <v>45</v>
      </c>
      <c r="D15410" s="8" t="inlineStr">
        <is>
          <t>Disneyland Park</t>
        </is>
      </c>
      <c r="E15410" s="8" t="inlineStr">
        <is>
          <t>Princess Pavilion</t>
        </is>
      </c>
      <c r="F15410" s="8" t="inlineStr">
        <is>
          <t>STANDBY</t>
        </is>
      </c>
      <c r="G15410" s="8" t="n">
        <v>0</v>
      </c>
      <c r="H15410" s="8" t="inlineStr">
        <is>
          <t>OPERATING</t>
        </is>
      </c>
    </row>
    <row r="15411">
      <c r="A15411" s="8" t="inlineStr">
        <is>
          <t>2026-08-03</t>
        </is>
      </c>
      <c r="B15411" s="8" t="n">
        <v>15</v>
      </c>
      <c r="C15411" s="8" t="n">
        <v>45</v>
      </c>
      <c r="D15411" s="8" t="inlineStr">
        <is>
          <t>Disneyland Park</t>
        </is>
      </c>
      <c r="E15411" s="8" t="inlineStr">
        <is>
          <t>Big Thunder Mountain</t>
        </is>
      </c>
      <c r="F15411" s="8" t="inlineStr">
        <is>
          <t>STANDBY</t>
        </is>
      </c>
      <c r="G15411" s="8" t="n">
        <v>55</v>
      </c>
      <c r="H15411" s="8" t="inlineStr">
        <is>
          <t>OPERATING</t>
        </is>
      </c>
    </row>
    <row r="15412">
      <c r="A15412" s="8" t="inlineStr">
        <is>
          <t>2026-08-03</t>
        </is>
      </c>
      <c r="B15412" s="8" t="n">
        <v>15</v>
      </c>
      <c r="C15412" s="8" t="n">
        <v>45</v>
      </c>
      <c r="D15412" s="8" t="inlineStr">
        <is>
          <t>Disneyland Park</t>
        </is>
      </c>
      <c r="E15412" s="8" t="inlineStr">
        <is>
          <t>Disneyland Railroad Frontierland Depot</t>
        </is>
      </c>
      <c r="F15412" s="8" t="inlineStr">
        <is>
          <t>STANDBY</t>
        </is>
      </c>
      <c r="G15412" s="8" t="n">
        <v>0</v>
      </c>
      <c r="H15412" s="8" t="inlineStr">
        <is>
          <t>CLOSED</t>
        </is>
      </c>
    </row>
    <row r="15413">
      <c r="A15413" s="8" t="inlineStr">
        <is>
          <t>2026-08-03</t>
        </is>
      </c>
      <c r="B15413" s="8" t="n">
        <v>15</v>
      </c>
      <c r="C15413" s="8" t="n">
        <v>45</v>
      </c>
      <c r="D15413" s="8" t="inlineStr">
        <is>
          <t>Disneyland Park</t>
        </is>
      </c>
      <c r="E15413" s="8" t="inlineStr">
        <is>
          <t>Frontierland Playground</t>
        </is>
      </c>
      <c r="F15413" s="8" t="inlineStr">
        <is>
          <t>STANDBY</t>
        </is>
      </c>
      <c r="G15413" s="8" t="n">
        <v>0</v>
      </c>
      <c r="H15413" s="8" t="inlineStr">
        <is>
          <t>CLOSED</t>
        </is>
      </c>
    </row>
    <row r="15414">
      <c r="A15414" s="8" t="inlineStr">
        <is>
          <t>2026-08-03</t>
        </is>
      </c>
      <c r="B15414" s="8" t="n">
        <v>15</v>
      </c>
      <c r="C15414" s="8" t="n">
        <v>45</v>
      </c>
      <c r="D15414" s="8" t="inlineStr">
        <is>
          <t>Disneyland Park</t>
        </is>
      </c>
      <c r="E15414" s="8" t="inlineStr">
        <is>
          <t>Phantom Manor</t>
        </is>
      </c>
      <c r="F15414" s="8" t="inlineStr">
        <is>
          <t>STANDBY</t>
        </is>
      </c>
      <c r="G15414" s="8" t="n">
        <v>25</v>
      </c>
      <c r="H15414" s="8" t="inlineStr">
        <is>
          <t>OPERATING</t>
        </is>
      </c>
    </row>
    <row r="15415">
      <c r="A15415" s="8" t="inlineStr">
        <is>
          <t>2026-08-03</t>
        </is>
      </c>
      <c r="B15415" s="8" t="n">
        <v>15</v>
      </c>
      <c r="C15415" s="8" t="n">
        <v>45</v>
      </c>
      <c r="D15415" s="8" t="inlineStr">
        <is>
          <t>Disneyland Park</t>
        </is>
      </c>
      <c r="E15415" s="8" t="inlineStr">
        <is>
          <t>River Rogue Keelboats</t>
        </is>
      </c>
      <c r="F15415" s="8" t="inlineStr">
        <is>
          <t>STANDBY</t>
        </is>
      </c>
      <c r="G15415" s="8" t="n">
        <v>0</v>
      </c>
      <c r="H15415" s="8" t="inlineStr">
        <is>
          <t>CLOSED</t>
        </is>
      </c>
    </row>
    <row r="15416">
      <c r="A15416" s="8" t="inlineStr">
        <is>
          <t>2026-08-03</t>
        </is>
      </c>
      <c r="B15416" s="8" t="n">
        <v>15</v>
      </c>
      <c r="C15416" s="8" t="n">
        <v>45</v>
      </c>
      <c r="D15416" s="8" t="inlineStr">
        <is>
          <t>Disneyland Park</t>
        </is>
      </c>
      <c r="E15416" s="8" t="inlineStr">
        <is>
          <t>Rustler Roundup Shootin' Gallery</t>
        </is>
      </c>
      <c r="F15416" s="8" t="inlineStr">
        <is>
          <t>STANDBY</t>
        </is>
      </c>
      <c r="G15416" s="8" t="n">
        <v>0</v>
      </c>
      <c r="H15416" s="8" t="inlineStr">
        <is>
          <t>OPERATING</t>
        </is>
      </c>
    </row>
    <row r="15417">
      <c r="A15417" s="8" t="inlineStr">
        <is>
          <t>2026-08-03</t>
        </is>
      </c>
      <c r="B15417" s="8" t="n">
        <v>15</v>
      </c>
      <c r="C15417" s="8" t="n">
        <v>45</v>
      </c>
      <c r="D15417" s="8" t="inlineStr">
        <is>
          <t>Disneyland Park</t>
        </is>
      </c>
      <c r="E15417" s="8" t="inlineStr">
        <is>
          <t>Thunder Mesa Riverboat Landing</t>
        </is>
      </c>
      <c r="F15417" s="8" t="inlineStr">
        <is>
          <t>STANDBY</t>
        </is>
      </c>
      <c r="G15417" s="8" t="n">
        <v>20</v>
      </c>
      <c r="H15417" s="8" t="inlineStr">
        <is>
          <t>OPERATING</t>
        </is>
      </c>
    </row>
    <row r="15418">
      <c r="A15418" s="8" t="inlineStr">
        <is>
          <t>2026-08-03</t>
        </is>
      </c>
      <c r="B15418" s="8" t="n">
        <v>15</v>
      </c>
      <c r="C15418" s="8" t="n">
        <v>45</v>
      </c>
      <c r="D15418" s="8" t="inlineStr">
        <is>
          <t>Disneyland Park</t>
        </is>
      </c>
      <c r="E15418" s="8" t="inlineStr">
        <is>
          <t>Disneyland Railroad Main Street Station</t>
        </is>
      </c>
      <c r="F15418" s="8" t="inlineStr">
        <is>
          <t>STANDBY</t>
        </is>
      </c>
      <c r="G15418" s="8" t="n">
        <v>0</v>
      </c>
      <c r="H15418" s="8" t="inlineStr">
        <is>
          <t>CLOSED</t>
        </is>
      </c>
    </row>
    <row r="15419">
      <c r="A15419" s="8" t="inlineStr">
        <is>
          <t>2026-08-03</t>
        </is>
      </c>
      <c r="B15419" s="8" t="n">
        <v>15</v>
      </c>
      <c r="C15419" s="8" t="n">
        <v>45</v>
      </c>
      <c r="D15419" s="8" t="inlineStr">
        <is>
          <t>Disneyland Park</t>
        </is>
      </c>
      <c r="E15419" s="8" t="inlineStr">
        <is>
          <t>Main Street Vehicles</t>
        </is>
      </c>
      <c r="F15419" s="8" t="inlineStr">
        <is>
          <t>STANDBY</t>
        </is>
      </c>
      <c r="G15419" s="8" t="n">
        <v>0</v>
      </c>
      <c r="H15419" s="8" t="inlineStr">
        <is>
          <t>CLOSED</t>
        </is>
      </c>
    </row>
    <row r="15420">
      <c r="A15420" s="8" t="inlineStr">
        <is>
          <t>2026-08-03</t>
        </is>
      </c>
      <c r="B15420" s="8" t="n">
        <v>15</v>
      </c>
      <c r="C15420" s="8" t="n">
        <v>45</v>
      </c>
      <c r="D15420" s="8" t="inlineStr">
        <is>
          <t>Disney Adventure World</t>
        </is>
      </c>
      <c r="E15420" s="8" t="inlineStr">
        <is>
          <t>Avengers Assemble: Flight Force</t>
        </is>
      </c>
      <c r="F15420" s="8" t="inlineStr">
        <is>
          <t>STANDBY</t>
        </is>
      </c>
      <c r="G15420" s="8" t="n">
        <v>25</v>
      </c>
      <c r="H15420" s="8" t="inlineStr">
        <is>
          <t>OPERATING</t>
        </is>
      </c>
    </row>
    <row r="15421">
      <c r="A15421" s="8" t="inlineStr">
        <is>
          <t>2026-08-03</t>
        </is>
      </c>
      <c r="B15421" s="8" t="n">
        <v>15</v>
      </c>
      <c r="C15421" s="8" t="n">
        <v>45</v>
      </c>
      <c r="D15421" s="8" t="inlineStr">
        <is>
          <t>Disney Adventure World</t>
        </is>
      </c>
      <c r="E15421" s="8" t="inlineStr">
        <is>
          <t>Avengers Assemble: Flight Force Single Rider</t>
        </is>
      </c>
      <c r="F15421" s="8" t="inlineStr">
        <is>
          <t>STANDBY</t>
        </is>
      </c>
      <c r="G15421" s="8" t="n">
        <v>10</v>
      </c>
      <c r="H15421" s="8" t="inlineStr">
        <is>
          <t>OPERATING</t>
        </is>
      </c>
    </row>
    <row r="15422">
      <c r="A15422" s="8" t="inlineStr">
        <is>
          <t>2026-08-03</t>
        </is>
      </c>
      <c r="B15422" s="8" t="n">
        <v>15</v>
      </c>
      <c r="C15422" s="8" t="n">
        <v>45</v>
      </c>
      <c r="D15422" s="8" t="inlineStr">
        <is>
          <t>Disney Adventure World</t>
        </is>
      </c>
      <c r="E15422" s="8" t="inlineStr">
        <is>
          <t>Spider-Man W.E.B. Adventure</t>
        </is>
      </c>
      <c r="F15422" s="8" t="inlineStr">
        <is>
          <t>STANDBY</t>
        </is>
      </c>
      <c r="G15422" s="8" t="n">
        <v>50</v>
      </c>
      <c r="H15422" s="8" t="inlineStr">
        <is>
          <t>OPERATING</t>
        </is>
      </c>
    </row>
    <row r="15423">
      <c r="A15423" s="8" t="inlineStr">
        <is>
          <t>2026-08-03</t>
        </is>
      </c>
      <c r="B15423" s="8" t="n">
        <v>15</v>
      </c>
      <c r="C15423" s="8" t="n">
        <v>45</v>
      </c>
      <c r="D15423" s="8" t="inlineStr">
        <is>
          <t>Disney Adventure World</t>
        </is>
      </c>
      <c r="E15423" s="8" t="inlineStr">
        <is>
          <t>Spider-Man W.E.B. Adventure Single Rider</t>
        </is>
      </c>
      <c r="F15423" s="8" t="inlineStr">
        <is>
          <t>STANDBY</t>
        </is>
      </c>
      <c r="G15423" s="8" t="n">
        <v>30</v>
      </c>
      <c r="H15423" s="8" t="inlineStr">
        <is>
          <t>OPERATING</t>
        </is>
      </c>
    </row>
    <row r="15424">
      <c r="A15424" s="8" t="inlineStr">
        <is>
          <t>2026-08-03</t>
        </is>
      </c>
      <c r="B15424" s="8" t="n">
        <v>15</v>
      </c>
      <c r="C15424" s="8" t="n">
        <v>45</v>
      </c>
      <c r="D15424" s="8" t="inlineStr">
        <is>
          <t>Disney Adventure World</t>
        </is>
      </c>
      <c r="E15424" s="8" t="inlineStr">
        <is>
          <t>The Twilight Zone Tower of Terror</t>
        </is>
      </c>
      <c r="F15424" s="8" t="inlineStr">
        <is>
          <t>STANDBY</t>
        </is>
      </c>
      <c r="G15424" s="8" t="n">
        <v>20</v>
      </c>
      <c r="H15424" s="8" t="inlineStr">
        <is>
          <t>OPERATING</t>
        </is>
      </c>
    </row>
    <row r="15425">
      <c r="A15425" s="8" t="inlineStr">
        <is>
          <t>2026-08-03</t>
        </is>
      </c>
      <c r="B15425" s="8" t="n">
        <v>15</v>
      </c>
      <c r="C15425" s="8" t="n">
        <v>45</v>
      </c>
      <c r="D15425" s="8" t="inlineStr">
        <is>
          <t>Disney Adventure World</t>
        </is>
      </c>
      <c r="E15425" s="8" t="inlineStr">
        <is>
          <t>Cars Quatre Roues Rallye</t>
        </is>
      </c>
      <c r="F15425" s="8" t="inlineStr">
        <is>
          <t>STANDBY</t>
        </is>
      </c>
      <c r="G15425" s="8" t="n">
        <v>5</v>
      </c>
      <c r="H15425" s="8" t="inlineStr">
        <is>
          <t>OPERATING</t>
        </is>
      </c>
    </row>
    <row r="15426">
      <c r="A15426" s="8" t="inlineStr">
        <is>
          <t>2026-08-03</t>
        </is>
      </c>
      <c r="B15426" s="8" t="n">
        <v>15</v>
      </c>
      <c r="C15426" s="8" t="n">
        <v>45</v>
      </c>
      <c r="D15426" s="8" t="inlineStr">
        <is>
          <t>Disney Adventure World</t>
        </is>
      </c>
      <c r="E15426" s="8" t="inlineStr">
        <is>
          <t>Cars ROAD TRIP</t>
        </is>
      </c>
      <c r="F15426" s="8" t="inlineStr">
        <is>
          <t>STANDBY</t>
        </is>
      </c>
      <c r="G15426" s="8" t="n">
        <v>10</v>
      </c>
      <c r="H15426" s="8" t="inlineStr">
        <is>
          <t>OPERATING</t>
        </is>
      </c>
    </row>
    <row r="15427">
      <c r="A15427" s="8" t="inlineStr">
        <is>
          <t>2026-08-03</t>
        </is>
      </c>
      <c r="B15427" s="8" t="n">
        <v>15</v>
      </c>
      <c r="C15427" s="8" t="n">
        <v>45</v>
      </c>
      <c r="D15427" s="8" t="inlineStr">
        <is>
          <t>Disney Adventure World</t>
        </is>
      </c>
      <c r="E15427" s="8" t="inlineStr">
        <is>
          <t>Crush's Coaster</t>
        </is>
      </c>
      <c r="F15427" s="8" t="inlineStr">
        <is>
          <t>STANDBY</t>
        </is>
      </c>
      <c r="G15427" s="8" t="n">
        <v>70</v>
      </c>
      <c r="H15427" s="8" t="inlineStr">
        <is>
          <t>OPERATING</t>
        </is>
      </c>
    </row>
    <row r="15428">
      <c r="A15428" s="8" t="inlineStr">
        <is>
          <t>2026-08-03</t>
        </is>
      </c>
      <c r="B15428" s="8" t="n">
        <v>15</v>
      </c>
      <c r="C15428" s="8" t="n">
        <v>45</v>
      </c>
      <c r="D15428" s="8" t="inlineStr">
        <is>
          <t>Disney Adventure World</t>
        </is>
      </c>
      <c r="E15428" s="8" t="inlineStr">
        <is>
          <t>Crush's Coaster Single Rider</t>
        </is>
      </c>
      <c r="F15428" s="8" t="inlineStr">
        <is>
          <t>STANDBY</t>
        </is>
      </c>
      <c r="G15428" s="8" t="n">
        <v>65</v>
      </c>
      <c r="H15428" s="8" t="inlineStr">
        <is>
          <t>OPERATING</t>
        </is>
      </c>
    </row>
    <row r="15429">
      <c r="A15429" s="8" t="inlineStr">
        <is>
          <t>2026-08-03</t>
        </is>
      </c>
      <c r="B15429" s="8" t="n">
        <v>15</v>
      </c>
      <c r="C15429" s="8" t="n">
        <v>45</v>
      </c>
      <c r="D15429" s="8" t="inlineStr">
        <is>
          <t>Disney Adventure World</t>
        </is>
      </c>
      <c r="E15429" s="8" t="inlineStr">
        <is>
          <t>Les Tapis Volants - Flying Carpets Over Agrabah®</t>
        </is>
      </c>
      <c r="F15429" s="8" t="inlineStr">
        <is>
          <t>STANDBY</t>
        </is>
      </c>
      <c r="G15429" s="8" t="n">
        <v>0</v>
      </c>
      <c r="H15429" s="8" t="inlineStr">
        <is>
          <t>CLOSED</t>
        </is>
      </c>
    </row>
    <row r="15430">
      <c r="A15430" s="8" t="inlineStr">
        <is>
          <t>2026-08-03</t>
        </is>
      </c>
      <c r="B15430" s="8" t="n">
        <v>15</v>
      </c>
      <c r="C15430" s="8" t="n">
        <v>45</v>
      </c>
      <c r="D15430" s="8" t="inlineStr">
        <is>
          <t>Disney Adventure World</t>
        </is>
      </c>
      <c r="E15430" s="8" t="inlineStr">
        <is>
          <t>Ratatouille : L’Aventure Totalement Toquée de Rémy​</t>
        </is>
      </c>
      <c r="F15430" s="8" t="inlineStr">
        <is>
          <t>STANDBY</t>
        </is>
      </c>
      <c r="G15430" s="8" t="n">
        <v>50</v>
      </c>
      <c r="H15430" s="8" t="inlineStr">
        <is>
          <t>OPERATING</t>
        </is>
      </c>
    </row>
    <row r="15431">
      <c r="A15431" s="8" t="inlineStr">
        <is>
          <t>2026-08-03</t>
        </is>
      </c>
      <c r="B15431" s="8" t="n">
        <v>15</v>
      </c>
      <c r="C15431" s="8" t="n">
        <v>45</v>
      </c>
      <c r="D15431" s="8" t="inlineStr">
        <is>
          <t>Disney Adventure World</t>
        </is>
      </c>
      <c r="E15431" s="8" t="inlineStr">
        <is>
          <t>Ratatouille: The Adventure Single Rider</t>
        </is>
      </c>
      <c r="F15431" s="8" t="inlineStr">
        <is>
          <t>STANDBY</t>
        </is>
      </c>
      <c r="G15431" s="8" t="n">
        <v>15</v>
      </c>
      <c r="H15431" s="8" t="inlineStr">
        <is>
          <t>OPERATING</t>
        </is>
      </c>
    </row>
    <row r="15432">
      <c r="A15432" s="8" t="inlineStr">
        <is>
          <t>2026-08-03</t>
        </is>
      </c>
      <c r="B15432" s="8" t="n">
        <v>15</v>
      </c>
      <c r="C15432" s="8" t="n">
        <v>45</v>
      </c>
      <c r="D15432" s="8" t="inlineStr">
        <is>
          <t>Disney Adventure World</t>
        </is>
      </c>
      <c r="E15432" s="8" t="inlineStr">
        <is>
          <t>RC Racer</t>
        </is>
      </c>
      <c r="F15432" s="8" t="inlineStr">
        <is>
          <t>STANDBY</t>
        </is>
      </c>
      <c r="G15432" s="8" t="n">
        <v>35</v>
      </c>
      <c r="H15432" s="8" t="inlineStr">
        <is>
          <t>OPERATING</t>
        </is>
      </c>
    </row>
    <row r="15433">
      <c r="A15433" s="8" t="inlineStr">
        <is>
          <t>2026-08-03</t>
        </is>
      </c>
      <c r="B15433" s="8" t="n">
        <v>15</v>
      </c>
      <c r="C15433" s="8" t="n">
        <v>45</v>
      </c>
      <c r="D15433" s="8" t="inlineStr">
        <is>
          <t>Disney Adventure World</t>
        </is>
      </c>
      <c r="E15433" s="8" t="inlineStr">
        <is>
          <t>RC Racer Single Rider</t>
        </is>
      </c>
      <c r="F15433" s="8" t="inlineStr">
        <is>
          <t>STANDBY</t>
        </is>
      </c>
      <c r="G15433" s="8" t="n">
        <v>30</v>
      </c>
      <c r="H15433" s="8" t="inlineStr">
        <is>
          <t>OPERATING</t>
        </is>
      </c>
    </row>
    <row r="15434">
      <c r="A15434" s="8" t="inlineStr">
        <is>
          <t>2026-08-03</t>
        </is>
      </c>
      <c r="B15434" s="8" t="n">
        <v>15</v>
      </c>
      <c r="C15434" s="8" t="n">
        <v>45</v>
      </c>
      <c r="D15434" s="8" t="inlineStr">
        <is>
          <t>Disney Adventure World</t>
        </is>
      </c>
      <c r="E15434" s="8" t="inlineStr">
        <is>
          <t>Slinky® Dog Zigzag Spin</t>
        </is>
      </c>
      <c r="F15434" s="8" t="inlineStr">
        <is>
          <t>STANDBY</t>
        </is>
      </c>
      <c r="G15434" s="8" t="n">
        <v>0</v>
      </c>
      <c r="H15434" s="8" t="inlineStr">
        <is>
          <t>CLOSED</t>
        </is>
      </c>
    </row>
    <row r="15435">
      <c r="A15435" s="8" t="inlineStr">
        <is>
          <t>2026-08-03</t>
        </is>
      </c>
      <c r="B15435" s="8" t="n">
        <v>15</v>
      </c>
      <c r="C15435" s="8" t="n">
        <v>45</v>
      </c>
      <c r="D15435" s="8" t="inlineStr">
        <is>
          <t>Disney Adventure World</t>
        </is>
      </c>
      <c r="E15435" s="8" t="inlineStr">
        <is>
          <t>Toy Soldiers Parachute Drop</t>
        </is>
      </c>
      <c r="F15435" s="8" t="inlineStr">
        <is>
          <t>STANDBY</t>
        </is>
      </c>
      <c r="G15435" s="8" t="n">
        <v>30</v>
      </c>
      <c r="H15435" s="8" t="inlineStr">
        <is>
          <t>OPERATING</t>
        </is>
      </c>
    </row>
    <row r="15436">
      <c r="A15436" s="8" t="inlineStr">
        <is>
          <t>2026-08-03</t>
        </is>
      </c>
      <c r="B15436" s="8" t="n">
        <v>15</v>
      </c>
      <c r="C15436" s="8" t="n">
        <v>45</v>
      </c>
      <c r="D15436" s="8" t="inlineStr">
        <is>
          <t>Disney Adventure World</t>
        </is>
      </c>
      <c r="E15436" s="8" t="inlineStr">
        <is>
          <t>Toy Soldiers Parachute Drop Single Rider</t>
        </is>
      </c>
      <c r="F15436" s="8" t="inlineStr">
        <is>
          <t>STANDBY</t>
        </is>
      </c>
      <c r="G15436" s="8" t="n">
        <v>15</v>
      </c>
      <c r="H15436" s="8" t="inlineStr">
        <is>
          <t>OPERATING</t>
        </is>
      </c>
    </row>
    <row r="15437">
      <c r="A15437" s="8" t="inlineStr">
        <is>
          <t>2026-08-03</t>
        </is>
      </c>
      <c r="B15437" s="8" t="n">
        <v>15</v>
      </c>
      <c r="C15437" s="8" t="n">
        <v>45</v>
      </c>
      <c r="D15437" s="8" t="inlineStr">
        <is>
          <t>Disney Adventure World</t>
        </is>
      </c>
      <c r="E15437" s="8" t="inlineStr">
        <is>
          <t>Entry to World of Frozen</t>
        </is>
      </c>
      <c r="F15437" s="8" t="inlineStr">
        <is>
          <t>STANDBY</t>
        </is>
      </c>
      <c r="G15437" s="8" t="n">
        <v>0</v>
      </c>
      <c r="H15437" s="8" t="inlineStr">
        <is>
          <t>OPERATING</t>
        </is>
      </c>
    </row>
    <row r="15438">
      <c r="A15438" s="8" t="inlineStr">
        <is>
          <t>2026-08-03</t>
        </is>
      </c>
      <c r="B15438" s="8" t="n">
        <v>15</v>
      </c>
      <c r="C15438" s="8" t="n">
        <v>45</v>
      </c>
      <c r="D15438" s="8" t="inlineStr">
        <is>
          <t>Disney Adventure World</t>
        </is>
      </c>
      <c r="E15438" s="8" t="inlineStr">
        <is>
          <t>Frozen Ever After</t>
        </is>
      </c>
      <c r="F15438" s="8" t="inlineStr">
        <is>
          <t>STANDBY</t>
        </is>
      </c>
      <c r="G15438" s="8" t="n">
        <v>45</v>
      </c>
      <c r="H15438" s="8" t="inlineStr">
        <is>
          <t>OPERATING</t>
        </is>
      </c>
    </row>
    <row r="15439">
      <c r="A15439" s="8" t="inlineStr">
        <is>
          <t>2026-08-03</t>
        </is>
      </c>
      <c r="B15439" s="8" t="n">
        <v>15</v>
      </c>
      <c r="C15439" s="8" t="n">
        <v>45</v>
      </c>
      <c r="D15439" s="8" t="inlineStr">
        <is>
          <t>Disney Adventure World</t>
        </is>
      </c>
      <c r="E15439" s="8" t="inlineStr">
        <is>
          <t>Raiponce Tangled Spin</t>
        </is>
      </c>
      <c r="F15439" s="8" t="inlineStr">
        <is>
          <t>STANDBY</t>
        </is>
      </c>
      <c r="G15439" s="8" t="n">
        <v>5</v>
      </c>
      <c r="H15439" s="8" t="inlineStr">
        <is>
          <t>OPERATING</t>
        </is>
      </c>
    </row>
    <row r="15440">
      <c r="A15440" s="8" t="inlineStr">
        <is>
          <t>2026-08-03</t>
        </is>
      </c>
      <c r="B15440" s="8" t="n">
        <v>16</v>
      </c>
      <c r="C15440" s="8" t="n">
        <v>1</v>
      </c>
      <c r="D15440" s="8" t="inlineStr">
        <is>
          <t>Disneyland Park</t>
        </is>
      </c>
      <c r="E15440" s="8" t="inlineStr">
        <is>
          <t>Adventure Isle</t>
        </is>
      </c>
      <c r="F15440" s="8" t="inlineStr">
        <is>
          <t>STANDBY</t>
        </is>
      </c>
      <c r="G15440" s="8" t="n">
        <v>0</v>
      </c>
      <c r="H15440" s="8" t="inlineStr">
        <is>
          <t>OPERATING</t>
        </is>
      </c>
    </row>
    <row r="15441">
      <c r="A15441" s="8" t="inlineStr">
        <is>
          <t>2026-08-03</t>
        </is>
      </c>
      <c r="B15441" s="8" t="n">
        <v>16</v>
      </c>
      <c r="C15441" s="8" t="n">
        <v>1</v>
      </c>
      <c r="D15441" s="8" t="inlineStr">
        <is>
          <t>Disneyland Park</t>
        </is>
      </c>
      <c r="E15441" s="8" t="inlineStr">
        <is>
          <t>Indiana Jones and the Temple of Peril Single Rider</t>
        </is>
      </c>
      <c r="F15441" s="8" t="inlineStr">
        <is>
          <t>STANDBY</t>
        </is>
      </c>
      <c r="G15441" s="8" t="n">
        <v>5</v>
      </c>
      <c r="H15441" s="8" t="inlineStr">
        <is>
          <t>OPERATING</t>
        </is>
      </c>
    </row>
    <row r="15442">
      <c r="A15442" s="8" t="inlineStr">
        <is>
          <t>2026-08-03</t>
        </is>
      </c>
      <c r="B15442" s="8" t="n">
        <v>16</v>
      </c>
      <c r="C15442" s="8" t="n">
        <v>1</v>
      </c>
      <c r="D15442" s="8" t="inlineStr">
        <is>
          <t>Disneyland Park</t>
        </is>
      </c>
      <c r="E15442" s="8" t="inlineStr">
        <is>
          <t>Indiana Jones™ and the Temple of Peril</t>
        </is>
      </c>
      <c r="F15442" s="8" t="inlineStr">
        <is>
          <t>STANDBY</t>
        </is>
      </c>
      <c r="G15442" s="8" t="n">
        <v>20</v>
      </c>
      <c r="H15442" s="8" t="inlineStr">
        <is>
          <t>OPERATING</t>
        </is>
      </c>
    </row>
    <row r="15443">
      <c r="A15443" s="8" t="inlineStr">
        <is>
          <t>2026-08-03</t>
        </is>
      </c>
      <c r="B15443" s="8" t="n">
        <v>16</v>
      </c>
      <c r="C15443" s="8" t="n">
        <v>1</v>
      </c>
      <c r="D15443" s="8" t="inlineStr">
        <is>
          <t>Disneyland Park</t>
        </is>
      </c>
      <c r="E15443" s="8" t="inlineStr">
        <is>
          <t>La Cabane des Robinson</t>
        </is>
      </c>
      <c r="F15443" s="8" t="inlineStr">
        <is>
          <t>STANDBY</t>
        </is>
      </c>
      <c r="G15443" s="8" t="n">
        <v>5</v>
      </c>
      <c r="H15443" s="8" t="inlineStr">
        <is>
          <t>OPERATING</t>
        </is>
      </c>
    </row>
    <row r="15444">
      <c r="A15444" s="8" t="inlineStr">
        <is>
          <t>2026-08-03</t>
        </is>
      </c>
      <c r="B15444" s="8" t="n">
        <v>16</v>
      </c>
      <c r="C15444" s="8" t="n">
        <v>1</v>
      </c>
      <c r="D15444" s="8" t="inlineStr">
        <is>
          <t>Disneyland Park</t>
        </is>
      </c>
      <c r="E15444" s="8" t="inlineStr">
        <is>
          <t>Le Passage Enchanté d'Aladdin</t>
        </is>
      </c>
      <c r="F15444" s="8" t="inlineStr">
        <is>
          <t>STANDBY</t>
        </is>
      </c>
      <c r="G15444" s="8" t="n">
        <v>0</v>
      </c>
      <c r="H15444" s="8" t="inlineStr">
        <is>
          <t>OPERATING</t>
        </is>
      </c>
    </row>
    <row r="15445">
      <c r="A15445" s="8" t="inlineStr">
        <is>
          <t>2026-08-03</t>
        </is>
      </c>
      <c r="B15445" s="8" t="n">
        <v>16</v>
      </c>
      <c r="C15445" s="8" t="n">
        <v>1</v>
      </c>
      <c r="D15445" s="8" t="inlineStr">
        <is>
          <t>Disneyland Park</t>
        </is>
      </c>
      <c r="E15445" s="8" t="inlineStr">
        <is>
          <t>Pirate Galleon</t>
        </is>
      </c>
      <c r="F15445" s="8" t="inlineStr">
        <is>
          <t>STANDBY</t>
        </is>
      </c>
      <c r="G15445" s="8" t="n">
        <v>0</v>
      </c>
      <c r="H15445" s="8" t="inlineStr">
        <is>
          <t>CLOSED</t>
        </is>
      </c>
    </row>
    <row r="15446">
      <c r="A15446" s="8" t="inlineStr">
        <is>
          <t>2026-08-03</t>
        </is>
      </c>
      <c r="B15446" s="8" t="n">
        <v>16</v>
      </c>
      <c r="C15446" s="8" t="n">
        <v>1</v>
      </c>
      <c r="D15446" s="8" t="inlineStr">
        <is>
          <t>Disneyland Park</t>
        </is>
      </c>
      <c r="E15446" s="8" t="inlineStr">
        <is>
          <t>Pirates of the Caribbean</t>
        </is>
      </c>
      <c r="F15446" s="8" t="inlineStr">
        <is>
          <t>STANDBY</t>
        </is>
      </c>
      <c r="G15446" s="8" t="n">
        <v>20</v>
      </c>
      <c r="H15446" s="8" t="inlineStr">
        <is>
          <t>OPERATING</t>
        </is>
      </c>
    </row>
    <row r="15447">
      <c r="A15447" s="8" t="inlineStr">
        <is>
          <t>2026-08-03</t>
        </is>
      </c>
      <c r="B15447" s="8" t="n">
        <v>16</v>
      </c>
      <c r="C15447" s="8" t="n">
        <v>1</v>
      </c>
      <c r="D15447" s="8" t="inlineStr">
        <is>
          <t>Disneyland Park</t>
        </is>
      </c>
      <c r="E15447" s="8" t="inlineStr">
        <is>
          <t>Pirates' Beach</t>
        </is>
      </c>
      <c r="F15447" s="8" t="inlineStr">
        <is>
          <t>STANDBY</t>
        </is>
      </c>
      <c r="G15447" s="8" t="n">
        <v>0</v>
      </c>
      <c r="H15447" s="8" t="inlineStr">
        <is>
          <t>OPERATING</t>
        </is>
      </c>
    </row>
    <row r="15448">
      <c r="A15448" s="8" t="inlineStr">
        <is>
          <t>2026-08-03</t>
        </is>
      </c>
      <c r="B15448" s="8" t="n">
        <v>16</v>
      </c>
      <c r="C15448" s="8" t="n">
        <v>1</v>
      </c>
      <c r="D15448" s="8" t="inlineStr">
        <is>
          <t>Disneyland Park</t>
        </is>
      </c>
      <c r="E15448" s="8" t="inlineStr">
        <is>
          <t>Autopia, presented by Avis</t>
        </is>
      </c>
      <c r="F15448" s="8" t="inlineStr">
        <is>
          <t>STANDBY</t>
        </is>
      </c>
      <c r="G15448" s="8" t="n">
        <v>0</v>
      </c>
      <c r="H15448" s="8" t="inlineStr">
        <is>
          <t>CLOSED</t>
        </is>
      </c>
    </row>
    <row r="15449">
      <c r="A15449" s="8" t="inlineStr">
        <is>
          <t>2026-08-03</t>
        </is>
      </c>
      <c r="B15449" s="8" t="n">
        <v>16</v>
      </c>
      <c r="C15449" s="8" t="n">
        <v>1</v>
      </c>
      <c r="D15449" s="8" t="inlineStr">
        <is>
          <t>Disneyland Park</t>
        </is>
      </c>
      <c r="E15449" s="8" t="inlineStr">
        <is>
          <t>Buzz Lightyear Laser Blast</t>
        </is>
      </c>
      <c r="F15449" s="8" t="inlineStr">
        <is>
          <t>STANDBY</t>
        </is>
      </c>
      <c r="G15449" s="8" t="n">
        <v>0</v>
      </c>
      <c r="H15449" s="8" t="inlineStr">
        <is>
          <t>CLOSED</t>
        </is>
      </c>
    </row>
    <row r="15450">
      <c r="A15450" s="8" t="inlineStr">
        <is>
          <t>2026-08-03</t>
        </is>
      </c>
      <c r="B15450" s="8" t="n">
        <v>16</v>
      </c>
      <c r="C15450" s="8" t="n">
        <v>1</v>
      </c>
      <c r="D15450" s="8" t="inlineStr">
        <is>
          <t>Disneyland Park</t>
        </is>
      </c>
      <c r="E15450" s="8" t="inlineStr">
        <is>
          <t>Disneyland Railroad Discoveryland Station</t>
        </is>
      </c>
      <c r="F15450" s="8" t="inlineStr">
        <is>
          <t>STANDBY</t>
        </is>
      </c>
      <c r="G15450" s="8" t="n">
        <v>0</v>
      </c>
      <c r="H15450" s="8" t="inlineStr">
        <is>
          <t>CLOSED</t>
        </is>
      </c>
    </row>
    <row r="15451">
      <c r="A15451" s="8" t="inlineStr">
        <is>
          <t>2026-08-03</t>
        </is>
      </c>
      <c r="B15451" s="8" t="n">
        <v>16</v>
      </c>
      <c r="C15451" s="8" t="n">
        <v>1</v>
      </c>
      <c r="D15451" s="8" t="inlineStr">
        <is>
          <t>Disneyland Park</t>
        </is>
      </c>
      <c r="E15451" s="8" t="inlineStr">
        <is>
          <t>Les Mystères du Nautilus</t>
        </is>
      </c>
      <c r="F15451" s="8" t="inlineStr">
        <is>
          <t>STANDBY</t>
        </is>
      </c>
      <c r="G15451" s="8" t="n">
        <v>5</v>
      </c>
      <c r="H15451" s="8" t="inlineStr">
        <is>
          <t>OPERATING</t>
        </is>
      </c>
    </row>
    <row r="15452">
      <c r="A15452" s="8" t="inlineStr">
        <is>
          <t>2026-08-03</t>
        </is>
      </c>
      <c r="B15452" s="8" t="n">
        <v>16</v>
      </c>
      <c r="C15452" s="8" t="n">
        <v>1</v>
      </c>
      <c r="D15452" s="8" t="inlineStr">
        <is>
          <t>Disneyland Park</t>
        </is>
      </c>
      <c r="E15452" s="8" t="inlineStr">
        <is>
          <t>Mickey’s PhilharMagic</t>
        </is>
      </c>
      <c r="F15452" s="8" t="inlineStr">
        <is>
          <t>STANDBY</t>
        </is>
      </c>
      <c r="G15452" s="8" t="n">
        <v>0</v>
      </c>
      <c r="H15452" s="8" t="inlineStr">
        <is>
          <t>OPERATING</t>
        </is>
      </c>
    </row>
    <row r="15453">
      <c r="A15453" s="8" t="inlineStr">
        <is>
          <t>2026-08-03</t>
        </is>
      </c>
      <c r="B15453" s="8" t="n">
        <v>16</v>
      </c>
      <c r="C15453" s="8" t="n">
        <v>1</v>
      </c>
      <c r="D15453" s="8" t="inlineStr">
        <is>
          <t>Disneyland Park</t>
        </is>
      </c>
      <c r="E15453" s="8" t="inlineStr">
        <is>
          <t>Orbitron®</t>
        </is>
      </c>
      <c r="F15453" s="8" t="inlineStr">
        <is>
          <t>STANDBY</t>
        </is>
      </c>
      <c r="G15453" s="8" t="n">
        <v>0</v>
      </c>
      <c r="H15453" s="8" t="inlineStr">
        <is>
          <t>CLOSED</t>
        </is>
      </c>
    </row>
    <row r="15454">
      <c r="A15454" s="8" t="inlineStr">
        <is>
          <t>2026-08-03</t>
        </is>
      </c>
      <c r="B15454" s="8" t="n">
        <v>16</v>
      </c>
      <c r="C15454" s="8" t="n">
        <v>1</v>
      </c>
      <c r="D15454" s="8" t="inlineStr">
        <is>
          <t>Disneyland Park</t>
        </is>
      </c>
      <c r="E15454" s="8" t="inlineStr">
        <is>
          <t>Star Tours: The Adventures Continue*</t>
        </is>
      </c>
      <c r="F15454" s="8" t="inlineStr">
        <is>
          <t>STANDBY</t>
        </is>
      </c>
      <c r="G15454" s="8" t="n">
        <v>15</v>
      </c>
      <c r="H15454" s="8" t="inlineStr">
        <is>
          <t>OPERATING</t>
        </is>
      </c>
    </row>
    <row r="15455">
      <c r="A15455" s="8" t="inlineStr">
        <is>
          <t>2026-08-03</t>
        </is>
      </c>
      <c r="B15455" s="8" t="n">
        <v>16</v>
      </c>
      <c r="C15455" s="8" t="n">
        <v>1</v>
      </c>
      <c r="D15455" s="8" t="inlineStr">
        <is>
          <t>Disneyland Park</t>
        </is>
      </c>
      <c r="E15455" s="8" t="inlineStr">
        <is>
          <t>Star Wars Hyperspace Mountain</t>
        </is>
      </c>
      <c r="F15455" s="8" t="inlineStr">
        <is>
          <t>STANDBY</t>
        </is>
      </c>
      <c r="G15455" s="8" t="n">
        <v>45</v>
      </c>
      <c r="H15455" s="8" t="inlineStr">
        <is>
          <t>OPERATING</t>
        </is>
      </c>
    </row>
    <row r="15456">
      <c r="A15456" s="8" t="inlineStr">
        <is>
          <t>2026-08-03</t>
        </is>
      </c>
      <c r="B15456" s="8" t="n">
        <v>16</v>
      </c>
      <c r="C15456" s="8" t="n">
        <v>1</v>
      </c>
      <c r="D15456" s="8" t="inlineStr">
        <is>
          <t>Disneyland Park</t>
        </is>
      </c>
      <c r="E15456" s="8" t="inlineStr">
        <is>
          <t>Star Wars Hyperspace Mountain Single Rider</t>
        </is>
      </c>
      <c r="F15456" s="8" t="inlineStr">
        <is>
          <t>STANDBY</t>
        </is>
      </c>
      <c r="G15456" s="8" t="n">
        <v>20</v>
      </c>
      <c r="H15456" s="8" t="inlineStr">
        <is>
          <t>OPERATING</t>
        </is>
      </c>
    </row>
    <row r="15457">
      <c r="A15457" s="8" t="inlineStr">
        <is>
          <t>2026-08-03</t>
        </is>
      </c>
      <c r="B15457" s="8" t="n">
        <v>16</v>
      </c>
      <c r="C15457" s="8" t="n">
        <v>1</v>
      </c>
      <c r="D15457" s="8" t="inlineStr">
        <is>
          <t>Disneyland Park</t>
        </is>
      </c>
      <c r="E15457" s="8" t="inlineStr">
        <is>
          <t>Welcome to Starport: A Star Wars Encounter</t>
        </is>
      </c>
      <c r="F15457" s="8" t="inlineStr">
        <is>
          <t>STANDBY</t>
        </is>
      </c>
      <c r="G15457" s="8" t="n">
        <v>10</v>
      </c>
      <c r="H15457" s="8" t="inlineStr">
        <is>
          <t>OPERATING</t>
        </is>
      </c>
    </row>
    <row r="15458">
      <c r="A15458" s="8" t="inlineStr">
        <is>
          <t>2026-08-03</t>
        </is>
      </c>
      <c r="B15458" s="8" t="n">
        <v>16</v>
      </c>
      <c r="C15458" s="8" t="n">
        <v>1</v>
      </c>
      <c r="D15458" s="8" t="inlineStr">
        <is>
          <t>Disneyland Park</t>
        </is>
      </c>
      <c r="E15458" s="8" t="inlineStr">
        <is>
          <t>"it's a small world"</t>
        </is>
      </c>
      <c r="F15458" s="8" t="inlineStr">
        <is>
          <t>STANDBY</t>
        </is>
      </c>
      <c r="G15458" s="8" t="n">
        <v>5</v>
      </c>
      <c r="H15458" s="8" t="inlineStr">
        <is>
          <t>OPERATING</t>
        </is>
      </c>
    </row>
    <row r="15459">
      <c r="A15459" s="8" t="inlineStr">
        <is>
          <t>2026-08-03</t>
        </is>
      </c>
      <c r="B15459" s="8" t="n">
        <v>16</v>
      </c>
      <c r="C15459" s="8" t="n">
        <v>1</v>
      </c>
      <c r="D15459" s="8" t="inlineStr">
        <is>
          <t>Disneyland Park</t>
        </is>
      </c>
      <c r="E15459" s="8" t="inlineStr">
        <is>
          <t>Alice's Curious Labyrinth</t>
        </is>
      </c>
      <c r="F15459" s="8" t="inlineStr">
        <is>
          <t>STANDBY</t>
        </is>
      </c>
      <c r="G15459" s="8" t="n">
        <v>5</v>
      </c>
      <c r="H15459" s="8" t="inlineStr">
        <is>
          <t>OPERATING</t>
        </is>
      </c>
    </row>
    <row r="15460">
      <c r="A15460" s="8" t="inlineStr">
        <is>
          <t>2026-08-03</t>
        </is>
      </c>
      <c r="B15460" s="8" t="n">
        <v>16</v>
      </c>
      <c r="C15460" s="8" t="n">
        <v>1</v>
      </c>
      <c r="D15460" s="8" t="inlineStr">
        <is>
          <t>Disneyland Park</t>
        </is>
      </c>
      <c r="E15460" s="8" t="inlineStr">
        <is>
          <t>Blanche-Neige et les Sept Nains®</t>
        </is>
      </c>
      <c r="F15460" s="8" t="inlineStr">
        <is>
          <t>STANDBY</t>
        </is>
      </c>
      <c r="G15460" s="8" t="n">
        <v>15</v>
      </c>
      <c r="H15460" s="8" t="inlineStr">
        <is>
          <t>OPERATING</t>
        </is>
      </c>
    </row>
    <row r="15461">
      <c r="A15461" s="8" t="inlineStr">
        <is>
          <t>2026-08-03</t>
        </is>
      </c>
      <c r="B15461" s="8" t="n">
        <v>16</v>
      </c>
      <c r="C15461" s="8" t="n">
        <v>1</v>
      </c>
      <c r="D15461" s="8" t="inlineStr">
        <is>
          <t>Disneyland Park</t>
        </is>
      </c>
      <c r="E15461" s="8" t="inlineStr">
        <is>
          <t>Casey Jr. – le Petit Train du Cirque</t>
        </is>
      </c>
      <c r="F15461" s="8" t="inlineStr">
        <is>
          <t>STANDBY</t>
        </is>
      </c>
      <c r="G15461" s="8" t="n">
        <v>0</v>
      </c>
      <c r="H15461" s="8" t="inlineStr">
        <is>
          <t>CLOSED</t>
        </is>
      </c>
    </row>
    <row r="15462">
      <c r="A15462" s="8" t="inlineStr">
        <is>
          <t>2026-08-03</t>
        </is>
      </c>
      <c r="B15462" s="8" t="n">
        <v>16</v>
      </c>
      <c r="C15462" s="8" t="n">
        <v>1</v>
      </c>
      <c r="D15462" s="8" t="inlineStr">
        <is>
          <t>Disneyland Park</t>
        </is>
      </c>
      <c r="E15462" s="8" t="inlineStr">
        <is>
          <t>Disneyland Railroad Fantasyland Station</t>
        </is>
      </c>
      <c r="F15462" s="8" t="inlineStr">
        <is>
          <t>STANDBY</t>
        </is>
      </c>
      <c r="G15462" s="8" t="n">
        <v>0</v>
      </c>
      <c r="H15462" s="8" t="inlineStr">
        <is>
          <t>CLOSED</t>
        </is>
      </c>
    </row>
    <row r="15463">
      <c r="A15463" s="8" t="inlineStr">
        <is>
          <t>2026-08-03</t>
        </is>
      </c>
      <c r="B15463" s="8" t="n">
        <v>16</v>
      </c>
      <c r="C15463" s="8" t="n">
        <v>1</v>
      </c>
      <c r="D15463" s="8" t="inlineStr">
        <is>
          <t>Disneyland Park</t>
        </is>
      </c>
      <c r="E15463" s="8" t="inlineStr">
        <is>
          <t>Disneyland Railroad Main Street Station</t>
        </is>
      </c>
      <c r="F15463" s="8" t="inlineStr">
        <is>
          <t>STANDBY</t>
        </is>
      </c>
      <c r="G15463" s="8" t="n">
        <v>0</v>
      </c>
      <c r="H15463" s="8" t="inlineStr">
        <is>
          <t>CLOSED</t>
        </is>
      </c>
    </row>
    <row r="15464">
      <c r="A15464" s="8" t="inlineStr">
        <is>
          <t>2026-08-03</t>
        </is>
      </c>
      <c r="B15464" s="8" t="n">
        <v>16</v>
      </c>
      <c r="C15464" s="8" t="n">
        <v>1</v>
      </c>
      <c r="D15464" s="8" t="inlineStr">
        <is>
          <t>Disneyland Park</t>
        </is>
      </c>
      <c r="E15464" s="8" t="inlineStr">
        <is>
          <t>Dumbo the Flying Elephant</t>
        </is>
      </c>
      <c r="F15464" s="8" t="inlineStr">
        <is>
          <t>STANDBY</t>
        </is>
      </c>
      <c r="G15464" s="8" t="n">
        <v>0</v>
      </c>
      <c r="H15464" s="8" t="inlineStr">
        <is>
          <t>CLOSED</t>
        </is>
      </c>
    </row>
    <row r="15465">
      <c r="A15465" s="8" t="inlineStr">
        <is>
          <t>2026-08-03</t>
        </is>
      </c>
      <c r="B15465" s="8" t="n">
        <v>16</v>
      </c>
      <c r="C15465" s="8" t="n">
        <v>1</v>
      </c>
      <c r="D15465" s="8" t="inlineStr">
        <is>
          <t>Disneyland Park</t>
        </is>
      </c>
      <c r="E15465" s="8" t="inlineStr">
        <is>
          <t>La Tanière du Dragon</t>
        </is>
      </c>
      <c r="F15465" s="8" t="inlineStr">
        <is>
          <t>STANDBY</t>
        </is>
      </c>
      <c r="G15465" s="8" t="n">
        <v>0</v>
      </c>
      <c r="H15465" s="8" t="inlineStr">
        <is>
          <t>OPERATING</t>
        </is>
      </c>
    </row>
    <row r="15466">
      <c r="A15466" s="8" t="inlineStr">
        <is>
          <t>2026-08-03</t>
        </is>
      </c>
      <c r="B15466" s="8" t="n">
        <v>16</v>
      </c>
      <c r="C15466" s="8" t="n">
        <v>1</v>
      </c>
      <c r="D15466" s="8" t="inlineStr">
        <is>
          <t>Disneyland Park</t>
        </is>
      </c>
      <c r="E15466" s="8" t="inlineStr">
        <is>
          <t>Le Carrousel de Lancelot</t>
        </is>
      </c>
      <c r="F15466" s="8" t="inlineStr">
        <is>
          <t>STANDBY</t>
        </is>
      </c>
      <c r="G15466" s="8" t="n">
        <v>10</v>
      </c>
      <c r="H15466" s="8" t="inlineStr">
        <is>
          <t>OPERATING</t>
        </is>
      </c>
    </row>
    <row r="15467">
      <c r="A15467" s="8" t="inlineStr">
        <is>
          <t>2026-08-03</t>
        </is>
      </c>
      <c r="B15467" s="8" t="n">
        <v>16</v>
      </c>
      <c r="C15467" s="8" t="n">
        <v>1</v>
      </c>
      <c r="D15467" s="8" t="inlineStr">
        <is>
          <t>Disneyland Park</t>
        </is>
      </c>
      <c r="E15467" s="8" t="inlineStr">
        <is>
          <t>Le Pays des Contes de Fées, presented by Vittel</t>
        </is>
      </c>
      <c r="F15467" s="8" t="inlineStr">
        <is>
          <t>STANDBY</t>
        </is>
      </c>
      <c r="G15467" s="8" t="n">
        <v>0</v>
      </c>
      <c r="H15467" s="8" t="inlineStr">
        <is>
          <t>CLOSED</t>
        </is>
      </c>
    </row>
    <row r="15468">
      <c r="A15468" s="8" t="inlineStr">
        <is>
          <t>2026-08-03</t>
        </is>
      </c>
      <c r="B15468" s="8" t="n">
        <v>16</v>
      </c>
      <c r="C15468" s="8" t="n">
        <v>1</v>
      </c>
      <c r="D15468" s="8" t="inlineStr">
        <is>
          <t>Disneyland Park</t>
        </is>
      </c>
      <c r="E15468" s="8" t="inlineStr">
        <is>
          <t>Les Voyages de Pinocchio</t>
        </is>
      </c>
      <c r="F15468" s="8" t="inlineStr">
        <is>
          <t>STANDBY</t>
        </is>
      </c>
      <c r="G15468" s="8" t="n">
        <v>30</v>
      </c>
      <c r="H15468" s="8" t="inlineStr">
        <is>
          <t>OPERATING</t>
        </is>
      </c>
    </row>
    <row r="15469">
      <c r="A15469" s="8" t="inlineStr">
        <is>
          <t>2026-08-03</t>
        </is>
      </c>
      <c r="B15469" s="8" t="n">
        <v>16</v>
      </c>
      <c r="C15469" s="8" t="n">
        <v>1</v>
      </c>
      <c r="D15469" s="8" t="inlineStr">
        <is>
          <t>Disneyland Park</t>
        </is>
      </c>
      <c r="E15469" s="8" t="inlineStr">
        <is>
          <t>Mad Hatter's Tea Cups</t>
        </is>
      </c>
      <c r="F15469" s="8" t="inlineStr">
        <is>
          <t>STANDBY</t>
        </is>
      </c>
      <c r="G15469" s="8" t="n">
        <v>5</v>
      </c>
      <c r="H15469" s="8" t="inlineStr">
        <is>
          <t>OPERATING</t>
        </is>
      </c>
    </row>
    <row r="15470">
      <c r="A15470" s="8" t="inlineStr">
        <is>
          <t>2026-08-03</t>
        </is>
      </c>
      <c r="B15470" s="8" t="n">
        <v>16</v>
      </c>
      <c r="C15470" s="8" t="n">
        <v>1</v>
      </c>
      <c r="D15470" s="8" t="inlineStr">
        <is>
          <t>Disneyland Park</t>
        </is>
      </c>
      <c r="E15470" s="8" t="inlineStr">
        <is>
          <t>Meet Mickey Mouse</t>
        </is>
      </c>
      <c r="F15470" s="8" t="inlineStr">
        <is>
          <t>STANDBY</t>
        </is>
      </c>
      <c r="G15470" s="8" t="n">
        <v>0</v>
      </c>
      <c r="H15470" s="8" t="inlineStr">
        <is>
          <t>OPERATING</t>
        </is>
      </c>
    </row>
    <row r="15471">
      <c r="A15471" s="8" t="inlineStr">
        <is>
          <t>2026-08-03</t>
        </is>
      </c>
      <c r="B15471" s="8" t="n">
        <v>16</v>
      </c>
      <c r="C15471" s="8" t="n">
        <v>1</v>
      </c>
      <c r="D15471" s="8" t="inlineStr">
        <is>
          <t>Disneyland Park</t>
        </is>
      </c>
      <c r="E15471" s="8" t="inlineStr">
        <is>
          <t>Peter Pan's Flight</t>
        </is>
      </c>
      <c r="F15471" s="8" t="inlineStr">
        <is>
          <t>STANDBY</t>
        </is>
      </c>
      <c r="G15471" s="8" t="n">
        <v>80</v>
      </c>
      <c r="H15471" s="8" t="inlineStr">
        <is>
          <t>OPERATING</t>
        </is>
      </c>
    </row>
    <row r="15472">
      <c r="A15472" s="8" t="inlineStr">
        <is>
          <t>2026-08-03</t>
        </is>
      </c>
      <c r="B15472" s="8" t="n">
        <v>16</v>
      </c>
      <c r="C15472" s="8" t="n">
        <v>1</v>
      </c>
      <c r="D15472" s="8" t="inlineStr">
        <is>
          <t>Disneyland Park</t>
        </is>
      </c>
      <c r="E15472" s="8" t="inlineStr">
        <is>
          <t>Princess Pavilion</t>
        </is>
      </c>
      <c r="F15472" s="8" t="inlineStr">
        <is>
          <t>STANDBY</t>
        </is>
      </c>
      <c r="G15472" s="8" t="n">
        <v>0</v>
      </c>
      <c r="H15472" s="8" t="inlineStr">
        <is>
          <t>OPERATING</t>
        </is>
      </c>
    </row>
    <row r="15473">
      <c r="A15473" s="8" t="inlineStr">
        <is>
          <t>2026-08-03</t>
        </is>
      </c>
      <c r="B15473" s="8" t="n">
        <v>16</v>
      </c>
      <c r="C15473" s="8" t="n">
        <v>1</v>
      </c>
      <c r="D15473" s="8" t="inlineStr">
        <is>
          <t>Disneyland Park</t>
        </is>
      </c>
      <c r="E15473" s="8" t="inlineStr">
        <is>
          <t>Big Thunder Mountain</t>
        </is>
      </c>
      <c r="F15473" s="8" t="inlineStr">
        <is>
          <t>STANDBY</t>
        </is>
      </c>
      <c r="G15473" s="8" t="n">
        <v>55</v>
      </c>
      <c r="H15473" s="8" t="inlineStr">
        <is>
          <t>OPERATING</t>
        </is>
      </c>
    </row>
    <row r="15474">
      <c r="A15474" s="8" t="inlineStr">
        <is>
          <t>2026-08-03</t>
        </is>
      </c>
      <c r="B15474" s="8" t="n">
        <v>16</v>
      </c>
      <c r="C15474" s="8" t="n">
        <v>1</v>
      </c>
      <c r="D15474" s="8" t="inlineStr">
        <is>
          <t>Disneyland Park</t>
        </is>
      </c>
      <c r="E15474" s="8" t="inlineStr">
        <is>
          <t>Disneyland Railroad Frontierland Depot</t>
        </is>
      </c>
      <c r="F15474" s="8" t="inlineStr">
        <is>
          <t>STANDBY</t>
        </is>
      </c>
      <c r="G15474" s="8" t="n">
        <v>0</v>
      </c>
      <c r="H15474" s="8" t="inlineStr">
        <is>
          <t>CLOSED</t>
        </is>
      </c>
    </row>
    <row r="15475">
      <c r="A15475" s="8" t="inlineStr">
        <is>
          <t>2026-08-03</t>
        </is>
      </c>
      <c r="B15475" s="8" t="n">
        <v>16</v>
      </c>
      <c r="C15475" s="8" t="n">
        <v>1</v>
      </c>
      <c r="D15475" s="8" t="inlineStr">
        <is>
          <t>Disneyland Park</t>
        </is>
      </c>
      <c r="E15475" s="8" t="inlineStr">
        <is>
          <t>Frontierland Playground</t>
        </is>
      </c>
      <c r="F15475" s="8" t="inlineStr">
        <is>
          <t>STANDBY</t>
        </is>
      </c>
      <c r="G15475" s="8" t="n">
        <v>0</v>
      </c>
      <c r="H15475" s="8" t="inlineStr">
        <is>
          <t>CLOSED</t>
        </is>
      </c>
    </row>
    <row r="15476">
      <c r="A15476" s="8" t="inlineStr">
        <is>
          <t>2026-08-03</t>
        </is>
      </c>
      <c r="B15476" s="8" t="n">
        <v>16</v>
      </c>
      <c r="C15476" s="8" t="n">
        <v>1</v>
      </c>
      <c r="D15476" s="8" t="inlineStr">
        <is>
          <t>Disneyland Park</t>
        </is>
      </c>
      <c r="E15476" s="8" t="inlineStr">
        <is>
          <t>Phantom Manor</t>
        </is>
      </c>
      <c r="F15476" s="8" t="inlineStr">
        <is>
          <t>STANDBY</t>
        </is>
      </c>
      <c r="G15476" s="8" t="n">
        <v>20</v>
      </c>
      <c r="H15476" s="8" t="inlineStr">
        <is>
          <t>OPERATING</t>
        </is>
      </c>
    </row>
    <row r="15477">
      <c r="A15477" s="8" t="inlineStr">
        <is>
          <t>2026-08-03</t>
        </is>
      </c>
      <c r="B15477" s="8" t="n">
        <v>16</v>
      </c>
      <c r="C15477" s="8" t="n">
        <v>1</v>
      </c>
      <c r="D15477" s="8" t="inlineStr">
        <is>
          <t>Disneyland Park</t>
        </is>
      </c>
      <c r="E15477" s="8" t="inlineStr">
        <is>
          <t>River Rogue Keelboats</t>
        </is>
      </c>
      <c r="F15477" s="8" t="inlineStr">
        <is>
          <t>STANDBY</t>
        </is>
      </c>
      <c r="G15477" s="8" t="n">
        <v>0</v>
      </c>
      <c r="H15477" s="8" t="inlineStr">
        <is>
          <t>CLOSED</t>
        </is>
      </c>
    </row>
    <row r="15478">
      <c r="A15478" s="8" t="inlineStr">
        <is>
          <t>2026-08-03</t>
        </is>
      </c>
      <c r="B15478" s="8" t="n">
        <v>16</v>
      </c>
      <c r="C15478" s="8" t="n">
        <v>1</v>
      </c>
      <c r="D15478" s="8" t="inlineStr">
        <is>
          <t>Disneyland Park</t>
        </is>
      </c>
      <c r="E15478" s="8" t="inlineStr">
        <is>
          <t>Rustler Roundup Shootin' Gallery</t>
        </is>
      </c>
      <c r="F15478" s="8" t="inlineStr">
        <is>
          <t>STANDBY</t>
        </is>
      </c>
      <c r="G15478" s="8" t="n">
        <v>0</v>
      </c>
      <c r="H15478" s="8" t="inlineStr">
        <is>
          <t>OPERATING</t>
        </is>
      </c>
    </row>
    <row r="15479">
      <c r="A15479" s="8" t="inlineStr">
        <is>
          <t>2026-08-03</t>
        </is>
      </c>
      <c r="B15479" s="8" t="n">
        <v>16</v>
      </c>
      <c r="C15479" s="8" t="n">
        <v>1</v>
      </c>
      <c r="D15479" s="8" t="inlineStr">
        <is>
          <t>Disneyland Park</t>
        </is>
      </c>
      <c r="E15479" s="8" t="inlineStr">
        <is>
          <t>Thunder Mesa Riverboat Landing</t>
        </is>
      </c>
      <c r="F15479" s="8" t="inlineStr">
        <is>
          <t>STANDBY</t>
        </is>
      </c>
      <c r="G15479" s="8" t="n">
        <v>20</v>
      </c>
      <c r="H15479" s="8" t="inlineStr">
        <is>
          <t>OPERATING</t>
        </is>
      </c>
    </row>
    <row r="15480">
      <c r="A15480" s="8" t="inlineStr">
        <is>
          <t>2026-08-03</t>
        </is>
      </c>
      <c r="B15480" s="8" t="n">
        <v>16</v>
      </c>
      <c r="C15480" s="8" t="n">
        <v>1</v>
      </c>
      <c r="D15480" s="8" t="inlineStr">
        <is>
          <t>Disneyland Park</t>
        </is>
      </c>
      <c r="E15480" s="8" t="inlineStr">
        <is>
          <t>Disneyland Railroad Main Street Station</t>
        </is>
      </c>
      <c r="F15480" s="8" t="inlineStr">
        <is>
          <t>STANDBY</t>
        </is>
      </c>
      <c r="G15480" s="8" t="n">
        <v>0</v>
      </c>
      <c r="H15480" s="8" t="inlineStr">
        <is>
          <t>CLOSED</t>
        </is>
      </c>
    </row>
    <row r="15481">
      <c r="A15481" s="8" t="inlineStr">
        <is>
          <t>2026-08-03</t>
        </is>
      </c>
      <c r="B15481" s="8" t="n">
        <v>16</v>
      </c>
      <c r="C15481" s="8" t="n">
        <v>1</v>
      </c>
      <c r="D15481" s="8" t="inlineStr">
        <is>
          <t>Disneyland Park</t>
        </is>
      </c>
      <c r="E15481" s="8" t="inlineStr">
        <is>
          <t>Main Street Vehicles</t>
        </is>
      </c>
      <c r="F15481" s="8" t="inlineStr">
        <is>
          <t>STANDBY</t>
        </is>
      </c>
      <c r="G15481" s="8" t="n">
        <v>0</v>
      </c>
      <c r="H15481" s="8" t="inlineStr">
        <is>
          <t>CLOSED</t>
        </is>
      </c>
    </row>
    <row r="15482">
      <c r="A15482" s="8" t="inlineStr">
        <is>
          <t>2026-08-03</t>
        </is>
      </c>
      <c r="B15482" s="8" t="n">
        <v>16</v>
      </c>
      <c r="C15482" s="8" t="n">
        <v>1</v>
      </c>
      <c r="D15482" s="8" t="inlineStr">
        <is>
          <t>Disney Adventure World</t>
        </is>
      </c>
      <c r="E15482" s="8" t="inlineStr">
        <is>
          <t>Avengers Assemble: Flight Force</t>
        </is>
      </c>
      <c r="F15482" s="8" t="inlineStr">
        <is>
          <t>STANDBY</t>
        </is>
      </c>
      <c r="G15482" s="8" t="n">
        <v>15</v>
      </c>
      <c r="H15482" s="8" t="inlineStr">
        <is>
          <t>OPERATING</t>
        </is>
      </c>
    </row>
    <row r="15483">
      <c r="A15483" s="8" t="inlineStr">
        <is>
          <t>2026-08-03</t>
        </is>
      </c>
      <c r="B15483" s="8" t="n">
        <v>16</v>
      </c>
      <c r="C15483" s="8" t="n">
        <v>1</v>
      </c>
      <c r="D15483" s="8" t="inlineStr">
        <is>
          <t>Disney Adventure World</t>
        </is>
      </c>
      <c r="E15483" s="8" t="inlineStr">
        <is>
          <t>Avengers Assemble: Flight Force Single Rider</t>
        </is>
      </c>
      <c r="F15483" s="8" t="inlineStr">
        <is>
          <t>STANDBY</t>
        </is>
      </c>
      <c r="G15483" s="8" t="n">
        <v>10</v>
      </c>
      <c r="H15483" s="8" t="inlineStr">
        <is>
          <t>OPERATING</t>
        </is>
      </c>
    </row>
    <row r="15484">
      <c r="A15484" s="8" t="inlineStr">
        <is>
          <t>2026-08-03</t>
        </is>
      </c>
      <c r="B15484" s="8" t="n">
        <v>16</v>
      </c>
      <c r="C15484" s="8" t="n">
        <v>1</v>
      </c>
      <c r="D15484" s="8" t="inlineStr">
        <is>
          <t>Disney Adventure World</t>
        </is>
      </c>
      <c r="E15484" s="8" t="inlineStr">
        <is>
          <t>Spider-Man W.E.B. Adventure</t>
        </is>
      </c>
      <c r="F15484" s="8" t="inlineStr">
        <is>
          <t>STANDBY</t>
        </is>
      </c>
      <c r="G15484" s="8" t="n">
        <v>40</v>
      </c>
      <c r="H15484" s="8" t="inlineStr">
        <is>
          <t>OPERATING</t>
        </is>
      </c>
    </row>
    <row r="15485">
      <c r="A15485" s="8" t="inlineStr">
        <is>
          <t>2026-08-03</t>
        </is>
      </c>
      <c r="B15485" s="8" t="n">
        <v>16</v>
      </c>
      <c r="C15485" s="8" t="n">
        <v>1</v>
      </c>
      <c r="D15485" s="8" t="inlineStr">
        <is>
          <t>Disney Adventure World</t>
        </is>
      </c>
      <c r="E15485" s="8" t="inlineStr">
        <is>
          <t>Spider-Man W.E.B. Adventure Single Rider</t>
        </is>
      </c>
      <c r="F15485" s="8" t="inlineStr">
        <is>
          <t>STANDBY</t>
        </is>
      </c>
      <c r="G15485" s="8" t="n">
        <v>25</v>
      </c>
      <c r="H15485" s="8" t="inlineStr">
        <is>
          <t>OPERATING</t>
        </is>
      </c>
    </row>
    <row r="15486">
      <c r="A15486" s="8" t="inlineStr">
        <is>
          <t>2026-08-03</t>
        </is>
      </c>
      <c r="B15486" s="8" t="n">
        <v>16</v>
      </c>
      <c r="C15486" s="8" t="n">
        <v>1</v>
      </c>
      <c r="D15486" s="8" t="inlineStr">
        <is>
          <t>Disney Adventure World</t>
        </is>
      </c>
      <c r="E15486" s="8" t="inlineStr">
        <is>
          <t>The Twilight Zone Tower of Terror</t>
        </is>
      </c>
      <c r="F15486" s="8" t="inlineStr">
        <is>
          <t>STANDBY</t>
        </is>
      </c>
      <c r="G15486" s="8" t="n">
        <v>15</v>
      </c>
      <c r="H15486" s="8" t="inlineStr">
        <is>
          <t>OPERATING</t>
        </is>
      </c>
    </row>
    <row r="15487">
      <c r="A15487" s="8" t="inlineStr">
        <is>
          <t>2026-08-03</t>
        </is>
      </c>
      <c r="B15487" s="8" t="n">
        <v>16</v>
      </c>
      <c r="C15487" s="8" t="n">
        <v>1</v>
      </c>
      <c r="D15487" s="8" t="inlineStr">
        <is>
          <t>Disney Adventure World</t>
        </is>
      </c>
      <c r="E15487" s="8" t="inlineStr">
        <is>
          <t>Cars Quatre Roues Rallye</t>
        </is>
      </c>
      <c r="F15487" s="8" t="inlineStr">
        <is>
          <t>STANDBY</t>
        </is>
      </c>
      <c r="G15487" s="8" t="n">
        <v>20</v>
      </c>
      <c r="H15487" s="8" t="inlineStr">
        <is>
          <t>OPERATING</t>
        </is>
      </c>
    </row>
    <row r="15488">
      <c r="A15488" s="8" t="inlineStr">
        <is>
          <t>2026-08-03</t>
        </is>
      </c>
      <c r="B15488" s="8" t="n">
        <v>16</v>
      </c>
      <c r="C15488" s="8" t="n">
        <v>1</v>
      </c>
      <c r="D15488" s="8" t="inlineStr">
        <is>
          <t>Disney Adventure World</t>
        </is>
      </c>
      <c r="E15488" s="8" t="inlineStr">
        <is>
          <t>Cars ROAD TRIP</t>
        </is>
      </c>
      <c r="F15488" s="8" t="inlineStr">
        <is>
          <t>STANDBY</t>
        </is>
      </c>
      <c r="G15488" s="8" t="n">
        <v>10</v>
      </c>
      <c r="H15488" s="8" t="inlineStr">
        <is>
          <t>OPERATING</t>
        </is>
      </c>
    </row>
    <row r="15489">
      <c r="A15489" s="8" t="inlineStr">
        <is>
          <t>2026-08-03</t>
        </is>
      </c>
      <c r="B15489" s="8" t="n">
        <v>16</v>
      </c>
      <c r="C15489" s="8" t="n">
        <v>1</v>
      </c>
      <c r="D15489" s="8" t="inlineStr">
        <is>
          <t>Disney Adventure World</t>
        </is>
      </c>
      <c r="E15489" s="8" t="inlineStr">
        <is>
          <t>Crush's Coaster</t>
        </is>
      </c>
      <c r="F15489" s="8" t="inlineStr">
        <is>
          <t>STANDBY</t>
        </is>
      </c>
      <c r="G15489" s="8" t="n">
        <v>75</v>
      </c>
      <c r="H15489" s="8" t="inlineStr">
        <is>
          <t>OPERATING</t>
        </is>
      </c>
    </row>
    <row r="15490">
      <c r="A15490" s="8" t="inlineStr">
        <is>
          <t>2026-08-03</t>
        </is>
      </c>
      <c r="B15490" s="8" t="n">
        <v>16</v>
      </c>
      <c r="C15490" s="8" t="n">
        <v>1</v>
      </c>
      <c r="D15490" s="8" t="inlineStr">
        <is>
          <t>Disney Adventure World</t>
        </is>
      </c>
      <c r="E15490" s="8" t="inlineStr">
        <is>
          <t>Crush's Coaster Single Rider</t>
        </is>
      </c>
      <c r="F15490" s="8" t="inlineStr">
        <is>
          <t>STANDBY</t>
        </is>
      </c>
      <c r="G15490" s="8" t="n">
        <v>50</v>
      </c>
      <c r="H15490" s="8" t="inlineStr">
        <is>
          <t>OPERATING</t>
        </is>
      </c>
    </row>
    <row r="15491">
      <c r="A15491" s="8" t="inlineStr">
        <is>
          <t>2026-08-03</t>
        </is>
      </c>
      <c r="B15491" s="8" t="n">
        <v>16</v>
      </c>
      <c r="C15491" s="8" t="n">
        <v>1</v>
      </c>
      <c r="D15491" s="8" t="inlineStr">
        <is>
          <t>Disney Adventure World</t>
        </is>
      </c>
      <c r="E15491" s="8" t="inlineStr">
        <is>
          <t>Les Tapis Volants - Flying Carpets Over Agrabah®</t>
        </is>
      </c>
      <c r="F15491" s="8" t="inlineStr">
        <is>
          <t>STANDBY</t>
        </is>
      </c>
      <c r="G15491" s="8" t="n">
        <v>0</v>
      </c>
      <c r="H15491" s="8" t="inlineStr">
        <is>
          <t>CLOSED</t>
        </is>
      </c>
    </row>
    <row r="15492">
      <c r="A15492" s="8" t="inlineStr">
        <is>
          <t>2026-08-03</t>
        </is>
      </c>
      <c r="B15492" s="8" t="n">
        <v>16</v>
      </c>
      <c r="C15492" s="8" t="n">
        <v>1</v>
      </c>
      <c r="D15492" s="8" t="inlineStr">
        <is>
          <t>Disney Adventure World</t>
        </is>
      </c>
      <c r="E15492" s="8" t="inlineStr">
        <is>
          <t>Ratatouille : L’Aventure Totalement Toquée de Rémy​</t>
        </is>
      </c>
      <c r="F15492" s="8" t="inlineStr">
        <is>
          <t>STANDBY</t>
        </is>
      </c>
      <c r="G15492" s="8" t="n">
        <v>50</v>
      </c>
      <c r="H15492" s="8" t="inlineStr">
        <is>
          <t>OPERATING</t>
        </is>
      </c>
    </row>
    <row r="15493">
      <c r="A15493" s="8" t="inlineStr">
        <is>
          <t>2026-08-03</t>
        </is>
      </c>
      <c r="B15493" s="8" t="n">
        <v>16</v>
      </c>
      <c r="C15493" s="8" t="n">
        <v>1</v>
      </c>
      <c r="D15493" s="8" t="inlineStr">
        <is>
          <t>Disney Adventure World</t>
        </is>
      </c>
      <c r="E15493" s="8" t="inlineStr">
        <is>
          <t>Ratatouille: The Adventure Single Rider</t>
        </is>
      </c>
      <c r="F15493" s="8" t="inlineStr">
        <is>
          <t>STANDBY</t>
        </is>
      </c>
      <c r="G15493" s="8" t="n">
        <v>30</v>
      </c>
      <c r="H15493" s="8" t="inlineStr">
        <is>
          <t>OPERATING</t>
        </is>
      </c>
    </row>
    <row r="15494">
      <c r="A15494" s="8" t="inlineStr">
        <is>
          <t>2026-08-03</t>
        </is>
      </c>
      <c r="B15494" s="8" t="n">
        <v>16</v>
      </c>
      <c r="C15494" s="8" t="n">
        <v>1</v>
      </c>
      <c r="D15494" s="8" t="inlineStr">
        <is>
          <t>Disney Adventure World</t>
        </is>
      </c>
      <c r="E15494" s="8" t="inlineStr">
        <is>
          <t>RC Racer</t>
        </is>
      </c>
      <c r="F15494" s="8" t="inlineStr">
        <is>
          <t>STANDBY</t>
        </is>
      </c>
      <c r="G15494" s="8" t="n">
        <v>35</v>
      </c>
      <c r="H15494" s="8" t="inlineStr">
        <is>
          <t>OPERATING</t>
        </is>
      </c>
    </row>
    <row r="15495">
      <c r="A15495" s="8" t="inlineStr">
        <is>
          <t>2026-08-03</t>
        </is>
      </c>
      <c r="B15495" s="8" t="n">
        <v>16</v>
      </c>
      <c r="C15495" s="8" t="n">
        <v>1</v>
      </c>
      <c r="D15495" s="8" t="inlineStr">
        <is>
          <t>Disney Adventure World</t>
        </is>
      </c>
      <c r="E15495" s="8" t="inlineStr">
        <is>
          <t>RC Racer Single Rider</t>
        </is>
      </c>
      <c r="F15495" s="8" t="inlineStr">
        <is>
          <t>STANDBY</t>
        </is>
      </c>
      <c r="G15495" s="8" t="n">
        <v>30</v>
      </c>
      <c r="H15495" s="8" t="inlineStr">
        <is>
          <t>OPERATING</t>
        </is>
      </c>
    </row>
    <row r="15496">
      <c r="A15496" s="8" t="inlineStr">
        <is>
          <t>2026-08-03</t>
        </is>
      </c>
      <c r="B15496" s="8" t="n">
        <v>16</v>
      </c>
      <c r="C15496" s="8" t="n">
        <v>1</v>
      </c>
      <c r="D15496" s="8" t="inlineStr">
        <is>
          <t>Disney Adventure World</t>
        </is>
      </c>
      <c r="E15496" s="8" t="inlineStr">
        <is>
          <t>Slinky® Dog Zigzag Spin</t>
        </is>
      </c>
      <c r="F15496" s="8" t="inlineStr">
        <is>
          <t>STANDBY</t>
        </is>
      </c>
      <c r="G15496" s="8" t="n">
        <v>0</v>
      </c>
      <c r="H15496" s="8" t="inlineStr">
        <is>
          <t>CLOSED</t>
        </is>
      </c>
    </row>
    <row r="15497">
      <c r="A15497" s="8" t="inlineStr">
        <is>
          <t>2026-08-03</t>
        </is>
      </c>
      <c r="B15497" s="8" t="n">
        <v>16</v>
      </c>
      <c r="C15497" s="8" t="n">
        <v>1</v>
      </c>
      <c r="D15497" s="8" t="inlineStr">
        <is>
          <t>Disney Adventure World</t>
        </is>
      </c>
      <c r="E15497" s="8" t="inlineStr">
        <is>
          <t>Toy Soldiers Parachute Drop</t>
        </is>
      </c>
      <c r="F15497" s="8" t="inlineStr">
        <is>
          <t>STANDBY</t>
        </is>
      </c>
      <c r="G15497" s="8" t="n">
        <v>50</v>
      </c>
      <c r="H15497" s="8" t="inlineStr">
        <is>
          <t>OPERATING</t>
        </is>
      </c>
    </row>
    <row r="15498">
      <c r="A15498" s="8" t="inlineStr">
        <is>
          <t>2026-08-03</t>
        </is>
      </c>
      <c r="B15498" s="8" t="n">
        <v>16</v>
      </c>
      <c r="C15498" s="8" t="n">
        <v>1</v>
      </c>
      <c r="D15498" s="8" t="inlineStr">
        <is>
          <t>Disney Adventure World</t>
        </is>
      </c>
      <c r="E15498" s="8" t="inlineStr">
        <is>
          <t>Toy Soldiers Parachute Drop Single Rider</t>
        </is>
      </c>
      <c r="F15498" s="8" t="inlineStr">
        <is>
          <t>STANDBY</t>
        </is>
      </c>
      <c r="G15498" s="8" t="n">
        <v>10</v>
      </c>
      <c r="H15498" s="8" t="inlineStr">
        <is>
          <t>OPERATING</t>
        </is>
      </c>
    </row>
    <row r="15499">
      <c r="A15499" s="8" t="inlineStr">
        <is>
          <t>2026-08-03</t>
        </is>
      </c>
      <c r="B15499" s="8" t="n">
        <v>16</v>
      </c>
      <c r="C15499" s="8" t="n">
        <v>1</v>
      </c>
      <c r="D15499" s="8" t="inlineStr">
        <is>
          <t>Disney Adventure World</t>
        </is>
      </c>
      <c r="E15499" s="8" t="inlineStr">
        <is>
          <t>Entry to World of Frozen</t>
        </is>
      </c>
      <c r="F15499" s="8" t="inlineStr">
        <is>
          <t>STANDBY</t>
        </is>
      </c>
      <c r="G15499" s="8" t="n">
        <v>0</v>
      </c>
      <c r="H15499" s="8" t="inlineStr">
        <is>
          <t>OPERATING</t>
        </is>
      </c>
    </row>
    <row r="15500">
      <c r="A15500" s="8" t="inlineStr">
        <is>
          <t>2026-08-03</t>
        </is>
      </c>
      <c r="B15500" s="8" t="n">
        <v>16</v>
      </c>
      <c r="C15500" s="8" t="n">
        <v>1</v>
      </c>
      <c r="D15500" s="8" t="inlineStr">
        <is>
          <t>Disney Adventure World</t>
        </is>
      </c>
      <c r="E15500" s="8" t="inlineStr">
        <is>
          <t>Frozen Ever After</t>
        </is>
      </c>
      <c r="F15500" s="8" t="inlineStr">
        <is>
          <t>STANDBY</t>
        </is>
      </c>
      <c r="G15500" s="8" t="n">
        <v>45</v>
      </c>
      <c r="H15500" s="8" t="inlineStr">
        <is>
          <t>OPERATING</t>
        </is>
      </c>
    </row>
    <row r="15501">
      <c r="A15501" s="8" t="inlineStr">
        <is>
          <t>2026-08-03</t>
        </is>
      </c>
      <c r="B15501" s="8" t="n">
        <v>16</v>
      </c>
      <c r="C15501" s="8" t="n">
        <v>1</v>
      </c>
      <c r="D15501" s="8" t="inlineStr">
        <is>
          <t>Disney Adventure World</t>
        </is>
      </c>
      <c r="E15501" s="8" t="inlineStr">
        <is>
          <t>Raiponce Tangled Spin</t>
        </is>
      </c>
      <c r="F15501" s="8" t="inlineStr">
        <is>
          <t>STANDBY</t>
        </is>
      </c>
      <c r="G15501" s="8" t="n">
        <v>5</v>
      </c>
      <c r="H15501" s="8" t="inlineStr">
        <is>
          <t>OPERATING</t>
        </is>
      </c>
    </row>
    <row r="15502">
      <c r="A15502" s="8" t="inlineStr">
        <is>
          <t>2026-08-03</t>
        </is>
      </c>
      <c r="B15502" s="8" t="n">
        <v>16</v>
      </c>
      <c r="C15502" s="8" t="n">
        <v>16</v>
      </c>
      <c r="D15502" s="8" t="inlineStr">
        <is>
          <t>Disneyland Park</t>
        </is>
      </c>
      <c r="E15502" s="8" t="inlineStr">
        <is>
          <t>Adventure Isle</t>
        </is>
      </c>
      <c r="F15502" s="8" t="inlineStr">
        <is>
          <t>STANDBY</t>
        </is>
      </c>
      <c r="G15502" s="8" t="n">
        <v>0</v>
      </c>
      <c r="H15502" s="8" t="inlineStr">
        <is>
          <t>OPERATING</t>
        </is>
      </c>
    </row>
    <row r="15503">
      <c r="A15503" s="8" t="inlineStr">
        <is>
          <t>2026-08-03</t>
        </is>
      </c>
      <c r="B15503" s="8" t="n">
        <v>16</v>
      </c>
      <c r="C15503" s="8" t="n">
        <v>16</v>
      </c>
      <c r="D15503" s="8" t="inlineStr">
        <is>
          <t>Disneyland Park</t>
        </is>
      </c>
      <c r="E15503" s="8" t="inlineStr">
        <is>
          <t>Indiana Jones and the Temple of Peril Single Rider</t>
        </is>
      </c>
      <c r="F15503" s="8" t="inlineStr">
        <is>
          <t>STANDBY</t>
        </is>
      </c>
      <c r="G15503" s="8" t="n">
        <v>5</v>
      </c>
      <c r="H15503" s="8" t="inlineStr">
        <is>
          <t>OPERATING</t>
        </is>
      </c>
    </row>
    <row r="15504">
      <c r="A15504" s="8" t="inlineStr">
        <is>
          <t>2026-08-03</t>
        </is>
      </c>
      <c r="B15504" s="8" t="n">
        <v>16</v>
      </c>
      <c r="C15504" s="8" t="n">
        <v>16</v>
      </c>
      <c r="D15504" s="8" t="inlineStr">
        <is>
          <t>Disneyland Park</t>
        </is>
      </c>
      <c r="E15504" s="8" t="inlineStr">
        <is>
          <t>Indiana Jones™ and the Temple of Peril</t>
        </is>
      </c>
      <c r="F15504" s="8" t="inlineStr">
        <is>
          <t>STANDBY</t>
        </is>
      </c>
      <c r="G15504" s="8" t="n">
        <v>20</v>
      </c>
      <c r="H15504" s="8" t="inlineStr">
        <is>
          <t>OPERATING</t>
        </is>
      </c>
    </row>
    <row r="15505">
      <c r="A15505" s="8" t="inlineStr">
        <is>
          <t>2026-08-03</t>
        </is>
      </c>
      <c r="B15505" s="8" t="n">
        <v>16</v>
      </c>
      <c r="C15505" s="8" t="n">
        <v>16</v>
      </c>
      <c r="D15505" s="8" t="inlineStr">
        <is>
          <t>Disneyland Park</t>
        </is>
      </c>
      <c r="E15505" s="8" t="inlineStr">
        <is>
          <t>La Cabane des Robinson</t>
        </is>
      </c>
      <c r="F15505" s="8" t="inlineStr">
        <is>
          <t>STANDBY</t>
        </is>
      </c>
      <c r="G15505" s="8" t="n">
        <v>5</v>
      </c>
      <c r="H15505" s="8" t="inlineStr">
        <is>
          <t>OPERATING</t>
        </is>
      </c>
    </row>
    <row r="15506">
      <c r="A15506" s="8" t="inlineStr">
        <is>
          <t>2026-08-03</t>
        </is>
      </c>
      <c r="B15506" s="8" t="n">
        <v>16</v>
      </c>
      <c r="C15506" s="8" t="n">
        <v>16</v>
      </c>
      <c r="D15506" s="8" t="inlineStr">
        <is>
          <t>Disneyland Park</t>
        </is>
      </c>
      <c r="E15506" s="8" t="inlineStr">
        <is>
          <t>Le Passage Enchanté d'Aladdin</t>
        </is>
      </c>
      <c r="F15506" s="8" t="inlineStr">
        <is>
          <t>STANDBY</t>
        </is>
      </c>
      <c r="G15506" s="8" t="n">
        <v>0</v>
      </c>
      <c r="H15506" s="8" t="inlineStr">
        <is>
          <t>OPERATING</t>
        </is>
      </c>
    </row>
    <row r="15507">
      <c r="A15507" s="8" t="inlineStr">
        <is>
          <t>2026-08-03</t>
        </is>
      </c>
      <c r="B15507" s="8" t="n">
        <v>16</v>
      </c>
      <c r="C15507" s="8" t="n">
        <v>16</v>
      </c>
      <c r="D15507" s="8" t="inlineStr">
        <is>
          <t>Disneyland Park</t>
        </is>
      </c>
      <c r="E15507" s="8" t="inlineStr">
        <is>
          <t>Pirate Galleon</t>
        </is>
      </c>
      <c r="F15507" s="8" t="inlineStr">
        <is>
          <t>STANDBY</t>
        </is>
      </c>
      <c r="G15507" s="8" t="n">
        <v>0</v>
      </c>
      <c r="H15507" s="8" t="inlineStr">
        <is>
          <t>CLOSED</t>
        </is>
      </c>
    </row>
    <row r="15508">
      <c r="A15508" s="8" t="inlineStr">
        <is>
          <t>2026-08-03</t>
        </is>
      </c>
      <c r="B15508" s="8" t="n">
        <v>16</v>
      </c>
      <c r="C15508" s="8" t="n">
        <v>16</v>
      </c>
      <c r="D15508" s="8" t="inlineStr">
        <is>
          <t>Disneyland Park</t>
        </is>
      </c>
      <c r="E15508" s="8" t="inlineStr">
        <is>
          <t>Pirates of the Caribbean</t>
        </is>
      </c>
      <c r="F15508" s="8" t="inlineStr">
        <is>
          <t>STANDBY</t>
        </is>
      </c>
      <c r="G15508" s="8" t="n">
        <v>20</v>
      </c>
      <c r="H15508" s="8" t="inlineStr">
        <is>
          <t>OPERATING</t>
        </is>
      </c>
    </row>
    <row r="15509">
      <c r="A15509" s="8" t="inlineStr">
        <is>
          <t>2026-08-03</t>
        </is>
      </c>
      <c r="B15509" s="8" t="n">
        <v>16</v>
      </c>
      <c r="C15509" s="8" t="n">
        <v>16</v>
      </c>
      <c r="D15509" s="8" t="inlineStr">
        <is>
          <t>Disneyland Park</t>
        </is>
      </c>
      <c r="E15509" s="8" t="inlineStr">
        <is>
          <t>Pirates' Beach</t>
        </is>
      </c>
      <c r="F15509" s="8" t="inlineStr">
        <is>
          <t>STANDBY</t>
        </is>
      </c>
      <c r="G15509" s="8" t="n">
        <v>0</v>
      </c>
      <c r="H15509" s="8" t="inlineStr">
        <is>
          <t>OPERATING</t>
        </is>
      </c>
    </row>
    <row r="15510">
      <c r="A15510" s="8" t="inlineStr">
        <is>
          <t>2026-08-03</t>
        </is>
      </c>
      <c r="B15510" s="8" t="n">
        <v>16</v>
      </c>
      <c r="C15510" s="8" t="n">
        <v>16</v>
      </c>
      <c r="D15510" s="8" t="inlineStr">
        <is>
          <t>Disneyland Park</t>
        </is>
      </c>
      <c r="E15510" s="8" t="inlineStr">
        <is>
          <t>Autopia, presented by Avis</t>
        </is>
      </c>
      <c r="F15510" s="8" t="inlineStr">
        <is>
          <t>STANDBY</t>
        </is>
      </c>
      <c r="G15510" s="8" t="n">
        <v>0</v>
      </c>
      <c r="H15510" s="8" t="inlineStr">
        <is>
          <t>CLOSED</t>
        </is>
      </c>
    </row>
    <row r="15511">
      <c r="A15511" s="8" t="inlineStr">
        <is>
          <t>2026-08-03</t>
        </is>
      </c>
      <c r="B15511" s="8" t="n">
        <v>16</v>
      </c>
      <c r="C15511" s="8" t="n">
        <v>16</v>
      </c>
      <c r="D15511" s="8" t="inlineStr">
        <is>
          <t>Disneyland Park</t>
        </is>
      </c>
      <c r="E15511" s="8" t="inlineStr">
        <is>
          <t>Buzz Lightyear Laser Blast</t>
        </is>
      </c>
      <c r="F15511" s="8" t="inlineStr">
        <is>
          <t>STANDBY</t>
        </is>
      </c>
      <c r="G15511" s="8" t="n">
        <v>45</v>
      </c>
      <c r="H15511" s="8" t="inlineStr">
        <is>
          <t>OPERATING</t>
        </is>
      </c>
    </row>
    <row r="15512">
      <c r="A15512" s="8" t="inlineStr">
        <is>
          <t>2026-08-03</t>
        </is>
      </c>
      <c r="B15512" s="8" t="n">
        <v>16</v>
      </c>
      <c r="C15512" s="8" t="n">
        <v>16</v>
      </c>
      <c r="D15512" s="8" t="inlineStr">
        <is>
          <t>Disneyland Park</t>
        </is>
      </c>
      <c r="E15512" s="8" t="inlineStr">
        <is>
          <t>Disneyland Railroad Discoveryland Station</t>
        </is>
      </c>
      <c r="F15512" s="8" t="inlineStr">
        <is>
          <t>STANDBY</t>
        </is>
      </c>
      <c r="G15512" s="8" t="n">
        <v>0</v>
      </c>
      <c r="H15512" s="8" t="inlineStr">
        <is>
          <t>CLOSED</t>
        </is>
      </c>
    </row>
    <row r="15513">
      <c r="A15513" s="8" t="inlineStr">
        <is>
          <t>2026-08-03</t>
        </is>
      </c>
      <c r="B15513" s="8" t="n">
        <v>16</v>
      </c>
      <c r="C15513" s="8" t="n">
        <v>16</v>
      </c>
      <c r="D15513" s="8" t="inlineStr">
        <is>
          <t>Disneyland Park</t>
        </is>
      </c>
      <c r="E15513" s="8" t="inlineStr">
        <is>
          <t>Les Mystères du Nautilus</t>
        </is>
      </c>
      <c r="F15513" s="8" t="inlineStr">
        <is>
          <t>STANDBY</t>
        </is>
      </c>
      <c r="G15513" s="8" t="n">
        <v>5</v>
      </c>
      <c r="H15513" s="8" t="inlineStr">
        <is>
          <t>OPERATING</t>
        </is>
      </c>
    </row>
    <row r="15514">
      <c r="A15514" s="8" t="inlineStr">
        <is>
          <t>2026-08-03</t>
        </is>
      </c>
      <c r="B15514" s="8" t="n">
        <v>16</v>
      </c>
      <c r="C15514" s="8" t="n">
        <v>16</v>
      </c>
      <c r="D15514" s="8" t="inlineStr">
        <is>
          <t>Disneyland Park</t>
        </is>
      </c>
      <c r="E15514" s="8" t="inlineStr">
        <is>
          <t>Mickey’s PhilharMagic</t>
        </is>
      </c>
      <c r="F15514" s="8" t="inlineStr">
        <is>
          <t>STANDBY</t>
        </is>
      </c>
      <c r="G15514" s="8" t="n">
        <v>0</v>
      </c>
      <c r="H15514" s="8" t="inlineStr">
        <is>
          <t>OPERATING</t>
        </is>
      </c>
    </row>
    <row r="15515">
      <c r="A15515" s="8" t="inlineStr">
        <is>
          <t>2026-08-03</t>
        </is>
      </c>
      <c r="B15515" s="8" t="n">
        <v>16</v>
      </c>
      <c r="C15515" s="8" t="n">
        <v>16</v>
      </c>
      <c r="D15515" s="8" t="inlineStr">
        <is>
          <t>Disneyland Park</t>
        </is>
      </c>
      <c r="E15515" s="8" t="inlineStr">
        <is>
          <t>Orbitron®</t>
        </is>
      </c>
      <c r="F15515" s="8" t="inlineStr">
        <is>
          <t>STANDBY</t>
        </is>
      </c>
      <c r="G15515" s="8" t="n">
        <v>0</v>
      </c>
      <c r="H15515" s="8" t="inlineStr">
        <is>
          <t>CLOSED</t>
        </is>
      </c>
    </row>
    <row r="15516">
      <c r="A15516" s="8" t="inlineStr">
        <is>
          <t>2026-08-03</t>
        </is>
      </c>
      <c r="B15516" s="8" t="n">
        <v>16</v>
      </c>
      <c r="C15516" s="8" t="n">
        <v>16</v>
      </c>
      <c r="D15516" s="8" t="inlineStr">
        <is>
          <t>Disneyland Park</t>
        </is>
      </c>
      <c r="E15516" s="8" t="inlineStr">
        <is>
          <t>Star Tours: The Adventures Continue*</t>
        </is>
      </c>
      <c r="F15516" s="8" t="inlineStr">
        <is>
          <t>STANDBY</t>
        </is>
      </c>
      <c r="G15516" s="8" t="n">
        <v>5</v>
      </c>
      <c r="H15516" s="8" t="inlineStr">
        <is>
          <t>OPERATING</t>
        </is>
      </c>
    </row>
    <row r="15517">
      <c r="A15517" s="8" t="inlineStr">
        <is>
          <t>2026-08-03</t>
        </is>
      </c>
      <c r="B15517" s="8" t="n">
        <v>16</v>
      </c>
      <c r="C15517" s="8" t="n">
        <v>16</v>
      </c>
      <c r="D15517" s="8" t="inlineStr">
        <is>
          <t>Disneyland Park</t>
        </is>
      </c>
      <c r="E15517" s="8" t="inlineStr">
        <is>
          <t>Star Wars Hyperspace Mountain</t>
        </is>
      </c>
      <c r="F15517" s="8" t="inlineStr">
        <is>
          <t>STANDBY</t>
        </is>
      </c>
      <c r="G15517" s="8" t="n">
        <v>40</v>
      </c>
      <c r="H15517" s="8" t="inlineStr">
        <is>
          <t>OPERATING</t>
        </is>
      </c>
    </row>
    <row r="15518">
      <c r="A15518" s="8" t="inlineStr">
        <is>
          <t>2026-08-03</t>
        </is>
      </c>
      <c r="B15518" s="8" t="n">
        <v>16</v>
      </c>
      <c r="C15518" s="8" t="n">
        <v>16</v>
      </c>
      <c r="D15518" s="8" t="inlineStr">
        <is>
          <t>Disneyland Park</t>
        </is>
      </c>
      <c r="E15518" s="8" t="inlineStr">
        <is>
          <t>Star Wars Hyperspace Mountain Single Rider</t>
        </is>
      </c>
      <c r="F15518" s="8" t="inlineStr">
        <is>
          <t>STANDBY</t>
        </is>
      </c>
      <c r="G15518" s="8" t="n">
        <v>30</v>
      </c>
      <c r="H15518" s="8" t="inlineStr">
        <is>
          <t>OPERATING</t>
        </is>
      </c>
    </row>
    <row r="15519">
      <c r="A15519" s="8" t="inlineStr">
        <is>
          <t>2026-08-03</t>
        </is>
      </c>
      <c r="B15519" s="8" t="n">
        <v>16</v>
      </c>
      <c r="C15519" s="8" t="n">
        <v>16</v>
      </c>
      <c r="D15519" s="8" t="inlineStr">
        <is>
          <t>Disneyland Park</t>
        </is>
      </c>
      <c r="E15519" s="8" t="inlineStr">
        <is>
          <t>Welcome to Starport: A Star Wars Encounter</t>
        </is>
      </c>
      <c r="F15519" s="8" t="inlineStr">
        <is>
          <t>STANDBY</t>
        </is>
      </c>
      <c r="G15519" s="8" t="n">
        <v>10</v>
      </c>
      <c r="H15519" s="8" t="inlineStr">
        <is>
          <t>OPERATING</t>
        </is>
      </c>
    </row>
    <row r="15520">
      <c r="A15520" s="8" t="inlineStr">
        <is>
          <t>2026-08-03</t>
        </is>
      </c>
      <c r="B15520" s="8" t="n">
        <v>16</v>
      </c>
      <c r="C15520" s="8" t="n">
        <v>16</v>
      </c>
      <c r="D15520" s="8" t="inlineStr">
        <is>
          <t>Disneyland Park</t>
        </is>
      </c>
      <c r="E15520" s="8" t="inlineStr">
        <is>
          <t>"it's a small world"</t>
        </is>
      </c>
      <c r="F15520" s="8" t="inlineStr">
        <is>
          <t>STANDBY</t>
        </is>
      </c>
      <c r="G15520" s="8" t="n">
        <v>5</v>
      </c>
      <c r="H15520" s="8" t="inlineStr">
        <is>
          <t>OPERATING</t>
        </is>
      </c>
    </row>
    <row r="15521">
      <c r="A15521" s="8" t="inlineStr">
        <is>
          <t>2026-08-03</t>
        </is>
      </c>
      <c r="B15521" s="8" t="n">
        <v>16</v>
      </c>
      <c r="C15521" s="8" t="n">
        <v>16</v>
      </c>
      <c r="D15521" s="8" t="inlineStr">
        <is>
          <t>Disneyland Park</t>
        </is>
      </c>
      <c r="E15521" s="8" t="inlineStr">
        <is>
          <t>Alice's Curious Labyrinth</t>
        </is>
      </c>
      <c r="F15521" s="8" t="inlineStr">
        <is>
          <t>STANDBY</t>
        </is>
      </c>
      <c r="G15521" s="8" t="n">
        <v>5</v>
      </c>
      <c r="H15521" s="8" t="inlineStr">
        <is>
          <t>OPERATING</t>
        </is>
      </c>
    </row>
    <row r="15522">
      <c r="A15522" s="8" t="inlineStr">
        <is>
          <t>2026-08-03</t>
        </is>
      </c>
      <c r="B15522" s="8" t="n">
        <v>16</v>
      </c>
      <c r="C15522" s="8" t="n">
        <v>16</v>
      </c>
      <c r="D15522" s="8" t="inlineStr">
        <is>
          <t>Disneyland Park</t>
        </is>
      </c>
      <c r="E15522" s="8" t="inlineStr">
        <is>
          <t>Blanche-Neige et les Sept Nains®</t>
        </is>
      </c>
      <c r="F15522" s="8" t="inlineStr">
        <is>
          <t>STANDBY</t>
        </is>
      </c>
      <c r="G15522" s="8" t="n">
        <v>15</v>
      </c>
      <c r="H15522" s="8" t="inlineStr">
        <is>
          <t>OPERATING</t>
        </is>
      </c>
    </row>
    <row r="15523">
      <c r="A15523" s="8" t="inlineStr">
        <is>
          <t>2026-08-03</t>
        </is>
      </c>
      <c r="B15523" s="8" t="n">
        <v>16</v>
      </c>
      <c r="C15523" s="8" t="n">
        <v>16</v>
      </c>
      <c r="D15523" s="8" t="inlineStr">
        <is>
          <t>Disneyland Park</t>
        </is>
      </c>
      <c r="E15523" s="8" t="inlineStr">
        <is>
          <t>Casey Jr. – le Petit Train du Cirque</t>
        </is>
      </c>
      <c r="F15523" s="8" t="inlineStr">
        <is>
          <t>STANDBY</t>
        </is>
      </c>
      <c r="G15523" s="8" t="n">
        <v>0</v>
      </c>
      <c r="H15523" s="8" t="inlineStr">
        <is>
          <t>CLOSED</t>
        </is>
      </c>
    </row>
    <row r="15524">
      <c r="A15524" s="8" t="inlineStr">
        <is>
          <t>2026-08-03</t>
        </is>
      </c>
      <c r="B15524" s="8" t="n">
        <v>16</v>
      </c>
      <c r="C15524" s="8" t="n">
        <v>16</v>
      </c>
      <c r="D15524" s="8" t="inlineStr">
        <is>
          <t>Disneyland Park</t>
        </is>
      </c>
      <c r="E15524" s="8" t="inlineStr">
        <is>
          <t>Disneyland Railroad Fantasyland Station</t>
        </is>
      </c>
      <c r="F15524" s="8" t="inlineStr">
        <is>
          <t>STANDBY</t>
        </is>
      </c>
      <c r="G15524" s="8" t="n">
        <v>0</v>
      </c>
      <c r="H15524" s="8" t="inlineStr">
        <is>
          <t>CLOSED</t>
        </is>
      </c>
    </row>
    <row r="15525">
      <c r="A15525" s="8" t="inlineStr">
        <is>
          <t>2026-08-03</t>
        </is>
      </c>
      <c r="B15525" s="8" t="n">
        <v>16</v>
      </c>
      <c r="C15525" s="8" t="n">
        <v>16</v>
      </c>
      <c r="D15525" s="8" t="inlineStr">
        <is>
          <t>Disneyland Park</t>
        </is>
      </c>
      <c r="E15525" s="8" t="inlineStr">
        <is>
          <t>Disneyland Railroad Main Street Station</t>
        </is>
      </c>
      <c r="F15525" s="8" t="inlineStr">
        <is>
          <t>STANDBY</t>
        </is>
      </c>
      <c r="G15525" s="8" t="n">
        <v>0</v>
      </c>
      <c r="H15525" s="8" t="inlineStr">
        <is>
          <t>CLOSED</t>
        </is>
      </c>
    </row>
    <row r="15526">
      <c r="A15526" s="8" t="inlineStr">
        <is>
          <t>2026-08-03</t>
        </is>
      </c>
      <c r="B15526" s="8" t="n">
        <v>16</v>
      </c>
      <c r="C15526" s="8" t="n">
        <v>16</v>
      </c>
      <c r="D15526" s="8" t="inlineStr">
        <is>
          <t>Disneyland Park</t>
        </is>
      </c>
      <c r="E15526" s="8" t="inlineStr">
        <is>
          <t>Dumbo the Flying Elephant</t>
        </is>
      </c>
      <c r="F15526" s="8" t="inlineStr">
        <is>
          <t>STANDBY</t>
        </is>
      </c>
      <c r="G15526" s="8" t="n">
        <v>0</v>
      </c>
      <c r="H15526" s="8" t="inlineStr">
        <is>
          <t>CLOSED</t>
        </is>
      </c>
    </row>
    <row r="15527">
      <c r="A15527" s="8" t="inlineStr">
        <is>
          <t>2026-08-03</t>
        </is>
      </c>
      <c r="B15527" s="8" t="n">
        <v>16</v>
      </c>
      <c r="C15527" s="8" t="n">
        <v>16</v>
      </c>
      <c r="D15527" s="8" t="inlineStr">
        <is>
          <t>Disneyland Park</t>
        </is>
      </c>
      <c r="E15527" s="8" t="inlineStr">
        <is>
          <t>La Tanière du Dragon</t>
        </is>
      </c>
      <c r="F15527" s="8" t="inlineStr">
        <is>
          <t>STANDBY</t>
        </is>
      </c>
      <c r="G15527" s="8" t="n">
        <v>0</v>
      </c>
      <c r="H15527" s="8" t="inlineStr">
        <is>
          <t>OPERATING</t>
        </is>
      </c>
    </row>
    <row r="15528">
      <c r="A15528" s="8" t="inlineStr">
        <is>
          <t>2026-08-03</t>
        </is>
      </c>
      <c r="B15528" s="8" t="n">
        <v>16</v>
      </c>
      <c r="C15528" s="8" t="n">
        <v>16</v>
      </c>
      <c r="D15528" s="8" t="inlineStr">
        <is>
          <t>Disneyland Park</t>
        </is>
      </c>
      <c r="E15528" s="8" t="inlineStr">
        <is>
          <t>Le Carrousel de Lancelot</t>
        </is>
      </c>
      <c r="F15528" s="8" t="inlineStr">
        <is>
          <t>STANDBY</t>
        </is>
      </c>
      <c r="G15528" s="8" t="n">
        <v>10</v>
      </c>
      <c r="H15528" s="8" t="inlineStr">
        <is>
          <t>OPERATING</t>
        </is>
      </c>
    </row>
    <row r="15529">
      <c r="A15529" s="8" t="inlineStr">
        <is>
          <t>2026-08-03</t>
        </is>
      </c>
      <c r="B15529" s="8" t="n">
        <v>16</v>
      </c>
      <c r="C15529" s="8" t="n">
        <v>16</v>
      </c>
      <c r="D15529" s="8" t="inlineStr">
        <is>
          <t>Disneyland Park</t>
        </is>
      </c>
      <c r="E15529" s="8" t="inlineStr">
        <is>
          <t>Le Pays des Contes de Fées, presented by Vittel</t>
        </is>
      </c>
      <c r="F15529" s="8" t="inlineStr">
        <is>
          <t>STANDBY</t>
        </is>
      </c>
      <c r="G15529" s="8" t="n">
        <v>0</v>
      </c>
      <c r="H15529" s="8" t="inlineStr">
        <is>
          <t>CLOSED</t>
        </is>
      </c>
    </row>
    <row r="15530">
      <c r="A15530" s="8" t="inlineStr">
        <is>
          <t>2026-08-03</t>
        </is>
      </c>
      <c r="B15530" s="8" t="n">
        <v>16</v>
      </c>
      <c r="C15530" s="8" t="n">
        <v>16</v>
      </c>
      <c r="D15530" s="8" t="inlineStr">
        <is>
          <t>Disneyland Park</t>
        </is>
      </c>
      <c r="E15530" s="8" t="inlineStr">
        <is>
          <t>Les Voyages de Pinocchio</t>
        </is>
      </c>
      <c r="F15530" s="8" t="inlineStr">
        <is>
          <t>STANDBY</t>
        </is>
      </c>
      <c r="G15530" s="8" t="n">
        <v>30</v>
      </c>
      <c r="H15530" s="8" t="inlineStr">
        <is>
          <t>OPERATING</t>
        </is>
      </c>
    </row>
    <row r="15531">
      <c r="A15531" s="8" t="inlineStr">
        <is>
          <t>2026-08-03</t>
        </is>
      </c>
      <c r="B15531" s="8" t="n">
        <v>16</v>
      </c>
      <c r="C15531" s="8" t="n">
        <v>16</v>
      </c>
      <c r="D15531" s="8" t="inlineStr">
        <is>
          <t>Disneyland Park</t>
        </is>
      </c>
      <c r="E15531" s="8" t="inlineStr">
        <is>
          <t>Mad Hatter's Tea Cups</t>
        </is>
      </c>
      <c r="F15531" s="8" t="inlineStr">
        <is>
          <t>STANDBY</t>
        </is>
      </c>
      <c r="G15531" s="8" t="n">
        <v>5</v>
      </c>
      <c r="H15531" s="8" t="inlineStr">
        <is>
          <t>OPERATING</t>
        </is>
      </c>
    </row>
    <row r="15532">
      <c r="A15532" s="8" t="inlineStr">
        <is>
          <t>2026-08-03</t>
        </is>
      </c>
      <c r="B15532" s="8" t="n">
        <v>16</v>
      </c>
      <c r="C15532" s="8" t="n">
        <v>16</v>
      </c>
      <c r="D15532" s="8" t="inlineStr">
        <is>
          <t>Disneyland Park</t>
        </is>
      </c>
      <c r="E15532" s="8" t="inlineStr">
        <is>
          <t>Meet Mickey Mouse</t>
        </is>
      </c>
      <c r="F15532" s="8" t="inlineStr">
        <is>
          <t>STANDBY</t>
        </is>
      </c>
      <c r="G15532" s="8" t="n">
        <v>0</v>
      </c>
      <c r="H15532" s="8" t="inlineStr">
        <is>
          <t>OPERATING</t>
        </is>
      </c>
    </row>
    <row r="15533">
      <c r="A15533" s="8" t="inlineStr">
        <is>
          <t>2026-08-03</t>
        </is>
      </c>
      <c r="B15533" s="8" t="n">
        <v>16</v>
      </c>
      <c r="C15533" s="8" t="n">
        <v>16</v>
      </c>
      <c r="D15533" s="8" t="inlineStr">
        <is>
          <t>Disneyland Park</t>
        </is>
      </c>
      <c r="E15533" s="8" t="inlineStr">
        <is>
          <t>Peter Pan's Flight</t>
        </is>
      </c>
      <c r="F15533" s="8" t="inlineStr">
        <is>
          <t>STANDBY</t>
        </is>
      </c>
      <c r="G15533" s="8" t="n">
        <v>80</v>
      </c>
      <c r="H15533" s="8" t="inlineStr">
        <is>
          <t>OPERATING</t>
        </is>
      </c>
    </row>
    <row r="15534">
      <c r="A15534" s="8" t="inlineStr">
        <is>
          <t>2026-08-03</t>
        </is>
      </c>
      <c r="B15534" s="8" t="n">
        <v>16</v>
      </c>
      <c r="C15534" s="8" t="n">
        <v>16</v>
      </c>
      <c r="D15534" s="8" t="inlineStr">
        <is>
          <t>Disneyland Park</t>
        </is>
      </c>
      <c r="E15534" s="8" t="inlineStr">
        <is>
          <t>Princess Pavilion</t>
        </is>
      </c>
      <c r="F15534" s="8" t="inlineStr">
        <is>
          <t>STANDBY</t>
        </is>
      </c>
      <c r="G15534" s="8" t="n">
        <v>0</v>
      </c>
      <c r="H15534" s="8" t="inlineStr">
        <is>
          <t>OPERATING</t>
        </is>
      </c>
    </row>
    <row r="15535">
      <c r="A15535" s="8" t="inlineStr">
        <is>
          <t>2026-08-03</t>
        </is>
      </c>
      <c r="B15535" s="8" t="n">
        <v>16</v>
      </c>
      <c r="C15535" s="8" t="n">
        <v>16</v>
      </c>
      <c r="D15535" s="8" t="inlineStr">
        <is>
          <t>Disneyland Park</t>
        </is>
      </c>
      <c r="E15535" s="8" t="inlineStr">
        <is>
          <t>Big Thunder Mountain</t>
        </is>
      </c>
      <c r="F15535" s="8" t="inlineStr">
        <is>
          <t>STANDBY</t>
        </is>
      </c>
      <c r="G15535" s="8" t="n">
        <v>60</v>
      </c>
      <c r="H15535" s="8" t="inlineStr">
        <is>
          <t>OPERATING</t>
        </is>
      </c>
    </row>
    <row r="15536">
      <c r="A15536" s="8" t="inlineStr">
        <is>
          <t>2026-08-03</t>
        </is>
      </c>
      <c r="B15536" s="8" t="n">
        <v>16</v>
      </c>
      <c r="C15536" s="8" t="n">
        <v>16</v>
      </c>
      <c r="D15536" s="8" t="inlineStr">
        <is>
          <t>Disneyland Park</t>
        </is>
      </c>
      <c r="E15536" s="8" t="inlineStr">
        <is>
          <t>Disneyland Railroad Frontierland Depot</t>
        </is>
      </c>
      <c r="F15536" s="8" t="inlineStr">
        <is>
          <t>STANDBY</t>
        </is>
      </c>
      <c r="G15536" s="8" t="n">
        <v>0</v>
      </c>
      <c r="H15536" s="8" t="inlineStr">
        <is>
          <t>CLOSED</t>
        </is>
      </c>
    </row>
    <row r="15537">
      <c r="A15537" s="8" t="inlineStr">
        <is>
          <t>2026-08-03</t>
        </is>
      </c>
      <c r="B15537" s="8" t="n">
        <v>16</v>
      </c>
      <c r="C15537" s="8" t="n">
        <v>16</v>
      </c>
      <c r="D15537" s="8" t="inlineStr">
        <is>
          <t>Disneyland Park</t>
        </is>
      </c>
      <c r="E15537" s="8" t="inlineStr">
        <is>
          <t>Frontierland Playground</t>
        </is>
      </c>
      <c r="F15537" s="8" t="inlineStr">
        <is>
          <t>STANDBY</t>
        </is>
      </c>
      <c r="G15537" s="8" t="n">
        <v>0</v>
      </c>
      <c r="H15537" s="8" t="inlineStr">
        <is>
          <t>CLOSED</t>
        </is>
      </c>
    </row>
    <row r="15538">
      <c r="A15538" s="8" t="inlineStr">
        <is>
          <t>2026-08-03</t>
        </is>
      </c>
      <c r="B15538" s="8" t="n">
        <v>16</v>
      </c>
      <c r="C15538" s="8" t="n">
        <v>16</v>
      </c>
      <c r="D15538" s="8" t="inlineStr">
        <is>
          <t>Disneyland Park</t>
        </is>
      </c>
      <c r="E15538" s="8" t="inlineStr">
        <is>
          <t>Phantom Manor</t>
        </is>
      </c>
      <c r="F15538" s="8" t="inlineStr">
        <is>
          <t>STANDBY</t>
        </is>
      </c>
      <c r="G15538" s="8" t="n">
        <v>20</v>
      </c>
      <c r="H15538" s="8" t="inlineStr">
        <is>
          <t>OPERATING</t>
        </is>
      </c>
    </row>
    <row r="15539">
      <c r="A15539" s="8" t="inlineStr">
        <is>
          <t>2026-08-03</t>
        </is>
      </c>
      <c r="B15539" s="8" t="n">
        <v>16</v>
      </c>
      <c r="C15539" s="8" t="n">
        <v>16</v>
      </c>
      <c r="D15539" s="8" t="inlineStr">
        <is>
          <t>Disneyland Park</t>
        </is>
      </c>
      <c r="E15539" s="8" t="inlineStr">
        <is>
          <t>River Rogue Keelboats</t>
        </is>
      </c>
      <c r="F15539" s="8" t="inlineStr">
        <is>
          <t>STANDBY</t>
        </is>
      </c>
      <c r="G15539" s="8" t="n">
        <v>0</v>
      </c>
      <c r="H15539" s="8" t="inlineStr">
        <is>
          <t>CLOSED</t>
        </is>
      </c>
    </row>
    <row r="15540">
      <c r="A15540" s="8" t="inlineStr">
        <is>
          <t>2026-08-03</t>
        </is>
      </c>
      <c r="B15540" s="8" t="n">
        <v>16</v>
      </c>
      <c r="C15540" s="8" t="n">
        <v>16</v>
      </c>
      <c r="D15540" s="8" t="inlineStr">
        <is>
          <t>Disneyland Park</t>
        </is>
      </c>
      <c r="E15540" s="8" t="inlineStr">
        <is>
          <t>Rustler Roundup Shootin' Gallery</t>
        </is>
      </c>
      <c r="F15540" s="8" t="inlineStr">
        <is>
          <t>STANDBY</t>
        </is>
      </c>
      <c r="G15540" s="8" t="n">
        <v>0</v>
      </c>
      <c r="H15540" s="8" t="inlineStr">
        <is>
          <t>OPERATING</t>
        </is>
      </c>
    </row>
    <row r="15541">
      <c r="A15541" s="8" t="inlineStr">
        <is>
          <t>2026-08-03</t>
        </is>
      </c>
      <c r="B15541" s="8" t="n">
        <v>16</v>
      </c>
      <c r="C15541" s="8" t="n">
        <v>16</v>
      </c>
      <c r="D15541" s="8" t="inlineStr">
        <is>
          <t>Disneyland Park</t>
        </is>
      </c>
      <c r="E15541" s="8" t="inlineStr">
        <is>
          <t>Thunder Mesa Riverboat Landing</t>
        </is>
      </c>
      <c r="F15541" s="8" t="inlineStr">
        <is>
          <t>STANDBY</t>
        </is>
      </c>
      <c r="G15541" s="8" t="n">
        <v>20</v>
      </c>
      <c r="H15541" s="8" t="inlineStr">
        <is>
          <t>OPERATING</t>
        </is>
      </c>
    </row>
    <row r="15542">
      <c r="A15542" s="8" t="inlineStr">
        <is>
          <t>2026-08-03</t>
        </is>
      </c>
      <c r="B15542" s="8" t="n">
        <v>16</v>
      </c>
      <c r="C15542" s="8" t="n">
        <v>16</v>
      </c>
      <c r="D15542" s="8" t="inlineStr">
        <is>
          <t>Disneyland Park</t>
        </is>
      </c>
      <c r="E15542" s="8" t="inlineStr">
        <is>
          <t>Disneyland Railroad Main Street Station</t>
        </is>
      </c>
      <c r="F15542" s="8" t="inlineStr">
        <is>
          <t>STANDBY</t>
        </is>
      </c>
      <c r="G15542" s="8" t="n">
        <v>0</v>
      </c>
      <c r="H15542" s="8" t="inlineStr">
        <is>
          <t>CLOSED</t>
        </is>
      </c>
    </row>
    <row r="15543">
      <c r="A15543" s="8" t="inlineStr">
        <is>
          <t>2026-08-03</t>
        </is>
      </c>
      <c r="B15543" s="8" t="n">
        <v>16</v>
      </c>
      <c r="C15543" s="8" t="n">
        <v>16</v>
      </c>
      <c r="D15543" s="8" t="inlineStr">
        <is>
          <t>Disneyland Park</t>
        </is>
      </c>
      <c r="E15543" s="8" t="inlineStr">
        <is>
          <t>Main Street Vehicles</t>
        </is>
      </c>
      <c r="F15543" s="8" t="inlineStr">
        <is>
          <t>STANDBY</t>
        </is>
      </c>
      <c r="G15543" s="8" t="n">
        <v>0</v>
      </c>
      <c r="H15543" s="8" t="inlineStr">
        <is>
          <t>CLOSED</t>
        </is>
      </c>
    </row>
    <row r="15544">
      <c r="A15544" s="8" t="inlineStr">
        <is>
          <t>2026-08-03</t>
        </is>
      </c>
      <c r="B15544" s="8" t="n">
        <v>16</v>
      </c>
      <c r="C15544" s="8" t="n">
        <v>16</v>
      </c>
      <c r="D15544" s="8" t="inlineStr">
        <is>
          <t>Disney Adventure World</t>
        </is>
      </c>
      <c r="E15544" s="8" t="inlineStr">
        <is>
          <t>Avengers Assemble: Flight Force</t>
        </is>
      </c>
      <c r="F15544" s="8" t="inlineStr">
        <is>
          <t>STANDBY</t>
        </is>
      </c>
      <c r="G15544" s="8" t="n">
        <v>0</v>
      </c>
      <c r="H15544" s="8" t="inlineStr">
        <is>
          <t>CLOSED</t>
        </is>
      </c>
    </row>
    <row r="15545">
      <c r="A15545" s="8" t="inlineStr">
        <is>
          <t>2026-08-03</t>
        </is>
      </c>
      <c r="B15545" s="8" t="n">
        <v>16</v>
      </c>
      <c r="C15545" s="8" t="n">
        <v>16</v>
      </c>
      <c r="D15545" s="8" t="inlineStr">
        <is>
          <t>Disney Adventure World</t>
        </is>
      </c>
      <c r="E15545" s="8" t="inlineStr">
        <is>
          <t>Avengers Assemble: Flight Force Single Rider</t>
        </is>
      </c>
      <c r="F15545" s="8" t="inlineStr">
        <is>
          <t>STANDBY</t>
        </is>
      </c>
      <c r="G15545" s="8" t="n">
        <v>0</v>
      </c>
      <c r="H15545" s="8" t="inlineStr">
        <is>
          <t>CLOSED</t>
        </is>
      </c>
    </row>
    <row r="15546">
      <c r="A15546" s="8" t="inlineStr">
        <is>
          <t>2026-08-03</t>
        </is>
      </c>
      <c r="B15546" s="8" t="n">
        <v>16</v>
      </c>
      <c r="C15546" s="8" t="n">
        <v>16</v>
      </c>
      <c r="D15546" s="8" t="inlineStr">
        <is>
          <t>Disney Adventure World</t>
        </is>
      </c>
      <c r="E15546" s="8" t="inlineStr">
        <is>
          <t>Spider-Man W.E.B. Adventure</t>
        </is>
      </c>
      <c r="F15546" s="8" t="inlineStr">
        <is>
          <t>STANDBY</t>
        </is>
      </c>
      <c r="G15546" s="8" t="n">
        <v>50</v>
      </c>
      <c r="H15546" s="8" t="inlineStr">
        <is>
          <t>OPERATING</t>
        </is>
      </c>
    </row>
    <row r="15547">
      <c r="A15547" s="8" t="inlineStr">
        <is>
          <t>2026-08-03</t>
        </is>
      </c>
      <c r="B15547" s="8" t="n">
        <v>16</v>
      </c>
      <c r="C15547" s="8" t="n">
        <v>16</v>
      </c>
      <c r="D15547" s="8" t="inlineStr">
        <is>
          <t>Disney Adventure World</t>
        </is>
      </c>
      <c r="E15547" s="8" t="inlineStr">
        <is>
          <t>Spider-Man W.E.B. Adventure Single Rider</t>
        </is>
      </c>
      <c r="F15547" s="8" t="inlineStr">
        <is>
          <t>STANDBY</t>
        </is>
      </c>
      <c r="G15547" s="8" t="n">
        <v>20</v>
      </c>
      <c r="H15547" s="8" t="inlineStr">
        <is>
          <t>OPERATING</t>
        </is>
      </c>
    </row>
    <row r="15548">
      <c r="A15548" s="8" t="inlineStr">
        <is>
          <t>2026-08-03</t>
        </is>
      </c>
      <c r="B15548" s="8" t="n">
        <v>16</v>
      </c>
      <c r="C15548" s="8" t="n">
        <v>16</v>
      </c>
      <c r="D15548" s="8" t="inlineStr">
        <is>
          <t>Disney Adventure World</t>
        </is>
      </c>
      <c r="E15548" s="8" t="inlineStr">
        <is>
          <t>The Twilight Zone Tower of Terror</t>
        </is>
      </c>
      <c r="F15548" s="8" t="inlineStr">
        <is>
          <t>STANDBY</t>
        </is>
      </c>
      <c r="G15548" s="8" t="n">
        <v>20</v>
      </c>
      <c r="H15548" s="8" t="inlineStr">
        <is>
          <t>OPERATING</t>
        </is>
      </c>
    </row>
    <row r="15549">
      <c r="A15549" s="8" t="inlineStr">
        <is>
          <t>2026-08-03</t>
        </is>
      </c>
      <c r="B15549" s="8" t="n">
        <v>16</v>
      </c>
      <c r="C15549" s="8" t="n">
        <v>16</v>
      </c>
      <c r="D15549" s="8" t="inlineStr">
        <is>
          <t>Disney Adventure World</t>
        </is>
      </c>
      <c r="E15549" s="8" t="inlineStr">
        <is>
          <t>Cars Quatre Roues Rallye</t>
        </is>
      </c>
      <c r="F15549" s="8" t="inlineStr">
        <is>
          <t>STANDBY</t>
        </is>
      </c>
      <c r="G15549" s="8" t="n">
        <v>10</v>
      </c>
      <c r="H15549" s="8" t="inlineStr">
        <is>
          <t>OPERATING</t>
        </is>
      </c>
    </row>
    <row r="15550">
      <c r="A15550" s="8" t="inlineStr">
        <is>
          <t>2026-08-03</t>
        </is>
      </c>
      <c r="B15550" s="8" t="n">
        <v>16</v>
      </c>
      <c r="C15550" s="8" t="n">
        <v>16</v>
      </c>
      <c r="D15550" s="8" t="inlineStr">
        <is>
          <t>Disney Adventure World</t>
        </is>
      </c>
      <c r="E15550" s="8" t="inlineStr">
        <is>
          <t>Cars ROAD TRIP</t>
        </is>
      </c>
      <c r="F15550" s="8" t="inlineStr">
        <is>
          <t>STANDBY</t>
        </is>
      </c>
      <c r="G15550" s="8" t="n">
        <v>15</v>
      </c>
      <c r="H15550" s="8" t="inlineStr">
        <is>
          <t>OPERATING</t>
        </is>
      </c>
    </row>
    <row r="15551">
      <c r="A15551" s="8" t="inlineStr">
        <is>
          <t>2026-08-03</t>
        </is>
      </c>
      <c r="B15551" s="8" t="n">
        <v>16</v>
      </c>
      <c r="C15551" s="8" t="n">
        <v>16</v>
      </c>
      <c r="D15551" s="8" t="inlineStr">
        <is>
          <t>Disney Adventure World</t>
        </is>
      </c>
      <c r="E15551" s="8" t="inlineStr">
        <is>
          <t>Crush's Coaster</t>
        </is>
      </c>
      <c r="F15551" s="8" t="inlineStr">
        <is>
          <t>STANDBY</t>
        </is>
      </c>
      <c r="G15551" s="8" t="n">
        <v>70</v>
      </c>
      <c r="H15551" s="8" t="inlineStr">
        <is>
          <t>OPERATING</t>
        </is>
      </c>
    </row>
    <row r="15552">
      <c r="A15552" s="8" t="inlineStr">
        <is>
          <t>2026-08-03</t>
        </is>
      </c>
      <c r="B15552" s="8" t="n">
        <v>16</v>
      </c>
      <c r="C15552" s="8" t="n">
        <v>16</v>
      </c>
      <c r="D15552" s="8" t="inlineStr">
        <is>
          <t>Disney Adventure World</t>
        </is>
      </c>
      <c r="E15552" s="8" t="inlineStr">
        <is>
          <t>Crush's Coaster Single Rider</t>
        </is>
      </c>
      <c r="F15552" s="8" t="inlineStr">
        <is>
          <t>STANDBY</t>
        </is>
      </c>
      <c r="G15552" s="8" t="n">
        <v>55</v>
      </c>
      <c r="H15552" s="8" t="inlineStr">
        <is>
          <t>OPERATING</t>
        </is>
      </c>
    </row>
    <row r="15553">
      <c r="A15553" s="8" t="inlineStr">
        <is>
          <t>2026-08-03</t>
        </is>
      </c>
      <c r="B15553" s="8" t="n">
        <v>16</v>
      </c>
      <c r="C15553" s="8" t="n">
        <v>16</v>
      </c>
      <c r="D15553" s="8" t="inlineStr">
        <is>
          <t>Disney Adventure World</t>
        </is>
      </c>
      <c r="E15553" s="8" t="inlineStr">
        <is>
          <t>Les Tapis Volants - Flying Carpets Over Agrabah®</t>
        </is>
      </c>
      <c r="F15553" s="8" t="inlineStr">
        <is>
          <t>STANDBY</t>
        </is>
      </c>
      <c r="G15553" s="8" t="n">
        <v>0</v>
      </c>
      <c r="H15553" s="8" t="inlineStr">
        <is>
          <t>CLOSED</t>
        </is>
      </c>
    </row>
    <row r="15554">
      <c r="A15554" s="8" t="inlineStr">
        <is>
          <t>2026-08-03</t>
        </is>
      </c>
      <c r="B15554" s="8" t="n">
        <v>16</v>
      </c>
      <c r="C15554" s="8" t="n">
        <v>16</v>
      </c>
      <c r="D15554" s="8" t="inlineStr">
        <is>
          <t>Disney Adventure World</t>
        </is>
      </c>
      <c r="E15554" s="8" t="inlineStr">
        <is>
          <t>Ratatouille : L’Aventure Totalement Toquée de Rémy​</t>
        </is>
      </c>
      <c r="F15554" s="8" t="inlineStr">
        <is>
          <t>STANDBY</t>
        </is>
      </c>
      <c r="G15554" s="8" t="n">
        <v>45</v>
      </c>
      <c r="H15554" s="8" t="inlineStr">
        <is>
          <t>OPERATING</t>
        </is>
      </c>
    </row>
    <row r="15555">
      <c r="A15555" s="8" t="inlineStr">
        <is>
          <t>2026-08-03</t>
        </is>
      </c>
      <c r="B15555" s="8" t="n">
        <v>16</v>
      </c>
      <c r="C15555" s="8" t="n">
        <v>16</v>
      </c>
      <c r="D15555" s="8" t="inlineStr">
        <is>
          <t>Disney Adventure World</t>
        </is>
      </c>
      <c r="E15555" s="8" t="inlineStr">
        <is>
          <t>Ratatouille: The Adventure Single Rider</t>
        </is>
      </c>
      <c r="F15555" s="8" t="inlineStr">
        <is>
          <t>STANDBY</t>
        </is>
      </c>
      <c r="G15555" s="8" t="n">
        <v>25</v>
      </c>
      <c r="H15555" s="8" t="inlineStr">
        <is>
          <t>OPERATING</t>
        </is>
      </c>
    </row>
    <row r="15556">
      <c r="A15556" s="8" t="inlineStr">
        <is>
          <t>2026-08-03</t>
        </is>
      </c>
      <c r="B15556" s="8" t="n">
        <v>16</v>
      </c>
      <c r="C15556" s="8" t="n">
        <v>16</v>
      </c>
      <c r="D15556" s="8" t="inlineStr">
        <is>
          <t>Disney Adventure World</t>
        </is>
      </c>
      <c r="E15556" s="8" t="inlineStr">
        <is>
          <t>RC Racer</t>
        </is>
      </c>
      <c r="F15556" s="8" t="inlineStr">
        <is>
          <t>STANDBY</t>
        </is>
      </c>
      <c r="G15556" s="8" t="n">
        <v>50</v>
      </c>
      <c r="H15556" s="8" t="inlineStr">
        <is>
          <t>OPERATING</t>
        </is>
      </c>
    </row>
    <row r="15557">
      <c r="A15557" s="8" t="inlineStr">
        <is>
          <t>2026-08-03</t>
        </is>
      </c>
      <c r="B15557" s="8" t="n">
        <v>16</v>
      </c>
      <c r="C15557" s="8" t="n">
        <v>16</v>
      </c>
      <c r="D15557" s="8" t="inlineStr">
        <is>
          <t>Disney Adventure World</t>
        </is>
      </c>
      <c r="E15557" s="8" t="inlineStr">
        <is>
          <t>RC Racer Single Rider</t>
        </is>
      </c>
      <c r="F15557" s="8" t="inlineStr">
        <is>
          <t>STANDBY</t>
        </is>
      </c>
      <c r="G15557" s="8" t="n">
        <v>45</v>
      </c>
      <c r="H15557" s="8" t="inlineStr">
        <is>
          <t>OPERATING</t>
        </is>
      </c>
    </row>
    <row r="15558">
      <c r="A15558" s="8" t="inlineStr">
        <is>
          <t>2026-08-03</t>
        </is>
      </c>
      <c r="B15558" s="8" t="n">
        <v>16</v>
      </c>
      <c r="C15558" s="8" t="n">
        <v>16</v>
      </c>
      <c r="D15558" s="8" t="inlineStr">
        <is>
          <t>Disney Adventure World</t>
        </is>
      </c>
      <c r="E15558" s="8" t="inlineStr">
        <is>
          <t>Slinky® Dog Zigzag Spin</t>
        </is>
      </c>
      <c r="F15558" s="8" t="inlineStr">
        <is>
          <t>STANDBY</t>
        </is>
      </c>
      <c r="G15558" s="8" t="n">
        <v>0</v>
      </c>
      <c r="H15558" s="8" t="inlineStr">
        <is>
          <t>CLOSED</t>
        </is>
      </c>
    </row>
    <row r="15559">
      <c r="A15559" s="8" t="inlineStr">
        <is>
          <t>2026-08-03</t>
        </is>
      </c>
      <c r="B15559" s="8" t="n">
        <v>16</v>
      </c>
      <c r="C15559" s="8" t="n">
        <v>16</v>
      </c>
      <c r="D15559" s="8" t="inlineStr">
        <is>
          <t>Disney Adventure World</t>
        </is>
      </c>
      <c r="E15559" s="8" t="inlineStr">
        <is>
          <t>Toy Soldiers Parachute Drop</t>
        </is>
      </c>
      <c r="F15559" s="8" t="inlineStr">
        <is>
          <t>STANDBY</t>
        </is>
      </c>
      <c r="G15559" s="8" t="n">
        <v>40</v>
      </c>
      <c r="H15559" s="8" t="inlineStr">
        <is>
          <t>OPERATING</t>
        </is>
      </c>
    </row>
    <row r="15560">
      <c r="A15560" s="8" t="inlineStr">
        <is>
          <t>2026-08-03</t>
        </is>
      </c>
      <c r="B15560" s="8" t="n">
        <v>16</v>
      </c>
      <c r="C15560" s="8" t="n">
        <v>16</v>
      </c>
      <c r="D15560" s="8" t="inlineStr">
        <is>
          <t>Disney Adventure World</t>
        </is>
      </c>
      <c r="E15560" s="8" t="inlineStr">
        <is>
          <t>Toy Soldiers Parachute Drop Single Rider</t>
        </is>
      </c>
      <c r="F15560" s="8" t="inlineStr">
        <is>
          <t>STANDBY</t>
        </is>
      </c>
      <c r="G15560" s="8" t="n">
        <v>10</v>
      </c>
      <c r="H15560" s="8" t="inlineStr">
        <is>
          <t>OPERATING</t>
        </is>
      </c>
    </row>
    <row r="15561">
      <c r="A15561" s="8" t="inlineStr">
        <is>
          <t>2026-08-03</t>
        </is>
      </c>
      <c r="B15561" s="8" t="n">
        <v>16</v>
      </c>
      <c r="C15561" s="8" t="n">
        <v>16</v>
      </c>
      <c r="D15561" s="8" t="inlineStr">
        <is>
          <t>Disney Adventure World</t>
        </is>
      </c>
      <c r="E15561" s="8" t="inlineStr">
        <is>
          <t>Entry to World of Frozen</t>
        </is>
      </c>
      <c r="F15561" s="8" t="inlineStr">
        <is>
          <t>STANDBY</t>
        </is>
      </c>
      <c r="G15561" s="8" t="n">
        <v>0</v>
      </c>
      <c r="H15561" s="8" t="inlineStr">
        <is>
          <t>OPERATING</t>
        </is>
      </c>
    </row>
    <row r="15562">
      <c r="A15562" s="8" t="inlineStr">
        <is>
          <t>2026-08-03</t>
        </is>
      </c>
      <c r="B15562" s="8" t="n">
        <v>16</v>
      </c>
      <c r="C15562" s="8" t="n">
        <v>16</v>
      </c>
      <c r="D15562" s="8" t="inlineStr">
        <is>
          <t>Disney Adventure World</t>
        </is>
      </c>
      <c r="E15562" s="8" t="inlineStr">
        <is>
          <t>Frozen Ever After</t>
        </is>
      </c>
      <c r="F15562" s="8" t="inlineStr">
        <is>
          <t>STANDBY</t>
        </is>
      </c>
      <c r="G15562" s="8" t="n">
        <v>50</v>
      </c>
      <c r="H15562" s="8" t="inlineStr">
        <is>
          <t>OPERATING</t>
        </is>
      </c>
    </row>
    <row r="15563">
      <c r="A15563" s="8" t="inlineStr">
        <is>
          <t>2026-08-03</t>
        </is>
      </c>
      <c r="B15563" s="8" t="n">
        <v>16</v>
      </c>
      <c r="C15563" s="8" t="n">
        <v>16</v>
      </c>
      <c r="D15563" s="8" t="inlineStr">
        <is>
          <t>Disney Adventure World</t>
        </is>
      </c>
      <c r="E15563" s="8" t="inlineStr">
        <is>
          <t>Raiponce Tangled Spin</t>
        </is>
      </c>
      <c r="F15563" s="8" t="inlineStr">
        <is>
          <t>STANDBY</t>
        </is>
      </c>
      <c r="G15563" s="8" t="n">
        <v>5</v>
      </c>
      <c r="H15563" s="8" t="inlineStr">
        <is>
          <t>OPERATING</t>
        </is>
      </c>
    </row>
    <row r="15564">
      <c r="A15564" s="8" t="inlineStr">
        <is>
          <t>2026-08-03</t>
        </is>
      </c>
      <c r="B15564" s="8" t="n">
        <v>16</v>
      </c>
      <c r="C15564" s="8" t="n">
        <v>31</v>
      </c>
      <c r="D15564" s="8" t="inlineStr">
        <is>
          <t>Disneyland Park</t>
        </is>
      </c>
      <c r="E15564" s="8" t="inlineStr">
        <is>
          <t>Adventure Isle</t>
        </is>
      </c>
      <c r="F15564" s="8" t="inlineStr">
        <is>
          <t>STANDBY</t>
        </is>
      </c>
      <c r="G15564" s="8" t="n">
        <v>0</v>
      </c>
      <c r="H15564" s="8" t="inlineStr">
        <is>
          <t>OPERATING</t>
        </is>
      </c>
    </row>
    <row r="15565">
      <c r="A15565" s="8" t="inlineStr">
        <is>
          <t>2026-08-03</t>
        </is>
      </c>
      <c r="B15565" s="8" t="n">
        <v>16</v>
      </c>
      <c r="C15565" s="8" t="n">
        <v>31</v>
      </c>
      <c r="D15565" s="8" t="inlineStr">
        <is>
          <t>Disneyland Park</t>
        </is>
      </c>
      <c r="E15565" s="8" t="inlineStr">
        <is>
          <t>Indiana Jones and the Temple of Peril Single Rider</t>
        </is>
      </c>
      <c r="F15565" s="8" t="inlineStr">
        <is>
          <t>STANDBY</t>
        </is>
      </c>
      <c r="G15565" s="8" t="n">
        <v>5</v>
      </c>
      <c r="H15565" s="8" t="inlineStr">
        <is>
          <t>OPERATING</t>
        </is>
      </c>
    </row>
    <row r="15566">
      <c r="A15566" s="8" t="inlineStr">
        <is>
          <t>2026-08-03</t>
        </is>
      </c>
      <c r="B15566" s="8" t="n">
        <v>16</v>
      </c>
      <c r="C15566" s="8" t="n">
        <v>31</v>
      </c>
      <c r="D15566" s="8" t="inlineStr">
        <is>
          <t>Disneyland Park</t>
        </is>
      </c>
      <c r="E15566" s="8" t="inlineStr">
        <is>
          <t>Indiana Jones™ and the Temple of Peril</t>
        </is>
      </c>
      <c r="F15566" s="8" t="inlineStr">
        <is>
          <t>STANDBY</t>
        </is>
      </c>
      <c r="G15566" s="8" t="n">
        <v>30</v>
      </c>
      <c r="H15566" s="8" t="inlineStr">
        <is>
          <t>OPERATING</t>
        </is>
      </c>
    </row>
    <row r="15567">
      <c r="A15567" s="8" t="inlineStr">
        <is>
          <t>2026-08-03</t>
        </is>
      </c>
      <c r="B15567" s="8" t="n">
        <v>16</v>
      </c>
      <c r="C15567" s="8" t="n">
        <v>31</v>
      </c>
      <c r="D15567" s="8" t="inlineStr">
        <is>
          <t>Disneyland Park</t>
        </is>
      </c>
      <c r="E15567" s="8" t="inlineStr">
        <is>
          <t>La Cabane des Robinson</t>
        </is>
      </c>
      <c r="F15567" s="8" t="inlineStr">
        <is>
          <t>STANDBY</t>
        </is>
      </c>
      <c r="G15567" s="8" t="n">
        <v>5</v>
      </c>
      <c r="H15567" s="8" t="inlineStr">
        <is>
          <t>OPERATING</t>
        </is>
      </c>
    </row>
    <row r="15568">
      <c r="A15568" s="8" t="inlineStr">
        <is>
          <t>2026-08-03</t>
        </is>
      </c>
      <c r="B15568" s="8" t="n">
        <v>16</v>
      </c>
      <c r="C15568" s="8" t="n">
        <v>31</v>
      </c>
      <c r="D15568" s="8" t="inlineStr">
        <is>
          <t>Disneyland Park</t>
        </is>
      </c>
      <c r="E15568" s="8" t="inlineStr">
        <is>
          <t>Le Passage Enchanté d'Aladdin</t>
        </is>
      </c>
      <c r="F15568" s="8" t="inlineStr">
        <is>
          <t>STANDBY</t>
        </is>
      </c>
      <c r="G15568" s="8" t="n">
        <v>0</v>
      </c>
      <c r="H15568" s="8" t="inlineStr">
        <is>
          <t>OPERATING</t>
        </is>
      </c>
    </row>
    <row r="15569">
      <c r="A15569" s="8" t="inlineStr">
        <is>
          <t>2026-08-03</t>
        </is>
      </c>
      <c r="B15569" s="8" t="n">
        <v>16</v>
      </c>
      <c r="C15569" s="8" t="n">
        <v>31</v>
      </c>
      <c r="D15569" s="8" t="inlineStr">
        <is>
          <t>Disneyland Park</t>
        </is>
      </c>
      <c r="E15569" s="8" t="inlineStr">
        <is>
          <t>Pirate Galleon</t>
        </is>
      </c>
      <c r="F15569" s="8" t="inlineStr">
        <is>
          <t>STANDBY</t>
        </is>
      </c>
      <c r="G15569" s="8" t="n">
        <v>0</v>
      </c>
      <c r="H15569" s="8" t="inlineStr">
        <is>
          <t>CLOSED</t>
        </is>
      </c>
    </row>
    <row r="15570">
      <c r="A15570" s="8" t="inlineStr">
        <is>
          <t>2026-08-03</t>
        </is>
      </c>
      <c r="B15570" s="8" t="n">
        <v>16</v>
      </c>
      <c r="C15570" s="8" t="n">
        <v>31</v>
      </c>
      <c r="D15570" s="8" t="inlineStr">
        <is>
          <t>Disneyland Park</t>
        </is>
      </c>
      <c r="E15570" s="8" t="inlineStr">
        <is>
          <t>Pirates of the Caribbean</t>
        </is>
      </c>
      <c r="F15570" s="8" t="inlineStr">
        <is>
          <t>STANDBY</t>
        </is>
      </c>
      <c r="G15570" s="8" t="n">
        <v>15</v>
      </c>
      <c r="H15570" s="8" t="inlineStr">
        <is>
          <t>OPERATING</t>
        </is>
      </c>
    </row>
    <row r="15571">
      <c r="A15571" s="8" t="inlineStr">
        <is>
          <t>2026-08-03</t>
        </is>
      </c>
      <c r="B15571" s="8" t="n">
        <v>16</v>
      </c>
      <c r="C15571" s="8" t="n">
        <v>31</v>
      </c>
      <c r="D15571" s="8" t="inlineStr">
        <is>
          <t>Disneyland Park</t>
        </is>
      </c>
      <c r="E15571" s="8" t="inlineStr">
        <is>
          <t>Pirates' Beach</t>
        </is>
      </c>
      <c r="F15571" s="8" t="inlineStr">
        <is>
          <t>STANDBY</t>
        </is>
      </c>
      <c r="G15571" s="8" t="n">
        <v>0</v>
      </c>
      <c r="H15571" s="8" t="inlineStr">
        <is>
          <t>OPERATING</t>
        </is>
      </c>
    </row>
    <row r="15572">
      <c r="A15572" s="8" t="inlineStr">
        <is>
          <t>2026-08-03</t>
        </is>
      </c>
      <c r="B15572" s="8" t="n">
        <v>16</v>
      </c>
      <c r="C15572" s="8" t="n">
        <v>31</v>
      </c>
      <c r="D15572" s="8" t="inlineStr">
        <is>
          <t>Disneyland Park</t>
        </is>
      </c>
      <c r="E15572" s="8" t="inlineStr">
        <is>
          <t>Autopia, presented by Avis</t>
        </is>
      </c>
      <c r="F15572" s="8" t="inlineStr">
        <is>
          <t>STANDBY</t>
        </is>
      </c>
      <c r="G15572" s="8" t="n">
        <v>0</v>
      </c>
      <c r="H15572" s="8" t="inlineStr">
        <is>
          <t>CLOSED</t>
        </is>
      </c>
    </row>
    <row r="15573">
      <c r="A15573" s="8" t="inlineStr">
        <is>
          <t>2026-08-03</t>
        </is>
      </c>
      <c r="B15573" s="8" t="n">
        <v>16</v>
      </c>
      <c r="C15573" s="8" t="n">
        <v>31</v>
      </c>
      <c r="D15573" s="8" t="inlineStr">
        <is>
          <t>Disneyland Park</t>
        </is>
      </c>
      <c r="E15573" s="8" t="inlineStr">
        <is>
          <t>Buzz Lightyear Laser Blast</t>
        </is>
      </c>
      <c r="F15573" s="8" t="inlineStr">
        <is>
          <t>STANDBY</t>
        </is>
      </c>
      <c r="G15573" s="8" t="n">
        <v>45</v>
      </c>
      <c r="H15573" s="8" t="inlineStr">
        <is>
          <t>OPERATING</t>
        </is>
      </c>
    </row>
    <row r="15574">
      <c r="A15574" s="8" t="inlineStr">
        <is>
          <t>2026-08-03</t>
        </is>
      </c>
      <c r="B15574" s="8" t="n">
        <v>16</v>
      </c>
      <c r="C15574" s="8" t="n">
        <v>31</v>
      </c>
      <c r="D15574" s="8" t="inlineStr">
        <is>
          <t>Disneyland Park</t>
        </is>
      </c>
      <c r="E15574" s="8" t="inlineStr">
        <is>
          <t>Disneyland Railroad Discoveryland Station</t>
        </is>
      </c>
      <c r="F15574" s="8" t="inlineStr">
        <is>
          <t>STANDBY</t>
        </is>
      </c>
      <c r="G15574" s="8" t="n">
        <v>0</v>
      </c>
      <c r="H15574" s="8" t="inlineStr">
        <is>
          <t>CLOSED</t>
        </is>
      </c>
    </row>
    <row r="15575">
      <c r="A15575" s="8" t="inlineStr">
        <is>
          <t>2026-08-03</t>
        </is>
      </c>
      <c r="B15575" s="8" t="n">
        <v>16</v>
      </c>
      <c r="C15575" s="8" t="n">
        <v>31</v>
      </c>
      <c r="D15575" s="8" t="inlineStr">
        <is>
          <t>Disneyland Park</t>
        </is>
      </c>
      <c r="E15575" s="8" t="inlineStr">
        <is>
          <t>Les Mystères du Nautilus</t>
        </is>
      </c>
      <c r="F15575" s="8" t="inlineStr">
        <is>
          <t>STANDBY</t>
        </is>
      </c>
      <c r="G15575" s="8" t="n">
        <v>5</v>
      </c>
      <c r="H15575" s="8" t="inlineStr">
        <is>
          <t>OPERATING</t>
        </is>
      </c>
    </row>
    <row r="15576">
      <c r="A15576" s="8" t="inlineStr">
        <is>
          <t>2026-08-03</t>
        </is>
      </c>
      <c r="B15576" s="8" t="n">
        <v>16</v>
      </c>
      <c r="C15576" s="8" t="n">
        <v>31</v>
      </c>
      <c r="D15576" s="8" t="inlineStr">
        <is>
          <t>Disneyland Park</t>
        </is>
      </c>
      <c r="E15576" s="8" t="inlineStr">
        <is>
          <t>Mickey’s PhilharMagic</t>
        </is>
      </c>
      <c r="F15576" s="8" t="inlineStr">
        <is>
          <t>STANDBY</t>
        </is>
      </c>
      <c r="G15576" s="8" t="n">
        <v>0</v>
      </c>
      <c r="H15576" s="8" t="inlineStr">
        <is>
          <t>OPERATING</t>
        </is>
      </c>
    </row>
    <row r="15577">
      <c r="A15577" s="8" t="inlineStr">
        <is>
          <t>2026-08-03</t>
        </is>
      </c>
      <c r="B15577" s="8" t="n">
        <v>16</v>
      </c>
      <c r="C15577" s="8" t="n">
        <v>31</v>
      </c>
      <c r="D15577" s="8" t="inlineStr">
        <is>
          <t>Disneyland Park</t>
        </is>
      </c>
      <c r="E15577" s="8" t="inlineStr">
        <is>
          <t>Orbitron®</t>
        </is>
      </c>
      <c r="F15577" s="8" t="inlineStr">
        <is>
          <t>STANDBY</t>
        </is>
      </c>
      <c r="G15577" s="8" t="n">
        <v>0</v>
      </c>
      <c r="H15577" s="8" t="inlineStr">
        <is>
          <t>CLOSED</t>
        </is>
      </c>
    </row>
    <row r="15578">
      <c r="A15578" s="8" t="inlineStr">
        <is>
          <t>2026-08-03</t>
        </is>
      </c>
      <c r="B15578" s="8" t="n">
        <v>16</v>
      </c>
      <c r="C15578" s="8" t="n">
        <v>31</v>
      </c>
      <c r="D15578" s="8" t="inlineStr">
        <is>
          <t>Disneyland Park</t>
        </is>
      </c>
      <c r="E15578" s="8" t="inlineStr">
        <is>
          <t>Star Tours: The Adventures Continue*</t>
        </is>
      </c>
      <c r="F15578" s="8" t="inlineStr">
        <is>
          <t>STANDBY</t>
        </is>
      </c>
      <c r="G15578" s="8" t="n">
        <v>5</v>
      </c>
      <c r="H15578" s="8" t="inlineStr">
        <is>
          <t>OPERATING</t>
        </is>
      </c>
    </row>
    <row r="15579">
      <c r="A15579" s="8" t="inlineStr">
        <is>
          <t>2026-08-03</t>
        </is>
      </c>
      <c r="B15579" s="8" t="n">
        <v>16</v>
      </c>
      <c r="C15579" s="8" t="n">
        <v>31</v>
      </c>
      <c r="D15579" s="8" t="inlineStr">
        <is>
          <t>Disneyland Park</t>
        </is>
      </c>
      <c r="E15579" s="8" t="inlineStr">
        <is>
          <t>Star Wars Hyperspace Mountain</t>
        </is>
      </c>
      <c r="F15579" s="8" t="inlineStr">
        <is>
          <t>STANDBY</t>
        </is>
      </c>
      <c r="G15579" s="8" t="n">
        <v>25</v>
      </c>
      <c r="H15579" s="8" t="inlineStr">
        <is>
          <t>OPERATING</t>
        </is>
      </c>
    </row>
    <row r="15580">
      <c r="A15580" s="8" t="inlineStr">
        <is>
          <t>2026-08-03</t>
        </is>
      </c>
      <c r="B15580" s="8" t="n">
        <v>16</v>
      </c>
      <c r="C15580" s="8" t="n">
        <v>31</v>
      </c>
      <c r="D15580" s="8" t="inlineStr">
        <is>
          <t>Disneyland Park</t>
        </is>
      </c>
      <c r="E15580" s="8" t="inlineStr">
        <is>
          <t>Star Wars Hyperspace Mountain Single Rider</t>
        </is>
      </c>
      <c r="F15580" s="8" t="inlineStr">
        <is>
          <t>STANDBY</t>
        </is>
      </c>
      <c r="G15580" s="8" t="n">
        <v>20</v>
      </c>
      <c r="H15580" s="8" t="inlineStr">
        <is>
          <t>OPERATING</t>
        </is>
      </c>
    </row>
    <row r="15581">
      <c r="A15581" s="8" t="inlineStr">
        <is>
          <t>2026-08-03</t>
        </is>
      </c>
      <c r="B15581" s="8" t="n">
        <v>16</v>
      </c>
      <c r="C15581" s="8" t="n">
        <v>31</v>
      </c>
      <c r="D15581" s="8" t="inlineStr">
        <is>
          <t>Disneyland Park</t>
        </is>
      </c>
      <c r="E15581" s="8" t="inlineStr">
        <is>
          <t>Welcome to Starport: A Star Wars Encounter</t>
        </is>
      </c>
      <c r="F15581" s="8" t="inlineStr">
        <is>
          <t>STANDBY</t>
        </is>
      </c>
      <c r="G15581" s="8" t="n">
        <v>30</v>
      </c>
      <c r="H15581" s="8" t="inlineStr">
        <is>
          <t>OPERATING</t>
        </is>
      </c>
    </row>
    <row r="15582">
      <c r="A15582" s="8" t="inlineStr">
        <is>
          <t>2026-08-03</t>
        </is>
      </c>
      <c r="B15582" s="8" t="n">
        <v>16</v>
      </c>
      <c r="C15582" s="8" t="n">
        <v>31</v>
      </c>
      <c r="D15582" s="8" t="inlineStr">
        <is>
          <t>Disneyland Park</t>
        </is>
      </c>
      <c r="E15582" s="8" t="inlineStr">
        <is>
          <t>"it's a small world"</t>
        </is>
      </c>
      <c r="F15582" s="8" t="inlineStr">
        <is>
          <t>STANDBY</t>
        </is>
      </c>
      <c r="G15582" s="8" t="n">
        <v>5</v>
      </c>
      <c r="H15582" s="8" t="inlineStr">
        <is>
          <t>OPERATING</t>
        </is>
      </c>
    </row>
    <row r="15583">
      <c r="A15583" s="8" t="inlineStr">
        <is>
          <t>2026-08-03</t>
        </is>
      </c>
      <c r="B15583" s="8" t="n">
        <v>16</v>
      </c>
      <c r="C15583" s="8" t="n">
        <v>31</v>
      </c>
      <c r="D15583" s="8" t="inlineStr">
        <is>
          <t>Disneyland Park</t>
        </is>
      </c>
      <c r="E15583" s="8" t="inlineStr">
        <is>
          <t>Alice's Curious Labyrinth</t>
        </is>
      </c>
      <c r="F15583" s="8" t="inlineStr">
        <is>
          <t>STANDBY</t>
        </is>
      </c>
      <c r="G15583" s="8" t="n">
        <v>5</v>
      </c>
      <c r="H15583" s="8" t="inlineStr">
        <is>
          <t>OPERATING</t>
        </is>
      </c>
    </row>
    <row r="15584">
      <c r="A15584" s="8" t="inlineStr">
        <is>
          <t>2026-08-03</t>
        </is>
      </c>
      <c r="B15584" s="8" t="n">
        <v>16</v>
      </c>
      <c r="C15584" s="8" t="n">
        <v>31</v>
      </c>
      <c r="D15584" s="8" t="inlineStr">
        <is>
          <t>Disneyland Park</t>
        </is>
      </c>
      <c r="E15584" s="8" t="inlineStr">
        <is>
          <t>Blanche-Neige et les Sept Nains®</t>
        </is>
      </c>
      <c r="F15584" s="8" t="inlineStr">
        <is>
          <t>STANDBY</t>
        </is>
      </c>
      <c r="G15584" s="8" t="n">
        <v>30</v>
      </c>
      <c r="H15584" s="8" t="inlineStr">
        <is>
          <t>OPERATING</t>
        </is>
      </c>
    </row>
    <row r="15585">
      <c r="A15585" s="8" t="inlineStr">
        <is>
          <t>2026-08-03</t>
        </is>
      </c>
      <c r="B15585" s="8" t="n">
        <v>16</v>
      </c>
      <c r="C15585" s="8" t="n">
        <v>31</v>
      </c>
      <c r="D15585" s="8" t="inlineStr">
        <is>
          <t>Disneyland Park</t>
        </is>
      </c>
      <c r="E15585" s="8" t="inlineStr">
        <is>
          <t>Casey Jr. – le Petit Train du Cirque</t>
        </is>
      </c>
      <c r="F15585" s="8" t="inlineStr">
        <is>
          <t>STANDBY</t>
        </is>
      </c>
      <c r="G15585" s="8" t="n">
        <v>0</v>
      </c>
      <c r="H15585" s="8" t="inlineStr">
        <is>
          <t>CLOSED</t>
        </is>
      </c>
    </row>
    <row r="15586">
      <c r="A15586" s="8" t="inlineStr">
        <is>
          <t>2026-08-03</t>
        </is>
      </c>
      <c r="B15586" s="8" t="n">
        <v>16</v>
      </c>
      <c r="C15586" s="8" t="n">
        <v>31</v>
      </c>
      <c r="D15586" s="8" t="inlineStr">
        <is>
          <t>Disneyland Park</t>
        </is>
      </c>
      <c r="E15586" s="8" t="inlineStr">
        <is>
          <t>Disneyland Railroad Fantasyland Station</t>
        </is>
      </c>
      <c r="F15586" s="8" t="inlineStr">
        <is>
          <t>STANDBY</t>
        </is>
      </c>
      <c r="G15586" s="8" t="n">
        <v>0</v>
      </c>
      <c r="H15586" s="8" t="inlineStr">
        <is>
          <t>CLOSED</t>
        </is>
      </c>
    </row>
    <row r="15587">
      <c r="A15587" s="8" t="inlineStr">
        <is>
          <t>2026-08-03</t>
        </is>
      </c>
      <c r="B15587" s="8" t="n">
        <v>16</v>
      </c>
      <c r="C15587" s="8" t="n">
        <v>31</v>
      </c>
      <c r="D15587" s="8" t="inlineStr">
        <is>
          <t>Disneyland Park</t>
        </is>
      </c>
      <c r="E15587" s="8" t="inlineStr">
        <is>
          <t>Disneyland Railroad Main Street Station</t>
        </is>
      </c>
      <c r="F15587" s="8" t="inlineStr">
        <is>
          <t>STANDBY</t>
        </is>
      </c>
      <c r="G15587" s="8" t="n">
        <v>0</v>
      </c>
      <c r="H15587" s="8" t="inlineStr">
        <is>
          <t>CLOSED</t>
        </is>
      </c>
    </row>
    <row r="15588">
      <c r="A15588" s="8" t="inlineStr">
        <is>
          <t>2026-08-03</t>
        </is>
      </c>
      <c r="B15588" s="8" t="n">
        <v>16</v>
      </c>
      <c r="C15588" s="8" t="n">
        <v>31</v>
      </c>
      <c r="D15588" s="8" t="inlineStr">
        <is>
          <t>Disneyland Park</t>
        </is>
      </c>
      <c r="E15588" s="8" t="inlineStr">
        <is>
          <t>Dumbo the Flying Elephant</t>
        </is>
      </c>
      <c r="F15588" s="8" t="inlineStr">
        <is>
          <t>STANDBY</t>
        </is>
      </c>
      <c r="G15588" s="8" t="n">
        <v>0</v>
      </c>
      <c r="H15588" s="8" t="inlineStr">
        <is>
          <t>CLOSED</t>
        </is>
      </c>
    </row>
    <row r="15589">
      <c r="A15589" s="8" t="inlineStr">
        <is>
          <t>2026-08-03</t>
        </is>
      </c>
      <c r="B15589" s="8" t="n">
        <v>16</v>
      </c>
      <c r="C15589" s="8" t="n">
        <v>31</v>
      </c>
      <c r="D15589" s="8" t="inlineStr">
        <is>
          <t>Disneyland Park</t>
        </is>
      </c>
      <c r="E15589" s="8" t="inlineStr">
        <is>
          <t>La Tanière du Dragon</t>
        </is>
      </c>
      <c r="F15589" s="8" t="inlineStr">
        <is>
          <t>STANDBY</t>
        </is>
      </c>
      <c r="G15589" s="8" t="n">
        <v>0</v>
      </c>
      <c r="H15589" s="8" t="inlineStr">
        <is>
          <t>OPERATING</t>
        </is>
      </c>
    </row>
    <row r="15590">
      <c r="A15590" s="8" t="inlineStr">
        <is>
          <t>2026-08-03</t>
        </is>
      </c>
      <c r="B15590" s="8" t="n">
        <v>16</v>
      </c>
      <c r="C15590" s="8" t="n">
        <v>31</v>
      </c>
      <c r="D15590" s="8" t="inlineStr">
        <is>
          <t>Disneyland Park</t>
        </is>
      </c>
      <c r="E15590" s="8" t="inlineStr">
        <is>
          <t>Le Carrousel de Lancelot</t>
        </is>
      </c>
      <c r="F15590" s="8" t="inlineStr">
        <is>
          <t>STANDBY</t>
        </is>
      </c>
      <c r="G15590" s="8" t="n">
        <v>10</v>
      </c>
      <c r="H15590" s="8" t="inlineStr">
        <is>
          <t>OPERATING</t>
        </is>
      </c>
    </row>
    <row r="15591">
      <c r="A15591" s="8" t="inlineStr">
        <is>
          <t>2026-08-03</t>
        </is>
      </c>
      <c r="B15591" s="8" t="n">
        <v>16</v>
      </c>
      <c r="C15591" s="8" t="n">
        <v>31</v>
      </c>
      <c r="D15591" s="8" t="inlineStr">
        <is>
          <t>Disneyland Park</t>
        </is>
      </c>
      <c r="E15591" s="8" t="inlineStr">
        <is>
          <t>Le Pays des Contes de Fées, presented by Vittel</t>
        </is>
      </c>
      <c r="F15591" s="8" t="inlineStr">
        <is>
          <t>STANDBY</t>
        </is>
      </c>
      <c r="G15591" s="8" t="n">
        <v>0</v>
      </c>
      <c r="H15591" s="8" t="inlineStr">
        <is>
          <t>CLOSED</t>
        </is>
      </c>
    </row>
    <row r="15592">
      <c r="A15592" s="8" t="inlineStr">
        <is>
          <t>2026-08-03</t>
        </is>
      </c>
      <c r="B15592" s="8" t="n">
        <v>16</v>
      </c>
      <c r="C15592" s="8" t="n">
        <v>31</v>
      </c>
      <c r="D15592" s="8" t="inlineStr">
        <is>
          <t>Disneyland Park</t>
        </is>
      </c>
      <c r="E15592" s="8" t="inlineStr">
        <is>
          <t>Les Voyages de Pinocchio</t>
        </is>
      </c>
      <c r="F15592" s="8" t="inlineStr">
        <is>
          <t>STANDBY</t>
        </is>
      </c>
      <c r="G15592" s="8" t="n">
        <v>30</v>
      </c>
      <c r="H15592" s="8" t="inlineStr">
        <is>
          <t>OPERATING</t>
        </is>
      </c>
    </row>
    <row r="15593">
      <c r="A15593" s="8" t="inlineStr">
        <is>
          <t>2026-08-03</t>
        </is>
      </c>
      <c r="B15593" s="8" t="n">
        <v>16</v>
      </c>
      <c r="C15593" s="8" t="n">
        <v>31</v>
      </c>
      <c r="D15593" s="8" t="inlineStr">
        <is>
          <t>Disneyland Park</t>
        </is>
      </c>
      <c r="E15593" s="8" t="inlineStr">
        <is>
          <t>Mad Hatter's Tea Cups</t>
        </is>
      </c>
      <c r="F15593" s="8" t="inlineStr">
        <is>
          <t>STANDBY</t>
        </is>
      </c>
      <c r="G15593" s="8" t="n">
        <v>5</v>
      </c>
      <c r="H15593" s="8" t="inlineStr">
        <is>
          <t>OPERATING</t>
        </is>
      </c>
    </row>
    <row r="15594">
      <c r="A15594" s="8" t="inlineStr">
        <is>
          <t>2026-08-03</t>
        </is>
      </c>
      <c r="B15594" s="8" t="n">
        <v>16</v>
      </c>
      <c r="C15594" s="8" t="n">
        <v>31</v>
      </c>
      <c r="D15594" s="8" t="inlineStr">
        <is>
          <t>Disneyland Park</t>
        </is>
      </c>
      <c r="E15594" s="8" t="inlineStr">
        <is>
          <t>Meet Mickey Mouse</t>
        </is>
      </c>
      <c r="F15594" s="8" t="inlineStr">
        <is>
          <t>STANDBY</t>
        </is>
      </c>
      <c r="G15594" s="8" t="n">
        <v>0</v>
      </c>
      <c r="H15594" s="8" t="inlineStr">
        <is>
          <t>OPERATING</t>
        </is>
      </c>
    </row>
    <row r="15595">
      <c r="A15595" s="8" t="inlineStr">
        <is>
          <t>2026-08-03</t>
        </is>
      </c>
      <c r="B15595" s="8" t="n">
        <v>16</v>
      </c>
      <c r="C15595" s="8" t="n">
        <v>31</v>
      </c>
      <c r="D15595" s="8" t="inlineStr">
        <is>
          <t>Disneyland Park</t>
        </is>
      </c>
      <c r="E15595" s="8" t="inlineStr">
        <is>
          <t>Peter Pan's Flight</t>
        </is>
      </c>
      <c r="F15595" s="8" t="inlineStr">
        <is>
          <t>STANDBY</t>
        </is>
      </c>
      <c r="G15595" s="8" t="n">
        <v>80</v>
      </c>
      <c r="H15595" s="8" t="inlineStr">
        <is>
          <t>OPERATING</t>
        </is>
      </c>
    </row>
    <row r="15596">
      <c r="A15596" s="8" t="inlineStr">
        <is>
          <t>2026-08-03</t>
        </is>
      </c>
      <c r="B15596" s="8" t="n">
        <v>16</v>
      </c>
      <c r="C15596" s="8" t="n">
        <v>31</v>
      </c>
      <c r="D15596" s="8" t="inlineStr">
        <is>
          <t>Disneyland Park</t>
        </is>
      </c>
      <c r="E15596" s="8" t="inlineStr">
        <is>
          <t>Princess Pavilion</t>
        </is>
      </c>
      <c r="F15596" s="8" t="inlineStr">
        <is>
          <t>STANDBY</t>
        </is>
      </c>
      <c r="G15596" s="8" t="n">
        <v>0</v>
      </c>
      <c r="H15596" s="8" t="inlineStr">
        <is>
          <t>OPERATING</t>
        </is>
      </c>
    </row>
    <row r="15597">
      <c r="A15597" s="8" t="inlineStr">
        <is>
          <t>2026-08-03</t>
        </is>
      </c>
      <c r="B15597" s="8" t="n">
        <v>16</v>
      </c>
      <c r="C15597" s="8" t="n">
        <v>31</v>
      </c>
      <c r="D15597" s="8" t="inlineStr">
        <is>
          <t>Disneyland Park</t>
        </is>
      </c>
      <c r="E15597" s="8" t="inlineStr">
        <is>
          <t>Big Thunder Mountain</t>
        </is>
      </c>
      <c r="F15597" s="8" t="inlineStr">
        <is>
          <t>STANDBY</t>
        </is>
      </c>
      <c r="G15597" s="8" t="n">
        <v>50</v>
      </c>
      <c r="H15597" s="8" t="inlineStr">
        <is>
          <t>OPERATING</t>
        </is>
      </c>
    </row>
    <row r="15598">
      <c r="A15598" s="8" t="inlineStr">
        <is>
          <t>2026-08-03</t>
        </is>
      </c>
      <c r="B15598" s="8" t="n">
        <v>16</v>
      </c>
      <c r="C15598" s="8" t="n">
        <v>31</v>
      </c>
      <c r="D15598" s="8" t="inlineStr">
        <is>
          <t>Disneyland Park</t>
        </is>
      </c>
      <c r="E15598" s="8" t="inlineStr">
        <is>
          <t>Disneyland Railroad Frontierland Depot</t>
        </is>
      </c>
      <c r="F15598" s="8" t="inlineStr">
        <is>
          <t>STANDBY</t>
        </is>
      </c>
      <c r="G15598" s="8" t="n">
        <v>0</v>
      </c>
      <c r="H15598" s="8" t="inlineStr">
        <is>
          <t>CLOSED</t>
        </is>
      </c>
    </row>
    <row r="15599">
      <c r="A15599" s="8" t="inlineStr">
        <is>
          <t>2026-08-03</t>
        </is>
      </c>
      <c r="B15599" s="8" t="n">
        <v>16</v>
      </c>
      <c r="C15599" s="8" t="n">
        <v>31</v>
      </c>
      <c r="D15599" s="8" t="inlineStr">
        <is>
          <t>Disneyland Park</t>
        </is>
      </c>
      <c r="E15599" s="8" t="inlineStr">
        <is>
          <t>Frontierland Playground</t>
        </is>
      </c>
      <c r="F15599" s="8" t="inlineStr">
        <is>
          <t>STANDBY</t>
        </is>
      </c>
      <c r="G15599" s="8" t="n">
        <v>0</v>
      </c>
      <c r="H15599" s="8" t="inlineStr">
        <is>
          <t>CLOSED</t>
        </is>
      </c>
    </row>
    <row r="15600">
      <c r="A15600" s="8" t="inlineStr">
        <is>
          <t>2026-08-03</t>
        </is>
      </c>
      <c r="B15600" s="8" t="n">
        <v>16</v>
      </c>
      <c r="C15600" s="8" t="n">
        <v>31</v>
      </c>
      <c r="D15600" s="8" t="inlineStr">
        <is>
          <t>Disneyland Park</t>
        </is>
      </c>
      <c r="E15600" s="8" t="inlineStr">
        <is>
          <t>Phantom Manor</t>
        </is>
      </c>
      <c r="F15600" s="8" t="inlineStr">
        <is>
          <t>STANDBY</t>
        </is>
      </c>
      <c r="G15600" s="8" t="n">
        <v>20</v>
      </c>
      <c r="H15600" s="8" t="inlineStr">
        <is>
          <t>OPERATING</t>
        </is>
      </c>
    </row>
    <row r="15601">
      <c r="A15601" s="8" t="inlineStr">
        <is>
          <t>2026-08-03</t>
        </is>
      </c>
      <c r="B15601" s="8" t="n">
        <v>16</v>
      </c>
      <c r="C15601" s="8" t="n">
        <v>31</v>
      </c>
      <c r="D15601" s="8" t="inlineStr">
        <is>
          <t>Disneyland Park</t>
        </is>
      </c>
      <c r="E15601" s="8" t="inlineStr">
        <is>
          <t>River Rogue Keelboats</t>
        </is>
      </c>
      <c r="F15601" s="8" t="inlineStr">
        <is>
          <t>STANDBY</t>
        </is>
      </c>
      <c r="G15601" s="8" t="n">
        <v>0</v>
      </c>
      <c r="H15601" s="8" t="inlineStr">
        <is>
          <t>CLOSED</t>
        </is>
      </c>
    </row>
    <row r="15602">
      <c r="A15602" s="8" t="inlineStr">
        <is>
          <t>2026-08-03</t>
        </is>
      </c>
      <c r="B15602" s="8" t="n">
        <v>16</v>
      </c>
      <c r="C15602" s="8" t="n">
        <v>31</v>
      </c>
      <c r="D15602" s="8" t="inlineStr">
        <is>
          <t>Disneyland Park</t>
        </is>
      </c>
      <c r="E15602" s="8" t="inlineStr">
        <is>
          <t>Rustler Roundup Shootin' Gallery</t>
        </is>
      </c>
      <c r="F15602" s="8" t="inlineStr">
        <is>
          <t>STANDBY</t>
        </is>
      </c>
      <c r="G15602" s="8" t="n">
        <v>0</v>
      </c>
      <c r="H15602" s="8" t="inlineStr">
        <is>
          <t>OPERATING</t>
        </is>
      </c>
    </row>
    <row r="15603">
      <c r="A15603" s="8" t="inlineStr">
        <is>
          <t>2026-08-03</t>
        </is>
      </c>
      <c r="B15603" s="8" t="n">
        <v>16</v>
      </c>
      <c r="C15603" s="8" t="n">
        <v>31</v>
      </c>
      <c r="D15603" s="8" t="inlineStr">
        <is>
          <t>Disneyland Park</t>
        </is>
      </c>
      <c r="E15603" s="8" t="inlineStr">
        <is>
          <t>Thunder Mesa Riverboat Landing</t>
        </is>
      </c>
      <c r="F15603" s="8" t="inlineStr">
        <is>
          <t>STANDBY</t>
        </is>
      </c>
      <c r="G15603" s="8" t="n">
        <v>20</v>
      </c>
      <c r="H15603" s="8" t="inlineStr">
        <is>
          <t>OPERATING</t>
        </is>
      </c>
    </row>
    <row r="15604">
      <c r="A15604" s="8" t="inlineStr">
        <is>
          <t>2026-08-03</t>
        </is>
      </c>
      <c r="B15604" s="8" t="n">
        <v>16</v>
      </c>
      <c r="C15604" s="8" t="n">
        <v>31</v>
      </c>
      <c r="D15604" s="8" t="inlineStr">
        <is>
          <t>Disneyland Park</t>
        </is>
      </c>
      <c r="E15604" s="8" t="inlineStr">
        <is>
          <t>Disneyland Railroad Main Street Station</t>
        </is>
      </c>
      <c r="F15604" s="8" t="inlineStr">
        <is>
          <t>STANDBY</t>
        </is>
      </c>
      <c r="G15604" s="8" t="n">
        <v>0</v>
      </c>
      <c r="H15604" s="8" t="inlineStr">
        <is>
          <t>CLOSED</t>
        </is>
      </c>
    </row>
    <row r="15605">
      <c r="A15605" s="8" t="inlineStr">
        <is>
          <t>2026-08-03</t>
        </is>
      </c>
      <c r="B15605" s="8" t="n">
        <v>16</v>
      </c>
      <c r="C15605" s="8" t="n">
        <v>31</v>
      </c>
      <c r="D15605" s="8" t="inlineStr">
        <is>
          <t>Disneyland Park</t>
        </is>
      </c>
      <c r="E15605" s="8" t="inlineStr">
        <is>
          <t>Main Street Vehicles</t>
        </is>
      </c>
      <c r="F15605" s="8" t="inlineStr">
        <is>
          <t>STANDBY</t>
        </is>
      </c>
      <c r="G15605" s="8" t="n">
        <v>0</v>
      </c>
      <c r="H15605" s="8" t="inlineStr">
        <is>
          <t>CLOSED</t>
        </is>
      </c>
    </row>
    <row r="15606">
      <c r="A15606" s="8" t="inlineStr">
        <is>
          <t>2026-08-03</t>
        </is>
      </c>
      <c r="B15606" s="8" t="n">
        <v>16</v>
      </c>
      <c r="C15606" s="8" t="n">
        <v>31</v>
      </c>
      <c r="D15606" s="8" t="inlineStr">
        <is>
          <t>Disney Adventure World</t>
        </is>
      </c>
      <c r="E15606" s="8" t="inlineStr">
        <is>
          <t>Avengers Assemble: Flight Force</t>
        </is>
      </c>
      <c r="F15606" s="8" t="inlineStr">
        <is>
          <t>STANDBY</t>
        </is>
      </c>
      <c r="G15606" s="8" t="n">
        <v>0</v>
      </c>
      <c r="H15606" s="8" t="inlineStr">
        <is>
          <t>CLOSED</t>
        </is>
      </c>
    </row>
    <row r="15607">
      <c r="A15607" s="8" t="inlineStr">
        <is>
          <t>2026-08-03</t>
        </is>
      </c>
      <c r="B15607" s="8" t="n">
        <v>16</v>
      </c>
      <c r="C15607" s="8" t="n">
        <v>31</v>
      </c>
      <c r="D15607" s="8" t="inlineStr">
        <is>
          <t>Disney Adventure World</t>
        </is>
      </c>
      <c r="E15607" s="8" t="inlineStr">
        <is>
          <t>Avengers Assemble: Flight Force Single Rider</t>
        </is>
      </c>
      <c r="F15607" s="8" t="inlineStr">
        <is>
          <t>STANDBY</t>
        </is>
      </c>
      <c r="G15607" s="8" t="n">
        <v>0</v>
      </c>
      <c r="H15607" s="8" t="inlineStr">
        <is>
          <t>CLOSED</t>
        </is>
      </c>
    </row>
    <row r="15608">
      <c r="A15608" s="8" t="inlineStr">
        <is>
          <t>2026-08-03</t>
        </is>
      </c>
      <c r="B15608" s="8" t="n">
        <v>16</v>
      </c>
      <c r="C15608" s="8" t="n">
        <v>31</v>
      </c>
      <c r="D15608" s="8" t="inlineStr">
        <is>
          <t>Disney Adventure World</t>
        </is>
      </c>
      <c r="E15608" s="8" t="inlineStr">
        <is>
          <t>Spider-Man W.E.B. Adventure</t>
        </is>
      </c>
      <c r="F15608" s="8" t="inlineStr">
        <is>
          <t>STANDBY</t>
        </is>
      </c>
      <c r="G15608" s="8" t="n">
        <v>40</v>
      </c>
      <c r="H15608" s="8" t="inlineStr">
        <is>
          <t>OPERATING</t>
        </is>
      </c>
    </row>
    <row r="15609">
      <c r="A15609" s="8" t="inlineStr">
        <is>
          <t>2026-08-03</t>
        </is>
      </c>
      <c r="B15609" s="8" t="n">
        <v>16</v>
      </c>
      <c r="C15609" s="8" t="n">
        <v>31</v>
      </c>
      <c r="D15609" s="8" t="inlineStr">
        <is>
          <t>Disney Adventure World</t>
        </is>
      </c>
      <c r="E15609" s="8" t="inlineStr">
        <is>
          <t>Spider-Man W.E.B. Adventure Single Rider</t>
        </is>
      </c>
      <c r="F15609" s="8" t="inlineStr">
        <is>
          <t>STANDBY</t>
        </is>
      </c>
      <c r="G15609" s="8" t="n">
        <v>30</v>
      </c>
      <c r="H15609" s="8" t="inlineStr">
        <is>
          <t>OPERATING</t>
        </is>
      </c>
    </row>
    <row r="15610">
      <c r="A15610" s="8" t="inlineStr">
        <is>
          <t>2026-08-03</t>
        </is>
      </c>
      <c r="B15610" s="8" t="n">
        <v>16</v>
      </c>
      <c r="C15610" s="8" t="n">
        <v>31</v>
      </c>
      <c r="D15610" s="8" t="inlineStr">
        <is>
          <t>Disney Adventure World</t>
        </is>
      </c>
      <c r="E15610" s="8" t="inlineStr">
        <is>
          <t>The Twilight Zone Tower of Terror</t>
        </is>
      </c>
      <c r="F15610" s="8" t="inlineStr">
        <is>
          <t>STANDBY</t>
        </is>
      </c>
      <c r="G15610" s="8" t="n">
        <v>30</v>
      </c>
      <c r="H15610" s="8" t="inlineStr">
        <is>
          <t>OPERATING</t>
        </is>
      </c>
    </row>
    <row r="15611">
      <c r="A15611" s="8" t="inlineStr">
        <is>
          <t>2026-08-03</t>
        </is>
      </c>
      <c r="B15611" s="8" t="n">
        <v>16</v>
      </c>
      <c r="C15611" s="8" t="n">
        <v>31</v>
      </c>
      <c r="D15611" s="8" t="inlineStr">
        <is>
          <t>Disney Adventure World</t>
        </is>
      </c>
      <c r="E15611" s="8" t="inlineStr">
        <is>
          <t>Cars Quatre Roues Rallye</t>
        </is>
      </c>
      <c r="F15611" s="8" t="inlineStr">
        <is>
          <t>STANDBY</t>
        </is>
      </c>
      <c r="G15611" s="8" t="n">
        <v>10</v>
      </c>
      <c r="H15611" s="8" t="inlineStr">
        <is>
          <t>OPERATING</t>
        </is>
      </c>
    </row>
    <row r="15612">
      <c r="A15612" s="8" t="inlineStr">
        <is>
          <t>2026-08-03</t>
        </is>
      </c>
      <c r="B15612" s="8" t="n">
        <v>16</v>
      </c>
      <c r="C15612" s="8" t="n">
        <v>31</v>
      </c>
      <c r="D15612" s="8" t="inlineStr">
        <is>
          <t>Disney Adventure World</t>
        </is>
      </c>
      <c r="E15612" s="8" t="inlineStr">
        <is>
          <t>Cars ROAD TRIP</t>
        </is>
      </c>
      <c r="F15612" s="8" t="inlineStr">
        <is>
          <t>STANDBY</t>
        </is>
      </c>
      <c r="G15612" s="8" t="n">
        <v>15</v>
      </c>
      <c r="H15612" s="8" t="inlineStr">
        <is>
          <t>OPERATING</t>
        </is>
      </c>
    </row>
    <row r="15613">
      <c r="A15613" s="8" t="inlineStr">
        <is>
          <t>2026-08-03</t>
        </is>
      </c>
      <c r="B15613" s="8" t="n">
        <v>16</v>
      </c>
      <c r="C15613" s="8" t="n">
        <v>31</v>
      </c>
      <c r="D15613" s="8" t="inlineStr">
        <is>
          <t>Disney Adventure World</t>
        </is>
      </c>
      <c r="E15613" s="8" t="inlineStr">
        <is>
          <t>Crush's Coaster</t>
        </is>
      </c>
      <c r="F15613" s="8" t="inlineStr">
        <is>
          <t>STANDBY</t>
        </is>
      </c>
      <c r="G15613" s="8" t="n">
        <v>75</v>
      </c>
      <c r="H15613" s="8" t="inlineStr">
        <is>
          <t>OPERATING</t>
        </is>
      </c>
    </row>
    <row r="15614">
      <c r="A15614" s="8" t="inlineStr">
        <is>
          <t>2026-08-03</t>
        </is>
      </c>
      <c r="B15614" s="8" t="n">
        <v>16</v>
      </c>
      <c r="C15614" s="8" t="n">
        <v>31</v>
      </c>
      <c r="D15614" s="8" t="inlineStr">
        <is>
          <t>Disney Adventure World</t>
        </is>
      </c>
      <c r="E15614" s="8" t="inlineStr">
        <is>
          <t>Crush's Coaster Single Rider</t>
        </is>
      </c>
      <c r="F15614" s="8" t="inlineStr">
        <is>
          <t>STANDBY</t>
        </is>
      </c>
      <c r="G15614" s="8" t="n">
        <v>60</v>
      </c>
      <c r="H15614" s="8" t="inlineStr">
        <is>
          <t>OPERATING</t>
        </is>
      </c>
    </row>
    <row r="15615">
      <c r="A15615" s="8" t="inlineStr">
        <is>
          <t>2026-08-03</t>
        </is>
      </c>
      <c r="B15615" s="8" t="n">
        <v>16</v>
      </c>
      <c r="C15615" s="8" t="n">
        <v>31</v>
      </c>
      <c r="D15615" s="8" t="inlineStr">
        <is>
          <t>Disney Adventure World</t>
        </is>
      </c>
      <c r="E15615" s="8" t="inlineStr">
        <is>
          <t>Les Tapis Volants - Flying Carpets Over Agrabah®</t>
        </is>
      </c>
      <c r="F15615" s="8" t="inlineStr">
        <is>
          <t>STANDBY</t>
        </is>
      </c>
      <c r="G15615" s="8" t="n">
        <v>0</v>
      </c>
      <c r="H15615" s="8" t="inlineStr">
        <is>
          <t>CLOSED</t>
        </is>
      </c>
    </row>
    <row r="15616">
      <c r="A15616" s="8" t="inlineStr">
        <is>
          <t>2026-08-03</t>
        </is>
      </c>
      <c r="B15616" s="8" t="n">
        <v>16</v>
      </c>
      <c r="C15616" s="8" t="n">
        <v>31</v>
      </c>
      <c r="D15616" s="8" t="inlineStr">
        <is>
          <t>Disney Adventure World</t>
        </is>
      </c>
      <c r="E15616" s="8" t="inlineStr">
        <is>
          <t>Ratatouille : L’Aventure Totalement Toquée de Rémy​</t>
        </is>
      </c>
      <c r="F15616" s="8" t="inlineStr">
        <is>
          <t>STANDBY</t>
        </is>
      </c>
      <c r="G15616" s="8" t="n">
        <v>50</v>
      </c>
      <c r="H15616" s="8" t="inlineStr">
        <is>
          <t>OPERATING</t>
        </is>
      </c>
    </row>
    <row r="15617">
      <c r="A15617" s="8" t="inlineStr">
        <is>
          <t>2026-08-03</t>
        </is>
      </c>
      <c r="B15617" s="8" t="n">
        <v>16</v>
      </c>
      <c r="C15617" s="8" t="n">
        <v>31</v>
      </c>
      <c r="D15617" s="8" t="inlineStr">
        <is>
          <t>Disney Adventure World</t>
        </is>
      </c>
      <c r="E15617" s="8" t="inlineStr">
        <is>
          <t>Ratatouille: The Adventure Single Rider</t>
        </is>
      </c>
      <c r="F15617" s="8" t="inlineStr">
        <is>
          <t>STANDBY</t>
        </is>
      </c>
      <c r="G15617" s="8" t="n">
        <v>15</v>
      </c>
      <c r="H15617" s="8" t="inlineStr">
        <is>
          <t>OPERATING</t>
        </is>
      </c>
    </row>
    <row r="15618">
      <c r="A15618" s="8" t="inlineStr">
        <is>
          <t>2026-08-03</t>
        </is>
      </c>
      <c r="B15618" s="8" t="n">
        <v>16</v>
      </c>
      <c r="C15618" s="8" t="n">
        <v>31</v>
      </c>
      <c r="D15618" s="8" t="inlineStr">
        <is>
          <t>Disney Adventure World</t>
        </is>
      </c>
      <c r="E15618" s="8" t="inlineStr">
        <is>
          <t>RC Racer</t>
        </is>
      </c>
      <c r="F15618" s="8" t="inlineStr">
        <is>
          <t>STANDBY</t>
        </is>
      </c>
      <c r="G15618" s="8" t="n">
        <v>35</v>
      </c>
      <c r="H15618" s="8" t="inlineStr">
        <is>
          <t>OPERATING</t>
        </is>
      </c>
    </row>
    <row r="15619">
      <c r="A15619" s="8" t="inlineStr">
        <is>
          <t>2026-08-03</t>
        </is>
      </c>
      <c r="B15619" s="8" t="n">
        <v>16</v>
      </c>
      <c r="C15619" s="8" t="n">
        <v>31</v>
      </c>
      <c r="D15619" s="8" t="inlineStr">
        <is>
          <t>Disney Adventure World</t>
        </is>
      </c>
      <c r="E15619" s="8" t="inlineStr">
        <is>
          <t>RC Racer Single Rider</t>
        </is>
      </c>
      <c r="F15619" s="8" t="inlineStr">
        <is>
          <t>STANDBY</t>
        </is>
      </c>
      <c r="G15619" s="8" t="n">
        <v>30</v>
      </c>
      <c r="H15619" s="8" t="inlineStr">
        <is>
          <t>OPERATING</t>
        </is>
      </c>
    </row>
    <row r="15620">
      <c r="A15620" s="8" t="inlineStr">
        <is>
          <t>2026-08-03</t>
        </is>
      </c>
      <c r="B15620" s="8" t="n">
        <v>16</v>
      </c>
      <c r="C15620" s="8" t="n">
        <v>31</v>
      </c>
      <c r="D15620" s="8" t="inlineStr">
        <is>
          <t>Disney Adventure World</t>
        </is>
      </c>
      <c r="E15620" s="8" t="inlineStr">
        <is>
          <t>Slinky® Dog Zigzag Spin</t>
        </is>
      </c>
      <c r="F15620" s="8" t="inlineStr">
        <is>
          <t>STANDBY</t>
        </is>
      </c>
      <c r="G15620" s="8" t="n">
        <v>0</v>
      </c>
      <c r="H15620" s="8" t="inlineStr">
        <is>
          <t>CLOSED</t>
        </is>
      </c>
    </row>
    <row r="15621">
      <c r="A15621" s="8" t="inlineStr">
        <is>
          <t>2026-08-03</t>
        </is>
      </c>
      <c r="B15621" s="8" t="n">
        <v>16</v>
      </c>
      <c r="C15621" s="8" t="n">
        <v>31</v>
      </c>
      <c r="D15621" s="8" t="inlineStr">
        <is>
          <t>Disney Adventure World</t>
        </is>
      </c>
      <c r="E15621" s="8" t="inlineStr">
        <is>
          <t>Toy Soldiers Parachute Drop</t>
        </is>
      </c>
      <c r="F15621" s="8" t="inlineStr">
        <is>
          <t>STANDBY</t>
        </is>
      </c>
      <c r="G15621" s="8" t="n">
        <v>35</v>
      </c>
      <c r="H15621" s="8" t="inlineStr">
        <is>
          <t>OPERATING</t>
        </is>
      </c>
    </row>
    <row r="15622">
      <c r="A15622" s="8" t="inlineStr">
        <is>
          <t>2026-08-03</t>
        </is>
      </c>
      <c r="B15622" s="8" t="n">
        <v>16</v>
      </c>
      <c r="C15622" s="8" t="n">
        <v>31</v>
      </c>
      <c r="D15622" s="8" t="inlineStr">
        <is>
          <t>Disney Adventure World</t>
        </is>
      </c>
      <c r="E15622" s="8" t="inlineStr">
        <is>
          <t>Toy Soldiers Parachute Drop Single Rider</t>
        </is>
      </c>
      <c r="F15622" s="8" t="inlineStr">
        <is>
          <t>STANDBY</t>
        </is>
      </c>
      <c r="G15622" s="8" t="n">
        <v>15</v>
      </c>
      <c r="H15622" s="8" t="inlineStr">
        <is>
          <t>OPERATING</t>
        </is>
      </c>
    </row>
    <row r="15623">
      <c r="A15623" s="8" t="inlineStr">
        <is>
          <t>2026-08-03</t>
        </is>
      </c>
      <c r="B15623" s="8" t="n">
        <v>16</v>
      </c>
      <c r="C15623" s="8" t="n">
        <v>31</v>
      </c>
      <c r="D15623" s="8" t="inlineStr">
        <is>
          <t>Disney Adventure World</t>
        </is>
      </c>
      <c r="E15623" s="8" t="inlineStr">
        <is>
          <t>Entry to World of Frozen</t>
        </is>
      </c>
      <c r="F15623" s="8" t="inlineStr">
        <is>
          <t>STANDBY</t>
        </is>
      </c>
      <c r="G15623" s="8" t="n">
        <v>0</v>
      </c>
      <c r="H15623" s="8" t="inlineStr">
        <is>
          <t>OPERATING</t>
        </is>
      </c>
    </row>
    <row r="15624">
      <c r="A15624" s="8" t="inlineStr">
        <is>
          <t>2026-08-03</t>
        </is>
      </c>
      <c r="B15624" s="8" t="n">
        <v>16</v>
      </c>
      <c r="C15624" s="8" t="n">
        <v>31</v>
      </c>
      <c r="D15624" s="8" t="inlineStr">
        <is>
          <t>Disney Adventure World</t>
        </is>
      </c>
      <c r="E15624" s="8" t="inlineStr">
        <is>
          <t>Frozen Ever After</t>
        </is>
      </c>
      <c r="F15624" s="8" t="inlineStr">
        <is>
          <t>STANDBY</t>
        </is>
      </c>
      <c r="G15624" s="8" t="n">
        <v>50</v>
      </c>
      <c r="H15624" s="8" t="inlineStr">
        <is>
          <t>OPERATING</t>
        </is>
      </c>
    </row>
    <row r="15625">
      <c r="A15625" s="8" t="inlineStr">
        <is>
          <t>2026-08-03</t>
        </is>
      </c>
      <c r="B15625" s="8" t="n">
        <v>16</v>
      </c>
      <c r="C15625" s="8" t="n">
        <v>31</v>
      </c>
      <c r="D15625" s="8" t="inlineStr">
        <is>
          <t>Disney Adventure World</t>
        </is>
      </c>
      <c r="E15625" s="8" t="inlineStr">
        <is>
          <t>Raiponce Tangled Spin</t>
        </is>
      </c>
      <c r="F15625" s="8" t="inlineStr">
        <is>
          <t>STANDBY</t>
        </is>
      </c>
      <c r="G15625" s="8" t="n">
        <v>5</v>
      </c>
      <c r="H15625" s="8" t="inlineStr">
        <is>
          <t>OPERATING</t>
        </is>
      </c>
    </row>
    <row r="15626">
      <c r="A15626" s="8" t="inlineStr">
        <is>
          <t>2026-08-03</t>
        </is>
      </c>
      <c r="B15626" s="8" t="n">
        <v>16</v>
      </c>
      <c r="C15626" s="8" t="n">
        <v>45</v>
      </c>
      <c r="D15626" s="8" t="inlineStr">
        <is>
          <t>Disneyland Park</t>
        </is>
      </c>
      <c r="E15626" s="8" t="inlineStr">
        <is>
          <t>Adventure Isle</t>
        </is>
      </c>
      <c r="F15626" s="8" t="inlineStr">
        <is>
          <t>STANDBY</t>
        </is>
      </c>
      <c r="G15626" s="8" t="n">
        <v>0</v>
      </c>
      <c r="H15626" s="8" t="inlineStr">
        <is>
          <t>OPERATING</t>
        </is>
      </c>
    </row>
    <row r="15627">
      <c r="A15627" s="8" t="inlineStr">
        <is>
          <t>2026-08-03</t>
        </is>
      </c>
      <c r="B15627" s="8" t="n">
        <v>16</v>
      </c>
      <c r="C15627" s="8" t="n">
        <v>45</v>
      </c>
      <c r="D15627" s="8" t="inlineStr">
        <is>
          <t>Disneyland Park</t>
        </is>
      </c>
      <c r="E15627" s="8" t="inlineStr">
        <is>
          <t>Indiana Jones and the Temple of Peril Single Rider</t>
        </is>
      </c>
      <c r="F15627" s="8" t="inlineStr">
        <is>
          <t>STANDBY</t>
        </is>
      </c>
      <c r="G15627" s="8" t="n">
        <v>15</v>
      </c>
      <c r="H15627" s="8" t="inlineStr">
        <is>
          <t>OPERATING</t>
        </is>
      </c>
    </row>
    <row r="15628">
      <c r="A15628" s="8" t="inlineStr">
        <is>
          <t>2026-08-03</t>
        </is>
      </c>
      <c r="B15628" s="8" t="n">
        <v>16</v>
      </c>
      <c r="C15628" s="8" t="n">
        <v>45</v>
      </c>
      <c r="D15628" s="8" t="inlineStr">
        <is>
          <t>Disneyland Park</t>
        </is>
      </c>
      <c r="E15628" s="8" t="inlineStr">
        <is>
          <t>Indiana Jones™ and the Temple of Peril</t>
        </is>
      </c>
      <c r="F15628" s="8" t="inlineStr">
        <is>
          <t>STANDBY</t>
        </is>
      </c>
      <c r="G15628" s="8" t="n">
        <v>30</v>
      </c>
      <c r="H15628" s="8" t="inlineStr">
        <is>
          <t>OPERATING</t>
        </is>
      </c>
    </row>
    <row r="15629">
      <c r="A15629" s="8" t="inlineStr">
        <is>
          <t>2026-08-03</t>
        </is>
      </c>
      <c r="B15629" s="8" t="n">
        <v>16</v>
      </c>
      <c r="C15629" s="8" t="n">
        <v>45</v>
      </c>
      <c r="D15629" s="8" t="inlineStr">
        <is>
          <t>Disneyland Park</t>
        </is>
      </c>
      <c r="E15629" s="8" t="inlineStr">
        <is>
          <t>La Cabane des Robinson</t>
        </is>
      </c>
      <c r="F15629" s="8" t="inlineStr">
        <is>
          <t>STANDBY</t>
        </is>
      </c>
      <c r="G15629" s="8" t="n">
        <v>5</v>
      </c>
      <c r="H15629" s="8" t="inlineStr">
        <is>
          <t>OPERATING</t>
        </is>
      </c>
    </row>
    <row r="15630">
      <c r="A15630" s="8" t="inlineStr">
        <is>
          <t>2026-08-03</t>
        </is>
      </c>
      <c r="B15630" s="8" t="n">
        <v>16</v>
      </c>
      <c r="C15630" s="8" t="n">
        <v>45</v>
      </c>
      <c r="D15630" s="8" t="inlineStr">
        <is>
          <t>Disneyland Park</t>
        </is>
      </c>
      <c r="E15630" s="8" t="inlineStr">
        <is>
          <t>Le Passage Enchanté d'Aladdin</t>
        </is>
      </c>
      <c r="F15630" s="8" t="inlineStr">
        <is>
          <t>STANDBY</t>
        </is>
      </c>
      <c r="G15630" s="8" t="n">
        <v>0</v>
      </c>
      <c r="H15630" s="8" t="inlineStr">
        <is>
          <t>OPERATING</t>
        </is>
      </c>
    </row>
    <row r="15631">
      <c r="A15631" s="8" t="inlineStr">
        <is>
          <t>2026-08-03</t>
        </is>
      </c>
      <c r="B15631" s="8" t="n">
        <v>16</v>
      </c>
      <c r="C15631" s="8" t="n">
        <v>45</v>
      </c>
      <c r="D15631" s="8" t="inlineStr">
        <is>
          <t>Disneyland Park</t>
        </is>
      </c>
      <c r="E15631" s="8" t="inlineStr">
        <is>
          <t>Pirate Galleon</t>
        </is>
      </c>
      <c r="F15631" s="8" t="inlineStr">
        <is>
          <t>STANDBY</t>
        </is>
      </c>
      <c r="G15631" s="8" t="n">
        <v>0</v>
      </c>
      <c r="H15631" s="8" t="inlineStr">
        <is>
          <t>CLOSED</t>
        </is>
      </c>
    </row>
    <row r="15632">
      <c r="A15632" s="8" t="inlineStr">
        <is>
          <t>2026-08-03</t>
        </is>
      </c>
      <c r="B15632" s="8" t="n">
        <v>16</v>
      </c>
      <c r="C15632" s="8" t="n">
        <v>45</v>
      </c>
      <c r="D15632" s="8" t="inlineStr">
        <is>
          <t>Disneyland Park</t>
        </is>
      </c>
      <c r="E15632" s="8" t="inlineStr">
        <is>
          <t>Pirates of the Caribbean</t>
        </is>
      </c>
      <c r="F15632" s="8" t="inlineStr">
        <is>
          <t>STANDBY</t>
        </is>
      </c>
      <c r="G15632" s="8" t="n">
        <v>20</v>
      </c>
      <c r="H15632" s="8" t="inlineStr">
        <is>
          <t>OPERATING</t>
        </is>
      </c>
    </row>
    <row r="15633">
      <c r="A15633" s="8" t="inlineStr">
        <is>
          <t>2026-08-03</t>
        </is>
      </c>
      <c r="B15633" s="8" t="n">
        <v>16</v>
      </c>
      <c r="C15633" s="8" t="n">
        <v>45</v>
      </c>
      <c r="D15633" s="8" t="inlineStr">
        <is>
          <t>Disneyland Park</t>
        </is>
      </c>
      <c r="E15633" s="8" t="inlineStr">
        <is>
          <t>Pirates' Beach</t>
        </is>
      </c>
      <c r="F15633" s="8" t="inlineStr">
        <is>
          <t>STANDBY</t>
        </is>
      </c>
      <c r="G15633" s="8" t="n">
        <v>0</v>
      </c>
      <c r="H15633" s="8" t="inlineStr">
        <is>
          <t>OPERATING</t>
        </is>
      </c>
    </row>
    <row r="15634">
      <c r="A15634" s="8" t="inlineStr">
        <is>
          <t>2026-08-03</t>
        </is>
      </c>
      <c r="B15634" s="8" t="n">
        <v>16</v>
      </c>
      <c r="C15634" s="8" t="n">
        <v>45</v>
      </c>
      <c r="D15634" s="8" t="inlineStr">
        <is>
          <t>Disneyland Park</t>
        </is>
      </c>
      <c r="E15634" s="8" t="inlineStr">
        <is>
          <t>Autopia, presented by Avis</t>
        </is>
      </c>
      <c r="F15634" s="8" t="inlineStr">
        <is>
          <t>STANDBY</t>
        </is>
      </c>
      <c r="G15634" s="8" t="n">
        <v>0</v>
      </c>
      <c r="H15634" s="8" t="inlineStr">
        <is>
          <t>CLOSED</t>
        </is>
      </c>
    </row>
    <row r="15635">
      <c r="A15635" s="8" t="inlineStr">
        <is>
          <t>2026-08-03</t>
        </is>
      </c>
      <c r="B15635" s="8" t="n">
        <v>16</v>
      </c>
      <c r="C15635" s="8" t="n">
        <v>45</v>
      </c>
      <c r="D15635" s="8" t="inlineStr">
        <is>
          <t>Disneyland Park</t>
        </is>
      </c>
      <c r="E15635" s="8" t="inlineStr">
        <is>
          <t>Buzz Lightyear Laser Blast</t>
        </is>
      </c>
      <c r="F15635" s="8" t="inlineStr">
        <is>
          <t>STANDBY</t>
        </is>
      </c>
      <c r="G15635" s="8" t="n">
        <v>0</v>
      </c>
      <c r="H15635" s="8" t="inlineStr">
        <is>
          <t>CLOSED</t>
        </is>
      </c>
    </row>
    <row r="15636">
      <c r="A15636" s="8" t="inlineStr">
        <is>
          <t>2026-08-03</t>
        </is>
      </c>
      <c r="B15636" s="8" t="n">
        <v>16</v>
      </c>
      <c r="C15636" s="8" t="n">
        <v>45</v>
      </c>
      <c r="D15636" s="8" t="inlineStr">
        <is>
          <t>Disneyland Park</t>
        </is>
      </c>
      <c r="E15636" s="8" t="inlineStr">
        <is>
          <t>Disneyland Railroad Discoveryland Station</t>
        </is>
      </c>
      <c r="F15636" s="8" t="inlineStr">
        <is>
          <t>STANDBY</t>
        </is>
      </c>
      <c r="G15636" s="8" t="n">
        <v>0</v>
      </c>
      <c r="H15636" s="8" t="inlineStr">
        <is>
          <t>CLOSED</t>
        </is>
      </c>
    </row>
    <row r="15637">
      <c r="A15637" s="8" t="inlineStr">
        <is>
          <t>2026-08-03</t>
        </is>
      </c>
      <c r="B15637" s="8" t="n">
        <v>16</v>
      </c>
      <c r="C15637" s="8" t="n">
        <v>45</v>
      </c>
      <c r="D15637" s="8" t="inlineStr">
        <is>
          <t>Disneyland Park</t>
        </is>
      </c>
      <c r="E15637" s="8" t="inlineStr">
        <is>
          <t>Les Mystères du Nautilus</t>
        </is>
      </c>
      <c r="F15637" s="8" t="inlineStr">
        <is>
          <t>STANDBY</t>
        </is>
      </c>
      <c r="G15637" s="8" t="n">
        <v>5</v>
      </c>
      <c r="H15637" s="8" t="inlineStr">
        <is>
          <t>OPERATING</t>
        </is>
      </c>
    </row>
    <row r="15638">
      <c r="A15638" s="8" t="inlineStr">
        <is>
          <t>2026-08-03</t>
        </is>
      </c>
      <c r="B15638" s="8" t="n">
        <v>16</v>
      </c>
      <c r="C15638" s="8" t="n">
        <v>45</v>
      </c>
      <c r="D15638" s="8" t="inlineStr">
        <is>
          <t>Disneyland Park</t>
        </is>
      </c>
      <c r="E15638" s="8" t="inlineStr">
        <is>
          <t>Mickey’s PhilharMagic</t>
        </is>
      </c>
      <c r="F15638" s="8" t="inlineStr">
        <is>
          <t>STANDBY</t>
        </is>
      </c>
      <c r="G15638" s="8" t="n">
        <v>0</v>
      </c>
      <c r="H15638" s="8" t="inlineStr">
        <is>
          <t>OPERATING</t>
        </is>
      </c>
    </row>
    <row r="15639">
      <c r="A15639" s="8" t="inlineStr">
        <is>
          <t>2026-08-03</t>
        </is>
      </c>
      <c r="B15639" s="8" t="n">
        <v>16</v>
      </c>
      <c r="C15639" s="8" t="n">
        <v>45</v>
      </c>
      <c r="D15639" s="8" t="inlineStr">
        <is>
          <t>Disneyland Park</t>
        </is>
      </c>
      <c r="E15639" s="8" t="inlineStr">
        <is>
          <t>Orbitron®</t>
        </is>
      </c>
      <c r="F15639" s="8" t="inlineStr">
        <is>
          <t>STANDBY</t>
        </is>
      </c>
      <c r="G15639" s="8" t="n">
        <v>0</v>
      </c>
      <c r="H15639" s="8" t="inlineStr">
        <is>
          <t>CLOSED</t>
        </is>
      </c>
    </row>
    <row r="15640">
      <c r="A15640" s="8" t="inlineStr">
        <is>
          <t>2026-08-03</t>
        </is>
      </c>
      <c r="B15640" s="8" t="n">
        <v>16</v>
      </c>
      <c r="C15640" s="8" t="n">
        <v>45</v>
      </c>
      <c r="D15640" s="8" t="inlineStr">
        <is>
          <t>Disneyland Park</t>
        </is>
      </c>
      <c r="E15640" s="8" t="inlineStr">
        <is>
          <t>Star Tours: The Adventures Continue*</t>
        </is>
      </c>
      <c r="F15640" s="8" t="inlineStr">
        <is>
          <t>STANDBY</t>
        </is>
      </c>
      <c r="G15640" s="8" t="n">
        <v>10</v>
      </c>
      <c r="H15640" s="8" t="inlineStr">
        <is>
          <t>OPERATING</t>
        </is>
      </c>
    </row>
    <row r="15641">
      <c r="A15641" s="8" t="inlineStr">
        <is>
          <t>2026-08-03</t>
        </is>
      </c>
      <c r="B15641" s="8" t="n">
        <v>16</v>
      </c>
      <c r="C15641" s="8" t="n">
        <v>45</v>
      </c>
      <c r="D15641" s="8" t="inlineStr">
        <is>
          <t>Disneyland Park</t>
        </is>
      </c>
      <c r="E15641" s="8" t="inlineStr">
        <is>
          <t>Star Wars Hyperspace Mountain</t>
        </is>
      </c>
      <c r="F15641" s="8" t="inlineStr">
        <is>
          <t>STANDBY</t>
        </is>
      </c>
      <c r="G15641" s="8" t="n">
        <v>35</v>
      </c>
      <c r="H15641" s="8" t="inlineStr">
        <is>
          <t>OPERATING</t>
        </is>
      </c>
    </row>
    <row r="15642">
      <c r="A15642" s="8" t="inlineStr">
        <is>
          <t>2026-08-03</t>
        </is>
      </c>
      <c r="B15642" s="8" t="n">
        <v>16</v>
      </c>
      <c r="C15642" s="8" t="n">
        <v>45</v>
      </c>
      <c r="D15642" s="8" t="inlineStr">
        <is>
          <t>Disneyland Park</t>
        </is>
      </c>
      <c r="E15642" s="8" t="inlineStr">
        <is>
          <t>Star Wars Hyperspace Mountain Single Rider</t>
        </is>
      </c>
      <c r="F15642" s="8" t="inlineStr">
        <is>
          <t>STANDBY</t>
        </is>
      </c>
      <c r="G15642" s="8" t="n">
        <v>30</v>
      </c>
      <c r="H15642" s="8" t="inlineStr">
        <is>
          <t>OPERATING</t>
        </is>
      </c>
    </row>
    <row r="15643">
      <c r="A15643" s="8" t="inlineStr">
        <is>
          <t>2026-08-03</t>
        </is>
      </c>
      <c r="B15643" s="8" t="n">
        <v>16</v>
      </c>
      <c r="C15643" s="8" t="n">
        <v>45</v>
      </c>
      <c r="D15643" s="8" t="inlineStr">
        <is>
          <t>Disneyland Park</t>
        </is>
      </c>
      <c r="E15643" s="8" t="inlineStr">
        <is>
          <t>Welcome to Starport: A Star Wars Encounter</t>
        </is>
      </c>
      <c r="F15643" s="8" t="inlineStr">
        <is>
          <t>STANDBY</t>
        </is>
      </c>
      <c r="G15643" s="8" t="n">
        <v>30</v>
      </c>
      <c r="H15643" s="8" t="inlineStr">
        <is>
          <t>OPERATING</t>
        </is>
      </c>
    </row>
    <row r="15644">
      <c r="A15644" s="8" t="inlineStr">
        <is>
          <t>2026-08-03</t>
        </is>
      </c>
      <c r="B15644" s="8" t="n">
        <v>16</v>
      </c>
      <c r="C15644" s="8" t="n">
        <v>45</v>
      </c>
      <c r="D15644" s="8" t="inlineStr">
        <is>
          <t>Disneyland Park</t>
        </is>
      </c>
      <c r="E15644" s="8" t="inlineStr">
        <is>
          <t>"it's a small world"</t>
        </is>
      </c>
      <c r="F15644" s="8" t="inlineStr">
        <is>
          <t>STANDBY</t>
        </is>
      </c>
      <c r="G15644" s="8" t="n">
        <v>5</v>
      </c>
      <c r="H15644" s="8" t="inlineStr">
        <is>
          <t>OPERATING</t>
        </is>
      </c>
    </row>
    <row r="15645">
      <c r="A15645" s="8" t="inlineStr">
        <is>
          <t>2026-08-03</t>
        </is>
      </c>
      <c r="B15645" s="8" t="n">
        <v>16</v>
      </c>
      <c r="C15645" s="8" t="n">
        <v>45</v>
      </c>
      <c r="D15645" s="8" t="inlineStr">
        <is>
          <t>Disneyland Park</t>
        </is>
      </c>
      <c r="E15645" s="8" t="inlineStr">
        <is>
          <t>Alice's Curious Labyrinth</t>
        </is>
      </c>
      <c r="F15645" s="8" t="inlineStr">
        <is>
          <t>STANDBY</t>
        </is>
      </c>
      <c r="G15645" s="8" t="n">
        <v>5</v>
      </c>
      <c r="H15645" s="8" t="inlineStr">
        <is>
          <t>OPERATING</t>
        </is>
      </c>
    </row>
    <row r="15646">
      <c r="A15646" s="8" t="inlineStr">
        <is>
          <t>2026-08-03</t>
        </is>
      </c>
      <c r="B15646" s="8" t="n">
        <v>16</v>
      </c>
      <c r="C15646" s="8" t="n">
        <v>45</v>
      </c>
      <c r="D15646" s="8" t="inlineStr">
        <is>
          <t>Disneyland Park</t>
        </is>
      </c>
      <c r="E15646" s="8" t="inlineStr">
        <is>
          <t>Blanche-Neige et les Sept Nains®</t>
        </is>
      </c>
      <c r="F15646" s="8" t="inlineStr">
        <is>
          <t>STANDBY</t>
        </is>
      </c>
      <c r="G15646" s="8" t="n">
        <v>30</v>
      </c>
      <c r="H15646" s="8" t="inlineStr">
        <is>
          <t>OPERATING</t>
        </is>
      </c>
    </row>
    <row r="15647">
      <c r="A15647" s="8" t="inlineStr">
        <is>
          <t>2026-08-03</t>
        </is>
      </c>
      <c r="B15647" s="8" t="n">
        <v>16</v>
      </c>
      <c r="C15647" s="8" t="n">
        <v>45</v>
      </c>
      <c r="D15647" s="8" t="inlineStr">
        <is>
          <t>Disneyland Park</t>
        </is>
      </c>
      <c r="E15647" s="8" t="inlineStr">
        <is>
          <t>Casey Jr. – le Petit Train du Cirque</t>
        </is>
      </c>
      <c r="F15647" s="8" t="inlineStr">
        <is>
          <t>STANDBY</t>
        </is>
      </c>
      <c r="G15647" s="8" t="n">
        <v>0</v>
      </c>
      <c r="H15647" s="8" t="inlineStr">
        <is>
          <t>CLOSED</t>
        </is>
      </c>
    </row>
    <row r="15648">
      <c r="A15648" s="8" t="inlineStr">
        <is>
          <t>2026-08-03</t>
        </is>
      </c>
      <c r="B15648" s="8" t="n">
        <v>16</v>
      </c>
      <c r="C15648" s="8" t="n">
        <v>45</v>
      </c>
      <c r="D15648" s="8" t="inlineStr">
        <is>
          <t>Disneyland Park</t>
        </is>
      </c>
      <c r="E15648" s="8" t="inlineStr">
        <is>
          <t>Disneyland Railroad Fantasyland Station</t>
        </is>
      </c>
      <c r="F15648" s="8" t="inlineStr">
        <is>
          <t>STANDBY</t>
        </is>
      </c>
      <c r="G15648" s="8" t="n">
        <v>0</v>
      </c>
      <c r="H15648" s="8" t="inlineStr">
        <is>
          <t>CLOSED</t>
        </is>
      </c>
    </row>
    <row r="15649">
      <c r="A15649" s="8" t="inlineStr">
        <is>
          <t>2026-08-03</t>
        </is>
      </c>
      <c r="B15649" s="8" t="n">
        <v>16</v>
      </c>
      <c r="C15649" s="8" t="n">
        <v>45</v>
      </c>
      <c r="D15649" s="8" t="inlineStr">
        <is>
          <t>Disneyland Park</t>
        </is>
      </c>
      <c r="E15649" s="8" t="inlineStr">
        <is>
          <t>Disneyland Railroad Main Street Station</t>
        </is>
      </c>
      <c r="F15649" s="8" t="inlineStr">
        <is>
          <t>STANDBY</t>
        </is>
      </c>
      <c r="G15649" s="8" t="n">
        <v>0</v>
      </c>
      <c r="H15649" s="8" t="inlineStr">
        <is>
          <t>CLOSED</t>
        </is>
      </c>
    </row>
    <row r="15650">
      <c r="A15650" s="8" t="inlineStr">
        <is>
          <t>2026-08-03</t>
        </is>
      </c>
      <c r="B15650" s="8" t="n">
        <v>16</v>
      </c>
      <c r="C15650" s="8" t="n">
        <v>45</v>
      </c>
      <c r="D15650" s="8" t="inlineStr">
        <is>
          <t>Disneyland Park</t>
        </is>
      </c>
      <c r="E15650" s="8" t="inlineStr">
        <is>
          <t>Dumbo the Flying Elephant</t>
        </is>
      </c>
      <c r="F15650" s="8" t="inlineStr">
        <is>
          <t>STANDBY</t>
        </is>
      </c>
      <c r="G15650" s="8" t="n">
        <v>0</v>
      </c>
      <c r="H15650" s="8" t="inlineStr">
        <is>
          <t>CLOSED</t>
        </is>
      </c>
    </row>
    <row r="15651">
      <c r="A15651" s="8" t="inlineStr">
        <is>
          <t>2026-08-03</t>
        </is>
      </c>
      <c r="B15651" s="8" t="n">
        <v>16</v>
      </c>
      <c r="C15651" s="8" t="n">
        <v>45</v>
      </c>
      <c r="D15651" s="8" t="inlineStr">
        <is>
          <t>Disneyland Park</t>
        </is>
      </c>
      <c r="E15651" s="8" t="inlineStr">
        <is>
          <t>La Tanière du Dragon</t>
        </is>
      </c>
      <c r="F15651" s="8" t="inlineStr">
        <is>
          <t>STANDBY</t>
        </is>
      </c>
      <c r="G15651" s="8" t="n">
        <v>0</v>
      </c>
      <c r="H15651" s="8" t="inlineStr">
        <is>
          <t>OPERATING</t>
        </is>
      </c>
    </row>
    <row r="15652">
      <c r="A15652" s="8" t="inlineStr">
        <is>
          <t>2026-08-03</t>
        </is>
      </c>
      <c r="B15652" s="8" t="n">
        <v>16</v>
      </c>
      <c r="C15652" s="8" t="n">
        <v>45</v>
      </c>
      <c r="D15652" s="8" t="inlineStr">
        <is>
          <t>Disneyland Park</t>
        </is>
      </c>
      <c r="E15652" s="8" t="inlineStr">
        <is>
          <t>Le Carrousel de Lancelot</t>
        </is>
      </c>
      <c r="F15652" s="8" t="inlineStr">
        <is>
          <t>STANDBY</t>
        </is>
      </c>
      <c r="G15652" s="8" t="n">
        <v>10</v>
      </c>
      <c r="H15652" s="8" t="inlineStr">
        <is>
          <t>OPERATING</t>
        </is>
      </c>
    </row>
    <row r="15653">
      <c r="A15653" s="8" t="inlineStr">
        <is>
          <t>2026-08-03</t>
        </is>
      </c>
      <c r="B15653" s="8" t="n">
        <v>16</v>
      </c>
      <c r="C15653" s="8" t="n">
        <v>45</v>
      </c>
      <c r="D15653" s="8" t="inlineStr">
        <is>
          <t>Disneyland Park</t>
        </is>
      </c>
      <c r="E15653" s="8" t="inlineStr">
        <is>
          <t>Le Pays des Contes de Fées, presented by Vittel</t>
        </is>
      </c>
      <c r="F15653" s="8" t="inlineStr">
        <is>
          <t>STANDBY</t>
        </is>
      </c>
      <c r="G15653" s="8" t="n">
        <v>0</v>
      </c>
      <c r="H15653" s="8" t="inlineStr">
        <is>
          <t>CLOSED</t>
        </is>
      </c>
    </row>
    <row r="15654">
      <c r="A15654" s="8" t="inlineStr">
        <is>
          <t>2026-08-03</t>
        </is>
      </c>
      <c r="B15654" s="8" t="n">
        <v>16</v>
      </c>
      <c r="C15654" s="8" t="n">
        <v>45</v>
      </c>
      <c r="D15654" s="8" t="inlineStr">
        <is>
          <t>Disneyland Park</t>
        </is>
      </c>
      <c r="E15654" s="8" t="inlineStr">
        <is>
          <t>Les Voyages de Pinocchio</t>
        </is>
      </c>
      <c r="F15654" s="8" t="inlineStr">
        <is>
          <t>STANDBY</t>
        </is>
      </c>
      <c r="G15654" s="8" t="n">
        <v>30</v>
      </c>
      <c r="H15654" s="8" t="inlineStr">
        <is>
          <t>OPERATING</t>
        </is>
      </c>
    </row>
    <row r="15655">
      <c r="A15655" s="8" t="inlineStr">
        <is>
          <t>2026-08-03</t>
        </is>
      </c>
      <c r="B15655" s="8" t="n">
        <v>16</v>
      </c>
      <c r="C15655" s="8" t="n">
        <v>45</v>
      </c>
      <c r="D15655" s="8" t="inlineStr">
        <is>
          <t>Disneyland Park</t>
        </is>
      </c>
      <c r="E15655" s="8" t="inlineStr">
        <is>
          <t>Mad Hatter's Tea Cups</t>
        </is>
      </c>
      <c r="F15655" s="8" t="inlineStr">
        <is>
          <t>STANDBY</t>
        </is>
      </c>
      <c r="G15655" s="8" t="n">
        <v>10</v>
      </c>
      <c r="H15655" s="8" t="inlineStr">
        <is>
          <t>OPERATING</t>
        </is>
      </c>
    </row>
    <row r="15656">
      <c r="A15656" s="8" t="inlineStr">
        <is>
          <t>2026-08-03</t>
        </is>
      </c>
      <c r="B15656" s="8" t="n">
        <v>16</v>
      </c>
      <c r="C15656" s="8" t="n">
        <v>45</v>
      </c>
      <c r="D15656" s="8" t="inlineStr">
        <is>
          <t>Disneyland Park</t>
        </is>
      </c>
      <c r="E15656" s="8" t="inlineStr">
        <is>
          <t>Meet Mickey Mouse</t>
        </is>
      </c>
      <c r="F15656" s="8" t="inlineStr">
        <is>
          <t>STANDBY</t>
        </is>
      </c>
      <c r="G15656" s="8" t="n">
        <v>0</v>
      </c>
      <c r="H15656" s="8" t="inlineStr">
        <is>
          <t>OPERATING</t>
        </is>
      </c>
    </row>
    <row r="15657">
      <c r="A15657" s="8" t="inlineStr">
        <is>
          <t>2026-08-03</t>
        </is>
      </c>
      <c r="B15657" s="8" t="n">
        <v>16</v>
      </c>
      <c r="C15657" s="8" t="n">
        <v>45</v>
      </c>
      <c r="D15657" s="8" t="inlineStr">
        <is>
          <t>Disneyland Park</t>
        </is>
      </c>
      <c r="E15657" s="8" t="inlineStr">
        <is>
          <t>Peter Pan's Flight</t>
        </is>
      </c>
      <c r="F15657" s="8" t="inlineStr">
        <is>
          <t>STANDBY</t>
        </is>
      </c>
      <c r="G15657" s="8" t="n">
        <v>50</v>
      </c>
      <c r="H15657" s="8" t="inlineStr">
        <is>
          <t>OPERATING</t>
        </is>
      </c>
    </row>
    <row r="15658">
      <c r="A15658" s="8" t="inlineStr">
        <is>
          <t>2026-08-03</t>
        </is>
      </c>
      <c r="B15658" s="8" t="n">
        <v>16</v>
      </c>
      <c r="C15658" s="8" t="n">
        <v>45</v>
      </c>
      <c r="D15658" s="8" t="inlineStr">
        <is>
          <t>Disneyland Park</t>
        </is>
      </c>
      <c r="E15658" s="8" t="inlineStr">
        <is>
          <t>Princess Pavilion</t>
        </is>
      </c>
      <c r="F15658" s="8" t="inlineStr">
        <is>
          <t>STANDBY</t>
        </is>
      </c>
      <c r="G15658" s="8" t="n">
        <v>0</v>
      </c>
      <c r="H15658" s="8" t="inlineStr">
        <is>
          <t>OPERATING</t>
        </is>
      </c>
    </row>
    <row r="15659">
      <c r="A15659" s="8" t="inlineStr">
        <is>
          <t>2026-08-03</t>
        </is>
      </c>
      <c r="B15659" s="8" t="n">
        <v>16</v>
      </c>
      <c r="C15659" s="8" t="n">
        <v>45</v>
      </c>
      <c r="D15659" s="8" t="inlineStr">
        <is>
          <t>Disneyland Park</t>
        </is>
      </c>
      <c r="E15659" s="8" t="inlineStr">
        <is>
          <t>Big Thunder Mountain</t>
        </is>
      </c>
      <c r="F15659" s="8" t="inlineStr">
        <is>
          <t>STANDBY</t>
        </is>
      </c>
      <c r="G15659" s="8" t="n">
        <v>45</v>
      </c>
      <c r="H15659" s="8" t="inlineStr">
        <is>
          <t>OPERATING</t>
        </is>
      </c>
    </row>
    <row r="15660">
      <c r="A15660" s="8" t="inlineStr">
        <is>
          <t>2026-08-03</t>
        </is>
      </c>
      <c r="B15660" s="8" t="n">
        <v>16</v>
      </c>
      <c r="C15660" s="8" t="n">
        <v>45</v>
      </c>
      <c r="D15660" s="8" t="inlineStr">
        <is>
          <t>Disneyland Park</t>
        </is>
      </c>
      <c r="E15660" s="8" t="inlineStr">
        <is>
          <t>Disneyland Railroad Frontierland Depot</t>
        </is>
      </c>
      <c r="F15660" s="8" t="inlineStr">
        <is>
          <t>STANDBY</t>
        </is>
      </c>
      <c r="G15660" s="8" t="n">
        <v>0</v>
      </c>
      <c r="H15660" s="8" t="inlineStr">
        <is>
          <t>CLOSED</t>
        </is>
      </c>
    </row>
    <row r="15661">
      <c r="A15661" s="8" t="inlineStr">
        <is>
          <t>2026-08-03</t>
        </is>
      </c>
      <c r="B15661" s="8" t="n">
        <v>16</v>
      </c>
      <c r="C15661" s="8" t="n">
        <v>45</v>
      </c>
      <c r="D15661" s="8" t="inlineStr">
        <is>
          <t>Disneyland Park</t>
        </is>
      </c>
      <c r="E15661" s="8" t="inlineStr">
        <is>
          <t>Frontierland Playground</t>
        </is>
      </c>
      <c r="F15661" s="8" t="inlineStr">
        <is>
          <t>STANDBY</t>
        </is>
      </c>
      <c r="G15661" s="8" t="n">
        <v>0</v>
      </c>
      <c r="H15661" s="8" t="inlineStr">
        <is>
          <t>CLOSED</t>
        </is>
      </c>
    </row>
    <row r="15662">
      <c r="A15662" s="8" t="inlineStr">
        <is>
          <t>2026-08-03</t>
        </is>
      </c>
      <c r="B15662" s="8" t="n">
        <v>16</v>
      </c>
      <c r="C15662" s="8" t="n">
        <v>45</v>
      </c>
      <c r="D15662" s="8" t="inlineStr">
        <is>
          <t>Disneyland Park</t>
        </is>
      </c>
      <c r="E15662" s="8" t="inlineStr">
        <is>
          <t>Phantom Manor</t>
        </is>
      </c>
      <c r="F15662" s="8" t="inlineStr">
        <is>
          <t>STANDBY</t>
        </is>
      </c>
      <c r="G15662" s="8" t="n">
        <v>20</v>
      </c>
      <c r="H15662" s="8" t="inlineStr">
        <is>
          <t>OPERATING</t>
        </is>
      </c>
    </row>
    <row r="15663">
      <c r="A15663" s="8" t="inlineStr">
        <is>
          <t>2026-08-03</t>
        </is>
      </c>
      <c r="B15663" s="8" t="n">
        <v>16</v>
      </c>
      <c r="C15663" s="8" t="n">
        <v>45</v>
      </c>
      <c r="D15663" s="8" t="inlineStr">
        <is>
          <t>Disneyland Park</t>
        </is>
      </c>
      <c r="E15663" s="8" t="inlineStr">
        <is>
          <t>River Rogue Keelboats</t>
        </is>
      </c>
      <c r="F15663" s="8" t="inlineStr">
        <is>
          <t>STANDBY</t>
        </is>
      </c>
      <c r="G15663" s="8" t="n">
        <v>0</v>
      </c>
      <c r="H15663" s="8" t="inlineStr">
        <is>
          <t>CLOSED</t>
        </is>
      </c>
    </row>
    <row r="15664">
      <c r="A15664" s="8" t="inlineStr">
        <is>
          <t>2026-08-03</t>
        </is>
      </c>
      <c r="B15664" s="8" t="n">
        <v>16</v>
      </c>
      <c r="C15664" s="8" t="n">
        <v>45</v>
      </c>
      <c r="D15664" s="8" t="inlineStr">
        <is>
          <t>Disneyland Park</t>
        </is>
      </c>
      <c r="E15664" s="8" t="inlineStr">
        <is>
          <t>Rustler Roundup Shootin' Gallery</t>
        </is>
      </c>
      <c r="F15664" s="8" t="inlineStr">
        <is>
          <t>STANDBY</t>
        </is>
      </c>
      <c r="G15664" s="8" t="n">
        <v>0</v>
      </c>
      <c r="H15664" s="8" t="inlineStr">
        <is>
          <t>OPERATING</t>
        </is>
      </c>
    </row>
    <row r="15665">
      <c r="A15665" s="8" t="inlineStr">
        <is>
          <t>2026-08-03</t>
        </is>
      </c>
      <c r="B15665" s="8" t="n">
        <v>16</v>
      </c>
      <c r="C15665" s="8" t="n">
        <v>45</v>
      </c>
      <c r="D15665" s="8" t="inlineStr">
        <is>
          <t>Disneyland Park</t>
        </is>
      </c>
      <c r="E15665" s="8" t="inlineStr">
        <is>
          <t>Thunder Mesa Riverboat Landing</t>
        </is>
      </c>
      <c r="F15665" s="8" t="inlineStr">
        <is>
          <t>STANDBY</t>
        </is>
      </c>
      <c r="G15665" s="8" t="n">
        <v>20</v>
      </c>
      <c r="H15665" s="8" t="inlineStr">
        <is>
          <t>OPERATING</t>
        </is>
      </c>
    </row>
    <row r="15666">
      <c r="A15666" s="8" t="inlineStr">
        <is>
          <t>2026-08-03</t>
        </is>
      </c>
      <c r="B15666" s="8" t="n">
        <v>16</v>
      </c>
      <c r="C15666" s="8" t="n">
        <v>45</v>
      </c>
      <c r="D15666" s="8" t="inlineStr">
        <is>
          <t>Disneyland Park</t>
        </is>
      </c>
      <c r="E15666" s="8" t="inlineStr">
        <is>
          <t>Disneyland Railroad Main Street Station</t>
        </is>
      </c>
      <c r="F15666" s="8" t="inlineStr">
        <is>
          <t>STANDBY</t>
        </is>
      </c>
      <c r="G15666" s="8" t="n">
        <v>0</v>
      </c>
      <c r="H15666" s="8" t="inlineStr">
        <is>
          <t>CLOSED</t>
        </is>
      </c>
    </row>
    <row r="15667">
      <c r="A15667" s="8" t="inlineStr">
        <is>
          <t>2026-08-03</t>
        </is>
      </c>
      <c r="B15667" s="8" t="n">
        <v>16</v>
      </c>
      <c r="C15667" s="8" t="n">
        <v>45</v>
      </c>
      <c r="D15667" s="8" t="inlineStr">
        <is>
          <t>Disneyland Park</t>
        </is>
      </c>
      <c r="E15667" s="8" t="inlineStr">
        <is>
          <t>Main Street Vehicles</t>
        </is>
      </c>
      <c r="F15667" s="8" t="inlineStr">
        <is>
          <t>STANDBY</t>
        </is>
      </c>
      <c r="G15667" s="8" t="n">
        <v>0</v>
      </c>
      <c r="H15667" s="8" t="inlineStr">
        <is>
          <t>CLOSED</t>
        </is>
      </c>
    </row>
    <row r="15668">
      <c r="A15668" s="8" t="inlineStr">
        <is>
          <t>2026-08-03</t>
        </is>
      </c>
      <c r="B15668" s="8" t="n">
        <v>16</v>
      </c>
      <c r="C15668" s="8" t="n">
        <v>45</v>
      </c>
      <c r="D15668" s="8" t="inlineStr">
        <is>
          <t>Disney Adventure World</t>
        </is>
      </c>
      <c r="E15668" s="8" t="inlineStr">
        <is>
          <t>Avengers Assemble: Flight Force</t>
        </is>
      </c>
      <c r="F15668" s="8" t="inlineStr">
        <is>
          <t>STANDBY</t>
        </is>
      </c>
      <c r="G15668" s="8" t="n">
        <v>0</v>
      </c>
      <c r="H15668" s="8" t="inlineStr">
        <is>
          <t>CLOSED</t>
        </is>
      </c>
    </row>
    <row r="15669">
      <c r="A15669" s="8" t="inlineStr">
        <is>
          <t>2026-08-03</t>
        </is>
      </c>
      <c r="B15669" s="8" t="n">
        <v>16</v>
      </c>
      <c r="C15669" s="8" t="n">
        <v>45</v>
      </c>
      <c r="D15669" s="8" t="inlineStr">
        <is>
          <t>Disney Adventure World</t>
        </is>
      </c>
      <c r="E15669" s="8" t="inlineStr">
        <is>
          <t>Avengers Assemble: Flight Force Single Rider</t>
        </is>
      </c>
      <c r="F15669" s="8" t="inlineStr">
        <is>
          <t>STANDBY</t>
        </is>
      </c>
      <c r="G15669" s="8" t="n">
        <v>0</v>
      </c>
      <c r="H15669" s="8" t="inlineStr">
        <is>
          <t>CLOSED</t>
        </is>
      </c>
    </row>
    <row r="15670">
      <c r="A15670" s="8" t="inlineStr">
        <is>
          <t>2026-08-03</t>
        </is>
      </c>
      <c r="B15670" s="8" t="n">
        <v>16</v>
      </c>
      <c r="C15670" s="8" t="n">
        <v>45</v>
      </c>
      <c r="D15670" s="8" t="inlineStr">
        <is>
          <t>Disney Adventure World</t>
        </is>
      </c>
      <c r="E15670" s="8" t="inlineStr">
        <is>
          <t>Spider-Man W.E.B. Adventure</t>
        </is>
      </c>
      <c r="F15670" s="8" t="inlineStr">
        <is>
          <t>STANDBY</t>
        </is>
      </c>
      <c r="G15670" s="8" t="n">
        <v>45</v>
      </c>
      <c r="H15670" s="8" t="inlineStr">
        <is>
          <t>OPERATING</t>
        </is>
      </c>
    </row>
    <row r="15671">
      <c r="A15671" s="8" t="inlineStr">
        <is>
          <t>2026-08-03</t>
        </is>
      </c>
      <c r="B15671" s="8" t="n">
        <v>16</v>
      </c>
      <c r="C15671" s="8" t="n">
        <v>45</v>
      </c>
      <c r="D15671" s="8" t="inlineStr">
        <is>
          <t>Disney Adventure World</t>
        </is>
      </c>
      <c r="E15671" s="8" t="inlineStr">
        <is>
          <t>Spider-Man W.E.B. Adventure Single Rider</t>
        </is>
      </c>
      <c r="F15671" s="8" t="inlineStr">
        <is>
          <t>STANDBY</t>
        </is>
      </c>
      <c r="G15671" s="8" t="n">
        <v>20</v>
      </c>
      <c r="H15671" s="8" t="inlineStr">
        <is>
          <t>OPERATING</t>
        </is>
      </c>
    </row>
    <row r="15672">
      <c r="A15672" s="8" t="inlineStr">
        <is>
          <t>2026-08-03</t>
        </is>
      </c>
      <c r="B15672" s="8" t="n">
        <v>16</v>
      </c>
      <c r="C15672" s="8" t="n">
        <v>45</v>
      </c>
      <c r="D15672" s="8" t="inlineStr">
        <is>
          <t>Disney Adventure World</t>
        </is>
      </c>
      <c r="E15672" s="8" t="inlineStr">
        <is>
          <t>The Twilight Zone Tower of Terror</t>
        </is>
      </c>
      <c r="F15672" s="8" t="inlineStr">
        <is>
          <t>STANDBY</t>
        </is>
      </c>
      <c r="G15672" s="8" t="n">
        <v>25</v>
      </c>
      <c r="H15672" s="8" t="inlineStr">
        <is>
          <t>OPERATING</t>
        </is>
      </c>
    </row>
    <row r="15673">
      <c r="A15673" s="8" t="inlineStr">
        <is>
          <t>2026-08-03</t>
        </is>
      </c>
      <c r="B15673" s="8" t="n">
        <v>16</v>
      </c>
      <c r="C15673" s="8" t="n">
        <v>45</v>
      </c>
      <c r="D15673" s="8" t="inlineStr">
        <is>
          <t>Disney Adventure World</t>
        </is>
      </c>
      <c r="E15673" s="8" t="inlineStr">
        <is>
          <t>Cars Quatre Roues Rallye</t>
        </is>
      </c>
      <c r="F15673" s="8" t="inlineStr">
        <is>
          <t>STANDBY</t>
        </is>
      </c>
      <c r="G15673" s="8" t="n">
        <v>10</v>
      </c>
      <c r="H15673" s="8" t="inlineStr">
        <is>
          <t>OPERATING</t>
        </is>
      </c>
    </row>
    <row r="15674">
      <c r="A15674" s="8" t="inlineStr">
        <is>
          <t>2026-08-03</t>
        </is>
      </c>
      <c r="B15674" s="8" t="n">
        <v>16</v>
      </c>
      <c r="C15674" s="8" t="n">
        <v>45</v>
      </c>
      <c r="D15674" s="8" t="inlineStr">
        <is>
          <t>Disney Adventure World</t>
        </is>
      </c>
      <c r="E15674" s="8" t="inlineStr">
        <is>
          <t>Cars ROAD TRIP</t>
        </is>
      </c>
      <c r="F15674" s="8" t="inlineStr">
        <is>
          <t>STANDBY</t>
        </is>
      </c>
      <c r="G15674" s="8" t="n">
        <v>15</v>
      </c>
      <c r="H15674" s="8" t="inlineStr">
        <is>
          <t>OPERATING</t>
        </is>
      </c>
    </row>
    <row r="15675">
      <c r="A15675" s="8" t="inlineStr">
        <is>
          <t>2026-08-03</t>
        </is>
      </c>
      <c r="B15675" s="8" t="n">
        <v>16</v>
      </c>
      <c r="C15675" s="8" t="n">
        <v>45</v>
      </c>
      <c r="D15675" s="8" t="inlineStr">
        <is>
          <t>Disney Adventure World</t>
        </is>
      </c>
      <c r="E15675" s="8" t="inlineStr">
        <is>
          <t>Crush's Coaster</t>
        </is>
      </c>
      <c r="F15675" s="8" t="inlineStr">
        <is>
          <t>STANDBY</t>
        </is>
      </c>
      <c r="G15675" s="8" t="n">
        <v>75</v>
      </c>
      <c r="H15675" s="8" t="inlineStr">
        <is>
          <t>OPERATING</t>
        </is>
      </c>
    </row>
    <row r="15676">
      <c r="A15676" s="8" t="inlineStr">
        <is>
          <t>2026-08-03</t>
        </is>
      </c>
      <c r="B15676" s="8" t="n">
        <v>16</v>
      </c>
      <c r="C15676" s="8" t="n">
        <v>45</v>
      </c>
      <c r="D15676" s="8" t="inlineStr">
        <is>
          <t>Disney Adventure World</t>
        </is>
      </c>
      <c r="E15676" s="8" t="inlineStr">
        <is>
          <t>Crush's Coaster Single Rider</t>
        </is>
      </c>
      <c r="F15676" s="8" t="inlineStr">
        <is>
          <t>STANDBY</t>
        </is>
      </c>
      <c r="G15676" s="8" t="n">
        <v>40</v>
      </c>
      <c r="H15676" s="8" t="inlineStr">
        <is>
          <t>OPERATING</t>
        </is>
      </c>
    </row>
    <row r="15677">
      <c r="A15677" s="8" t="inlineStr">
        <is>
          <t>2026-08-03</t>
        </is>
      </c>
      <c r="B15677" s="8" t="n">
        <v>16</v>
      </c>
      <c r="C15677" s="8" t="n">
        <v>45</v>
      </c>
      <c r="D15677" s="8" t="inlineStr">
        <is>
          <t>Disney Adventure World</t>
        </is>
      </c>
      <c r="E15677" s="8" t="inlineStr">
        <is>
          <t>Les Tapis Volants - Flying Carpets Over Agrabah®</t>
        </is>
      </c>
      <c r="F15677" s="8" t="inlineStr">
        <is>
          <t>STANDBY</t>
        </is>
      </c>
      <c r="G15677" s="8" t="n">
        <v>0</v>
      </c>
      <c r="H15677" s="8" t="inlineStr">
        <is>
          <t>CLOSED</t>
        </is>
      </c>
    </row>
    <row r="15678">
      <c r="A15678" s="8" t="inlineStr">
        <is>
          <t>2026-08-03</t>
        </is>
      </c>
      <c r="B15678" s="8" t="n">
        <v>16</v>
      </c>
      <c r="C15678" s="8" t="n">
        <v>45</v>
      </c>
      <c r="D15678" s="8" t="inlineStr">
        <is>
          <t>Disney Adventure World</t>
        </is>
      </c>
      <c r="E15678" s="8" t="inlineStr">
        <is>
          <t>Ratatouille : L’Aventure Totalement Toquée de Rémy​</t>
        </is>
      </c>
      <c r="F15678" s="8" t="inlineStr">
        <is>
          <t>STANDBY</t>
        </is>
      </c>
      <c r="G15678" s="8" t="n">
        <v>55</v>
      </c>
      <c r="H15678" s="8" t="inlineStr">
        <is>
          <t>OPERATING</t>
        </is>
      </c>
    </row>
    <row r="15679">
      <c r="A15679" s="8" t="inlineStr">
        <is>
          <t>2026-08-03</t>
        </is>
      </c>
      <c r="B15679" s="8" t="n">
        <v>16</v>
      </c>
      <c r="C15679" s="8" t="n">
        <v>45</v>
      </c>
      <c r="D15679" s="8" t="inlineStr">
        <is>
          <t>Disney Adventure World</t>
        </is>
      </c>
      <c r="E15679" s="8" t="inlineStr">
        <is>
          <t>Ratatouille: The Adventure Single Rider</t>
        </is>
      </c>
      <c r="F15679" s="8" t="inlineStr">
        <is>
          <t>STANDBY</t>
        </is>
      </c>
      <c r="G15679" s="8" t="n">
        <v>15</v>
      </c>
      <c r="H15679" s="8" t="inlineStr">
        <is>
          <t>OPERATING</t>
        </is>
      </c>
    </row>
    <row r="15680">
      <c r="A15680" s="8" t="inlineStr">
        <is>
          <t>2026-08-03</t>
        </is>
      </c>
      <c r="B15680" s="8" t="n">
        <v>16</v>
      </c>
      <c r="C15680" s="8" t="n">
        <v>45</v>
      </c>
      <c r="D15680" s="8" t="inlineStr">
        <is>
          <t>Disney Adventure World</t>
        </is>
      </c>
      <c r="E15680" s="8" t="inlineStr">
        <is>
          <t>RC Racer</t>
        </is>
      </c>
      <c r="F15680" s="8" t="inlineStr">
        <is>
          <t>STANDBY</t>
        </is>
      </c>
      <c r="G15680" s="8" t="n">
        <v>40</v>
      </c>
      <c r="H15680" s="8" t="inlineStr">
        <is>
          <t>OPERATING</t>
        </is>
      </c>
    </row>
    <row r="15681">
      <c r="A15681" s="8" t="inlineStr">
        <is>
          <t>2026-08-03</t>
        </is>
      </c>
      <c r="B15681" s="8" t="n">
        <v>16</v>
      </c>
      <c r="C15681" s="8" t="n">
        <v>45</v>
      </c>
      <c r="D15681" s="8" t="inlineStr">
        <is>
          <t>Disney Adventure World</t>
        </is>
      </c>
      <c r="E15681" s="8" t="inlineStr">
        <is>
          <t>RC Racer Single Rider</t>
        </is>
      </c>
      <c r="F15681" s="8" t="inlineStr">
        <is>
          <t>STANDBY</t>
        </is>
      </c>
      <c r="G15681" s="8" t="n">
        <v>35</v>
      </c>
      <c r="H15681" s="8" t="inlineStr">
        <is>
          <t>OPERATING</t>
        </is>
      </c>
    </row>
    <row r="15682">
      <c r="A15682" s="8" t="inlineStr">
        <is>
          <t>2026-08-03</t>
        </is>
      </c>
      <c r="B15682" s="8" t="n">
        <v>16</v>
      </c>
      <c r="C15682" s="8" t="n">
        <v>45</v>
      </c>
      <c r="D15682" s="8" t="inlineStr">
        <is>
          <t>Disney Adventure World</t>
        </is>
      </c>
      <c r="E15682" s="8" t="inlineStr">
        <is>
          <t>Slinky® Dog Zigzag Spin</t>
        </is>
      </c>
      <c r="F15682" s="8" t="inlineStr">
        <is>
          <t>STANDBY</t>
        </is>
      </c>
      <c r="G15682" s="8" t="n">
        <v>0</v>
      </c>
      <c r="H15682" s="8" t="inlineStr">
        <is>
          <t>CLOSED</t>
        </is>
      </c>
    </row>
    <row r="15683">
      <c r="A15683" s="8" t="inlineStr">
        <is>
          <t>2026-08-03</t>
        </is>
      </c>
      <c r="B15683" s="8" t="n">
        <v>16</v>
      </c>
      <c r="C15683" s="8" t="n">
        <v>45</v>
      </c>
      <c r="D15683" s="8" t="inlineStr">
        <is>
          <t>Disney Adventure World</t>
        </is>
      </c>
      <c r="E15683" s="8" t="inlineStr">
        <is>
          <t>Toy Soldiers Parachute Drop</t>
        </is>
      </c>
      <c r="F15683" s="8" t="inlineStr">
        <is>
          <t>STANDBY</t>
        </is>
      </c>
      <c r="G15683" s="8" t="n">
        <v>35</v>
      </c>
      <c r="H15683" s="8" t="inlineStr">
        <is>
          <t>OPERATING</t>
        </is>
      </c>
    </row>
    <row r="15684">
      <c r="A15684" s="8" t="inlineStr">
        <is>
          <t>2026-08-03</t>
        </is>
      </c>
      <c r="B15684" s="8" t="n">
        <v>16</v>
      </c>
      <c r="C15684" s="8" t="n">
        <v>45</v>
      </c>
      <c r="D15684" s="8" t="inlineStr">
        <is>
          <t>Disney Adventure World</t>
        </is>
      </c>
      <c r="E15684" s="8" t="inlineStr">
        <is>
          <t>Toy Soldiers Parachute Drop Single Rider</t>
        </is>
      </c>
      <c r="F15684" s="8" t="inlineStr">
        <is>
          <t>STANDBY</t>
        </is>
      </c>
      <c r="G15684" s="8" t="n">
        <v>15</v>
      </c>
      <c r="H15684" s="8" t="inlineStr">
        <is>
          <t>OPERATING</t>
        </is>
      </c>
    </row>
    <row r="15685">
      <c r="A15685" s="8" t="inlineStr">
        <is>
          <t>2026-08-03</t>
        </is>
      </c>
      <c r="B15685" s="8" t="n">
        <v>16</v>
      </c>
      <c r="C15685" s="8" t="n">
        <v>45</v>
      </c>
      <c r="D15685" s="8" t="inlineStr">
        <is>
          <t>Disney Adventure World</t>
        </is>
      </c>
      <c r="E15685" s="8" t="inlineStr">
        <is>
          <t>Entry to World of Frozen</t>
        </is>
      </c>
      <c r="F15685" s="8" t="inlineStr">
        <is>
          <t>STANDBY</t>
        </is>
      </c>
      <c r="G15685" s="8" t="n">
        <v>0</v>
      </c>
      <c r="H15685" s="8" t="inlineStr">
        <is>
          <t>OPERATING</t>
        </is>
      </c>
    </row>
    <row r="15686">
      <c r="A15686" s="8" t="inlineStr">
        <is>
          <t>2026-08-03</t>
        </is>
      </c>
      <c r="B15686" s="8" t="n">
        <v>16</v>
      </c>
      <c r="C15686" s="8" t="n">
        <v>45</v>
      </c>
      <c r="D15686" s="8" t="inlineStr">
        <is>
          <t>Disney Adventure World</t>
        </is>
      </c>
      <c r="E15686" s="8" t="inlineStr">
        <is>
          <t>Frozen Ever After</t>
        </is>
      </c>
      <c r="F15686" s="8" t="inlineStr">
        <is>
          <t>STANDBY</t>
        </is>
      </c>
      <c r="G15686" s="8" t="n">
        <v>45</v>
      </c>
      <c r="H15686" s="8" t="inlineStr">
        <is>
          <t>OPERATING</t>
        </is>
      </c>
    </row>
    <row r="15687">
      <c r="A15687" s="8" t="inlineStr">
        <is>
          <t>2026-08-03</t>
        </is>
      </c>
      <c r="B15687" s="8" t="n">
        <v>16</v>
      </c>
      <c r="C15687" s="8" t="n">
        <v>45</v>
      </c>
      <c r="D15687" s="8" t="inlineStr">
        <is>
          <t>Disney Adventure World</t>
        </is>
      </c>
      <c r="E15687" s="8" t="inlineStr">
        <is>
          <t>Raiponce Tangled Spin</t>
        </is>
      </c>
      <c r="F15687" s="8" t="inlineStr">
        <is>
          <t>STANDBY</t>
        </is>
      </c>
      <c r="G15687" s="8" t="n">
        <v>5</v>
      </c>
      <c r="H15687" s="8" t="inlineStr">
        <is>
          <t>OPERATING</t>
        </is>
      </c>
    </row>
    <row r="15688">
      <c r="A15688" s="8" t="inlineStr">
        <is>
          <t>2026-08-03</t>
        </is>
      </c>
      <c r="B15688" s="8" t="n">
        <v>17</v>
      </c>
      <c r="C15688" s="8" t="n">
        <v>1</v>
      </c>
      <c r="D15688" s="8" t="inlineStr">
        <is>
          <t>Disneyland Park</t>
        </is>
      </c>
      <c r="E15688" s="8" t="inlineStr">
        <is>
          <t>Adventure Isle</t>
        </is>
      </c>
      <c r="F15688" s="8" t="inlineStr">
        <is>
          <t>STANDBY</t>
        </is>
      </c>
      <c r="G15688" s="8" t="n">
        <v>0</v>
      </c>
      <c r="H15688" s="8" t="inlineStr">
        <is>
          <t>OPERATING</t>
        </is>
      </c>
    </row>
    <row r="15689">
      <c r="A15689" s="8" t="inlineStr">
        <is>
          <t>2026-08-03</t>
        </is>
      </c>
      <c r="B15689" s="8" t="n">
        <v>17</v>
      </c>
      <c r="C15689" s="8" t="n">
        <v>1</v>
      </c>
      <c r="D15689" s="8" t="inlineStr">
        <is>
          <t>Disneyland Park</t>
        </is>
      </c>
      <c r="E15689" s="8" t="inlineStr">
        <is>
          <t>Indiana Jones and the Temple of Peril Single Rider</t>
        </is>
      </c>
      <c r="F15689" s="8" t="inlineStr">
        <is>
          <t>STANDBY</t>
        </is>
      </c>
      <c r="G15689" s="8" t="n">
        <v>25</v>
      </c>
      <c r="H15689" s="8" t="inlineStr">
        <is>
          <t>OPERATING</t>
        </is>
      </c>
    </row>
    <row r="15690">
      <c r="A15690" s="8" t="inlineStr">
        <is>
          <t>2026-08-03</t>
        </is>
      </c>
      <c r="B15690" s="8" t="n">
        <v>17</v>
      </c>
      <c r="C15690" s="8" t="n">
        <v>1</v>
      </c>
      <c r="D15690" s="8" t="inlineStr">
        <is>
          <t>Disneyland Park</t>
        </is>
      </c>
      <c r="E15690" s="8" t="inlineStr">
        <is>
          <t>Indiana Jones™ and the Temple of Peril</t>
        </is>
      </c>
      <c r="F15690" s="8" t="inlineStr">
        <is>
          <t>STANDBY</t>
        </is>
      </c>
      <c r="G15690" s="8" t="n">
        <v>30</v>
      </c>
      <c r="H15690" s="8" t="inlineStr">
        <is>
          <t>OPERATING</t>
        </is>
      </c>
    </row>
    <row r="15691">
      <c r="A15691" s="8" t="inlineStr">
        <is>
          <t>2026-08-03</t>
        </is>
      </c>
      <c r="B15691" s="8" t="n">
        <v>17</v>
      </c>
      <c r="C15691" s="8" t="n">
        <v>1</v>
      </c>
      <c r="D15691" s="8" t="inlineStr">
        <is>
          <t>Disneyland Park</t>
        </is>
      </c>
      <c r="E15691" s="8" t="inlineStr">
        <is>
          <t>La Cabane des Robinson</t>
        </is>
      </c>
      <c r="F15691" s="8" t="inlineStr">
        <is>
          <t>STANDBY</t>
        </is>
      </c>
      <c r="G15691" s="8" t="n">
        <v>5</v>
      </c>
      <c r="H15691" s="8" t="inlineStr">
        <is>
          <t>OPERATING</t>
        </is>
      </c>
    </row>
    <row r="15692">
      <c r="A15692" s="8" t="inlineStr">
        <is>
          <t>2026-08-03</t>
        </is>
      </c>
      <c r="B15692" s="8" t="n">
        <v>17</v>
      </c>
      <c r="C15692" s="8" t="n">
        <v>1</v>
      </c>
      <c r="D15692" s="8" t="inlineStr">
        <is>
          <t>Disneyland Park</t>
        </is>
      </c>
      <c r="E15692" s="8" t="inlineStr">
        <is>
          <t>Le Passage Enchanté d'Aladdin</t>
        </is>
      </c>
      <c r="F15692" s="8" t="inlineStr">
        <is>
          <t>STANDBY</t>
        </is>
      </c>
      <c r="G15692" s="8" t="n">
        <v>0</v>
      </c>
      <c r="H15692" s="8" t="inlineStr">
        <is>
          <t>OPERATING</t>
        </is>
      </c>
    </row>
    <row r="15693">
      <c r="A15693" s="8" t="inlineStr">
        <is>
          <t>2026-08-03</t>
        </is>
      </c>
      <c r="B15693" s="8" t="n">
        <v>17</v>
      </c>
      <c r="C15693" s="8" t="n">
        <v>1</v>
      </c>
      <c r="D15693" s="8" t="inlineStr">
        <is>
          <t>Disneyland Park</t>
        </is>
      </c>
      <c r="E15693" s="8" t="inlineStr">
        <is>
          <t>Pirate Galleon</t>
        </is>
      </c>
      <c r="F15693" s="8" t="inlineStr">
        <is>
          <t>STANDBY</t>
        </is>
      </c>
      <c r="G15693" s="8" t="n">
        <v>0</v>
      </c>
      <c r="H15693" s="8" t="inlineStr">
        <is>
          <t>CLOSED</t>
        </is>
      </c>
    </row>
    <row r="15694">
      <c r="A15694" s="8" t="inlineStr">
        <is>
          <t>2026-08-03</t>
        </is>
      </c>
      <c r="B15694" s="8" t="n">
        <v>17</v>
      </c>
      <c r="C15694" s="8" t="n">
        <v>1</v>
      </c>
      <c r="D15694" s="8" t="inlineStr">
        <is>
          <t>Disneyland Park</t>
        </is>
      </c>
      <c r="E15694" s="8" t="inlineStr">
        <is>
          <t>Pirates of the Caribbean</t>
        </is>
      </c>
      <c r="F15694" s="8" t="inlineStr">
        <is>
          <t>STANDBY</t>
        </is>
      </c>
      <c r="G15694" s="8" t="n">
        <v>20</v>
      </c>
      <c r="H15694" s="8" t="inlineStr">
        <is>
          <t>OPERATING</t>
        </is>
      </c>
    </row>
    <row r="15695">
      <c r="A15695" s="8" t="inlineStr">
        <is>
          <t>2026-08-03</t>
        </is>
      </c>
      <c r="B15695" s="8" t="n">
        <v>17</v>
      </c>
      <c r="C15695" s="8" t="n">
        <v>1</v>
      </c>
      <c r="D15695" s="8" t="inlineStr">
        <is>
          <t>Disneyland Park</t>
        </is>
      </c>
      <c r="E15695" s="8" t="inlineStr">
        <is>
          <t>Pirates' Beach</t>
        </is>
      </c>
      <c r="F15695" s="8" t="inlineStr">
        <is>
          <t>STANDBY</t>
        </is>
      </c>
      <c r="G15695" s="8" t="n">
        <v>0</v>
      </c>
      <c r="H15695" s="8" t="inlineStr">
        <is>
          <t>OPERATING</t>
        </is>
      </c>
    </row>
    <row r="15696">
      <c r="A15696" s="8" t="inlineStr">
        <is>
          <t>2026-08-03</t>
        </is>
      </c>
      <c r="B15696" s="8" t="n">
        <v>17</v>
      </c>
      <c r="C15696" s="8" t="n">
        <v>1</v>
      </c>
      <c r="D15696" s="8" t="inlineStr">
        <is>
          <t>Disneyland Park</t>
        </is>
      </c>
      <c r="E15696" s="8" t="inlineStr">
        <is>
          <t>Autopia, presented by Avis</t>
        </is>
      </c>
      <c r="F15696" s="8" t="inlineStr">
        <is>
          <t>STANDBY</t>
        </is>
      </c>
      <c r="G15696" s="8" t="n">
        <v>0</v>
      </c>
      <c r="H15696" s="8" t="inlineStr">
        <is>
          <t>CLOSED</t>
        </is>
      </c>
    </row>
    <row r="15697">
      <c r="A15697" s="8" t="inlineStr">
        <is>
          <t>2026-08-03</t>
        </is>
      </c>
      <c r="B15697" s="8" t="n">
        <v>17</v>
      </c>
      <c r="C15697" s="8" t="n">
        <v>1</v>
      </c>
      <c r="D15697" s="8" t="inlineStr">
        <is>
          <t>Disneyland Park</t>
        </is>
      </c>
      <c r="E15697" s="8" t="inlineStr">
        <is>
          <t>Buzz Lightyear Laser Blast</t>
        </is>
      </c>
      <c r="F15697" s="8" t="inlineStr">
        <is>
          <t>STANDBY</t>
        </is>
      </c>
      <c r="G15697" s="8" t="n">
        <v>0</v>
      </c>
      <c r="H15697" s="8" t="inlineStr">
        <is>
          <t>CLOSED</t>
        </is>
      </c>
    </row>
    <row r="15698">
      <c r="A15698" s="8" t="inlineStr">
        <is>
          <t>2026-08-03</t>
        </is>
      </c>
      <c r="B15698" s="8" t="n">
        <v>17</v>
      </c>
      <c r="C15698" s="8" t="n">
        <v>1</v>
      </c>
      <c r="D15698" s="8" t="inlineStr">
        <is>
          <t>Disneyland Park</t>
        </is>
      </c>
      <c r="E15698" s="8" t="inlineStr">
        <is>
          <t>Disneyland Railroad Discoveryland Station</t>
        </is>
      </c>
      <c r="F15698" s="8" t="inlineStr">
        <is>
          <t>STANDBY</t>
        </is>
      </c>
      <c r="G15698" s="8" t="n">
        <v>0</v>
      </c>
      <c r="H15698" s="8" t="inlineStr">
        <is>
          <t>CLOSED</t>
        </is>
      </c>
    </row>
    <row r="15699">
      <c r="A15699" s="8" t="inlineStr">
        <is>
          <t>2026-08-03</t>
        </is>
      </c>
      <c r="B15699" s="8" t="n">
        <v>17</v>
      </c>
      <c r="C15699" s="8" t="n">
        <v>1</v>
      </c>
      <c r="D15699" s="8" t="inlineStr">
        <is>
          <t>Disneyland Park</t>
        </is>
      </c>
      <c r="E15699" s="8" t="inlineStr">
        <is>
          <t>Les Mystères du Nautilus</t>
        </is>
      </c>
      <c r="F15699" s="8" t="inlineStr">
        <is>
          <t>STANDBY</t>
        </is>
      </c>
      <c r="G15699" s="8" t="n">
        <v>5</v>
      </c>
      <c r="H15699" s="8" t="inlineStr">
        <is>
          <t>OPERATING</t>
        </is>
      </c>
    </row>
    <row r="15700">
      <c r="A15700" s="8" t="inlineStr">
        <is>
          <t>2026-08-03</t>
        </is>
      </c>
      <c r="B15700" s="8" t="n">
        <v>17</v>
      </c>
      <c r="C15700" s="8" t="n">
        <v>1</v>
      </c>
      <c r="D15700" s="8" t="inlineStr">
        <is>
          <t>Disneyland Park</t>
        </is>
      </c>
      <c r="E15700" s="8" t="inlineStr">
        <is>
          <t>Mickey’s PhilharMagic</t>
        </is>
      </c>
      <c r="F15700" s="8" t="inlineStr">
        <is>
          <t>STANDBY</t>
        </is>
      </c>
      <c r="G15700" s="8" t="n">
        <v>0</v>
      </c>
      <c r="H15700" s="8" t="inlineStr">
        <is>
          <t>OPERATING</t>
        </is>
      </c>
    </row>
    <row r="15701">
      <c r="A15701" s="8" t="inlineStr">
        <is>
          <t>2026-08-03</t>
        </is>
      </c>
      <c r="B15701" s="8" t="n">
        <v>17</v>
      </c>
      <c r="C15701" s="8" t="n">
        <v>1</v>
      </c>
      <c r="D15701" s="8" t="inlineStr">
        <is>
          <t>Disneyland Park</t>
        </is>
      </c>
      <c r="E15701" s="8" t="inlineStr">
        <is>
          <t>Orbitron®</t>
        </is>
      </c>
      <c r="F15701" s="8" t="inlineStr">
        <is>
          <t>STANDBY</t>
        </is>
      </c>
      <c r="G15701" s="8" t="n">
        <v>0</v>
      </c>
      <c r="H15701" s="8" t="inlineStr">
        <is>
          <t>CLOSED</t>
        </is>
      </c>
    </row>
    <row r="15702">
      <c r="A15702" s="8" t="inlineStr">
        <is>
          <t>2026-08-03</t>
        </is>
      </c>
      <c r="B15702" s="8" t="n">
        <v>17</v>
      </c>
      <c r="C15702" s="8" t="n">
        <v>1</v>
      </c>
      <c r="D15702" s="8" t="inlineStr">
        <is>
          <t>Disneyland Park</t>
        </is>
      </c>
      <c r="E15702" s="8" t="inlineStr">
        <is>
          <t>Star Tours: The Adventures Continue*</t>
        </is>
      </c>
      <c r="F15702" s="8" t="inlineStr">
        <is>
          <t>STANDBY</t>
        </is>
      </c>
      <c r="G15702" s="8" t="n">
        <v>10</v>
      </c>
      <c r="H15702" s="8" t="inlineStr">
        <is>
          <t>OPERATING</t>
        </is>
      </c>
    </row>
    <row r="15703">
      <c r="A15703" s="8" t="inlineStr">
        <is>
          <t>2026-08-03</t>
        </is>
      </c>
      <c r="B15703" s="8" t="n">
        <v>17</v>
      </c>
      <c r="C15703" s="8" t="n">
        <v>1</v>
      </c>
      <c r="D15703" s="8" t="inlineStr">
        <is>
          <t>Disneyland Park</t>
        </is>
      </c>
      <c r="E15703" s="8" t="inlineStr">
        <is>
          <t>Star Wars Hyperspace Mountain</t>
        </is>
      </c>
      <c r="F15703" s="8" t="inlineStr">
        <is>
          <t>STANDBY</t>
        </is>
      </c>
      <c r="G15703" s="8" t="n">
        <v>35</v>
      </c>
      <c r="H15703" s="8" t="inlineStr">
        <is>
          <t>OPERATING</t>
        </is>
      </c>
    </row>
    <row r="15704">
      <c r="A15704" s="8" t="inlineStr">
        <is>
          <t>2026-08-03</t>
        </is>
      </c>
      <c r="B15704" s="8" t="n">
        <v>17</v>
      </c>
      <c r="C15704" s="8" t="n">
        <v>1</v>
      </c>
      <c r="D15704" s="8" t="inlineStr">
        <is>
          <t>Disneyland Park</t>
        </is>
      </c>
      <c r="E15704" s="8" t="inlineStr">
        <is>
          <t>Star Wars Hyperspace Mountain Single Rider</t>
        </is>
      </c>
      <c r="F15704" s="8" t="inlineStr">
        <is>
          <t>STANDBY</t>
        </is>
      </c>
      <c r="G15704" s="8" t="n">
        <v>20</v>
      </c>
      <c r="H15704" s="8" t="inlineStr">
        <is>
          <t>OPERATING</t>
        </is>
      </c>
    </row>
    <row r="15705">
      <c r="A15705" s="8" t="inlineStr">
        <is>
          <t>2026-08-03</t>
        </is>
      </c>
      <c r="B15705" s="8" t="n">
        <v>17</v>
      </c>
      <c r="C15705" s="8" t="n">
        <v>1</v>
      </c>
      <c r="D15705" s="8" t="inlineStr">
        <is>
          <t>Disneyland Park</t>
        </is>
      </c>
      <c r="E15705" s="8" t="inlineStr">
        <is>
          <t>Welcome to Starport: A Star Wars Encounter</t>
        </is>
      </c>
      <c r="F15705" s="8" t="inlineStr">
        <is>
          <t>STANDBY</t>
        </is>
      </c>
      <c r="G15705" s="8" t="n">
        <v>30</v>
      </c>
      <c r="H15705" s="8" t="inlineStr">
        <is>
          <t>OPERATING</t>
        </is>
      </c>
    </row>
    <row r="15706">
      <c r="A15706" s="8" t="inlineStr">
        <is>
          <t>2026-08-03</t>
        </is>
      </c>
      <c r="B15706" s="8" t="n">
        <v>17</v>
      </c>
      <c r="C15706" s="8" t="n">
        <v>1</v>
      </c>
      <c r="D15706" s="8" t="inlineStr">
        <is>
          <t>Disneyland Park</t>
        </is>
      </c>
      <c r="E15706" s="8" t="inlineStr">
        <is>
          <t>"it's a small world"</t>
        </is>
      </c>
      <c r="F15706" s="8" t="inlineStr">
        <is>
          <t>STANDBY</t>
        </is>
      </c>
      <c r="G15706" s="8" t="n">
        <v>5</v>
      </c>
      <c r="H15706" s="8" t="inlineStr">
        <is>
          <t>OPERATING</t>
        </is>
      </c>
    </row>
    <row r="15707">
      <c r="A15707" s="8" t="inlineStr">
        <is>
          <t>2026-08-03</t>
        </is>
      </c>
      <c r="B15707" s="8" t="n">
        <v>17</v>
      </c>
      <c r="C15707" s="8" t="n">
        <v>1</v>
      </c>
      <c r="D15707" s="8" t="inlineStr">
        <is>
          <t>Disneyland Park</t>
        </is>
      </c>
      <c r="E15707" s="8" t="inlineStr">
        <is>
          <t>Alice's Curious Labyrinth</t>
        </is>
      </c>
      <c r="F15707" s="8" t="inlineStr">
        <is>
          <t>STANDBY</t>
        </is>
      </c>
      <c r="G15707" s="8" t="n">
        <v>5</v>
      </c>
      <c r="H15707" s="8" t="inlineStr">
        <is>
          <t>OPERATING</t>
        </is>
      </c>
    </row>
    <row r="15708">
      <c r="A15708" s="8" t="inlineStr">
        <is>
          <t>2026-08-03</t>
        </is>
      </c>
      <c r="B15708" s="8" t="n">
        <v>17</v>
      </c>
      <c r="C15708" s="8" t="n">
        <v>1</v>
      </c>
      <c r="D15708" s="8" t="inlineStr">
        <is>
          <t>Disneyland Park</t>
        </is>
      </c>
      <c r="E15708" s="8" t="inlineStr">
        <is>
          <t>Blanche-Neige et les Sept Nains®</t>
        </is>
      </c>
      <c r="F15708" s="8" t="inlineStr">
        <is>
          <t>STANDBY</t>
        </is>
      </c>
      <c r="G15708" s="8" t="n">
        <v>30</v>
      </c>
      <c r="H15708" s="8" t="inlineStr">
        <is>
          <t>OPERATING</t>
        </is>
      </c>
    </row>
    <row r="15709">
      <c r="A15709" s="8" t="inlineStr">
        <is>
          <t>2026-08-03</t>
        </is>
      </c>
      <c r="B15709" s="8" t="n">
        <v>17</v>
      </c>
      <c r="C15709" s="8" t="n">
        <v>1</v>
      </c>
      <c r="D15709" s="8" t="inlineStr">
        <is>
          <t>Disneyland Park</t>
        </is>
      </c>
      <c r="E15709" s="8" t="inlineStr">
        <is>
          <t>Casey Jr. – le Petit Train du Cirque</t>
        </is>
      </c>
      <c r="F15709" s="8" t="inlineStr">
        <is>
          <t>STANDBY</t>
        </is>
      </c>
      <c r="G15709" s="8" t="n">
        <v>0</v>
      </c>
      <c r="H15709" s="8" t="inlineStr">
        <is>
          <t>CLOSED</t>
        </is>
      </c>
    </row>
    <row r="15710">
      <c r="A15710" s="8" t="inlineStr">
        <is>
          <t>2026-08-03</t>
        </is>
      </c>
      <c r="B15710" s="8" t="n">
        <v>17</v>
      </c>
      <c r="C15710" s="8" t="n">
        <v>1</v>
      </c>
      <c r="D15710" s="8" t="inlineStr">
        <is>
          <t>Disneyland Park</t>
        </is>
      </c>
      <c r="E15710" s="8" t="inlineStr">
        <is>
          <t>Disneyland Railroad Fantasyland Station</t>
        </is>
      </c>
      <c r="F15710" s="8" t="inlineStr">
        <is>
          <t>STANDBY</t>
        </is>
      </c>
      <c r="G15710" s="8" t="n">
        <v>0</v>
      </c>
      <c r="H15710" s="8" t="inlineStr">
        <is>
          <t>CLOSED</t>
        </is>
      </c>
    </row>
    <row r="15711">
      <c r="A15711" s="8" t="inlineStr">
        <is>
          <t>2026-08-03</t>
        </is>
      </c>
      <c r="B15711" s="8" t="n">
        <v>17</v>
      </c>
      <c r="C15711" s="8" t="n">
        <v>1</v>
      </c>
      <c r="D15711" s="8" t="inlineStr">
        <is>
          <t>Disneyland Park</t>
        </is>
      </c>
      <c r="E15711" s="8" t="inlineStr">
        <is>
          <t>Disneyland Railroad Main Street Station</t>
        </is>
      </c>
      <c r="F15711" s="8" t="inlineStr">
        <is>
          <t>STANDBY</t>
        </is>
      </c>
      <c r="G15711" s="8" t="n">
        <v>0</v>
      </c>
      <c r="H15711" s="8" t="inlineStr">
        <is>
          <t>CLOSED</t>
        </is>
      </c>
    </row>
    <row r="15712">
      <c r="A15712" s="8" t="inlineStr">
        <is>
          <t>2026-08-03</t>
        </is>
      </c>
      <c r="B15712" s="8" t="n">
        <v>17</v>
      </c>
      <c r="C15712" s="8" t="n">
        <v>1</v>
      </c>
      <c r="D15712" s="8" t="inlineStr">
        <is>
          <t>Disneyland Park</t>
        </is>
      </c>
      <c r="E15712" s="8" t="inlineStr">
        <is>
          <t>Dumbo the Flying Elephant</t>
        </is>
      </c>
      <c r="F15712" s="8" t="inlineStr">
        <is>
          <t>STANDBY</t>
        </is>
      </c>
      <c r="G15712" s="8" t="n">
        <v>0</v>
      </c>
      <c r="H15712" s="8" t="inlineStr">
        <is>
          <t>CLOSED</t>
        </is>
      </c>
    </row>
    <row r="15713">
      <c r="A15713" s="8" t="inlineStr">
        <is>
          <t>2026-08-03</t>
        </is>
      </c>
      <c r="B15713" s="8" t="n">
        <v>17</v>
      </c>
      <c r="C15713" s="8" t="n">
        <v>1</v>
      </c>
      <c r="D15713" s="8" t="inlineStr">
        <is>
          <t>Disneyland Park</t>
        </is>
      </c>
      <c r="E15713" s="8" t="inlineStr">
        <is>
          <t>La Tanière du Dragon</t>
        </is>
      </c>
      <c r="F15713" s="8" t="inlineStr">
        <is>
          <t>STANDBY</t>
        </is>
      </c>
      <c r="G15713" s="8" t="n">
        <v>0</v>
      </c>
      <c r="H15713" s="8" t="inlineStr">
        <is>
          <t>OPERATING</t>
        </is>
      </c>
    </row>
    <row r="15714">
      <c r="A15714" s="8" t="inlineStr">
        <is>
          <t>2026-08-03</t>
        </is>
      </c>
      <c r="B15714" s="8" t="n">
        <v>17</v>
      </c>
      <c r="C15714" s="8" t="n">
        <v>1</v>
      </c>
      <c r="D15714" s="8" t="inlineStr">
        <is>
          <t>Disneyland Park</t>
        </is>
      </c>
      <c r="E15714" s="8" t="inlineStr">
        <is>
          <t>Le Carrousel de Lancelot</t>
        </is>
      </c>
      <c r="F15714" s="8" t="inlineStr">
        <is>
          <t>STANDBY</t>
        </is>
      </c>
      <c r="G15714" s="8" t="n">
        <v>10</v>
      </c>
      <c r="H15714" s="8" t="inlineStr">
        <is>
          <t>OPERATING</t>
        </is>
      </c>
    </row>
    <row r="15715">
      <c r="A15715" s="8" t="inlineStr">
        <is>
          <t>2026-08-03</t>
        </is>
      </c>
      <c r="B15715" s="8" t="n">
        <v>17</v>
      </c>
      <c r="C15715" s="8" t="n">
        <v>1</v>
      </c>
      <c r="D15715" s="8" t="inlineStr">
        <is>
          <t>Disneyland Park</t>
        </is>
      </c>
      <c r="E15715" s="8" t="inlineStr">
        <is>
          <t>Le Pays des Contes de Fées, presented by Vittel</t>
        </is>
      </c>
      <c r="F15715" s="8" t="inlineStr">
        <is>
          <t>STANDBY</t>
        </is>
      </c>
      <c r="G15715" s="8" t="n">
        <v>0</v>
      </c>
      <c r="H15715" s="8" t="inlineStr">
        <is>
          <t>CLOSED</t>
        </is>
      </c>
    </row>
    <row r="15716">
      <c r="A15716" s="8" t="inlineStr">
        <is>
          <t>2026-08-03</t>
        </is>
      </c>
      <c r="B15716" s="8" t="n">
        <v>17</v>
      </c>
      <c r="C15716" s="8" t="n">
        <v>1</v>
      </c>
      <c r="D15716" s="8" t="inlineStr">
        <is>
          <t>Disneyland Park</t>
        </is>
      </c>
      <c r="E15716" s="8" t="inlineStr">
        <is>
          <t>Les Voyages de Pinocchio</t>
        </is>
      </c>
      <c r="F15716" s="8" t="inlineStr">
        <is>
          <t>STANDBY</t>
        </is>
      </c>
      <c r="G15716" s="8" t="n">
        <v>15</v>
      </c>
      <c r="H15716" s="8" t="inlineStr">
        <is>
          <t>OPERATING</t>
        </is>
      </c>
    </row>
    <row r="15717">
      <c r="A15717" s="8" t="inlineStr">
        <is>
          <t>2026-08-03</t>
        </is>
      </c>
      <c r="B15717" s="8" t="n">
        <v>17</v>
      </c>
      <c r="C15717" s="8" t="n">
        <v>1</v>
      </c>
      <c r="D15717" s="8" t="inlineStr">
        <is>
          <t>Disneyland Park</t>
        </is>
      </c>
      <c r="E15717" s="8" t="inlineStr">
        <is>
          <t>Mad Hatter's Tea Cups</t>
        </is>
      </c>
      <c r="F15717" s="8" t="inlineStr">
        <is>
          <t>STANDBY</t>
        </is>
      </c>
      <c r="G15717" s="8" t="n">
        <v>10</v>
      </c>
      <c r="H15717" s="8" t="inlineStr">
        <is>
          <t>OPERATING</t>
        </is>
      </c>
    </row>
    <row r="15718">
      <c r="A15718" s="8" t="inlineStr">
        <is>
          <t>2026-08-03</t>
        </is>
      </c>
      <c r="B15718" s="8" t="n">
        <v>17</v>
      </c>
      <c r="C15718" s="8" t="n">
        <v>1</v>
      </c>
      <c r="D15718" s="8" t="inlineStr">
        <is>
          <t>Disneyland Park</t>
        </is>
      </c>
      <c r="E15718" s="8" t="inlineStr">
        <is>
          <t>Meet Mickey Mouse</t>
        </is>
      </c>
      <c r="F15718" s="8" t="inlineStr">
        <is>
          <t>STANDBY</t>
        </is>
      </c>
      <c r="G15718" s="8" t="n">
        <v>0</v>
      </c>
      <c r="H15718" s="8" t="inlineStr">
        <is>
          <t>OPERATING</t>
        </is>
      </c>
    </row>
    <row r="15719">
      <c r="A15719" s="8" t="inlineStr">
        <is>
          <t>2026-08-03</t>
        </is>
      </c>
      <c r="B15719" s="8" t="n">
        <v>17</v>
      </c>
      <c r="C15719" s="8" t="n">
        <v>1</v>
      </c>
      <c r="D15719" s="8" t="inlineStr">
        <is>
          <t>Disneyland Park</t>
        </is>
      </c>
      <c r="E15719" s="8" t="inlineStr">
        <is>
          <t>Peter Pan's Flight</t>
        </is>
      </c>
      <c r="F15719" s="8" t="inlineStr">
        <is>
          <t>STANDBY</t>
        </is>
      </c>
      <c r="G15719" s="8" t="n">
        <v>45</v>
      </c>
      <c r="H15719" s="8" t="inlineStr">
        <is>
          <t>OPERATING</t>
        </is>
      </c>
    </row>
    <row r="15720">
      <c r="A15720" s="8" t="inlineStr">
        <is>
          <t>2026-08-03</t>
        </is>
      </c>
      <c r="B15720" s="8" t="n">
        <v>17</v>
      </c>
      <c r="C15720" s="8" t="n">
        <v>1</v>
      </c>
      <c r="D15720" s="8" t="inlineStr">
        <is>
          <t>Disneyland Park</t>
        </is>
      </c>
      <c r="E15720" s="8" t="inlineStr">
        <is>
          <t>Princess Pavilion</t>
        </is>
      </c>
      <c r="F15720" s="8" t="inlineStr">
        <is>
          <t>STANDBY</t>
        </is>
      </c>
      <c r="G15720" s="8" t="n">
        <v>0</v>
      </c>
      <c r="H15720" s="8" t="inlineStr">
        <is>
          <t>OPERATING</t>
        </is>
      </c>
    </row>
    <row r="15721">
      <c r="A15721" s="8" t="inlineStr">
        <is>
          <t>2026-08-03</t>
        </is>
      </c>
      <c r="B15721" s="8" t="n">
        <v>17</v>
      </c>
      <c r="C15721" s="8" t="n">
        <v>1</v>
      </c>
      <c r="D15721" s="8" t="inlineStr">
        <is>
          <t>Disneyland Park</t>
        </is>
      </c>
      <c r="E15721" s="8" t="inlineStr">
        <is>
          <t>Big Thunder Mountain</t>
        </is>
      </c>
      <c r="F15721" s="8" t="inlineStr">
        <is>
          <t>STANDBY</t>
        </is>
      </c>
      <c r="G15721" s="8" t="n">
        <v>50</v>
      </c>
      <c r="H15721" s="8" t="inlineStr">
        <is>
          <t>OPERATING</t>
        </is>
      </c>
    </row>
    <row r="15722">
      <c r="A15722" s="8" t="inlineStr">
        <is>
          <t>2026-08-03</t>
        </is>
      </c>
      <c r="B15722" s="8" t="n">
        <v>17</v>
      </c>
      <c r="C15722" s="8" t="n">
        <v>1</v>
      </c>
      <c r="D15722" s="8" t="inlineStr">
        <is>
          <t>Disneyland Park</t>
        </is>
      </c>
      <c r="E15722" s="8" t="inlineStr">
        <is>
          <t>Disneyland Railroad Frontierland Depot</t>
        </is>
      </c>
      <c r="F15722" s="8" t="inlineStr">
        <is>
          <t>STANDBY</t>
        </is>
      </c>
      <c r="G15722" s="8" t="n">
        <v>0</v>
      </c>
      <c r="H15722" s="8" t="inlineStr">
        <is>
          <t>CLOSED</t>
        </is>
      </c>
    </row>
    <row r="15723">
      <c r="A15723" s="8" t="inlineStr">
        <is>
          <t>2026-08-03</t>
        </is>
      </c>
      <c r="B15723" s="8" t="n">
        <v>17</v>
      </c>
      <c r="C15723" s="8" t="n">
        <v>1</v>
      </c>
      <c r="D15723" s="8" t="inlineStr">
        <is>
          <t>Disneyland Park</t>
        </is>
      </c>
      <c r="E15723" s="8" t="inlineStr">
        <is>
          <t>Frontierland Playground</t>
        </is>
      </c>
      <c r="F15723" s="8" t="inlineStr">
        <is>
          <t>STANDBY</t>
        </is>
      </c>
      <c r="G15723" s="8" t="n">
        <v>0</v>
      </c>
      <c r="H15723" s="8" t="inlineStr">
        <is>
          <t>CLOSED</t>
        </is>
      </c>
    </row>
    <row r="15724">
      <c r="A15724" s="8" t="inlineStr">
        <is>
          <t>2026-08-03</t>
        </is>
      </c>
      <c r="B15724" s="8" t="n">
        <v>17</v>
      </c>
      <c r="C15724" s="8" t="n">
        <v>1</v>
      </c>
      <c r="D15724" s="8" t="inlineStr">
        <is>
          <t>Disneyland Park</t>
        </is>
      </c>
      <c r="E15724" s="8" t="inlineStr">
        <is>
          <t>Phantom Manor</t>
        </is>
      </c>
      <c r="F15724" s="8" t="inlineStr">
        <is>
          <t>STANDBY</t>
        </is>
      </c>
      <c r="G15724" s="8" t="n">
        <v>20</v>
      </c>
      <c r="H15724" s="8" t="inlineStr">
        <is>
          <t>OPERATING</t>
        </is>
      </c>
    </row>
    <row r="15725">
      <c r="A15725" s="8" t="inlineStr">
        <is>
          <t>2026-08-03</t>
        </is>
      </c>
      <c r="B15725" s="8" t="n">
        <v>17</v>
      </c>
      <c r="C15725" s="8" t="n">
        <v>1</v>
      </c>
      <c r="D15725" s="8" t="inlineStr">
        <is>
          <t>Disneyland Park</t>
        </is>
      </c>
      <c r="E15725" s="8" t="inlineStr">
        <is>
          <t>River Rogue Keelboats</t>
        </is>
      </c>
      <c r="F15725" s="8" t="inlineStr">
        <is>
          <t>STANDBY</t>
        </is>
      </c>
      <c r="G15725" s="8" t="n">
        <v>0</v>
      </c>
      <c r="H15725" s="8" t="inlineStr">
        <is>
          <t>CLOSED</t>
        </is>
      </c>
    </row>
    <row r="15726">
      <c r="A15726" s="8" t="inlineStr">
        <is>
          <t>2026-08-03</t>
        </is>
      </c>
      <c r="B15726" s="8" t="n">
        <v>17</v>
      </c>
      <c r="C15726" s="8" t="n">
        <v>1</v>
      </c>
      <c r="D15726" s="8" t="inlineStr">
        <is>
          <t>Disneyland Park</t>
        </is>
      </c>
      <c r="E15726" s="8" t="inlineStr">
        <is>
          <t>Rustler Roundup Shootin' Gallery</t>
        </is>
      </c>
      <c r="F15726" s="8" t="inlineStr">
        <is>
          <t>STANDBY</t>
        </is>
      </c>
      <c r="G15726" s="8" t="n">
        <v>0</v>
      </c>
      <c r="H15726" s="8" t="inlineStr">
        <is>
          <t>OPERATING</t>
        </is>
      </c>
    </row>
    <row r="15727">
      <c r="A15727" s="8" t="inlineStr">
        <is>
          <t>2026-08-03</t>
        </is>
      </c>
      <c r="B15727" s="8" t="n">
        <v>17</v>
      </c>
      <c r="C15727" s="8" t="n">
        <v>1</v>
      </c>
      <c r="D15727" s="8" t="inlineStr">
        <is>
          <t>Disneyland Park</t>
        </is>
      </c>
      <c r="E15727" s="8" t="inlineStr">
        <is>
          <t>Thunder Mesa Riverboat Landing</t>
        </is>
      </c>
      <c r="F15727" s="8" t="inlineStr">
        <is>
          <t>STANDBY</t>
        </is>
      </c>
      <c r="G15727" s="8" t="n">
        <v>20</v>
      </c>
      <c r="H15727" s="8" t="inlineStr">
        <is>
          <t>OPERATING</t>
        </is>
      </c>
    </row>
    <row r="15728">
      <c r="A15728" s="8" t="inlineStr">
        <is>
          <t>2026-08-03</t>
        </is>
      </c>
      <c r="B15728" s="8" t="n">
        <v>17</v>
      </c>
      <c r="C15728" s="8" t="n">
        <v>1</v>
      </c>
      <c r="D15728" s="8" t="inlineStr">
        <is>
          <t>Disneyland Park</t>
        </is>
      </c>
      <c r="E15728" s="8" t="inlineStr">
        <is>
          <t>Disneyland Railroad Main Street Station</t>
        </is>
      </c>
      <c r="F15728" s="8" t="inlineStr">
        <is>
          <t>STANDBY</t>
        </is>
      </c>
      <c r="G15728" s="8" t="n">
        <v>0</v>
      </c>
      <c r="H15728" s="8" t="inlineStr">
        <is>
          <t>CLOSED</t>
        </is>
      </c>
    </row>
    <row r="15729">
      <c r="A15729" s="8" t="inlineStr">
        <is>
          <t>2026-08-03</t>
        </is>
      </c>
      <c r="B15729" s="8" t="n">
        <v>17</v>
      </c>
      <c r="C15729" s="8" t="n">
        <v>1</v>
      </c>
      <c r="D15729" s="8" t="inlineStr">
        <is>
          <t>Disneyland Park</t>
        </is>
      </c>
      <c r="E15729" s="8" t="inlineStr">
        <is>
          <t>Main Street Vehicles</t>
        </is>
      </c>
      <c r="F15729" s="8" t="inlineStr">
        <is>
          <t>STANDBY</t>
        </is>
      </c>
      <c r="G15729" s="8" t="n">
        <v>0</v>
      </c>
      <c r="H15729" s="8" t="inlineStr">
        <is>
          <t>CLOSED</t>
        </is>
      </c>
    </row>
    <row r="15730">
      <c r="A15730" s="8" t="inlineStr">
        <is>
          <t>2026-08-03</t>
        </is>
      </c>
      <c r="B15730" s="8" t="n">
        <v>17</v>
      </c>
      <c r="C15730" s="8" t="n">
        <v>1</v>
      </c>
      <c r="D15730" s="8" t="inlineStr">
        <is>
          <t>Disney Adventure World</t>
        </is>
      </c>
      <c r="E15730" s="8" t="inlineStr">
        <is>
          <t>Avengers Assemble: Flight Force</t>
        </is>
      </c>
      <c r="F15730" s="8" t="inlineStr">
        <is>
          <t>STANDBY</t>
        </is>
      </c>
      <c r="G15730" s="8" t="n">
        <v>0</v>
      </c>
      <c r="H15730" s="8" t="inlineStr">
        <is>
          <t>CLOSED</t>
        </is>
      </c>
    </row>
    <row r="15731">
      <c r="A15731" s="8" t="inlineStr">
        <is>
          <t>2026-08-03</t>
        </is>
      </c>
      <c r="B15731" s="8" t="n">
        <v>17</v>
      </c>
      <c r="C15731" s="8" t="n">
        <v>1</v>
      </c>
      <c r="D15731" s="8" t="inlineStr">
        <is>
          <t>Disney Adventure World</t>
        </is>
      </c>
      <c r="E15731" s="8" t="inlineStr">
        <is>
          <t>Avengers Assemble: Flight Force Single Rider</t>
        </is>
      </c>
      <c r="F15731" s="8" t="inlineStr">
        <is>
          <t>STANDBY</t>
        </is>
      </c>
      <c r="G15731" s="8" t="n">
        <v>0</v>
      </c>
      <c r="H15731" s="8" t="inlineStr">
        <is>
          <t>CLOSED</t>
        </is>
      </c>
    </row>
    <row r="15732">
      <c r="A15732" s="8" t="inlineStr">
        <is>
          <t>2026-08-03</t>
        </is>
      </c>
      <c r="B15732" s="8" t="n">
        <v>17</v>
      </c>
      <c r="C15732" s="8" t="n">
        <v>1</v>
      </c>
      <c r="D15732" s="8" t="inlineStr">
        <is>
          <t>Disney Adventure World</t>
        </is>
      </c>
      <c r="E15732" s="8" t="inlineStr">
        <is>
          <t>Spider-Man W.E.B. Adventure</t>
        </is>
      </c>
      <c r="F15732" s="8" t="inlineStr">
        <is>
          <t>STANDBY</t>
        </is>
      </c>
      <c r="G15732" s="8" t="n">
        <v>50</v>
      </c>
      <c r="H15732" s="8" t="inlineStr">
        <is>
          <t>OPERATING</t>
        </is>
      </c>
    </row>
    <row r="15733">
      <c r="A15733" s="8" t="inlineStr">
        <is>
          <t>2026-08-03</t>
        </is>
      </c>
      <c r="B15733" s="8" t="n">
        <v>17</v>
      </c>
      <c r="C15733" s="8" t="n">
        <v>1</v>
      </c>
      <c r="D15733" s="8" t="inlineStr">
        <is>
          <t>Disney Adventure World</t>
        </is>
      </c>
      <c r="E15733" s="8" t="inlineStr">
        <is>
          <t>Spider-Man W.E.B. Adventure Single Rider</t>
        </is>
      </c>
      <c r="F15733" s="8" t="inlineStr">
        <is>
          <t>STANDBY</t>
        </is>
      </c>
      <c r="G15733" s="8" t="n">
        <v>20</v>
      </c>
      <c r="H15733" s="8" t="inlineStr">
        <is>
          <t>OPERATING</t>
        </is>
      </c>
    </row>
    <row r="15734">
      <c r="A15734" s="8" t="inlineStr">
        <is>
          <t>2026-08-03</t>
        </is>
      </c>
      <c r="B15734" s="8" t="n">
        <v>17</v>
      </c>
      <c r="C15734" s="8" t="n">
        <v>1</v>
      </c>
      <c r="D15734" s="8" t="inlineStr">
        <is>
          <t>Disney Adventure World</t>
        </is>
      </c>
      <c r="E15734" s="8" t="inlineStr">
        <is>
          <t>The Twilight Zone Tower of Terror</t>
        </is>
      </c>
      <c r="F15734" s="8" t="inlineStr">
        <is>
          <t>STANDBY</t>
        </is>
      </c>
      <c r="G15734" s="8" t="n">
        <v>20</v>
      </c>
      <c r="H15734" s="8" t="inlineStr">
        <is>
          <t>OPERATING</t>
        </is>
      </c>
    </row>
    <row r="15735">
      <c r="A15735" s="8" t="inlineStr">
        <is>
          <t>2026-08-03</t>
        </is>
      </c>
      <c r="B15735" s="8" t="n">
        <v>17</v>
      </c>
      <c r="C15735" s="8" t="n">
        <v>1</v>
      </c>
      <c r="D15735" s="8" t="inlineStr">
        <is>
          <t>Disney Adventure World</t>
        </is>
      </c>
      <c r="E15735" s="8" t="inlineStr">
        <is>
          <t>Cars Quatre Roues Rallye</t>
        </is>
      </c>
      <c r="F15735" s="8" t="inlineStr">
        <is>
          <t>STANDBY</t>
        </is>
      </c>
      <c r="G15735" s="8" t="n">
        <v>10</v>
      </c>
      <c r="H15735" s="8" t="inlineStr">
        <is>
          <t>OPERATING</t>
        </is>
      </c>
    </row>
    <row r="15736">
      <c r="A15736" s="8" t="inlineStr">
        <is>
          <t>2026-08-03</t>
        </is>
      </c>
      <c r="B15736" s="8" t="n">
        <v>17</v>
      </c>
      <c r="C15736" s="8" t="n">
        <v>1</v>
      </c>
      <c r="D15736" s="8" t="inlineStr">
        <is>
          <t>Disney Adventure World</t>
        </is>
      </c>
      <c r="E15736" s="8" t="inlineStr">
        <is>
          <t>Cars ROAD TRIP</t>
        </is>
      </c>
      <c r="F15736" s="8" t="inlineStr">
        <is>
          <t>STANDBY</t>
        </is>
      </c>
      <c r="G15736" s="8" t="n">
        <v>10</v>
      </c>
      <c r="H15736" s="8" t="inlineStr">
        <is>
          <t>OPERATING</t>
        </is>
      </c>
    </row>
    <row r="15737">
      <c r="A15737" s="8" t="inlineStr">
        <is>
          <t>2026-08-03</t>
        </is>
      </c>
      <c r="B15737" s="8" t="n">
        <v>17</v>
      </c>
      <c r="C15737" s="8" t="n">
        <v>1</v>
      </c>
      <c r="D15737" s="8" t="inlineStr">
        <is>
          <t>Disney Adventure World</t>
        </is>
      </c>
      <c r="E15737" s="8" t="inlineStr">
        <is>
          <t>Crush's Coaster</t>
        </is>
      </c>
      <c r="F15737" s="8" t="inlineStr">
        <is>
          <t>STANDBY</t>
        </is>
      </c>
      <c r="G15737" s="8" t="n">
        <v>70</v>
      </c>
      <c r="H15737" s="8" t="inlineStr">
        <is>
          <t>OPERATING</t>
        </is>
      </c>
    </row>
    <row r="15738">
      <c r="A15738" s="8" t="inlineStr">
        <is>
          <t>2026-08-03</t>
        </is>
      </c>
      <c r="B15738" s="8" t="n">
        <v>17</v>
      </c>
      <c r="C15738" s="8" t="n">
        <v>1</v>
      </c>
      <c r="D15738" s="8" t="inlineStr">
        <is>
          <t>Disney Adventure World</t>
        </is>
      </c>
      <c r="E15738" s="8" t="inlineStr">
        <is>
          <t>Crush's Coaster Single Rider</t>
        </is>
      </c>
      <c r="F15738" s="8" t="inlineStr">
        <is>
          <t>STANDBY</t>
        </is>
      </c>
      <c r="G15738" s="8" t="n">
        <v>55</v>
      </c>
      <c r="H15738" s="8" t="inlineStr">
        <is>
          <t>OPERATING</t>
        </is>
      </c>
    </row>
    <row r="15739">
      <c r="A15739" s="8" t="inlineStr">
        <is>
          <t>2026-08-03</t>
        </is>
      </c>
      <c r="B15739" s="8" t="n">
        <v>17</v>
      </c>
      <c r="C15739" s="8" t="n">
        <v>1</v>
      </c>
      <c r="D15739" s="8" t="inlineStr">
        <is>
          <t>Disney Adventure World</t>
        </is>
      </c>
      <c r="E15739" s="8" t="inlineStr">
        <is>
          <t>Les Tapis Volants - Flying Carpets Over Agrabah®</t>
        </is>
      </c>
      <c r="F15739" s="8" t="inlineStr">
        <is>
          <t>STANDBY</t>
        </is>
      </c>
      <c r="G15739" s="8" t="n">
        <v>0</v>
      </c>
      <c r="H15739" s="8" t="inlineStr">
        <is>
          <t>CLOSED</t>
        </is>
      </c>
    </row>
    <row r="15740">
      <c r="A15740" s="8" t="inlineStr">
        <is>
          <t>2026-08-03</t>
        </is>
      </c>
      <c r="B15740" s="8" t="n">
        <v>17</v>
      </c>
      <c r="C15740" s="8" t="n">
        <v>1</v>
      </c>
      <c r="D15740" s="8" t="inlineStr">
        <is>
          <t>Disney Adventure World</t>
        </is>
      </c>
      <c r="E15740" s="8" t="inlineStr">
        <is>
          <t>Ratatouille : L’Aventure Totalement Toquée de Rémy​</t>
        </is>
      </c>
      <c r="F15740" s="8" t="inlineStr">
        <is>
          <t>STANDBY</t>
        </is>
      </c>
      <c r="G15740" s="8" t="n">
        <v>45</v>
      </c>
      <c r="H15740" s="8" t="inlineStr">
        <is>
          <t>OPERATING</t>
        </is>
      </c>
    </row>
    <row r="15741">
      <c r="A15741" s="8" t="inlineStr">
        <is>
          <t>2026-08-03</t>
        </is>
      </c>
      <c r="B15741" s="8" t="n">
        <v>17</v>
      </c>
      <c r="C15741" s="8" t="n">
        <v>1</v>
      </c>
      <c r="D15741" s="8" t="inlineStr">
        <is>
          <t>Disney Adventure World</t>
        </is>
      </c>
      <c r="E15741" s="8" t="inlineStr">
        <is>
          <t>Ratatouille: The Adventure Single Rider</t>
        </is>
      </c>
      <c r="F15741" s="8" t="inlineStr">
        <is>
          <t>STANDBY</t>
        </is>
      </c>
      <c r="G15741" s="8" t="n">
        <v>15</v>
      </c>
      <c r="H15741" s="8" t="inlineStr">
        <is>
          <t>OPERATING</t>
        </is>
      </c>
    </row>
    <row r="15742">
      <c r="A15742" s="8" t="inlineStr">
        <is>
          <t>2026-08-03</t>
        </is>
      </c>
      <c r="B15742" s="8" t="n">
        <v>17</v>
      </c>
      <c r="C15742" s="8" t="n">
        <v>1</v>
      </c>
      <c r="D15742" s="8" t="inlineStr">
        <is>
          <t>Disney Adventure World</t>
        </is>
      </c>
      <c r="E15742" s="8" t="inlineStr">
        <is>
          <t>RC Racer</t>
        </is>
      </c>
      <c r="F15742" s="8" t="inlineStr">
        <is>
          <t>STANDBY</t>
        </is>
      </c>
      <c r="G15742" s="8" t="n">
        <v>40</v>
      </c>
      <c r="H15742" s="8" t="inlineStr">
        <is>
          <t>OPERATING</t>
        </is>
      </c>
    </row>
    <row r="15743">
      <c r="A15743" s="8" t="inlineStr">
        <is>
          <t>2026-08-03</t>
        </is>
      </c>
      <c r="B15743" s="8" t="n">
        <v>17</v>
      </c>
      <c r="C15743" s="8" t="n">
        <v>1</v>
      </c>
      <c r="D15743" s="8" t="inlineStr">
        <is>
          <t>Disney Adventure World</t>
        </is>
      </c>
      <c r="E15743" s="8" t="inlineStr">
        <is>
          <t>RC Racer Single Rider</t>
        </is>
      </c>
      <c r="F15743" s="8" t="inlineStr">
        <is>
          <t>STANDBY</t>
        </is>
      </c>
      <c r="G15743" s="8" t="n">
        <v>35</v>
      </c>
      <c r="H15743" s="8" t="inlineStr">
        <is>
          <t>OPERATING</t>
        </is>
      </c>
    </row>
    <row r="15744">
      <c r="A15744" s="8" t="inlineStr">
        <is>
          <t>2026-08-03</t>
        </is>
      </c>
      <c r="B15744" s="8" t="n">
        <v>17</v>
      </c>
      <c r="C15744" s="8" t="n">
        <v>1</v>
      </c>
      <c r="D15744" s="8" t="inlineStr">
        <is>
          <t>Disney Adventure World</t>
        </is>
      </c>
      <c r="E15744" s="8" t="inlineStr">
        <is>
          <t>Slinky® Dog Zigzag Spin</t>
        </is>
      </c>
      <c r="F15744" s="8" t="inlineStr">
        <is>
          <t>STANDBY</t>
        </is>
      </c>
      <c r="G15744" s="8" t="n">
        <v>0</v>
      </c>
      <c r="H15744" s="8" t="inlineStr">
        <is>
          <t>CLOSED</t>
        </is>
      </c>
    </row>
    <row r="15745">
      <c r="A15745" s="8" t="inlineStr">
        <is>
          <t>2026-08-03</t>
        </is>
      </c>
      <c r="B15745" s="8" t="n">
        <v>17</v>
      </c>
      <c r="C15745" s="8" t="n">
        <v>1</v>
      </c>
      <c r="D15745" s="8" t="inlineStr">
        <is>
          <t>Disney Adventure World</t>
        </is>
      </c>
      <c r="E15745" s="8" t="inlineStr">
        <is>
          <t>Toy Soldiers Parachute Drop</t>
        </is>
      </c>
      <c r="F15745" s="8" t="inlineStr">
        <is>
          <t>STANDBY</t>
        </is>
      </c>
      <c r="G15745" s="8" t="n">
        <v>40</v>
      </c>
      <c r="H15745" s="8" t="inlineStr">
        <is>
          <t>OPERATING</t>
        </is>
      </c>
    </row>
    <row r="15746">
      <c r="A15746" s="8" t="inlineStr">
        <is>
          <t>2026-08-03</t>
        </is>
      </c>
      <c r="B15746" s="8" t="n">
        <v>17</v>
      </c>
      <c r="C15746" s="8" t="n">
        <v>1</v>
      </c>
      <c r="D15746" s="8" t="inlineStr">
        <is>
          <t>Disney Adventure World</t>
        </is>
      </c>
      <c r="E15746" s="8" t="inlineStr">
        <is>
          <t>Toy Soldiers Parachute Drop Single Rider</t>
        </is>
      </c>
      <c r="F15746" s="8" t="inlineStr">
        <is>
          <t>STANDBY</t>
        </is>
      </c>
      <c r="G15746" s="8" t="n">
        <v>15</v>
      </c>
      <c r="H15746" s="8" t="inlineStr">
        <is>
          <t>OPERATING</t>
        </is>
      </c>
    </row>
    <row r="15747">
      <c r="A15747" s="8" t="inlineStr">
        <is>
          <t>2026-08-03</t>
        </is>
      </c>
      <c r="B15747" s="8" t="n">
        <v>17</v>
      </c>
      <c r="C15747" s="8" t="n">
        <v>1</v>
      </c>
      <c r="D15747" s="8" t="inlineStr">
        <is>
          <t>Disney Adventure World</t>
        </is>
      </c>
      <c r="E15747" s="8" t="inlineStr">
        <is>
          <t>Entry to World of Frozen</t>
        </is>
      </c>
      <c r="F15747" s="8" t="inlineStr">
        <is>
          <t>STANDBY</t>
        </is>
      </c>
      <c r="G15747" s="8" t="n">
        <v>0</v>
      </c>
      <c r="H15747" s="8" t="inlineStr">
        <is>
          <t>OPERATING</t>
        </is>
      </c>
    </row>
    <row r="15748">
      <c r="A15748" s="8" t="inlineStr">
        <is>
          <t>2026-08-03</t>
        </is>
      </c>
      <c r="B15748" s="8" t="n">
        <v>17</v>
      </c>
      <c r="C15748" s="8" t="n">
        <v>1</v>
      </c>
      <c r="D15748" s="8" t="inlineStr">
        <is>
          <t>Disney Adventure World</t>
        </is>
      </c>
      <c r="E15748" s="8" t="inlineStr">
        <is>
          <t>Frozen Ever After</t>
        </is>
      </c>
      <c r="F15748" s="8" t="inlineStr">
        <is>
          <t>STANDBY</t>
        </is>
      </c>
      <c r="G15748" s="8" t="n">
        <v>45</v>
      </c>
      <c r="H15748" s="8" t="inlineStr">
        <is>
          <t>OPERATING</t>
        </is>
      </c>
    </row>
    <row r="15749">
      <c r="A15749" s="8" t="inlineStr">
        <is>
          <t>2026-08-03</t>
        </is>
      </c>
      <c r="B15749" s="8" t="n">
        <v>17</v>
      </c>
      <c r="C15749" s="8" t="n">
        <v>1</v>
      </c>
      <c r="D15749" s="8" t="inlineStr">
        <is>
          <t>Disney Adventure World</t>
        </is>
      </c>
      <c r="E15749" s="8" t="inlineStr">
        <is>
          <t>Raiponce Tangled Spin</t>
        </is>
      </c>
      <c r="F15749" s="8" t="inlineStr">
        <is>
          <t>STANDBY</t>
        </is>
      </c>
      <c r="G15749" s="8" t="n">
        <v>5</v>
      </c>
      <c r="H15749" s="8" t="inlineStr">
        <is>
          <t>OPERATING</t>
        </is>
      </c>
    </row>
    <row r="15750">
      <c r="A15750" s="8" t="inlineStr">
        <is>
          <t>2026-08-03</t>
        </is>
      </c>
      <c r="B15750" s="8" t="n">
        <v>17</v>
      </c>
      <c r="C15750" s="8" t="n">
        <v>15</v>
      </c>
      <c r="D15750" s="8" t="inlineStr">
        <is>
          <t>Disneyland Park</t>
        </is>
      </c>
      <c r="E15750" s="8" t="inlineStr">
        <is>
          <t>Adventure Isle</t>
        </is>
      </c>
      <c r="F15750" s="8" t="inlineStr">
        <is>
          <t>STANDBY</t>
        </is>
      </c>
      <c r="G15750" s="8" t="n">
        <v>0</v>
      </c>
      <c r="H15750" s="8" t="inlineStr">
        <is>
          <t>OPERATING</t>
        </is>
      </c>
    </row>
    <row r="15751">
      <c r="A15751" s="8" t="inlineStr">
        <is>
          <t>2026-08-03</t>
        </is>
      </c>
      <c r="B15751" s="8" t="n">
        <v>17</v>
      </c>
      <c r="C15751" s="8" t="n">
        <v>15</v>
      </c>
      <c r="D15751" s="8" t="inlineStr">
        <is>
          <t>Disneyland Park</t>
        </is>
      </c>
      <c r="E15751" s="8" t="inlineStr">
        <is>
          <t>Indiana Jones and the Temple of Peril Single Rider</t>
        </is>
      </c>
      <c r="F15751" s="8" t="inlineStr">
        <is>
          <t>STANDBY</t>
        </is>
      </c>
      <c r="G15751" s="8" t="n">
        <v>5</v>
      </c>
      <c r="H15751" s="8" t="inlineStr">
        <is>
          <t>OPERATING</t>
        </is>
      </c>
    </row>
    <row r="15752">
      <c r="A15752" s="8" t="inlineStr">
        <is>
          <t>2026-08-03</t>
        </is>
      </c>
      <c r="B15752" s="8" t="n">
        <v>17</v>
      </c>
      <c r="C15752" s="8" t="n">
        <v>15</v>
      </c>
      <c r="D15752" s="8" t="inlineStr">
        <is>
          <t>Disneyland Park</t>
        </is>
      </c>
      <c r="E15752" s="8" t="inlineStr">
        <is>
          <t>Indiana Jones™ and the Temple of Peril</t>
        </is>
      </c>
      <c r="F15752" s="8" t="inlineStr">
        <is>
          <t>STANDBY</t>
        </is>
      </c>
      <c r="G15752" s="8" t="n">
        <v>5</v>
      </c>
      <c r="H15752" s="8" t="inlineStr">
        <is>
          <t>OPERATING</t>
        </is>
      </c>
    </row>
    <row r="15753">
      <c r="A15753" s="8" t="inlineStr">
        <is>
          <t>2026-08-03</t>
        </is>
      </c>
      <c r="B15753" s="8" t="n">
        <v>17</v>
      </c>
      <c r="C15753" s="8" t="n">
        <v>15</v>
      </c>
      <c r="D15753" s="8" t="inlineStr">
        <is>
          <t>Disneyland Park</t>
        </is>
      </c>
      <c r="E15753" s="8" t="inlineStr">
        <is>
          <t>La Cabane des Robinson</t>
        </is>
      </c>
      <c r="F15753" s="8" t="inlineStr">
        <is>
          <t>STANDBY</t>
        </is>
      </c>
      <c r="G15753" s="8" t="n">
        <v>5</v>
      </c>
      <c r="H15753" s="8" t="inlineStr">
        <is>
          <t>OPERATING</t>
        </is>
      </c>
    </row>
    <row r="15754">
      <c r="A15754" s="8" t="inlineStr">
        <is>
          <t>2026-08-03</t>
        </is>
      </c>
      <c r="B15754" s="8" t="n">
        <v>17</v>
      </c>
      <c r="C15754" s="8" t="n">
        <v>15</v>
      </c>
      <c r="D15754" s="8" t="inlineStr">
        <is>
          <t>Disneyland Park</t>
        </is>
      </c>
      <c r="E15754" s="8" t="inlineStr">
        <is>
          <t>Le Passage Enchanté d'Aladdin</t>
        </is>
      </c>
      <c r="F15754" s="8" t="inlineStr">
        <is>
          <t>STANDBY</t>
        </is>
      </c>
      <c r="G15754" s="8" t="n">
        <v>0</v>
      </c>
      <c r="H15754" s="8" t="inlineStr">
        <is>
          <t>OPERATING</t>
        </is>
      </c>
    </row>
    <row r="15755">
      <c r="A15755" s="8" t="inlineStr">
        <is>
          <t>2026-08-03</t>
        </is>
      </c>
      <c r="B15755" s="8" t="n">
        <v>17</v>
      </c>
      <c r="C15755" s="8" t="n">
        <v>15</v>
      </c>
      <c r="D15755" s="8" t="inlineStr">
        <is>
          <t>Disneyland Park</t>
        </is>
      </c>
      <c r="E15755" s="8" t="inlineStr">
        <is>
          <t>Pirate Galleon</t>
        </is>
      </c>
      <c r="F15755" s="8" t="inlineStr">
        <is>
          <t>STANDBY</t>
        </is>
      </c>
      <c r="G15755" s="8" t="n">
        <v>0</v>
      </c>
      <c r="H15755" s="8" t="inlineStr">
        <is>
          <t>CLOSED</t>
        </is>
      </c>
    </row>
    <row r="15756">
      <c r="A15756" s="8" t="inlineStr">
        <is>
          <t>2026-08-03</t>
        </is>
      </c>
      <c r="B15756" s="8" t="n">
        <v>17</v>
      </c>
      <c r="C15756" s="8" t="n">
        <v>15</v>
      </c>
      <c r="D15756" s="8" t="inlineStr">
        <is>
          <t>Disneyland Park</t>
        </is>
      </c>
      <c r="E15756" s="8" t="inlineStr">
        <is>
          <t>Pirates of the Caribbean</t>
        </is>
      </c>
      <c r="F15756" s="8" t="inlineStr">
        <is>
          <t>STANDBY</t>
        </is>
      </c>
      <c r="G15756" s="8" t="n">
        <v>25</v>
      </c>
      <c r="H15756" s="8" t="inlineStr">
        <is>
          <t>OPERATING</t>
        </is>
      </c>
    </row>
    <row r="15757">
      <c r="A15757" s="8" t="inlineStr">
        <is>
          <t>2026-08-03</t>
        </is>
      </c>
      <c r="B15757" s="8" t="n">
        <v>17</v>
      </c>
      <c r="C15757" s="8" t="n">
        <v>15</v>
      </c>
      <c r="D15757" s="8" t="inlineStr">
        <is>
          <t>Disneyland Park</t>
        </is>
      </c>
      <c r="E15757" s="8" t="inlineStr">
        <is>
          <t>Pirates' Beach</t>
        </is>
      </c>
      <c r="F15757" s="8" t="inlineStr">
        <is>
          <t>STANDBY</t>
        </is>
      </c>
      <c r="G15757" s="8" t="n">
        <v>0</v>
      </c>
      <c r="H15757" s="8" t="inlineStr">
        <is>
          <t>OPERATING</t>
        </is>
      </c>
    </row>
    <row r="15758">
      <c r="A15758" s="8" t="inlineStr">
        <is>
          <t>2026-08-03</t>
        </is>
      </c>
      <c r="B15758" s="8" t="n">
        <v>17</v>
      </c>
      <c r="C15758" s="8" t="n">
        <v>15</v>
      </c>
      <c r="D15758" s="8" t="inlineStr">
        <is>
          <t>Disneyland Park</t>
        </is>
      </c>
      <c r="E15758" s="8" t="inlineStr">
        <is>
          <t>Autopia, presented by Avis</t>
        </is>
      </c>
      <c r="F15758" s="8" t="inlineStr">
        <is>
          <t>STANDBY</t>
        </is>
      </c>
      <c r="G15758" s="8" t="n">
        <v>0</v>
      </c>
      <c r="H15758" s="8" t="inlineStr">
        <is>
          <t>CLOSED</t>
        </is>
      </c>
    </row>
    <row r="15759">
      <c r="A15759" s="8" t="inlineStr">
        <is>
          <t>2026-08-03</t>
        </is>
      </c>
      <c r="B15759" s="8" t="n">
        <v>17</v>
      </c>
      <c r="C15759" s="8" t="n">
        <v>15</v>
      </c>
      <c r="D15759" s="8" t="inlineStr">
        <is>
          <t>Disneyland Park</t>
        </is>
      </c>
      <c r="E15759" s="8" t="inlineStr">
        <is>
          <t>Buzz Lightyear Laser Blast</t>
        </is>
      </c>
      <c r="F15759" s="8" t="inlineStr">
        <is>
          <t>STANDBY</t>
        </is>
      </c>
      <c r="G15759" s="8" t="n">
        <v>0</v>
      </c>
      <c r="H15759" s="8" t="inlineStr">
        <is>
          <t>CLOSED</t>
        </is>
      </c>
    </row>
    <row r="15760">
      <c r="A15760" s="8" t="inlineStr">
        <is>
          <t>2026-08-03</t>
        </is>
      </c>
      <c r="B15760" s="8" t="n">
        <v>17</v>
      </c>
      <c r="C15760" s="8" t="n">
        <v>15</v>
      </c>
      <c r="D15760" s="8" t="inlineStr">
        <is>
          <t>Disneyland Park</t>
        </is>
      </c>
      <c r="E15760" s="8" t="inlineStr">
        <is>
          <t>Disneyland Railroad Discoveryland Station</t>
        </is>
      </c>
      <c r="F15760" s="8" t="inlineStr">
        <is>
          <t>STANDBY</t>
        </is>
      </c>
      <c r="G15760" s="8" t="n">
        <v>0</v>
      </c>
      <c r="H15760" s="8" t="inlineStr">
        <is>
          <t>CLOSED</t>
        </is>
      </c>
    </row>
    <row r="15761">
      <c r="A15761" s="8" t="inlineStr">
        <is>
          <t>2026-08-03</t>
        </is>
      </c>
      <c r="B15761" s="8" t="n">
        <v>17</v>
      </c>
      <c r="C15761" s="8" t="n">
        <v>15</v>
      </c>
      <c r="D15761" s="8" t="inlineStr">
        <is>
          <t>Disneyland Park</t>
        </is>
      </c>
      <c r="E15761" s="8" t="inlineStr">
        <is>
          <t>Les Mystères du Nautilus</t>
        </is>
      </c>
      <c r="F15761" s="8" t="inlineStr">
        <is>
          <t>STANDBY</t>
        </is>
      </c>
      <c r="G15761" s="8" t="n">
        <v>5</v>
      </c>
      <c r="H15761" s="8" t="inlineStr">
        <is>
          <t>OPERATING</t>
        </is>
      </c>
    </row>
    <row r="15762">
      <c r="A15762" s="8" t="inlineStr">
        <is>
          <t>2026-08-03</t>
        </is>
      </c>
      <c r="B15762" s="8" t="n">
        <v>17</v>
      </c>
      <c r="C15762" s="8" t="n">
        <v>15</v>
      </c>
      <c r="D15762" s="8" t="inlineStr">
        <is>
          <t>Disneyland Park</t>
        </is>
      </c>
      <c r="E15762" s="8" t="inlineStr">
        <is>
          <t>Mickey’s PhilharMagic</t>
        </is>
      </c>
      <c r="F15762" s="8" t="inlineStr">
        <is>
          <t>STANDBY</t>
        </is>
      </c>
      <c r="G15762" s="8" t="n">
        <v>0</v>
      </c>
      <c r="H15762" s="8" t="inlineStr">
        <is>
          <t>OPERATING</t>
        </is>
      </c>
    </row>
    <row r="15763">
      <c r="A15763" s="8" t="inlineStr">
        <is>
          <t>2026-08-03</t>
        </is>
      </c>
      <c r="B15763" s="8" t="n">
        <v>17</v>
      </c>
      <c r="C15763" s="8" t="n">
        <v>15</v>
      </c>
      <c r="D15763" s="8" t="inlineStr">
        <is>
          <t>Disneyland Park</t>
        </is>
      </c>
      <c r="E15763" s="8" t="inlineStr">
        <is>
          <t>Orbitron®</t>
        </is>
      </c>
      <c r="F15763" s="8" t="inlineStr">
        <is>
          <t>STANDBY</t>
        </is>
      </c>
      <c r="G15763" s="8" t="n">
        <v>0</v>
      </c>
      <c r="H15763" s="8" t="inlineStr">
        <is>
          <t>CLOSED</t>
        </is>
      </c>
    </row>
    <row r="15764">
      <c r="A15764" s="8" t="inlineStr">
        <is>
          <t>2026-08-03</t>
        </is>
      </c>
      <c r="B15764" s="8" t="n">
        <v>17</v>
      </c>
      <c r="C15764" s="8" t="n">
        <v>15</v>
      </c>
      <c r="D15764" s="8" t="inlineStr">
        <is>
          <t>Disneyland Park</t>
        </is>
      </c>
      <c r="E15764" s="8" t="inlineStr">
        <is>
          <t>Star Tours: The Adventures Continue*</t>
        </is>
      </c>
      <c r="F15764" s="8" t="inlineStr">
        <is>
          <t>STANDBY</t>
        </is>
      </c>
      <c r="G15764" s="8" t="n">
        <v>10</v>
      </c>
      <c r="H15764" s="8" t="inlineStr">
        <is>
          <t>OPERATING</t>
        </is>
      </c>
    </row>
    <row r="15765">
      <c r="A15765" s="8" t="inlineStr">
        <is>
          <t>2026-08-03</t>
        </is>
      </c>
      <c r="B15765" s="8" t="n">
        <v>17</v>
      </c>
      <c r="C15765" s="8" t="n">
        <v>15</v>
      </c>
      <c r="D15765" s="8" t="inlineStr">
        <is>
          <t>Disneyland Park</t>
        </is>
      </c>
      <c r="E15765" s="8" t="inlineStr">
        <is>
          <t>Star Wars Hyperspace Mountain</t>
        </is>
      </c>
      <c r="F15765" s="8" t="inlineStr">
        <is>
          <t>STANDBY</t>
        </is>
      </c>
      <c r="G15765" s="8" t="n">
        <v>55</v>
      </c>
      <c r="H15765" s="8" t="inlineStr">
        <is>
          <t>OPERATING</t>
        </is>
      </c>
    </row>
    <row r="15766">
      <c r="A15766" s="8" t="inlineStr">
        <is>
          <t>2026-08-03</t>
        </is>
      </c>
      <c r="B15766" s="8" t="n">
        <v>17</v>
      </c>
      <c r="C15766" s="8" t="n">
        <v>15</v>
      </c>
      <c r="D15766" s="8" t="inlineStr">
        <is>
          <t>Disneyland Park</t>
        </is>
      </c>
      <c r="E15766" s="8" t="inlineStr">
        <is>
          <t>Star Wars Hyperspace Mountain Single Rider</t>
        </is>
      </c>
      <c r="F15766" s="8" t="inlineStr">
        <is>
          <t>STANDBY</t>
        </is>
      </c>
      <c r="G15766" s="8" t="n">
        <v>30</v>
      </c>
      <c r="H15766" s="8" t="inlineStr">
        <is>
          <t>OPERATING</t>
        </is>
      </c>
    </row>
    <row r="15767">
      <c r="A15767" s="8" t="inlineStr">
        <is>
          <t>2026-08-03</t>
        </is>
      </c>
      <c r="B15767" s="8" t="n">
        <v>17</v>
      </c>
      <c r="C15767" s="8" t="n">
        <v>15</v>
      </c>
      <c r="D15767" s="8" t="inlineStr">
        <is>
          <t>Disneyland Park</t>
        </is>
      </c>
      <c r="E15767" s="8" t="inlineStr">
        <is>
          <t>Welcome to Starport: A Star Wars Encounter</t>
        </is>
      </c>
      <c r="F15767" s="8" t="inlineStr">
        <is>
          <t>STANDBY</t>
        </is>
      </c>
      <c r="G15767" s="8" t="n">
        <v>0</v>
      </c>
      <c r="H15767" s="8" t="inlineStr">
        <is>
          <t>CLOSED</t>
        </is>
      </c>
    </row>
    <row r="15768">
      <c r="A15768" s="8" t="inlineStr">
        <is>
          <t>2026-08-03</t>
        </is>
      </c>
      <c r="B15768" s="8" t="n">
        <v>17</v>
      </c>
      <c r="C15768" s="8" t="n">
        <v>15</v>
      </c>
      <c r="D15768" s="8" t="inlineStr">
        <is>
          <t>Disneyland Park</t>
        </is>
      </c>
      <c r="E15768" s="8" t="inlineStr">
        <is>
          <t>"it's a small world"</t>
        </is>
      </c>
      <c r="F15768" s="8" t="inlineStr">
        <is>
          <t>STANDBY</t>
        </is>
      </c>
      <c r="G15768" s="8" t="n">
        <v>5</v>
      </c>
      <c r="H15768" s="8" t="inlineStr">
        <is>
          <t>OPERATING</t>
        </is>
      </c>
    </row>
    <row r="15769">
      <c r="A15769" s="8" t="inlineStr">
        <is>
          <t>2026-08-03</t>
        </is>
      </c>
      <c r="B15769" s="8" t="n">
        <v>17</v>
      </c>
      <c r="C15769" s="8" t="n">
        <v>15</v>
      </c>
      <c r="D15769" s="8" t="inlineStr">
        <is>
          <t>Disneyland Park</t>
        </is>
      </c>
      <c r="E15769" s="8" t="inlineStr">
        <is>
          <t>Alice's Curious Labyrinth</t>
        </is>
      </c>
      <c r="F15769" s="8" t="inlineStr">
        <is>
          <t>STANDBY</t>
        </is>
      </c>
      <c r="G15769" s="8" t="n">
        <v>5</v>
      </c>
      <c r="H15769" s="8" t="inlineStr">
        <is>
          <t>OPERATING</t>
        </is>
      </c>
    </row>
    <row r="15770">
      <c r="A15770" s="8" t="inlineStr">
        <is>
          <t>2026-08-03</t>
        </is>
      </c>
      <c r="B15770" s="8" t="n">
        <v>17</v>
      </c>
      <c r="C15770" s="8" t="n">
        <v>15</v>
      </c>
      <c r="D15770" s="8" t="inlineStr">
        <is>
          <t>Disneyland Park</t>
        </is>
      </c>
      <c r="E15770" s="8" t="inlineStr">
        <is>
          <t>Blanche-Neige et les Sept Nains®</t>
        </is>
      </c>
      <c r="F15770" s="8" t="inlineStr">
        <is>
          <t>STANDBY</t>
        </is>
      </c>
      <c r="G15770" s="8" t="n">
        <v>20</v>
      </c>
      <c r="H15770" s="8" t="inlineStr">
        <is>
          <t>OPERATING</t>
        </is>
      </c>
    </row>
    <row r="15771">
      <c r="A15771" s="8" t="inlineStr">
        <is>
          <t>2026-08-03</t>
        </is>
      </c>
      <c r="B15771" s="8" t="n">
        <v>17</v>
      </c>
      <c r="C15771" s="8" t="n">
        <v>15</v>
      </c>
      <c r="D15771" s="8" t="inlineStr">
        <is>
          <t>Disneyland Park</t>
        </is>
      </c>
      <c r="E15771" s="8" t="inlineStr">
        <is>
          <t>Casey Jr. – le Petit Train du Cirque</t>
        </is>
      </c>
      <c r="F15771" s="8" t="inlineStr">
        <is>
          <t>STANDBY</t>
        </is>
      </c>
      <c r="G15771" s="8" t="n">
        <v>0</v>
      </c>
      <c r="H15771" s="8" t="inlineStr">
        <is>
          <t>CLOSED</t>
        </is>
      </c>
    </row>
    <row r="15772">
      <c r="A15772" s="8" t="inlineStr">
        <is>
          <t>2026-08-03</t>
        </is>
      </c>
      <c r="B15772" s="8" t="n">
        <v>17</v>
      </c>
      <c r="C15772" s="8" t="n">
        <v>15</v>
      </c>
      <c r="D15772" s="8" t="inlineStr">
        <is>
          <t>Disneyland Park</t>
        </is>
      </c>
      <c r="E15772" s="8" t="inlineStr">
        <is>
          <t>Disneyland Railroad Fantasyland Station</t>
        </is>
      </c>
      <c r="F15772" s="8" t="inlineStr">
        <is>
          <t>STANDBY</t>
        </is>
      </c>
      <c r="G15772" s="8" t="n">
        <v>0</v>
      </c>
      <c r="H15772" s="8" t="inlineStr">
        <is>
          <t>CLOSED</t>
        </is>
      </c>
    </row>
    <row r="15773">
      <c r="A15773" s="8" t="inlineStr">
        <is>
          <t>2026-08-03</t>
        </is>
      </c>
      <c r="B15773" s="8" t="n">
        <v>17</v>
      </c>
      <c r="C15773" s="8" t="n">
        <v>15</v>
      </c>
      <c r="D15773" s="8" t="inlineStr">
        <is>
          <t>Disneyland Park</t>
        </is>
      </c>
      <c r="E15773" s="8" t="inlineStr">
        <is>
          <t>Disneyland Railroad Main Street Station</t>
        </is>
      </c>
      <c r="F15773" s="8" t="inlineStr">
        <is>
          <t>STANDBY</t>
        </is>
      </c>
      <c r="G15773" s="8" t="n">
        <v>0</v>
      </c>
      <c r="H15773" s="8" t="inlineStr">
        <is>
          <t>CLOSED</t>
        </is>
      </c>
    </row>
    <row r="15774">
      <c r="A15774" s="8" t="inlineStr">
        <is>
          <t>2026-08-03</t>
        </is>
      </c>
      <c r="B15774" s="8" t="n">
        <v>17</v>
      </c>
      <c r="C15774" s="8" t="n">
        <v>15</v>
      </c>
      <c r="D15774" s="8" t="inlineStr">
        <is>
          <t>Disneyland Park</t>
        </is>
      </c>
      <c r="E15774" s="8" t="inlineStr">
        <is>
          <t>Dumbo the Flying Elephant</t>
        </is>
      </c>
      <c r="F15774" s="8" t="inlineStr">
        <is>
          <t>STANDBY</t>
        </is>
      </c>
      <c r="G15774" s="8" t="n">
        <v>0</v>
      </c>
      <c r="H15774" s="8" t="inlineStr">
        <is>
          <t>CLOSED</t>
        </is>
      </c>
    </row>
    <row r="15775">
      <c r="A15775" s="8" t="inlineStr">
        <is>
          <t>2026-08-03</t>
        </is>
      </c>
      <c r="B15775" s="8" t="n">
        <v>17</v>
      </c>
      <c r="C15775" s="8" t="n">
        <v>15</v>
      </c>
      <c r="D15775" s="8" t="inlineStr">
        <is>
          <t>Disneyland Park</t>
        </is>
      </c>
      <c r="E15775" s="8" t="inlineStr">
        <is>
          <t>La Tanière du Dragon</t>
        </is>
      </c>
      <c r="F15775" s="8" t="inlineStr">
        <is>
          <t>STANDBY</t>
        </is>
      </c>
      <c r="G15775" s="8" t="n">
        <v>0</v>
      </c>
      <c r="H15775" s="8" t="inlineStr">
        <is>
          <t>OPERATING</t>
        </is>
      </c>
    </row>
    <row r="15776">
      <c r="A15776" s="8" t="inlineStr">
        <is>
          <t>2026-08-03</t>
        </is>
      </c>
      <c r="B15776" s="8" t="n">
        <v>17</v>
      </c>
      <c r="C15776" s="8" t="n">
        <v>15</v>
      </c>
      <c r="D15776" s="8" t="inlineStr">
        <is>
          <t>Disneyland Park</t>
        </is>
      </c>
      <c r="E15776" s="8" t="inlineStr">
        <is>
          <t>Le Carrousel de Lancelot</t>
        </is>
      </c>
      <c r="F15776" s="8" t="inlineStr">
        <is>
          <t>STANDBY</t>
        </is>
      </c>
      <c r="G15776" s="8" t="n">
        <v>10</v>
      </c>
      <c r="H15776" s="8" t="inlineStr">
        <is>
          <t>OPERATING</t>
        </is>
      </c>
    </row>
    <row r="15777">
      <c r="A15777" s="8" t="inlineStr">
        <is>
          <t>2026-08-03</t>
        </is>
      </c>
      <c r="B15777" s="8" t="n">
        <v>17</v>
      </c>
      <c r="C15777" s="8" t="n">
        <v>15</v>
      </c>
      <c r="D15777" s="8" t="inlineStr">
        <is>
          <t>Disneyland Park</t>
        </is>
      </c>
      <c r="E15777" s="8" t="inlineStr">
        <is>
          <t>Le Pays des Contes de Fées, presented by Vittel</t>
        </is>
      </c>
      <c r="F15777" s="8" t="inlineStr">
        <is>
          <t>STANDBY</t>
        </is>
      </c>
      <c r="G15777" s="8" t="n">
        <v>0</v>
      </c>
      <c r="H15777" s="8" t="inlineStr">
        <is>
          <t>CLOSED</t>
        </is>
      </c>
    </row>
    <row r="15778">
      <c r="A15778" s="8" t="inlineStr">
        <is>
          <t>2026-08-03</t>
        </is>
      </c>
      <c r="B15778" s="8" t="n">
        <v>17</v>
      </c>
      <c r="C15778" s="8" t="n">
        <v>15</v>
      </c>
      <c r="D15778" s="8" t="inlineStr">
        <is>
          <t>Disneyland Park</t>
        </is>
      </c>
      <c r="E15778" s="8" t="inlineStr">
        <is>
          <t>Les Voyages de Pinocchio</t>
        </is>
      </c>
      <c r="F15778" s="8" t="inlineStr">
        <is>
          <t>STANDBY</t>
        </is>
      </c>
      <c r="G15778" s="8" t="n">
        <v>15</v>
      </c>
      <c r="H15778" s="8" t="inlineStr">
        <is>
          <t>OPERATING</t>
        </is>
      </c>
    </row>
    <row r="15779">
      <c r="A15779" s="8" t="inlineStr">
        <is>
          <t>2026-08-03</t>
        </is>
      </c>
      <c r="B15779" s="8" t="n">
        <v>17</v>
      </c>
      <c r="C15779" s="8" t="n">
        <v>15</v>
      </c>
      <c r="D15779" s="8" t="inlineStr">
        <is>
          <t>Disneyland Park</t>
        </is>
      </c>
      <c r="E15779" s="8" t="inlineStr">
        <is>
          <t>Mad Hatter's Tea Cups</t>
        </is>
      </c>
      <c r="F15779" s="8" t="inlineStr">
        <is>
          <t>STANDBY</t>
        </is>
      </c>
      <c r="G15779" s="8" t="n">
        <v>5</v>
      </c>
      <c r="H15779" s="8" t="inlineStr">
        <is>
          <t>OPERATING</t>
        </is>
      </c>
    </row>
    <row r="15780">
      <c r="A15780" s="8" t="inlineStr">
        <is>
          <t>2026-08-03</t>
        </is>
      </c>
      <c r="B15780" s="8" t="n">
        <v>17</v>
      </c>
      <c r="C15780" s="8" t="n">
        <v>15</v>
      </c>
      <c r="D15780" s="8" t="inlineStr">
        <is>
          <t>Disneyland Park</t>
        </is>
      </c>
      <c r="E15780" s="8" t="inlineStr">
        <is>
          <t>Meet Mickey Mouse</t>
        </is>
      </c>
      <c r="F15780" s="8" t="inlineStr">
        <is>
          <t>STANDBY</t>
        </is>
      </c>
      <c r="G15780" s="8" t="n">
        <v>0</v>
      </c>
      <c r="H15780" s="8" t="inlineStr">
        <is>
          <t>OPERATING</t>
        </is>
      </c>
    </row>
    <row r="15781">
      <c r="A15781" s="8" t="inlineStr">
        <is>
          <t>2026-08-03</t>
        </is>
      </c>
      <c r="B15781" s="8" t="n">
        <v>17</v>
      </c>
      <c r="C15781" s="8" t="n">
        <v>15</v>
      </c>
      <c r="D15781" s="8" t="inlineStr">
        <is>
          <t>Disneyland Park</t>
        </is>
      </c>
      <c r="E15781" s="8" t="inlineStr">
        <is>
          <t>Peter Pan's Flight</t>
        </is>
      </c>
      <c r="F15781" s="8" t="inlineStr">
        <is>
          <t>STANDBY</t>
        </is>
      </c>
      <c r="G15781" s="8" t="n">
        <v>55</v>
      </c>
      <c r="H15781" s="8" t="inlineStr">
        <is>
          <t>OPERATING</t>
        </is>
      </c>
    </row>
    <row r="15782">
      <c r="A15782" s="8" t="inlineStr">
        <is>
          <t>2026-08-03</t>
        </is>
      </c>
      <c r="B15782" s="8" t="n">
        <v>17</v>
      </c>
      <c r="C15782" s="8" t="n">
        <v>15</v>
      </c>
      <c r="D15782" s="8" t="inlineStr">
        <is>
          <t>Disneyland Park</t>
        </is>
      </c>
      <c r="E15782" s="8" t="inlineStr">
        <is>
          <t>Princess Pavilion</t>
        </is>
      </c>
      <c r="F15782" s="8" t="inlineStr">
        <is>
          <t>STANDBY</t>
        </is>
      </c>
      <c r="G15782" s="8" t="n">
        <v>0</v>
      </c>
      <c r="H15782" s="8" t="inlineStr">
        <is>
          <t>OPERATING</t>
        </is>
      </c>
    </row>
    <row r="15783">
      <c r="A15783" s="8" t="inlineStr">
        <is>
          <t>2026-08-03</t>
        </is>
      </c>
      <c r="B15783" s="8" t="n">
        <v>17</v>
      </c>
      <c r="C15783" s="8" t="n">
        <v>15</v>
      </c>
      <c r="D15783" s="8" t="inlineStr">
        <is>
          <t>Disneyland Park</t>
        </is>
      </c>
      <c r="E15783" s="8" t="inlineStr">
        <is>
          <t>Big Thunder Mountain</t>
        </is>
      </c>
      <c r="F15783" s="8" t="inlineStr">
        <is>
          <t>STANDBY</t>
        </is>
      </c>
      <c r="G15783" s="8" t="n">
        <v>55</v>
      </c>
      <c r="H15783" s="8" t="inlineStr">
        <is>
          <t>OPERATING</t>
        </is>
      </c>
    </row>
    <row r="15784">
      <c r="A15784" s="8" t="inlineStr">
        <is>
          <t>2026-08-03</t>
        </is>
      </c>
      <c r="B15784" s="8" t="n">
        <v>17</v>
      </c>
      <c r="C15784" s="8" t="n">
        <v>15</v>
      </c>
      <c r="D15784" s="8" t="inlineStr">
        <is>
          <t>Disneyland Park</t>
        </is>
      </c>
      <c r="E15784" s="8" t="inlineStr">
        <is>
          <t>Disneyland Railroad Frontierland Depot</t>
        </is>
      </c>
      <c r="F15784" s="8" t="inlineStr">
        <is>
          <t>STANDBY</t>
        </is>
      </c>
      <c r="G15784" s="8" t="n">
        <v>0</v>
      </c>
      <c r="H15784" s="8" t="inlineStr">
        <is>
          <t>CLOSED</t>
        </is>
      </c>
    </row>
    <row r="15785">
      <c r="A15785" s="8" t="inlineStr">
        <is>
          <t>2026-08-03</t>
        </is>
      </c>
      <c r="B15785" s="8" t="n">
        <v>17</v>
      </c>
      <c r="C15785" s="8" t="n">
        <v>15</v>
      </c>
      <c r="D15785" s="8" t="inlineStr">
        <is>
          <t>Disneyland Park</t>
        </is>
      </c>
      <c r="E15785" s="8" t="inlineStr">
        <is>
          <t>Frontierland Playground</t>
        </is>
      </c>
      <c r="F15785" s="8" t="inlineStr">
        <is>
          <t>STANDBY</t>
        </is>
      </c>
      <c r="G15785" s="8" t="n">
        <v>0</v>
      </c>
      <c r="H15785" s="8" t="inlineStr">
        <is>
          <t>CLOSED</t>
        </is>
      </c>
    </row>
    <row r="15786">
      <c r="A15786" s="8" t="inlineStr">
        <is>
          <t>2026-08-03</t>
        </is>
      </c>
      <c r="B15786" s="8" t="n">
        <v>17</v>
      </c>
      <c r="C15786" s="8" t="n">
        <v>15</v>
      </c>
      <c r="D15786" s="8" t="inlineStr">
        <is>
          <t>Disneyland Park</t>
        </is>
      </c>
      <c r="E15786" s="8" t="inlineStr">
        <is>
          <t>Phantom Manor</t>
        </is>
      </c>
      <c r="F15786" s="8" t="inlineStr">
        <is>
          <t>STANDBY</t>
        </is>
      </c>
      <c r="G15786" s="8" t="n">
        <v>20</v>
      </c>
      <c r="H15786" s="8" t="inlineStr">
        <is>
          <t>OPERATING</t>
        </is>
      </c>
    </row>
    <row r="15787">
      <c r="A15787" s="8" t="inlineStr">
        <is>
          <t>2026-08-03</t>
        </is>
      </c>
      <c r="B15787" s="8" t="n">
        <v>17</v>
      </c>
      <c r="C15787" s="8" t="n">
        <v>15</v>
      </c>
      <c r="D15787" s="8" t="inlineStr">
        <is>
          <t>Disneyland Park</t>
        </is>
      </c>
      <c r="E15787" s="8" t="inlineStr">
        <is>
          <t>River Rogue Keelboats</t>
        </is>
      </c>
      <c r="F15787" s="8" t="inlineStr">
        <is>
          <t>STANDBY</t>
        </is>
      </c>
      <c r="G15787" s="8" t="n">
        <v>0</v>
      </c>
      <c r="H15787" s="8" t="inlineStr">
        <is>
          <t>CLOSED</t>
        </is>
      </c>
    </row>
    <row r="15788">
      <c r="A15788" s="8" t="inlineStr">
        <is>
          <t>2026-08-03</t>
        </is>
      </c>
      <c r="B15788" s="8" t="n">
        <v>17</v>
      </c>
      <c r="C15788" s="8" t="n">
        <v>15</v>
      </c>
      <c r="D15788" s="8" t="inlineStr">
        <is>
          <t>Disneyland Park</t>
        </is>
      </c>
      <c r="E15788" s="8" t="inlineStr">
        <is>
          <t>Rustler Roundup Shootin' Gallery</t>
        </is>
      </c>
      <c r="F15788" s="8" t="inlineStr">
        <is>
          <t>STANDBY</t>
        </is>
      </c>
      <c r="G15788" s="8" t="n">
        <v>0</v>
      </c>
      <c r="H15788" s="8" t="inlineStr">
        <is>
          <t>OPERATING</t>
        </is>
      </c>
    </row>
    <row r="15789">
      <c r="A15789" s="8" t="inlineStr">
        <is>
          <t>2026-08-03</t>
        </is>
      </c>
      <c r="B15789" s="8" t="n">
        <v>17</v>
      </c>
      <c r="C15789" s="8" t="n">
        <v>15</v>
      </c>
      <c r="D15789" s="8" t="inlineStr">
        <is>
          <t>Disneyland Park</t>
        </is>
      </c>
      <c r="E15789" s="8" t="inlineStr">
        <is>
          <t>Thunder Mesa Riverboat Landing</t>
        </is>
      </c>
      <c r="F15789" s="8" t="inlineStr">
        <is>
          <t>STANDBY</t>
        </is>
      </c>
      <c r="G15789" s="8" t="n">
        <v>20</v>
      </c>
      <c r="H15789" s="8" t="inlineStr">
        <is>
          <t>OPERATING</t>
        </is>
      </c>
    </row>
    <row r="15790">
      <c r="A15790" s="8" t="inlineStr">
        <is>
          <t>2026-08-03</t>
        </is>
      </c>
      <c r="B15790" s="8" t="n">
        <v>17</v>
      </c>
      <c r="C15790" s="8" t="n">
        <v>15</v>
      </c>
      <c r="D15790" s="8" t="inlineStr">
        <is>
          <t>Disneyland Park</t>
        </is>
      </c>
      <c r="E15790" s="8" t="inlineStr">
        <is>
          <t>Disneyland Railroad Main Street Station</t>
        </is>
      </c>
      <c r="F15790" s="8" t="inlineStr">
        <is>
          <t>STANDBY</t>
        </is>
      </c>
      <c r="G15790" s="8" t="n">
        <v>0</v>
      </c>
      <c r="H15790" s="8" t="inlineStr">
        <is>
          <t>CLOSED</t>
        </is>
      </c>
    </row>
    <row r="15791">
      <c r="A15791" s="8" t="inlineStr">
        <is>
          <t>2026-08-03</t>
        </is>
      </c>
      <c r="B15791" s="8" t="n">
        <v>17</v>
      </c>
      <c r="C15791" s="8" t="n">
        <v>15</v>
      </c>
      <c r="D15791" s="8" t="inlineStr">
        <is>
          <t>Disneyland Park</t>
        </is>
      </c>
      <c r="E15791" s="8" t="inlineStr">
        <is>
          <t>Main Street Vehicles</t>
        </is>
      </c>
      <c r="F15791" s="8" t="inlineStr">
        <is>
          <t>STANDBY</t>
        </is>
      </c>
      <c r="G15791" s="8" t="n">
        <v>0</v>
      </c>
      <c r="H15791" s="8" t="inlineStr">
        <is>
          <t>CLOSED</t>
        </is>
      </c>
    </row>
    <row r="15792">
      <c r="A15792" s="8" t="inlineStr">
        <is>
          <t>2026-08-03</t>
        </is>
      </c>
      <c r="B15792" s="8" t="n">
        <v>17</v>
      </c>
      <c r="C15792" s="8" t="n">
        <v>15</v>
      </c>
      <c r="D15792" s="8" t="inlineStr">
        <is>
          <t>Disney Adventure World</t>
        </is>
      </c>
      <c r="E15792" s="8" t="inlineStr">
        <is>
          <t>Avengers Assemble: Flight Force</t>
        </is>
      </c>
      <c r="F15792" s="8" t="inlineStr">
        <is>
          <t>STANDBY</t>
        </is>
      </c>
      <c r="G15792" s="8" t="n">
        <v>5</v>
      </c>
      <c r="H15792" s="8" t="inlineStr">
        <is>
          <t>OPERATING</t>
        </is>
      </c>
    </row>
    <row r="15793">
      <c r="A15793" s="8" t="inlineStr">
        <is>
          <t>2026-08-03</t>
        </is>
      </c>
      <c r="B15793" s="8" t="n">
        <v>17</v>
      </c>
      <c r="C15793" s="8" t="n">
        <v>15</v>
      </c>
      <c r="D15793" s="8" t="inlineStr">
        <is>
          <t>Disney Adventure World</t>
        </is>
      </c>
      <c r="E15793" s="8" t="inlineStr">
        <is>
          <t>Avengers Assemble: Flight Force Single Rider</t>
        </is>
      </c>
      <c r="F15793" s="8" t="inlineStr">
        <is>
          <t>STANDBY</t>
        </is>
      </c>
      <c r="G15793" s="8" t="n">
        <v>5</v>
      </c>
      <c r="H15793" s="8" t="inlineStr">
        <is>
          <t>OPERATING</t>
        </is>
      </c>
    </row>
    <row r="15794">
      <c r="A15794" s="8" t="inlineStr">
        <is>
          <t>2026-08-03</t>
        </is>
      </c>
      <c r="B15794" s="8" t="n">
        <v>17</v>
      </c>
      <c r="C15794" s="8" t="n">
        <v>15</v>
      </c>
      <c r="D15794" s="8" t="inlineStr">
        <is>
          <t>Disney Adventure World</t>
        </is>
      </c>
      <c r="E15794" s="8" t="inlineStr">
        <is>
          <t>Spider-Man W.E.B. Adventure</t>
        </is>
      </c>
      <c r="F15794" s="8" t="inlineStr">
        <is>
          <t>STANDBY</t>
        </is>
      </c>
      <c r="G15794" s="8" t="n">
        <v>45</v>
      </c>
      <c r="H15794" s="8" t="inlineStr">
        <is>
          <t>OPERATING</t>
        </is>
      </c>
    </row>
    <row r="15795">
      <c r="A15795" s="8" t="inlineStr">
        <is>
          <t>2026-08-03</t>
        </is>
      </c>
      <c r="B15795" s="8" t="n">
        <v>17</v>
      </c>
      <c r="C15795" s="8" t="n">
        <v>15</v>
      </c>
      <c r="D15795" s="8" t="inlineStr">
        <is>
          <t>Disney Adventure World</t>
        </is>
      </c>
      <c r="E15795" s="8" t="inlineStr">
        <is>
          <t>Spider-Man W.E.B. Adventure Single Rider</t>
        </is>
      </c>
      <c r="F15795" s="8" t="inlineStr">
        <is>
          <t>STANDBY</t>
        </is>
      </c>
      <c r="G15795" s="8" t="n">
        <v>10</v>
      </c>
      <c r="H15795" s="8" t="inlineStr">
        <is>
          <t>OPERATING</t>
        </is>
      </c>
    </row>
    <row r="15796">
      <c r="A15796" s="8" t="inlineStr">
        <is>
          <t>2026-08-03</t>
        </is>
      </c>
      <c r="B15796" s="8" t="n">
        <v>17</v>
      </c>
      <c r="C15796" s="8" t="n">
        <v>15</v>
      </c>
      <c r="D15796" s="8" t="inlineStr">
        <is>
          <t>Disney Adventure World</t>
        </is>
      </c>
      <c r="E15796" s="8" t="inlineStr">
        <is>
          <t>The Twilight Zone Tower of Terror</t>
        </is>
      </c>
      <c r="F15796" s="8" t="inlineStr">
        <is>
          <t>STANDBY</t>
        </is>
      </c>
      <c r="G15796" s="8" t="n">
        <v>25</v>
      </c>
      <c r="H15796" s="8" t="inlineStr">
        <is>
          <t>OPERATING</t>
        </is>
      </c>
    </row>
    <row r="15797">
      <c r="A15797" s="8" t="inlineStr">
        <is>
          <t>2026-08-03</t>
        </is>
      </c>
      <c r="B15797" s="8" t="n">
        <v>17</v>
      </c>
      <c r="C15797" s="8" t="n">
        <v>15</v>
      </c>
      <c r="D15797" s="8" t="inlineStr">
        <is>
          <t>Disney Adventure World</t>
        </is>
      </c>
      <c r="E15797" s="8" t="inlineStr">
        <is>
          <t>Cars Quatre Roues Rallye</t>
        </is>
      </c>
      <c r="F15797" s="8" t="inlineStr">
        <is>
          <t>STANDBY</t>
        </is>
      </c>
      <c r="G15797" s="8" t="n">
        <v>5</v>
      </c>
      <c r="H15797" s="8" t="inlineStr">
        <is>
          <t>OPERATING</t>
        </is>
      </c>
    </row>
    <row r="15798">
      <c r="A15798" s="8" t="inlineStr">
        <is>
          <t>2026-08-03</t>
        </is>
      </c>
      <c r="B15798" s="8" t="n">
        <v>17</v>
      </c>
      <c r="C15798" s="8" t="n">
        <v>15</v>
      </c>
      <c r="D15798" s="8" t="inlineStr">
        <is>
          <t>Disney Adventure World</t>
        </is>
      </c>
      <c r="E15798" s="8" t="inlineStr">
        <is>
          <t>Cars ROAD TRIP</t>
        </is>
      </c>
      <c r="F15798" s="8" t="inlineStr">
        <is>
          <t>STANDBY</t>
        </is>
      </c>
      <c r="G15798" s="8" t="n">
        <v>5</v>
      </c>
      <c r="H15798" s="8" t="inlineStr">
        <is>
          <t>OPERATING</t>
        </is>
      </c>
    </row>
    <row r="15799">
      <c r="A15799" s="8" t="inlineStr">
        <is>
          <t>2026-08-03</t>
        </is>
      </c>
      <c r="B15799" s="8" t="n">
        <v>17</v>
      </c>
      <c r="C15799" s="8" t="n">
        <v>15</v>
      </c>
      <c r="D15799" s="8" t="inlineStr">
        <is>
          <t>Disney Adventure World</t>
        </is>
      </c>
      <c r="E15799" s="8" t="inlineStr">
        <is>
          <t>Crush's Coaster</t>
        </is>
      </c>
      <c r="F15799" s="8" t="inlineStr">
        <is>
          <t>STANDBY</t>
        </is>
      </c>
      <c r="G15799" s="8" t="n">
        <v>60</v>
      </c>
      <c r="H15799" s="8" t="inlineStr">
        <is>
          <t>OPERATING</t>
        </is>
      </c>
    </row>
    <row r="15800">
      <c r="A15800" s="8" t="inlineStr">
        <is>
          <t>2026-08-03</t>
        </is>
      </c>
      <c r="B15800" s="8" t="n">
        <v>17</v>
      </c>
      <c r="C15800" s="8" t="n">
        <v>15</v>
      </c>
      <c r="D15800" s="8" t="inlineStr">
        <is>
          <t>Disney Adventure World</t>
        </is>
      </c>
      <c r="E15800" s="8" t="inlineStr">
        <is>
          <t>Crush's Coaster Single Rider</t>
        </is>
      </c>
      <c r="F15800" s="8" t="inlineStr">
        <is>
          <t>STANDBY</t>
        </is>
      </c>
      <c r="G15800" s="8" t="n">
        <v>45</v>
      </c>
      <c r="H15800" s="8" t="inlineStr">
        <is>
          <t>OPERATING</t>
        </is>
      </c>
    </row>
    <row r="15801">
      <c r="A15801" s="8" t="inlineStr">
        <is>
          <t>2026-08-03</t>
        </is>
      </c>
      <c r="B15801" s="8" t="n">
        <v>17</v>
      </c>
      <c r="C15801" s="8" t="n">
        <v>15</v>
      </c>
      <c r="D15801" s="8" t="inlineStr">
        <is>
          <t>Disney Adventure World</t>
        </is>
      </c>
      <c r="E15801" s="8" t="inlineStr">
        <is>
          <t>Les Tapis Volants - Flying Carpets Over Agrabah®</t>
        </is>
      </c>
      <c r="F15801" s="8" t="inlineStr">
        <is>
          <t>STANDBY</t>
        </is>
      </c>
      <c r="G15801" s="8" t="n">
        <v>0</v>
      </c>
      <c r="H15801" s="8" t="inlineStr">
        <is>
          <t>CLOSED</t>
        </is>
      </c>
    </row>
    <row r="15802">
      <c r="A15802" s="8" t="inlineStr">
        <is>
          <t>2026-08-03</t>
        </is>
      </c>
      <c r="B15802" s="8" t="n">
        <v>17</v>
      </c>
      <c r="C15802" s="8" t="n">
        <v>15</v>
      </c>
      <c r="D15802" s="8" t="inlineStr">
        <is>
          <t>Disney Adventure World</t>
        </is>
      </c>
      <c r="E15802" s="8" t="inlineStr">
        <is>
          <t>Ratatouille : L’Aventure Totalement Toquée de Rémy​</t>
        </is>
      </c>
      <c r="F15802" s="8" t="inlineStr">
        <is>
          <t>STANDBY</t>
        </is>
      </c>
      <c r="G15802" s="8" t="n">
        <v>45</v>
      </c>
      <c r="H15802" s="8" t="inlineStr">
        <is>
          <t>OPERATING</t>
        </is>
      </c>
    </row>
    <row r="15803">
      <c r="A15803" s="8" t="inlineStr">
        <is>
          <t>2026-08-03</t>
        </is>
      </c>
      <c r="B15803" s="8" t="n">
        <v>17</v>
      </c>
      <c r="C15803" s="8" t="n">
        <v>15</v>
      </c>
      <c r="D15803" s="8" t="inlineStr">
        <is>
          <t>Disney Adventure World</t>
        </is>
      </c>
      <c r="E15803" s="8" t="inlineStr">
        <is>
          <t>Ratatouille: The Adventure Single Rider</t>
        </is>
      </c>
      <c r="F15803" s="8" t="inlineStr">
        <is>
          <t>STANDBY</t>
        </is>
      </c>
      <c r="G15803" s="8" t="n">
        <v>15</v>
      </c>
      <c r="H15803" s="8" t="inlineStr">
        <is>
          <t>OPERATING</t>
        </is>
      </c>
    </row>
    <row r="15804">
      <c r="A15804" s="8" t="inlineStr">
        <is>
          <t>2026-08-03</t>
        </is>
      </c>
      <c r="B15804" s="8" t="n">
        <v>17</v>
      </c>
      <c r="C15804" s="8" t="n">
        <v>15</v>
      </c>
      <c r="D15804" s="8" t="inlineStr">
        <is>
          <t>Disney Adventure World</t>
        </is>
      </c>
      <c r="E15804" s="8" t="inlineStr">
        <is>
          <t>RC Racer</t>
        </is>
      </c>
      <c r="F15804" s="8" t="inlineStr">
        <is>
          <t>STANDBY</t>
        </is>
      </c>
      <c r="G15804" s="8" t="n">
        <v>40</v>
      </c>
      <c r="H15804" s="8" t="inlineStr">
        <is>
          <t>OPERATING</t>
        </is>
      </c>
    </row>
    <row r="15805">
      <c r="A15805" s="8" t="inlineStr">
        <is>
          <t>2026-08-03</t>
        </is>
      </c>
      <c r="B15805" s="8" t="n">
        <v>17</v>
      </c>
      <c r="C15805" s="8" t="n">
        <v>15</v>
      </c>
      <c r="D15805" s="8" t="inlineStr">
        <is>
          <t>Disney Adventure World</t>
        </is>
      </c>
      <c r="E15805" s="8" t="inlineStr">
        <is>
          <t>RC Racer Single Rider</t>
        </is>
      </c>
      <c r="F15805" s="8" t="inlineStr">
        <is>
          <t>STANDBY</t>
        </is>
      </c>
      <c r="G15805" s="8" t="n">
        <v>35</v>
      </c>
      <c r="H15805" s="8" t="inlineStr">
        <is>
          <t>OPERATING</t>
        </is>
      </c>
    </row>
    <row r="15806">
      <c r="A15806" s="8" t="inlineStr">
        <is>
          <t>2026-08-03</t>
        </is>
      </c>
      <c r="B15806" s="8" t="n">
        <v>17</v>
      </c>
      <c r="C15806" s="8" t="n">
        <v>15</v>
      </c>
      <c r="D15806" s="8" t="inlineStr">
        <is>
          <t>Disney Adventure World</t>
        </is>
      </c>
      <c r="E15806" s="8" t="inlineStr">
        <is>
          <t>Slinky® Dog Zigzag Spin</t>
        </is>
      </c>
      <c r="F15806" s="8" t="inlineStr">
        <is>
          <t>STANDBY</t>
        </is>
      </c>
      <c r="G15806" s="8" t="n">
        <v>0</v>
      </c>
      <c r="H15806" s="8" t="inlineStr">
        <is>
          <t>CLOSED</t>
        </is>
      </c>
    </row>
    <row r="15807">
      <c r="A15807" s="8" t="inlineStr">
        <is>
          <t>2026-08-03</t>
        </is>
      </c>
      <c r="B15807" s="8" t="n">
        <v>17</v>
      </c>
      <c r="C15807" s="8" t="n">
        <v>15</v>
      </c>
      <c r="D15807" s="8" t="inlineStr">
        <is>
          <t>Disney Adventure World</t>
        </is>
      </c>
      <c r="E15807" s="8" t="inlineStr">
        <is>
          <t>Toy Soldiers Parachute Drop</t>
        </is>
      </c>
      <c r="F15807" s="8" t="inlineStr">
        <is>
          <t>STANDBY</t>
        </is>
      </c>
      <c r="G15807" s="8" t="n">
        <v>40</v>
      </c>
      <c r="H15807" s="8" t="inlineStr">
        <is>
          <t>OPERATING</t>
        </is>
      </c>
    </row>
    <row r="15808">
      <c r="A15808" s="8" t="inlineStr">
        <is>
          <t>2026-08-03</t>
        </is>
      </c>
      <c r="B15808" s="8" t="n">
        <v>17</v>
      </c>
      <c r="C15808" s="8" t="n">
        <v>15</v>
      </c>
      <c r="D15808" s="8" t="inlineStr">
        <is>
          <t>Disney Adventure World</t>
        </is>
      </c>
      <c r="E15808" s="8" t="inlineStr">
        <is>
          <t>Toy Soldiers Parachute Drop Single Rider</t>
        </is>
      </c>
      <c r="F15808" s="8" t="inlineStr">
        <is>
          <t>STANDBY</t>
        </is>
      </c>
      <c r="G15808" s="8" t="n">
        <v>15</v>
      </c>
      <c r="H15808" s="8" t="inlineStr">
        <is>
          <t>OPERATING</t>
        </is>
      </c>
    </row>
    <row r="15809">
      <c r="A15809" s="8" t="inlineStr">
        <is>
          <t>2026-08-03</t>
        </is>
      </c>
      <c r="B15809" s="8" t="n">
        <v>17</v>
      </c>
      <c r="C15809" s="8" t="n">
        <v>15</v>
      </c>
      <c r="D15809" s="8" t="inlineStr">
        <is>
          <t>Disney Adventure World</t>
        </is>
      </c>
      <c r="E15809" s="8" t="inlineStr">
        <is>
          <t>Entry to World of Frozen</t>
        </is>
      </c>
      <c r="F15809" s="8" t="inlineStr">
        <is>
          <t>STANDBY</t>
        </is>
      </c>
      <c r="G15809" s="8" t="n">
        <v>0</v>
      </c>
      <c r="H15809" s="8" t="inlineStr">
        <is>
          <t>OPERATING</t>
        </is>
      </c>
    </row>
    <row r="15810">
      <c r="A15810" s="8" t="inlineStr">
        <is>
          <t>2026-08-03</t>
        </is>
      </c>
      <c r="B15810" s="8" t="n">
        <v>17</v>
      </c>
      <c r="C15810" s="8" t="n">
        <v>15</v>
      </c>
      <c r="D15810" s="8" t="inlineStr">
        <is>
          <t>Disney Adventure World</t>
        </is>
      </c>
      <c r="E15810" s="8" t="inlineStr">
        <is>
          <t>Frozen Ever After</t>
        </is>
      </c>
      <c r="F15810" s="8" t="inlineStr">
        <is>
          <t>STANDBY</t>
        </is>
      </c>
      <c r="G15810" s="8" t="n">
        <v>55</v>
      </c>
      <c r="H15810" s="8" t="inlineStr">
        <is>
          <t>OPERATING</t>
        </is>
      </c>
    </row>
    <row r="15811">
      <c r="A15811" s="8" t="inlineStr">
        <is>
          <t>2026-08-03</t>
        </is>
      </c>
      <c r="B15811" s="8" t="n">
        <v>17</v>
      </c>
      <c r="C15811" s="8" t="n">
        <v>15</v>
      </c>
      <c r="D15811" s="8" t="inlineStr">
        <is>
          <t>Disney Adventure World</t>
        </is>
      </c>
      <c r="E15811" s="8" t="inlineStr">
        <is>
          <t>Raiponce Tangled Spin</t>
        </is>
      </c>
      <c r="F15811" s="8" t="inlineStr">
        <is>
          <t>STANDBY</t>
        </is>
      </c>
      <c r="G15811" s="8" t="n">
        <v>5</v>
      </c>
      <c r="H15811" s="8" t="inlineStr">
        <is>
          <t>OPERATING</t>
        </is>
      </c>
    </row>
    <row r="15812">
      <c r="A15812" s="8" t="inlineStr">
        <is>
          <t>2026-08-03</t>
        </is>
      </c>
      <c r="B15812" s="8" t="n">
        <v>17</v>
      </c>
      <c r="C15812" s="8" t="n">
        <v>31</v>
      </c>
      <c r="D15812" s="8" t="inlineStr">
        <is>
          <t>Disneyland Park</t>
        </is>
      </c>
      <c r="E15812" s="8" t="inlineStr">
        <is>
          <t>Adventure Isle</t>
        </is>
      </c>
      <c r="F15812" s="8" t="inlineStr">
        <is>
          <t>STANDBY</t>
        </is>
      </c>
      <c r="G15812" s="8" t="n">
        <v>0</v>
      </c>
      <c r="H15812" s="8" t="inlineStr">
        <is>
          <t>OPERATING</t>
        </is>
      </c>
    </row>
    <row r="15813">
      <c r="A15813" s="8" t="inlineStr">
        <is>
          <t>2026-08-03</t>
        </is>
      </c>
      <c r="B15813" s="8" t="n">
        <v>17</v>
      </c>
      <c r="C15813" s="8" t="n">
        <v>31</v>
      </c>
      <c r="D15813" s="8" t="inlineStr">
        <is>
          <t>Disneyland Park</t>
        </is>
      </c>
      <c r="E15813" s="8" t="inlineStr">
        <is>
          <t>Indiana Jones and the Temple of Peril Single Rider</t>
        </is>
      </c>
      <c r="F15813" s="8" t="inlineStr">
        <is>
          <t>STANDBY</t>
        </is>
      </c>
      <c r="G15813" s="8" t="n">
        <v>5</v>
      </c>
      <c r="H15813" s="8" t="inlineStr">
        <is>
          <t>OPERATING</t>
        </is>
      </c>
    </row>
    <row r="15814">
      <c r="A15814" s="8" t="inlineStr">
        <is>
          <t>2026-08-03</t>
        </is>
      </c>
      <c r="B15814" s="8" t="n">
        <v>17</v>
      </c>
      <c r="C15814" s="8" t="n">
        <v>31</v>
      </c>
      <c r="D15814" s="8" t="inlineStr">
        <is>
          <t>Disneyland Park</t>
        </is>
      </c>
      <c r="E15814" s="8" t="inlineStr">
        <is>
          <t>Indiana Jones™ and the Temple of Peril</t>
        </is>
      </c>
      <c r="F15814" s="8" t="inlineStr">
        <is>
          <t>STANDBY</t>
        </is>
      </c>
      <c r="G15814" s="8" t="n">
        <v>15</v>
      </c>
      <c r="H15814" s="8" t="inlineStr">
        <is>
          <t>OPERATING</t>
        </is>
      </c>
    </row>
    <row r="15815">
      <c r="A15815" s="8" t="inlineStr">
        <is>
          <t>2026-08-03</t>
        </is>
      </c>
      <c r="B15815" s="8" t="n">
        <v>17</v>
      </c>
      <c r="C15815" s="8" t="n">
        <v>31</v>
      </c>
      <c r="D15815" s="8" t="inlineStr">
        <is>
          <t>Disneyland Park</t>
        </is>
      </c>
      <c r="E15815" s="8" t="inlineStr">
        <is>
          <t>La Cabane des Robinson</t>
        </is>
      </c>
      <c r="F15815" s="8" t="inlineStr">
        <is>
          <t>STANDBY</t>
        </is>
      </c>
      <c r="G15815" s="8" t="n">
        <v>5</v>
      </c>
      <c r="H15815" s="8" t="inlineStr">
        <is>
          <t>OPERATING</t>
        </is>
      </c>
    </row>
    <row r="15816">
      <c r="A15816" s="8" t="inlineStr">
        <is>
          <t>2026-08-03</t>
        </is>
      </c>
      <c r="B15816" s="8" t="n">
        <v>17</v>
      </c>
      <c r="C15816" s="8" t="n">
        <v>31</v>
      </c>
      <c r="D15816" s="8" t="inlineStr">
        <is>
          <t>Disneyland Park</t>
        </is>
      </c>
      <c r="E15816" s="8" t="inlineStr">
        <is>
          <t>Le Passage Enchanté d'Aladdin</t>
        </is>
      </c>
      <c r="F15816" s="8" t="inlineStr">
        <is>
          <t>STANDBY</t>
        </is>
      </c>
      <c r="G15816" s="8" t="n">
        <v>0</v>
      </c>
      <c r="H15816" s="8" t="inlineStr">
        <is>
          <t>OPERATING</t>
        </is>
      </c>
    </row>
    <row r="15817">
      <c r="A15817" s="8" t="inlineStr">
        <is>
          <t>2026-08-03</t>
        </is>
      </c>
      <c r="B15817" s="8" t="n">
        <v>17</v>
      </c>
      <c r="C15817" s="8" t="n">
        <v>31</v>
      </c>
      <c r="D15817" s="8" t="inlineStr">
        <is>
          <t>Disneyland Park</t>
        </is>
      </c>
      <c r="E15817" s="8" t="inlineStr">
        <is>
          <t>Pirate Galleon</t>
        </is>
      </c>
      <c r="F15817" s="8" t="inlineStr">
        <is>
          <t>STANDBY</t>
        </is>
      </c>
      <c r="G15817" s="8" t="n">
        <v>0</v>
      </c>
      <c r="H15817" s="8" t="inlineStr">
        <is>
          <t>CLOSED</t>
        </is>
      </c>
    </row>
    <row r="15818">
      <c r="A15818" s="8" t="inlineStr">
        <is>
          <t>2026-08-03</t>
        </is>
      </c>
      <c r="B15818" s="8" t="n">
        <v>17</v>
      </c>
      <c r="C15818" s="8" t="n">
        <v>31</v>
      </c>
      <c r="D15818" s="8" t="inlineStr">
        <is>
          <t>Disneyland Park</t>
        </is>
      </c>
      <c r="E15818" s="8" t="inlineStr">
        <is>
          <t>Pirates of the Caribbean</t>
        </is>
      </c>
      <c r="F15818" s="8" t="inlineStr">
        <is>
          <t>STANDBY</t>
        </is>
      </c>
      <c r="G15818" s="8" t="n">
        <v>20</v>
      </c>
      <c r="H15818" s="8" t="inlineStr">
        <is>
          <t>OPERATING</t>
        </is>
      </c>
    </row>
    <row r="15819">
      <c r="A15819" s="8" t="inlineStr">
        <is>
          <t>2026-08-03</t>
        </is>
      </c>
      <c r="B15819" s="8" t="n">
        <v>17</v>
      </c>
      <c r="C15819" s="8" t="n">
        <v>31</v>
      </c>
      <c r="D15819" s="8" t="inlineStr">
        <is>
          <t>Disneyland Park</t>
        </is>
      </c>
      <c r="E15819" s="8" t="inlineStr">
        <is>
          <t>Pirates' Beach</t>
        </is>
      </c>
      <c r="F15819" s="8" t="inlineStr">
        <is>
          <t>STANDBY</t>
        </is>
      </c>
      <c r="G15819" s="8" t="n">
        <v>0</v>
      </c>
      <c r="H15819" s="8" t="inlineStr">
        <is>
          <t>OPERATING</t>
        </is>
      </c>
    </row>
    <row r="15820">
      <c r="A15820" s="8" t="inlineStr">
        <is>
          <t>2026-08-03</t>
        </is>
      </c>
      <c r="B15820" s="8" t="n">
        <v>17</v>
      </c>
      <c r="C15820" s="8" t="n">
        <v>31</v>
      </c>
      <c r="D15820" s="8" t="inlineStr">
        <is>
          <t>Disneyland Park</t>
        </is>
      </c>
      <c r="E15820" s="8" t="inlineStr">
        <is>
          <t>Autopia, presented by Avis</t>
        </is>
      </c>
      <c r="F15820" s="8" t="inlineStr">
        <is>
          <t>STANDBY</t>
        </is>
      </c>
      <c r="G15820" s="8" t="n">
        <v>0</v>
      </c>
      <c r="H15820" s="8" t="inlineStr">
        <is>
          <t>CLOSED</t>
        </is>
      </c>
    </row>
    <row r="15821">
      <c r="A15821" s="8" t="inlineStr">
        <is>
          <t>2026-08-03</t>
        </is>
      </c>
      <c r="B15821" s="8" t="n">
        <v>17</v>
      </c>
      <c r="C15821" s="8" t="n">
        <v>31</v>
      </c>
      <c r="D15821" s="8" t="inlineStr">
        <is>
          <t>Disneyland Park</t>
        </is>
      </c>
      <c r="E15821" s="8" t="inlineStr">
        <is>
          <t>Buzz Lightyear Laser Blast</t>
        </is>
      </c>
      <c r="F15821" s="8" t="inlineStr">
        <is>
          <t>STANDBY</t>
        </is>
      </c>
      <c r="G15821" s="8" t="n">
        <v>15</v>
      </c>
      <c r="H15821" s="8" t="inlineStr">
        <is>
          <t>OPERATING</t>
        </is>
      </c>
    </row>
    <row r="15822">
      <c r="A15822" s="8" t="inlineStr">
        <is>
          <t>2026-08-03</t>
        </is>
      </c>
      <c r="B15822" s="8" t="n">
        <v>17</v>
      </c>
      <c r="C15822" s="8" t="n">
        <v>31</v>
      </c>
      <c r="D15822" s="8" t="inlineStr">
        <is>
          <t>Disneyland Park</t>
        </is>
      </c>
      <c r="E15822" s="8" t="inlineStr">
        <is>
          <t>Disneyland Railroad Discoveryland Station</t>
        </is>
      </c>
      <c r="F15822" s="8" t="inlineStr">
        <is>
          <t>STANDBY</t>
        </is>
      </c>
      <c r="G15822" s="8" t="n">
        <v>0</v>
      </c>
      <c r="H15822" s="8" t="inlineStr">
        <is>
          <t>CLOSED</t>
        </is>
      </c>
    </row>
    <row r="15823">
      <c r="A15823" s="8" t="inlineStr">
        <is>
          <t>2026-08-03</t>
        </is>
      </c>
      <c r="B15823" s="8" t="n">
        <v>17</v>
      </c>
      <c r="C15823" s="8" t="n">
        <v>31</v>
      </c>
      <c r="D15823" s="8" t="inlineStr">
        <is>
          <t>Disneyland Park</t>
        </is>
      </c>
      <c r="E15823" s="8" t="inlineStr">
        <is>
          <t>Les Mystères du Nautilus</t>
        </is>
      </c>
      <c r="F15823" s="8" t="inlineStr">
        <is>
          <t>STANDBY</t>
        </is>
      </c>
      <c r="G15823" s="8" t="n">
        <v>5</v>
      </c>
      <c r="H15823" s="8" t="inlineStr">
        <is>
          <t>OPERATING</t>
        </is>
      </c>
    </row>
    <row r="15824">
      <c r="A15824" s="8" t="inlineStr">
        <is>
          <t>2026-08-03</t>
        </is>
      </c>
      <c r="B15824" s="8" t="n">
        <v>17</v>
      </c>
      <c r="C15824" s="8" t="n">
        <v>31</v>
      </c>
      <c r="D15824" s="8" t="inlineStr">
        <is>
          <t>Disneyland Park</t>
        </is>
      </c>
      <c r="E15824" s="8" t="inlineStr">
        <is>
          <t>Mickey’s PhilharMagic</t>
        </is>
      </c>
      <c r="F15824" s="8" t="inlineStr">
        <is>
          <t>STANDBY</t>
        </is>
      </c>
      <c r="G15824" s="8" t="n">
        <v>0</v>
      </c>
      <c r="H15824" s="8" t="inlineStr">
        <is>
          <t>OPERATING</t>
        </is>
      </c>
    </row>
    <row r="15825">
      <c r="A15825" s="8" t="inlineStr">
        <is>
          <t>2026-08-03</t>
        </is>
      </c>
      <c r="B15825" s="8" t="n">
        <v>17</v>
      </c>
      <c r="C15825" s="8" t="n">
        <v>31</v>
      </c>
      <c r="D15825" s="8" t="inlineStr">
        <is>
          <t>Disneyland Park</t>
        </is>
      </c>
      <c r="E15825" s="8" t="inlineStr">
        <is>
          <t>Orbitron®</t>
        </is>
      </c>
      <c r="F15825" s="8" t="inlineStr">
        <is>
          <t>STANDBY</t>
        </is>
      </c>
      <c r="G15825" s="8" t="n">
        <v>0</v>
      </c>
      <c r="H15825" s="8" t="inlineStr">
        <is>
          <t>CLOSED</t>
        </is>
      </c>
    </row>
    <row r="15826">
      <c r="A15826" s="8" t="inlineStr">
        <is>
          <t>2026-08-03</t>
        </is>
      </c>
      <c r="B15826" s="8" t="n">
        <v>17</v>
      </c>
      <c r="C15826" s="8" t="n">
        <v>31</v>
      </c>
      <c r="D15826" s="8" t="inlineStr">
        <is>
          <t>Disneyland Park</t>
        </is>
      </c>
      <c r="E15826" s="8" t="inlineStr">
        <is>
          <t>Star Tours: The Adventures Continue*</t>
        </is>
      </c>
      <c r="F15826" s="8" t="inlineStr">
        <is>
          <t>STANDBY</t>
        </is>
      </c>
      <c r="G15826" s="8" t="n">
        <v>10</v>
      </c>
      <c r="H15826" s="8" t="inlineStr">
        <is>
          <t>OPERATING</t>
        </is>
      </c>
    </row>
    <row r="15827">
      <c r="A15827" s="8" t="inlineStr">
        <is>
          <t>2026-08-03</t>
        </is>
      </c>
      <c r="B15827" s="8" t="n">
        <v>17</v>
      </c>
      <c r="C15827" s="8" t="n">
        <v>31</v>
      </c>
      <c r="D15827" s="8" t="inlineStr">
        <is>
          <t>Disneyland Park</t>
        </is>
      </c>
      <c r="E15827" s="8" t="inlineStr">
        <is>
          <t>Star Wars Hyperspace Mountain</t>
        </is>
      </c>
      <c r="F15827" s="8" t="inlineStr">
        <is>
          <t>STANDBY</t>
        </is>
      </c>
      <c r="G15827" s="8" t="n">
        <v>35</v>
      </c>
      <c r="H15827" s="8" t="inlineStr">
        <is>
          <t>OPERATING</t>
        </is>
      </c>
    </row>
    <row r="15828">
      <c r="A15828" s="8" t="inlineStr">
        <is>
          <t>2026-08-03</t>
        </is>
      </c>
      <c r="B15828" s="8" t="n">
        <v>17</v>
      </c>
      <c r="C15828" s="8" t="n">
        <v>31</v>
      </c>
      <c r="D15828" s="8" t="inlineStr">
        <is>
          <t>Disneyland Park</t>
        </is>
      </c>
      <c r="E15828" s="8" t="inlineStr">
        <is>
          <t>Star Wars Hyperspace Mountain Single Rider</t>
        </is>
      </c>
      <c r="F15828" s="8" t="inlineStr">
        <is>
          <t>STANDBY</t>
        </is>
      </c>
      <c r="G15828" s="8" t="n">
        <v>30</v>
      </c>
      <c r="H15828" s="8" t="inlineStr">
        <is>
          <t>OPERATING</t>
        </is>
      </c>
    </row>
    <row r="15829">
      <c r="A15829" s="8" t="inlineStr">
        <is>
          <t>2026-08-03</t>
        </is>
      </c>
      <c r="B15829" s="8" t="n">
        <v>17</v>
      </c>
      <c r="C15829" s="8" t="n">
        <v>31</v>
      </c>
      <c r="D15829" s="8" t="inlineStr">
        <is>
          <t>Disneyland Park</t>
        </is>
      </c>
      <c r="E15829" s="8" t="inlineStr">
        <is>
          <t>Welcome to Starport: A Star Wars Encounter</t>
        </is>
      </c>
      <c r="F15829" s="8" t="inlineStr">
        <is>
          <t>STANDBY</t>
        </is>
      </c>
      <c r="G15829" s="8" t="n">
        <v>0</v>
      </c>
      <c r="H15829" s="8" t="inlineStr">
        <is>
          <t>CLOSED</t>
        </is>
      </c>
    </row>
    <row r="15830">
      <c r="A15830" s="8" t="inlineStr">
        <is>
          <t>2026-08-03</t>
        </is>
      </c>
      <c r="B15830" s="8" t="n">
        <v>17</v>
      </c>
      <c r="C15830" s="8" t="n">
        <v>31</v>
      </c>
      <c r="D15830" s="8" t="inlineStr">
        <is>
          <t>Disneyland Park</t>
        </is>
      </c>
      <c r="E15830" s="8" t="inlineStr">
        <is>
          <t>"it's a small world"</t>
        </is>
      </c>
      <c r="F15830" s="8" t="inlineStr">
        <is>
          <t>STANDBY</t>
        </is>
      </c>
      <c r="G15830" s="8" t="n">
        <v>5</v>
      </c>
      <c r="H15830" s="8" t="inlineStr">
        <is>
          <t>OPERATING</t>
        </is>
      </c>
    </row>
    <row r="15831">
      <c r="A15831" s="8" t="inlineStr">
        <is>
          <t>2026-08-03</t>
        </is>
      </c>
      <c r="B15831" s="8" t="n">
        <v>17</v>
      </c>
      <c r="C15831" s="8" t="n">
        <v>31</v>
      </c>
      <c r="D15831" s="8" t="inlineStr">
        <is>
          <t>Disneyland Park</t>
        </is>
      </c>
      <c r="E15831" s="8" t="inlineStr">
        <is>
          <t>Alice's Curious Labyrinth</t>
        </is>
      </c>
      <c r="F15831" s="8" t="inlineStr">
        <is>
          <t>STANDBY</t>
        </is>
      </c>
      <c r="G15831" s="8" t="n">
        <v>5</v>
      </c>
      <c r="H15831" s="8" t="inlineStr">
        <is>
          <t>OPERATING</t>
        </is>
      </c>
    </row>
    <row r="15832">
      <c r="A15832" s="8" t="inlineStr">
        <is>
          <t>2026-08-03</t>
        </is>
      </c>
      <c r="B15832" s="8" t="n">
        <v>17</v>
      </c>
      <c r="C15832" s="8" t="n">
        <v>31</v>
      </c>
      <c r="D15832" s="8" t="inlineStr">
        <is>
          <t>Disneyland Park</t>
        </is>
      </c>
      <c r="E15832" s="8" t="inlineStr">
        <is>
          <t>Blanche-Neige et les Sept Nains®</t>
        </is>
      </c>
      <c r="F15832" s="8" t="inlineStr">
        <is>
          <t>STANDBY</t>
        </is>
      </c>
      <c r="G15832" s="8" t="n">
        <v>20</v>
      </c>
      <c r="H15832" s="8" t="inlineStr">
        <is>
          <t>OPERATING</t>
        </is>
      </c>
    </row>
    <row r="15833">
      <c r="A15833" s="8" t="inlineStr">
        <is>
          <t>2026-08-03</t>
        </is>
      </c>
      <c r="B15833" s="8" t="n">
        <v>17</v>
      </c>
      <c r="C15833" s="8" t="n">
        <v>31</v>
      </c>
      <c r="D15833" s="8" t="inlineStr">
        <is>
          <t>Disneyland Park</t>
        </is>
      </c>
      <c r="E15833" s="8" t="inlineStr">
        <is>
          <t>Casey Jr. – le Petit Train du Cirque</t>
        </is>
      </c>
      <c r="F15833" s="8" t="inlineStr">
        <is>
          <t>STANDBY</t>
        </is>
      </c>
      <c r="G15833" s="8" t="n">
        <v>0</v>
      </c>
      <c r="H15833" s="8" t="inlineStr">
        <is>
          <t>CLOSED</t>
        </is>
      </c>
    </row>
    <row r="15834">
      <c r="A15834" s="8" t="inlineStr">
        <is>
          <t>2026-08-03</t>
        </is>
      </c>
      <c r="B15834" s="8" t="n">
        <v>17</v>
      </c>
      <c r="C15834" s="8" t="n">
        <v>31</v>
      </c>
      <c r="D15834" s="8" t="inlineStr">
        <is>
          <t>Disneyland Park</t>
        </is>
      </c>
      <c r="E15834" s="8" t="inlineStr">
        <is>
          <t>Disneyland Railroad Fantasyland Station</t>
        </is>
      </c>
      <c r="F15834" s="8" t="inlineStr">
        <is>
          <t>STANDBY</t>
        </is>
      </c>
      <c r="G15834" s="8" t="n">
        <v>0</v>
      </c>
      <c r="H15834" s="8" t="inlineStr">
        <is>
          <t>CLOSED</t>
        </is>
      </c>
    </row>
    <row r="15835">
      <c r="A15835" s="8" t="inlineStr">
        <is>
          <t>2026-08-03</t>
        </is>
      </c>
      <c r="B15835" s="8" t="n">
        <v>17</v>
      </c>
      <c r="C15835" s="8" t="n">
        <v>31</v>
      </c>
      <c r="D15835" s="8" t="inlineStr">
        <is>
          <t>Disneyland Park</t>
        </is>
      </c>
      <c r="E15835" s="8" t="inlineStr">
        <is>
          <t>Disneyland Railroad Main Street Station</t>
        </is>
      </c>
      <c r="F15835" s="8" t="inlineStr">
        <is>
          <t>STANDBY</t>
        </is>
      </c>
      <c r="G15835" s="8" t="n">
        <v>0</v>
      </c>
      <c r="H15835" s="8" t="inlineStr">
        <is>
          <t>CLOSED</t>
        </is>
      </c>
    </row>
    <row r="15836">
      <c r="A15836" s="8" t="inlineStr">
        <is>
          <t>2026-08-03</t>
        </is>
      </c>
      <c r="B15836" s="8" t="n">
        <v>17</v>
      </c>
      <c r="C15836" s="8" t="n">
        <v>31</v>
      </c>
      <c r="D15836" s="8" t="inlineStr">
        <is>
          <t>Disneyland Park</t>
        </is>
      </c>
      <c r="E15836" s="8" t="inlineStr">
        <is>
          <t>Dumbo the Flying Elephant</t>
        </is>
      </c>
      <c r="F15836" s="8" t="inlineStr">
        <is>
          <t>STANDBY</t>
        </is>
      </c>
      <c r="G15836" s="8" t="n">
        <v>0</v>
      </c>
      <c r="H15836" s="8" t="inlineStr">
        <is>
          <t>CLOSED</t>
        </is>
      </c>
    </row>
    <row r="15837">
      <c r="A15837" s="8" t="inlineStr">
        <is>
          <t>2026-08-03</t>
        </is>
      </c>
      <c r="B15837" s="8" t="n">
        <v>17</v>
      </c>
      <c r="C15837" s="8" t="n">
        <v>31</v>
      </c>
      <c r="D15837" s="8" t="inlineStr">
        <is>
          <t>Disneyland Park</t>
        </is>
      </c>
      <c r="E15837" s="8" t="inlineStr">
        <is>
          <t>La Tanière du Dragon</t>
        </is>
      </c>
      <c r="F15837" s="8" t="inlineStr">
        <is>
          <t>STANDBY</t>
        </is>
      </c>
      <c r="G15837" s="8" t="n">
        <v>0</v>
      </c>
      <c r="H15837" s="8" t="inlineStr">
        <is>
          <t>OPERATING</t>
        </is>
      </c>
    </row>
    <row r="15838">
      <c r="A15838" s="8" t="inlineStr">
        <is>
          <t>2026-08-03</t>
        </is>
      </c>
      <c r="B15838" s="8" t="n">
        <v>17</v>
      </c>
      <c r="C15838" s="8" t="n">
        <v>31</v>
      </c>
      <c r="D15838" s="8" t="inlineStr">
        <is>
          <t>Disneyland Park</t>
        </is>
      </c>
      <c r="E15838" s="8" t="inlineStr">
        <is>
          <t>Le Carrousel de Lancelot</t>
        </is>
      </c>
      <c r="F15838" s="8" t="inlineStr">
        <is>
          <t>STANDBY</t>
        </is>
      </c>
      <c r="G15838" s="8" t="n">
        <v>10</v>
      </c>
      <c r="H15838" s="8" t="inlineStr">
        <is>
          <t>OPERATING</t>
        </is>
      </c>
    </row>
    <row r="15839">
      <c r="A15839" s="8" t="inlineStr">
        <is>
          <t>2026-08-03</t>
        </is>
      </c>
      <c r="B15839" s="8" t="n">
        <v>17</v>
      </c>
      <c r="C15839" s="8" t="n">
        <v>31</v>
      </c>
      <c r="D15839" s="8" t="inlineStr">
        <is>
          <t>Disneyland Park</t>
        </is>
      </c>
      <c r="E15839" s="8" t="inlineStr">
        <is>
          <t>Le Pays des Contes de Fées, presented by Vittel</t>
        </is>
      </c>
      <c r="F15839" s="8" t="inlineStr">
        <is>
          <t>STANDBY</t>
        </is>
      </c>
      <c r="G15839" s="8" t="n">
        <v>5</v>
      </c>
      <c r="H15839" s="8" t="inlineStr">
        <is>
          <t>OPERATING</t>
        </is>
      </c>
    </row>
    <row r="15840">
      <c r="A15840" s="8" t="inlineStr">
        <is>
          <t>2026-08-03</t>
        </is>
      </c>
      <c r="B15840" s="8" t="n">
        <v>17</v>
      </c>
      <c r="C15840" s="8" t="n">
        <v>31</v>
      </c>
      <c r="D15840" s="8" t="inlineStr">
        <is>
          <t>Disneyland Park</t>
        </is>
      </c>
      <c r="E15840" s="8" t="inlineStr">
        <is>
          <t>Les Voyages de Pinocchio</t>
        </is>
      </c>
      <c r="F15840" s="8" t="inlineStr">
        <is>
          <t>STANDBY</t>
        </is>
      </c>
      <c r="G15840" s="8" t="n">
        <v>35</v>
      </c>
      <c r="H15840" s="8" t="inlineStr">
        <is>
          <t>OPERATING</t>
        </is>
      </c>
    </row>
    <row r="15841">
      <c r="A15841" s="8" t="inlineStr">
        <is>
          <t>2026-08-03</t>
        </is>
      </c>
      <c r="B15841" s="8" t="n">
        <v>17</v>
      </c>
      <c r="C15841" s="8" t="n">
        <v>31</v>
      </c>
      <c r="D15841" s="8" t="inlineStr">
        <is>
          <t>Disneyland Park</t>
        </is>
      </c>
      <c r="E15841" s="8" t="inlineStr">
        <is>
          <t>Mad Hatter's Tea Cups</t>
        </is>
      </c>
      <c r="F15841" s="8" t="inlineStr">
        <is>
          <t>STANDBY</t>
        </is>
      </c>
      <c r="G15841" s="8" t="n">
        <v>5</v>
      </c>
      <c r="H15841" s="8" t="inlineStr">
        <is>
          <t>OPERATING</t>
        </is>
      </c>
    </row>
    <row r="15842">
      <c r="A15842" s="8" t="inlineStr">
        <is>
          <t>2026-08-03</t>
        </is>
      </c>
      <c r="B15842" s="8" t="n">
        <v>17</v>
      </c>
      <c r="C15842" s="8" t="n">
        <v>31</v>
      </c>
      <c r="D15842" s="8" t="inlineStr">
        <is>
          <t>Disneyland Park</t>
        </is>
      </c>
      <c r="E15842" s="8" t="inlineStr">
        <is>
          <t>Meet Mickey Mouse</t>
        </is>
      </c>
      <c r="F15842" s="8" t="inlineStr">
        <is>
          <t>STANDBY</t>
        </is>
      </c>
      <c r="G15842" s="8" t="n">
        <v>0</v>
      </c>
      <c r="H15842" s="8" t="inlineStr">
        <is>
          <t>OPERATING</t>
        </is>
      </c>
    </row>
    <row r="15843">
      <c r="A15843" s="8" t="inlineStr">
        <is>
          <t>2026-08-03</t>
        </is>
      </c>
      <c r="B15843" s="8" t="n">
        <v>17</v>
      </c>
      <c r="C15843" s="8" t="n">
        <v>31</v>
      </c>
      <c r="D15843" s="8" t="inlineStr">
        <is>
          <t>Disneyland Park</t>
        </is>
      </c>
      <c r="E15843" s="8" t="inlineStr">
        <is>
          <t>Peter Pan's Flight</t>
        </is>
      </c>
      <c r="F15843" s="8" t="inlineStr">
        <is>
          <t>STANDBY</t>
        </is>
      </c>
      <c r="G15843" s="8" t="n">
        <v>55</v>
      </c>
      <c r="H15843" s="8" t="inlineStr">
        <is>
          <t>OPERATING</t>
        </is>
      </c>
    </row>
    <row r="15844">
      <c r="A15844" s="8" t="inlineStr">
        <is>
          <t>2026-08-03</t>
        </is>
      </c>
      <c r="B15844" s="8" t="n">
        <v>17</v>
      </c>
      <c r="C15844" s="8" t="n">
        <v>31</v>
      </c>
      <c r="D15844" s="8" t="inlineStr">
        <is>
          <t>Disneyland Park</t>
        </is>
      </c>
      <c r="E15844" s="8" t="inlineStr">
        <is>
          <t>Princess Pavilion</t>
        </is>
      </c>
      <c r="F15844" s="8" t="inlineStr">
        <is>
          <t>STANDBY</t>
        </is>
      </c>
      <c r="G15844" s="8" t="n">
        <v>0</v>
      </c>
      <c r="H15844" s="8" t="inlineStr">
        <is>
          <t>OPERATING</t>
        </is>
      </c>
    </row>
    <row r="15845">
      <c r="A15845" s="8" t="inlineStr">
        <is>
          <t>2026-08-03</t>
        </is>
      </c>
      <c r="B15845" s="8" t="n">
        <v>17</v>
      </c>
      <c r="C15845" s="8" t="n">
        <v>31</v>
      </c>
      <c r="D15845" s="8" t="inlineStr">
        <is>
          <t>Disneyland Park</t>
        </is>
      </c>
      <c r="E15845" s="8" t="inlineStr">
        <is>
          <t>Big Thunder Mountain</t>
        </is>
      </c>
      <c r="F15845" s="8" t="inlineStr">
        <is>
          <t>STANDBY</t>
        </is>
      </c>
      <c r="G15845" s="8" t="n">
        <v>55</v>
      </c>
      <c r="H15845" s="8" t="inlineStr">
        <is>
          <t>OPERATING</t>
        </is>
      </c>
    </row>
    <row r="15846">
      <c r="A15846" s="8" t="inlineStr">
        <is>
          <t>2026-08-03</t>
        </is>
      </c>
      <c r="B15846" s="8" t="n">
        <v>17</v>
      </c>
      <c r="C15846" s="8" t="n">
        <v>31</v>
      </c>
      <c r="D15846" s="8" t="inlineStr">
        <is>
          <t>Disneyland Park</t>
        </is>
      </c>
      <c r="E15846" s="8" t="inlineStr">
        <is>
          <t>Disneyland Railroad Frontierland Depot</t>
        </is>
      </c>
      <c r="F15846" s="8" t="inlineStr">
        <is>
          <t>STANDBY</t>
        </is>
      </c>
      <c r="G15846" s="8" t="n">
        <v>0</v>
      </c>
      <c r="H15846" s="8" t="inlineStr">
        <is>
          <t>CLOSED</t>
        </is>
      </c>
    </row>
    <row r="15847">
      <c r="A15847" s="8" t="inlineStr">
        <is>
          <t>2026-08-03</t>
        </is>
      </c>
      <c r="B15847" s="8" t="n">
        <v>17</v>
      </c>
      <c r="C15847" s="8" t="n">
        <v>31</v>
      </c>
      <c r="D15847" s="8" t="inlineStr">
        <is>
          <t>Disneyland Park</t>
        </is>
      </c>
      <c r="E15847" s="8" t="inlineStr">
        <is>
          <t>Frontierland Playground</t>
        </is>
      </c>
      <c r="F15847" s="8" t="inlineStr">
        <is>
          <t>STANDBY</t>
        </is>
      </c>
      <c r="G15847" s="8" t="n">
        <v>0</v>
      </c>
      <c r="H15847" s="8" t="inlineStr">
        <is>
          <t>CLOSED</t>
        </is>
      </c>
    </row>
    <row r="15848">
      <c r="A15848" s="8" t="inlineStr">
        <is>
          <t>2026-08-03</t>
        </is>
      </c>
      <c r="B15848" s="8" t="n">
        <v>17</v>
      </c>
      <c r="C15848" s="8" t="n">
        <v>31</v>
      </c>
      <c r="D15848" s="8" t="inlineStr">
        <is>
          <t>Disneyland Park</t>
        </is>
      </c>
      <c r="E15848" s="8" t="inlineStr">
        <is>
          <t>Phantom Manor</t>
        </is>
      </c>
      <c r="F15848" s="8" t="inlineStr">
        <is>
          <t>STANDBY</t>
        </is>
      </c>
      <c r="G15848" s="8" t="n">
        <v>15</v>
      </c>
      <c r="H15848" s="8" t="inlineStr">
        <is>
          <t>OPERATING</t>
        </is>
      </c>
    </row>
    <row r="15849">
      <c r="A15849" s="8" t="inlineStr">
        <is>
          <t>2026-08-03</t>
        </is>
      </c>
      <c r="B15849" s="8" t="n">
        <v>17</v>
      </c>
      <c r="C15849" s="8" t="n">
        <v>31</v>
      </c>
      <c r="D15849" s="8" t="inlineStr">
        <is>
          <t>Disneyland Park</t>
        </is>
      </c>
      <c r="E15849" s="8" t="inlineStr">
        <is>
          <t>River Rogue Keelboats</t>
        </is>
      </c>
      <c r="F15849" s="8" t="inlineStr">
        <is>
          <t>STANDBY</t>
        </is>
      </c>
      <c r="G15849" s="8" t="n">
        <v>0</v>
      </c>
      <c r="H15849" s="8" t="inlineStr">
        <is>
          <t>CLOSED</t>
        </is>
      </c>
    </row>
    <row r="15850">
      <c r="A15850" s="8" t="inlineStr">
        <is>
          <t>2026-08-03</t>
        </is>
      </c>
      <c r="B15850" s="8" t="n">
        <v>17</v>
      </c>
      <c r="C15850" s="8" t="n">
        <v>31</v>
      </c>
      <c r="D15850" s="8" t="inlineStr">
        <is>
          <t>Disneyland Park</t>
        </is>
      </c>
      <c r="E15850" s="8" t="inlineStr">
        <is>
          <t>Rustler Roundup Shootin' Gallery</t>
        </is>
      </c>
      <c r="F15850" s="8" t="inlineStr">
        <is>
          <t>STANDBY</t>
        </is>
      </c>
      <c r="G15850" s="8" t="n">
        <v>0</v>
      </c>
      <c r="H15850" s="8" t="inlineStr">
        <is>
          <t>OPERATING</t>
        </is>
      </c>
    </row>
    <row r="15851">
      <c r="A15851" s="8" t="inlineStr">
        <is>
          <t>2026-08-03</t>
        </is>
      </c>
      <c r="B15851" s="8" t="n">
        <v>17</v>
      </c>
      <c r="C15851" s="8" t="n">
        <v>31</v>
      </c>
      <c r="D15851" s="8" t="inlineStr">
        <is>
          <t>Disneyland Park</t>
        </is>
      </c>
      <c r="E15851" s="8" t="inlineStr">
        <is>
          <t>Thunder Mesa Riverboat Landing</t>
        </is>
      </c>
      <c r="F15851" s="8" t="inlineStr">
        <is>
          <t>STANDBY</t>
        </is>
      </c>
      <c r="G15851" s="8" t="n">
        <v>20</v>
      </c>
      <c r="H15851" s="8" t="inlineStr">
        <is>
          <t>OPERATING</t>
        </is>
      </c>
    </row>
    <row r="15852">
      <c r="A15852" s="8" t="inlineStr">
        <is>
          <t>2026-08-03</t>
        </is>
      </c>
      <c r="B15852" s="8" t="n">
        <v>17</v>
      </c>
      <c r="C15852" s="8" t="n">
        <v>31</v>
      </c>
      <c r="D15852" s="8" t="inlineStr">
        <is>
          <t>Disneyland Park</t>
        </is>
      </c>
      <c r="E15852" s="8" t="inlineStr">
        <is>
          <t>Disneyland Railroad Main Street Station</t>
        </is>
      </c>
      <c r="F15852" s="8" t="inlineStr">
        <is>
          <t>STANDBY</t>
        </is>
      </c>
      <c r="G15852" s="8" t="n">
        <v>0</v>
      </c>
      <c r="H15852" s="8" t="inlineStr">
        <is>
          <t>CLOSED</t>
        </is>
      </c>
    </row>
    <row r="15853">
      <c r="A15853" s="8" t="inlineStr">
        <is>
          <t>2026-08-03</t>
        </is>
      </c>
      <c r="B15853" s="8" t="n">
        <v>17</v>
      </c>
      <c r="C15853" s="8" t="n">
        <v>31</v>
      </c>
      <c r="D15853" s="8" t="inlineStr">
        <is>
          <t>Disneyland Park</t>
        </is>
      </c>
      <c r="E15853" s="8" t="inlineStr">
        <is>
          <t>Main Street Vehicles</t>
        </is>
      </c>
      <c r="F15853" s="8" t="inlineStr">
        <is>
          <t>STANDBY</t>
        </is>
      </c>
      <c r="G15853" s="8" t="n">
        <v>0</v>
      </c>
      <c r="H15853" s="8" t="inlineStr">
        <is>
          <t>CLOSED</t>
        </is>
      </c>
    </row>
    <row r="15854">
      <c r="A15854" s="8" t="inlineStr">
        <is>
          <t>2026-08-03</t>
        </is>
      </c>
      <c r="B15854" s="8" t="n">
        <v>17</v>
      </c>
      <c r="C15854" s="8" t="n">
        <v>31</v>
      </c>
      <c r="D15854" s="8" t="inlineStr">
        <is>
          <t>Disney Adventure World</t>
        </is>
      </c>
      <c r="E15854" s="8" t="inlineStr">
        <is>
          <t>Avengers Assemble: Flight Force</t>
        </is>
      </c>
      <c r="F15854" s="8" t="inlineStr">
        <is>
          <t>STANDBY</t>
        </is>
      </c>
      <c r="G15854" s="8" t="n">
        <v>10</v>
      </c>
      <c r="H15854" s="8" t="inlineStr">
        <is>
          <t>OPERATING</t>
        </is>
      </c>
    </row>
    <row r="15855">
      <c r="A15855" s="8" t="inlineStr">
        <is>
          <t>2026-08-03</t>
        </is>
      </c>
      <c r="B15855" s="8" t="n">
        <v>17</v>
      </c>
      <c r="C15855" s="8" t="n">
        <v>31</v>
      </c>
      <c r="D15855" s="8" t="inlineStr">
        <is>
          <t>Disney Adventure World</t>
        </is>
      </c>
      <c r="E15855" s="8" t="inlineStr">
        <is>
          <t>Avengers Assemble: Flight Force Single Rider</t>
        </is>
      </c>
      <c r="F15855" s="8" t="inlineStr">
        <is>
          <t>STANDBY</t>
        </is>
      </c>
      <c r="G15855" s="8" t="n">
        <v>5</v>
      </c>
      <c r="H15855" s="8" t="inlineStr">
        <is>
          <t>OPERATING</t>
        </is>
      </c>
    </row>
    <row r="15856">
      <c r="A15856" s="8" t="inlineStr">
        <is>
          <t>2026-08-03</t>
        </is>
      </c>
      <c r="B15856" s="8" t="n">
        <v>17</v>
      </c>
      <c r="C15856" s="8" t="n">
        <v>31</v>
      </c>
      <c r="D15856" s="8" t="inlineStr">
        <is>
          <t>Disney Adventure World</t>
        </is>
      </c>
      <c r="E15856" s="8" t="inlineStr">
        <is>
          <t>Spider-Man W.E.B. Adventure</t>
        </is>
      </c>
      <c r="F15856" s="8" t="inlineStr">
        <is>
          <t>STANDBY</t>
        </is>
      </c>
      <c r="G15856" s="8" t="n">
        <v>45</v>
      </c>
      <c r="H15856" s="8" t="inlineStr">
        <is>
          <t>OPERATING</t>
        </is>
      </c>
    </row>
    <row r="15857">
      <c r="A15857" s="8" t="inlineStr">
        <is>
          <t>2026-08-03</t>
        </is>
      </c>
      <c r="B15857" s="8" t="n">
        <v>17</v>
      </c>
      <c r="C15857" s="8" t="n">
        <v>31</v>
      </c>
      <c r="D15857" s="8" t="inlineStr">
        <is>
          <t>Disney Adventure World</t>
        </is>
      </c>
      <c r="E15857" s="8" t="inlineStr">
        <is>
          <t>Spider-Man W.E.B. Adventure Single Rider</t>
        </is>
      </c>
      <c r="F15857" s="8" t="inlineStr">
        <is>
          <t>STANDBY</t>
        </is>
      </c>
      <c r="G15857" s="8" t="n">
        <v>20</v>
      </c>
      <c r="H15857" s="8" t="inlineStr">
        <is>
          <t>OPERATING</t>
        </is>
      </c>
    </row>
    <row r="15858">
      <c r="A15858" s="8" t="inlineStr">
        <is>
          <t>2026-08-03</t>
        </is>
      </c>
      <c r="B15858" s="8" t="n">
        <v>17</v>
      </c>
      <c r="C15858" s="8" t="n">
        <v>31</v>
      </c>
      <c r="D15858" s="8" t="inlineStr">
        <is>
          <t>Disney Adventure World</t>
        </is>
      </c>
      <c r="E15858" s="8" t="inlineStr">
        <is>
          <t>The Twilight Zone Tower of Terror</t>
        </is>
      </c>
      <c r="F15858" s="8" t="inlineStr">
        <is>
          <t>STANDBY</t>
        </is>
      </c>
      <c r="G15858" s="8" t="n">
        <v>10</v>
      </c>
      <c r="H15858" s="8" t="inlineStr">
        <is>
          <t>OPERATING</t>
        </is>
      </c>
    </row>
    <row r="15859">
      <c r="A15859" s="8" t="inlineStr">
        <is>
          <t>2026-08-03</t>
        </is>
      </c>
      <c r="B15859" s="8" t="n">
        <v>17</v>
      </c>
      <c r="C15859" s="8" t="n">
        <v>31</v>
      </c>
      <c r="D15859" s="8" t="inlineStr">
        <is>
          <t>Disney Adventure World</t>
        </is>
      </c>
      <c r="E15859" s="8" t="inlineStr">
        <is>
          <t>Cars Quatre Roues Rallye</t>
        </is>
      </c>
      <c r="F15859" s="8" t="inlineStr">
        <is>
          <t>STANDBY</t>
        </is>
      </c>
      <c r="G15859" s="8" t="n">
        <v>5</v>
      </c>
      <c r="H15859" s="8" t="inlineStr">
        <is>
          <t>OPERATING</t>
        </is>
      </c>
    </row>
    <row r="15860">
      <c r="A15860" s="8" t="inlineStr">
        <is>
          <t>2026-08-03</t>
        </is>
      </c>
      <c r="B15860" s="8" t="n">
        <v>17</v>
      </c>
      <c r="C15860" s="8" t="n">
        <v>31</v>
      </c>
      <c r="D15860" s="8" t="inlineStr">
        <is>
          <t>Disney Adventure World</t>
        </is>
      </c>
      <c r="E15860" s="8" t="inlineStr">
        <is>
          <t>Cars ROAD TRIP</t>
        </is>
      </c>
      <c r="F15860" s="8" t="inlineStr">
        <is>
          <t>STANDBY</t>
        </is>
      </c>
      <c r="G15860" s="8" t="n">
        <v>5</v>
      </c>
      <c r="H15860" s="8" t="inlineStr">
        <is>
          <t>OPERATING</t>
        </is>
      </c>
    </row>
    <row r="15861">
      <c r="A15861" s="8" t="inlineStr">
        <is>
          <t>2026-08-03</t>
        </is>
      </c>
      <c r="B15861" s="8" t="n">
        <v>17</v>
      </c>
      <c r="C15861" s="8" t="n">
        <v>31</v>
      </c>
      <c r="D15861" s="8" t="inlineStr">
        <is>
          <t>Disney Adventure World</t>
        </is>
      </c>
      <c r="E15861" s="8" t="inlineStr">
        <is>
          <t>Crush's Coaster</t>
        </is>
      </c>
      <c r="F15861" s="8" t="inlineStr">
        <is>
          <t>STANDBY</t>
        </is>
      </c>
      <c r="G15861" s="8" t="n">
        <v>60</v>
      </c>
      <c r="H15861" s="8" t="inlineStr">
        <is>
          <t>OPERATING</t>
        </is>
      </c>
    </row>
    <row r="15862">
      <c r="A15862" s="8" t="inlineStr">
        <is>
          <t>2026-08-03</t>
        </is>
      </c>
      <c r="B15862" s="8" t="n">
        <v>17</v>
      </c>
      <c r="C15862" s="8" t="n">
        <v>31</v>
      </c>
      <c r="D15862" s="8" t="inlineStr">
        <is>
          <t>Disney Adventure World</t>
        </is>
      </c>
      <c r="E15862" s="8" t="inlineStr">
        <is>
          <t>Crush's Coaster Single Rider</t>
        </is>
      </c>
      <c r="F15862" s="8" t="inlineStr">
        <is>
          <t>STANDBY</t>
        </is>
      </c>
      <c r="G15862" s="8" t="n">
        <v>55</v>
      </c>
      <c r="H15862" s="8" t="inlineStr">
        <is>
          <t>OPERATING</t>
        </is>
      </c>
    </row>
    <row r="15863">
      <c r="A15863" s="8" t="inlineStr">
        <is>
          <t>2026-08-03</t>
        </is>
      </c>
      <c r="B15863" s="8" t="n">
        <v>17</v>
      </c>
      <c r="C15863" s="8" t="n">
        <v>31</v>
      </c>
      <c r="D15863" s="8" t="inlineStr">
        <is>
          <t>Disney Adventure World</t>
        </is>
      </c>
      <c r="E15863" s="8" t="inlineStr">
        <is>
          <t>Les Tapis Volants - Flying Carpets Over Agrabah®</t>
        </is>
      </c>
      <c r="F15863" s="8" t="inlineStr">
        <is>
          <t>STANDBY</t>
        </is>
      </c>
      <c r="G15863" s="8" t="n">
        <v>5</v>
      </c>
      <c r="H15863" s="8" t="inlineStr">
        <is>
          <t>OPERATING</t>
        </is>
      </c>
    </row>
    <row r="15864">
      <c r="A15864" s="8" t="inlineStr">
        <is>
          <t>2026-08-03</t>
        </is>
      </c>
      <c r="B15864" s="8" t="n">
        <v>17</v>
      </c>
      <c r="C15864" s="8" t="n">
        <v>31</v>
      </c>
      <c r="D15864" s="8" t="inlineStr">
        <is>
          <t>Disney Adventure World</t>
        </is>
      </c>
      <c r="E15864" s="8" t="inlineStr">
        <is>
          <t>Ratatouille : L’Aventure Totalement Toquée de Rémy​</t>
        </is>
      </c>
      <c r="F15864" s="8" t="inlineStr">
        <is>
          <t>STANDBY</t>
        </is>
      </c>
      <c r="G15864" s="8" t="n">
        <v>45</v>
      </c>
      <c r="H15864" s="8" t="inlineStr">
        <is>
          <t>OPERATING</t>
        </is>
      </c>
    </row>
    <row r="15865">
      <c r="A15865" s="8" t="inlineStr">
        <is>
          <t>2026-08-03</t>
        </is>
      </c>
      <c r="B15865" s="8" t="n">
        <v>17</v>
      </c>
      <c r="C15865" s="8" t="n">
        <v>31</v>
      </c>
      <c r="D15865" s="8" t="inlineStr">
        <is>
          <t>Disney Adventure World</t>
        </is>
      </c>
      <c r="E15865" s="8" t="inlineStr">
        <is>
          <t>Ratatouille: The Adventure Single Rider</t>
        </is>
      </c>
      <c r="F15865" s="8" t="inlineStr">
        <is>
          <t>STANDBY</t>
        </is>
      </c>
      <c r="G15865" s="8" t="n">
        <v>15</v>
      </c>
      <c r="H15865" s="8" t="inlineStr">
        <is>
          <t>OPERATING</t>
        </is>
      </c>
    </row>
    <row r="15866">
      <c r="A15866" s="8" t="inlineStr">
        <is>
          <t>2026-08-03</t>
        </is>
      </c>
      <c r="B15866" s="8" t="n">
        <v>17</v>
      </c>
      <c r="C15866" s="8" t="n">
        <v>31</v>
      </c>
      <c r="D15866" s="8" t="inlineStr">
        <is>
          <t>Disney Adventure World</t>
        </is>
      </c>
      <c r="E15866" s="8" t="inlineStr">
        <is>
          <t>RC Racer</t>
        </is>
      </c>
      <c r="F15866" s="8" t="inlineStr">
        <is>
          <t>STANDBY</t>
        </is>
      </c>
      <c r="G15866" s="8" t="n">
        <v>40</v>
      </c>
      <c r="H15866" s="8" t="inlineStr">
        <is>
          <t>OPERATING</t>
        </is>
      </c>
    </row>
    <row r="15867">
      <c r="A15867" s="8" t="inlineStr">
        <is>
          <t>2026-08-03</t>
        </is>
      </c>
      <c r="B15867" s="8" t="n">
        <v>17</v>
      </c>
      <c r="C15867" s="8" t="n">
        <v>31</v>
      </c>
      <c r="D15867" s="8" t="inlineStr">
        <is>
          <t>Disney Adventure World</t>
        </is>
      </c>
      <c r="E15867" s="8" t="inlineStr">
        <is>
          <t>RC Racer Single Rider</t>
        </is>
      </c>
      <c r="F15867" s="8" t="inlineStr">
        <is>
          <t>STANDBY</t>
        </is>
      </c>
      <c r="G15867" s="8" t="n">
        <v>10</v>
      </c>
      <c r="H15867" s="8" t="inlineStr">
        <is>
          <t>OPERATING</t>
        </is>
      </c>
    </row>
    <row r="15868">
      <c r="A15868" s="8" t="inlineStr">
        <is>
          <t>2026-08-03</t>
        </is>
      </c>
      <c r="B15868" s="8" t="n">
        <v>17</v>
      </c>
      <c r="C15868" s="8" t="n">
        <v>31</v>
      </c>
      <c r="D15868" s="8" t="inlineStr">
        <is>
          <t>Disney Adventure World</t>
        </is>
      </c>
      <c r="E15868" s="8" t="inlineStr">
        <is>
          <t>Slinky® Dog Zigzag Spin</t>
        </is>
      </c>
      <c r="F15868" s="8" t="inlineStr">
        <is>
          <t>STANDBY</t>
        </is>
      </c>
      <c r="G15868" s="8" t="n">
        <v>10</v>
      </c>
      <c r="H15868" s="8" t="inlineStr">
        <is>
          <t>OPERATING</t>
        </is>
      </c>
    </row>
    <row r="15869">
      <c r="A15869" s="8" t="inlineStr">
        <is>
          <t>2026-08-03</t>
        </is>
      </c>
      <c r="B15869" s="8" t="n">
        <v>17</v>
      </c>
      <c r="C15869" s="8" t="n">
        <v>31</v>
      </c>
      <c r="D15869" s="8" t="inlineStr">
        <is>
          <t>Disney Adventure World</t>
        </is>
      </c>
      <c r="E15869" s="8" t="inlineStr">
        <is>
          <t>Toy Soldiers Parachute Drop</t>
        </is>
      </c>
      <c r="F15869" s="8" t="inlineStr">
        <is>
          <t>STANDBY</t>
        </is>
      </c>
      <c r="G15869" s="8" t="n">
        <v>35</v>
      </c>
      <c r="H15869" s="8" t="inlineStr">
        <is>
          <t>OPERATING</t>
        </is>
      </c>
    </row>
    <row r="15870">
      <c r="A15870" s="8" t="inlineStr">
        <is>
          <t>2026-08-03</t>
        </is>
      </c>
      <c r="B15870" s="8" t="n">
        <v>17</v>
      </c>
      <c r="C15870" s="8" t="n">
        <v>31</v>
      </c>
      <c r="D15870" s="8" t="inlineStr">
        <is>
          <t>Disney Adventure World</t>
        </is>
      </c>
      <c r="E15870" s="8" t="inlineStr">
        <is>
          <t>Toy Soldiers Parachute Drop Single Rider</t>
        </is>
      </c>
      <c r="F15870" s="8" t="inlineStr">
        <is>
          <t>STANDBY</t>
        </is>
      </c>
      <c r="G15870" s="8" t="n">
        <v>5</v>
      </c>
      <c r="H15870" s="8" t="inlineStr">
        <is>
          <t>OPERATING</t>
        </is>
      </c>
    </row>
    <row r="15871">
      <c r="A15871" s="8" t="inlineStr">
        <is>
          <t>2026-08-03</t>
        </is>
      </c>
      <c r="B15871" s="8" t="n">
        <v>17</v>
      </c>
      <c r="C15871" s="8" t="n">
        <v>31</v>
      </c>
      <c r="D15871" s="8" t="inlineStr">
        <is>
          <t>Disney Adventure World</t>
        </is>
      </c>
      <c r="E15871" s="8" t="inlineStr">
        <is>
          <t>Entry to World of Frozen</t>
        </is>
      </c>
      <c r="F15871" s="8" t="inlineStr">
        <is>
          <t>STANDBY</t>
        </is>
      </c>
      <c r="G15871" s="8" t="n">
        <v>0</v>
      </c>
      <c r="H15871" s="8" t="inlineStr">
        <is>
          <t>OPERATING</t>
        </is>
      </c>
    </row>
    <row r="15872">
      <c r="A15872" s="8" t="inlineStr">
        <is>
          <t>2026-08-03</t>
        </is>
      </c>
      <c r="B15872" s="8" t="n">
        <v>17</v>
      </c>
      <c r="C15872" s="8" t="n">
        <v>31</v>
      </c>
      <c r="D15872" s="8" t="inlineStr">
        <is>
          <t>Disney Adventure World</t>
        </is>
      </c>
      <c r="E15872" s="8" t="inlineStr">
        <is>
          <t>Frozen Ever After</t>
        </is>
      </c>
      <c r="F15872" s="8" t="inlineStr">
        <is>
          <t>STANDBY</t>
        </is>
      </c>
      <c r="G15872" s="8" t="n">
        <v>50</v>
      </c>
      <c r="H15872" s="8" t="inlineStr">
        <is>
          <t>OPERATING</t>
        </is>
      </c>
    </row>
    <row r="15873">
      <c r="A15873" s="8" t="inlineStr">
        <is>
          <t>2026-08-03</t>
        </is>
      </c>
      <c r="B15873" s="8" t="n">
        <v>17</v>
      </c>
      <c r="C15873" s="8" t="n">
        <v>31</v>
      </c>
      <c r="D15873" s="8" t="inlineStr">
        <is>
          <t>Disney Adventure World</t>
        </is>
      </c>
      <c r="E15873" s="8" t="inlineStr">
        <is>
          <t>Raiponce Tangled Spin</t>
        </is>
      </c>
      <c r="F15873" s="8" t="inlineStr">
        <is>
          <t>STANDBY</t>
        </is>
      </c>
      <c r="G15873" s="8" t="n">
        <v>5</v>
      </c>
      <c r="H15873" s="8" t="inlineStr">
        <is>
          <t>OPERATING</t>
        </is>
      </c>
    </row>
    <row r="15874">
      <c r="A15874" s="8" t="inlineStr">
        <is>
          <t>2026-08-03</t>
        </is>
      </c>
      <c r="B15874" s="8" t="n">
        <v>17</v>
      </c>
      <c r="C15874" s="8" t="n">
        <v>45</v>
      </c>
      <c r="D15874" s="8" t="inlineStr">
        <is>
          <t>Disneyland Park</t>
        </is>
      </c>
      <c r="E15874" s="8" t="inlineStr">
        <is>
          <t>Adventure Isle</t>
        </is>
      </c>
      <c r="F15874" s="8" t="inlineStr">
        <is>
          <t>STANDBY</t>
        </is>
      </c>
      <c r="G15874" s="8" t="n">
        <v>0</v>
      </c>
      <c r="H15874" s="8" t="inlineStr">
        <is>
          <t>OPERATING</t>
        </is>
      </c>
    </row>
    <row r="15875">
      <c r="A15875" s="8" t="inlineStr">
        <is>
          <t>2026-08-03</t>
        </is>
      </c>
      <c r="B15875" s="8" t="n">
        <v>17</v>
      </c>
      <c r="C15875" s="8" t="n">
        <v>45</v>
      </c>
      <c r="D15875" s="8" t="inlineStr">
        <is>
          <t>Disneyland Park</t>
        </is>
      </c>
      <c r="E15875" s="8" t="inlineStr">
        <is>
          <t>Indiana Jones and the Temple of Peril Single Rider</t>
        </is>
      </c>
      <c r="F15875" s="8" t="inlineStr">
        <is>
          <t>STANDBY</t>
        </is>
      </c>
      <c r="G15875" s="8" t="n">
        <v>10</v>
      </c>
      <c r="H15875" s="8" t="inlineStr">
        <is>
          <t>OPERATING</t>
        </is>
      </c>
    </row>
    <row r="15876">
      <c r="A15876" s="8" t="inlineStr">
        <is>
          <t>2026-08-03</t>
        </is>
      </c>
      <c r="B15876" s="8" t="n">
        <v>17</v>
      </c>
      <c r="C15876" s="8" t="n">
        <v>45</v>
      </c>
      <c r="D15876" s="8" t="inlineStr">
        <is>
          <t>Disneyland Park</t>
        </is>
      </c>
      <c r="E15876" s="8" t="inlineStr">
        <is>
          <t>Indiana Jones™ and the Temple of Peril</t>
        </is>
      </c>
      <c r="F15876" s="8" t="inlineStr">
        <is>
          <t>STANDBY</t>
        </is>
      </c>
      <c r="G15876" s="8" t="n">
        <v>25</v>
      </c>
      <c r="H15876" s="8" t="inlineStr">
        <is>
          <t>OPERATING</t>
        </is>
      </c>
    </row>
    <row r="15877">
      <c r="A15877" s="8" t="inlineStr">
        <is>
          <t>2026-08-03</t>
        </is>
      </c>
      <c r="B15877" s="8" t="n">
        <v>17</v>
      </c>
      <c r="C15877" s="8" t="n">
        <v>45</v>
      </c>
      <c r="D15877" s="8" t="inlineStr">
        <is>
          <t>Disneyland Park</t>
        </is>
      </c>
      <c r="E15877" s="8" t="inlineStr">
        <is>
          <t>La Cabane des Robinson</t>
        </is>
      </c>
      <c r="F15877" s="8" t="inlineStr">
        <is>
          <t>STANDBY</t>
        </is>
      </c>
      <c r="G15877" s="8" t="n">
        <v>5</v>
      </c>
      <c r="H15877" s="8" t="inlineStr">
        <is>
          <t>OPERATING</t>
        </is>
      </c>
    </row>
    <row r="15878">
      <c r="A15878" s="8" t="inlineStr">
        <is>
          <t>2026-08-03</t>
        </is>
      </c>
      <c r="B15878" s="8" t="n">
        <v>17</v>
      </c>
      <c r="C15878" s="8" t="n">
        <v>45</v>
      </c>
      <c r="D15878" s="8" t="inlineStr">
        <is>
          <t>Disneyland Park</t>
        </is>
      </c>
      <c r="E15878" s="8" t="inlineStr">
        <is>
          <t>Le Passage Enchanté d'Aladdin</t>
        </is>
      </c>
      <c r="F15878" s="8" t="inlineStr">
        <is>
          <t>STANDBY</t>
        </is>
      </c>
      <c r="G15878" s="8" t="n">
        <v>0</v>
      </c>
      <c r="H15878" s="8" t="inlineStr">
        <is>
          <t>OPERATING</t>
        </is>
      </c>
    </row>
    <row r="15879">
      <c r="A15879" s="8" t="inlineStr">
        <is>
          <t>2026-08-03</t>
        </is>
      </c>
      <c r="B15879" s="8" t="n">
        <v>17</v>
      </c>
      <c r="C15879" s="8" t="n">
        <v>45</v>
      </c>
      <c r="D15879" s="8" t="inlineStr">
        <is>
          <t>Disneyland Park</t>
        </is>
      </c>
      <c r="E15879" s="8" t="inlineStr">
        <is>
          <t>Pirate Galleon</t>
        </is>
      </c>
      <c r="F15879" s="8" t="inlineStr">
        <is>
          <t>STANDBY</t>
        </is>
      </c>
      <c r="G15879" s="8" t="n">
        <v>0</v>
      </c>
      <c r="H15879" s="8" t="inlineStr">
        <is>
          <t>CLOSED</t>
        </is>
      </c>
    </row>
    <row r="15880">
      <c r="A15880" s="8" t="inlineStr">
        <is>
          <t>2026-08-03</t>
        </is>
      </c>
      <c r="B15880" s="8" t="n">
        <v>17</v>
      </c>
      <c r="C15880" s="8" t="n">
        <v>45</v>
      </c>
      <c r="D15880" s="8" t="inlineStr">
        <is>
          <t>Disneyland Park</t>
        </is>
      </c>
      <c r="E15880" s="8" t="inlineStr">
        <is>
          <t>Pirates of the Caribbean</t>
        </is>
      </c>
      <c r="F15880" s="8" t="inlineStr">
        <is>
          <t>STANDBY</t>
        </is>
      </c>
      <c r="G15880" s="8" t="n">
        <v>20</v>
      </c>
      <c r="H15880" s="8" t="inlineStr">
        <is>
          <t>OPERATING</t>
        </is>
      </c>
    </row>
    <row r="15881">
      <c r="A15881" s="8" t="inlineStr">
        <is>
          <t>2026-08-03</t>
        </is>
      </c>
      <c r="B15881" s="8" t="n">
        <v>17</v>
      </c>
      <c r="C15881" s="8" t="n">
        <v>45</v>
      </c>
      <c r="D15881" s="8" t="inlineStr">
        <is>
          <t>Disneyland Park</t>
        </is>
      </c>
      <c r="E15881" s="8" t="inlineStr">
        <is>
          <t>Pirates' Beach</t>
        </is>
      </c>
      <c r="F15881" s="8" t="inlineStr">
        <is>
          <t>STANDBY</t>
        </is>
      </c>
      <c r="G15881" s="8" t="n">
        <v>0</v>
      </c>
      <c r="H15881" s="8" t="inlineStr">
        <is>
          <t>OPERATING</t>
        </is>
      </c>
    </row>
    <row r="15882">
      <c r="A15882" s="8" t="inlineStr">
        <is>
          <t>2026-08-03</t>
        </is>
      </c>
      <c r="B15882" s="8" t="n">
        <v>17</v>
      </c>
      <c r="C15882" s="8" t="n">
        <v>45</v>
      </c>
      <c r="D15882" s="8" t="inlineStr">
        <is>
          <t>Disneyland Park</t>
        </is>
      </c>
      <c r="E15882" s="8" t="inlineStr">
        <is>
          <t>Autopia, presented by Avis</t>
        </is>
      </c>
      <c r="F15882" s="8" t="inlineStr">
        <is>
          <t>STANDBY</t>
        </is>
      </c>
      <c r="G15882" s="8" t="n">
        <v>0</v>
      </c>
      <c r="H15882" s="8" t="inlineStr">
        <is>
          <t>CLOSED</t>
        </is>
      </c>
    </row>
    <row r="15883">
      <c r="A15883" s="8" t="inlineStr">
        <is>
          <t>2026-08-03</t>
        </is>
      </c>
      <c r="B15883" s="8" t="n">
        <v>17</v>
      </c>
      <c r="C15883" s="8" t="n">
        <v>45</v>
      </c>
      <c r="D15883" s="8" t="inlineStr">
        <is>
          <t>Disneyland Park</t>
        </is>
      </c>
      <c r="E15883" s="8" t="inlineStr">
        <is>
          <t>Buzz Lightyear Laser Blast</t>
        </is>
      </c>
      <c r="F15883" s="8" t="inlineStr">
        <is>
          <t>STANDBY</t>
        </is>
      </c>
      <c r="G15883" s="8" t="n">
        <v>40</v>
      </c>
      <c r="H15883" s="8" t="inlineStr">
        <is>
          <t>OPERATING</t>
        </is>
      </c>
    </row>
    <row r="15884">
      <c r="A15884" s="8" t="inlineStr">
        <is>
          <t>2026-08-03</t>
        </is>
      </c>
      <c r="B15884" s="8" t="n">
        <v>17</v>
      </c>
      <c r="C15884" s="8" t="n">
        <v>45</v>
      </c>
      <c r="D15884" s="8" t="inlineStr">
        <is>
          <t>Disneyland Park</t>
        </is>
      </c>
      <c r="E15884" s="8" t="inlineStr">
        <is>
          <t>Disneyland Railroad Discoveryland Station</t>
        </is>
      </c>
      <c r="F15884" s="8" t="inlineStr">
        <is>
          <t>STANDBY</t>
        </is>
      </c>
      <c r="G15884" s="8" t="n">
        <v>0</v>
      </c>
      <c r="H15884" s="8" t="inlineStr">
        <is>
          <t>CLOSED</t>
        </is>
      </c>
    </row>
    <row r="15885">
      <c r="A15885" s="8" t="inlineStr">
        <is>
          <t>2026-08-03</t>
        </is>
      </c>
      <c r="B15885" s="8" t="n">
        <v>17</v>
      </c>
      <c r="C15885" s="8" t="n">
        <v>45</v>
      </c>
      <c r="D15885" s="8" t="inlineStr">
        <is>
          <t>Disneyland Park</t>
        </is>
      </c>
      <c r="E15885" s="8" t="inlineStr">
        <is>
          <t>Les Mystères du Nautilus</t>
        </is>
      </c>
      <c r="F15885" s="8" t="inlineStr">
        <is>
          <t>STANDBY</t>
        </is>
      </c>
      <c r="G15885" s="8" t="n">
        <v>5</v>
      </c>
      <c r="H15885" s="8" t="inlineStr">
        <is>
          <t>OPERATING</t>
        </is>
      </c>
    </row>
    <row r="15886">
      <c r="A15886" s="8" t="inlineStr">
        <is>
          <t>2026-08-03</t>
        </is>
      </c>
      <c r="B15886" s="8" t="n">
        <v>17</v>
      </c>
      <c r="C15886" s="8" t="n">
        <v>45</v>
      </c>
      <c r="D15886" s="8" t="inlineStr">
        <is>
          <t>Disneyland Park</t>
        </is>
      </c>
      <c r="E15886" s="8" t="inlineStr">
        <is>
          <t>Mickey’s PhilharMagic</t>
        </is>
      </c>
      <c r="F15886" s="8" t="inlineStr">
        <is>
          <t>STANDBY</t>
        </is>
      </c>
      <c r="G15886" s="8" t="n">
        <v>0</v>
      </c>
      <c r="H15886" s="8" t="inlineStr">
        <is>
          <t>CLOSED</t>
        </is>
      </c>
    </row>
    <row r="15887">
      <c r="A15887" s="8" t="inlineStr">
        <is>
          <t>2026-08-03</t>
        </is>
      </c>
      <c r="B15887" s="8" t="n">
        <v>17</v>
      </c>
      <c r="C15887" s="8" t="n">
        <v>45</v>
      </c>
      <c r="D15887" s="8" t="inlineStr">
        <is>
          <t>Disneyland Park</t>
        </is>
      </c>
      <c r="E15887" s="8" t="inlineStr">
        <is>
          <t>Orbitron®</t>
        </is>
      </c>
      <c r="F15887" s="8" t="inlineStr">
        <is>
          <t>STANDBY</t>
        </is>
      </c>
      <c r="G15887" s="8" t="n">
        <v>0</v>
      </c>
      <c r="H15887" s="8" t="inlineStr">
        <is>
          <t>CLOSED</t>
        </is>
      </c>
    </row>
    <row r="15888">
      <c r="A15888" s="8" t="inlineStr">
        <is>
          <t>2026-08-03</t>
        </is>
      </c>
      <c r="B15888" s="8" t="n">
        <v>17</v>
      </c>
      <c r="C15888" s="8" t="n">
        <v>45</v>
      </c>
      <c r="D15888" s="8" t="inlineStr">
        <is>
          <t>Disneyland Park</t>
        </is>
      </c>
      <c r="E15888" s="8" t="inlineStr">
        <is>
          <t>Star Tours: The Adventures Continue*</t>
        </is>
      </c>
      <c r="F15888" s="8" t="inlineStr">
        <is>
          <t>STANDBY</t>
        </is>
      </c>
      <c r="G15888" s="8" t="n">
        <v>5</v>
      </c>
      <c r="H15888" s="8" t="inlineStr">
        <is>
          <t>OPERATING</t>
        </is>
      </c>
    </row>
    <row r="15889">
      <c r="A15889" s="8" t="inlineStr">
        <is>
          <t>2026-08-03</t>
        </is>
      </c>
      <c r="B15889" s="8" t="n">
        <v>17</v>
      </c>
      <c r="C15889" s="8" t="n">
        <v>45</v>
      </c>
      <c r="D15889" s="8" t="inlineStr">
        <is>
          <t>Disneyland Park</t>
        </is>
      </c>
      <c r="E15889" s="8" t="inlineStr">
        <is>
          <t>Star Wars Hyperspace Mountain</t>
        </is>
      </c>
      <c r="F15889" s="8" t="inlineStr">
        <is>
          <t>STANDBY</t>
        </is>
      </c>
      <c r="G15889" s="8" t="n">
        <v>30</v>
      </c>
      <c r="H15889" s="8" t="inlineStr">
        <is>
          <t>OPERATING</t>
        </is>
      </c>
    </row>
    <row r="15890">
      <c r="A15890" s="8" t="inlineStr">
        <is>
          <t>2026-08-03</t>
        </is>
      </c>
      <c r="B15890" s="8" t="n">
        <v>17</v>
      </c>
      <c r="C15890" s="8" t="n">
        <v>45</v>
      </c>
      <c r="D15890" s="8" t="inlineStr">
        <is>
          <t>Disneyland Park</t>
        </is>
      </c>
      <c r="E15890" s="8" t="inlineStr">
        <is>
          <t>Star Wars Hyperspace Mountain Single Rider</t>
        </is>
      </c>
      <c r="F15890" s="8" t="inlineStr">
        <is>
          <t>STANDBY</t>
        </is>
      </c>
      <c r="G15890" s="8" t="n">
        <v>25</v>
      </c>
      <c r="H15890" s="8" t="inlineStr">
        <is>
          <t>OPERATING</t>
        </is>
      </c>
    </row>
    <row r="15891">
      <c r="A15891" s="8" t="inlineStr">
        <is>
          <t>2026-08-03</t>
        </is>
      </c>
      <c r="B15891" s="8" t="n">
        <v>17</v>
      </c>
      <c r="C15891" s="8" t="n">
        <v>45</v>
      </c>
      <c r="D15891" s="8" t="inlineStr">
        <is>
          <t>Disneyland Park</t>
        </is>
      </c>
      <c r="E15891" s="8" t="inlineStr">
        <is>
          <t>Welcome to Starport: A Star Wars Encounter</t>
        </is>
      </c>
      <c r="F15891" s="8" t="inlineStr">
        <is>
          <t>STANDBY</t>
        </is>
      </c>
      <c r="G15891" s="8" t="n">
        <v>0</v>
      </c>
      <c r="H15891" s="8" t="inlineStr">
        <is>
          <t>CLOSED</t>
        </is>
      </c>
    </row>
    <row r="15892">
      <c r="A15892" s="8" t="inlineStr">
        <is>
          <t>2026-08-03</t>
        </is>
      </c>
      <c r="B15892" s="8" t="n">
        <v>17</v>
      </c>
      <c r="C15892" s="8" t="n">
        <v>45</v>
      </c>
      <c r="D15892" s="8" t="inlineStr">
        <is>
          <t>Disneyland Park</t>
        </is>
      </c>
      <c r="E15892" s="8" t="inlineStr">
        <is>
          <t>"it's a small world"</t>
        </is>
      </c>
      <c r="F15892" s="8" t="inlineStr">
        <is>
          <t>STANDBY</t>
        </is>
      </c>
      <c r="G15892" s="8" t="n">
        <v>5</v>
      </c>
      <c r="H15892" s="8" t="inlineStr">
        <is>
          <t>OPERATING</t>
        </is>
      </c>
    </row>
    <row r="15893">
      <c r="A15893" s="8" t="inlineStr">
        <is>
          <t>2026-08-03</t>
        </is>
      </c>
      <c r="B15893" s="8" t="n">
        <v>17</v>
      </c>
      <c r="C15893" s="8" t="n">
        <v>45</v>
      </c>
      <c r="D15893" s="8" t="inlineStr">
        <is>
          <t>Disneyland Park</t>
        </is>
      </c>
      <c r="E15893" s="8" t="inlineStr">
        <is>
          <t>Alice's Curious Labyrinth</t>
        </is>
      </c>
      <c r="F15893" s="8" t="inlineStr">
        <is>
          <t>STANDBY</t>
        </is>
      </c>
      <c r="G15893" s="8" t="n">
        <v>5</v>
      </c>
      <c r="H15893" s="8" t="inlineStr">
        <is>
          <t>OPERATING</t>
        </is>
      </c>
    </row>
    <row r="15894">
      <c r="A15894" s="8" t="inlineStr">
        <is>
          <t>2026-08-03</t>
        </is>
      </c>
      <c r="B15894" s="8" t="n">
        <v>17</v>
      </c>
      <c r="C15894" s="8" t="n">
        <v>45</v>
      </c>
      <c r="D15894" s="8" t="inlineStr">
        <is>
          <t>Disneyland Park</t>
        </is>
      </c>
      <c r="E15894" s="8" t="inlineStr">
        <is>
          <t>Blanche-Neige et les Sept Nains®</t>
        </is>
      </c>
      <c r="F15894" s="8" t="inlineStr">
        <is>
          <t>STANDBY</t>
        </is>
      </c>
      <c r="G15894" s="8" t="n">
        <v>30</v>
      </c>
      <c r="H15894" s="8" t="inlineStr">
        <is>
          <t>OPERATING</t>
        </is>
      </c>
    </row>
    <row r="15895">
      <c r="A15895" s="8" t="inlineStr">
        <is>
          <t>2026-08-03</t>
        </is>
      </c>
      <c r="B15895" s="8" t="n">
        <v>17</v>
      </c>
      <c r="C15895" s="8" t="n">
        <v>45</v>
      </c>
      <c r="D15895" s="8" t="inlineStr">
        <is>
          <t>Disneyland Park</t>
        </is>
      </c>
      <c r="E15895" s="8" t="inlineStr">
        <is>
          <t>Casey Jr. – le Petit Train du Cirque</t>
        </is>
      </c>
      <c r="F15895" s="8" t="inlineStr">
        <is>
          <t>STANDBY</t>
        </is>
      </c>
      <c r="G15895" s="8" t="n">
        <v>5</v>
      </c>
      <c r="H15895" s="8" t="inlineStr">
        <is>
          <t>OPERATING</t>
        </is>
      </c>
    </row>
    <row r="15896">
      <c r="A15896" s="8" t="inlineStr">
        <is>
          <t>2026-08-03</t>
        </is>
      </c>
      <c r="B15896" s="8" t="n">
        <v>17</v>
      </c>
      <c r="C15896" s="8" t="n">
        <v>45</v>
      </c>
      <c r="D15896" s="8" t="inlineStr">
        <is>
          <t>Disneyland Park</t>
        </is>
      </c>
      <c r="E15896" s="8" t="inlineStr">
        <is>
          <t>Disneyland Railroad Fantasyland Station</t>
        </is>
      </c>
      <c r="F15896" s="8" t="inlineStr">
        <is>
          <t>STANDBY</t>
        </is>
      </c>
      <c r="G15896" s="8" t="n">
        <v>0</v>
      </c>
      <c r="H15896" s="8" t="inlineStr">
        <is>
          <t>CLOSED</t>
        </is>
      </c>
    </row>
    <row r="15897">
      <c r="A15897" s="8" t="inlineStr">
        <is>
          <t>2026-08-03</t>
        </is>
      </c>
      <c r="B15897" s="8" t="n">
        <v>17</v>
      </c>
      <c r="C15897" s="8" t="n">
        <v>45</v>
      </c>
      <c r="D15897" s="8" t="inlineStr">
        <is>
          <t>Disneyland Park</t>
        </is>
      </c>
      <c r="E15897" s="8" t="inlineStr">
        <is>
          <t>Disneyland Railroad Main Street Station</t>
        </is>
      </c>
      <c r="F15897" s="8" t="inlineStr">
        <is>
          <t>STANDBY</t>
        </is>
      </c>
      <c r="G15897" s="8" t="n">
        <v>0</v>
      </c>
      <c r="H15897" s="8" t="inlineStr">
        <is>
          <t>CLOSED</t>
        </is>
      </c>
    </row>
    <row r="15898">
      <c r="A15898" s="8" t="inlineStr">
        <is>
          <t>2026-08-03</t>
        </is>
      </c>
      <c r="B15898" s="8" t="n">
        <v>17</v>
      </c>
      <c r="C15898" s="8" t="n">
        <v>45</v>
      </c>
      <c r="D15898" s="8" t="inlineStr">
        <is>
          <t>Disneyland Park</t>
        </is>
      </c>
      <c r="E15898" s="8" t="inlineStr">
        <is>
          <t>Dumbo the Flying Elephant</t>
        </is>
      </c>
      <c r="F15898" s="8" t="inlineStr">
        <is>
          <t>STANDBY</t>
        </is>
      </c>
      <c r="G15898" s="8" t="n">
        <v>0</v>
      </c>
      <c r="H15898" s="8" t="inlineStr">
        <is>
          <t>CLOSED</t>
        </is>
      </c>
    </row>
    <row r="15899">
      <c r="A15899" s="8" t="inlineStr">
        <is>
          <t>2026-08-03</t>
        </is>
      </c>
      <c r="B15899" s="8" t="n">
        <v>17</v>
      </c>
      <c r="C15899" s="8" t="n">
        <v>45</v>
      </c>
      <c r="D15899" s="8" t="inlineStr">
        <is>
          <t>Disneyland Park</t>
        </is>
      </c>
      <c r="E15899" s="8" t="inlineStr">
        <is>
          <t>La Tanière du Dragon</t>
        </is>
      </c>
      <c r="F15899" s="8" t="inlineStr">
        <is>
          <t>STANDBY</t>
        </is>
      </c>
      <c r="G15899" s="8" t="n">
        <v>0</v>
      </c>
      <c r="H15899" s="8" t="inlineStr">
        <is>
          <t>OPERATING</t>
        </is>
      </c>
    </row>
    <row r="15900">
      <c r="A15900" s="8" t="inlineStr">
        <is>
          <t>2026-08-03</t>
        </is>
      </c>
      <c r="B15900" s="8" t="n">
        <v>17</v>
      </c>
      <c r="C15900" s="8" t="n">
        <v>45</v>
      </c>
      <c r="D15900" s="8" t="inlineStr">
        <is>
          <t>Disneyland Park</t>
        </is>
      </c>
      <c r="E15900" s="8" t="inlineStr">
        <is>
          <t>Le Carrousel de Lancelot</t>
        </is>
      </c>
      <c r="F15900" s="8" t="inlineStr">
        <is>
          <t>STANDBY</t>
        </is>
      </c>
      <c r="G15900" s="8" t="n">
        <v>10</v>
      </c>
      <c r="H15900" s="8" t="inlineStr">
        <is>
          <t>OPERATING</t>
        </is>
      </c>
    </row>
    <row r="15901">
      <c r="A15901" s="8" t="inlineStr">
        <is>
          <t>2026-08-03</t>
        </is>
      </c>
      <c r="B15901" s="8" t="n">
        <v>17</v>
      </c>
      <c r="C15901" s="8" t="n">
        <v>45</v>
      </c>
      <c r="D15901" s="8" t="inlineStr">
        <is>
          <t>Disneyland Park</t>
        </is>
      </c>
      <c r="E15901" s="8" t="inlineStr">
        <is>
          <t>Le Pays des Contes de Fées, presented by Vittel</t>
        </is>
      </c>
      <c r="F15901" s="8" t="inlineStr">
        <is>
          <t>STANDBY</t>
        </is>
      </c>
      <c r="G15901" s="8" t="n">
        <v>5</v>
      </c>
      <c r="H15901" s="8" t="inlineStr">
        <is>
          <t>OPERATING</t>
        </is>
      </c>
    </row>
    <row r="15902">
      <c r="A15902" s="8" t="inlineStr">
        <is>
          <t>2026-08-03</t>
        </is>
      </c>
      <c r="B15902" s="8" t="n">
        <v>17</v>
      </c>
      <c r="C15902" s="8" t="n">
        <v>45</v>
      </c>
      <c r="D15902" s="8" t="inlineStr">
        <is>
          <t>Disneyland Park</t>
        </is>
      </c>
      <c r="E15902" s="8" t="inlineStr">
        <is>
          <t>Les Voyages de Pinocchio</t>
        </is>
      </c>
      <c r="F15902" s="8" t="inlineStr">
        <is>
          <t>STANDBY</t>
        </is>
      </c>
      <c r="G15902" s="8" t="n">
        <v>20</v>
      </c>
      <c r="H15902" s="8" t="inlineStr">
        <is>
          <t>OPERATING</t>
        </is>
      </c>
    </row>
    <row r="15903">
      <c r="A15903" s="8" t="inlineStr">
        <is>
          <t>2026-08-03</t>
        </is>
      </c>
      <c r="B15903" s="8" t="n">
        <v>17</v>
      </c>
      <c r="C15903" s="8" t="n">
        <v>45</v>
      </c>
      <c r="D15903" s="8" t="inlineStr">
        <is>
          <t>Disneyland Park</t>
        </is>
      </c>
      <c r="E15903" s="8" t="inlineStr">
        <is>
          <t>Mad Hatter's Tea Cups</t>
        </is>
      </c>
      <c r="F15903" s="8" t="inlineStr">
        <is>
          <t>STANDBY</t>
        </is>
      </c>
      <c r="G15903" s="8" t="n">
        <v>10</v>
      </c>
      <c r="H15903" s="8" t="inlineStr">
        <is>
          <t>OPERATING</t>
        </is>
      </c>
    </row>
    <row r="15904">
      <c r="A15904" s="8" t="inlineStr">
        <is>
          <t>2026-08-03</t>
        </is>
      </c>
      <c r="B15904" s="8" t="n">
        <v>17</v>
      </c>
      <c r="C15904" s="8" t="n">
        <v>45</v>
      </c>
      <c r="D15904" s="8" t="inlineStr">
        <is>
          <t>Disneyland Park</t>
        </is>
      </c>
      <c r="E15904" s="8" t="inlineStr">
        <is>
          <t>Meet Mickey Mouse</t>
        </is>
      </c>
      <c r="F15904" s="8" t="inlineStr">
        <is>
          <t>STANDBY</t>
        </is>
      </c>
      <c r="G15904" s="8" t="n">
        <v>0</v>
      </c>
      <c r="H15904" s="8" t="inlineStr">
        <is>
          <t>OPERATING</t>
        </is>
      </c>
    </row>
    <row r="15905">
      <c r="A15905" s="8" t="inlineStr">
        <is>
          <t>2026-08-03</t>
        </is>
      </c>
      <c r="B15905" s="8" t="n">
        <v>17</v>
      </c>
      <c r="C15905" s="8" t="n">
        <v>45</v>
      </c>
      <c r="D15905" s="8" t="inlineStr">
        <is>
          <t>Disneyland Park</t>
        </is>
      </c>
      <c r="E15905" s="8" t="inlineStr">
        <is>
          <t>Peter Pan's Flight</t>
        </is>
      </c>
      <c r="F15905" s="8" t="inlineStr">
        <is>
          <t>STANDBY</t>
        </is>
      </c>
      <c r="G15905" s="8" t="n">
        <v>55</v>
      </c>
      <c r="H15905" s="8" t="inlineStr">
        <is>
          <t>OPERATING</t>
        </is>
      </c>
    </row>
    <row r="15906">
      <c r="A15906" s="8" t="inlineStr">
        <is>
          <t>2026-08-03</t>
        </is>
      </c>
      <c r="B15906" s="8" t="n">
        <v>17</v>
      </c>
      <c r="C15906" s="8" t="n">
        <v>45</v>
      </c>
      <c r="D15906" s="8" t="inlineStr">
        <is>
          <t>Disneyland Park</t>
        </is>
      </c>
      <c r="E15906" s="8" t="inlineStr">
        <is>
          <t>Princess Pavilion</t>
        </is>
      </c>
      <c r="F15906" s="8" t="inlineStr">
        <is>
          <t>STANDBY</t>
        </is>
      </c>
      <c r="G15906" s="8" t="n">
        <v>0</v>
      </c>
      <c r="H15906" s="8" t="inlineStr">
        <is>
          <t>OPERATING</t>
        </is>
      </c>
    </row>
    <row r="15907">
      <c r="A15907" s="8" t="inlineStr">
        <is>
          <t>2026-08-03</t>
        </is>
      </c>
      <c r="B15907" s="8" t="n">
        <v>17</v>
      </c>
      <c r="C15907" s="8" t="n">
        <v>45</v>
      </c>
      <c r="D15907" s="8" t="inlineStr">
        <is>
          <t>Disneyland Park</t>
        </is>
      </c>
      <c r="E15907" s="8" t="inlineStr">
        <is>
          <t>Big Thunder Mountain</t>
        </is>
      </c>
      <c r="F15907" s="8" t="inlineStr">
        <is>
          <t>STANDBY</t>
        </is>
      </c>
      <c r="G15907" s="8" t="n">
        <v>60</v>
      </c>
      <c r="H15907" s="8" t="inlineStr">
        <is>
          <t>OPERATING</t>
        </is>
      </c>
    </row>
    <row r="15908">
      <c r="A15908" s="8" t="inlineStr">
        <is>
          <t>2026-08-03</t>
        </is>
      </c>
      <c r="B15908" s="8" t="n">
        <v>17</v>
      </c>
      <c r="C15908" s="8" t="n">
        <v>45</v>
      </c>
      <c r="D15908" s="8" t="inlineStr">
        <is>
          <t>Disneyland Park</t>
        </is>
      </c>
      <c r="E15908" s="8" t="inlineStr">
        <is>
          <t>Disneyland Railroad Frontierland Depot</t>
        </is>
      </c>
      <c r="F15908" s="8" t="inlineStr">
        <is>
          <t>STANDBY</t>
        </is>
      </c>
      <c r="G15908" s="8" t="n">
        <v>0</v>
      </c>
      <c r="H15908" s="8" t="inlineStr">
        <is>
          <t>CLOSED</t>
        </is>
      </c>
    </row>
    <row r="15909">
      <c r="A15909" s="8" t="inlineStr">
        <is>
          <t>2026-08-03</t>
        </is>
      </c>
      <c r="B15909" s="8" t="n">
        <v>17</v>
      </c>
      <c r="C15909" s="8" t="n">
        <v>45</v>
      </c>
      <c r="D15909" s="8" t="inlineStr">
        <is>
          <t>Disneyland Park</t>
        </is>
      </c>
      <c r="E15909" s="8" t="inlineStr">
        <is>
          <t>Frontierland Playground</t>
        </is>
      </c>
      <c r="F15909" s="8" t="inlineStr">
        <is>
          <t>STANDBY</t>
        </is>
      </c>
      <c r="G15909" s="8" t="n">
        <v>0</v>
      </c>
      <c r="H15909" s="8" t="inlineStr">
        <is>
          <t>CLOSED</t>
        </is>
      </c>
    </row>
    <row r="15910">
      <c r="A15910" s="8" t="inlineStr">
        <is>
          <t>2026-08-03</t>
        </is>
      </c>
      <c r="B15910" s="8" t="n">
        <v>17</v>
      </c>
      <c r="C15910" s="8" t="n">
        <v>45</v>
      </c>
      <c r="D15910" s="8" t="inlineStr">
        <is>
          <t>Disneyland Park</t>
        </is>
      </c>
      <c r="E15910" s="8" t="inlineStr">
        <is>
          <t>Phantom Manor</t>
        </is>
      </c>
      <c r="F15910" s="8" t="inlineStr">
        <is>
          <t>STANDBY</t>
        </is>
      </c>
      <c r="G15910" s="8" t="n">
        <v>15</v>
      </c>
      <c r="H15910" s="8" t="inlineStr">
        <is>
          <t>OPERATING</t>
        </is>
      </c>
    </row>
    <row r="15911">
      <c r="A15911" s="8" t="inlineStr">
        <is>
          <t>2026-08-03</t>
        </is>
      </c>
      <c r="B15911" s="8" t="n">
        <v>17</v>
      </c>
      <c r="C15911" s="8" t="n">
        <v>45</v>
      </c>
      <c r="D15911" s="8" t="inlineStr">
        <is>
          <t>Disneyland Park</t>
        </is>
      </c>
      <c r="E15911" s="8" t="inlineStr">
        <is>
          <t>River Rogue Keelboats</t>
        </is>
      </c>
      <c r="F15911" s="8" t="inlineStr">
        <is>
          <t>STANDBY</t>
        </is>
      </c>
      <c r="G15911" s="8" t="n">
        <v>0</v>
      </c>
      <c r="H15911" s="8" t="inlineStr">
        <is>
          <t>CLOSED</t>
        </is>
      </c>
    </row>
    <row r="15912">
      <c r="A15912" s="8" t="inlineStr">
        <is>
          <t>2026-08-03</t>
        </is>
      </c>
      <c r="B15912" s="8" t="n">
        <v>17</v>
      </c>
      <c r="C15912" s="8" t="n">
        <v>45</v>
      </c>
      <c r="D15912" s="8" t="inlineStr">
        <is>
          <t>Disneyland Park</t>
        </is>
      </c>
      <c r="E15912" s="8" t="inlineStr">
        <is>
          <t>Rustler Roundup Shootin' Gallery</t>
        </is>
      </c>
      <c r="F15912" s="8" t="inlineStr">
        <is>
          <t>STANDBY</t>
        </is>
      </c>
      <c r="G15912" s="8" t="n">
        <v>0</v>
      </c>
      <c r="H15912" s="8" t="inlineStr">
        <is>
          <t>OPERATING</t>
        </is>
      </c>
    </row>
    <row r="15913">
      <c r="A15913" s="8" t="inlineStr">
        <is>
          <t>2026-08-03</t>
        </is>
      </c>
      <c r="B15913" s="8" t="n">
        <v>17</v>
      </c>
      <c r="C15913" s="8" t="n">
        <v>45</v>
      </c>
      <c r="D15913" s="8" t="inlineStr">
        <is>
          <t>Disneyland Park</t>
        </is>
      </c>
      <c r="E15913" s="8" t="inlineStr">
        <is>
          <t>Thunder Mesa Riverboat Landing</t>
        </is>
      </c>
      <c r="F15913" s="8" t="inlineStr">
        <is>
          <t>STANDBY</t>
        </is>
      </c>
      <c r="G15913" s="8" t="n">
        <v>20</v>
      </c>
      <c r="H15913" s="8" t="inlineStr">
        <is>
          <t>OPERATING</t>
        </is>
      </c>
    </row>
    <row r="15914">
      <c r="A15914" s="8" t="inlineStr">
        <is>
          <t>2026-08-03</t>
        </is>
      </c>
      <c r="B15914" s="8" t="n">
        <v>17</v>
      </c>
      <c r="C15914" s="8" t="n">
        <v>45</v>
      </c>
      <c r="D15914" s="8" t="inlineStr">
        <is>
          <t>Disneyland Park</t>
        </is>
      </c>
      <c r="E15914" s="8" t="inlineStr">
        <is>
          <t>Disneyland Railroad Main Street Station</t>
        </is>
      </c>
      <c r="F15914" s="8" t="inlineStr">
        <is>
          <t>STANDBY</t>
        </is>
      </c>
      <c r="G15914" s="8" t="n">
        <v>0</v>
      </c>
      <c r="H15914" s="8" t="inlineStr">
        <is>
          <t>CLOSED</t>
        </is>
      </c>
    </row>
    <row r="15915">
      <c r="A15915" s="8" t="inlineStr">
        <is>
          <t>2026-08-03</t>
        </is>
      </c>
      <c r="B15915" s="8" t="n">
        <v>17</v>
      </c>
      <c r="C15915" s="8" t="n">
        <v>45</v>
      </c>
      <c r="D15915" s="8" t="inlineStr">
        <is>
          <t>Disneyland Park</t>
        </is>
      </c>
      <c r="E15915" s="8" t="inlineStr">
        <is>
          <t>Main Street Vehicles</t>
        </is>
      </c>
      <c r="F15915" s="8" t="inlineStr">
        <is>
          <t>STANDBY</t>
        </is>
      </c>
      <c r="G15915" s="8" t="n">
        <v>0</v>
      </c>
      <c r="H15915" s="8" t="inlineStr">
        <is>
          <t>CLOSED</t>
        </is>
      </c>
    </row>
    <row r="15916">
      <c r="A15916" s="8" t="inlineStr">
        <is>
          <t>2026-08-03</t>
        </is>
      </c>
      <c r="B15916" s="8" t="n">
        <v>17</v>
      </c>
      <c r="C15916" s="8" t="n">
        <v>45</v>
      </c>
      <c r="D15916" s="8" t="inlineStr">
        <is>
          <t>Disney Adventure World</t>
        </is>
      </c>
      <c r="E15916" s="8" t="inlineStr">
        <is>
          <t>Avengers Assemble: Flight Force</t>
        </is>
      </c>
      <c r="F15916" s="8" t="inlineStr">
        <is>
          <t>STANDBY</t>
        </is>
      </c>
      <c r="G15916" s="8" t="n">
        <v>25</v>
      </c>
      <c r="H15916" s="8" t="inlineStr">
        <is>
          <t>OPERATING</t>
        </is>
      </c>
    </row>
    <row r="15917">
      <c r="A15917" s="8" t="inlineStr">
        <is>
          <t>2026-08-03</t>
        </is>
      </c>
      <c r="B15917" s="8" t="n">
        <v>17</v>
      </c>
      <c r="C15917" s="8" t="n">
        <v>45</v>
      </c>
      <c r="D15917" s="8" t="inlineStr">
        <is>
          <t>Disney Adventure World</t>
        </is>
      </c>
      <c r="E15917" s="8" t="inlineStr">
        <is>
          <t>Avengers Assemble: Flight Force Single Rider</t>
        </is>
      </c>
      <c r="F15917" s="8" t="inlineStr">
        <is>
          <t>STANDBY</t>
        </is>
      </c>
      <c r="G15917" s="8" t="n">
        <v>10</v>
      </c>
      <c r="H15917" s="8" t="inlineStr">
        <is>
          <t>OPERATING</t>
        </is>
      </c>
    </row>
    <row r="15918">
      <c r="A15918" s="8" t="inlineStr">
        <is>
          <t>2026-08-03</t>
        </is>
      </c>
      <c r="B15918" s="8" t="n">
        <v>17</v>
      </c>
      <c r="C15918" s="8" t="n">
        <v>45</v>
      </c>
      <c r="D15918" s="8" t="inlineStr">
        <is>
          <t>Disney Adventure World</t>
        </is>
      </c>
      <c r="E15918" s="8" t="inlineStr">
        <is>
          <t>Spider-Man W.E.B. Adventure</t>
        </is>
      </c>
      <c r="F15918" s="8" t="inlineStr">
        <is>
          <t>STANDBY</t>
        </is>
      </c>
      <c r="G15918" s="8" t="n">
        <v>45</v>
      </c>
      <c r="H15918" s="8" t="inlineStr">
        <is>
          <t>OPERATING</t>
        </is>
      </c>
    </row>
    <row r="15919">
      <c r="A15919" s="8" t="inlineStr">
        <is>
          <t>2026-08-03</t>
        </is>
      </c>
      <c r="B15919" s="8" t="n">
        <v>17</v>
      </c>
      <c r="C15919" s="8" t="n">
        <v>45</v>
      </c>
      <c r="D15919" s="8" t="inlineStr">
        <is>
          <t>Disney Adventure World</t>
        </is>
      </c>
      <c r="E15919" s="8" t="inlineStr">
        <is>
          <t>Spider-Man W.E.B. Adventure Single Rider</t>
        </is>
      </c>
      <c r="F15919" s="8" t="inlineStr">
        <is>
          <t>STANDBY</t>
        </is>
      </c>
      <c r="G15919" s="8" t="n">
        <v>20</v>
      </c>
      <c r="H15919" s="8" t="inlineStr">
        <is>
          <t>OPERATING</t>
        </is>
      </c>
    </row>
    <row r="15920">
      <c r="A15920" s="8" t="inlineStr">
        <is>
          <t>2026-08-03</t>
        </is>
      </c>
      <c r="B15920" s="8" t="n">
        <v>17</v>
      </c>
      <c r="C15920" s="8" t="n">
        <v>45</v>
      </c>
      <c r="D15920" s="8" t="inlineStr">
        <is>
          <t>Disney Adventure World</t>
        </is>
      </c>
      <c r="E15920" s="8" t="inlineStr">
        <is>
          <t>The Twilight Zone Tower of Terror</t>
        </is>
      </c>
      <c r="F15920" s="8" t="inlineStr">
        <is>
          <t>STANDBY</t>
        </is>
      </c>
      <c r="G15920" s="8" t="n">
        <v>35</v>
      </c>
      <c r="H15920" s="8" t="inlineStr">
        <is>
          <t>OPERATING</t>
        </is>
      </c>
    </row>
    <row r="15921">
      <c r="A15921" s="8" t="inlineStr">
        <is>
          <t>2026-08-03</t>
        </is>
      </c>
      <c r="B15921" s="8" t="n">
        <v>17</v>
      </c>
      <c r="C15921" s="8" t="n">
        <v>45</v>
      </c>
      <c r="D15921" s="8" t="inlineStr">
        <is>
          <t>Disney Adventure World</t>
        </is>
      </c>
      <c r="E15921" s="8" t="inlineStr">
        <is>
          <t>Cars Quatre Roues Rallye</t>
        </is>
      </c>
      <c r="F15921" s="8" t="inlineStr">
        <is>
          <t>STANDBY</t>
        </is>
      </c>
      <c r="G15921" s="8" t="n">
        <v>5</v>
      </c>
      <c r="H15921" s="8" t="inlineStr">
        <is>
          <t>OPERATING</t>
        </is>
      </c>
    </row>
    <row r="15922">
      <c r="A15922" s="8" t="inlineStr">
        <is>
          <t>2026-08-03</t>
        </is>
      </c>
      <c r="B15922" s="8" t="n">
        <v>17</v>
      </c>
      <c r="C15922" s="8" t="n">
        <v>45</v>
      </c>
      <c r="D15922" s="8" t="inlineStr">
        <is>
          <t>Disney Adventure World</t>
        </is>
      </c>
      <c r="E15922" s="8" t="inlineStr">
        <is>
          <t>Cars ROAD TRIP</t>
        </is>
      </c>
      <c r="F15922" s="8" t="inlineStr">
        <is>
          <t>STANDBY</t>
        </is>
      </c>
      <c r="G15922" s="8" t="n">
        <v>5</v>
      </c>
      <c r="H15922" s="8" t="inlineStr">
        <is>
          <t>OPERATING</t>
        </is>
      </c>
    </row>
    <row r="15923">
      <c r="A15923" s="8" t="inlineStr">
        <is>
          <t>2026-08-03</t>
        </is>
      </c>
      <c r="B15923" s="8" t="n">
        <v>17</v>
      </c>
      <c r="C15923" s="8" t="n">
        <v>45</v>
      </c>
      <c r="D15923" s="8" t="inlineStr">
        <is>
          <t>Disney Adventure World</t>
        </is>
      </c>
      <c r="E15923" s="8" t="inlineStr">
        <is>
          <t>Crush's Coaster</t>
        </is>
      </c>
      <c r="F15923" s="8" t="inlineStr">
        <is>
          <t>STANDBY</t>
        </is>
      </c>
      <c r="G15923" s="8" t="n">
        <v>60</v>
      </c>
      <c r="H15923" s="8" t="inlineStr">
        <is>
          <t>OPERATING</t>
        </is>
      </c>
    </row>
    <row r="15924">
      <c r="A15924" s="8" t="inlineStr">
        <is>
          <t>2026-08-03</t>
        </is>
      </c>
      <c r="B15924" s="8" t="n">
        <v>17</v>
      </c>
      <c r="C15924" s="8" t="n">
        <v>45</v>
      </c>
      <c r="D15924" s="8" t="inlineStr">
        <is>
          <t>Disney Adventure World</t>
        </is>
      </c>
      <c r="E15924" s="8" t="inlineStr">
        <is>
          <t>Crush's Coaster Single Rider</t>
        </is>
      </c>
      <c r="F15924" s="8" t="inlineStr">
        <is>
          <t>STANDBY</t>
        </is>
      </c>
      <c r="G15924" s="8" t="n">
        <v>40</v>
      </c>
      <c r="H15924" s="8" t="inlineStr">
        <is>
          <t>OPERATING</t>
        </is>
      </c>
    </row>
    <row r="15925">
      <c r="A15925" s="8" t="inlineStr">
        <is>
          <t>2026-08-03</t>
        </is>
      </c>
      <c r="B15925" s="8" t="n">
        <v>17</v>
      </c>
      <c r="C15925" s="8" t="n">
        <v>45</v>
      </c>
      <c r="D15925" s="8" t="inlineStr">
        <is>
          <t>Disney Adventure World</t>
        </is>
      </c>
      <c r="E15925" s="8" t="inlineStr">
        <is>
          <t>Les Tapis Volants - Flying Carpets Over Agrabah®</t>
        </is>
      </c>
      <c r="F15925" s="8" t="inlineStr">
        <is>
          <t>STANDBY</t>
        </is>
      </c>
      <c r="G15925" s="8" t="n">
        <v>5</v>
      </c>
      <c r="H15925" s="8" t="inlineStr">
        <is>
          <t>OPERATING</t>
        </is>
      </c>
    </row>
    <row r="15926">
      <c r="A15926" s="8" t="inlineStr">
        <is>
          <t>2026-08-03</t>
        </is>
      </c>
      <c r="B15926" s="8" t="n">
        <v>17</v>
      </c>
      <c r="C15926" s="8" t="n">
        <v>45</v>
      </c>
      <c r="D15926" s="8" t="inlineStr">
        <is>
          <t>Disney Adventure World</t>
        </is>
      </c>
      <c r="E15926" s="8" t="inlineStr">
        <is>
          <t>Ratatouille : L’Aventure Totalement Toquée de Rémy​</t>
        </is>
      </c>
      <c r="F15926" s="8" t="inlineStr">
        <is>
          <t>STANDBY</t>
        </is>
      </c>
      <c r="G15926" s="8" t="n">
        <v>45</v>
      </c>
      <c r="H15926" s="8" t="inlineStr">
        <is>
          <t>OPERATING</t>
        </is>
      </c>
    </row>
    <row r="15927">
      <c r="A15927" s="8" t="inlineStr">
        <is>
          <t>2026-08-03</t>
        </is>
      </c>
      <c r="B15927" s="8" t="n">
        <v>17</v>
      </c>
      <c r="C15927" s="8" t="n">
        <v>45</v>
      </c>
      <c r="D15927" s="8" t="inlineStr">
        <is>
          <t>Disney Adventure World</t>
        </is>
      </c>
      <c r="E15927" s="8" t="inlineStr">
        <is>
          <t>Ratatouille: The Adventure Single Rider</t>
        </is>
      </c>
      <c r="F15927" s="8" t="inlineStr">
        <is>
          <t>STANDBY</t>
        </is>
      </c>
      <c r="G15927" s="8" t="n">
        <v>10</v>
      </c>
      <c r="H15927" s="8" t="inlineStr">
        <is>
          <t>OPERATING</t>
        </is>
      </c>
    </row>
    <row r="15928">
      <c r="A15928" s="8" t="inlineStr">
        <is>
          <t>2026-08-03</t>
        </is>
      </c>
      <c r="B15928" s="8" t="n">
        <v>17</v>
      </c>
      <c r="C15928" s="8" t="n">
        <v>45</v>
      </c>
      <c r="D15928" s="8" t="inlineStr">
        <is>
          <t>Disney Adventure World</t>
        </is>
      </c>
      <c r="E15928" s="8" t="inlineStr">
        <is>
          <t>RC Racer</t>
        </is>
      </c>
      <c r="F15928" s="8" t="inlineStr">
        <is>
          <t>STANDBY</t>
        </is>
      </c>
      <c r="G15928" s="8" t="n">
        <v>35</v>
      </c>
      <c r="H15928" s="8" t="inlineStr">
        <is>
          <t>OPERATING</t>
        </is>
      </c>
    </row>
    <row r="15929">
      <c r="A15929" s="8" t="inlineStr">
        <is>
          <t>2026-08-03</t>
        </is>
      </c>
      <c r="B15929" s="8" t="n">
        <v>17</v>
      </c>
      <c r="C15929" s="8" t="n">
        <v>45</v>
      </c>
      <c r="D15929" s="8" t="inlineStr">
        <is>
          <t>Disney Adventure World</t>
        </is>
      </c>
      <c r="E15929" s="8" t="inlineStr">
        <is>
          <t>RC Racer Single Rider</t>
        </is>
      </c>
      <c r="F15929" s="8" t="inlineStr">
        <is>
          <t>STANDBY</t>
        </is>
      </c>
      <c r="G15929" s="8" t="n">
        <v>30</v>
      </c>
      <c r="H15929" s="8" t="inlineStr">
        <is>
          <t>OPERATING</t>
        </is>
      </c>
    </row>
    <row r="15930">
      <c r="A15930" s="8" t="inlineStr">
        <is>
          <t>2026-08-03</t>
        </is>
      </c>
      <c r="B15930" s="8" t="n">
        <v>17</v>
      </c>
      <c r="C15930" s="8" t="n">
        <v>45</v>
      </c>
      <c r="D15930" s="8" t="inlineStr">
        <is>
          <t>Disney Adventure World</t>
        </is>
      </c>
      <c r="E15930" s="8" t="inlineStr">
        <is>
          <t>Slinky® Dog Zigzag Spin</t>
        </is>
      </c>
      <c r="F15930" s="8" t="inlineStr">
        <is>
          <t>STANDBY</t>
        </is>
      </c>
      <c r="G15930" s="8" t="n">
        <v>10</v>
      </c>
      <c r="H15930" s="8" t="inlineStr">
        <is>
          <t>OPERATING</t>
        </is>
      </c>
    </row>
    <row r="15931">
      <c r="A15931" s="8" t="inlineStr">
        <is>
          <t>2026-08-03</t>
        </is>
      </c>
      <c r="B15931" s="8" t="n">
        <v>17</v>
      </c>
      <c r="C15931" s="8" t="n">
        <v>45</v>
      </c>
      <c r="D15931" s="8" t="inlineStr">
        <is>
          <t>Disney Adventure World</t>
        </is>
      </c>
      <c r="E15931" s="8" t="inlineStr">
        <is>
          <t>Toy Soldiers Parachute Drop</t>
        </is>
      </c>
      <c r="F15931" s="8" t="inlineStr">
        <is>
          <t>STANDBY</t>
        </is>
      </c>
      <c r="G15931" s="8" t="n">
        <v>30</v>
      </c>
      <c r="H15931" s="8" t="inlineStr">
        <is>
          <t>OPERATING</t>
        </is>
      </c>
    </row>
    <row r="15932">
      <c r="A15932" s="8" t="inlineStr">
        <is>
          <t>2026-08-03</t>
        </is>
      </c>
      <c r="B15932" s="8" t="n">
        <v>17</v>
      </c>
      <c r="C15932" s="8" t="n">
        <v>45</v>
      </c>
      <c r="D15932" s="8" t="inlineStr">
        <is>
          <t>Disney Adventure World</t>
        </is>
      </c>
      <c r="E15932" s="8" t="inlineStr">
        <is>
          <t>Toy Soldiers Parachute Drop Single Rider</t>
        </is>
      </c>
      <c r="F15932" s="8" t="inlineStr">
        <is>
          <t>STANDBY</t>
        </is>
      </c>
      <c r="G15932" s="8" t="n">
        <v>20</v>
      </c>
      <c r="H15932" s="8" t="inlineStr">
        <is>
          <t>OPERATING</t>
        </is>
      </c>
    </row>
    <row r="15933">
      <c r="A15933" s="8" t="inlineStr">
        <is>
          <t>2026-08-03</t>
        </is>
      </c>
      <c r="B15933" s="8" t="n">
        <v>17</v>
      </c>
      <c r="C15933" s="8" t="n">
        <v>45</v>
      </c>
      <c r="D15933" s="8" t="inlineStr">
        <is>
          <t>Disney Adventure World</t>
        </is>
      </c>
      <c r="E15933" s="8" t="inlineStr">
        <is>
          <t>Entry to World of Frozen</t>
        </is>
      </c>
      <c r="F15933" s="8" t="inlineStr">
        <is>
          <t>STANDBY</t>
        </is>
      </c>
      <c r="G15933" s="8" t="n">
        <v>0</v>
      </c>
      <c r="H15933" s="8" t="inlineStr">
        <is>
          <t>OPERATING</t>
        </is>
      </c>
    </row>
    <row r="15934">
      <c r="A15934" s="8" t="inlineStr">
        <is>
          <t>2026-08-03</t>
        </is>
      </c>
      <c r="B15934" s="8" t="n">
        <v>17</v>
      </c>
      <c r="C15934" s="8" t="n">
        <v>45</v>
      </c>
      <c r="D15934" s="8" t="inlineStr">
        <is>
          <t>Disney Adventure World</t>
        </is>
      </c>
      <c r="E15934" s="8" t="inlineStr">
        <is>
          <t>Frozen Ever After</t>
        </is>
      </c>
      <c r="F15934" s="8" t="inlineStr">
        <is>
          <t>STANDBY</t>
        </is>
      </c>
      <c r="G15934" s="8" t="n">
        <v>50</v>
      </c>
      <c r="H15934" s="8" t="inlineStr">
        <is>
          <t>OPERATING</t>
        </is>
      </c>
    </row>
    <row r="15935">
      <c r="A15935" s="8" t="inlineStr">
        <is>
          <t>2026-08-03</t>
        </is>
      </c>
      <c r="B15935" s="8" t="n">
        <v>17</v>
      </c>
      <c r="C15935" s="8" t="n">
        <v>45</v>
      </c>
      <c r="D15935" s="8" t="inlineStr">
        <is>
          <t>Disney Adventure World</t>
        </is>
      </c>
      <c r="E15935" s="8" t="inlineStr">
        <is>
          <t>Raiponce Tangled Spin</t>
        </is>
      </c>
      <c r="F15935" s="8" t="inlineStr">
        <is>
          <t>STANDBY</t>
        </is>
      </c>
      <c r="G15935" s="8" t="n">
        <v>5</v>
      </c>
      <c r="H15935" s="8" t="inlineStr">
        <is>
          <t>OPERATING</t>
        </is>
      </c>
    </row>
    <row r="15936">
      <c r="A15936" s="8" t="inlineStr">
        <is>
          <t>2026-08-03</t>
        </is>
      </c>
      <c r="B15936" s="8" t="n">
        <v>17</v>
      </c>
      <c r="C15936" s="8" t="n">
        <v>57</v>
      </c>
      <c r="D15936" s="8" t="inlineStr">
        <is>
          <t>Disneyland Park</t>
        </is>
      </c>
      <c r="E15936" s="8" t="inlineStr">
        <is>
          <t>Adventure Isle</t>
        </is>
      </c>
      <c r="F15936" s="8" t="inlineStr">
        <is>
          <t>STANDBY</t>
        </is>
      </c>
      <c r="G15936" s="8" t="n">
        <v>0</v>
      </c>
      <c r="H15936" s="8" t="inlineStr">
        <is>
          <t>OPERATING</t>
        </is>
      </c>
    </row>
    <row r="15937">
      <c r="A15937" s="8" t="inlineStr">
        <is>
          <t>2026-08-03</t>
        </is>
      </c>
      <c r="B15937" s="8" t="n">
        <v>17</v>
      </c>
      <c r="C15937" s="8" t="n">
        <v>57</v>
      </c>
      <c r="D15937" s="8" t="inlineStr">
        <is>
          <t>Disneyland Park</t>
        </is>
      </c>
      <c r="E15937" s="8" t="inlineStr">
        <is>
          <t>Indiana Jones and the Temple of Peril Single Rider</t>
        </is>
      </c>
      <c r="F15937" s="8" t="inlineStr">
        <is>
          <t>STANDBY</t>
        </is>
      </c>
      <c r="G15937" s="8" t="n">
        <v>10</v>
      </c>
      <c r="H15937" s="8" t="inlineStr">
        <is>
          <t>OPERATING</t>
        </is>
      </c>
    </row>
    <row r="15938">
      <c r="A15938" s="8" t="inlineStr">
        <is>
          <t>2026-08-03</t>
        </is>
      </c>
      <c r="B15938" s="8" t="n">
        <v>17</v>
      </c>
      <c r="C15938" s="8" t="n">
        <v>57</v>
      </c>
      <c r="D15938" s="8" t="inlineStr">
        <is>
          <t>Disneyland Park</t>
        </is>
      </c>
      <c r="E15938" s="8" t="inlineStr">
        <is>
          <t>Indiana Jones™ and the Temple of Peril</t>
        </is>
      </c>
      <c r="F15938" s="8" t="inlineStr">
        <is>
          <t>STANDBY</t>
        </is>
      </c>
      <c r="G15938" s="8" t="n">
        <v>15</v>
      </c>
      <c r="H15938" s="8" t="inlineStr">
        <is>
          <t>OPERATING</t>
        </is>
      </c>
    </row>
    <row r="15939">
      <c r="A15939" s="8" t="inlineStr">
        <is>
          <t>2026-08-03</t>
        </is>
      </c>
      <c r="B15939" s="8" t="n">
        <v>17</v>
      </c>
      <c r="C15939" s="8" t="n">
        <v>57</v>
      </c>
      <c r="D15939" s="8" t="inlineStr">
        <is>
          <t>Disneyland Park</t>
        </is>
      </c>
      <c r="E15939" s="8" t="inlineStr">
        <is>
          <t>La Cabane des Robinson</t>
        </is>
      </c>
      <c r="F15939" s="8" t="inlineStr">
        <is>
          <t>STANDBY</t>
        </is>
      </c>
      <c r="G15939" s="8" t="n">
        <v>5</v>
      </c>
      <c r="H15939" s="8" t="inlineStr">
        <is>
          <t>OPERATING</t>
        </is>
      </c>
    </row>
    <row r="15940">
      <c r="A15940" s="8" t="inlineStr">
        <is>
          <t>2026-08-03</t>
        </is>
      </c>
      <c r="B15940" s="8" t="n">
        <v>17</v>
      </c>
      <c r="C15940" s="8" t="n">
        <v>57</v>
      </c>
      <c r="D15940" s="8" t="inlineStr">
        <is>
          <t>Disneyland Park</t>
        </is>
      </c>
      <c r="E15940" s="8" t="inlineStr">
        <is>
          <t>Le Passage Enchanté d'Aladdin</t>
        </is>
      </c>
      <c r="F15940" s="8" t="inlineStr">
        <is>
          <t>STANDBY</t>
        </is>
      </c>
      <c r="G15940" s="8" t="n">
        <v>0</v>
      </c>
      <c r="H15940" s="8" t="inlineStr">
        <is>
          <t>OPERATING</t>
        </is>
      </c>
    </row>
    <row r="15941">
      <c r="A15941" s="8" t="inlineStr">
        <is>
          <t>2026-08-03</t>
        </is>
      </c>
      <c r="B15941" s="8" t="n">
        <v>17</v>
      </c>
      <c r="C15941" s="8" t="n">
        <v>57</v>
      </c>
      <c r="D15941" s="8" t="inlineStr">
        <is>
          <t>Disneyland Park</t>
        </is>
      </c>
      <c r="E15941" s="8" t="inlineStr">
        <is>
          <t>Pirate Galleon</t>
        </is>
      </c>
      <c r="F15941" s="8" t="inlineStr">
        <is>
          <t>STANDBY</t>
        </is>
      </c>
      <c r="G15941" s="8" t="n">
        <v>0</v>
      </c>
      <c r="H15941" s="8" t="inlineStr">
        <is>
          <t>CLOSED</t>
        </is>
      </c>
    </row>
    <row r="15942">
      <c r="A15942" s="8" t="inlineStr">
        <is>
          <t>2026-08-03</t>
        </is>
      </c>
      <c r="B15942" s="8" t="n">
        <v>17</v>
      </c>
      <c r="C15942" s="8" t="n">
        <v>57</v>
      </c>
      <c r="D15942" s="8" t="inlineStr">
        <is>
          <t>Disneyland Park</t>
        </is>
      </c>
      <c r="E15942" s="8" t="inlineStr">
        <is>
          <t>Pirates of the Caribbean</t>
        </is>
      </c>
      <c r="F15942" s="8" t="inlineStr">
        <is>
          <t>STANDBY</t>
        </is>
      </c>
      <c r="G15942" s="8" t="n">
        <v>15</v>
      </c>
      <c r="H15942" s="8" t="inlineStr">
        <is>
          <t>OPERATING</t>
        </is>
      </c>
    </row>
    <row r="15943">
      <c r="A15943" s="8" t="inlineStr">
        <is>
          <t>2026-08-03</t>
        </is>
      </c>
      <c r="B15943" s="8" t="n">
        <v>17</v>
      </c>
      <c r="C15943" s="8" t="n">
        <v>57</v>
      </c>
      <c r="D15943" s="8" t="inlineStr">
        <is>
          <t>Disneyland Park</t>
        </is>
      </c>
      <c r="E15943" s="8" t="inlineStr">
        <is>
          <t>Pirates' Beach</t>
        </is>
      </c>
      <c r="F15943" s="8" t="inlineStr">
        <is>
          <t>STANDBY</t>
        </is>
      </c>
      <c r="G15943" s="8" t="n">
        <v>0</v>
      </c>
      <c r="H15943" s="8" t="inlineStr">
        <is>
          <t>OPERATING</t>
        </is>
      </c>
    </row>
    <row r="15944">
      <c r="A15944" s="8" t="inlineStr">
        <is>
          <t>2026-08-03</t>
        </is>
      </c>
      <c r="B15944" s="8" t="n">
        <v>17</v>
      </c>
      <c r="C15944" s="8" t="n">
        <v>57</v>
      </c>
      <c r="D15944" s="8" t="inlineStr">
        <is>
          <t>Disneyland Park</t>
        </is>
      </c>
      <c r="E15944" s="8" t="inlineStr">
        <is>
          <t>Autopia, presented by Avis</t>
        </is>
      </c>
      <c r="F15944" s="8" t="inlineStr">
        <is>
          <t>STANDBY</t>
        </is>
      </c>
      <c r="G15944" s="8" t="n">
        <v>0</v>
      </c>
      <c r="H15944" s="8" t="inlineStr">
        <is>
          <t>CLOSED</t>
        </is>
      </c>
    </row>
    <row r="15945">
      <c r="A15945" s="8" t="inlineStr">
        <is>
          <t>2026-08-03</t>
        </is>
      </c>
      <c r="B15945" s="8" t="n">
        <v>17</v>
      </c>
      <c r="C15945" s="8" t="n">
        <v>57</v>
      </c>
      <c r="D15945" s="8" t="inlineStr">
        <is>
          <t>Disneyland Park</t>
        </is>
      </c>
      <c r="E15945" s="8" t="inlineStr">
        <is>
          <t>Buzz Lightyear Laser Blast</t>
        </is>
      </c>
      <c r="F15945" s="8" t="inlineStr">
        <is>
          <t>STANDBY</t>
        </is>
      </c>
      <c r="G15945" s="8" t="n">
        <v>40</v>
      </c>
      <c r="H15945" s="8" t="inlineStr">
        <is>
          <t>OPERATING</t>
        </is>
      </c>
    </row>
    <row r="15946">
      <c r="A15946" s="8" t="inlineStr">
        <is>
          <t>2026-08-03</t>
        </is>
      </c>
      <c r="B15946" s="8" t="n">
        <v>17</v>
      </c>
      <c r="C15946" s="8" t="n">
        <v>57</v>
      </c>
      <c r="D15946" s="8" t="inlineStr">
        <is>
          <t>Disneyland Park</t>
        </is>
      </c>
      <c r="E15946" s="8" t="inlineStr">
        <is>
          <t>Disneyland Railroad Discoveryland Station</t>
        </is>
      </c>
      <c r="F15946" s="8" t="inlineStr">
        <is>
          <t>STANDBY</t>
        </is>
      </c>
      <c r="G15946" s="8" t="n">
        <v>0</v>
      </c>
      <c r="H15946" s="8" t="inlineStr">
        <is>
          <t>CLOSED</t>
        </is>
      </c>
    </row>
    <row r="15947">
      <c r="A15947" s="8" t="inlineStr">
        <is>
          <t>2026-08-03</t>
        </is>
      </c>
      <c r="B15947" s="8" t="n">
        <v>17</v>
      </c>
      <c r="C15947" s="8" t="n">
        <v>57</v>
      </c>
      <c r="D15947" s="8" t="inlineStr">
        <is>
          <t>Disneyland Park</t>
        </is>
      </c>
      <c r="E15947" s="8" t="inlineStr">
        <is>
          <t>Les Mystères du Nautilus</t>
        </is>
      </c>
      <c r="F15947" s="8" t="inlineStr">
        <is>
          <t>STANDBY</t>
        </is>
      </c>
      <c r="G15947" s="8" t="n">
        <v>5</v>
      </c>
      <c r="H15947" s="8" t="inlineStr">
        <is>
          <t>OPERATING</t>
        </is>
      </c>
    </row>
    <row r="15948">
      <c r="A15948" s="8" t="inlineStr">
        <is>
          <t>2026-08-03</t>
        </is>
      </c>
      <c r="B15948" s="8" t="n">
        <v>17</v>
      </c>
      <c r="C15948" s="8" t="n">
        <v>57</v>
      </c>
      <c r="D15948" s="8" t="inlineStr">
        <is>
          <t>Disneyland Park</t>
        </is>
      </c>
      <c r="E15948" s="8" t="inlineStr">
        <is>
          <t>Mickey’s PhilharMagic</t>
        </is>
      </c>
      <c r="F15948" s="8" t="inlineStr">
        <is>
          <t>STANDBY</t>
        </is>
      </c>
      <c r="G15948" s="8" t="n">
        <v>0</v>
      </c>
      <c r="H15948" s="8" t="inlineStr">
        <is>
          <t>CLOSED</t>
        </is>
      </c>
    </row>
    <row r="15949">
      <c r="A15949" s="8" t="inlineStr">
        <is>
          <t>2026-08-03</t>
        </is>
      </c>
      <c r="B15949" s="8" t="n">
        <v>17</v>
      </c>
      <c r="C15949" s="8" t="n">
        <v>57</v>
      </c>
      <c r="D15949" s="8" t="inlineStr">
        <is>
          <t>Disneyland Park</t>
        </is>
      </c>
      <c r="E15949" s="8" t="inlineStr">
        <is>
          <t>Orbitron®</t>
        </is>
      </c>
      <c r="F15949" s="8" t="inlineStr">
        <is>
          <t>STANDBY</t>
        </is>
      </c>
      <c r="G15949" s="8" t="n">
        <v>0</v>
      </c>
      <c r="H15949" s="8" t="inlineStr">
        <is>
          <t>CLOSED</t>
        </is>
      </c>
    </row>
    <row r="15950">
      <c r="A15950" s="8" t="inlineStr">
        <is>
          <t>2026-08-03</t>
        </is>
      </c>
      <c r="B15950" s="8" t="n">
        <v>17</v>
      </c>
      <c r="C15950" s="8" t="n">
        <v>57</v>
      </c>
      <c r="D15950" s="8" t="inlineStr">
        <is>
          <t>Disneyland Park</t>
        </is>
      </c>
      <c r="E15950" s="8" t="inlineStr">
        <is>
          <t>Star Tours: The Adventures Continue*</t>
        </is>
      </c>
      <c r="F15950" s="8" t="inlineStr">
        <is>
          <t>STANDBY</t>
        </is>
      </c>
      <c r="G15950" s="8" t="n">
        <v>5</v>
      </c>
      <c r="H15950" s="8" t="inlineStr">
        <is>
          <t>OPERATING</t>
        </is>
      </c>
    </row>
    <row r="15951">
      <c r="A15951" s="8" t="inlineStr">
        <is>
          <t>2026-08-03</t>
        </is>
      </c>
      <c r="B15951" s="8" t="n">
        <v>17</v>
      </c>
      <c r="C15951" s="8" t="n">
        <v>57</v>
      </c>
      <c r="D15951" s="8" t="inlineStr">
        <is>
          <t>Disneyland Park</t>
        </is>
      </c>
      <c r="E15951" s="8" t="inlineStr">
        <is>
          <t>Star Wars Hyperspace Mountain</t>
        </is>
      </c>
      <c r="F15951" s="8" t="inlineStr">
        <is>
          <t>STANDBY</t>
        </is>
      </c>
      <c r="G15951" s="8" t="n">
        <v>35</v>
      </c>
      <c r="H15951" s="8" t="inlineStr">
        <is>
          <t>OPERATING</t>
        </is>
      </c>
    </row>
    <row r="15952">
      <c r="A15952" s="8" t="inlineStr">
        <is>
          <t>2026-08-03</t>
        </is>
      </c>
      <c r="B15952" s="8" t="n">
        <v>17</v>
      </c>
      <c r="C15952" s="8" t="n">
        <v>57</v>
      </c>
      <c r="D15952" s="8" t="inlineStr">
        <is>
          <t>Disneyland Park</t>
        </is>
      </c>
      <c r="E15952" s="8" t="inlineStr">
        <is>
          <t>Star Wars Hyperspace Mountain Single Rider</t>
        </is>
      </c>
      <c r="F15952" s="8" t="inlineStr">
        <is>
          <t>STANDBY</t>
        </is>
      </c>
      <c r="G15952" s="8" t="n">
        <v>25</v>
      </c>
      <c r="H15952" s="8" t="inlineStr">
        <is>
          <t>OPERATING</t>
        </is>
      </c>
    </row>
    <row r="15953">
      <c r="A15953" s="8" t="inlineStr">
        <is>
          <t>2026-08-03</t>
        </is>
      </c>
      <c r="B15953" s="8" t="n">
        <v>17</v>
      </c>
      <c r="C15953" s="8" t="n">
        <v>57</v>
      </c>
      <c r="D15953" s="8" t="inlineStr">
        <is>
          <t>Disneyland Park</t>
        </is>
      </c>
      <c r="E15953" s="8" t="inlineStr">
        <is>
          <t>Welcome to Starport: A Star Wars Encounter</t>
        </is>
      </c>
      <c r="F15953" s="8" t="inlineStr">
        <is>
          <t>STANDBY</t>
        </is>
      </c>
      <c r="G15953" s="8" t="n">
        <v>0</v>
      </c>
      <c r="H15953" s="8" t="inlineStr">
        <is>
          <t>CLOSED</t>
        </is>
      </c>
    </row>
    <row r="15954">
      <c r="A15954" s="8" t="inlineStr">
        <is>
          <t>2026-08-03</t>
        </is>
      </c>
      <c r="B15954" s="8" t="n">
        <v>17</v>
      </c>
      <c r="C15954" s="8" t="n">
        <v>57</v>
      </c>
      <c r="D15954" s="8" t="inlineStr">
        <is>
          <t>Disneyland Park</t>
        </is>
      </c>
      <c r="E15954" s="8" t="inlineStr">
        <is>
          <t>"it's a small world"</t>
        </is>
      </c>
      <c r="F15954" s="8" t="inlineStr">
        <is>
          <t>STANDBY</t>
        </is>
      </c>
      <c r="G15954" s="8" t="n">
        <v>5</v>
      </c>
      <c r="H15954" s="8" t="inlineStr">
        <is>
          <t>OPERATING</t>
        </is>
      </c>
    </row>
    <row r="15955">
      <c r="A15955" s="8" t="inlineStr">
        <is>
          <t>2026-08-03</t>
        </is>
      </c>
      <c r="B15955" s="8" t="n">
        <v>17</v>
      </c>
      <c r="C15955" s="8" t="n">
        <v>57</v>
      </c>
      <c r="D15955" s="8" t="inlineStr">
        <is>
          <t>Disneyland Park</t>
        </is>
      </c>
      <c r="E15955" s="8" t="inlineStr">
        <is>
          <t>Alice's Curious Labyrinth</t>
        </is>
      </c>
      <c r="F15955" s="8" t="inlineStr">
        <is>
          <t>STANDBY</t>
        </is>
      </c>
      <c r="G15955" s="8" t="n">
        <v>5</v>
      </c>
      <c r="H15955" s="8" t="inlineStr">
        <is>
          <t>OPERATING</t>
        </is>
      </c>
    </row>
    <row r="15956">
      <c r="A15956" s="8" t="inlineStr">
        <is>
          <t>2026-08-03</t>
        </is>
      </c>
      <c r="B15956" s="8" t="n">
        <v>17</v>
      </c>
      <c r="C15956" s="8" t="n">
        <v>57</v>
      </c>
      <c r="D15956" s="8" t="inlineStr">
        <is>
          <t>Disneyland Park</t>
        </is>
      </c>
      <c r="E15956" s="8" t="inlineStr">
        <is>
          <t>Blanche-Neige et les Sept Nains®</t>
        </is>
      </c>
      <c r="F15956" s="8" t="inlineStr">
        <is>
          <t>STANDBY</t>
        </is>
      </c>
      <c r="G15956" s="8" t="n">
        <v>25</v>
      </c>
      <c r="H15956" s="8" t="inlineStr">
        <is>
          <t>OPERATING</t>
        </is>
      </c>
    </row>
    <row r="15957">
      <c r="A15957" s="8" t="inlineStr">
        <is>
          <t>2026-08-03</t>
        </is>
      </c>
      <c r="B15957" s="8" t="n">
        <v>17</v>
      </c>
      <c r="C15957" s="8" t="n">
        <v>57</v>
      </c>
      <c r="D15957" s="8" t="inlineStr">
        <is>
          <t>Disneyland Park</t>
        </is>
      </c>
      <c r="E15957" s="8" t="inlineStr">
        <is>
          <t>Casey Jr. – le Petit Train du Cirque</t>
        </is>
      </c>
      <c r="F15957" s="8" t="inlineStr">
        <is>
          <t>STANDBY</t>
        </is>
      </c>
      <c r="G15957" s="8" t="n">
        <v>5</v>
      </c>
      <c r="H15957" s="8" t="inlineStr">
        <is>
          <t>OPERATING</t>
        </is>
      </c>
    </row>
    <row r="15958">
      <c r="A15958" s="8" t="inlineStr">
        <is>
          <t>2026-08-03</t>
        </is>
      </c>
      <c r="B15958" s="8" t="n">
        <v>17</v>
      </c>
      <c r="C15958" s="8" t="n">
        <v>57</v>
      </c>
      <c r="D15958" s="8" t="inlineStr">
        <is>
          <t>Disneyland Park</t>
        </is>
      </c>
      <c r="E15958" s="8" t="inlineStr">
        <is>
          <t>Disneyland Railroad Fantasyland Station</t>
        </is>
      </c>
      <c r="F15958" s="8" t="inlineStr">
        <is>
          <t>STANDBY</t>
        </is>
      </c>
      <c r="G15958" s="8" t="n">
        <v>0</v>
      </c>
      <c r="H15958" s="8" t="inlineStr">
        <is>
          <t>CLOSED</t>
        </is>
      </c>
    </row>
    <row r="15959">
      <c r="A15959" s="8" t="inlineStr">
        <is>
          <t>2026-08-03</t>
        </is>
      </c>
      <c r="B15959" s="8" t="n">
        <v>17</v>
      </c>
      <c r="C15959" s="8" t="n">
        <v>57</v>
      </c>
      <c r="D15959" s="8" t="inlineStr">
        <is>
          <t>Disneyland Park</t>
        </is>
      </c>
      <c r="E15959" s="8" t="inlineStr">
        <is>
          <t>Disneyland Railroad Main Street Station</t>
        </is>
      </c>
      <c r="F15959" s="8" t="inlineStr">
        <is>
          <t>STANDBY</t>
        </is>
      </c>
      <c r="G15959" s="8" t="n">
        <v>0</v>
      </c>
      <c r="H15959" s="8" t="inlineStr">
        <is>
          <t>CLOSED</t>
        </is>
      </c>
    </row>
    <row r="15960">
      <c r="A15960" s="8" t="inlineStr">
        <is>
          <t>2026-08-03</t>
        </is>
      </c>
      <c r="B15960" s="8" t="n">
        <v>17</v>
      </c>
      <c r="C15960" s="8" t="n">
        <v>57</v>
      </c>
      <c r="D15960" s="8" t="inlineStr">
        <is>
          <t>Disneyland Park</t>
        </is>
      </c>
      <c r="E15960" s="8" t="inlineStr">
        <is>
          <t>Dumbo the Flying Elephant</t>
        </is>
      </c>
      <c r="F15960" s="8" t="inlineStr">
        <is>
          <t>STANDBY</t>
        </is>
      </c>
      <c r="G15960" s="8" t="n">
        <v>0</v>
      </c>
      <c r="H15960" s="8" t="inlineStr">
        <is>
          <t>CLOSED</t>
        </is>
      </c>
    </row>
    <row r="15961">
      <c r="A15961" s="8" t="inlineStr">
        <is>
          <t>2026-08-03</t>
        </is>
      </c>
      <c r="B15961" s="8" t="n">
        <v>17</v>
      </c>
      <c r="C15961" s="8" t="n">
        <v>57</v>
      </c>
      <c r="D15961" s="8" t="inlineStr">
        <is>
          <t>Disneyland Park</t>
        </is>
      </c>
      <c r="E15961" s="8" t="inlineStr">
        <is>
          <t>La Tanière du Dragon</t>
        </is>
      </c>
      <c r="F15961" s="8" t="inlineStr">
        <is>
          <t>STANDBY</t>
        </is>
      </c>
      <c r="G15961" s="8" t="n">
        <v>0</v>
      </c>
      <c r="H15961" s="8" t="inlineStr">
        <is>
          <t>OPERATING</t>
        </is>
      </c>
    </row>
    <row r="15962">
      <c r="A15962" s="8" t="inlineStr">
        <is>
          <t>2026-08-03</t>
        </is>
      </c>
      <c r="B15962" s="8" t="n">
        <v>17</v>
      </c>
      <c r="C15962" s="8" t="n">
        <v>57</v>
      </c>
      <c r="D15962" s="8" t="inlineStr">
        <is>
          <t>Disneyland Park</t>
        </is>
      </c>
      <c r="E15962" s="8" t="inlineStr">
        <is>
          <t>Le Carrousel de Lancelot</t>
        </is>
      </c>
      <c r="F15962" s="8" t="inlineStr">
        <is>
          <t>STANDBY</t>
        </is>
      </c>
      <c r="G15962" s="8" t="n">
        <v>10</v>
      </c>
      <c r="H15962" s="8" t="inlineStr">
        <is>
          <t>OPERATING</t>
        </is>
      </c>
    </row>
    <row r="15963">
      <c r="A15963" s="8" t="inlineStr">
        <is>
          <t>2026-08-03</t>
        </is>
      </c>
      <c r="B15963" s="8" t="n">
        <v>17</v>
      </c>
      <c r="C15963" s="8" t="n">
        <v>57</v>
      </c>
      <c r="D15963" s="8" t="inlineStr">
        <is>
          <t>Disneyland Park</t>
        </is>
      </c>
      <c r="E15963" s="8" t="inlineStr">
        <is>
          <t>Le Pays des Contes de Fées, presented by Vittel</t>
        </is>
      </c>
      <c r="F15963" s="8" t="inlineStr">
        <is>
          <t>STANDBY</t>
        </is>
      </c>
      <c r="G15963" s="8" t="n">
        <v>5</v>
      </c>
      <c r="H15963" s="8" t="inlineStr">
        <is>
          <t>OPERATING</t>
        </is>
      </c>
    </row>
    <row r="15964">
      <c r="A15964" s="8" t="inlineStr">
        <is>
          <t>2026-08-03</t>
        </is>
      </c>
      <c r="B15964" s="8" t="n">
        <v>17</v>
      </c>
      <c r="C15964" s="8" t="n">
        <v>57</v>
      </c>
      <c r="D15964" s="8" t="inlineStr">
        <is>
          <t>Disneyland Park</t>
        </is>
      </c>
      <c r="E15964" s="8" t="inlineStr">
        <is>
          <t>Les Voyages de Pinocchio</t>
        </is>
      </c>
      <c r="F15964" s="8" t="inlineStr">
        <is>
          <t>STANDBY</t>
        </is>
      </c>
      <c r="G15964" s="8" t="n">
        <v>25</v>
      </c>
      <c r="H15964" s="8" t="inlineStr">
        <is>
          <t>OPERATING</t>
        </is>
      </c>
    </row>
    <row r="15965">
      <c r="A15965" s="8" t="inlineStr">
        <is>
          <t>2026-08-03</t>
        </is>
      </c>
      <c r="B15965" s="8" t="n">
        <v>17</v>
      </c>
      <c r="C15965" s="8" t="n">
        <v>57</v>
      </c>
      <c r="D15965" s="8" t="inlineStr">
        <is>
          <t>Disneyland Park</t>
        </is>
      </c>
      <c r="E15965" s="8" t="inlineStr">
        <is>
          <t>Mad Hatter's Tea Cups</t>
        </is>
      </c>
      <c r="F15965" s="8" t="inlineStr">
        <is>
          <t>STANDBY</t>
        </is>
      </c>
      <c r="G15965" s="8" t="n">
        <v>5</v>
      </c>
      <c r="H15965" s="8" t="inlineStr">
        <is>
          <t>OPERATING</t>
        </is>
      </c>
    </row>
    <row r="15966">
      <c r="A15966" s="8" t="inlineStr">
        <is>
          <t>2026-08-03</t>
        </is>
      </c>
      <c r="B15966" s="8" t="n">
        <v>17</v>
      </c>
      <c r="C15966" s="8" t="n">
        <v>57</v>
      </c>
      <c r="D15966" s="8" t="inlineStr">
        <is>
          <t>Disneyland Park</t>
        </is>
      </c>
      <c r="E15966" s="8" t="inlineStr">
        <is>
          <t>Meet Mickey Mouse</t>
        </is>
      </c>
      <c r="F15966" s="8" t="inlineStr">
        <is>
          <t>STANDBY</t>
        </is>
      </c>
      <c r="G15966" s="8" t="n">
        <v>0</v>
      </c>
      <c r="H15966" s="8" t="inlineStr">
        <is>
          <t>OPERATING</t>
        </is>
      </c>
    </row>
    <row r="15967">
      <c r="A15967" s="8" t="inlineStr">
        <is>
          <t>2026-08-03</t>
        </is>
      </c>
      <c r="B15967" s="8" t="n">
        <v>17</v>
      </c>
      <c r="C15967" s="8" t="n">
        <v>57</v>
      </c>
      <c r="D15967" s="8" t="inlineStr">
        <is>
          <t>Disneyland Park</t>
        </is>
      </c>
      <c r="E15967" s="8" t="inlineStr">
        <is>
          <t>Peter Pan's Flight</t>
        </is>
      </c>
      <c r="F15967" s="8" t="inlineStr">
        <is>
          <t>STANDBY</t>
        </is>
      </c>
      <c r="G15967" s="8" t="n">
        <v>65</v>
      </c>
      <c r="H15967" s="8" t="inlineStr">
        <is>
          <t>OPERATING</t>
        </is>
      </c>
    </row>
    <row r="15968">
      <c r="A15968" s="8" t="inlineStr">
        <is>
          <t>2026-08-03</t>
        </is>
      </c>
      <c r="B15968" s="8" t="n">
        <v>17</v>
      </c>
      <c r="C15968" s="8" t="n">
        <v>57</v>
      </c>
      <c r="D15968" s="8" t="inlineStr">
        <is>
          <t>Disneyland Park</t>
        </is>
      </c>
      <c r="E15968" s="8" t="inlineStr">
        <is>
          <t>Princess Pavilion</t>
        </is>
      </c>
      <c r="F15968" s="8" t="inlineStr">
        <is>
          <t>STANDBY</t>
        </is>
      </c>
      <c r="G15968" s="8" t="n">
        <v>0</v>
      </c>
      <c r="H15968" s="8" t="inlineStr">
        <is>
          <t>OPERATING</t>
        </is>
      </c>
    </row>
    <row r="15969">
      <c r="A15969" s="8" t="inlineStr">
        <is>
          <t>2026-08-03</t>
        </is>
      </c>
      <c r="B15969" s="8" t="n">
        <v>17</v>
      </c>
      <c r="C15969" s="8" t="n">
        <v>57</v>
      </c>
      <c r="D15969" s="8" t="inlineStr">
        <is>
          <t>Disneyland Park</t>
        </is>
      </c>
      <c r="E15969" s="8" t="inlineStr">
        <is>
          <t>Big Thunder Mountain</t>
        </is>
      </c>
      <c r="F15969" s="8" t="inlineStr">
        <is>
          <t>STANDBY</t>
        </is>
      </c>
      <c r="G15969" s="8" t="n">
        <v>60</v>
      </c>
      <c r="H15969" s="8" t="inlineStr">
        <is>
          <t>OPERATING</t>
        </is>
      </c>
    </row>
    <row r="15970">
      <c r="A15970" s="8" t="inlineStr">
        <is>
          <t>2026-08-03</t>
        </is>
      </c>
      <c r="B15970" s="8" t="n">
        <v>17</v>
      </c>
      <c r="C15970" s="8" t="n">
        <v>57</v>
      </c>
      <c r="D15970" s="8" t="inlineStr">
        <is>
          <t>Disneyland Park</t>
        </is>
      </c>
      <c r="E15970" s="8" t="inlineStr">
        <is>
          <t>Disneyland Railroad Frontierland Depot</t>
        </is>
      </c>
      <c r="F15970" s="8" t="inlineStr">
        <is>
          <t>STANDBY</t>
        </is>
      </c>
      <c r="G15970" s="8" t="n">
        <v>0</v>
      </c>
      <c r="H15970" s="8" t="inlineStr">
        <is>
          <t>CLOSED</t>
        </is>
      </c>
    </row>
    <row r="15971">
      <c r="A15971" s="8" t="inlineStr">
        <is>
          <t>2026-08-03</t>
        </is>
      </c>
      <c r="B15971" s="8" t="n">
        <v>17</v>
      </c>
      <c r="C15971" s="8" t="n">
        <v>57</v>
      </c>
      <c r="D15971" s="8" t="inlineStr">
        <is>
          <t>Disneyland Park</t>
        </is>
      </c>
      <c r="E15971" s="8" t="inlineStr">
        <is>
          <t>Frontierland Playground</t>
        </is>
      </c>
      <c r="F15971" s="8" t="inlineStr">
        <is>
          <t>STANDBY</t>
        </is>
      </c>
      <c r="G15971" s="8" t="n">
        <v>0</v>
      </c>
      <c r="H15971" s="8" t="inlineStr">
        <is>
          <t>CLOSED</t>
        </is>
      </c>
    </row>
    <row r="15972">
      <c r="A15972" s="8" t="inlineStr">
        <is>
          <t>2026-08-03</t>
        </is>
      </c>
      <c r="B15972" s="8" t="n">
        <v>17</v>
      </c>
      <c r="C15972" s="8" t="n">
        <v>57</v>
      </c>
      <c r="D15972" s="8" t="inlineStr">
        <is>
          <t>Disneyland Park</t>
        </is>
      </c>
      <c r="E15972" s="8" t="inlineStr">
        <is>
          <t>Phantom Manor</t>
        </is>
      </c>
      <c r="F15972" s="8" t="inlineStr">
        <is>
          <t>STANDBY</t>
        </is>
      </c>
      <c r="G15972" s="8" t="n">
        <v>15</v>
      </c>
      <c r="H15972" s="8" t="inlineStr">
        <is>
          <t>OPERATING</t>
        </is>
      </c>
    </row>
    <row r="15973">
      <c r="A15973" s="8" t="inlineStr">
        <is>
          <t>2026-08-03</t>
        </is>
      </c>
      <c r="B15973" s="8" t="n">
        <v>17</v>
      </c>
      <c r="C15973" s="8" t="n">
        <v>57</v>
      </c>
      <c r="D15973" s="8" t="inlineStr">
        <is>
          <t>Disneyland Park</t>
        </is>
      </c>
      <c r="E15973" s="8" t="inlineStr">
        <is>
          <t>River Rogue Keelboats</t>
        </is>
      </c>
      <c r="F15973" s="8" t="inlineStr">
        <is>
          <t>STANDBY</t>
        </is>
      </c>
      <c r="G15973" s="8" t="n">
        <v>0</v>
      </c>
      <c r="H15973" s="8" t="inlineStr">
        <is>
          <t>CLOSED</t>
        </is>
      </c>
    </row>
    <row r="15974">
      <c r="A15974" s="8" t="inlineStr">
        <is>
          <t>2026-08-03</t>
        </is>
      </c>
      <c r="B15974" s="8" t="n">
        <v>17</v>
      </c>
      <c r="C15974" s="8" t="n">
        <v>57</v>
      </c>
      <c r="D15974" s="8" t="inlineStr">
        <is>
          <t>Disneyland Park</t>
        </is>
      </c>
      <c r="E15974" s="8" t="inlineStr">
        <is>
          <t>Rustler Roundup Shootin' Gallery</t>
        </is>
      </c>
      <c r="F15974" s="8" t="inlineStr">
        <is>
          <t>STANDBY</t>
        </is>
      </c>
      <c r="G15974" s="8" t="n">
        <v>0</v>
      </c>
      <c r="H15974" s="8" t="inlineStr">
        <is>
          <t>OPERATING</t>
        </is>
      </c>
    </row>
    <row r="15975">
      <c r="A15975" s="8" t="inlineStr">
        <is>
          <t>2026-08-03</t>
        </is>
      </c>
      <c r="B15975" s="8" t="n">
        <v>17</v>
      </c>
      <c r="C15975" s="8" t="n">
        <v>57</v>
      </c>
      <c r="D15975" s="8" t="inlineStr">
        <is>
          <t>Disneyland Park</t>
        </is>
      </c>
      <c r="E15975" s="8" t="inlineStr">
        <is>
          <t>Thunder Mesa Riverboat Landing</t>
        </is>
      </c>
      <c r="F15975" s="8" t="inlineStr">
        <is>
          <t>STANDBY</t>
        </is>
      </c>
      <c r="G15975" s="8" t="n">
        <v>20</v>
      </c>
      <c r="H15975" s="8" t="inlineStr">
        <is>
          <t>OPERATING</t>
        </is>
      </c>
    </row>
    <row r="15976">
      <c r="A15976" s="8" t="inlineStr">
        <is>
          <t>2026-08-03</t>
        </is>
      </c>
      <c r="B15976" s="8" t="n">
        <v>17</v>
      </c>
      <c r="C15976" s="8" t="n">
        <v>57</v>
      </c>
      <c r="D15976" s="8" t="inlineStr">
        <is>
          <t>Disneyland Park</t>
        </is>
      </c>
      <c r="E15976" s="8" t="inlineStr">
        <is>
          <t>Disneyland Railroad Main Street Station</t>
        </is>
      </c>
      <c r="F15976" s="8" t="inlineStr">
        <is>
          <t>STANDBY</t>
        </is>
      </c>
      <c r="G15976" s="8" t="n">
        <v>0</v>
      </c>
      <c r="H15976" s="8" t="inlineStr">
        <is>
          <t>CLOSED</t>
        </is>
      </c>
    </row>
    <row r="15977">
      <c r="A15977" s="8" t="inlineStr">
        <is>
          <t>2026-08-03</t>
        </is>
      </c>
      <c r="B15977" s="8" t="n">
        <v>17</v>
      </c>
      <c r="C15977" s="8" t="n">
        <v>57</v>
      </c>
      <c r="D15977" s="8" t="inlineStr">
        <is>
          <t>Disneyland Park</t>
        </is>
      </c>
      <c r="E15977" s="8" t="inlineStr">
        <is>
          <t>Main Street Vehicles</t>
        </is>
      </c>
      <c r="F15977" s="8" t="inlineStr">
        <is>
          <t>STANDBY</t>
        </is>
      </c>
      <c r="G15977" s="8" t="n">
        <v>0</v>
      </c>
      <c r="H15977" s="8" t="inlineStr">
        <is>
          <t>CLOSED</t>
        </is>
      </c>
    </row>
    <row r="15978">
      <c r="A15978" s="8" t="inlineStr">
        <is>
          <t>2026-08-03</t>
        </is>
      </c>
      <c r="B15978" s="8" t="n">
        <v>17</v>
      </c>
      <c r="C15978" s="8" t="n">
        <v>57</v>
      </c>
      <c r="D15978" s="8" t="inlineStr">
        <is>
          <t>Disney Adventure World</t>
        </is>
      </c>
      <c r="E15978" s="8" t="inlineStr">
        <is>
          <t>Avengers Assemble: Flight Force</t>
        </is>
      </c>
      <c r="F15978" s="8" t="inlineStr">
        <is>
          <t>STANDBY</t>
        </is>
      </c>
      <c r="G15978" s="8" t="n">
        <v>30</v>
      </c>
      <c r="H15978" s="8" t="inlineStr">
        <is>
          <t>OPERATING</t>
        </is>
      </c>
    </row>
    <row r="15979">
      <c r="A15979" s="8" t="inlineStr">
        <is>
          <t>2026-08-03</t>
        </is>
      </c>
      <c r="B15979" s="8" t="n">
        <v>17</v>
      </c>
      <c r="C15979" s="8" t="n">
        <v>57</v>
      </c>
      <c r="D15979" s="8" t="inlineStr">
        <is>
          <t>Disney Adventure World</t>
        </is>
      </c>
      <c r="E15979" s="8" t="inlineStr">
        <is>
          <t>Avengers Assemble: Flight Force Single Rider</t>
        </is>
      </c>
      <c r="F15979" s="8" t="inlineStr">
        <is>
          <t>STANDBY</t>
        </is>
      </c>
      <c r="G15979" s="8" t="n">
        <v>20</v>
      </c>
      <c r="H15979" s="8" t="inlineStr">
        <is>
          <t>OPERATING</t>
        </is>
      </c>
    </row>
    <row r="15980">
      <c r="A15980" s="8" t="inlineStr">
        <is>
          <t>2026-08-03</t>
        </is>
      </c>
      <c r="B15980" s="8" t="n">
        <v>17</v>
      </c>
      <c r="C15980" s="8" t="n">
        <v>57</v>
      </c>
      <c r="D15980" s="8" t="inlineStr">
        <is>
          <t>Disney Adventure World</t>
        </is>
      </c>
      <c r="E15980" s="8" t="inlineStr">
        <is>
          <t>Spider-Man W.E.B. Adventure</t>
        </is>
      </c>
      <c r="F15980" s="8" t="inlineStr">
        <is>
          <t>STANDBY</t>
        </is>
      </c>
      <c r="G15980" s="8" t="n">
        <v>35</v>
      </c>
      <c r="H15980" s="8" t="inlineStr">
        <is>
          <t>OPERATING</t>
        </is>
      </c>
    </row>
    <row r="15981">
      <c r="A15981" s="8" t="inlineStr">
        <is>
          <t>2026-08-03</t>
        </is>
      </c>
      <c r="B15981" s="8" t="n">
        <v>17</v>
      </c>
      <c r="C15981" s="8" t="n">
        <v>57</v>
      </c>
      <c r="D15981" s="8" t="inlineStr">
        <is>
          <t>Disney Adventure World</t>
        </is>
      </c>
      <c r="E15981" s="8" t="inlineStr">
        <is>
          <t>Spider-Man W.E.B. Adventure Single Rider</t>
        </is>
      </c>
      <c r="F15981" s="8" t="inlineStr">
        <is>
          <t>STANDBY</t>
        </is>
      </c>
      <c r="G15981" s="8" t="n">
        <v>10</v>
      </c>
      <c r="H15981" s="8" t="inlineStr">
        <is>
          <t>OPERATING</t>
        </is>
      </c>
    </row>
    <row r="15982">
      <c r="A15982" s="8" t="inlineStr">
        <is>
          <t>2026-08-03</t>
        </is>
      </c>
      <c r="B15982" s="8" t="n">
        <v>17</v>
      </c>
      <c r="C15982" s="8" t="n">
        <v>57</v>
      </c>
      <c r="D15982" s="8" t="inlineStr">
        <is>
          <t>Disney Adventure World</t>
        </is>
      </c>
      <c r="E15982" s="8" t="inlineStr">
        <is>
          <t>The Twilight Zone Tower of Terror</t>
        </is>
      </c>
      <c r="F15982" s="8" t="inlineStr">
        <is>
          <t>STANDBY</t>
        </is>
      </c>
      <c r="G15982" s="8" t="n">
        <v>35</v>
      </c>
      <c r="H15982" s="8" t="inlineStr">
        <is>
          <t>OPERATING</t>
        </is>
      </c>
    </row>
    <row r="15983">
      <c r="A15983" s="8" t="inlineStr">
        <is>
          <t>2026-08-03</t>
        </is>
      </c>
      <c r="B15983" s="8" t="n">
        <v>17</v>
      </c>
      <c r="C15983" s="8" t="n">
        <v>57</v>
      </c>
      <c r="D15983" s="8" t="inlineStr">
        <is>
          <t>Disney Adventure World</t>
        </is>
      </c>
      <c r="E15983" s="8" t="inlineStr">
        <is>
          <t>Cars Quatre Roues Rallye</t>
        </is>
      </c>
      <c r="F15983" s="8" t="inlineStr">
        <is>
          <t>STANDBY</t>
        </is>
      </c>
      <c r="G15983" s="8" t="n">
        <v>5</v>
      </c>
      <c r="H15983" s="8" t="inlineStr">
        <is>
          <t>OPERATING</t>
        </is>
      </c>
    </row>
    <row r="15984">
      <c r="A15984" s="8" t="inlineStr">
        <is>
          <t>2026-08-03</t>
        </is>
      </c>
      <c r="B15984" s="8" t="n">
        <v>17</v>
      </c>
      <c r="C15984" s="8" t="n">
        <v>57</v>
      </c>
      <c r="D15984" s="8" t="inlineStr">
        <is>
          <t>Disney Adventure World</t>
        </is>
      </c>
      <c r="E15984" s="8" t="inlineStr">
        <is>
          <t>Cars ROAD TRIP</t>
        </is>
      </c>
      <c r="F15984" s="8" t="inlineStr">
        <is>
          <t>STANDBY</t>
        </is>
      </c>
      <c r="G15984" s="8" t="n">
        <v>5</v>
      </c>
      <c r="H15984" s="8" t="inlineStr">
        <is>
          <t>OPERATING</t>
        </is>
      </c>
    </row>
    <row r="15985">
      <c r="A15985" s="8" t="inlineStr">
        <is>
          <t>2026-08-03</t>
        </is>
      </c>
      <c r="B15985" s="8" t="n">
        <v>17</v>
      </c>
      <c r="C15985" s="8" t="n">
        <v>57</v>
      </c>
      <c r="D15985" s="8" t="inlineStr">
        <is>
          <t>Disney Adventure World</t>
        </is>
      </c>
      <c r="E15985" s="8" t="inlineStr">
        <is>
          <t>Crush's Coaster</t>
        </is>
      </c>
      <c r="F15985" s="8" t="inlineStr">
        <is>
          <t>STANDBY</t>
        </is>
      </c>
      <c r="G15985" s="8" t="n">
        <v>45</v>
      </c>
      <c r="H15985" s="8" t="inlineStr">
        <is>
          <t>OPERATING</t>
        </is>
      </c>
    </row>
    <row r="15986">
      <c r="A15986" s="8" t="inlineStr">
        <is>
          <t>2026-08-03</t>
        </is>
      </c>
      <c r="B15986" s="8" t="n">
        <v>17</v>
      </c>
      <c r="C15986" s="8" t="n">
        <v>57</v>
      </c>
      <c r="D15986" s="8" t="inlineStr">
        <is>
          <t>Disney Adventure World</t>
        </is>
      </c>
      <c r="E15986" s="8" t="inlineStr">
        <is>
          <t>Crush's Coaster Single Rider</t>
        </is>
      </c>
      <c r="F15986" s="8" t="inlineStr">
        <is>
          <t>STANDBY</t>
        </is>
      </c>
      <c r="G15986" s="8" t="n">
        <v>25</v>
      </c>
      <c r="H15986" s="8" t="inlineStr">
        <is>
          <t>OPERATING</t>
        </is>
      </c>
    </row>
    <row r="15987">
      <c r="A15987" s="8" t="inlineStr">
        <is>
          <t>2026-08-03</t>
        </is>
      </c>
      <c r="B15987" s="8" t="n">
        <v>17</v>
      </c>
      <c r="C15987" s="8" t="n">
        <v>57</v>
      </c>
      <c r="D15987" s="8" t="inlineStr">
        <is>
          <t>Disney Adventure World</t>
        </is>
      </c>
      <c r="E15987" s="8" t="inlineStr">
        <is>
          <t>Les Tapis Volants - Flying Carpets Over Agrabah®</t>
        </is>
      </c>
      <c r="F15987" s="8" t="inlineStr">
        <is>
          <t>STANDBY</t>
        </is>
      </c>
      <c r="G15987" s="8" t="n">
        <v>5</v>
      </c>
      <c r="H15987" s="8" t="inlineStr">
        <is>
          <t>OPERATING</t>
        </is>
      </c>
    </row>
    <row r="15988">
      <c r="A15988" s="8" t="inlineStr">
        <is>
          <t>2026-08-03</t>
        </is>
      </c>
      <c r="B15988" s="8" t="n">
        <v>17</v>
      </c>
      <c r="C15988" s="8" t="n">
        <v>57</v>
      </c>
      <c r="D15988" s="8" t="inlineStr">
        <is>
          <t>Disney Adventure World</t>
        </is>
      </c>
      <c r="E15988" s="8" t="inlineStr">
        <is>
          <t>Ratatouille : L’Aventure Totalement Toquée de Rémy​</t>
        </is>
      </c>
      <c r="F15988" s="8" t="inlineStr">
        <is>
          <t>STANDBY</t>
        </is>
      </c>
      <c r="G15988" s="8" t="n">
        <v>45</v>
      </c>
      <c r="H15988" s="8" t="inlineStr">
        <is>
          <t>OPERATING</t>
        </is>
      </c>
    </row>
    <row r="15989">
      <c r="A15989" s="8" t="inlineStr">
        <is>
          <t>2026-08-03</t>
        </is>
      </c>
      <c r="B15989" s="8" t="n">
        <v>17</v>
      </c>
      <c r="C15989" s="8" t="n">
        <v>57</v>
      </c>
      <c r="D15989" s="8" t="inlineStr">
        <is>
          <t>Disney Adventure World</t>
        </is>
      </c>
      <c r="E15989" s="8" t="inlineStr">
        <is>
          <t>Ratatouille: The Adventure Single Rider</t>
        </is>
      </c>
      <c r="F15989" s="8" t="inlineStr">
        <is>
          <t>STANDBY</t>
        </is>
      </c>
      <c r="G15989" s="8" t="n">
        <v>10</v>
      </c>
      <c r="H15989" s="8" t="inlineStr">
        <is>
          <t>OPERATING</t>
        </is>
      </c>
    </row>
    <row r="15990">
      <c r="A15990" s="8" t="inlineStr">
        <is>
          <t>2026-08-03</t>
        </is>
      </c>
      <c r="B15990" s="8" t="n">
        <v>17</v>
      </c>
      <c r="C15990" s="8" t="n">
        <v>57</v>
      </c>
      <c r="D15990" s="8" t="inlineStr">
        <is>
          <t>Disney Adventure World</t>
        </is>
      </c>
      <c r="E15990" s="8" t="inlineStr">
        <is>
          <t>RC Racer</t>
        </is>
      </c>
      <c r="F15990" s="8" t="inlineStr">
        <is>
          <t>STANDBY</t>
        </is>
      </c>
      <c r="G15990" s="8" t="n">
        <v>35</v>
      </c>
      <c r="H15990" s="8" t="inlineStr">
        <is>
          <t>OPERATING</t>
        </is>
      </c>
    </row>
    <row r="15991">
      <c r="A15991" s="8" t="inlineStr">
        <is>
          <t>2026-08-03</t>
        </is>
      </c>
      <c r="B15991" s="8" t="n">
        <v>17</v>
      </c>
      <c r="C15991" s="8" t="n">
        <v>57</v>
      </c>
      <c r="D15991" s="8" t="inlineStr">
        <is>
          <t>Disney Adventure World</t>
        </is>
      </c>
      <c r="E15991" s="8" t="inlineStr">
        <is>
          <t>RC Racer Single Rider</t>
        </is>
      </c>
      <c r="F15991" s="8" t="inlineStr">
        <is>
          <t>STANDBY</t>
        </is>
      </c>
      <c r="G15991" s="8" t="n">
        <v>25</v>
      </c>
      <c r="H15991" s="8" t="inlineStr">
        <is>
          <t>OPERATING</t>
        </is>
      </c>
    </row>
    <row r="15992">
      <c r="A15992" s="8" t="inlineStr">
        <is>
          <t>2026-08-03</t>
        </is>
      </c>
      <c r="B15992" s="8" t="n">
        <v>17</v>
      </c>
      <c r="C15992" s="8" t="n">
        <v>57</v>
      </c>
      <c r="D15992" s="8" t="inlineStr">
        <is>
          <t>Disney Adventure World</t>
        </is>
      </c>
      <c r="E15992" s="8" t="inlineStr">
        <is>
          <t>Slinky® Dog Zigzag Spin</t>
        </is>
      </c>
      <c r="F15992" s="8" t="inlineStr">
        <is>
          <t>STANDBY</t>
        </is>
      </c>
      <c r="G15992" s="8" t="n">
        <v>10</v>
      </c>
      <c r="H15992" s="8" t="inlineStr">
        <is>
          <t>OPERATING</t>
        </is>
      </c>
    </row>
    <row r="15993">
      <c r="A15993" s="8" t="inlineStr">
        <is>
          <t>2026-08-03</t>
        </is>
      </c>
      <c r="B15993" s="8" t="n">
        <v>17</v>
      </c>
      <c r="C15993" s="8" t="n">
        <v>57</v>
      </c>
      <c r="D15993" s="8" t="inlineStr">
        <is>
          <t>Disney Adventure World</t>
        </is>
      </c>
      <c r="E15993" s="8" t="inlineStr">
        <is>
          <t>Toy Soldiers Parachute Drop</t>
        </is>
      </c>
      <c r="F15993" s="8" t="inlineStr">
        <is>
          <t>STANDBY</t>
        </is>
      </c>
      <c r="G15993" s="8" t="n">
        <v>30</v>
      </c>
      <c r="H15993" s="8" t="inlineStr">
        <is>
          <t>OPERATING</t>
        </is>
      </c>
    </row>
    <row r="15994">
      <c r="A15994" s="8" t="inlineStr">
        <is>
          <t>2026-08-03</t>
        </is>
      </c>
      <c r="B15994" s="8" t="n">
        <v>17</v>
      </c>
      <c r="C15994" s="8" t="n">
        <v>57</v>
      </c>
      <c r="D15994" s="8" t="inlineStr">
        <is>
          <t>Disney Adventure World</t>
        </is>
      </c>
      <c r="E15994" s="8" t="inlineStr">
        <is>
          <t>Toy Soldiers Parachute Drop Single Rider</t>
        </is>
      </c>
      <c r="F15994" s="8" t="inlineStr">
        <is>
          <t>STANDBY</t>
        </is>
      </c>
      <c r="G15994" s="8" t="n">
        <v>10</v>
      </c>
      <c r="H15994" s="8" t="inlineStr">
        <is>
          <t>OPERATING</t>
        </is>
      </c>
    </row>
    <row r="15995">
      <c r="A15995" s="8" t="inlineStr">
        <is>
          <t>2026-08-03</t>
        </is>
      </c>
      <c r="B15995" s="8" t="n">
        <v>17</v>
      </c>
      <c r="C15995" s="8" t="n">
        <v>57</v>
      </c>
      <c r="D15995" s="8" t="inlineStr">
        <is>
          <t>Disney Adventure World</t>
        </is>
      </c>
      <c r="E15995" s="8" t="inlineStr">
        <is>
          <t>Entry to World of Frozen</t>
        </is>
      </c>
      <c r="F15995" s="8" t="inlineStr">
        <is>
          <t>STANDBY</t>
        </is>
      </c>
      <c r="G15995" s="8" t="n">
        <v>0</v>
      </c>
      <c r="H15995" s="8" t="inlineStr">
        <is>
          <t>OPERATING</t>
        </is>
      </c>
    </row>
    <row r="15996">
      <c r="A15996" s="8" t="inlineStr">
        <is>
          <t>2026-08-03</t>
        </is>
      </c>
      <c r="B15996" s="8" t="n">
        <v>17</v>
      </c>
      <c r="C15996" s="8" t="n">
        <v>57</v>
      </c>
      <c r="D15996" s="8" t="inlineStr">
        <is>
          <t>Disney Adventure World</t>
        </is>
      </c>
      <c r="E15996" s="8" t="inlineStr">
        <is>
          <t>Frozen Ever After</t>
        </is>
      </c>
      <c r="F15996" s="8" t="inlineStr">
        <is>
          <t>STANDBY</t>
        </is>
      </c>
      <c r="G15996" s="8" t="n">
        <v>45</v>
      </c>
      <c r="H15996" s="8" t="inlineStr">
        <is>
          <t>OPERATING</t>
        </is>
      </c>
    </row>
    <row r="15997">
      <c r="A15997" s="8" t="inlineStr">
        <is>
          <t>2026-08-03</t>
        </is>
      </c>
      <c r="B15997" s="8" t="n">
        <v>17</v>
      </c>
      <c r="C15997" s="8" t="n">
        <v>57</v>
      </c>
      <c r="D15997" s="8" t="inlineStr">
        <is>
          <t>Disney Adventure World</t>
        </is>
      </c>
      <c r="E15997" s="8" t="inlineStr">
        <is>
          <t>Raiponce Tangled Spin</t>
        </is>
      </c>
      <c r="F15997" s="8" t="inlineStr">
        <is>
          <t>STANDBY</t>
        </is>
      </c>
      <c r="G15997" s="8" t="n">
        <v>5</v>
      </c>
      <c r="H15997" s="8" t="inlineStr">
        <is>
          <t>OPERATING</t>
        </is>
      </c>
    </row>
    <row r="15998">
      <c r="A15998" s="8" t="inlineStr">
        <is>
          <t>2026-08-03</t>
        </is>
      </c>
      <c r="B15998" s="8" t="n">
        <v>18</v>
      </c>
      <c r="C15998" s="8" t="n">
        <v>1</v>
      </c>
      <c r="D15998" s="8" t="inlineStr">
        <is>
          <t>Disneyland Park</t>
        </is>
      </c>
      <c r="E15998" s="8" t="inlineStr">
        <is>
          <t>Adventure Isle</t>
        </is>
      </c>
      <c r="F15998" s="8" t="inlineStr">
        <is>
          <t>STANDBY</t>
        </is>
      </c>
      <c r="G15998" s="8" t="n">
        <v>0</v>
      </c>
      <c r="H15998" s="8" t="inlineStr">
        <is>
          <t>OPERATING</t>
        </is>
      </c>
    </row>
    <row r="15999">
      <c r="A15999" s="8" t="inlineStr">
        <is>
          <t>2026-08-03</t>
        </is>
      </c>
      <c r="B15999" s="8" t="n">
        <v>18</v>
      </c>
      <c r="C15999" s="8" t="n">
        <v>1</v>
      </c>
      <c r="D15999" s="8" t="inlineStr">
        <is>
          <t>Disneyland Park</t>
        </is>
      </c>
      <c r="E15999" s="8" t="inlineStr">
        <is>
          <t>Indiana Jones and the Temple of Peril Single Rider</t>
        </is>
      </c>
      <c r="F15999" s="8" t="inlineStr">
        <is>
          <t>STANDBY</t>
        </is>
      </c>
      <c r="G15999" s="8" t="n">
        <v>10</v>
      </c>
      <c r="H15999" s="8" t="inlineStr">
        <is>
          <t>OPERATING</t>
        </is>
      </c>
    </row>
    <row r="16000">
      <c r="A16000" s="8" t="inlineStr">
        <is>
          <t>2026-08-03</t>
        </is>
      </c>
      <c r="B16000" s="8" t="n">
        <v>18</v>
      </c>
      <c r="C16000" s="8" t="n">
        <v>1</v>
      </c>
      <c r="D16000" s="8" t="inlineStr">
        <is>
          <t>Disneyland Park</t>
        </is>
      </c>
      <c r="E16000" s="8" t="inlineStr">
        <is>
          <t>Indiana Jones™ and the Temple of Peril</t>
        </is>
      </c>
      <c r="F16000" s="8" t="inlineStr">
        <is>
          <t>STANDBY</t>
        </is>
      </c>
      <c r="G16000" s="8" t="n">
        <v>15</v>
      </c>
      <c r="H16000" s="8" t="inlineStr">
        <is>
          <t>OPERATING</t>
        </is>
      </c>
    </row>
    <row r="16001">
      <c r="A16001" s="8" t="inlineStr">
        <is>
          <t>2026-08-03</t>
        </is>
      </c>
      <c r="B16001" s="8" t="n">
        <v>18</v>
      </c>
      <c r="C16001" s="8" t="n">
        <v>1</v>
      </c>
      <c r="D16001" s="8" t="inlineStr">
        <is>
          <t>Disneyland Park</t>
        </is>
      </c>
      <c r="E16001" s="8" t="inlineStr">
        <is>
          <t>La Cabane des Robinson</t>
        </is>
      </c>
      <c r="F16001" s="8" t="inlineStr">
        <is>
          <t>STANDBY</t>
        </is>
      </c>
      <c r="G16001" s="8" t="n">
        <v>5</v>
      </c>
      <c r="H16001" s="8" t="inlineStr">
        <is>
          <t>OPERATING</t>
        </is>
      </c>
    </row>
    <row r="16002">
      <c r="A16002" s="8" t="inlineStr">
        <is>
          <t>2026-08-03</t>
        </is>
      </c>
      <c r="B16002" s="8" t="n">
        <v>18</v>
      </c>
      <c r="C16002" s="8" t="n">
        <v>1</v>
      </c>
      <c r="D16002" s="8" t="inlineStr">
        <is>
          <t>Disneyland Park</t>
        </is>
      </c>
      <c r="E16002" s="8" t="inlineStr">
        <is>
          <t>Le Passage Enchanté d'Aladdin</t>
        </is>
      </c>
      <c r="F16002" s="8" t="inlineStr">
        <is>
          <t>STANDBY</t>
        </is>
      </c>
      <c r="G16002" s="8" t="n">
        <v>0</v>
      </c>
      <c r="H16002" s="8" t="inlineStr">
        <is>
          <t>OPERATING</t>
        </is>
      </c>
    </row>
    <row r="16003">
      <c r="A16003" s="8" t="inlineStr">
        <is>
          <t>2026-08-03</t>
        </is>
      </c>
      <c r="B16003" s="8" t="n">
        <v>18</v>
      </c>
      <c r="C16003" s="8" t="n">
        <v>1</v>
      </c>
      <c r="D16003" s="8" t="inlineStr">
        <is>
          <t>Disneyland Park</t>
        </is>
      </c>
      <c r="E16003" s="8" t="inlineStr">
        <is>
          <t>Pirate Galleon</t>
        </is>
      </c>
      <c r="F16003" s="8" t="inlineStr">
        <is>
          <t>STANDBY</t>
        </is>
      </c>
      <c r="G16003" s="8" t="n">
        <v>0</v>
      </c>
      <c r="H16003" s="8" t="inlineStr">
        <is>
          <t>CLOSED</t>
        </is>
      </c>
    </row>
    <row r="16004">
      <c r="A16004" s="8" t="inlineStr">
        <is>
          <t>2026-08-03</t>
        </is>
      </c>
      <c r="B16004" s="8" t="n">
        <v>18</v>
      </c>
      <c r="C16004" s="8" t="n">
        <v>1</v>
      </c>
      <c r="D16004" s="8" t="inlineStr">
        <is>
          <t>Disneyland Park</t>
        </is>
      </c>
      <c r="E16004" s="8" t="inlineStr">
        <is>
          <t>Pirates of the Caribbean</t>
        </is>
      </c>
      <c r="F16004" s="8" t="inlineStr">
        <is>
          <t>STANDBY</t>
        </is>
      </c>
      <c r="G16004" s="8" t="n">
        <v>15</v>
      </c>
      <c r="H16004" s="8" t="inlineStr">
        <is>
          <t>OPERATING</t>
        </is>
      </c>
    </row>
    <row r="16005">
      <c r="A16005" s="8" t="inlineStr">
        <is>
          <t>2026-08-03</t>
        </is>
      </c>
      <c r="B16005" s="8" t="n">
        <v>18</v>
      </c>
      <c r="C16005" s="8" t="n">
        <v>1</v>
      </c>
      <c r="D16005" s="8" t="inlineStr">
        <is>
          <t>Disneyland Park</t>
        </is>
      </c>
      <c r="E16005" s="8" t="inlineStr">
        <is>
          <t>Pirates' Beach</t>
        </is>
      </c>
      <c r="F16005" s="8" t="inlineStr">
        <is>
          <t>STANDBY</t>
        </is>
      </c>
      <c r="G16005" s="8" t="n">
        <v>0</v>
      </c>
      <c r="H16005" s="8" t="inlineStr">
        <is>
          <t>OPERATING</t>
        </is>
      </c>
    </row>
    <row r="16006">
      <c r="A16006" s="8" t="inlineStr">
        <is>
          <t>2026-08-03</t>
        </is>
      </c>
      <c r="B16006" s="8" t="n">
        <v>18</v>
      </c>
      <c r="C16006" s="8" t="n">
        <v>1</v>
      </c>
      <c r="D16006" s="8" t="inlineStr">
        <is>
          <t>Disneyland Park</t>
        </is>
      </c>
      <c r="E16006" s="8" t="inlineStr">
        <is>
          <t>Autopia, presented by Avis</t>
        </is>
      </c>
      <c r="F16006" s="8" t="inlineStr">
        <is>
          <t>STANDBY</t>
        </is>
      </c>
      <c r="G16006" s="8" t="n">
        <v>0</v>
      </c>
      <c r="H16006" s="8" t="inlineStr">
        <is>
          <t>CLOSED</t>
        </is>
      </c>
    </row>
    <row r="16007">
      <c r="A16007" s="8" t="inlineStr">
        <is>
          <t>2026-08-03</t>
        </is>
      </c>
      <c r="B16007" s="8" t="n">
        <v>18</v>
      </c>
      <c r="C16007" s="8" t="n">
        <v>1</v>
      </c>
      <c r="D16007" s="8" t="inlineStr">
        <is>
          <t>Disneyland Park</t>
        </is>
      </c>
      <c r="E16007" s="8" t="inlineStr">
        <is>
          <t>Buzz Lightyear Laser Blast</t>
        </is>
      </c>
      <c r="F16007" s="8" t="inlineStr">
        <is>
          <t>STANDBY</t>
        </is>
      </c>
      <c r="G16007" s="8" t="n">
        <v>40</v>
      </c>
      <c r="H16007" s="8" t="inlineStr">
        <is>
          <t>OPERATING</t>
        </is>
      </c>
    </row>
    <row r="16008">
      <c r="A16008" s="8" t="inlineStr">
        <is>
          <t>2026-08-03</t>
        </is>
      </c>
      <c r="B16008" s="8" t="n">
        <v>18</v>
      </c>
      <c r="C16008" s="8" t="n">
        <v>1</v>
      </c>
      <c r="D16008" s="8" t="inlineStr">
        <is>
          <t>Disneyland Park</t>
        </is>
      </c>
      <c r="E16008" s="8" t="inlineStr">
        <is>
          <t>Disneyland Railroad Discoveryland Station</t>
        </is>
      </c>
      <c r="F16008" s="8" t="inlineStr">
        <is>
          <t>STANDBY</t>
        </is>
      </c>
      <c r="G16008" s="8" t="n">
        <v>0</v>
      </c>
      <c r="H16008" s="8" t="inlineStr">
        <is>
          <t>CLOSED</t>
        </is>
      </c>
    </row>
    <row r="16009">
      <c r="A16009" s="8" t="inlineStr">
        <is>
          <t>2026-08-03</t>
        </is>
      </c>
      <c r="B16009" s="8" t="n">
        <v>18</v>
      </c>
      <c r="C16009" s="8" t="n">
        <v>1</v>
      </c>
      <c r="D16009" s="8" t="inlineStr">
        <is>
          <t>Disneyland Park</t>
        </is>
      </c>
      <c r="E16009" s="8" t="inlineStr">
        <is>
          <t>Les Mystères du Nautilus</t>
        </is>
      </c>
      <c r="F16009" s="8" t="inlineStr">
        <is>
          <t>STANDBY</t>
        </is>
      </c>
      <c r="G16009" s="8" t="n">
        <v>5</v>
      </c>
      <c r="H16009" s="8" t="inlineStr">
        <is>
          <t>OPERATING</t>
        </is>
      </c>
    </row>
    <row r="16010">
      <c r="A16010" s="8" t="inlineStr">
        <is>
          <t>2026-08-03</t>
        </is>
      </c>
      <c r="B16010" s="8" t="n">
        <v>18</v>
      </c>
      <c r="C16010" s="8" t="n">
        <v>1</v>
      </c>
      <c r="D16010" s="8" t="inlineStr">
        <is>
          <t>Disneyland Park</t>
        </is>
      </c>
      <c r="E16010" s="8" t="inlineStr">
        <is>
          <t>Mickey’s PhilharMagic</t>
        </is>
      </c>
      <c r="F16010" s="8" t="inlineStr">
        <is>
          <t>STANDBY</t>
        </is>
      </c>
      <c r="G16010" s="8" t="n">
        <v>0</v>
      </c>
      <c r="H16010" s="8" t="inlineStr">
        <is>
          <t>CLOSED</t>
        </is>
      </c>
    </row>
    <row r="16011">
      <c r="A16011" s="8" t="inlineStr">
        <is>
          <t>2026-08-03</t>
        </is>
      </c>
      <c r="B16011" s="8" t="n">
        <v>18</v>
      </c>
      <c r="C16011" s="8" t="n">
        <v>1</v>
      </c>
      <c r="D16011" s="8" t="inlineStr">
        <is>
          <t>Disneyland Park</t>
        </is>
      </c>
      <c r="E16011" s="8" t="inlineStr">
        <is>
          <t>Orbitron®</t>
        </is>
      </c>
      <c r="F16011" s="8" t="inlineStr">
        <is>
          <t>STANDBY</t>
        </is>
      </c>
      <c r="G16011" s="8" t="n">
        <v>0</v>
      </c>
      <c r="H16011" s="8" t="inlineStr">
        <is>
          <t>CLOSED</t>
        </is>
      </c>
    </row>
    <row r="16012">
      <c r="A16012" s="8" t="inlineStr">
        <is>
          <t>2026-08-03</t>
        </is>
      </c>
      <c r="B16012" s="8" t="n">
        <v>18</v>
      </c>
      <c r="C16012" s="8" t="n">
        <v>1</v>
      </c>
      <c r="D16012" s="8" t="inlineStr">
        <is>
          <t>Disneyland Park</t>
        </is>
      </c>
      <c r="E16012" s="8" t="inlineStr">
        <is>
          <t>Star Tours: The Adventures Continue*</t>
        </is>
      </c>
      <c r="F16012" s="8" t="inlineStr">
        <is>
          <t>STANDBY</t>
        </is>
      </c>
      <c r="G16012" s="8" t="n">
        <v>5</v>
      </c>
      <c r="H16012" s="8" t="inlineStr">
        <is>
          <t>OPERATING</t>
        </is>
      </c>
    </row>
    <row r="16013">
      <c r="A16013" s="8" t="inlineStr">
        <is>
          <t>2026-08-03</t>
        </is>
      </c>
      <c r="B16013" s="8" t="n">
        <v>18</v>
      </c>
      <c r="C16013" s="8" t="n">
        <v>1</v>
      </c>
      <c r="D16013" s="8" t="inlineStr">
        <is>
          <t>Disneyland Park</t>
        </is>
      </c>
      <c r="E16013" s="8" t="inlineStr">
        <is>
          <t>Star Wars Hyperspace Mountain</t>
        </is>
      </c>
      <c r="F16013" s="8" t="inlineStr">
        <is>
          <t>STANDBY</t>
        </is>
      </c>
      <c r="G16013" s="8" t="n">
        <v>35</v>
      </c>
      <c r="H16013" s="8" t="inlineStr">
        <is>
          <t>OPERATING</t>
        </is>
      </c>
    </row>
    <row r="16014">
      <c r="A16014" s="8" t="inlineStr">
        <is>
          <t>2026-08-03</t>
        </is>
      </c>
      <c r="B16014" s="8" t="n">
        <v>18</v>
      </c>
      <c r="C16014" s="8" t="n">
        <v>1</v>
      </c>
      <c r="D16014" s="8" t="inlineStr">
        <is>
          <t>Disneyland Park</t>
        </is>
      </c>
      <c r="E16014" s="8" t="inlineStr">
        <is>
          <t>Star Wars Hyperspace Mountain Single Rider</t>
        </is>
      </c>
      <c r="F16014" s="8" t="inlineStr">
        <is>
          <t>STANDBY</t>
        </is>
      </c>
      <c r="G16014" s="8" t="n">
        <v>25</v>
      </c>
      <c r="H16014" s="8" t="inlineStr">
        <is>
          <t>OPERATING</t>
        </is>
      </c>
    </row>
    <row r="16015">
      <c r="A16015" s="8" t="inlineStr">
        <is>
          <t>2026-08-03</t>
        </is>
      </c>
      <c r="B16015" s="8" t="n">
        <v>18</v>
      </c>
      <c r="C16015" s="8" t="n">
        <v>1</v>
      </c>
      <c r="D16015" s="8" t="inlineStr">
        <is>
          <t>Disneyland Park</t>
        </is>
      </c>
      <c r="E16015" s="8" t="inlineStr">
        <is>
          <t>Welcome to Starport: A Star Wars Encounter</t>
        </is>
      </c>
      <c r="F16015" s="8" t="inlineStr">
        <is>
          <t>STANDBY</t>
        </is>
      </c>
      <c r="G16015" s="8" t="n">
        <v>0</v>
      </c>
      <c r="H16015" s="8" t="inlineStr">
        <is>
          <t>CLOSED</t>
        </is>
      </c>
    </row>
    <row r="16016">
      <c r="A16016" s="8" t="inlineStr">
        <is>
          <t>2026-08-03</t>
        </is>
      </c>
      <c r="B16016" s="8" t="n">
        <v>18</v>
      </c>
      <c r="C16016" s="8" t="n">
        <v>1</v>
      </c>
      <c r="D16016" s="8" t="inlineStr">
        <is>
          <t>Disneyland Park</t>
        </is>
      </c>
      <c r="E16016" s="8" t="inlineStr">
        <is>
          <t>"it's a small world"</t>
        </is>
      </c>
      <c r="F16016" s="8" t="inlineStr">
        <is>
          <t>STANDBY</t>
        </is>
      </c>
      <c r="G16016" s="8" t="n">
        <v>5</v>
      </c>
      <c r="H16016" s="8" t="inlineStr">
        <is>
          <t>OPERATING</t>
        </is>
      </c>
    </row>
    <row r="16017">
      <c r="A16017" s="8" t="inlineStr">
        <is>
          <t>2026-08-03</t>
        </is>
      </c>
      <c r="B16017" s="8" t="n">
        <v>18</v>
      </c>
      <c r="C16017" s="8" t="n">
        <v>1</v>
      </c>
      <c r="D16017" s="8" t="inlineStr">
        <is>
          <t>Disneyland Park</t>
        </is>
      </c>
      <c r="E16017" s="8" t="inlineStr">
        <is>
          <t>Alice's Curious Labyrinth</t>
        </is>
      </c>
      <c r="F16017" s="8" t="inlineStr">
        <is>
          <t>STANDBY</t>
        </is>
      </c>
      <c r="G16017" s="8" t="n">
        <v>5</v>
      </c>
      <c r="H16017" s="8" t="inlineStr">
        <is>
          <t>OPERATING</t>
        </is>
      </c>
    </row>
    <row r="16018">
      <c r="A16018" s="8" t="inlineStr">
        <is>
          <t>2026-08-03</t>
        </is>
      </c>
      <c r="B16018" s="8" t="n">
        <v>18</v>
      </c>
      <c r="C16018" s="8" t="n">
        <v>1</v>
      </c>
      <c r="D16018" s="8" t="inlineStr">
        <is>
          <t>Disneyland Park</t>
        </is>
      </c>
      <c r="E16018" s="8" t="inlineStr">
        <is>
          <t>Blanche-Neige et les Sept Nains®</t>
        </is>
      </c>
      <c r="F16018" s="8" t="inlineStr">
        <is>
          <t>STANDBY</t>
        </is>
      </c>
      <c r="G16018" s="8" t="n">
        <v>25</v>
      </c>
      <c r="H16018" s="8" t="inlineStr">
        <is>
          <t>OPERATING</t>
        </is>
      </c>
    </row>
    <row r="16019">
      <c r="A16019" s="8" t="inlineStr">
        <is>
          <t>2026-08-03</t>
        </is>
      </c>
      <c r="B16019" s="8" t="n">
        <v>18</v>
      </c>
      <c r="C16019" s="8" t="n">
        <v>1</v>
      </c>
      <c r="D16019" s="8" t="inlineStr">
        <is>
          <t>Disneyland Park</t>
        </is>
      </c>
      <c r="E16019" s="8" t="inlineStr">
        <is>
          <t>Casey Jr. – le Petit Train du Cirque</t>
        </is>
      </c>
      <c r="F16019" s="8" t="inlineStr">
        <is>
          <t>STANDBY</t>
        </is>
      </c>
      <c r="G16019" s="8" t="n">
        <v>5</v>
      </c>
      <c r="H16019" s="8" t="inlineStr">
        <is>
          <t>OPERATING</t>
        </is>
      </c>
    </row>
    <row r="16020">
      <c r="A16020" s="8" t="inlineStr">
        <is>
          <t>2026-08-03</t>
        </is>
      </c>
      <c r="B16020" s="8" t="n">
        <v>18</v>
      </c>
      <c r="C16020" s="8" t="n">
        <v>1</v>
      </c>
      <c r="D16020" s="8" t="inlineStr">
        <is>
          <t>Disneyland Park</t>
        </is>
      </c>
      <c r="E16020" s="8" t="inlineStr">
        <is>
          <t>Disneyland Railroad Fantasyland Station</t>
        </is>
      </c>
      <c r="F16020" s="8" t="inlineStr">
        <is>
          <t>STANDBY</t>
        </is>
      </c>
      <c r="G16020" s="8" t="n">
        <v>0</v>
      </c>
      <c r="H16020" s="8" t="inlineStr">
        <is>
          <t>CLOSED</t>
        </is>
      </c>
    </row>
    <row r="16021">
      <c r="A16021" s="8" t="inlineStr">
        <is>
          <t>2026-08-03</t>
        </is>
      </c>
      <c r="B16021" s="8" t="n">
        <v>18</v>
      </c>
      <c r="C16021" s="8" t="n">
        <v>1</v>
      </c>
      <c r="D16021" s="8" t="inlineStr">
        <is>
          <t>Disneyland Park</t>
        </is>
      </c>
      <c r="E16021" s="8" t="inlineStr">
        <is>
          <t>Disneyland Railroad Main Street Station</t>
        </is>
      </c>
      <c r="F16021" s="8" t="inlineStr">
        <is>
          <t>STANDBY</t>
        </is>
      </c>
      <c r="G16021" s="8" t="n">
        <v>0</v>
      </c>
      <c r="H16021" s="8" t="inlineStr">
        <is>
          <t>CLOSED</t>
        </is>
      </c>
    </row>
    <row r="16022">
      <c r="A16022" s="8" t="inlineStr">
        <is>
          <t>2026-08-03</t>
        </is>
      </c>
      <c r="B16022" s="8" t="n">
        <v>18</v>
      </c>
      <c r="C16022" s="8" t="n">
        <v>1</v>
      </c>
      <c r="D16022" s="8" t="inlineStr">
        <is>
          <t>Disneyland Park</t>
        </is>
      </c>
      <c r="E16022" s="8" t="inlineStr">
        <is>
          <t>Dumbo the Flying Elephant</t>
        </is>
      </c>
      <c r="F16022" s="8" t="inlineStr">
        <is>
          <t>STANDBY</t>
        </is>
      </c>
      <c r="G16022" s="8" t="n">
        <v>0</v>
      </c>
      <c r="H16022" s="8" t="inlineStr">
        <is>
          <t>CLOSED</t>
        </is>
      </c>
    </row>
    <row r="16023">
      <c r="A16023" s="8" t="inlineStr">
        <is>
          <t>2026-08-03</t>
        </is>
      </c>
      <c r="B16023" s="8" t="n">
        <v>18</v>
      </c>
      <c r="C16023" s="8" t="n">
        <v>1</v>
      </c>
      <c r="D16023" s="8" t="inlineStr">
        <is>
          <t>Disneyland Park</t>
        </is>
      </c>
      <c r="E16023" s="8" t="inlineStr">
        <is>
          <t>La Tanière du Dragon</t>
        </is>
      </c>
      <c r="F16023" s="8" t="inlineStr">
        <is>
          <t>STANDBY</t>
        </is>
      </c>
      <c r="G16023" s="8" t="n">
        <v>0</v>
      </c>
      <c r="H16023" s="8" t="inlineStr">
        <is>
          <t>OPERATING</t>
        </is>
      </c>
    </row>
    <row r="16024">
      <c r="A16024" s="8" t="inlineStr">
        <is>
          <t>2026-08-03</t>
        </is>
      </c>
      <c r="B16024" s="8" t="n">
        <v>18</v>
      </c>
      <c r="C16024" s="8" t="n">
        <v>1</v>
      </c>
      <c r="D16024" s="8" t="inlineStr">
        <is>
          <t>Disneyland Park</t>
        </is>
      </c>
      <c r="E16024" s="8" t="inlineStr">
        <is>
          <t>Le Carrousel de Lancelot</t>
        </is>
      </c>
      <c r="F16024" s="8" t="inlineStr">
        <is>
          <t>STANDBY</t>
        </is>
      </c>
      <c r="G16024" s="8" t="n">
        <v>10</v>
      </c>
      <c r="H16024" s="8" t="inlineStr">
        <is>
          <t>OPERATING</t>
        </is>
      </c>
    </row>
    <row r="16025">
      <c r="A16025" s="8" t="inlineStr">
        <is>
          <t>2026-08-03</t>
        </is>
      </c>
      <c r="B16025" s="8" t="n">
        <v>18</v>
      </c>
      <c r="C16025" s="8" t="n">
        <v>1</v>
      </c>
      <c r="D16025" s="8" t="inlineStr">
        <is>
          <t>Disneyland Park</t>
        </is>
      </c>
      <c r="E16025" s="8" t="inlineStr">
        <is>
          <t>Le Pays des Contes de Fées, presented by Vittel</t>
        </is>
      </c>
      <c r="F16025" s="8" t="inlineStr">
        <is>
          <t>STANDBY</t>
        </is>
      </c>
      <c r="G16025" s="8" t="n">
        <v>5</v>
      </c>
      <c r="H16025" s="8" t="inlineStr">
        <is>
          <t>OPERATING</t>
        </is>
      </c>
    </row>
    <row r="16026">
      <c r="A16026" s="8" t="inlineStr">
        <is>
          <t>2026-08-03</t>
        </is>
      </c>
      <c r="B16026" s="8" t="n">
        <v>18</v>
      </c>
      <c r="C16026" s="8" t="n">
        <v>1</v>
      </c>
      <c r="D16026" s="8" t="inlineStr">
        <is>
          <t>Disneyland Park</t>
        </is>
      </c>
      <c r="E16026" s="8" t="inlineStr">
        <is>
          <t>Les Voyages de Pinocchio</t>
        </is>
      </c>
      <c r="F16026" s="8" t="inlineStr">
        <is>
          <t>STANDBY</t>
        </is>
      </c>
      <c r="G16026" s="8" t="n">
        <v>25</v>
      </c>
      <c r="H16026" s="8" t="inlineStr">
        <is>
          <t>OPERATING</t>
        </is>
      </c>
    </row>
    <row r="16027">
      <c r="A16027" s="8" t="inlineStr">
        <is>
          <t>2026-08-03</t>
        </is>
      </c>
      <c r="B16027" s="8" t="n">
        <v>18</v>
      </c>
      <c r="C16027" s="8" t="n">
        <v>1</v>
      </c>
      <c r="D16027" s="8" t="inlineStr">
        <is>
          <t>Disneyland Park</t>
        </is>
      </c>
      <c r="E16027" s="8" t="inlineStr">
        <is>
          <t>Mad Hatter's Tea Cups</t>
        </is>
      </c>
      <c r="F16027" s="8" t="inlineStr">
        <is>
          <t>STANDBY</t>
        </is>
      </c>
      <c r="G16027" s="8" t="n">
        <v>5</v>
      </c>
      <c r="H16027" s="8" t="inlineStr">
        <is>
          <t>OPERATING</t>
        </is>
      </c>
    </row>
    <row r="16028">
      <c r="A16028" s="8" t="inlineStr">
        <is>
          <t>2026-08-03</t>
        </is>
      </c>
      <c r="B16028" s="8" t="n">
        <v>18</v>
      </c>
      <c r="C16028" s="8" t="n">
        <v>1</v>
      </c>
      <c r="D16028" s="8" t="inlineStr">
        <is>
          <t>Disneyland Park</t>
        </is>
      </c>
      <c r="E16028" s="8" t="inlineStr">
        <is>
          <t>Meet Mickey Mouse</t>
        </is>
      </c>
      <c r="F16028" s="8" t="inlineStr">
        <is>
          <t>STANDBY</t>
        </is>
      </c>
      <c r="G16028" s="8" t="n">
        <v>0</v>
      </c>
      <c r="H16028" s="8" t="inlineStr">
        <is>
          <t>OPERATING</t>
        </is>
      </c>
    </row>
    <row r="16029">
      <c r="A16029" s="8" t="inlineStr">
        <is>
          <t>2026-08-03</t>
        </is>
      </c>
      <c r="B16029" s="8" t="n">
        <v>18</v>
      </c>
      <c r="C16029" s="8" t="n">
        <v>1</v>
      </c>
      <c r="D16029" s="8" t="inlineStr">
        <is>
          <t>Disneyland Park</t>
        </is>
      </c>
      <c r="E16029" s="8" t="inlineStr">
        <is>
          <t>Peter Pan's Flight</t>
        </is>
      </c>
      <c r="F16029" s="8" t="inlineStr">
        <is>
          <t>STANDBY</t>
        </is>
      </c>
      <c r="G16029" s="8" t="n">
        <v>65</v>
      </c>
      <c r="H16029" s="8" t="inlineStr">
        <is>
          <t>OPERATING</t>
        </is>
      </c>
    </row>
    <row r="16030">
      <c r="A16030" s="8" t="inlineStr">
        <is>
          <t>2026-08-03</t>
        </is>
      </c>
      <c r="B16030" s="8" t="n">
        <v>18</v>
      </c>
      <c r="C16030" s="8" t="n">
        <v>1</v>
      </c>
      <c r="D16030" s="8" t="inlineStr">
        <is>
          <t>Disneyland Park</t>
        </is>
      </c>
      <c r="E16030" s="8" t="inlineStr">
        <is>
          <t>Princess Pavilion</t>
        </is>
      </c>
      <c r="F16030" s="8" t="inlineStr">
        <is>
          <t>STANDBY</t>
        </is>
      </c>
      <c r="G16030" s="8" t="n">
        <v>0</v>
      </c>
      <c r="H16030" s="8" t="inlineStr">
        <is>
          <t>OPERATING</t>
        </is>
      </c>
    </row>
    <row r="16031">
      <c r="A16031" s="8" t="inlineStr">
        <is>
          <t>2026-08-03</t>
        </is>
      </c>
      <c r="B16031" s="8" t="n">
        <v>18</v>
      </c>
      <c r="C16031" s="8" t="n">
        <v>1</v>
      </c>
      <c r="D16031" s="8" t="inlineStr">
        <is>
          <t>Disneyland Park</t>
        </is>
      </c>
      <c r="E16031" s="8" t="inlineStr">
        <is>
          <t>Big Thunder Mountain</t>
        </is>
      </c>
      <c r="F16031" s="8" t="inlineStr">
        <is>
          <t>STANDBY</t>
        </is>
      </c>
      <c r="G16031" s="8" t="n">
        <v>60</v>
      </c>
      <c r="H16031" s="8" t="inlineStr">
        <is>
          <t>OPERATING</t>
        </is>
      </c>
    </row>
    <row r="16032">
      <c r="A16032" s="8" t="inlineStr">
        <is>
          <t>2026-08-03</t>
        </is>
      </c>
      <c r="B16032" s="8" t="n">
        <v>18</v>
      </c>
      <c r="C16032" s="8" t="n">
        <v>1</v>
      </c>
      <c r="D16032" s="8" t="inlineStr">
        <is>
          <t>Disneyland Park</t>
        </is>
      </c>
      <c r="E16032" s="8" t="inlineStr">
        <is>
          <t>Disneyland Railroad Frontierland Depot</t>
        </is>
      </c>
      <c r="F16032" s="8" t="inlineStr">
        <is>
          <t>STANDBY</t>
        </is>
      </c>
      <c r="G16032" s="8" t="n">
        <v>0</v>
      </c>
      <c r="H16032" s="8" t="inlineStr">
        <is>
          <t>CLOSED</t>
        </is>
      </c>
    </row>
    <row r="16033">
      <c r="A16033" s="8" t="inlineStr">
        <is>
          <t>2026-08-03</t>
        </is>
      </c>
      <c r="B16033" s="8" t="n">
        <v>18</v>
      </c>
      <c r="C16033" s="8" t="n">
        <v>1</v>
      </c>
      <c r="D16033" s="8" t="inlineStr">
        <is>
          <t>Disneyland Park</t>
        </is>
      </c>
      <c r="E16033" s="8" t="inlineStr">
        <is>
          <t>Frontierland Playground</t>
        </is>
      </c>
      <c r="F16033" s="8" t="inlineStr">
        <is>
          <t>STANDBY</t>
        </is>
      </c>
      <c r="G16033" s="8" t="n">
        <v>0</v>
      </c>
      <c r="H16033" s="8" t="inlineStr">
        <is>
          <t>CLOSED</t>
        </is>
      </c>
    </row>
    <row r="16034">
      <c r="A16034" s="8" t="inlineStr">
        <is>
          <t>2026-08-03</t>
        </is>
      </c>
      <c r="B16034" s="8" t="n">
        <v>18</v>
      </c>
      <c r="C16034" s="8" t="n">
        <v>1</v>
      </c>
      <c r="D16034" s="8" t="inlineStr">
        <is>
          <t>Disneyland Park</t>
        </is>
      </c>
      <c r="E16034" s="8" t="inlineStr">
        <is>
          <t>Phantom Manor</t>
        </is>
      </c>
      <c r="F16034" s="8" t="inlineStr">
        <is>
          <t>STANDBY</t>
        </is>
      </c>
      <c r="G16034" s="8" t="n">
        <v>15</v>
      </c>
      <c r="H16034" s="8" t="inlineStr">
        <is>
          <t>OPERATING</t>
        </is>
      </c>
    </row>
    <row r="16035">
      <c r="A16035" s="8" t="inlineStr">
        <is>
          <t>2026-08-03</t>
        </is>
      </c>
      <c r="B16035" s="8" t="n">
        <v>18</v>
      </c>
      <c r="C16035" s="8" t="n">
        <v>1</v>
      </c>
      <c r="D16035" s="8" t="inlineStr">
        <is>
          <t>Disneyland Park</t>
        </is>
      </c>
      <c r="E16035" s="8" t="inlineStr">
        <is>
          <t>River Rogue Keelboats</t>
        </is>
      </c>
      <c r="F16035" s="8" t="inlineStr">
        <is>
          <t>STANDBY</t>
        </is>
      </c>
      <c r="G16035" s="8" t="n">
        <v>0</v>
      </c>
      <c r="H16035" s="8" t="inlineStr">
        <is>
          <t>CLOSED</t>
        </is>
      </c>
    </row>
    <row r="16036">
      <c r="A16036" s="8" t="inlineStr">
        <is>
          <t>2026-08-03</t>
        </is>
      </c>
      <c r="B16036" s="8" t="n">
        <v>18</v>
      </c>
      <c r="C16036" s="8" t="n">
        <v>1</v>
      </c>
      <c r="D16036" s="8" t="inlineStr">
        <is>
          <t>Disneyland Park</t>
        </is>
      </c>
      <c r="E16036" s="8" t="inlineStr">
        <is>
          <t>Rustler Roundup Shootin' Gallery</t>
        </is>
      </c>
      <c r="F16036" s="8" t="inlineStr">
        <is>
          <t>STANDBY</t>
        </is>
      </c>
      <c r="G16036" s="8" t="n">
        <v>0</v>
      </c>
      <c r="H16036" s="8" t="inlineStr">
        <is>
          <t>OPERATING</t>
        </is>
      </c>
    </row>
    <row r="16037">
      <c r="A16037" s="8" t="inlineStr">
        <is>
          <t>2026-08-03</t>
        </is>
      </c>
      <c r="B16037" s="8" t="n">
        <v>18</v>
      </c>
      <c r="C16037" s="8" t="n">
        <v>1</v>
      </c>
      <c r="D16037" s="8" t="inlineStr">
        <is>
          <t>Disneyland Park</t>
        </is>
      </c>
      <c r="E16037" s="8" t="inlineStr">
        <is>
          <t>Thunder Mesa Riverboat Landing</t>
        </is>
      </c>
      <c r="F16037" s="8" t="inlineStr">
        <is>
          <t>STANDBY</t>
        </is>
      </c>
      <c r="G16037" s="8" t="n">
        <v>20</v>
      </c>
      <c r="H16037" s="8" t="inlineStr">
        <is>
          <t>OPERATING</t>
        </is>
      </c>
    </row>
    <row r="16038">
      <c r="A16038" s="8" t="inlineStr">
        <is>
          <t>2026-08-03</t>
        </is>
      </c>
      <c r="B16038" s="8" t="n">
        <v>18</v>
      </c>
      <c r="C16038" s="8" t="n">
        <v>1</v>
      </c>
      <c r="D16038" s="8" t="inlineStr">
        <is>
          <t>Disneyland Park</t>
        </is>
      </c>
      <c r="E16038" s="8" t="inlineStr">
        <is>
          <t>Disneyland Railroad Main Street Station</t>
        </is>
      </c>
      <c r="F16038" s="8" t="inlineStr">
        <is>
          <t>STANDBY</t>
        </is>
      </c>
      <c r="G16038" s="8" t="n">
        <v>0</v>
      </c>
      <c r="H16038" s="8" t="inlineStr">
        <is>
          <t>CLOSED</t>
        </is>
      </c>
    </row>
    <row r="16039">
      <c r="A16039" s="8" t="inlineStr">
        <is>
          <t>2026-08-03</t>
        </is>
      </c>
      <c r="B16039" s="8" t="n">
        <v>18</v>
      </c>
      <c r="C16039" s="8" t="n">
        <v>1</v>
      </c>
      <c r="D16039" s="8" t="inlineStr">
        <is>
          <t>Disneyland Park</t>
        </is>
      </c>
      <c r="E16039" s="8" t="inlineStr">
        <is>
          <t>Main Street Vehicles</t>
        </is>
      </c>
      <c r="F16039" s="8" t="inlineStr">
        <is>
          <t>STANDBY</t>
        </is>
      </c>
      <c r="G16039" s="8" t="n">
        <v>0</v>
      </c>
      <c r="H16039" s="8" t="inlineStr">
        <is>
          <t>CLOSED</t>
        </is>
      </c>
    </row>
    <row r="16040">
      <c r="A16040" s="8" t="inlineStr">
        <is>
          <t>2026-08-03</t>
        </is>
      </c>
      <c r="B16040" s="8" t="n">
        <v>18</v>
      </c>
      <c r="C16040" s="8" t="n">
        <v>1</v>
      </c>
      <c r="D16040" s="8" t="inlineStr">
        <is>
          <t>Disney Adventure World</t>
        </is>
      </c>
      <c r="E16040" s="8" t="inlineStr">
        <is>
          <t>Avengers Assemble: Flight Force</t>
        </is>
      </c>
      <c r="F16040" s="8" t="inlineStr">
        <is>
          <t>STANDBY</t>
        </is>
      </c>
      <c r="G16040" s="8" t="n">
        <v>30</v>
      </c>
      <c r="H16040" s="8" t="inlineStr">
        <is>
          <t>OPERATING</t>
        </is>
      </c>
    </row>
    <row r="16041">
      <c r="A16041" s="8" t="inlineStr">
        <is>
          <t>2026-08-03</t>
        </is>
      </c>
      <c r="B16041" s="8" t="n">
        <v>18</v>
      </c>
      <c r="C16041" s="8" t="n">
        <v>1</v>
      </c>
      <c r="D16041" s="8" t="inlineStr">
        <is>
          <t>Disney Adventure World</t>
        </is>
      </c>
      <c r="E16041" s="8" t="inlineStr">
        <is>
          <t>Avengers Assemble: Flight Force Single Rider</t>
        </is>
      </c>
      <c r="F16041" s="8" t="inlineStr">
        <is>
          <t>STANDBY</t>
        </is>
      </c>
      <c r="G16041" s="8" t="n">
        <v>20</v>
      </c>
      <c r="H16041" s="8" t="inlineStr">
        <is>
          <t>OPERATING</t>
        </is>
      </c>
    </row>
    <row r="16042">
      <c r="A16042" s="8" t="inlineStr">
        <is>
          <t>2026-08-03</t>
        </is>
      </c>
      <c r="B16042" s="8" t="n">
        <v>18</v>
      </c>
      <c r="C16042" s="8" t="n">
        <v>1</v>
      </c>
      <c r="D16042" s="8" t="inlineStr">
        <is>
          <t>Disney Adventure World</t>
        </is>
      </c>
      <c r="E16042" s="8" t="inlineStr">
        <is>
          <t>Spider-Man W.E.B. Adventure</t>
        </is>
      </c>
      <c r="F16042" s="8" t="inlineStr">
        <is>
          <t>STANDBY</t>
        </is>
      </c>
      <c r="G16042" s="8" t="n">
        <v>35</v>
      </c>
      <c r="H16042" s="8" t="inlineStr">
        <is>
          <t>OPERATING</t>
        </is>
      </c>
    </row>
    <row r="16043">
      <c r="A16043" s="8" t="inlineStr">
        <is>
          <t>2026-08-03</t>
        </is>
      </c>
      <c r="B16043" s="8" t="n">
        <v>18</v>
      </c>
      <c r="C16043" s="8" t="n">
        <v>1</v>
      </c>
      <c r="D16043" s="8" t="inlineStr">
        <is>
          <t>Disney Adventure World</t>
        </is>
      </c>
      <c r="E16043" s="8" t="inlineStr">
        <is>
          <t>Spider-Man W.E.B. Adventure Single Rider</t>
        </is>
      </c>
      <c r="F16043" s="8" t="inlineStr">
        <is>
          <t>STANDBY</t>
        </is>
      </c>
      <c r="G16043" s="8" t="n">
        <v>10</v>
      </c>
      <c r="H16043" s="8" t="inlineStr">
        <is>
          <t>OPERATING</t>
        </is>
      </c>
    </row>
    <row r="16044">
      <c r="A16044" s="8" t="inlineStr">
        <is>
          <t>2026-08-03</t>
        </is>
      </c>
      <c r="B16044" s="8" t="n">
        <v>18</v>
      </c>
      <c r="C16044" s="8" t="n">
        <v>1</v>
      </c>
      <c r="D16044" s="8" t="inlineStr">
        <is>
          <t>Disney Adventure World</t>
        </is>
      </c>
      <c r="E16044" s="8" t="inlineStr">
        <is>
          <t>The Twilight Zone Tower of Terror</t>
        </is>
      </c>
      <c r="F16044" s="8" t="inlineStr">
        <is>
          <t>STANDBY</t>
        </is>
      </c>
      <c r="G16044" s="8" t="n">
        <v>35</v>
      </c>
      <c r="H16044" s="8" t="inlineStr">
        <is>
          <t>OPERATING</t>
        </is>
      </c>
    </row>
    <row r="16045">
      <c r="A16045" s="8" t="inlineStr">
        <is>
          <t>2026-08-03</t>
        </is>
      </c>
      <c r="B16045" s="8" t="n">
        <v>18</v>
      </c>
      <c r="C16045" s="8" t="n">
        <v>1</v>
      </c>
      <c r="D16045" s="8" t="inlineStr">
        <is>
          <t>Disney Adventure World</t>
        </is>
      </c>
      <c r="E16045" s="8" t="inlineStr">
        <is>
          <t>Cars Quatre Roues Rallye</t>
        </is>
      </c>
      <c r="F16045" s="8" t="inlineStr">
        <is>
          <t>STANDBY</t>
        </is>
      </c>
      <c r="G16045" s="8" t="n">
        <v>5</v>
      </c>
      <c r="H16045" s="8" t="inlineStr">
        <is>
          <t>OPERATING</t>
        </is>
      </c>
    </row>
    <row r="16046">
      <c r="A16046" s="8" t="inlineStr">
        <is>
          <t>2026-08-03</t>
        </is>
      </c>
      <c r="B16046" s="8" t="n">
        <v>18</v>
      </c>
      <c r="C16046" s="8" t="n">
        <v>1</v>
      </c>
      <c r="D16046" s="8" t="inlineStr">
        <is>
          <t>Disney Adventure World</t>
        </is>
      </c>
      <c r="E16046" s="8" t="inlineStr">
        <is>
          <t>Cars ROAD TRIP</t>
        </is>
      </c>
      <c r="F16046" s="8" t="inlineStr">
        <is>
          <t>STANDBY</t>
        </is>
      </c>
      <c r="G16046" s="8" t="n">
        <v>10</v>
      </c>
      <c r="H16046" s="8" t="inlineStr">
        <is>
          <t>OPERATING</t>
        </is>
      </c>
    </row>
    <row r="16047">
      <c r="A16047" s="8" t="inlineStr">
        <is>
          <t>2026-08-03</t>
        </is>
      </c>
      <c r="B16047" s="8" t="n">
        <v>18</v>
      </c>
      <c r="C16047" s="8" t="n">
        <v>1</v>
      </c>
      <c r="D16047" s="8" t="inlineStr">
        <is>
          <t>Disney Adventure World</t>
        </is>
      </c>
      <c r="E16047" s="8" t="inlineStr">
        <is>
          <t>Crush's Coaster</t>
        </is>
      </c>
      <c r="F16047" s="8" t="inlineStr">
        <is>
          <t>STANDBY</t>
        </is>
      </c>
      <c r="G16047" s="8" t="n">
        <v>55</v>
      </c>
      <c r="H16047" s="8" t="inlineStr">
        <is>
          <t>OPERATING</t>
        </is>
      </c>
    </row>
    <row r="16048">
      <c r="A16048" s="8" t="inlineStr">
        <is>
          <t>2026-08-03</t>
        </is>
      </c>
      <c r="B16048" s="8" t="n">
        <v>18</v>
      </c>
      <c r="C16048" s="8" t="n">
        <v>1</v>
      </c>
      <c r="D16048" s="8" t="inlineStr">
        <is>
          <t>Disney Adventure World</t>
        </is>
      </c>
      <c r="E16048" s="8" t="inlineStr">
        <is>
          <t>Crush's Coaster Single Rider</t>
        </is>
      </c>
      <c r="F16048" s="8" t="inlineStr">
        <is>
          <t>STANDBY</t>
        </is>
      </c>
      <c r="G16048" s="8" t="n">
        <v>35</v>
      </c>
      <c r="H16048" s="8" t="inlineStr">
        <is>
          <t>OPERATING</t>
        </is>
      </c>
    </row>
    <row r="16049">
      <c r="A16049" s="8" t="inlineStr">
        <is>
          <t>2026-08-03</t>
        </is>
      </c>
      <c r="B16049" s="8" t="n">
        <v>18</v>
      </c>
      <c r="C16049" s="8" t="n">
        <v>1</v>
      </c>
      <c r="D16049" s="8" t="inlineStr">
        <is>
          <t>Disney Adventure World</t>
        </is>
      </c>
      <c r="E16049" s="8" t="inlineStr">
        <is>
          <t>Les Tapis Volants - Flying Carpets Over Agrabah®</t>
        </is>
      </c>
      <c r="F16049" s="8" t="inlineStr">
        <is>
          <t>STANDBY</t>
        </is>
      </c>
      <c r="G16049" s="8" t="n">
        <v>15</v>
      </c>
      <c r="H16049" s="8" t="inlineStr">
        <is>
          <t>OPERATING</t>
        </is>
      </c>
    </row>
    <row r="16050">
      <c r="A16050" s="8" t="inlineStr">
        <is>
          <t>2026-08-03</t>
        </is>
      </c>
      <c r="B16050" s="8" t="n">
        <v>18</v>
      </c>
      <c r="C16050" s="8" t="n">
        <v>1</v>
      </c>
      <c r="D16050" s="8" t="inlineStr">
        <is>
          <t>Disney Adventure World</t>
        </is>
      </c>
      <c r="E16050" s="8" t="inlineStr">
        <is>
          <t>Ratatouille : L’Aventure Totalement Toquée de Rémy​</t>
        </is>
      </c>
      <c r="F16050" s="8" t="inlineStr">
        <is>
          <t>STANDBY</t>
        </is>
      </c>
      <c r="G16050" s="8" t="n">
        <v>35</v>
      </c>
      <c r="H16050" s="8" t="inlineStr">
        <is>
          <t>OPERATING</t>
        </is>
      </c>
    </row>
    <row r="16051">
      <c r="A16051" s="8" t="inlineStr">
        <is>
          <t>2026-08-03</t>
        </is>
      </c>
      <c r="B16051" s="8" t="n">
        <v>18</v>
      </c>
      <c r="C16051" s="8" t="n">
        <v>1</v>
      </c>
      <c r="D16051" s="8" t="inlineStr">
        <is>
          <t>Disney Adventure World</t>
        </is>
      </c>
      <c r="E16051" s="8" t="inlineStr">
        <is>
          <t>Ratatouille: The Adventure Single Rider</t>
        </is>
      </c>
      <c r="F16051" s="8" t="inlineStr">
        <is>
          <t>STANDBY</t>
        </is>
      </c>
      <c r="G16051" s="8" t="n">
        <v>15</v>
      </c>
      <c r="H16051" s="8" t="inlineStr">
        <is>
          <t>OPERATING</t>
        </is>
      </c>
    </row>
    <row r="16052">
      <c r="A16052" s="8" t="inlineStr">
        <is>
          <t>2026-08-03</t>
        </is>
      </c>
      <c r="B16052" s="8" t="n">
        <v>18</v>
      </c>
      <c r="C16052" s="8" t="n">
        <v>1</v>
      </c>
      <c r="D16052" s="8" t="inlineStr">
        <is>
          <t>Disney Adventure World</t>
        </is>
      </c>
      <c r="E16052" s="8" t="inlineStr">
        <is>
          <t>RC Racer</t>
        </is>
      </c>
      <c r="F16052" s="8" t="inlineStr">
        <is>
          <t>STANDBY</t>
        </is>
      </c>
      <c r="G16052" s="8" t="n">
        <v>30</v>
      </c>
      <c r="H16052" s="8" t="inlineStr">
        <is>
          <t>OPERATING</t>
        </is>
      </c>
    </row>
    <row r="16053">
      <c r="A16053" s="8" t="inlineStr">
        <is>
          <t>2026-08-03</t>
        </is>
      </c>
      <c r="B16053" s="8" t="n">
        <v>18</v>
      </c>
      <c r="C16053" s="8" t="n">
        <v>1</v>
      </c>
      <c r="D16053" s="8" t="inlineStr">
        <is>
          <t>Disney Adventure World</t>
        </is>
      </c>
      <c r="E16053" s="8" t="inlineStr">
        <is>
          <t>RC Racer Single Rider</t>
        </is>
      </c>
      <c r="F16053" s="8" t="inlineStr">
        <is>
          <t>STANDBY</t>
        </is>
      </c>
      <c r="G16053" s="8" t="n">
        <v>25</v>
      </c>
      <c r="H16053" s="8" t="inlineStr">
        <is>
          <t>OPERATING</t>
        </is>
      </c>
    </row>
    <row r="16054">
      <c r="A16054" s="8" t="inlineStr">
        <is>
          <t>2026-08-03</t>
        </is>
      </c>
      <c r="B16054" s="8" t="n">
        <v>18</v>
      </c>
      <c r="C16054" s="8" t="n">
        <v>1</v>
      </c>
      <c r="D16054" s="8" t="inlineStr">
        <is>
          <t>Disney Adventure World</t>
        </is>
      </c>
      <c r="E16054" s="8" t="inlineStr">
        <is>
          <t>Slinky® Dog Zigzag Spin</t>
        </is>
      </c>
      <c r="F16054" s="8" t="inlineStr">
        <is>
          <t>STANDBY</t>
        </is>
      </c>
      <c r="G16054" s="8" t="n">
        <v>10</v>
      </c>
      <c r="H16054" s="8" t="inlineStr">
        <is>
          <t>OPERATING</t>
        </is>
      </c>
    </row>
    <row r="16055">
      <c r="A16055" s="8" t="inlineStr">
        <is>
          <t>2026-08-03</t>
        </is>
      </c>
      <c r="B16055" s="8" t="n">
        <v>18</v>
      </c>
      <c r="C16055" s="8" t="n">
        <v>1</v>
      </c>
      <c r="D16055" s="8" t="inlineStr">
        <is>
          <t>Disney Adventure World</t>
        </is>
      </c>
      <c r="E16055" s="8" t="inlineStr">
        <is>
          <t>Toy Soldiers Parachute Drop</t>
        </is>
      </c>
      <c r="F16055" s="8" t="inlineStr">
        <is>
          <t>STANDBY</t>
        </is>
      </c>
      <c r="G16055" s="8" t="n">
        <v>30</v>
      </c>
      <c r="H16055" s="8" t="inlineStr">
        <is>
          <t>OPERATING</t>
        </is>
      </c>
    </row>
    <row r="16056">
      <c r="A16056" s="8" t="inlineStr">
        <is>
          <t>2026-08-03</t>
        </is>
      </c>
      <c r="B16056" s="8" t="n">
        <v>18</v>
      </c>
      <c r="C16056" s="8" t="n">
        <v>1</v>
      </c>
      <c r="D16056" s="8" t="inlineStr">
        <is>
          <t>Disney Adventure World</t>
        </is>
      </c>
      <c r="E16056" s="8" t="inlineStr">
        <is>
          <t>Toy Soldiers Parachute Drop Single Rider</t>
        </is>
      </c>
      <c r="F16056" s="8" t="inlineStr">
        <is>
          <t>STANDBY</t>
        </is>
      </c>
      <c r="G16056" s="8" t="n">
        <v>10</v>
      </c>
      <c r="H16056" s="8" t="inlineStr">
        <is>
          <t>OPERATING</t>
        </is>
      </c>
    </row>
    <row r="16057">
      <c r="A16057" s="8" t="inlineStr">
        <is>
          <t>2026-08-03</t>
        </is>
      </c>
      <c r="B16057" s="8" t="n">
        <v>18</v>
      </c>
      <c r="C16057" s="8" t="n">
        <v>1</v>
      </c>
      <c r="D16057" s="8" t="inlineStr">
        <is>
          <t>Disney Adventure World</t>
        </is>
      </c>
      <c r="E16057" s="8" t="inlineStr">
        <is>
          <t>Entry to World of Frozen</t>
        </is>
      </c>
      <c r="F16057" s="8" t="inlineStr">
        <is>
          <t>STANDBY</t>
        </is>
      </c>
      <c r="G16057" s="8" t="n">
        <v>0</v>
      </c>
      <c r="H16057" s="8" t="inlineStr">
        <is>
          <t>OPERATING</t>
        </is>
      </c>
    </row>
    <row r="16058">
      <c r="A16058" s="8" t="inlineStr">
        <is>
          <t>2026-08-03</t>
        </is>
      </c>
      <c r="B16058" s="8" t="n">
        <v>18</v>
      </c>
      <c r="C16058" s="8" t="n">
        <v>1</v>
      </c>
      <c r="D16058" s="8" t="inlineStr">
        <is>
          <t>Disney Adventure World</t>
        </is>
      </c>
      <c r="E16058" s="8" t="inlineStr">
        <is>
          <t>Frozen Ever After</t>
        </is>
      </c>
      <c r="F16058" s="8" t="inlineStr">
        <is>
          <t>STANDBY</t>
        </is>
      </c>
      <c r="G16058" s="8" t="n">
        <v>45</v>
      </c>
      <c r="H16058" s="8" t="inlineStr">
        <is>
          <t>OPERATING</t>
        </is>
      </c>
    </row>
    <row r="16059">
      <c r="A16059" s="8" t="inlineStr">
        <is>
          <t>2026-08-03</t>
        </is>
      </c>
      <c r="B16059" s="8" t="n">
        <v>18</v>
      </c>
      <c r="C16059" s="8" t="n">
        <v>1</v>
      </c>
      <c r="D16059" s="8" t="inlineStr">
        <is>
          <t>Disney Adventure World</t>
        </is>
      </c>
      <c r="E16059" s="8" t="inlineStr">
        <is>
          <t>Raiponce Tangled Spin</t>
        </is>
      </c>
      <c r="F16059" s="8" t="inlineStr">
        <is>
          <t>STANDBY</t>
        </is>
      </c>
      <c r="G16059" s="8" t="n">
        <v>5</v>
      </c>
      <c r="H16059" s="8" t="inlineStr">
        <is>
          <t>OPERATING</t>
        </is>
      </c>
    </row>
    <row r="16060">
      <c r="A16060" s="8" t="inlineStr">
        <is>
          <t>2026-08-03</t>
        </is>
      </c>
      <c r="B16060" s="8" t="n">
        <v>18</v>
      </c>
      <c r="C16060" s="8" t="n">
        <v>15</v>
      </c>
      <c r="D16060" s="8" t="inlineStr">
        <is>
          <t>Disneyland Park</t>
        </is>
      </c>
      <c r="E16060" s="8" t="inlineStr">
        <is>
          <t>Adventure Isle</t>
        </is>
      </c>
      <c r="F16060" s="8" t="inlineStr">
        <is>
          <t>STANDBY</t>
        </is>
      </c>
      <c r="G16060" s="8" t="n">
        <v>0</v>
      </c>
      <c r="H16060" s="8" t="inlineStr">
        <is>
          <t>OPERATING</t>
        </is>
      </c>
    </row>
    <row r="16061">
      <c r="A16061" s="8" t="inlineStr">
        <is>
          <t>2026-08-03</t>
        </is>
      </c>
      <c r="B16061" s="8" t="n">
        <v>18</v>
      </c>
      <c r="C16061" s="8" t="n">
        <v>15</v>
      </c>
      <c r="D16061" s="8" t="inlineStr">
        <is>
          <t>Disneyland Park</t>
        </is>
      </c>
      <c r="E16061" s="8" t="inlineStr">
        <is>
          <t>Indiana Jones and the Temple of Peril Single Rider</t>
        </is>
      </c>
      <c r="F16061" s="8" t="inlineStr">
        <is>
          <t>STANDBY</t>
        </is>
      </c>
      <c r="G16061" s="8" t="n">
        <v>10</v>
      </c>
      <c r="H16061" s="8" t="inlineStr">
        <is>
          <t>OPERATING</t>
        </is>
      </c>
    </row>
    <row r="16062">
      <c r="A16062" s="8" t="inlineStr">
        <is>
          <t>2026-08-03</t>
        </is>
      </c>
      <c r="B16062" s="8" t="n">
        <v>18</v>
      </c>
      <c r="C16062" s="8" t="n">
        <v>15</v>
      </c>
      <c r="D16062" s="8" t="inlineStr">
        <is>
          <t>Disneyland Park</t>
        </is>
      </c>
      <c r="E16062" s="8" t="inlineStr">
        <is>
          <t>Indiana Jones™ and the Temple of Peril</t>
        </is>
      </c>
      <c r="F16062" s="8" t="inlineStr">
        <is>
          <t>STANDBY</t>
        </is>
      </c>
      <c r="G16062" s="8" t="n">
        <v>20</v>
      </c>
      <c r="H16062" s="8" t="inlineStr">
        <is>
          <t>OPERATING</t>
        </is>
      </c>
    </row>
    <row r="16063">
      <c r="A16063" s="8" t="inlineStr">
        <is>
          <t>2026-08-03</t>
        </is>
      </c>
      <c r="B16063" s="8" t="n">
        <v>18</v>
      </c>
      <c r="C16063" s="8" t="n">
        <v>15</v>
      </c>
      <c r="D16063" s="8" t="inlineStr">
        <is>
          <t>Disneyland Park</t>
        </is>
      </c>
      <c r="E16063" s="8" t="inlineStr">
        <is>
          <t>La Cabane des Robinson</t>
        </is>
      </c>
      <c r="F16063" s="8" t="inlineStr">
        <is>
          <t>STANDBY</t>
        </is>
      </c>
      <c r="G16063" s="8" t="n">
        <v>5</v>
      </c>
      <c r="H16063" s="8" t="inlineStr">
        <is>
          <t>OPERATING</t>
        </is>
      </c>
    </row>
    <row r="16064">
      <c r="A16064" s="8" t="inlineStr">
        <is>
          <t>2026-08-03</t>
        </is>
      </c>
      <c r="B16064" s="8" t="n">
        <v>18</v>
      </c>
      <c r="C16064" s="8" t="n">
        <v>15</v>
      </c>
      <c r="D16064" s="8" t="inlineStr">
        <is>
          <t>Disneyland Park</t>
        </is>
      </c>
      <c r="E16064" s="8" t="inlineStr">
        <is>
          <t>Le Passage Enchanté d'Aladdin</t>
        </is>
      </c>
      <c r="F16064" s="8" t="inlineStr">
        <is>
          <t>STANDBY</t>
        </is>
      </c>
      <c r="G16064" s="8" t="n">
        <v>0</v>
      </c>
      <c r="H16064" s="8" t="inlineStr">
        <is>
          <t>OPERATING</t>
        </is>
      </c>
    </row>
    <row r="16065">
      <c r="A16065" s="8" t="inlineStr">
        <is>
          <t>2026-08-03</t>
        </is>
      </c>
      <c r="B16065" s="8" t="n">
        <v>18</v>
      </c>
      <c r="C16065" s="8" t="n">
        <v>15</v>
      </c>
      <c r="D16065" s="8" t="inlineStr">
        <is>
          <t>Disneyland Park</t>
        </is>
      </c>
      <c r="E16065" s="8" t="inlineStr">
        <is>
          <t>Pirate Galleon</t>
        </is>
      </c>
      <c r="F16065" s="8" t="inlineStr">
        <is>
          <t>STANDBY</t>
        </is>
      </c>
      <c r="G16065" s="8" t="n">
        <v>0</v>
      </c>
      <c r="H16065" s="8" t="inlineStr">
        <is>
          <t>CLOSED</t>
        </is>
      </c>
    </row>
    <row r="16066">
      <c r="A16066" s="8" t="inlineStr">
        <is>
          <t>2026-08-03</t>
        </is>
      </c>
      <c r="B16066" s="8" t="n">
        <v>18</v>
      </c>
      <c r="C16066" s="8" t="n">
        <v>15</v>
      </c>
      <c r="D16066" s="8" t="inlineStr">
        <is>
          <t>Disneyland Park</t>
        </is>
      </c>
      <c r="E16066" s="8" t="inlineStr">
        <is>
          <t>Pirates of the Caribbean</t>
        </is>
      </c>
      <c r="F16066" s="8" t="inlineStr">
        <is>
          <t>STANDBY</t>
        </is>
      </c>
      <c r="G16066" s="8" t="n">
        <v>15</v>
      </c>
      <c r="H16066" s="8" t="inlineStr">
        <is>
          <t>OPERATING</t>
        </is>
      </c>
    </row>
    <row r="16067">
      <c r="A16067" s="8" t="inlineStr">
        <is>
          <t>2026-08-03</t>
        </is>
      </c>
      <c r="B16067" s="8" t="n">
        <v>18</v>
      </c>
      <c r="C16067" s="8" t="n">
        <v>15</v>
      </c>
      <c r="D16067" s="8" t="inlineStr">
        <is>
          <t>Disneyland Park</t>
        </is>
      </c>
      <c r="E16067" s="8" t="inlineStr">
        <is>
          <t>Pirates' Beach</t>
        </is>
      </c>
      <c r="F16067" s="8" t="inlineStr">
        <is>
          <t>STANDBY</t>
        </is>
      </c>
      <c r="G16067" s="8" t="n">
        <v>0</v>
      </c>
      <c r="H16067" s="8" t="inlineStr">
        <is>
          <t>OPERATING</t>
        </is>
      </c>
    </row>
    <row r="16068">
      <c r="A16068" s="8" t="inlineStr">
        <is>
          <t>2026-08-03</t>
        </is>
      </c>
      <c r="B16068" s="8" t="n">
        <v>18</v>
      </c>
      <c r="C16068" s="8" t="n">
        <v>15</v>
      </c>
      <c r="D16068" s="8" t="inlineStr">
        <is>
          <t>Disneyland Park</t>
        </is>
      </c>
      <c r="E16068" s="8" t="inlineStr">
        <is>
          <t>Autopia, presented by Avis</t>
        </is>
      </c>
      <c r="F16068" s="8" t="inlineStr">
        <is>
          <t>STANDBY</t>
        </is>
      </c>
      <c r="G16068" s="8" t="n">
        <v>0</v>
      </c>
      <c r="H16068" s="8" t="inlineStr">
        <is>
          <t>CLOSED</t>
        </is>
      </c>
    </row>
    <row r="16069">
      <c r="A16069" s="8" t="inlineStr">
        <is>
          <t>2026-08-03</t>
        </is>
      </c>
      <c r="B16069" s="8" t="n">
        <v>18</v>
      </c>
      <c r="C16069" s="8" t="n">
        <v>15</v>
      </c>
      <c r="D16069" s="8" t="inlineStr">
        <is>
          <t>Disneyland Park</t>
        </is>
      </c>
      <c r="E16069" s="8" t="inlineStr">
        <is>
          <t>Buzz Lightyear Laser Blast</t>
        </is>
      </c>
      <c r="F16069" s="8" t="inlineStr">
        <is>
          <t>STANDBY</t>
        </is>
      </c>
      <c r="G16069" s="8" t="n">
        <v>35</v>
      </c>
      <c r="H16069" s="8" t="inlineStr">
        <is>
          <t>OPERATING</t>
        </is>
      </c>
    </row>
    <row r="16070">
      <c r="A16070" s="8" t="inlineStr">
        <is>
          <t>2026-08-03</t>
        </is>
      </c>
      <c r="B16070" s="8" t="n">
        <v>18</v>
      </c>
      <c r="C16070" s="8" t="n">
        <v>15</v>
      </c>
      <c r="D16070" s="8" t="inlineStr">
        <is>
          <t>Disneyland Park</t>
        </is>
      </c>
      <c r="E16070" s="8" t="inlineStr">
        <is>
          <t>Disneyland Railroad Discoveryland Station</t>
        </is>
      </c>
      <c r="F16070" s="8" t="inlineStr">
        <is>
          <t>STANDBY</t>
        </is>
      </c>
      <c r="G16070" s="8" t="n">
        <v>0</v>
      </c>
      <c r="H16070" s="8" t="inlineStr">
        <is>
          <t>CLOSED</t>
        </is>
      </c>
    </row>
    <row r="16071">
      <c r="A16071" s="8" t="inlineStr">
        <is>
          <t>2026-08-03</t>
        </is>
      </c>
      <c r="B16071" s="8" t="n">
        <v>18</v>
      </c>
      <c r="C16071" s="8" t="n">
        <v>15</v>
      </c>
      <c r="D16071" s="8" t="inlineStr">
        <is>
          <t>Disneyland Park</t>
        </is>
      </c>
      <c r="E16071" s="8" t="inlineStr">
        <is>
          <t>Les Mystères du Nautilus</t>
        </is>
      </c>
      <c r="F16071" s="8" t="inlineStr">
        <is>
          <t>STANDBY</t>
        </is>
      </c>
      <c r="G16071" s="8" t="n">
        <v>5</v>
      </c>
      <c r="H16071" s="8" t="inlineStr">
        <is>
          <t>OPERATING</t>
        </is>
      </c>
    </row>
    <row r="16072">
      <c r="A16072" s="8" t="inlineStr">
        <is>
          <t>2026-08-03</t>
        </is>
      </c>
      <c r="B16072" s="8" t="n">
        <v>18</v>
      </c>
      <c r="C16072" s="8" t="n">
        <v>15</v>
      </c>
      <c r="D16072" s="8" t="inlineStr">
        <is>
          <t>Disneyland Park</t>
        </is>
      </c>
      <c r="E16072" s="8" t="inlineStr">
        <is>
          <t>Mickey’s PhilharMagic</t>
        </is>
      </c>
      <c r="F16072" s="8" t="inlineStr">
        <is>
          <t>STANDBY</t>
        </is>
      </c>
      <c r="G16072" s="8" t="n">
        <v>0</v>
      </c>
      <c r="H16072" s="8" t="inlineStr">
        <is>
          <t>CLOSED</t>
        </is>
      </c>
    </row>
    <row r="16073">
      <c r="A16073" s="8" t="inlineStr">
        <is>
          <t>2026-08-03</t>
        </is>
      </c>
      <c r="B16073" s="8" t="n">
        <v>18</v>
      </c>
      <c r="C16073" s="8" t="n">
        <v>15</v>
      </c>
      <c r="D16073" s="8" t="inlineStr">
        <is>
          <t>Disneyland Park</t>
        </is>
      </c>
      <c r="E16073" s="8" t="inlineStr">
        <is>
          <t>Orbitron®</t>
        </is>
      </c>
      <c r="F16073" s="8" t="inlineStr">
        <is>
          <t>STANDBY</t>
        </is>
      </c>
      <c r="G16073" s="8" t="n">
        <v>0</v>
      </c>
      <c r="H16073" s="8" t="inlineStr">
        <is>
          <t>CLOSED</t>
        </is>
      </c>
    </row>
    <row r="16074">
      <c r="A16074" s="8" t="inlineStr">
        <is>
          <t>2026-08-03</t>
        </is>
      </c>
      <c r="B16074" s="8" t="n">
        <v>18</v>
      </c>
      <c r="C16074" s="8" t="n">
        <v>15</v>
      </c>
      <c r="D16074" s="8" t="inlineStr">
        <is>
          <t>Disneyland Park</t>
        </is>
      </c>
      <c r="E16074" s="8" t="inlineStr">
        <is>
          <t>Star Tours: The Adventures Continue*</t>
        </is>
      </c>
      <c r="F16074" s="8" t="inlineStr">
        <is>
          <t>STANDBY</t>
        </is>
      </c>
      <c r="G16074" s="8" t="n">
        <v>10</v>
      </c>
      <c r="H16074" s="8" t="inlineStr">
        <is>
          <t>OPERATING</t>
        </is>
      </c>
    </row>
    <row r="16075">
      <c r="A16075" s="8" t="inlineStr">
        <is>
          <t>2026-08-03</t>
        </is>
      </c>
      <c r="B16075" s="8" t="n">
        <v>18</v>
      </c>
      <c r="C16075" s="8" t="n">
        <v>15</v>
      </c>
      <c r="D16075" s="8" t="inlineStr">
        <is>
          <t>Disneyland Park</t>
        </is>
      </c>
      <c r="E16075" s="8" t="inlineStr">
        <is>
          <t>Star Wars Hyperspace Mountain</t>
        </is>
      </c>
      <c r="F16075" s="8" t="inlineStr">
        <is>
          <t>STANDBY</t>
        </is>
      </c>
      <c r="G16075" s="8" t="n">
        <v>30</v>
      </c>
      <c r="H16075" s="8" t="inlineStr">
        <is>
          <t>OPERATING</t>
        </is>
      </c>
    </row>
    <row r="16076">
      <c r="A16076" s="8" t="inlineStr">
        <is>
          <t>2026-08-03</t>
        </is>
      </c>
      <c r="B16076" s="8" t="n">
        <v>18</v>
      </c>
      <c r="C16076" s="8" t="n">
        <v>15</v>
      </c>
      <c r="D16076" s="8" t="inlineStr">
        <is>
          <t>Disneyland Park</t>
        </is>
      </c>
      <c r="E16076" s="8" t="inlineStr">
        <is>
          <t>Star Wars Hyperspace Mountain Single Rider</t>
        </is>
      </c>
      <c r="F16076" s="8" t="inlineStr">
        <is>
          <t>STANDBY</t>
        </is>
      </c>
      <c r="G16076" s="8" t="n">
        <v>25</v>
      </c>
      <c r="H16076" s="8" t="inlineStr">
        <is>
          <t>OPERATING</t>
        </is>
      </c>
    </row>
    <row r="16077">
      <c r="A16077" s="8" t="inlineStr">
        <is>
          <t>2026-08-03</t>
        </is>
      </c>
      <c r="B16077" s="8" t="n">
        <v>18</v>
      </c>
      <c r="C16077" s="8" t="n">
        <v>15</v>
      </c>
      <c r="D16077" s="8" t="inlineStr">
        <is>
          <t>Disneyland Park</t>
        </is>
      </c>
      <c r="E16077" s="8" t="inlineStr">
        <is>
          <t>Welcome to Starport: A Star Wars Encounter</t>
        </is>
      </c>
      <c r="F16077" s="8" t="inlineStr">
        <is>
          <t>STANDBY</t>
        </is>
      </c>
      <c r="G16077" s="8" t="n">
        <v>0</v>
      </c>
      <c r="H16077" s="8" t="inlineStr">
        <is>
          <t>CLOSED</t>
        </is>
      </c>
    </row>
    <row r="16078">
      <c r="A16078" s="8" t="inlineStr">
        <is>
          <t>2026-08-03</t>
        </is>
      </c>
      <c r="B16078" s="8" t="n">
        <v>18</v>
      </c>
      <c r="C16078" s="8" t="n">
        <v>15</v>
      </c>
      <c r="D16078" s="8" t="inlineStr">
        <is>
          <t>Disneyland Park</t>
        </is>
      </c>
      <c r="E16078" s="8" t="inlineStr">
        <is>
          <t>"it's a small world"</t>
        </is>
      </c>
      <c r="F16078" s="8" t="inlineStr">
        <is>
          <t>STANDBY</t>
        </is>
      </c>
      <c r="G16078" s="8" t="n">
        <v>5</v>
      </c>
      <c r="H16078" s="8" t="inlineStr">
        <is>
          <t>OPERATING</t>
        </is>
      </c>
    </row>
    <row r="16079">
      <c r="A16079" s="8" t="inlineStr">
        <is>
          <t>2026-08-03</t>
        </is>
      </c>
      <c r="B16079" s="8" t="n">
        <v>18</v>
      </c>
      <c r="C16079" s="8" t="n">
        <v>15</v>
      </c>
      <c r="D16079" s="8" t="inlineStr">
        <is>
          <t>Disneyland Park</t>
        </is>
      </c>
      <c r="E16079" s="8" t="inlineStr">
        <is>
          <t>Alice's Curious Labyrinth</t>
        </is>
      </c>
      <c r="F16079" s="8" t="inlineStr">
        <is>
          <t>STANDBY</t>
        </is>
      </c>
      <c r="G16079" s="8" t="n">
        <v>5</v>
      </c>
      <c r="H16079" s="8" t="inlineStr">
        <is>
          <t>OPERATING</t>
        </is>
      </c>
    </row>
    <row r="16080">
      <c r="A16080" s="8" t="inlineStr">
        <is>
          <t>2026-08-03</t>
        </is>
      </c>
      <c r="B16080" s="8" t="n">
        <v>18</v>
      </c>
      <c r="C16080" s="8" t="n">
        <v>15</v>
      </c>
      <c r="D16080" s="8" t="inlineStr">
        <is>
          <t>Disneyland Park</t>
        </is>
      </c>
      <c r="E16080" s="8" t="inlineStr">
        <is>
          <t>Blanche-Neige et les Sept Nains®</t>
        </is>
      </c>
      <c r="F16080" s="8" t="inlineStr">
        <is>
          <t>STANDBY</t>
        </is>
      </c>
      <c r="G16080" s="8" t="n">
        <v>15</v>
      </c>
      <c r="H16080" s="8" t="inlineStr">
        <is>
          <t>OPERATING</t>
        </is>
      </c>
    </row>
    <row r="16081">
      <c r="A16081" s="8" t="inlineStr">
        <is>
          <t>2026-08-03</t>
        </is>
      </c>
      <c r="B16081" s="8" t="n">
        <v>18</v>
      </c>
      <c r="C16081" s="8" t="n">
        <v>15</v>
      </c>
      <c r="D16081" s="8" t="inlineStr">
        <is>
          <t>Disneyland Park</t>
        </is>
      </c>
      <c r="E16081" s="8" t="inlineStr">
        <is>
          <t>Casey Jr. – le Petit Train du Cirque</t>
        </is>
      </c>
      <c r="F16081" s="8" t="inlineStr">
        <is>
          <t>STANDBY</t>
        </is>
      </c>
      <c r="G16081" s="8" t="n">
        <v>5</v>
      </c>
      <c r="H16081" s="8" t="inlineStr">
        <is>
          <t>OPERATING</t>
        </is>
      </c>
    </row>
    <row r="16082">
      <c r="A16082" s="8" t="inlineStr">
        <is>
          <t>2026-08-03</t>
        </is>
      </c>
      <c r="B16082" s="8" t="n">
        <v>18</v>
      </c>
      <c r="C16082" s="8" t="n">
        <v>15</v>
      </c>
      <c r="D16082" s="8" t="inlineStr">
        <is>
          <t>Disneyland Park</t>
        </is>
      </c>
      <c r="E16082" s="8" t="inlineStr">
        <is>
          <t>Disneyland Railroad Fantasyland Station</t>
        </is>
      </c>
      <c r="F16082" s="8" t="inlineStr">
        <is>
          <t>STANDBY</t>
        </is>
      </c>
      <c r="G16082" s="8" t="n">
        <v>0</v>
      </c>
      <c r="H16082" s="8" t="inlineStr">
        <is>
          <t>CLOSED</t>
        </is>
      </c>
    </row>
    <row r="16083">
      <c r="A16083" s="8" t="inlineStr">
        <is>
          <t>2026-08-03</t>
        </is>
      </c>
      <c r="B16083" s="8" t="n">
        <v>18</v>
      </c>
      <c r="C16083" s="8" t="n">
        <v>15</v>
      </c>
      <c r="D16083" s="8" t="inlineStr">
        <is>
          <t>Disneyland Park</t>
        </is>
      </c>
      <c r="E16083" s="8" t="inlineStr">
        <is>
          <t>Disneyland Railroad Main Street Station</t>
        </is>
      </c>
      <c r="F16083" s="8" t="inlineStr">
        <is>
          <t>STANDBY</t>
        </is>
      </c>
      <c r="G16083" s="8" t="n">
        <v>0</v>
      </c>
      <c r="H16083" s="8" t="inlineStr">
        <is>
          <t>CLOSED</t>
        </is>
      </c>
    </row>
    <row r="16084">
      <c r="A16084" s="8" t="inlineStr">
        <is>
          <t>2026-08-03</t>
        </is>
      </c>
      <c r="B16084" s="8" t="n">
        <v>18</v>
      </c>
      <c r="C16084" s="8" t="n">
        <v>15</v>
      </c>
      <c r="D16084" s="8" t="inlineStr">
        <is>
          <t>Disneyland Park</t>
        </is>
      </c>
      <c r="E16084" s="8" t="inlineStr">
        <is>
          <t>Dumbo the Flying Elephant</t>
        </is>
      </c>
      <c r="F16084" s="8" t="inlineStr">
        <is>
          <t>STANDBY</t>
        </is>
      </c>
      <c r="G16084" s="8" t="n">
        <v>0</v>
      </c>
      <c r="H16084" s="8" t="inlineStr">
        <is>
          <t>CLOSED</t>
        </is>
      </c>
    </row>
    <row r="16085">
      <c r="A16085" s="8" t="inlineStr">
        <is>
          <t>2026-08-03</t>
        </is>
      </c>
      <c r="B16085" s="8" t="n">
        <v>18</v>
      </c>
      <c r="C16085" s="8" t="n">
        <v>15</v>
      </c>
      <c r="D16085" s="8" t="inlineStr">
        <is>
          <t>Disneyland Park</t>
        </is>
      </c>
      <c r="E16085" s="8" t="inlineStr">
        <is>
          <t>La Tanière du Dragon</t>
        </is>
      </c>
      <c r="F16085" s="8" t="inlineStr">
        <is>
          <t>STANDBY</t>
        </is>
      </c>
      <c r="G16085" s="8" t="n">
        <v>0</v>
      </c>
      <c r="H16085" s="8" t="inlineStr">
        <is>
          <t>OPERATING</t>
        </is>
      </c>
    </row>
    <row r="16086">
      <c r="A16086" s="8" t="inlineStr">
        <is>
          <t>2026-08-03</t>
        </is>
      </c>
      <c r="B16086" s="8" t="n">
        <v>18</v>
      </c>
      <c r="C16086" s="8" t="n">
        <v>15</v>
      </c>
      <c r="D16086" s="8" t="inlineStr">
        <is>
          <t>Disneyland Park</t>
        </is>
      </c>
      <c r="E16086" s="8" t="inlineStr">
        <is>
          <t>Le Carrousel de Lancelot</t>
        </is>
      </c>
      <c r="F16086" s="8" t="inlineStr">
        <is>
          <t>STANDBY</t>
        </is>
      </c>
      <c r="G16086" s="8" t="n">
        <v>10</v>
      </c>
      <c r="H16086" s="8" t="inlineStr">
        <is>
          <t>OPERATING</t>
        </is>
      </c>
    </row>
    <row r="16087">
      <c r="A16087" s="8" t="inlineStr">
        <is>
          <t>2026-08-03</t>
        </is>
      </c>
      <c r="B16087" s="8" t="n">
        <v>18</v>
      </c>
      <c r="C16087" s="8" t="n">
        <v>15</v>
      </c>
      <c r="D16087" s="8" t="inlineStr">
        <is>
          <t>Disneyland Park</t>
        </is>
      </c>
      <c r="E16087" s="8" t="inlineStr">
        <is>
          <t>Le Pays des Contes de Fées, presented by Vittel</t>
        </is>
      </c>
      <c r="F16087" s="8" t="inlineStr">
        <is>
          <t>STANDBY</t>
        </is>
      </c>
      <c r="G16087" s="8" t="n">
        <v>5</v>
      </c>
      <c r="H16087" s="8" t="inlineStr">
        <is>
          <t>OPERATING</t>
        </is>
      </c>
    </row>
    <row r="16088">
      <c r="A16088" s="8" t="inlineStr">
        <is>
          <t>2026-08-03</t>
        </is>
      </c>
      <c r="B16088" s="8" t="n">
        <v>18</v>
      </c>
      <c r="C16088" s="8" t="n">
        <v>15</v>
      </c>
      <c r="D16088" s="8" t="inlineStr">
        <is>
          <t>Disneyland Park</t>
        </is>
      </c>
      <c r="E16088" s="8" t="inlineStr">
        <is>
          <t>Les Voyages de Pinocchio</t>
        </is>
      </c>
      <c r="F16088" s="8" t="inlineStr">
        <is>
          <t>STANDBY</t>
        </is>
      </c>
      <c r="G16088" s="8" t="n">
        <v>25</v>
      </c>
      <c r="H16088" s="8" t="inlineStr">
        <is>
          <t>OPERATING</t>
        </is>
      </c>
    </row>
    <row r="16089">
      <c r="A16089" s="8" t="inlineStr">
        <is>
          <t>2026-08-03</t>
        </is>
      </c>
      <c r="B16089" s="8" t="n">
        <v>18</v>
      </c>
      <c r="C16089" s="8" t="n">
        <v>15</v>
      </c>
      <c r="D16089" s="8" t="inlineStr">
        <is>
          <t>Disneyland Park</t>
        </is>
      </c>
      <c r="E16089" s="8" t="inlineStr">
        <is>
          <t>Mad Hatter's Tea Cups</t>
        </is>
      </c>
      <c r="F16089" s="8" t="inlineStr">
        <is>
          <t>STANDBY</t>
        </is>
      </c>
      <c r="G16089" s="8" t="n">
        <v>5</v>
      </c>
      <c r="H16089" s="8" t="inlineStr">
        <is>
          <t>OPERATING</t>
        </is>
      </c>
    </row>
    <row r="16090">
      <c r="A16090" s="8" t="inlineStr">
        <is>
          <t>2026-08-03</t>
        </is>
      </c>
      <c r="B16090" s="8" t="n">
        <v>18</v>
      </c>
      <c r="C16090" s="8" t="n">
        <v>15</v>
      </c>
      <c r="D16090" s="8" t="inlineStr">
        <is>
          <t>Disneyland Park</t>
        </is>
      </c>
      <c r="E16090" s="8" t="inlineStr">
        <is>
          <t>Meet Mickey Mouse</t>
        </is>
      </c>
      <c r="F16090" s="8" t="inlineStr">
        <is>
          <t>STANDBY</t>
        </is>
      </c>
      <c r="G16090" s="8" t="n">
        <v>0</v>
      </c>
      <c r="H16090" s="8" t="inlineStr">
        <is>
          <t>CLOSED</t>
        </is>
      </c>
    </row>
    <row r="16091">
      <c r="A16091" s="8" t="inlineStr">
        <is>
          <t>2026-08-03</t>
        </is>
      </c>
      <c r="B16091" s="8" t="n">
        <v>18</v>
      </c>
      <c r="C16091" s="8" t="n">
        <v>15</v>
      </c>
      <c r="D16091" s="8" t="inlineStr">
        <is>
          <t>Disneyland Park</t>
        </is>
      </c>
      <c r="E16091" s="8" t="inlineStr">
        <is>
          <t>Peter Pan's Flight</t>
        </is>
      </c>
      <c r="F16091" s="8" t="inlineStr">
        <is>
          <t>STANDBY</t>
        </is>
      </c>
      <c r="G16091" s="8" t="n">
        <v>65</v>
      </c>
      <c r="H16091" s="8" t="inlineStr">
        <is>
          <t>OPERATING</t>
        </is>
      </c>
    </row>
    <row r="16092">
      <c r="A16092" s="8" t="inlineStr">
        <is>
          <t>2026-08-03</t>
        </is>
      </c>
      <c r="B16092" s="8" t="n">
        <v>18</v>
      </c>
      <c r="C16092" s="8" t="n">
        <v>15</v>
      </c>
      <c r="D16092" s="8" t="inlineStr">
        <is>
          <t>Disneyland Park</t>
        </is>
      </c>
      <c r="E16092" s="8" t="inlineStr">
        <is>
          <t>Princess Pavilion</t>
        </is>
      </c>
      <c r="F16092" s="8" t="inlineStr">
        <is>
          <t>STANDBY</t>
        </is>
      </c>
      <c r="G16092" s="8" t="n">
        <v>0</v>
      </c>
      <c r="H16092" s="8" t="inlineStr">
        <is>
          <t>CLOSED</t>
        </is>
      </c>
    </row>
    <row r="16093">
      <c r="A16093" s="8" t="inlineStr">
        <is>
          <t>2026-08-03</t>
        </is>
      </c>
      <c r="B16093" s="8" t="n">
        <v>18</v>
      </c>
      <c r="C16093" s="8" t="n">
        <v>15</v>
      </c>
      <c r="D16093" s="8" t="inlineStr">
        <is>
          <t>Disneyland Park</t>
        </is>
      </c>
      <c r="E16093" s="8" t="inlineStr">
        <is>
          <t>Big Thunder Mountain</t>
        </is>
      </c>
      <c r="F16093" s="8" t="inlineStr">
        <is>
          <t>STANDBY</t>
        </is>
      </c>
      <c r="G16093" s="8" t="n">
        <v>50</v>
      </c>
      <c r="H16093" s="8" t="inlineStr">
        <is>
          <t>OPERATING</t>
        </is>
      </c>
    </row>
    <row r="16094">
      <c r="A16094" s="8" t="inlineStr">
        <is>
          <t>2026-08-03</t>
        </is>
      </c>
      <c r="B16094" s="8" t="n">
        <v>18</v>
      </c>
      <c r="C16094" s="8" t="n">
        <v>15</v>
      </c>
      <c r="D16094" s="8" t="inlineStr">
        <is>
          <t>Disneyland Park</t>
        </is>
      </c>
      <c r="E16094" s="8" t="inlineStr">
        <is>
          <t>Disneyland Railroad Frontierland Depot</t>
        </is>
      </c>
      <c r="F16094" s="8" t="inlineStr">
        <is>
          <t>STANDBY</t>
        </is>
      </c>
      <c r="G16094" s="8" t="n">
        <v>0</v>
      </c>
      <c r="H16094" s="8" t="inlineStr">
        <is>
          <t>CLOSED</t>
        </is>
      </c>
    </row>
    <row r="16095">
      <c r="A16095" s="8" t="inlineStr">
        <is>
          <t>2026-08-03</t>
        </is>
      </c>
      <c r="B16095" s="8" t="n">
        <v>18</v>
      </c>
      <c r="C16095" s="8" t="n">
        <v>15</v>
      </c>
      <c r="D16095" s="8" t="inlineStr">
        <is>
          <t>Disneyland Park</t>
        </is>
      </c>
      <c r="E16095" s="8" t="inlineStr">
        <is>
          <t>Frontierland Playground</t>
        </is>
      </c>
      <c r="F16095" s="8" t="inlineStr">
        <is>
          <t>STANDBY</t>
        </is>
      </c>
      <c r="G16095" s="8" t="n">
        <v>0</v>
      </c>
      <c r="H16095" s="8" t="inlineStr">
        <is>
          <t>CLOSED</t>
        </is>
      </c>
    </row>
    <row r="16096">
      <c r="A16096" s="8" t="inlineStr">
        <is>
          <t>2026-08-03</t>
        </is>
      </c>
      <c r="B16096" s="8" t="n">
        <v>18</v>
      </c>
      <c r="C16096" s="8" t="n">
        <v>15</v>
      </c>
      <c r="D16096" s="8" t="inlineStr">
        <is>
          <t>Disneyland Park</t>
        </is>
      </c>
      <c r="E16096" s="8" t="inlineStr">
        <is>
          <t>Phantom Manor</t>
        </is>
      </c>
      <c r="F16096" s="8" t="inlineStr">
        <is>
          <t>STANDBY</t>
        </is>
      </c>
      <c r="G16096" s="8" t="n">
        <v>15</v>
      </c>
      <c r="H16096" s="8" t="inlineStr">
        <is>
          <t>OPERATING</t>
        </is>
      </c>
    </row>
    <row r="16097">
      <c r="A16097" s="8" t="inlineStr">
        <is>
          <t>2026-08-03</t>
        </is>
      </c>
      <c r="B16097" s="8" t="n">
        <v>18</v>
      </c>
      <c r="C16097" s="8" t="n">
        <v>15</v>
      </c>
      <c r="D16097" s="8" t="inlineStr">
        <is>
          <t>Disneyland Park</t>
        </is>
      </c>
      <c r="E16097" s="8" t="inlineStr">
        <is>
          <t>River Rogue Keelboats</t>
        </is>
      </c>
      <c r="F16097" s="8" t="inlineStr">
        <is>
          <t>STANDBY</t>
        </is>
      </c>
      <c r="G16097" s="8" t="n">
        <v>0</v>
      </c>
      <c r="H16097" s="8" t="inlineStr">
        <is>
          <t>CLOSED</t>
        </is>
      </c>
    </row>
    <row r="16098">
      <c r="A16098" s="8" t="inlineStr">
        <is>
          <t>2026-08-03</t>
        </is>
      </c>
      <c r="B16098" s="8" t="n">
        <v>18</v>
      </c>
      <c r="C16098" s="8" t="n">
        <v>15</v>
      </c>
      <c r="D16098" s="8" t="inlineStr">
        <is>
          <t>Disneyland Park</t>
        </is>
      </c>
      <c r="E16098" s="8" t="inlineStr">
        <is>
          <t>Rustler Roundup Shootin' Gallery</t>
        </is>
      </c>
      <c r="F16098" s="8" t="inlineStr">
        <is>
          <t>STANDBY</t>
        </is>
      </c>
      <c r="G16098" s="8" t="n">
        <v>0</v>
      </c>
      <c r="H16098" s="8" t="inlineStr">
        <is>
          <t>OPERATING</t>
        </is>
      </c>
    </row>
    <row r="16099">
      <c r="A16099" s="8" t="inlineStr">
        <is>
          <t>2026-08-03</t>
        </is>
      </c>
      <c r="B16099" s="8" t="n">
        <v>18</v>
      </c>
      <c r="C16099" s="8" t="n">
        <v>15</v>
      </c>
      <c r="D16099" s="8" t="inlineStr">
        <is>
          <t>Disneyland Park</t>
        </is>
      </c>
      <c r="E16099" s="8" t="inlineStr">
        <is>
          <t>Thunder Mesa Riverboat Landing</t>
        </is>
      </c>
      <c r="F16099" s="8" t="inlineStr">
        <is>
          <t>STANDBY</t>
        </is>
      </c>
      <c r="G16099" s="8" t="n">
        <v>0</v>
      </c>
      <c r="H16099" s="8" t="inlineStr">
        <is>
          <t>CLOSED</t>
        </is>
      </c>
    </row>
    <row r="16100">
      <c r="A16100" s="8" t="inlineStr">
        <is>
          <t>2026-08-03</t>
        </is>
      </c>
      <c r="B16100" s="8" t="n">
        <v>18</v>
      </c>
      <c r="C16100" s="8" t="n">
        <v>15</v>
      </c>
      <c r="D16100" s="8" t="inlineStr">
        <is>
          <t>Disneyland Park</t>
        </is>
      </c>
      <c r="E16100" s="8" t="inlineStr">
        <is>
          <t>Disneyland Railroad Main Street Station</t>
        </is>
      </c>
      <c r="F16100" s="8" t="inlineStr">
        <is>
          <t>STANDBY</t>
        </is>
      </c>
      <c r="G16100" s="8" t="n">
        <v>0</v>
      </c>
      <c r="H16100" s="8" t="inlineStr">
        <is>
          <t>CLOSED</t>
        </is>
      </c>
    </row>
    <row r="16101">
      <c r="A16101" s="8" t="inlineStr">
        <is>
          <t>2026-08-03</t>
        </is>
      </c>
      <c r="B16101" s="8" t="n">
        <v>18</v>
      </c>
      <c r="C16101" s="8" t="n">
        <v>15</v>
      </c>
      <c r="D16101" s="8" t="inlineStr">
        <is>
          <t>Disneyland Park</t>
        </is>
      </c>
      <c r="E16101" s="8" t="inlineStr">
        <is>
          <t>Main Street Vehicles</t>
        </is>
      </c>
      <c r="F16101" s="8" t="inlineStr">
        <is>
          <t>STANDBY</t>
        </is>
      </c>
      <c r="G16101" s="8" t="n">
        <v>0</v>
      </c>
      <c r="H16101" s="8" t="inlineStr">
        <is>
          <t>CLOSED</t>
        </is>
      </c>
    </row>
    <row r="16102">
      <c r="A16102" s="8" t="inlineStr">
        <is>
          <t>2026-08-03</t>
        </is>
      </c>
      <c r="B16102" s="8" t="n">
        <v>18</v>
      </c>
      <c r="C16102" s="8" t="n">
        <v>15</v>
      </c>
      <c r="D16102" s="8" t="inlineStr">
        <is>
          <t>Disney Adventure World</t>
        </is>
      </c>
      <c r="E16102" s="8" t="inlineStr">
        <is>
          <t>Avengers Assemble: Flight Force</t>
        </is>
      </c>
      <c r="F16102" s="8" t="inlineStr">
        <is>
          <t>STANDBY</t>
        </is>
      </c>
      <c r="G16102" s="8" t="n">
        <v>25</v>
      </c>
      <c r="H16102" s="8" t="inlineStr">
        <is>
          <t>OPERATING</t>
        </is>
      </c>
    </row>
    <row r="16103">
      <c r="A16103" s="8" t="inlineStr">
        <is>
          <t>2026-08-03</t>
        </is>
      </c>
      <c r="B16103" s="8" t="n">
        <v>18</v>
      </c>
      <c r="C16103" s="8" t="n">
        <v>15</v>
      </c>
      <c r="D16103" s="8" t="inlineStr">
        <is>
          <t>Disney Adventure World</t>
        </is>
      </c>
      <c r="E16103" s="8" t="inlineStr">
        <is>
          <t>Avengers Assemble: Flight Force Single Rider</t>
        </is>
      </c>
      <c r="F16103" s="8" t="inlineStr">
        <is>
          <t>STANDBY</t>
        </is>
      </c>
      <c r="G16103" s="8" t="n">
        <v>10</v>
      </c>
      <c r="H16103" s="8" t="inlineStr">
        <is>
          <t>OPERATING</t>
        </is>
      </c>
    </row>
    <row r="16104">
      <c r="A16104" s="8" t="inlineStr">
        <is>
          <t>2026-08-03</t>
        </is>
      </c>
      <c r="B16104" s="8" t="n">
        <v>18</v>
      </c>
      <c r="C16104" s="8" t="n">
        <v>15</v>
      </c>
      <c r="D16104" s="8" t="inlineStr">
        <is>
          <t>Disney Adventure World</t>
        </is>
      </c>
      <c r="E16104" s="8" t="inlineStr">
        <is>
          <t>Spider-Man W.E.B. Adventure</t>
        </is>
      </c>
      <c r="F16104" s="8" t="inlineStr">
        <is>
          <t>STANDBY</t>
        </is>
      </c>
      <c r="G16104" s="8" t="n">
        <v>35</v>
      </c>
      <c r="H16104" s="8" t="inlineStr">
        <is>
          <t>OPERATING</t>
        </is>
      </c>
    </row>
    <row r="16105">
      <c r="A16105" s="8" t="inlineStr">
        <is>
          <t>2026-08-03</t>
        </is>
      </c>
      <c r="B16105" s="8" t="n">
        <v>18</v>
      </c>
      <c r="C16105" s="8" t="n">
        <v>15</v>
      </c>
      <c r="D16105" s="8" t="inlineStr">
        <is>
          <t>Disney Adventure World</t>
        </is>
      </c>
      <c r="E16105" s="8" t="inlineStr">
        <is>
          <t>Spider-Man W.E.B. Adventure Single Rider</t>
        </is>
      </c>
      <c r="F16105" s="8" t="inlineStr">
        <is>
          <t>STANDBY</t>
        </is>
      </c>
      <c r="G16105" s="8" t="n">
        <v>15</v>
      </c>
      <c r="H16105" s="8" t="inlineStr">
        <is>
          <t>OPERATING</t>
        </is>
      </c>
    </row>
    <row r="16106">
      <c r="A16106" s="8" t="inlineStr">
        <is>
          <t>2026-08-03</t>
        </is>
      </c>
      <c r="B16106" s="8" t="n">
        <v>18</v>
      </c>
      <c r="C16106" s="8" t="n">
        <v>15</v>
      </c>
      <c r="D16106" s="8" t="inlineStr">
        <is>
          <t>Disney Adventure World</t>
        </is>
      </c>
      <c r="E16106" s="8" t="inlineStr">
        <is>
          <t>The Twilight Zone Tower of Terror</t>
        </is>
      </c>
      <c r="F16106" s="8" t="inlineStr">
        <is>
          <t>STANDBY</t>
        </is>
      </c>
      <c r="G16106" s="8" t="n">
        <v>25</v>
      </c>
      <c r="H16106" s="8" t="inlineStr">
        <is>
          <t>OPERATING</t>
        </is>
      </c>
    </row>
    <row r="16107">
      <c r="A16107" s="8" t="inlineStr">
        <is>
          <t>2026-08-03</t>
        </is>
      </c>
      <c r="B16107" s="8" t="n">
        <v>18</v>
      </c>
      <c r="C16107" s="8" t="n">
        <v>15</v>
      </c>
      <c r="D16107" s="8" t="inlineStr">
        <is>
          <t>Disney Adventure World</t>
        </is>
      </c>
      <c r="E16107" s="8" t="inlineStr">
        <is>
          <t>Cars Quatre Roues Rallye</t>
        </is>
      </c>
      <c r="F16107" s="8" t="inlineStr">
        <is>
          <t>STANDBY</t>
        </is>
      </c>
      <c r="G16107" s="8" t="n">
        <v>5</v>
      </c>
      <c r="H16107" s="8" t="inlineStr">
        <is>
          <t>OPERATING</t>
        </is>
      </c>
    </row>
    <row r="16108">
      <c r="A16108" s="8" t="inlineStr">
        <is>
          <t>2026-08-03</t>
        </is>
      </c>
      <c r="B16108" s="8" t="n">
        <v>18</v>
      </c>
      <c r="C16108" s="8" t="n">
        <v>15</v>
      </c>
      <c r="D16108" s="8" t="inlineStr">
        <is>
          <t>Disney Adventure World</t>
        </is>
      </c>
      <c r="E16108" s="8" t="inlineStr">
        <is>
          <t>Cars ROAD TRIP</t>
        </is>
      </c>
      <c r="F16108" s="8" t="inlineStr">
        <is>
          <t>STANDBY</t>
        </is>
      </c>
      <c r="G16108" s="8" t="n">
        <v>10</v>
      </c>
      <c r="H16108" s="8" t="inlineStr">
        <is>
          <t>OPERATING</t>
        </is>
      </c>
    </row>
    <row r="16109">
      <c r="A16109" s="8" t="inlineStr">
        <is>
          <t>2026-08-03</t>
        </is>
      </c>
      <c r="B16109" s="8" t="n">
        <v>18</v>
      </c>
      <c r="C16109" s="8" t="n">
        <v>15</v>
      </c>
      <c r="D16109" s="8" t="inlineStr">
        <is>
          <t>Disney Adventure World</t>
        </is>
      </c>
      <c r="E16109" s="8" t="inlineStr">
        <is>
          <t>Crush's Coaster</t>
        </is>
      </c>
      <c r="F16109" s="8" t="inlineStr">
        <is>
          <t>STANDBY</t>
        </is>
      </c>
      <c r="G16109" s="8" t="n">
        <v>65</v>
      </c>
      <c r="H16109" s="8" t="inlineStr">
        <is>
          <t>OPERATING</t>
        </is>
      </c>
    </row>
    <row r="16110">
      <c r="A16110" s="8" t="inlineStr">
        <is>
          <t>2026-08-03</t>
        </is>
      </c>
      <c r="B16110" s="8" t="n">
        <v>18</v>
      </c>
      <c r="C16110" s="8" t="n">
        <v>15</v>
      </c>
      <c r="D16110" s="8" t="inlineStr">
        <is>
          <t>Disney Adventure World</t>
        </is>
      </c>
      <c r="E16110" s="8" t="inlineStr">
        <is>
          <t>Crush's Coaster Single Rider</t>
        </is>
      </c>
      <c r="F16110" s="8" t="inlineStr">
        <is>
          <t>STANDBY</t>
        </is>
      </c>
      <c r="G16110" s="8" t="n">
        <v>45</v>
      </c>
      <c r="H16110" s="8" t="inlineStr">
        <is>
          <t>OPERATING</t>
        </is>
      </c>
    </row>
    <row r="16111">
      <c r="A16111" s="8" t="inlineStr">
        <is>
          <t>2026-08-03</t>
        </is>
      </c>
      <c r="B16111" s="8" t="n">
        <v>18</v>
      </c>
      <c r="C16111" s="8" t="n">
        <v>15</v>
      </c>
      <c r="D16111" s="8" t="inlineStr">
        <is>
          <t>Disney Adventure World</t>
        </is>
      </c>
      <c r="E16111" s="8" t="inlineStr">
        <is>
          <t>Les Tapis Volants - Flying Carpets Over Agrabah®</t>
        </is>
      </c>
      <c r="F16111" s="8" t="inlineStr">
        <is>
          <t>STANDBY</t>
        </is>
      </c>
      <c r="G16111" s="8" t="n">
        <v>15</v>
      </c>
      <c r="H16111" s="8" t="inlineStr">
        <is>
          <t>OPERATING</t>
        </is>
      </c>
    </row>
    <row r="16112">
      <c r="A16112" s="8" t="inlineStr">
        <is>
          <t>2026-08-03</t>
        </is>
      </c>
      <c r="B16112" s="8" t="n">
        <v>18</v>
      </c>
      <c r="C16112" s="8" t="n">
        <v>15</v>
      </c>
      <c r="D16112" s="8" t="inlineStr">
        <is>
          <t>Disney Adventure World</t>
        </is>
      </c>
      <c r="E16112" s="8" t="inlineStr">
        <is>
          <t>Ratatouille : L’Aventure Totalement Toquée de Rémy​</t>
        </is>
      </c>
      <c r="F16112" s="8" t="inlineStr">
        <is>
          <t>STANDBY</t>
        </is>
      </c>
      <c r="G16112" s="8" t="n">
        <v>45</v>
      </c>
      <c r="H16112" s="8" t="inlineStr">
        <is>
          <t>OPERATING</t>
        </is>
      </c>
    </row>
    <row r="16113">
      <c r="A16113" s="8" t="inlineStr">
        <is>
          <t>2026-08-03</t>
        </is>
      </c>
      <c r="B16113" s="8" t="n">
        <v>18</v>
      </c>
      <c r="C16113" s="8" t="n">
        <v>15</v>
      </c>
      <c r="D16113" s="8" t="inlineStr">
        <is>
          <t>Disney Adventure World</t>
        </is>
      </c>
      <c r="E16113" s="8" t="inlineStr">
        <is>
          <t>Ratatouille: The Adventure Single Rider</t>
        </is>
      </c>
      <c r="F16113" s="8" t="inlineStr">
        <is>
          <t>STANDBY</t>
        </is>
      </c>
      <c r="G16113" s="8" t="n">
        <v>15</v>
      </c>
      <c r="H16113" s="8" t="inlineStr">
        <is>
          <t>OPERATING</t>
        </is>
      </c>
    </row>
    <row r="16114">
      <c r="A16114" s="8" t="inlineStr">
        <is>
          <t>2026-08-03</t>
        </is>
      </c>
      <c r="B16114" s="8" t="n">
        <v>18</v>
      </c>
      <c r="C16114" s="8" t="n">
        <v>15</v>
      </c>
      <c r="D16114" s="8" t="inlineStr">
        <is>
          <t>Disney Adventure World</t>
        </is>
      </c>
      <c r="E16114" s="8" t="inlineStr">
        <is>
          <t>RC Racer</t>
        </is>
      </c>
      <c r="F16114" s="8" t="inlineStr">
        <is>
          <t>STANDBY</t>
        </is>
      </c>
      <c r="G16114" s="8" t="n">
        <v>30</v>
      </c>
      <c r="H16114" s="8" t="inlineStr">
        <is>
          <t>OPERATING</t>
        </is>
      </c>
    </row>
    <row r="16115">
      <c r="A16115" s="8" t="inlineStr">
        <is>
          <t>2026-08-03</t>
        </is>
      </c>
      <c r="B16115" s="8" t="n">
        <v>18</v>
      </c>
      <c r="C16115" s="8" t="n">
        <v>15</v>
      </c>
      <c r="D16115" s="8" t="inlineStr">
        <is>
          <t>Disney Adventure World</t>
        </is>
      </c>
      <c r="E16115" s="8" t="inlineStr">
        <is>
          <t>RC Racer Single Rider</t>
        </is>
      </c>
      <c r="F16115" s="8" t="inlineStr">
        <is>
          <t>STANDBY</t>
        </is>
      </c>
      <c r="G16115" s="8" t="n">
        <v>25</v>
      </c>
      <c r="H16115" s="8" t="inlineStr">
        <is>
          <t>OPERATING</t>
        </is>
      </c>
    </row>
    <row r="16116">
      <c r="A16116" s="8" t="inlineStr">
        <is>
          <t>2026-08-03</t>
        </is>
      </c>
      <c r="B16116" s="8" t="n">
        <v>18</v>
      </c>
      <c r="C16116" s="8" t="n">
        <v>15</v>
      </c>
      <c r="D16116" s="8" t="inlineStr">
        <is>
          <t>Disney Adventure World</t>
        </is>
      </c>
      <c r="E16116" s="8" t="inlineStr">
        <is>
          <t>Slinky® Dog Zigzag Spin</t>
        </is>
      </c>
      <c r="F16116" s="8" t="inlineStr">
        <is>
          <t>STANDBY</t>
        </is>
      </c>
      <c r="G16116" s="8" t="n">
        <v>15</v>
      </c>
      <c r="H16116" s="8" t="inlineStr">
        <is>
          <t>OPERATING</t>
        </is>
      </c>
    </row>
    <row r="16117">
      <c r="A16117" s="8" t="inlineStr">
        <is>
          <t>2026-08-03</t>
        </is>
      </c>
      <c r="B16117" s="8" t="n">
        <v>18</v>
      </c>
      <c r="C16117" s="8" t="n">
        <v>15</v>
      </c>
      <c r="D16117" s="8" t="inlineStr">
        <is>
          <t>Disney Adventure World</t>
        </is>
      </c>
      <c r="E16117" s="8" t="inlineStr">
        <is>
          <t>Toy Soldiers Parachute Drop</t>
        </is>
      </c>
      <c r="F16117" s="8" t="inlineStr">
        <is>
          <t>STANDBY</t>
        </is>
      </c>
      <c r="G16117" s="8" t="n">
        <v>45</v>
      </c>
      <c r="H16117" s="8" t="inlineStr">
        <is>
          <t>OPERATING</t>
        </is>
      </c>
    </row>
    <row r="16118">
      <c r="A16118" s="8" t="inlineStr">
        <is>
          <t>2026-08-03</t>
        </is>
      </c>
      <c r="B16118" s="8" t="n">
        <v>18</v>
      </c>
      <c r="C16118" s="8" t="n">
        <v>15</v>
      </c>
      <c r="D16118" s="8" t="inlineStr">
        <is>
          <t>Disney Adventure World</t>
        </is>
      </c>
      <c r="E16118" s="8" t="inlineStr">
        <is>
          <t>Toy Soldiers Parachute Drop Single Rider</t>
        </is>
      </c>
      <c r="F16118" s="8" t="inlineStr">
        <is>
          <t>STANDBY</t>
        </is>
      </c>
      <c r="G16118" s="8" t="n">
        <v>15</v>
      </c>
      <c r="H16118" s="8" t="inlineStr">
        <is>
          <t>OPERATING</t>
        </is>
      </c>
    </row>
    <row r="16119">
      <c r="A16119" s="8" t="inlineStr">
        <is>
          <t>2026-08-03</t>
        </is>
      </c>
      <c r="B16119" s="8" t="n">
        <v>18</v>
      </c>
      <c r="C16119" s="8" t="n">
        <v>15</v>
      </c>
      <c r="D16119" s="8" t="inlineStr">
        <is>
          <t>Disney Adventure World</t>
        </is>
      </c>
      <c r="E16119" s="8" t="inlineStr">
        <is>
          <t>Entry to World of Frozen</t>
        </is>
      </c>
      <c r="F16119" s="8" t="inlineStr">
        <is>
          <t>STANDBY</t>
        </is>
      </c>
      <c r="G16119" s="8" t="n">
        <v>0</v>
      </c>
      <c r="H16119" s="8" t="inlineStr">
        <is>
          <t>OPERATING</t>
        </is>
      </c>
    </row>
    <row r="16120">
      <c r="A16120" s="8" t="inlineStr">
        <is>
          <t>2026-08-03</t>
        </is>
      </c>
      <c r="B16120" s="8" t="n">
        <v>18</v>
      </c>
      <c r="C16120" s="8" t="n">
        <v>15</v>
      </c>
      <c r="D16120" s="8" t="inlineStr">
        <is>
          <t>Disney Adventure World</t>
        </is>
      </c>
      <c r="E16120" s="8" t="inlineStr">
        <is>
          <t>Frozen Ever After</t>
        </is>
      </c>
      <c r="F16120" s="8" t="inlineStr">
        <is>
          <t>STANDBY</t>
        </is>
      </c>
      <c r="G16120" s="8" t="n">
        <v>45</v>
      </c>
      <c r="H16120" s="8" t="inlineStr">
        <is>
          <t>OPERATING</t>
        </is>
      </c>
    </row>
    <row r="16121">
      <c r="A16121" s="8" t="inlineStr">
        <is>
          <t>2026-08-03</t>
        </is>
      </c>
      <c r="B16121" s="8" t="n">
        <v>18</v>
      </c>
      <c r="C16121" s="8" t="n">
        <v>15</v>
      </c>
      <c r="D16121" s="8" t="inlineStr">
        <is>
          <t>Disney Adventure World</t>
        </is>
      </c>
      <c r="E16121" s="8" t="inlineStr">
        <is>
          <t>Raiponce Tangled Spin</t>
        </is>
      </c>
      <c r="F16121" s="8" t="inlineStr">
        <is>
          <t>STANDBY</t>
        </is>
      </c>
      <c r="G16121" s="8" t="n">
        <v>5</v>
      </c>
      <c r="H16121" s="8" t="inlineStr">
        <is>
          <t>OPERATING</t>
        </is>
      </c>
    </row>
    <row r="16122">
      <c r="A16122" s="8" t="inlineStr">
        <is>
          <t>2026-08-03</t>
        </is>
      </c>
      <c r="B16122" s="8" t="n">
        <v>18</v>
      </c>
      <c r="C16122" s="8" t="n">
        <v>31</v>
      </c>
      <c r="D16122" s="8" t="inlineStr">
        <is>
          <t>Disneyland Park</t>
        </is>
      </c>
      <c r="E16122" s="8" t="inlineStr">
        <is>
          <t>Adventure Isle</t>
        </is>
      </c>
      <c r="F16122" s="8" t="inlineStr">
        <is>
          <t>STANDBY</t>
        </is>
      </c>
      <c r="G16122" s="8" t="n">
        <v>0</v>
      </c>
      <c r="H16122" s="8" t="inlineStr">
        <is>
          <t>OPERATING</t>
        </is>
      </c>
    </row>
    <row r="16123">
      <c r="A16123" s="8" t="inlineStr">
        <is>
          <t>2026-08-03</t>
        </is>
      </c>
      <c r="B16123" s="8" t="n">
        <v>18</v>
      </c>
      <c r="C16123" s="8" t="n">
        <v>31</v>
      </c>
      <c r="D16123" s="8" t="inlineStr">
        <is>
          <t>Disneyland Park</t>
        </is>
      </c>
      <c r="E16123" s="8" t="inlineStr">
        <is>
          <t>Indiana Jones and the Temple of Peril Single Rider</t>
        </is>
      </c>
      <c r="F16123" s="8" t="inlineStr">
        <is>
          <t>STANDBY</t>
        </is>
      </c>
      <c r="G16123" s="8" t="n">
        <v>10</v>
      </c>
      <c r="H16123" s="8" t="inlineStr">
        <is>
          <t>OPERATING</t>
        </is>
      </c>
    </row>
    <row r="16124">
      <c r="A16124" s="8" t="inlineStr">
        <is>
          <t>2026-08-03</t>
        </is>
      </c>
      <c r="B16124" s="8" t="n">
        <v>18</v>
      </c>
      <c r="C16124" s="8" t="n">
        <v>31</v>
      </c>
      <c r="D16124" s="8" t="inlineStr">
        <is>
          <t>Disneyland Park</t>
        </is>
      </c>
      <c r="E16124" s="8" t="inlineStr">
        <is>
          <t>Indiana Jones™ and the Temple of Peril</t>
        </is>
      </c>
      <c r="F16124" s="8" t="inlineStr">
        <is>
          <t>STANDBY</t>
        </is>
      </c>
      <c r="G16124" s="8" t="n">
        <v>15</v>
      </c>
      <c r="H16124" s="8" t="inlineStr">
        <is>
          <t>OPERATING</t>
        </is>
      </c>
    </row>
    <row r="16125">
      <c r="A16125" s="8" t="inlineStr">
        <is>
          <t>2026-08-03</t>
        </is>
      </c>
      <c r="B16125" s="8" t="n">
        <v>18</v>
      </c>
      <c r="C16125" s="8" t="n">
        <v>31</v>
      </c>
      <c r="D16125" s="8" t="inlineStr">
        <is>
          <t>Disneyland Park</t>
        </is>
      </c>
      <c r="E16125" s="8" t="inlineStr">
        <is>
          <t>La Cabane des Robinson</t>
        </is>
      </c>
      <c r="F16125" s="8" t="inlineStr">
        <is>
          <t>STANDBY</t>
        </is>
      </c>
      <c r="G16125" s="8" t="n">
        <v>5</v>
      </c>
      <c r="H16125" s="8" t="inlineStr">
        <is>
          <t>OPERATING</t>
        </is>
      </c>
    </row>
    <row r="16126">
      <c r="A16126" s="8" t="inlineStr">
        <is>
          <t>2026-08-03</t>
        </is>
      </c>
      <c r="B16126" s="8" t="n">
        <v>18</v>
      </c>
      <c r="C16126" s="8" t="n">
        <v>31</v>
      </c>
      <c r="D16126" s="8" t="inlineStr">
        <is>
          <t>Disneyland Park</t>
        </is>
      </c>
      <c r="E16126" s="8" t="inlineStr">
        <is>
          <t>Le Passage Enchanté d'Aladdin</t>
        </is>
      </c>
      <c r="F16126" s="8" t="inlineStr">
        <is>
          <t>STANDBY</t>
        </is>
      </c>
      <c r="G16126" s="8" t="n">
        <v>0</v>
      </c>
      <c r="H16126" s="8" t="inlineStr">
        <is>
          <t>OPERATING</t>
        </is>
      </c>
    </row>
    <row r="16127">
      <c r="A16127" s="8" t="inlineStr">
        <is>
          <t>2026-08-03</t>
        </is>
      </c>
      <c r="B16127" s="8" t="n">
        <v>18</v>
      </c>
      <c r="C16127" s="8" t="n">
        <v>31</v>
      </c>
      <c r="D16127" s="8" t="inlineStr">
        <is>
          <t>Disneyland Park</t>
        </is>
      </c>
      <c r="E16127" s="8" t="inlineStr">
        <is>
          <t>Pirate Galleon</t>
        </is>
      </c>
      <c r="F16127" s="8" t="inlineStr">
        <is>
          <t>STANDBY</t>
        </is>
      </c>
      <c r="G16127" s="8" t="n">
        <v>0</v>
      </c>
      <c r="H16127" s="8" t="inlineStr">
        <is>
          <t>CLOSED</t>
        </is>
      </c>
    </row>
    <row r="16128">
      <c r="A16128" s="8" t="inlineStr">
        <is>
          <t>2026-08-03</t>
        </is>
      </c>
      <c r="B16128" s="8" t="n">
        <v>18</v>
      </c>
      <c r="C16128" s="8" t="n">
        <v>31</v>
      </c>
      <c r="D16128" s="8" t="inlineStr">
        <is>
          <t>Disneyland Park</t>
        </is>
      </c>
      <c r="E16128" s="8" t="inlineStr">
        <is>
          <t>Pirates of the Caribbean</t>
        </is>
      </c>
      <c r="F16128" s="8" t="inlineStr">
        <is>
          <t>STANDBY</t>
        </is>
      </c>
      <c r="G16128" s="8" t="n">
        <v>20</v>
      </c>
      <c r="H16128" s="8" t="inlineStr">
        <is>
          <t>OPERATING</t>
        </is>
      </c>
    </row>
    <row r="16129">
      <c r="A16129" s="8" t="inlineStr">
        <is>
          <t>2026-08-03</t>
        </is>
      </c>
      <c r="B16129" s="8" t="n">
        <v>18</v>
      </c>
      <c r="C16129" s="8" t="n">
        <v>31</v>
      </c>
      <c r="D16129" s="8" t="inlineStr">
        <is>
          <t>Disneyland Park</t>
        </is>
      </c>
      <c r="E16129" s="8" t="inlineStr">
        <is>
          <t>Pirates' Beach</t>
        </is>
      </c>
      <c r="F16129" s="8" t="inlineStr">
        <is>
          <t>STANDBY</t>
        </is>
      </c>
      <c r="G16129" s="8" t="n">
        <v>0</v>
      </c>
      <c r="H16129" s="8" t="inlineStr">
        <is>
          <t>OPERATING</t>
        </is>
      </c>
    </row>
    <row r="16130">
      <c r="A16130" s="8" t="inlineStr">
        <is>
          <t>2026-08-03</t>
        </is>
      </c>
      <c r="B16130" s="8" t="n">
        <v>18</v>
      </c>
      <c r="C16130" s="8" t="n">
        <v>31</v>
      </c>
      <c r="D16130" s="8" t="inlineStr">
        <is>
          <t>Disneyland Park</t>
        </is>
      </c>
      <c r="E16130" s="8" t="inlineStr">
        <is>
          <t>Autopia, presented by Avis</t>
        </is>
      </c>
      <c r="F16130" s="8" t="inlineStr">
        <is>
          <t>STANDBY</t>
        </is>
      </c>
      <c r="G16130" s="8" t="n">
        <v>0</v>
      </c>
      <c r="H16130" s="8" t="inlineStr">
        <is>
          <t>CLOSED</t>
        </is>
      </c>
    </row>
    <row r="16131">
      <c r="A16131" s="8" t="inlineStr">
        <is>
          <t>2026-08-03</t>
        </is>
      </c>
      <c r="B16131" s="8" t="n">
        <v>18</v>
      </c>
      <c r="C16131" s="8" t="n">
        <v>31</v>
      </c>
      <c r="D16131" s="8" t="inlineStr">
        <is>
          <t>Disneyland Park</t>
        </is>
      </c>
      <c r="E16131" s="8" t="inlineStr">
        <is>
          <t>Buzz Lightyear Laser Blast</t>
        </is>
      </c>
      <c r="F16131" s="8" t="inlineStr">
        <is>
          <t>STANDBY</t>
        </is>
      </c>
      <c r="G16131" s="8" t="n">
        <v>50</v>
      </c>
      <c r="H16131" s="8" t="inlineStr">
        <is>
          <t>OPERATING</t>
        </is>
      </c>
    </row>
    <row r="16132">
      <c r="A16132" s="8" t="inlineStr">
        <is>
          <t>2026-08-03</t>
        </is>
      </c>
      <c r="B16132" s="8" t="n">
        <v>18</v>
      </c>
      <c r="C16132" s="8" t="n">
        <v>31</v>
      </c>
      <c r="D16132" s="8" t="inlineStr">
        <is>
          <t>Disneyland Park</t>
        </is>
      </c>
      <c r="E16132" s="8" t="inlineStr">
        <is>
          <t>Disneyland Railroad Discoveryland Station</t>
        </is>
      </c>
      <c r="F16132" s="8" t="inlineStr">
        <is>
          <t>STANDBY</t>
        </is>
      </c>
      <c r="G16132" s="8" t="n">
        <v>0</v>
      </c>
      <c r="H16132" s="8" t="inlineStr">
        <is>
          <t>CLOSED</t>
        </is>
      </c>
    </row>
    <row r="16133">
      <c r="A16133" s="8" t="inlineStr">
        <is>
          <t>2026-08-03</t>
        </is>
      </c>
      <c r="B16133" s="8" t="n">
        <v>18</v>
      </c>
      <c r="C16133" s="8" t="n">
        <v>31</v>
      </c>
      <c r="D16133" s="8" t="inlineStr">
        <is>
          <t>Disneyland Park</t>
        </is>
      </c>
      <c r="E16133" s="8" t="inlineStr">
        <is>
          <t>Les Mystères du Nautilus</t>
        </is>
      </c>
      <c r="F16133" s="8" t="inlineStr">
        <is>
          <t>STANDBY</t>
        </is>
      </c>
      <c r="G16133" s="8" t="n">
        <v>5</v>
      </c>
      <c r="H16133" s="8" t="inlineStr">
        <is>
          <t>OPERATING</t>
        </is>
      </c>
    </row>
    <row r="16134">
      <c r="A16134" s="8" t="inlineStr">
        <is>
          <t>2026-08-03</t>
        </is>
      </c>
      <c r="B16134" s="8" t="n">
        <v>18</v>
      </c>
      <c r="C16134" s="8" t="n">
        <v>31</v>
      </c>
      <c r="D16134" s="8" t="inlineStr">
        <is>
          <t>Disneyland Park</t>
        </is>
      </c>
      <c r="E16134" s="8" t="inlineStr">
        <is>
          <t>Mickey’s PhilharMagic</t>
        </is>
      </c>
      <c r="F16134" s="8" t="inlineStr">
        <is>
          <t>STANDBY</t>
        </is>
      </c>
      <c r="G16134" s="8" t="n">
        <v>0</v>
      </c>
      <c r="H16134" s="8" t="inlineStr">
        <is>
          <t>CLOSED</t>
        </is>
      </c>
    </row>
    <row r="16135">
      <c r="A16135" s="8" t="inlineStr">
        <is>
          <t>2026-08-03</t>
        </is>
      </c>
      <c r="B16135" s="8" t="n">
        <v>18</v>
      </c>
      <c r="C16135" s="8" t="n">
        <v>31</v>
      </c>
      <c r="D16135" s="8" t="inlineStr">
        <is>
          <t>Disneyland Park</t>
        </is>
      </c>
      <c r="E16135" s="8" t="inlineStr">
        <is>
          <t>Orbitron®</t>
        </is>
      </c>
      <c r="F16135" s="8" t="inlineStr">
        <is>
          <t>STANDBY</t>
        </is>
      </c>
      <c r="G16135" s="8" t="n">
        <v>0</v>
      </c>
      <c r="H16135" s="8" t="inlineStr">
        <is>
          <t>CLOSED</t>
        </is>
      </c>
    </row>
    <row r="16136">
      <c r="A16136" s="8" t="inlineStr">
        <is>
          <t>2026-08-03</t>
        </is>
      </c>
      <c r="B16136" s="8" t="n">
        <v>18</v>
      </c>
      <c r="C16136" s="8" t="n">
        <v>31</v>
      </c>
      <c r="D16136" s="8" t="inlineStr">
        <is>
          <t>Disneyland Park</t>
        </is>
      </c>
      <c r="E16136" s="8" t="inlineStr">
        <is>
          <t>Star Tours: The Adventures Continue*</t>
        </is>
      </c>
      <c r="F16136" s="8" t="inlineStr">
        <is>
          <t>STANDBY</t>
        </is>
      </c>
      <c r="G16136" s="8" t="n">
        <v>5</v>
      </c>
      <c r="H16136" s="8" t="inlineStr">
        <is>
          <t>OPERATING</t>
        </is>
      </c>
    </row>
    <row r="16137">
      <c r="A16137" s="8" t="inlineStr">
        <is>
          <t>2026-08-03</t>
        </is>
      </c>
      <c r="B16137" s="8" t="n">
        <v>18</v>
      </c>
      <c r="C16137" s="8" t="n">
        <v>31</v>
      </c>
      <c r="D16137" s="8" t="inlineStr">
        <is>
          <t>Disneyland Park</t>
        </is>
      </c>
      <c r="E16137" s="8" t="inlineStr">
        <is>
          <t>Star Wars Hyperspace Mountain</t>
        </is>
      </c>
      <c r="F16137" s="8" t="inlineStr">
        <is>
          <t>STANDBY</t>
        </is>
      </c>
      <c r="G16137" s="8" t="n">
        <v>30</v>
      </c>
      <c r="H16137" s="8" t="inlineStr">
        <is>
          <t>OPERATING</t>
        </is>
      </c>
    </row>
    <row r="16138">
      <c r="A16138" s="8" t="inlineStr">
        <is>
          <t>2026-08-03</t>
        </is>
      </c>
      <c r="B16138" s="8" t="n">
        <v>18</v>
      </c>
      <c r="C16138" s="8" t="n">
        <v>31</v>
      </c>
      <c r="D16138" s="8" t="inlineStr">
        <is>
          <t>Disneyland Park</t>
        </is>
      </c>
      <c r="E16138" s="8" t="inlineStr">
        <is>
          <t>Star Wars Hyperspace Mountain Single Rider</t>
        </is>
      </c>
      <c r="F16138" s="8" t="inlineStr">
        <is>
          <t>STANDBY</t>
        </is>
      </c>
      <c r="G16138" s="8" t="n">
        <v>25</v>
      </c>
      <c r="H16138" s="8" t="inlineStr">
        <is>
          <t>OPERATING</t>
        </is>
      </c>
    </row>
    <row r="16139">
      <c r="A16139" s="8" t="inlineStr">
        <is>
          <t>2026-08-03</t>
        </is>
      </c>
      <c r="B16139" s="8" t="n">
        <v>18</v>
      </c>
      <c r="C16139" s="8" t="n">
        <v>31</v>
      </c>
      <c r="D16139" s="8" t="inlineStr">
        <is>
          <t>Disneyland Park</t>
        </is>
      </c>
      <c r="E16139" s="8" t="inlineStr">
        <is>
          <t>Welcome to Starport: A Star Wars Encounter</t>
        </is>
      </c>
      <c r="F16139" s="8" t="inlineStr">
        <is>
          <t>STANDBY</t>
        </is>
      </c>
      <c r="G16139" s="8" t="n">
        <v>0</v>
      </c>
      <c r="H16139" s="8" t="inlineStr">
        <is>
          <t>CLOSED</t>
        </is>
      </c>
    </row>
    <row r="16140">
      <c r="A16140" s="8" t="inlineStr">
        <is>
          <t>2026-08-03</t>
        </is>
      </c>
      <c r="B16140" s="8" t="n">
        <v>18</v>
      </c>
      <c r="C16140" s="8" t="n">
        <v>31</v>
      </c>
      <c r="D16140" s="8" t="inlineStr">
        <is>
          <t>Disneyland Park</t>
        </is>
      </c>
      <c r="E16140" s="8" t="inlineStr">
        <is>
          <t>"it's a small world"</t>
        </is>
      </c>
      <c r="F16140" s="8" t="inlineStr">
        <is>
          <t>STANDBY</t>
        </is>
      </c>
      <c r="G16140" s="8" t="n">
        <v>5</v>
      </c>
      <c r="H16140" s="8" t="inlineStr">
        <is>
          <t>OPERATING</t>
        </is>
      </c>
    </row>
    <row r="16141">
      <c r="A16141" s="8" t="inlineStr">
        <is>
          <t>2026-08-03</t>
        </is>
      </c>
      <c r="B16141" s="8" t="n">
        <v>18</v>
      </c>
      <c r="C16141" s="8" t="n">
        <v>31</v>
      </c>
      <c r="D16141" s="8" t="inlineStr">
        <is>
          <t>Disneyland Park</t>
        </is>
      </c>
      <c r="E16141" s="8" t="inlineStr">
        <is>
          <t>Alice's Curious Labyrinth</t>
        </is>
      </c>
      <c r="F16141" s="8" t="inlineStr">
        <is>
          <t>STANDBY</t>
        </is>
      </c>
      <c r="G16141" s="8" t="n">
        <v>5</v>
      </c>
      <c r="H16141" s="8" t="inlineStr">
        <is>
          <t>OPERATING</t>
        </is>
      </c>
    </row>
    <row r="16142">
      <c r="A16142" s="8" t="inlineStr">
        <is>
          <t>2026-08-03</t>
        </is>
      </c>
      <c r="B16142" s="8" t="n">
        <v>18</v>
      </c>
      <c r="C16142" s="8" t="n">
        <v>31</v>
      </c>
      <c r="D16142" s="8" t="inlineStr">
        <is>
          <t>Disneyland Park</t>
        </is>
      </c>
      <c r="E16142" s="8" t="inlineStr">
        <is>
          <t>Blanche-Neige et les Sept Nains®</t>
        </is>
      </c>
      <c r="F16142" s="8" t="inlineStr">
        <is>
          <t>STANDBY</t>
        </is>
      </c>
      <c r="G16142" s="8" t="n">
        <v>15</v>
      </c>
      <c r="H16142" s="8" t="inlineStr">
        <is>
          <t>OPERATING</t>
        </is>
      </c>
    </row>
    <row r="16143">
      <c r="A16143" s="8" t="inlineStr">
        <is>
          <t>2026-08-03</t>
        </is>
      </c>
      <c r="B16143" s="8" t="n">
        <v>18</v>
      </c>
      <c r="C16143" s="8" t="n">
        <v>31</v>
      </c>
      <c r="D16143" s="8" t="inlineStr">
        <is>
          <t>Disneyland Park</t>
        </is>
      </c>
      <c r="E16143" s="8" t="inlineStr">
        <is>
          <t>Casey Jr. – le Petit Train du Cirque</t>
        </is>
      </c>
      <c r="F16143" s="8" t="inlineStr">
        <is>
          <t>STANDBY</t>
        </is>
      </c>
      <c r="G16143" s="8" t="n">
        <v>5</v>
      </c>
      <c r="H16143" s="8" t="inlineStr">
        <is>
          <t>OPERATING</t>
        </is>
      </c>
    </row>
    <row r="16144">
      <c r="A16144" s="8" t="inlineStr">
        <is>
          <t>2026-08-03</t>
        </is>
      </c>
      <c r="B16144" s="8" t="n">
        <v>18</v>
      </c>
      <c r="C16144" s="8" t="n">
        <v>31</v>
      </c>
      <c r="D16144" s="8" t="inlineStr">
        <is>
          <t>Disneyland Park</t>
        </is>
      </c>
      <c r="E16144" s="8" t="inlineStr">
        <is>
          <t>Disneyland Railroad Fantasyland Station</t>
        </is>
      </c>
      <c r="F16144" s="8" t="inlineStr">
        <is>
          <t>STANDBY</t>
        </is>
      </c>
      <c r="G16144" s="8" t="n">
        <v>0</v>
      </c>
      <c r="H16144" s="8" t="inlineStr">
        <is>
          <t>CLOSED</t>
        </is>
      </c>
    </row>
    <row r="16145">
      <c r="A16145" s="8" t="inlineStr">
        <is>
          <t>2026-08-03</t>
        </is>
      </c>
      <c r="B16145" s="8" t="n">
        <v>18</v>
      </c>
      <c r="C16145" s="8" t="n">
        <v>31</v>
      </c>
      <c r="D16145" s="8" t="inlineStr">
        <is>
          <t>Disneyland Park</t>
        </is>
      </c>
      <c r="E16145" s="8" t="inlineStr">
        <is>
          <t>Disneyland Railroad Main Street Station</t>
        </is>
      </c>
      <c r="F16145" s="8" t="inlineStr">
        <is>
          <t>STANDBY</t>
        </is>
      </c>
      <c r="G16145" s="8" t="n">
        <v>0</v>
      </c>
      <c r="H16145" s="8" t="inlineStr">
        <is>
          <t>CLOSED</t>
        </is>
      </c>
    </row>
    <row r="16146">
      <c r="A16146" s="8" t="inlineStr">
        <is>
          <t>2026-08-03</t>
        </is>
      </c>
      <c r="B16146" s="8" t="n">
        <v>18</v>
      </c>
      <c r="C16146" s="8" t="n">
        <v>31</v>
      </c>
      <c r="D16146" s="8" t="inlineStr">
        <is>
          <t>Disneyland Park</t>
        </is>
      </c>
      <c r="E16146" s="8" t="inlineStr">
        <is>
          <t>Dumbo the Flying Elephant</t>
        </is>
      </c>
      <c r="F16146" s="8" t="inlineStr">
        <is>
          <t>STANDBY</t>
        </is>
      </c>
      <c r="G16146" s="8" t="n">
        <v>0</v>
      </c>
      <c r="H16146" s="8" t="inlineStr">
        <is>
          <t>CLOSED</t>
        </is>
      </c>
    </row>
    <row r="16147">
      <c r="A16147" s="8" t="inlineStr">
        <is>
          <t>2026-08-03</t>
        </is>
      </c>
      <c r="B16147" s="8" t="n">
        <v>18</v>
      </c>
      <c r="C16147" s="8" t="n">
        <v>31</v>
      </c>
      <c r="D16147" s="8" t="inlineStr">
        <is>
          <t>Disneyland Park</t>
        </is>
      </c>
      <c r="E16147" s="8" t="inlineStr">
        <is>
          <t>La Tanière du Dragon</t>
        </is>
      </c>
      <c r="F16147" s="8" t="inlineStr">
        <is>
          <t>STANDBY</t>
        </is>
      </c>
      <c r="G16147" s="8" t="n">
        <v>0</v>
      </c>
      <c r="H16147" s="8" t="inlineStr">
        <is>
          <t>OPERATING</t>
        </is>
      </c>
    </row>
    <row r="16148">
      <c r="A16148" s="8" t="inlineStr">
        <is>
          <t>2026-08-03</t>
        </is>
      </c>
      <c r="B16148" s="8" t="n">
        <v>18</v>
      </c>
      <c r="C16148" s="8" t="n">
        <v>31</v>
      </c>
      <c r="D16148" s="8" t="inlineStr">
        <is>
          <t>Disneyland Park</t>
        </is>
      </c>
      <c r="E16148" s="8" t="inlineStr">
        <is>
          <t>Le Carrousel de Lancelot</t>
        </is>
      </c>
      <c r="F16148" s="8" t="inlineStr">
        <is>
          <t>STANDBY</t>
        </is>
      </c>
      <c r="G16148" s="8" t="n">
        <v>10</v>
      </c>
      <c r="H16148" s="8" t="inlineStr">
        <is>
          <t>OPERATING</t>
        </is>
      </c>
    </row>
    <row r="16149">
      <c r="A16149" s="8" t="inlineStr">
        <is>
          <t>2026-08-03</t>
        </is>
      </c>
      <c r="B16149" s="8" t="n">
        <v>18</v>
      </c>
      <c r="C16149" s="8" t="n">
        <v>31</v>
      </c>
      <c r="D16149" s="8" t="inlineStr">
        <is>
          <t>Disneyland Park</t>
        </is>
      </c>
      <c r="E16149" s="8" t="inlineStr">
        <is>
          <t>Le Pays des Contes de Fées, presented by Vittel</t>
        </is>
      </c>
      <c r="F16149" s="8" t="inlineStr">
        <is>
          <t>STANDBY</t>
        </is>
      </c>
      <c r="G16149" s="8" t="n">
        <v>10</v>
      </c>
      <c r="H16149" s="8" t="inlineStr">
        <is>
          <t>OPERATING</t>
        </is>
      </c>
    </row>
    <row r="16150">
      <c r="A16150" s="8" t="inlineStr">
        <is>
          <t>2026-08-03</t>
        </is>
      </c>
      <c r="B16150" s="8" t="n">
        <v>18</v>
      </c>
      <c r="C16150" s="8" t="n">
        <v>31</v>
      </c>
      <c r="D16150" s="8" t="inlineStr">
        <is>
          <t>Disneyland Park</t>
        </is>
      </c>
      <c r="E16150" s="8" t="inlineStr">
        <is>
          <t>Les Voyages de Pinocchio</t>
        </is>
      </c>
      <c r="F16150" s="8" t="inlineStr">
        <is>
          <t>STANDBY</t>
        </is>
      </c>
      <c r="G16150" s="8" t="n">
        <v>25</v>
      </c>
      <c r="H16150" s="8" t="inlineStr">
        <is>
          <t>OPERATING</t>
        </is>
      </c>
    </row>
    <row r="16151">
      <c r="A16151" s="8" t="inlineStr">
        <is>
          <t>2026-08-03</t>
        </is>
      </c>
      <c r="B16151" s="8" t="n">
        <v>18</v>
      </c>
      <c r="C16151" s="8" t="n">
        <v>31</v>
      </c>
      <c r="D16151" s="8" t="inlineStr">
        <is>
          <t>Disneyland Park</t>
        </is>
      </c>
      <c r="E16151" s="8" t="inlineStr">
        <is>
          <t>Mad Hatter's Tea Cups</t>
        </is>
      </c>
      <c r="F16151" s="8" t="inlineStr">
        <is>
          <t>STANDBY</t>
        </is>
      </c>
      <c r="G16151" s="8" t="n">
        <v>5</v>
      </c>
      <c r="H16151" s="8" t="inlineStr">
        <is>
          <t>OPERATING</t>
        </is>
      </c>
    </row>
    <row r="16152">
      <c r="A16152" s="8" t="inlineStr">
        <is>
          <t>2026-08-03</t>
        </is>
      </c>
      <c r="B16152" s="8" t="n">
        <v>18</v>
      </c>
      <c r="C16152" s="8" t="n">
        <v>31</v>
      </c>
      <c r="D16152" s="8" t="inlineStr">
        <is>
          <t>Disneyland Park</t>
        </is>
      </c>
      <c r="E16152" s="8" t="inlineStr">
        <is>
          <t>Meet Mickey Mouse</t>
        </is>
      </c>
      <c r="F16152" s="8" t="inlineStr">
        <is>
          <t>STANDBY</t>
        </is>
      </c>
      <c r="G16152" s="8" t="n">
        <v>0</v>
      </c>
      <c r="H16152" s="8" t="inlineStr">
        <is>
          <t>CLOSED</t>
        </is>
      </c>
    </row>
    <row r="16153">
      <c r="A16153" s="8" t="inlineStr">
        <is>
          <t>2026-08-03</t>
        </is>
      </c>
      <c r="B16153" s="8" t="n">
        <v>18</v>
      </c>
      <c r="C16153" s="8" t="n">
        <v>31</v>
      </c>
      <c r="D16153" s="8" t="inlineStr">
        <is>
          <t>Disneyland Park</t>
        </is>
      </c>
      <c r="E16153" s="8" t="inlineStr">
        <is>
          <t>Peter Pan's Flight</t>
        </is>
      </c>
      <c r="F16153" s="8" t="inlineStr">
        <is>
          <t>STANDBY</t>
        </is>
      </c>
      <c r="G16153" s="8" t="n">
        <v>65</v>
      </c>
      <c r="H16153" s="8" t="inlineStr">
        <is>
          <t>OPERATING</t>
        </is>
      </c>
    </row>
    <row r="16154">
      <c r="A16154" s="8" t="inlineStr">
        <is>
          <t>2026-08-03</t>
        </is>
      </c>
      <c r="B16154" s="8" t="n">
        <v>18</v>
      </c>
      <c r="C16154" s="8" t="n">
        <v>31</v>
      </c>
      <c r="D16154" s="8" t="inlineStr">
        <is>
          <t>Disneyland Park</t>
        </is>
      </c>
      <c r="E16154" s="8" t="inlineStr">
        <is>
          <t>Princess Pavilion</t>
        </is>
      </c>
      <c r="F16154" s="8" t="inlineStr">
        <is>
          <t>STANDBY</t>
        </is>
      </c>
      <c r="G16154" s="8" t="n">
        <v>0</v>
      </c>
      <c r="H16154" s="8" t="inlineStr">
        <is>
          <t>CLOSED</t>
        </is>
      </c>
    </row>
    <row r="16155">
      <c r="A16155" s="8" t="inlineStr">
        <is>
          <t>2026-08-03</t>
        </is>
      </c>
      <c r="B16155" s="8" t="n">
        <v>18</v>
      </c>
      <c r="C16155" s="8" t="n">
        <v>31</v>
      </c>
      <c r="D16155" s="8" t="inlineStr">
        <is>
          <t>Disneyland Park</t>
        </is>
      </c>
      <c r="E16155" s="8" t="inlineStr">
        <is>
          <t>Big Thunder Mountain</t>
        </is>
      </c>
      <c r="F16155" s="8" t="inlineStr">
        <is>
          <t>STANDBY</t>
        </is>
      </c>
      <c r="G16155" s="8" t="n">
        <v>60</v>
      </c>
      <c r="H16155" s="8" t="inlineStr">
        <is>
          <t>OPERATING</t>
        </is>
      </c>
    </row>
    <row r="16156">
      <c r="A16156" s="8" t="inlineStr">
        <is>
          <t>2026-08-03</t>
        </is>
      </c>
      <c r="B16156" s="8" t="n">
        <v>18</v>
      </c>
      <c r="C16156" s="8" t="n">
        <v>31</v>
      </c>
      <c r="D16156" s="8" t="inlineStr">
        <is>
          <t>Disneyland Park</t>
        </is>
      </c>
      <c r="E16156" s="8" t="inlineStr">
        <is>
          <t>Disneyland Railroad Frontierland Depot</t>
        </is>
      </c>
      <c r="F16156" s="8" t="inlineStr">
        <is>
          <t>STANDBY</t>
        </is>
      </c>
      <c r="G16156" s="8" t="n">
        <v>0</v>
      </c>
      <c r="H16156" s="8" t="inlineStr">
        <is>
          <t>CLOSED</t>
        </is>
      </c>
    </row>
    <row r="16157">
      <c r="A16157" s="8" t="inlineStr">
        <is>
          <t>2026-08-03</t>
        </is>
      </c>
      <c r="B16157" s="8" t="n">
        <v>18</v>
      </c>
      <c r="C16157" s="8" t="n">
        <v>31</v>
      </c>
      <c r="D16157" s="8" t="inlineStr">
        <is>
          <t>Disneyland Park</t>
        </is>
      </c>
      <c r="E16157" s="8" t="inlineStr">
        <is>
          <t>Frontierland Playground</t>
        </is>
      </c>
      <c r="F16157" s="8" t="inlineStr">
        <is>
          <t>STANDBY</t>
        </is>
      </c>
      <c r="G16157" s="8" t="n">
        <v>0</v>
      </c>
      <c r="H16157" s="8" t="inlineStr">
        <is>
          <t>CLOSED</t>
        </is>
      </c>
    </row>
    <row r="16158">
      <c r="A16158" s="8" t="inlineStr">
        <is>
          <t>2026-08-03</t>
        </is>
      </c>
      <c r="B16158" s="8" t="n">
        <v>18</v>
      </c>
      <c r="C16158" s="8" t="n">
        <v>31</v>
      </c>
      <c r="D16158" s="8" t="inlineStr">
        <is>
          <t>Disneyland Park</t>
        </is>
      </c>
      <c r="E16158" s="8" t="inlineStr">
        <is>
          <t>Phantom Manor</t>
        </is>
      </c>
      <c r="F16158" s="8" t="inlineStr">
        <is>
          <t>STANDBY</t>
        </is>
      </c>
      <c r="G16158" s="8" t="n">
        <v>15</v>
      </c>
      <c r="H16158" s="8" t="inlineStr">
        <is>
          <t>OPERATING</t>
        </is>
      </c>
    </row>
    <row r="16159">
      <c r="A16159" s="8" t="inlineStr">
        <is>
          <t>2026-08-03</t>
        </is>
      </c>
      <c r="B16159" s="8" t="n">
        <v>18</v>
      </c>
      <c r="C16159" s="8" t="n">
        <v>31</v>
      </c>
      <c r="D16159" s="8" t="inlineStr">
        <is>
          <t>Disneyland Park</t>
        </is>
      </c>
      <c r="E16159" s="8" t="inlineStr">
        <is>
          <t>River Rogue Keelboats</t>
        </is>
      </c>
      <c r="F16159" s="8" t="inlineStr">
        <is>
          <t>STANDBY</t>
        </is>
      </c>
      <c r="G16159" s="8" t="n">
        <v>0</v>
      </c>
      <c r="H16159" s="8" t="inlineStr">
        <is>
          <t>CLOSED</t>
        </is>
      </c>
    </row>
    <row r="16160">
      <c r="A16160" s="8" t="inlineStr">
        <is>
          <t>2026-08-03</t>
        </is>
      </c>
      <c r="B16160" s="8" t="n">
        <v>18</v>
      </c>
      <c r="C16160" s="8" t="n">
        <v>31</v>
      </c>
      <c r="D16160" s="8" t="inlineStr">
        <is>
          <t>Disneyland Park</t>
        </is>
      </c>
      <c r="E16160" s="8" t="inlineStr">
        <is>
          <t>Rustler Roundup Shootin' Gallery</t>
        </is>
      </c>
      <c r="F16160" s="8" t="inlineStr">
        <is>
          <t>STANDBY</t>
        </is>
      </c>
      <c r="G16160" s="8" t="n">
        <v>0</v>
      </c>
      <c r="H16160" s="8" t="inlineStr">
        <is>
          <t>OPERATING</t>
        </is>
      </c>
    </row>
    <row r="16161">
      <c r="A16161" s="8" t="inlineStr">
        <is>
          <t>2026-08-03</t>
        </is>
      </c>
      <c r="B16161" s="8" t="n">
        <v>18</v>
      </c>
      <c r="C16161" s="8" t="n">
        <v>31</v>
      </c>
      <c r="D16161" s="8" t="inlineStr">
        <is>
          <t>Disneyland Park</t>
        </is>
      </c>
      <c r="E16161" s="8" t="inlineStr">
        <is>
          <t>Thunder Mesa Riverboat Landing</t>
        </is>
      </c>
      <c r="F16161" s="8" t="inlineStr">
        <is>
          <t>STANDBY</t>
        </is>
      </c>
      <c r="G16161" s="8" t="n">
        <v>0</v>
      </c>
      <c r="H16161" s="8" t="inlineStr">
        <is>
          <t>CLOSED</t>
        </is>
      </c>
    </row>
    <row r="16162">
      <c r="A16162" s="8" t="inlineStr">
        <is>
          <t>2026-08-03</t>
        </is>
      </c>
      <c r="B16162" s="8" t="n">
        <v>18</v>
      </c>
      <c r="C16162" s="8" t="n">
        <v>31</v>
      </c>
      <c r="D16162" s="8" t="inlineStr">
        <is>
          <t>Disneyland Park</t>
        </is>
      </c>
      <c r="E16162" s="8" t="inlineStr">
        <is>
          <t>Disneyland Railroad Main Street Station</t>
        </is>
      </c>
      <c r="F16162" s="8" t="inlineStr">
        <is>
          <t>STANDBY</t>
        </is>
      </c>
      <c r="G16162" s="8" t="n">
        <v>0</v>
      </c>
      <c r="H16162" s="8" t="inlineStr">
        <is>
          <t>CLOSED</t>
        </is>
      </c>
    </row>
    <row r="16163">
      <c r="A16163" s="8" t="inlineStr">
        <is>
          <t>2026-08-03</t>
        </is>
      </c>
      <c r="B16163" s="8" t="n">
        <v>18</v>
      </c>
      <c r="C16163" s="8" t="n">
        <v>31</v>
      </c>
      <c r="D16163" s="8" t="inlineStr">
        <is>
          <t>Disneyland Park</t>
        </is>
      </c>
      <c r="E16163" s="8" t="inlineStr">
        <is>
          <t>Main Street Vehicles</t>
        </is>
      </c>
      <c r="F16163" s="8" t="inlineStr">
        <is>
          <t>STANDBY</t>
        </is>
      </c>
      <c r="G16163" s="8" t="n">
        <v>0</v>
      </c>
      <c r="H16163" s="8" t="inlineStr">
        <is>
          <t>CLOSED</t>
        </is>
      </c>
    </row>
    <row r="16164">
      <c r="A16164" s="8" t="inlineStr">
        <is>
          <t>2026-08-03</t>
        </is>
      </c>
      <c r="B16164" s="8" t="n">
        <v>18</v>
      </c>
      <c r="C16164" s="8" t="n">
        <v>31</v>
      </c>
      <c r="D16164" s="8" t="inlineStr">
        <is>
          <t>Disney Adventure World</t>
        </is>
      </c>
      <c r="E16164" s="8" t="inlineStr">
        <is>
          <t>Avengers Assemble: Flight Force</t>
        </is>
      </c>
      <c r="F16164" s="8" t="inlineStr">
        <is>
          <t>STANDBY</t>
        </is>
      </c>
      <c r="G16164" s="8" t="n">
        <v>25</v>
      </c>
      <c r="H16164" s="8" t="inlineStr">
        <is>
          <t>OPERATING</t>
        </is>
      </c>
    </row>
    <row r="16165">
      <c r="A16165" s="8" t="inlineStr">
        <is>
          <t>2026-08-03</t>
        </is>
      </c>
      <c r="B16165" s="8" t="n">
        <v>18</v>
      </c>
      <c r="C16165" s="8" t="n">
        <v>31</v>
      </c>
      <c r="D16165" s="8" t="inlineStr">
        <is>
          <t>Disney Adventure World</t>
        </is>
      </c>
      <c r="E16165" s="8" t="inlineStr">
        <is>
          <t>Avengers Assemble: Flight Force Single Rider</t>
        </is>
      </c>
      <c r="F16165" s="8" t="inlineStr">
        <is>
          <t>STANDBY</t>
        </is>
      </c>
      <c r="G16165" s="8" t="n">
        <v>20</v>
      </c>
      <c r="H16165" s="8" t="inlineStr">
        <is>
          <t>OPERATING</t>
        </is>
      </c>
    </row>
    <row r="16166">
      <c r="A16166" s="8" t="inlineStr">
        <is>
          <t>2026-08-03</t>
        </is>
      </c>
      <c r="B16166" s="8" t="n">
        <v>18</v>
      </c>
      <c r="C16166" s="8" t="n">
        <v>31</v>
      </c>
      <c r="D16166" s="8" t="inlineStr">
        <is>
          <t>Disney Adventure World</t>
        </is>
      </c>
      <c r="E16166" s="8" t="inlineStr">
        <is>
          <t>Spider-Man W.E.B. Adventure</t>
        </is>
      </c>
      <c r="F16166" s="8" t="inlineStr">
        <is>
          <t>STANDBY</t>
        </is>
      </c>
      <c r="G16166" s="8" t="n">
        <v>35</v>
      </c>
      <c r="H16166" s="8" t="inlineStr">
        <is>
          <t>OPERATING</t>
        </is>
      </c>
    </row>
    <row r="16167">
      <c r="A16167" s="8" t="inlineStr">
        <is>
          <t>2026-08-03</t>
        </is>
      </c>
      <c r="B16167" s="8" t="n">
        <v>18</v>
      </c>
      <c r="C16167" s="8" t="n">
        <v>31</v>
      </c>
      <c r="D16167" s="8" t="inlineStr">
        <is>
          <t>Disney Adventure World</t>
        </is>
      </c>
      <c r="E16167" s="8" t="inlineStr">
        <is>
          <t>Spider-Man W.E.B. Adventure Single Rider</t>
        </is>
      </c>
      <c r="F16167" s="8" t="inlineStr">
        <is>
          <t>STANDBY</t>
        </is>
      </c>
      <c r="G16167" s="8" t="n">
        <v>15</v>
      </c>
      <c r="H16167" s="8" t="inlineStr">
        <is>
          <t>OPERATING</t>
        </is>
      </c>
    </row>
    <row r="16168">
      <c r="A16168" s="8" t="inlineStr">
        <is>
          <t>2026-08-03</t>
        </is>
      </c>
      <c r="B16168" s="8" t="n">
        <v>18</v>
      </c>
      <c r="C16168" s="8" t="n">
        <v>31</v>
      </c>
      <c r="D16168" s="8" t="inlineStr">
        <is>
          <t>Disney Adventure World</t>
        </is>
      </c>
      <c r="E16168" s="8" t="inlineStr">
        <is>
          <t>The Twilight Zone Tower of Terror</t>
        </is>
      </c>
      <c r="F16168" s="8" t="inlineStr">
        <is>
          <t>STANDBY</t>
        </is>
      </c>
      <c r="G16168" s="8" t="n">
        <v>25</v>
      </c>
      <c r="H16168" s="8" t="inlineStr">
        <is>
          <t>OPERATING</t>
        </is>
      </c>
    </row>
    <row r="16169">
      <c r="A16169" s="8" t="inlineStr">
        <is>
          <t>2026-08-03</t>
        </is>
      </c>
      <c r="B16169" s="8" t="n">
        <v>18</v>
      </c>
      <c r="C16169" s="8" t="n">
        <v>31</v>
      </c>
      <c r="D16169" s="8" t="inlineStr">
        <is>
          <t>Disney Adventure World</t>
        </is>
      </c>
      <c r="E16169" s="8" t="inlineStr">
        <is>
          <t>Cars Quatre Roues Rallye</t>
        </is>
      </c>
      <c r="F16169" s="8" t="inlineStr">
        <is>
          <t>STANDBY</t>
        </is>
      </c>
      <c r="G16169" s="8" t="n">
        <v>5</v>
      </c>
      <c r="H16169" s="8" t="inlineStr">
        <is>
          <t>OPERATING</t>
        </is>
      </c>
    </row>
    <row r="16170">
      <c r="A16170" s="8" t="inlineStr">
        <is>
          <t>2026-08-03</t>
        </is>
      </c>
      <c r="B16170" s="8" t="n">
        <v>18</v>
      </c>
      <c r="C16170" s="8" t="n">
        <v>31</v>
      </c>
      <c r="D16170" s="8" t="inlineStr">
        <is>
          <t>Disney Adventure World</t>
        </is>
      </c>
      <c r="E16170" s="8" t="inlineStr">
        <is>
          <t>Cars ROAD TRIP</t>
        </is>
      </c>
      <c r="F16170" s="8" t="inlineStr">
        <is>
          <t>STANDBY</t>
        </is>
      </c>
      <c r="G16170" s="8" t="n">
        <v>10</v>
      </c>
      <c r="H16170" s="8" t="inlineStr">
        <is>
          <t>OPERATING</t>
        </is>
      </c>
    </row>
    <row r="16171">
      <c r="A16171" s="8" t="inlineStr">
        <is>
          <t>2026-08-03</t>
        </is>
      </c>
      <c r="B16171" s="8" t="n">
        <v>18</v>
      </c>
      <c r="C16171" s="8" t="n">
        <v>31</v>
      </c>
      <c r="D16171" s="8" t="inlineStr">
        <is>
          <t>Disney Adventure World</t>
        </is>
      </c>
      <c r="E16171" s="8" t="inlineStr">
        <is>
          <t>Crush's Coaster</t>
        </is>
      </c>
      <c r="F16171" s="8" t="inlineStr">
        <is>
          <t>STANDBY</t>
        </is>
      </c>
      <c r="G16171" s="8" t="n">
        <v>65</v>
      </c>
      <c r="H16171" s="8" t="inlineStr">
        <is>
          <t>OPERATING</t>
        </is>
      </c>
    </row>
    <row r="16172">
      <c r="A16172" s="8" t="inlineStr">
        <is>
          <t>2026-08-03</t>
        </is>
      </c>
      <c r="B16172" s="8" t="n">
        <v>18</v>
      </c>
      <c r="C16172" s="8" t="n">
        <v>31</v>
      </c>
      <c r="D16172" s="8" t="inlineStr">
        <is>
          <t>Disney Adventure World</t>
        </is>
      </c>
      <c r="E16172" s="8" t="inlineStr">
        <is>
          <t>Crush's Coaster Single Rider</t>
        </is>
      </c>
      <c r="F16172" s="8" t="inlineStr">
        <is>
          <t>STANDBY</t>
        </is>
      </c>
      <c r="G16172" s="8" t="n">
        <v>35</v>
      </c>
      <c r="H16172" s="8" t="inlineStr">
        <is>
          <t>OPERATING</t>
        </is>
      </c>
    </row>
    <row r="16173">
      <c r="A16173" s="8" t="inlineStr">
        <is>
          <t>2026-08-03</t>
        </is>
      </c>
      <c r="B16173" s="8" t="n">
        <v>18</v>
      </c>
      <c r="C16173" s="8" t="n">
        <v>31</v>
      </c>
      <c r="D16173" s="8" t="inlineStr">
        <is>
          <t>Disney Adventure World</t>
        </is>
      </c>
      <c r="E16173" s="8" t="inlineStr">
        <is>
          <t>Les Tapis Volants - Flying Carpets Over Agrabah®</t>
        </is>
      </c>
      <c r="F16173" s="8" t="inlineStr">
        <is>
          <t>STANDBY</t>
        </is>
      </c>
      <c r="G16173" s="8" t="n">
        <v>20</v>
      </c>
      <c r="H16173" s="8" t="inlineStr">
        <is>
          <t>OPERATING</t>
        </is>
      </c>
    </row>
    <row r="16174">
      <c r="A16174" s="8" t="inlineStr">
        <is>
          <t>2026-08-03</t>
        </is>
      </c>
      <c r="B16174" s="8" t="n">
        <v>18</v>
      </c>
      <c r="C16174" s="8" t="n">
        <v>31</v>
      </c>
      <c r="D16174" s="8" t="inlineStr">
        <is>
          <t>Disney Adventure World</t>
        </is>
      </c>
      <c r="E16174" s="8" t="inlineStr">
        <is>
          <t>Ratatouille : L’Aventure Totalement Toquée de Rémy​</t>
        </is>
      </c>
      <c r="F16174" s="8" t="inlineStr">
        <is>
          <t>STANDBY</t>
        </is>
      </c>
      <c r="G16174" s="8" t="n">
        <v>45</v>
      </c>
      <c r="H16174" s="8" t="inlineStr">
        <is>
          <t>OPERATING</t>
        </is>
      </c>
    </row>
    <row r="16175">
      <c r="A16175" s="8" t="inlineStr">
        <is>
          <t>2026-08-03</t>
        </is>
      </c>
      <c r="B16175" s="8" t="n">
        <v>18</v>
      </c>
      <c r="C16175" s="8" t="n">
        <v>31</v>
      </c>
      <c r="D16175" s="8" t="inlineStr">
        <is>
          <t>Disney Adventure World</t>
        </is>
      </c>
      <c r="E16175" s="8" t="inlineStr">
        <is>
          <t>Ratatouille: The Adventure Single Rider</t>
        </is>
      </c>
      <c r="F16175" s="8" t="inlineStr">
        <is>
          <t>STANDBY</t>
        </is>
      </c>
      <c r="G16175" s="8" t="n">
        <v>10</v>
      </c>
      <c r="H16175" s="8" t="inlineStr">
        <is>
          <t>OPERATING</t>
        </is>
      </c>
    </row>
    <row r="16176">
      <c r="A16176" s="8" t="inlineStr">
        <is>
          <t>2026-08-03</t>
        </is>
      </c>
      <c r="B16176" s="8" t="n">
        <v>18</v>
      </c>
      <c r="C16176" s="8" t="n">
        <v>31</v>
      </c>
      <c r="D16176" s="8" t="inlineStr">
        <is>
          <t>Disney Adventure World</t>
        </is>
      </c>
      <c r="E16176" s="8" t="inlineStr">
        <is>
          <t>RC Racer</t>
        </is>
      </c>
      <c r="F16176" s="8" t="inlineStr">
        <is>
          <t>STANDBY</t>
        </is>
      </c>
      <c r="G16176" s="8" t="n">
        <v>10</v>
      </c>
      <c r="H16176" s="8" t="inlineStr">
        <is>
          <t>OPERATING</t>
        </is>
      </c>
    </row>
    <row r="16177">
      <c r="A16177" s="8" t="inlineStr">
        <is>
          <t>2026-08-03</t>
        </is>
      </c>
      <c r="B16177" s="8" t="n">
        <v>18</v>
      </c>
      <c r="C16177" s="8" t="n">
        <v>31</v>
      </c>
      <c r="D16177" s="8" t="inlineStr">
        <is>
          <t>Disney Adventure World</t>
        </is>
      </c>
      <c r="E16177" s="8" t="inlineStr">
        <is>
          <t>RC Racer Single Rider</t>
        </is>
      </c>
      <c r="F16177" s="8" t="inlineStr">
        <is>
          <t>STANDBY</t>
        </is>
      </c>
      <c r="G16177" s="8" t="n">
        <v>5</v>
      </c>
      <c r="H16177" s="8" t="inlineStr">
        <is>
          <t>OPERATING</t>
        </is>
      </c>
    </row>
    <row r="16178">
      <c r="A16178" s="8" t="inlineStr">
        <is>
          <t>2026-08-03</t>
        </is>
      </c>
      <c r="B16178" s="8" t="n">
        <v>18</v>
      </c>
      <c r="C16178" s="8" t="n">
        <v>31</v>
      </c>
      <c r="D16178" s="8" t="inlineStr">
        <is>
          <t>Disney Adventure World</t>
        </is>
      </c>
      <c r="E16178" s="8" t="inlineStr">
        <is>
          <t>Slinky® Dog Zigzag Spin</t>
        </is>
      </c>
      <c r="F16178" s="8" t="inlineStr">
        <is>
          <t>STANDBY</t>
        </is>
      </c>
      <c r="G16178" s="8" t="n">
        <v>15</v>
      </c>
      <c r="H16178" s="8" t="inlineStr">
        <is>
          <t>OPERATING</t>
        </is>
      </c>
    </row>
    <row r="16179">
      <c r="A16179" s="8" t="inlineStr">
        <is>
          <t>2026-08-03</t>
        </is>
      </c>
      <c r="B16179" s="8" t="n">
        <v>18</v>
      </c>
      <c r="C16179" s="8" t="n">
        <v>31</v>
      </c>
      <c r="D16179" s="8" t="inlineStr">
        <is>
          <t>Disney Adventure World</t>
        </is>
      </c>
      <c r="E16179" s="8" t="inlineStr">
        <is>
          <t>Toy Soldiers Parachute Drop</t>
        </is>
      </c>
      <c r="F16179" s="8" t="inlineStr">
        <is>
          <t>STANDBY</t>
        </is>
      </c>
      <c r="G16179" s="8" t="n">
        <v>50</v>
      </c>
      <c r="H16179" s="8" t="inlineStr">
        <is>
          <t>OPERATING</t>
        </is>
      </c>
    </row>
    <row r="16180">
      <c r="A16180" s="8" t="inlineStr">
        <is>
          <t>2026-08-03</t>
        </is>
      </c>
      <c r="B16180" s="8" t="n">
        <v>18</v>
      </c>
      <c r="C16180" s="8" t="n">
        <v>31</v>
      </c>
      <c r="D16180" s="8" t="inlineStr">
        <is>
          <t>Disney Adventure World</t>
        </is>
      </c>
      <c r="E16180" s="8" t="inlineStr">
        <is>
          <t>Toy Soldiers Parachute Drop Single Rider</t>
        </is>
      </c>
      <c r="F16180" s="8" t="inlineStr">
        <is>
          <t>STANDBY</t>
        </is>
      </c>
      <c r="G16180" s="8" t="n">
        <v>25</v>
      </c>
      <c r="H16180" s="8" t="inlineStr">
        <is>
          <t>OPERATING</t>
        </is>
      </c>
    </row>
    <row r="16181">
      <c r="A16181" s="8" t="inlineStr">
        <is>
          <t>2026-08-03</t>
        </is>
      </c>
      <c r="B16181" s="8" t="n">
        <v>18</v>
      </c>
      <c r="C16181" s="8" t="n">
        <v>31</v>
      </c>
      <c r="D16181" s="8" t="inlineStr">
        <is>
          <t>Disney Adventure World</t>
        </is>
      </c>
      <c r="E16181" s="8" t="inlineStr">
        <is>
          <t>Entry to World of Frozen</t>
        </is>
      </c>
      <c r="F16181" s="8" t="inlineStr">
        <is>
          <t>STANDBY</t>
        </is>
      </c>
      <c r="G16181" s="8" t="n">
        <v>0</v>
      </c>
      <c r="H16181" s="8" t="inlineStr">
        <is>
          <t>OPERATING</t>
        </is>
      </c>
    </row>
    <row r="16182">
      <c r="A16182" s="8" t="inlineStr">
        <is>
          <t>2026-08-03</t>
        </is>
      </c>
      <c r="B16182" s="8" t="n">
        <v>18</v>
      </c>
      <c r="C16182" s="8" t="n">
        <v>31</v>
      </c>
      <c r="D16182" s="8" t="inlineStr">
        <is>
          <t>Disney Adventure World</t>
        </is>
      </c>
      <c r="E16182" s="8" t="inlineStr">
        <is>
          <t>Frozen Ever After</t>
        </is>
      </c>
      <c r="F16182" s="8" t="inlineStr">
        <is>
          <t>STANDBY</t>
        </is>
      </c>
      <c r="G16182" s="8" t="n">
        <v>45</v>
      </c>
      <c r="H16182" s="8" t="inlineStr">
        <is>
          <t>OPERATING</t>
        </is>
      </c>
    </row>
    <row r="16183">
      <c r="A16183" s="8" t="inlineStr">
        <is>
          <t>2026-08-03</t>
        </is>
      </c>
      <c r="B16183" s="8" t="n">
        <v>18</v>
      </c>
      <c r="C16183" s="8" t="n">
        <v>31</v>
      </c>
      <c r="D16183" s="8" t="inlineStr">
        <is>
          <t>Disney Adventure World</t>
        </is>
      </c>
      <c r="E16183" s="8" t="inlineStr">
        <is>
          <t>Raiponce Tangled Spin</t>
        </is>
      </c>
      <c r="F16183" s="8" t="inlineStr">
        <is>
          <t>STANDBY</t>
        </is>
      </c>
      <c r="G16183" s="8" t="n">
        <v>5</v>
      </c>
      <c r="H16183" s="8" t="inlineStr">
        <is>
          <t>OPERATING</t>
        </is>
      </c>
    </row>
    <row r="16184">
      <c r="A16184" s="8" t="inlineStr">
        <is>
          <t>2026-08-03</t>
        </is>
      </c>
      <c r="B16184" s="8" t="n">
        <v>18</v>
      </c>
      <c r="C16184" s="8" t="n">
        <v>45</v>
      </c>
      <c r="D16184" s="8" t="inlineStr">
        <is>
          <t>Disneyland Park</t>
        </is>
      </c>
      <c r="E16184" s="8" t="inlineStr">
        <is>
          <t>Adventure Isle</t>
        </is>
      </c>
      <c r="F16184" s="8" t="inlineStr">
        <is>
          <t>STANDBY</t>
        </is>
      </c>
      <c r="G16184" s="8" t="n">
        <v>0</v>
      </c>
      <c r="H16184" s="8" t="inlineStr">
        <is>
          <t>OPERATING</t>
        </is>
      </c>
    </row>
    <row r="16185">
      <c r="A16185" s="8" t="inlineStr">
        <is>
          <t>2026-08-03</t>
        </is>
      </c>
      <c r="B16185" s="8" t="n">
        <v>18</v>
      </c>
      <c r="C16185" s="8" t="n">
        <v>45</v>
      </c>
      <c r="D16185" s="8" t="inlineStr">
        <is>
          <t>Disneyland Park</t>
        </is>
      </c>
      <c r="E16185" s="8" t="inlineStr">
        <is>
          <t>Indiana Jones and the Temple of Peril Single Rider</t>
        </is>
      </c>
      <c r="F16185" s="8" t="inlineStr">
        <is>
          <t>STANDBY</t>
        </is>
      </c>
      <c r="G16185" s="8" t="n">
        <v>0</v>
      </c>
      <c r="H16185" s="8" t="inlineStr">
        <is>
          <t>CLOSED</t>
        </is>
      </c>
    </row>
    <row r="16186">
      <c r="A16186" s="8" t="inlineStr">
        <is>
          <t>2026-08-03</t>
        </is>
      </c>
      <c r="B16186" s="8" t="n">
        <v>18</v>
      </c>
      <c r="C16186" s="8" t="n">
        <v>45</v>
      </c>
      <c r="D16186" s="8" t="inlineStr">
        <is>
          <t>Disneyland Park</t>
        </is>
      </c>
      <c r="E16186" s="8" t="inlineStr">
        <is>
          <t>Indiana Jones™ and the Temple of Peril</t>
        </is>
      </c>
      <c r="F16186" s="8" t="inlineStr">
        <is>
          <t>STANDBY</t>
        </is>
      </c>
      <c r="G16186" s="8" t="n">
        <v>0</v>
      </c>
      <c r="H16186" s="8" t="inlineStr">
        <is>
          <t>CLOSED</t>
        </is>
      </c>
    </row>
    <row r="16187">
      <c r="A16187" s="8" t="inlineStr">
        <is>
          <t>2026-08-03</t>
        </is>
      </c>
      <c r="B16187" s="8" t="n">
        <v>18</v>
      </c>
      <c r="C16187" s="8" t="n">
        <v>45</v>
      </c>
      <c r="D16187" s="8" t="inlineStr">
        <is>
          <t>Disneyland Park</t>
        </is>
      </c>
      <c r="E16187" s="8" t="inlineStr">
        <is>
          <t>La Cabane des Robinson</t>
        </is>
      </c>
      <c r="F16187" s="8" t="inlineStr">
        <is>
          <t>STANDBY</t>
        </is>
      </c>
      <c r="G16187" s="8" t="n">
        <v>0</v>
      </c>
      <c r="H16187" s="8" t="inlineStr">
        <is>
          <t>CLOSED</t>
        </is>
      </c>
    </row>
    <row r="16188">
      <c r="A16188" s="8" t="inlineStr">
        <is>
          <t>2026-08-03</t>
        </is>
      </c>
      <c r="B16188" s="8" t="n">
        <v>18</v>
      </c>
      <c r="C16188" s="8" t="n">
        <v>45</v>
      </c>
      <c r="D16188" s="8" t="inlineStr">
        <is>
          <t>Disneyland Park</t>
        </is>
      </c>
      <c r="E16188" s="8" t="inlineStr">
        <is>
          <t>Le Passage Enchanté d'Aladdin</t>
        </is>
      </c>
      <c r="F16188" s="8" t="inlineStr">
        <is>
          <t>STANDBY</t>
        </is>
      </c>
      <c r="G16188" s="8" t="n">
        <v>0</v>
      </c>
      <c r="H16188" s="8" t="inlineStr">
        <is>
          <t>OPERATING</t>
        </is>
      </c>
    </row>
    <row r="16189">
      <c r="A16189" s="8" t="inlineStr">
        <is>
          <t>2026-08-03</t>
        </is>
      </c>
      <c r="B16189" s="8" t="n">
        <v>18</v>
      </c>
      <c r="C16189" s="8" t="n">
        <v>45</v>
      </c>
      <c r="D16189" s="8" t="inlineStr">
        <is>
          <t>Disneyland Park</t>
        </is>
      </c>
      <c r="E16189" s="8" t="inlineStr">
        <is>
          <t>Pirate Galleon</t>
        </is>
      </c>
      <c r="F16189" s="8" t="inlineStr">
        <is>
          <t>STANDBY</t>
        </is>
      </c>
      <c r="G16189" s="8" t="n">
        <v>0</v>
      </c>
      <c r="H16189" s="8" t="inlineStr">
        <is>
          <t>CLOSED</t>
        </is>
      </c>
    </row>
    <row r="16190">
      <c r="A16190" s="8" t="inlineStr">
        <is>
          <t>2026-08-03</t>
        </is>
      </c>
      <c r="B16190" s="8" t="n">
        <v>18</v>
      </c>
      <c r="C16190" s="8" t="n">
        <v>45</v>
      </c>
      <c r="D16190" s="8" t="inlineStr">
        <is>
          <t>Disneyland Park</t>
        </is>
      </c>
      <c r="E16190" s="8" t="inlineStr">
        <is>
          <t>Pirates of the Caribbean</t>
        </is>
      </c>
      <c r="F16190" s="8" t="inlineStr">
        <is>
          <t>STANDBY</t>
        </is>
      </c>
      <c r="G16190" s="8" t="n">
        <v>15</v>
      </c>
      <c r="H16190" s="8" t="inlineStr">
        <is>
          <t>OPERATING</t>
        </is>
      </c>
    </row>
    <row r="16191">
      <c r="A16191" s="8" t="inlineStr">
        <is>
          <t>2026-08-03</t>
        </is>
      </c>
      <c r="B16191" s="8" t="n">
        <v>18</v>
      </c>
      <c r="C16191" s="8" t="n">
        <v>45</v>
      </c>
      <c r="D16191" s="8" t="inlineStr">
        <is>
          <t>Disneyland Park</t>
        </is>
      </c>
      <c r="E16191" s="8" t="inlineStr">
        <is>
          <t>Pirates' Beach</t>
        </is>
      </c>
      <c r="F16191" s="8" t="inlineStr">
        <is>
          <t>STANDBY</t>
        </is>
      </c>
      <c r="G16191" s="8" t="n">
        <v>0</v>
      </c>
      <c r="H16191" s="8" t="inlineStr">
        <is>
          <t>OPERATING</t>
        </is>
      </c>
    </row>
    <row r="16192">
      <c r="A16192" s="8" t="inlineStr">
        <is>
          <t>2026-08-03</t>
        </is>
      </c>
      <c r="B16192" s="8" t="n">
        <v>18</v>
      </c>
      <c r="C16192" s="8" t="n">
        <v>45</v>
      </c>
      <c r="D16192" s="8" t="inlineStr">
        <is>
          <t>Disneyland Park</t>
        </is>
      </c>
      <c r="E16192" s="8" t="inlineStr">
        <is>
          <t>Autopia, presented by Avis</t>
        </is>
      </c>
      <c r="F16192" s="8" t="inlineStr">
        <is>
          <t>STANDBY</t>
        </is>
      </c>
      <c r="G16192" s="8" t="n">
        <v>0</v>
      </c>
      <c r="H16192" s="8" t="inlineStr">
        <is>
          <t>CLOSED</t>
        </is>
      </c>
    </row>
    <row r="16193">
      <c r="A16193" s="8" t="inlineStr">
        <is>
          <t>2026-08-03</t>
        </is>
      </c>
      <c r="B16193" s="8" t="n">
        <v>18</v>
      </c>
      <c r="C16193" s="8" t="n">
        <v>45</v>
      </c>
      <c r="D16193" s="8" t="inlineStr">
        <is>
          <t>Disneyland Park</t>
        </is>
      </c>
      <c r="E16193" s="8" t="inlineStr">
        <is>
          <t>Buzz Lightyear Laser Blast</t>
        </is>
      </c>
      <c r="F16193" s="8" t="inlineStr">
        <is>
          <t>STANDBY</t>
        </is>
      </c>
      <c r="G16193" s="8" t="n">
        <v>30</v>
      </c>
      <c r="H16193" s="8" t="inlineStr">
        <is>
          <t>OPERATING</t>
        </is>
      </c>
    </row>
    <row r="16194">
      <c r="A16194" s="8" t="inlineStr">
        <is>
          <t>2026-08-03</t>
        </is>
      </c>
      <c r="B16194" s="8" t="n">
        <v>18</v>
      </c>
      <c r="C16194" s="8" t="n">
        <v>45</v>
      </c>
      <c r="D16194" s="8" t="inlineStr">
        <is>
          <t>Disneyland Park</t>
        </is>
      </c>
      <c r="E16194" s="8" t="inlineStr">
        <is>
          <t>Disneyland Railroad Discoveryland Station</t>
        </is>
      </c>
      <c r="F16194" s="8" t="inlineStr">
        <is>
          <t>STANDBY</t>
        </is>
      </c>
      <c r="G16194" s="8" t="n">
        <v>0</v>
      </c>
      <c r="H16194" s="8" t="inlineStr">
        <is>
          <t>CLOSED</t>
        </is>
      </c>
    </row>
    <row r="16195">
      <c r="A16195" s="8" t="inlineStr">
        <is>
          <t>2026-08-03</t>
        </is>
      </c>
      <c r="B16195" s="8" t="n">
        <v>18</v>
      </c>
      <c r="C16195" s="8" t="n">
        <v>45</v>
      </c>
      <c r="D16195" s="8" t="inlineStr">
        <is>
          <t>Disneyland Park</t>
        </is>
      </c>
      <c r="E16195" s="8" t="inlineStr">
        <is>
          <t>Les Mystères du Nautilus</t>
        </is>
      </c>
      <c r="F16195" s="8" t="inlineStr">
        <is>
          <t>STANDBY</t>
        </is>
      </c>
      <c r="G16195" s="8" t="n">
        <v>5</v>
      </c>
      <c r="H16195" s="8" t="inlineStr">
        <is>
          <t>OPERATING</t>
        </is>
      </c>
    </row>
    <row r="16196">
      <c r="A16196" s="8" t="inlineStr">
        <is>
          <t>2026-08-03</t>
        </is>
      </c>
      <c r="B16196" s="8" t="n">
        <v>18</v>
      </c>
      <c r="C16196" s="8" t="n">
        <v>45</v>
      </c>
      <c r="D16196" s="8" t="inlineStr">
        <is>
          <t>Disneyland Park</t>
        </is>
      </c>
      <c r="E16196" s="8" t="inlineStr">
        <is>
          <t>Mickey’s PhilharMagic</t>
        </is>
      </c>
      <c r="F16196" s="8" t="inlineStr">
        <is>
          <t>STANDBY</t>
        </is>
      </c>
      <c r="G16196" s="8" t="n">
        <v>0</v>
      </c>
      <c r="H16196" s="8" t="inlineStr">
        <is>
          <t>CLOSED</t>
        </is>
      </c>
    </row>
    <row r="16197">
      <c r="A16197" s="8" t="inlineStr">
        <is>
          <t>2026-08-03</t>
        </is>
      </c>
      <c r="B16197" s="8" t="n">
        <v>18</v>
      </c>
      <c r="C16197" s="8" t="n">
        <v>45</v>
      </c>
      <c r="D16197" s="8" t="inlineStr">
        <is>
          <t>Disneyland Park</t>
        </is>
      </c>
      <c r="E16197" s="8" t="inlineStr">
        <is>
          <t>Orbitron®</t>
        </is>
      </c>
      <c r="F16197" s="8" t="inlineStr">
        <is>
          <t>STANDBY</t>
        </is>
      </c>
      <c r="G16197" s="8" t="n">
        <v>0</v>
      </c>
      <c r="H16197" s="8" t="inlineStr">
        <is>
          <t>CLOSED</t>
        </is>
      </c>
    </row>
    <row r="16198">
      <c r="A16198" s="8" t="inlineStr">
        <is>
          <t>2026-08-03</t>
        </is>
      </c>
      <c r="B16198" s="8" t="n">
        <v>18</v>
      </c>
      <c r="C16198" s="8" t="n">
        <v>45</v>
      </c>
      <c r="D16198" s="8" t="inlineStr">
        <is>
          <t>Disneyland Park</t>
        </is>
      </c>
      <c r="E16198" s="8" t="inlineStr">
        <is>
          <t>Star Tours: The Adventures Continue*</t>
        </is>
      </c>
      <c r="F16198" s="8" t="inlineStr">
        <is>
          <t>STANDBY</t>
        </is>
      </c>
      <c r="G16198" s="8" t="n">
        <v>5</v>
      </c>
      <c r="H16198" s="8" t="inlineStr">
        <is>
          <t>OPERATING</t>
        </is>
      </c>
    </row>
    <row r="16199">
      <c r="A16199" s="8" t="inlineStr">
        <is>
          <t>2026-08-03</t>
        </is>
      </c>
      <c r="B16199" s="8" t="n">
        <v>18</v>
      </c>
      <c r="C16199" s="8" t="n">
        <v>45</v>
      </c>
      <c r="D16199" s="8" t="inlineStr">
        <is>
          <t>Disneyland Park</t>
        </is>
      </c>
      <c r="E16199" s="8" t="inlineStr">
        <is>
          <t>Star Wars Hyperspace Mountain</t>
        </is>
      </c>
      <c r="F16199" s="8" t="inlineStr">
        <is>
          <t>STANDBY</t>
        </is>
      </c>
      <c r="G16199" s="8" t="n">
        <v>40</v>
      </c>
      <c r="H16199" s="8" t="inlineStr">
        <is>
          <t>OPERATING</t>
        </is>
      </c>
    </row>
    <row r="16200">
      <c r="A16200" s="8" t="inlineStr">
        <is>
          <t>2026-08-03</t>
        </is>
      </c>
      <c r="B16200" s="8" t="n">
        <v>18</v>
      </c>
      <c r="C16200" s="8" t="n">
        <v>45</v>
      </c>
      <c r="D16200" s="8" t="inlineStr">
        <is>
          <t>Disneyland Park</t>
        </is>
      </c>
      <c r="E16200" s="8" t="inlineStr">
        <is>
          <t>Star Wars Hyperspace Mountain Single Rider</t>
        </is>
      </c>
      <c r="F16200" s="8" t="inlineStr">
        <is>
          <t>STANDBY</t>
        </is>
      </c>
      <c r="G16200" s="8" t="n">
        <v>25</v>
      </c>
      <c r="H16200" s="8" t="inlineStr">
        <is>
          <t>OPERATING</t>
        </is>
      </c>
    </row>
    <row r="16201">
      <c r="A16201" s="8" t="inlineStr">
        <is>
          <t>2026-08-03</t>
        </is>
      </c>
      <c r="B16201" s="8" t="n">
        <v>18</v>
      </c>
      <c r="C16201" s="8" t="n">
        <v>45</v>
      </c>
      <c r="D16201" s="8" t="inlineStr">
        <is>
          <t>Disneyland Park</t>
        </is>
      </c>
      <c r="E16201" s="8" t="inlineStr">
        <is>
          <t>Welcome to Starport: A Star Wars Encounter</t>
        </is>
      </c>
      <c r="F16201" s="8" t="inlineStr">
        <is>
          <t>STANDBY</t>
        </is>
      </c>
      <c r="G16201" s="8" t="n">
        <v>0</v>
      </c>
      <c r="H16201" s="8" t="inlineStr">
        <is>
          <t>CLOSED</t>
        </is>
      </c>
    </row>
    <row r="16202">
      <c r="A16202" s="8" t="inlineStr">
        <is>
          <t>2026-08-03</t>
        </is>
      </c>
      <c r="B16202" s="8" t="n">
        <v>18</v>
      </c>
      <c r="C16202" s="8" t="n">
        <v>45</v>
      </c>
      <c r="D16202" s="8" t="inlineStr">
        <is>
          <t>Disneyland Park</t>
        </is>
      </c>
      <c r="E16202" s="8" t="inlineStr">
        <is>
          <t>"it's a small world"</t>
        </is>
      </c>
      <c r="F16202" s="8" t="inlineStr">
        <is>
          <t>STANDBY</t>
        </is>
      </c>
      <c r="G16202" s="8" t="n">
        <v>5</v>
      </c>
      <c r="H16202" s="8" t="inlineStr">
        <is>
          <t>OPERATING</t>
        </is>
      </c>
    </row>
    <row r="16203">
      <c r="A16203" s="8" t="inlineStr">
        <is>
          <t>2026-08-03</t>
        </is>
      </c>
      <c r="B16203" s="8" t="n">
        <v>18</v>
      </c>
      <c r="C16203" s="8" t="n">
        <v>45</v>
      </c>
      <c r="D16203" s="8" t="inlineStr">
        <is>
          <t>Disneyland Park</t>
        </is>
      </c>
      <c r="E16203" s="8" t="inlineStr">
        <is>
          <t>Alice's Curious Labyrinth</t>
        </is>
      </c>
      <c r="F16203" s="8" t="inlineStr">
        <is>
          <t>STANDBY</t>
        </is>
      </c>
      <c r="G16203" s="8" t="n">
        <v>5</v>
      </c>
      <c r="H16203" s="8" t="inlineStr">
        <is>
          <t>OPERATING</t>
        </is>
      </c>
    </row>
    <row r="16204">
      <c r="A16204" s="8" t="inlineStr">
        <is>
          <t>2026-08-03</t>
        </is>
      </c>
      <c r="B16204" s="8" t="n">
        <v>18</v>
      </c>
      <c r="C16204" s="8" t="n">
        <v>45</v>
      </c>
      <c r="D16204" s="8" t="inlineStr">
        <is>
          <t>Disneyland Park</t>
        </is>
      </c>
      <c r="E16204" s="8" t="inlineStr">
        <is>
          <t>Blanche-Neige et les Sept Nains®</t>
        </is>
      </c>
      <c r="F16204" s="8" t="inlineStr">
        <is>
          <t>STANDBY</t>
        </is>
      </c>
      <c r="G16204" s="8" t="n">
        <v>20</v>
      </c>
      <c r="H16204" s="8" t="inlineStr">
        <is>
          <t>OPERATING</t>
        </is>
      </c>
    </row>
    <row r="16205">
      <c r="A16205" s="8" t="inlineStr">
        <is>
          <t>2026-08-03</t>
        </is>
      </c>
      <c r="B16205" s="8" t="n">
        <v>18</v>
      </c>
      <c r="C16205" s="8" t="n">
        <v>45</v>
      </c>
      <c r="D16205" s="8" t="inlineStr">
        <is>
          <t>Disneyland Park</t>
        </is>
      </c>
      <c r="E16205" s="8" t="inlineStr">
        <is>
          <t>Casey Jr. – le Petit Train du Cirque</t>
        </is>
      </c>
      <c r="F16205" s="8" t="inlineStr">
        <is>
          <t>STANDBY</t>
        </is>
      </c>
      <c r="G16205" s="8" t="n">
        <v>0</v>
      </c>
      <c r="H16205" s="8" t="inlineStr">
        <is>
          <t>CLOSED</t>
        </is>
      </c>
    </row>
    <row r="16206">
      <c r="A16206" s="8" t="inlineStr">
        <is>
          <t>2026-08-03</t>
        </is>
      </c>
      <c r="B16206" s="8" t="n">
        <v>18</v>
      </c>
      <c r="C16206" s="8" t="n">
        <v>45</v>
      </c>
      <c r="D16206" s="8" t="inlineStr">
        <is>
          <t>Disneyland Park</t>
        </is>
      </c>
      <c r="E16206" s="8" t="inlineStr">
        <is>
          <t>Disneyland Railroad Fantasyland Station</t>
        </is>
      </c>
      <c r="F16206" s="8" t="inlineStr">
        <is>
          <t>STANDBY</t>
        </is>
      </c>
      <c r="G16206" s="8" t="n">
        <v>0</v>
      </c>
      <c r="H16206" s="8" t="inlineStr">
        <is>
          <t>CLOSED</t>
        </is>
      </c>
    </row>
    <row r="16207">
      <c r="A16207" s="8" t="inlineStr">
        <is>
          <t>2026-08-03</t>
        </is>
      </c>
      <c r="B16207" s="8" t="n">
        <v>18</v>
      </c>
      <c r="C16207" s="8" t="n">
        <v>45</v>
      </c>
      <c r="D16207" s="8" t="inlineStr">
        <is>
          <t>Disneyland Park</t>
        </is>
      </c>
      <c r="E16207" s="8" t="inlineStr">
        <is>
          <t>Disneyland Railroad Main Street Station</t>
        </is>
      </c>
      <c r="F16207" s="8" t="inlineStr">
        <is>
          <t>STANDBY</t>
        </is>
      </c>
      <c r="G16207" s="8" t="n">
        <v>0</v>
      </c>
      <c r="H16207" s="8" t="inlineStr">
        <is>
          <t>CLOSED</t>
        </is>
      </c>
    </row>
    <row r="16208">
      <c r="A16208" s="8" t="inlineStr">
        <is>
          <t>2026-08-03</t>
        </is>
      </c>
      <c r="B16208" s="8" t="n">
        <v>18</v>
      </c>
      <c r="C16208" s="8" t="n">
        <v>45</v>
      </c>
      <c r="D16208" s="8" t="inlineStr">
        <is>
          <t>Disneyland Park</t>
        </is>
      </c>
      <c r="E16208" s="8" t="inlineStr">
        <is>
          <t>Dumbo the Flying Elephant</t>
        </is>
      </c>
      <c r="F16208" s="8" t="inlineStr">
        <is>
          <t>STANDBY</t>
        </is>
      </c>
      <c r="G16208" s="8" t="n">
        <v>0</v>
      </c>
      <c r="H16208" s="8" t="inlineStr">
        <is>
          <t>CLOSED</t>
        </is>
      </c>
    </row>
    <row r="16209">
      <c r="A16209" s="8" t="inlineStr">
        <is>
          <t>2026-08-03</t>
        </is>
      </c>
      <c r="B16209" s="8" t="n">
        <v>18</v>
      </c>
      <c r="C16209" s="8" t="n">
        <v>45</v>
      </c>
      <c r="D16209" s="8" t="inlineStr">
        <is>
          <t>Disneyland Park</t>
        </is>
      </c>
      <c r="E16209" s="8" t="inlineStr">
        <is>
          <t>La Tanière du Dragon</t>
        </is>
      </c>
      <c r="F16209" s="8" t="inlineStr">
        <is>
          <t>STANDBY</t>
        </is>
      </c>
      <c r="G16209" s="8" t="n">
        <v>0</v>
      </c>
      <c r="H16209" s="8" t="inlineStr">
        <is>
          <t>OPERATING</t>
        </is>
      </c>
    </row>
    <row r="16210">
      <c r="A16210" s="8" t="inlineStr">
        <is>
          <t>2026-08-03</t>
        </is>
      </c>
      <c r="B16210" s="8" t="n">
        <v>18</v>
      </c>
      <c r="C16210" s="8" t="n">
        <v>45</v>
      </c>
      <c r="D16210" s="8" t="inlineStr">
        <is>
          <t>Disneyland Park</t>
        </is>
      </c>
      <c r="E16210" s="8" t="inlineStr">
        <is>
          <t>Le Carrousel de Lancelot</t>
        </is>
      </c>
      <c r="F16210" s="8" t="inlineStr">
        <is>
          <t>STANDBY</t>
        </is>
      </c>
      <c r="G16210" s="8" t="n">
        <v>10</v>
      </c>
      <c r="H16210" s="8" t="inlineStr">
        <is>
          <t>OPERATING</t>
        </is>
      </c>
    </row>
    <row r="16211">
      <c r="A16211" s="8" t="inlineStr">
        <is>
          <t>2026-08-03</t>
        </is>
      </c>
      <c r="B16211" s="8" t="n">
        <v>18</v>
      </c>
      <c r="C16211" s="8" t="n">
        <v>45</v>
      </c>
      <c r="D16211" s="8" t="inlineStr">
        <is>
          <t>Disneyland Park</t>
        </is>
      </c>
      <c r="E16211" s="8" t="inlineStr">
        <is>
          <t>Le Pays des Contes de Fées, presented by Vittel</t>
        </is>
      </c>
      <c r="F16211" s="8" t="inlineStr">
        <is>
          <t>STANDBY</t>
        </is>
      </c>
      <c r="G16211" s="8" t="n">
        <v>0</v>
      </c>
      <c r="H16211" s="8" t="inlineStr">
        <is>
          <t>CLOSED</t>
        </is>
      </c>
    </row>
    <row r="16212">
      <c r="A16212" s="8" t="inlineStr">
        <is>
          <t>2026-08-03</t>
        </is>
      </c>
      <c r="B16212" s="8" t="n">
        <v>18</v>
      </c>
      <c r="C16212" s="8" t="n">
        <v>45</v>
      </c>
      <c r="D16212" s="8" t="inlineStr">
        <is>
          <t>Disneyland Park</t>
        </is>
      </c>
      <c r="E16212" s="8" t="inlineStr">
        <is>
          <t>Les Voyages de Pinocchio</t>
        </is>
      </c>
      <c r="F16212" s="8" t="inlineStr">
        <is>
          <t>STANDBY</t>
        </is>
      </c>
      <c r="G16212" s="8" t="n">
        <v>25</v>
      </c>
      <c r="H16212" s="8" t="inlineStr">
        <is>
          <t>OPERATING</t>
        </is>
      </c>
    </row>
    <row r="16213">
      <c r="A16213" s="8" t="inlineStr">
        <is>
          <t>2026-08-03</t>
        </is>
      </c>
      <c r="B16213" s="8" t="n">
        <v>18</v>
      </c>
      <c r="C16213" s="8" t="n">
        <v>45</v>
      </c>
      <c r="D16213" s="8" t="inlineStr">
        <is>
          <t>Disneyland Park</t>
        </is>
      </c>
      <c r="E16213" s="8" t="inlineStr">
        <is>
          <t>Mad Hatter's Tea Cups</t>
        </is>
      </c>
      <c r="F16213" s="8" t="inlineStr">
        <is>
          <t>STANDBY</t>
        </is>
      </c>
      <c r="G16213" s="8" t="n">
        <v>5</v>
      </c>
      <c r="H16213" s="8" t="inlineStr">
        <is>
          <t>OPERATING</t>
        </is>
      </c>
    </row>
    <row r="16214">
      <c r="A16214" s="8" t="inlineStr">
        <is>
          <t>2026-08-03</t>
        </is>
      </c>
      <c r="B16214" s="8" t="n">
        <v>18</v>
      </c>
      <c r="C16214" s="8" t="n">
        <v>45</v>
      </c>
      <c r="D16214" s="8" t="inlineStr">
        <is>
          <t>Disneyland Park</t>
        </is>
      </c>
      <c r="E16214" s="8" t="inlineStr">
        <is>
          <t>Meet Mickey Mouse</t>
        </is>
      </c>
      <c r="F16214" s="8" t="inlineStr">
        <is>
          <t>STANDBY</t>
        </is>
      </c>
      <c r="G16214" s="8" t="n">
        <v>0</v>
      </c>
      <c r="H16214" s="8" t="inlineStr">
        <is>
          <t>CLOSED</t>
        </is>
      </c>
    </row>
    <row r="16215">
      <c r="A16215" s="8" t="inlineStr">
        <is>
          <t>2026-08-03</t>
        </is>
      </c>
      <c r="B16215" s="8" t="n">
        <v>18</v>
      </c>
      <c r="C16215" s="8" t="n">
        <v>45</v>
      </c>
      <c r="D16215" s="8" t="inlineStr">
        <is>
          <t>Disneyland Park</t>
        </is>
      </c>
      <c r="E16215" s="8" t="inlineStr">
        <is>
          <t>Peter Pan's Flight</t>
        </is>
      </c>
      <c r="F16215" s="8" t="inlineStr">
        <is>
          <t>STANDBY</t>
        </is>
      </c>
      <c r="G16215" s="8" t="n">
        <v>65</v>
      </c>
      <c r="H16215" s="8" t="inlineStr">
        <is>
          <t>OPERATING</t>
        </is>
      </c>
    </row>
    <row r="16216">
      <c r="A16216" s="8" t="inlineStr">
        <is>
          <t>2026-08-03</t>
        </is>
      </c>
      <c r="B16216" s="8" t="n">
        <v>18</v>
      </c>
      <c r="C16216" s="8" t="n">
        <v>45</v>
      </c>
      <c r="D16216" s="8" t="inlineStr">
        <is>
          <t>Disneyland Park</t>
        </is>
      </c>
      <c r="E16216" s="8" t="inlineStr">
        <is>
          <t>Princess Pavilion</t>
        </is>
      </c>
      <c r="F16216" s="8" t="inlineStr">
        <is>
          <t>STANDBY</t>
        </is>
      </c>
      <c r="G16216" s="8" t="n">
        <v>0</v>
      </c>
      <c r="H16216" s="8" t="inlineStr">
        <is>
          <t>CLOSED</t>
        </is>
      </c>
    </row>
    <row r="16217">
      <c r="A16217" s="8" t="inlineStr">
        <is>
          <t>2026-08-03</t>
        </is>
      </c>
      <c r="B16217" s="8" t="n">
        <v>18</v>
      </c>
      <c r="C16217" s="8" t="n">
        <v>45</v>
      </c>
      <c r="D16217" s="8" t="inlineStr">
        <is>
          <t>Disneyland Park</t>
        </is>
      </c>
      <c r="E16217" s="8" t="inlineStr">
        <is>
          <t>Big Thunder Mountain</t>
        </is>
      </c>
      <c r="F16217" s="8" t="inlineStr">
        <is>
          <t>STANDBY</t>
        </is>
      </c>
      <c r="G16217" s="8" t="n">
        <v>0</v>
      </c>
      <c r="H16217" s="8" t="inlineStr">
        <is>
          <t>CLOSED</t>
        </is>
      </c>
    </row>
    <row r="16218">
      <c r="A16218" s="8" t="inlineStr">
        <is>
          <t>2026-08-03</t>
        </is>
      </c>
      <c r="B16218" s="8" t="n">
        <v>18</v>
      </c>
      <c r="C16218" s="8" t="n">
        <v>45</v>
      </c>
      <c r="D16218" s="8" t="inlineStr">
        <is>
          <t>Disneyland Park</t>
        </is>
      </c>
      <c r="E16218" s="8" t="inlineStr">
        <is>
          <t>Disneyland Railroad Frontierland Depot</t>
        </is>
      </c>
      <c r="F16218" s="8" t="inlineStr">
        <is>
          <t>STANDBY</t>
        </is>
      </c>
      <c r="G16218" s="8" t="n">
        <v>0</v>
      </c>
      <c r="H16218" s="8" t="inlineStr">
        <is>
          <t>CLOSED</t>
        </is>
      </c>
    </row>
    <row r="16219">
      <c r="A16219" s="8" t="inlineStr">
        <is>
          <t>2026-08-03</t>
        </is>
      </c>
      <c r="B16219" s="8" t="n">
        <v>18</v>
      </c>
      <c r="C16219" s="8" t="n">
        <v>45</v>
      </c>
      <c r="D16219" s="8" t="inlineStr">
        <is>
          <t>Disneyland Park</t>
        </is>
      </c>
      <c r="E16219" s="8" t="inlineStr">
        <is>
          <t>Frontierland Playground</t>
        </is>
      </c>
      <c r="F16219" s="8" t="inlineStr">
        <is>
          <t>STANDBY</t>
        </is>
      </c>
      <c r="G16219" s="8" t="n">
        <v>0</v>
      </c>
      <c r="H16219" s="8" t="inlineStr">
        <is>
          <t>CLOSED</t>
        </is>
      </c>
    </row>
    <row r="16220">
      <c r="A16220" s="8" t="inlineStr">
        <is>
          <t>2026-08-03</t>
        </is>
      </c>
      <c r="B16220" s="8" t="n">
        <v>18</v>
      </c>
      <c r="C16220" s="8" t="n">
        <v>45</v>
      </c>
      <c r="D16220" s="8" t="inlineStr">
        <is>
          <t>Disneyland Park</t>
        </is>
      </c>
      <c r="E16220" s="8" t="inlineStr">
        <is>
          <t>Phantom Manor</t>
        </is>
      </c>
      <c r="F16220" s="8" t="inlineStr">
        <is>
          <t>STANDBY</t>
        </is>
      </c>
      <c r="G16220" s="8" t="n">
        <v>15</v>
      </c>
      <c r="H16220" s="8" t="inlineStr">
        <is>
          <t>OPERATING</t>
        </is>
      </c>
    </row>
    <row r="16221">
      <c r="A16221" s="8" t="inlineStr">
        <is>
          <t>2026-08-03</t>
        </is>
      </c>
      <c r="B16221" s="8" t="n">
        <v>18</v>
      </c>
      <c r="C16221" s="8" t="n">
        <v>45</v>
      </c>
      <c r="D16221" s="8" t="inlineStr">
        <is>
          <t>Disneyland Park</t>
        </is>
      </c>
      <c r="E16221" s="8" t="inlineStr">
        <is>
          <t>River Rogue Keelboats</t>
        </is>
      </c>
      <c r="F16221" s="8" t="inlineStr">
        <is>
          <t>STANDBY</t>
        </is>
      </c>
      <c r="G16221" s="8" t="n">
        <v>0</v>
      </c>
      <c r="H16221" s="8" t="inlineStr">
        <is>
          <t>CLOSED</t>
        </is>
      </c>
    </row>
    <row r="16222">
      <c r="A16222" s="8" t="inlineStr">
        <is>
          <t>2026-08-03</t>
        </is>
      </c>
      <c r="B16222" s="8" t="n">
        <v>18</v>
      </c>
      <c r="C16222" s="8" t="n">
        <v>45</v>
      </c>
      <c r="D16222" s="8" t="inlineStr">
        <is>
          <t>Disneyland Park</t>
        </is>
      </c>
      <c r="E16222" s="8" t="inlineStr">
        <is>
          <t>Rustler Roundup Shootin' Gallery</t>
        </is>
      </c>
      <c r="F16222" s="8" t="inlineStr">
        <is>
          <t>STANDBY</t>
        </is>
      </c>
      <c r="G16222" s="8" t="n">
        <v>0</v>
      </c>
      <c r="H16222" s="8" t="inlineStr">
        <is>
          <t>OPERATING</t>
        </is>
      </c>
    </row>
    <row r="16223">
      <c r="A16223" s="8" t="inlineStr">
        <is>
          <t>2026-08-03</t>
        </is>
      </c>
      <c r="B16223" s="8" t="n">
        <v>18</v>
      </c>
      <c r="C16223" s="8" t="n">
        <v>45</v>
      </c>
      <c r="D16223" s="8" t="inlineStr">
        <is>
          <t>Disneyland Park</t>
        </is>
      </c>
      <c r="E16223" s="8" t="inlineStr">
        <is>
          <t>Thunder Mesa Riverboat Landing</t>
        </is>
      </c>
      <c r="F16223" s="8" t="inlineStr">
        <is>
          <t>STANDBY</t>
        </is>
      </c>
      <c r="G16223" s="8" t="n">
        <v>0</v>
      </c>
      <c r="H16223" s="8" t="inlineStr">
        <is>
          <t>CLOSED</t>
        </is>
      </c>
    </row>
    <row r="16224">
      <c r="A16224" s="8" t="inlineStr">
        <is>
          <t>2026-08-03</t>
        </is>
      </c>
      <c r="B16224" s="8" t="n">
        <v>18</v>
      </c>
      <c r="C16224" s="8" t="n">
        <v>45</v>
      </c>
      <c r="D16224" s="8" t="inlineStr">
        <is>
          <t>Disneyland Park</t>
        </is>
      </c>
      <c r="E16224" s="8" t="inlineStr">
        <is>
          <t>Disneyland Railroad Main Street Station</t>
        </is>
      </c>
      <c r="F16224" s="8" t="inlineStr">
        <is>
          <t>STANDBY</t>
        </is>
      </c>
      <c r="G16224" s="8" t="n">
        <v>0</v>
      </c>
      <c r="H16224" s="8" t="inlineStr">
        <is>
          <t>CLOSED</t>
        </is>
      </c>
    </row>
    <row r="16225">
      <c r="A16225" s="8" t="inlineStr">
        <is>
          <t>2026-08-03</t>
        </is>
      </c>
      <c r="B16225" s="8" t="n">
        <v>18</v>
      </c>
      <c r="C16225" s="8" t="n">
        <v>45</v>
      </c>
      <c r="D16225" s="8" t="inlineStr">
        <is>
          <t>Disneyland Park</t>
        </is>
      </c>
      <c r="E16225" s="8" t="inlineStr">
        <is>
          <t>Main Street Vehicles</t>
        </is>
      </c>
      <c r="F16225" s="8" t="inlineStr">
        <is>
          <t>STANDBY</t>
        </is>
      </c>
      <c r="G16225" s="8" t="n">
        <v>0</v>
      </c>
      <c r="H16225" s="8" t="inlineStr">
        <is>
          <t>CLOSED</t>
        </is>
      </c>
    </row>
    <row r="16226">
      <c r="A16226" s="8" t="inlineStr">
        <is>
          <t>2026-08-03</t>
        </is>
      </c>
      <c r="B16226" s="8" t="n">
        <v>18</v>
      </c>
      <c r="C16226" s="8" t="n">
        <v>45</v>
      </c>
      <c r="D16226" s="8" t="inlineStr">
        <is>
          <t>Disney Adventure World</t>
        </is>
      </c>
      <c r="E16226" s="8" t="inlineStr">
        <is>
          <t>Avengers Assemble: Flight Force</t>
        </is>
      </c>
      <c r="F16226" s="8" t="inlineStr">
        <is>
          <t>STANDBY</t>
        </is>
      </c>
      <c r="G16226" s="8" t="n">
        <v>15</v>
      </c>
      <c r="H16226" s="8" t="inlineStr">
        <is>
          <t>OPERATING</t>
        </is>
      </c>
    </row>
    <row r="16227">
      <c r="A16227" s="8" t="inlineStr">
        <is>
          <t>2026-08-03</t>
        </is>
      </c>
      <c r="B16227" s="8" t="n">
        <v>18</v>
      </c>
      <c r="C16227" s="8" t="n">
        <v>45</v>
      </c>
      <c r="D16227" s="8" t="inlineStr">
        <is>
          <t>Disney Adventure World</t>
        </is>
      </c>
      <c r="E16227" s="8" t="inlineStr">
        <is>
          <t>Avengers Assemble: Flight Force Single Rider</t>
        </is>
      </c>
      <c r="F16227" s="8" t="inlineStr">
        <is>
          <t>STANDBY</t>
        </is>
      </c>
      <c r="G16227" s="8" t="n">
        <v>10</v>
      </c>
      <c r="H16227" s="8" t="inlineStr">
        <is>
          <t>OPERATING</t>
        </is>
      </c>
    </row>
    <row r="16228">
      <c r="A16228" s="8" t="inlineStr">
        <is>
          <t>2026-08-03</t>
        </is>
      </c>
      <c r="B16228" s="8" t="n">
        <v>18</v>
      </c>
      <c r="C16228" s="8" t="n">
        <v>45</v>
      </c>
      <c r="D16228" s="8" t="inlineStr">
        <is>
          <t>Disney Adventure World</t>
        </is>
      </c>
      <c r="E16228" s="8" t="inlineStr">
        <is>
          <t>Spider-Man W.E.B. Adventure</t>
        </is>
      </c>
      <c r="F16228" s="8" t="inlineStr">
        <is>
          <t>STANDBY</t>
        </is>
      </c>
      <c r="G16228" s="8" t="n">
        <v>35</v>
      </c>
      <c r="H16228" s="8" t="inlineStr">
        <is>
          <t>OPERATING</t>
        </is>
      </c>
    </row>
    <row r="16229">
      <c r="A16229" s="8" t="inlineStr">
        <is>
          <t>2026-08-03</t>
        </is>
      </c>
      <c r="B16229" s="8" t="n">
        <v>18</v>
      </c>
      <c r="C16229" s="8" t="n">
        <v>45</v>
      </c>
      <c r="D16229" s="8" t="inlineStr">
        <is>
          <t>Disney Adventure World</t>
        </is>
      </c>
      <c r="E16229" s="8" t="inlineStr">
        <is>
          <t>Spider-Man W.E.B. Adventure Single Rider</t>
        </is>
      </c>
      <c r="F16229" s="8" t="inlineStr">
        <is>
          <t>STANDBY</t>
        </is>
      </c>
      <c r="G16229" s="8" t="n">
        <v>10</v>
      </c>
      <c r="H16229" s="8" t="inlineStr">
        <is>
          <t>OPERATING</t>
        </is>
      </c>
    </row>
    <row r="16230">
      <c r="A16230" s="8" t="inlineStr">
        <is>
          <t>2026-08-03</t>
        </is>
      </c>
      <c r="B16230" s="8" t="n">
        <v>18</v>
      </c>
      <c r="C16230" s="8" t="n">
        <v>45</v>
      </c>
      <c r="D16230" s="8" t="inlineStr">
        <is>
          <t>Disney Adventure World</t>
        </is>
      </c>
      <c r="E16230" s="8" t="inlineStr">
        <is>
          <t>The Twilight Zone Tower of Terror</t>
        </is>
      </c>
      <c r="F16230" s="8" t="inlineStr">
        <is>
          <t>STANDBY</t>
        </is>
      </c>
      <c r="G16230" s="8" t="n">
        <v>15</v>
      </c>
      <c r="H16230" s="8" t="inlineStr">
        <is>
          <t>OPERATING</t>
        </is>
      </c>
    </row>
    <row r="16231">
      <c r="A16231" s="8" t="inlineStr">
        <is>
          <t>2026-08-03</t>
        </is>
      </c>
      <c r="B16231" s="8" t="n">
        <v>18</v>
      </c>
      <c r="C16231" s="8" t="n">
        <v>45</v>
      </c>
      <c r="D16231" s="8" t="inlineStr">
        <is>
          <t>Disney Adventure World</t>
        </is>
      </c>
      <c r="E16231" s="8" t="inlineStr">
        <is>
          <t>Cars Quatre Roues Rallye</t>
        </is>
      </c>
      <c r="F16231" s="8" t="inlineStr">
        <is>
          <t>STANDBY</t>
        </is>
      </c>
      <c r="G16231" s="8" t="n">
        <v>5</v>
      </c>
      <c r="H16231" s="8" t="inlineStr">
        <is>
          <t>OPERATING</t>
        </is>
      </c>
    </row>
    <row r="16232">
      <c r="A16232" s="8" t="inlineStr">
        <is>
          <t>2026-08-03</t>
        </is>
      </c>
      <c r="B16232" s="8" t="n">
        <v>18</v>
      </c>
      <c r="C16232" s="8" t="n">
        <v>45</v>
      </c>
      <c r="D16232" s="8" t="inlineStr">
        <is>
          <t>Disney Adventure World</t>
        </is>
      </c>
      <c r="E16232" s="8" t="inlineStr">
        <is>
          <t>Cars ROAD TRIP</t>
        </is>
      </c>
      <c r="F16232" s="8" t="inlineStr">
        <is>
          <t>STANDBY</t>
        </is>
      </c>
      <c r="G16232" s="8" t="n">
        <v>5</v>
      </c>
      <c r="H16232" s="8" t="inlineStr">
        <is>
          <t>OPERATING</t>
        </is>
      </c>
    </row>
    <row r="16233">
      <c r="A16233" s="8" t="inlineStr">
        <is>
          <t>2026-08-03</t>
        </is>
      </c>
      <c r="B16233" s="8" t="n">
        <v>18</v>
      </c>
      <c r="C16233" s="8" t="n">
        <v>45</v>
      </c>
      <c r="D16233" s="8" t="inlineStr">
        <is>
          <t>Disney Adventure World</t>
        </is>
      </c>
      <c r="E16233" s="8" t="inlineStr">
        <is>
          <t>Crush's Coaster</t>
        </is>
      </c>
      <c r="F16233" s="8" t="inlineStr">
        <is>
          <t>STANDBY</t>
        </is>
      </c>
      <c r="G16233" s="8" t="n">
        <v>65</v>
      </c>
      <c r="H16233" s="8" t="inlineStr">
        <is>
          <t>OPERATING</t>
        </is>
      </c>
    </row>
    <row r="16234">
      <c r="A16234" s="8" t="inlineStr">
        <is>
          <t>2026-08-03</t>
        </is>
      </c>
      <c r="B16234" s="8" t="n">
        <v>18</v>
      </c>
      <c r="C16234" s="8" t="n">
        <v>45</v>
      </c>
      <c r="D16234" s="8" t="inlineStr">
        <is>
          <t>Disney Adventure World</t>
        </is>
      </c>
      <c r="E16234" s="8" t="inlineStr">
        <is>
          <t>Crush's Coaster Single Rider</t>
        </is>
      </c>
      <c r="F16234" s="8" t="inlineStr">
        <is>
          <t>STANDBY</t>
        </is>
      </c>
      <c r="G16234" s="8" t="n">
        <v>45</v>
      </c>
      <c r="H16234" s="8" t="inlineStr">
        <is>
          <t>OPERATING</t>
        </is>
      </c>
    </row>
    <row r="16235">
      <c r="A16235" s="8" t="inlineStr">
        <is>
          <t>2026-08-03</t>
        </is>
      </c>
      <c r="B16235" s="8" t="n">
        <v>18</v>
      </c>
      <c r="C16235" s="8" t="n">
        <v>45</v>
      </c>
      <c r="D16235" s="8" t="inlineStr">
        <is>
          <t>Disney Adventure World</t>
        </is>
      </c>
      <c r="E16235" s="8" t="inlineStr">
        <is>
          <t>Les Tapis Volants - Flying Carpets Over Agrabah®</t>
        </is>
      </c>
      <c r="F16235" s="8" t="inlineStr">
        <is>
          <t>STANDBY</t>
        </is>
      </c>
      <c r="G16235" s="8" t="n">
        <v>20</v>
      </c>
      <c r="H16235" s="8" t="inlineStr">
        <is>
          <t>OPERATING</t>
        </is>
      </c>
    </row>
    <row r="16236">
      <c r="A16236" s="8" t="inlineStr">
        <is>
          <t>2026-08-03</t>
        </is>
      </c>
      <c r="B16236" s="8" t="n">
        <v>18</v>
      </c>
      <c r="C16236" s="8" t="n">
        <v>45</v>
      </c>
      <c r="D16236" s="8" t="inlineStr">
        <is>
          <t>Disney Adventure World</t>
        </is>
      </c>
      <c r="E16236" s="8" t="inlineStr">
        <is>
          <t>Ratatouille : L’Aventure Totalement Toquée de Rémy​</t>
        </is>
      </c>
      <c r="F16236" s="8" t="inlineStr">
        <is>
          <t>STANDBY</t>
        </is>
      </c>
      <c r="G16236" s="8" t="n">
        <v>40</v>
      </c>
      <c r="H16236" s="8" t="inlineStr">
        <is>
          <t>OPERATING</t>
        </is>
      </c>
    </row>
    <row r="16237">
      <c r="A16237" s="8" t="inlineStr">
        <is>
          <t>2026-08-03</t>
        </is>
      </c>
      <c r="B16237" s="8" t="n">
        <v>18</v>
      </c>
      <c r="C16237" s="8" t="n">
        <v>45</v>
      </c>
      <c r="D16237" s="8" t="inlineStr">
        <is>
          <t>Disney Adventure World</t>
        </is>
      </c>
      <c r="E16237" s="8" t="inlineStr">
        <is>
          <t>Ratatouille: The Adventure Single Rider</t>
        </is>
      </c>
      <c r="F16237" s="8" t="inlineStr">
        <is>
          <t>STANDBY</t>
        </is>
      </c>
      <c r="G16237" s="8" t="n">
        <v>10</v>
      </c>
      <c r="H16237" s="8" t="inlineStr">
        <is>
          <t>OPERATING</t>
        </is>
      </c>
    </row>
    <row r="16238">
      <c r="A16238" s="8" t="inlineStr">
        <is>
          <t>2026-08-03</t>
        </is>
      </c>
      <c r="B16238" s="8" t="n">
        <v>18</v>
      </c>
      <c r="C16238" s="8" t="n">
        <v>45</v>
      </c>
      <c r="D16238" s="8" t="inlineStr">
        <is>
          <t>Disney Adventure World</t>
        </is>
      </c>
      <c r="E16238" s="8" t="inlineStr">
        <is>
          <t>RC Racer</t>
        </is>
      </c>
      <c r="F16238" s="8" t="inlineStr">
        <is>
          <t>STANDBY</t>
        </is>
      </c>
      <c r="G16238" s="8" t="n">
        <v>15</v>
      </c>
      <c r="H16238" s="8" t="inlineStr">
        <is>
          <t>OPERATING</t>
        </is>
      </c>
    </row>
    <row r="16239">
      <c r="A16239" s="8" t="inlineStr">
        <is>
          <t>2026-08-03</t>
        </is>
      </c>
      <c r="B16239" s="8" t="n">
        <v>18</v>
      </c>
      <c r="C16239" s="8" t="n">
        <v>45</v>
      </c>
      <c r="D16239" s="8" t="inlineStr">
        <is>
          <t>Disney Adventure World</t>
        </is>
      </c>
      <c r="E16239" s="8" t="inlineStr">
        <is>
          <t>RC Racer Single Rider</t>
        </is>
      </c>
      <c r="F16239" s="8" t="inlineStr">
        <is>
          <t>STANDBY</t>
        </is>
      </c>
      <c r="G16239" s="8" t="n">
        <v>5</v>
      </c>
      <c r="H16239" s="8" t="inlineStr">
        <is>
          <t>OPERATING</t>
        </is>
      </c>
    </row>
    <row r="16240">
      <c r="A16240" s="8" t="inlineStr">
        <is>
          <t>2026-08-03</t>
        </is>
      </c>
      <c r="B16240" s="8" t="n">
        <v>18</v>
      </c>
      <c r="C16240" s="8" t="n">
        <v>45</v>
      </c>
      <c r="D16240" s="8" t="inlineStr">
        <is>
          <t>Disney Adventure World</t>
        </is>
      </c>
      <c r="E16240" s="8" t="inlineStr">
        <is>
          <t>Slinky® Dog Zigzag Spin</t>
        </is>
      </c>
      <c r="F16240" s="8" t="inlineStr">
        <is>
          <t>STANDBY</t>
        </is>
      </c>
      <c r="G16240" s="8" t="n">
        <v>15</v>
      </c>
      <c r="H16240" s="8" t="inlineStr">
        <is>
          <t>OPERATING</t>
        </is>
      </c>
    </row>
    <row r="16241">
      <c r="A16241" s="8" t="inlineStr">
        <is>
          <t>2026-08-03</t>
        </is>
      </c>
      <c r="B16241" s="8" t="n">
        <v>18</v>
      </c>
      <c r="C16241" s="8" t="n">
        <v>45</v>
      </c>
      <c r="D16241" s="8" t="inlineStr">
        <is>
          <t>Disney Adventure World</t>
        </is>
      </c>
      <c r="E16241" s="8" t="inlineStr">
        <is>
          <t>Toy Soldiers Parachute Drop</t>
        </is>
      </c>
      <c r="F16241" s="8" t="inlineStr">
        <is>
          <t>STANDBY</t>
        </is>
      </c>
      <c r="G16241" s="8" t="n">
        <v>30</v>
      </c>
      <c r="H16241" s="8" t="inlineStr">
        <is>
          <t>OPERATING</t>
        </is>
      </c>
    </row>
    <row r="16242">
      <c r="A16242" s="8" t="inlineStr">
        <is>
          <t>2026-08-03</t>
        </is>
      </c>
      <c r="B16242" s="8" t="n">
        <v>18</v>
      </c>
      <c r="C16242" s="8" t="n">
        <v>45</v>
      </c>
      <c r="D16242" s="8" t="inlineStr">
        <is>
          <t>Disney Adventure World</t>
        </is>
      </c>
      <c r="E16242" s="8" t="inlineStr">
        <is>
          <t>Toy Soldiers Parachute Drop Single Rider</t>
        </is>
      </c>
      <c r="F16242" s="8" t="inlineStr">
        <is>
          <t>STANDBY</t>
        </is>
      </c>
      <c r="G16242" s="8" t="n">
        <v>25</v>
      </c>
      <c r="H16242" s="8" t="inlineStr">
        <is>
          <t>OPERATING</t>
        </is>
      </c>
    </row>
    <row r="16243">
      <c r="A16243" s="8" t="inlineStr">
        <is>
          <t>2026-08-03</t>
        </is>
      </c>
      <c r="B16243" s="8" t="n">
        <v>18</v>
      </c>
      <c r="C16243" s="8" t="n">
        <v>45</v>
      </c>
      <c r="D16243" s="8" t="inlineStr">
        <is>
          <t>Disney Adventure World</t>
        </is>
      </c>
      <c r="E16243" s="8" t="inlineStr">
        <is>
          <t>Entry to World of Frozen</t>
        </is>
      </c>
      <c r="F16243" s="8" t="inlineStr">
        <is>
          <t>STANDBY</t>
        </is>
      </c>
      <c r="G16243" s="8" t="n">
        <v>0</v>
      </c>
      <c r="H16243" s="8" t="inlineStr">
        <is>
          <t>OPERATING</t>
        </is>
      </c>
    </row>
    <row r="16244">
      <c r="A16244" s="8" t="inlineStr">
        <is>
          <t>2026-08-03</t>
        </is>
      </c>
      <c r="B16244" s="8" t="n">
        <v>18</v>
      </c>
      <c r="C16244" s="8" t="n">
        <v>45</v>
      </c>
      <c r="D16244" s="8" t="inlineStr">
        <is>
          <t>Disney Adventure World</t>
        </is>
      </c>
      <c r="E16244" s="8" t="inlineStr">
        <is>
          <t>Frozen Ever After</t>
        </is>
      </c>
      <c r="F16244" s="8" t="inlineStr">
        <is>
          <t>STANDBY</t>
        </is>
      </c>
      <c r="G16244" s="8" t="n">
        <v>25</v>
      </c>
      <c r="H16244" s="8" t="inlineStr">
        <is>
          <t>OPERATING</t>
        </is>
      </c>
    </row>
    <row r="16245">
      <c r="A16245" s="8" t="inlineStr">
        <is>
          <t>2026-08-03</t>
        </is>
      </c>
      <c r="B16245" s="8" t="n">
        <v>18</v>
      </c>
      <c r="C16245" s="8" t="n">
        <v>45</v>
      </c>
      <c r="D16245" s="8" t="inlineStr">
        <is>
          <t>Disney Adventure World</t>
        </is>
      </c>
      <c r="E16245" s="8" t="inlineStr">
        <is>
          <t>Raiponce Tangled Spin</t>
        </is>
      </c>
      <c r="F16245" s="8" t="inlineStr">
        <is>
          <t>STANDBY</t>
        </is>
      </c>
      <c r="G16245" s="8" t="n">
        <v>5</v>
      </c>
      <c r="H16245" s="8" t="inlineStr">
        <is>
          <t>OPERATING</t>
        </is>
      </c>
    </row>
    <row r="16246">
      <c r="A16246" s="8" t="inlineStr">
        <is>
          <t>2026-08-03</t>
        </is>
      </c>
      <c r="B16246" s="8" t="n">
        <v>19</v>
      </c>
      <c r="C16246" s="8" t="n">
        <v>1</v>
      </c>
      <c r="D16246" s="8" t="inlineStr">
        <is>
          <t>Disneyland Park</t>
        </is>
      </c>
      <c r="E16246" s="8" t="inlineStr">
        <is>
          <t>Adventure Isle</t>
        </is>
      </c>
      <c r="F16246" s="8" t="inlineStr">
        <is>
          <t>STANDBY</t>
        </is>
      </c>
      <c r="G16246" s="8" t="n">
        <v>0</v>
      </c>
      <c r="H16246" s="8" t="inlineStr">
        <is>
          <t>OPERATING</t>
        </is>
      </c>
    </row>
    <row r="16247">
      <c r="A16247" s="8" t="inlineStr">
        <is>
          <t>2026-08-03</t>
        </is>
      </c>
      <c r="B16247" s="8" t="n">
        <v>19</v>
      </c>
      <c r="C16247" s="8" t="n">
        <v>1</v>
      </c>
      <c r="D16247" s="8" t="inlineStr">
        <is>
          <t>Disneyland Park</t>
        </is>
      </c>
      <c r="E16247" s="8" t="inlineStr">
        <is>
          <t>Indiana Jones and the Temple of Peril Single Rider</t>
        </is>
      </c>
      <c r="F16247" s="8" t="inlineStr">
        <is>
          <t>STANDBY</t>
        </is>
      </c>
      <c r="G16247" s="8" t="n">
        <v>0</v>
      </c>
      <c r="H16247" s="8" t="inlineStr">
        <is>
          <t>CLOSED</t>
        </is>
      </c>
    </row>
    <row r="16248">
      <c r="A16248" s="8" t="inlineStr">
        <is>
          <t>2026-08-03</t>
        </is>
      </c>
      <c r="B16248" s="8" t="n">
        <v>19</v>
      </c>
      <c r="C16248" s="8" t="n">
        <v>1</v>
      </c>
      <c r="D16248" s="8" t="inlineStr">
        <is>
          <t>Disneyland Park</t>
        </is>
      </c>
      <c r="E16248" s="8" t="inlineStr">
        <is>
          <t>Indiana Jones™ and the Temple of Peril</t>
        </is>
      </c>
      <c r="F16248" s="8" t="inlineStr">
        <is>
          <t>STANDBY</t>
        </is>
      </c>
      <c r="G16248" s="8" t="n">
        <v>0</v>
      </c>
      <c r="H16248" s="8" t="inlineStr">
        <is>
          <t>CLOSED</t>
        </is>
      </c>
    </row>
    <row r="16249">
      <c r="A16249" s="8" t="inlineStr">
        <is>
          <t>2026-08-03</t>
        </is>
      </c>
      <c r="B16249" s="8" t="n">
        <v>19</v>
      </c>
      <c r="C16249" s="8" t="n">
        <v>1</v>
      </c>
      <c r="D16249" s="8" t="inlineStr">
        <is>
          <t>Disneyland Park</t>
        </is>
      </c>
      <c r="E16249" s="8" t="inlineStr">
        <is>
          <t>La Cabane des Robinson</t>
        </is>
      </c>
      <c r="F16249" s="8" t="inlineStr">
        <is>
          <t>STANDBY</t>
        </is>
      </c>
      <c r="G16249" s="8" t="n">
        <v>0</v>
      </c>
      <c r="H16249" s="8" t="inlineStr">
        <is>
          <t>CLOSED</t>
        </is>
      </c>
    </row>
    <row r="16250">
      <c r="A16250" s="8" t="inlineStr">
        <is>
          <t>2026-08-03</t>
        </is>
      </c>
      <c r="B16250" s="8" t="n">
        <v>19</v>
      </c>
      <c r="C16250" s="8" t="n">
        <v>1</v>
      </c>
      <c r="D16250" s="8" t="inlineStr">
        <is>
          <t>Disneyland Park</t>
        </is>
      </c>
      <c r="E16250" s="8" t="inlineStr">
        <is>
          <t>Le Passage Enchanté d'Aladdin</t>
        </is>
      </c>
      <c r="F16250" s="8" t="inlineStr">
        <is>
          <t>STANDBY</t>
        </is>
      </c>
      <c r="G16250" s="8" t="n">
        <v>0</v>
      </c>
      <c r="H16250" s="8" t="inlineStr">
        <is>
          <t>OPERATING</t>
        </is>
      </c>
    </row>
    <row r="16251">
      <c r="A16251" s="8" t="inlineStr">
        <is>
          <t>2026-08-03</t>
        </is>
      </c>
      <c r="B16251" s="8" t="n">
        <v>19</v>
      </c>
      <c r="C16251" s="8" t="n">
        <v>1</v>
      </c>
      <c r="D16251" s="8" t="inlineStr">
        <is>
          <t>Disneyland Park</t>
        </is>
      </c>
      <c r="E16251" s="8" t="inlineStr">
        <is>
          <t>Pirate Galleon</t>
        </is>
      </c>
      <c r="F16251" s="8" t="inlineStr">
        <is>
          <t>STANDBY</t>
        </is>
      </c>
      <c r="G16251" s="8" t="n">
        <v>0</v>
      </c>
      <c r="H16251" s="8" t="inlineStr">
        <is>
          <t>CLOSED</t>
        </is>
      </c>
    </row>
    <row r="16252">
      <c r="A16252" s="8" t="inlineStr">
        <is>
          <t>2026-08-03</t>
        </is>
      </c>
      <c r="B16252" s="8" t="n">
        <v>19</v>
      </c>
      <c r="C16252" s="8" t="n">
        <v>1</v>
      </c>
      <c r="D16252" s="8" t="inlineStr">
        <is>
          <t>Disneyland Park</t>
        </is>
      </c>
      <c r="E16252" s="8" t="inlineStr">
        <is>
          <t>Pirates of the Caribbean</t>
        </is>
      </c>
      <c r="F16252" s="8" t="inlineStr">
        <is>
          <t>STANDBY</t>
        </is>
      </c>
      <c r="G16252" s="8" t="n">
        <v>5</v>
      </c>
      <c r="H16252" s="8" t="inlineStr">
        <is>
          <t>OPERATING</t>
        </is>
      </c>
    </row>
    <row r="16253">
      <c r="A16253" s="8" t="inlineStr">
        <is>
          <t>2026-08-03</t>
        </is>
      </c>
      <c r="B16253" s="8" t="n">
        <v>19</v>
      </c>
      <c r="C16253" s="8" t="n">
        <v>1</v>
      </c>
      <c r="D16253" s="8" t="inlineStr">
        <is>
          <t>Disneyland Park</t>
        </is>
      </c>
      <c r="E16253" s="8" t="inlineStr">
        <is>
          <t>Pirates' Beach</t>
        </is>
      </c>
      <c r="F16253" s="8" t="inlineStr">
        <is>
          <t>STANDBY</t>
        </is>
      </c>
      <c r="G16253" s="8" t="n">
        <v>0</v>
      </c>
      <c r="H16253" s="8" t="inlineStr">
        <is>
          <t>CLOSED</t>
        </is>
      </c>
    </row>
    <row r="16254">
      <c r="A16254" s="8" t="inlineStr">
        <is>
          <t>2026-08-03</t>
        </is>
      </c>
      <c r="B16254" s="8" t="n">
        <v>19</v>
      </c>
      <c r="C16254" s="8" t="n">
        <v>1</v>
      </c>
      <c r="D16254" s="8" t="inlineStr">
        <is>
          <t>Disneyland Park</t>
        </is>
      </c>
      <c r="E16254" s="8" t="inlineStr">
        <is>
          <t>Autopia, presented by Avis</t>
        </is>
      </c>
      <c r="F16254" s="8" t="inlineStr">
        <is>
          <t>STANDBY</t>
        </is>
      </c>
      <c r="G16254" s="8" t="n">
        <v>0</v>
      </c>
      <c r="H16254" s="8" t="inlineStr">
        <is>
          <t>CLOSED</t>
        </is>
      </c>
    </row>
    <row r="16255">
      <c r="A16255" s="8" t="inlineStr">
        <is>
          <t>2026-08-03</t>
        </is>
      </c>
      <c r="B16255" s="8" t="n">
        <v>19</v>
      </c>
      <c r="C16255" s="8" t="n">
        <v>1</v>
      </c>
      <c r="D16255" s="8" t="inlineStr">
        <is>
          <t>Disneyland Park</t>
        </is>
      </c>
      <c r="E16255" s="8" t="inlineStr">
        <is>
          <t>Buzz Lightyear Laser Blast</t>
        </is>
      </c>
      <c r="F16255" s="8" t="inlineStr">
        <is>
          <t>STANDBY</t>
        </is>
      </c>
      <c r="G16255" s="8" t="n">
        <v>30</v>
      </c>
      <c r="H16255" s="8" t="inlineStr">
        <is>
          <t>OPERATING</t>
        </is>
      </c>
    </row>
    <row r="16256">
      <c r="A16256" s="8" t="inlineStr">
        <is>
          <t>2026-08-03</t>
        </is>
      </c>
      <c r="B16256" s="8" t="n">
        <v>19</v>
      </c>
      <c r="C16256" s="8" t="n">
        <v>1</v>
      </c>
      <c r="D16256" s="8" t="inlineStr">
        <is>
          <t>Disneyland Park</t>
        </is>
      </c>
      <c r="E16256" s="8" t="inlineStr">
        <is>
          <t>Disneyland Railroad Discoveryland Station</t>
        </is>
      </c>
      <c r="F16256" s="8" t="inlineStr">
        <is>
          <t>STANDBY</t>
        </is>
      </c>
      <c r="G16256" s="8" t="n">
        <v>0</v>
      </c>
      <c r="H16256" s="8" t="inlineStr">
        <is>
          <t>CLOSED</t>
        </is>
      </c>
    </row>
    <row r="16257">
      <c r="A16257" s="8" t="inlineStr">
        <is>
          <t>2026-08-03</t>
        </is>
      </c>
      <c r="B16257" s="8" t="n">
        <v>19</v>
      </c>
      <c r="C16257" s="8" t="n">
        <v>1</v>
      </c>
      <c r="D16257" s="8" t="inlineStr">
        <is>
          <t>Disneyland Park</t>
        </is>
      </c>
      <c r="E16257" s="8" t="inlineStr">
        <is>
          <t>Les Mystères du Nautilus</t>
        </is>
      </c>
      <c r="F16257" s="8" t="inlineStr">
        <is>
          <t>STANDBY</t>
        </is>
      </c>
      <c r="G16257" s="8" t="n">
        <v>5</v>
      </c>
      <c r="H16257" s="8" t="inlineStr">
        <is>
          <t>OPERATING</t>
        </is>
      </c>
    </row>
    <row r="16258">
      <c r="A16258" s="8" t="inlineStr">
        <is>
          <t>2026-08-03</t>
        </is>
      </c>
      <c r="B16258" s="8" t="n">
        <v>19</v>
      </c>
      <c r="C16258" s="8" t="n">
        <v>1</v>
      </c>
      <c r="D16258" s="8" t="inlineStr">
        <is>
          <t>Disneyland Park</t>
        </is>
      </c>
      <c r="E16258" s="8" t="inlineStr">
        <is>
          <t>Mickey’s PhilharMagic</t>
        </is>
      </c>
      <c r="F16258" s="8" t="inlineStr">
        <is>
          <t>STANDBY</t>
        </is>
      </c>
      <c r="G16258" s="8" t="n">
        <v>0</v>
      </c>
      <c r="H16258" s="8" t="inlineStr">
        <is>
          <t>CLOSED</t>
        </is>
      </c>
    </row>
    <row r="16259">
      <c r="A16259" s="8" t="inlineStr">
        <is>
          <t>2026-08-03</t>
        </is>
      </c>
      <c r="B16259" s="8" t="n">
        <v>19</v>
      </c>
      <c r="C16259" s="8" t="n">
        <v>1</v>
      </c>
      <c r="D16259" s="8" t="inlineStr">
        <is>
          <t>Disneyland Park</t>
        </is>
      </c>
      <c r="E16259" s="8" t="inlineStr">
        <is>
          <t>Orbitron®</t>
        </is>
      </c>
      <c r="F16259" s="8" t="inlineStr">
        <is>
          <t>STANDBY</t>
        </is>
      </c>
      <c r="G16259" s="8" t="n">
        <v>0</v>
      </c>
      <c r="H16259" s="8" t="inlineStr">
        <is>
          <t>CLOSED</t>
        </is>
      </c>
    </row>
    <row r="16260">
      <c r="A16260" s="8" t="inlineStr">
        <is>
          <t>2026-08-03</t>
        </is>
      </c>
      <c r="B16260" s="8" t="n">
        <v>19</v>
      </c>
      <c r="C16260" s="8" t="n">
        <v>1</v>
      </c>
      <c r="D16260" s="8" t="inlineStr">
        <is>
          <t>Disneyland Park</t>
        </is>
      </c>
      <c r="E16260" s="8" t="inlineStr">
        <is>
          <t>Star Tours: The Adventures Continue*</t>
        </is>
      </c>
      <c r="F16260" s="8" t="inlineStr">
        <is>
          <t>STANDBY</t>
        </is>
      </c>
      <c r="G16260" s="8" t="n">
        <v>10</v>
      </c>
      <c r="H16260" s="8" t="inlineStr">
        <is>
          <t>OPERATING</t>
        </is>
      </c>
    </row>
    <row r="16261">
      <c r="A16261" s="8" t="inlineStr">
        <is>
          <t>2026-08-03</t>
        </is>
      </c>
      <c r="B16261" s="8" t="n">
        <v>19</v>
      </c>
      <c r="C16261" s="8" t="n">
        <v>1</v>
      </c>
      <c r="D16261" s="8" t="inlineStr">
        <is>
          <t>Disneyland Park</t>
        </is>
      </c>
      <c r="E16261" s="8" t="inlineStr">
        <is>
          <t>Star Wars Hyperspace Mountain</t>
        </is>
      </c>
      <c r="F16261" s="8" t="inlineStr">
        <is>
          <t>STANDBY</t>
        </is>
      </c>
      <c r="G16261" s="8" t="n">
        <v>30</v>
      </c>
      <c r="H16261" s="8" t="inlineStr">
        <is>
          <t>OPERATING</t>
        </is>
      </c>
    </row>
    <row r="16262">
      <c r="A16262" s="8" t="inlineStr">
        <is>
          <t>2026-08-03</t>
        </is>
      </c>
      <c r="B16262" s="8" t="n">
        <v>19</v>
      </c>
      <c r="C16262" s="8" t="n">
        <v>1</v>
      </c>
      <c r="D16262" s="8" t="inlineStr">
        <is>
          <t>Disneyland Park</t>
        </is>
      </c>
      <c r="E16262" s="8" t="inlineStr">
        <is>
          <t>Star Wars Hyperspace Mountain Single Rider</t>
        </is>
      </c>
      <c r="F16262" s="8" t="inlineStr">
        <is>
          <t>STANDBY</t>
        </is>
      </c>
      <c r="G16262" s="8" t="n">
        <v>25</v>
      </c>
      <c r="H16262" s="8" t="inlineStr">
        <is>
          <t>OPERATING</t>
        </is>
      </c>
    </row>
    <row r="16263">
      <c r="A16263" s="8" t="inlineStr">
        <is>
          <t>2026-08-03</t>
        </is>
      </c>
      <c r="B16263" s="8" t="n">
        <v>19</v>
      </c>
      <c r="C16263" s="8" t="n">
        <v>1</v>
      </c>
      <c r="D16263" s="8" t="inlineStr">
        <is>
          <t>Disneyland Park</t>
        </is>
      </c>
      <c r="E16263" s="8" t="inlineStr">
        <is>
          <t>Welcome to Starport: A Star Wars Encounter</t>
        </is>
      </c>
      <c r="F16263" s="8" t="inlineStr">
        <is>
          <t>STANDBY</t>
        </is>
      </c>
      <c r="G16263" s="8" t="n">
        <v>0</v>
      </c>
      <c r="H16263" s="8" t="inlineStr">
        <is>
          <t>CLOSED</t>
        </is>
      </c>
    </row>
    <row r="16264">
      <c r="A16264" s="8" t="inlineStr">
        <is>
          <t>2026-08-03</t>
        </is>
      </c>
      <c r="B16264" s="8" t="n">
        <v>19</v>
      </c>
      <c r="C16264" s="8" t="n">
        <v>1</v>
      </c>
      <c r="D16264" s="8" t="inlineStr">
        <is>
          <t>Disneyland Park</t>
        </is>
      </c>
      <c r="E16264" s="8" t="inlineStr">
        <is>
          <t>"it's a small world"</t>
        </is>
      </c>
      <c r="F16264" s="8" t="inlineStr">
        <is>
          <t>STANDBY</t>
        </is>
      </c>
      <c r="G16264" s="8" t="n">
        <v>5</v>
      </c>
      <c r="H16264" s="8" t="inlineStr">
        <is>
          <t>OPERATING</t>
        </is>
      </c>
    </row>
    <row r="16265">
      <c r="A16265" s="8" t="inlineStr">
        <is>
          <t>2026-08-03</t>
        </is>
      </c>
      <c r="B16265" s="8" t="n">
        <v>19</v>
      </c>
      <c r="C16265" s="8" t="n">
        <v>1</v>
      </c>
      <c r="D16265" s="8" t="inlineStr">
        <is>
          <t>Disneyland Park</t>
        </is>
      </c>
      <c r="E16265" s="8" t="inlineStr">
        <is>
          <t>Alice's Curious Labyrinth</t>
        </is>
      </c>
      <c r="F16265" s="8" t="inlineStr">
        <is>
          <t>STANDBY</t>
        </is>
      </c>
      <c r="G16265" s="8" t="n">
        <v>5</v>
      </c>
      <c r="H16265" s="8" t="inlineStr">
        <is>
          <t>OPERATING</t>
        </is>
      </c>
    </row>
    <row r="16266">
      <c r="A16266" s="8" t="inlineStr">
        <is>
          <t>2026-08-03</t>
        </is>
      </c>
      <c r="B16266" s="8" t="n">
        <v>19</v>
      </c>
      <c r="C16266" s="8" t="n">
        <v>1</v>
      </c>
      <c r="D16266" s="8" t="inlineStr">
        <is>
          <t>Disneyland Park</t>
        </is>
      </c>
      <c r="E16266" s="8" t="inlineStr">
        <is>
          <t>Blanche-Neige et les Sept Nains®</t>
        </is>
      </c>
      <c r="F16266" s="8" t="inlineStr">
        <is>
          <t>STANDBY</t>
        </is>
      </c>
      <c r="G16266" s="8" t="n">
        <v>20</v>
      </c>
      <c r="H16266" s="8" t="inlineStr">
        <is>
          <t>OPERATING</t>
        </is>
      </c>
    </row>
    <row r="16267">
      <c r="A16267" s="8" t="inlineStr">
        <is>
          <t>2026-08-03</t>
        </is>
      </c>
      <c r="B16267" s="8" t="n">
        <v>19</v>
      </c>
      <c r="C16267" s="8" t="n">
        <v>1</v>
      </c>
      <c r="D16267" s="8" t="inlineStr">
        <is>
          <t>Disneyland Park</t>
        </is>
      </c>
      <c r="E16267" s="8" t="inlineStr">
        <is>
          <t>Casey Jr. – le Petit Train du Cirque</t>
        </is>
      </c>
      <c r="F16267" s="8" t="inlineStr">
        <is>
          <t>STANDBY</t>
        </is>
      </c>
      <c r="G16267" s="8" t="n">
        <v>0</v>
      </c>
      <c r="H16267" s="8" t="inlineStr">
        <is>
          <t>CLOSED</t>
        </is>
      </c>
    </row>
    <row r="16268">
      <c r="A16268" s="8" t="inlineStr">
        <is>
          <t>2026-08-03</t>
        </is>
      </c>
      <c r="B16268" s="8" t="n">
        <v>19</v>
      </c>
      <c r="C16268" s="8" t="n">
        <v>1</v>
      </c>
      <c r="D16268" s="8" t="inlineStr">
        <is>
          <t>Disneyland Park</t>
        </is>
      </c>
      <c r="E16268" s="8" t="inlineStr">
        <is>
          <t>Disneyland Railroad Fantasyland Station</t>
        </is>
      </c>
      <c r="F16268" s="8" t="inlineStr">
        <is>
          <t>STANDBY</t>
        </is>
      </c>
      <c r="G16268" s="8" t="n">
        <v>0</v>
      </c>
      <c r="H16268" s="8" t="inlineStr">
        <is>
          <t>CLOSED</t>
        </is>
      </c>
    </row>
    <row r="16269">
      <c r="A16269" s="8" t="inlineStr">
        <is>
          <t>2026-08-03</t>
        </is>
      </c>
      <c r="B16269" s="8" t="n">
        <v>19</v>
      </c>
      <c r="C16269" s="8" t="n">
        <v>1</v>
      </c>
      <c r="D16269" s="8" t="inlineStr">
        <is>
          <t>Disneyland Park</t>
        </is>
      </c>
      <c r="E16269" s="8" t="inlineStr">
        <is>
          <t>Disneyland Railroad Main Street Station</t>
        </is>
      </c>
      <c r="F16269" s="8" t="inlineStr">
        <is>
          <t>STANDBY</t>
        </is>
      </c>
      <c r="G16269" s="8" t="n">
        <v>0</v>
      </c>
      <c r="H16269" s="8" t="inlineStr">
        <is>
          <t>CLOSED</t>
        </is>
      </c>
    </row>
    <row r="16270">
      <c r="A16270" s="8" t="inlineStr">
        <is>
          <t>2026-08-03</t>
        </is>
      </c>
      <c r="B16270" s="8" t="n">
        <v>19</v>
      </c>
      <c r="C16270" s="8" t="n">
        <v>1</v>
      </c>
      <c r="D16270" s="8" t="inlineStr">
        <is>
          <t>Disneyland Park</t>
        </is>
      </c>
      <c r="E16270" s="8" t="inlineStr">
        <is>
          <t>Dumbo the Flying Elephant</t>
        </is>
      </c>
      <c r="F16270" s="8" t="inlineStr">
        <is>
          <t>STANDBY</t>
        </is>
      </c>
      <c r="G16270" s="8" t="n">
        <v>0</v>
      </c>
      <c r="H16270" s="8" t="inlineStr">
        <is>
          <t>CLOSED</t>
        </is>
      </c>
    </row>
    <row r="16271">
      <c r="A16271" s="8" t="inlineStr">
        <is>
          <t>2026-08-03</t>
        </is>
      </c>
      <c r="B16271" s="8" t="n">
        <v>19</v>
      </c>
      <c r="C16271" s="8" t="n">
        <v>1</v>
      </c>
      <c r="D16271" s="8" t="inlineStr">
        <is>
          <t>Disneyland Park</t>
        </is>
      </c>
      <c r="E16271" s="8" t="inlineStr">
        <is>
          <t>La Tanière du Dragon</t>
        </is>
      </c>
      <c r="F16271" s="8" t="inlineStr">
        <is>
          <t>STANDBY</t>
        </is>
      </c>
      <c r="G16271" s="8" t="n">
        <v>0</v>
      </c>
      <c r="H16271" s="8" t="inlineStr">
        <is>
          <t>OPERATING</t>
        </is>
      </c>
    </row>
    <row r="16272">
      <c r="A16272" s="8" t="inlineStr">
        <is>
          <t>2026-08-03</t>
        </is>
      </c>
      <c r="B16272" s="8" t="n">
        <v>19</v>
      </c>
      <c r="C16272" s="8" t="n">
        <v>1</v>
      </c>
      <c r="D16272" s="8" t="inlineStr">
        <is>
          <t>Disneyland Park</t>
        </is>
      </c>
      <c r="E16272" s="8" t="inlineStr">
        <is>
          <t>Le Carrousel de Lancelot</t>
        </is>
      </c>
      <c r="F16272" s="8" t="inlineStr">
        <is>
          <t>STANDBY</t>
        </is>
      </c>
      <c r="G16272" s="8" t="n">
        <v>10</v>
      </c>
      <c r="H16272" s="8" t="inlineStr">
        <is>
          <t>OPERATING</t>
        </is>
      </c>
    </row>
    <row r="16273">
      <c r="A16273" s="8" t="inlineStr">
        <is>
          <t>2026-08-03</t>
        </is>
      </c>
      <c r="B16273" s="8" t="n">
        <v>19</v>
      </c>
      <c r="C16273" s="8" t="n">
        <v>1</v>
      </c>
      <c r="D16273" s="8" t="inlineStr">
        <is>
          <t>Disneyland Park</t>
        </is>
      </c>
      <c r="E16273" s="8" t="inlineStr">
        <is>
          <t>Le Pays des Contes de Fées, presented by Vittel</t>
        </is>
      </c>
      <c r="F16273" s="8" t="inlineStr">
        <is>
          <t>STANDBY</t>
        </is>
      </c>
      <c r="G16273" s="8" t="n">
        <v>0</v>
      </c>
      <c r="H16273" s="8" t="inlineStr">
        <is>
          <t>CLOSED</t>
        </is>
      </c>
    </row>
    <row r="16274">
      <c r="A16274" s="8" t="inlineStr">
        <is>
          <t>2026-08-03</t>
        </is>
      </c>
      <c r="B16274" s="8" t="n">
        <v>19</v>
      </c>
      <c r="C16274" s="8" t="n">
        <v>1</v>
      </c>
      <c r="D16274" s="8" t="inlineStr">
        <is>
          <t>Disneyland Park</t>
        </is>
      </c>
      <c r="E16274" s="8" t="inlineStr">
        <is>
          <t>Les Voyages de Pinocchio</t>
        </is>
      </c>
      <c r="F16274" s="8" t="inlineStr">
        <is>
          <t>STANDBY</t>
        </is>
      </c>
      <c r="G16274" s="8" t="n">
        <v>25</v>
      </c>
      <c r="H16274" s="8" t="inlineStr">
        <is>
          <t>OPERATING</t>
        </is>
      </c>
    </row>
    <row r="16275">
      <c r="A16275" s="8" t="inlineStr">
        <is>
          <t>2026-08-03</t>
        </is>
      </c>
      <c r="B16275" s="8" t="n">
        <v>19</v>
      </c>
      <c r="C16275" s="8" t="n">
        <v>1</v>
      </c>
      <c r="D16275" s="8" t="inlineStr">
        <is>
          <t>Disneyland Park</t>
        </is>
      </c>
      <c r="E16275" s="8" t="inlineStr">
        <is>
          <t>Mad Hatter's Tea Cups</t>
        </is>
      </c>
      <c r="F16275" s="8" t="inlineStr">
        <is>
          <t>STANDBY</t>
        </is>
      </c>
      <c r="G16275" s="8" t="n">
        <v>10</v>
      </c>
      <c r="H16275" s="8" t="inlineStr">
        <is>
          <t>OPERATING</t>
        </is>
      </c>
    </row>
    <row r="16276">
      <c r="A16276" s="8" t="inlineStr">
        <is>
          <t>2026-08-03</t>
        </is>
      </c>
      <c r="B16276" s="8" t="n">
        <v>19</v>
      </c>
      <c r="C16276" s="8" t="n">
        <v>1</v>
      </c>
      <c r="D16276" s="8" t="inlineStr">
        <is>
          <t>Disneyland Park</t>
        </is>
      </c>
      <c r="E16276" s="8" t="inlineStr">
        <is>
          <t>Meet Mickey Mouse</t>
        </is>
      </c>
      <c r="F16276" s="8" t="inlineStr">
        <is>
          <t>STANDBY</t>
        </is>
      </c>
      <c r="G16276" s="8" t="n">
        <v>0</v>
      </c>
      <c r="H16276" s="8" t="inlineStr">
        <is>
          <t>CLOSED</t>
        </is>
      </c>
    </row>
    <row r="16277">
      <c r="A16277" s="8" t="inlineStr">
        <is>
          <t>2026-08-03</t>
        </is>
      </c>
      <c r="B16277" s="8" t="n">
        <v>19</v>
      </c>
      <c r="C16277" s="8" t="n">
        <v>1</v>
      </c>
      <c r="D16277" s="8" t="inlineStr">
        <is>
          <t>Disneyland Park</t>
        </is>
      </c>
      <c r="E16277" s="8" t="inlineStr">
        <is>
          <t>Peter Pan's Flight</t>
        </is>
      </c>
      <c r="F16277" s="8" t="inlineStr">
        <is>
          <t>STANDBY</t>
        </is>
      </c>
      <c r="G16277" s="8" t="n">
        <v>65</v>
      </c>
      <c r="H16277" s="8" t="inlineStr">
        <is>
          <t>OPERATING</t>
        </is>
      </c>
    </row>
    <row r="16278">
      <c r="A16278" s="8" t="inlineStr">
        <is>
          <t>2026-08-03</t>
        </is>
      </c>
      <c r="B16278" s="8" t="n">
        <v>19</v>
      </c>
      <c r="C16278" s="8" t="n">
        <v>1</v>
      </c>
      <c r="D16278" s="8" t="inlineStr">
        <is>
          <t>Disneyland Park</t>
        </is>
      </c>
      <c r="E16278" s="8" t="inlineStr">
        <is>
          <t>Princess Pavilion</t>
        </is>
      </c>
      <c r="F16278" s="8" t="inlineStr">
        <is>
          <t>STANDBY</t>
        </is>
      </c>
      <c r="G16278" s="8" t="n">
        <v>0</v>
      </c>
      <c r="H16278" s="8" t="inlineStr">
        <is>
          <t>CLOSED</t>
        </is>
      </c>
    </row>
    <row r="16279">
      <c r="A16279" s="8" t="inlineStr">
        <is>
          <t>2026-08-03</t>
        </is>
      </c>
      <c r="B16279" s="8" t="n">
        <v>19</v>
      </c>
      <c r="C16279" s="8" t="n">
        <v>1</v>
      </c>
      <c r="D16279" s="8" t="inlineStr">
        <is>
          <t>Disneyland Park</t>
        </is>
      </c>
      <c r="E16279" s="8" t="inlineStr">
        <is>
          <t>Big Thunder Mountain</t>
        </is>
      </c>
      <c r="F16279" s="8" t="inlineStr">
        <is>
          <t>STANDBY</t>
        </is>
      </c>
      <c r="G16279" s="8" t="n">
        <v>0</v>
      </c>
      <c r="H16279" s="8" t="inlineStr">
        <is>
          <t>CLOSED</t>
        </is>
      </c>
    </row>
    <row r="16280">
      <c r="A16280" s="8" t="inlineStr">
        <is>
          <t>2026-08-03</t>
        </is>
      </c>
      <c r="B16280" s="8" t="n">
        <v>19</v>
      </c>
      <c r="C16280" s="8" t="n">
        <v>1</v>
      </c>
      <c r="D16280" s="8" t="inlineStr">
        <is>
          <t>Disneyland Park</t>
        </is>
      </c>
      <c r="E16280" s="8" t="inlineStr">
        <is>
          <t>Disneyland Railroad Frontierland Depot</t>
        </is>
      </c>
      <c r="F16280" s="8" t="inlineStr">
        <is>
          <t>STANDBY</t>
        </is>
      </c>
      <c r="G16280" s="8" t="n">
        <v>0</v>
      </c>
      <c r="H16280" s="8" t="inlineStr">
        <is>
          <t>CLOSED</t>
        </is>
      </c>
    </row>
    <row r="16281">
      <c r="A16281" s="8" t="inlineStr">
        <is>
          <t>2026-08-03</t>
        </is>
      </c>
      <c r="B16281" s="8" t="n">
        <v>19</v>
      </c>
      <c r="C16281" s="8" t="n">
        <v>1</v>
      </c>
      <c r="D16281" s="8" t="inlineStr">
        <is>
          <t>Disneyland Park</t>
        </is>
      </c>
      <c r="E16281" s="8" t="inlineStr">
        <is>
          <t>Frontierland Playground</t>
        </is>
      </c>
      <c r="F16281" s="8" t="inlineStr">
        <is>
          <t>STANDBY</t>
        </is>
      </c>
      <c r="G16281" s="8" t="n">
        <v>0</v>
      </c>
      <c r="H16281" s="8" t="inlineStr">
        <is>
          <t>CLOSED</t>
        </is>
      </c>
    </row>
    <row r="16282">
      <c r="A16282" s="8" t="inlineStr">
        <is>
          <t>2026-08-03</t>
        </is>
      </c>
      <c r="B16282" s="8" t="n">
        <v>19</v>
      </c>
      <c r="C16282" s="8" t="n">
        <v>1</v>
      </c>
      <c r="D16282" s="8" t="inlineStr">
        <is>
          <t>Disneyland Park</t>
        </is>
      </c>
      <c r="E16282" s="8" t="inlineStr">
        <is>
          <t>Phantom Manor</t>
        </is>
      </c>
      <c r="F16282" s="8" t="inlineStr">
        <is>
          <t>STANDBY</t>
        </is>
      </c>
      <c r="G16282" s="8" t="n">
        <v>20</v>
      </c>
      <c r="H16282" s="8" t="inlineStr">
        <is>
          <t>OPERATING</t>
        </is>
      </c>
    </row>
    <row r="16283">
      <c r="A16283" s="8" t="inlineStr">
        <is>
          <t>2026-08-03</t>
        </is>
      </c>
      <c r="B16283" s="8" t="n">
        <v>19</v>
      </c>
      <c r="C16283" s="8" t="n">
        <v>1</v>
      </c>
      <c r="D16283" s="8" t="inlineStr">
        <is>
          <t>Disneyland Park</t>
        </is>
      </c>
      <c r="E16283" s="8" t="inlineStr">
        <is>
          <t>River Rogue Keelboats</t>
        </is>
      </c>
      <c r="F16283" s="8" t="inlineStr">
        <is>
          <t>STANDBY</t>
        </is>
      </c>
      <c r="G16283" s="8" t="n">
        <v>0</v>
      </c>
      <c r="H16283" s="8" t="inlineStr">
        <is>
          <t>CLOSED</t>
        </is>
      </c>
    </row>
    <row r="16284">
      <c r="A16284" s="8" t="inlineStr">
        <is>
          <t>2026-08-03</t>
        </is>
      </c>
      <c r="B16284" s="8" t="n">
        <v>19</v>
      </c>
      <c r="C16284" s="8" t="n">
        <v>1</v>
      </c>
      <c r="D16284" s="8" t="inlineStr">
        <is>
          <t>Disneyland Park</t>
        </is>
      </c>
      <c r="E16284" s="8" t="inlineStr">
        <is>
          <t>Rustler Roundup Shootin' Gallery</t>
        </is>
      </c>
      <c r="F16284" s="8" t="inlineStr">
        <is>
          <t>STANDBY</t>
        </is>
      </c>
      <c r="G16284" s="8" t="n">
        <v>0</v>
      </c>
      <c r="H16284" s="8" t="inlineStr">
        <is>
          <t>OPERATING</t>
        </is>
      </c>
    </row>
    <row r="16285">
      <c r="A16285" s="8" t="inlineStr">
        <is>
          <t>2026-08-03</t>
        </is>
      </c>
      <c r="B16285" s="8" t="n">
        <v>19</v>
      </c>
      <c r="C16285" s="8" t="n">
        <v>1</v>
      </c>
      <c r="D16285" s="8" t="inlineStr">
        <is>
          <t>Disneyland Park</t>
        </is>
      </c>
      <c r="E16285" s="8" t="inlineStr">
        <is>
          <t>Thunder Mesa Riverboat Landing</t>
        </is>
      </c>
      <c r="F16285" s="8" t="inlineStr">
        <is>
          <t>STANDBY</t>
        </is>
      </c>
      <c r="G16285" s="8" t="n">
        <v>0</v>
      </c>
      <c r="H16285" s="8" t="inlineStr">
        <is>
          <t>CLOSED</t>
        </is>
      </c>
    </row>
    <row r="16286">
      <c r="A16286" s="8" t="inlineStr">
        <is>
          <t>2026-08-03</t>
        </is>
      </c>
      <c r="B16286" s="8" t="n">
        <v>19</v>
      </c>
      <c r="C16286" s="8" t="n">
        <v>1</v>
      </c>
      <c r="D16286" s="8" t="inlineStr">
        <is>
          <t>Disneyland Park</t>
        </is>
      </c>
      <c r="E16286" s="8" t="inlineStr">
        <is>
          <t>Disneyland Railroad Main Street Station</t>
        </is>
      </c>
      <c r="F16286" s="8" t="inlineStr">
        <is>
          <t>STANDBY</t>
        </is>
      </c>
      <c r="G16286" s="8" t="n">
        <v>0</v>
      </c>
      <c r="H16286" s="8" t="inlineStr">
        <is>
          <t>CLOSED</t>
        </is>
      </c>
    </row>
    <row r="16287">
      <c r="A16287" s="8" t="inlineStr">
        <is>
          <t>2026-08-03</t>
        </is>
      </c>
      <c r="B16287" s="8" t="n">
        <v>19</v>
      </c>
      <c r="C16287" s="8" t="n">
        <v>1</v>
      </c>
      <c r="D16287" s="8" t="inlineStr">
        <is>
          <t>Disneyland Park</t>
        </is>
      </c>
      <c r="E16287" s="8" t="inlineStr">
        <is>
          <t>Main Street Vehicles</t>
        </is>
      </c>
      <c r="F16287" s="8" t="inlineStr">
        <is>
          <t>STANDBY</t>
        </is>
      </c>
      <c r="G16287" s="8" t="n">
        <v>0</v>
      </c>
      <c r="H16287" s="8" t="inlineStr">
        <is>
          <t>CLOSED</t>
        </is>
      </c>
    </row>
    <row r="16288">
      <c r="A16288" s="8" t="inlineStr">
        <is>
          <t>2026-08-03</t>
        </is>
      </c>
      <c r="B16288" s="8" t="n">
        <v>19</v>
      </c>
      <c r="C16288" s="8" t="n">
        <v>1</v>
      </c>
      <c r="D16288" s="8" t="inlineStr">
        <is>
          <t>Disney Adventure World</t>
        </is>
      </c>
      <c r="E16288" s="8" t="inlineStr">
        <is>
          <t>Avengers Assemble: Flight Force</t>
        </is>
      </c>
      <c r="F16288" s="8" t="inlineStr">
        <is>
          <t>STANDBY</t>
        </is>
      </c>
      <c r="G16288" s="8" t="n">
        <v>15</v>
      </c>
      <c r="H16288" s="8" t="inlineStr">
        <is>
          <t>OPERATING</t>
        </is>
      </c>
    </row>
    <row r="16289">
      <c r="A16289" s="8" t="inlineStr">
        <is>
          <t>2026-08-03</t>
        </is>
      </c>
      <c r="B16289" s="8" t="n">
        <v>19</v>
      </c>
      <c r="C16289" s="8" t="n">
        <v>1</v>
      </c>
      <c r="D16289" s="8" t="inlineStr">
        <is>
          <t>Disney Adventure World</t>
        </is>
      </c>
      <c r="E16289" s="8" t="inlineStr">
        <is>
          <t>Avengers Assemble: Flight Force Single Rider</t>
        </is>
      </c>
      <c r="F16289" s="8" t="inlineStr">
        <is>
          <t>STANDBY</t>
        </is>
      </c>
      <c r="G16289" s="8" t="n">
        <v>5</v>
      </c>
      <c r="H16289" s="8" t="inlineStr">
        <is>
          <t>OPERATING</t>
        </is>
      </c>
    </row>
    <row r="16290">
      <c r="A16290" s="8" t="inlineStr">
        <is>
          <t>2026-08-03</t>
        </is>
      </c>
      <c r="B16290" s="8" t="n">
        <v>19</v>
      </c>
      <c r="C16290" s="8" t="n">
        <v>1</v>
      </c>
      <c r="D16290" s="8" t="inlineStr">
        <is>
          <t>Disney Adventure World</t>
        </is>
      </c>
      <c r="E16290" s="8" t="inlineStr">
        <is>
          <t>Spider-Man W.E.B. Adventure</t>
        </is>
      </c>
      <c r="F16290" s="8" t="inlineStr">
        <is>
          <t>STANDBY</t>
        </is>
      </c>
      <c r="G16290" s="8" t="n">
        <v>40</v>
      </c>
      <c r="H16290" s="8" t="inlineStr">
        <is>
          <t>OPERATING</t>
        </is>
      </c>
    </row>
    <row r="16291">
      <c r="A16291" s="8" t="inlineStr">
        <is>
          <t>2026-08-03</t>
        </is>
      </c>
      <c r="B16291" s="8" t="n">
        <v>19</v>
      </c>
      <c r="C16291" s="8" t="n">
        <v>1</v>
      </c>
      <c r="D16291" s="8" t="inlineStr">
        <is>
          <t>Disney Adventure World</t>
        </is>
      </c>
      <c r="E16291" s="8" t="inlineStr">
        <is>
          <t>Spider-Man W.E.B. Adventure Single Rider</t>
        </is>
      </c>
      <c r="F16291" s="8" t="inlineStr">
        <is>
          <t>STANDBY</t>
        </is>
      </c>
      <c r="G16291" s="8" t="n">
        <v>25</v>
      </c>
      <c r="H16291" s="8" t="inlineStr">
        <is>
          <t>OPERATING</t>
        </is>
      </c>
    </row>
    <row r="16292">
      <c r="A16292" s="8" t="inlineStr">
        <is>
          <t>2026-08-03</t>
        </is>
      </c>
      <c r="B16292" s="8" t="n">
        <v>19</v>
      </c>
      <c r="C16292" s="8" t="n">
        <v>1</v>
      </c>
      <c r="D16292" s="8" t="inlineStr">
        <is>
          <t>Disney Adventure World</t>
        </is>
      </c>
      <c r="E16292" s="8" t="inlineStr">
        <is>
          <t>The Twilight Zone Tower of Terror</t>
        </is>
      </c>
      <c r="F16292" s="8" t="inlineStr">
        <is>
          <t>STANDBY</t>
        </is>
      </c>
      <c r="G16292" s="8" t="n">
        <v>20</v>
      </c>
      <c r="H16292" s="8" t="inlineStr">
        <is>
          <t>OPERATING</t>
        </is>
      </c>
    </row>
    <row r="16293">
      <c r="A16293" s="8" t="inlineStr">
        <is>
          <t>2026-08-03</t>
        </is>
      </c>
      <c r="B16293" s="8" t="n">
        <v>19</v>
      </c>
      <c r="C16293" s="8" t="n">
        <v>1</v>
      </c>
      <c r="D16293" s="8" t="inlineStr">
        <is>
          <t>Disney Adventure World</t>
        </is>
      </c>
      <c r="E16293" s="8" t="inlineStr">
        <is>
          <t>Cars Quatre Roues Rallye</t>
        </is>
      </c>
      <c r="F16293" s="8" t="inlineStr">
        <is>
          <t>STANDBY</t>
        </is>
      </c>
      <c r="G16293" s="8" t="n">
        <v>0</v>
      </c>
      <c r="H16293" s="8" t="inlineStr">
        <is>
          <t>CLOSED</t>
        </is>
      </c>
    </row>
    <row r="16294">
      <c r="A16294" s="8" t="inlineStr">
        <is>
          <t>2026-08-03</t>
        </is>
      </c>
      <c r="B16294" s="8" t="n">
        <v>19</v>
      </c>
      <c r="C16294" s="8" t="n">
        <v>1</v>
      </c>
      <c r="D16294" s="8" t="inlineStr">
        <is>
          <t>Disney Adventure World</t>
        </is>
      </c>
      <c r="E16294" s="8" t="inlineStr">
        <is>
          <t>Cars ROAD TRIP</t>
        </is>
      </c>
      <c r="F16294" s="8" t="inlineStr">
        <is>
          <t>STANDBY</t>
        </is>
      </c>
      <c r="G16294" s="8" t="n">
        <v>5</v>
      </c>
      <c r="H16294" s="8" t="inlineStr">
        <is>
          <t>OPERATING</t>
        </is>
      </c>
    </row>
    <row r="16295">
      <c r="A16295" s="8" t="inlineStr">
        <is>
          <t>2026-08-03</t>
        </is>
      </c>
      <c r="B16295" s="8" t="n">
        <v>19</v>
      </c>
      <c r="C16295" s="8" t="n">
        <v>1</v>
      </c>
      <c r="D16295" s="8" t="inlineStr">
        <is>
          <t>Disney Adventure World</t>
        </is>
      </c>
      <c r="E16295" s="8" t="inlineStr">
        <is>
          <t>Crush's Coaster</t>
        </is>
      </c>
      <c r="F16295" s="8" t="inlineStr">
        <is>
          <t>STANDBY</t>
        </is>
      </c>
      <c r="G16295" s="8" t="n">
        <v>70</v>
      </c>
      <c r="H16295" s="8" t="inlineStr">
        <is>
          <t>OPERATING</t>
        </is>
      </c>
    </row>
    <row r="16296">
      <c r="A16296" s="8" t="inlineStr">
        <is>
          <t>2026-08-03</t>
        </is>
      </c>
      <c r="B16296" s="8" t="n">
        <v>19</v>
      </c>
      <c r="C16296" s="8" t="n">
        <v>1</v>
      </c>
      <c r="D16296" s="8" t="inlineStr">
        <is>
          <t>Disney Adventure World</t>
        </is>
      </c>
      <c r="E16296" s="8" t="inlineStr">
        <is>
          <t>Crush's Coaster Single Rider</t>
        </is>
      </c>
      <c r="F16296" s="8" t="inlineStr">
        <is>
          <t>STANDBY</t>
        </is>
      </c>
      <c r="G16296" s="8" t="n">
        <v>65</v>
      </c>
      <c r="H16296" s="8" t="inlineStr">
        <is>
          <t>OPERATING</t>
        </is>
      </c>
    </row>
    <row r="16297">
      <c r="A16297" s="8" t="inlineStr">
        <is>
          <t>2026-08-03</t>
        </is>
      </c>
      <c r="B16297" s="8" t="n">
        <v>19</v>
      </c>
      <c r="C16297" s="8" t="n">
        <v>1</v>
      </c>
      <c r="D16297" s="8" t="inlineStr">
        <is>
          <t>Disney Adventure World</t>
        </is>
      </c>
      <c r="E16297" s="8" t="inlineStr">
        <is>
          <t>Les Tapis Volants - Flying Carpets Over Agrabah®</t>
        </is>
      </c>
      <c r="F16297" s="8" t="inlineStr">
        <is>
          <t>STANDBY</t>
        </is>
      </c>
      <c r="G16297" s="8" t="n">
        <v>0</v>
      </c>
      <c r="H16297" s="8" t="inlineStr">
        <is>
          <t>CLOSED</t>
        </is>
      </c>
    </row>
    <row r="16298">
      <c r="A16298" s="8" t="inlineStr">
        <is>
          <t>2026-08-03</t>
        </is>
      </c>
      <c r="B16298" s="8" t="n">
        <v>19</v>
      </c>
      <c r="C16298" s="8" t="n">
        <v>1</v>
      </c>
      <c r="D16298" s="8" t="inlineStr">
        <is>
          <t>Disney Adventure World</t>
        </is>
      </c>
      <c r="E16298" s="8" t="inlineStr">
        <is>
          <t>Ratatouille : L’Aventure Totalement Toquée de Rémy​</t>
        </is>
      </c>
      <c r="F16298" s="8" t="inlineStr">
        <is>
          <t>STANDBY</t>
        </is>
      </c>
      <c r="G16298" s="8" t="n">
        <v>40</v>
      </c>
      <c r="H16298" s="8" t="inlineStr">
        <is>
          <t>OPERATING</t>
        </is>
      </c>
    </row>
    <row r="16299">
      <c r="A16299" s="8" t="inlineStr">
        <is>
          <t>2026-08-03</t>
        </is>
      </c>
      <c r="B16299" s="8" t="n">
        <v>19</v>
      </c>
      <c r="C16299" s="8" t="n">
        <v>1</v>
      </c>
      <c r="D16299" s="8" t="inlineStr">
        <is>
          <t>Disney Adventure World</t>
        </is>
      </c>
      <c r="E16299" s="8" t="inlineStr">
        <is>
          <t>Ratatouille: The Adventure Single Rider</t>
        </is>
      </c>
      <c r="F16299" s="8" t="inlineStr">
        <is>
          <t>STANDBY</t>
        </is>
      </c>
      <c r="G16299" s="8" t="n">
        <v>10</v>
      </c>
      <c r="H16299" s="8" t="inlineStr">
        <is>
          <t>OPERATING</t>
        </is>
      </c>
    </row>
    <row r="16300">
      <c r="A16300" s="8" t="inlineStr">
        <is>
          <t>2026-08-03</t>
        </is>
      </c>
      <c r="B16300" s="8" t="n">
        <v>19</v>
      </c>
      <c r="C16300" s="8" t="n">
        <v>1</v>
      </c>
      <c r="D16300" s="8" t="inlineStr">
        <is>
          <t>Disney Adventure World</t>
        </is>
      </c>
      <c r="E16300" s="8" t="inlineStr">
        <is>
          <t>RC Racer</t>
        </is>
      </c>
      <c r="F16300" s="8" t="inlineStr">
        <is>
          <t>STANDBY</t>
        </is>
      </c>
      <c r="G16300" s="8" t="n">
        <v>0</v>
      </c>
      <c r="H16300" s="8" t="inlineStr">
        <is>
          <t>CLOSED</t>
        </is>
      </c>
    </row>
    <row r="16301">
      <c r="A16301" s="8" t="inlineStr">
        <is>
          <t>2026-08-03</t>
        </is>
      </c>
      <c r="B16301" s="8" t="n">
        <v>19</v>
      </c>
      <c r="C16301" s="8" t="n">
        <v>1</v>
      </c>
      <c r="D16301" s="8" t="inlineStr">
        <is>
          <t>Disney Adventure World</t>
        </is>
      </c>
      <c r="E16301" s="8" t="inlineStr">
        <is>
          <t>RC Racer Single Rider</t>
        </is>
      </c>
      <c r="F16301" s="8" t="inlineStr">
        <is>
          <t>STANDBY</t>
        </is>
      </c>
      <c r="G16301" s="8" t="n">
        <v>0</v>
      </c>
      <c r="H16301" s="8" t="inlineStr">
        <is>
          <t>CLOSED</t>
        </is>
      </c>
    </row>
    <row r="16302">
      <c r="A16302" s="8" t="inlineStr">
        <is>
          <t>2026-08-03</t>
        </is>
      </c>
      <c r="B16302" s="8" t="n">
        <v>19</v>
      </c>
      <c r="C16302" s="8" t="n">
        <v>1</v>
      </c>
      <c r="D16302" s="8" t="inlineStr">
        <is>
          <t>Disney Adventure World</t>
        </is>
      </c>
      <c r="E16302" s="8" t="inlineStr">
        <is>
          <t>Slinky® Dog Zigzag Spin</t>
        </is>
      </c>
      <c r="F16302" s="8" t="inlineStr">
        <is>
          <t>STANDBY</t>
        </is>
      </c>
      <c r="G16302" s="8" t="n">
        <v>0</v>
      </c>
      <c r="H16302" s="8" t="inlineStr">
        <is>
          <t>CLOSED</t>
        </is>
      </c>
    </row>
    <row r="16303">
      <c r="A16303" s="8" t="inlineStr">
        <is>
          <t>2026-08-03</t>
        </is>
      </c>
      <c r="B16303" s="8" t="n">
        <v>19</v>
      </c>
      <c r="C16303" s="8" t="n">
        <v>1</v>
      </c>
      <c r="D16303" s="8" t="inlineStr">
        <is>
          <t>Disney Adventure World</t>
        </is>
      </c>
      <c r="E16303" s="8" t="inlineStr">
        <is>
          <t>Toy Soldiers Parachute Drop</t>
        </is>
      </c>
      <c r="F16303" s="8" t="inlineStr">
        <is>
          <t>STANDBY</t>
        </is>
      </c>
      <c r="G16303" s="8" t="n">
        <v>0</v>
      </c>
      <c r="H16303" s="8" t="inlineStr">
        <is>
          <t>CLOSED</t>
        </is>
      </c>
    </row>
    <row r="16304">
      <c r="A16304" s="8" t="inlineStr">
        <is>
          <t>2026-08-03</t>
        </is>
      </c>
      <c r="B16304" s="8" t="n">
        <v>19</v>
      </c>
      <c r="C16304" s="8" t="n">
        <v>1</v>
      </c>
      <c r="D16304" s="8" t="inlineStr">
        <is>
          <t>Disney Adventure World</t>
        </is>
      </c>
      <c r="E16304" s="8" t="inlineStr">
        <is>
          <t>Toy Soldiers Parachute Drop Single Rider</t>
        </is>
      </c>
      <c r="F16304" s="8" t="inlineStr">
        <is>
          <t>STANDBY</t>
        </is>
      </c>
      <c r="G16304" s="8" t="n">
        <v>0</v>
      </c>
      <c r="H16304" s="8" t="inlineStr">
        <is>
          <t>CLOSED</t>
        </is>
      </c>
    </row>
    <row r="16305">
      <c r="A16305" s="8" t="inlineStr">
        <is>
          <t>2026-08-03</t>
        </is>
      </c>
      <c r="B16305" s="8" t="n">
        <v>19</v>
      </c>
      <c r="C16305" s="8" t="n">
        <v>1</v>
      </c>
      <c r="D16305" s="8" t="inlineStr">
        <is>
          <t>Disney Adventure World</t>
        </is>
      </c>
      <c r="E16305" s="8" t="inlineStr">
        <is>
          <t>Entry to World of Frozen</t>
        </is>
      </c>
      <c r="F16305" s="8" t="inlineStr">
        <is>
          <t>STANDBY</t>
        </is>
      </c>
      <c r="G16305" s="8" t="n">
        <v>0</v>
      </c>
      <c r="H16305" s="8" t="inlineStr">
        <is>
          <t>OPERATING</t>
        </is>
      </c>
    </row>
    <row r="16306">
      <c r="A16306" s="8" t="inlineStr">
        <is>
          <t>2026-08-03</t>
        </is>
      </c>
      <c r="B16306" s="8" t="n">
        <v>19</v>
      </c>
      <c r="C16306" s="8" t="n">
        <v>1</v>
      </c>
      <c r="D16306" s="8" t="inlineStr">
        <is>
          <t>Disney Adventure World</t>
        </is>
      </c>
      <c r="E16306" s="8" t="inlineStr">
        <is>
          <t>Frozen Ever After</t>
        </is>
      </c>
      <c r="F16306" s="8" t="inlineStr">
        <is>
          <t>STANDBY</t>
        </is>
      </c>
      <c r="G16306" s="8" t="n">
        <v>30</v>
      </c>
      <c r="H16306" s="8" t="inlineStr">
        <is>
          <t>OPERATING</t>
        </is>
      </c>
    </row>
    <row r="16307">
      <c r="A16307" s="8" t="inlineStr">
        <is>
          <t>2026-08-03</t>
        </is>
      </c>
      <c r="B16307" s="8" t="n">
        <v>19</v>
      </c>
      <c r="C16307" s="8" t="n">
        <v>1</v>
      </c>
      <c r="D16307" s="8" t="inlineStr">
        <is>
          <t>Disney Adventure World</t>
        </is>
      </c>
      <c r="E16307" s="8" t="inlineStr">
        <is>
          <t>Raiponce Tangled Spin</t>
        </is>
      </c>
      <c r="F16307" s="8" t="inlineStr">
        <is>
          <t>STANDBY</t>
        </is>
      </c>
      <c r="G16307" s="8" t="n">
        <v>0</v>
      </c>
      <c r="H16307" s="8" t="inlineStr">
        <is>
          <t>CLOSED</t>
        </is>
      </c>
    </row>
    <row r="16308">
      <c r="A16308" s="8" t="inlineStr">
        <is>
          <t>2026-08-03</t>
        </is>
      </c>
      <c r="B16308" s="8" t="n">
        <v>19</v>
      </c>
      <c r="C16308" s="8" t="n">
        <v>15</v>
      </c>
      <c r="D16308" s="8" t="inlineStr">
        <is>
          <t>Disneyland Park</t>
        </is>
      </c>
      <c r="E16308" s="8" t="inlineStr">
        <is>
          <t>Adventure Isle</t>
        </is>
      </c>
      <c r="F16308" s="8" t="inlineStr">
        <is>
          <t>STANDBY</t>
        </is>
      </c>
      <c r="G16308" s="8" t="n">
        <v>0</v>
      </c>
      <c r="H16308" s="8" t="inlineStr">
        <is>
          <t>OPERATING</t>
        </is>
      </c>
    </row>
    <row r="16309">
      <c r="A16309" s="8" t="inlineStr">
        <is>
          <t>2026-08-03</t>
        </is>
      </c>
      <c r="B16309" s="8" t="n">
        <v>19</v>
      </c>
      <c r="C16309" s="8" t="n">
        <v>15</v>
      </c>
      <c r="D16309" s="8" t="inlineStr">
        <is>
          <t>Disneyland Park</t>
        </is>
      </c>
      <c r="E16309" s="8" t="inlineStr">
        <is>
          <t>Indiana Jones and the Temple of Peril Single Rider</t>
        </is>
      </c>
      <c r="F16309" s="8" t="inlineStr">
        <is>
          <t>STANDBY</t>
        </is>
      </c>
      <c r="G16309" s="8" t="n">
        <v>0</v>
      </c>
      <c r="H16309" s="8" t="inlineStr">
        <is>
          <t>CLOSED</t>
        </is>
      </c>
    </row>
    <row r="16310">
      <c r="A16310" s="8" t="inlineStr">
        <is>
          <t>2026-08-03</t>
        </is>
      </c>
      <c r="B16310" s="8" t="n">
        <v>19</v>
      </c>
      <c r="C16310" s="8" t="n">
        <v>15</v>
      </c>
      <c r="D16310" s="8" t="inlineStr">
        <is>
          <t>Disneyland Park</t>
        </is>
      </c>
      <c r="E16310" s="8" t="inlineStr">
        <is>
          <t>Indiana Jones™ and the Temple of Peril</t>
        </is>
      </c>
      <c r="F16310" s="8" t="inlineStr">
        <is>
          <t>STANDBY</t>
        </is>
      </c>
      <c r="G16310" s="8" t="n">
        <v>0</v>
      </c>
      <c r="H16310" s="8" t="inlineStr">
        <is>
          <t>CLOSED</t>
        </is>
      </c>
    </row>
    <row r="16311">
      <c r="A16311" s="8" t="inlineStr">
        <is>
          <t>2026-08-03</t>
        </is>
      </c>
      <c r="B16311" s="8" t="n">
        <v>19</v>
      </c>
      <c r="C16311" s="8" t="n">
        <v>15</v>
      </c>
      <c r="D16311" s="8" t="inlineStr">
        <is>
          <t>Disneyland Park</t>
        </is>
      </c>
      <c r="E16311" s="8" t="inlineStr">
        <is>
          <t>La Cabane des Robinson</t>
        </is>
      </c>
      <c r="F16311" s="8" t="inlineStr">
        <is>
          <t>STANDBY</t>
        </is>
      </c>
      <c r="G16311" s="8" t="n">
        <v>0</v>
      </c>
      <c r="H16311" s="8" t="inlineStr">
        <is>
          <t>CLOSED</t>
        </is>
      </c>
    </row>
    <row r="16312">
      <c r="A16312" s="8" t="inlineStr">
        <is>
          <t>2026-08-03</t>
        </is>
      </c>
      <c r="B16312" s="8" t="n">
        <v>19</v>
      </c>
      <c r="C16312" s="8" t="n">
        <v>15</v>
      </c>
      <c r="D16312" s="8" t="inlineStr">
        <is>
          <t>Disneyland Park</t>
        </is>
      </c>
      <c r="E16312" s="8" t="inlineStr">
        <is>
          <t>Le Passage Enchanté d'Aladdin</t>
        </is>
      </c>
      <c r="F16312" s="8" t="inlineStr">
        <is>
          <t>STANDBY</t>
        </is>
      </c>
      <c r="G16312" s="8" t="n">
        <v>0</v>
      </c>
      <c r="H16312" s="8" t="inlineStr">
        <is>
          <t>OPERATING</t>
        </is>
      </c>
    </row>
    <row r="16313">
      <c r="A16313" s="8" t="inlineStr">
        <is>
          <t>2026-08-03</t>
        </is>
      </c>
      <c r="B16313" s="8" t="n">
        <v>19</v>
      </c>
      <c r="C16313" s="8" t="n">
        <v>15</v>
      </c>
      <c r="D16313" s="8" t="inlineStr">
        <is>
          <t>Disneyland Park</t>
        </is>
      </c>
      <c r="E16313" s="8" t="inlineStr">
        <is>
          <t>Pirate Galleon</t>
        </is>
      </c>
      <c r="F16313" s="8" t="inlineStr">
        <is>
          <t>STANDBY</t>
        </is>
      </c>
      <c r="G16313" s="8" t="n">
        <v>0</v>
      </c>
      <c r="H16313" s="8" t="inlineStr">
        <is>
          <t>CLOSED</t>
        </is>
      </c>
    </row>
    <row r="16314">
      <c r="A16314" s="8" t="inlineStr">
        <is>
          <t>2026-08-03</t>
        </is>
      </c>
      <c r="B16314" s="8" t="n">
        <v>19</v>
      </c>
      <c r="C16314" s="8" t="n">
        <v>15</v>
      </c>
      <c r="D16314" s="8" t="inlineStr">
        <is>
          <t>Disneyland Park</t>
        </is>
      </c>
      <c r="E16314" s="8" t="inlineStr">
        <is>
          <t>Pirates of the Caribbean</t>
        </is>
      </c>
      <c r="F16314" s="8" t="inlineStr">
        <is>
          <t>STANDBY</t>
        </is>
      </c>
      <c r="G16314" s="8" t="n">
        <v>5</v>
      </c>
      <c r="H16314" s="8" t="inlineStr">
        <is>
          <t>OPERATING</t>
        </is>
      </c>
    </row>
    <row r="16315">
      <c r="A16315" s="8" t="inlineStr">
        <is>
          <t>2026-08-03</t>
        </is>
      </c>
      <c r="B16315" s="8" t="n">
        <v>19</v>
      </c>
      <c r="C16315" s="8" t="n">
        <v>15</v>
      </c>
      <c r="D16315" s="8" t="inlineStr">
        <is>
          <t>Disneyland Park</t>
        </is>
      </c>
      <c r="E16315" s="8" t="inlineStr">
        <is>
          <t>Pirates' Beach</t>
        </is>
      </c>
      <c r="F16315" s="8" t="inlineStr">
        <is>
          <t>STANDBY</t>
        </is>
      </c>
      <c r="G16315" s="8" t="n">
        <v>0</v>
      </c>
      <c r="H16315" s="8" t="inlineStr">
        <is>
          <t>CLOSED</t>
        </is>
      </c>
    </row>
    <row r="16316">
      <c r="A16316" s="8" t="inlineStr">
        <is>
          <t>2026-08-03</t>
        </is>
      </c>
      <c r="B16316" s="8" t="n">
        <v>19</v>
      </c>
      <c r="C16316" s="8" t="n">
        <v>15</v>
      </c>
      <c r="D16316" s="8" t="inlineStr">
        <is>
          <t>Disneyland Park</t>
        </is>
      </c>
      <c r="E16316" s="8" t="inlineStr">
        <is>
          <t>Autopia, presented by Avis</t>
        </is>
      </c>
      <c r="F16316" s="8" t="inlineStr">
        <is>
          <t>STANDBY</t>
        </is>
      </c>
      <c r="G16316" s="8" t="n">
        <v>0</v>
      </c>
      <c r="H16316" s="8" t="inlineStr">
        <is>
          <t>CLOSED</t>
        </is>
      </c>
    </row>
    <row r="16317">
      <c r="A16317" s="8" t="inlineStr">
        <is>
          <t>2026-08-03</t>
        </is>
      </c>
      <c r="B16317" s="8" t="n">
        <v>19</v>
      </c>
      <c r="C16317" s="8" t="n">
        <v>15</v>
      </c>
      <c r="D16317" s="8" t="inlineStr">
        <is>
          <t>Disneyland Park</t>
        </is>
      </c>
      <c r="E16317" s="8" t="inlineStr">
        <is>
          <t>Buzz Lightyear Laser Blast</t>
        </is>
      </c>
      <c r="F16317" s="8" t="inlineStr">
        <is>
          <t>STANDBY</t>
        </is>
      </c>
      <c r="G16317" s="8" t="n">
        <v>50</v>
      </c>
      <c r="H16317" s="8" t="inlineStr">
        <is>
          <t>OPERATING</t>
        </is>
      </c>
    </row>
    <row r="16318">
      <c r="A16318" s="8" t="inlineStr">
        <is>
          <t>2026-08-03</t>
        </is>
      </c>
      <c r="B16318" s="8" t="n">
        <v>19</v>
      </c>
      <c r="C16318" s="8" t="n">
        <v>15</v>
      </c>
      <c r="D16318" s="8" t="inlineStr">
        <is>
          <t>Disneyland Park</t>
        </is>
      </c>
      <c r="E16318" s="8" t="inlineStr">
        <is>
          <t>Disneyland Railroad Discoveryland Station</t>
        </is>
      </c>
      <c r="F16318" s="8" t="inlineStr">
        <is>
          <t>STANDBY</t>
        </is>
      </c>
      <c r="G16318" s="8" t="n">
        <v>0</v>
      </c>
      <c r="H16318" s="8" t="inlineStr">
        <is>
          <t>CLOSED</t>
        </is>
      </c>
    </row>
    <row r="16319">
      <c r="A16319" s="8" t="inlineStr">
        <is>
          <t>2026-08-03</t>
        </is>
      </c>
      <c r="B16319" s="8" t="n">
        <v>19</v>
      </c>
      <c r="C16319" s="8" t="n">
        <v>15</v>
      </c>
      <c r="D16319" s="8" t="inlineStr">
        <is>
          <t>Disneyland Park</t>
        </is>
      </c>
      <c r="E16319" s="8" t="inlineStr">
        <is>
          <t>Les Mystères du Nautilus</t>
        </is>
      </c>
      <c r="F16319" s="8" t="inlineStr">
        <is>
          <t>STANDBY</t>
        </is>
      </c>
      <c r="G16319" s="8" t="n">
        <v>5</v>
      </c>
      <c r="H16319" s="8" t="inlineStr">
        <is>
          <t>OPERATING</t>
        </is>
      </c>
    </row>
    <row r="16320">
      <c r="A16320" s="8" t="inlineStr">
        <is>
          <t>2026-08-03</t>
        </is>
      </c>
      <c r="B16320" s="8" t="n">
        <v>19</v>
      </c>
      <c r="C16320" s="8" t="n">
        <v>15</v>
      </c>
      <c r="D16320" s="8" t="inlineStr">
        <is>
          <t>Disneyland Park</t>
        </is>
      </c>
      <c r="E16320" s="8" t="inlineStr">
        <is>
          <t>Mickey’s PhilharMagic</t>
        </is>
      </c>
      <c r="F16320" s="8" t="inlineStr">
        <is>
          <t>STANDBY</t>
        </is>
      </c>
      <c r="G16320" s="8" t="n">
        <v>0</v>
      </c>
      <c r="H16320" s="8" t="inlineStr">
        <is>
          <t>CLOSED</t>
        </is>
      </c>
    </row>
    <row r="16321">
      <c r="A16321" s="8" t="inlineStr">
        <is>
          <t>2026-08-03</t>
        </is>
      </c>
      <c r="B16321" s="8" t="n">
        <v>19</v>
      </c>
      <c r="C16321" s="8" t="n">
        <v>15</v>
      </c>
      <c r="D16321" s="8" t="inlineStr">
        <is>
          <t>Disneyland Park</t>
        </is>
      </c>
      <c r="E16321" s="8" t="inlineStr">
        <is>
          <t>Orbitron®</t>
        </is>
      </c>
      <c r="F16321" s="8" t="inlineStr">
        <is>
          <t>STANDBY</t>
        </is>
      </c>
      <c r="G16321" s="8" t="n">
        <v>0</v>
      </c>
      <c r="H16321" s="8" t="inlineStr">
        <is>
          <t>CLOSED</t>
        </is>
      </c>
    </row>
    <row r="16322">
      <c r="A16322" s="8" t="inlineStr">
        <is>
          <t>2026-08-03</t>
        </is>
      </c>
      <c r="B16322" s="8" t="n">
        <v>19</v>
      </c>
      <c r="C16322" s="8" t="n">
        <v>15</v>
      </c>
      <c r="D16322" s="8" t="inlineStr">
        <is>
          <t>Disneyland Park</t>
        </is>
      </c>
      <c r="E16322" s="8" t="inlineStr">
        <is>
          <t>Star Tours: The Adventures Continue*</t>
        </is>
      </c>
      <c r="F16322" s="8" t="inlineStr">
        <is>
          <t>STANDBY</t>
        </is>
      </c>
      <c r="G16322" s="8" t="n">
        <v>10</v>
      </c>
      <c r="H16322" s="8" t="inlineStr">
        <is>
          <t>OPERATING</t>
        </is>
      </c>
    </row>
    <row r="16323">
      <c r="A16323" s="8" t="inlineStr">
        <is>
          <t>2026-08-03</t>
        </is>
      </c>
      <c r="B16323" s="8" t="n">
        <v>19</v>
      </c>
      <c r="C16323" s="8" t="n">
        <v>15</v>
      </c>
      <c r="D16323" s="8" t="inlineStr">
        <is>
          <t>Disneyland Park</t>
        </is>
      </c>
      <c r="E16323" s="8" t="inlineStr">
        <is>
          <t>Star Wars Hyperspace Mountain</t>
        </is>
      </c>
      <c r="F16323" s="8" t="inlineStr">
        <is>
          <t>STANDBY</t>
        </is>
      </c>
      <c r="G16323" s="8" t="n">
        <v>30</v>
      </c>
      <c r="H16323" s="8" t="inlineStr">
        <is>
          <t>OPERATING</t>
        </is>
      </c>
    </row>
    <row r="16324">
      <c r="A16324" s="8" t="inlineStr">
        <is>
          <t>2026-08-03</t>
        </is>
      </c>
      <c r="B16324" s="8" t="n">
        <v>19</v>
      </c>
      <c r="C16324" s="8" t="n">
        <v>15</v>
      </c>
      <c r="D16324" s="8" t="inlineStr">
        <is>
          <t>Disneyland Park</t>
        </is>
      </c>
      <c r="E16324" s="8" t="inlineStr">
        <is>
          <t>Star Wars Hyperspace Mountain Single Rider</t>
        </is>
      </c>
      <c r="F16324" s="8" t="inlineStr">
        <is>
          <t>STANDBY</t>
        </is>
      </c>
      <c r="G16324" s="8" t="n">
        <v>20</v>
      </c>
      <c r="H16324" s="8" t="inlineStr">
        <is>
          <t>OPERATING</t>
        </is>
      </c>
    </row>
    <row r="16325">
      <c r="A16325" s="8" t="inlineStr">
        <is>
          <t>2026-08-03</t>
        </is>
      </c>
      <c r="B16325" s="8" t="n">
        <v>19</v>
      </c>
      <c r="C16325" s="8" t="n">
        <v>15</v>
      </c>
      <c r="D16325" s="8" t="inlineStr">
        <is>
          <t>Disneyland Park</t>
        </is>
      </c>
      <c r="E16325" s="8" t="inlineStr">
        <is>
          <t>Welcome to Starport: A Star Wars Encounter</t>
        </is>
      </c>
      <c r="F16325" s="8" t="inlineStr">
        <is>
          <t>STANDBY</t>
        </is>
      </c>
      <c r="G16325" s="8" t="n">
        <v>0</v>
      </c>
      <c r="H16325" s="8" t="inlineStr">
        <is>
          <t>CLOSED</t>
        </is>
      </c>
    </row>
    <row r="16326">
      <c r="A16326" s="8" t="inlineStr">
        <is>
          <t>2026-08-03</t>
        </is>
      </c>
      <c r="B16326" s="8" t="n">
        <v>19</v>
      </c>
      <c r="C16326" s="8" t="n">
        <v>15</v>
      </c>
      <c r="D16326" s="8" t="inlineStr">
        <is>
          <t>Disneyland Park</t>
        </is>
      </c>
      <c r="E16326" s="8" t="inlineStr">
        <is>
          <t>"it's a small world"</t>
        </is>
      </c>
      <c r="F16326" s="8" t="inlineStr">
        <is>
          <t>STANDBY</t>
        </is>
      </c>
      <c r="G16326" s="8" t="n">
        <v>5</v>
      </c>
      <c r="H16326" s="8" t="inlineStr">
        <is>
          <t>OPERATING</t>
        </is>
      </c>
    </row>
    <row r="16327">
      <c r="A16327" s="8" t="inlineStr">
        <is>
          <t>2026-08-03</t>
        </is>
      </c>
      <c r="B16327" s="8" t="n">
        <v>19</v>
      </c>
      <c r="C16327" s="8" t="n">
        <v>15</v>
      </c>
      <c r="D16327" s="8" t="inlineStr">
        <is>
          <t>Disneyland Park</t>
        </is>
      </c>
      <c r="E16327" s="8" t="inlineStr">
        <is>
          <t>Alice's Curious Labyrinth</t>
        </is>
      </c>
      <c r="F16327" s="8" t="inlineStr">
        <is>
          <t>STANDBY</t>
        </is>
      </c>
      <c r="G16327" s="8" t="n">
        <v>5</v>
      </c>
      <c r="H16327" s="8" t="inlineStr">
        <is>
          <t>OPERATING</t>
        </is>
      </c>
    </row>
    <row r="16328">
      <c r="A16328" s="8" t="inlineStr">
        <is>
          <t>2026-08-03</t>
        </is>
      </c>
      <c r="B16328" s="8" t="n">
        <v>19</v>
      </c>
      <c r="C16328" s="8" t="n">
        <v>15</v>
      </c>
      <c r="D16328" s="8" t="inlineStr">
        <is>
          <t>Disneyland Park</t>
        </is>
      </c>
      <c r="E16328" s="8" t="inlineStr">
        <is>
          <t>Blanche-Neige et les Sept Nains®</t>
        </is>
      </c>
      <c r="F16328" s="8" t="inlineStr">
        <is>
          <t>STANDBY</t>
        </is>
      </c>
      <c r="G16328" s="8" t="n">
        <v>20</v>
      </c>
      <c r="H16328" s="8" t="inlineStr">
        <is>
          <t>OPERATING</t>
        </is>
      </c>
    </row>
    <row r="16329">
      <c r="A16329" s="8" t="inlineStr">
        <is>
          <t>2026-08-03</t>
        </is>
      </c>
      <c r="B16329" s="8" t="n">
        <v>19</v>
      </c>
      <c r="C16329" s="8" t="n">
        <v>15</v>
      </c>
      <c r="D16329" s="8" t="inlineStr">
        <is>
          <t>Disneyland Park</t>
        </is>
      </c>
      <c r="E16329" s="8" t="inlineStr">
        <is>
          <t>Casey Jr. – le Petit Train du Cirque</t>
        </is>
      </c>
      <c r="F16329" s="8" t="inlineStr">
        <is>
          <t>STANDBY</t>
        </is>
      </c>
      <c r="G16329" s="8" t="n">
        <v>0</v>
      </c>
      <c r="H16329" s="8" t="inlineStr">
        <is>
          <t>CLOSED</t>
        </is>
      </c>
    </row>
    <row r="16330">
      <c r="A16330" s="8" t="inlineStr">
        <is>
          <t>2026-08-03</t>
        </is>
      </c>
      <c r="B16330" s="8" t="n">
        <v>19</v>
      </c>
      <c r="C16330" s="8" t="n">
        <v>15</v>
      </c>
      <c r="D16330" s="8" t="inlineStr">
        <is>
          <t>Disneyland Park</t>
        </is>
      </c>
      <c r="E16330" s="8" t="inlineStr">
        <is>
          <t>Disneyland Railroad Fantasyland Station</t>
        </is>
      </c>
      <c r="F16330" s="8" t="inlineStr">
        <is>
          <t>STANDBY</t>
        </is>
      </c>
      <c r="G16330" s="8" t="n">
        <v>0</v>
      </c>
      <c r="H16330" s="8" t="inlineStr">
        <is>
          <t>CLOSED</t>
        </is>
      </c>
    </row>
    <row r="16331">
      <c r="A16331" s="8" t="inlineStr">
        <is>
          <t>2026-08-03</t>
        </is>
      </c>
      <c r="B16331" s="8" t="n">
        <v>19</v>
      </c>
      <c r="C16331" s="8" t="n">
        <v>15</v>
      </c>
      <c r="D16331" s="8" t="inlineStr">
        <is>
          <t>Disneyland Park</t>
        </is>
      </c>
      <c r="E16331" s="8" t="inlineStr">
        <is>
          <t>Disneyland Railroad Main Street Station</t>
        </is>
      </c>
      <c r="F16331" s="8" t="inlineStr">
        <is>
          <t>STANDBY</t>
        </is>
      </c>
      <c r="G16331" s="8" t="n">
        <v>0</v>
      </c>
      <c r="H16331" s="8" t="inlineStr">
        <is>
          <t>CLOSED</t>
        </is>
      </c>
    </row>
    <row r="16332">
      <c r="A16332" s="8" t="inlineStr">
        <is>
          <t>2026-08-03</t>
        </is>
      </c>
      <c r="B16332" s="8" t="n">
        <v>19</v>
      </c>
      <c r="C16332" s="8" t="n">
        <v>15</v>
      </c>
      <c r="D16332" s="8" t="inlineStr">
        <is>
          <t>Disneyland Park</t>
        </is>
      </c>
      <c r="E16332" s="8" t="inlineStr">
        <is>
          <t>Dumbo the Flying Elephant</t>
        </is>
      </c>
      <c r="F16332" s="8" t="inlineStr">
        <is>
          <t>STANDBY</t>
        </is>
      </c>
      <c r="G16332" s="8" t="n">
        <v>0</v>
      </c>
      <c r="H16332" s="8" t="inlineStr">
        <is>
          <t>CLOSED</t>
        </is>
      </c>
    </row>
    <row r="16333">
      <c r="A16333" s="8" t="inlineStr">
        <is>
          <t>2026-08-03</t>
        </is>
      </c>
      <c r="B16333" s="8" t="n">
        <v>19</v>
      </c>
      <c r="C16333" s="8" t="n">
        <v>15</v>
      </c>
      <c r="D16333" s="8" t="inlineStr">
        <is>
          <t>Disneyland Park</t>
        </is>
      </c>
      <c r="E16333" s="8" t="inlineStr">
        <is>
          <t>La Tanière du Dragon</t>
        </is>
      </c>
      <c r="F16333" s="8" t="inlineStr">
        <is>
          <t>STANDBY</t>
        </is>
      </c>
      <c r="G16333" s="8" t="n">
        <v>0</v>
      </c>
      <c r="H16333" s="8" t="inlineStr">
        <is>
          <t>OPERATING</t>
        </is>
      </c>
    </row>
    <row r="16334">
      <c r="A16334" s="8" t="inlineStr">
        <is>
          <t>2026-08-03</t>
        </is>
      </c>
      <c r="B16334" s="8" t="n">
        <v>19</v>
      </c>
      <c r="C16334" s="8" t="n">
        <v>15</v>
      </c>
      <c r="D16334" s="8" t="inlineStr">
        <is>
          <t>Disneyland Park</t>
        </is>
      </c>
      <c r="E16334" s="8" t="inlineStr">
        <is>
          <t>Le Carrousel de Lancelot</t>
        </is>
      </c>
      <c r="F16334" s="8" t="inlineStr">
        <is>
          <t>STANDBY</t>
        </is>
      </c>
      <c r="G16334" s="8" t="n">
        <v>10</v>
      </c>
      <c r="H16334" s="8" t="inlineStr">
        <is>
          <t>OPERATING</t>
        </is>
      </c>
    </row>
    <row r="16335">
      <c r="A16335" s="8" t="inlineStr">
        <is>
          <t>2026-08-03</t>
        </is>
      </c>
      <c r="B16335" s="8" t="n">
        <v>19</v>
      </c>
      <c r="C16335" s="8" t="n">
        <v>15</v>
      </c>
      <c r="D16335" s="8" t="inlineStr">
        <is>
          <t>Disneyland Park</t>
        </is>
      </c>
      <c r="E16335" s="8" t="inlineStr">
        <is>
          <t>Le Pays des Contes de Fées, presented by Vittel</t>
        </is>
      </c>
      <c r="F16335" s="8" t="inlineStr">
        <is>
          <t>STANDBY</t>
        </is>
      </c>
      <c r="G16335" s="8" t="n">
        <v>0</v>
      </c>
      <c r="H16335" s="8" t="inlineStr">
        <is>
          <t>CLOSED</t>
        </is>
      </c>
    </row>
    <row r="16336">
      <c r="A16336" s="8" t="inlineStr">
        <is>
          <t>2026-08-03</t>
        </is>
      </c>
      <c r="B16336" s="8" t="n">
        <v>19</v>
      </c>
      <c r="C16336" s="8" t="n">
        <v>15</v>
      </c>
      <c r="D16336" s="8" t="inlineStr">
        <is>
          <t>Disneyland Park</t>
        </is>
      </c>
      <c r="E16336" s="8" t="inlineStr">
        <is>
          <t>Les Voyages de Pinocchio</t>
        </is>
      </c>
      <c r="F16336" s="8" t="inlineStr">
        <is>
          <t>STANDBY</t>
        </is>
      </c>
      <c r="G16336" s="8" t="n">
        <v>25</v>
      </c>
      <c r="H16336" s="8" t="inlineStr">
        <is>
          <t>OPERATING</t>
        </is>
      </c>
    </row>
    <row r="16337">
      <c r="A16337" s="8" t="inlineStr">
        <is>
          <t>2026-08-03</t>
        </is>
      </c>
      <c r="B16337" s="8" t="n">
        <v>19</v>
      </c>
      <c r="C16337" s="8" t="n">
        <v>15</v>
      </c>
      <c r="D16337" s="8" t="inlineStr">
        <is>
          <t>Disneyland Park</t>
        </is>
      </c>
      <c r="E16337" s="8" t="inlineStr">
        <is>
          <t>Mad Hatter's Tea Cups</t>
        </is>
      </c>
      <c r="F16337" s="8" t="inlineStr">
        <is>
          <t>STANDBY</t>
        </is>
      </c>
      <c r="G16337" s="8" t="n">
        <v>10</v>
      </c>
      <c r="H16337" s="8" t="inlineStr">
        <is>
          <t>OPERATING</t>
        </is>
      </c>
    </row>
    <row r="16338">
      <c r="A16338" s="8" t="inlineStr">
        <is>
          <t>2026-08-03</t>
        </is>
      </c>
      <c r="B16338" s="8" t="n">
        <v>19</v>
      </c>
      <c r="C16338" s="8" t="n">
        <v>15</v>
      </c>
      <c r="D16338" s="8" t="inlineStr">
        <is>
          <t>Disneyland Park</t>
        </is>
      </c>
      <c r="E16338" s="8" t="inlineStr">
        <is>
          <t>Meet Mickey Mouse</t>
        </is>
      </c>
      <c r="F16338" s="8" t="inlineStr">
        <is>
          <t>STANDBY</t>
        </is>
      </c>
      <c r="G16338" s="8" t="n">
        <v>0</v>
      </c>
      <c r="H16338" s="8" t="inlineStr">
        <is>
          <t>CLOSED</t>
        </is>
      </c>
    </row>
    <row r="16339">
      <c r="A16339" s="8" t="inlineStr">
        <is>
          <t>2026-08-03</t>
        </is>
      </c>
      <c r="B16339" s="8" t="n">
        <v>19</v>
      </c>
      <c r="C16339" s="8" t="n">
        <v>15</v>
      </c>
      <c r="D16339" s="8" t="inlineStr">
        <is>
          <t>Disneyland Park</t>
        </is>
      </c>
      <c r="E16339" s="8" t="inlineStr">
        <is>
          <t>Peter Pan's Flight</t>
        </is>
      </c>
      <c r="F16339" s="8" t="inlineStr">
        <is>
          <t>STANDBY</t>
        </is>
      </c>
      <c r="G16339" s="8" t="n">
        <v>65</v>
      </c>
      <c r="H16339" s="8" t="inlineStr">
        <is>
          <t>OPERATING</t>
        </is>
      </c>
    </row>
    <row r="16340">
      <c r="A16340" s="8" t="inlineStr">
        <is>
          <t>2026-08-03</t>
        </is>
      </c>
      <c r="B16340" s="8" t="n">
        <v>19</v>
      </c>
      <c r="C16340" s="8" t="n">
        <v>15</v>
      </c>
      <c r="D16340" s="8" t="inlineStr">
        <is>
          <t>Disneyland Park</t>
        </is>
      </c>
      <c r="E16340" s="8" t="inlineStr">
        <is>
          <t>Princess Pavilion</t>
        </is>
      </c>
      <c r="F16340" s="8" t="inlineStr">
        <is>
          <t>STANDBY</t>
        </is>
      </c>
      <c r="G16340" s="8" t="n">
        <v>0</v>
      </c>
      <c r="H16340" s="8" t="inlineStr">
        <is>
          <t>CLOSED</t>
        </is>
      </c>
    </row>
    <row r="16341">
      <c r="A16341" s="8" t="inlineStr">
        <is>
          <t>2026-08-03</t>
        </is>
      </c>
      <c r="B16341" s="8" t="n">
        <v>19</v>
      </c>
      <c r="C16341" s="8" t="n">
        <v>15</v>
      </c>
      <c r="D16341" s="8" t="inlineStr">
        <is>
          <t>Disneyland Park</t>
        </is>
      </c>
      <c r="E16341" s="8" t="inlineStr">
        <is>
          <t>Big Thunder Mountain</t>
        </is>
      </c>
      <c r="F16341" s="8" t="inlineStr">
        <is>
          <t>STANDBY</t>
        </is>
      </c>
      <c r="G16341" s="8" t="n">
        <v>0</v>
      </c>
      <c r="H16341" s="8" t="inlineStr">
        <is>
          <t>CLOSED</t>
        </is>
      </c>
    </row>
    <row r="16342">
      <c r="A16342" s="8" t="inlineStr">
        <is>
          <t>2026-08-03</t>
        </is>
      </c>
      <c r="B16342" s="8" t="n">
        <v>19</v>
      </c>
      <c r="C16342" s="8" t="n">
        <v>15</v>
      </c>
      <c r="D16342" s="8" t="inlineStr">
        <is>
          <t>Disneyland Park</t>
        </is>
      </c>
      <c r="E16342" s="8" t="inlineStr">
        <is>
          <t>Disneyland Railroad Frontierland Depot</t>
        </is>
      </c>
      <c r="F16342" s="8" t="inlineStr">
        <is>
          <t>STANDBY</t>
        </is>
      </c>
      <c r="G16342" s="8" t="n">
        <v>0</v>
      </c>
      <c r="H16342" s="8" t="inlineStr">
        <is>
          <t>CLOSED</t>
        </is>
      </c>
    </row>
    <row r="16343">
      <c r="A16343" s="8" t="inlineStr">
        <is>
          <t>2026-08-03</t>
        </is>
      </c>
      <c r="B16343" s="8" t="n">
        <v>19</v>
      </c>
      <c r="C16343" s="8" t="n">
        <v>15</v>
      </c>
      <c r="D16343" s="8" t="inlineStr">
        <is>
          <t>Disneyland Park</t>
        </is>
      </c>
      <c r="E16343" s="8" t="inlineStr">
        <is>
          <t>Frontierland Playground</t>
        </is>
      </c>
      <c r="F16343" s="8" t="inlineStr">
        <is>
          <t>STANDBY</t>
        </is>
      </c>
      <c r="G16343" s="8" t="n">
        <v>0</v>
      </c>
      <c r="H16343" s="8" t="inlineStr">
        <is>
          <t>CLOSED</t>
        </is>
      </c>
    </row>
    <row r="16344">
      <c r="A16344" s="8" t="inlineStr">
        <is>
          <t>2026-08-03</t>
        </is>
      </c>
      <c r="B16344" s="8" t="n">
        <v>19</v>
      </c>
      <c r="C16344" s="8" t="n">
        <v>15</v>
      </c>
      <c r="D16344" s="8" t="inlineStr">
        <is>
          <t>Disneyland Park</t>
        </is>
      </c>
      <c r="E16344" s="8" t="inlineStr">
        <is>
          <t>Phantom Manor</t>
        </is>
      </c>
      <c r="F16344" s="8" t="inlineStr">
        <is>
          <t>STANDBY</t>
        </is>
      </c>
      <c r="G16344" s="8" t="n">
        <v>20</v>
      </c>
      <c r="H16344" s="8" t="inlineStr">
        <is>
          <t>OPERATING</t>
        </is>
      </c>
    </row>
    <row r="16345">
      <c r="A16345" s="8" t="inlineStr">
        <is>
          <t>2026-08-03</t>
        </is>
      </c>
      <c r="B16345" s="8" t="n">
        <v>19</v>
      </c>
      <c r="C16345" s="8" t="n">
        <v>15</v>
      </c>
      <c r="D16345" s="8" t="inlineStr">
        <is>
          <t>Disneyland Park</t>
        </is>
      </c>
      <c r="E16345" s="8" t="inlineStr">
        <is>
          <t>River Rogue Keelboats</t>
        </is>
      </c>
      <c r="F16345" s="8" t="inlineStr">
        <is>
          <t>STANDBY</t>
        </is>
      </c>
      <c r="G16345" s="8" t="n">
        <v>0</v>
      </c>
      <c r="H16345" s="8" t="inlineStr">
        <is>
          <t>CLOSED</t>
        </is>
      </c>
    </row>
    <row r="16346">
      <c r="A16346" s="8" t="inlineStr">
        <is>
          <t>2026-08-03</t>
        </is>
      </c>
      <c r="B16346" s="8" t="n">
        <v>19</v>
      </c>
      <c r="C16346" s="8" t="n">
        <v>15</v>
      </c>
      <c r="D16346" s="8" t="inlineStr">
        <is>
          <t>Disneyland Park</t>
        </is>
      </c>
      <c r="E16346" s="8" t="inlineStr">
        <is>
          <t>Rustler Roundup Shootin' Gallery</t>
        </is>
      </c>
      <c r="F16346" s="8" t="inlineStr">
        <is>
          <t>STANDBY</t>
        </is>
      </c>
      <c r="G16346" s="8" t="n">
        <v>0</v>
      </c>
      <c r="H16346" s="8" t="inlineStr">
        <is>
          <t>OPERATING</t>
        </is>
      </c>
    </row>
    <row r="16347">
      <c r="A16347" s="8" t="inlineStr">
        <is>
          <t>2026-08-03</t>
        </is>
      </c>
      <c r="B16347" s="8" t="n">
        <v>19</v>
      </c>
      <c r="C16347" s="8" t="n">
        <v>15</v>
      </c>
      <c r="D16347" s="8" t="inlineStr">
        <is>
          <t>Disneyland Park</t>
        </is>
      </c>
      <c r="E16347" s="8" t="inlineStr">
        <is>
          <t>Thunder Mesa Riverboat Landing</t>
        </is>
      </c>
      <c r="F16347" s="8" t="inlineStr">
        <is>
          <t>STANDBY</t>
        </is>
      </c>
      <c r="G16347" s="8" t="n">
        <v>0</v>
      </c>
      <c r="H16347" s="8" t="inlineStr">
        <is>
          <t>CLOSED</t>
        </is>
      </c>
    </row>
    <row r="16348">
      <c r="A16348" s="8" t="inlineStr">
        <is>
          <t>2026-08-03</t>
        </is>
      </c>
      <c r="B16348" s="8" t="n">
        <v>19</v>
      </c>
      <c r="C16348" s="8" t="n">
        <v>15</v>
      </c>
      <c r="D16348" s="8" t="inlineStr">
        <is>
          <t>Disneyland Park</t>
        </is>
      </c>
      <c r="E16348" s="8" t="inlineStr">
        <is>
          <t>Disneyland Railroad Main Street Station</t>
        </is>
      </c>
      <c r="F16348" s="8" t="inlineStr">
        <is>
          <t>STANDBY</t>
        </is>
      </c>
      <c r="G16348" s="8" t="n">
        <v>0</v>
      </c>
      <c r="H16348" s="8" t="inlineStr">
        <is>
          <t>CLOSED</t>
        </is>
      </c>
    </row>
    <row r="16349">
      <c r="A16349" s="8" t="inlineStr">
        <is>
          <t>2026-08-03</t>
        </is>
      </c>
      <c r="B16349" s="8" t="n">
        <v>19</v>
      </c>
      <c r="C16349" s="8" t="n">
        <v>15</v>
      </c>
      <c r="D16349" s="8" t="inlineStr">
        <is>
          <t>Disneyland Park</t>
        </is>
      </c>
      <c r="E16349" s="8" t="inlineStr">
        <is>
          <t>Main Street Vehicles</t>
        </is>
      </c>
      <c r="F16349" s="8" t="inlineStr">
        <is>
          <t>STANDBY</t>
        </is>
      </c>
      <c r="G16349" s="8" t="n">
        <v>0</v>
      </c>
      <c r="H16349" s="8" t="inlineStr">
        <is>
          <t>CLOSED</t>
        </is>
      </c>
    </row>
    <row r="16350">
      <c r="A16350" s="8" t="inlineStr">
        <is>
          <t>2026-08-03</t>
        </is>
      </c>
      <c r="B16350" s="8" t="n">
        <v>19</v>
      </c>
      <c r="C16350" s="8" t="n">
        <v>15</v>
      </c>
      <c r="D16350" s="8" t="inlineStr">
        <is>
          <t>Disney Adventure World</t>
        </is>
      </c>
      <c r="E16350" s="8" t="inlineStr">
        <is>
          <t>Avengers Assemble: Flight Force</t>
        </is>
      </c>
      <c r="F16350" s="8" t="inlineStr">
        <is>
          <t>STANDBY</t>
        </is>
      </c>
      <c r="G16350" s="8" t="n">
        <v>20</v>
      </c>
      <c r="H16350" s="8" t="inlineStr">
        <is>
          <t>OPERATING</t>
        </is>
      </c>
    </row>
    <row r="16351">
      <c r="A16351" s="8" t="inlineStr">
        <is>
          <t>2026-08-03</t>
        </is>
      </c>
      <c r="B16351" s="8" t="n">
        <v>19</v>
      </c>
      <c r="C16351" s="8" t="n">
        <v>15</v>
      </c>
      <c r="D16351" s="8" t="inlineStr">
        <is>
          <t>Disney Adventure World</t>
        </is>
      </c>
      <c r="E16351" s="8" t="inlineStr">
        <is>
          <t>Avengers Assemble: Flight Force Single Rider</t>
        </is>
      </c>
      <c r="F16351" s="8" t="inlineStr">
        <is>
          <t>STANDBY</t>
        </is>
      </c>
      <c r="G16351" s="8" t="n">
        <v>5</v>
      </c>
      <c r="H16351" s="8" t="inlineStr">
        <is>
          <t>OPERATING</t>
        </is>
      </c>
    </row>
    <row r="16352">
      <c r="A16352" s="8" t="inlineStr">
        <is>
          <t>2026-08-03</t>
        </is>
      </c>
      <c r="B16352" s="8" t="n">
        <v>19</v>
      </c>
      <c r="C16352" s="8" t="n">
        <v>15</v>
      </c>
      <c r="D16352" s="8" t="inlineStr">
        <is>
          <t>Disney Adventure World</t>
        </is>
      </c>
      <c r="E16352" s="8" t="inlineStr">
        <is>
          <t>Spider-Man W.E.B. Adventure</t>
        </is>
      </c>
      <c r="F16352" s="8" t="inlineStr">
        <is>
          <t>STANDBY</t>
        </is>
      </c>
      <c r="G16352" s="8" t="n">
        <v>60</v>
      </c>
      <c r="H16352" s="8" t="inlineStr">
        <is>
          <t>OPERATING</t>
        </is>
      </c>
    </row>
    <row r="16353">
      <c r="A16353" s="8" t="inlineStr">
        <is>
          <t>2026-08-03</t>
        </is>
      </c>
      <c r="B16353" s="8" t="n">
        <v>19</v>
      </c>
      <c r="C16353" s="8" t="n">
        <v>15</v>
      </c>
      <c r="D16353" s="8" t="inlineStr">
        <is>
          <t>Disney Adventure World</t>
        </is>
      </c>
      <c r="E16353" s="8" t="inlineStr">
        <is>
          <t>Spider-Man W.E.B. Adventure Single Rider</t>
        </is>
      </c>
      <c r="F16353" s="8" t="inlineStr">
        <is>
          <t>STANDBY</t>
        </is>
      </c>
      <c r="G16353" s="8" t="n">
        <v>25</v>
      </c>
      <c r="H16353" s="8" t="inlineStr">
        <is>
          <t>OPERATING</t>
        </is>
      </c>
    </row>
    <row r="16354">
      <c r="A16354" s="8" t="inlineStr">
        <is>
          <t>2026-08-03</t>
        </is>
      </c>
      <c r="B16354" s="8" t="n">
        <v>19</v>
      </c>
      <c r="C16354" s="8" t="n">
        <v>15</v>
      </c>
      <c r="D16354" s="8" t="inlineStr">
        <is>
          <t>Disney Adventure World</t>
        </is>
      </c>
      <c r="E16354" s="8" t="inlineStr">
        <is>
          <t>The Twilight Zone Tower of Terror</t>
        </is>
      </c>
      <c r="F16354" s="8" t="inlineStr">
        <is>
          <t>STANDBY</t>
        </is>
      </c>
      <c r="G16354" s="8" t="n">
        <v>25</v>
      </c>
      <c r="H16354" s="8" t="inlineStr">
        <is>
          <t>OPERATING</t>
        </is>
      </c>
    </row>
    <row r="16355">
      <c r="A16355" s="8" t="inlineStr">
        <is>
          <t>2026-08-03</t>
        </is>
      </c>
      <c r="B16355" s="8" t="n">
        <v>19</v>
      </c>
      <c r="C16355" s="8" t="n">
        <v>15</v>
      </c>
      <c r="D16355" s="8" t="inlineStr">
        <is>
          <t>Disney Adventure World</t>
        </is>
      </c>
      <c r="E16355" s="8" t="inlineStr">
        <is>
          <t>Cars Quatre Roues Rallye</t>
        </is>
      </c>
      <c r="F16355" s="8" t="inlineStr">
        <is>
          <t>STANDBY</t>
        </is>
      </c>
      <c r="G16355" s="8" t="n">
        <v>0</v>
      </c>
      <c r="H16355" s="8" t="inlineStr">
        <is>
          <t>CLOSED</t>
        </is>
      </c>
    </row>
    <row r="16356">
      <c r="A16356" s="8" t="inlineStr">
        <is>
          <t>2026-08-03</t>
        </is>
      </c>
      <c r="B16356" s="8" t="n">
        <v>19</v>
      </c>
      <c r="C16356" s="8" t="n">
        <v>15</v>
      </c>
      <c r="D16356" s="8" t="inlineStr">
        <is>
          <t>Disney Adventure World</t>
        </is>
      </c>
      <c r="E16356" s="8" t="inlineStr">
        <is>
          <t>Cars ROAD TRIP</t>
        </is>
      </c>
      <c r="F16356" s="8" t="inlineStr">
        <is>
          <t>STANDBY</t>
        </is>
      </c>
      <c r="G16356" s="8" t="n">
        <v>0</v>
      </c>
      <c r="H16356" s="8" t="inlineStr">
        <is>
          <t>CLOSED</t>
        </is>
      </c>
    </row>
    <row r="16357">
      <c r="A16357" s="8" t="inlineStr">
        <is>
          <t>2026-08-03</t>
        </is>
      </c>
      <c r="B16357" s="8" t="n">
        <v>19</v>
      </c>
      <c r="C16357" s="8" t="n">
        <v>15</v>
      </c>
      <c r="D16357" s="8" t="inlineStr">
        <is>
          <t>Disney Adventure World</t>
        </is>
      </c>
      <c r="E16357" s="8" t="inlineStr">
        <is>
          <t>Crush's Coaster</t>
        </is>
      </c>
      <c r="F16357" s="8" t="inlineStr">
        <is>
          <t>STANDBY</t>
        </is>
      </c>
      <c r="G16357" s="8" t="n">
        <v>70</v>
      </c>
      <c r="H16357" s="8" t="inlineStr">
        <is>
          <t>OPERATING</t>
        </is>
      </c>
    </row>
    <row r="16358">
      <c r="A16358" s="8" t="inlineStr">
        <is>
          <t>2026-08-03</t>
        </is>
      </c>
      <c r="B16358" s="8" t="n">
        <v>19</v>
      </c>
      <c r="C16358" s="8" t="n">
        <v>15</v>
      </c>
      <c r="D16358" s="8" t="inlineStr">
        <is>
          <t>Disney Adventure World</t>
        </is>
      </c>
      <c r="E16358" s="8" t="inlineStr">
        <is>
          <t>Crush's Coaster Single Rider</t>
        </is>
      </c>
      <c r="F16358" s="8" t="inlineStr">
        <is>
          <t>STANDBY</t>
        </is>
      </c>
      <c r="G16358" s="8" t="n">
        <v>55</v>
      </c>
      <c r="H16358" s="8" t="inlineStr">
        <is>
          <t>OPERATING</t>
        </is>
      </c>
    </row>
    <row r="16359">
      <c r="A16359" s="8" t="inlineStr">
        <is>
          <t>2026-08-03</t>
        </is>
      </c>
      <c r="B16359" s="8" t="n">
        <v>19</v>
      </c>
      <c r="C16359" s="8" t="n">
        <v>15</v>
      </c>
      <c r="D16359" s="8" t="inlineStr">
        <is>
          <t>Disney Adventure World</t>
        </is>
      </c>
      <c r="E16359" s="8" t="inlineStr">
        <is>
          <t>Les Tapis Volants - Flying Carpets Over Agrabah®</t>
        </is>
      </c>
      <c r="F16359" s="8" t="inlineStr">
        <is>
          <t>STANDBY</t>
        </is>
      </c>
      <c r="G16359" s="8" t="n">
        <v>0</v>
      </c>
      <c r="H16359" s="8" t="inlineStr">
        <is>
          <t>CLOSED</t>
        </is>
      </c>
    </row>
    <row r="16360">
      <c r="A16360" s="8" t="inlineStr">
        <is>
          <t>2026-08-03</t>
        </is>
      </c>
      <c r="B16360" s="8" t="n">
        <v>19</v>
      </c>
      <c r="C16360" s="8" t="n">
        <v>15</v>
      </c>
      <c r="D16360" s="8" t="inlineStr">
        <is>
          <t>Disney Adventure World</t>
        </is>
      </c>
      <c r="E16360" s="8" t="inlineStr">
        <is>
          <t>Ratatouille : L’Aventure Totalement Toquée de Rémy​</t>
        </is>
      </c>
      <c r="F16360" s="8" t="inlineStr">
        <is>
          <t>STANDBY</t>
        </is>
      </c>
      <c r="G16360" s="8" t="n">
        <v>55</v>
      </c>
      <c r="H16360" s="8" t="inlineStr">
        <is>
          <t>OPERATING</t>
        </is>
      </c>
    </row>
    <row r="16361">
      <c r="A16361" s="8" t="inlineStr">
        <is>
          <t>2026-08-03</t>
        </is>
      </c>
      <c r="B16361" s="8" t="n">
        <v>19</v>
      </c>
      <c r="C16361" s="8" t="n">
        <v>15</v>
      </c>
      <c r="D16361" s="8" t="inlineStr">
        <is>
          <t>Disney Adventure World</t>
        </is>
      </c>
      <c r="E16361" s="8" t="inlineStr">
        <is>
          <t>Ratatouille: The Adventure Single Rider</t>
        </is>
      </c>
      <c r="F16361" s="8" t="inlineStr">
        <is>
          <t>STANDBY</t>
        </is>
      </c>
      <c r="G16361" s="8" t="n">
        <v>10</v>
      </c>
      <c r="H16361" s="8" t="inlineStr">
        <is>
          <t>OPERATING</t>
        </is>
      </c>
    </row>
    <row r="16362">
      <c r="A16362" s="8" t="inlineStr">
        <is>
          <t>2026-08-03</t>
        </is>
      </c>
      <c r="B16362" s="8" t="n">
        <v>19</v>
      </c>
      <c r="C16362" s="8" t="n">
        <v>15</v>
      </c>
      <c r="D16362" s="8" t="inlineStr">
        <is>
          <t>Disney Adventure World</t>
        </is>
      </c>
      <c r="E16362" s="8" t="inlineStr">
        <is>
          <t>RC Racer</t>
        </is>
      </c>
      <c r="F16362" s="8" t="inlineStr">
        <is>
          <t>STANDBY</t>
        </is>
      </c>
      <c r="G16362" s="8" t="n">
        <v>0</v>
      </c>
      <c r="H16362" s="8" t="inlineStr">
        <is>
          <t>CLOSED</t>
        </is>
      </c>
    </row>
    <row r="16363">
      <c r="A16363" s="8" t="inlineStr">
        <is>
          <t>2026-08-03</t>
        </is>
      </c>
      <c r="B16363" s="8" t="n">
        <v>19</v>
      </c>
      <c r="C16363" s="8" t="n">
        <v>15</v>
      </c>
      <c r="D16363" s="8" t="inlineStr">
        <is>
          <t>Disney Adventure World</t>
        </is>
      </c>
      <c r="E16363" s="8" t="inlineStr">
        <is>
          <t>RC Racer Single Rider</t>
        </is>
      </c>
      <c r="F16363" s="8" t="inlineStr">
        <is>
          <t>STANDBY</t>
        </is>
      </c>
      <c r="G16363" s="8" t="n">
        <v>0</v>
      </c>
      <c r="H16363" s="8" t="inlineStr">
        <is>
          <t>CLOSED</t>
        </is>
      </c>
    </row>
    <row r="16364">
      <c r="A16364" s="8" t="inlineStr">
        <is>
          <t>2026-08-03</t>
        </is>
      </c>
      <c r="B16364" s="8" t="n">
        <v>19</v>
      </c>
      <c r="C16364" s="8" t="n">
        <v>15</v>
      </c>
      <c r="D16364" s="8" t="inlineStr">
        <is>
          <t>Disney Adventure World</t>
        </is>
      </c>
      <c r="E16364" s="8" t="inlineStr">
        <is>
          <t>Slinky® Dog Zigzag Spin</t>
        </is>
      </c>
      <c r="F16364" s="8" t="inlineStr">
        <is>
          <t>STANDBY</t>
        </is>
      </c>
      <c r="G16364" s="8" t="n">
        <v>0</v>
      </c>
      <c r="H16364" s="8" t="inlineStr">
        <is>
          <t>CLOSED</t>
        </is>
      </c>
    </row>
    <row r="16365">
      <c r="A16365" s="8" t="inlineStr">
        <is>
          <t>2026-08-03</t>
        </is>
      </c>
      <c r="B16365" s="8" t="n">
        <v>19</v>
      </c>
      <c r="C16365" s="8" t="n">
        <v>15</v>
      </c>
      <c r="D16365" s="8" t="inlineStr">
        <is>
          <t>Disney Adventure World</t>
        </is>
      </c>
      <c r="E16365" s="8" t="inlineStr">
        <is>
          <t>Toy Soldiers Parachute Drop</t>
        </is>
      </c>
      <c r="F16365" s="8" t="inlineStr">
        <is>
          <t>STANDBY</t>
        </is>
      </c>
      <c r="G16365" s="8" t="n">
        <v>0</v>
      </c>
      <c r="H16365" s="8" t="inlineStr">
        <is>
          <t>CLOSED</t>
        </is>
      </c>
    </row>
    <row r="16366">
      <c r="A16366" s="8" t="inlineStr">
        <is>
          <t>2026-08-03</t>
        </is>
      </c>
      <c r="B16366" s="8" t="n">
        <v>19</v>
      </c>
      <c r="C16366" s="8" t="n">
        <v>15</v>
      </c>
      <c r="D16366" s="8" t="inlineStr">
        <is>
          <t>Disney Adventure World</t>
        </is>
      </c>
      <c r="E16366" s="8" t="inlineStr">
        <is>
          <t>Toy Soldiers Parachute Drop Single Rider</t>
        </is>
      </c>
      <c r="F16366" s="8" t="inlineStr">
        <is>
          <t>STANDBY</t>
        </is>
      </c>
      <c r="G16366" s="8" t="n">
        <v>0</v>
      </c>
      <c r="H16366" s="8" t="inlineStr">
        <is>
          <t>CLOSED</t>
        </is>
      </c>
    </row>
    <row r="16367">
      <c r="A16367" s="8" t="inlineStr">
        <is>
          <t>2026-08-03</t>
        </is>
      </c>
      <c r="B16367" s="8" t="n">
        <v>19</v>
      </c>
      <c r="C16367" s="8" t="n">
        <v>15</v>
      </c>
      <c r="D16367" s="8" t="inlineStr">
        <is>
          <t>Disney Adventure World</t>
        </is>
      </c>
      <c r="E16367" s="8" t="inlineStr">
        <is>
          <t>Entry to World of Frozen</t>
        </is>
      </c>
      <c r="F16367" s="8" t="inlineStr">
        <is>
          <t>STANDBY</t>
        </is>
      </c>
      <c r="G16367" s="8" t="n">
        <v>0</v>
      </c>
      <c r="H16367" s="8" t="inlineStr">
        <is>
          <t>OPERATING</t>
        </is>
      </c>
    </row>
    <row r="16368">
      <c r="A16368" s="8" t="inlineStr">
        <is>
          <t>2026-08-03</t>
        </is>
      </c>
      <c r="B16368" s="8" t="n">
        <v>19</v>
      </c>
      <c r="C16368" s="8" t="n">
        <v>15</v>
      </c>
      <c r="D16368" s="8" t="inlineStr">
        <is>
          <t>Disney Adventure World</t>
        </is>
      </c>
      <c r="E16368" s="8" t="inlineStr">
        <is>
          <t>Frozen Ever After</t>
        </is>
      </c>
      <c r="F16368" s="8" t="inlineStr">
        <is>
          <t>STANDBY</t>
        </is>
      </c>
      <c r="G16368" s="8" t="n">
        <v>55</v>
      </c>
      <c r="H16368" s="8" t="inlineStr">
        <is>
          <t>OPERATING</t>
        </is>
      </c>
    </row>
    <row r="16369">
      <c r="A16369" s="8" t="inlineStr">
        <is>
          <t>2026-08-03</t>
        </is>
      </c>
      <c r="B16369" s="8" t="n">
        <v>19</v>
      </c>
      <c r="C16369" s="8" t="n">
        <v>15</v>
      </c>
      <c r="D16369" s="8" t="inlineStr">
        <is>
          <t>Disney Adventure World</t>
        </is>
      </c>
      <c r="E16369" s="8" t="inlineStr">
        <is>
          <t>Raiponce Tangled Spin</t>
        </is>
      </c>
      <c r="F16369" s="8" t="inlineStr">
        <is>
          <t>STANDBY</t>
        </is>
      </c>
      <c r="G16369" s="8" t="n">
        <v>0</v>
      </c>
      <c r="H16369" s="8" t="inlineStr">
        <is>
          <t>CLOSED</t>
        </is>
      </c>
    </row>
    <row r="16370">
      <c r="A16370" s="8" t="inlineStr">
        <is>
          <t>2026-08-03</t>
        </is>
      </c>
      <c r="B16370" s="8" t="n">
        <v>19</v>
      </c>
      <c r="C16370" s="8" t="n">
        <v>31</v>
      </c>
      <c r="D16370" s="8" t="inlineStr">
        <is>
          <t>Disneyland Park</t>
        </is>
      </c>
      <c r="E16370" s="8" t="inlineStr">
        <is>
          <t>Adventure Isle</t>
        </is>
      </c>
      <c r="F16370" s="8" t="inlineStr">
        <is>
          <t>STANDBY</t>
        </is>
      </c>
      <c r="G16370" s="8" t="n">
        <v>0</v>
      </c>
      <c r="H16370" s="8" t="inlineStr">
        <is>
          <t>OPERATING</t>
        </is>
      </c>
    </row>
    <row r="16371">
      <c r="A16371" s="8" t="inlineStr">
        <is>
          <t>2026-08-03</t>
        </is>
      </c>
      <c r="B16371" s="8" t="n">
        <v>19</v>
      </c>
      <c r="C16371" s="8" t="n">
        <v>31</v>
      </c>
      <c r="D16371" s="8" t="inlineStr">
        <is>
          <t>Disneyland Park</t>
        </is>
      </c>
      <c r="E16371" s="8" t="inlineStr">
        <is>
          <t>Indiana Jones and the Temple of Peril Single Rider</t>
        </is>
      </c>
      <c r="F16371" s="8" t="inlineStr">
        <is>
          <t>STANDBY</t>
        </is>
      </c>
      <c r="G16371" s="8" t="n">
        <v>5</v>
      </c>
      <c r="H16371" s="8" t="inlineStr">
        <is>
          <t>OPERATING</t>
        </is>
      </c>
    </row>
    <row r="16372">
      <c r="A16372" s="8" t="inlineStr">
        <is>
          <t>2026-08-03</t>
        </is>
      </c>
      <c r="B16372" s="8" t="n">
        <v>19</v>
      </c>
      <c r="C16372" s="8" t="n">
        <v>31</v>
      </c>
      <c r="D16372" s="8" t="inlineStr">
        <is>
          <t>Disneyland Park</t>
        </is>
      </c>
      <c r="E16372" s="8" t="inlineStr">
        <is>
          <t>Indiana Jones™ and the Temple of Peril</t>
        </is>
      </c>
      <c r="F16372" s="8" t="inlineStr">
        <is>
          <t>STANDBY</t>
        </is>
      </c>
      <c r="G16372" s="8" t="n">
        <v>5</v>
      </c>
      <c r="H16372" s="8" t="inlineStr">
        <is>
          <t>OPERATING</t>
        </is>
      </c>
    </row>
    <row r="16373">
      <c r="A16373" s="8" t="inlineStr">
        <is>
          <t>2026-08-03</t>
        </is>
      </c>
      <c r="B16373" s="8" t="n">
        <v>19</v>
      </c>
      <c r="C16373" s="8" t="n">
        <v>31</v>
      </c>
      <c r="D16373" s="8" t="inlineStr">
        <is>
          <t>Disneyland Park</t>
        </is>
      </c>
      <c r="E16373" s="8" t="inlineStr">
        <is>
          <t>La Cabane des Robinson</t>
        </is>
      </c>
      <c r="F16373" s="8" t="inlineStr">
        <is>
          <t>STANDBY</t>
        </is>
      </c>
      <c r="G16373" s="8" t="n">
        <v>5</v>
      </c>
      <c r="H16373" s="8" t="inlineStr">
        <is>
          <t>OPERATING</t>
        </is>
      </c>
    </row>
    <row r="16374">
      <c r="A16374" s="8" t="inlineStr">
        <is>
          <t>2026-08-03</t>
        </is>
      </c>
      <c r="B16374" s="8" t="n">
        <v>19</v>
      </c>
      <c r="C16374" s="8" t="n">
        <v>31</v>
      </c>
      <c r="D16374" s="8" t="inlineStr">
        <is>
          <t>Disneyland Park</t>
        </is>
      </c>
      <c r="E16374" s="8" t="inlineStr">
        <is>
          <t>Le Passage Enchanté d'Aladdin</t>
        </is>
      </c>
      <c r="F16374" s="8" t="inlineStr">
        <is>
          <t>STANDBY</t>
        </is>
      </c>
      <c r="G16374" s="8" t="n">
        <v>0</v>
      </c>
      <c r="H16374" s="8" t="inlineStr">
        <is>
          <t>OPERATING</t>
        </is>
      </c>
    </row>
    <row r="16375">
      <c r="A16375" s="8" t="inlineStr">
        <is>
          <t>2026-08-03</t>
        </is>
      </c>
      <c r="B16375" s="8" t="n">
        <v>19</v>
      </c>
      <c r="C16375" s="8" t="n">
        <v>31</v>
      </c>
      <c r="D16375" s="8" t="inlineStr">
        <is>
          <t>Disneyland Park</t>
        </is>
      </c>
      <c r="E16375" s="8" t="inlineStr">
        <is>
          <t>Pirate Galleon</t>
        </is>
      </c>
      <c r="F16375" s="8" t="inlineStr">
        <is>
          <t>STANDBY</t>
        </is>
      </c>
      <c r="G16375" s="8" t="n">
        <v>0</v>
      </c>
      <c r="H16375" s="8" t="inlineStr">
        <is>
          <t>CLOSED</t>
        </is>
      </c>
    </row>
    <row r="16376">
      <c r="A16376" s="8" t="inlineStr">
        <is>
          <t>2026-08-03</t>
        </is>
      </c>
      <c r="B16376" s="8" t="n">
        <v>19</v>
      </c>
      <c r="C16376" s="8" t="n">
        <v>31</v>
      </c>
      <c r="D16376" s="8" t="inlineStr">
        <is>
          <t>Disneyland Park</t>
        </is>
      </c>
      <c r="E16376" s="8" t="inlineStr">
        <is>
          <t>Pirates of the Caribbean</t>
        </is>
      </c>
      <c r="F16376" s="8" t="inlineStr">
        <is>
          <t>STANDBY</t>
        </is>
      </c>
      <c r="G16376" s="8" t="n">
        <v>5</v>
      </c>
      <c r="H16376" s="8" t="inlineStr">
        <is>
          <t>OPERATING</t>
        </is>
      </c>
    </row>
    <row r="16377">
      <c r="A16377" s="8" t="inlineStr">
        <is>
          <t>2026-08-03</t>
        </is>
      </c>
      <c r="B16377" s="8" t="n">
        <v>19</v>
      </c>
      <c r="C16377" s="8" t="n">
        <v>31</v>
      </c>
      <c r="D16377" s="8" t="inlineStr">
        <is>
          <t>Disneyland Park</t>
        </is>
      </c>
      <c r="E16377" s="8" t="inlineStr">
        <is>
          <t>Pirates' Beach</t>
        </is>
      </c>
      <c r="F16377" s="8" t="inlineStr">
        <is>
          <t>STANDBY</t>
        </is>
      </c>
      <c r="G16377" s="8" t="n">
        <v>0</v>
      </c>
      <c r="H16377" s="8" t="inlineStr">
        <is>
          <t>OPERATING</t>
        </is>
      </c>
    </row>
    <row r="16378">
      <c r="A16378" s="8" t="inlineStr">
        <is>
          <t>2026-08-03</t>
        </is>
      </c>
      <c r="B16378" s="8" t="n">
        <v>19</v>
      </c>
      <c r="C16378" s="8" t="n">
        <v>31</v>
      </c>
      <c r="D16378" s="8" t="inlineStr">
        <is>
          <t>Disneyland Park</t>
        </is>
      </c>
      <c r="E16378" s="8" t="inlineStr">
        <is>
          <t>Autopia, presented by Avis</t>
        </is>
      </c>
      <c r="F16378" s="8" t="inlineStr">
        <is>
          <t>STANDBY</t>
        </is>
      </c>
      <c r="G16378" s="8" t="n">
        <v>60</v>
      </c>
      <c r="H16378" s="8" t="inlineStr">
        <is>
          <t>OPERATING</t>
        </is>
      </c>
    </row>
    <row r="16379">
      <c r="A16379" s="8" t="inlineStr">
        <is>
          <t>2026-08-03</t>
        </is>
      </c>
      <c r="B16379" s="8" t="n">
        <v>19</v>
      </c>
      <c r="C16379" s="8" t="n">
        <v>31</v>
      </c>
      <c r="D16379" s="8" t="inlineStr">
        <is>
          <t>Disneyland Park</t>
        </is>
      </c>
      <c r="E16379" s="8" t="inlineStr">
        <is>
          <t>Buzz Lightyear Laser Blast</t>
        </is>
      </c>
      <c r="F16379" s="8" t="inlineStr">
        <is>
          <t>STANDBY</t>
        </is>
      </c>
      <c r="G16379" s="8" t="n">
        <v>35</v>
      </c>
      <c r="H16379" s="8" t="inlineStr">
        <is>
          <t>OPERATING</t>
        </is>
      </c>
    </row>
    <row r="16380">
      <c r="A16380" s="8" t="inlineStr">
        <is>
          <t>2026-08-03</t>
        </is>
      </c>
      <c r="B16380" s="8" t="n">
        <v>19</v>
      </c>
      <c r="C16380" s="8" t="n">
        <v>31</v>
      </c>
      <c r="D16380" s="8" t="inlineStr">
        <is>
          <t>Disneyland Park</t>
        </is>
      </c>
      <c r="E16380" s="8" t="inlineStr">
        <is>
          <t>Disneyland Railroad Discoveryland Station</t>
        </is>
      </c>
      <c r="F16380" s="8" t="inlineStr">
        <is>
          <t>STANDBY</t>
        </is>
      </c>
      <c r="G16380" s="8" t="n">
        <v>0</v>
      </c>
      <c r="H16380" s="8" t="inlineStr">
        <is>
          <t>CLOSED</t>
        </is>
      </c>
    </row>
    <row r="16381">
      <c r="A16381" s="8" t="inlineStr">
        <is>
          <t>2026-08-03</t>
        </is>
      </c>
      <c r="B16381" s="8" t="n">
        <v>19</v>
      </c>
      <c r="C16381" s="8" t="n">
        <v>31</v>
      </c>
      <c r="D16381" s="8" t="inlineStr">
        <is>
          <t>Disneyland Park</t>
        </is>
      </c>
      <c r="E16381" s="8" t="inlineStr">
        <is>
          <t>Les Mystères du Nautilus</t>
        </is>
      </c>
      <c r="F16381" s="8" t="inlineStr">
        <is>
          <t>STANDBY</t>
        </is>
      </c>
      <c r="G16381" s="8" t="n">
        <v>5</v>
      </c>
      <c r="H16381" s="8" t="inlineStr">
        <is>
          <t>OPERATING</t>
        </is>
      </c>
    </row>
    <row r="16382">
      <c r="A16382" s="8" t="inlineStr">
        <is>
          <t>2026-08-03</t>
        </is>
      </c>
      <c r="B16382" s="8" t="n">
        <v>19</v>
      </c>
      <c r="C16382" s="8" t="n">
        <v>31</v>
      </c>
      <c r="D16382" s="8" t="inlineStr">
        <is>
          <t>Disneyland Park</t>
        </is>
      </c>
      <c r="E16382" s="8" t="inlineStr">
        <is>
          <t>Mickey’s PhilharMagic</t>
        </is>
      </c>
      <c r="F16382" s="8" t="inlineStr">
        <is>
          <t>STANDBY</t>
        </is>
      </c>
      <c r="G16382" s="8" t="n">
        <v>0</v>
      </c>
      <c r="H16382" s="8" t="inlineStr">
        <is>
          <t>CLOSED</t>
        </is>
      </c>
    </row>
    <row r="16383">
      <c r="A16383" s="8" t="inlineStr">
        <is>
          <t>2026-08-03</t>
        </is>
      </c>
      <c r="B16383" s="8" t="n">
        <v>19</v>
      </c>
      <c r="C16383" s="8" t="n">
        <v>31</v>
      </c>
      <c r="D16383" s="8" t="inlineStr">
        <is>
          <t>Disneyland Park</t>
        </is>
      </c>
      <c r="E16383" s="8" t="inlineStr">
        <is>
          <t>Orbitron®</t>
        </is>
      </c>
      <c r="F16383" s="8" t="inlineStr">
        <is>
          <t>STANDBY</t>
        </is>
      </c>
      <c r="G16383" s="8" t="n">
        <v>0</v>
      </c>
      <c r="H16383" s="8" t="inlineStr">
        <is>
          <t>CLOSED</t>
        </is>
      </c>
    </row>
    <row r="16384">
      <c r="A16384" s="8" t="inlineStr">
        <is>
          <t>2026-08-03</t>
        </is>
      </c>
      <c r="B16384" s="8" t="n">
        <v>19</v>
      </c>
      <c r="C16384" s="8" t="n">
        <v>31</v>
      </c>
      <c r="D16384" s="8" t="inlineStr">
        <is>
          <t>Disneyland Park</t>
        </is>
      </c>
      <c r="E16384" s="8" t="inlineStr">
        <is>
          <t>Star Tours: The Adventures Continue*</t>
        </is>
      </c>
      <c r="F16384" s="8" t="inlineStr">
        <is>
          <t>STANDBY</t>
        </is>
      </c>
      <c r="G16384" s="8" t="n">
        <v>20</v>
      </c>
      <c r="H16384" s="8" t="inlineStr">
        <is>
          <t>OPERATING</t>
        </is>
      </c>
    </row>
    <row r="16385">
      <c r="A16385" s="8" t="inlineStr">
        <is>
          <t>2026-08-03</t>
        </is>
      </c>
      <c r="B16385" s="8" t="n">
        <v>19</v>
      </c>
      <c r="C16385" s="8" t="n">
        <v>31</v>
      </c>
      <c r="D16385" s="8" t="inlineStr">
        <is>
          <t>Disneyland Park</t>
        </is>
      </c>
      <c r="E16385" s="8" t="inlineStr">
        <is>
          <t>Star Wars Hyperspace Mountain</t>
        </is>
      </c>
      <c r="F16385" s="8" t="inlineStr">
        <is>
          <t>STANDBY</t>
        </is>
      </c>
      <c r="G16385" s="8" t="n">
        <v>30</v>
      </c>
      <c r="H16385" s="8" t="inlineStr">
        <is>
          <t>OPERATING</t>
        </is>
      </c>
    </row>
    <row r="16386">
      <c r="A16386" s="8" t="inlineStr">
        <is>
          <t>2026-08-03</t>
        </is>
      </c>
      <c r="B16386" s="8" t="n">
        <v>19</v>
      </c>
      <c r="C16386" s="8" t="n">
        <v>31</v>
      </c>
      <c r="D16386" s="8" t="inlineStr">
        <is>
          <t>Disneyland Park</t>
        </is>
      </c>
      <c r="E16386" s="8" t="inlineStr">
        <is>
          <t>Star Wars Hyperspace Mountain Single Rider</t>
        </is>
      </c>
      <c r="F16386" s="8" t="inlineStr">
        <is>
          <t>STANDBY</t>
        </is>
      </c>
      <c r="G16386" s="8" t="n">
        <v>25</v>
      </c>
      <c r="H16386" s="8" t="inlineStr">
        <is>
          <t>OPERATING</t>
        </is>
      </c>
    </row>
    <row r="16387">
      <c r="A16387" s="8" t="inlineStr">
        <is>
          <t>2026-08-03</t>
        </is>
      </c>
      <c r="B16387" s="8" t="n">
        <v>19</v>
      </c>
      <c r="C16387" s="8" t="n">
        <v>31</v>
      </c>
      <c r="D16387" s="8" t="inlineStr">
        <is>
          <t>Disneyland Park</t>
        </is>
      </c>
      <c r="E16387" s="8" t="inlineStr">
        <is>
          <t>Welcome to Starport: A Star Wars Encounter</t>
        </is>
      </c>
      <c r="F16387" s="8" t="inlineStr">
        <is>
          <t>STANDBY</t>
        </is>
      </c>
      <c r="G16387" s="8" t="n">
        <v>0</v>
      </c>
      <c r="H16387" s="8" t="inlineStr">
        <is>
          <t>CLOSED</t>
        </is>
      </c>
    </row>
    <row r="16388">
      <c r="A16388" s="8" t="inlineStr">
        <is>
          <t>2026-08-03</t>
        </is>
      </c>
      <c r="B16388" s="8" t="n">
        <v>19</v>
      </c>
      <c r="C16388" s="8" t="n">
        <v>31</v>
      </c>
      <c r="D16388" s="8" t="inlineStr">
        <is>
          <t>Disneyland Park</t>
        </is>
      </c>
      <c r="E16388" s="8" t="inlineStr">
        <is>
          <t>"it's a small world"</t>
        </is>
      </c>
      <c r="F16388" s="8" t="inlineStr">
        <is>
          <t>STANDBY</t>
        </is>
      </c>
      <c r="G16388" s="8" t="n">
        <v>5</v>
      </c>
      <c r="H16388" s="8" t="inlineStr">
        <is>
          <t>OPERATING</t>
        </is>
      </c>
    </row>
    <row r="16389">
      <c r="A16389" s="8" t="inlineStr">
        <is>
          <t>2026-08-03</t>
        </is>
      </c>
      <c r="B16389" s="8" t="n">
        <v>19</v>
      </c>
      <c r="C16389" s="8" t="n">
        <v>31</v>
      </c>
      <c r="D16389" s="8" t="inlineStr">
        <is>
          <t>Disneyland Park</t>
        </is>
      </c>
      <c r="E16389" s="8" t="inlineStr">
        <is>
          <t>Alice's Curious Labyrinth</t>
        </is>
      </c>
      <c r="F16389" s="8" t="inlineStr">
        <is>
          <t>STANDBY</t>
        </is>
      </c>
      <c r="G16389" s="8" t="n">
        <v>5</v>
      </c>
      <c r="H16389" s="8" t="inlineStr">
        <is>
          <t>OPERATING</t>
        </is>
      </c>
    </row>
    <row r="16390">
      <c r="A16390" s="8" t="inlineStr">
        <is>
          <t>2026-08-03</t>
        </is>
      </c>
      <c r="B16390" s="8" t="n">
        <v>19</v>
      </c>
      <c r="C16390" s="8" t="n">
        <v>31</v>
      </c>
      <c r="D16390" s="8" t="inlineStr">
        <is>
          <t>Disneyland Park</t>
        </is>
      </c>
      <c r="E16390" s="8" t="inlineStr">
        <is>
          <t>Blanche-Neige et les Sept Nains®</t>
        </is>
      </c>
      <c r="F16390" s="8" t="inlineStr">
        <is>
          <t>STANDBY</t>
        </is>
      </c>
      <c r="G16390" s="8" t="n">
        <v>20</v>
      </c>
      <c r="H16390" s="8" t="inlineStr">
        <is>
          <t>OPERATING</t>
        </is>
      </c>
    </row>
    <row r="16391">
      <c r="A16391" s="8" t="inlineStr">
        <is>
          <t>2026-08-03</t>
        </is>
      </c>
      <c r="B16391" s="8" t="n">
        <v>19</v>
      </c>
      <c r="C16391" s="8" t="n">
        <v>31</v>
      </c>
      <c r="D16391" s="8" t="inlineStr">
        <is>
          <t>Disneyland Park</t>
        </is>
      </c>
      <c r="E16391" s="8" t="inlineStr">
        <is>
          <t>Casey Jr. – le Petit Train du Cirque</t>
        </is>
      </c>
      <c r="F16391" s="8" t="inlineStr">
        <is>
          <t>STANDBY</t>
        </is>
      </c>
      <c r="G16391" s="8" t="n">
        <v>0</v>
      </c>
      <c r="H16391" s="8" t="inlineStr">
        <is>
          <t>CLOSED</t>
        </is>
      </c>
    </row>
    <row r="16392">
      <c r="A16392" s="8" t="inlineStr">
        <is>
          <t>2026-08-03</t>
        </is>
      </c>
      <c r="B16392" s="8" t="n">
        <v>19</v>
      </c>
      <c r="C16392" s="8" t="n">
        <v>31</v>
      </c>
      <c r="D16392" s="8" t="inlineStr">
        <is>
          <t>Disneyland Park</t>
        </is>
      </c>
      <c r="E16392" s="8" t="inlineStr">
        <is>
          <t>Disneyland Railroad Fantasyland Station</t>
        </is>
      </c>
      <c r="F16392" s="8" t="inlineStr">
        <is>
          <t>STANDBY</t>
        </is>
      </c>
      <c r="G16392" s="8" t="n">
        <v>0</v>
      </c>
      <c r="H16392" s="8" t="inlineStr">
        <is>
          <t>CLOSED</t>
        </is>
      </c>
    </row>
    <row r="16393">
      <c r="A16393" s="8" t="inlineStr">
        <is>
          <t>2026-08-03</t>
        </is>
      </c>
      <c r="B16393" s="8" t="n">
        <v>19</v>
      </c>
      <c r="C16393" s="8" t="n">
        <v>31</v>
      </c>
      <c r="D16393" s="8" t="inlineStr">
        <is>
          <t>Disneyland Park</t>
        </is>
      </c>
      <c r="E16393" s="8" t="inlineStr">
        <is>
          <t>Disneyland Railroad Main Street Station</t>
        </is>
      </c>
      <c r="F16393" s="8" t="inlineStr">
        <is>
          <t>STANDBY</t>
        </is>
      </c>
      <c r="G16393" s="8" t="n">
        <v>0</v>
      </c>
      <c r="H16393" s="8" t="inlineStr">
        <is>
          <t>CLOSED</t>
        </is>
      </c>
    </row>
    <row r="16394">
      <c r="A16394" s="8" t="inlineStr">
        <is>
          <t>2026-08-03</t>
        </is>
      </c>
      <c r="B16394" s="8" t="n">
        <v>19</v>
      </c>
      <c r="C16394" s="8" t="n">
        <v>31</v>
      </c>
      <c r="D16394" s="8" t="inlineStr">
        <is>
          <t>Disneyland Park</t>
        </is>
      </c>
      <c r="E16394" s="8" t="inlineStr">
        <is>
          <t>Dumbo the Flying Elephant</t>
        </is>
      </c>
      <c r="F16394" s="8" t="inlineStr">
        <is>
          <t>STANDBY</t>
        </is>
      </c>
      <c r="G16394" s="8" t="n">
        <v>5</v>
      </c>
      <c r="H16394" s="8" t="inlineStr">
        <is>
          <t>OPERATING</t>
        </is>
      </c>
    </row>
    <row r="16395">
      <c r="A16395" s="8" t="inlineStr">
        <is>
          <t>2026-08-03</t>
        </is>
      </c>
      <c r="B16395" s="8" t="n">
        <v>19</v>
      </c>
      <c r="C16395" s="8" t="n">
        <v>31</v>
      </c>
      <c r="D16395" s="8" t="inlineStr">
        <is>
          <t>Disneyland Park</t>
        </is>
      </c>
      <c r="E16395" s="8" t="inlineStr">
        <is>
          <t>La Tanière du Dragon</t>
        </is>
      </c>
      <c r="F16395" s="8" t="inlineStr">
        <is>
          <t>STANDBY</t>
        </is>
      </c>
      <c r="G16395" s="8" t="n">
        <v>0</v>
      </c>
      <c r="H16395" s="8" t="inlineStr">
        <is>
          <t>OPERATING</t>
        </is>
      </c>
    </row>
    <row r="16396">
      <c r="A16396" s="8" t="inlineStr">
        <is>
          <t>2026-08-03</t>
        </is>
      </c>
      <c r="B16396" s="8" t="n">
        <v>19</v>
      </c>
      <c r="C16396" s="8" t="n">
        <v>31</v>
      </c>
      <c r="D16396" s="8" t="inlineStr">
        <is>
          <t>Disneyland Park</t>
        </is>
      </c>
      <c r="E16396" s="8" t="inlineStr">
        <is>
          <t>Le Carrousel de Lancelot</t>
        </is>
      </c>
      <c r="F16396" s="8" t="inlineStr">
        <is>
          <t>STANDBY</t>
        </is>
      </c>
      <c r="G16396" s="8" t="n">
        <v>10</v>
      </c>
      <c r="H16396" s="8" t="inlineStr">
        <is>
          <t>OPERATING</t>
        </is>
      </c>
    </row>
    <row r="16397">
      <c r="A16397" s="8" t="inlineStr">
        <is>
          <t>2026-08-03</t>
        </is>
      </c>
      <c r="B16397" s="8" t="n">
        <v>19</v>
      </c>
      <c r="C16397" s="8" t="n">
        <v>31</v>
      </c>
      <c r="D16397" s="8" t="inlineStr">
        <is>
          <t>Disneyland Park</t>
        </is>
      </c>
      <c r="E16397" s="8" t="inlineStr">
        <is>
          <t>Le Pays des Contes de Fées, presented by Vittel</t>
        </is>
      </c>
      <c r="F16397" s="8" t="inlineStr">
        <is>
          <t>STANDBY</t>
        </is>
      </c>
      <c r="G16397" s="8" t="n">
        <v>0</v>
      </c>
      <c r="H16397" s="8" t="inlineStr">
        <is>
          <t>CLOSED</t>
        </is>
      </c>
    </row>
    <row r="16398">
      <c r="A16398" s="8" t="inlineStr">
        <is>
          <t>2026-08-03</t>
        </is>
      </c>
      <c r="B16398" s="8" t="n">
        <v>19</v>
      </c>
      <c r="C16398" s="8" t="n">
        <v>31</v>
      </c>
      <c r="D16398" s="8" t="inlineStr">
        <is>
          <t>Disneyland Park</t>
        </is>
      </c>
      <c r="E16398" s="8" t="inlineStr">
        <is>
          <t>Les Voyages de Pinocchio</t>
        </is>
      </c>
      <c r="F16398" s="8" t="inlineStr">
        <is>
          <t>STANDBY</t>
        </is>
      </c>
      <c r="G16398" s="8" t="n">
        <v>35</v>
      </c>
      <c r="H16398" s="8" t="inlineStr">
        <is>
          <t>OPERATING</t>
        </is>
      </c>
    </row>
    <row r="16399">
      <c r="A16399" s="8" t="inlineStr">
        <is>
          <t>2026-08-03</t>
        </is>
      </c>
      <c r="B16399" s="8" t="n">
        <v>19</v>
      </c>
      <c r="C16399" s="8" t="n">
        <v>31</v>
      </c>
      <c r="D16399" s="8" t="inlineStr">
        <is>
          <t>Disneyland Park</t>
        </is>
      </c>
      <c r="E16399" s="8" t="inlineStr">
        <is>
          <t>Mad Hatter's Tea Cups</t>
        </is>
      </c>
      <c r="F16399" s="8" t="inlineStr">
        <is>
          <t>STANDBY</t>
        </is>
      </c>
      <c r="G16399" s="8" t="n">
        <v>10</v>
      </c>
      <c r="H16399" s="8" t="inlineStr">
        <is>
          <t>OPERATING</t>
        </is>
      </c>
    </row>
    <row r="16400">
      <c r="A16400" s="8" t="inlineStr">
        <is>
          <t>2026-08-03</t>
        </is>
      </c>
      <c r="B16400" s="8" t="n">
        <v>19</v>
      </c>
      <c r="C16400" s="8" t="n">
        <v>31</v>
      </c>
      <c r="D16400" s="8" t="inlineStr">
        <is>
          <t>Disneyland Park</t>
        </is>
      </c>
      <c r="E16400" s="8" t="inlineStr">
        <is>
          <t>Meet Mickey Mouse</t>
        </is>
      </c>
      <c r="F16400" s="8" t="inlineStr">
        <is>
          <t>STANDBY</t>
        </is>
      </c>
      <c r="G16400" s="8" t="n">
        <v>0</v>
      </c>
      <c r="H16400" s="8" t="inlineStr">
        <is>
          <t>CLOSED</t>
        </is>
      </c>
    </row>
    <row r="16401">
      <c r="A16401" s="8" t="inlineStr">
        <is>
          <t>2026-08-03</t>
        </is>
      </c>
      <c r="B16401" s="8" t="n">
        <v>19</v>
      </c>
      <c r="C16401" s="8" t="n">
        <v>31</v>
      </c>
      <c r="D16401" s="8" t="inlineStr">
        <is>
          <t>Disneyland Park</t>
        </is>
      </c>
      <c r="E16401" s="8" t="inlineStr">
        <is>
          <t>Peter Pan's Flight</t>
        </is>
      </c>
      <c r="F16401" s="8" t="inlineStr">
        <is>
          <t>STANDBY</t>
        </is>
      </c>
      <c r="G16401" s="8" t="n">
        <v>55</v>
      </c>
      <c r="H16401" s="8" t="inlineStr">
        <is>
          <t>OPERATING</t>
        </is>
      </c>
    </row>
    <row r="16402">
      <c r="A16402" s="8" t="inlineStr">
        <is>
          <t>2026-08-03</t>
        </is>
      </c>
      <c r="B16402" s="8" t="n">
        <v>19</v>
      </c>
      <c r="C16402" s="8" t="n">
        <v>31</v>
      </c>
      <c r="D16402" s="8" t="inlineStr">
        <is>
          <t>Disneyland Park</t>
        </is>
      </c>
      <c r="E16402" s="8" t="inlineStr">
        <is>
          <t>Princess Pavilion</t>
        </is>
      </c>
      <c r="F16402" s="8" t="inlineStr">
        <is>
          <t>STANDBY</t>
        </is>
      </c>
      <c r="G16402" s="8" t="n">
        <v>0</v>
      </c>
      <c r="H16402" s="8" t="inlineStr">
        <is>
          <t>CLOSED</t>
        </is>
      </c>
    </row>
    <row r="16403">
      <c r="A16403" s="8" t="inlineStr">
        <is>
          <t>2026-08-03</t>
        </is>
      </c>
      <c r="B16403" s="8" t="n">
        <v>19</v>
      </c>
      <c r="C16403" s="8" t="n">
        <v>31</v>
      </c>
      <c r="D16403" s="8" t="inlineStr">
        <is>
          <t>Disneyland Park</t>
        </is>
      </c>
      <c r="E16403" s="8" t="inlineStr">
        <is>
          <t>Big Thunder Mountain</t>
        </is>
      </c>
      <c r="F16403" s="8" t="inlineStr">
        <is>
          <t>STANDBY</t>
        </is>
      </c>
      <c r="G16403" s="8" t="n">
        <v>60</v>
      </c>
      <c r="H16403" s="8" t="inlineStr">
        <is>
          <t>OPERATING</t>
        </is>
      </c>
    </row>
    <row r="16404">
      <c r="A16404" s="8" t="inlineStr">
        <is>
          <t>2026-08-03</t>
        </is>
      </c>
      <c r="B16404" s="8" t="n">
        <v>19</v>
      </c>
      <c r="C16404" s="8" t="n">
        <v>31</v>
      </c>
      <c r="D16404" s="8" t="inlineStr">
        <is>
          <t>Disneyland Park</t>
        </is>
      </c>
      <c r="E16404" s="8" t="inlineStr">
        <is>
          <t>Disneyland Railroad Frontierland Depot</t>
        </is>
      </c>
      <c r="F16404" s="8" t="inlineStr">
        <is>
          <t>STANDBY</t>
        </is>
      </c>
      <c r="G16404" s="8" t="n">
        <v>0</v>
      </c>
      <c r="H16404" s="8" t="inlineStr">
        <is>
          <t>CLOSED</t>
        </is>
      </c>
    </row>
    <row r="16405">
      <c r="A16405" s="8" t="inlineStr">
        <is>
          <t>2026-08-03</t>
        </is>
      </c>
      <c r="B16405" s="8" t="n">
        <v>19</v>
      </c>
      <c r="C16405" s="8" t="n">
        <v>31</v>
      </c>
      <c r="D16405" s="8" t="inlineStr">
        <is>
          <t>Disneyland Park</t>
        </is>
      </c>
      <c r="E16405" s="8" t="inlineStr">
        <is>
          <t>Frontierland Playground</t>
        </is>
      </c>
      <c r="F16405" s="8" t="inlineStr">
        <is>
          <t>STANDBY</t>
        </is>
      </c>
      <c r="G16405" s="8" t="n">
        <v>0</v>
      </c>
      <c r="H16405" s="8" t="inlineStr">
        <is>
          <t>CLOSED</t>
        </is>
      </c>
    </row>
    <row r="16406">
      <c r="A16406" s="8" t="inlineStr">
        <is>
          <t>2026-08-03</t>
        </is>
      </c>
      <c r="B16406" s="8" t="n">
        <v>19</v>
      </c>
      <c r="C16406" s="8" t="n">
        <v>31</v>
      </c>
      <c r="D16406" s="8" t="inlineStr">
        <is>
          <t>Disneyland Park</t>
        </is>
      </c>
      <c r="E16406" s="8" t="inlineStr">
        <is>
          <t>Phantom Manor</t>
        </is>
      </c>
      <c r="F16406" s="8" t="inlineStr">
        <is>
          <t>STANDBY</t>
        </is>
      </c>
      <c r="G16406" s="8" t="n">
        <v>20</v>
      </c>
      <c r="H16406" s="8" t="inlineStr">
        <is>
          <t>OPERATING</t>
        </is>
      </c>
    </row>
    <row r="16407">
      <c r="A16407" s="8" t="inlineStr">
        <is>
          <t>2026-08-03</t>
        </is>
      </c>
      <c r="B16407" s="8" t="n">
        <v>19</v>
      </c>
      <c r="C16407" s="8" t="n">
        <v>31</v>
      </c>
      <c r="D16407" s="8" t="inlineStr">
        <is>
          <t>Disneyland Park</t>
        </is>
      </c>
      <c r="E16407" s="8" t="inlineStr">
        <is>
          <t>River Rogue Keelboats</t>
        </is>
      </c>
      <c r="F16407" s="8" t="inlineStr">
        <is>
          <t>STANDBY</t>
        </is>
      </c>
      <c r="G16407" s="8" t="n">
        <v>0</v>
      </c>
      <c r="H16407" s="8" t="inlineStr">
        <is>
          <t>CLOSED</t>
        </is>
      </c>
    </row>
    <row r="16408">
      <c r="A16408" s="8" t="inlineStr">
        <is>
          <t>2026-08-03</t>
        </is>
      </c>
      <c r="B16408" s="8" t="n">
        <v>19</v>
      </c>
      <c r="C16408" s="8" t="n">
        <v>31</v>
      </c>
      <c r="D16408" s="8" t="inlineStr">
        <is>
          <t>Disneyland Park</t>
        </is>
      </c>
      <c r="E16408" s="8" t="inlineStr">
        <is>
          <t>Rustler Roundup Shootin' Gallery</t>
        </is>
      </c>
      <c r="F16408" s="8" t="inlineStr">
        <is>
          <t>STANDBY</t>
        </is>
      </c>
      <c r="G16408" s="8" t="n">
        <v>0</v>
      </c>
      <c r="H16408" s="8" t="inlineStr">
        <is>
          <t>OPERATING</t>
        </is>
      </c>
    </row>
    <row r="16409">
      <c r="A16409" s="8" t="inlineStr">
        <is>
          <t>2026-08-03</t>
        </is>
      </c>
      <c r="B16409" s="8" t="n">
        <v>19</v>
      </c>
      <c r="C16409" s="8" t="n">
        <v>31</v>
      </c>
      <c r="D16409" s="8" t="inlineStr">
        <is>
          <t>Disneyland Park</t>
        </is>
      </c>
      <c r="E16409" s="8" t="inlineStr">
        <is>
          <t>Thunder Mesa Riverboat Landing</t>
        </is>
      </c>
      <c r="F16409" s="8" t="inlineStr">
        <is>
          <t>STANDBY</t>
        </is>
      </c>
      <c r="G16409" s="8" t="n">
        <v>0</v>
      </c>
      <c r="H16409" s="8" t="inlineStr">
        <is>
          <t>CLOSED</t>
        </is>
      </c>
    </row>
    <row r="16410">
      <c r="A16410" s="8" t="inlineStr">
        <is>
          <t>2026-08-03</t>
        </is>
      </c>
      <c r="B16410" s="8" t="n">
        <v>19</v>
      </c>
      <c r="C16410" s="8" t="n">
        <v>31</v>
      </c>
      <c r="D16410" s="8" t="inlineStr">
        <is>
          <t>Disneyland Park</t>
        </is>
      </c>
      <c r="E16410" s="8" t="inlineStr">
        <is>
          <t>Disneyland Railroad Main Street Station</t>
        </is>
      </c>
      <c r="F16410" s="8" t="inlineStr">
        <is>
          <t>STANDBY</t>
        </is>
      </c>
      <c r="G16410" s="8" t="n">
        <v>0</v>
      </c>
      <c r="H16410" s="8" t="inlineStr">
        <is>
          <t>CLOSED</t>
        </is>
      </c>
    </row>
    <row r="16411">
      <c r="A16411" s="8" t="inlineStr">
        <is>
          <t>2026-08-03</t>
        </is>
      </c>
      <c r="B16411" s="8" t="n">
        <v>19</v>
      </c>
      <c r="C16411" s="8" t="n">
        <v>31</v>
      </c>
      <c r="D16411" s="8" t="inlineStr">
        <is>
          <t>Disneyland Park</t>
        </is>
      </c>
      <c r="E16411" s="8" t="inlineStr">
        <is>
          <t>Main Street Vehicles</t>
        </is>
      </c>
      <c r="F16411" s="8" t="inlineStr">
        <is>
          <t>STANDBY</t>
        </is>
      </c>
      <c r="G16411" s="8" t="n">
        <v>0</v>
      </c>
      <c r="H16411" s="8" t="inlineStr">
        <is>
          <t>CLOSED</t>
        </is>
      </c>
    </row>
    <row r="16412">
      <c r="A16412" s="8" t="inlineStr">
        <is>
          <t>2026-08-03</t>
        </is>
      </c>
      <c r="B16412" s="8" t="n">
        <v>19</v>
      </c>
      <c r="C16412" s="8" t="n">
        <v>31</v>
      </c>
      <c r="D16412" s="8" t="inlineStr">
        <is>
          <t>Disney Adventure World</t>
        </is>
      </c>
      <c r="E16412" s="8" t="inlineStr">
        <is>
          <t>Avengers Assemble: Flight Force</t>
        </is>
      </c>
      <c r="F16412" s="8" t="inlineStr">
        <is>
          <t>STANDBY</t>
        </is>
      </c>
      <c r="G16412" s="8" t="n">
        <v>25</v>
      </c>
      <c r="H16412" s="8" t="inlineStr">
        <is>
          <t>OPERATING</t>
        </is>
      </c>
    </row>
    <row r="16413">
      <c r="A16413" s="8" t="inlineStr">
        <is>
          <t>2026-08-03</t>
        </is>
      </c>
      <c r="B16413" s="8" t="n">
        <v>19</v>
      </c>
      <c r="C16413" s="8" t="n">
        <v>31</v>
      </c>
      <c r="D16413" s="8" t="inlineStr">
        <is>
          <t>Disney Adventure World</t>
        </is>
      </c>
      <c r="E16413" s="8" t="inlineStr">
        <is>
          <t>Avengers Assemble: Flight Force Single Rider</t>
        </is>
      </c>
      <c r="F16413" s="8" t="inlineStr">
        <is>
          <t>STANDBY</t>
        </is>
      </c>
      <c r="G16413" s="8" t="n">
        <v>20</v>
      </c>
      <c r="H16413" s="8" t="inlineStr">
        <is>
          <t>OPERATING</t>
        </is>
      </c>
    </row>
    <row r="16414">
      <c r="A16414" s="8" t="inlineStr">
        <is>
          <t>2026-08-03</t>
        </is>
      </c>
      <c r="B16414" s="8" t="n">
        <v>19</v>
      </c>
      <c r="C16414" s="8" t="n">
        <v>31</v>
      </c>
      <c r="D16414" s="8" t="inlineStr">
        <is>
          <t>Disney Adventure World</t>
        </is>
      </c>
      <c r="E16414" s="8" t="inlineStr">
        <is>
          <t>Spider-Man W.E.B. Adventure</t>
        </is>
      </c>
      <c r="F16414" s="8" t="inlineStr">
        <is>
          <t>STANDBY</t>
        </is>
      </c>
      <c r="G16414" s="8" t="n">
        <v>40</v>
      </c>
      <c r="H16414" s="8" t="inlineStr">
        <is>
          <t>OPERATING</t>
        </is>
      </c>
    </row>
    <row r="16415">
      <c r="A16415" s="8" t="inlineStr">
        <is>
          <t>2026-08-03</t>
        </is>
      </c>
      <c r="B16415" s="8" t="n">
        <v>19</v>
      </c>
      <c r="C16415" s="8" t="n">
        <v>31</v>
      </c>
      <c r="D16415" s="8" t="inlineStr">
        <is>
          <t>Disney Adventure World</t>
        </is>
      </c>
      <c r="E16415" s="8" t="inlineStr">
        <is>
          <t>Spider-Man W.E.B. Adventure Single Rider</t>
        </is>
      </c>
      <c r="F16415" s="8" t="inlineStr">
        <is>
          <t>STANDBY</t>
        </is>
      </c>
      <c r="G16415" s="8" t="n">
        <v>20</v>
      </c>
      <c r="H16415" s="8" t="inlineStr">
        <is>
          <t>OPERATING</t>
        </is>
      </c>
    </row>
    <row r="16416">
      <c r="A16416" s="8" t="inlineStr">
        <is>
          <t>2026-08-03</t>
        </is>
      </c>
      <c r="B16416" s="8" t="n">
        <v>19</v>
      </c>
      <c r="C16416" s="8" t="n">
        <v>31</v>
      </c>
      <c r="D16416" s="8" t="inlineStr">
        <is>
          <t>Disney Adventure World</t>
        </is>
      </c>
      <c r="E16416" s="8" t="inlineStr">
        <is>
          <t>The Twilight Zone Tower of Terror</t>
        </is>
      </c>
      <c r="F16416" s="8" t="inlineStr">
        <is>
          <t>STANDBY</t>
        </is>
      </c>
      <c r="G16416" s="8" t="n">
        <v>15</v>
      </c>
      <c r="H16416" s="8" t="inlineStr">
        <is>
          <t>OPERATING</t>
        </is>
      </c>
    </row>
    <row r="16417">
      <c r="A16417" s="8" t="inlineStr">
        <is>
          <t>2026-08-03</t>
        </is>
      </c>
      <c r="B16417" s="8" t="n">
        <v>19</v>
      </c>
      <c r="C16417" s="8" t="n">
        <v>31</v>
      </c>
      <c r="D16417" s="8" t="inlineStr">
        <is>
          <t>Disney Adventure World</t>
        </is>
      </c>
      <c r="E16417" s="8" t="inlineStr">
        <is>
          <t>Cars Quatre Roues Rallye</t>
        </is>
      </c>
      <c r="F16417" s="8" t="inlineStr">
        <is>
          <t>STANDBY</t>
        </is>
      </c>
      <c r="G16417" s="8" t="n">
        <v>5</v>
      </c>
      <c r="H16417" s="8" t="inlineStr">
        <is>
          <t>OPERATING</t>
        </is>
      </c>
    </row>
    <row r="16418">
      <c r="A16418" s="8" t="inlineStr">
        <is>
          <t>2026-08-03</t>
        </is>
      </c>
      <c r="B16418" s="8" t="n">
        <v>19</v>
      </c>
      <c r="C16418" s="8" t="n">
        <v>31</v>
      </c>
      <c r="D16418" s="8" t="inlineStr">
        <is>
          <t>Disney Adventure World</t>
        </is>
      </c>
      <c r="E16418" s="8" t="inlineStr">
        <is>
          <t>Cars ROAD TRIP</t>
        </is>
      </c>
      <c r="F16418" s="8" t="inlineStr">
        <is>
          <t>STANDBY</t>
        </is>
      </c>
      <c r="G16418" s="8" t="n">
        <v>0</v>
      </c>
      <c r="H16418" s="8" t="inlineStr">
        <is>
          <t>CLOSED</t>
        </is>
      </c>
    </row>
    <row r="16419">
      <c r="A16419" s="8" t="inlineStr">
        <is>
          <t>2026-08-03</t>
        </is>
      </c>
      <c r="B16419" s="8" t="n">
        <v>19</v>
      </c>
      <c r="C16419" s="8" t="n">
        <v>31</v>
      </c>
      <c r="D16419" s="8" t="inlineStr">
        <is>
          <t>Disney Adventure World</t>
        </is>
      </c>
      <c r="E16419" s="8" t="inlineStr">
        <is>
          <t>Crush's Coaster</t>
        </is>
      </c>
      <c r="F16419" s="8" t="inlineStr">
        <is>
          <t>STANDBY</t>
        </is>
      </c>
      <c r="G16419" s="8" t="n">
        <v>60</v>
      </c>
      <c r="H16419" s="8" t="inlineStr">
        <is>
          <t>OPERATING</t>
        </is>
      </c>
    </row>
    <row r="16420">
      <c r="A16420" s="8" t="inlineStr">
        <is>
          <t>2026-08-03</t>
        </is>
      </c>
      <c r="B16420" s="8" t="n">
        <v>19</v>
      </c>
      <c r="C16420" s="8" t="n">
        <v>31</v>
      </c>
      <c r="D16420" s="8" t="inlineStr">
        <is>
          <t>Disney Adventure World</t>
        </is>
      </c>
      <c r="E16420" s="8" t="inlineStr">
        <is>
          <t>Crush's Coaster Single Rider</t>
        </is>
      </c>
      <c r="F16420" s="8" t="inlineStr">
        <is>
          <t>STANDBY</t>
        </is>
      </c>
      <c r="G16420" s="8" t="n">
        <v>45</v>
      </c>
      <c r="H16420" s="8" t="inlineStr">
        <is>
          <t>OPERATING</t>
        </is>
      </c>
    </row>
    <row r="16421">
      <c r="A16421" s="8" t="inlineStr">
        <is>
          <t>2026-08-03</t>
        </is>
      </c>
      <c r="B16421" s="8" t="n">
        <v>19</v>
      </c>
      <c r="C16421" s="8" t="n">
        <v>31</v>
      </c>
      <c r="D16421" s="8" t="inlineStr">
        <is>
          <t>Disney Adventure World</t>
        </is>
      </c>
      <c r="E16421" s="8" t="inlineStr">
        <is>
          <t>Les Tapis Volants - Flying Carpets Over Agrabah®</t>
        </is>
      </c>
      <c r="F16421" s="8" t="inlineStr">
        <is>
          <t>STANDBY</t>
        </is>
      </c>
      <c r="G16421" s="8" t="n">
        <v>5</v>
      </c>
      <c r="H16421" s="8" t="inlineStr">
        <is>
          <t>OPERATING</t>
        </is>
      </c>
    </row>
    <row r="16422">
      <c r="A16422" s="8" t="inlineStr">
        <is>
          <t>2026-08-03</t>
        </is>
      </c>
      <c r="B16422" s="8" t="n">
        <v>19</v>
      </c>
      <c r="C16422" s="8" t="n">
        <v>31</v>
      </c>
      <c r="D16422" s="8" t="inlineStr">
        <is>
          <t>Disney Adventure World</t>
        </is>
      </c>
      <c r="E16422" s="8" t="inlineStr">
        <is>
          <t>Ratatouille : L’Aventure Totalement Toquée de Rémy​</t>
        </is>
      </c>
      <c r="F16422" s="8" t="inlineStr">
        <is>
          <t>STANDBY</t>
        </is>
      </c>
      <c r="G16422" s="8" t="n">
        <v>35</v>
      </c>
      <c r="H16422" s="8" t="inlineStr">
        <is>
          <t>OPERATING</t>
        </is>
      </c>
    </row>
    <row r="16423">
      <c r="A16423" s="8" t="inlineStr">
        <is>
          <t>2026-08-03</t>
        </is>
      </c>
      <c r="B16423" s="8" t="n">
        <v>19</v>
      </c>
      <c r="C16423" s="8" t="n">
        <v>31</v>
      </c>
      <c r="D16423" s="8" t="inlineStr">
        <is>
          <t>Disney Adventure World</t>
        </is>
      </c>
      <c r="E16423" s="8" t="inlineStr">
        <is>
          <t>Ratatouille: The Adventure Single Rider</t>
        </is>
      </c>
      <c r="F16423" s="8" t="inlineStr">
        <is>
          <t>STANDBY</t>
        </is>
      </c>
      <c r="G16423" s="8" t="n">
        <v>10</v>
      </c>
      <c r="H16423" s="8" t="inlineStr">
        <is>
          <t>OPERATING</t>
        </is>
      </c>
    </row>
    <row r="16424">
      <c r="A16424" s="8" t="inlineStr">
        <is>
          <t>2026-08-03</t>
        </is>
      </c>
      <c r="B16424" s="8" t="n">
        <v>19</v>
      </c>
      <c r="C16424" s="8" t="n">
        <v>31</v>
      </c>
      <c r="D16424" s="8" t="inlineStr">
        <is>
          <t>Disney Adventure World</t>
        </is>
      </c>
      <c r="E16424" s="8" t="inlineStr">
        <is>
          <t>RC Racer</t>
        </is>
      </c>
      <c r="F16424" s="8" t="inlineStr">
        <is>
          <t>STANDBY</t>
        </is>
      </c>
      <c r="G16424" s="8" t="n">
        <v>15</v>
      </c>
      <c r="H16424" s="8" t="inlineStr">
        <is>
          <t>OPERATING</t>
        </is>
      </c>
    </row>
    <row r="16425">
      <c r="A16425" s="8" t="inlineStr">
        <is>
          <t>2026-08-03</t>
        </is>
      </c>
      <c r="B16425" s="8" t="n">
        <v>19</v>
      </c>
      <c r="C16425" s="8" t="n">
        <v>31</v>
      </c>
      <c r="D16425" s="8" t="inlineStr">
        <is>
          <t>Disney Adventure World</t>
        </is>
      </c>
      <c r="E16425" s="8" t="inlineStr">
        <is>
          <t>RC Racer Single Rider</t>
        </is>
      </c>
      <c r="F16425" s="8" t="inlineStr">
        <is>
          <t>STANDBY</t>
        </is>
      </c>
      <c r="G16425" s="8" t="n">
        <v>10</v>
      </c>
      <c r="H16425" s="8" t="inlineStr">
        <is>
          <t>OPERATING</t>
        </is>
      </c>
    </row>
    <row r="16426">
      <c r="A16426" s="8" t="inlineStr">
        <is>
          <t>2026-08-03</t>
        </is>
      </c>
      <c r="B16426" s="8" t="n">
        <v>19</v>
      </c>
      <c r="C16426" s="8" t="n">
        <v>31</v>
      </c>
      <c r="D16426" s="8" t="inlineStr">
        <is>
          <t>Disney Adventure World</t>
        </is>
      </c>
      <c r="E16426" s="8" t="inlineStr">
        <is>
          <t>Slinky® Dog Zigzag Spin</t>
        </is>
      </c>
      <c r="F16426" s="8" t="inlineStr">
        <is>
          <t>STANDBY</t>
        </is>
      </c>
      <c r="G16426" s="8" t="n">
        <v>5</v>
      </c>
      <c r="H16426" s="8" t="inlineStr">
        <is>
          <t>OPERATING</t>
        </is>
      </c>
    </row>
    <row r="16427">
      <c r="A16427" s="8" t="inlineStr">
        <is>
          <t>2026-08-03</t>
        </is>
      </c>
      <c r="B16427" s="8" t="n">
        <v>19</v>
      </c>
      <c r="C16427" s="8" t="n">
        <v>31</v>
      </c>
      <c r="D16427" s="8" t="inlineStr">
        <is>
          <t>Disney Adventure World</t>
        </is>
      </c>
      <c r="E16427" s="8" t="inlineStr">
        <is>
          <t>Toy Soldiers Parachute Drop</t>
        </is>
      </c>
      <c r="F16427" s="8" t="inlineStr">
        <is>
          <t>STANDBY</t>
        </is>
      </c>
      <c r="G16427" s="8" t="n">
        <v>5</v>
      </c>
      <c r="H16427" s="8" t="inlineStr">
        <is>
          <t>OPERATING</t>
        </is>
      </c>
    </row>
    <row r="16428">
      <c r="A16428" s="8" t="inlineStr">
        <is>
          <t>2026-08-03</t>
        </is>
      </c>
      <c r="B16428" s="8" t="n">
        <v>19</v>
      </c>
      <c r="C16428" s="8" t="n">
        <v>31</v>
      </c>
      <c r="D16428" s="8" t="inlineStr">
        <is>
          <t>Disney Adventure World</t>
        </is>
      </c>
      <c r="E16428" s="8" t="inlineStr">
        <is>
          <t>Toy Soldiers Parachute Drop Single Rider</t>
        </is>
      </c>
      <c r="F16428" s="8" t="inlineStr">
        <is>
          <t>STANDBY</t>
        </is>
      </c>
      <c r="G16428" s="8" t="n">
        <v>5</v>
      </c>
      <c r="H16428" s="8" t="inlineStr">
        <is>
          <t>OPERATING</t>
        </is>
      </c>
    </row>
    <row r="16429">
      <c r="A16429" s="8" t="inlineStr">
        <is>
          <t>2026-08-03</t>
        </is>
      </c>
      <c r="B16429" s="8" t="n">
        <v>19</v>
      </c>
      <c r="C16429" s="8" t="n">
        <v>31</v>
      </c>
      <c r="D16429" s="8" t="inlineStr">
        <is>
          <t>Disney Adventure World</t>
        </is>
      </c>
      <c r="E16429" s="8" t="inlineStr">
        <is>
          <t>Entry to World of Frozen</t>
        </is>
      </c>
      <c r="F16429" s="8" t="inlineStr">
        <is>
          <t>STANDBY</t>
        </is>
      </c>
      <c r="G16429" s="8" t="n">
        <v>0</v>
      </c>
      <c r="H16429" s="8" t="inlineStr">
        <is>
          <t>OPERATING</t>
        </is>
      </c>
    </row>
    <row r="16430">
      <c r="A16430" s="8" t="inlineStr">
        <is>
          <t>2026-08-03</t>
        </is>
      </c>
      <c r="B16430" s="8" t="n">
        <v>19</v>
      </c>
      <c r="C16430" s="8" t="n">
        <v>31</v>
      </c>
      <c r="D16430" s="8" t="inlineStr">
        <is>
          <t>Disney Adventure World</t>
        </is>
      </c>
      <c r="E16430" s="8" t="inlineStr">
        <is>
          <t>Frozen Ever After</t>
        </is>
      </c>
      <c r="F16430" s="8" t="inlineStr">
        <is>
          <t>STANDBY</t>
        </is>
      </c>
      <c r="G16430" s="8" t="n">
        <v>60</v>
      </c>
      <c r="H16430" s="8" t="inlineStr">
        <is>
          <t>OPERATING</t>
        </is>
      </c>
    </row>
    <row r="16431">
      <c r="A16431" s="8" t="inlineStr">
        <is>
          <t>2026-08-03</t>
        </is>
      </c>
      <c r="B16431" s="8" t="n">
        <v>19</v>
      </c>
      <c r="C16431" s="8" t="n">
        <v>31</v>
      </c>
      <c r="D16431" s="8" t="inlineStr">
        <is>
          <t>Disney Adventure World</t>
        </is>
      </c>
      <c r="E16431" s="8" t="inlineStr">
        <is>
          <t>Raiponce Tangled Spin</t>
        </is>
      </c>
      <c r="F16431" s="8" t="inlineStr">
        <is>
          <t>STANDBY</t>
        </is>
      </c>
      <c r="G16431" s="8" t="n">
        <v>5</v>
      </c>
      <c r="H16431" s="8" t="inlineStr">
        <is>
          <t>OPERATING</t>
        </is>
      </c>
    </row>
    <row r="16432">
      <c r="A16432" s="8" t="inlineStr">
        <is>
          <t>2026-08-03</t>
        </is>
      </c>
      <c r="B16432" s="8" t="n">
        <v>19</v>
      </c>
      <c r="C16432" s="8" t="n">
        <v>45</v>
      </c>
      <c r="D16432" s="8" t="inlineStr">
        <is>
          <t>Disneyland Park</t>
        </is>
      </c>
      <c r="E16432" s="8" t="inlineStr">
        <is>
          <t>Adventure Isle</t>
        </is>
      </c>
      <c r="F16432" s="8" t="inlineStr">
        <is>
          <t>STANDBY</t>
        </is>
      </c>
      <c r="G16432" s="8" t="n">
        <v>0</v>
      </c>
      <c r="H16432" s="8" t="inlineStr">
        <is>
          <t>OPERATING</t>
        </is>
      </c>
    </row>
    <row r="16433">
      <c r="A16433" s="8" t="inlineStr">
        <is>
          <t>2026-08-03</t>
        </is>
      </c>
      <c r="B16433" s="8" t="n">
        <v>19</v>
      </c>
      <c r="C16433" s="8" t="n">
        <v>45</v>
      </c>
      <c r="D16433" s="8" t="inlineStr">
        <is>
          <t>Disneyland Park</t>
        </is>
      </c>
      <c r="E16433" s="8" t="inlineStr">
        <is>
          <t>Indiana Jones and the Temple of Peril Single Rider</t>
        </is>
      </c>
      <c r="F16433" s="8" t="inlineStr">
        <is>
          <t>STANDBY</t>
        </is>
      </c>
      <c r="G16433" s="8" t="n">
        <v>5</v>
      </c>
      <c r="H16433" s="8" t="inlineStr">
        <is>
          <t>OPERATING</t>
        </is>
      </c>
    </row>
    <row r="16434">
      <c r="A16434" s="8" t="inlineStr">
        <is>
          <t>2026-08-03</t>
        </is>
      </c>
      <c r="B16434" s="8" t="n">
        <v>19</v>
      </c>
      <c r="C16434" s="8" t="n">
        <v>45</v>
      </c>
      <c r="D16434" s="8" t="inlineStr">
        <is>
          <t>Disneyland Park</t>
        </is>
      </c>
      <c r="E16434" s="8" t="inlineStr">
        <is>
          <t>Indiana Jones™ and the Temple of Peril</t>
        </is>
      </c>
      <c r="F16434" s="8" t="inlineStr">
        <is>
          <t>STANDBY</t>
        </is>
      </c>
      <c r="G16434" s="8" t="n">
        <v>10</v>
      </c>
      <c r="H16434" s="8" t="inlineStr">
        <is>
          <t>OPERATING</t>
        </is>
      </c>
    </row>
    <row r="16435">
      <c r="A16435" s="8" t="inlineStr">
        <is>
          <t>2026-08-03</t>
        </is>
      </c>
      <c r="B16435" s="8" t="n">
        <v>19</v>
      </c>
      <c r="C16435" s="8" t="n">
        <v>45</v>
      </c>
      <c r="D16435" s="8" t="inlineStr">
        <is>
          <t>Disneyland Park</t>
        </is>
      </c>
      <c r="E16435" s="8" t="inlineStr">
        <is>
          <t>La Cabane des Robinson</t>
        </is>
      </c>
      <c r="F16435" s="8" t="inlineStr">
        <is>
          <t>STANDBY</t>
        </is>
      </c>
      <c r="G16435" s="8" t="n">
        <v>5</v>
      </c>
      <c r="H16435" s="8" t="inlineStr">
        <is>
          <t>OPERATING</t>
        </is>
      </c>
    </row>
    <row r="16436">
      <c r="A16436" s="8" t="inlineStr">
        <is>
          <t>2026-08-03</t>
        </is>
      </c>
      <c r="B16436" s="8" t="n">
        <v>19</v>
      </c>
      <c r="C16436" s="8" t="n">
        <v>45</v>
      </c>
      <c r="D16436" s="8" t="inlineStr">
        <is>
          <t>Disneyland Park</t>
        </is>
      </c>
      <c r="E16436" s="8" t="inlineStr">
        <is>
          <t>Le Passage Enchanté d'Aladdin</t>
        </is>
      </c>
      <c r="F16436" s="8" t="inlineStr">
        <is>
          <t>STANDBY</t>
        </is>
      </c>
      <c r="G16436" s="8" t="n">
        <v>0</v>
      </c>
      <c r="H16436" s="8" t="inlineStr">
        <is>
          <t>OPERATING</t>
        </is>
      </c>
    </row>
    <row r="16437">
      <c r="A16437" s="8" t="inlineStr">
        <is>
          <t>2026-08-03</t>
        </is>
      </c>
      <c r="B16437" s="8" t="n">
        <v>19</v>
      </c>
      <c r="C16437" s="8" t="n">
        <v>45</v>
      </c>
      <c r="D16437" s="8" t="inlineStr">
        <is>
          <t>Disneyland Park</t>
        </is>
      </c>
      <c r="E16437" s="8" t="inlineStr">
        <is>
          <t>Pirate Galleon</t>
        </is>
      </c>
      <c r="F16437" s="8" t="inlineStr">
        <is>
          <t>STANDBY</t>
        </is>
      </c>
      <c r="G16437" s="8" t="n">
        <v>0</v>
      </c>
      <c r="H16437" s="8" t="inlineStr">
        <is>
          <t>CLOSED</t>
        </is>
      </c>
    </row>
    <row r="16438">
      <c r="A16438" s="8" t="inlineStr">
        <is>
          <t>2026-08-03</t>
        </is>
      </c>
      <c r="B16438" s="8" t="n">
        <v>19</v>
      </c>
      <c r="C16438" s="8" t="n">
        <v>45</v>
      </c>
      <c r="D16438" s="8" t="inlineStr">
        <is>
          <t>Disneyland Park</t>
        </is>
      </c>
      <c r="E16438" s="8" t="inlineStr">
        <is>
          <t>Pirates of the Caribbean</t>
        </is>
      </c>
      <c r="F16438" s="8" t="inlineStr">
        <is>
          <t>STANDBY</t>
        </is>
      </c>
      <c r="G16438" s="8" t="n">
        <v>5</v>
      </c>
      <c r="H16438" s="8" t="inlineStr">
        <is>
          <t>OPERATING</t>
        </is>
      </c>
    </row>
    <row r="16439">
      <c r="A16439" s="8" t="inlineStr">
        <is>
          <t>2026-08-03</t>
        </is>
      </c>
      <c r="B16439" s="8" t="n">
        <v>19</v>
      </c>
      <c r="C16439" s="8" t="n">
        <v>45</v>
      </c>
      <c r="D16439" s="8" t="inlineStr">
        <is>
          <t>Disneyland Park</t>
        </is>
      </c>
      <c r="E16439" s="8" t="inlineStr">
        <is>
          <t>Pirates' Beach</t>
        </is>
      </c>
      <c r="F16439" s="8" t="inlineStr">
        <is>
          <t>STANDBY</t>
        </is>
      </c>
      <c r="G16439" s="8" t="n">
        <v>0</v>
      </c>
      <c r="H16439" s="8" t="inlineStr">
        <is>
          <t>OPERATING</t>
        </is>
      </c>
    </row>
    <row r="16440">
      <c r="A16440" s="8" t="inlineStr">
        <is>
          <t>2026-08-03</t>
        </is>
      </c>
      <c r="B16440" s="8" t="n">
        <v>19</v>
      </c>
      <c r="C16440" s="8" t="n">
        <v>45</v>
      </c>
      <c r="D16440" s="8" t="inlineStr">
        <is>
          <t>Disneyland Park</t>
        </is>
      </c>
      <c r="E16440" s="8" t="inlineStr">
        <is>
          <t>Autopia, presented by Avis</t>
        </is>
      </c>
      <c r="F16440" s="8" t="inlineStr">
        <is>
          <t>STANDBY</t>
        </is>
      </c>
      <c r="G16440" s="8" t="n">
        <v>90</v>
      </c>
      <c r="H16440" s="8" t="inlineStr">
        <is>
          <t>OPERATING</t>
        </is>
      </c>
    </row>
    <row r="16441">
      <c r="A16441" s="8" t="inlineStr">
        <is>
          <t>2026-08-03</t>
        </is>
      </c>
      <c r="B16441" s="8" t="n">
        <v>19</v>
      </c>
      <c r="C16441" s="8" t="n">
        <v>45</v>
      </c>
      <c r="D16441" s="8" t="inlineStr">
        <is>
          <t>Disneyland Park</t>
        </is>
      </c>
      <c r="E16441" s="8" t="inlineStr">
        <is>
          <t>Buzz Lightyear Laser Blast</t>
        </is>
      </c>
      <c r="F16441" s="8" t="inlineStr">
        <is>
          <t>STANDBY</t>
        </is>
      </c>
      <c r="G16441" s="8" t="n">
        <v>35</v>
      </c>
      <c r="H16441" s="8" t="inlineStr">
        <is>
          <t>OPERATING</t>
        </is>
      </c>
    </row>
    <row r="16442">
      <c r="A16442" s="8" t="inlineStr">
        <is>
          <t>2026-08-03</t>
        </is>
      </c>
      <c r="B16442" s="8" t="n">
        <v>19</v>
      </c>
      <c r="C16442" s="8" t="n">
        <v>45</v>
      </c>
      <c r="D16442" s="8" t="inlineStr">
        <is>
          <t>Disneyland Park</t>
        </is>
      </c>
      <c r="E16442" s="8" t="inlineStr">
        <is>
          <t>Disneyland Railroad Discoveryland Station</t>
        </is>
      </c>
      <c r="F16442" s="8" t="inlineStr">
        <is>
          <t>STANDBY</t>
        </is>
      </c>
      <c r="G16442" s="8" t="n">
        <v>0</v>
      </c>
      <c r="H16442" s="8" t="inlineStr">
        <is>
          <t>CLOSED</t>
        </is>
      </c>
    </row>
    <row r="16443">
      <c r="A16443" s="8" t="inlineStr">
        <is>
          <t>2026-08-03</t>
        </is>
      </c>
      <c r="B16443" s="8" t="n">
        <v>19</v>
      </c>
      <c r="C16443" s="8" t="n">
        <v>45</v>
      </c>
      <c r="D16443" s="8" t="inlineStr">
        <is>
          <t>Disneyland Park</t>
        </is>
      </c>
      <c r="E16443" s="8" t="inlineStr">
        <is>
          <t>Les Mystères du Nautilus</t>
        </is>
      </c>
      <c r="F16443" s="8" t="inlineStr">
        <is>
          <t>STANDBY</t>
        </is>
      </c>
      <c r="G16443" s="8" t="n">
        <v>5</v>
      </c>
      <c r="H16443" s="8" t="inlineStr">
        <is>
          <t>OPERATING</t>
        </is>
      </c>
    </row>
    <row r="16444">
      <c r="A16444" s="8" t="inlineStr">
        <is>
          <t>2026-08-03</t>
        </is>
      </c>
      <c r="B16444" s="8" t="n">
        <v>19</v>
      </c>
      <c r="C16444" s="8" t="n">
        <v>45</v>
      </c>
      <c r="D16444" s="8" t="inlineStr">
        <is>
          <t>Disneyland Park</t>
        </is>
      </c>
      <c r="E16444" s="8" t="inlineStr">
        <is>
          <t>Mickey’s PhilharMagic</t>
        </is>
      </c>
      <c r="F16444" s="8" t="inlineStr">
        <is>
          <t>STANDBY</t>
        </is>
      </c>
      <c r="G16444" s="8" t="n">
        <v>0</v>
      </c>
      <c r="H16444" s="8" t="inlineStr">
        <is>
          <t>CLOSED</t>
        </is>
      </c>
    </row>
    <row r="16445">
      <c r="A16445" s="8" t="inlineStr">
        <is>
          <t>2026-08-03</t>
        </is>
      </c>
      <c r="B16445" s="8" t="n">
        <v>19</v>
      </c>
      <c r="C16445" s="8" t="n">
        <v>45</v>
      </c>
      <c r="D16445" s="8" t="inlineStr">
        <is>
          <t>Disneyland Park</t>
        </is>
      </c>
      <c r="E16445" s="8" t="inlineStr">
        <is>
          <t>Orbitron®</t>
        </is>
      </c>
      <c r="F16445" s="8" t="inlineStr">
        <is>
          <t>STANDBY</t>
        </is>
      </c>
      <c r="G16445" s="8" t="n">
        <v>15</v>
      </c>
      <c r="H16445" s="8" t="inlineStr">
        <is>
          <t>OPERATING</t>
        </is>
      </c>
    </row>
    <row r="16446">
      <c r="A16446" s="8" t="inlineStr">
        <is>
          <t>2026-08-03</t>
        </is>
      </c>
      <c r="B16446" s="8" t="n">
        <v>19</v>
      </c>
      <c r="C16446" s="8" t="n">
        <v>45</v>
      </c>
      <c r="D16446" s="8" t="inlineStr">
        <is>
          <t>Disneyland Park</t>
        </is>
      </c>
      <c r="E16446" s="8" t="inlineStr">
        <is>
          <t>Star Tours: The Adventures Continue*</t>
        </is>
      </c>
      <c r="F16446" s="8" t="inlineStr">
        <is>
          <t>STANDBY</t>
        </is>
      </c>
      <c r="G16446" s="8" t="n">
        <v>15</v>
      </c>
      <c r="H16446" s="8" t="inlineStr">
        <is>
          <t>OPERATING</t>
        </is>
      </c>
    </row>
    <row r="16447">
      <c r="A16447" s="8" t="inlineStr">
        <is>
          <t>2026-08-03</t>
        </is>
      </c>
      <c r="B16447" s="8" t="n">
        <v>19</v>
      </c>
      <c r="C16447" s="8" t="n">
        <v>45</v>
      </c>
      <c r="D16447" s="8" t="inlineStr">
        <is>
          <t>Disneyland Park</t>
        </is>
      </c>
      <c r="E16447" s="8" t="inlineStr">
        <is>
          <t>Star Wars Hyperspace Mountain</t>
        </is>
      </c>
      <c r="F16447" s="8" t="inlineStr">
        <is>
          <t>STANDBY</t>
        </is>
      </c>
      <c r="G16447" s="8" t="n">
        <v>20</v>
      </c>
      <c r="H16447" s="8" t="inlineStr">
        <is>
          <t>OPERATING</t>
        </is>
      </c>
    </row>
    <row r="16448">
      <c r="A16448" s="8" t="inlineStr">
        <is>
          <t>2026-08-03</t>
        </is>
      </c>
      <c r="B16448" s="8" t="n">
        <v>19</v>
      </c>
      <c r="C16448" s="8" t="n">
        <v>45</v>
      </c>
      <c r="D16448" s="8" t="inlineStr">
        <is>
          <t>Disneyland Park</t>
        </is>
      </c>
      <c r="E16448" s="8" t="inlineStr">
        <is>
          <t>Star Wars Hyperspace Mountain Single Rider</t>
        </is>
      </c>
      <c r="F16448" s="8" t="inlineStr">
        <is>
          <t>STANDBY</t>
        </is>
      </c>
      <c r="G16448" s="8" t="n">
        <v>15</v>
      </c>
      <c r="H16448" s="8" t="inlineStr">
        <is>
          <t>OPERATING</t>
        </is>
      </c>
    </row>
    <row r="16449">
      <c r="A16449" s="8" t="inlineStr">
        <is>
          <t>2026-08-03</t>
        </is>
      </c>
      <c r="B16449" s="8" t="n">
        <v>19</v>
      </c>
      <c r="C16449" s="8" t="n">
        <v>45</v>
      </c>
      <c r="D16449" s="8" t="inlineStr">
        <is>
          <t>Disneyland Park</t>
        </is>
      </c>
      <c r="E16449" s="8" t="inlineStr">
        <is>
          <t>Welcome to Starport: A Star Wars Encounter</t>
        </is>
      </c>
      <c r="F16449" s="8" t="inlineStr">
        <is>
          <t>STANDBY</t>
        </is>
      </c>
      <c r="G16449" s="8" t="n">
        <v>0</v>
      </c>
      <c r="H16449" s="8" t="inlineStr">
        <is>
          <t>CLOSED</t>
        </is>
      </c>
    </row>
    <row r="16450">
      <c r="A16450" s="8" t="inlineStr">
        <is>
          <t>2026-08-03</t>
        </is>
      </c>
      <c r="B16450" s="8" t="n">
        <v>19</v>
      </c>
      <c r="C16450" s="8" t="n">
        <v>45</v>
      </c>
      <c r="D16450" s="8" t="inlineStr">
        <is>
          <t>Disneyland Park</t>
        </is>
      </c>
      <c r="E16450" s="8" t="inlineStr">
        <is>
          <t>"it's a small world"</t>
        </is>
      </c>
      <c r="F16450" s="8" t="inlineStr">
        <is>
          <t>STANDBY</t>
        </is>
      </c>
      <c r="G16450" s="8" t="n">
        <v>5</v>
      </c>
      <c r="H16450" s="8" t="inlineStr">
        <is>
          <t>OPERATING</t>
        </is>
      </c>
    </row>
    <row r="16451">
      <c r="A16451" s="8" t="inlineStr">
        <is>
          <t>2026-08-03</t>
        </is>
      </c>
      <c r="B16451" s="8" t="n">
        <v>19</v>
      </c>
      <c r="C16451" s="8" t="n">
        <v>45</v>
      </c>
      <c r="D16451" s="8" t="inlineStr">
        <is>
          <t>Disneyland Park</t>
        </is>
      </c>
      <c r="E16451" s="8" t="inlineStr">
        <is>
          <t>Alice's Curious Labyrinth</t>
        </is>
      </c>
      <c r="F16451" s="8" t="inlineStr">
        <is>
          <t>STANDBY</t>
        </is>
      </c>
      <c r="G16451" s="8" t="n">
        <v>5</v>
      </c>
      <c r="H16451" s="8" t="inlineStr">
        <is>
          <t>OPERATING</t>
        </is>
      </c>
    </row>
    <row r="16452">
      <c r="A16452" s="8" t="inlineStr">
        <is>
          <t>2026-08-03</t>
        </is>
      </c>
      <c r="B16452" s="8" t="n">
        <v>19</v>
      </c>
      <c r="C16452" s="8" t="n">
        <v>45</v>
      </c>
      <c r="D16452" s="8" t="inlineStr">
        <is>
          <t>Disneyland Park</t>
        </is>
      </c>
      <c r="E16452" s="8" t="inlineStr">
        <is>
          <t>Blanche-Neige et les Sept Nains®</t>
        </is>
      </c>
      <c r="F16452" s="8" t="inlineStr">
        <is>
          <t>STANDBY</t>
        </is>
      </c>
      <c r="G16452" s="8" t="n">
        <v>30</v>
      </c>
      <c r="H16452" s="8" t="inlineStr">
        <is>
          <t>OPERATING</t>
        </is>
      </c>
    </row>
    <row r="16453">
      <c r="A16453" s="8" t="inlineStr">
        <is>
          <t>2026-08-03</t>
        </is>
      </c>
      <c r="B16453" s="8" t="n">
        <v>19</v>
      </c>
      <c r="C16453" s="8" t="n">
        <v>45</v>
      </c>
      <c r="D16453" s="8" t="inlineStr">
        <is>
          <t>Disneyland Park</t>
        </is>
      </c>
      <c r="E16453" s="8" t="inlineStr">
        <is>
          <t>Casey Jr. – le Petit Train du Cirque</t>
        </is>
      </c>
      <c r="F16453" s="8" t="inlineStr">
        <is>
          <t>STANDBY</t>
        </is>
      </c>
      <c r="G16453" s="8" t="n">
        <v>0</v>
      </c>
      <c r="H16453" s="8" t="inlineStr">
        <is>
          <t>CLOSED</t>
        </is>
      </c>
    </row>
    <row r="16454">
      <c r="A16454" s="8" t="inlineStr">
        <is>
          <t>2026-08-03</t>
        </is>
      </c>
      <c r="B16454" s="8" t="n">
        <v>19</v>
      </c>
      <c r="C16454" s="8" t="n">
        <v>45</v>
      </c>
      <c r="D16454" s="8" t="inlineStr">
        <is>
          <t>Disneyland Park</t>
        </is>
      </c>
      <c r="E16454" s="8" t="inlineStr">
        <is>
          <t>Disneyland Railroad Fantasyland Station</t>
        </is>
      </c>
      <c r="F16454" s="8" t="inlineStr">
        <is>
          <t>STANDBY</t>
        </is>
      </c>
      <c r="G16454" s="8" t="n">
        <v>0</v>
      </c>
      <c r="H16454" s="8" t="inlineStr">
        <is>
          <t>CLOSED</t>
        </is>
      </c>
    </row>
    <row r="16455">
      <c r="A16455" s="8" t="inlineStr">
        <is>
          <t>2026-08-03</t>
        </is>
      </c>
      <c r="B16455" s="8" t="n">
        <v>19</v>
      </c>
      <c r="C16455" s="8" t="n">
        <v>45</v>
      </c>
      <c r="D16455" s="8" t="inlineStr">
        <is>
          <t>Disneyland Park</t>
        </is>
      </c>
      <c r="E16455" s="8" t="inlineStr">
        <is>
          <t>Disneyland Railroad Main Street Station</t>
        </is>
      </c>
      <c r="F16455" s="8" t="inlineStr">
        <is>
          <t>STANDBY</t>
        </is>
      </c>
      <c r="G16455" s="8" t="n">
        <v>0</v>
      </c>
      <c r="H16455" s="8" t="inlineStr">
        <is>
          <t>CLOSED</t>
        </is>
      </c>
    </row>
    <row r="16456">
      <c r="A16456" s="8" t="inlineStr">
        <is>
          <t>2026-08-03</t>
        </is>
      </c>
      <c r="B16456" s="8" t="n">
        <v>19</v>
      </c>
      <c r="C16456" s="8" t="n">
        <v>45</v>
      </c>
      <c r="D16456" s="8" t="inlineStr">
        <is>
          <t>Disneyland Park</t>
        </is>
      </c>
      <c r="E16456" s="8" t="inlineStr">
        <is>
          <t>Dumbo the Flying Elephant</t>
        </is>
      </c>
      <c r="F16456" s="8" t="inlineStr">
        <is>
          <t>STANDBY</t>
        </is>
      </c>
      <c r="G16456" s="8" t="n">
        <v>40</v>
      </c>
      <c r="H16456" s="8" t="inlineStr">
        <is>
          <t>OPERATING</t>
        </is>
      </c>
    </row>
    <row r="16457">
      <c r="A16457" s="8" t="inlineStr">
        <is>
          <t>2026-08-03</t>
        </is>
      </c>
      <c r="B16457" s="8" t="n">
        <v>19</v>
      </c>
      <c r="C16457" s="8" t="n">
        <v>45</v>
      </c>
      <c r="D16457" s="8" t="inlineStr">
        <is>
          <t>Disneyland Park</t>
        </is>
      </c>
      <c r="E16457" s="8" t="inlineStr">
        <is>
          <t>La Tanière du Dragon</t>
        </is>
      </c>
      <c r="F16457" s="8" t="inlineStr">
        <is>
          <t>STANDBY</t>
        </is>
      </c>
      <c r="G16457" s="8" t="n">
        <v>0</v>
      </c>
      <c r="H16457" s="8" t="inlineStr">
        <is>
          <t>OPERATING</t>
        </is>
      </c>
    </row>
    <row r="16458">
      <c r="A16458" s="8" t="inlineStr">
        <is>
          <t>2026-08-03</t>
        </is>
      </c>
      <c r="B16458" s="8" t="n">
        <v>19</v>
      </c>
      <c r="C16458" s="8" t="n">
        <v>45</v>
      </c>
      <c r="D16458" s="8" t="inlineStr">
        <is>
          <t>Disneyland Park</t>
        </is>
      </c>
      <c r="E16458" s="8" t="inlineStr">
        <is>
          <t>Le Carrousel de Lancelot</t>
        </is>
      </c>
      <c r="F16458" s="8" t="inlineStr">
        <is>
          <t>STANDBY</t>
        </is>
      </c>
      <c r="G16458" s="8" t="n">
        <v>10</v>
      </c>
      <c r="H16458" s="8" t="inlineStr">
        <is>
          <t>OPERATING</t>
        </is>
      </c>
    </row>
    <row r="16459">
      <c r="A16459" s="8" t="inlineStr">
        <is>
          <t>2026-08-03</t>
        </is>
      </c>
      <c r="B16459" s="8" t="n">
        <v>19</v>
      </c>
      <c r="C16459" s="8" t="n">
        <v>45</v>
      </c>
      <c r="D16459" s="8" t="inlineStr">
        <is>
          <t>Disneyland Park</t>
        </is>
      </c>
      <c r="E16459" s="8" t="inlineStr">
        <is>
          <t>Le Pays des Contes de Fées, presented by Vittel</t>
        </is>
      </c>
      <c r="F16459" s="8" t="inlineStr">
        <is>
          <t>STANDBY</t>
        </is>
      </c>
      <c r="G16459" s="8" t="n">
        <v>0</v>
      </c>
      <c r="H16459" s="8" t="inlineStr">
        <is>
          <t>CLOSED</t>
        </is>
      </c>
    </row>
    <row r="16460">
      <c r="A16460" s="8" t="inlineStr">
        <is>
          <t>2026-08-03</t>
        </is>
      </c>
      <c r="B16460" s="8" t="n">
        <v>19</v>
      </c>
      <c r="C16460" s="8" t="n">
        <v>45</v>
      </c>
      <c r="D16460" s="8" t="inlineStr">
        <is>
          <t>Disneyland Park</t>
        </is>
      </c>
      <c r="E16460" s="8" t="inlineStr">
        <is>
          <t>Les Voyages de Pinocchio</t>
        </is>
      </c>
      <c r="F16460" s="8" t="inlineStr">
        <is>
          <t>STANDBY</t>
        </is>
      </c>
      <c r="G16460" s="8" t="n">
        <v>35</v>
      </c>
      <c r="H16460" s="8" t="inlineStr">
        <is>
          <t>OPERATING</t>
        </is>
      </c>
    </row>
    <row r="16461">
      <c r="A16461" s="8" t="inlineStr">
        <is>
          <t>2026-08-03</t>
        </is>
      </c>
      <c r="B16461" s="8" t="n">
        <v>19</v>
      </c>
      <c r="C16461" s="8" t="n">
        <v>45</v>
      </c>
      <c r="D16461" s="8" t="inlineStr">
        <is>
          <t>Disneyland Park</t>
        </is>
      </c>
      <c r="E16461" s="8" t="inlineStr">
        <is>
          <t>Mad Hatter's Tea Cups</t>
        </is>
      </c>
      <c r="F16461" s="8" t="inlineStr">
        <is>
          <t>STANDBY</t>
        </is>
      </c>
      <c r="G16461" s="8" t="n">
        <v>5</v>
      </c>
      <c r="H16461" s="8" t="inlineStr">
        <is>
          <t>OPERATING</t>
        </is>
      </c>
    </row>
    <row r="16462">
      <c r="A16462" s="8" t="inlineStr">
        <is>
          <t>2026-08-03</t>
        </is>
      </c>
      <c r="B16462" s="8" t="n">
        <v>19</v>
      </c>
      <c r="C16462" s="8" t="n">
        <v>45</v>
      </c>
      <c r="D16462" s="8" t="inlineStr">
        <is>
          <t>Disneyland Park</t>
        </is>
      </c>
      <c r="E16462" s="8" t="inlineStr">
        <is>
          <t>Meet Mickey Mouse</t>
        </is>
      </c>
      <c r="F16462" s="8" t="inlineStr">
        <is>
          <t>STANDBY</t>
        </is>
      </c>
      <c r="G16462" s="8" t="n">
        <v>0</v>
      </c>
      <c r="H16462" s="8" t="inlineStr">
        <is>
          <t>CLOSED</t>
        </is>
      </c>
    </row>
    <row r="16463">
      <c r="A16463" s="8" t="inlineStr">
        <is>
          <t>2026-08-03</t>
        </is>
      </c>
      <c r="B16463" s="8" t="n">
        <v>19</v>
      </c>
      <c r="C16463" s="8" t="n">
        <v>45</v>
      </c>
      <c r="D16463" s="8" t="inlineStr">
        <is>
          <t>Disneyland Park</t>
        </is>
      </c>
      <c r="E16463" s="8" t="inlineStr">
        <is>
          <t>Peter Pan's Flight</t>
        </is>
      </c>
      <c r="F16463" s="8" t="inlineStr">
        <is>
          <t>STANDBY</t>
        </is>
      </c>
      <c r="G16463" s="8" t="n">
        <v>55</v>
      </c>
      <c r="H16463" s="8" t="inlineStr">
        <is>
          <t>OPERATING</t>
        </is>
      </c>
    </row>
    <row r="16464">
      <c r="A16464" s="8" t="inlineStr">
        <is>
          <t>2026-08-03</t>
        </is>
      </c>
      <c r="B16464" s="8" t="n">
        <v>19</v>
      </c>
      <c r="C16464" s="8" t="n">
        <v>45</v>
      </c>
      <c r="D16464" s="8" t="inlineStr">
        <is>
          <t>Disneyland Park</t>
        </is>
      </c>
      <c r="E16464" s="8" t="inlineStr">
        <is>
          <t>Princess Pavilion</t>
        </is>
      </c>
      <c r="F16464" s="8" t="inlineStr">
        <is>
          <t>STANDBY</t>
        </is>
      </c>
      <c r="G16464" s="8" t="n">
        <v>0</v>
      </c>
      <c r="H16464" s="8" t="inlineStr">
        <is>
          <t>CLOSED</t>
        </is>
      </c>
    </row>
    <row r="16465">
      <c r="A16465" s="8" t="inlineStr">
        <is>
          <t>2026-08-03</t>
        </is>
      </c>
      <c r="B16465" s="8" t="n">
        <v>19</v>
      </c>
      <c r="C16465" s="8" t="n">
        <v>45</v>
      </c>
      <c r="D16465" s="8" t="inlineStr">
        <is>
          <t>Disneyland Park</t>
        </is>
      </c>
      <c r="E16465" s="8" t="inlineStr">
        <is>
          <t>Big Thunder Mountain</t>
        </is>
      </c>
      <c r="F16465" s="8" t="inlineStr">
        <is>
          <t>STANDBY</t>
        </is>
      </c>
      <c r="G16465" s="8" t="n">
        <v>60</v>
      </c>
      <c r="H16465" s="8" t="inlineStr">
        <is>
          <t>OPERATING</t>
        </is>
      </c>
    </row>
    <row r="16466">
      <c r="A16466" s="8" t="inlineStr">
        <is>
          <t>2026-08-03</t>
        </is>
      </c>
      <c r="B16466" s="8" t="n">
        <v>19</v>
      </c>
      <c r="C16466" s="8" t="n">
        <v>45</v>
      </c>
      <c r="D16466" s="8" t="inlineStr">
        <is>
          <t>Disneyland Park</t>
        </is>
      </c>
      <c r="E16466" s="8" t="inlineStr">
        <is>
          <t>Disneyland Railroad Frontierland Depot</t>
        </is>
      </c>
      <c r="F16466" s="8" t="inlineStr">
        <is>
          <t>STANDBY</t>
        </is>
      </c>
      <c r="G16466" s="8" t="n">
        <v>0</v>
      </c>
      <c r="H16466" s="8" t="inlineStr">
        <is>
          <t>CLOSED</t>
        </is>
      </c>
    </row>
    <row r="16467">
      <c r="A16467" s="8" t="inlineStr">
        <is>
          <t>2026-08-03</t>
        </is>
      </c>
      <c r="B16467" s="8" t="n">
        <v>19</v>
      </c>
      <c r="C16467" s="8" t="n">
        <v>45</v>
      </c>
      <c r="D16467" s="8" t="inlineStr">
        <is>
          <t>Disneyland Park</t>
        </is>
      </c>
      <c r="E16467" s="8" t="inlineStr">
        <is>
          <t>Frontierland Playground</t>
        </is>
      </c>
      <c r="F16467" s="8" t="inlineStr">
        <is>
          <t>STANDBY</t>
        </is>
      </c>
      <c r="G16467" s="8" t="n">
        <v>0</v>
      </c>
      <c r="H16467" s="8" t="inlineStr">
        <is>
          <t>CLOSED</t>
        </is>
      </c>
    </row>
    <row r="16468">
      <c r="A16468" s="8" t="inlineStr">
        <is>
          <t>2026-08-03</t>
        </is>
      </c>
      <c r="B16468" s="8" t="n">
        <v>19</v>
      </c>
      <c r="C16468" s="8" t="n">
        <v>45</v>
      </c>
      <c r="D16468" s="8" t="inlineStr">
        <is>
          <t>Disneyland Park</t>
        </is>
      </c>
      <c r="E16468" s="8" t="inlineStr">
        <is>
          <t>Phantom Manor</t>
        </is>
      </c>
      <c r="F16468" s="8" t="inlineStr">
        <is>
          <t>STANDBY</t>
        </is>
      </c>
      <c r="G16468" s="8" t="n">
        <v>5</v>
      </c>
      <c r="H16468" s="8" t="inlineStr">
        <is>
          <t>OPERATING</t>
        </is>
      </c>
    </row>
    <row r="16469">
      <c r="A16469" s="8" t="inlineStr">
        <is>
          <t>2026-08-03</t>
        </is>
      </c>
      <c r="B16469" s="8" t="n">
        <v>19</v>
      </c>
      <c r="C16469" s="8" t="n">
        <v>45</v>
      </c>
      <c r="D16469" s="8" t="inlineStr">
        <is>
          <t>Disneyland Park</t>
        </is>
      </c>
      <c r="E16469" s="8" t="inlineStr">
        <is>
          <t>River Rogue Keelboats</t>
        </is>
      </c>
      <c r="F16469" s="8" t="inlineStr">
        <is>
          <t>STANDBY</t>
        </is>
      </c>
      <c r="G16469" s="8" t="n">
        <v>0</v>
      </c>
      <c r="H16469" s="8" t="inlineStr">
        <is>
          <t>CLOSED</t>
        </is>
      </c>
    </row>
    <row r="16470">
      <c r="A16470" s="8" t="inlineStr">
        <is>
          <t>2026-08-03</t>
        </is>
      </c>
      <c r="B16470" s="8" t="n">
        <v>19</v>
      </c>
      <c r="C16470" s="8" t="n">
        <v>45</v>
      </c>
      <c r="D16470" s="8" t="inlineStr">
        <is>
          <t>Disneyland Park</t>
        </is>
      </c>
      <c r="E16470" s="8" t="inlineStr">
        <is>
          <t>Rustler Roundup Shootin' Gallery</t>
        </is>
      </c>
      <c r="F16470" s="8" t="inlineStr">
        <is>
          <t>STANDBY</t>
        </is>
      </c>
      <c r="G16470" s="8" t="n">
        <v>0</v>
      </c>
      <c r="H16470" s="8" t="inlineStr">
        <is>
          <t>OPERATING</t>
        </is>
      </c>
    </row>
    <row r="16471">
      <c r="A16471" s="8" t="inlineStr">
        <is>
          <t>2026-08-03</t>
        </is>
      </c>
      <c r="B16471" s="8" t="n">
        <v>19</v>
      </c>
      <c r="C16471" s="8" t="n">
        <v>45</v>
      </c>
      <c r="D16471" s="8" t="inlineStr">
        <is>
          <t>Disneyland Park</t>
        </is>
      </c>
      <c r="E16471" s="8" t="inlineStr">
        <is>
          <t>Thunder Mesa Riverboat Landing</t>
        </is>
      </c>
      <c r="F16471" s="8" t="inlineStr">
        <is>
          <t>STANDBY</t>
        </is>
      </c>
      <c r="G16471" s="8" t="n">
        <v>0</v>
      </c>
      <c r="H16471" s="8" t="inlineStr">
        <is>
          <t>CLOSED</t>
        </is>
      </c>
    </row>
    <row r="16472">
      <c r="A16472" s="8" t="inlineStr">
        <is>
          <t>2026-08-03</t>
        </is>
      </c>
      <c r="B16472" s="8" t="n">
        <v>19</v>
      </c>
      <c r="C16472" s="8" t="n">
        <v>45</v>
      </c>
      <c r="D16472" s="8" t="inlineStr">
        <is>
          <t>Disneyland Park</t>
        </is>
      </c>
      <c r="E16472" s="8" t="inlineStr">
        <is>
          <t>Disneyland Railroad Main Street Station</t>
        </is>
      </c>
      <c r="F16472" s="8" t="inlineStr">
        <is>
          <t>STANDBY</t>
        </is>
      </c>
      <c r="G16472" s="8" t="n">
        <v>0</v>
      </c>
      <c r="H16472" s="8" t="inlineStr">
        <is>
          <t>CLOSED</t>
        </is>
      </c>
    </row>
    <row r="16473">
      <c r="A16473" s="8" t="inlineStr">
        <is>
          <t>2026-08-03</t>
        </is>
      </c>
      <c r="B16473" s="8" t="n">
        <v>19</v>
      </c>
      <c r="C16473" s="8" t="n">
        <v>45</v>
      </c>
      <c r="D16473" s="8" t="inlineStr">
        <is>
          <t>Disneyland Park</t>
        </is>
      </c>
      <c r="E16473" s="8" t="inlineStr">
        <is>
          <t>Main Street Vehicles</t>
        </is>
      </c>
      <c r="F16473" s="8" t="inlineStr">
        <is>
          <t>STANDBY</t>
        </is>
      </c>
      <c r="G16473" s="8" t="n">
        <v>0</v>
      </c>
      <c r="H16473" s="8" t="inlineStr">
        <is>
          <t>CLOSED</t>
        </is>
      </c>
    </row>
    <row r="16474">
      <c r="A16474" s="8" t="inlineStr">
        <is>
          <t>2026-08-03</t>
        </is>
      </c>
      <c r="B16474" s="8" t="n">
        <v>19</v>
      </c>
      <c r="C16474" s="8" t="n">
        <v>45</v>
      </c>
      <c r="D16474" s="8" t="inlineStr">
        <is>
          <t>Disney Adventure World</t>
        </is>
      </c>
      <c r="E16474" s="8" t="inlineStr">
        <is>
          <t>Avengers Assemble: Flight Force</t>
        </is>
      </c>
      <c r="F16474" s="8" t="inlineStr">
        <is>
          <t>STANDBY</t>
        </is>
      </c>
      <c r="G16474" s="8" t="n">
        <v>15</v>
      </c>
      <c r="H16474" s="8" t="inlineStr">
        <is>
          <t>OPERATING</t>
        </is>
      </c>
    </row>
    <row r="16475">
      <c r="A16475" s="8" t="inlineStr">
        <is>
          <t>2026-08-03</t>
        </is>
      </c>
      <c r="B16475" s="8" t="n">
        <v>19</v>
      </c>
      <c r="C16475" s="8" t="n">
        <v>45</v>
      </c>
      <c r="D16475" s="8" t="inlineStr">
        <is>
          <t>Disney Adventure World</t>
        </is>
      </c>
      <c r="E16475" s="8" t="inlineStr">
        <is>
          <t>Avengers Assemble: Flight Force Single Rider</t>
        </is>
      </c>
      <c r="F16475" s="8" t="inlineStr">
        <is>
          <t>STANDBY</t>
        </is>
      </c>
      <c r="G16475" s="8" t="n">
        <v>10</v>
      </c>
      <c r="H16475" s="8" t="inlineStr">
        <is>
          <t>OPERATING</t>
        </is>
      </c>
    </row>
    <row r="16476">
      <c r="A16476" s="8" t="inlineStr">
        <is>
          <t>2026-08-03</t>
        </is>
      </c>
      <c r="B16476" s="8" t="n">
        <v>19</v>
      </c>
      <c r="C16476" s="8" t="n">
        <v>45</v>
      </c>
      <c r="D16476" s="8" t="inlineStr">
        <is>
          <t>Disney Adventure World</t>
        </is>
      </c>
      <c r="E16476" s="8" t="inlineStr">
        <is>
          <t>Spider-Man W.E.B. Adventure</t>
        </is>
      </c>
      <c r="F16476" s="8" t="inlineStr">
        <is>
          <t>STANDBY</t>
        </is>
      </c>
      <c r="G16476" s="8" t="n">
        <v>35</v>
      </c>
      <c r="H16476" s="8" t="inlineStr">
        <is>
          <t>OPERATING</t>
        </is>
      </c>
    </row>
    <row r="16477">
      <c r="A16477" s="8" t="inlineStr">
        <is>
          <t>2026-08-03</t>
        </is>
      </c>
      <c r="B16477" s="8" t="n">
        <v>19</v>
      </c>
      <c r="C16477" s="8" t="n">
        <v>45</v>
      </c>
      <c r="D16477" s="8" t="inlineStr">
        <is>
          <t>Disney Adventure World</t>
        </is>
      </c>
      <c r="E16477" s="8" t="inlineStr">
        <is>
          <t>Spider-Man W.E.B. Adventure Single Rider</t>
        </is>
      </c>
      <c r="F16477" s="8" t="inlineStr">
        <is>
          <t>STANDBY</t>
        </is>
      </c>
      <c r="G16477" s="8" t="n">
        <v>5</v>
      </c>
      <c r="H16477" s="8" t="inlineStr">
        <is>
          <t>OPERATING</t>
        </is>
      </c>
    </row>
    <row r="16478">
      <c r="A16478" s="8" t="inlineStr">
        <is>
          <t>2026-08-03</t>
        </is>
      </c>
      <c r="B16478" s="8" t="n">
        <v>19</v>
      </c>
      <c r="C16478" s="8" t="n">
        <v>45</v>
      </c>
      <c r="D16478" s="8" t="inlineStr">
        <is>
          <t>Disney Adventure World</t>
        </is>
      </c>
      <c r="E16478" s="8" t="inlineStr">
        <is>
          <t>The Twilight Zone Tower of Terror</t>
        </is>
      </c>
      <c r="F16478" s="8" t="inlineStr">
        <is>
          <t>STANDBY</t>
        </is>
      </c>
      <c r="G16478" s="8" t="n">
        <v>15</v>
      </c>
      <c r="H16478" s="8" t="inlineStr">
        <is>
          <t>OPERATING</t>
        </is>
      </c>
    </row>
    <row r="16479">
      <c r="A16479" s="8" t="inlineStr">
        <is>
          <t>2026-08-03</t>
        </is>
      </c>
      <c r="B16479" s="8" t="n">
        <v>19</v>
      </c>
      <c r="C16479" s="8" t="n">
        <v>45</v>
      </c>
      <c r="D16479" s="8" t="inlineStr">
        <is>
          <t>Disney Adventure World</t>
        </is>
      </c>
      <c r="E16479" s="8" t="inlineStr">
        <is>
          <t>Cars Quatre Roues Rallye</t>
        </is>
      </c>
      <c r="F16479" s="8" t="inlineStr">
        <is>
          <t>STANDBY</t>
        </is>
      </c>
      <c r="G16479" s="8" t="n">
        <v>5</v>
      </c>
      <c r="H16479" s="8" t="inlineStr">
        <is>
          <t>OPERATING</t>
        </is>
      </c>
    </row>
    <row r="16480">
      <c r="A16480" s="8" t="inlineStr">
        <is>
          <t>2026-08-03</t>
        </is>
      </c>
      <c r="B16480" s="8" t="n">
        <v>19</v>
      </c>
      <c r="C16480" s="8" t="n">
        <v>45</v>
      </c>
      <c r="D16480" s="8" t="inlineStr">
        <is>
          <t>Disney Adventure World</t>
        </is>
      </c>
      <c r="E16480" s="8" t="inlineStr">
        <is>
          <t>Cars ROAD TRIP</t>
        </is>
      </c>
      <c r="F16480" s="8" t="inlineStr">
        <is>
          <t>STANDBY</t>
        </is>
      </c>
      <c r="G16480" s="8" t="n">
        <v>0</v>
      </c>
      <c r="H16480" s="8" t="inlineStr">
        <is>
          <t>CLOSED</t>
        </is>
      </c>
    </row>
    <row r="16481">
      <c r="A16481" s="8" t="inlineStr">
        <is>
          <t>2026-08-03</t>
        </is>
      </c>
      <c r="B16481" s="8" t="n">
        <v>19</v>
      </c>
      <c r="C16481" s="8" t="n">
        <v>45</v>
      </c>
      <c r="D16481" s="8" t="inlineStr">
        <is>
          <t>Disney Adventure World</t>
        </is>
      </c>
      <c r="E16481" s="8" t="inlineStr">
        <is>
          <t>Crush's Coaster</t>
        </is>
      </c>
      <c r="F16481" s="8" t="inlineStr">
        <is>
          <t>STANDBY</t>
        </is>
      </c>
      <c r="G16481" s="8" t="n">
        <v>65</v>
      </c>
      <c r="H16481" s="8" t="inlineStr">
        <is>
          <t>OPERATING</t>
        </is>
      </c>
    </row>
    <row r="16482">
      <c r="A16482" s="8" t="inlineStr">
        <is>
          <t>2026-08-03</t>
        </is>
      </c>
      <c r="B16482" s="8" t="n">
        <v>19</v>
      </c>
      <c r="C16482" s="8" t="n">
        <v>45</v>
      </c>
      <c r="D16482" s="8" t="inlineStr">
        <is>
          <t>Disney Adventure World</t>
        </is>
      </c>
      <c r="E16482" s="8" t="inlineStr">
        <is>
          <t>Crush's Coaster Single Rider</t>
        </is>
      </c>
      <c r="F16482" s="8" t="inlineStr">
        <is>
          <t>STANDBY</t>
        </is>
      </c>
      <c r="G16482" s="8" t="n">
        <v>35</v>
      </c>
      <c r="H16482" s="8" t="inlineStr">
        <is>
          <t>OPERATING</t>
        </is>
      </c>
    </row>
    <row r="16483">
      <c r="A16483" s="8" t="inlineStr">
        <is>
          <t>2026-08-03</t>
        </is>
      </c>
      <c r="B16483" s="8" t="n">
        <v>19</v>
      </c>
      <c r="C16483" s="8" t="n">
        <v>45</v>
      </c>
      <c r="D16483" s="8" t="inlineStr">
        <is>
          <t>Disney Adventure World</t>
        </is>
      </c>
      <c r="E16483" s="8" t="inlineStr">
        <is>
          <t>Les Tapis Volants - Flying Carpets Over Agrabah®</t>
        </is>
      </c>
      <c r="F16483" s="8" t="inlineStr">
        <is>
          <t>STANDBY</t>
        </is>
      </c>
      <c r="G16483" s="8" t="n">
        <v>5</v>
      </c>
      <c r="H16483" s="8" t="inlineStr">
        <is>
          <t>OPERATING</t>
        </is>
      </c>
    </row>
    <row r="16484">
      <c r="A16484" s="8" t="inlineStr">
        <is>
          <t>2026-08-03</t>
        </is>
      </c>
      <c r="B16484" s="8" t="n">
        <v>19</v>
      </c>
      <c r="C16484" s="8" t="n">
        <v>45</v>
      </c>
      <c r="D16484" s="8" t="inlineStr">
        <is>
          <t>Disney Adventure World</t>
        </is>
      </c>
      <c r="E16484" s="8" t="inlineStr">
        <is>
          <t>Ratatouille : L’Aventure Totalement Toquée de Rémy​</t>
        </is>
      </c>
      <c r="F16484" s="8" t="inlineStr">
        <is>
          <t>STANDBY</t>
        </is>
      </c>
      <c r="G16484" s="8" t="n">
        <v>0</v>
      </c>
      <c r="H16484" s="8" t="inlineStr">
        <is>
          <t>CLOSED</t>
        </is>
      </c>
    </row>
    <row r="16485">
      <c r="A16485" s="8" t="inlineStr">
        <is>
          <t>2026-08-03</t>
        </is>
      </c>
      <c r="B16485" s="8" t="n">
        <v>19</v>
      </c>
      <c r="C16485" s="8" t="n">
        <v>45</v>
      </c>
      <c r="D16485" s="8" t="inlineStr">
        <is>
          <t>Disney Adventure World</t>
        </is>
      </c>
      <c r="E16485" s="8" t="inlineStr">
        <is>
          <t>Ratatouille: The Adventure Single Rider</t>
        </is>
      </c>
      <c r="F16485" s="8" t="inlineStr">
        <is>
          <t>STANDBY</t>
        </is>
      </c>
      <c r="G16485" s="8" t="n">
        <v>0</v>
      </c>
      <c r="H16485" s="8" t="inlineStr">
        <is>
          <t>CLOSED</t>
        </is>
      </c>
    </row>
    <row r="16486">
      <c r="A16486" s="8" t="inlineStr">
        <is>
          <t>2026-08-03</t>
        </is>
      </c>
      <c r="B16486" s="8" t="n">
        <v>19</v>
      </c>
      <c r="C16486" s="8" t="n">
        <v>45</v>
      </c>
      <c r="D16486" s="8" t="inlineStr">
        <is>
          <t>Disney Adventure World</t>
        </is>
      </c>
      <c r="E16486" s="8" t="inlineStr">
        <is>
          <t>RC Racer</t>
        </is>
      </c>
      <c r="F16486" s="8" t="inlineStr">
        <is>
          <t>STANDBY</t>
        </is>
      </c>
      <c r="G16486" s="8" t="n">
        <v>35</v>
      </c>
      <c r="H16486" s="8" t="inlineStr">
        <is>
          <t>OPERATING</t>
        </is>
      </c>
    </row>
    <row r="16487">
      <c r="A16487" s="8" t="inlineStr">
        <is>
          <t>2026-08-03</t>
        </is>
      </c>
      <c r="B16487" s="8" t="n">
        <v>19</v>
      </c>
      <c r="C16487" s="8" t="n">
        <v>45</v>
      </c>
      <c r="D16487" s="8" t="inlineStr">
        <is>
          <t>Disney Adventure World</t>
        </is>
      </c>
      <c r="E16487" s="8" t="inlineStr">
        <is>
          <t>RC Racer Single Rider</t>
        </is>
      </c>
      <c r="F16487" s="8" t="inlineStr">
        <is>
          <t>STANDBY</t>
        </is>
      </c>
      <c r="G16487" s="8" t="n">
        <v>30</v>
      </c>
      <c r="H16487" s="8" t="inlineStr">
        <is>
          <t>OPERATING</t>
        </is>
      </c>
    </row>
    <row r="16488">
      <c r="A16488" s="8" t="inlineStr">
        <is>
          <t>2026-08-03</t>
        </is>
      </c>
      <c r="B16488" s="8" t="n">
        <v>19</v>
      </c>
      <c r="C16488" s="8" t="n">
        <v>45</v>
      </c>
      <c r="D16488" s="8" t="inlineStr">
        <is>
          <t>Disney Adventure World</t>
        </is>
      </c>
      <c r="E16488" s="8" t="inlineStr">
        <is>
          <t>Slinky® Dog Zigzag Spin</t>
        </is>
      </c>
      <c r="F16488" s="8" t="inlineStr">
        <is>
          <t>STANDBY</t>
        </is>
      </c>
      <c r="G16488" s="8" t="n">
        <v>15</v>
      </c>
      <c r="H16488" s="8" t="inlineStr">
        <is>
          <t>OPERATING</t>
        </is>
      </c>
    </row>
    <row r="16489">
      <c r="A16489" s="8" t="inlineStr">
        <is>
          <t>2026-08-03</t>
        </is>
      </c>
      <c r="B16489" s="8" t="n">
        <v>19</v>
      </c>
      <c r="C16489" s="8" t="n">
        <v>45</v>
      </c>
      <c r="D16489" s="8" t="inlineStr">
        <is>
          <t>Disney Adventure World</t>
        </is>
      </c>
      <c r="E16489" s="8" t="inlineStr">
        <is>
          <t>Toy Soldiers Parachute Drop</t>
        </is>
      </c>
      <c r="F16489" s="8" t="inlineStr">
        <is>
          <t>STANDBY</t>
        </is>
      </c>
      <c r="G16489" s="8" t="n">
        <v>0</v>
      </c>
      <c r="H16489" s="8" t="inlineStr">
        <is>
          <t>CLOSED</t>
        </is>
      </c>
    </row>
    <row r="16490">
      <c r="A16490" s="8" t="inlineStr">
        <is>
          <t>2026-08-03</t>
        </is>
      </c>
      <c r="B16490" s="8" t="n">
        <v>19</v>
      </c>
      <c r="C16490" s="8" t="n">
        <v>45</v>
      </c>
      <c r="D16490" s="8" t="inlineStr">
        <is>
          <t>Disney Adventure World</t>
        </is>
      </c>
      <c r="E16490" s="8" t="inlineStr">
        <is>
          <t>Toy Soldiers Parachute Drop Single Rider</t>
        </is>
      </c>
      <c r="F16490" s="8" t="inlineStr">
        <is>
          <t>STANDBY</t>
        </is>
      </c>
      <c r="G16490" s="8" t="n">
        <v>0</v>
      </c>
      <c r="H16490" s="8" t="inlineStr">
        <is>
          <t>CLOSED</t>
        </is>
      </c>
    </row>
    <row r="16491">
      <c r="A16491" s="8" t="inlineStr">
        <is>
          <t>2026-08-03</t>
        </is>
      </c>
      <c r="B16491" s="8" t="n">
        <v>19</v>
      </c>
      <c r="C16491" s="8" t="n">
        <v>45</v>
      </c>
      <c r="D16491" s="8" t="inlineStr">
        <is>
          <t>Disney Adventure World</t>
        </is>
      </c>
      <c r="E16491" s="8" t="inlineStr">
        <is>
          <t>Entry to World of Frozen</t>
        </is>
      </c>
      <c r="F16491" s="8" t="inlineStr">
        <is>
          <t>STANDBY</t>
        </is>
      </c>
      <c r="G16491" s="8" t="n">
        <v>0</v>
      </c>
      <c r="H16491" s="8" t="inlineStr">
        <is>
          <t>OPERATING</t>
        </is>
      </c>
    </row>
    <row r="16492">
      <c r="A16492" s="8" t="inlineStr">
        <is>
          <t>2026-08-03</t>
        </is>
      </c>
      <c r="B16492" s="8" t="n">
        <v>19</v>
      </c>
      <c r="C16492" s="8" t="n">
        <v>45</v>
      </c>
      <c r="D16492" s="8" t="inlineStr">
        <is>
          <t>Disney Adventure World</t>
        </is>
      </c>
      <c r="E16492" s="8" t="inlineStr">
        <is>
          <t>Frozen Ever After</t>
        </is>
      </c>
      <c r="F16492" s="8" t="inlineStr">
        <is>
          <t>STANDBY</t>
        </is>
      </c>
      <c r="G16492" s="8" t="n">
        <v>60</v>
      </c>
      <c r="H16492" s="8" t="inlineStr">
        <is>
          <t>OPERATING</t>
        </is>
      </c>
    </row>
    <row r="16493">
      <c r="A16493" s="8" t="inlineStr">
        <is>
          <t>2026-08-03</t>
        </is>
      </c>
      <c r="B16493" s="8" t="n">
        <v>19</v>
      </c>
      <c r="C16493" s="8" t="n">
        <v>45</v>
      </c>
      <c r="D16493" s="8" t="inlineStr">
        <is>
          <t>Disney Adventure World</t>
        </is>
      </c>
      <c r="E16493" s="8" t="inlineStr">
        <is>
          <t>Raiponce Tangled Spin</t>
        </is>
      </c>
      <c r="F16493" s="8" t="inlineStr">
        <is>
          <t>STANDBY</t>
        </is>
      </c>
      <c r="G16493" s="8" t="n">
        <v>5</v>
      </c>
      <c r="H16493" s="8" t="inlineStr">
        <is>
          <t>OPERATING</t>
        </is>
      </c>
    </row>
    <row r="16494">
      <c r="A16494" s="8" t="inlineStr">
        <is>
          <t>2026-08-03</t>
        </is>
      </c>
      <c r="B16494" s="8" t="n">
        <v>20</v>
      </c>
      <c r="C16494" s="8" t="n">
        <v>0</v>
      </c>
      <c r="D16494" s="8" t="inlineStr">
        <is>
          <t>Disneyland Park</t>
        </is>
      </c>
      <c r="E16494" s="8" t="inlineStr">
        <is>
          <t>Adventure Isle</t>
        </is>
      </c>
      <c r="F16494" s="8" t="inlineStr">
        <is>
          <t>STANDBY</t>
        </is>
      </c>
      <c r="G16494" s="8" t="n">
        <v>0</v>
      </c>
      <c r="H16494" s="8" t="inlineStr">
        <is>
          <t>OPERATING</t>
        </is>
      </c>
    </row>
    <row r="16495">
      <c r="A16495" s="8" t="inlineStr">
        <is>
          <t>2026-08-03</t>
        </is>
      </c>
      <c r="B16495" s="8" t="n">
        <v>20</v>
      </c>
      <c r="C16495" s="8" t="n">
        <v>0</v>
      </c>
      <c r="D16495" s="8" t="inlineStr">
        <is>
          <t>Disneyland Park</t>
        </is>
      </c>
      <c r="E16495" s="8" t="inlineStr">
        <is>
          <t>Indiana Jones and the Temple of Peril Single Rider</t>
        </is>
      </c>
      <c r="F16495" s="8" t="inlineStr">
        <is>
          <t>STANDBY</t>
        </is>
      </c>
      <c r="G16495" s="8" t="n">
        <v>5</v>
      </c>
      <c r="H16495" s="8" t="inlineStr">
        <is>
          <t>OPERATING</t>
        </is>
      </c>
    </row>
    <row r="16496">
      <c r="A16496" s="8" t="inlineStr">
        <is>
          <t>2026-08-03</t>
        </is>
      </c>
      <c r="B16496" s="8" t="n">
        <v>20</v>
      </c>
      <c r="C16496" s="8" t="n">
        <v>0</v>
      </c>
      <c r="D16496" s="8" t="inlineStr">
        <is>
          <t>Disneyland Park</t>
        </is>
      </c>
      <c r="E16496" s="8" t="inlineStr">
        <is>
          <t>Indiana Jones™ and the Temple of Peril</t>
        </is>
      </c>
      <c r="F16496" s="8" t="inlineStr">
        <is>
          <t>STANDBY</t>
        </is>
      </c>
      <c r="G16496" s="8" t="n">
        <v>20</v>
      </c>
      <c r="H16496" s="8" t="inlineStr">
        <is>
          <t>OPERATING</t>
        </is>
      </c>
    </row>
    <row r="16497">
      <c r="A16497" s="8" t="inlineStr">
        <is>
          <t>2026-08-03</t>
        </is>
      </c>
      <c r="B16497" s="8" t="n">
        <v>20</v>
      </c>
      <c r="C16497" s="8" t="n">
        <v>0</v>
      </c>
      <c r="D16497" s="8" t="inlineStr">
        <is>
          <t>Disneyland Park</t>
        </is>
      </c>
      <c r="E16497" s="8" t="inlineStr">
        <is>
          <t>La Cabane des Robinson</t>
        </is>
      </c>
      <c r="F16497" s="8" t="inlineStr">
        <is>
          <t>STANDBY</t>
        </is>
      </c>
      <c r="G16497" s="8" t="n">
        <v>5</v>
      </c>
      <c r="H16497" s="8" t="inlineStr">
        <is>
          <t>OPERATING</t>
        </is>
      </c>
    </row>
    <row r="16498">
      <c r="A16498" s="8" t="inlineStr">
        <is>
          <t>2026-08-03</t>
        </is>
      </c>
      <c r="B16498" s="8" t="n">
        <v>20</v>
      </c>
      <c r="C16498" s="8" t="n">
        <v>0</v>
      </c>
      <c r="D16498" s="8" t="inlineStr">
        <is>
          <t>Disneyland Park</t>
        </is>
      </c>
      <c r="E16498" s="8" t="inlineStr">
        <is>
          <t>Le Passage Enchanté d'Aladdin</t>
        </is>
      </c>
      <c r="F16498" s="8" t="inlineStr">
        <is>
          <t>STANDBY</t>
        </is>
      </c>
      <c r="G16498" s="8" t="n">
        <v>0</v>
      </c>
      <c r="H16498" s="8" t="inlineStr">
        <is>
          <t>OPERATING</t>
        </is>
      </c>
    </row>
    <row r="16499">
      <c r="A16499" s="8" t="inlineStr">
        <is>
          <t>2026-08-03</t>
        </is>
      </c>
      <c r="B16499" s="8" t="n">
        <v>20</v>
      </c>
      <c r="C16499" s="8" t="n">
        <v>0</v>
      </c>
      <c r="D16499" s="8" t="inlineStr">
        <is>
          <t>Disneyland Park</t>
        </is>
      </c>
      <c r="E16499" s="8" t="inlineStr">
        <is>
          <t>Pirate Galleon</t>
        </is>
      </c>
      <c r="F16499" s="8" t="inlineStr">
        <is>
          <t>STANDBY</t>
        </is>
      </c>
      <c r="G16499" s="8" t="n">
        <v>0</v>
      </c>
      <c r="H16499" s="8" t="inlineStr">
        <is>
          <t>CLOSED</t>
        </is>
      </c>
    </row>
    <row r="16500">
      <c r="A16500" s="8" t="inlineStr">
        <is>
          <t>2026-08-03</t>
        </is>
      </c>
      <c r="B16500" s="8" t="n">
        <v>20</v>
      </c>
      <c r="C16500" s="8" t="n">
        <v>0</v>
      </c>
      <c r="D16500" s="8" t="inlineStr">
        <is>
          <t>Disneyland Park</t>
        </is>
      </c>
      <c r="E16500" s="8" t="inlineStr">
        <is>
          <t>Pirates of the Caribbean</t>
        </is>
      </c>
      <c r="F16500" s="8" t="inlineStr">
        <is>
          <t>STANDBY</t>
        </is>
      </c>
      <c r="G16500" s="8" t="n">
        <v>5</v>
      </c>
      <c r="H16500" s="8" t="inlineStr">
        <is>
          <t>OPERATING</t>
        </is>
      </c>
    </row>
    <row r="16501">
      <c r="A16501" s="8" t="inlineStr">
        <is>
          <t>2026-08-03</t>
        </is>
      </c>
      <c r="B16501" s="8" t="n">
        <v>20</v>
      </c>
      <c r="C16501" s="8" t="n">
        <v>0</v>
      </c>
      <c r="D16501" s="8" t="inlineStr">
        <is>
          <t>Disneyland Park</t>
        </is>
      </c>
      <c r="E16501" s="8" t="inlineStr">
        <is>
          <t>Pirates' Beach</t>
        </is>
      </c>
      <c r="F16501" s="8" t="inlineStr">
        <is>
          <t>STANDBY</t>
        </is>
      </c>
      <c r="G16501" s="8" t="n">
        <v>0</v>
      </c>
      <c r="H16501" s="8" t="inlineStr">
        <is>
          <t>OPERATING</t>
        </is>
      </c>
    </row>
    <row r="16502">
      <c r="A16502" s="8" t="inlineStr">
        <is>
          <t>2026-08-03</t>
        </is>
      </c>
      <c r="B16502" s="8" t="n">
        <v>20</v>
      </c>
      <c r="C16502" s="8" t="n">
        <v>0</v>
      </c>
      <c r="D16502" s="8" t="inlineStr">
        <is>
          <t>Disneyland Park</t>
        </is>
      </c>
      <c r="E16502" s="8" t="inlineStr">
        <is>
          <t>Autopia, presented by Avis</t>
        </is>
      </c>
      <c r="F16502" s="8" t="inlineStr">
        <is>
          <t>STANDBY</t>
        </is>
      </c>
      <c r="G16502" s="8" t="n">
        <v>90</v>
      </c>
      <c r="H16502" s="8" t="inlineStr">
        <is>
          <t>OPERATING</t>
        </is>
      </c>
    </row>
    <row r="16503">
      <c r="A16503" s="8" t="inlineStr">
        <is>
          <t>2026-08-03</t>
        </is>
      </c>
      <c r="B16503" s="8" t="n">
        <v>20</v>
      </c>
      <c r="C16503" s="8" t="n">
        <v>0</v>
      </c>
      <c r="D16503" s="8" t="inlineStr">
        <is>
          <t>Disneyland Park</t>
        </is>
      </c>
      <c r="E16503" s="8" t="inlineStr">
        <is>
          <t>Buzz Lightyear Laser Blast</t>
        </is>
      </c>
      <c r="F16503" s="8" t="inlineStr">
        <is>
          <t>STANDBY</t>
        </is>
      </c>
      <c r="G16503" s="8" t="n">
        <v>35</v>
      </c>
      <c r="H16503" s="8" t="inlineStr">
        <is>
          <t>OPERATING</t>
        </is>
      </c>
    </row>
    <row r="16504">
      <c r="A16504" s="8" t="inlineStr">
        <is>
          <t>2026-08-03</t>
        </is>
      </c>
      <c r="B16504" s="8" t="n">
        <v>20</v>
      </c>
      <c r="C16504" s="8" t="n">
        <v>0</v>
      </c>
      <c r="D16504" s="8" t="inlineStr">
        <is>
          <t>Disneyland Park</t>
        </is>
      </c>
      <c r="E16504" s="8" t="inlineStr">
        <is>
          <t>Disneyland Railroad Discoveryland Station</t>
        </is>
      </c>
      <c r="F16504" s="8" t="inlineStr">
        <is>
          <t>STANDBY</t>
        </is>
      </c>
      <c r="G16504" s="8" t="n">
        <v>0</v>
      </c>
      <c r="H16504" s="8" t="inlineStr">
        <is>
          <t>CLOSED</t>
        </is>
      </c>
    </row>
    <row r="16505">
      <c r="A16505" s="8" t="inlineStr">
        <is>
          <t>2026-08-03</t>
        </is>
      </c>
      <c r="B16505" s="8" t="n">
        <v>20</v>
      </c>
      <c r="C16505" s="8" t="n">
        <v>0</v>
      </c>
      <c r="D16505" s="8" t="inlineStr">
        <is>
          <t>Disneyland Park</t>
        </is>
      </c>
      <c r="E16505" s="8" t="inlineStr">
        <is>
          <t>Les Mystères du Nautilus</t>
        </is>
      </c>
      <c r="F16505" s="8" t="inlineStr">
        <is>
          <t>STANDBY</t>
        </is>
      </c>
      <c r="G16505" s="8" t="n">
        <v>5</v>
      </c>
      <c r="H16505" s="8" t="inlineStr">
        <is>
          <t>OPERATING</t>
        </is>
      </c>
    </row>
    <row r="16506">
      <c r="A16506" s="8" t="inlineStr">
        <is>
          <t>2026-08-03</t>
        </is>
      </c>
      <c r="B16506" s="8" t="n">
        <v>20</v>
      </c>
      <c r="C16506" s="8" t="n">
        <v>0</v>
      </c>
      <c r="D16506" s="8" t="inlineStr">
        <is>
          <t>Disneyland Park</t>
        </is>
      </c>
      <c r="E16506" s="8" t="inlineStr">
        <is>
          <t>Mickey’s PhilharMagic</t>
        </is>
      </c>
      <c r="F16506" s="8" t="inlineStr">
        <is>
          <t>STANDBY</t>
        </is>
      </c>
      <c r="G16506" s="8" t="n">
        <v>0</v>
      </c>
      <c r="H16506" s="8" t="inlineStr">
        <is>
          <t>CLOSED</t>
        </is>
      </c>
    </row>
    <row r="16507">
      <c r="A16507" s="8" t="inlineStr">
        <is>
          <t>2026-08-03</t>
        </is>
      </c>
      <c r="B16507" s="8" t="n">
        <v>20</v>
      </c>
      <c r="C16507" s="8" t="n">
        <v>0</v>
      </c>
      <c r="D16507" s="8" t="inlineStr">
        <is>
          <t>Disneyland Park</t>
        </is>
      </c>
      <c r="E16507" s="8" t="inlineStr">
        <is>
          <t>Orbitron®</t>
        </is>
      </c>
      <c r="F16507" s="8" t="inlineStr">
        <is>
          <t>STANDBY</t>
        </is>
      </c>
      <c r="G16507" s="8" t="n">
        <v>60</v>
      </c>
      <c r="H16507" s="8" t="inlineStr">
        <is>
          <t>OPERATING</t>
        </is>
      </c>
    </row>
    <row r="16508">
      <c r="A16508" s="8" t="inlineStr">
        <is>
          <t>2026-08-03</t>
        </is>
      </c>
      <c r="B16508" s="8" t="n">
        <v>20</v>
      </c>
      <c r="C16508" s="8" t="n">
        <v>0</v>
      </c>
      <c r="D16508" s="8" t="inlineStr">
        <is>
          <t>Disneyland Park</t>
        </is>
      </c>
      <c r="E16508" s="8" t="inlineStr">
        <is>
          <t>Star Tours: The Adventures Continue*</t>
        </is>
      </c>
      <c r="F16508" s="8" t="inlineStr">
        <is>
          <t>STANDBY</t>
        </is>
      </c>
      <c r="G16508" s="8" t="n">
        <v>15</v>
      </c>
      <c r="H16508" s="8" t="inlineStr">
        <is>
          <t>OPERATING</t>
        </is>
      </c>
    </row>
    <row r="16509">
      <c r="A16509" s="8" t="inlineStr">
        <is>
          <t>2026-08-03</t>
        </is>
      </c>
      <c r="B16509" s="8" t="n">
        <v>20</v>
      </c>
      <c r="C16509" s="8" t="n">
        <v>0</v>
      </c>
      <c r="D16509" s="8" t="inlineStr">
        <is>
          <t>Disneyland Park</t>
        </is>
      </c>
      <c r="E16509" s="8" t="inlineStr">
        <is>
          <t>Star Wars Hyperspace Mountain</t>
        </is>
      </c>
      <c r="F16509" s="8" t="inlineStr">
        <is>
          <t>STANDBY</t>
        </is>
      </c>
      <c r="G16509" s="8" t="n">
        <v>20</v>
      </c>
      <c r="H16509" s="8" t="inlineStr">
        <is>
          <t>OPERATING</t>
        </is>
      </c>
    </row>
    <row r="16510">
      <c r="A16510" s="8" t="inlineStr">
        <is>
          <t>2026-08-03</t>
        </is>
      </c>
      <c r="B16510" s="8" t="n">
        <v>20</v>
      </c>
      <c r="C16510" s="8" t="n">
        <v>0</v>
      </c>
      <c r="D16510" s="8" t="inlineStr">
        <is>
          <t>Disneyland Park</t>
        </is>
      </c>
      <c r="E16510" s="8" t="inlineStr">
        <is>
          <t>Star Wars Hyperspace Mountain Single Rider</t>
        </is>
      </c>
      <c r="F16510" s="8" t="inlineStr">
        <is>
          <t>STANDBY</t>
        </is>
      </c>
      <c r="G16510" s="8" t="n">
        <v>15</v>
      </c>
      <c r="H16510" s="8" t="inlineStr">
        <is>
          <t>OPERATING</t>
        </is>
      </c>
    </row>
    <row r="16511">
      <c r="A16511" s="8" t="inlineStr">
        <is>
          <t>2026-08-03</t>
        </is>
      </c>
      <c r="B16511" s="8" t="n">
        <v>20</v>
      </c>
      <c r="C16511" s="8" t="n">
        <v>0</v>
      </c>
      <c r="D16511" s="8" t="inlineStr">
        <is>
          <t>Disneyland Park</t>
        </is>
      </c>
      <c r="E16511" s="8" t="inlineStr">
        <is>
          <t>Welcome to Starport: A Star Wars Encounter</t>
        </is>
      </c>
      <c r="F16511" s="8" t="inlineStr">
        <is>
          <t>STANDBY</t>
        </is>
      </c>
      <c r="G16511" s="8" t="n">
        <v>0</v>
      </c>
      <c r="H16511" s="8" t="inlineStr">
        <is>
          <t>CLOSED</t>
        </is>
      </c>
    </row>
    <row r="16512">
      <c r="A16512" s="8" t="inlineStr">
        <is>
          <t>2026-08-03</t>
        </is>
      </c>
      <c r="B16512" s="8" t="n">
        <v>20</v>
      </c>
      <c r="C16512" s="8" t="n">
        <v>0</v>
      </c>
      <c r="D16512" s="8" t="inlineStr">
        <is>
          <t>Disneyland Park</t>
        </is>
      </c>
      <c r="E16512" s="8" t="inlineStr">
        <is>
          <t>"it's a small world"</t>
        </is>
      </c>
      <c r="F16512" s="8" t="inlineStr">
        <is>
          <t>STANDBY</t>
        </is>
      </c>
      <c r="G16512" s="8" t="n">
        <v>5</v>
      </c>
      <c r="H16512" s="8" t="inlineStr">
        <is>
          <t>OPERATING</t>
        </is>
      </c>
    </row>
    <row r="16513">
      <c r="A16513" s="8" t="inlineStr">
        <is>
          <t>2026-08-03</t>
        </is>
      </c>
      <c r="B16513" s="8" t="n">
        <v>20</v>
      </c>
      <c r="C16513" s="8" t="n">
        <v>0</v>
      </c>
      <c r="D16513" s="8" t="inlineStr">
        <is>
          <t>Disneyland Park</t>
        </is>
      </c>
      <c r="E16513" s="8" t="inlineStr">
        <is>
          <t>Alice's Curious Labyrinth</t>
        </is>
      </c>
      <c r="F16513" s="8" t="inlineStr">
        <is>
          <t>STANDBY</t>
        </is>
      </c>
      <c r="G16513" s="8" t="n">
        <v>5</v>
      </c>
      <c r="H16513" s="8" t="inlineStr">
        <is>
          <t>OPERATING</t>
        </is>
      </c>
    </row>
    <row r="16514">
      <c r="A16514" s="8" t="inlineStr">
        <is>
          <t>2026-08-03</t>
        </is>
      </c>
      <c r="B16514" s="8" t="n">
        <v>20</v>
      </c>
      <c r="C16514" s="8" t="n">
        <v>0</v>
      </c>
      <c r="D16514" s="8" t="inlineStr">
        <is>
          <t>Disneyland Park</t>
        </is>
      </c>
      <c r="E16514" s="8" t="inlineStr">
        <is>
          <t>Blanche-Neige et les Sept Nains®</t>
        </is>
      </c>
      <c r="F16514" s="8" t="inlineStr">
        <is>
          <t>STANDBY</t>
        </is>
      </c>
      <c r="G16514" s="8" t="n">
        <v>20</v>
      </c>
      <c r="H16514" s="8" t="inlineStr">
        <is>
          <t>OPERATING</t>
        </is>
      </c>
    </row>
    <row r="16515">
      <c r="A16515" s="8" t="inlineStr">
        <is>
          <t>2026-08-03</t>
        </is>
      </c>
      <c r="B16515" s="8" t="n">
        <v>20</v>
      </c>
      <c r="C16515" s="8" t="n">
        <v>0</v>
      </c>
      <c r="D16515" s="8" t="inlineStr">
        <is>
          <t>Disneyland Park</t>
        </is>
      </c>
      <c r="E16515" s="8" t="inlineStr">
        <is>
          <t>Casey Jr. – le Petit Train du Cirque</t>
        </is>
      </c>
      <c r="F16515" s="8" t="inlineStr">
        <is>
          <t>STANDBY</t>
        </is>
      </c>
      <c r="G16515" s="8" t="n">
        <v>5</v>
      </c>
      <c r="H16515" s="8" t="inlineStr">
        <is>
          <t>OPERATING</t>
        </is>
      </c>
    </row>
    <row r="16516">
      <c r="A16516" s="8" t="inlineStr">
        <is>
          <t>2026-08-03</t>
        </is>
      </c>
      <c r="B16516" s="8" t="n">
        <v>20</v>
      </c>
      <c r="C16516" s="8" t="n">
        <v>0</v>
      </c>
      <c r="D16516" s="8" t="inlineStr">
        <is>
          <t>Disneyland Park</t>
        </is>
      </c>
      <c r="E16516" s="8" t="inlineStr">
        <is>
          <t>Disneyland Railroad Fantasyland Station</t>
        </is>
      </c>
      <c r="F16516" s="8" t="inlineStr">
        <is>
          <t>STANDBY</t>
        </is>
      </c>
      <c r="G16516" s="8" t="n">
        <v>0</v>
      </c>
      <c r="H16516" s="8" t="inlineStr">
        <is>
          <t>CLOSED</t>
        </is>
      </c>
    </row>
    <row r="16517">
      <c r="A16517" s="8" t="inlineStr">
        <is>
          <t>2026-08-03</t>
        </is>
      </c>
      <c r="B16517" s="8" t="n">
        <v>20</v>
      </c>
      <c r="C16517" s="8" t="n">
        <v>0</v>
      </c>
      <c r="D16517" s="8" t="inlineStr">
        <is>
          <t>Disneyland Park</t>
        </is>
      </c>
      <c r="E16517" s="8" t="inlineStr">
        <is>
          <t>Disneyland Railroad Main Street Station</t>
        </is>
      </c>
      <c r="F16517" s="8" t="inlineStr">
        <is>
          <t>STANDBY</t>
        </is>
      </c>
      <c r="G16517" s="8" t="n">
        <v>0</v>
      </c>
      <c r="H16517" s="8" t="inlineStr">
        <is>
          <t>CLOSED</t>
        </is>
      </c>
    </row>
    <row r="16518">
      <c r="A16518" s="8" t="inlineStr">
        <is>
          <t>2026-08-03</t>
        </is>
      </c>
      <c r="B16518" s="8" t="n">
        <v>20</v>
      </c>
      <c r="C16518" s="8" t="n">
        <v>0</v>
      </c>
      <c r="D16518" s="8" t="inlineStr">
        <is>
          <t>Disneyland Park</t>
        </is>
      </c>
      <c r="E16518" s="8" t="inlineStr">
        <is>
          <t>Dumbo the Flying Elephant</t>
        </is>
      </c>
      <c r="F16518" s="8" t="inlineStr">
        <is>
          <t>STANDBY</t>
        </is>
      </c>
      <c r="G16518" s="8" t="n">
        <v>40</v>
      </c>
      <c r="H16518" s="8" t="inlineStr">
        <is>
          <t>OPERATING</t>
        </is>
      </c>
    </row>
    <row r="16519">
      <c r="A16519" s="8" t="inlineStr">
        <is>
          <t>2026-08-03</t>
        </is>
      </c>
      <c r="B16519" s="8" t="n">
        <v>20</v>
      </c>
      <c r="C16519" s="8" t="n">
        <v>0</v>
      </c>
      <c r="D16519" s="8" t="inlineStr">
        <is>
          <t>Disneyland Park</t>
        </is>
      </c>
      <c r="E16519" s="8" t="inlineStr">
        <is>
          <t>La Tanière du Dragon</t>
        </is>
      </c>
      <c r="F16519" s="8" t="inlineStr">
        <is>
          <t>STANDBY</t>
        </is>
      </c>
      <c r="G16519" s="8" t="n">
        <v>0</v>
      </c>
      <c r="H16519" s="8" t="inlineStr">
        <is>
          <t>OPERATING</t>
        </is>
      </c>
    </row>
    <row r="16520">
      <c r="A16520" s="8" t="inlineStr">
        <is>
          <t>2026-08-03</t>
        </is>
      </c>
      <c r="B16520" s="8" t="n">
        <v>20</v>
      </c>
      <c r="C16520" s="8" t="n">
        <v>0</v>
      </c>
      <c r="D16520" s="8" t="inlineStr">
        <is>
          <t>Disneyland Park</t>
        </is>
      </c>
      <c r="E16520" s="8" t="inlineStr">
        <is>
          <t>Le Carrousel de Lancelot</t>
        </is>
      </c>
      <c r="F16520" s="8" t="inlineStr">
        <is>
          <t>STANDBY</t>
        </is>
      </c>
      <c r="G16520" s="8" t="n">
        <v>10</v>
      </c>
      <c r="H16520" s="8" t="inlineStr">
        <is>
          <t>OPERATING</t>
        </is>
      </c>
    </row>
    <row r="16521">
      <c r="A16521" s="8" t="inlineStr">
        <is>
          <t>2026-08-03</t>
        </is>
      </c>
      <c r="B16521" s="8" t="n">
        <v>20</v>
      </c>
      <c r="C16521" s="8" t="n">
        <v>0</v>
      </c>
      <c r="D16521" s="8" t="inlineStr">
        <is>
          <t>Disneyland Park</t>
        </is>
      </c>
      <c r="E16521" s="8" t="inlineStr">
        <is>
          <t>Le Pays des Contes de Fées, presented by Vittel</t>
        </is>
      </c>
      <c r="F16521" s="8" t="inlineStr">
        <is>
          <t>STANDBY</t>
        </is>
      </c>
      <c r="G16521" s="8" t="n">
        <v>5</v>
      </c>
      <c r="H16521" s="8" t="inlineStr">
        <is>
          <t>OPERATING</t>
        </is>
      </c>
    </row>
    <row r="16522">
      <c r="A16522" s="8" t="inlineStr">
        <is>
          <t>2026-08-03</t>
        </is>
      </c>
      <c r="B16522" s="8" t="n">
        <v>20</v>
      </c>
      <c r="C16522" s="8" t="n">
        <v>0</v>
      </c>
      <c r="D16522" s="8" t="inlineStr">
        <is>
          <t>Disneyland Park</t>
        </is>
      </c>
      <c r="E16522" s="8" t="inlineStr">
        <is>
          <t>Les Voyages de Pinocchio</t>
        </is>
      </c>
      <c r="F16522" s="8" t="inlineStr">
        <is>
          <t>STANDBY</t>
        </is>
      </c>
      <c r="G16522" s="8" t="n">
        <v>20</v>
      </c>
      <c r="H16522" s="8" t="inlineStr">
        <is>
          <t>OPERATING</t>
        </is>
      </c>
    </row>
    <row r="16523">
      <c r="A16523" s="8" t="inlineStr">
        <is>
          <t>2026-08-03</t>
        </is>
      </c>
      <c r="B16523" s="8" t="n">
        <v>20</v>
      </c>
      <c r="C16523" s="8" t="n">
        <v>0</v>
      </c>
      <c r="D16523" s="8" t="inlineStr">
        <is>
          <t>Disneyland Park</t>
        </is>
      </c>
      <c r="E16523" s="8" t="inlineStr">
        <is>
          <t>Mad Hatter's Tea Cups</t>
        </is>
      </c>
      <c r="F16523" s="8" t="inlineStr">
        <is>
          <t>STANDBY</t>
        </is>
      </c>
      <c r="G16523" s="8" t="n">
        <v>5</v>
      </c>
      <c r="H16523" s="8" t="inlineStr">
        <is>
          <t>OPERATING</t>
        </is>
      </c>
    </row>
    <row r="16524">
      <c r="A16524" s="8" t="inlineStr">
        <is>
          <t>2026-08-03</t>
        </is>
      </c>
      <c r="B16524" s="8" t="n">
        <v>20</v>
      </c>
      <c r="C16524" s="8" t="n">
        <v>0</v>
      </c>
      <c r="D16524" s="8" t="inlineStr">
        <is>
          <t>Disneyland Park</t>
        </is>
      </c>
      <c r="E16524" s="8" t="inlineStr">
        <is>
          <t>Meet Mickey Mouse</t>
        </is>
      </c>
      <c r="F16524" s="8" t="inlineStr">
        <is>
          <t>STANDBY</t>
        </is>
      </c>
      <c r="G16524" s="8" t="n">
        <v>0</v>
      </c>
      <c r="H16524" s="8" t="inlineStr">
        <is>
          <t>CLOSED</t>
        </is>
      </c>
    </row>
    <row r="16525">
      <c r="A16525" s="8" t="inlineStr">
        <is>
          <t>2026-08-03</t>
        </is>
      </c>
      <c r="B16525" s="8" t="n">
        <v>20</v>
      </c>
      <c r="C16525" s="8" t="n">
        <v>0</v>
      </c>
      <c r="D16525" s="8" t="inlineStr">
        <is>
          <t>Disneyland Park</t>
        </is>
      </c>
      <c r="E16525" s="8" t="inlineStr">
        <is>
          <t>Peter Pan's Flight</t>
        </is>
      </c>
      <c r="F16525" s="8" t="inlineStr">
        <is>
          <t>STANDBY</t>
        </is>
      </c>
      <c r="G16525" s="8" t="n">
        <v>50</v>
      </c>
      <c r="H16525" s="8" t="inlineStr">
        <is>
          <t>OPERATING</t>
        </is>
      </c>
    </row>
    <row r="16526">
      <c r="A16526" s="8" t="inlineStr">
        <is>
          <t>2026-08-03</t>
        </is>
      </c>
      <c r="B16526" s="8" t="n">
        <v>20</v>
      </c>
      <c r="C16526" s="8" t="n">
        <v>0</v>
      </c>
      <c r="D16526" s="8" t="inlineStr">
        <is>
          <t>Disneyland Park</t>
        </is>
      </c>
      <c r="E16526" s="8" t="inlineStr">
        <is>
          <t>Princess Pavilion</t>
        </is>
      </c>
      <c r="F16526" s="8" t="inlineStr">
        <is>
          <t>STANDBY</t>
        </is>
      </c>
      <c r="G16526" s="8" t="n">
        <v>0</v>
      </c>
      <c r="H16526" s="8" t="inlineStr">
        <is>
          <t>CLOSED</t>
        </is>
      </c>
    </row>
    <row r="16527">
      <c r="A16527" s="8" t="inlineStr">
        <is>
          <t>2026-08-03</t>
        </is>
      </c>
      <c r="B16527" s="8" t="n">
        <v>20</v>
      </c>
      <c r="C16527" s="8" t="n">
        <v>0</v>
      </c>
      <c r="D16527" s="8" t="inlineStr">
        <is>
          <t>Disneyland Park</t>
        </is>
      </c>
      <c r="E16527" s="8" t="inlineStr">
        <is>
          <t>Big Thunder Mountain</t>
        </is>
      </c>
      <c r="F16527" s="8" t="inlineStr">
        <is>
          <t>STANDBY</t>
        </is>
      </c>
      <c r="G16527" s="8" t="n">
        <v>55</v>
      </c>
      <c r="H16527" s="8" t="inlineStr">
        <is>
          <t>OPERATING</t>
        </is>
      </c>
    </row>
    <row r="16528">
      <c r="A16528" s="8" t="inlineStr">
        <is>
          <t>2026-08-03</t>
        </is>
      </c>
      <c r="B16528" s="8" t="n">
        <v>20</v>
      </c>
      <c r="C16528" s="8" t="n">
        <v>0</v>
      </c>
      <c r="D16528" s="8" t="inlineStr">
        <is>
          <t>Disneyland Park</t>
        </is>
      </c>
      <c r="E16528" s="8" t="inlineStr">
        <is>
          <t>Disneyland Railroad Frontierland Depot</t>
        </is>
      </c>
      <c r="F16528" s="8" t="inlineStr">
        <is>
          <t>STANDBY</t>
        </is>
      </c>
      <c r="G16528" s="8" t="n">
        <v>0</v>
      </c>
      <c r="H16528" s="8" t="inlineStr">
        <is>
          <t>CLOSED</t>
        </is>
      </c>
    </row>
    <row r="16529">
      <c r="A16529" s="8" t="inlineStr">
        <is>
          <t>2026-08-03</t>
        </is>
      </c>
      <c r="B16529" s="8" t="n">
        <v>20</v>
      </c>
      <c r="C16529" s="8" t="n">
        <v>0</v>
      </c>
      <c r="D16529" s="8" t="inlineStr">
        <is>
          <t>Disneyland Park</t>
        </is>
      </c>
      <c r="E16529" s="8" t="inlineStr">
        <is>
          <t>Frontierland Playground</t>
        </is>
      </c>
      <c r="F16529" s="8" t="inlineStr">
        <is>
          <t>STANDBY</t>
        </is>
      </c>
      <c r="G16529" s="8" t="n">
        <v>0</v>
      </c>
      <c r="H16529" s="8" t="inlineStr">
        <is>
          <t>CLOSED</t>
        </is>
      </c>
    </row>
    <row r="16530">
      <c r="A16530" s="8" t="inlineStr">
        <is>
          <t>2026-08-03</t>
        </is>
      </c>
      <c r="B16530" s="8" t="n">
        <v>20</v>
      </c>
      <c r="C16530" s="8" t="n">
        <v>0</v>
      </c>
      <c r="D16530" s="8" t="inlineStr">
        <is>
          <t>Disneyland Park</t>
        </is>
      </c>
      <c r="E16530" s="8" t="inlineStr">
        <is>
          <t>Phantom Manor</t>
        </is>
      </c>
      <c r="F16530" s="8" t="inlineStr">
        <is>
          <t>STANDBY</t>
        </is>
      </c>
      <c r="G16530" s="8" t="n">
        <v>5</v>
      </c>
      <c r="H16530" s="8" t="inlineStr">
        <is>
          <t>OPERATING</t>
        </is>
      </c>
    </row>
    <row r="16531">
      <c r="A16531" s="8" t="inlineStr">
        <is>
          <t>2026-08-03</t>
        </is>
      </c>
      <c r="B16531" s="8" t="n">
        <v>20</v>
      </c>
      <c r="C16531" s="8" t="n">
        <v>0</v>
      </c>
      <c r="D16531" s="8" t="inlineStr">
        <is>
          <t>Disneyland Park</t>
        </is>
      </c>
      <c r="E16531" s="8" t="inlineStr">
        <is>
          <t>River Rogue Keelboats</t>
        </is>
      </c>
      <c r="F16531" s="8" t="inlineStr">
        <is>
          <t>STANDBY</t>
        </is>
      </c>
      <c r="G16531" s="8" t="n">
        <v>0</v>
      </c>
      <c r="H16531" s="8" t="inlineStr">
        <is>
          <t>CLOSED</t>
        </is>
      </c>
    </row>
    <row r="16532">
      <c r="A16532" s="8" t="inlineStr">
        <is>
          <t>2026-08-03</t>
        </is>
      </c>
      <c r="B16532" s="8" t="n">
        <v>20</v>
      </c>
      <c r="C16532" s="8" t="n">
        <v>0</v>
      </c>
      <c r="D16532" s="8" t="inlineStr">
        <is>
          <t>Disneyland Park</t>
        </is>
      </c>
      <c r="E16532" s="8" t="inlineStr">
        <is>
          <t>Rustler Roundup Shootin' Gallery</t>
        </is>
      </c>
      <c r="F16532" s="8" t="inlineStr">
        <is>
          <t>STANDBY</t>
        </is>
      </c>
      <c r="G16532" s="8" t="n">
        <v>0</v>
      </c>
      <c r="H16532" s="8" t="inlineStr">
        <is>
          <t>OPERATING</t>
        </is>
      </c>
    </row>
    <row r="16533">
      <c r="A16533" s="8" t="inlineStr">
        <is>
          <t>2026-08-03</t>
        </is>
      </c>
      <c r="B16533" s="8" t="n">
        <v>20</v>
      </c>
      <c r="C16533" s="8" t="n">
        <v>0</v>
      </c>
      <c r="D16533" s="8" t="inlineStr">
        <is>
          <t>Disneyland Park</t>
        </is>
      </c>
      <c r="E16533" s="8" t="inlineStr">
        <is>
          <t>Thunder Mesa Riverboat Landing</t>
        </is>
      </c>
      <c r="F16533" s="8" t="inlineStr">
        <is>
          <t>STANDBY</t>
        </is>
      </c>
      <c r="G16533" s="8" t="n">
        <v>0</v>
      </c>
      <c r="H16533" s="8" t="inlineStr">
        <is>
          <t>CLOSED</t>
        </is>
      </c>
    </row>
    <row r="16534">
      <c r="A16534" s="8" t="inlineStr">
        <is>
          <t>2026-08-03</t>
        </is>
      </c>
      <c r="B16534" s="8" t="n">
        <v>20</v>
      </c>
      <c r="C16534" s="8" t="n">
        <v>0</v>
      </c>
      <c r="D16534" s="8" t="inlineStr">
        <is>
          <t>Disneyland Park</t>
        </is>
      </c>
      <c r="E16534" s="8" t="inlineStr">
        <is>
          <t>Disneyland Railroad Main Street Station</t>
        </is>
      </c>
      <c r="F16534" s="8" t="inlineStr">
        <is>
          <t>STANDBY</t>
        </is>
      </c>
      <c r="G16534" s="8" t="n">
        <v>0</v>
      </c>
      <c r="H16534" s="8" t="inlineStr">
        <is>
          <t>CLOSED</t>
        </is>
      </c>
    </row>
    <row r="16535">
      <c r="A16535" s="8" t="inlineStr">
        <is>
          <t>2026-08-03</t>
        </is>
      </c>
      <c r="B16535" s="8" t="n">
        <v>20</v>
      </c>
      <c r="C16535" s="8" t="n">
        <v>0</v>
      </c>
      <c r="D16535" s="8" t="inlineStr">
        <is>
          <t>Disneyland Park</t>
        </is>
      </c>
      <c r="E16535" s="8" t="inlineStr">
        <is>
          <t>Main Street Vehicles</t>
        </is>
      </c>
      <c r="F16535" s="8" t="inlineStr">
        <is>
          <t>STANDBY</t>
        </is>
      </c>
      <c r="G16535" s="8" t="n">
        <v>0</v>
      </c>
      <c r="H16535" s="8" t="inlineStr">
        <is>
          <t>CLOSED</t>
        </is>
      </c>
    </row>
    <row r="16536">
      <c r="A16536" s="8" t="inlineStr">
        <is>
          <t>2026-08-03</t>
        </is>
      </c>
      <c r="B16536" s="8" t="n">
        <v>20</v>
      </c>
      <c r="C16536" s="8" t="n">
        <v>0</v>
      </c>
      <c r="D16536" s="8" t="inlineStr">
        <is>
          <t>Disney Adventure World</t>
        </is>
      </c>
      <c r="E16536" s="8" t="inlineStr">
        <is>
          <t>Avengers Assemble: Flight Force</t>
        </is>
      </c>
      <c r="F16536" s="8" t="inlineStr">
        <is>
          <t>STANDBY</t>
        </is>
      </c>
      <c r="G16536" s="8" t="n">
        <v>15</v>
      </c>
      <c r="H16536" s="8" t="inlineStr">
        <is>
          <t>OPERATING</t>
        </is>
      </c>
    </row>
    <row r="16537">
      <c r="A16537" s="8" t="inlineStr">
        <is>
          <t>2026-08-03</t>
        </is>
      </c>
      <c r="B16537" s="8" t="n">
        <v>20</v>
      </c>
      <c r="C16537" s="8" t="n">
        <v>0</v>
      </c>
      <c r="D16537" s="8" t="inlineStr">
        <is>
          <t>Disney Adventure World</t>
        </is>
      </c>
      <c r="E16537" s="8" t="inlineStr">
        <is>
          <t>Avengers Assemble: Flight Force Single Rider</t>
        </is>
      </c>
      <c r="F16537" s="8" t="inlineStr">
        <is>
          <t>STANDBY</t>
        </is>
      </c>
      <c r="G16537" s="8" t="n">
        <v>5</v>
      </c>
      <c r="H16537" s="8" t="inlineStr">
        <is>
          <t>OPERATING</t>
        </is>
      </c>
    </row>
    <row r="16538">
      <c r="A16538" s="8" t="inlineStr">
        <is>
          <t>2026-08-03</t>
        </is>
      </c>
      <c r="B16538" s="8" t="n">
        <v>20</v>
      </c>
      <c r="C16538" s="8" t="n">
        <v>0</v>
      </c>
      <c r="D16538" s="8" t="inlineStr">
        <is>
          <t>Disney Adventure World</t>
        </is>
      </c>
      <c r="E16538" s="8" t="inlineStr">
        <is>
          <t>Spider-Man W.E.B. Adventure</t>
        </is>
      </c>
      <c r="F16538" s="8" t="inlineStr">
        <is>
          <t>STANDBY</t>
        </is>
      </c>
      <c r="G16538" s="8" t="n">
        <v>35</v>
      </c>
      <c r="H16538" s="8" t="inlineStr">
        <is>
          <t>OPERATING</t>
        </is>
      </c>
    </row>
    <row r="16539">
      <c r="A16539" s="8" t="inlineStr">
        <is>
          <t>2026-08-03</t>
        </is>
      </c>
      <c r="B16539" s="8" t="n">
        <v>20</v>
      </c>
      <c r="C16539" s="8" t="n">
        <v>0</v>
      </c>
      <c r="D16539" s="8" t="inlineStr">
        <is>
          <t>Disney Adventure World</t>
        </is>
      </c>
      <c r="E16539" s="8" t="inlineStr">
        <is>
          <t>Spider-Man W.E.B. Adventure Single Rider</t>
        </is>
      </c>
      <c r="F16539" s="8" t="inlineStr">
        <is>
          <t>STANDBY</t>
        </is>
      </c>
      <c r="G16539" s="8" t="n">
        <v>15</v>
      </c>
      <c r="H16539" s="8" t="inlineStr">
        <is>
          <t>OPERATING</t>
        </is>
      </c>
    </row>
    <row r="16540">
      <c r="A16540" s="8" t="inlineStr">
        <is>
          <t>2026-08-03</t>
        </is>
      </c>
      <c r="B16540" s="8" t="n">
        <v>20</v>
      </c>
      <c r="C16540" s="8" t="n">
        <v>0</v>
      </c>
      <c r="D16540" s="8" t="inlineStr">
        <is>
          <t>Disney Adventure World</t>
        </is>
      </c>
      <c r="E16540" s="8" t="inlineStr">
        <is>
          <t>The Twilight Zone Tower of Terror</t>
        </is>
      </c>
      <c r="F16540" s="8" t="inlineStr">
        <is>
          <t>STANDBY</t>
        </is>
      </c>
      <c r="G16540" s="8" t="n">
        <v>25</v>
      </c>
      <c r="H16540" s="8" t="inlineStr">
        <is>
          <t>OPERATING</t>
        </is>
      </c>
    </row>
    <row r="16541">
      <c r="A16541" s="8" t="inlineStr">
        <is>
          <t>2026-08-03</t>
        </is>
      </c>
      <c r="B16541" s="8" t="n">
        <v>20</v>
      </c>
      <c r="C16541" s="8" t="n">
        <v>0</v>
      </c>
      <c r="D16541" s="8" t="inlineStr">
        <is>
          <t>Disney Adventure World</t>
        </is>
      </c>
      <c r="E16541" s="8" t="inlineStr">
        <is>
          <t>Cars Quatre Roues Rallye</t>
        </is>
      </c>
      <c r="F16541" s="8" t="inlineStr">
        <is>
          <t>STANDBY</t>
        </is>
      </c>
      <c r="G16541" s="8" t="n">
        <v>5</v>
      </c>
      <c r="H16541" s="8" t="inlineStr">
        <is>
          <t>OPERATING</t>
        </is>
      </c>
    </row>
    <row r="16542">
      <c r="A16542" s="8" t="inlineStr">
        <is>
          <t>2026-08-03</t>
        </is>
      </c>
      <c r="B16542" s="8" t="n">
        <v>20</v>
      </c>
      <c r="C16542" s="8" t="n">
        <v>0</v>
      </c>
      <c r="D16542" s="8" t="inlineStr">
        <is>
          <t>Disney Adventure World</t>
        </is>
      </c>
      <c r="E16542" s="8" t="inlineStr">
        <is>
          <t>Cars ROAD TRIP</t>
        </is>
      </c>
      <c r="F16542" s="8" t="inlineStr">
        <is>
          <t>STANDBY</t>
        </is>
      </c>
      <c r="G16542" s="8" t="n">
        <v>0</v>
      </c>
      <c r="H16542" s="8" t="inlineStr">
        <is>
          <t>CLOSED</t>
        </is>
      </c>
    </row>
    <row r="16543">
      <c r="A16543" s="8" t="inlineStr">
        <is>
          <t>2026-08-03</t>
        </is>
      </c>
      <c r="B16543" s="8" t="n">
        <v>20</v>
      </c>
      <c r="C16543" s="8" t="n">
        <v>0</v>
      </c>
      <c r="D16543" s="8" t="inlineStr">
        <is>
          <t>Disney Adventure World</t>
        </is>
      </c>
      <c r="E16543" s="8" t="inlineStr">
        <is>
          <t>Crush's Coaster</t>
        </is>
      </c>
      <c r="F16543" s="8" t="inlineStr">
        <is>
          <t>STANDBY</t>
        </is>
      </c>
      <c r="G16543" s="8" t="n">
        <v>60</v>
      </c>
      <c r="H16543" s="8" t="inlineStr">
        <is>
          <t>OPERATING</t>
        </is>
      </c>
    </row>
    <row r="16544">
      <c r="A16544" s="8" t="inlineStr">
        <is>
          <t>2026-08-03</t>
        </is>
      </c>
      <c r="B16544" s="8" t="n">
        <v>20</v>
      </c>
      <c r="C16544" s="8" t="n">
        <v>0</v>
      </c>
      <c r="D16544" s="8" t="inlineStr">
        <is>
          <t>Disney Adventure World</t>
        </is>
      </c>
      <c r="E16544" s="8" t="inlineStr">
        <is>
          <t>Crush's Coaster Single Rider</t>
        </is>
      </c>
      <c r="F16544" s="8" t="inlineStr">
        <is>
          <t>STANDBY</t>
        </is>
      </c>
      <c r="G16544" s="8" t="n">
        <v>50</v>
      </c>
      <c r="H16544" s="8" t="inlineStr">
        <is>
          <t>OPERATING</t>
        </is>
      </c>
    </row>
    <row r="16545">
      <c r="A16545" s="8" t="inlineStr">
        <is>
          <t>2026-08-03</t>
        </is>
      </c>
      <c r="B16545" s="8" t="n">
        <v>20</v>
      </c>
      <c r="C16545" s="8" t="n">
        <v>0</v>
      </c>
      <c r="D16545" s="8" t="inlineStr">
        <is>
          <t>Disney Adventure World</t>
        </is>
      </c>
      <c r="E16545" s="8" t="inlineStr">
        <is>
          <t>Les Tapis Volants - Flying Carpets Over Agrabah®</t>
        </is>
      </c>
      <c r="F16545" s="8" t="inlineStr">
        <is>
          <t>STANDBY</t>
        </is>
      </c>
      <c r="G16545" s="8" t="n">
        <v>5</v>
      </c>
      <c r="H16545" s="8" t="inlineStr">
        <is>
          <t>OPERATING</t>
        </is>
      </c>
    </row>
    <row r="16546">
      <c r="A16546" s="8" t="inlineStr">
        <is>
          <t>2026-08-03</t>
        </is>
      </c>
      <c r="B16546" s="8" t="n">
        <v>20</v>
      </c>
      <c r="C16546" s="8" t="n">
        <v>0</v>
      </c>
      <c r="D16546" s="8" t="inlineStr">
        <is>
          <t>Disney Adventure World</t>
        </is>
      </c>
      <c r="E16546" s="8" t="inlineStr">
        <is>
          <t>Ratatouille : L’Aventure Totalement Toquée de Rémy​</t>
        </is>
      </c>
      <c r="F16546" s="8" t="inlineStr">
        <is>
          <t>STANDBY</t>
        </is>
      </c>
      <c r="G16546" s="8" t="n">
        <v>0</v>
      </c>
      <c r="H16546" s="8" t="inlineStr">
        <is>
          <t>CLOSED</t>
        </is>
      </c>
    </row>
    <row r="16547">
      <c r="A16547" s="8" t="inlineStr">
        <is>
          <t>2026-08-03</t>
        </is>
      </c>
      <c r="B16547" s="8" t="n">
        <v>20</v>
      </c>
      <c r="C16547" s="8" t="n">
        <v>0</v>
      </c>
      <c r="D16547" s="8" t="inlineStr">
        <is>
          <t>Disney Adventure World</t>
        </is>
      </c>
      <c r="E16547" s="8" t="inlineStr">
        <is>
          <t>Ratatouille: The Adventure Single Rider</t>
        </is>
      </c>
      <c r="F16547" s="8" t="inlineStr">
        <is>
          <t>STANDBY</t>
        </is>
      </c>
      <c r="G16547" s="8" t="n">
        <v>0</v>
      </c>
      <c r="H16547" s="8" t="inlineStr">
        <is>
          <t>CLOSED</t>
        </is>
      </c>
    </row>
    <row r="16548">
      <c r="A16548" s="8" t="inlineStr">
        <is>
          <t>2026-08-03</t>
        </is>
      </c>
      <c r="B16548" s="8" t="n">
        <v>20</v>
      </c>
      <c r="C16548" s="8" t="n">
        <v>0</v>
      </c>
      <c r="D16548" s="8" t="inlineStr">
        <is>
          <t>Disney Adventure World</t>
        </is>
      </c>
      <c r="E16548" s="8" t="inlineStr">
        <is>
          <t>RC Racer</t>
        </is>
      </c>
      <c r="F16548" s="8" t="inlineStr">
        <is>
          <t>STANDBY</t>
        </is>
      </c>
      <c r="G16548" s="8" t="n">
        <v>50</v>
      </c>
      <c r="H16548" s="8" t="inlineStr">
        <is>
          <t>OPERATING</t>
        </is>
      </c>
    </row>
    <row r="16549">
      <c r="A16549" s="8" t="inlineStr">
        <is>
          <t>2026-08-03</t>
        </is>
      </c>
      <c r="B16549" s="8" t="n">
        <v>20</v>
      </c>
      <c r="C16549" s="8" t="n">
        <v>0</v>
      </c>
      <c r="D16549" s="8" t="inlineStr">
        <is>
          <t>Disney Adventure World</t>
        </is>
      </c>
      <c r="E16549" s="8" t="inlineStr">
        <is>
          <t>RC Racer Single Rider</t>
        </is>
      </c>
      <c r="F16549" s="8" t="inlineStr">
        <is>
          <t>STANDBY</t>
        </is>
      </c>
      <c r="G16549" s="8" t="n">
        <v>45</v>
      </c>
      <c r="H16549" s="8" t="inlineStr">
        <is>
          <t>OPERATING</t>
        </is>
      </c>
    </row>
    <row r="16550">
      <c r="A16550" s="8" t="inlineStr">
        <is>
          <t>2026-08-03</t>
        </is>
      </c>
      <c r="B16550" s="8" t="n">
        <v>20</v>
      </c>
      <c r="C16550" s="8" t="n">
        <v>0</v>
      </c>
      <c r="D16550" s="8" t="inlineStr">
        <is>
          <t>Disney Adventure World</t>
        </is>
      </c>
      <c r="E16550" s="8" t="inlineStr">
        <is>
          <t>Slinky® Dog Zigzag Spin</t>
        </is>
      </c>
      <c r="F16550" s="8" t="inlineStr">
        <is>
          <t>STANDBY</t>
        </is>
      </c>
      <c r="G16550" s="8" t="n">
        <v>0</v>
      </c>
      <c r="H16550" s="8" t="inlineStr">
        <is>
          <t>CLOSED</t>
        </is>
      </c>
    </row>
    <row r="16551">
      <c r="A16551" s="8" t="inlineStr">
        <is>
          <t>2026-08-03</t>
        </is>
      </c>
      <c r="B16551" s="8" t="n">
        <v>20</v>
      </c>
      <c r="C16551" s="8" t="n">
        <v>0</v>
      </c>
      <c r="D16551" s="8" t="inlineStr">
        <is>
          <t>Disney Adventure World</t>
        </is>
      </c>
      <c r="E16551" s="8" t="inlineStr">
        <is>
          <t>Toy Soldiers Parachute Drop</t>
        </is>
      </c>
      <c r="F16551" s="8" t="inlineStr">
        <is>
          <t>STANDBY</t>
        </is>
      </c>
      <c r="G16551" s="8" t="n">
        <v>0</v>
      </c>
      <c r="H16551" s="8" t="inlineStr">
        <is>
          <t>CLOSED</t>
        </is>
      </c>
    </row>
    <row r="16552">
      <c r="A16552" s="8" t="inlineStr">
        <is>
          <t>2026-08-03</t>
        </is>
      </c>
      <c r="B16552" s="8" t="n">
        <v>20</v>
      </c>
      <c r="C16552" s="8" t="n">
        <v>0</v>
      </c>
      <c r="D16552" s="8" t="inlineStr">
        <is>
          <t>Disney Adventure World</t>
        </is>
      </c>
      <c r="E16552" s="8" t="inlineStr">
        <is>
          <t>Toy Soldiers Parachute Drop Single Rider</t>
        </is>
      </c>
      <c r="F16552" s="8" t="inlineStr">
        <is>
          <t>STANDBY</t>
        </is>
      </c>
      <c r="G16552" s="8" t="n">
        <v>0</v>
      </c>
      <c r="H16552" s="8" t="inlineStr">
        <is>
          <t>CLOSED</t>
        </is>
      </c>
    </row>
    <row r="16553">
      <c r="A16553" s="8" t="inlineStr">
        <is>
          <t>2026-08-03</t>
        </is>
      </c>
      <c r="B16553" s="8" t="n">
        <v>20</v>
      </c>
      <c r="C16553" s="8" t="n">
        <v>0</v>
      </c>
      <c r="D16553" s="8" t="inlineStr">
        <is>
          <t>Disney Adventure World</t>
        </is>
      </c>
      <c r="E16553" s="8" t="inlineStr">
        <is>
          <t>Entry to World of Frozen</t>
        </is>
      </c>
      <c r="F16553" s="8" t="inlineStr">
        <is>
          <t>STANDBY</t>
        </is>
      </c>
      <c r="G16553" s="8" t="n">
        <v>0</v>
      </c>
      <c r="H16553" s="8" t="inlineStr">
        <is>
          <t>OPERATING</t>
        </is>
      </c>
    </row>
    <row r="16554">
      <c r="A16554" s="8" t="inlineStr">
        <is>
          <t>2026-08-03</t>
        </is>
      </c>
      <c r="B16554" s="8" t="n">
        <v>20</v>
      </c>
      <c r="C16554" s="8" t="n">
        <v>0</v>
      </c>
      <c r="D16554" s="8" t="inlineStr">
        <is>
          <t>Disney Adventure World</t>
        </is>
      </c>
      <c r="E16554" s="8" t="inlineStr">
        <is>
          <t>Frozen Ever After</t>
        </is>
      </c>
      <c r="F16554" s="8" t="inlineStr">
        <is>
          <t>STANDBY</t>
        </is>
      </c>
      <c r="G16554" s="8" t="n">
        <v>45</v>
      </c>
      <c r="H16554" s="8" t="inlineStr">
        <is>
          <t>OPERATING</t>
        </is>
      </c>
    </row>
    <row r="16555">
      <c r="A16555" s="8" t="inlineStr">
        <is>
          <t>2026-08-03</t>
        </is>
      </c>
      <c r="B16555" s="8" t="n">
        <v>20</v>
      </c>
      <c r="C16555" s="8" t="n">
        <v>0</v>
      </c>
      <c r="D16555" s="8" t="inlineStr">
        <is>
          <t>Disney Adventure World</t>
        </is>
      </c>
      <c r="E16555" s="8" t="inlineStr">
        <is>
          <t>Raiponce Tangled Spin</t>
        </is>
      </c>
      <c r="F16555" s="8" t="inlineStr">
        <is>
          <t>STANDBY</t>
        </is>
      </c>
      <c r="G16555" s="8" t="n">
        <v>5</v>
      </c>
      <c r="H16555" s="8" t="inlineStr">
        <is>
          <t>OPERATING</t>
        </is>
      </c>
    </row>
    <row r="16556">
      <c r="A16556" s="8" t="inlineStr">
        <is>
          <t>2026-08-03</t>
        </is>
      </c>
      <c r="B16556" s="8" t="n">
        <v>20</v>
      </c>
      <c r="C16556" s="8" t="n">
        <v>1</v>
      </c>
      <c r="D16556" s="8" t="inlineStr">
        <is>
          <t>Disneyland Park</t>
        </is>
      </c>
      <c r="E16556" s="8" t="inlineStr">
        <is>
          <t>Adventure Isle</t>
        </is>
      </c>
      <c r="F16556" s="8" t="inlineStr">
        <is>
          <t>STANDBY</t>
        </is>
      </c>
      <c r="G16556" s="8" t="n">
        <v>0</v>
      </c>
      <c r="H16556" s="8" t="inlineStr">
        <is>
          <t>OPERATING</t>
        </is>
      </c>
    </row>
    <row r="16557">
      <c r="A16557" s="8" t="inlineStr">
        <is>
          <t>2026-08-03</t>
        </is>
      </c>
      <c r="B16557" s="8" t="n">
        <v>20</v>
      </c>
      <c r="C16557" s="8" t="n">
        <v>1</v>
      </c>
      <c r="D16557" s="8" t="inlineStr">
        <is>
          <t>Disneyland Park</t>
        </is>
      </c>
      <c r="E16557" s="8" t="inlineStr">
        <is>
          <t>Indiana Jones and the Temple of Peril Single Rider</t>
        </is>
      </c>
      <c r="F16557" s="8" t="inlineStr">
        <is>
          <t>STANDBY</t>
        </is>
      </c>
      <c r="G16557" s="8" t="n">
        <v>5</v>
      </c>
      <c r="H16557" s="8" t="inlineStr">
        <is>
          <t>OPERATING</t>
        </is>
      </c>
    </row>
    <row r="16558">
      <c r="A16558" s="8" t="inlineStr">
        <is>
          <t>2026-08-03</t>
        </is>
      </c>
      <c r="B16558" s="8" t="n">
        <v>20</v>
      </c>
      <c r="C16558" s="8" t="n">
        <v>1</v>
      </c>
      <c r="D16558" s="8" t="inlineStr">
        <is>
          <t>Disneyland Park</t>
        </is>
      </c>
      <c r="E16558" s="8" t="inlineStr">
        <is>
          <t>Indiana Jones™ and the Temple of Peril</t>
        </is>
      </c>
      <c r="F16558" s="8" t="inlineStr">
        <is>
          <t>STANDBY</t>
        </is>
      </c>
      <c r="G16558" s="8" t="n">
        <v>20</v>
      </c>
      <c r="H16558" s="8" t="inlineStr">
        <is>
          <t>OPERATING</t>
        </is>
      </c>
    </row>
    <row r="16559">
      <c r="A16559" s="8" t="inlineStr">
        <is>
          <t>2026-08-03</t>
        </is>
      </c>
      <c r="B16559" s="8" t="n">
        <v>20</v>
      </c>
      <c r="C16559" s="8" t="n">
        <v>1</v>
      </c>
      <c r="D16559" s="8" t="inlineStr">
        <is>
          <t>Disneyland Park</t>
        </is>
      </c>
      <c r="E16559" s="8" t="inlineStr">
        <is>
          <t>La Cabane des Robinson</t>
        </is>
      </c>
      <c r="F16559" s="8" t="inlineStr">
        <is>
          <t>STANDBY</t>
        </is>
      </c>
      <c r="G16559" s="8" t="n">
        <v>5</v>
      </c>
      <c r="H16559" s="8" t="inlineStr">
        <is>
          <t>OPERATING</t>
        </is>
      </c>
    </row>
    <row r="16560">
      <c r="A16560" s="8" t="inlineStr">
        <is>
          <t>2026-08-03</t>
        </is>
      </c>
      <c r="B16560" s="8" t="n">
        <v>20</v>
      </c>
      <c r="C16560" s="8" t="n">
        <v>1</v>
      </c>
      <c r="D16560" s="8" t="inlineStr">
        <is>
          <t>Disneyland Park</t>
        </is>
      </c>
      <c r="E16560" s="8" t="inlineStr">
        <is>
          <t>Le Passage Enchanté d'Aladdin</t>
        </is>
      </c>
      <c r="F16560" s="8" t="inlineStr">
        <is>
          <t>STANDBY</t>
        </is>
      </c>
      <c r="G16560" s="8" t="n">
        <v>0</v>
      </c>
      <c r="H16560" s="8" t="inlineStr">
        <is>
          <t>OPERATING</t>
        </is>
      </c>
    </row>
    <row r="16561">
      <c r="A16561" s="8" t="inlineStr">
        <is>
          <t>2026-08-03</t>
        </is>
      </c>
      <c r="B16561" s="8" t="n">
        <v>20</v>
      </c>
      <c r="C16561" s="8" t="n">
        <v>1</v>
      </c>
      <c r="D16561" s="8" t="inlineStr">
        <is>
          <t>Disneyland Park</t>
        </is>
      </c>
      <c r="E16561" s="8" t="inlineStr">
        <is>
          <t>Pirate Galleon</t>
        </is>
      </c>
      <c r="F16561" s="8" t="inlineStr">
        <is>
          <t>STANDBY</t>
        </is>
      </c>
      <c r="G16561" s="8" t="n">
        <v>0</v>
      </c>
      <c r="H16561" s="8" t="inlineStr">
        <is>
          <t>CLOSED</t>
        </is>
      </c>
    </row>
    <row r="16562">
      <c r="A16562" s="8" t="inlineStr">
        <is>
          <t>2026-08-03</t>
        </is>
      </c>
      <c r="B16562" s="8" t="n">
        <v>20</v>
      </c>
      <c r="C16562" s="8" t="n">
        <v>1</v>
      </c>
      <c r="D16562" s="8" t="inlineStr">
        <is>
          <t>Disneyland Park</t>
        </is>
      </c>
      <c r="E16562" s="8" t="inlineStr">
        <is>
          <t>Pirates of the Caribbean</t>
        </is>
      </c>
      <c r="F16562" s="8" t="inlineStr">
        <is>
          <t>STANDBY</t>
        </is>
      </c>
      <c r="G16562" s="8" t="n">
        <v>5</v>
      </c>
      <c r="H16562" s="8" t="inlineStr">
        <is>
          <t>OPERATING</t>
        </is>
      </c>
    </row>
    <row r="16563">
      <c r="A16563" s="8" t="inlineStr">
        <is>
          <t>2026-08-03</t>
        </is>
      </c>
      <c r="B16563" s="8" t="n">
        <v>20</v>
      </c>
      <c r="C16563" s="8" t="n">
        <v>1</v>
      </c>
      <c r="D16563" s="8" t="inlineStr">
        <is>
          <t>Disneyland Park</t>
        </is>
      </c>
      <c r="E16563" s="8" t="inlineStr">
        <is>
          <t>Pirates' Beach</t>
        </is>
      </c>
      <c r="F16563" s="8" t="inlineStr">
        <is>
          <t>STANDBY</t>
        </is>
      </c>
      <c r="G16563" s="8" t="n">
        <v>0</v>
      </c>
      <c r="H16563" s="8" t="inlineStr">
        <is>
          <t>OPERATING</t>
        </is>
      </c>
    </row>
    <row r="16564">
      <c r="A16564" s="8" t="inlineStr">
        <is>
          <t>2026-08-03</t>
        </is>
      </c>
      <c r="B16564" s="8" t="n">
        <v>20</v>
      </c>
      <c r="C16564" s="8" t="n">
        <v>1</v>
      </c>
      <c r="D16564" s="8" t="inlineStr">
        <is>
          <t>Disneyland Park</t>
        </is>
      </c>
      <c r="E16564" s="8" t="inlineStr">
        <is>
          <t>Autopia, presented by Avis</t>
        </is>
      </c>
      <c r="F16564" s="8" t="inlineStr">
        <is>
          <t>STANDBY</t>
        </is>
      </c>
      <c r="G16564" s="8" t="n">
        <v>110</v>
      </c>
      <c r="H16564" s="8" t="inlineStr">
        <is>
          <t>OPERATING</t>
        </is>
      </c>
    </row>
    <row r="16565">
      <c r="A16565" s="8" t="inlineStr">
        <is>
          <t>2026-08-03</t>
        </is>
      </c>
      <c r="B16565" s="8" t="n">
        <v>20</v>
      </c>
      <c r="C16565" s="8" t="n">
        <v>1</v>
      </c>
      <c r="D16565" s="8" t="inlineStr">
        <is>
          <t>Disneyland Park</t>
        </is>
      </c>
      <c r="E16565" s="8" t="inlineStr">
        <is>
          <t>Buzz Lightyear Laser Blast</t>
        </is>
      </c>
      <c r="F16565" s="8" t="inlineStr">
        <is>
          <t>STANDBY</t>
        </is>
      </c>
      <c r="G16565" s="8" t="n">
        <v>35</v>
      </c>
      <c r="H16565" s="8" t="inlineStr">
        <is>
          <t>OPERATING</t>
        </is>
      </c>
    </row>
    <row r="16566">
      <c r="A16566" s="8" t="inlineStr">
        <is>
          <t>2026-08-03</t>
        </is>
      </c>
      <c r="B16566" s="8" t="n">
        <v>20</v>
      </c>
      <c r="C16566" s="8" t="n">
        <v>1</v>
      </c>
      <c r="D16566" s="8" t="inlineStr">
        <is>
          <t>Disneyland Park</t>
        </is>
      </c>
      <c r="E16566" s="8" t="inlineStr">
        <is>
          <t>Disneyland Railroad Discoveryland Station</t>
        </is>
      </c>
      <c r="F16566" s="8" t="inlineStr">
        <is>
          <t>STANDBY</t>
        </is>
      </c>
      <c r="G16566" s="8" t="n">
        <v>0</v>
      </c>
      <c r="H16566" s="8" t="inlineStr">
        <is>
          <t>CLOSED</t>
        </is>
      </c>
    </row>
    <row r="16567">
      <c r="A16567" s="8" t="inlineStr">
        <is>
          <t>2026-08-03</t>
        </is>
      </c>
      <c r="B16567" s="8" t="n">
        <v>20</v>
      </c>
      <c r="C16567" s="8" t="n">
        <v>1</v>
      </c>
      <c r="D16567" s="8" t="inlineStr">
        <is>
          <t>Disneyland Park</t>
        </is>
      </c>
      <c r="E16567" s="8" t="inlineStr">
        <is>
          <t>Les Mystères du Nautilus</t>
        </is>
      </c>
      <c r="F16567" s="8" t="inlineStr">
        <is>
          <t>STANDBY</t>
        </is>
      </c>
      <c r="G16567" s="8" t="n">
        <v>5</v>
      </c>
      <c r="H16567" s="8" t="inlineStr">
        <is>
          <t>OPERATING</t>
        </is>
      </c>
    </row>
    <row r="16568">
      <c r="A16568" s="8" t="inlineStr">
        <is>
          <t>2026-08-03</t>
        </is>
      </c>
      <c r="B16568" s="8" t="n">
        <v>20</v>
      </c>
      <c r="C16568" s="8" t="n">
        <v>1</v>
      </c>
      <c r="D16568" s="8" t="inlineStr">
        <is>
          <t>Disneyland Park</t>
        </is>
      </c>
      <c r="E16568" s="8" t="inlineStr">
        <is>
          <t>Mickey’s PhilharMagic</t>
        </is>
      </c>
      <c r="F16568" s="8" t="inlineStr">
        <is>
          <t>STANDBY</t>
        </is>
      </c>
      <c r="G16568" s="8" t="n">
        <v>0</v>
      </c>
      <c r="H16568" s="8" t="inlineStr">
        <is>
          <t>CLOSED</t>
        </is>
      </c>
    </row>
    <row r="16569">
      <c r="A16569" s="8" t="inlineStr">
        <is>
          <t>2026-08-03</t>
        </is>
      </c>
      <c r="B16569" s="8" t="n">
        <v>20</v>
      </c>
      <c r="C16569" s="8" t="n">
        <v>1</v>
      </c>
      <c r="D16569" s="8" t="inlineStr">
        <is>
          <t>Disneyland Park</t>
        </is>
      </c>
      <c r="E16569" s="8" t="inlineStr">
        <is>
          <t>Orbitron®</t>
        </is>
      </c>
      <c r="F16569" s="8" t="inlineStr">
        <is>
          <t>STANDBY</t>
        </is>
      </c>
      <c r="G16569" s="8" t="n">
        <v>60</v>
      </c>
      <c r="H16569" s="8" t="inlineStr">
        <is>
          <t>OPERATING</t>
        </is>
      </c>
    </row>
    <row r="16570">
      <c r="A16570" s="8" t="inlineStr">
        <is>
          <t>2026-08-03</t>
        </is>
      </c>
      <c r="B16570" s="8" t="n">
        <v>20</v>
      </c>
      <c r="C16570" s="8" t="n">
        <v>1</v>
      </c>
      <c r="D16570" s="8" t="inlineStr">
        <is>
          <t>Disneyland Park</t>
        </is>
      </c>
      <c r="E16570" s="8" t="inlineStr">
        <is>
          <t>Star Tours: The Adventures Continue*</t>
        </is>
      </c>
      <c r="F16570" s="8" t="inlineStr">
        <is>
          <t>STANDBY</t>
        </is>
      </c>
      <c r="G16570" s="8" t="n">
        <v>15</v>
      </c>
      <c r="H16570" s="8" t="inlineStr">
        <is>
          <t>OPERATING</t>
        </is>
      </c>
    </row>
    <row r="16571">
      <c r="A16571" s="8" t="inlineStr">
        <is>
          <t>2026-08-03</t>
        </is>
      </c>
      <c r="B16571" s="8" t="n">
        <v>20</v>
      </c>
      <c r="C16571" s="8" t="n">
        <v>1</v>
      </c>
      <c r="D16571" s="8" t="inlineStr">
        <is>
          <t>Disneyland Park</t>
        </is>
      </c>
      <c r="E16571" s="8" t="inlineStr">
        <is>
          <t>Star Wars Hyperspace Mountain</t>
        </is>
      </c>
      <c r="F16571" s="8" t="inlineStr">
        <is>
          <t>STANDBY</t>
        </is>
      </c>
      <c r="G16571" s="8" t="n">
        <v>20</v>
      </c>
      <c r="H16571" s="8" t="inlineStr">
        <is>
          <t>OPERATING</t>
        </is>
      </c>
    </row>
    <row r="16572">
      <c r="A16572" s="8" t="inlineStr">
        <is>
          <t>2026-08-03</t>
        </is>
      </c>
      <c r="B16572" s="8" t="n">
        <v>20</v>
      </c>
      <c r="C16572" s="8" t="n">
        <v>1</v>
      </c>
      <c r="D16572" s="8" t="inlineStr">
        <is>
          <t>Disneyland Park</t>
        </is>
      </c>
      <c r="E16572" s="8" t="inlineStr">
        <is>
          <t>Star Wars Hyperspace Mountain Single Rider</t>
        </is>
      </c>
      <c r="F16572" s="8" t="inlineStr">
        <is>
          <t>STANDBY</t>
        </is>
      </c>
      <c r="G16572" s="8" t="n">
        <v>15</v>
      </c>
      <c r="H16572" s="8" t="inlineStr">
        <is>
          <t>OPERATING</t>
        </is>
      </c>
    </row>
    <row r="16573">
      <c r="A16573" s="8" t="inlineStr">
        <is>
          <t>2026-08-03</t>
        </is>
      </c>
      <c r="B16573" s="8" t="n">
        <v>20</v>
      </c>
      <c r="C16573" s="8" t="n">
        <v>1</v>
      </c>
      <c r="D16573" s="8" t="inlineStr">
        <is>
          <t>Disneyland Park</t>
        </is>
      </c>
      <c r="E16573" s="8" t="inlineStr">
        <is>
          <t>Welcome to Starport: A Star Wars Encounter</t>
        </is>
      </c>
      <c r="F16573" s="8" t="inlineStr">
        <is>
          <t>STANDBY</t>
        </is>
      </c>
      <c r="G16573" s="8" t="n">
        <v>0</v>
      </c>
      <c r="H16573" s="8" t="inlineStr">
        <is>
          <t>CLOSED</t>
        </is>
      </c>
    </row>
    <row r="16574">
      <c r="A16574" s="8" t="inlineStr">
        <is>
          <t>2026-08-03</t>
        </is>
      </c>
      <c r="B16574" s="8" t="n">
        <v>20</v>
      </c>
      <c r="C16574" s="8" t="n">
        <v>1</v>
      </c>
      <c r="D16574" s="8" t="inlineStr">
        <is>
          <t>Disneyland Park</t>
        </is>
      </c>
      <c r="E16574" s="8" t="inlineStr">
        <is>
          <t>"it's a small world"</t>
        </is>
      </c>
      <c r="F16574" s="8" t="inlineStr">
        <is>
          <t>STANDBY</t>
        </is>
      </c>
      <c r="G16574" s="8" t="n">
        <v>5</v>
      </c>
      <c r="H16574" s="8" t="inlineStr">
        <is>
          <t>OPERATING</t>
        </is>
      </c>
    </row>
    <row r="16575">
      <c r="A16575" s="8" t="inlineStr">
        <is>
          <t>2026-08-03</t>
        </is>
      </c>
      <c r="B16575" s="8" t="n">
        <v>20</v>
      </c>
      <c r="C16575" s="8" t="n">
        <v>1</v>
      </c>
      <c r="D16575" s="8" t="inlineStr">
        <is>
          <t>Disneyland Park</t>
        </is>
      </c>
      <c r="E16575" s="8" t="inlineStr">
        <is>
          <t>Alice's Curious Labyrinth</t>
        </is>
      </c>
      <c r="F16575" s="8" t="inlineStr">
        <is>
          <t>STANDBY</t>
        </is>
      </c>
      <c r="G16575" s="8" t="n">
        <v>5</v>
      </c>
      <c r="H16575" s="8" t="inlineStr">
        <is>
          <t>OPERATING</t>
        </is>
      </c>
    </row>
    <row r="16576">
      <c r="A16576" s="8" t="inlineStr">
        <is>
          <t>2026-08-03</t>
        </is>
      </c>
      <c r="B16576" s="8" t="n">
        <v>20</v>
      </c>
      <c r="C16576" s="8" t="n">
        <v>1</v>
      </c>
      <c r="D16576" s="8" t="inlineStr">
        <is>
          <t>Disneyland Park</t>
        </is>
      </c>
      <c r="E16576" s="8" t="inlineStr">
        <is>
          <t>Blanche-Neige et les Sept Nains®</t>
        </is>
      </c>
      <c r="F16576" s="8" t="inlineStr">
        <is>
          <t>STANDBY</t>
        </is>
      </c>
      <c r="G16576" s="8" t="n">
        <v>20</v>
      </c>
      <c r="H16576" s="8" t="inlineStr">
        <is>
          <t>OPERATING</t>
        </is>
      </c>
    </row>
    <row r="16577">
      <c r="A16577" s="8" t="inlineStr">
        <is>
          <t>2026-08-03</t>
        </is>
      </c>
      <c r="B16577" s="8" t="n">
        <v>20</v>
      </c>
      <c r="C16577" s="8" t="n">
        <v>1</v>
      </c>
      <c r="D16577" s="8" t="inlineStr">
        <is>
          <t>Disneyland Park</t>
        </is>
      </c>
      <c r="E16577" s="8" t="inlineStr">
        <is>
          <t>Casey Jr. – le Petit Train du Cirque</t>
        </is>
      </c>
      <c r="F16577" s="8" t="inlineStr">
        <is>
          <t>STANDBY</t>
        </is>
      </c>
      <c r="G16577" s="8" t="n">
        <v>5</v>
      </c>
      <c r="H16577" s="8" t="inlineStr">
        <is>
          <t>OPERATING</t>
        </is>
      </c>
    </row>
    <row r="16578">
      <c r="A16578" s="8" t="inlineStr">
        <is>
          <t>2026-08-03</t>
        </is>
      </c>
      <c r="B16578" s="8" t="n">
        <v>20</v>
      </c>
      <c r="C16578" s="8" t="n">
        <v>1</v>
      </c>
      <c r="D16578" s="8" t="inlineStr">
        <is>
          <t>Disneyland Park</t>
        </is>
      </c>
      <c r="E16578" s="8" t="inlineStr">
        <is>
          <t>Disneyland Railroad Fantasyland Station</t>
        </is>
      </c>
      <c r="F16578" s="8" t="inlineStr">
        <is>
          <t>STANDBY</t>
        </is>
      </c>
      <c r="G16578" s="8" t="n">
        <v>0</v>
      </c>
      <c r="H16578" s="8" t="inlineStr">
        <is>
          <t>CLOSED</t>
        </is>
      </c>
    </row>
    <row r="16579">
      <c r="A16579" s="8" t="inlineStr">
        <is>
          <t>2026-08-03</t>
        </is>
      </c>
      <c r="B16579" s="8" t="n">
        <v>20</v>
      </c>
      <c r="C16579" s="8" t="n">
        <v>1</v>
      </c>
      <c r="D16579" s="8" t="inlineStr">
        <is>
          <t>Disneyland Park</t>
        </is>
      </c>
      <c r="E16579" s="8" t="inlineStr">
        <is>
          <t>Disneyland Railroad Main Street Station</t>
        </is>
      </c>
      <c r="F16579" s="8" t="inlineStr">
        <is>
          <t>STANDBY</t>
        </is>
      </c>
      <c r="G16579" s="8" t="n">
        <v>0</v>
      </c>
      <c r="H16579" s="8" t="inlineStr">
        <is>
          <t>CLOSED</t>
        </is>
      </c>
    </row>
    <row r="16580">
      <c r="A16580" s="8" t="inlineStr">
        <is>
          <t>2026-08-03</t>
        </is>
      </c>
      <c r="B16580" s="8" t="n">
        <v>20</v>
      </c>
      <c r="C16580" s="8" t="n">
        <v>1</v>
      </c>
      <c r="D16580" s="8" t="inlineStr">
        <is>
          <t>Disneyland Park</t>
        </is>
      </c>
      <c r="E16580" s="8" t="inlineStr">
        <is>
          <t>Dumbo the Flying Elephant</t>
        </is>
      </c>
      <c r="F16580" s="8" t="inlineStr">
        <is>
          <t>STANDBY</t>
        </is>
      </c>
      <c r="G16580" s="8" t="n">
        <v>40</v>
      </c>
      <c r="H16580" s="8" t="inlineStr">
        <is>
          <t>OPERATING</t>
        </is>
      </c>
    </row>
    <row r="16581">
      <c r="A16581" s="8" t="inlineStr">
        <is>
          <t>2026-08-03</t>
        </is>
      </c>
      <c r="B16581" s="8" t="n">
        <v>20</v>
      </c>
      <c r="C16581" s="8" t="n">
        <v>1</v>
      </c>
      <c r="D16581" s="8" t="inlineStr">
        <is>
          <t>Disneyland Park</t>
        </is>
      </c>
      <c r="E16581" s="8" t="inlineStr">
        <is>
          <t>La Tanière du Dragon</t>
        </is>
      </c>
      <c r="F16581" s="8" t="inlineStr">
        <is>
          <t>STANDBY</t>
        </is>
      </c>
      <c r="G16581" s="8" t="n">
        <v>0</v>
      </c>
      <c r="H16581" s="8" t="inlineStr">
        <is>
          <t>OPERATING</t>
        </is>
      </c>
    </row>
    <row r="16582">
      <c r="A16582" s="8" t="inlineStr">
        <is>
          <t>2026-08-03</t>
        </is>
      </c>
      <c r="B16582" s="8" t="n">
        <v>20</v>
      </c>
      <c r="C16582" s="8" t="n">
        <v>1</v>
      </c>
      <c r="D16582" s="8" t="inlineStr">
        <is>
          <t>Disneyland Park</t>
        </is>
      </c>
      <c r="E16582" s="8" t="inlineStr">
        <is>
          <t>Le Carrousel de Lancelot</t>
        </is>
      </c>
      <c r="F16582" s="8" t="inlineStr">
        <is>
          <t>STANDBY</t>
        </is>
      </c>
      <c r="G16582" s="8" t="n">
        <v>10</v>
      </c>
      <c r="H16582" s="8" t="inlineStr">
        <is>
          <t>OPERATING</t>
        </is>
      </c>
    </row>
    <row r="16583">
      <c r="A16583" s="8" t="inlineStr">
        <is>
          <t>2026-08-03</t>
        </is>
      </c>
      <c r="B16583" s="8" t="n">
        <v>20</v>
      </c>
      <c r="C16583" s="8" t="n">
        <v>1</v>
      </c>
      <c r="D16583" s="8" t="inlineStr">
        <is>
          <t>Disneyland Park</t>
        </is>
      </c>
      <c r="E16583" s="8" t="inlineStr">
        <is>
          <t>Le Pays des Contes de Fées, presented by Vittel</t>
        </is>
      </c>
      <c r="F16583" s="8" t="inlineStr">
        <is>
          <t>STANDBY</t>
        </is>
      </c>
      <c r="G16583" s="8" t="n">
        <v>5</v>
      </c>
      <c r="H16583" s="8" t="inlineStr">
        <is>
          <t>OPERATING</t>
        </is>
      </c>
    </row>
    <row r="16584">
      <c r="A16584" s="8" t="inlineStr">
        <is>
          <t>2026-08-03</t>
        </is>
      </c>
      <c r="B16584" s="8" t="n">
        <v>20</v>
      </c>
      <c r="C16584" s="8" t="n">
        <v>1</v>
      </c>
      <c r="D16584" s="8" t="inlineStr">
        <is>
          <t>Disneyland Park</t>
        </is>
      </c>
      <c r="E16584" s="8" t="inlineStr">
        <is>
          <t>Les Voyages de Pinocchio</t>
        </is>
      </c>
      <c r="F16584" s="8" t="inlineStr">
        <is>
          <t>STANDBY</t>
        </is>
      </c>
      <c r="G16584" s="8" t="n">
        <v>20</v>
      </c>
      <c r="H16584" s="8" t="inlineStr">
        <is>
          <t>OPERATING</t>
        </is>
      </c>
    </row>
    <row r="16585">
      <c r="A16585" s="8" t="inlineStr">
        <is>
          <t>2026-08-03</t>
        </is>
      </c>
      <c r="B16585" s="8" t="n">
        <v>20</v>
      </c>
      <c r="C16585" s="8" t="n">
        <v>1</v>
      </c>
      <c r="D16585" s="8" t="inlineStr">
        <is>
          <t>Disneyland Park</t>
        </is>
      </c>
      <c r="E16585" s="8" t="inlineStr">
        <is>
          <t>Mad Hatter's Tea Cups</t>
        </is>
      </c>
      <c r="F16585" s="8" t="inlineStr">
        <is>
          <t>STANDBY</t>
        </is>
      </c>
      <c r="G16585" s="8" t="n">
        <v>5</v>
      </c>
      <c r="H16585" s="8" t="inlineStr">
        <is>
          <t>OPERATING</t>
        </is>
      </c>
    </row>
    <row r="16586">
      <c r="A16586" s="8" t="inlineStr">
        <is>
          <t>2026-08-03</t>
        </is>
      </c>
      <c r="B16586" s="8" t="n">
        <v>20</v>
      </c>
      <c r="C16586" s="8" t="n">
        <v>1</v>
      </c>
      <c r="D16586" s="8" t="inlineStr">
        <is>
          <t>Disneyland Park</t>
        </is>
      </c>
      <c r="E16586" s="8" t="inlineStr">
        <is>
          <t>Meet Mickey Mouse</t>
        </is>
      </c>
      <c r="F16586" s="8" t="inlineStr">
        <is>
          <t>STANDBY</t>
        </is>
      </c>
      <c r="G16586" s="8" t="n">
        <v>0</v>
      </c>
      <c r="H16586" s="8" t="inlineStr">
        <is>
          <t>CLOSED</t>
        </is>
      </c>
    </row>
    <row r="16587">
      <c r="A16587" s="8" t="inlineStr">
        <is>
          <t>2026-08-03</t>
        </is>
      </c>
      <c r="B16587" s="8" t="n">
        <v>20</v>
      </c>
      <c r="C16587" s="8" t="n">
        <v>1</v>
      </c>
      <c r="D16587" s="8" t="inlineStr">
        <is>
          <t>Disneyland Park</t>
        </is>
      </c>
      <c r="E16587" s="8" t="inlineStr">
        <is>
          <t>Peter Pan's Flight</t>
        </is>
      </c>
      <c r="F16587" s="8" t="inlineStr">
        <is>
          <t>STANDBY</t>
        </is>
      </c>
      <c r="G16587" s="8" t="n">
        <v>50</v>
      </c>
      <c r="H16587" s="8" t="inlineStr">
        <is>
          <t>OPERATING</t>
        </is>
      </c>
    </row>
    <row r="16588">
      <c r="A16588" s="8" t="inlineStr">
        <is>
          <t>2026-08-03</t>
        </is>
      </c>
      <c r="B16588" s="8" t="n">
        <v>20</v>
      </c>
      <c r="C16588" s="8" t="n">
        <v>1</v>
      </c>
      <c r="D16588" s="8" t="inlineStr">
        <is>
          <t>Disneyland Park</t>
        </is>
      </c>
      <c r="E16588" s="8" t="inlineStr">
        <is>
          <t>Princess Pavilion</t>
        </is>
      </c>
      <c r="F16588" s="8" t="inlineStr">
        <is>
          <t>STANDBY</t>
        </is>
      </c>
      <c r="G16588" s="8" t="n">
        <v>0</v>
      </c>
      <c r="H16588" s="8" t="inlineStr">
        <is>
          <t>CLOSED</t>
        </is>
      </c>
    </row>
    <row r="16589">
      <c r="A16589" s="8" t="inlineStr">
        <is>
          <t>2026-08-03</t>
        </is>
      </c>
      <c r="B16589" s="8" t="n">
        <v>20</v>
      </c>
      <c r="C16589" s="8" t="n">
        <v>1</v>
      </c>
      <c r="D16589" s="8" t="inlineStr">
        <is>
          <t>Disneyland Park</t>
        </is>
      </c>
      <c r="E16589" s="8" t="inlineStr">
        <is>
          <t>Big Thunder Mountain</t>
        </is>
      </c>
      <c r="F16589" s="8" t="inlineStr">
        <is>
          <t>STANDBY</t>
        </is>
      </c>
      <c r="G16589" s="8" t="n">
        <v>55</v>
      </c>
      <c r="H16589" s="8" t="inlineStr">
        <is>
          <t>OPERATING</t>
        </is>
      </c>
    </row>
    <row r="16590">
      <c r="A16590" s="8" t="inlineStr">
        <is>
          <t>2026-08-03</t>
        </is>
      </c>
      <c r="B16590" s="8" t="n">
        <v>20</v>
      </c>
      <c r="C16590" s="8" t="n">
        <v>1</v>
      </c>
      <c r="D16590" s="8" t="inlineStr">
        <is>
          <t>Disneyland Park</t>
        </is>
      </c>
      <c r="E16590" s="8" t="inlineStr">
        <is>
          <t>Disneyland Railroad Frontierland Depot</t>
        </is>
      </c>
      <c r="F16590" s="8" t="inlineStr">
        <is>
          <t>STANDBY</t>
        </is>
      </c>
      <c r="G16590" s="8" t="n">
        <v>0</v>
      </c>
      <c r="H16590" s="8" t="inlineStr">
        <is>
          <t>CLOSED</t>
        </is>
      </c>
    </row>
    <row r="16591">
      <c r="A16591" s="8" t="inlineStr">
        <is>
          <t>2026-08-03</t>
        </is>
      </c>
      <c r="B16591" s="8" t="n">
        <v>20</v>
      </c>
      <c r="C16591" s="8" t="n">
        <v>1</v>
      </c>
      <c r="D16591" s="8" t="inlineStr">
        <is>
          <t>Disneyland Park</t>
        </is>
      </c>
      <c r="E16591" s="8" t="inlineStr">
        <is>
          <t>Frontierland Playground</t>
        </is>
      </c>
      <c r="F16591" s="8" t="inlineStr">
        <is>
          <t>STANDBY</t>
        </is>
      </c>
      <c r="G16591" s="8" t="n">
        <v>0</v>
      </c>
      <c r="H16591" s="8" t="inlineStr">
        <is>
          <t>CLOSED</t>
        </is>
      </c>
    </row>
    <row r="16592">
      <c r="A16592" s="8" t="inlineStr">
        <is>
          <t>2026-08-03</t>
        </is>
      </c>
      <c r="B16592" s="8" t="n">
        <v>20</v>
      </c>
      <c r="C16592" s="8" t="n">
        <v>1</v>
      </c>
      <c r="D16592" s="8" t="inlineStr">
        <is>
          <t>Disneyland Park</t>
        </is>
      </c>
      <c r="E16592" s="8" t="inlineStr">
        <is>
          <t>Phantom Manor</t>
        </is>
      </c>
      <c r="F16592" s="8" t="inlineStr">
        <is>
          <t>STANDBY</t>
        </is>
      </c>
      <c r="G16592" s="8" t="n">
        <v>5</v>
      </c>
      <c r="H16592" s="8" t="inlineStr">
        <is>
          <t>OPERATING</t>
        </is>
      </c>
    </row>
    <row r="16593">
      <c r="A16593" s="8" t="inlineStr">
        <is>
          <t>2026-08-03</t>
        </is>
      </c>
      <c r="B16593" s="8" t="n">
        <v>20</v>
      </c>
      <c r="C16593" s="8" t="n">
        <v>1</v>
      </c>
      <c r="D16593" s="8" t="inlineStr">
        <is>
          <t>Disneyland Park</t>
        </is>
      </c>
      <c r="E16593" s="8" t="inlineStr">
        <is>
          <t>River Rogue Keelboats</t>
        </is>
      </c>
      <c r="F16593" s="8" t="inlineStr">
        <is>
          <t>STANDBY</t>
        </is>
      </c>
      <c r="G16593" s="8" t="n">
        <v>0</v>
      </c>
      <c r="H16593" s="8" t="inlineStr">
        <is>
          <t>CLOSED</t>
        </is>
      </c>
    </row>
    <row r="16594">
      <c r="A16594" s="8" t="inlineStr">
        <is>
          <t>2026-08-03</t>
        </is>
      </c>
      <c r="B16594" s="8" t="n">
        <v>20</v>
      </c>
      <c r="C16594" s="8" t="n">
        <v>1</v>
      </c>
      <c r="D16594" s="8" t="inlineStr">
        <is>
          <t>Disneyland Park</t>
        </is>
      </c>
      <c r="E16594" s="8" t="inlineStr">
        <is>
          <t>Rustler Roundup Shootin' Gallery</t>
        </is>
      </c>
      <c r="F16594" s="8" t="inlineStr">
        <is>
          <t>STANDBY</t>
        </is>
      </c>
      <c r="G16594" s="8" t="n">
        <v>0</v>
      </c>
      <c r="H16594" s="8" t="inlineStr">
        <is>
          <t>OPERATING</t>
        </is>
      </c>
    </row>
    <row r="16595">
      <c r="A16595" s="8" t="inlineStr">
        <is>
          <t>2026-08-03</t>
        </is>
      </c>
      <c r="B16595" s="8" t="n">
        <v>20</v>
      </c>
      <c r="C16595" s="8" t="n">
        <v>1</v>
      </c>
      <c r="D16595" s="8" t="inlineStr">
        <is>
          <t>Disneyland Park</t>
        </is>
      </c>
      <c r="E16595" s="8" t="inlineStr">
        <is>
          <t>Thunder Mesa Riverboat Landing</t>
        </is>
      </c>
      <c r="F16595" s="8" t="inlineStr">
        <is>
          <t>STANDBY</t>
        </is>
      </c>
      <c r="G16595" s="8" t="n">
        <v>0</v>
      </c>
      <c r="H16595" s="8" t="inlineStr">
        <is>
          <t>CLOSED</t>
        </is>
      </c>
    </row>
    <row r="16596">
      <c r="A16596" s="8" t="inlineStr">
        <is>
          <t>2026-08-03</t>
        </is>
      </c>
      <c r="B16596" s="8" t="n">
        <v>20</v>
      </c>
      <c r="C16596" s="8" t="n">
        <v>1</v>
      </c>
      <c r="D16596" s="8" t="inlineStr">
        <is>
          <t>Disneyland Park</t>
        </is>
      </c>
      <c r="E16596" s="8" t="inlineStr">
        <is>
          <t>Disneyland Railroad Main Street Station</t>
        </is>
      </c>
      <c r="F16596" s="8" t="inlineStr">
        <is>
          <t>STANDBY</t>
        </is>
      </c>
      <c r="G16596" s="8" t="n">
        <v>0</v>
      </c>
      <c r="H16596" s="8" t="inlineStr">
        <is>
          <t>CLOSED</t>
        </is>
      </c>
    </row>
    <row r="16597">
      <c r="A16597" s="8" t="inlineStr">
        <is>
          <t>2026-08-03</t>
        </is>
      </c>
      <c r="B16597" s="8" t="n">
        <v>20</v>
      </c>
      <c r="C16597" s="8" t="n">
        <v>1</v>
      </c>
      <c r="D16597" s="8" t="inlineStr">
        <is>
          <t>Disneyland Park</t>
        </is>
      </c>
      <c r="E16597" s="8" t="inlineStr">
        <is>
          <t>Main Street Vehicles</t>
        </is>
      </c>
      <c r="F16597" s="8" t="inlineStr">
        <is>
          <t>STANDBY</t>
        </is>
      </c>
      <c r="G16597" s="8" t="n">
        <v>0</v>
      </c>
      <c r="H16597" s="8" t="inlineStr">
        <is>
          <t>CLOSED</t>
        </is>
      </c>
    </row>
    <row r="16598">
      <c r="A16598" s="8" t="inlineStr">
        <is>
          <t>2026-08-03</t>
        </is>
      </c>
      <c r="B16598" s="8" t="n">
        <v>20</v>
      </c>
      <c r="C16598" s="8" t="n">
        <v>1</v>
      </c>
      <c r="D16598" s="8" t="inlineStr">
        <is>
          <t>Disney Adventure World</t>
        </is>
      </c>
      <c r="E16598" s="8" t="inlineStr">
        <is>
          <t>Avengers Assemble: Flight Force</t>
        </is>
      </c>
      <c r="F16598" s="8" t="inlineStr">
        <is>
          <t>STANDBY</t>
        </is>
      </c>
      <c r="G16598" s="8" t="n">
        <v>15</v>
      </c>
      <c r="H16598" s="8" t="inlineStr">
        <is>
          <t>OPERATING</t>
        </is>
      </c>
    </row>
    <row r="16599">
      <c r="A16599" s="8" t="inlineStr">
        <is>
          <t>2026-08-03</t>
        </is>
      </c>
      <c r="B16599" s="8" t="n">
        <v>20</v>
      </c>
      <c r="C16599" s="8" t="n">
        <v>1</v>
      </c>
      <c r="D16599" s="8" t="inlineStr">
        <is>
          <t>Disney Adventure World</t>
        </is>
      </c>
      <c r="E16599" s="8" t="inlineStr">
        <is>
          <t>Avengers Assemble: Flight Force Single Rider</t>
        </is>
      </c>
      <c r="F16599" s="8" t="inlineStr">
        <is>
          <t>STANDBY</t>
        </is>
      </c>
      <c r="G16599" s="8" t="n">
        <v>5</v>
      </c>
      <c r="H16599" s="8" t="inlineStr">
        <is>
          <t>OPERATING</t>
        </is>
      </c>
    </row>
    <row r="16600">
      <c r="A16600" s="8" t="inlineStr">
        <is>
          <t>2026-08-03</t>
        </is>
      </c>
      <c r="B16600" s="8" t="n">
        <v>20</v>
      </c>
      <c r="C16600" s="8" t="n">
        <v>1</v>
      </c>
      <c r="D16600" s="8" t="inlineStr">
        <is>
          <t>Disney Adventure World</t>
        </is>
      </c>
      <c r="E16600" s="8" t="inlineStr">
        <is>
          <t>Spider-Man W.E.B. Adventure</t>
        </is>
      </c>
      <c r="F16600" s="8" t="inlineStr">
        <is>
          <t>STANDBY</t>
        </is>
      </c>
      <c r="G16600" s="8" t="n">
        <v>35</v>
      </c>
      <c r="H16600" s="8" t="inlineStr">
        <is>
          <t>OPERATING</t>
        </is>
      </c>
    </row>
    <row r="16601">
      <c r="A16601" s="8" t="inlineStr">
        <is>
          <t>2026-08-03</t>
        </is>
      </c>
      <c r="B16601" s="8" t="n">
        <v>20</v>
      </c>
      <c r="C16601" s="8" t="n">
        <v>1</v>
      </c>
      <c r="D16601" s="8" t="inlineStr">
        <is>
          <t>Disney Adventure World</t>
        </is>
      </c>
      <c r="E16601" s="8" t="inlineStr">
        <is>
          <t>Spider-Man W.E.B. Adventure Single Rider</t>
        </is>
      </c>
      <c r="F16601" s="8" t="inlineStr">
        <is>
          <t>STANDBY</t>
        </is>
      </c>
      <c r="G16601" s="8" t="n">
        <v>15</v>
      </c>
      <c r="H16601" s="8" t="inlineStr">
        <is>
          <t>OPERATING</t>
        </is>
      </c>
    </row>
    <row r="16602">
      <c r="A16602" s="8" t="inlineStr">
        <is>
          <t>2026-08-03</t>
        </is>
      </c>
      <c r="B16602" s="8" t="n">
        <v>20</v>
      </c>
      <c r="C16602" s="8" t="n">
        <v>1</v>
      </c>
      <c r="D16602" s="8" t="inlineStr">
        <is>
          <t>Disney Adventure World</t>
        </is>
      </c>
      <c r="E16602" s="8" t="inlineStr">
        <is>
          <t>The Twilight Zone Tower of Terror</t>
        </is>
      </c>
      <c r="F16602" s="8" t="inlineStr">
        <is>
          <t>STANDBY</t>
        </is>
      </c>
      <c r="G16602" s="8" t="n">
        <v>25</v>
      </c>
      <c r="H16602" s="8" t="inlineStr">
        <is>
          <t>OPERATING</t>
        </is>
      </c>
    </row>
    <row r="16603">
      <c r="A16603" s="8" t="inlineStr">
        <is>
          <t>2026-08-03</t>
        </is>
      </c>
      <c r="B16603" s="8" t="n">
        <v>20</v>
      </c>
      <c r="C16603" s="8" t="n">
        <v>1</v>
      </c>
      <c r="D16603" s="8" t="inlineStr">
        <is>
          <t>Disney Adventure World</t>
        </is>
      </c>
      <c r="E16603" s="8" t="inlineStr">
        <is>
          <t>Cars Quatre Roues Rallye</t>
        </is>
      </c>
      <c r="F16603" s="8" t="inlineStr">
        <is>
          <t>STANDBY</t>
        </is>
      </c>
      <c r="G16603" s="8" t="n">
        <v>5</v>
      </c>
      <c r="H16603" s="8" t="inlineStr">
        <is>
          <t>OPERATING</t>
        </is>
      </c>
    </row>
    <row r="16604">
      <c r="A16604" s="8" t="inlineStr">
        <is>
          <t>2026-08-03</t>
        </is>
      </c>
      <c r="B16604" s="8" t="n">
        <v>20</v>
      </c>
      <c r="C16604" s="8" t="n">
        <v>1</v>
      </c>
      <c r="D16604" s="8" t="inlineStr">
        <is>
          <t>Disney Adventure World</t>
        </is>
      </c>
      <c r="E16604" s="8" t="inlineStr">
        <is>
          <t>Cars ROAD TRIP</t>
        </is>
      </c>
      <c r="F16604" s="8" t="inlineStr">
        <is>
          <t>STANDBY</t>
        </is>
      </c>
      <c r="G16604" s="8" t="n">
        <v>0</v>
      </c>
      <c r="H16604" s="8" t="inlineStr">
        <is>
          <t>CLOSED</t>
        </is>
      </c>
    </row>
    <row r="16605">
      <c r="A16605" s="8" t="inlineStr">
        <is>
          <t>2026-08-03</t>
        </is>
      </c>
      <c r="B16605" s="8" t="n">
        <v>20</v>
      </c>
      <c r="C16605" s="8" t="n">
        <v>1</v>
      </c>
      <c r="D16605" s="8" t="inlineStr">
        <is>
          <t>Disney Adventure World</t>
        </is>
      </c>
      <c r="E16605" s="8" t="inlineStr">
        <is>
          <t>Crush's Coaster</t>
        </is>
      </c>
      <c r="F16605" s="8" t="inlineStr">
        <is>
          <t>STANDBY</t>
        </is>
      </c>
      <c r="G16605" s="8" t="n">
        <v>60</v>
      </c>
      <c r="H16605" s="8" t="inlineStr">
        <is>
          <t>OPERATING</t>
        </is>
      </c>
    </row>
    <row r="16606">
      <c r="A16606" s="8" t="inlineStr">
        <is>
          <t>2026-08-03</t>
        </is>
      </c>
      <c r="B16606" s="8" t="n">
        <v>20</v>
      </c>
      <c r="C16606" s="8" t="n">
        <v>1</v>
      </c>
      <c r="D16606" s="8" t="inlineStr">
        <is>
          <t>Disney Adventure World</t>
        </is>
      </c>
      <c r="E16606" s="8" t="inlineStr">
        <is>
          <t>Crush's Coaster Single Rider</t>
        </is>
      </c>
      <c r="F16606" s="8" t="inlineStr">
        <is>
          <t>STANDBY</t>
        </is>
      </c>
      <c r="G16606" s="8" t="n">
        <v>50</v>
      </c>
      <c r="H16606" s="8" t="inlineStr">
        <is>
          <t>OPERATING</t>
        </is>
      </c>
    </row>
    <row r="16607">
      <c r="A16607" s="8" t="inlineStr">
        <is>
          <t>2026-08-03</t>
        </is>
      </c>
      <c r="B16607" s="8" t="n">
        <v>20</v>
      </c>
      <c r="C16607" s="8" t="n">
        <v>1</v>
      </c>
      <c r="D16607" s="8" t="inlineStr">
        <is>
          <t>Disney Adventure World</t>
        </is>
      </c>
      <c r="E16607" s="8" t="inlineStr">
        <is>
          <t>Les Tapis Volants - Flying Carpets Over Agrabah®</t>
        </is>
      </c>
      <c r="F16607" s="8" t="inlineStr">
        <is>
          <t>STANDBY</t>
        </is>
      </c>
      <c r="G16607" s="8" t="n">
        <v>5</v>
      </c>
      <c r="H16607" s="8" t="inlineStr">
        <is>
          <t>OPERATING</t>
        </is>
      </c>
    </row>
    <row r="16608">
      <c r="A16608" s="8" t="inlineStr">
        <is>
          <t>2026-08-03</t>
        </is>
      </c>
      <c r="B16608" s="8" t="n">
        <v>20</v>
      </c>
      <c r="C16608" s="8" t="n">
        <v>1</v>
      </c>
      <c r="D16608" s="8" t="inlineStr">
        <is>
          <t>Disney Adventure World</t>
        </is>
      </c>
      <c r="E16608" s="8" t="inlineStr">
        <is>
          <t>Ratatouille : L’Aventure Totalement Toquée de Rémy​</t>
        </is>
      </c>
      <c r="F16608" s="8" t="inlineStr">
        <is>
          <t>STANDBY</t>
        </is>
      </c>
      <c r="G16608" s="8" t="n">
        <v>0</v>
      </c>
      <c r="H16608" s="8" t="inlineStr">
        <is>
          <t>CLOSED</t>
        </is>
      </c>
    </row>
    <row r="16609">
      <c r="A16609" s="8" t="inlineStr">
        <is>
          <t>2026-08-03</t>
        </is>
      </c>
      <c r="B16609" s="8" t="n">
        <v>20</v>
      </c>
      <c r="C16609" s="8" t="n">
        <v>1</v>
      </c>
      <c r="D16609" s="8" t="inlineStr">
        <is>
          <t>Disney Adventure World</t>
        </is>
      </c>
      <c r="E16609" s="8" t="inlineStr">
        <is>
          <t>Ratatouille: The Adventure Single Rider</t>
        </is>
      </c>
      <c r="F16609" s="8" t="inlineStr">
        <is>
          <t>STANDBY</t>
        </is>
      </c>
      <c r="G16609" s="8" t="n">
        <v>0</v>
      </c>
      <c r="H16609" s="8" t="inlineStr">
        <is>
          <t>CLOSED</t>
        </is>
      </c>
    </row>
    <row r="16610">
      <c r="A16610" s="8" t="inlineStr">
        <is>
          <t>2026-08-03</t>
        </is>
      </c>
      <c r="B16610" s="8" t="n">
        <v>20</v>
      </c>
      <c r="C16610" s="8" t="n">
        <v>1</v>
      </c>
      <c r="D16610" s="8" t="inlineStr">
        <is>
          <t>Disney Adventure World</t>
        </is>
      </c>
      <c r="E16610" s="8" t="inlineStr">
        <is>
          <t>RC Racer</t>
        </is>
      </c>
      <c r="F16610" s="8" t="inlineStr">
        <is>
          <t>STANDBY</t>
        </is>
      </c>
      <c r="G16610" s="8" t="n">
        <v>50</v>
      </c>
      <c r="H16610" s="8" t="inlineStr">
        <is>
          <t>OPERATING</t>
        </is>
      </c>
    </row>
    <row r="16611">
      <c r="A16611" s="8" t="inlineStr">
        <is>
          <t>2026-08-03</t>
        </is>
      </c>
      <c r="B16611" s="8" t="n">
        <v>20</v>
      </c>
      <c r="C16611" s="8" t="n">
        <v>1</v>
      </c>
      <c r="D16611" s="8" t="inlineStr">
        <is>
          <t>Disney Adventure World</t>
        </is>
      </c>
      <c r="E16611" s="8" t="inlineStr">
        <is>
          <t>RC Racer Single Rider</t>
        </is>
      </c>
      <c r="F16611" s="8" t="inlineStr">
        <is>
          <t>STANDBY</t>
        </is>
      </c>
      <c r="G16611" s="8" t="n">
        <v>45</v>
      </c>
      <c r="H16611" s="8" t="inlineStr">
        <is>
          <t>OPERATING</t>
        </is>
      </c>
    </row>
    <row r="16612">
      <c r="A16612" s="8" t="inlineStr">
        <is>
          <t>2026-08-03</t>
        </is>
      </c>
      <c r="B16612" s="8" t="n">
        <v>20</v>
      </c>
      <c r="C16612" s="8" t="n">
        <v>1</v>
      </c>
      <c r="D16612" s="8" t="inlineStr">
        <is>
          <t>Disney Adventure World</t>
        </is>
      </c>
      <c r="E16612" s="8" t="inlineStr">
        <is>
          <t>Slinky® Dog Zigzag Spin</t>
        </is>
      </c>
      <c r="F16612" s="8" t="inlineStr">
        <is>
          <t>STANDBY</t>
        </is>
      </c>
      <c r="G16612" s="8" t="n">
        <v>0</v>
      </c>
      <c r="H16612" s="8" t="inlineStr">
        <is>
          <t>CLOSED</t>
        </is>
      </c>
    </row>
    <row r="16613">
      <c r="A16613" s="8" t="inlineStr">
        <is>
          <t>2026-08-03</t>
        </is>
      </c>
      <c r="B16613" s="8" t="n">
        <v>20</v>
      </c>
      <c r="C16613" s="8" t="n">
        <v>1</v>
      </c>
      <c r="D16613" s="8" t="inlineStr">
        <is>
          <t>Disney Adventure World</t>
        </is>
      </c>
      <c r="E16613" s="8" t="inlineStr">
        <is>
          <t>Toy Soldiers Parachute Drop</t>
        </is>
      </c>
      <c r="F16613" s="8" t="inlineStr">
        <is>
          <t>STANDBY</t>
        </is>
      </c>
      <c r="G16613" s="8" t="n">
        <v>0</v>
      </c>
      <c r="H16613" s="8" t="inlineStr">
        <is>
          <t>CLOSED</t>
        </is>
      </c>
    </row>
    <row r="16614">
      <c r="A16614" s="8" t="inlineStr">
        <is>
          <t>2026-08-03</t>
        </is>
      </c>
      <c r="B16614" s="8" t="n">
        <v>20</v>
      </c>
      <c r="C16614" s="8" t="n">
        <v>1</v>
      </c>
      <c r="D16614" s="8" t="inlineStr">
        <is>
          <t>Disney Adventure World</t>
        </is>
      </c>
      <c r="E16614" s="8" t="inlineStr">
        <is>
          <t>Toy Soldiers Parachute Drop Single Rider</t>
        </is>
      </c>
      <c r="F16614" s="8" t="inlineStr">
        <is>
          <t>STANDBY</t>
        </is>
      </c>
      <c r="G16614" s="8" t="n">
        <v>0</v>
      </c>
      <c r="H16614" s="8" t="inlineStr">
        <is>
          <t>CLOSED</t>
        </is>
      </c>
    </row>
    <row r="16615">
      <c r="A16615" s="8" t="inlineStr">
        <is>
          <t>2026-08-03</t>
        </is>
      </c>
      <c r="B16615" s="8" t="n">
        <v>20</v>
      </c>
      <c r="C16615" s="8" t="n">
        <v>1</v>
      </c>
      <c r="D16615" s="8" t="inlineStr">
        <is>
          <t>Disney Adventure World</t>
        </is>
      </c>
      <c r="E16615" s="8" t="inlineStr">
        <is>
          <t>Entry to World of Frozen</t>
        </is>
      </c>
      <c r="F16615" s="8" t="inlineStr">
        <is>
          <t>STANDBY</t>
        </is>
      </c>
      <c r="G16615" s="8" t="n">
        <v>0</v>
      </c>
      <c r="H16615" s="8" t="inlineStr">
        <is>
          <t>OPERATING</t>
        </is>
      </c>
    </row>
    <row r="16616">
      <c r="A16616" s="8" t="inlineStr">
        <is>
          <t>2026-08-03</t>
        </is>
      </c>
      <c r="B16616" s="8" t="n">
        <v>20</v>
      </c>
      <c r="C16616" s="8" t="n">
        <v>1</v>
      </c>
      <c r="D16616" s="8" t="inlineStr">
        <is>
          <t>Disney Adventure World</t>
        </is>
      </c>
      <c r="E16616" s="8" t="inlineStr">
        <is>
          <t>Frozen Ever After</t>
        </is>
      </c>
      <c r="F16616" s="8" t="inlineStr">
        <is>
          <t>STANDBY</t>
        </is>
      </c>
      <c r="G16616" s="8" t="n">
        <v>45</v>
      </c>
      <c r="H16616" s="8" t="inlineStr">
        <is>
          <t>OPERATING</t>
        </is>
      </c>
    </row>
    <row r="16617">
      <c r="A16617" s="8" t="inlineStr">
        <is>
          <t>2026-08-03</t>
        </is>
      </c>
      <c r="B16617" s="8" t="n">
        <v>20</v>
      </c>
      <c r="C16617" s="8" t="n">
        <v>1</v>
      </c>
      <c r="D16617" s="8" t="inlineStr">
        <is>
          <t>Disney Adventure World</t>
        </is>
      </c>
      <c r="E16617" s="8" t="inlineStr">
        <is>
          <t>Raiponce Tangled Spin</t>
        </is>
      </c>
      <c r="F16617" s="8" t="inlineStr">
        <is>
          <t>STANDBY</t>
        </is>
      </c>
      <c r="G16617" s="8" t="n">
        <v>5</v>
      </c>
      <c r="H16617" s="8" t="inlineStr">
        <is>
          <t>OPERATING</t>
        </is>
      </c>
    </row>
    <row r="16618">
      <c r="A16618" s="8" t="inlineStr">
        <is>
          <t>2026-08-03</t>
        </is>
      </c>
      <c r="B16618" s="8" t="n">
        <v>20</v>
      </c>
      <c r="C16618" s="8" t="n">
        <v>15</v>
      </c>
      <c r="D16618" s="8" t="inlineStr">
        <is>
          <t>Disneyland Park</t>
        </is>
      </c>
      <c r="E16618" s="8" t="inlineStr">
        <is>
          <t>Adventure Isle</t>
        </is>
      </c>
      <c r="F16618" s="8" t="inlineStr">
        <is>
          <t>STANDBY</t>
        </is>
      </c>
      <c r="G16618" s="8" t="n">
        <v>0</v>
      </c>
      <c r="H16618" s="8" t="inlineStr">
        <is>
          <t>OPERATING</t>
        </is>
      </c>
    </row>
    <row r="16619">
      <c r="A16619" s="8" t="inlineStr">
        <is>
          <t>2026-08-03</t>
        </is>
      </c>
      <c r="B16619" s="8" t="n">
        <v>20</v>
      </c>
      <c r="C16619" s="8" t="n">
        <v>15</v>
      </c>
      <c r="D16619" s="8" t="inlineStr">
        <is>
          <t>Disneyland Park</t>
        </is>
      </c>
      <c r="E16619" s="8" t="inlineStr">
        <is>
          <t>Indiana Jones and the Temple of Peril Single Rider</t>
        </is>
      </c>
      <c r="F16619" s="8" t="inlineStr">
        <is>
          <t>STANDBY</t>
        </is>
      </c>
      <c r="G16619" s="8" t="n">
        <v>10</v>
      </c>
      <c r="H16619" s="8" t="inlineStr">
        <is>
          <t>OPERATING</t>
        </is>
      </c>
    </row>
    <row r="16620">
      <c r="A16620" s="8" t="inlineStr">
        <is>
          <t>2026-08-03</t>
        </is>
      </c>
      <c r="B16620" s="8" t="n">
        <v>20</v>
      </c>
      <c r="C16620" s="8" t="n">
        <v>15</v>
      </c>
      <c r="D16620" s="8" t="inlineStr">
        <is>
          <t>Disneyland Park</t>
        </is>
      </c>
      <c r="E16620" s="8" t="inlineStr">
        <is>
          <t>Indiana Jones™ and the Temple of Peril</t>
        </is>
      </c>
      <c r="F16620" s="8" t="inlineStr">
        <is>
          <t>STANDBY</t>
        </is>
      </c>
      <c r="G16620" s="8" t="n">
        <v>20</v>
      </c>
      <c r="H16620" s="8" t="inlineStr">
        <is>
          <t>OPERATING</t>
        </is>
      </c>
    </row>
    <row r="16621">
      <c r="A16621" s="8" t="inlineStr">
        <is>
          <t>2026-08-03</t>
        </is>
      </c>
      <c r="B16621" s="8" t="n">
        <v>20</v>
      </c>
      <c r="C16621" s="8" t="n">
        <v>15</v>
      </c>
      <c r="D16621" s="8" t="inlineStr">
        <is>
          <t>Disneyland Park</t>
        </is>
      </c>
      <c r="E16621" s="8" t="inlineStr">
        <is>
          <t>La Cabane des Robinson</t>
        </is>
      </c>
      <c r="F16621" s="8" t="inlineStr">
        <is>
          <t>STANDBY</t>
        </is>
      </c>
      <c r="G16621" s="8" t="n">
        <v>5</v>
      </c>
      <c r="H16621" s="8" t="inlineStr">
        <is>
          <t>OPERATING</t>
        </is>
      </c>
    </row>
    <row r="16622">
      <c r="A16622" s="8" t="inlineStr">
        <is>
          <t>2026-08-03</t>
        </is>
      </c>
      <c r="B16622" s="8" t="n">
        <v>20</v>
      </c>
      <c r="C16622" s="8" t="n">
        <v>15</v>
      </c>
      <c r="D16622" s="8" t="inlineStr">
        <is>
          <t>Disneyland Park</t>
        </is>
      </c>
      <c r="E16622" s="8" t="inlineStr">
        <is>
          <t>Le Passage Enchanté d'Aladdin</t>
        </is>
      </c>
      <c r="F16622" s="8" t="inlineStr">
        <is>
          <t>STANDBY</t>
        </is>
      </c>
      <c r="G16622" s="8" t="n">
        <v>0</v>
      </c>
      <c r="H16622" s="8" t="inlineStr">
        <is>
          <t>OPERATING</t>
        </is>
      </c>
    </row>
    <row r="16623">
      <c r="A16623" s="8" t="inlineStr">
        <is>
          <t>2026-08-03</t>
        </is>
      </c>
      <c r="B16623" s="8" t="n">
        <v>20</v>
      </c>
      <c r="C16623" s="8" t="n">
        <v>15</v>
      </c>
      <c r="D16623" s="8" t="inlineStr">
        <is>
          <t>Disneyland Park</t>
        </is>
      </c>
      <c r="E16623" s="8" t="inlineStr">
        <is>
          <t>Pirate Galleon</t>
        </is>
      </c>
      <c r="F16623" s="8" t="inlineStr">
        <is>
          <t>STANDBY</t>
        </is>
      </c>
      <c r="G16623" s="8" t="n">
        <v>0</v>
      </c>
      <c r="H16623" s="8" t="inlineStr">
        <is>
          <t>CLOSED</t>
        </is>
      </c>
    </row>
    <row r="16624">
      <c r="A16624" s="8" t="inlineStr">
        <is>
          <t>2026-08-03</t>
        </is>
      </c>
      <c r="B16624" s="8" t="n">
        <v>20</v>
      </c>
      <c r="C16624" s="8" t="n">
        <v>15</v>
      </c>
      <c r="D16624" s="8" t="inlineStr">
        <is>
          <t>Disneyland Park</t>
        </is>
      </c>
      <c r="E16624" s="8" t="inlineStr">
        <is>
          <t>Pirates of the Caribbean</t>
        </is>
      </c>
      <c r="F16624" s="8" t="inlineStr">
        <is>
          <t>STANDBY</t>
        </is>
      </c>
      <c r="G16624" s="8" t="n">
        <v>5</v>
      </c>
      <c r="H16624" s="8" t="inlineStr">
        <is>
          <t>OPERATING</t>
        </is>
      </c>
    </row>
    <row r="16625">
      <c r="A16625" s="8" t="inlineStr">
        <is>
          <t>2026-08-03</t>
        </is>
      </c>
      <c r="B16625" s="8" t="n">
        <v>20</v>
      </c>
      <c r="C16625" s="8" t="n">
        <v>15</v>
      </c>
      <c r="D16625" s="8" t="inlineStr">
        <is>
          <t>Disneyland Park</t>
        </is>
      </c>
      <c r="E16625" s="8" t="inlineStr">
        <is>
          <t>Pirates' Beach</t>
        </is>
      </c>
      <c r="F16625" s="8" t="inlineStr">
        <is>
          <t>STANDBY</t>
        </is>
      </c>
      <c r="G16625" s="8" t="n">
        <v>0</v>
      </c>
      <c r="H16625" s="8" t="inlineStr">
        <is>
          <t>OPERATING</t>
        </is>
      </c>
    </row>
    <row r="16626">
      <c r="A16626" s="8" t="inlineStr">
        <is>
          <t>2026-08-03</t>
        </is>
      </c>
      <c r="B16626" s="8" t="n">
        <v>20</v>
      </c>
      <c r="C16626" s="8" t="n">
        <v>15</v>
      </c>
      <c r="D16626" s="8" t="inlineStr">
        <is>
          <t>Disneyland Park</t>
        </is>
      </c>
      <c r="E16626" s="8" t="inlineStr">
        <is>
          <t>Autopia, presented by Avis</t>
        </is>
      </c>
      <c r="F16626" s="8" t="inlineStr">
        <is>
          <t>STANDBY</t>
        </is>
      </c>
      <c r="G16626" s="8" t="n">
        <v>110</v>
      </c>
      <c r="H16626" s="8" t="inlineStr">
        <is>
          <t>OPERATING</t>
        </is>
      </c>
    </row>
    <row r="16627">
      <c r="A16627" s="8" t="inlineStr">
        <is>
          <t>2026-08-03</t>
        </is>
      </c>
      <c r="B16627" s="8" t="n">
        <v>20</v>
      </c>
      <c r="C16627" s="8" t="n">
        <v>15</v>
      </c>
      <c r="D16627" s="8" t="inlineStr">
        <is>
          <t>Disneyland Park</t>
        </is>
      </c>
      <c r="E16627" s="8" t="inlineStr">
        <is>
          <t>Buzz Lightyear Laser Blast</t>
        </is>
      </c>
      <c r="F16627" s="8" t="inlineStr">
        <is>
          <t>STANDBY</t>
        </is>
      </c>
      <c r="G16627" s="8" t="n">
        <v>40</v>
      </c>
      <c r="H16627" s="8" t="inlineStr">
        <is>
          <t>OPERATING</t>
        </is>
      </c>
    </row>
    <row r="16628">
      <c r="A16628" s="8" t="inlineStr">
        <is>
          <t>2026-08-03</t>
        </is>
      </c>
      <c r="B16628" s="8" t="n">
        <v>20</v>
      </c>
      <c r="C16628" s="8" t="n">
        <v>15</v>
      </c>
      <c r="D16628" s="8" t="inlineStr">
        <is>
          <t>Disneyland Park</t>
        </is>
      </c>
      <c r="E16628" s="8" t="inlineStr">
        <is>
          <t>Disneyland Railroad Discoveryland Station</t>
        </is>
      </c>
      <c r="F16628" s="8" t="inlineStr">
        <is>
          <t>STANDBY</t>
        </is>
      </c>
      <c r="G16628" s="8" t="n">
        <v>0</v>
      </c>
      <c r="H16628" s="8" t="inlineStr">
        <is>
          <t>CLOSED</t>
        </is>
      </c>
    </row>
    <row r="16629">
      <c r="A16629" s="8" t="inlineStr">
        <is>
          <t>2026-08-03</t>
        </is>
      </c>
      <c r="B16629" s="8" t="n">
        <v>20</v>
      </c>
      <c r="C16629" s="8" t="n">
        <v>15</v>
      </c>
      <c r="D16629" s="8" t="inlineStr">
        <is>
          <t>Disneyland Park</t>
        </is>
      </c>
      <c r="E16629" s="8" t="inlineStr">
        <is>
          <t>Les Mystères du Nautilus</t>
        </is>
      </c>
      <c r="F16629" s="8" t="inlineStr">
        <is>
          <t>STANDBY</t>
        </is>
      </c>
      <c r="G16629" s="8" t="n">
        <v>5</v>
      </c>
      <c r="H16629" s="8" t="inlineStr">
        <is>
          <t>OPERATING</t>
        </is>
      </c>
    </row>
    <row r="16630">
      <c r="A16630" s="8" t="inlineStr">
        <is>
          <t>2026-08-03</t>
        </is>
      </c>
      <c r="B16630" s="8" t="n">
        <v>20</v>
      </c>
      <c r="C16630" s="8" t="n">
        <v>15</v>
      </c>
      <c r="D16630" s="8" t="inlineStr">
        <is>
          <t>Disneyland Park</t>
        </is>
      </c>
      <c r="E16630" s="8" t="inlineStr">
        <is>
          <t>Mickey’s PhilharMagic</t>
        </is>
      </c>
      <c r="F16630" s="8" t="inlineStr">
        <is>
          <t>STANDBY</t>
        </is>
      </c>
      <c r="G16630" s="8" t="n">
        <v>0</v>
      </c>
      <c r="H16630" s="8" t="inlineStr">
        <is>
          <t>CLOSED</t>
        </is>
      </c>
    </row>
    <row r="16631">
      <c r="A16631" s="8" t="inlineStr">
        <is>
          <t>2026-08-03</t>
        </is>
      </c>
      <c r="B16631" s="8" t="n">
        <v>20</v>
      </c>
      <c r="C16631" s="8" t="n">
        <v>15</v>
      </c>
      <c r="D16631" s="8" t="inlineStr">
        <is>
          <t>Disneyland Park</t>
        </is>
      </c>
      <c r="E16631" s="8" t="inlineStr">
        <is>
          <t>Orbitron®</t>
        </is>
      </c>
      <c r="F16631" s="8" t="inlineStr">
        <is>
          <t>STANDBY</t>
        </is>
      </c>
      <c r="G16631" s="8" t="n">
        <v>50</v>
      </c>
      <c r="H16631" s="8" t="inlineStr">
        <is>
          <t>OPERATING</t>
        </is>
      </c>
    </row>
    <row r="16632">
      <c r="A16632" s="8" t="inlineStr">
        <is>
          <t>2026-08-03</t>
        </is>
      </c>
      <c r="B16632" s="8" t="n">
        <v>20</v>
      </c>
      <c r="C16632" s="8" t="n">
        <v>15</v>
      </c>
      <c r="D16632" s="8" t="inlineStr">
        <is>
          <t>Disneyland Park</t>
        </is>
      </c>
      <c r="E16632" s="8" t="inlineStr">
        <is>
          <t>Star Tours: The Adventures Continue*</t>
        </is>
      </c>
      <c r="F16632" s="8" t="inlineStr">
        <is>
          <t>STANDBY</t>
        </is>
      </c>
      <c r="G16632" s="8" t="n">
        <v>10</v>
      </c>
      <c r="H16632" s="8" t="inlineStr">
        <is>
          <t>OPERATING</t>
        </is>
      </c>
    </row>
    <row r="16633">
      <c r="A16633" s="8" t="inlineStr">
        <is>
          <t>2026-08-03</t>
        </is>
      </c>
      <c r="B16633" s="8" t="n">
        <v>20</v>
      </c>
      <c r="C16633" s="8" t="n">
        <v>15</v>
      </c>
      <c r="D16633" s="8" t="inlineStr">
        <is>
          <t>Disneyland Park</t>
        </is>
      </c>
      <c r="E16633" s="8" t="inlineStr">
        <is>
          <t>Star Wars Hyperspace Mountain</t>
        </is>
      </c>
      <c r="F16633" s="8" t="inlineStr">
        <is>
          <t>STANDBY</t>
        </is>
      </c>
      <c r="G16633" s="8" t="n">
        <v>20</v>
      </c>
      <c r="H16633" s="8" t="inlineStr">
        <is>
          <t>OPERATING</t>
        </is>
      </c>
    </row>
    <row r="16634">
      <c r="A16634" s="8" t="inlineStr">
        <is>
          <t>2026-08-03</t>
        </is>
      </c>
      <c r="B16634" s="8" t="n">
        <v>20</v>
      </c>
      <c r="C16634" s="8" t="n">
        <v>15</v>
      </c>
      <c r="D16634" s="8" t="inlineStr">
        <is>
          <t>Disneyland Park</t>
        </is>
      </c>
      <c r="E16634" s="8" t="inlineStr">
        <is>
          <t>Star Wars Hyperspace Mountain Single Rider</t>
        </is>
      </c>
      <c r="F16634" s="8" t="inlineStr">
        <is>
          <t>STANDBY</t>
        </is>
      </c>
      <c r="G16634" s="8" t="n">
        <v>10</v>
      </c>
      <c r="H16634" s="8" t="inlineStr">
        <is>
          <t>OPERATING</t>
        </is>
      </c>
    </row>
    <row r="16635">
      <c r="A16635" s="8" t="inlineStr">
        <is>
          <t>2026-08-03</t>
        </is>
      </c>
      <c r="B16635" s="8" t="n">
        <v>20</v>
      </c>
      <c r="C16635" s="8" t="n">
        <v>15</v>
      </c>
      <c r="D16635" s="8" t="inlineStr">
        <is>
          <t>Disneyland Park</t>
        </is>
      </c>
      <c r="E16635" s="8" t="inlineStr">
        <is>
          <t>Welcome to Starport: A Star Wars Encounter</t>
        </is>
      </c>
      <c r="F16635" s="8" t="inlineStr">
        <is>
          <t>STANDBY</t>
        </is>
      </c>
      <c r="G16635" s="8" t="n">
        <v>0</v>
      </c>
      <c r="H16635" s="8" t="inlineStr">
        <is>
          <t>CLOSED</t>
        </is>
      </c>
    </row>
    <row r="16636">
      <c r="A16636" s="8" t="inlineStr">
        <is>
          <t>2026-08-03</t>
        </is>
      </c>
      <c r="B16636" s="8" t="n">
        <v>20</v>
      </c>
      <c r="C16636" s="8" t="n">
        <v>15</v>
      </c>
      <c r="D16636" s="8" t="inlineStr">
        <is>
          <t>Disneyland Park</t>
        </is>
      </c>
      <c r="E16636" s="8" t="inlineStr">
        <is>
          <t>"it's a small world"</t>
        </is>
      </c>
      <c r="F16636" s="8" t="inlineStr">
        <is>
          <t>STANDBY</t>
        </is>
      </c>
      <c r="G16636" s="8" t="n">
        <v>5</v>
      </c>
      <c r="H16636" s="8" t="inlineStr">
        <is>
          <t>OPERATING</t>
        </is>
      </c>
    </row>
    <row r="16637">
      <c r="A16637" s="8" t="inlineStr">
        <is>
          <t>2026-08-03</t>
        </is>
      </c>
      <c r="B16637" s="8" t="n">
        <v>20</v>
      </c>
      <c r="C16637" s="8" t="n">
        <v>15</v>
      </c>
      <c r="D16637" s="8" t="inlineStr">
        <is>
          <t>Disneyland Park</t>
        </is>
      </c>
      <c r="E16637" s="8" t="inlineStr">
        <is>
          <t>Alice's Curious Labyrinth</t>
        </is>
      </c>
      <c r="F16637" s="8" t="inlineStr">
        <is>
          <t>STANDBY</t>
        </is>
      </c>
      <c r="G16637" s="8" t="n">
        <v>5</v>
      </c>
      <c r="H16637" s="8" t="inlineStr">
        <is>
          <t>OPERATING</t>
        </is>
      </c>
    </row>
    <row r="16638">
      <c r="A16638" s="8" t="inlineStr">
        <is>
          <t>2026-08-03</t>
        </is>
      </c>
      <c r="B16638" s="8" t="n">
        <v>20</v>
      </c>
      <c r="C16638" s="8" t="n">
        <v>15</v>
      </c>
      <c r="D16638" s="8" t="inlineStr">
        <is>
          <t>Disneyland Park</t>
        </is>
      </c>
      <c r="E16638" s="8" t="inlineStr">
        <is>
          <t>Blanche-Neige et les Sept Nains®</t>
        </is>
      </c>
      <c r="F16638" s="8" t="inlineStr">
        <is>
          <t>STANDBY</t>
        </is>
      </c>
      <c r="G16638" s="8" t="n">
        <v>20</v>
      </c>
      <c r="H16638" s="8" t="inlineStr">
        <is>
          <t>OPERATING</t>
        </is>
      </c>
    </row>
    <row r="16639">
      <c r="A16639" s="8" t="inlineStr">
        <is>
          <t>2026-08-03</t>
        </is>
      </c>
      <c r="B16639" s="8" t="n">
        <v>20</v>
      </c>
      <c r="C16639" s="8" t="n">
        <v>15</v>
      </c>
      <c r="D16639" s="8" t="inlineStr">
        <is>
          <t>Disneyland Park</t>
        </is>
      </c>
      <c r="E16639" s="8" t="inlineStr">
        <is>
          <t>Casey Jr. – le Petit Train du Cirque</t>
        </is>
      </c>
      <c r="F16639" s="8" t="inlineStr">
        <is>
          <t>STANDBY</t>
        </is>
      </c>
      <c r="G16639" s="8" t="n">
        <v>5</v>
      </c>
      <c r="H16639" s="8" t="inlineStr">
        <is>
          <t>OPERATING</t>
        </is>
      </c>
    </row>
    <row r="16640">
      <c r="A16640" s="8" t="inlineStr">
        <is>
          <t>2026-08-03</t>
        </is>
      </c>
      <c r="B16640" s="8" t="n">
        <v>20</v>
      </c>
      <c r="C16640" s="8" t="n">
        <v>15</v>
      </c>
      <c r="D16640" s="8" t="inlineStr">
        <is>
          <t>Disneyland Park</t>
        </is>
      </c>
      <c r="E16640" s="8" t="inlineStr">
        <is>
          <t>Disneyland Railroad Fantasyland Station</t>
        </is>
      </c>
      <c r="F16640" s="8" t="inlineStr">
        <is>
          <t>STANDBY</t>
        </is>
      </c>
      <c r="G16640" s="8" t="n">
        <v>0</v>
      </c>
      <c r="H16640" s="8" t="inlineStr">
        <is>
          <t>CLOSED</t>
        </is>
      </c>
    </row>
    <row r="16641">
      <c r="A16641" s="8" t="inlineStr">
        <is>
          <t>2026-08-03</t>
        </is>
      </c>
      <c r="B16641" s="8" t="n">
        <v>20</v>
      </c>
      <c r="C16641" s="8" t="n">
        <v>15</v>
      </c>
      <c r="D16641" s="8" t="inlineStr">
        <is>
          <t>Disneyland Park</t>
        </is>
      </c>
      <c r="E16641" s="8" t="inlineStr">
        <is>
          <t>Disneyland Railroad Main Street Station</t>
        </is>
      </c>
      <c r="F16641" s="8" t="inlineStr">
        <is>
          <t>STANDBY</t>
        </is>
      </c>
      <c r="G16641" s="8" t="n">
        <v>0</v>
      </c>
      <c r="H16641" s="8" t="inlineStr">
        <is>
          <t>CLOSED</t>
        </is>
      </c>
    </row>
    <row r="16642">
      <c r="A16642" s="8" t="inlineStr">
        <is>
          <t>2026-08-03</t>
        </is>
      </c>
      <c r="B16642" s="8" t="n">
        <v>20</v>
      </c>
      <c r="C16642" s="8" t="n">
        <v>15</v>
      </c>
      <c r="D16642" s="8" t="inlineStr">
        <is>
          <t>Disneyland Park</t>
        </is>
      </c>
      <c r="E16642" s="8" t="inlineStr">
        <is>
          <t>Dumbo the Flying Elephant</t>
        </is>
      </c>
      <c r="F16642" s="8" t="inlineStr">
        <is>
          <t>STANDBY</t>
        </is>
      </c>
      <c r="G16642" s="8" t="n">
        <v>45</v>
      </c>
      <c r="H16642" s="8" t="inlineStr">
        <is>
          <t>OPERATING</t>
        </is>
      </c>
    </row>
    <row r="16643">
      <c r="A16643" s="8" t="inlineStr">
        <is>
          <t>2026-08-03</t>
        </is>
      </c>
      <c r="B16643" s="8" t="n">
        <v>20</v>
      </c>
      <c r="C16643" s="8" t="n">
        <v>15</v>
      </c>
      <c r="D16643" s="8" t="inlineStr">
        <is>
          <t>Disneyland Park</t>
        </is>
      </c>
      <c r="E16643" s="8" t="inlineStr">
        <is>
          <t>La Tanière du Dragon</t>
        </is>
      </c>
      <c r="F16643" s="8" t="inlineStr">
        <is>
          <t>STANDBY</t>
        </is>
      </c>
      <c r="G16643" s="8" t="n">
        <v>0</v>
      </c>
      <c r="H16643" s="8" t="inlineStr">
        <is>
          <t>OPERATING</t>
        </is>
      </c>
    </row>
    <row r="16644">
      <c r="A16644" s="8" t="inlineStr">
        <is>
          <t>2026-08-03</t>
        </is>
      </c>
      <c r="B16644" s="8" t="n">
        <v>20</v>
      </c>
      <c r="C16644" s="8" t="n">
        <v>15</v>
      </c>
      <c r="D16644" s="8" t="inlineStr">
        <is>
          <t>Disneyland Park</t>
        </is>
      </c>
      <c r="E16644" s="8" t="inlineStr">
        <is>
          <t>Le Carrousel de Lancelot</t>
        </is>
      </c>
      <c r="F16644" s="8" t="inlineStr">
        <is>
          <t>STANDBY</t>
        </is>
      </c>
      <c r="G16644" s="8" t="n">
        <v>10</v>
      </c>
      <c r="H16644" s="8" t="inlineStr">
        <is>
          <t>OPERATING</t>
        </is>
      </c>
    </row>
    <row r="16645">
      <c r="A16645" s="8" t="inlineStr">
        <is>
          <t>2026-08-03</t>
        </is>
      </c>
      <c r="B16645" s="8" t="n">
        <v>20</v>
      </c>
      <c r="C16645" s="8" t="n">
        <v>15</v>
      </c>
      <c r="D16645" s="8" t="inlineStr">
        <is>
          <t>Disneyland Park</t>
        </is>
      </c>
      <c r="E16645" s="8" t="inlineStr">
        <is>
          <t>Le Pays des Contes de Fées, presented by Vittel</t>
        </is>
      </c>
      <c r="F16645" s="8" t="inlineStr">
        <is>
          <t>STANDBY</t>
        </is>
      </c>
      <c r="G16645" s="8" t="n">
        <v>5</v>
      </c>
      <c r="H16645" s="8" t="inlineStr">
        <is>
          <t>OPERATING</t>
        </is>
      </c>
    </row>
    <row r="16646">
      <c r="A16646" s="8" t="inlineStr">
        <is>
          <t>2026-08-03</t>
        </is>
      </c>
      <c r="B16646" s="8" t="n">
        <v>20</v>
      </c>
      <c r="C16646" s="8" t="n">
        <v>15</v>
      </c>
      <c r="D16646" s="8" t="inlineStr">
        <is>
          <t>Disneyland Park</t>
        </is>
      </c>
      <c r="E16646" s="8" t="inlineStr">
        <is>
          <t>Les Voyages de Pinocchio</t>
        </is>
      </c>
      <c r="F16646" s="8" t="inlineStr">
        <is>
          <t>STANDBY</t>
        </is>
      </c>
      <c r="G16646" s="8" t="n">
        <v>15</v>
      </c>
      <c r="H16646" s="8" t="inlineStr">
        <is>
          <t>OPERATING</t>
        </is>
      </c>
    </row>
    <row r="16647">
      <c r="A16647" s="8" t="inlineStr">
        <is>
          <t>2026-08-03</t>
        </is>
      </c>
      <c r="B16647" s="8" t="n">
        <v>20</v>
      </c>
      <c r="C16647" s="8" t="n">
        <v>15</v>
      </c>
      <c r="D16647" s="8" t="inlineStr">
        <is>
          <t>Disneyland Park</t>
        </is>
      </c>
      <c r="E16647" s="8" t="inlineStr">
        <is>
          <t>Mad Hatter's Tea Cups</t>
        </is>
      </c>
      <c r="F16647" s="8" t="inlineStr">
        <is>
          <t>STANDBY</t>
        </is>
      </c>
      <c r="G16647" s="8" t="n">
        <v>5</v>
      </c>
      <c r="H16647" s="8" t="inlineStr">
        <is>
          <t>OPERATING</t>
        </is>
      </c>
    </row>
    <row r="16648">
      <c r="A16648" s="8" t="inlineStr">
        <is>
          <t>2026-08-03</t>
        </is>
      </c>
      <c r="B16648" s="8" t="n">
        <v>20</v>
      </c>
      <c r="C16648" s="8" t="n">
        <v>15</v>
      </c>
      <c r="D16648" s="8" t="inlineStr">
        <is>
          <t>Disneyland Park</t>
        </is>
      </c>
      <c r="E16648" s="8" t="inlineStr">
        <is>
          <t>Meet Mickey Mouse</t>
        </is>
      </c>
      <c r="F16648" s="8" t="inlineStr">
        <is>
          <t>STANDBY</t>
        </is>
      </c>
      <c r="G16648" s="8" t="n">
        <v>0</v>
      </c>
      <c r="H16648" s="8" t="inlineStr">
        <is>
          <t>CLOSED</t>
        </is>
      </c>
    </row>
    <row r="16649">
      <c r="A16649" s="8" t="inlineStr">
        <is>
          <t>2026-08-03</t>
        </is>
      </c>
      <c r="B16649" s="8" t="n">
        <v>20</v>
      </c>
      <c r="C16649" s="8" t="n">
        <v>15</v>
      </c>
      <c r="D16649" s="8" t="inlineStr">
        <is>
          <t>Disneyland Park</t>
        </is>
      </c>
      <c r="E16649" s="8" t="inlineStr">
        <is>
          <t>Peter Pan's Flight</t>
        </is>
      </c>
      <c r="F16649" s="8" t="inlineStr">
        <is>
          <t>STANDBY</t>
        </is>
      </c>
      <c r="G16649" s="8" t="n">
        <v>60</v>
      </c>
      <c r="H16649" s="8" t="inlineStr">
        <is>
          <t>OPERATING</t>
        </is>
      </c>
    </row>
    <row r="16650">
      <c r="A16650" s="8" t="inlineStr">
        <is>
          <t>2026-08-03</t>
        </is>
      </c>
      <c r="B16650" s="8" t="n">
        <v>20</v>
      </c>
      <c r="C16650" s="8" t="n">
        <v>15</v>
      </c>
      <c r="D16650" s="8" t="inlineStr">
        <is>
          <t>Disneyland Park</t>
        </is>
      </c>
      <c r="E16650" s="8" t="inlineStr">
        <is>
          <t>Princess Pavilion</t>
        </is>
      </c>
      <c r="F16650" s="8" t="inlineStr">
        <is>
          <t>STANDBY</t>
        </is>
      </c>
      <c r="G16650" s="8" t="n">
        <v>0</v>
      </c>
      <c r="H16650" s="8" t="inlineStr">
        <is>
          <t>CLOSED</t>
        </is>
      </c>
    </row>
    <row r="16651">
      <c r="A16651" s="8" t="inlineStr">
        <is>
          <t>2026-08-03</t>
        </is>
      </c>
      <c r="B16651" s="8" t="n">
        <v>20</v>
      </c>
      <c r="C16651" s="8" t="n">
        <v>15</v>
      </c>
      <c r="D16651" s="8" t="inlineStr">
        <is>
          <t>Disneyland Park</t>
        </is>
      </c>
      <c r="E16651" s="8" t="inlineStr">
        <is>
          <t>Big Thunder Mountain</t>
        </is>
      </c>
      <c r="F16651" s="8" t="inlineStr">
        <is>
          <t>STANDBY</t>
        </is>
      </c>
      <c r="G16651" s="8" t="n">
        <v>55</v>
      </c>
      <c r="H16651" s="8" t="inlineStr">
        <is>
          <t>OPERATING</t>
        </is>
      </c>
    </row>
    <row r="16652">
      <c r="A16652" s="8" t="inlineStr">
        <is>
          <t>2026-08-03</t>
        </is>
      </c>
      <c r="B16652" s="8" t="n">
        <v>20</v>
      </c>
      <c r="C16652" s="8" t="n">
        <v>15</v>
      </c>
      <c r="D16652" s="8" t="inlineStr">
        <is>
          <t>Disneyland Park</t>
        </is>
      </c>
      <c r="E16652" s="8" t="inlineStr">
        <is>
          <t>Disneyland Railroad Frontierland Depot</t>
        </is>
      </c>
      <c r="F16652" s="8" t="inlineStr">
        <is>
          <t>STANDBY</t>
        </is>
      </c>
      <c r="G16652" s="8" t="n">
        <v>0</v>
      </c>
      <c r="H16652" s="8" t="inlineStr">
        <is>
          <t>CLOSED</t>
        </is>
      </c>
    </row>
    <row r="16653">
      <c r="A16653" s="8" t="inlineStr">
        <is>
          <t>2026-08-03</t>
        </is>
      </c>
      <c r="B16653" s="8" t="n">
        <v>20</v>
      </c>
      <c r="C16653" s="8" t="n">
        <v>15</v>
      </c>
      <c r="D16653" s="8" t="inlineStr">
        <is>
          <t>Disneyland Park</t>
        </is>
      </c>
      <c r="E16653" s="8" t="inlineStr">
        <is>
          <t>Frontierland Playground</t>
        </is>
      </c>
      <c r="F16653" s="8" t="inlineStr">
        <is>
          <t>STANDBY</t>
        </is>
      </c>
      <c r="G16653" s="8" t="n">
        <v>0</v>
      </c>
      <c r="H16653" s="8" t="inlineStr">
        <is>
          <t>CLOSED</t>
        </is>
      </c>
    </row>
    <row r="16654">
      <c r="A16654" s="8" t="inlineStr">
        <is>
          <t>2026-08-03</t>
        </is>
      </c>
      <c r="B16654" s="8" t="n">
        <v>20</v>
      </c>
      <c r="C16654" s="8" t="n">
        <v>15</v>
      </c>
      <c r="D16654" s="8" t="inlineStr">
        <is>
          <t>Disneyland Park</t>
        </is>
      </c>
      <c r="E16654" s="8" t="inlineStr">
        <is>
          <t>Phantom Manor</t>
        </is>
      </c>
      <c r="F16654" s="8" t="inlineStr">
        <is>
          <t>STANDBY</t>
        </is>
      </c>
      <c r="G16654" s="8" t="n">
        <v>5</v>
      </c>
      <c r="H16654" s="8" t="inlineStr">
        <is>
          <t>OPERATING</t>
        </is>
      </c>
    </row>
    <row r="16655">
      <c r="A16655" s="8" t="inlineStr">
        <is>
          <t>2026-08-03</t>
        </is>
      </c>
      <c r="B16655" s="8" t="n">
        <v>20</v>
      </c>
      <c r="C16655" s="8" t="n">
        <v>15</v>
      </c>
      <c r="D16655" s="8" t="inlineStr">
        <is>
          <t>Disneyland Park</t>
        </is>
      </c>
      <c r="E16655" s="8" t="inlineStr">
        <is>
          <t>River Rogue Keelboats</t>
        </is>
      </c>
      <c r="F16655" s="8" t="inlineStr">
        <is>
          <t>STANDBY</t>
        </is>
      </c>
      <c r="G16655" s="8" t="n">
        <v>0</v>
      </c>
      <c r="H16655" s="8" t="inlineStr">
        <is>
          <t>CLOSED</t>
        </is>
      </c>
    </row>
    <row r="16656">
      <c r="A16656" s="8" t="inlineStr">
        <is>
          <t>2026-08-03</t>
        </is>
      </c>
      <c r="B16656" s="8" t="n">
        <v>20</v>
      </c>
      <c r="C16656" s="8" t="n">
        <v>15</v>
      </c>
      <c r="D16656" s="8" t="inlineStr">
        <is>
          <t>Disneyland Park</t>
        </is>
      </c>
      <c r="E16656" s="8" t="inlineStr">
        <is>
          <t>Rustler Roundup Shootin' Gallery</t>
        </is>
      </c>
      <c r="F16656" s="8" t="inlineStr">
        <is>
          <t>STANDBY</t>
        </is>
      </c>
      <c r="G16656" s="8" t="n">
        <v>0</v>
      </c>
      <c r="H16656" s="8" t="inlineStr">
        <is>
          <t>OPERATING</t>
        </is>
      </c>
    </row>
    <row r="16657">
      <c r="A16657" s="8" t="inlineStr">
        <is>
          <t>2026-08-03</t>
        </is>
      </c>
      <c r="B16657" s="8" t="n">
        <v>20</v>
      </c>
      <c r="C16657" s="8" t="n">
        <v>15</v>
      </c>
      <c r="D16657" s="8" t="inlineStr">
        <is>
          <t>Disneyland Park</t>
        </is>
      </c>
      <c r="E16657" s="8" t="inlineStr">
        <is>
          <t>Thunder Mesa Riverboat Landing</t>
        </is>
      </c>
      <c r="F16657" s="8" t="inlineStr">
        <is>
          <t>STANDBY</t>
        </is>
      </c>
      <c r="G16657" s="8" t="n">
        <v>0</v>
      </c>
      <c r="H16657" s="8" t="inlineStr">
        <is>
          <t>CLOSED</t>
        </is>
      </c>
    </row>
    <row r="16658">
      <c r="A16658" s="8" t="inlineStr">
        <is>
          <t>2026-08-03</t>
        </is>
      </c>
      <c r="B16658" s="8" t="n">
        <v>20</v>
      </c>
      <c r="C16658" s="8" t="n">
        <v>15</v>
      </c>
      <c r="D16658" s="8" t="inlineStr">
        <is>
          <t>Disneyland Park</t>
        </is>
      </c>
      <c r="E16658" s="8" t="inlineStr">
        <is>
          <t>Disneyland Railroad Main Street Station</t>
        </is>
      </c>
      <c r="F16658" s="8" t="inlineStr">
        <is>
          <t>STANDBY</t>
        </is>
      </c>
      <c r="G16658" s="8" t="n">
        <v>0</v>
      </c>
      <c r="H16658" s="8" t="inlineStr">
        <is>
          <t>CLOSED</t>
        </is>
      </c>
    </row>
    <row r="16659">
      <c r="A16659" s="8" t="inlineStr">
        <is>
          <t>2026-08-03</t>
        </is>
      </c>
      <c r="B16659" s="8" t="n">
        <v>20</v>
      </c>
      <c r="C16659" s="8" t="n">
        <v>15</v>
      </c>
      <c r="D16659" s="8" t="inlineStr">
        <is>
          <t>Disneyland Park</t>
        </is>
      </c>
      <c r="E16659" s="8" t="inlineStr">
        <is>
          <t>Main Street Vehicles</t>
        </is>
      </c>
      <c r="F16659" s="8" t="inlineStr">
        <is>
          <t>STANDBY</t>
        </is>
      </c>
      <c r="G16659" s="8" t="n">
        <v>0</v>
      </c>
      <c r="H16659" s="8" t="inlineStr">
        <is>
          <t>CLOSED</t>
        </is>
      </c>
    </row>
    <row r="16660">
      <c r="A16660" s="8" t="inlineStr">
        <is>
          <t>2026-08-03</t>
        </is>
      </c>
      <c r="B16660" s="8" t="n">
        <v>20</v>
      </c>
      <c r="C16660" s="8" t="n">
        <v>15</v>
      </c>
      <c r="D16660" s="8" t="inlineStr">
        <is>
          <t>Disney Adventure World</t>
        </is>
      </c>
      <c r="E16660" s="8" t="inlineStr">
        <is>
          <t>Avengers Assemble: Flight Force</t>
        </is>
      </c>
      <c r="F16660" s="8" t="inlineStr">
        <is>
          <t>STANDBY</t>
        </is>
      </c>
      <c r="G16660" s="8" t="n">
        <v>15</v>
      </c>
      <c r="H16660" s="8" t="inlineStr">
        <is>
          <t>OPERATING</t>
        </is>
      </c>
    </row>
    <row r="16661">
      <c r="A16661" s="8" t="inlineStr">
        <is>
          <t>2026-08-03</t>
        </is>
      </c>
      <c r="B16661" s="8" t="n">
        <v>20</v>
      </c>
      <c r="C16661" s="8" t="n">
        <v>15</v>
      </c>
      <c r="D16661" s="8" t="inlineStr">
        <is>
          <t>Disney Adventure World</t>
        </is>
      </c>
      <c r="E16661" s="8" t="inlineStr">
        <is>
          <t>Avengers Assemble: Flight Force Single Rider</t>
        </is>
      </c>
      <c r="F16661" s="8" t="inlineStr">
        <is>
          <t>STANDBY</t>
        </is>
      </c>
      <c r="G16661" s="8" t="n">
        <v>10</v>
      </c>
      <c r="H16661" s="8" t="inlineStr">
        <is>
          <t>OPERATING</t>
        </is>
      </c>
    </row>
    <row r="16662">
      <c r="A16662" s="8" t="inlineStr">
        <is>
          <t>2026-08-03</t>
        </is>
      </c>
      <c r="B16662" s="8" t="n">
        <v>20</v>
      </c>
      <c r="C16662" s="8" t="n">
        <v>15</v>
      </c>
      <c r="D16662" s="8" t="inlineStr">
        <is>
          <t>Disney Adventure World</t>
        </is>
      </c>
      <c r="E16662" s="8" t="inlineStr">
        <is>
          <t>Spider-Man W.E.B. Adventure</t>
        </is>
      </c>
      <c r="F16662" s="8" t="inlineStr">
        <is>
          <t>STANDBY</t>
        </is>
      </c>
      <c r="G16662" s="8" t="n">
        <v>30</v>
      </c>
      <c r="H16662" s="8" t="inlineStr">
        <is>
          <t>OPERATING</t>
        </is>
      </c>
    </row>
    <row r="16663">
      <c r="A16663" s="8" t="inlineStr">
        <is>
          <t>2026-08-03</t>
        </is>
      </c>
      <c r="B16663" s="8" t="n">
        <v>20</v>
      </c>
      <c r="C16663" s="8" t="n">
        <v>15</v>
      </c>
      <c r="D16663" s="8" t="inlineStr">
        <is>
          <t>Disney Adventure World</t>
        </is>
      </c>
      <c r="E16663" s="8" t="inlineStr">
        <is>
          <t>Spider-Man W.E.B. Adventure Single Rider</t>
        </is>
      </c>
      <c r="F16663" s="8" t="inlineStr">
        <is>
          <t>STANDBY</t>
        </is>
      </c>
      <c r="G16663" s="8" t="n">
        <v>10</v>
      </c>
      <c r="H16663" s="8" t="inlineStr">
        <is>
          <t>OPERATING</t>
        </is>
      </c>
    </row>
    <row r="16664">
      <c r="A16664" s="8" t="inlineStr">
        <is>
          <t>2026-08-03</t>
        </is>
      </c>
      <c r="B16664" s="8" t="n">
        <v>20</v>
      </c>
      <c r="C16664" s="8" t="n">
        <v>15</v>
      </c>
      <c r="D16664" s="8" t="inlineStr">
        <is>
          <t>Disney Adventure World</t>
        </is>
      </c>
      <c r="E16664" s="8" t="inlineStr">
        <is>
          <t>The Twilight Zone Tower of Terror</t>
        </is>
      </c>
      <c r="F16664" s="8" t="inlineStr">
        <is>
          <t>STANDBY</t>
        </is>
      </c>
      <c r="G16664" s="8" t="n">
        <v>25</v>
      </c>
      <c r="H16664" s="8" t="inlineStr">
        <is>
          <t>OPERATING</t>
        </is>
      </c>
    </row>
    <row r="16665">
      <c r="A16665" s="8" t="inlineStr">
        <is>
          <t>2026-08-03</t>
        </is>
      </c>
      <c r="B16665" s="8" t="n">
        <v>20</v>
      </c>
      <c r="C16665" s="8" t="n">
        <v>15</v>
      </c>
      <c r="D16665" s="8" t="inlineStr">
        <is>
          <t>Disney Adventure World</t>
        </is>
      </c>
      <c r="E16665" s="8" t="inlineStr">
        <is>
          <t>Cars Quatre Roues Rallye</t>
        </is>
      </c>
      <c r="F16665" s="8" t="inlineStr">
        <is>
          <t>STANDBY</t>
        </is>
      </c>
      <c r="G16665" s="8" t="n">
        <v>10</v>
      </c>
      <c r="H16665" s="8" t="inlineStr">
        <is>
          <t>OPERATING</t>
        </is>
      </c>
    </row>
    <row r="16666">
      <c r="A16666" s="8" t="inlineStr">
        <is>
          <t>2026-08-03</t>
        </is>
      </c>
      <c r="B16666" s="8" t="n">
        <v>20</v>
      </c>
      <c r="C16666" s="8" t="n">
        <v>15</v>
      </c>
      <c r="D16666" s="8" t="inlineStr">
        <is>
          <t>Disney Adventure World</t>
        </is>
      </c>
      <c r="E16666" s="8" t="inlineStr">
        <is>
          <t>Cars ROAD TRIP</t>
        </is>
      </c>
      <c r="F16666" s="8" t="inlineStr">
        <is>
          <t>STANDBY</t>
        </is>
      </c>
      <c r="G16666" s="8" t="n">
        <v>0</v>
      </c>
      <c r="H16666" s="8" t="inlineStr">
        <is>
          <t>CLOSED</t>
        </is>
      </c>
    </row>
    <row r="16667">
      <c r="A16667" s="8" t="inlineStr">
        <is>
          <t>2026-08-03</t>
        </is>
      </c>
      <c r="B16667" s="8" t="n">
        <v>20</v>
      </c>
      <c r="C16667" s="8" t="n">
        <v>15</v>
      </c>
      <c r="D16667" s="8" t="inlineStr">
        <is>
          <t>Disney Adventure World</t>
        </is>
      </c>
      <c r="E16667" s="8" t="inlineStr">
        <is>
          <t>Crush's Coaster</t>
        </is>
      </c>
      <c r="F16667" s="8" t="inlineStr">
        <is>
          <t>STANDBY</t>
        </is>
      </c>
      <c r="G16667" s="8" t="n">
        <v>60</v>
      </c>
      <c r="H16667" s="8" t="inlineStr">
        <is>
          <t>OPERATING</t>
        </is>
      </c>
    </row>
    <row r="16668">
      <c r="A16668" s="8" t="inlineStr">
        <is>
          <t>2026-08-03</t>
        </is>
      </c>
      <c r="B16668" s="8" t="n">
        <v>20</v>
      </c>
      <c r="C16668" s="8" t="n">
        <v>15</v>
      </c>
      <c r="D16668" s="8" t="inlineStr">
        <is>
          <t>Disney Adventure World</t>
        </is>
      </c>
      <c r="E16668" s="8" t="inlineStr">
        <is>
          <t>Crush's Coaster Single Rider</t>
        </is>
      </c>
      <c r="F16668" s="8" t="inlineStr">
        <is>
          <t>STANDBY</t>
        </is>
      </c>
      <c r="G16668" s="8" t="n">
        <v>45</v>
      </c>
      <c r="H16668" s="8" t="inlineStr">
        <is>
          <t>OPERATING</t>
        </is>
      </c>
    </row>
    <row r="16669">
      <c r="A16669" s="8" t="inlineStr">
        <is>
          <t>2026-08-03</t>
        </is>
      </c>
      <c r="B16669" s="8" t="n">
        <v>20</v>
      </c>
      <c r="C16669" s="8" t="n">
        <v>15</v>
      </c>
      <c r="D16669" s="8" t="inlineStr">
        <is>
          <t>Disney Adventure World</t>
        </is>
      </c>
      <c r="E16669" s="8" t="inlineStr">
        <is>
          <t>Les Tapis Volants - Flying Carpets Over Agrabah®</t>
        </is>
      </c>
      <c r="F16669" s="8" t="inlineStr">
        <is>
          <t>STANDBY</t>
        </is>
      </c>
      <c r="G16669" s="8" t="n">
        <v>15</v>
      </c>
      <c r="H16669" s="8" t="inlineStr">
        <is>
          <t>OPERATING</t>
        </is>
      </c>
    </row>
    <row r="16670">
      <c r="A16670" s="8" t="inlineStr">
        <is>
          <t>2026-08-03</t>
        </is>
      </c>
      <c r="B16670" s="8" t="n">
        <v>20</v>
      </c>
      <c r="C16670" s="8" t="n">
        <v>15</v>
      </c>
      <c r="D16670" s="8" t="inlineStr">
        <is>
          <t>Disney Adventure World</t>
        </is>
      </c>
      <c r="E16670" s="8" t="inlineStr">
        <is>
          <t>Ratatouille : L’Aventure Totalement Toquée de Rémy​</t>
        </is>
      </c>
      <c r="F16670" s="8" t="inlineStr">
        <is>
          <t>STANDBY</t>
        </is>
      </c>
      <c r="G16670" s="8" t="n">
        <v>0</v>
      </c>
      <c r="H16670" s="8" t="inlineStr">
        <is>
          <t>CLOSED</t>
        </is>
      </c>
    </row>
    <row r="16671">
      <c r="A16671" s="8" t="inlineStr">
        <is>
          <t>2026-08-03</t>
        </is>
      </c>
      <c r="B16671" s="8" t="n">
        <v>20</v>
      </c>
      <c r="C16671" s="8" t="n">
        <v>15</v>
      </c>
      <c r="D16671" s="8" t="inlineStr">
        <is>
          <t>Disney Adventure World</t>
        </is>
      </c>
      <c r="E16671" s="8" t="inlineStr">
        <is>
          <t>Ratatouille: The Adventure Single Rider</t>
        </is>
      </c>
      <c r="F16671" s="8" t="inlineStr">
        <is>
          <t>STANDBY</t>
        </is>
      </c>
      <c r="G16671" s="8" t="n">
        <v>0</v>
      </c>
      <c r="H16671" s="8" t="inlineStr">
        <is>
          <t>CLOSED</t>
        </is>
      </c>
    </row>
    <row r="16672">
      <c r="A16672" s="8" t="inlineStr">
        <is>
          <t>2026-08-03</t>
        </is>
      </c>
      <c r="B16672" s="8" t="n">
        <v>20</v>
      </c>
      <c r="C16672" s="8" t="n">
        <v>15</v>
      </c>
      <c r="D16672" s="8" t="inlineStr">
        <is>
          <t>Disney Adventure World</t>
        </is>
      </c>
      <c r="E16672" s="8" t="inlineStr">
        <is>
          <t>RC Racer</t>
        </is>
      </c>
      <c r="F16672" s="8" t="inlineStr">
        <is>
          <t>STANDBY</t>
        </is>
      </c>
      <c r="G16672" s="8" t="n">
        <v>45</v>
      </c>
      <c r="H16672" s="8" t="inlineStr">
        <is>
          <t>OPERATING</t>
        </is>
      </c>
    </row>
    <row r="16673">
      <c r="A16673" s="8" t="inlineStr">
        <is>
          <t>2026-08-03</t>
        </is>
      </c>
      <c r="B16673" s="8" t="n">
        <v>20</v>
      </c>
      <c r="C16673" s="8" t="n">
        <v>15</v>
      </c>
      <c r="D16673" s="8" t="inlineStr">
        <is>
          <t>Disney Adventure World</t>
        </is>
      </c>
      <c r="E16673" s="8" t="inlineStr">
        <is>
          <t>RC Racer Single Rider</t>
        </is>
      </c>
      <c r="F16673" s="8" t="inlineStr">
        <is>
          <t>STANDBY</t>
        </is>
      </c>
      <c r="G16673" s="8" t="n">
        <v>40</v>
      </c>
      <c r="H16673" s="8" t="inlineStr">
        <is>
          <t>OPERATING</t>
        </is>
      </c>
    </row>
    <row r="16674">
      <c r="A16674" s="8" t="inlineStr">
        <is>
          <t>2026-08-03</t>
        </is>
      </c>
      <c r="B16674" s="8" t="n">
        <v>20</v>
      </c>
      <c r="C16674" s="8" t="n">
        <v>15</v>
      </c>
      <c r="D16674" s="8" t="inlineStr">
        <is>
          <t>Disney Adventure World</t>
        </is>
      </c>
      <c r="E16674" s="8" t="inlineStr">
        <is>
          <t>Slinky® Dog Zigzag Spin</t>
        </is>
      </c>
      <c r="F16674" s="8" t="inlineStr">
        <is>
          <t>STANDBY</t>
        </is>
      </c>
      <c r="G16674" s="8" t="n">
        <v>10</v>
      </c>
      <c r="H16674" s="8" t="inlineStr">
        <is>
          <t>OPERATING</t>
        </is>
      </c>
    </row>
    <row r="16675">
      <c r="A16675" s="8" t="inlineStr">
        <is>
          <t>2026-08-03</t>
        </is>
      </c>
      <c r="B16675" s="8" t="n">
        <v>20</v>
      </c>
      <c r="C16675" s="8" t="n">
        <v>15</v>
      </c>
      <c r="D16675" s="8" t="inlineStr">
        <is>
          <t>Disney Adventure World</t>
        </is>
      </c>
      <c r="E16675" s="8" t="inlineStr">
        <is>
          <t>Toy Soldiers Parachute Drop</t>
        </is>
      </c>
      <c r="F16675" s="8" t="inlineStr">
        <is>
          <t>STANDBY</t>
        </is>
      </c>
      <c r="G16675" s="8" t="n">
        <v>0</v>
      </c>
      <c r="H16675" s="8" t="inlineStr">
        <is>
          <t>CLOSED</t>
        </is>
      </c>
    </row>
    <row r="16676">
      <c r="A16676" s="8" t="inlineStr">
        <is>
          <t>2026-08-03</t>
        </is>
      </c>
      <c r="B16676" s="8" t="n">
        <v>20</v>
      </c>
      <c r="C16676" s="8" t="n">
        <v>15</v>
      </c>
      <c r="D16676" s="8" t="inlineStr">
        <is>
          <t>Disney Adventure World</t>
        </is>
      </c>
      <c r="E16676" s="8" t="inlineStr">
        <is>
          <t>Toy Soldiers Parachute Drop Single Rider</t>
        </is>
      </c>
      <c r="F16676" s="8" t="inlineStr">
        <is>
          <t>STANDBY</t>
        </is>
      </c>
      <c r="G16676" s="8" t="n">
        <v>0</v>
      </c>
      <c r="H16676" s="8" t="inlineStr">
        <is>
          <t>CLOSED</t>
        </is>
      </c>
    </row>
    <row r="16677">
      <c r="A16677" s="8" t="inlineStr">
        <is>
          <t>2026-08-03</t>
        </is>
      </c>
      <c r="B16677" s="8" t="n">
        <v>20</v>
      </c>
      <c r="C16677" s="8" t="n">
        <v>15</v>
      </c>
      <c r="D16677" s="8" t="inlineStr">
        <is>
          <t>Disney Adventure World</t>
        </is>
      </c>
      <c r="E16677" s="8" t="inlineStr">
        <is>
          <t>Entry to World of Frozen</t>
        </is>
      </c>
      <c r="F16677" s="8" t="inlineStr">
        <is>
          <t>STANDBY</t>
        </is>
      </c>
      <c r="G16677" s="8" t="n">
        <v>0</v>
      </c>
      <c r="H16677" s="8" t="inlineStr">
        <is>
          <t>OPERATING</t>
        </is>
      </c>
    </row>
    <row r="16678">
      <c r="A16678" s="8" t="inlineStr">
        <is>
          <t>2026-08-03</t>
        </is>
      </c>
      <c r="B16678" s="8" t="n">
        <v>20</v>
      </c>
      <c r="C16678" s="8" t="n">
        <v>15</v>
      </c>
      <c r="D16678" s="8" t="inlineStr">
        <is>
          <t>Disney Adventure World</t>
        </is>
      </c>
      <c r="E16678" s="8" t="inlineStr">
        <is>
          <t>Frozen Ever After</t>
        </is>
      </c>
      <c r="F16678" s="8" t="inlineStr">
        <is>
          <t>STANDBY</t>
        </is>
      </c>
      <c r="G16678" s="8" t="n">
        <v>35</v>
      </c>
      <c r="H16678" s="8" t="inlineStr">
        <is>
          <t>OPERATING</t>
        </is>
      </c>
    </row>
    <row r="16679">
      <c r="A16679" s="8" t="inlineStr">
        <is>
          <t>2026-08-03</t>
        </is>
      </c>
      <c r="B16679" s="8" t="n">
        <v>20</v>
      </c>
      <c r="C16679" s="8" t="n">
        <v>15</v>
      </c>
      <c r="D16679" s="8" t="inlineStr">
        <is>
          <t>Disney Adventure World</t>
        </is>
      </c>
      <c r="E16679" s="8" t="inlineStr">
        <is>
          <t>Raiponce Tangled Spin</t>
        </is>
      </c>
      <c r="F16679" s="8" t="inlineStr">
        <is>
          <t>STANDBY</t>
        </is>
      </c>
      <c r="G16679" s="8" t="n">
        <v>5</v>
      </c>
      <c r="H16679" s="8" t="inlineStr">
        <is>
          <t>OPERATING</t>
        </is>
      </c>
    </row>
    <row r="16680">
      <c r="A16680" s="8" t="inlineStr">
        <is>
          <t>2026-08-03</t>
        </is>
      </c>
      <c r="B16680" s="8" t="n">
        <v>20</v>
      </c>
      <c r="C16680" s="8" t="n">
        <v>31</v>
      </c>
      <c r="D16680" s="8" t="inlineStr">
        <is>
          <t>Disneyland Park</t>
        </is>
      </c>
      <c r="E16680" s="8" t="inlineStr">
        <is>
          <t>Adventure Isle</t>
        </is>
      </c>
      <c r="F16680" s="8" t="inlineStr">
        <is>
          <t>STANDBY</t>
        </is>
      </c>
      <c r="G16680" s="8" t="n">
        <v>0</v>
      </c>
      <c r="H16680" s="8" t="inlineStr">
        <is>
          <t>OPERATING</t>
        </is>
      </c>
    </row>
    <row r="16681">
      <c r="A16681" s="8" t="inlineStr">
        <is>
          <t>2026-08-03</t>
        </is>
      </c>
      <c r="B16681" s="8" t="n">
        <v>20</v>
      </c>
      <c r="C16681" s="8" t="n">
        <v>31</v>
      </c>
      <c r="D16681" s="8" t="inlineStr">
        <is>
          <t>Disneyland Park</t>
        </is>
      </c>
      <c r="E16681" s="8" t="inlineStr">
        <is>
          <t>Indiana Jones and the Temple of Peril Single Rider</t>
        </is>
      </c>
      <c r="F16681" s="8" t="inlineStr">
        <is>
          <t>STANDBY</t>
        </is>
      </c>
      <c r="G16681" s="8" t="n">
        <v>15</v>
      </c>
      <c r="H16681" s="8" t="inlineStr">
        <is>
          <t>OPERATING</t>
        </is>
      </c>
    </row>
    <row r="16682">
      <c r="A16682" s="8" t="inlineStr">
        <is>
          <t>2026-08-03</t>
        </is>
      </c>
      <c r="B16682" s="8" t="n">
        <v>20</v>
      </c>
      <c r="C16682" s="8" t="n">
        <v>31</v>
      </c>
      <c r="D16682" s="8" t="inlineStr">
        <is>
          <t>Disneyland Park</t>
        </is>
      </c>
      <c r="E16682" s="8" t="inlineStr">
        <is>
          <t>Indiana Jones™ and the Temple of Peril</t>
        </is>
      </c>
      <c r="F16682" s="8" t="inlineStr">
        <is>
          <t>STANDBY</t>
        </is>
      </c>
      <c r="G16682" s="8" t="n">
        <v>20</v>
      </c>
      <c r="H16682" s="8" t="inlineStr">
        <is>
          <t>OPERATING</t>
        </is>
      </c>
    </row>
    <row r="16683">
      <c r="A16683" s="8" t="inlineStr">
        <is>
          <t>2026-08-03</t>
        </is>
      </c>
      <c r="B16683" s="8" t="n">
        <v>20</v>
      </c>
      <c r="C16683" s="8" t="n">
        <v>31</v>
      </c>
      <c r="D16683" s="8" t="inlineStr">
        <is>
          <t>Disneyland Park</t>
        </is>
      </c>
      <c r="E16683" s="8" t="inlineStr">
        <is>
          <t>La Cabane des Robinson</t>
        </is>
      </c>
      <c r="F16683" s="8" t="inlineStr">
        <is>
          <t>STANDBY</t>
        </is>
      </c>
      <c r="G16683" s="8" t="n">
        <v>5</v>
      </c>
      <c r="H16683" s="8" t="inlineStr">
        <is>
          <t>OPERATING</t>
        </is>
      </c>
    </row>
    <row r="16684">
      <c r="A16684" s="8" t="inlineStr">
        <is>
          <t>2026-08-03</t>
        </is>
      </c>
      <c r="B16684" s="8" t="n">
        <v>20</v>
      </c>
      <c r="C16684" s="8" t="n">
        <v>31</v>
      </c>
      <c r="D16684" s="8" t="inlineStr">
        <is>
          <t>Disneyland Park</t>
        </is>
      </c>
      <c r="E16684" s="8" t="inlineStr">
        <is>
          <t>Le Passage Enchanté d'Aladdin</t>
        </is>
      </c>
      <c r="F16684" s="8" t="inlineStr">
        <is>
          <t>STANDBY</t>
        </is>
      </c>
      <c r="G16684" s="8" t="n">
        <v>0</v>
      </c>
      <c r="H16684" s="8" t="inlineStr">
        <is>
          <t>OPERATING</t>
        </is>
      </c>
    </row>
    <row r="16685">
      <c r="A16685" s="8" t="inlineStr">
        <is>
          <t>2026-08-03</t>
        </is>
      </c>
      <c r="B16685" s="8" t="n">
        <v>20</v>
      </c>
      <c r="C16685" s="8" t="n">
        <v>31</v>
      </c>
      <c r="D16685" s="8" t="inlineStr">
        <is>
          <t>Disneyland Park</t>
        </is>
      </c>
      <c r="E16685" s="8" t="inlineStr">
        <is>
          <t>Pirate Galleon</t>
        </is>
      </c>
      <c r="F16685" s="8" t="inlineStr">
        <is>
          <t>STANDBY</t>
        </is>
      </c>
      <c r="G16685" s="8" t="n">
        <v>0</v>
      </c>
      <c r="H16685" s="8" t="inlineStr">
        <is>
          <t>CLOSED</t>
        </is>
      </c>
    </row>
    <row r="16686">
      <c r="A16686" s="8" t="inlineStr">
        <is>
          <t>2026-08-03</t>
        </is>
      </c>
      <c r="B16686" s="8" t="n">
        <v>20</v>
      </c>
      <c r="C16686" s="8" t="n">
        <v>31</v>
      </c>
      <c r="D16686" s="8" t="inlineStr">
        <is>
          <t>Disneyland Park</t>
        </is>
      </c>
      <c r="E16686" s="8" t="inlineStr">
        <is>
          <t>Pirates of the Caribbean</t>
        </is>
      </c>
      <c r="F16686" s="8" t="inlineStr">
        <is>
          <t>STANDBY</t>
        </is>
      </c>
      <c r="G16686" s="8" t="n">
        <v>5</v>
      </c>
      <c r="H16686" s="8" t="inlineStr">
        <is>
          <t>OPERATING</t>
        </is>
      </c>
    </row>
    <row r="16687">
      <c r="A16687" s="8" t="inlineStr">
        <is>
          <t>2026-08-03</t>
        </is>
      </c>
      <c r="B16687" s="8" t="n">
        <v>20</v>
      </c>
      <c r="C16687" s="8" t="n">
        <v>31</v>
      </c>
      <c r="D16687" s="8" t="inlineStr">
        <is>
          <t>Disneyland Park</t>
        </is>
      </c>
      <c r="E16687" s="8" t="inlineStr">
        <is>
          <t>Pirates' Beach</t>
        </is>
      </c>
      <c r="F16687" s="8" t="inlineStr">
        <is>
          <t>STANDBY</t>
        </is>
      </c>
      <c r="G16687" s="8" t="n">
        <v>0</v>
      </c>
      <c r="H16687" s="8" t="inlineStr">
        <is>
          <t>OPERATING</t>
        </is>
      </c>
    </row>
    <row r="16688">
      <c r="A16688" s="8" t="inlineStr">
        <is>
          <t>2026-08-03</t>
        </is>
      </c>
      <c r="B16688" s="8" t="n">
        <v>20</v>
      </c>
      <c r="C16688" s="8" t="n">
        <v>31</v>
      </c>
      <c r="D16688" s="8" t="inlineStr">
        <is>
          <t>Disneyland Park</t>
        </is>
      </c>
      <c r="E16688" s="8" t="inlineStr">
        <is>
          <t>Autopia, presented by Avis</t>
        </is>
      </c>
      <c r="F16688" s="8" t="inlineStr">
        <is>
          <t>STANDBY</t>
        </is>
      </c>
      <c r="G16688" s="8" t="n">
        <v>110</v>
      </c>
      <c r="H16688" s="8" t="inlineStr">
        <is>
          <t>OPERATING</t>
        </is>
      </c>
    </row>
    <row r="16689">
      <c r="A16689" s="8" t="inlineStr">
        <is>
          <t>2026-08-03</t>
        </is>
      </c>
      <c r="B16689" s="8" t="n">
        <v>20</v>
      </c>
      <c r="C16689" s="8" t="n">
        <v>31</v>
      </c>
      <c r="D16689" s="8" t="inlineStr">
        <is>
          <t>Disneyland Park</t>
        </is>
      </c>
      <c r="E16689" s="8" t="inlineStr">
        <is>
          <t>Buzz Lightyear Laser Blast</t>
        </is>
      </c>
      <c r="F16689" s="8" t="inlineStr">
        <is>
          <t>STANDBY</t>
        </is>
      </c>
      <c r="G16689" s="8" t="n">
        <v>30</v>
      </c>
      <c r="H16689" s="8" t="inlineStr">
        <is>
          <t>OPERATING</t>
        </is>
      </c>
    </row>
    <row r="16690">
      <c r="A16690" s="8" t="inlineStr">
        <is>
          <t>2026-08-03</t>
        </is>
      </c>
      <c r="B16690" s="8" t="n">
        <v>20</v>
      </c>
      <c r="C16690" s="8" t="n">
        <v>31</v>
      </c>
      <c r="D16690" s="8" t="inlineStr">
        <is>
          <t>Disneyland Park</t>
        </is>
      </c>
      <c r="E16690" s="8" t="inlineStr">
        <is>
          <t>Disneyland Railroad Discoveryland Station</t>
        </is>
      </c>
      <c r="F16690" s="8" t="inlineStr">
        <is>
          <t>STANDBY</t>
        </is>
      </c>
      <c r="G16690" s="8" t="n">
        <v>0</v>
      </c>
      <c r="H16690" s="8" t="inlineStr">
        <is>
          <t>CLOSED</t>
        </is>
      </c>
    </row>
    <row r="16691">
      <c r="A16691" s="8" t="inlineStr">
        <is>
          <t>2026-08-03</t>
        </is>
      </c>
      <c r="B16691" s="8" t="n">
        <v>20</v>
      </c>
      <c r="C16691" s="8" t="n">
        <v>31</v>
      </c>
      <c r="D16691" s="8" t="inlineStr">
        <is>
          <t>Disneyland Park</t>
        </is>
      </c>
      <c r="E16691" s="8" t="inlineStr">
        <is>
          <t>Les Mystères du Nautilus</t>
        </is>
      </c>
      <c r="F16691" s="8" t="inlineStr">
        <is>
          <t>STANDBY</t>
        </is>
      </c>
      <c r="G16691" s="8" t="n">
        <v>5</v>
      </c>
      <c r="H16691" s="8" t="inlineStr">
        <is>
          <t>OPERATING</t>
        </is>
      </c>
    </row>
    <row r="16692">
      <c r="A16692" s="8" t="inlineStr">
        <is>
          <t>2026-08-03</t>
        </is>
      </c>
      <c r="B16692" s="8" t="n">
        <v>20</v>
      </c>
      <c r="C16692" s="8" t="n">
        <v>31</v>
      </c>
      <c r="D16692" s="8" t="inlineStr">
        <is>
          <t>Disneyland Park</t>
        </is>
      </c>
      <c r="E16692" s="8" t="inlineStr">
        <is>
          <t>Mickey’s PhilharMagic</t>
        </is>
      </c>
      <c r="F16692" s="8" t="inlineStr">
        <is>
          <t>STANDBY</t>
        </is>
      </c>
      <c r="G16692" s="8" t="n">
        <v>0</v>
      </c>
      <c r="H16692" s="8" t="inlineStr">
        <is>
          <t>CLOSED</t>
        </is>
      </c>
    </row>
    <row r="16693">
      <c r="A16693" s="8" t="inlineStr">
        <is>
          <t>2026-08-03</t>
        </is>
      </c>
      <c r="B16693" s="8" t="n">
        <v>20</v>
      </c>
      <c r="C16693" s="8" t="n">
        <v>31</v>
      </c>
      <c r="D16693" s="8" t="inlineStr">
        <is>
          <t>Disneyland Park</t>
        </is>
      </c>
      <c r="E16693" s="8" t="inlineStr">
        <is>
          <t>Orbitron®</t>
        </is>
      </c>
      <c r="F16693" s="8" t="inlineStr">
        <is>
          <t>STANDBY</t>
        </is>
      </c>
      <c r="G16693" s="8" t="n">
        <v>50</v>
      </c>
      <c r="H16693" s="8" t="inlineStr">
        <is>
          <t>OPERATING</t>
        </is>
      </c>
    </row>
    <row r="16694">
      <c r="A16694" s="8" t="inlineStr">
        <is>
          <t>2026-08-03</t>
        </is>
      </c>
      <c r="B16694" s="8" t="n">
        <v>20</v>
      </c>
      <c r="C16694" s="8" t="n">
        <v>31</v>
      </c>
      <c r="D16694" s="8" t="inlineStr">
        <is>
          <t>Disneyland Park</t>
        </is>
      </c>
      <c r="E16694" s="8" t="inlineStr">
        <is>
          <t>Star Tours: The Adventures Continue*</t>
        </is>
      </c>
      <c r="F16694" s="8" t="inlineStr">
        <is>
          <t>STANDBY</t>
        </is>
      </c>
      <c r="G16694" s="8" t="n">
        <v>10</v>
      </c>
      <c r="H16694" s="8" t="inlineStr">
        <is>
          <t>OPERATING</t>
        </is>
      </c>
    </row>
    <row r="16695">
      <c r="A16695" s="8" t="inlineStr">
        <is>
          <t>2026-08-03</t>
        </is>
      </c>
      <c r="B16695" s="8" t="n">
        <v>20</v>
      </c>
      <c r="C16695" s="8" t="n">
        <v>31</v>
      </c>
      <c r="D16695" s="8" t="inlineStr">
        <is>
          <t>Disneyland Park</t>
        </is>
      </c>
      <c r="E16695" s="8" t="inlineStr">
        <is>
          <t>Star Wars Hyperspace Mountain</t>
        </is>
      </c>
      <c r="F16695" s="8" t="inlineStr">
        <is>
          <t>STANDBY</t>
        </is>
      </c>
      <c r="G16695" s="8" t="n">
        <v>20</v>
      </c>
      <c r="H16695" s="8" t="inlineStr">
        <is>
          <t>OPERATING</t>
        </is>
      </c>
    </row>
    <row r="16696">
      <c r="A16696" s="8" t="inlineStr">
        <is>
          <t>2026-08-03</t>
        </is>
      </c>
      <c r="B16696" s="8" t="n">
        <v>20</v>
      </c>
      <c r="C16696" s="8" t="n">
        <v>31</v>
      </c>
      <c r="D16696" s="8" t="inlineStr">
        <is>
          <t>Disneyland Park</t>
        </is>
      </c>
      <c r="E16696" s="8" t="inlineStr">
        <is>
          <t>Star Wars Hyperspace Mountain Single Rider</t>
        </is>
      </c>
      <c r="F16696" s="8" t="inlineStr">
        <is>
          <t>STANDBY</t>
        </is>
      </c>
      <c r="G16696" s="8" t="n">
        <v>5</v>
      </c>
      <c r="H16696" s="8" t="inlineStr">
        <is>
          <t>OPERATING</t>
        </is>
      </c>
    </row>
    <row r="16697">
      <c r="A16697" s="8" t="inlineStr">
        <is>
          <t>2026-08-03</t>
        </is>
      </c>
      <c r="B16697" s="8" t="n">
        <v>20</v>
      </c>
      <c r="C16697" s="8" t="n">
        <v>31</v>
      </c>
      <c r="D16697" s="8" t="inlineStr">
        <is>
          <t>Disneyland Park</t>
        </is>
      </c>
      <c r="E16697" s="8" t="inlineStr">
        <is>
          <t>Welcome to Starport: A Star Wars Encounter</t>
        </is>
      </c>
      <c r="F16697" s="8" t="inlineStr">
        <is>
          <t>STANDBY</t>
        </is>
      </c>
      <c r="G16697" s="8" t="n">
        <v>0</v>
      </c>
      <c r="H16697" s="8" t="inlineStr">
        <is>
          <t>CLOSED</t>
        </is>
      </c>
    </row>
    <row r="16698">
      <c r="A16698" s="8" t="inlineStr">
        <is>
          <t>2026-08-03</t>
        </is>
      </c>
      <c r="B16698" s="8" t="n">
        <v>20</v>
      </c>
      <c r="C16698" s="8" t="n">
        <v>31</v>
      </c>
      <c r="D16698" s="8" t="inlineStr">
        <is>
          <t>Disneyland Park</t>
        </is>
      </c>
      <c r="E16698" s="8" t="inlineStr">
        <is>
          <t>"it's a small world"</t>
        </is>
      </c>
      <c r="F16698" s="8" t="inlineStr">
        <is>
          <t>STANDBY</t>
        </is>
      </c>
      <c r="G16698" s="8" t="n">
        <v>5</v>
      </c>
      <c r="H16698" s="8" t="inlineStr">
        <is>
          <t>OPERATING</t>
        </is>
      </c>
    </row>
    <row r="16699">
      <c r="A16699" s="8" t="inlineStr">
        <is>
          <t>2026-08-03</t>
        </is>
      </c>
      <c r="B16699" s="8" t="n">
        <v>20</v>
      </c>
      <c r="C16699" s="8" t="n">
        <v>31</v>
      </c>
      <c r="D16699" s="8" t="inlineStr">
        <is>
          <t>Disneyland Park</t>
        </is>
      </c>
      <c r="E16699" s="8" t="inlineStr">
        <is>
          <t>Alice's Curious Labyrinth</t>
        </is>
      </c>
      <c r="F16699" s="8" t="inlineStr">
        <is>
          <t>STANDBY</t>
        </is>
      </c>
      <c r="G16699" s="8" t="n">
        <v>5</v>
      </c>
      <c r="H16699" s="8" t="inlineStr">
        <is>
          <t>OPERATING</t>
        </is>
      </c>
    </row>
    <row r="16700">
      <c r="A16700" s="8" t="inlineStr">
        <is>
          <t>2026-08-03</t>
        </is>
      </c>
      <c r="B16700" s="8" t="n">
        <v>20</v>
      </c>
      <c r="C16700" s="8" t="n">
        <v>31</v>
      </c>
      <c r="D16700" s="8" t="inlineStr">
        <is>
          <t>Disneyland Park</t>
        </is>
      </c>
      <c r="E16700" s="8" t="inlineStr">
        <is>
          <t>Blanche-Neige et les Sept Nains®</t>
        </is>
      </c>
      <c r="F16700" s="8" t="inlineStr">
        <is>
          <t>STANDBY</t>
        </is>
      </c>
      <c r="G16700" s="8" t="n">
        <v>15</v>
      </c>
      <c r="H16700" s="8" t="inlineStr">
        <is>
          <t>OPERATING</t>
        </is>
      </c>
    </row>
    <row r="16701">
      <c r="A16701" s="8" t="inlineStr">
        <is>
          <t>2026-08-03</t>
        </is>
      </c>
      <c r="B16701" s="8" t="n">
        <v>20</v>
      </c>
      <c r="C16701" s="8" t="n">
        <v>31</v>
      </c>
      <c r="D16701" s="8" t="inlineStr">
        <is>
          <t>Disneyland Park</t>
        </is>
      </c>
      <c r="E16701" s="8" t="inlineStr">
        <is>
          <t>Casey Jr. – le Petit Train du Cirque</t>
        </is>
      </c>
      <c r="F16701" s="8" t="inlineStr">
        <is>
          <t>STANDBY</t>
        </is>
      </c>
      <c r="G16701" s="8" t="n">
        <v>5</v>
      </c>
      <c r="H16701" s="8" t="inlineStr">
        <is>
          <t>OPERATING</t>
        </is>
      </c>
    </row>
    <row r="16702">
      <c r="A16702" s="8" t="inlineStr">
        <is>
          <t>2026-08-03</t>
        </is>
      </c>
      <c r="B16702" s="8" t="n">
        <v>20</v>
      </c>
      <c r="C16702" s="8" t="n">
        <v>31</v>
      </c>
      <c r="D16702" s="8" t="inlineStr">
        <is>
          <t>Disneyland Park</t>
        </is>
      </c>
      <c r="E16702" s="8" t="inlineStr">
        <is>
          <t>Disneyland Railroad Fantasyland Station</t>
        </is>
      </c>
      <c r="F16702" s="8" t="inlineStr">
        <is>
          <t>STANDBY</t>
        </is>
      </c>
      <c r="G16702" s="8" t="n">
        <v>0</v>
      </c>
      <c r="H16702" s="8" t="inlineStr">
        <is>
          <t>CLOSED</t>
        </is>
      </c>
    </row>
    <row r="16703">
      <c r="A16703" s="8" t="inlineStr">
        <is>
          <t>2026-08-03</t>
        </is>
      </c>
      <c r="B16703" s="8" t="n">
        <v>20</v>
      </c>
      <c r="C16703" s="8" t="n">
        <v>31</v>
      </c>
      <c r="D16703" s="8" t="inlineStr">
        <is>
          <t>Disneyland Park</t>
        </is>
      </c>
      <c r="E16703" s="8" t="inlineStr">
        <is>
          <t>Disneyland Railroad Main Street Station</t>
        </is>
      </c>
      <c r="F16703" s="8" t="inlineStr">
        <is>
          <t>STANDBY</t>
        </is>
      </c>
      <c r="G16703" s="8" t="n">
        <v>0</v>
      </c>
      <c r="H16703" s="8" t="inlineStr">
        <is>
          <t>CLOSED</t>
        </is>
      </c>
    </row>
    <row r="16704">
      <c r="A16704" s="8" t="inlineStr">
        <is>
          <t>2026-08-03</t>
        </is>
      </c>
      <c r="B16704" s="8" t="n">
        <v>20</v>
      </c>
      <c r="C16704" s="8" t="n">
        <v>31</v>
      </c>
      <c r="D16704" s="8" t="inlineStr">
        <is>
          <t>Disneyland Park</t>
        </is>
      </c>
      <c r="E16704" s="8" t="inlineStr">
        <is>
          <t>Dumbo the Flying Elephant</t>
        </is>
      </c>
      <c r="F16704" s="8" t="inlineStr">
        <is>
          <t>STANDBY</t>
        </is>
      </c>
      <c r="G16704" s="8" t="n">
        <v>45</v>
      </c>
      <c r="H16704" s="8" t="inlineStr">
        <is>
          <t>OPERATING</t>
        </is>
      </c>
    </row>
    <row r="16705">
      <c r="A16705" s="8" t="inlineStr">
        <is>
          <t>2026-08-03</t>
        </is>
      </c>
      <c r="B16705" s="8" t="n">
        <v>20</v>
      </c>
      <c r="C16705" s="8" t="n">
        <v>31</v>
      </c>
      <c r="D16705" s="8" t="inlineStr">
        <is>
          <t>Disneyland Park</t>
        </is>
      </c>
      <c r="E16705" s="8" t="inlineStr">
        <is>
          <t>La Tanière du Dragon</t>
        </is>
      </c>
      <c r="F16705" s="8" t="inlineStr">
        <is>
          <t>STANDBY</t>
        </is>
      </c>
      <c r="G16705" s="8" t="n">
        <v>0</v>
      </c>
      <c r="H16705" s="8" t="inlineStr">
        <is>
          <t>OPERATING</t>
        </is>
      </c>
    </row>
    <row r="16706">
      <c r="A16706" s="8" t="inlineStr">
        <is>
          <t>2026-08-03</t>
        </is>
      </c>
      <c r="B16706" s="8" t="n">
        <v>20</v>
      </c>
      <c r="C16706" s="8" t="n">
        <v>31</v>
      </c>
      <c r="D16706" s="8" t="inlineStr">
        <is>
          <t>Disneyland Park</t>
        </is>
      </c>
      <c r="E16706" s="8" t="inlineStr">
        <is>
          <t>Le Carrousel de Lancelot</t>
        </is>
      </c>
      <c r="F16706" s="8" t="inlineStr">
        <is>
          <t>STANDBY</t>
        </is>
      </c>
      <c r="G16706" s="8" t="n">
        <v>10</v>
      </c>
      <c r="H16706" s="8" t="inlineStr">
        <is>
          <t>OPERATING</t>
        </is>
      </c>
    </row>
    <row r="16707">
      <c r="A16707" s="8" t="inlineStr">
        <is>
          <t>2026-08-03</t>
        </is>
      </c>
      <c r="B16707" s="8" t="n">
        <v>20</v>
      </c>
      <c r="C16707" s="8" t="n">
        <v>31</v>
      </c>
      <c r="D16707" s="8" t="inlineStr">
        <is>
          <t>Disneyland Park</t>
        </is>
      </c>
      <c r="E16707" s="8" t="inlineStr">
        <is>
          <t>Le Pays des Contes de Fées, presented by Vittel</t>
        </is>
      </c>
      <c r="F16707" s="8" t="inlineStr">
        <is>
          <t>STANDBY</t>
        </is>
      </c>
      <c r="G16707" s="8" t="n">
        <v>5</v>
      </c>
      <c r="H16707" s="8" t="inlineStr">
        <is>
          <t>OPERATING</t>
        </is>
      </c>
    </row>
    <row r="16708">
      <c r="A16708" s="8" t="inlineStr">
        <is>
          <t>2026-08-03</t>
        </is>
      </c>
      <c r="B16708" s="8" t="n">
        <v>20</v>
      </c>
      <c r="C16708" s="8" t="n">
        <v>31</v>
      </c>
      <c r="D16708" s="8" t="inlineStr">
        <is>
          <t>Disneyland Park</t>
        </is>
      </c>
      <c r="E16708" s="8" t="inlineStr">
        <is>
          <t>Les Voyages de Pinocchio</t>
        </is>
      </c>
      <c r="F16708" s="8" t="inlineStr">
        <is>
          <t>STANDBY</t>
        </is>
      </c>
      <c r="G16708" s="8" t="n">
        <v>30</v>
      </c>
      <c r="H16708" s="8" t="inlineStr">
        <is>
          <t>OPERATING</t>
        </is>
      </c>
    </row>
    <row r="16709">
      <c r="A16709" s="8" t="inlineStr">
        <is>
          <t>2026-08-03</t>
        </is>
      </c>
      <c r="B16709" s="8" t="n">
        <v>20</v>
      </c>
      <c r="C16709" s="8" t="n">
        <v>31</v>
      </c>
      <c r="D16709" s="8" t="inlineStr">
        <is>
          <t>Disneyland Park</t>
        </is>
      </c>
      <c r="E16709" s="8" t="inlineStr">
        <is>
          <t>Mad Hatter's Tea Cups</t>
        </is>
      </c>
      <c r="F16709" s="8" t="inlineStr">
        <is>
          <t>STANDBY</t>
        </is>
      </c>
      <c r="G16709" s="8" t="n">
        <v>5</v>
      </c>
      <c r="H16709" s="8" t="inlineStr">
        <is>
          <t>OPERATING</t>
        </is>
      </c>
    </row>
    <row r="16710">
      <c r="A16710" s="8" t="inlineStr">
        <is>
          <t>2026-08-03</t>
        </is>
      </c>
      <c r="B16710" s="8" t="n">
        <v>20</v>
      </c>
      <c r="C16710" s="8" t="n">
        <v>31</v>
      </c>
      <c r="D16710" s="8" t="inlineStr">
        <is>
          <t>Disneyland Park</t>
        </is>
      </c>
      <c r="E16710" s="8" t="inlineStr">
        <is>
          <t>Meet Mickey Mouse</t>
        </is>
      </c>
      <c r="F16710" s="8" t="inlineStr">
        <is>
          <t>STANDBY</t>
        </is>
      </c>
      <c r="G16710" s="8" t="n">
        <v>0</v>
      </c>
      <c r="H16710" s="8" t="inlineStr">
        <is>
          <t>CLOSED</t>
        </is>
      </c>
    </row>
    <row r="16711">
      <c r="A16711" s="8" t="inlineStr">
        <is>
          <t>2026-08-03</t>
        </is>
      </c>
      <c r="B16711" s="8" t="n">
        <v>20</v>
      </c>
      <c r="C16711" s="8" t="n">
        <v>31</v>
      </c>
      <c r="D16711" s="8" t="inlineStr">
        <is>
          <t>Disneyland Park</t>
        </is>
      </c>
      <c r="E16711" s="8" t="inlineStr">
        <is>
          <t>Peter Pan's Flight</t>
        </is>
      </c>
      <c r="F16711" s="8" t="inlineStr">
        <is>
          <t>STANDBY</t>
        </is>
      </c>
      <c r="G16711" s="8" t="n">
        <v>45</v>
      </c>
      <c r="H16711" s="8" t="inlineStr">
        <is>
          <t>OPERATING</t>
        </is>
      </c>
    </row>
    <row r="16712">
      <c r="A16712" s="8" t="inlineStr">
        <is>
          <t>2026-08-03</t>
        </is>
      </c>
      <c r="B16712" s="8" t="n">
        <v>20</v>
      </c>
      <c r="C16712" s="8" t="n">
        <v>31</v>
      </c>
      <c r="D16712" s="8" t="inlineStr">
        <is>
          <t>Disneyland Park</t>
        </is>
      </c>
      <c r="E16712" s="8" t="inlineStr">
        <is>
          <t>Princess Pavilion</t>
        </is>
      </c>
      <c r="F16712" s="8" t="inlineStr">
        <is>
          <t>STANDBY</t>
        </is>
      </c>
      <c r="G16712" s="8" t="n">
        <v>0</v>
      </c>
      <c r="H16712" s="8" t="inlineStr">
        <is>
          <t>CLOSED</t>
        </is>
      </c>
    </row>
    <row r="16713">
      <c r="A16713" s="8" t="inlineStr">
        <is>
          <t>2026-08-03</t>
        </is>
      </c>
      <c r="B16713" s="8" t="n">
        <v>20</v>
      </c>
      <c r="C16713" s="8" t="n">
        <v>31</v>
      </c>
      <c r="D16713" s="8" t="inlineStr">
        <is>
          <t>Disneyland Park</t>
        </is>
      </c>
      <c r="E16713" s="8" t="inlineStr">
        <is>
          <t>Big Thunder Mountain</t>
        </is>
      </c>
      <c r="F16713" s="8" t="inlineStr">
        <is>
          <t>STANDBY</t>
        </is>
      </c>
      <c r="G16713" s="8" t="n">
        <v>55</v>
      </c>
      <c r="H16713" s="8" t="inlineStr">
        <is>
          <t>OPERATING</t>
        </is>
      </c>
    </row>
    <row r="16714">
      <c r="A16714" s="8" t="inlineStr">
        <is>
          <t>2026-08-03</t>
        </is>
      </c>
      <c r="B16714" s="8" t="n">
        <v>20</v>
      </c>
      <c r="C16714" s="8" t="n">
        <v>31</v>
      </c>
      <c r="D16714" s="8" t="inlineStr">
        <is>
          <t>Disneyland Park</t>
        </is>
      </c>
      <c r="E16714" s="8" t="inlineStr">
        <is>
          <t>Disneyland Railroad Frontierland Depot</t>
        </is>
      </c>
      <c r="F16714" s="8" t="inlineStr">
        <is>
          <t>STANDBY</t>
        </is>
      </c>
      <c r="G16714" s="8" t="n">
        <v>0</v>
      </c>
      <c r="H16714" s="8" t="inlineStr">
        <is>
          <t>CLOSED</t>
        </is>
      </c>
    </row>
    <row r="16715">
      <c r="A16715" s="8" t="inlineStr">
        <is>
          <t>2026-08-03</t>
        </is>
      </c>
      <c r="B16715" s="8" t="n">
        <v>20</v>
      </c>
      <c r="C16715" s="8" t="n">
        <v>31</v>
      </c>
      <c r="D16715" s="8" t="inlineStr">
        <is>
          <t>Disneyland Park</t>
        </is>
      </c>
      <c r="E16715" s="8" t="inlineStr">
        <is>
          <t>Frontierland Playground</t>
        </is>
      </c>
      <c r="F16715" s="8" t="inlineStr">
        <is>
          <t>STANDBY</t>
        </is>
      </c>
      <c r="G16715" s="8" t="n">
        <v>0</v>
      </c>
      <c r="H16715" s="8" t="inlineStr">
        <is>
          <t>CLOSED</t>
        </is>
      </c>
    </row>
    <row r="16716">
      <c r="A16716" s="8" t="inlineStr">
        <is>
          <t>2026-08-03</t>
        </is>
      </c>
      <c r="B16716" s="8" t="n">
        <v>20</v>
      </c>
      <c r="C16716" s="8" t="n">
        <v>31</v>
      </c>
      <c r="D16716" s="8" t="inlineStr">
        <is>
          <t>Disneyland Park</t>
        </is>
      </c>
      <c r="E16716" s="8" t="inlineStr">
        <is>
          <t>Phantom Manor</t>
        </is>
      </c>
      <c r="F16716" s="8" t="inlineStr">
        <is>
          <t>STANDBY</t>
        </is>
      </c>
      <c r="G16716" s="8" t="n">
        <v>5</v>
      </c>
      <c r="H16716" s="8" t="inlineStr">
        <is>
          <t>OPERATING</t>
        </is>
      </c>
    </row>
    <row r="16717">
      <c r="A16717" s="8" t="inlineStr">
        <is>
          <t>2026-08-03</t>
        </is>
      </c>
      <c r="B16717" s="8" t="n">
        <v>20</v>
      </c>
      <c r="C16717" s="8" t="n">
        <v>31</v>
      </c>
      <c r="D16717" s="8" t="inlineStr">
        <is>
          <t>Disneyland Park</t>
        </is>
      </c>
      <c r="E16717" s="8" t="inlineStr">
        <is>
          <t>River Rogue Keelboats</t>
        </is>
      </c>
      <c r="F16717" s="8" t="inlineStr">
        <is>
          <t>STANDBY</t>
        </is>
      </c>
      <c r="G16717" s="8" t="n">
        <v>0</v>
      </c>
      <c r="H16717" s="8" t="inlineStr">
        <is>
          <t>CLOSED</t>
        </is>
      </c>
    </row>
    <row r="16718">
      <c r="A16718" s="8" t="inlineStr">
        <is>
          <t>2026-08-03</t>
        </is>
      </c>
      <c r="B16718" s="8" t="n">
        <v>20</v>
      </c>
      <c r="C16718" s="8" t="n">
        <v>31</v>
      </c>
      <c r="D16718" s="8" t="inlineStr">
        <is>
          <t>Disneyland Park</t>
        </is>
      </c>
      <c r="E16718" s="8" t="inlineStr">
        <is>
          <t>Rustler Roundup Shootin' Gallery</t>
        </is>
      </c>
      <c r="F16718" s="8" t="inlineStr">
        <is>
          <t>STANDBY</t>
        </is>
      </c>
      <c r="G16718" s="8" t="n">
        <v>0</v>
      </c>
      <c r="H16718" s="8" t="inlineStr">
        <is>
          <t>OPERATING</t>
        </is>
      </c>
    </row>
    <row r="16719">
      <c r="A16719" s="8" t="inlineStr">
        <is>
          <t>2026-08-03</t>
        </is>
      </c>
      <c r="B16719" s="8" t="n">
        <v>20</v>
      </c>
      <c r="C16719" s="8" t="n">
        <v>31</v>
      </c>
      <c r="D16719" s="8" t="inlineStr">
        <is>
          <t>Disneyland Park</t>
        </is>
      </c>
      <c r="E16719" s="8" t="inlineStr">
        <is>
          <t>Thunder Mesa Riverboat Landing</t>
        </is>
      </c>
      <c r="F16719" s="8" t="inlineStr">
        <is>
          <t>STANDBY</t>
        </is>
      </c>
      <c r="G16719" s="8" t="n">
        <v>0</v>
      </c>
      <c r="H16719" s="8" t="inlineStr">
        <is>
          <t>CLOSED</t>
        </is>
      </c>
    </row>
    <row r="16720">
      <c r="A16720" s="8" t="inlineStr">
        <is>
          <t>2026-08-03</t>
        </is>
      </c>
      <c r="B16720" s="8" t="n">
        <v>20</v>
      </c>
      <c r="C16720" s="8" t="n">
        <v>31</v>
      </c>
      <c r="D16720" s="8" t="inlineStr">
        <is>
          <t>Disneyland Park</t>
        </is>
      </c>
      <c r="E16720" s="8" t="inlineStr">
        <is>
          <t>Disneyland Railroad Main Street Station</t>
        </is>
      </c>
      <c r="F16720" s="8" t="inlineStr">
        <is>
          <t>STANDBY</t>
        </is>
      </c>
      <c r="G16720" s="8" t="n">
        <v>0</v>
      </c>
      <c r="H16720" s="8" t="inlineStr">
        <is>
          <t>CLOSED</t>
        </is>
      </c>
    </row>
    <row r="16721">
      <c r="A16721" s="8" t="inlineStr">
        <is>
          <t>2026-08-03</t>
        </is>
      </c>
      <c r="B16721" s="8" t="n">
        <v>20</v>
      </c>
      <c r="C16721" s="8" t="n">
        <v>31</v>
      </c>
      <c r="D16721" s="8" t="inlineStr">
        <is>
          <t>Disneyland Park</t>
        </is>
      </c>
      <c r="E16721" s="8" t="inlineStr">
        <is>
          <t>Main Street Vehicles</t>
        </is>
      </c>
      <c r="F16721" s="8" t="inlineStr">
        <is>
          <t>STANDBY</t>
        </is>
      </c>
      <c r="G16721" s="8" t="n">
        <v>0</v>
      </c>
      <c r="H16721" s="8" t="inlineStr">
        <is>
          <t>CLOSED</t>
        </is>
      </c>
    </row>
    <row r="16722">
      <c r="A16722" s="8" t="inlineStr">
        <is>
          <t>2026-08-03</t>
        </is>
      </c>
      <c r="B16722" s="8" t="n">
        <v>20</v>
      </c>
      <c r="C16722" s="8" t="n">
        <v>31</v>
      </c>
      <c r="D16722" s="8" t="inlineStr">
        <is>
          <t>Disney Adventure World</t>
        </is>
      </c>
      <c r="E16722" s="8" t="inlineStr">
        <is>
          <t>Avengers Assemble: Flight Force</t>
        </is>
      </c>
      <c r="F16722" s="8" t="inlineStr">
        <is>
          <t>STANDBY</t>
        </is>
      </c>
      <c r="G16722" s="8" t="n">
        <v>10</v>
      </c>
      <c r="H16722" s="8" t="inlineStr">
        <is>
          <t>OPERATING</t>
        </is>
      </c>
    </row>
    <row r="16723">
      <c r="A16723" s="8" t="inlineStr">
        <is>
          <t>2026-08-03</t>
        </is>
      </c>
      <c r="B16723" s="8" t="n">
        <v>20</v>
      </c>
      <c r="C16723" s="8" t="n">
        <v>31</v>
      </c>
      <c r="D16723" s="8" t="inlineStr">
        <is>
          <t>Disney Adventure World</t>
        </is>
      </c>
      <c r="E16723" s="8" t="inlineStr">
        <is>
          <t>Avengers Assemble: Flight Force Single Rider</t>
        </is>
      </c>
      <c r="F16723" s="8" t="inlineStr">
        <is>
          <t>STANDBY</t>
        </is>
      </c>
      <c r="G16723" s="8" t="n">
        <v>5</v>
      </c>
      <c r="H16723" s="8" t="inlineStr">
        <is>
          <t>OPERATING</t>
        </is>
      </c>
    </row>
    <row r="16724">
      <c r="A16724" s="8" t="inlineStr">
        <is>
          <t>2026-08-03</t>
        </is>
      </c>
      <c r="B16724" s="8" t="n">
        <v>20</v>
      </c>
      <c r="C16724" s="8" t="n">
        <v>31</v>
      </c>
      <c r="D16724" s="8" t="inlineStr">
        <is>
          <t>Disney Adventure World</t>
        </is>
      </c>
      <c r="E16724" s="8" t="inlineStr">
        <is>
          <t>Spider-Man W.E.B. Adventure</t>
        </is>
      </c>
      <c r="F16724" s="8" t="inlineStr">
        <is>
          <t>STANDBY</t>
        </is>
      </c>
      <c r="G16724" s="8" t="n">
        <v>35</v>
      </c>
      <c r="H16724" s="8" t="inlineStr">
        <is>
          <t>OPERATING</t>
        </is>
      </c>
    </row>
    <row r="16725">
      <c r="A16725" s="8" t="inlineStr">
        <is>
          <t>2026-08-03</t>
        </is>
      </c>
      <c r="B16725" s="8" t="n">
        <v>20</v>
      </c>
      <c r="C16725" s="8" t="n">
        <v>31</v>
      </c>
      <c r="D16725" s="8" t="inlineStr">
        <is>
          <t>Disney Adventure World</t>
        </is>
      </c>
      <c r="E16725" s="8" t="inlineStr">
        <is>
          <t>Spider-Man W.E.B. Adventure Single Rider</t>
        </is>
      </c>
      <c r="F16725" s="8" t="inlineStr">
        <is>
          <t>STANDBY</t>
        </is>
      </c>
      <c r="G16725" s="8" t="n">
        <v>15</v>
      </c>
      <c r="H16725" s="8" t="inlineStr">
        <is>
          <t>OPERATING</t>
        </is>
      </c>
    </row>
    <row r="16726">
      <c r="A16726" s="8" t="inlineStr">
        <is>
          <t>2026-08-03</t>
        </is>
      </c>
      <c r="B16726" s="8" t="n">
        <v>20</v>
      </c>
      <c r="C16726" s="8" t="n">
        <v>31</v>
      </c>
      <c r="D16726" s="8" t="inlineStr">
        <is>
          <t>Disney Adventure World</t>
        </is>
      </c>
      <c r="E16726" s="8" t="inlineStr">
        <is>
          <t>The Twilight Zone Tower of Terror</t>
        </is>
      </c>
      <c r="F16726" s="8" t="inlineStr">
        <is>
          <t>STANDBY</t>
        </is>
      </c>
      <c r="G16726" s="8" t="n">
        <v>25</v>
      </c>
      <c r="H16726" s="8" t="inlineStr">
        <is>
          <t>OPERATING</t>
        </is>
      </c>
    </row>
    <row r="16727">
      <c r="A16727" s="8" t="inlineStr">
        <is>
          <t>2026-08-03</t>
        </is>
      </c>
      <c r="B16727" s="8" t="n">
        <v>20</v>
      </c>
      <c r="C16727" s="8" t="n">
        <v>31</v>
      </c>
      <c r="D16727" s="8" t="inlineStr">
        <is>
          <t>Disney Adventure World</t>
        </is>
      </c>
      <c r="E16727" s="8" t="inlineStr">
        <is>
          <t>Cars Quatre Roues Rallye</t>
        </is>
      </c>
      <c r="F16727" s="8" t="inlineStr">
        <is>
          <t>STANDBY</t>
        </is>
      </c>
      <c r="G16727" s="8" t="n">
        <v>5</v>
      </c>
      <c r="H16727" s="8" t="inlineStr">
        <is>
          <t>OPERATING</t>
        </is>
      </c>
    </row>
    <row r="16728">
      <c r="A16728" s="8" t="inlineStr">
        <is>
          <t>2026-08-03</t>
        </is>
      </c>
      <c r="B16728" s="8" t="n">
        <v>20</v>
      </c>
      <c r="C16728" s="8" t="n">
        <v>31</v>
      </c>
      <c r="D16728" s="8" t="inlineStr">
        <is>
          <t>Disney Adventure World</t>
        </is>
      </c>
      <c r="E16728" s="8" t="inlineStr">
        <is>
          <t>Cars ROAD TRIP</t>
        </is>
      </c>
      <c r="F16728" s="8" t="inlineStr">
        <is>
          <t>STANDBY</t>
        </is>
      </c>
      <c r="G16728" s="8" t="n">
        <v>5</v>
      </c>
      <c r="H16728" s="8" t="inlineStr">
        <is>
          <t>OPERATING</t>
        </is>
      </c>
    </row>
    <row r="16729">
      <c r="A16729" s="8" t="inlineStr">
        <is>
          <t>2026-08-03</t>
        </is>
      </c>
      <c r="B16729" s="8" t="n">
        <v>20</v>
      </c>
      <c r="C16729" s="8" t="n">
        <v>31</v>
      </c>
      <c r="D16729" s="8" t="inlineStr">
        <is>
          <t>Disney Adventure World</t>
        </is>
      </c>
      <c r="E16729" s="8" t="inlineStr">
        <is>
          <t>Crush's Coaster</t>
        </is>
      </c>
      <c r="F16729" s="8" t="inlineStr">
        <is>
          <t>STANDBY</t>
        </is>
      </c>
      <c r="G16729" s="8" t="n">
        <v>65</v>
      </c>
      <c r="H16729" s="8" t="inlineStr">
        <is>
          <t>OPERATING</t>
        </is>
      </c>
    </row>
    <row r="16730">
      <c r="A16730" s="8" t="inlineStr">
        <is>
          <t>2026-08-03</t>
        </is>
      </c>
      <c r="B16730" s="8" t="n">
        <v>20</v>
      </c>
      <c r="C16730" s="8" t="n">
        <v>31</v>
      </c>
      <c r="D16730" s="8" t="inlineStr">
        <is>
          <t>Disney Adventure World</t>
        </is>
      </c>
      <c r="E16730" s="8" t="inlineStr">
        <is>
          <t>Crush's Coaster Single Rider</t>
        </is>
      </c>
      <c r="F16730" s="8" t="inlineStr">
        <is>
          <t>STANDBY</t>
        </is>
      </c>
      <c r="G16730" s="8" t="n">
        <v>60</v>
      </c>
      <c r="H16730" s="8" t="inlineStr">
        <is>
          <t>OPERATING</t>
        </is>
      </c>
    </row>
    <row r="16731">
      <c r="A16731" s="8" t="inlineStr">
        <is>
          <t>2026-08-03</t>
        </is>
      </c>
      <c r="B16731" s="8" t="n">
        <v>20</v>
      </c>
      <c r="C16731" s="8" t="n">
        <v>31</v>
      </c>
      <c r="D16731" s="8" t="inlineStr">
        <is>
          <t>Disney Adventure World</t>
        </is>
      </c>
      <c r="E16731" s="8" t="inlineStr">
        <is>
          <t>Les Tapis Volants - Flying Carpets Over Agrabah®</t>
        </is>
      </c>
      <c r="F16731" s="8" t="inlineStr">
        <is>
          <t>STANDBY</t>
        </is>
      </c>
      <c r="G16731" s="8" t="n">
        <v>15</v>
      </c>
      <c r="H16731" s="8" t="inlineStr">
        <is>
          <t>OPERATING</t>
        </is>
      </c>
    </row>
    <row r="16732">
      <c r="A16732" s="8" t="inlineStr">
        <is>
          <t>2026-08-03</t>
        </is>
      </c>
      <c r="B16732" s="8" t="n">
        <v>20</v>
      </c>
      <c r="C16732" s="8" t="n">
        <v>31</v>
      </c>
      <c r="D16732" s="8" t="inlineStr">
        <is>
          <t>Disney Adventure World</t>
        </is>
      </c>
      <c r="E16732" s="8" t="inlineStr">
        <is>
          <t>Ratatouille : L’Aventure Totalement Toquée de Rémy​</t>
        </is>
      </c>
      <c r="F16732" s="8" t="inlineStr">
        <is>
          <t>STANDBY</t>
        </is>
      </c>
      <c r="G16732" s="8" t="n">
        <v>0</v>
      </c>
      <c r="H16732" s="8" t="inlineStr">
        <is>
          <t>CLOSED</t>
        </is>
      </c>
    </row>
    <row r="16733">
      <c r="A16733" s="8" t="inlineStr">
        <is>
          <t>2026-08-03</t>
        </is>
      </c>
      <c r="B16733" s="8" t="n">
        <v>20</v>
      </c>
      <c r="C16733" s="8" t="n">
        <v>31</v>
      </c>
      <c r="D16733" s="8" t="inlineStr">
        <is>
          <t>Disney Adventure World</t>
        </is>
      </c>
      <c r="E16733" s="8" t="inlineStr">
        <is>
          <t>Ratatouille: The Adventure Single Rider</t>
        </is>
      </c>
      <c r="F16733" s="8" t="inlineStr">
        <is>
          <t>STANDBY</t>
        </is>
      </c>
      <c r="G16733" s="8" t="n">
        <v>0</v>
      </c>
      <c r="H16733" s="8" t="inlineStr">
        <is>
          <t>CLOSED</t>
        </is>
      </c>
    </row>
    <row r="16734">
      <c r="A16734" s="8" t="inlineStr">
        <is>
          <t>2026-08-03</t>
        </is>
      </c>
      <c r="B16734" s="8" t="n">
        <v>20</v>
      </c>
      <c r="C16734" s="8" t="n">
        <v>31</v>
      </c>
      <c r="D16734" s="8" t="inlineStr">
        <is>
          <t>Disney Adventure World</t>
        </is>
      </c>
      <c r="E16734" s="8" t="inlineStr">
        <is>
          <t>RC Racer</t>
        </is>
      </c>
      <c r="F16734" s="8" t="inlineStr">
        <is>
          <t>STANDBY</t>
        </is>
      </c>
      <c r="G16734" s="8" t="n">
        <v>30</v>
      </c>
      <c r="H16734" s="8" t="inlineStr">
        <is>
          <t>OPERATING</t>
        </is>
      </c>
    </row>
    <row r="16735">
      <c r="A16735" s="8" t="inlineStr">
        <is>
          <t>2026-08-03</t>
        </is>
      </c>
      <c r="B16735" s="8" t="n">
        <v>20</v>
      </c>
      <c r="C16735" s="8" t="n">
        <v>31</v>
      </c>
      <c r="D16735" s="8" t="inlineStr">
        <is>
          <t>Disney Adventure World</t>
        </is>
      </c>
      <c r="E16735" s="8" t="inlineStr">
        <is>
          <t>RC Racer Single Rider</t>
        </is>
      </c>
      <c r="F16735" s="8" t="inlineStr">
        <is>
          <t>STANDBY</t>
        </is>
      </c>
      <c r="G16735" s="8" t="n">
        <v>25</v>
      </c>
      <c r="H16735" s="8" t="inlineStr">
        <is>
          <t>OPERATING</t>
        </is>
      </c>
    </row>
    <row r="16736">
      <c r="A16736" s="8" t="inlineStr">
        <is>
          <t>2026-08-03</t>
        </is>
      </c>
      <c r="B16736" s="8" t="n">
        <v>20</v>
      </c>
      <c r="C16736" s="8" t="n">
        <v>31</v>
      </c>
      <c r="D16736" s="8" t="inlineStr">
        <is>
          <t>Disney Adventure World</t>
        </is>
      </c>
      <c r="E16736" s="8" t="inlineStr">
        <is>
          <t>Slinky® Dog Zigzag Spin</t>
        </is>
      </c>
      <c r="F16736" s="8" t="inlineStr">
        <is>
          <t>STANDBY</t>
        </is>
      </c>
      <c r="G16736" s="8" t="n">
        <v>15</v>
      </c>
      <c r="H16736" s="8" t="inlineStr">
        <is>
          <t>OPERATING</t>
        </is>
      </c>
    </row>
    <row r="16737">
      <c r="A16737" s="8" t="inlineStr">
        <is>
          <t>2026-08-03</t>
        </is>
      </c>
      <c r="B16737" s="8" t="n">
        <v>20</v>
      </c>
      <c r="C16737" s="8" t="n">
        <v>31</v>
      </c>
      <c r="D16737" s="8" t="inlineStr">
        <is>
          <t>Disney Adventure World</t>
        </is>
      </c>
      <c r="E16737" s="8" t="inlineStr">
        <is>
          <t>Toy Soldiers Parachute Drop</t>
        </is>
      </c>
      <c r="F16737" s="8" t="inlineStr">
        <is>
          <t>STANDBY</t>
        </is>
      </c>
      <c r="G16737" s="8" t="n">
        <v>0</v>
      </c>
      <c r="H16737" s="8" t="inlineStr">
        <is>
          <t>CLOSED</t>
        </is>
      </c>
    </row>
    <row r="16738">
      <c r="A16738" s="8" t="inlineStr">
        <is>
          <t>2026-08-03</t>
        </is>
      </c>
      <c r="B16738" s="8" t="n">
        <v>20</v>
      </c>
      <c r="C16738" s="8" t="n">
        <v>31</v>
      </c>
      <c r="D16738" s="8" t="inlineStr">
        <is>
          <t>Disney Adventure World</t>
        </is>
      </c>
      <c r="E16738" s="8" t="inlineStr">
        <is>
          <t>Toy Soldiers Parachute Drop Single Rider</t>
        </is>
      </c>
      <c r="F16738" s="8" t="inlineStr">
        <is>
          <t>STANDBY</t>
        </is>
      </c>
      <c r="G16738" s="8" t="n">
        <v>0</v>
      </c>
      <c r="H16738" s="8" t="inlineStr">
        <is>
          <t>CLOSED</t>
        </is>
      </c>
    </row>
    <row r="16739">
      <c r="A16739" s="8" t="inlineStr">
        <is>
          <t>2026-08-03</t>
        </is>
      </c>
      <c r="B16739" s="8" t="n">
        <v>20</v>
      </c>
      <c r="C16739" s="8" t="n">
        <v>31</v>
      </c>
      <c r="D16739" s="8" t="inlineStr">
        <is>
          <t>Disney Adventure World</t>
        </is>
      </c>
      <c r="E16739" s="8" t="inlineStr">
        <is>
          <t>Entry to World of Frozen</t>
        </is>
      </c>
      <c r="F16739" s="8" t="inlineStr">
        <is>
          <t>STANDBY</t>
        </is>
      </c>
      <c r="G16739" s="8" t="n">
        <v>0</v>
      </c>
      <c r="H16739" s="8" t="inlineStr">
        <is>
          <t>OPERATING</t>
        </is>
      </c>
    </row>
    <row r="16740">
      <c r="A16740" s="8" t="inlineStr">
        <is>
          <t>2026-08-03</t>
        </is>
      </c>
      <c r="B16740" s="8" t="n">
        <v>20</v>
      </c>
      <c r="C16740" s="8" t="n">
        <v>31</v>
      </c>
      <c r="D16740" s="8" t="inlineStr">
        <is>
          <t>Disney Adventure World</t>
        </is>
      </c>
      <c r="E16740" s="8" t="inlineStr">
        <is>
          <t>Frozen Ever After</t>
        </is>
      </c>
      <c r="F16740" s="8" t="inlineStr">
        <is>
          <t>STANDBY</t>
        </is>
      </c>
      <c r="G16740" s="8" t="n">
        <v>40</v>
      </c>
      <c r="H16740" s="8" t="inlineStr">
        <is>
          <t>OPERATING</t>
        </is>
      </c>
    </row>
    <row r="16741">
      <c r="A16741" s="8" t="inlineStr">
        <is>
          <t>2026-08-03</t>
        </is>
      </c>
      <c r="B16741" s="8" t="n">
        <v>20</v>
      </c>
      <c r="C16741" s="8" t="n">
        <v>31</v>
      </c>
      <c r="D16741" s="8" t="inlineStr">
        <is>
          <t>Disney Adventure World</t>
        </is>
      </c>
      <c r="E16741" s="8" t="inlineStr">
        <is>
          <t>Raiponce Tangled Spin</t>
        </is>
      </c>
      <c r="F16741" s="8" t="inlineStr">
        <is>
          <t>STANDBY</t>
        </is>
      </c>
      <c r="G16741" s="8" t="n">
        <v>5</v>
      </c>
      <c r="H16741" s="8" t="inlineStr">
        <is>
          <t>OPERATING</t>
        </is>
      </c>
    </row>
    <row r="16742">
      <c r="A16742" s="8" t="inlineStr">
        <is>
          <t>2026-08-03</t>
        </is>
      </c>
      <c r="B16742" s="8" t="n">
        <v>20</v>
      </c>
      <c r="C16742" s="8" t="n">
        <v>45</v>
      </c>
      <c r="D16742" s="8" t="inlineStr">
        <is>
          <t>Disneyland Park</t>
        </is>
      </c>
      <c r="E16742" s="8" t="inlineStr">
        <is>
          <t>Adventure Isle</t>
        </is>
      </c>
      <c r="F16742" s="8" t="inlineStr">
        <is>
          <t>STANDBY</t>
        </is>
      </c>
      <c r="G16742" s="8" t="n">
        <v>0</v>
      </c>
      <c r="H16742" s="8" t="inlineStr">
        <is>
          <t>OPERATING</t>
        </is>
      </c>
    </row>
    <row r="16743">
      <c r="A16743" s="8" t="inlineStr">
        <is>
          <t>2026-08-03</t>
        </is>
      </c>
      <c r="B16743" s="8" t="n">
        <v>20</v>
      </c>
      <c r="C16743" s="8" t="n">
        <v>45</v>
      </c>
      <c r="D16743" s="8" t="inlineStr">
        <is>
          <t>Disneyland Park</t>
        </is>
      </c>
      <c r="E16743" s="8" t="inlineStr">
        <is>
          <t>Indiana Jones and the Temple of Peril Single Rider</t>
        </is>
      </c>
      <c r="F16743" s="8" t="inlineStr">
        <is>
          <t>STANDBY</t>
        </is>
      </c>
      <c r="G16743" s="8" t="n">
        <v>10</v>
      </c>
      <c r="H16743" s="8" t="inlineStr">
        <is>
          <t>OPERATING</t>
        </is>
      </c>
    </row>
    <row r="16744">
      <c r="A16744" s="8" t="inlineStr">
        <is>
          <t>2026-08-03</t>
        </is>
      </c>
      <c r="B16744" s="8" t="n">
        <v>20</v>
      </c>
      <c r="C16744" s="8" t="n">
        <v>45</v>
      </c>
      <c r="D16744" s="8" t="inlineStr">
        <is>
          <t>Disneyland Park</t>
        </is>
      </c>
      <c r="E16744" s="8" t="inlineStr">
        <is>
          <t>Indiana Jones™ and the Temple of Peril</t>
        </is>
      </c>
      <c r="F16744" s="8" t="inlineStr">
        <is>
          <t>STANDBY</t>
        </is>
      </c>
      <c r="G16744" s="8" t="n">
        <v>15</v>
      </c>
      <c r="H16744" s="8" t="inlineStr">
        <is>
          <t>OPERATING</t>
        </is>
      </c>
    </row>
    <row r="16745">
      <c r="A16745" s="8" t="inlineStr">
        <is>
          <t>2026-08-03</t>
        </is>
      </c>
      <c r="B16745" s="8" t="n">
        <v>20</v>
      </c>
      <c r="C16745" s="8" t="n">
        <v>45</v>
      </c>
      <c r="D16745" s="8" t="inlineStr">
        <is>
          <t>Disneyland Park</t>
        </is>
      </c>
      <c r="E16745" s="8" t="inlineStr">
        <is>
          <t>La Cabane des Robinson</t>
        </is>
      </c>
      <c r="F16745" s="8" t="inlineStr">
        <is>
          <t>STANDBY</t>
        </is>
      </c>
      <c r="G16745" s="8" t="n">
        <v>5</v>
      </c>
      <c r="H16745" s="8" t="inlineStr">
        <is>
          <t>OPERATING</t>
        </is>
      </c>
    </row>
    <row r="16746">
      <c r="A16746" s="8" t="inlineStr">
        <is>
          <t>2026-08-03</t>
        </is>
      </c>
      <c r="B16746" s="8" t="n">
        <v>20</v>
      </c>
      <c r="C16746" s="8" t="n">
        <v>45</v>
      </c>
      <c r="D16746" s="8" t="inlineStr">
        <is>
          <t>Disneyland Park</t>
        </is>
      </c>
      <c r="E16746" s="8" t="inlineStr">
        <is>
          <t>Le Passage Enchanté d'Aladdin</t>
        </is>
      </c>
      <c r="F16746" s="8" t="inlineStr">
        <is>
          <t>STANDBY</t>
        </is>
      </c>
      <c r="G16746" s="8" t="n">
        <v>0</v>
      </c>
      <c r="H16746" s="8" t="inlineStr">
        <is>
          <t>OPERATING</t>
        </is>
      </c>
    </row>
    <row r="16747">
      <c r="A16747" s="8" t="inlineStr">
        <is>
          <t>2026-08-03</t>
        </is>
      </c>
      <c r="B16747" s="8" t="n">
        <v>20</v>
      </c>
      <c r="C16747" s="8" t="n">
        <v>45</v>
      </c>
      <c r="D16747" s="8" t="inlineStr">
        <is>
          <t>Disneyland Park</t>
        </is>
      </c>
      <c r="E16747" s="8" t="inlineStr">
        <is>
          <t>Pirate Galleon</t>
        </is>
      </c>
      <c r="F16747" s="8" t="inlineStr">
        <is>
          <t>STANDBY</t>
        </is>
      </c>
      <c r="G16747" s="8" t="n">
        <v>0</v>
      </c>
      <c r="H16747" s="8" t="inlineStr">
        <is>
          <t>CLOSED</t>
        </is>
      </c>
    </row>
    <row r="16748">
      <c r="A16748" s="8" t="inlineStr">
        <is>
          <t>2026-08-03</t>
        </is>
      </c>
      <c r="B16748" s="8" t="n">
        <v>20</v>
      </c>
      <c r="C16748" s="8" t="n">
        <v>45</v>
      </c>
      <c r="D16748" s="8" t="inlineStr">
        <is>
          <t>Disneyland Park</t>
        </is>
      </c>
      <c r="E16748" s="8" t="inlineStr">
        <is>
          <t>Pirates of the Caribbean</t>
        </is>
      </c>
      <c r="F16748" s="8" t="inlineStr">
        <is>
          <t>STANDBY</t>
        </is>
      </c>
      <c r="G16748" s="8" t="n">
        <v>5</v>
      </c>
      <c r="H16748" s="8" t="inlineStr">
        <is>
          <t>OPERATING</t>
        </is>
      </c>
    </row>
    <row r="16749">
      <c r="A16749" s="8" t="inlineStr">
        <is>
          <t>2026-08-03</t>
        </is>
      </c>
      <c r="B16749" s="8" t="n">
        <v>20</v>
      </c>
      <c r="C16749" s="8" t="n">
        <v>45</v>
      </c>
      <c r="D16749" s="8" t="inlineStr">
        <is>
          <t>Disneyland Park</t>
        </is>
      </c>
      <c r="E16749" s="8" t="inlineStr">
        <is>
          <t>Pirates' Beach</t>
        </is>
      </c>
      <c r="F16749" s="8" t="inlineStr">
        <is>
          <t>STANDBY</t>
        </is>
      </c>
      <c r="G16749" s="8" t="n">
        <v>0</v>
      </c>
      <c r="H16749" s="8" t="inlineStr">
        <is>
          <t>OPERATING</t>
        </is>
      </c>
    </row>
    <row r="16750">
      <c r="A16750" s="8" t="inlineStr">
        <is>
          <t>2026-08-03</t>
        </is>
      </c>
      <c r="B16750" s="8" t="n">
        <v>20</v>
      </c>
      <c r="C16750" s="8" t="n">
        <v>45</v>
      </c>
      <c r="D16750" s="8" t="inlineStr">
        <is>
          <t>Disneyland Park</t>
        </is>
      </c>
      <c r="E16750" s="8" t="inlineStr">
        <is>
          <t>Autopia, presented by Avis</t>
        </is>
      </c>
      <c r="F16750" s="8" t="inlineStr">
        <is>
          <t>STANDBY</t>
        </is>
      </c>
      <c r="G16750" s="8" t="n">
        <v>115</v>
      </c>
      <c r="H16750" s="8" t="inlineStr">
        <is>
          <t>OPERATING</t>
        </is>
      </c>
    </row>
    <row r="16751">
      <c r="A16751" s="8" t="inlineStr">
        <is>
          <t>2026-08-03</t>
        </is>
      </c>
      <c r="B16751" s="8" t="n">
        <v>20</v>
      </c>
      <c r="C16751" s="8" t="n">
        <v>45</v>
      </c>
      <c r="D16751" s="8" t="inlineStr">
        <is>
          <t>Disneyland Park</t>
        </is>
      </c>
      <c r="E16751" s="8" t="inlineStr">
        <is>
          <t>Buzz Lightyear Laser Blast</t>
        </is>
      </c>
      <c r="F16751" s="8" t="inlineStr">
        <is>
          <t>STANDBY</t>
        </is>
      </c>
      <c r="G16751" s="8" t="n">
        <v>20</v>
      </c>
      <c r="H16751" s="8" t="inlineStr">
        <is>
          <t>OPERATING</t>
        </is>
      </c>
    </row>
    <row r="16752">
      <c r="A16752" s="8" t="inlineStr">
        <is>
          <t>2026-08-03</t>
        </is>
      </c>
      <c r="B16752" s="8" t="n">
        <v>20</v>
      </c>
      <c r="C16752" s="8" t="n">
        <v>45</v>
      </c>
      <c r="D16752" s="8" t="inlineStr">
        <is>
          <t>Disneyland Park</t>
        </is>
      </c>
      <c r="E16752" s="8" t="inlineStr">
        <is>
          <t>Disneyland Railroad Discoveryland Station</t>
        </is>
      </c>
      <c r="F16752" s="8" t="inlineStr">
        <is>
          <t>STANDBY</t>
        </is>
      </c>
      <c r="G16752" s="8" t="n">
        <v>0</v>
      </c>
      <c r="H16752" s="8" t="inlineStr">
        <is>
          <t>CLOSED</t>
        </is>
      </c>
    </row>
    <row r="16753">
      <c r="A16753" s="8" t="inlineStr">
        <is>
          <t>2026-08-03</t>
        </is>
      </c>
      <c r="B16753" s="8" t="n">
        <v>20</v>
      </c>
      <c r="C16753" s="8" t="n">
        <v>45</v>
      </c>
      <c r="D16753" s="8" t="inlineStr">
        <is>
          <t>Disneyland Park</t>
        </is>
      </c>
      <c r="E16753" s="8" t="inlineStr">
        <is>
          <t>Les Mystères du Nautilus</t>
        </is>
      </c>
      <c r="F16753" s="8" t="inlineStr">
        <is>
          <t>STANDBY</t>
        </is>
      </c>
      <c r="G16753" s="8" t="n">
        <v>5</v>
      </c>
      <c r="H16753" s="8" t="inlineStr">
        <is>
          <t>OPERATING</t>
        </is>
      </c>
    </row>
    <row r="16754">
      <c r="A16754" s="8" t="inlineStr">
        <is>
          <t>2026-08-03</t>
        </is>
      </c>
      <c r="B16754" s="8" t="n">
        <v>20</v>
      </c>
      <c r="C16754" s="8" t="n">
        <v>45</v>
      </c>
      <c r="D16754" s="8" t="inlineStr">
        <is>
          <t>Disneyland Park</t>
        </is>
      </c>
      <c r="E16754" s="8" t="inlineStr">
        <is>
          <t>Mickey’s PhilharMagic</t>
        </is>
      </c>
      <c r="F16754" s="8" t="inlineStr">
        <is>
          <t>STANDBY</t>
        </is>
      </c>
      <c r="G16754" s="8" t="n">
        <v>0</v>
      </c>
      <c r="H16754" s="8" t="inlineStr">
        <is>
          <t>CLOSED</t>
        </is>
      </c>
    </row>
    <row r="16755">
      <c r="A16755" s="8" t="inlineStr">
        <is>
          <t>2026-08-03</t>
        </is>
      </c>
      <c r="B16755" s="8" t="n">
        <v>20</v>
      </c>
      <c r="C16755" s="8" t="n">
        <v>45</v>
      </c>
      <c r="D16755" s="8" t="inlineStr">
        <is>
          <t>Disneyland Park</t>
        </is>
      </c>
      <c r="E16755" s="8" t="inlineStr">
        <is>
          <t>Orbitron®</t>
        </is>
      </c>
      <c r="F16755" s="8" t="inlineStr">
        <is>
          <t>STANDBY</t>
        </is>
      </c>
      <c r="G16755" s="8" t="n">
        <v>50</v>
      </c>
      <c r="H16755" s="8" t="inlineStr">
        <is>
          <t>OPERATING</t>
        </is>
      </c>
    </row>
    <row r="16756">
      <c r="A16756" s="8" t="inlineStr">
        <is>
          <t>2026-08-03</t>
        </is>
      </c>
      <c r="B16756" s="8" t="n">
        <v>20</v>
      </c>
      <c r="C16756" s="8" t="n">
        <v>45</v>
      </c>
      <c r="D16756" s="8" t="inlineStr">
        <is>
          <t>Disneyland Park</t>
        </is>
      </c>
      <c r="E16756" s="8" t="inlineStr">
        <is>
          <t>Star Tours: The Adventures Continue*</t>
        </is>
      </c>
      <c r="F16756" s="8" t="inlineStr">
        <is>
          <t>STANDBY</t>
        </is>
      </c>
      <c r="G16756" s="8" t="n">
        <v>5</v>
      </c>
      <c r="H16756" s="8" t="inlineStr">
        <is>
          <t>OPERATING</t>
        </is>
      </c>
    </row>
    <row r="16757">
      <c r="A16757" s="8" t="inlineStr">
        <is>
          <t>2026-08-03</t>
        </is>
      </c>
      <c r="B16757" s="8" t="n">
        <v>20</v>
      </c>
      <c r="C16757" s="8" t="n">
        <v>45</v>
      </c>
      <c r="D16757" s="8" t="inlineStr">
        <is>
          <t>Disneyland Park</t>
        </is>
      </c>
      <c r="E16757" s="8" t="inlineStr">
        <is>
          <t>Star Wars Hyperspace Mountain</t>
        </is>
      </c>
      <c r="F16757" s="8" t="inlineStr">
        <is>
          <t>STANDBY</t>
        </is>
      </c>
      <c r="G16757" s="8" t="n">
        <v>25</v>
      </c>
      <c r="H16757" s="8" t="inlineStr">
        <is>
          <t>OPERATING</t>
        </is>
      </c>
    </row>
    <row r="16758">
      <c r="A16758" s="8" t="inlineStr">
        <is>
          <t>2026-08-03</t>
        </is>
      </c>
      <c r="B16758" s="8" t="n">
        <v>20</v>
      </c>
      <c r="C16758" s="8" t="n">
        <v>45</v>
      </c>
      <c r="D16758" s="8" t="inlineStr">
        <is>
          <t>Disneyland Park</t>
        </is>
      </c>
      <c r="E16758" s="8" t="inlineStr">
        <is>
          <t>Star Wars Hyperspace Mountain Single Rider</t>
        </is>
      </c>
      <c r="F16758" s="8" t="inlineStr">
        <is>
          <t>STANDBY</t>
        </is>
      </c>
      <c r="G16758" s="8" t="n">
        <v>15</v>
      </c>
      <c r="H16758" s="8" t="inlineStr">
        <is>
          <t>OPERATING</t>
        </is>
      </c>
    </row>
    <row r="16759">
      <c r="A16759" s="8" t="inlineStr">
        <is>
          <t>2026-08-03</t>
        </is>
      </c>
      <c r="B16759" s="8" t="n">
        <v>20</v>
      </c>
      <c r="C16759" s="8" t="n">
        <v>45</v>
      </c>
      <c r="D16759" s="8" t="inlineStr">
        <is>
          <t>Disneyland Park</t>
        </is>
      </c>
      <c r="E16759" s="8" t="inlineStr">
        <is>
          <t>Welcome to Starport: A Star Wars Encounter</t>
        </is>
      </c>
      <c r="F16759" s="8" t="inlineStr">
        <is>
          <t>STANDBY</t>
        </is>
      </c>
      <c r="G16759" s="8" t="n">
        <v>0</v>
      </c>
      <c r="H16759" s="8" t="inlineStr">
        <is>
          <t>CLOSED</t>
        </is>
      </c>
    </row>
    <row r="16760">
      <c r="A16760" s="8" t="inlineStr">
        <is>
          <t>2026-08-03</t>
        </is>
      </c>
      <c r="B16760" s="8" t="n">
        <v>20</v>
      </c>
      <c r="C16760" s="8" t="n">
        <v>45</v>
      </c>
      <c r="D16760" s="8" t="inlineStr">
        <is>
          <t>Disneyland Park</t>
        </is>
      </c>
      <c r="E16760" s="8" t="inlineStr">
        <is>
          <t>"it's a small world"</t>
        </is>
      </c>
      <c r="F16760" s="8" t="inlineStr">
        <is>
          <t>STANDBY</t>
        </is>
      </c>
      <c r="G16760" s="8" t="n">
        <v>5</v>
      </c>
      <c r="H16760" s="8" t="inlineStr">
        <is>
          <t>OPERATING</t>
        </is>
      </c>
    </row>
    <row r="16761">
      <c r="A16761" s="8" t="inlineStr">
        <is>
          <t>2026-08-03</t>
        </is>
      </c>
      <c r="B16761" s="8" t="n">
        <v>20</v>
      </c>
      <c r="C16761" s="8" t="n">
        <v>45</v>
      </c>
      <c r="D16761" s="8" t="inlineStr">
        <is>
          <t>Disneyland Park</t>
        </is>
      </c>
      <c r="E16761" s="8" t="inlineStr">
        <is>
          <t>Alice's Curious Labyrinth</t>
        </is>
      </c>
      <c r="F16761" s="8" t="inlineStr">
        <is>
          <t>STANDBY</t>
        </is>
      </c>
      <c r="G16761" s="8" t="n">
        <v>5</v>
      </c>
      <c r="H16761" s="8" t="inlineStr">
        <is>
          <t>OPERATING</t>
        </is>
      </c>
    </row>
    <row r="16762">
      <c r="A16762" s="8" t="inlineStr">
        <is>
          <t>2026-08-03</t>
        </is>
      </c>
      <c r="B16762" s="8" t="n">
        <v>20</v>
      </c>
      <c r="C16762" s="8" t="n">
        <v>45</v>
      </c>
      <c r="D16762" s="8" t="inlineStr">
        <is>
          <t>Disneyland Park</t>
        </is>
      </c>
      <c r="E16762" s="8" t="inlineStr">
        <is>
          <t>Blanche-Neige et les Sept Nains®</t>
        </is>
      </c>
      <c r="F16762" s="8" t="inlineStr">
        <is>
          <t>STANDBY</t>
        </is>
      </c>
      <c r="G16762" s="8" t="n">
        <v>15</v>
      </c>
      <c r="H16762" s="8" t="inlineStr">
        <is>
          <t>OPERATING</t>
        </is>
      </c>
    </row>
    <row r="16763">
      <c r="A16763" s="8" t="inlineStr">
        <is>
          <t>2026-08-03</t>
        </is>
      </c>
      <c r="B16763" s="8" t="n">
        <v>20</v>
      </c>
      <c r="C16763" s="8" t="n">
        <v>45</v>
      </c>
      <c r="D16763" s="8" t="inlineStr">
        <is>
          <t>Disneyland Park</t>
        </is>
      </c>
      <c r="E16763" s="8" t="inlineStr">
        <is>
          <t>Casey Jr. – le Petit Train du Cirque</t>
        </is>
      </c>
      <c r="F16763" s="8" t="inlineStr">
        <is>
          <t>STANDBY</t>
        </is>
      </c>
      <c r="G16763" s="8" t="n">
        <v>5</v>
      </c>
      <c r="H16763" s="8" t="inlineStr">
        <is>
          <t>OPERATING</t>
        </is>
      </c>
    </row>
    <row r="16764">
      <c r="A16764" s="8" t="inlineStr">
        <is>
          <t>2026-08-03</t>
        </is>
      </c>
      <c r="B16764" s="8" t="n">
        <v>20</v>
      </c>
      <c r="C16764" s="8" t="n">
        <v>45</v>
      </c>
      <c r="D16764" s="8" t="inlineStr">
        <is>
          <t>Disneyland Park</t>
        </is>
      </c>
      <c r="E16764" s="8" t="inlineStr">
        <is>
          <t>Disneyland Railroad Fantasyland Station</t>
        </is>
      </c>
      <c r="F16764" s="8" t="inlineStr">
        <is>
          <t>STANDBY</t>
        </is>
      </c>
      <c r="G16764" s="8" t="n">
        <v>0</v>
      </c>
      <c r="H16764" s="8" t="inlineStr">
        <is>
          <t>CLOSED</t>
        </is>
      </c>
    </row>
    <row r="16765">
      <c r="A16765" s="8" t="inlineStr">
        <is>
          <t>2026-08-03</t>
        </is>
      </c>
      <c r="B16765" s="8" t="n">
        <v>20</v>
      </c>
      <c r="C16765" s="8" t="n">
        <v>45</v>
      </c>
      <c r="D16765" s="8" t="inlineStr">
        <is>
          <t>Disneyland Park</t>
        </is>
      </c>
      <c r="E16765" s="8" t="inlineStr">
        <is>
          <t>Disneyland Railroad Main Street Station</t>
        </is>
      </c>
      <c r="F16765" s="8" t="inlineStr">
        <is>
          <t>STANDBY</t>
        </is>
      </c>
      <c r="G16765" s="8" t="n">
        <v>0</v>
      </c>
      <c r="H16765" s="8" t="inlineStr">
        <is>
          <t>CLOSED</t>
        </is>
      </c>
    </row>
    <row r="16766">
      <c r="A16766" s="8" t="inlineStr">
        <is>
          <t>2026-08-03</t>
        </is>
      </c>
      <c r="B16766" s="8" t="n">
        <v>20</v>
      </c>
      <c r="C16766" s="8" t="n">
        <v>45</v>
      </c>
      <c r="D16766" s="8" t="inlineStr">
        <is>
          <t>Disneyland Park</t>
        </is>
      </c>
      <c r="E16766" s="8" t="inlineStr">
        <is>
          <t>Dumbo the Flying Elephant</t>
        </is>
      </c>
      <c r="F16766" s="8" t="inlineStr">
        <is>
          <t>STANDBY</t>
        </is>
      </c>
      <c r="G16766" s="8" t="n">
        <v>30</v>
      </c>
      <c r="H16766" s="8" t="inlineStr">
        <is>
          <t>OPERATING</t>
        </is>
      </c>
    </row>
    <row r="16767">
      <c r="A16767" s="8" t="inlineStr">
        <is>
          <t>2026-08-03</t>
        </is>
      </c>
      <c r="B16767" s="8" t="n">
        <v>20</v>
      </c>
      <c r="C16767" s="8" t="n">
        <v>45</v>
      </c>
      <c r="D16767" s="8" t="inlineStr">
        <is>
          <t>Disneyland Park</t>
        </is>
      </c>
      <c r="E16767" s="8" t="inlineStr">
        <is>
          <t>La Tanière du Dragon</t>
        </is>
      </c>
      <c r="F16767" s="8" t="inlineStr">
        <is>
          <t>STANDBY</t>
        </is>
      </c>
      <c r="G16767" s="8" t="n">
        <v>0</v>
      </c>
      <c r="H16767" s="8" t="inlineStr">
        <is>
          <t>OPERATING</t>
        </is>
      </c>
    </row>
    <row r="16768">
      <c r="A16768" s="8" t="inlineStr">
        <is>
          <t>2026-08-03</t>
        </is>
      </c>
      <c r="B16768" s="8" t="n">
        <v>20</v>
      </c>
      <c r="C16768" s="8" t="n">
        <v>45</v>
      </c>
      <c r="D16768" s="8" t="inlineStr">
        <is>
          <t>Disneyland Park</t>
        </is>
      </c>
      <c r="E16768" s="8" t="inlineStr">
        <is>
          <t>Le Carrousel de Lancelot</t>
        </is>
      </c>
      <c r="F16768" s="8" t="inlineStr">
        <is>
          <t>STANDBY</t>
        </is>
      </c>
      <c r="G16768" s="8" t="n">
        <v>10</v>
      </c>
      <c r="H16768" s="8" t="inlineStr">
        <is>
          <t>OPERATING</t>
        </is>
      </c>
    </row>
    <row r="16769">
      <c r="A16769" s="8" t="inlineStr">
        <is>
          <t>2026-08-03</t>
        </is>
      </c>
      <c r="B16769" s="8" t="n">
        <v>20</v>
      </c>
      <c r="C16769" s="8" t="n">
        <v>45</v>
      </c>
      <c r="D16769" s="8" t="inlineStr">
        <is>
          <t>Disneyland Park</t>
        </is>
      </c>
      <c r="E16769" s="8" t="inlineStr">
        <is>
          <t>Le Pays des Contes de Fées, presented by Vittel</t>
        </is>
      </c>
      <c r="F16769" s="8" t="inlineStr">
        <is>
          <t>STANDBY</t>
        </is>
      </c>
      <c r="G16769" s="8" t="n">
        <v>5</v>
      </c>
      <c r="H16769" s="8" t="inlineStr">
        <is>
          <t>OPERATING</t>
        </is>
      </c>
    </row>
    <row r="16770">
      <c r="A16770" s="8" t="inlineStr">
        <is>
          <t>2026-08-03</t>
        </is>
      </c>
      <c r="B16770" s="8" t="n">
        <v>20</v>
      </c>
      <c r="C16770" s="8" t="n">
        <v>45</v>
      </c>
      <c r="D16770" s="8" t="inlineStr">
        <is>
          <t>Disneyland Park</t>
        </is>
      </c>
      <c r="E16770" s="8" t="inlineStr">
        <is>
          <t>Les Voyages de Pinocchio</t>
        </is>
      </c>
      <c r="F16770" s="8" t="inlineStr">
        <is>
          <t>STANDBY</t>
        </is>
      </c>
      <c r="G16770" s="8" t="n">
        <v>15</v>
      </c>
      <c r="H16770" s="8" t="inlineStr">
        <is>
          <t>OPERATING</t>
        </is>
      </c>
    </row>
    <row r="16771">
      <c r="A16771" s="8" t="inlineStr">
        <is>
          <t>2026-08-03</t>
        </is>
      </c>
      <c r="B16771" s="8" t="n">
        <v>20</v>
      </c>
      <c r="C16771" s="8" t="n">
        <v>45</v>
      </c>
      <c r="D16771" s="8" t="inlineStr">
        <is>
          <t>Disneyland Park</t>
        </is>
      </c>
      <c r="E16771" s="8" t="inlineStr">
        <is>
          <t>Mad Hatter's Tea Cups</t>
        </is>
      </c>
      <c r="F16771" s="8" t="inlineStr">
        <is>
          <t>STANDBY</t>
        </is>
      </c>
      <c r="G16771" s="8" t="n">
        <v>5</v>
      </c>
      <c r="H16771" s="8" t="inlineStr">
        <is>
          <t>OPERATING</t>
        </is>
      </c>
    </row>
    <row r="16772">
      <c r="A16772" s="8" t="inlineStr">
        <is>
          <t>2026-08-03</t>
        </is>
      </c>
      <c r="B16772" s="8" t="n">
        <v>20</v>
      </c>
      <c r="C16772" s="8" t="n">
        <v>45</v>
      </c>
      <c r="D16772" s="8" t="inlineStr">
        <is>
          <t>Disneyland Park</t>
        </is>
      </c>
      <c r="E16772" s="8" t="inlineStr">
        <is>
          <t>Meet Mickey Mouse</t>
        </is>
      </c>
      <c r="F16772" s="8" t="inlineStr">
        <is>
          <t>STANDBY</t>
        </is>
      </c>
      <c r="G16772" s="8" t="n">
        <v>0</v>
      </c>
      <c r="H16772" s="8" t="inlineStr">
        <is>
          <t>CLOSED</t>
        </is>
      </c>
    </row>
    <row r="16773">
      <c r="A16773" s="8" t="inlineStr">
        <is>
          <t>2026-08-03</t>
        </is>
      </c>
      <c r="B16773" s="8" t="n">
        <v>20</v>
      </c>
      <c r="C16773" s="8" t="n">
        <v>45</v>
      </c>
      <c r="D16773" s="8" t="inlineStr">
        <is>
          <t>Disneyland Park</t>
        </is>
      </c>
      <c r="E16773" s="8" t="inlineStr">
        <is>
          <t>Peter Pan's Flight</t>
        </is>
      </c>
      <c r="F16773" s="8" t="inlineStr">
        <is>
          <t>STANDBY</t>
        </is>
      </c>
      <c r="G16773" s="8" t="n">
        <v>40</v>
      </c>
      <c r="H16773" s="8" t="inlineStr">
        <is>
          <t>OPERATING</t>
        </is>
      </c>
    </row>
    <row r="16774">
      <c r="A16774" s="8" t="inlineStr">
        <is>
          <t>2026-08-03</t>
        </is>
      </c>
      <c r="B16774" s="8" t="n">
        <v>20</v>
      </c>
      <c r="C16774" s="8" t="n">
        <v>45</v>
      </c>
      <c r="D16774" s="8" t="inlineStr">
        <is>
          <t>Disneyland Park</t>
        </is>
      </c>
      <c r="E16774" s="8" t="inlineStr">
        <is>
          <t>Princess Pavilion</t>
        </is>
      </c>
      <c r="F16774" s="8" t="inlineStr">
        <is>
          <t>STANDBY</t>
        </is>
      </c>
      <c r="G16774" s="8" t="n">
        <v>0</v>
      </c>
      <c r="H16774" s="8" t="inlineStr">
        <is>
          <t>CLOSED</t>
        </is>
      </c>
    </row>
    <row r="16775">
      <c r="A16775" s="8" t="inlineStr">
        <is>
          <t>2026-08-03</t>
        </is>
      </c>
      <c r="B16775" s="8" t="n">
        <v>20</v>
      </c>
      <c r="C16775" s="8" t="n">
        <v>45</v>
      </c>
      <c r="D16775" s="8" t="inlineStr">
        <is>
          <t>Disneyland Park</t>
        </is>
      </c>
      <c r="E16775" s="8" t="inlineStr">
        <is>
          <t>Big Thunder Mountain</t>
        </is>
      </c>
      <c r="F16775" s="8" t="inlineStr">
        <is>
          <t>STANDBY</t>
        </is>
      </c>
      <c r="G16775" s="8" t="n">
        <v>40</v>
      </c>
      <c r="H16775" s="8" t="inlineStr">
        <is>
          <t>OPERATING</t>
        </is>
      </c>
    </row>
    <row r="16776">
      <c r="A16776" s="8" t="inlineStr">
        <is>
          <t>2026-08-03</t>
        </is>
      </c>
      <c r="B16776" s="8" t="n">
        <v>20</v>
      </c>
      <c r="C16776" s="8" t="n">
        <v>45</v>
      </c>
      <c r="D16776" s="8" t="inlineStr">
        <is>
          <t>Disneyland Park</t>
        </is>
      </c>
      <c r="E16776" s="8" t="inlineStr">
        <is>
          <t>Disneyland Railroad Frontierland Depot</t>
        </is>
      </c>
      <c r="F16776" s="8" t="inlineStr">
        <is>
          <t>STANDBY</t>
        </is>
      </c>
      <c r="G16776" s="8" t="n">
        <v>0</v>
      </c>
      <c r="H16776" s="8" t="inlineStr">
        <is>
          <t>CLOSED</t>
        </is>
      </c>
    </row>
    <row r="16777">
      <c r="A16777" s="8" t="inlineStr">
        <is>
          <t>2026-08-03</t>
        </is>
      </c>
      <c r="B16777" s="8" t="n">
        <v>20</v>
      </c>
      <c r="C16777" s="8" t="n">
        <v>45</v>
      </c>
      <c r="D16777" s="8" t="inlineStr">
        <is>
          <t>Disneyland Park</t>
        </is>
      </c>
      <c r="E16777" s="8" t="inlineStr">
        <is>
          <t>Frontierland Playground</t>
        </is>
      </c>
      <c r="F16777" s="8" t="inlineStr">
        <is>
          <t>STANDBY</t>
        </is>
      </c>
      <c r="G16777" s="8" t="n">
        <v>0</v>
      </c>
      <c r="H16777" s="8" t="inlineStr">
        <is>
          <t>CLOSED</t>
        </is>
      </c>
    </row>
    <row r="16778">
      <c r="A16778" s="8" t="inlineStr">
        <is>
          <t>2026-08-03</t>
        </is>
      </c>
      <c r="B16778" s="8" t="n">
        <v>20</v>
      </c>
      <c r="C16778" s="8" t="n">
        <v>45</v>
      </c>
      <c r="D16778" s="8" t="inlineStr">
        <is>
          <t>Disneyland Park</t>
        </is>
      </c>
      <c r="E16778" s="8" t="inlineStr">
        <is>
          <t>Phantom Manor</t>
        </is>
      </c>
      <c r="F16778" s="8" t="inlineStr">
        <is>
          <t>STANDBY</t>
        </is>
      </c>
      <c r="G16778" s="8" t="n">
        <v>5</v>
      </c>
      <c r="H16778" s="8" t="inlineStr">
        <is>
          <t>OPERATING</t>
        </is>
      </c>
    </row>
    <row r="16779">
      <c r="A16779" s="8" t="inlineStr">
        <is>
          <t>2026-08-03</t>
        </is>
      </c>
      <c r="B16779" s="8" t="n">
        <v>20</v>
      </c>
      <c r="C16779" s="8" t="n">
        <v>45</v>
      </c>
      <c r="D16779" s="8" t="inlineStr">
        <is>
          <t>Disneyland Park</t>
        </is>
      </c>
      <c r="E16779" s="8" t="inlineStr">
        <is>
          <t>River Rogue Keelboats</t>
        </is>
      </c>
      <c r="F16779" s="8" t="inlineStr">
        <is>
          <t>STANDBY</t>
        </is>
      </c>
      <c r="G16779" s="8" t="n">
        <v>0</v>
      </c>
      <c r="H16779" s="8" t="inlineStr">
        <is>
          <t>CLOSED</t>
        </is>
      </c>
    </row>
    <row r="16780">
      <c r="A16780" s="8" t="inlineStr">
        <is>
          <t>2026-08-03</t>
        </is>
      </c>
      <c r="B16780" s="8" t="n">
        <v>20</v>
      </c>
      <c r="C16780" s="8" t="n">
        <v>45</v>
      </c>
      <c r="D16780" s="8" t="inlineStr">
        <is>
          <t>Disneyland Park</t>
        </is>
      </c>
      <c r="E16780" s="8" t="inlineStr">
        <is>
          <t>Rustler Roundup Shootin' Gallery</t>
        </is>
      </c>
      <c r="F16780" s="8" t="inlineStr">
        <is>
          <t>STANDBY</t>
        </is>
      </c>
      <c r="G16780" s="8" t="n">
        <v>0</v>
      </c>
      <c r="H16780" s="8" t="inlineStr">
        <is>
          <t>OPERATING</t>
        </is>
      </c>
    </row>
    <row r="16781">
      <c r="A16781" s="8" t="inlineStr">
        <is>
          <t>2026-08-03</t>
        </is>
      </c>
      <c r="B16781" s="8" t="n">
        <v>20</v>
      </c>
      <c r="C16781" s="8" t="n">
        <v>45</v>
      </c>
      <c r="D16781" s="8" t="inlineStr">
        <is>
          <t>Disneyland Park</t>
        </is>
      </c>
      <c r="E16781" s="8" t="inlineStr">
        <is>
          <t>Thunder Mesa Riverboat Landing</t>
        </is>
      </c>
      <c r="F16781" s="8" t="inlineStr">
        <is>
          <t>STANDBY</t>
        </is>
      </c>
      <c r="G16781" s="8" t="n">
        <v>0</v>
      </c>
      <c r="H16781" s="8" t="inlineStr">
        <is>
          <t>CLOSED</t>
        </is>
      </c>
    </row>
    <row r="16782">
      <c r="A16782" s="8" t="inlineStr">
        <is>
          <t>2026-08-03</t>
        </is>
      </c>
      <c r="B16782" s="8" t="n">
        <v>20</v>
      </c>
      <c r="C16782" s="8" t="n">
        <v>45</v>
      </c>
      <c r="D16782" s="8" t="inlineStr">
        <is>
          <t>Disneyland Park</t>
        </is>
      </c>
      <c r="E16782" s="8" t="inlineStr">
        <is>
          <t>Disneyland Railroad Main Street Station</t>
        </is>
      </c>
      <c r="F16782" s="8" t="inlineStr">
        <is>
          <t>STANDBY</t>
        </is>
      </c>
      <c r="G16782" s="8" t="n">
        <v>0</v>
      </c>
      <c r="H16782" s="8" t="inlineStr">
        <is>
          <t>CLOSED</t>
        </is>
      </c>
    </row>
    <row r="16783">
      <c r="A16783" s="8" t="inlineStr">
        <is>
          <t>2026-08-03</t>
        </is>
      </c>
      <c r="B16783" s="8" t="n">
        <v>20</v>
      </c>
      <c r="C16783" s="8" t="n">
        <v>45</v>
      </c>
      <c r="D16783" s="8" t="inlineStr">
        <is>
          <t>Disneyland Park</t>
        </is>
      </c>
      <c r="E16783" s="8" t="inlineStr">
        <is>
          <t>Main Street Vehicles</t>
        </is>
      </c>
      <c r="F16783" s="8" t="inlineStr">
        <is>
          <t>STANDBY</t>
        </is>
      </c>
      <c r="G16783" s="8" t="n">
        <v>0</v>
      </c>
      <c r="H16783" s="8" t="inlineStr">
        <is>
          <t>CLOSED</t>
        </is>
      </c>
    </row>
    <row r="16784">
      <c r="A16784" s="8" t="inlineStr">
        <is>
          <t>2026-08-03</t>
        </is>
      </c>
      <c r="B16784" s="8" t="n">
        <v>20</v>
      </c>
      <c r="C16784" s="8" t="n">
        <v>45</v>
      </c>
      <c r="D16784" s="8" t="inlineStr">
        <is>
          <t>Disney Adventure World</t>
        </is>
      </c>
      <c r="E16784" s="8" t="inlineStr">
        <is>
          <t>Avengers Assemble: Flight Force</t>
        </is>
      </c>
      <c r="F16784" s="8" t="inlineStr">
        <is>
          <t>STANDBY</t>
        </is>
      </c>
      <c r="G16784" s="8" t="n">
        <v>5</v>
      </c>
      <c r="H16784" s="8" t="inlineStr">
        <is>
          <t>OPERATING</t>
        </is>
      </c>
    </row>
    <row r="16785">
      <c r="A16785" s="8" t="inlineStr">
        <is>
          <t>2026-08-03</t>
        </is>
      </c>
      <c r="B16785" s="8" t="n">
        <v>20</v>
      </c>
      <c r="C16785" s="8" t="n">
        <v>45</v>
      </c>
      <c r="D16785" s="8" t="inlineStr">
        <is>
          <t>Disney Adventure World</t>
        </is>
      </c>
      <c r="E16785" s="8" t="inlineStr">
        <is>
          <t>Avengers Assemble: Flight Force Single Rider</t>
        </is>
      </c>
      <c r="F16785" s="8" t="inlineStr">
        <is>
          <t>STANDBY</t>
        </is>
      </c>
      <c r="G16785" s="8" t="n">
        <v>5</v>
      </c>
      <c r="H16785" s="8" t="inlineStr">
        <is>
          <t>OPERATING</t>
        </is>
      </c>
    </row>
    <row r="16786">
      <c r="A16786" s="8" t="inlineStr">
        <is>
          <t>2026-08-03</t>
        </is>
      </c>
      <c r="B16786" s="8" t="n">
        <v>20</v>
      </c>
      <c r="C16786" s="8" t="n">
        <v>45</v>
      </c>
      <c r="D16786" s="8" t="inlineStr">
        <is>
          <t>Disney Adventure World</t>
        </is>
      </c>
      <c r="E16786" s="8" t="inlineStr">
        <is>
          <t>Spider-Man W.E.B. Adventure</t>
        </is>
      </c>
      <c r="F16786" s="8" t="inlineStr">
        <is>
          <t>STANDBY</t>
        </is>
      </c>
      <c r="G16786" s="8" t="n">
        <v>40</v>
      </c>
      <c r="H16786" s="8" t="inlineStr">
        <is>
          <t>OPERATING</t>
        </is>
      </c>
    </row>
    <row r="16787">
      <c r="A16787" s="8" t="inlineStr">
        <is>
          <t>2026-08-03</t>
        </is>
      </c>
      <c r="B16787" s="8" t="n">
        <v>20</v>
      </c>
      <c r="C16787" s="8" t="n">
        <v>45</v>
      </c>
      <c r="D16787" s="8" t="inlineStr">
        <is>
          <t>Disney Adventure World</t>
        </is>
      </c>
      <c r="E16787" s="8" t="inlineStr">
        <is>
          <t>Spider-Man W.E.B. Adventure Single Rider</t>
        </is>
      </c>
      <c r="F16787" s="8" t="inlineStr">
        <is>
          <t>STANDBY</t>
        </is>
      </c>
      <c r="G16787" s="8" t="n">
        <v>20</v>
      </c>
      <c r="H16787" s="8" t="inlineStr">
        <is>
          <t>OPERATING</t>
        </is>
      </c>
    </row>
    <row r="16788">
      <c r="A16788" s="8" t="inlineStr">
        <is>
          <t>2026-08-03</t>
        </is>
      </c>
      <c r="B16788" s="8" t="n">
        <v>20</v>
      </c>
      <c r="C16788" s="8" t="n">
        <v>45</v>
      </c>
      <c r="D16788" s="8" t="inlineStr">
        <is>
          <t>Disney Adventure World</t>
        </is>
      </c>
      <c r="E16788" s="8" t="inlineStr">
        <is>
          <t>The Twilight Zone Tower of Terror</t>
        </is>
      </c>
      <c r="F16788" s="8" t="inlineStr">
        <is>
          <t>STANDBY</t>
        </is>
      </c>
      <c r="G16788" s="8" t="n">
        <v>20</v>
      </c>
      <c r="H16788" s="8" t="inlineStr">
        <is>
          <t>OPERATING</t>
        </is>
      </c>
    </row>
    <row r="16789">
      <c r="A16789" s="8" t="inlineStr">
        <is>
          <t>2026-08-03</t>
        </is>
      </c>
      <c r="B16789" s="8" t="n">
        <v>20</v>
      </c>
      <c r="C16789" s="8" t="n">
        <v>45</v>
      </c>
      <c r="D16789" s="8" t="inlineStr">
        <is>
          <t>Disney Adventure World</t>
        </is>
      </c>
      <c r="E16789" s="8" t="inlineStr">
        <is>
          <t>Cars Quatre Roues Rallye</t>
        </is>
      </c>
      <c r="F16789" s="8" t="inlineStr">
        <is>
          <t>STANDBY</t>
        </is>
      </c>
      <c r="G16789" s="8" t="n">
        <v>5</v>
      </c>
      <c r="H16789" s="8" t="inlineStr">
        <is>
          <t>OPERATING</t>
        </is>
      </c>
    </row>
    <row r="16790">
      <c r="A16790" s="8" t="inlineStr">
        <is>
          <t>2026-08-03</t>
        </is>
      </c>
      <c r="B16790" s="8" t="n">
        <v>20</v>
      </c>
      <c r="C16790" s="8" t="n">
        <v>45</v>
      </c>
      <c r="D16790" s="8" t="inlineStr">
        <is>
          <t>Disney Adventure World</t>
        </is>
      </c>
      <c r="E16790" s="8" t="inlineStr">
        <is>
          <t>Cars ROAD TRIP</t>
        </is>
      </c>
      <c r="F16790" s="8" t="inlineStr">
        <is>
          <t>STANDBY</t>
        </is>
      </c>
      <c r="G16790" s="8" t="n">
        <v>5</v>
      </c>
      <c r="H16790" s="8" t="inlineStr">
        <is>
          <t>OPERATING</t>
        </is>
      </c>
    </row>
    <row r="16791">
      <c r="A16791" s="8" t="inlineStr">
        <is>
          <t>2026-08-03</t>
        </is>
      </c>
      <c r="B16791" s="8" t="n">
        <v>20</v>
      </c>
      <c r="C16791" s="8" t="n">
        <v>45</v>
      </c>
      <c r="D16791" s="8" t="inlineStr">
        <is>
          <t>Disney Adventure World</t>
        </is>
      </c>
      <c r="E16791" s="8" t="inlineStr">
        <is>
          <t>Crush's Coaster</t>
        </is>
      </c>
      <c r="F16791" s="8" t="inlineStr">
        <is>
          <t>STANDBY</t>
        </is>
      </c>
      <c r="G16791" s="8" t="n">
        <v>60</v>
      </c>
      <c r="H16791" s="8" t="inlineStr">
        <is>
          <t>OPERATING</t>
        </is>
      </c>
    </row>
    <row r="16792">
      <c r="A16792" s="8" t="inlineStr">
        <is>
          <t>2026-08-03</t>
        </is>
      </c>
      <c r="B16792" s="8" t="n">
        <v>20</v>
      </c>
      <c r="C16792" s="8" t="n">
        <v>45</v>
      </c>
      <c r="D16792" s="8" t="inlineStr">
        <is>
          <t>Disney Adventure World</t>
        </is>
      </c>
      <c r="E16792" s="8" t="inlineStr">
        <is>
          <t>Crush's Coaster Single Rider</t>
        </is>
      </c>
      <c r="F16792" s="8" t="inlineStr">
        <is>
          <t>STANDBY</t>
        </is>
      </c>
      <c r="G16792" s="8" t="n">
        <v>45</v>
      </c>
      <c r="H16792" s="8" t="inlineStr">
        <is>
          <t>OPERATING</t>
        </is>
      </c>
    </row>
    <row r="16793">
      <c r="A16793" s="8" t="inlineStr">
        <is>
          <t>2026-08-03</t>
        </is>
      </c>
      <c r="B16793" s="8" t="n">
        <v>20</v>
      </c>
      <c r="C16793" s="8" t="n">
        <v>45</v>
      </c>
      <c r="D16793" s="8" t="inlineStr">
        <is>
          <t>Disney Adventure World</t>
        </is>
      </c>
      <c r="E16793" s="8" t="inlineStr">
        <is>
          <t>Les Tapis Volants - Flying Carpets Over Agrabah®</t>
        </is>
      </c>
      <c r="F16793" s="8" t="inlineStr">
        <is>
          <t>STANDBY</t>
        </is>
      </c>
      <c r="G16793" s="8" t="n">
        <v>10</v>
      </c>
      <c r="H16793" s="8" t="inlineStr">
        <is>
          <t>OPERATING</t>
        </is>
      </c>
    </row>
    <row r="16794">
      <c r="A16794" s="8" t="inlineStr">
        <is>
          <t>2026-08-03</t>
        </is>
      </c>
      <c r="B16794" s="8" t="n">
        <v>20</v>
      </c>
      <c r="C16794" s="8" t="n">
        <v>45</v>
      </c>
      <c r="D16794" s="8" t="inlineStr">
        <is>
          <t>Disney Adventure World</t>
        </is>
      </c>
      <c r="E16794" s="8" t="inlineStr">
        <is>
          <t>Ratatouille : L’Aventure Totalement Toquée de Rémy​</t>
        </is>
      </c>
      <c r="F16794" s="8" t="inlineStr">
        <is>
          <t>STANDBY</t>
        </is>
      </c>
      <c r="G16794" s="8" t="n">
        <v>30</v>
      </c>
      <c r="H16794" s="8" t="inlineStr">
        <is>
          <t>OPERATING</t>
        </is>
      </c>
    </row>
    <row r="16795">
      <c r="A16795" s="8" t="inlineStr">
        <is>
          <t>2026-08-03</t>
        </is>
      </c>
      <c r="B16795" s="8" t="n">
        <v>20</v>
      </c>
      <c r="C16795" s="8" t="n">
        <v>45</v>
      </c>
      <c r="D16795" s="8" t="inlineStr">
        <is>
          <t>Disney Adventure World</t>
        </is>
      </c>
      <c r="E16795" s="8" t="inlineStr">
        <is>
          <t>Ratatouille: The Adventure Single Rider</t>
        </is>
      </c>
      <c r="F16795" s="8" t="inlineStr">
        <is>
          <t>STANDBY</t>
        </is>
      </c>
      <c r="G16795" s="8" t="n">
        <v>5</v>
      </c>
      <c r="H16795" s="8" t="inlineStr">
        <is>
          <t>OPERATING</t>
        </is>
      </c>
    </row>
    <row r="16796">
      <c r="A16796" s="8" t="inlineStr">
        <is>
          <t>2026-08-03</t>
        </is>
      </c>
      <c r="B16796" s="8" t="n">
        <v>20</v>
      </c>
      <c r="C16796" s="8" t="n">
        <v>45</v>
      </c>
      <c r="D16796" s="8" t="inlineStr">
        <is>
          <t>Disney Adventure World</t>
        </is>
      </c>
      <c r="E16796" s="8" t="inlineStr">
        <is>
          <t>RC Racer</t>
        </is>
      </c>
      <c r="F16796" s="8" t="inlineStr">
        <is>
          <t>STANDBY</t>
        </is>
      </c>
      <c r="G16796" s="8" t="n">
        <v>20</v>
      </c>
      <c r="H16796" s="8" t="inlineStr">
        <is>
          <t>OPERATING</t>
        </is>
      </c>
    </row>
    <row r="16797">
      <c r="A16797" s="8" t="inlineStr">
        <is>
          <t>2026-08-03</t>
        </is>
      </c>
      <c r="B16797" s="8" t="n">
        <v>20</v>
      </c>
      <c r="C16797" s="8" t="n">
        <v>45</v>
      </c>
      <c r="D16797" s="8" t="inlineStr">
        <is>
          <t>Disney Adventure World</t>
        </is>
      </c>
      <c r="E16797" s="8" t="inlineStr">
        <is>
          <t>RC Racer Single Rider</t>
        </is>
      </c>
      <c r="F16797" s="8" t="inlineStr">
        <is>
          <t>STANDBY</t>
        </is>
      </c>
      <c r="G16797" s="8" t="n">
        <v>15</v>
      </c>
      <c r="H16797" s="8" t="inlineStr">
        <is>
          <t>OPERATING</t>
        </is>
      </c>
    </row>
    <row r="16798">
      <c r="A16798" s="8" t="inlineStr">
        <is>
          <t>2026-08-03</t>
        </is>
      </c>
      <c r="B16798" s="8" t="n">
        <v>20</v>
      </c>
      <c r="C16798" s="8" t="n">
        <v>45</v>
      </c>
      <c r="D16798" s="8" t="inlineStr">
        <is>
          <t>Disney Adventure World</t>
        </is>
      </c>
      <c r="E16798" s="8" t="inlineStr">
        <is>
          <t>Slinky® Dog Zigzag Spin</t>
        </is>
      </c>
      <c r="F16798" s="8" t="inlineStr">
        <is>
          <t>STANDBY</t>
        </is>
      </c>
      <c r="G16798" s="8" t="n">
        <v>15</v>
      </c>
      <c r="H16798" s="8" t="inlineStr">
        <is>
          <t>OPERATING</t>
        </is>
      </c>
    </row>
    <row r="16799">
      <c r="A16799" s="8" t="inlineStr">
        <is>
          <t>2026-08-03</t>
        </is>
      </c>
      <c r="B16799" s="8" t="n">
        <v>20</v>
      </c>
      <c r="C16799" s="8" t="n">
        <v>45</v>
      </c>
      <c r="D16799" s="8" t="inlineStr">
        <is>
          <t>Disney Adventure World</t>
        </is>
      </c>
      <c r="E16799" s="8" t="inlineStr">
        <is>
          <t>Toy Soldiers Parachute Drop</t>
        </is>
      </c>
      <c r="F16799" s="8" t="inlineStr">
        <is>
          <t>STANDBY</t>
        </is>
      </c>
      <c r="G16799" s="8" t="n">
        <v>0</v>
      </c>
      <c r="H16799" s="8" t="inlineStr">
        <is>
          <t>CLOSED</t>
        </is>
      </c>
    </row>
    <row r="16800">
      <c r="A16800" s="8" t="inlineStr">
        <is>
          <t>2026-08-03</t>
        </is>
      </c>
      <c r="B16800" s="8" t="n">
        <v>20</v>
      </c>
      <c r="C16800" s="8" t="n">
        <v>45</v>
      </c>
      <c r="D16800" s="8" t="inlineStr">
        <is>
          <t>Disney Adventure World</t>
        </is>
      </c>
      <c r="E16800" s="8" t="inlineStr">
        <is>
          <t>Toy Soldiers Parachute Drop Single Rider</t>
        </is>
      </c>
      <c r="F16800" s="8" t="inlineStr">
        <is>
          <t>STANDBY</t>
        </is>
      </c>
      <c r="G16800" s="8" t="n">
        <v>0</v>
      </c>
      <c r="H16800" s="8" t="inlineStr">
        <is>
          <t>CLOSED</t>
        </is>
      </c>
    </row>
    <row r="16801">
      <c r="A16801" s="8" t="inlineStr">
        <is>
          <t>2026-08-03</t>
        </is>
      </c>
      <c r="B16801" s="8" t="n">
        <v>20</v>
      </c>
      <c r="C16801" s="8" t="n">
        <v>45</v>
      </c>
      <c r="D16801" s="8" t="inlineStr">
        <is>
          <t>Disney Adventure World</t>
        </is>
      </c>
      <c r="E16801" s="8" t="inlineStr">
        <is>
          <t>Entry to World of Frozen</t>
        </is>
      </c>
      <c r="F16801" s="8" t="inlineStr">
        <is>
          <t>STANDBY</t>
        </is>
      </c>
      <c r="G16801" s="8" t="n">
        <v>0</v>
      </c>
      <c r="H16801" s="8" t="inlineStr">
        <is>
          <t>OPERATING</t>
        </is>
      </c>
    </row>
    <row r="16802">
      <c r="A16802" s="8" t="inlineStr">
        <is>
          <t>2026-08-03</t>
        </is>
      </c>
      <c r="B16802" s="8" t="n">
        <v>20</v>
      </c>
      <c r="C16802" s="8" t="n">
        <v>45</v>
      </c>
      <c r="D16802" s="8" t="inlineStr">
        <is>
          <t>Disney Adventure World</t>
        </is>
      </c>
      <c r="E16802" s="8" t="inlineStr">
        <is>
          <t>Frozen Ever After</t>
        </is>
      </c>
      <c r="F16802" s="8" t="inlineStr">
        <is>
          <t>STANDBY</t>
        </is>
      </c>
      <c r="G16802" s="8" t="n">
        <v>30</v>
      </c>
      <c r="H16802" s="8" t="inlineStr">
        <is>
          <t>OPERATING</t>
        </is>
      </c>
    </row>
    <row r="16803">
      <c r="A16803" s="8" t="inlineStr">
        <is>
          <t>2026-08-03</t>
        </is>
      </c>
      <c r="B16803" s="8" t="n">
        <v>20</v>
      </c>
      <c r="C16803" s="8" t="n">
        <v>45</v>
      </c>
      <c r="D16803" s="8" t="inlineStr">
        <is>
          <t>Disney Adventure World</t>
        </is>
      </c>
      <c r="E16803" s="8" t="inlineStr">
        <is>
          <t>Raiponce Tangled Spin</t>
        </is>
      </c>
      <c r="F16803" s="8" t="inlineStr">
        <is>
          <t>STANDBY</t>
        </is>
      </c>
      <c r="G16803" s="8" t="n">
        <v>5</v>
      </c>
      <c r="H16803" s="8" t="inlineStr">
        <is>
          <t>OPERATING</t>
        </is>
      </c>
    </row>
    <row r="16804">
      <c r="A16804" s="8" t="inlineStr">
        <is>
          <t>2026-08-03</t>
        </is>
      </c>
      <c r="B16804" s="8" t="n">
        <v>21</v>
      </c>
      <c r="C16804" s="8" t="n">
        <v>1</v>
      </c>
      <c r="D16804" s="8" t="inlineStr">
        <is>
          <t>Disneyland Park</t>
        </is>
      </c>
      <c r="E16804" s="8" t="inlineStr">
        <is>
          <t>Adventure Isle</t>
        </is>
      </c>
      <c r="F16804" s="8" t="inlineStr">
        <is>
          <t>STANDBY</t>
        </is>
      </c>
      <c r="G16804" s="8" t="n">
        <v>0</v>
      </c>
      <c r="H16804" s="8" t="inlineStr">
        <is>
          <t>OPERATING</t>
        </is>
      </c>
    </row>
    <row r="16805">
      <c r="A16805" s="8" t="inlineStr">
        <is>
          <t>2026-08-03</t>
        </is>
      </c>
      <c r="B16805" s="8" t="n">
        <v>21</v>
      </c>
      <c r="C16805" s="8" t="n">
        <v>1</v>
      </c>
      <c r="D16805" s="8" t="inlineStr">
        <is>
          <t>Disneyland Park</t>
        </is>
      </c>
      <c r="E16805" s="8" t="inlineStr">
        <is>
          <t>Indiana Jones and the Temple of Peril Single Rider</t>
        </is>
      </c>
      <c r="F16805" s="8" t="inlineStr">
        <is>
          <t>STANDBY</t>
        </is>
      </c>
      <c r="G16805" s="8" t="n">
        <v>5</v>
      </c>
      <c r="H16805" s="8" t="inlineStr">
        <is>
          <t>OPERATING</t>
        </is>
      </c>
    </row>
    <row r="16806">
      <c r="A16806" s="8" t="inlineStr">
        <is>
          <t>2026-08-03</t>
        </is>
      </c>
      <c r="B16806" s="8" t="n">
        <v>21</v>
      </c>
      <c r="C16806" s="8" t="n">
        <v>1</v>
      </c>
      <c r="D16806" s="8" t="inlineStr">
        <is>
          <t>Disneyland Park</t>
        </is>
      </c>
      <c r="E16806" s="8" t="inlineStr">
        <is>
          <t>Indiana Jones™ and the Temple of Peril</t>
        </is>
      </c>
      <c r="F16806" s="8" t="inlineStr">
        <is>
          <t>STANDBY</t>
        </is>
      </c>
      <c r="G16806" s="8" t="n">
        <v>10</v>
      </c>
      <c r="H16806" s="8" t="inlineStr">
        <is>
          <t>OPERATING</t>
        </is>
      </c>
    </row>
    <row r="16807">
      <c r="A16807" s="8" t="inlineStr">
        <is>
          <t>2026-08-03</t>
        </is>
      </c>
      <c r="B16807" s="8" t="n">
        <v>21</v>
      </c>
      <c r="C16807" s="8" t="n">
        <v>1</v>
      </c>
      <c r="D16807" s="8" t="inlineStr">
        <is>
          <t>Disneyland Park</t>
        </is>
      </c>
      <c r="E16807" s="8" t="inlineStr">
        <is>
          <t>La Cabane des Robinson</t>
        </is>
      </c>
      <c r="F16807" s="8" t="inlineStr">
        <is>
          <t>STANDBY</t>
        </is>
      </c>
      <c r="G16807" s="8" t="n">
        <v>5</v>
      </c>
      <c r="H16807" s="8" t="inlineStr">
        <is>
          <t>OPERATING</t>
        </is>
      </c>
    </row>
    <row r="16808">
      <c r="A16808" s="8" t="inlineStr">
        <is>
          <t>2026-08-03</t>
        </is>
      </c>
      <c r="B16808" s="8" t="n">
        <v>21</v>
      </c>
      <c r="C16808" s="8" t="n">
        <v>1</v>
      </c>
      <c r="D16808" s="8" t="inlineStr">
        <is>
          <t>Disneyland Park</t>
        </is>
      </c>
      <c r="E16808" s="8" t="inlineStr">
        <is>
          <t>Le Passage Enchanté d'Aladdin</t>
        </is>
      </c>
      <c r="F16808" s="8" t="inlineStr">
        <is>
          <t>STANDBY</t>
        </is>
      </c>
      <c r="G16808" s="8" t="n">
        <v>0</v>
      </c>
      <c r="H16808" s="8" t="inlineStr">
        <is>
          <t>OPERATING</t>
        </is>
      </c>
    </row>
    <row r="16809">
      <c r="A16809" s="8" t="inlineStr">
        <is>
          <t>2026-08-03</t>
        </is>
      </c>
      <c r="B16809" s="8" t="n">
        <v>21</v>
      </c>
      <c r="C16809" s="8" t="n">
        <v>1</v>
      </c>
      <c r="D16809" s="8" t="inlineStr">
        <is>
          <t>Disneyland Park</t>
        </is>
      </c>
      <c r="E16809" s="8" t="inlineStr">
        <is>
          <t>Pirate Galleon</t>
        </is>
      </c>
      <c r="F16809" s="8" t="inlineStr">
        <is>
          <t>STANDBY</t>
        </is>
      </c>
      <c r="G16809" s="8" t="n">
        <v>0</v>
      </c>
      <c r="H16809" s="8" t="inlineStr">
        <is>
          <t>CLOSED</t>
        </is>
      </c>
    </row>
    <row r="16810">
      <c r="A16810" s="8" t="inlineStr">
        <is>
          <t>2026-08-03</t>
        </is>
      </c>
      <c r="B16810" s="8" t="n">
        <v>21</v>
      </c>
      <c r="C16810" s="8" t="n">
        <v>1</v>
      </c>
      <c r="D16810" s="8" t="inlineStr">
        <is>
          <t>Disneyland Park</t>
        </is>
      </c>
      <c r="E16810" s="8" t="inlineStr">
        <is>
          <t>Pirates of the Caribbean</t>
        </is>
      </c>
      <c r="F16810" s="8" t="inlineStr">
        <is>
          <t>STANDBY</t>
        </is>
      </c>
      <c r="G16810" s="8" t="n">
        <v>10</v>
      </c>
      <c r="H16810" s="8" t="inlineStr">
        <is>
          <t>OPERATING</t>
        </is>
      </c>
    </row>
    <row r="16811">
      <c r="A16811" s="8" t="inlineStr">
        <is>
          <t>2026-08-03</t>
        </is>
      </c>
      <c r="B16811" s="8" t="n">
        <v>21</v>
      </c>
      <c r="C16811" s="8" t="n">
        <v>1</v>
      </c>
      <c r="D16811" s="8" t="inlineStr">
        <is>
          <t>Disneyland Park</t>
        </is>
      </c>
      <c r="E16811" s="8" t="inlineStr">
        <is>
          <t>Pirates' Beach</t>
        </is>
      </c>
      <c r="F16811" s="8" t="inlineStr">
        <is>
          <t>STANDBY</t>
        </is>
      </c>
      <c r="G16811" s="8" t="n">
        <v>0</v>
      </c>
      <c r="H16811" s="8" t="inlineStr">
        <is>
          <t>OPERATING</t>
        </is>
      </c>
    </row>
    <row r="16812">
      <c r="A16812" s="8" t="inlineStr">
        <is>
          <t>2026-08-03</t>
        </is>
      </c>
      <c r="B16812" s="8" t="n">
        <v>21</v>
      </c>
      <c r="C16812" s="8" t="n">
        <v>1</v>
      </c>
      <c r="D16812" s="8" t="inlineStr">
        <is>
          <t>Disneyland Park</t>
        </is>
      </c>
      <c r="E16812" s="8" t="inlineStr">
        <is>
          <t>Autopia, presented by Avis</t>
        </is>
      </c>
      <c r="F16812" s="8" t="inlineStr">
        <is>
          <t>STANDBY</t>
        </is>
      </c>
      <c r="G16812" s="8" t="n">
        <v>70</v>
      </c>
      <c r="H16812" s="8" t="inlineStr">
        <is>
          <t>OPERATING</t>
        </is>
      </c>
    </row>
    <row r="16813">
      <c r="A16813" s="8" t="inlineStr">
        <is>
          <t>2026-08-03</t>
        </is>
      </c>
      <c r="B16813" s="8" t="n">
        <v>21</v>
      </c>
      <c r="C16813" s="8" t="n">
        <v>1</v>
      </c>
      <c r="D16813" s="8" t="inlineStr">
        <is>
          <t>Disneyland Park</t>
        </is>
      </c>
      <c r="E16813" s="8" t="inlineStr">
        <is>
          <t>Buzz Lightyear Laser Blast</t>
        </is>
      </c>
      <c r="F16813" s="8" t="inlineStr">
        <is>
          <t>STANDBY</t>
        </is>
      </c>
      <c r="G16813" s="8" t="n">
        <v>25</v>
      </c>
      <c r="H16813" s="8" t="inlineStr">
        <is>
          <t>OPERATING</t>
        </is>
      </c>
    </row>
    <row r="16814">
      <c r="A16814" s="8" t="inlineStr">
        <is>
          <t>2026-08-03</t>
        </is>
      </c>
      <c r="B16814" s="8" t="n">
        <v>21</v>
      </c>
      <c r="C16814" s="8" t="n">
        <v>1</v>
      </c>
      <c r="D16814" s="8" t="inlineStr">
        <is>
          <t>Disneyland Park</t>
        </is>
      </c>
      <c r="E16814" s="8" t="inlineStr">
        <is>
          <t>Disneyland Railroad Discoveryland Station</t>
        </is>
      </c>
      <c r="F16814" s="8" t="inlineStr">
        <is>
          <t>STANDBY</t>
        </is>
      </c>
      <c r="G16814" s="8" t="n">
        <v>0</v>
      </c>
      <c r="H16814" s="8" t="inlineStr">
        <is>
          <t>CLOSED</t>
        </is>
      </c>
    </row>
    <row r="16815">
      <c r="A16815" s="8" t="inlineStr">
        <is>
          <t>2026-08-03</t>
        </is>
      </c>
      <c r="B16815" s="8" t="n">
        <v>21</v>
      </c>
      <c r="C16815" s="8" t="n">
        <v>1</v>
      </c>
      <c r="D16815" s="8" t="inlineStr">
        <is>
          <t>Disneyland Park</t>
        </is>
      </c>
      <c r="E16815" s="8" t="inlineStr">
        <is>
          <t>Les Mystères du Nautilus</t>
        </is>
      </c>
      <c r="F16815" s="8" t="inlineStr">
        <is>
          <t>STANDBY</t>
        </is>
      </c>
      <c r="G16815" s="8" t="n">
        <v>5</v>
      </c>
      <c r="H16815" s="8" t="inlineStr">
        <is>
          <t>OPERATING</t>
        </is>
      </c>
    </row>
    <row r="16816">
      <c r="A16816" s="8" t="inlineStr">
        <is>
          <t>2026-08-03</t>
        </is>
      </c>
      <c r="B16816" s="8" t="n">
        <v>21</v>
      </c>
      <c r="C16816" s="8" t="n">
        <v>1</v>
      </c>
      <c r="D16816" s="8" t="inlineStr">
        <is>
          <t>Disneyland Park</t>
        </is>
      </c>
      <c r="E16816" s="8" t="inlineStr">
        <is>
          <t>Mickey’s PhilharMagic</t>
        </is>
      </c>
      <c r="F16816" s="8" t="inlineStr">
        <is>
          <t>STANDBY</t>
        </is>
      </c>
      <c r="G16816" s="8" t="n">
        <v>0</v>
      </c>
      <c r="H16816" s="8" t="inlineStr">
        <is>
          <t>CLOSED</t>
        </is>
      </c>
    </row>
    <row r="16817">
      <c r="A16817" s="8" t="inlineStr">
        <is>
          <t>2026-08-03</t>
        </is>
      </c>
      <c r="B16817" s="8" t="n">
        <v>21</v>
      </c>
      <c r="C16817" s="8" t="n">
        <v>1</v>
      </c>
      <c r="D16817" s="8" t="inlineStr">
        <is>
          <t>Disneyland Park</t>
        </is>
      </c>
      <c r="E16817" s="8" t="inlineStr">
        <is>
          <t>Orbitron®</t>
        </is>
      </c>
      <c r="F16817" s="8" t="inlineStr">
        <is>
          <t>STANDBY</t>
        </is>
      </c>
      <c r="G16817" s="8" t="n">
        <v>40</v>
      </c>
      <c r="H16817" s="8" t="inlineStr">
        <is>
          <t>OPERATING</t>
        </is>
      </c>
    </row>
    <row r="16818">
      <c r="A16818" s="8" t="inlineStr">
        <is>
          <t>2026-08-03</t>
        </is>
      </c>
      <c r="B16818" s="8" t="n">
        <v>21</v>
      </c>
      <c r="C16818" s="8" t="n">
        <v>1</v>
      </c>
      <c r="D16818" s="8" t="inlineStr">
        <is>
          <t>Disneyland Park</t>
        </is>
      </c>
      <c r="E16818" s="8" t="inlineStr">
        <is>
          <t>Star Tours: The Adventures Continue*</t>
        </is>
      </c>
      <c r="F16818" s="8" t="inlineStr">
        <is>
          <t>STANDBY</t>
        </is>
      </c>
      <c r="G16818" s="8" t="n">
        <v>5</v>
      </c>
      <c r="H16818" s="8" t="inlineStr">
        <is>
          <t>OPERATING</t>
        </is>
      </c>
    </row>
    <row r="16819">
      <c r="A16819" s="8" t="inlineStr">
        <is>
          <t>2026-08-03</t>
        </is>
      </c>
      <c r="B16819" s="8" t="n">
        <v>21</v>
      </c>
      <c r="C16819" s="8" t="n">
        <v>1</v>
      </c>
      <c r="D16819" s="8" t="inlineStr">
        <is>
          <t>Disneyland Park</t>
        </is>
      </c>
      <c r="E16819" s="8" t="inlineStr">
        <is>
          <t>Star Wars Hyperspace Mountain</t>
        </is>
      </c>
      <c r="F16819" s="8" t="inlineStr">
        <is>
          <t>STANDBY</t>
        </is>
      </c>
      <c r="G16819" s="8" t="n">
        <v>20</v>
      </c>
      <c r="H16819" s="8" t="inlineStr">
        <is>
          <t>OPERATING</t>
        </is>
      </c>
    </row>
    <row r="16820">
      <c r="A16820" s="8" t="inlineStr">
        <is>
          <t>2026-08-03</t>
        </is>
      </c>
      <c r="B16820" s="8" t="n">
        <v>21</v>
      </c>
      <c r="C16820" s="8" t="n">
        <v>1</v>
      </c>
      <c r="D16820" s="8" t="inlineStr">
        <is>
          <t>Disneyland Park</t>
        </is>
      </c>
      <c r="E16820" s="8" t="inlineStr">
        <is>
          <t>Star Wars Hyperspace Mountain Single Rider</t>
        </is>
      </c>
      <c r="F16820" s="8" t="inlineStr">
        <is>
          <t>STANDBY</t>
        </is>
      </c>
      <c r="G16820" s="8" t="n">
        <v>15</v>
      </c>
      <c r="H16820" s="8" t="inlineStr">
        <is>
          <t>OPERATING</t>
        </is>
      </c>
    </row>
    <row r="16821">
      <c r="A16821" s="8" t="inlineStr">
        <is>
          <t>2026-08-03</t>
        </is>
      </c>
      <c r="B16821" s="8" t="n">
        <v>21</v>
      </c>
      <c r="C16821" s="8" t="n">
        <v>1</v>
      </c>
      <c r="D16821" s="8" t="inlineStr">
        <is>
          <t>Disneyland Park</t>
        </is>
      </c>
      <c r="E16821" s="8" t="inlineStr">
        <is>
          <t>Welcome to Starport: A Star Wars Encounter</t>
        </is>
      </c>
      <c r="F16821" s="8" t="inlineStr">
        <is>
          <t>STANDBY</t>
        </is>
      </c>
      <c r="G16821" s="8" t="n">
        <v>0</v>
      </c>
      <c r="H16821" s="8" t="inlineStr">
        <is>
          <t>CLOSED</t>
        </is>
      </c>
    </row>
    <row r="16822">
      <c r="A16822" s="8" t="inlineStr">
        <is>
          <t>2026-08-03</t>
        </is>
      </c>
      <c r="B16822" s="8" t="n">
        <v>21</v>
      </c>
      <c r="C16822" s="8" t="n">
        <v>1</v>
      </c>
      <c r="D16822" s="8" t="inlineStr">
        <is>
          <t>Disneyland Park</t>
        </is>
      </c>
      <c r="E16822" s="8" t="inlineStr">
        <is>
          <t>"it's a small world"</t>
        </is>
      </c>
      <c r="F16822" s="8" t="inlineStr">
        <is>
          <t>STANDBY</t>
        </is>
      </c>
      <c r="G16822" s="8" t="n">
        <v>5</v>
      </c>
      <c r="H16822" s="8" t="inlineStr">
        <is>
          <t>OPERATING</t>
        </is>
      </c>
    </row>
    <row r="16823">
      <c r="A16823" s="8" t="inlineStr">
        <is>
          <t>2026-08-03</t>
        </is>
      </c>
      <c r="B16823" s="8" t="n">
        <v>21</v>
      </c>
      <c r="C16823" s="8" t="n">
        <v>1</v>
      </c>
      <c r="D16823" s="8" t="inlineStr">
        <is>
          <t>Disneyland Park</t>
        </is>
      </c>
      <c r="E16823" s="8" t="inlineStr">
        <is>
          <t>Alice's Curious Labyrinth</t>
        </is>
      </c>
      <c r="F16823" s="8" t="inlineStr">
        <is>
          <t>STANDBY</t>
        </is>
      </c>
      <c r="G16823" s="8" t="n">
        <v>5</v>
      </c>
      <c r="H16823" s="8" t="inlineStr">
        <is>
          <t>OPERATING</t>
        </is>
      </c>
    </row>
    <row r="16824">
      <c r="A16824" s="8" t="inlineStr">
        <is>
          <t>2026-08-03</t>
        </is>
      </c>
      <c r="B16824" s="8" t="n">
        <v>21</v>
      </c>
      <c r="C16824" s="8" t="n">
        <v>1</v>
      </c>
      <c r="D16824" s="8" t="inlineStr">
        <is>
          <t>Disneyland Park</t>
        </is>
      </c>
      <c r="E16824" s="8" t="inlineStr">
        <is>
          <t>Blanche-Neige et les Sept Nains®</t>
        </is>
      </c>
      <c r="F16824" s="8" t="inlineStr">
        <is>
          <t>STANDBY</t>
        </is>
      </c>
      <c r="G16824" s="8" t="n">
        <v>15</v>
      </c>
      <c r="H16824" s="8" t="inlineStr">
        <is>
          <t>OPERATING</t>
        </is>
      </c>
    </row>
    <row r="16825">
      <c r="A16825" s="8" t="inlineStr">
        <is>
          <t>2026-08-03</t>
        </is>
      </c>
      <c r="B16825" s="8" t="n">
        <v>21</v>
      </c>
      <c r="C16825" s="8" t="n">
        <v>1</v>
      </c>
      <c r="D16825" s="8" t="inlineStr">
        <is>
          <t>Disneyland Park</t>
        </is>
      </c>
      <c r="E16825" s="8" t="inlineStr">
        <is>
          <t>Casey Jr. – le Petit Train du Cirque</t>
        </is>
      </c>
      <c r="F16825" s="8" t="inlineStr">
        <is>
          <t>STANDBY</t>
        </is>
      </c>
      <c r="G16825" s="8" t="n">
        <v>15</v>
      </c>
      <c r="H16825" s="8" t="inlineStr">
        <is>
          <t>OPERATING</t>
        </is>
      </c>
    </row>
    <row r="16826">
      <c r="A16826" s="8" t="inlineStr">
        <is>
          <t>2026-08-03</t>
        </is>
      </c>
      <c r="B16826" s="8" t="n">
        <v>21</v>
      </c>
      <c r="C16826" s="8" t="n">
        <v>1</v>
      </c>
      <c r="D16826" s="8" t="inlineStr">
        <is>
          <t>Disneyland Park</t>
        </is>
      </c>
      <c r="E16826" s="8" t="inlineStr">
        <is>
          <t>Disneyland Railroad Fantasyland Station</t>
        </is>
      </c>
      <c r="F16826" s="8" t="inlineStr">
        <is>
          <t>STANDBY</t>
        </is>
      </c>
      <c r="G16826" s="8" t="n">
        <v>0</v>
      </c>
      <c r="H16826" s="8" t="inlineStr">
        <is>
          <t>CLOSED</t>
        </is>
      </c>
    </row>
    <row r="16827">
      <c r="A16827" s="8" t="inlineStr">
        <is>
          <t>2026-08-03</t>
        </is>
      </c>
      <c r="B16827" s="8" t="n">
        <v>21</v>
      </c>
      <c r="C16827" s="8" t="n">
        <v>1</v>
      </c>
      <c r="D16827" s="8" t="inlineStr">
        <is>
          <t>Disneyland Park</t>
        </is>
      </c>
      <c r="E16827" s="8" t="inlineStr">
        <is>
          <t>Disneyland Railroad Main Street Station</t>
        </is>
      </c>
      <c r="F16827" s="8" t="inlineStr">
        <is>
          <t>STANDBY</t>
        </is>
      </c>
      <c r="G16827" s="8" t="n">
        <v>0</v>
      </c>
      <c r="H16827" s="8" t="inlineStr">
        <is>
          <t>CLOSED</t>
        </is>
      </c>
    </row>
    <row r="16828">
      <c r="A16828" s="8" t="inlineStr">
        <is>
          <t>2026-08-03</t>
        </is>
      </c>
      <c r="B16828" s="8" t="n">
        <v>21</v>
      </c>
      <c r="C16828" s="8" t="n">
        <v>1</v>
      </c>
      <c r="D16828" s="8" t="inlineStr">
        <is>
          <t>Disneyland Park</t>
        </is>
      </c>
      <c r="E16828" s="8" t="inlineStr">
        <is>
          <t>Dumbo the Flying Elephant</t>
        </is>
      </c>
      <c r="F16828" s="8" t="inlineStr">
        <is>
          <t>STANDBY</t>
        </is>
      </c>
      <c r="G16828" s="8" t="n">
        <v>25</v>
      </c>
      <c r="H16828" s="8" t="inlineStr">
        <is>
          <t>OPERATING</t>
        </is>
      </c>
    </row>
    <row r="16829">
      <c r="A16829" s="8" t="inlineStr">
        <is>
          <t>2026-08-03</t>
        </is>
      </c>
      <c r="B16829" s="8" t="n">
        <v>21</v>
      </c>
      <c r="C16829" s="8" t="n">
        <v>1</v>
      </c>
      <c r="D16829" s="8" t="inlineStr">
        <is>
          <t>Disneyland Park</t>
        </is>
      </c>
      <c r="E16829" s="8" t="inlineStr">
        <is>
          <t>La Tanière du Dragon</t>
        </is>
      </c>
      <c r="F16829" s="8" t="inlineStr">
        <is>
          <t>STANDBY</t>
        </is>
      </c>
      <c r="G16829" s="8" t="n">
        <v>0</v>
      </c>
      <c r="H16829" s="8" t="inlineStr">
        <is>
          <t>CLOSED</t>
        </is>
      </c>
    </row>
    <row r="16830">
      <c r="A16830" s="8" t="inlineStr">
        <is>
          <t>2026-08-03</t>
        </is>
      </c>
      <c r="B16830" s="8" t="n">
        <v>21</v>
      </c>
      <c r="C16830" s="8" t="n">
        <v>1</v>
      </c>
      <c r="D16830" s="8" t="inlineStr">
        <is>
          <t>Disneyland Park</t>
        </is>
      </c>
      <c r="E16830" s="8" t="inlineStr">
        <is>
          <t>Le Carrousel de Lancelot</t>
        </is>
      </c>
      <c r="F16830" s="8" t="inlineStr">
        <is>
          <t>STANDBY</t>
        </is>
      </c>
      <c r="G16830" s="8" t="n">
        <v>10</v>
      </c>
      <c r="H16830" s="8" t="inlineStr">
        <is>
          <t>OPERATING</t>
        </is>
      </c>
    </row>
    <row r="16831">
      <c r="A16831" s="8" t="inlineStr">
        <is>
          <t>2026-08-03</t>
        </is>
      </c>
      <c r="B16831" s="8" t="n">
        <v>21</v>
      </c>
      <c r="C16831" s="8" t="n">
        <v>1</v>
      </c>
      <c r="D16831" s="8" t="inlineStr">
        <is>
          <t>Disneyland Park</t>
        </is>
      </c>
      <c r="E16831" s="8" t="inlineStr">
        <is>
          <t>Le Pays des Contes de Fées, presented by Vittel</t>
        </is>
      </c>
      <c r="F16831" s="8" t="inlineStr">
        <is>
          <t>STANDBY</t>
        </is>
      </c>
      <c r="G16831" s="8" t="n">
        <v>5</v>
      </c>
      <c r="H16831" s="8" t="inlineStr">
        <is>
          <t>OPERATING</t>
        </is>
      </c>
    </row>
    <row r="16832">
      <c r="A16832" s="8" t="inlineStr">
        <is>
          <t>2026-08-03</t>
        </is>
      </c>
      <c r="B16832" s="8" t="n">
        <v>21</v>
      </c>
      <c r="C16832" s="8" t="n">
        <v>1</v>
      </c>
      <c r="D16832" s="8" t="inlineStr">
        <is>
          <t>Disneyland Park</t>
        </is>
      </c>
      <c r="E16832" s="8" t="inlineStr">
        <is>
          <t>Les Voyages de Pinocchio</t>
        </is>
      </c>
      <c r="F16832" s="8" t="inlineStr">
        <is>
          <t>STANDBY</t>
        </is>
      </c>
      <c r="G16832" s="8" t="n">
        <v>15</v>
      </c>
      <c r="H16832" s="8" t="inlineStr">
        <is>
          <t>OPERATING</t>
        </is>
      </c>
    </row>
    <row r="16833">
      <c r="A16833" s="8" t="inlineStr">
        <is>
          <t>2026-08-03</t>
        </is>
      </c>
      <c r="B16833" s="8" t="n">
        <v>21</v>
      </c>
      <c r="C16833" s="8" t="n">
        <v>1</v>
      </c>
      <c r="D16833" s="8" t="inlineStr">
        <is>
          <t>Disneyland Park</t>
        </is>
      </c>
      <c r="E16833" s="8" t="inlineStr">
        <is>
          <t>Mad Hatter's Tea Cups</t>
        </is>
      </c>
      <c r="F16833" s="8" t="inlineStr">
        <is>
          <t>STANDBY</t>
        </is>
      </c>
      <c r="G16833" s="8" t="n">
        <v>5</v>
      </c>
      <c r="H16833" s="8" t="inlineStr">
        <is>
          <t>OPERATING</t>
        </is>
      </c>
    </row>
    <row r="16834">
      <c r="A16834" s="8" t="inlineStr">
        <is>
          <t>2026-08-03</t>
        </is>
      </c>
      <c r="B16834" s="8" t="n">
        <v>21</v>
      </c>
      <c r="C16834" s="8" t="n">
        <v>1</v>
      </c>
      <c r="D16834" s="8" t="inlineStr">
        <is>
          <t>Disneyland Park</t>
        </is>
      </c>
      <c r="E16834" s="8" t="inlineStr">
        <is>
          <t>Meet Mickey Mouse</t>
        </is>
      </c>
      <c r="F16834" s="8" t="inlineStr">
        <is>
          <t>STANDBY</t>
        </is>
      </c>
      <c r="G16834" s="8" t="n">
        <v>0</v>
      </c>
      <c r="H16834" s="8" t="inlineStr">
        <is>
          <t>CLOSED</t>
        </is>
      </c>
    </row>
    <row r="16835">
      <c r="A16835" s="8" t="inlineStr">
        <is>
          <t>2026-08-03</t>
        </is>
      </c>
      <c r="B16835" s="8" t="n">
        <v>21</v>
      </c>
      <c r="C16835" s="8" t="n">
        <v>1</v>
      </c>
      <c r="D16835" s="8" t="inlineStr">
        <is>
          <t>Disneyland Park</t>
        </is>
      </c>
      <c r="E16835" s="8" t="inlineStr">
        <is>
          <t>Peter Pan's Flight</t>
        </is>
      </c>
      <c r="F16835" s="8" t="inlineStr">
        <is>
          <t>STANDBY</t>
        </is>
      </c>
      <c r="G16835" s="8" t="n">
        <v>50</v>
      </c>
      <c r="H16835" s="8" t="inlineStr">
        <is>
          <t>OPERATING</t>
        </is>
      </c>
    </row>
    <row r="16836">
      <c r="A16836" s="8" t="inlineStr">
        <is>
          <t>2026-08-03</t>
        </is>
      </c>
      <c r="B16836" s="8" t="n">
        <v>21</v>
      </c>
      <c r="C16836" s="8" t="n">
        <v>1</v>
      </c>
      <c r="D16836" s="8" t="inlineStr">
        <is>
          <t>Disneyland Park</t>
        </is>
      </c>
      <c r="E16836" s="8" t="inlineStr">
        <is>
          <t>Princess Pavilion</t>
        </is>
      </c>
      <c r="F16836" s="8" t="inlineStr">
        <is>
          <t>STANDBY</t>
        </is>
      </c>
      <c r="G16836" s="8" t="n">
        <v>0</v>
      </c>
      <c r="H16836" s="8" t="inlineStr">
        <is>
          <t>CLOSED</t>
        </is>
      </c>
    </row>
    <row r="16837">
      <c r="A16837" s="8" t="inlineStr">
        <is>
          <t>2026-08-03</t>
        </is>
      </c>
      <c r="B16837" s="8" t="n">
        <v>21</v>
      </c>
      <c r="C16837" s="8" t="n">
        <v>1</v>
      </c>
      <c r="D16837" s="8" t="inlineStr">
        <is>
          <t>Disneyland Park</t>
        </is>
      </c>
      <c r="E16837" s="8" t="inlineStr">
        <is>
          <t>Big Thunder Mountain</t>
        </is>
      </c>
      <c r="F16837" s="8" t="inlineStr">
        <is>
          <t>STANDBY</t>
        </is>
      </c>
      <c r="G16837" s="8" t="n">
        <v>40</v>
      </c>
      <c r="H16837" s="8" t="inlineStr">
        <is>
          <t>OPERATING</t>
        </is>
      </c>
    </row>
    <row r="16838">
      <c r="A16838" s="8" t="inlineStr">
        <is>
          <t>2026-08-03</t>
        </is>
      </c>
      <c r="B16838" s="8" t="n">
        <v>21</v>
      </c>
      <c r="C16838" s="8" t="n">
        <v>1</v>
      </c>
      <c r="D16838" s="8" t="inlineStr">
        <is>
          <t>Disneyland Park</t>
        </is>
      </c>
      <c r="E16838" s="8" t="inlineStr">
        <is>
          <t>Disneyland Railroad Frontierland Depot</t>
        </is>
      </c>
      <c r="F16838" s="8" t="inlineStr">
        <is>
          <t>STANDBY</t>
        </is>
      </c>
      <c r="G16838" s="8" t="n">
        <v>0</v>
      </c>
      <c r="H16838" s="8" t="inlineStr">
        <is>
          <t>CLOSED</t>
        </is>
      </c>
    </row>
    <row r="16839">
      <c r="A16839" s="8" t="inlineStr">
        <is>
          <t>2026-08-03</t>
        </is>
      </c>
      <c r="B16839" s="8" t="n">
        <v>21</v>
      </c>
      <c r="C16839" s="8" t="n">
        <v>1</v>
      </c>
      <c r="D16839" s="8" t="inlineStr">
        <is>
          <t>Disneyland Park</t>
        </is>
      </c>
      <c r="E16839" s="8" t="inlineStr">
        <is>
          <t>Frontierland Playground</t>
        </is>
      </c>
      <c r="F16839" s="8" t="inlineStr">
        <is>
          <t>STANDBY</t>
        </is>
      </c>
      <c r="G16839" s="8" t="n">
        <v>0</v>
      </c>
      <c r="H16839" s="8" t="inlineStr">
        <is>
          <t>CLOSED</t>
        </is>
      </c>
    </row>
    <row r="16840">
      <c r="A16840" s="8" t="inlineStr">
        <is>
          <t>2026-08-03</t>
        </is>
      </c>
      <c r="B16840" s="8" t="n">
        <v>21</v>
      </c>
      <c r="C16840" s="8" t="n">
        <v>1</v>
      </c>
      <c r="D16840" s="8" t="inlineStr">
        <is>
          <t>Disneyland Park</t>
        </is>
      </c>
      <c r="E16840" s="8" t="inlineStr">
        <is>
          <t>Phantom Manor</t>
        </is>
      </c>
      <c r="F16840" s="8" t="inlineStr">
        <is>
          <t>STANDBY</t>
        </is>
      </c>
      <c r="G16840" s="8" t="n">
        <v>5</v>
      </c>
      <c r="H16840" s="8" t="inlineStr">
        <is>
          <t>OPERATING</t>
        </is>
      </c>
    </row>
    <row r="16841">
      <c r="A16841" s="8" t="inlineStr">
        <is>
          <t>2026-08-03</t>
        </is>
      </c>
      <c r="B16841" s="8" t="n">
        <v>21</v>
      </c>
      <c r="C16841" s="8" t="n">
        <v>1</v>
      </c>
      <c r="D16841" s="8" t="inlineStr">
        <is>
          <t>Disneyland Park</t>
        </is>
      </c>
      <c r="E16841" s="8" t="inlineStr">
        <is>
          <t>River Rogue Keelboats</t>
        </is>
      </c>
      <c r="F16841" s="8" t="inlineStr">
        <is>
          <t>STANDBY</t>
        </is>
      </c>
      <c r="G16841" s="8" t="n">
        <v>0</v>
      </c>
      <c r="H16841" s="8" t="inlineStr">
        <is>
          <t>CLOSED</t>
        </is>
      </c>
    </row>
    <row r="16842">
      <c r="A16842" s="8" t="inlineStr">
        <is>
          <t>2026-08-03</t>
        </is>
      </c>
      <c r="B16842" s="8" t="n">
        <v>21</v>
      </c>
      <c r="C16842" s="8" t="n">
        <v>1</v>
      </c>
      <c r="D16842" s="8" t="inlineStr">
        <is>
          <t>Disneyland Park</t>
        </is>
      </c>
      <c r="E16842" s="8" t="inlineStr">
        <is>
          <t>Rustler Roundup Shootin' Gallery</t>
        </is>
      </c>
      <c r="F16842" s="8" t="inlineStr">
        <is>
          <t>STANDBY</t>
        </is>
      </c>
      <c r="G16842" s="8" t="n">
        <v>0</v>
      </c>
      <c r="H16842" s="8" t="inlineStr">
        <is>
          <t>OPERATING</t>
        </is>
      </c>
    </row>
    <row r="16843">
      <c r="A16843" s="8" t="inlineStr">
        <is>
          <t>2026-08-03</t>
        </is>
      </c>
      <c r="B16843" s="8" t="n">
        <v>21</v>
      </c>
      <c r="C16843" s="8" t="n">
        <v>1</v>
      </c>
      <c r="D16843" s="8" t="inlineStr">
        <is>
          <t>Disneyland Park</t>
        </is>
      </c>
      <c r="E16843" s="8" t="inlineStr">
        <is>
          <t>Thunder Mesa Riverboat Landing</t>
        </is>
      </c>
      <c r="F16843" s="8" t="inlineStr">
        <is>
          <t>STANDBY</t>
        </is>
      </c>
      <c r="G16843" s="8" t="n">
        <v>0</v>
      </c>
      <c r="H16843" s="8" t="inlineStr">
        <is>
          <t>CLOSED</t>
        </is>
      </c>
    </row>
    <row r="16844">
      <c r="A16844" s="8" t="inlineStr">
        <is>
          <t>2026-08-03</t>
        </is>
      </c>
      <c r="B16844" s="8" t="n">
        <v>21</v>
      </c>
      <c r="C16844" s="8" t="n">
        <v>1</v>
      </c>
      <c r="D16844" s="8" t="inlineStr">
        <is>
          <t>Disneyland Park</t>
        </is>
      </c>
      <c r="E16844" s="8" t="inlineStr">
        <is>
          <t>Disneyland Railroad Main Street Station</t>
        </is>
      </c>
      <c r="F16844" s="8" t="inlineStr">
        <is>
          <t>STANDBY</t>
        </is>
      </c>
      <c r="G16844" s="8" t="n">
        <v>0</v>
      </c>
      <c r="H16844" s="8" t="inlineStr">
        <is>
          <t>CLOSED</t>
        </is>
      </c>
    </row>
    <row r="16845">
      <c r="A16845" s="8" t="inlineStr">
        <is>
          <t>2026-08-03</t>
        </is>
      </c>
      <c r="B16845" s="8" t="n">
        <v>21</v>
      </c>
      <c r="C16845" s="8" t="n">
        <v>1</v>
      </c>
      <c r="D16845" s="8" t="inlineStr">
        <is>
          <t>Disneyland Park</t>
        </is>
      </c>
      <c r="E16845" s="8" t="inlineStr">
        <is>
          <t>Main Street Vehicles</t>
        </is>
      </c>
      <c r="F16845" s="8" t="inlineStr">
        <is>
          <t>STANDBY</t>
        </is>
      </c>
      <c r="G16845" s="8" t="n">
        <v>0</v>
      </c>
      <c r="H16845" s="8" t="inlineStr">
        <is>
          <t>CLOSED</t>
        </is>
      </c>
    </row>
    <row r="16846">
      <c r="A16846" s="8" t="inlineStr">
        <is>
          <t>2026-08-03</t>
        </is>
      </c>
      <c r="B16846" s="8" t="n">
        <v>21</v>
      </c>
      <c r="C16846" s="8" t="n">
        <v>1</v>
      </c>
      <c r="D16846" s="8" t="inlineStr">
        <is>
          <t>Disney Adventure World</t>
        </is>
      </c>
      <c r="E16846" s="8" t="inlineStr">
        <is>
          <t>Avengers Assemble: Flight Force</t>
        </is>
      </c>
      <c r="F16846" s="8" t="inlineStr">
        <is>
          <t>STANDBY</t>
        </is>
      </c>
      <c r="G16846" s="8" t="n">
        <v>10</v>
      </c>
      <c r="H16846" s="8" t="inlineStr">
        <is>
          <t>OPERATING</t>
        </is>
      </c>
    </row>
    <row r="16847">
      <c r="A16847" s="8" t="inlineStr">
        <is>
          <t>2026-08-03</t>
        </is>
      </c>
      <c r="B16847" s="8" t="n">
        <v>21</v>
      </c>
      <c r="C16847" s="8" t="n">
        <v>1</v>
      </c>
      <c r="D16847" s="8" t="inlineStr">
        <is>
          <t>Disney Adventure World</t>
        </is>
      </c>
      <c r="E16847" s="8" t="inlineStr">
        <is>
          <t>Avengers Assemble: Flight Force Single Rider</t>
        </is>
      </c>
      <c r="F16847" s="8" t="inlineStr">
        <is>
          <t>STANDBY</t>
        </is>
      </c>
      <c r="G16847" s="8" t="n">
        <v>5</v>
      </c>
      <c r="H16847" s="8" t="inlineStr">
        <is>
          <t>OPERATING</t>
        </is>
      </c>
    </row>
    <row r="16848">
      <c r="A16848" s="8" t="inlineStr">
        <is>
          <t>2026-08-03</t>
        </is>
      </c>
      <c r="B16848" s="8" t="n">
        <v>21</v>
      </c>
      <c r="C16848" s="8" t="n">
        <v>1</v>
      </c>
      <c r="D16848" s="8" t="inlineStr">
        <is>
          <t>Disney Adventure World</t>
        </is>
      </c>
      <c r="E16848" s="8" t="inlineStr">
        <is>
          <t>Spider-Man W.E.B. Adventure</t>
        </is>
      </c>
      <c r="F16848" s="8" t="inlineStr">
        <is>
          <t>STANDBY</t>
        </is>
      </c>
      <c r="G16848" s="8" t="n">
        <v>25</v>
      </c>
      <c r="H16848" s="8" t="inlineStr">
        <is>
          <t>OPERATING</t>
        </is>
      </c>
    </row>
    <row r="16849">
      <c r="A16849" s="8" t="inlineStr">
        <is>
          <t>2026-08-03</t>
        </is>
      </c>
      <c r="B16849" s="8" t="n">
        <v>21</v>
      </c>
      <c r="C16849" s="8" t="n">
        <v>1</v>
      </c>
      <c r="D16849" s="8" t="inlineStr">
        <is>
          <t>Disney Adventure World</t>
        </is>
      </c>
      <c r="E16849" s="8" t="inlineStr">
        <is>
          <t>Spider-Man W.E.B. Adventure Single Rider</t>
        </is>
      </c>
      <c r="F16849" s="8" t="inlineStr">
        <is>
          <t>STANDBY</t>
        </is>
      </c>
      <c r="G16849" s="8" t="n">
        <v>5</v>
      </c>
      <c r="H16849" s="8" t="inlineStr">
        <is>
          <t>OPERATING</t>
        </is>
      </c>
    </row>
    <row r="16850">
      <c r="A16850" s="8" t="inlineStr">
        <is>
          <t>2026-08-03</t>
        </is>
      </c>
      <c r="B16850" s="8" t="n">
        <v>21</v>
      </c>
      <c r="C16850" s="8" t="n">
        <v>1</v>
      </c>
      <c r="D16850" s="8" t="inlineStr">
        <is>
          <t>Disney Adventure World</t>
        </is>
      </c>
      <c r="E16850" s="8" t="inlineStr">
        <is>
          <t>The Twilight Zone Tower of Terror</t>
        </is>
      </c>
      <c r="F16850" s="8" t="inlineStr">
        <is>
          <t>STANDBY</t>
        </is>
      </c>
      <c r="G16850" s="8" t="n">
        <v>15</v>
      </c>
      <c r="H16850" s="8" t="inlineStr">
        <is>
          <t>OPERATING</t>
        </is>
      </c>
    </row>
    <row r="16851">
      <c r="A16851" s="8" t="inlineStr">
        <is>
          <t>2026-08-03</t>
        </is>
      </c>
      <c r="B16851" s="8" t="n">
        <v>21</v>
      </c>
      <c r="C16851" s="8" t="n">
        <v>1</v>
      </c>
      <c r="D16851" s="8" t="inlineStr">
        <is>
          <t>Disney Adventure World</t>
        </is>
      </c>
      <c r="E16851" s="8" t="inlineStr">
        <is>
          <t>Cars Quatre Roues Rallye</t>
        </is>
      </c>
      <c r="F16851" s="8" t="inlineStr">
        <is>
          <t>STANDBY</t>
        </is>
      </c>
      <c r="G16851" s="8" t="n">
        <v>5</v>
      </c>
      <c r="H16851" s="8" t="inlineStr">
        <is>
          <t>OPERATING</t>
        </is>
      </c>
    </row>
    <row r="16852">
      <c r="A16852" s="8" t="inlineStr">
        <is>
          <t>2026-08-03</t>
        </is>
      </c>
      <c r="B16852" s="8" t="n">
        <v>21</v>
      </c>
      <c r="C16852" s="8" t="n">
        <v>1</v>
      </c>
      <c r="D16852" s="8" t="inlineStr">
        <is>
          <t>Disney Adventure World</t>
        </is>
      </c>
      <c r="E16852" s="8" t="inlineStr">
        <is>
          <t>Cars ROAD TRIP</t>
        </is>
      </c>
      <c r="F16852" s="8" t="inlineStr">
        <is>
          <t>STANDBY</t>
        </is>
      </c>
      <c r="G16852" s="8" t="n">
        <v>5</v>
      </c>
      <c r="H16852" s="8" t="inlineStr">
        <is>
          <t>OPERATING</t>
        </is>
      </c>
    </row>
    <row r="16853">
      <c r="A16853" s="8" t="inlineStr">
        <is>
          <t>2026-08-03</t>
        </is>
      </c>
      <c r="B16853" s="8" t="n">
        <v>21</v>
      </c>
      <c r="C16853" s="8" t="n">
        <v>1</v>
      </c>
      <c r="D16853" s="8" t="inlineStr">
        <is>
          <t>Disney Adventure World</t>
        </is>
      </c>
      <c r="E16853" s="8" t="inlineStr">
        <is>
          <t>Crush's Coaster</t>
        </is>
      </c>
      <c r="F16853" s="8" t="inlineStr">
        <is>
          <t>STANDBY</t>
        </is>
      </c>
      <c r="G16853" s="8" t="n">
        <v>60</v>
      </c>
      <c r="H16853" s="8" t="inlineStr">
        <is>
          <t>OPERATING</t>
        </is>
      </c>
    </row>
    <row r="16854">
      <c r="A16854" s="8" t="inlineStr">
        <is>
          <t>2026-08-03</t>
        </is>
      </c>
      <c r="B16854" s="8" t="n">
        <v>21</v>
      </c>
      <c r="C16854" s="8" t="n">
        <v>1</v>
      </c>
      <c r="D16854" s="8" t="inlineStr">
        <is>
          <t>Disney Adventure World</t>
        </is>
      </c>
      <c r="E16854" s="8" t="inlineStr">
        <is>
          <t>Crush's Coaster Single Rider</t>
        </is>
      </c>
      <c r="F16854" s="8" t="inlineStr">
        <is>
          <t>STANDBY</t>
        </is>
      </c>
      <c r="G16854" s="8" t="n">
        <v>55</v>
      </c>
      <c r="H16854" s="8" t="inlineStr">
        <is>
          <t>OPERATING</t>
        </is>
      </c>
    </row>
    <row r="16855">
      <c r="A16855" s="8" t="inlineStr">
        <is>
          <t>2026-08-03</t>
        </is>
      </c>
      <c r="B16855" s="8" t="n">
        <v>21</v>
      </c>
      <c r="C16855" s="8" t="n">
        <v>1</v>
      </c>
      <c r="D16855" s="8" t="inlineStr">
        <is>
          <t>Disney Adventure World</t>
        </is>
      </c>
      <c r="E16855" s="8" t="inlineStr">
        <is>
          <t>Les Tapis Volants - Flying Carpets Over Agrabah®</t>
        </is>
      </c>
      <c r="F16855" s="8" t="inlineStr">
        <is>
          <t>STANDBY</t>
        </is>
      </c>
      <c r="G16855" s="8" t="n">
        <v>15</v>
      </c>
      <c r="H16855" s="8" t="inlineStr">
        <is>
          <t>OPERATING</t>
        </is>
      </c>
    </row>
    <row r="16856">
      <c r="A16856" s="8" t="inlineStr">
        <is>
          <t>2026-08-03</t>
        </is>
      </c>
      <c r="B16856" s="8" t="n">
        <v>21</v>
      </c>
      <c r="C16856" s="8" t="n">
        <v>1</v>
      </c>
      <c r="D16856" s="8" t="inlineStr">
        <is>
          <t>Disney Adventure World</t>
        </is>
      </c>
      <c r="E16856" s="8" t="inlineStr">
        <is>
          <t>Ratatouille : L’Aventure Totalement Toquée de Rémy​</t>
        </is>
      </c>
      <c r="F16856" s="8" t="inlineStr">
        <is>
          <t>STANDBY</t>
        </is>
      </c>
      <c r="G16856" s="8" t="n">
        <v>30</v>
      </c>
      <c r="H16856" s="8" t="inlineStr">
        <is>
          <t>OPERATING</t>
        </is>
      </c>
    </row>
    <row r="16857">
      <c r="A16857" s="8" t="inlineStr">
        <is>
          <t>2026-08-03</t>
        </is>
      </c>
      <c r="B16857" s="8" t="n">
        <v>21</v>
      </c>
      <c r="C16857" s="8" t="n">
        <v>1</v>
      </c>
      <c r="D16857" s="8" t="inlineStr">
        <is>
          <t>Disney Adventure World</t>
        </is>
      </c>
      <c r="E16857" s="8" t="inlineStr">
        <is>
          <t>Ratatouille: The Adventure Single Rider</t>
        </is>
      </c>
      <c r="F16857" s="8" t="inlineStr">
        <is>
          <t>STANDBY</t>
        </is>
      </c>
      <c r="G16857" s="8" t="n">
        <v>10</v>
      </c>
      <c r="H16857" s="8" t="inlineStr">
        <is>
          <t>OPERATING</t>
        </is>
      </c>
    </row>
    <row r="16858">
      <c r="A16858" s="8" t="inlineStr">
        <is>
          <t>2026-08-03</t>
        </is>
      </c>
      <c r="B16858" s="8" t="n">
        <v>21</v>
      </c>
      <c r="C16858" s="8" t="n">
        <v>1</v>
      </c>
      <c r="D16858" s="8" t="inlineStr">
        <is>
          <t>Disney Adventure World</t>
        </is>
      </c>
      <c r="E16858" s="8" t="inlineStr">
        <is>
          <t>RC Racer</t>
        </is>
      </c>
      <c r="F16858" s="8" t="inlineStr">
        <is>
          <t>STANDBY</t>
        </is>
      </c>
      <c r="G16858" s="8" t="n">
        <v>30</v>
      </c>
      <c r="H16858" s="8" t="inlineStr">
        <is>
          <t>OPERATING</t>
        </is>
      </c>
    </row>
    <row r="16859">
      <c r="A16859" s="8" t="inlineStr">
        <is>
          <t>2026-08-03</t>
        </is>
      </c>
      <c r="B16859" s="8" t="n">
        <v>21</v>
      </c>
      <c r="C16859" s="8" t="n">
        <v>1</v>
      </c>
      <c r="D16859" s="8" t="inlineStr">
        <is>
          <t>Disney Adventure World</t>
        </is>
      </c>
      <c r="E16859" s="8" t="inlineStr">
        <is>
          <t>RC Racer Single Rider</t>
        </is>
      </c>
      <c r="F16859" s="8" t="inlineStr">
        <is>
          <t>STANDBY</t>
        </is>
      </c>
      <c r="G16859" s="8" t="n">
        <v>20</v>
      </c>
      <c r="H16859" s="8" t="inlineStr">
        <is>
          <t>OPERATING</t>
        </is>
      </c>
    </row>
    <row r="16860">
      <c r="A16860" s="8" t="inlineStr">
        <is>
          <t>2026-08-03</t>
        </is>
      </c>
      <c r="B16860" s="8" t="n">
        <v>21</v>
      </c>
      <c r="C16860" s="8" t="n">
        <v>1</v>
      </c>
      <c r="D16860" s="8" t="inlineStr">
        <is>
          <t>Disney Adventure World</t>
        </is>
      </c>
      <c r="E16860" s="8" t="inlineStr">
        <is>
          <t>Slinky® Dog Zigzag Spin</t>
        </is>
      </c>
      <c r="F16860" s="8" t="inlineStr">
        <is>
          <t>STANDBY</t>
        </is>
      </c>
      <c r="G16860" s="8" t="n">
        <v>5</v>
      </c>
      <c r="H16860" s="8" t="inlineStr">
        <is>
          <t>OPERATING</t>
        </is>
      </c>
    </row>
    <row r="16861">
      <c r="A16861" s="8" t="inlineStr">
        <is>
          <t>2026-08-03</t>
        </is>
      </c>
      <c r="B16861" s="8" t="n">
        <v>21</v>
      </c>
      <c r="C16861" s="8" t="n">
        <v>1</v>
      </c>
      <c r="D16861" s="8" t="inlineStr">
        <is>
          <t>Disney Adventure World</t>
        </is>
      </c>
      <c r="E16861" s="8" t="inlineStr">
        <is>
          <t>Toy Soldiers Parachute Drop</t>
        </is>
      </c>
      <c r="F16861" s="8" t="inlineStr">
        <is>
          <t>STANDBY</t>
        </is>
      </c>
      <c r="G16861" s="8" t="n">
        <v>0</v>
      </c>
      <c r="H16861" s="8" t="inlineStr">
        <is>
          <t>CLOSED</t>
        </is>
      </c>
    </row>
    <row r="16862">
      <c r="A16862" s="8" t="inlineStr">
        <is>
          <t>2026-08-03</t>
        </is>
      </c>
      <c r="B16862" s="8" t="n">
        <v>21</v>
      </c>
      <c r="C16862" s="8" t="n">
        <v>1</v>
      </c>
      <c r="D16862" s="8" t="inlineStr">
        <is>
          <t>Disney Adventure World</t>
        </is>
      </c>
      <c r="E16862" s="8" t="inlineStr">
        <is>
          <t>Toy Soldiers Parachute Drop Single Rider</t>
        </is>
      </c>
      <c r="F16862" s="8" t="inlineStr">
        <is>
          <t>STANDBY</t>
        </is>
      </c>
      <c r="G16862" s="8" t="n">
        <v>0</v>
      </c>
      <c r="H16862" s="8" t="inlineStr">
        <is>
          <t>CLOSED</t>
        </is>
      </c>
    </row>
    <row r="16863">
      <c r="A16863" s="8" t="inlineStr">
        <is>
          <t>2026-08-03</t>
        </is>
      </c>
      <c r="B16863" s="8" t="n">
        <v>21</v>
      </c>
      <c r="C16863" s="8" t="n">
        <v>1</v>
      </c>
      <c r="D16863" s="8" t="inlineStr">
        <is>
          <t>Disney Adventure World</t>
        </is>
      </c>
      <c r="E16863" s="8" t="inlineStr">
        <is>
          <t>Entry to World of Frozen</t>
        </is>
      </c>
      <c r="F16863" s="8" t="inlineStr">
        <is>
          <t>STANDBY</t>
        </is>
      </c>
      <c r="G16863" s="8" t="n">
        <v>0</v>
      </c>
      <c r="H16863" s="8" t="inlineStr">
        <is>
          <t>OPERATING</t>
        </is>
      </c>
    </row>
    <row r="16864">
      <c r="A16864" s="8" t="inlineStr">
        <is>
          <t>2026-08-03</t>
        </is>
      </c>
      <c r="B16864" s="8" t="n">
        <v>21</v>
      </c>
      <c r="C16864" s="8" t="n">
        <v>1</v>
      </c>
      <c r="D16864" s="8" t="inlineStr">
        <is>
          <t>Disney Adventure World</t>
        </is>
      </c>
      <c r="E16864" s="8" t="inlineStr">
        <is>
          <t>Frozen Ever After</t>
        </is>
      </c>
      <c r="F16864" s="8" t="inlineStr">
        <is>
          <t>STANDBY</t>
        </is>
      </c>
      <c r="G16864" s="8" t="n">
        <v>30</v>
      </c>
      <c r="H16864" s="8" t="inlineStr">
        <is>
          <t>OPERATING</t>
        </is>
      </c>
    </row>
    <row r="16865">
      <c r="A16865" s="8" t="inlineStr">
        <is>
          <t>2026-08-03</t>
        </is>
      </c>
      <c r="B16865" s="8" t="n">
        <v>21</v>
      </c>
      <c r="C16865" s="8" t="n">
        <v>1</v>
      </c>
      <c r="D16865" s="8" t="inlineStr">
        <is>
          <t>Disney Adventure World</t>
        </is>
      </c>
      <c r="E16865" s="8" t="inlineStr">
        <is>
          <t>Raiponce Tangled Spin</t>
        </is>
      </c>
      <c r="F16865" s="8" t="inlineStr">
        <is>
          <t>STANDBY</t>
        </is>
      </c>
      <c r="G16865" s="8" t="n">
        <v>5</v>
      </c>
      <c r="H16865" s="8" t="inlineStr">
        <is>
          <t>OPERATING</t>
        </is>
      </c>
    </row>
    <row r="16866">
      <c r="A16866" s="8" t="inlineStr">
        <is>
          <t>2026-08-03</t>
        </is>
      </c>
      <c r="B16866" s="8" t="n">
        <v>21</v>
      </c>
      <c r="C16866" s="8" t="n">
        <v>15</v>
      </c>
      <c r="D16866" s="8" t="inlineStr">
        <is>
          <t>Disneyland Park</t>
        </is>
      </c>
      <c r="E16866" s="8" t="inlineStr">
        <is>
          <t>Adventure Isle</t>
        </is>
      </c>
      <c r="F16866" s="8" t="inlineStr">
        <is>
          <t>STANDBY</t>
        </is>
      </c>
      <c r="G16866" s="8" t="n">
        <v>0</v>
      </c>
      <c r="H16866" s="8" t="inlineStr">
        <is>
          <t>OPERATING</t>
        </is>
      </c>
    </row>
    <row r="16867">
      <c r="A16867" s="8" t="inlineStr">
        <is>
          <t>2026-08-03</t>
        </is>
      </c>
      <c r="B16867" s="8" t="n">
        <v>21</v>
      </c>
      <c r="C16867" s="8" t="n">
        <v>15</v>
      </c>
      <c r="D16867" s="8" t="inlineStr">
        <is>
          <t>Disneyland Park</t>
        </is>
      </c>
      <c r="E16867" s="8" t="inlineStr">
        <is>
          <t>Indiana Jones and the Temple of Peril Single Rider</t>
        </is>
      </c>
      <c r="F16867" s="8" t="inlineStr">
        <is>
          <t>STANDBY</t>
        </is>
      </c>
      <c r="G16867" s="8" t="n">
        <v>5</v>
      </c>
      <c r="H16867" s="8" t="inlineStr">
        <is>
          <t>OPERATING</t>
        </is>
      </c>
    </row>
    <row r="16868">
      <c r="A16868" s="8" t="inlineStr">
        <is>
          <t>2026-08-03</t>
        </is>
      </c>
      <c r="B16868" s="8" t="n">
        <v>21</v>
      </c>
      <c r="C16868" s="8" t="n">
        <v>15</v>
      </c>
      <c r="D16868" s="8" t="inlineStr">
        <is>
          <t>Disneyland Park</t>
        </is>
      </c>
      <c r="E16868" s="8" t="inlineStr">
        <is>
          <t>Indiana Jones™ and the Temple of Peril</t>
        </is>
      </c>
      <c r="F16868" s="8" t="inlineStr">
        <is>
          <t>STANDBY</t>
        </is>
      </c>
      <c r="G16868" s="8" t="n">
        <v>5</v>
      </c>
      <c r="H16868" s="8" t="inlineStr">
        <is>
          <t>OPERATING</t>
        </is>
      </c>
    </row>
    <row r="16869">
      <c r="A16869" s="8" t="inlineStr">
        <is>
          <t>2026-08-03</t>
        </is>
      </c>
      <c r="B16869" s="8" t="n">
        <v>21</v>
      </c>
      <c r="C16869" s="8" t="n">
        <v>15</v>
      </c>
      <c r="D16869" s="8" t="inlineStr">
        <is>
          <t>Disneyland Park</t>
        </is>
      </c>
      <c r="E16869" s="8" t="inlineStr">
        <is>
          <t>La Cabane des Robinson</t>
        </is>
      </c>
      <c r="F16869" s="8" t="inlineStr">
        <is>
          <t>STANDBY</t>
        </is>
      </c>
      <c r="G16869" s="8" t="n">
        <v>5</v>
      </c>
      <c r="H16869" s="8" t="inlineStr">
        <is>
          <t>OPERATING</t>
        </is>
      </c>
    </row>
    <row r="16870">
      <c r="A16870" s="8" t="inlineStr">
        <is>
          <t>2026-08-03</t>
        </is>
      </c>
      <c r="B16870" s="8" t="n">
        <v>21</v>
      </c>
      <c r="C16870" s="8" t="n">
        <v>15</v>
      </c>
      <c r="D16870" s="8" t="inlineStr">
        <is>
          <t>Disneyland Park</t>
        </is>
      </c>
      <c r="E16870" s="8" t="inlineStr">
        <is>
          <t>Le Passage Enchanté d'Aladdin</t>
        </is>
      </c>
      <c r="F16870" s="8" t="inlineStr">
        <is>
          <t>STANDBY</t>
        </is>
      </c>
      <c r="G16870" s="8" t="n">
        <v>0</v>
      </c>
      <c r="H16870" s="8" t="inlineStr">
        <is>
          <t>OPERATING</t>
        </is>
      </c>
    </row>
    <row r="16871">
      <c r="A16871" s="8" t="inlineStr">
        <is>
          <t>2026-08-03</t>
        </is>
      </c>
      <c r="B16871" s="8" t="n">
        <v>21</v>
      </c>
      <c r="C16871" s="8" t="n">
        <v>15</v>
      </c>
      <c r="D16871" s="8" t="inlineStr">
        <is>
          <t>Disneyland Park</t>
        </is>
      </c>
      <c r="E16871" s="8" t="inlineStr">
        <is>
          <t>Pirate Galleon</t>
        </is>
      </c>
      <c r="F16871" s="8" t="inlineStr">
        <is>
          <t>STANDBY</t>
        </is>
      </c>
      <c r="G16871" s="8" t="n">
        <v>0</v>
      </c>
      <c r="H16871" s="8" t="inlineStr">
        <is>
          <t>CLOSED</t>
        </is>
      </c>
    </row>
    <row r="16872">
      <c r="A16872" s="8" t="inlineStr">
        <is>
          <t>2026-08-03</t>
        </is>
      </c>
      <c r="B16872" s="8" t="n">
        <v>21</v>
      </c>
      <c r="C16872" s="8" t="n">
        <v>15</v>
      </c>
      <c r="D16872" s="8" t="inlineStr">
        <is>
          <t>Disneyland Park</t>
        </is>
      </c>
      <c r="E16872" s="8" t="inlineStr">
        <is>
          <t>Pirates of the Caribbean</t>
        </is>
      </c>
      <c r="F16872" s="8" t="inlineStr">
        <is>
          <t>STANDBY</t>
        </is>
      </c>
      <c r="G16872" s="8" t="n">
        <v>10</v>
      </c>
      <c r="H16872" s="8" t="inlineStr">
        <is>
          <t>OPERATING</t>
        </is>
      </c>
    </row>
    <row r="16873">
      <c r="A16873" s="8" t="inlineStr">
        <is>
          <t>2026-08-03</t>
        </is>
      </c>
      <c r="B16873" s="8" t="n">
        <v>21</v>
      </c>
      <c r="C16873" s="8" t="n">
        <v>15</v>
      </c>
      <c r="D16873" s="8" t="inlineStr">
        <is>
          <t>Disneyland Park</t>
        </is>
      </c>
      <c r="E16873" s="8" t="inlineStr">
        <is>
          <t>Pirates' Beach</t>
        </is>
      </c>
      <c r="F16873" s="8" t="inlineStr">
        <is>
          <t>STANDBY</t>
        </is>
      </c>
      <c r="G16873" s="8" t="n">
        <v>0</v>
      </c>
      <c r="H16873" s="8" t="inlineStr">
        <is>
          <t>OPERATING</t>
        </is>
      </c>
    </row>
    <row r="16874">
      <c r="A16874" s="8" t="inlineStr">
        <is>
          <t>2026-08-03</t>
        </is>
      </c>
      <c r="B16874" s="8" t="n">
        <v>21</v>
      </c>
      <c r="C16874" s="8" t="n">
        <v>15</v>
      </c>
      <c r="D16874" s="8" t="inlineStr">
        <is>
          <t>Disneyland Park</t>
        </is>
      </c>
      <c r="E16874" s="8" t="inlineStr">
        <is>
          <t>Autopia, presented by Avis</t>
        </is>
      </c>
      <c r="F16874" s="8" t="inlineStr">
        <is>
          <t>STANDBY</t>
        </is>
      </c>
      <c r="G16874" s="8" t="n">
        <v>50</v>
      </c>
      <c r="H16874" s="8" t="inlineStr">
        <is>
          <t>OPERATING</t>
        </is>
      </c>
    </row>
    <row r="16875">
      <c r="A16875" s="8" t="inlineStr">
        <is>
          <t>2026-08-03</t>
        </is>
      </c>
      <c r="B16875" s="8" t="n">
        <v>21</v>
      </c>
      <c r="C16875" s="8" t="n">
        <v>15</v>
      </c>
      <c r="D16875" s="8" t="inlineStr">
        <is>
          <t>Disneyland Park</t>
        </is>
      </c>
      <c r="E16875" s="8" t="inlineStr">
        <is>
          <t>Buzz Lightyear Laser Blast</t>
        </is>
      </c>
      <c r="F16875" s="8" t="inlineStr">
        <is>
          <t>STANDBY</t>
        </is>
      </c>
      <c r="G16875" s="8" t="n">
        <v>30</v>
      </c>
      <c r="H16875" s="8" t="inlineStr">
        <is>
          <t>OPERATING</t>
        </is>
      </c>
    </row>
    <row r="16876">
      <c r="A16876" s="8" t="inlineStr">
        <is>
          <t>2026-08-03</t>
        </is>
      </c>
      <c r="B16876" s="8" t="n">
        <v>21</v>
      </c>
      <c r="C16876" s="8" t="n">
        <v>15</v>
      </c>
      <c r="D16876" s="8" t="inlineStr">
        <is>
          <t>Disneyland Park</t>
        </is>
      </c>
      <c r="E16876" s="8" t="inlineStr">
        <is>
          <t>Disneyland Railroad Discoveryland Station</t>
        </is>
      </c>
      <c r="F16876" s="8" t="inlineStr">
        <is>
          <t>STANDBY</t>
        </is>
      </c>
      <c r="G16876" s="8" t="n">
        <v>0</v>
      </c>
      <c r="H16876" s="8" t="inlineStr">
        <is>
          <t>CLOSED</t>
        </is>
      </c>
    </row>
    <row r="16877">
      <c r="A16877" s="8" t="inlineStr">
        <is>
          <t>2026-08-03</t>
        </is>
      </c>
      <c r="B16877" s="8" t="n">
        <v>21</v>
      </c>
      <c r="C16877" s="8" t="n">
        <v>15</v>
      </c>
      <c r="D16877" s="8" t="inlineStr">
        <is>
          <t>Disneyland Park</t>
        </is>
      </c>
      <c r="E16877" s="8" t="inlineStr">
        <is>
          <t>Les Mystères du Nautilus</t>
        </is>
      </c>
      <c r="F16877" s="8" t="inlineStr">
        <is>
          <t>STANDBY</t>
        </is>
      </c>
      <c r="G16877" s="8" t="n">
        <v>5</v>
      </c>
      <c r="H16877" s="8" t="inlineStr">
        <is>
          <t>OPERATING</t>
        </is>
      </c>
    </row>
    <row r="16878">
      <c r="A16878" s="8" t="inlineStr">
        <is>
          <t>2026-08-03</t>
        </is>
      </c>
      <c r="B16878" s="8" t="n">
        <v>21</v>
      </c>
      <c r="C16878" s="8" t="n">
        <v>15</v>
      </c>
      <c r="D16878" s="8" t="inlineStr">
        <is>
          <t>Disneyland Park</t>
        </is>
      </c>
      <c r="E16878" s="8" t="inlineStr">
        <is>
          <t>Mickey’s PhilharMagic</t>
        </is>
      </c>
      <c r="F16878" s="8" t="inlineStr">
        <is>
          <t>STANDBY</t>
        </is>
      </c>
      <c r="G16878" s="8" t="n">
        <v>0</v>
      </c>
      <c r="H16878" s="8" t="inlineStr">
        <is>
          <t>CLOSED</t>
        </is>
      </c>
    </row>
    <row r="16879">
      <c r="A16879" s="8" t="inlineStr">
        <is>
          <t>2026-08-03</t>
        </is>
      </c>
      <c r="B16879" s="8" t="n">
        <v>21</v>
      </c>
      <c r="C16879" s="8" t="n">
        <v>15</v>
      </c>
      <c r="D16879" s="8" t="inlineStr">
        <is>
          <t>Disneyland Park</t>
        </is>
      </c>
      <c r="E16879" s="8" t="inlineStr">
        <is>
          <t>Orbitron®</t>
        </is>
      </c>
      <c r="F16879" s="8" t="inlineStr">
        <is>
          <t>STANDBY</t>
        </is>
      </c>
      <c r="G16879" s="8" t="n">
        <v>40</v>
      </c>
      <c r="H16879" s="8" t="inlineStr">
        <is>
          <t>OPERATING</t>
        </is>
      </c>
    </row>
    <row r="16880">
      <c r="A16880" s="8" t="inlineStr">
        <is>
          <t>2026-08-03</t>
        </is>
      </c>
      <c r="B16880" s="8" t="n">
        <v>21</v>
      </c>
      <c r="C16880" s="8" t="n">
        <v>15</v>
      </c>
      <c r="D16880" s="8" t="inlineStr">
        <is>
          <t>Disneyland Park</t>
        </is>
      </c>
      <c r="E16880" s="8" t="inlineStr">
        <is>
          <t>Star Tours: The Adventures Continue*</t>
        </is>
      </c>
      <c r="F16880" s="8" t="inlineStr">
        <is>
          <t>STANDBY</t>
        </is>
      </c>
      <c r="G16880" s="8" t="n">
        <v>5</v>
      </c>
      <c r="H16880" s="8" t="inlineStr">
        <is>
          <t>OPERATING</t>
        </is>
      </c>
    </row>
    <row r="16881">
      <c r="A16881" s="8" t="inlineStr">
        <is>
          <t>2026-08-03</t>
        </is>
      </c>
      <c r="B16881" s="8" t="n">
        <v>21</v>
      </c>
      <c r="C16881" s="8" t="n">
        <v>15</v>
      </c>
      <c r="D16881" s="8" t="inlineStr">
        <is>
          <t>Disneyland Park</t>
        </is>
      </c>
      <c r="E16881" s="8" t="inlineStr">
        <is>
          <t>Star Wars Hyperspace Mountain</t>
        </is>
      </c>
      <c r="F16881" s="8" t="inlineStr">
        <is>
          <t>STANDBY</t>
        </is>
      </c>
      <c r="G16881" s="8" t="n">
        <v>20</v>
      </c>
      <c r="H16881" s="8" t="inlineStr">
        <is>
          <t>OPERATING</t>
        </is>
      </c>
    </row>
    <row r="16882">
      <c r="A16882" s="8" t="inlineStr">
        <is>
          <t>2026-08-03</t>
        </is>
      </c>
      <c r="B16882" s="8" t="n">
        <v>21</v>
      </c>
      <c r="C16882" s="8" t="n">
        <v>15</v>
      </c>
      <c r="D16882" s="8" t="inlineStr">
        <is>
          <t>Disneyland Park</t>
        </is>
      </c>
      <c r="E16882" s="8" t="inlineStr">
        <is>
          <t>Star Wars Hyperspace Mountain Single Rider</t>
        </is>
      </c>
      <c r="F16882" s="8" t="inlineStr">
        <is>
          <t>STANDBY</t>
        </is>
      </c>
      <c r="G16882" s="8" t="n">
        <v>15</v>
      </c>
      <c r="H16882" s="8" t="inlineStr">
        <is>
          <t>OPERATING</t>
        </is>
      </c>
    </row>
    <row r="16883">
      <c r="A16883" s="8" t="inlineStr">
        <is>
          <t>2026-08-03</t>
        </is>
      </c>
      <c r="B16883" s="8" t="n">
        <v>21</v>
      </c>
      <c r="C16883" s="8" t="n">
        <v>15</v>
      </c>
      <c r="D16883" s="8" t="inlineStr">
        <is>
          <t>Disneyland Park</t>
        </is>
      </c>
      <c r="E16883" s="8" t="inlineStr">
        <is>
          <t>Welcome to Starport: A Star Wars Encounter</t>
        </is>
      </c>
      <c r="F16883" s="8" t="inlineStr">
        <is>
          <t>STANDBY</t>
        </is>
      </c>
      <c r="G16883" s="8" t="n">
        <v>0</v>
      </c>
      <c r="H16883" s="8" t="inlineStr">
        <is>
          <t>CLOSED</t>
        </is>
      </c>
    </row>
    <row r="16884">
      <c r="A16884" s="8" t="inlineStr">
        <is>
          <t>2026-08-03</t>
        </is>
      </c>
      <c r="B16884" s="8" t="n">
        <v>21</v>
      </c>
      <c r="C16884" s="8" t="n">
        <v>15</v>
      </c>
      <c r="D16884" s="8" t="inlineStr">
        <is>
          <t>Disneyland Park</t>
        </is>
      </c>
      <c r="E16884" s="8" t="inlineStr">
        <is>
          <t>"it's a small world"</t>
        </is>
      </c>
      <c r="F16884" s="8" t="inlineStr">
        <is>
          <t>STANDBY</t>
        </is>
      </c>
      <c r="G16884" s="8" t="n">
        <v>5</v>
      </c>
      <c r="H16884" s="8" t="inlineStr">
        <is>
          <t>OPERATING</t>
        </is>
      </c>
    </row>
    <row r="16885">
      <c r="A16885" s="8" t="inlineStr">
        <is>
          <t>2026-08-03</t>
        </is>
      </c>
      <c r="B16885" s="8" t="n">
        <v>21</v>
      </c>
      <c r="C16885" s="8" t="n">
        <v>15</v>
      </c>
      <c r="D16885" s="8" t="inlineStr">
        <is>
          <t>Disneyland Park</t>
        </is>
      </c>
      <c r="E16885" s="8" t="inlineStr">
        <is>
          <t>Alice's Curious Labyrinth</t>
        </is>
      </c>
      <c r="F16885" s="8" t="inlineStr">
        <is>
          <t>STANDBY</t>
        </is>
      </c>
      <c r="G16885" s="8" t="n">
        <v>0</v>
      </c>
      <c r="H16885" s="8" t="inlineStr">
        <is>
          <t>CLOSED</t>
        </is>
      </c>
    </row>
    <row r="16886">
      <c r="A16886" s="8" t="inlineStr">
        <is>
          <t>2026-08-03</t>
        </is>
      </c>
      <c r="B16886" s="8" t="n">
        <v>21</v>
      </c>
      <c r="C16886" s="8" t="n">
        <v>15</v>
      </c>
      <c r="D16886" s="8" t="inlineStr">
        <is>
          <t>Disneyland Park</t>
        </is>
      </c>
      <c r="E16886" s="8" t="inlineStr">
        <is>
          <t>Blanche-Neige et les Sept Nains®</t>
        </is>
      </c>
      <c r="F16886" s="8" t="inlineStr">
        <is>
          <t>STANDBY</t>
        </is>
      </c>
      <c r="G16886" s="8" t="n">
        <v>15</v>
      </c>
      <c r="H16886" s="8" t="inlineStr">
        <is>
          <t>OPERATING</t>
        </is>
      </c>
    </row>
    <row r="16887">
      <c r="A16887" s="8" t="inlineStr">
        <is>
          <t>2026-08-03</t>
        </is>
      </c>
      <c r="B16887" s="8" t="n">
        <v>21</v>
      </c>
      <c r="C16887" s="8" t="n">
        <v>15</v>
      </c>
      <c r="D16887" s="8" t="inlineStr">
        <is>
          <t>Disneyland Park</t>
        </is>
      </c>
      <c r="E16887" s="8" t="inlineStr">
        <is>
          <t>Casey Jr. – le Petit Train du Cirque</t>
        </is>
      </c>
      <c r="F16887" s="8" t="inlineStr">
        <is>
          <t>STANDBY</t>
        </is>
      </c>
      <c r="G16887" s="8" t="n">
        <v>0</v>
      </c>
      <c r="H16887" s="8" t="inlineStr">
        <is>
          <t>CLOSED</t>
        </is>
      </c>
    </row>
    <row r="16888">
      <c r="A16888" s="8" t="inlineStr">
        <is>
          <t>2026-08-03</t>
        </is>
      </c>
      <c r="B16888" s="8" t="n">
        <v>21</v>
      </c>
      <c r="C16888" s="8" t="n">
        <v>15</v>
      </c>
      <c r="D16888" s="8" t="inlineStr">
        <is>
          <t>Disneyland Park</t>
        </is>
      </c>
      <c r="E16888" s="8" t="inlineStr">
        <is>
          <t>Disneyland Railroad Fantasyland Station</t>
        </is>
      </c>
      <c r="F16888" s="8" t="inlineStr">
        <is>
          <t>STANDBY</t>
        </is>
      </c>
      <c r="G16888" s="8" t="n">
        <v>0</v>
      </c>
      <c r="H16888" s="8" t="inlineStr">
        <is>
          <t>CLOSED</t>
        </is>
      </c>
    </row>
    <row r="16889">
      <c r="A16889" s="8" t="inlineStr">
        <is>
          <t>2026-08-03</t>
        </is>
      </c>
      <c r="B16889" s="8" t="n">
        <v>21</v>
      </c>
      <c r="C16889" s="8" t="n">
        <v>15</v>
      </c>
      <c r="D16889" s="8" t="inlineStr">
        <is>
          <t>Disneyland Park</t>
        </is>
      </c>
      <c r="E16889" s="8" t="inlineStr">
        <is>
          <t>Disneyland Railroad Main Street Station</t>
        </is>
      </c>
      <c r="F16889" s="8" t="inlineStr">
        <is>
          <t>STANDBY</t>
        </is>
      </c>
      <c r="G16889" s="8" t="n">
        <v>0</v>
      </c>
      <c r="H16889" s="8" t="inlineStr">
        <is>
          <t>CLOSED</t>
        </is>
      </c>
    </row>
    <row r="16890">
      <c r="A16890" s="8" t="inlineStr">
        <is>
          <t>2026-08-03</t>
        </is>
      </c>
      <c r="B16890" s="8" t="n">
        <v>21</v>
      </c>
      <c r="C16890" s="8" t="n">
        <v>15</v>
      </c>
      <c r="D16890" s="8" t="inlineStr">
        <is>
          <t>Disneyland Park</t>
        </is>
      </c>
      <c r="E16890" s="8" t="inlineStr">
        <is>
          <t>Dumbo the Flying Elephant</t>
        </is>
      </c>
      <c r="F16890" s="8" t="inlineStr">
        <is>
          <t>STANDBY</t>
        </is>
      </c>
      <c r="G16890" s="8" t="n">
        <v>25</v>
      </c>
      <c r="H16890" s="8" t="inlineStr">
        <is>
          <t>OPERATING</t>
        </is>
      </c>
    </row>
    <row r="16891">
      <c r="A16891" s="8" t="inlineStr">
        <is>
          <t>2026-08-03</t>
        </is>
      </c>
      <c r="B16891" s="8" t="n">
        <v>21</v>
      </c>
      <c r="C16891" s="8" t="n">
        <v>15</v>
      </c>
      <c r="D16891" s="8" t="inlineStr">
        <is>
          <t>Disneyland Park</t>
        </is>
      </c>
      <c r="E16891" s="8" t="inlineStr">
        <is>
          <t>La Tanière du Dragon</t>
        </is>
      </c>
      <c r="F16891" s="8" t="inlineStr">
        <is>
          <t>STANDBY</t>
        </is>
      </c>
      <c r="G16891" s="8" t="n">
        <v>0</v>
      </c>
      <c r="H16891" s="8" t="inlineStr">
        <is>
          <t>CLOSED</t>
        </is>
      </c>
    </row>
    <row r="16892">
      <c r="A16892" s="8" t="inlineStr">
        <is>
          <t>2026-08-03</t>
        </is>
      </c>
      <c r="B16892" s="8" t="n">
        <v>21</v>
      </c>
      <c r="C16892" s="8" t="n">
        <v>15</v>
      </c>
      <c r="D16892" s="8" t="inlineStr">
        <is>
          <t>Disneyland Park</t>
        </is>
      </c>
      <c r="E16892" s="8" t="inlineStr">
        <is>
          <t>Le Carrousel de Lancelot</t>
        </is>
      </c>
      <c r="F16892" s="8" t="inlineStr">
        <is>
          <t>STANDBY</t>
        </is>
      </c>
      <c r="G16892" s="8" t="n">
        <v>10</v>
      </c>
      <c r="H16892" s="8" t="inlineStr">
        <is>
          <t>OPERATING</t>
        </is>
      </c>
    </row>
    <row r="16893">
      <c r="A16893" s="8" t="inlineStr">
        <is>
          <t>2026-08-03</t>
        </is>
      </c>
      <c r="B16893" s="8" t="n">
        <v>21</v>
      </c>
      <c r="C16893" s="8" t="n">
        <v>15</v>
      </c>
      <c r="D16893" s="8" t="inlineStr">
        <is>
          <t>Disneyland Park</t>
        </is>
      </c>
      <c r="E16893" s="8" t="inlineStr">
        <is>
          <t>Le Pays des Contes de Fées, presented by Vittel</t>
        </is>
      </c>
      <c r="F16893" s="8" t="inlineStr">
        <is>
          <t>STANDBY</t>
        </is>
      </c>
      <c r="G16893" s="8" t="n">
        <v>0</v>
      </c>
      <c r="H16893" s="8" t="inlineStr">
        <is>
          <t>CLOSED</t>
        </is>
      </c>
    </row>
    <row r="16894">
      <c r="A16894" s="8" t="inlineStr">
        <is>
          <t>2026-08-03</t>
        </is>
      </c>
      <c r="B16894" s="8" t="n">
        <v>21</v>
      </c>
      <c r="C16894" s="8" t="n">
        <v>15</v>
      </c>
      <c r="D16894" s="8" t="inlineStr">
        <is>
          <t>Disneyland Park</t>
        </is>
      </c>
      <c r="E16894" s="8" t="inlineStr">
        <is>
          <t>Les Voyages de Pinocchio</t>
        </is>
      </c>
      <c r="F16894" s="8" t="inlineStr">
        <is>
          <t>STANDBY</t>
        </is>
      </c>
      <c r="G16894" s="8" t="n">
        <v>15</v>
      </c>
      <c r="H16894" s="8" t="inlineStr">
        <is>
          <t>OPERATING</t>
        </is>
      </c>
    </row>
    <row r="16895">
      <c r="A16895" s="8" t="inlineStr">
        <is>
          <t>2026-08-03</t>
        </is>
      </c>
      <c r="B16895" s="8" t="n">
        <v>21</v>
      </c>
      <c r="C16895" s="8" t="n">
        <v>15</v>
      </c>
      <c r="D16895" s="8" t="inlineStr">
        <is>
          <t>Disneyland Park</t>
        </is>
      </c>
      <c r="E16895" s="8" t="inlineStr">
        <is>
          <t>Mad Hatter's Tea Cups</t>
        </is>
      </c>
      <c r="F16895" s="8" t="inlineStr">
        <is>
          <t>STANDBY</t>
        </is>
      </c>
      <c r="G16895" s="8" t="n">
        <v>5</v>
      </c>
      <c r="H16895" s="8" t="inlineStr">
        <is>
          <t>OPERATING</t>
        </is>
      </c>
    </row>
    <row r="16896">
      <c r="A16896" s="8" t="inlineStr">
        <is>
          <t>2026-08-03</t>
        </is>
      </c>
      <c r="B16896" s="8" t="n">
        <v>21</v>
      </c>
      <c r="C16896" s="8" t="n">
        <v>15</v>
      </c>
      <c r="D16896" s="8" t="inlineStr">
        <is>
          <t>Disneyland Park</t>
        </is>
      </c>
      <c r="E16896" s="8" t="inlineStr">
        <is>
          <t>Meet Mickey Mouse</t>
        </is>
      </c>
      <c r="F16896" s="8" t="inlineStr">
        <is>
          <t>STANDBY</t>
        </is>
      </c>
      <c r="G16896" s="8" t="n">
        <v>0</v>
      </c>
      <c r="H16896" s="8" t="inlineStr">
        <is>
          <t>CLOSED</t>
        </is>
      </c>
    </row>
    <row r="16897">
      <c r="A16897" s="8" t="inlineStr">
        <is>
          <t>2026-08-03</t>
        </is>
      </c>
      <c r="B16897" s="8" t="n">
        <v>21</v>
      </c>
      <c r="C16897" s="8" t="n">
        <v>15</v>
      </c>
      <c r="D16897" s="8" t="inlineStr">
        <is>
          <t>Disneyland Park</t>
        </is>
      </c>
      <c r="E16897" s="8" t="inlineStr">
        <is>
          <t>Peter Pan's Flight</t>
        </is>
      </c>
      <c r="F16897" s="8" t="inlineStr">
        <is>
          <t>STANDBY</t>
        </is>
      </c>
      <c r="G16897" s="8" t="n">
        <v>40</v>
      </c>
      <c r="H16897" s="8" t="inlineStr">
        <is>
          <t>OPERATING</t>
        </is>
      </c>
    </row>
    <row r="16898">
      <c r="A16898" s="8" t="inlineStr">
        <is>
          <t>2026-08-03</t>
        </is>
      </c>
      <c r="B16898" s="8" t="n">
        <v>21</v>
      </c>
      <c r="C16898" s="8" t="n">
        <v>15</v>
      </c>
      <c r="D16898" s="8" t="inlineStr">
        <is>
          <t>Disneyland Park</t>
        </is>
      </c>
      <c r="E16898" s="8" t="inlineStr">
        <is>
          <t>Princess Pavilion</t>
        </is>
      </c>
      <c r="F16898" s="8" t="inlineStr">
        <is>
          <t>STANDBY</t>
        </is>
      </c>
      <c r="G16898" s="8" t="n">
        <v>0</v>
      </c>
      <c r="H16898" s="8" t="inlineStr">
        <is>
          <t>CLOSED</t>
        </is>
      </c>
    </row>
    <row r="16899">
      <c r="A16899" s="8" t="inlineStr">
        <is>
          <t>2026-08-03</t>
        </is>
      </c>
      <c r="B16899" s="8" t="n">
        <v>21</v>
      </c>
      <c r="C16899" s="8" t="n">
        <v>15</v>
      </c>
      <c r="D16899" s="8" t="inlineStr">
        <is>
          <t>Disneyland Park</t>
        </is>
      </c>
      <c r="E16899" s="8" t="inlineStr">
        <is>
          <t>Big Thunder Mountain</t>
        </is>
      </c>
      <c r="F16899" s="8" t="inlineStr">
        <is>
          <t>STANDBY</t>
        </is>
      </c>
      <c r="G16899" s="8" t="n">
        <v>55</v>
      </c>
      <c r="H16899" s="8" t="inlineStr">
        <is>
          <t>OPERATING</t>
        </is>
      </c>
    </row>
    <row r="16900">
      <c r="A16900" s="8" t="inlineStr">
        <is>
          <t>2026-08-03</t>
        </is>
      </c>
      <c r="B16900" s="8" t="n">
        <v>21</v>
      </c>
      <c r="C16900" s="8" t="n">
        <v>15</v>
      </c>
      <c r="D16900" s="8" t="inlineStr">
        <is>
          <t>Disneyland Park</t>
        </is>
      </c>
      <c r="E16900" s="8" t="inlineStr">
        <is>
          <t>Disneyland Railroad Frontierland Depot</t>
        </is>
      </c>
      <c r="F16900" s="8" t="inlineStr">
        <is>
          <t>STANDBY</t>
        </is>
      </c>
      <c r="G16900" s="8" t="n">
        <v>0</v>
      </c>
      <c r="H16900" s="8" t="inlineStr">
        <is>
          <t>CLOSED</t>
        </is>
      </c>
    </row>
    <row r="16901">
      <c r="A16901" s="8" t="inlineStr">
        <is>
          <t>2026-08-03</t>
        </is>
      </c>
      <c r="B16901" s="8" t="n">
        <v>21</v>
      </c>
      <c r="C16901" s="8" t="n">
        <v>15</v>
      </c>
      <c r="D16901" s="8" t="inlineStr">
        <is>
          <t>Disneyland Park</t>
        </is>
      </c>
      <c r="E16901" s="8" t="inlineStr">
        <is>
          <t>Frontierland Playground</t>
        </is>
      </c>
      <c r="F16901" s="8" t="inlineStr">
        <is>
          <t>STANDBY</t>
        </is>
      </c>
      <c r="G16901" s="8" t="n">
        <v>0</v>
      </c>
      <c r="H16901" s="8" t="inlineStr">
        <is>
          <t>CLOSED</t>
        </is>
      </c>
    </row>
    <row r="16902">
      <c r="A16902" s="8" t="inlineStr">
        <is>
          <t>2026-08-03</t>
        </is>
      </c>
      <c r="B16902" s="8" t="n">
        <v>21</v>
      </c>
      <c r="C16902" s="8" t="n">
        <v>15</v>
      </c>
      <c r="D16902" s="8" t="inlineStr">
        <is>
          <t>Disneyland Park</t>
        </is>
      </c>
      <c r="E16902" s="8" t="inlineStr">
        <is>
          <t>Phantom Manor</t>
        </is>
      </c>
      <c r="F16902" s="8" t="inlineStr">
        <is>
          <t>STANDBY</t>
        </is>
      </c>
      <c r="G16902" s="8" t="n">
        <v>5</v>
      </c>
      <c r="H16902" s="8" t="inlineStr">
        <is>
          <t>OPERATING</t>
        </is>
      </c>
    </row>
    <row r="16903">
      <c r="A16903" s="8" t="inlineStr">
        <is>
          <t>2026-08-03</t>
        </is>
      </c>
      <c r="B16903" s="8" t="n">
        <v>21</v>
      </c>
      <c r="C16903" s="8" t="n">
        <v>15</v>
      </c>
      <c r="D16903" s="8" t="inlineStr">
        <is>
          <t>Disneyland Park</t>
        </is>
      </c>
      <c r="E16903" s="8" t="inlineStr">
        <is>
          <t>River Rogue Keelboats</t>
        </is>
      </c>
      <c r="F16903" s="8" t="inlineStr">
        <is>
          <t>STANDBY</t>
        </is>
      </c>
      <c r="G16903" s="8" t="n">
        <v>0</v>
      </c>
      <c r="H16903" s="8" t="inlineStr">
        <is>
          <t>CLOSED</t>
        </is>
      </c>
    </row>
    <row r="16904">
      <c r="A16904" s="8" t="inlineStr">
        <is>
          <t>2026-08-03</t>
        </is>
      </c>
      <c r="B16904" s="8" t="n">
        <v>21</v>
      </c>
      <c r="C16904" s="8" t="n">
        <v>15</v>
      </c>
      <c r="D16904" s="8" t="inlineStr">
        <is>
          <t>Disneyland Park</t>
        </is>
      </c>
      <c r="E16904" s="8" t="inlineStr">
        <is>
          <t>Rustler Roundup Shootin' Gallery</t>
        </is>
      </c>
      <c r="F16904" s="8" t="inlineStr">
        <is>
          <t>STANDBY</t>
        </is>
      </c>
      <c r="G16904" s="8" t="n">
        <v>0</v>
      </c>
      <c r="H16904" s="8" t="inlineStr">
        <is>
          <t>OPERATING</t>
        </is>
      </c>
    </row>
    <row r="16905">
      <c r="A16905" s="8" t="inlineStr">
        <is>
          <t>2026-08-03</t>
        </is>
      </c>
      <c r="B16905" s="8" t="n">
        <v>21</v>
      </c>
      <c r="C16905" s="8" t="n">
        <v>15</v>
      </c>
      <c r="D16905" s="8" t="inlineStr">
        <is>
          <t>Disneyland Park</t>
        </is>
      </c>
      <c r="E16905" s="8" t="inlineStr">
        <is>
          <t>Thunder Mesa Riverboat Landing</t>
        </is>
      </c>
      <c r="F16905" s="8" t="inlineStr">
        <is>
          <t>STANDBY</t>
        </is>
      </c>
      <c r="G16905" s="8" t="n">
        <v>0</v>
      </c>
      <c r="H16905" s="8" t="inlineStr">
        <is>
          <t>CLOSED</t>
        </is>
      </c>
    </row>
    <row r="16906">
      <c r="A16906" s="8" t="inlineStr">
        <is>
          <t>2026-08-03</t>
        </is>
      </c>
      <c r="B16906" s="8" t="n">
        <v>21</v>
      </c>
      <c r="C16906" s="8" t="n">
        <v>15</v>
      </c>
      <c r="D16906" s="8" t="inlineStr">
        <is>
          <t>Disneyland Park</t>
        </is>
      </c>
      <c r="E16906" s="8" t="inlineStr">
        <is>
          <t>Disneyland Railroad Main Street Station</t>
        </is>
      </c>
      <c r="F16906" s="8" t="inlineStr">
        <is>
          <t>STANDBY</t>
        </is>
      </c>
      <c r="G16906" s="8" t="n">
        <v>0</v>
      </c>
      <c r="H16906" s="8" t="inlineStr">
        <is>
          <t>CLOSED</t>
        </is>
      </c>
    </row>
    <row r="16907">
      <c r="A16907" s="8" t="inlineStr">
        <is>
          <t>2026-08-03</t>
        </is>
      </c>
      <c r="B16907" s="8" t="n">
        <v>21</v>
      </c>
      <c r="C16907" s="8" t="n">
        <v>15</v>
      </c>
      <c r="D16907" s="8" t="inlineStr">
        <is>
          <t>Disneyland Park</t>
        </is>
      </c>
      <c r="E16907" s="8" t="inlineStr">
        <is>
          <t>Main Street Vehicles</t>
        </is>
      </c>
      <c r="F16907" s="8" t="inlineStr">
        <is>
          <t>STANDBY</t>
        </is>
      </c>
      <c r="G16907" s="8" t="n">
        <v>0</v>
      </c>
      <c r="H16907" s="8" t="inlineStr">
        <is>
          <t>CLOSED</t>
        </is>
      </c>
    </row>
    <row r="16908">
      <c r="A16908" s="8" t="inlineStr">
        <is>
          <t>2026-08-03</t>
        </is>
      </c>
      <c r="B16908" s="8" t="n">
        <v>21</v>
      </c>
      <c r="C16908" s="8" t="n">
        <v>15</v>
      </c>
      <c r="D16908" s="8" t="inlineStr">
        <is>
          <t>Disney Adventure World</t>
        </is>
      </c>
      <c r="E16908" s="8" t="inlineStr">
        <is>
          <t>Avengers Assemble: Flight Force</t>
        </is>
      </c>
      <c r="F16908" s="8" t="inlineStr">
        <is>
          <t>STANDBY</t>
        </is>
      </c>
      <c r="G16908" s="8" t="n">
        <v>5</v>
      </c>
      <c r="H16908" s="8" t="inlineStr">
        <is>
          <t>OPERATING</t>
        </is>
      </c>
    </row>
    <row r="16909">
      <c r="A16909" s="8" t="inlineStr">
        <is>
          <t>2026-08-03</t>
        </is>
      </c>
      <c r="B16909" s="8" t="n">
        <v>21</v>
      </c>
      <c r="C16909" s="8" t="n">
        <v>15</v>
      </c>
      <c r="D16909" s="8" t="inlineStr">
        <is>
          <t>Disney Adventure World</t>
        </is>
      </c>
      <c r="E16909" s="8" t="inlineStr">
        <is>
          <t>Avengers Assemble: Flight Force Single Rider</t>
        </is>
      </c>
      <c r="F16909" s="8" t="inlineStr">
        <is>
          <t>STANDBY</t>
        </is>
      </c>
      <c r="G16909" s="8" t="n">
        <v>5</v>
      </c>
      <c r="H16909" s="8" t="inlineStr">
        <is>
          <t>OPERATING</t>
        </is>
      </c>
    </row>
    <row r="16910">
      <c r="A16910" s="8" t="inlineStr">
        <is>
          <t>2026-08-03</t>
        </is>
      </c>
      <c r="B16910" s="8" t="n">
        <v>21</v>
      </c>
      <c r="C16910" s="8" t="n">
        <v>15</v>
      </c>
      <c r="D16910" s="8" t="inlineStr">
        <is>
          <t>Disney Adventure World</t>
        </is>
      </c>
      <c r="E16910" s="8" t="inlineStr">
        <is>
          <t>Spider-Man W.E.B. Adventure</t>
        </is>
      </c>
      <c r="F16910" s="8" t="inlineStr">
        <is>
          <t>STANDBY</t>
        </is>
      </c>
      <c r="G16910" s="8" t="n">
        <v>20</v>
      </c>
      <c r="H16910" s="8" t="inlineStr">
        <is>
          <t>OPERATING</t>
        </is>
      </c>
    </row>
    <row r="16911">
      <c r="A16911" s="8" t="inlineStr">
        <is>
          <t>2026-08-03</t>
        </is>
      </c>
      <c r="B16911" s="8" t="n">
        <v>21</v>
      </c>
      <c r="C16911" s="8" t="n">
        <v>15</v>
      </c>
      <c r="D16911" s="8" t="inlineStr">
        <is>
          <t>Disney Adventure World</t>
        </is>
      </c>
      <c r="E16911" s="8" t="inlineStr">
        <is>
          <t>Spider-Man W.E.B. Adventure Single Rider</t>
        </is>
      </c>
      <c r="F16911" s="8" t="inlineStr">
        <is>
          <t>STANDBY</t>
        </is>
      </c>
      <c r="G16911" s="8" t="n">
        <v>15</v>
      </c>
      <c r="H16911" s="8" t="inlineStr">
        <is>
          <t>OPERATING</t>
        </is>
      </c>
    </row>
    <row r="16912">
      <c r="A16912" s="8" t="inlineStr">
        <is>
          <t>2026-08-03</t>
        </is>
      </c>
      <c r="B16912" s="8" t="n">
        <v>21</v>
      </c>
      <c r="C16912" s="8" t="n">
        <v>15</v>
      </c>
      <c r="D16912" s="8" t="inlineStr">
        <is>
          <t>Disney Adventure World</t>
        </is>
      </c>
      <c r="E16912" s="8" t="inlineStr">
        <is>
          <t>The Twilight Zone Tower of Terror</t>
        </is>
      </c>
      <c r="F16912" s="8" t="inlineStr">
        <is>
          <t>STANDBY</t>
        </is>
      </c>
      <c r="G16912" s="8" t="n">
        <v>5</v>
      </c>
      <c r="H16912" s="8" t="inlineStr">
        <is>
          <t>OPERATING</t>
        </is>
      </c>
    </row>
    <row r="16913">
      <c r="A16913" s="8" t="inlineStr">
        <is>
          <t>2026-08-03</t>
        </is>
      </c>
      <c r="B16913" s="8" t="n">
        <v>21</v>
      </c>
      <c r="C16913" s="8" t="n">
        <v>15</v>
      </c>
      <c r="D16913" s="8" t="inlineStr">
        <is>
          <t>Disney Adventure World</t>
        </is>
      </c>
      <c r="E16913" s="8" t="inlineStr">
        <is>
          <t>Cars Quatre Roues Rallye</t>
        </is>
      </c>
      <c r="F16913" s="8" t="inlineStr">
        <is>
          <t>STANDBY</t>
        </is>
      </c>
      <c r="G16913" s="8" t="n">
        <v>5</v>
      </c>
      <c r="H16913" s="8" t="inlineStr">
        <is>
          <t>OPERATING</t>
        </is>
      </c>
    </row>
    <row r="16914">
      <c r="A16914" s="8" t="inlineStr">
        <is>
          <t>2026-08-03</t>
        </is>
      </c>
      <c r="B16914" s="8" t="n">
        <v>21</v>
      </c>
      <c r="C16914" s="8" t="n">
        <v>15</v>
      </c>
      <c r="D16914" s="8" t="inlineStr">
        <is>
          <t>Disney Adventure World</t>
        </is>
      </c>
      <c r="E16914" s="8" t="inlineStr">
        <is>
          <t>Cars ROAD TRIP</t>
        </is>
      </c>
      <c r="F16914" s="8" t="inlineStr">
        <is>
          <t>STANDBY</t>
        </is>
      </c>
      <c r="G16914" s="8" t="n">
        <v>0</v>
      </c>
      <c r="H16914" s="8" t="inlineStr">
        <is>
          <t>CLOSED</t>
        </is>
      </c>
    </row>
    <row r="16915">
      <c r="A16915" s="8" t="inlineStr">
        <is>
          <t>2026-08-03</t>
        </is>
      </c>
      <c r="B16915" s="8" t="n">
        <v>21</v>
      </c>
      <c r="C16915" s="8" t="n">
        <v>15</v>
      </c>
      <c r="D16915" s="8" t="inlineStr">
        <is>
          <t>Disney Adventure World</t>
        </is>
      </c>
      <c r="E16915" s="8" t="inlineStr">
        <is>
          <t>Crush's Coaster</t>
        </is>
      </c>
      <c r="F16915" s="8" t="inlineStr">
        <is>
          <t>STANDBY</t>
        </is>
      </c>
      <c r="G16915" s="8" t="n">
        <v>50</v>
      </c>
      <c r="H16915" s="8" t="inlineStr">
        <is>
          <t>OPERATING</t>
        </is>
      </c>
    </row>
    <row r="16916">
      <c r="A16916" s="8" t="inlineStr">
        <is>
          <t>2026-08-03</t>
        </is>
      </c>
      <c r="B16916" s="8" t="n">
        <v>21</v>
      </c>
      <c r="C16916" s="8" t="n">
        <v>15</v>
      </c>
      <c r="D16916" s="8" t="inlineStr">
        <is>
          <t>Disney Adventure World</t>
        </is>
      </c>
      <c r="E16916" s="8" t="inlineStr">
        <is>
          <t>Crush's Coaster Single Rider</t>
        </is>
      </c>
      <c r="F16916" s="8" t="inlineStr">
        <is>
          <t>STANDBY</t>
        </is>
      </c>
      <c r="G16916" s="8" t="n">
        <v>35</v>
      </c>
      <c r="H16916" s="8" t="inlineStr">
        <is>
          <t>OPERATING</t>
        </is>
      </c>
    </row>
    <row r="16917">
      <c r="A16917" s="8" t="inlineStr">
        <is>
          <t>2026-08-03</t>
        </is>
      </c>
      <c r="B16917" s="8" t="n">
        <v>21</v>
      </c>
      <c r="C16917" s="8" t="n">
        <v>15</v>
      </c>
      <c r="D16917" s="8" t="inlineStr">
        <is>
          <t>Disney Adventure World</t>
        </is>
      </c>
      <c r="E16917" s="8" t="inlineStr">
        <is>
          <t>Les Tapis Volants - Flying Carpets Over Agrabah®</t>
        </is>
      </c>
      <c r="F16917" s="8" t="inlineStr">
        <is>
          <t>STANDBY</t>
        </is>
      </c>
      <c r="G16917" s="8" t="n">
        <v>5</v>
      </c>
      <c r="H16917" s="8" t="inlineStr">
        <is>
          <t>OPERATING</t>
        </is>
      </c>
    </row>
    <row r="16918">
      <c r="A16918" s="8" t="inlineStr">
        <is>
          <t>2026-08-03</t>
        </is>
      </c>
      <c r="B16918" s="8" t="n">
        <v>21</v>
      </c>
      <c r="C16918" s="8" t="n">
        <v>15</v>
      </c>
      <c r="D16918" s="8" t="inlineStr">
        <is>
          <t>Disney Adventure World</t>
        </is>
      </c>
      <c r="E16918" s="8" t="inlineStr">
        <is>
          <t>Ratatouille : L’Aventure Totalement Toquée de Rémy​</t>
        </is>
      </c>
      <c r="F16918" s="8" t="inlineStr">
        <is>
          <t>STANDBY</t>
        </is>
      </c>
      <c r="G16918" s="8" t="n">
        <v>40</v>
      </c>
      <c r="H16918" s="8" t="inlineStr">
        <is>
          <t>OPERATING</t>
        </is>
      </c>
    </row>
    <row r="16919">
      <c r="A16919" s="8" t="inlineStr">
        <is>
          <t>2026-08-03</t>
        </is>
      </c>
      <c r="B16919" s="8" t="n">
        <v>21</v>
      </c>
      <c r="C16919" s="8" t="n">
        <v>15</v>
      </c>
      <c r="D16919" s="8" t="inlineStr">
        <is>
          <t>Disney Adventure World</t>
        </is>
      </c>
      <c r="E16919" s="8" t="inlineStr">
        <is>
          <t>Ratatouille: The Adventure Single Rider</t>
        </is>
      </c>
      <c r="F16919" s="8" t="inlineStr">
        <is>
          <t>STANDBY</t>
        </is>
      </c>
      <c r="G16919" s="8" t="n">
        <v>10</v>
      </c>
      <c r="H16919" s="8" t="inlineStr">
        <is>
          <t>OPERATING</t>
        </is>
      </c>
    </row>
    <row r="16920">
      <c r="A16920" s="8" t="inlineStr">
        <is>
          <t>2026-08-03</t>
        </is>
      </c>
      <c r="B16920" s="8" t="n">
        <v>21</v>
      </c>
      <c r="C16920" s="8" t="n">
        <v>15</v>
      </c>
      <c r="D16920" s="8" t="inlineStr">
        <is>
          <t>Disney Adventure World</t>
        </is>
      </c>
      <c r="E16920" s="8" t="inlineStr">
        <is>
          <t>RC Racer</t>
        </is>
      </c>
      <c r="F16920" s="8" t="inlineStr">
        <is>
          <t>STANDBY</t>
        </is>
      </c>
      <c r="G16920" s="8" t="n">
        <v>20</v>
      </c>
      <c r="H16920" s="8" t="inlineStr">
        <is>
          <t>OPERATING</t>
        </is>
      </c>
    </row>
    <row r="16921">
      <c r="A16921" s="8" t="inlineStr">
        <is>
          <t>2026-08-03</t>
        </is>
      </c>
      <c r="B16921" s="8" t="n">
        <v>21</v>
      </c>
      <c r="C16921" s="8" t="n">
        <v>15</v>
      </c>
      <c r="D16921" s="8" t="inlineStr">
        <is>
          <t>Disney Adventure World</t>
        </is>
      </c>
      <c r="E16921" s="8" t="inlineStr">
        <is>
          <t>RC Racer Single Rider</t>
        </is>
      </c>
      <c r="F16921" s="8" t="inlineStr">
        <is>
          <t>STANDBY</t>
        </is>
      </c>
      <c r="G16921" s="8" t="n">
        <v>10</v>
      </c>
      <c r="H16921" s="8" t="inlineStr">
        <is>
          <t>OPERATING</t>
        </is>
      </c>
    </row>
    <row r="16922">
      <c r="A16922" s="8" t="inlineStr">
        <is>
          <t>2026-08-03</t>
        </is>
      </c>
      <c r="B16922" s="8" t="n">
        <v>21</v>
      </c>
      <c r="C16922" s="8" t="n">
        <v>15</v>
      </c>
      <c r="D16922" s="8" t="inlineStr">
        <is>
          <t>Disney Adventure World</t>
        </is>
      </c>
      <c r="E16922" s="8" t="inlineStr">
        <is>
          <t>Slinky® Dog Zigzag Spin</t>
        </is>
      </c>
      <c r="F16922" s="8" t="inlineStr">
        <is>
          <t>STANDBY</t>
        </is>
      </c>
      <c r="G16922" s="8" t="n">
        <v>5</v>
      </c>
      <c r="H16922" s="8" t="inlineStr">
        <is>
          <t>OPERATING</t>
        </is>
      </c>
    </row>
    <row r="16923">
      <c r="A16923" s="8" t="inlineStr">
        <is>
          <t>2026-08-03</t>
        </is>
      </c>
      <c r="B16923" s="8" t="n">
        <v>21</v>
      </c>
      <c r="C16923" s="8" t="n">
        <v>15</v>
      </c>
      <c r="D16923" s="8" t="inlineStr">
        <is>
          <t>Disney Adventure World</t>
        </is>
      </c>
      <c r="E16923" s="8" t="inlineStr">
        <is>
          <t>Toy Soldiers Parachute Drop</t>
        </is>
      </c>
      <c r="F16923" s="8" t="inlineStr">
        <is>
          <t>STANDBY</t>
        </is>
      </c>
      <c r="G16923" s="8" t="n">
        <v>30</v>
      </c>
      <c r="H16923" s="8" t="inlineStr">
        <is>
          <t>OPERATING</t>
        </is>
      </c>
    </row>
    <row r="16924">
      <c r="A16924" s="8" t="inlineStr">
        <is>
          <t>2026-08-03</t>
        </is>
      </c>
      <c r="B16924" s="8" t="n">
        <v>21</v>
      </c>
      <c r="C16924" s="8" t="n">
        <v>15</v>
      </c>
      <c r="D16924" s="8" t="inlineStr">
        <is>
          <t>Disney Adventure World</t>
        </is>
      </c>
      <c r="E16924" s="8" t="inlineStr">
        <is>
          <t>Toy Soldiers Parachute Drop Single Rider</t>
        </is>
      </c>
      <c r="F16924" s="8" t="inlineStr">
        <is>
          <t>STANDBY</t>
        </is>
      </c>
      <c r="G16924" s="8" t="n">
        <v>5</v>
      </c>
      <c r="H16924" s="8" t="inlineStr">
        <is>
          <t>OPERATING</t>
        </is>
      </c>
    </row>
    <row r="16925">
      <c r="A16925" s="8" t="inlineStr">
        <is>
          <t>2026-08-03</t>
        </is>
      </c>
      <c r="B16925" s="8" t="n">
        <v>21</v>
      </c>
      <c r="C16925" s="8" t="n">
        <v>15</v>
      </c>
      <c r="D16925" s="8" t="inlineStr">
        <is>
          <t>Disney Adventure World</t>
        </is>
      </c>
      <c r="E16925" s="8" t="inlineStr">
        <is>
          <t>Entry to World of Frozen</t>
        </is>
      </c>
      <c r="F16925" s="8" t="inlineStr">
        <is>
          <t>STANDBY</t>
        </is>
      </c>
      <c r="G16925" s="8" t="n">
        <v>0</v>
      </c>
      <c r="H16925" s="8" t="inlineStr">
        <is>
          <t>OPERATING</t>
        </is>
      </c>
    </row>
    <row r="16926">
      <c r="A16926" s="8" t="inlineStr">
        <is>
          <t>2026-08-03</t>
        </is>
      </c>
      <c r="B16926" s="8" t="n">
        <v>21</v>
      </c>
      <c r="C16926" s="8" t="n">
        <v>15</v>
      </c>
      <c r="D16926" s="8" t="inlineStr">
        <is>
          <t>Disney Adventure World</t>
        </is>
      </c>
      <c r="E16926" s="8" t="inlineStr">
        <is>
          <t>Frozen Ever After</t>
        </is>
      </c>
      <c r="F16926" s="8" t="inlineStr">
        <is>
          <t>STANDBY</t>
        </is>
      </c>
      <c r="G16926" s="8" t="n">
        <v>30</v>
      </c>
      <c r="H16926" s="8" t="inlineStr">
        <is>
          <t>OPERATING</t>
        </is>
      </c>
    </row>
    <row r="16927">
      <c r="A16927" s="8" t="inlineStr">
        <is>
          <t>2026-08-03</t>
        </is>
      </c>
      <c r="B16927" s="8" t="n">
        <v>21</v>
      </c>
      <c r="C16927" s="8" t="n">
        <v>15</v>
      </c>
      <c r="D16927" s="8" t="inlineStr">
        <is>
          <t>Disney Adventure World</t>
        </is>
      </c>
      <c r="E16927" s="8" t="inlineStr">
        <is>
          <t>Raiponce Tangled Spin</t>
        </is>
      </c>
      <c r="F16927" s="8" t="inlineStr">
        <is>
          <t>STANDBY</t>
        </is>
      </c>
      <c r="G16927" s="8" t="n">
        <v>5</v>
      </c>
      <c r="H16927" s="8" t="inlineStr">
        <is>
          <t>OPERATING</t>
        </is>
      </c>
    </row>
    <row r="16928">
      <c r="A16928" s="8" t="inlineStr">
        <is>
          <t>2026-08-03</t>
        </is>
      </c>
      <c r="B16928" s="8" t="n">
        <v>21</v>
      </c>
      <c r="C16928" s="8" t="n">
        <v>31</v>
      </c>
      <c r="D16928" s="8" t="inlineStr">
        <is>
          <t>Disneyland Park</t>
        </is>
      </c>
      <c r="E16928" s="8" t="inlineStr">
        <is>
          <t>Adventure Isle</t>
        </is>
      </c>
      <c r="F16928" s="8" t="inlineStr">
        <is>
          <t>STANDBY</t>
        </is>
      </c>
      <c r="G16928" s="8" t="n">
        <v>0</v>
      </c>
      <c r="H16928" s="8" t="inlineStr">
        <is>
          <t>OPERATING</t>
        </is>
      </c>
    </row>
    <row r="16929">
      <c r="A16929" s="8" t="inlineStr">
        <is>
          <t>2026-08-03</t>
        </is>
      </c>
      <c r="B16929" s="8" t="n">
        <v>21</v>
      </c>
      <c r="C16929" s="8" t="n">
        <v>31</v>
      </c>
      <c r="D16929" s="8" t="inlineStr">
        <is>
          <t>Disneyland Park</t>
        </is>
      </c>
      <c r="E16929" s="8" t="inlineStr">
        <is>
          <t>Indiana Jones and the Temple of Peril Single Rider</t>
        </is>
      </c>
      <c r="F16929" s="8" t="inlineStr">
        <is>
          <t>STANDBY</t>
        </is>
      </c>
      <c r="G16929" s="8" t="n">
        <v>5</v>
      </c>
      <c r="H16929" s="8" t="inlineStr">
        <is>
          <t>OPERATING</t>
        </is>
      </c>
    </row>
    <row r="16930">
      <c r="A16930" s="8" t="inlineStr">
        <is>
          <t>2026-08-03</t>
        </is>
      </c>
      <c r="B16930" s="8" t="n">
        <v>21</v>
      </c>
      <c r="C16930" s="8" t="n">
        <v>31</v>
      </c>
      <c r="D16930" s="8" t="inlineStr">
        <is>
          <t>Disneyland Park</t>
        </is>
      </c>
      <c r="E16930" s="8" t="inlineStr">
        <is>
          <t>Indiana Jones™ and the Temple of Peril</t>
        </is>
      </c>
      <c r="F16930" s="8" t="inlineStr">
        <is>
          <t>STANDBY</t>
        </is>
      </c>
      <c r="G16930" s="8" t="n">
        <v>5</v>
      </c>
      <c r="H16930" s="8" t="inlineStr">
        <is>
          <t>OPERATING</t>
        </is>
      </c>
    </row>
    <row r="16931">
      <c r="A16931" s="8" t="inlineStr">
        <is>
          <t>2026-08-03</t>
        </is>
      </c>
      <c r="B16931" s="8" t="n">
        <v>21</v>
      </c>
      <c r="C16931" s="8" t="n">
        <v>31</v>
      </c>
      <c r="D16931" s="8" t="inlineStr">
        <is>
          <t>Disneyland Park</t>
        </is>
      </c>
      <c r="E16931" s="8" t="inlineStr">
        <is>
          <t>La Cabane des Robinson</t>
        </is>
      </c>
      <c r="F16931" s="8" t="inlineStr">
        <is>
          <t>STANDBY</t>
        </is>
      </c>
      <c r="G16931" s="8" t="n">
        <v>5</v>
      </c>
      <c r="H16931" s="8" t="inlineStr">
        <is>
          <t>OPERATING</t>
        </is>
      </c>
    </row>
    <row r="16932">
      <c r="A16932" s="8" t="inlineStr">
        <is>
          <t>2026-08-03</t>
        </is>
      </c>
      <c r="B16932" s="8" t="n">
        <v>21</v>
      </c>
      <c r="C16932" s="8" t="n">
        <v>31</v>
      </c>
      <c r="D16932" s="8" t="inlineStr">
        <is>
          <t>Disneyland Park</t>
        </is>
      </c>
      <c r="E16932" s="8" t="inlineStr">
        <is>
          <t>Le Passage Enchanté d'Aladdin</t>
        </is>
      </c>
      <c r="F16932" s="8" t="inlineStr">
        <is>
          <t>STANDBY</t>
        </is>
      </c>
      <c r="G16932" s="8" t="n">
        <v>0</v>
      </c>
      <c r="H16932" s="8" t="inlineStr">
        <is>
          <t>OPERATING</t>
        </is>
      </c>
    </row>
    <row r="16933">
      <c r="A16933" s="8" t="inlineStr">
        <is>
          <t>2026-08-03</t>
        </is>
      </c>
      <c r="B16933" s="8" t="n">
        <v>21</v>
      </c>
      <c r="C16933" s="8" t="n">
        <v>31</v>
      </c>
      <c r="D16933" s="8" t="inlineStr">
        <is>
          <t>Disneyland Park</t>
        </is>
      </c>
      <c r="E16933" s="8" t="inlineStr">
        <is>
          <t>Pirate Galleon</t>
        </is>
      </c>
      <c r="F16933" s="8" t="inlineStr">
        <is>
          <t>STANDBY</t>
        </is>
      </c>
      <c r="G16933" s="8" t="n">
        <v>0</v>
      </c>
      <c r="H16933" s="8" t="inlineStr">
        <is>
          <t>CLOSED</t>
        </is>
      </c>
    </row>
    <row r="16934">
      <c r="A16934" s="8" t="inlineStr">
        <is>
          <t>2026-08-03</t>
        </is>
      </c>
      <c r="B16934" s="8" t="n">
        <v>21</v>
      </c>
      <c r="C16934" s="8" t="n">
        <v>31</v>
      </c>
      <c r="D16934" s="8" t="inlineStr">
        <is>
          <t>Disneyland Park</t>
        </is>
      </c>
      <c r="E16934" s="8" t="inlineStr">
        <is>
          <t>Pirates of the Caribbean</t>
        </is>
      </c>
      <c r="F16934" s="8" t="inlineStr">
        <is>
          <t>STANDBY</t>
        </is>
      </c>
      <c r="G16934" s="8" t="n">
        <v>0</v>
      </c>
      <c r="H16934" s="8" t="inlineStr">
        <is>
          <t>CLOSED</t>
        </is>
      </c>
    </row>
    <row r="16935">
      <c r="A16935" s="8" t="inlineStr">
        <is>
          <t>2026-08-03</t>
        </is>
      </c>
      <c r="B16935" s="8" t="n">
        <v>21</v>
      </c>
      <c r="C16935" s="8" t="n">
        <v>31</v>
      </c>
      <c r="D16935" s="8" t="inlineStr">
        <is>
          <t>Disneyland Park</t>
        </is>
      </c>
      <c r="E16935" s="8" t="inlineStr">
        <is>
          <t>Pirates' Beach</t>
        </is>
      </c>
      <c r="F16935" s="8" t="inlineStr">
        <is>
          <t>STANDBY</t>
        </is>
      </c>
      <c r="G16935" s="8" t="n">
        <v>0</v>
      </c>
      <c r="H16935" s="8" t="inlineStr">
        <is>
          <t>OPERATING</t>
        </is>
      </c>
    </row>
    <row r="16936">
      <c r="A16936" s="8" t="inlineStr">
        <is>
          <t>2026-08-03</t>
        </is>
      </c>
      <c r="B16936" s="8" t="n">
        <v>21</v>
      </c>
      <c r="C16936" s="8" t="n">
        <v>31</v>
      </c>
      <c r="D16936" s="8" t="inlineStr">
        <is>
          <t>Disneyland Park</t>
        </is>
      </c>
      <c r="E16936" s="8" t="inlineStr">
        <is>
          <t>Autopia, presented by Avis</t>
        </is>
      </c>
      <c r="F16936" s="8" t="inlineStr">
        <is>
          <t>STANDBY</t>
        </is>
      </c>
      <c r="G16936" s="8" t="n">
        <v>55</v>
      </c>
      <c r="H16936" s="8" t="inlineStr">
        <is>
          <t>OPERATING</t>
        </is>
      </c>
    </row>
    <row r="16937">
      <c r="A16937" s="8" t="inlineStr">
        <is>
          <t>2026-08-03</t>
        </is>
      </c>
      <c r="B16937" s="8" t="n">
        <v>21</v>
      </c>
      <c r="C16937" s="8" t="n">
        <v>31</v>
      </c>
      <c r="D16937" s="8" t="inlineStr">
        <is>
          <t>Disneyland Park</t>
        </is>
      </c>
      <c r="E16937" s="8" t="inlineStr">
        <is>
          <t>Buzz Lightyear Laser Blast</t>
        </is>
      </c>
      <c r="F16937" s="8" t="inlineStr">
        <is>
          <t>STANDBY</t>
        </is>
      </c>
      <c r="G16937" s="8" t="n">
        <v>25</v>
      </c>
      <c r="H16937" s="8" t="inlineStr">
        <is>
          <t>OPERATING</t>
        </is>
      </c>
    </row>
    <row r="16938">
      <c r="A16938" s="8" t="inlineStr">
        <is>
          <t>2026-08-03</t>
        </is>
      </c>
      <c r="B16938" s="8" t="n">
        <v>21</v>
      </c>
      <c r="C16938" s="8" t="n">
        <v>31</v>
      </c>
      <c r="D16938" s="8" t="inlineStr">
        <is>
          <t>Disneyland Park</t>
        </is>
      </c>
      <c r="E16938" s="8" t="inlineStr">
        <is>
          <t>Disneyland Railroad Discoveryland Station</t>
        </is>
      </c>
      <c r="F16938" s="8" t="inlineStr">
        <is>
          <t>STANDBY</t>
        </is>
      </c>
      <c r="G16938" s="8" t="n">
        <v>0</v>
      </c>
      <c r="H16938" s="8" t="inlineStr">
        <is>
          <t>CLOSED</t>
        </is>
      </c>
    </row>
    <row r="16939">
      <c r="A16939" s="8" t="inlineStr">
        <is>
          <t>2026-08-03</t>
        </is>
      </c>
      <c r="B16939" s="8" t="n">
        <v>21</v>
      </c>
      <c r="C16939" s="8" t="n">
        <v>31</v>
      </c>
      <c r="D16939" s="8" t="inlineStr">
        <is>
          <t>Disneyland Park</t>
        </is>
      </c>
      <c r="E16939" s="8" t="inlineStr">
        <is>
          <t>Les Mystères du Nautilus</t>
        </is>
      </c>
      <c r="F16939" s="8" t="inlineStr">
        <is>
          <t>STANDBY</t>
        </is>
      </c>
      <c r="G16939" s="8" t="n">
        <v>5</v>
      </c>
      <c r="H16939" s="8" t="inlineStr">
        <is>
          <t>OPERATING</t>
        </is>
      </c>
    </row>
    <row r="16940">
      <c r="A16940" s="8" t="inlineStr">
        <is>
          <t>2026-08-03</t>
        </is>
      </c>
      <c r="B16940" s="8" t="n">
        <v>21</v>
      </c>
      <c r="C16940" s="8" t="n">
        <v>31</v>
      </c>
      <c r="D16940" s="8" t="inlineStr">
        <is>
          <t>Disneyland Park</t>
        </is>
      </c>
      <c r="E16940" s="8" t="inlineStr">
        <is>
          <t>Mickey’s PhilharMagic</t>
        </is>
      </c>
      <c r="F16940" s="8" t="inlineStr">
        <is>
          <t>STANDBY</t>
        </is>
      </c>
      <c r="G16940" s="8" t="n">
        <v>0</v>
      </c>
      <c r="H16940" s="8" t="inlineStr">
        <is>
          <t>CLOSED</t>
        </is>
      </c>
    </row>
    <row r="16941">
      <c r="A16941" s="8" t="inlineStr">
        <is>
          <t>2026-08-03</t>
        </is>
      </c>
      <c r="B16941" s="8" t="n">
        <v>21</v>
      </c>
      <c r="C16941" s="8" t="n">
        <v>31</v>
      </c>
      <c r="D16941" s="8" t="inlineStr">
        <is>
          <t>Disneyland Park</t>
        </is>
      </c>
      <c r="E16941" s="8" t="inlineStr">
        <is>
          <t>Orbitron®</t>
        </is>
      </c>
      <c r="F16941" s="8" t="inlineStr">
        <is>
          <t>STANDBY</t>
        </is>
      </c>
      <c r="G16941" s="8" t="n">
        <v>35</v>
      </c>
      <c r="H16941" s="8" t="inlineStr">
        <is>
          <t>OPERATING</t>
        </is>
      </c>
    </row>
    <row r="16942">
      <c r="A16942" s="8" t="inlineStr">
        <is>
          <t>2026-08-03</t>
        </is>
      </c>
      <c r="B16942" s="8" t="n">
        <v>21</v>
      </c>
      <c r="C16942" s="8" t="n">
        <v>31</v>
      </c>
      <c r="D16942" s="8" t="inlineStr">
        <is>
          <t>Disneyland Park</t>
        </is>
      </c>
      <c r="E16942" s="8" t="inlineStr">
        <is>
          <t>Star Tours: The Adventures Continue*</t>
        </is>
      </c>
      <c r="F16942" s="8" t="inlineStr">
        <is>
          <t>STANDBY</t>
        </is>
      </c>
      <c r="G16942" s="8" t="n">
        <v>5</v>
      </c>
      <c r="H16942" s="8" t="inlineStr">
        <is>
          <t>OPERATING</t>
        </is>
      </c>
    </row>
    <row r="16943">
      <c r="A16943" s="8" t="inlineStr">
        <is>
          <t>2026-08-03</t>
        </is>
      </c>
      <c r="B16943" s="8" t="n">
        <v>21</v>
      </c>
      <c r="C16943" s="8" t="n">
        <v>31</v>
      </c>
      <c r="D16943" s="8" t="inlineStr">
        <is>
          <t>Disneyland Park</t>
        </is>
      </c>
      <c r="E16943" s="8" t="inlineStr">
        <is>
          <t>Star Wars Hyperspace Mountain</t>
        </is>
      </c>
      <c r="F16943" s="8" t="inlineStr">
        <is>
          <t>STANDBY</t>
        </is>
      </c>
      <c r="G16943" s="8" t="n">
        <v>10</v>
      </c>
      <c r="H16943" s="8" t="inlineStr">
        <is>
          <t>OPERATING</t>
        </is>
      </c>
    </row>
    <row r="16944">
      <c r="A16944" s="8" t="inlineStr">
        <is>
          <t>2026-08-03</t>
        </is>
      </c>
      <c r="B16944" s="8" t="n">
        <v>21</v>
      </c>
      <c r="C16944" s="8" t="n">
        <v>31</v>
      </c>
      <c r="D16944" s="8" t="inlineStr">
        <is>
          <t>Disneyland Park</t>
        </is>
      </c>
      <c r="E16944" s="8" t="inlineStr">
        <is>
          <t>Star Wars Hyperspace Mountain Single Rider</t>
        </is>
      </c>
      <c r="F16944" s="8" t="inlineStr">
        <is>
          <t>STANDBY</t>
        </is>
      </c>
      <c r="G16944" s="8" t="n">
        <v>5</v>
      </c>
      <c r="H16944" s="8" t="inlineStr">
        <is>
          <t>OPERATING</t>
        </is>
      </c>
    </row>
    <row r="16945">
      <c r="A16945" s="8" t="inlineStr">
        <is>
          <t>2026-08-03</t>
        </is>
      </c>
      <c r="B16945" s="8" t="n">
        <v>21</v>
      </c>
      <c r="C16945" s="8" t="n">
        <v>31</v>
      </c>
      <c r="D16945" s="8" t="inlineStr">
        <is>
          <t>Disneyland Park</t>
        </is>
      </c>
      <c r="E16945" s="8" t="inlineStr">
        <is>
          <t>Welcome to Starport: A Star Wars Encounter</t>
        </is>
      </c>
      <c r="F16945" s="8" t="inlineStr">
        <is>
          <t>STANDBY</t>
        </is>
      </c>
      <c r="G16945" s="8" t="n">
        <v>0</v>
      </c>
      <c r="H16945" s="8" t="inlineStr">
        <is>
          <t>CLOSED</t>
        </is>
      </c>
    </row>
    <row r="16946">
      <c r="A16946" s="8" t="inlineStr">
        <is>
          <t>2026-08-03</t>
        </is>
      </c>
      <c r="B16946" s="8" t="n">
        <v>21</v>
      </c>
      <c r="C16946" s="8" t="n">
        <v>31</v>
      </c>
      <c r="D16946" s="8" t="inlineStr">
        <is>
          <t>Disneyland Park</t>
        </is>
      </c>
      <c r="E16946" s="8" t="inlineStr">
        <is>
          <t>"it's a small world"</t>
        </is>
      </c>
      <c r="F16946" s="8" t="inlineStr">
        <is>
          <t>STANDBY</t>
        </is>
      </c>
      <c r="G16946" s="8" t="n">
        <v>5</v>
      </c>
      <c r="H16946" s="8" t="inlineStr">
        <is>
          <t>OPERATING</t>
        </is>
      </c>
    </row>
    <row r="16947">
      <c r="A16947" s="8" t="inlineStr">
        <is>
          <t>2026-08-03</t>
        </is>
      </c>
      <c r="B16947" s="8" t="n">
        <v>21</v>
      </c>
      <c r="C16947" s="8" t="n">
        <v>31</v>
      </c>
      <c r="D16947" s="8" t="inlineStr">
        <is>
          <t>Disneyland Park</t>
        </is>
      </c>
      <c r="E16947" s="8" t="inlineStr">
        <is>
          <t>Alice's Curious Labyrinth</t>
        </is>
      </c>
      <c r="F16947" s="8" t="inlineStr">
        <is>
          <t>STANDBY</t>
        </is>
      </c>
      <c r="G16947" s="8" t="n">
        <v>0</v>
      </c>
      <c r="H16947" s="8" t="inlineStr">
        <is>
          <t>CLOSED</t>
        </is>
      </c>
    </row>
    <row r="16948">
      <c r="A16948" s="8" t="inlineStr">
        <is>
          <t>2026-08-03</t>
        </is>
      </c>
      <c r="B16948" s="8" t="n">
        <v>21</v>
      </c>
      <c r="C16948" s="8" t="n">
        <v>31</v>
      </c>
      <c r="D16948" s="8" t="inlineStr">
        <is>
          <t>Disneyland Park</t>
        </is>
      </c>
      <c r="E16948" s="8" t="inlineStr">
        <is>
          <t>Blanche-Neige et les Sept Nains®</t>
        </is>
      </c>
      <c r="F16948" s="8" t="inlineStr">
        <is>
          <t>STANDBY</t>
        </is>
      </c>
      <c r="G16948" s="8" t="n">
        <v>0</v>
      </c>
      <c r="H16948" s="8" t="inlineStr">
        <is>
          <t>CLOSED</t>
        </is>
      </c>
    </row>
    <row r="16949">
      <c r="A16949" s="8" t="inlineStr">
        <is>
          <t>2026-08-03</t>
        </is>
      </c>
      <c r="B16949" s="8" t="n">
        <v>21</v>
      </c>
      <c r="C16949" s="8" t="n">
        <v>31</v>
      </c>
      <c r="D16949" s="8" t="inlineStr">
        <is>
          <t>Disneyland Park</t>
        </is>
      </c>
      <c r="E16949" s="8" t="inlineStr">
        <is>
          <t>Casey Jr. – le Petit Train du Cirque</t>
        </is>
      </c>
      <c r="F16949" s="8" t="inlineStr">
        <is>
          <t>STANDBY</t>
        </is>
      </c>
      <c r="G16949" s="8" t="n">
        <v>0</v>
      </c>
      <c r="H16949" s="8" t="inlineStr">
        <is>
          <t>CLOSED</t>
        </is>
      </c>
    </row>
    <row r="16950">
      <c r="A16950" s="8" t="inlineStr">
        <is>
          <t>2026-08-03</t>
        </is>
      </c>
      <c r="B16950" s="8" t="n">
        <v>21</v>
      </c>
      <c r="C16950" s="8" t="n">
        <v>31</v>
      </c>
      <c r="D16950" s="8" t="inlineStr">
        <is>
          <t>Disneyland Park</t>
        </is>
      </c>
      <c r="E16950" s="8" t="inlineStr">
        <is>
          <t>Disneyland Railroad Fantasyland Station</t>
        </is>
      </c>
      <c r="F16950" s="8" t="inlineStr">
        <is>
          <t>STANDBY</t>
        </is>
      </c>
      <c r="G16950" s="8" t="n">
        <v>0</v>
      </c>
      <c r="H16950" s="8" t="inlineStr">
        <is>
          <t>CLOSED</t>
        </is>
      </c>
    </row>
    <row r="16951">
      <c r="A16951" s="8" t="inlineStr">
        <is>
          <t>2026-08-03</t>
        </is>
      </c>
      <c r="B16951" s="8" t="n">
        <v>21</v>
      </c>
      <c r="C16951" s="8" t="n">
        <v>31</v>
      </c>
      <c r="D16951" s="8" t="inlineStr">
        <is>
          <t>Disneyland Park</t>
        </is>
      </c>
      <c r="E16951" s="8" t="inlineStr">
        <is>
          <t>Disneyland Railroad Main Street Station</t>
        </is>
      </c>
      <c r="F16951" s="8" t="inlineStr">
        <is>
          <t>STANDBY</t>
        </is>
      </c>
      <c r="G16951" s="8" t="n">
        <v>0</v>
      </c>
      <c r="H16951" s="8" t="inlineStr">
        <is>
          <t>CLOSED</t>
        </is>
      </c>
    </row>
    <row r="16952">
      <c r="A16952" s="8" t="inlineStr">
        <is>
          <t>2026-08-03</t>
        </is>
      </c>
      <c r="B16952" s="8" t="n">
        <v>21</v>
      </c>
      <c r="C16952" s="8" t="n">
        <v>31</v>
      </c>
      <c r="D16952" s="8" t="inlineStr">
        <is>
          <t>Disneyland Park</t>
        </is>
      </c>
      <c r="E16952" s="8" t="inlineStr">
        <is>
          <t>Dumbo the Flying Elephant</t>
        </is>
      </c>
      <c r="F16952" s="8" t="inlineStr">
        <is>
          <t>STANDBY</t>
        </is>
      </c>
      <c r="G16952" s="8" t="n">
        <v>0</v>
      </c>
      <c r="H16952" s="8" t="inlineStr">
        <is>
          <t>OPERATING</t>
        </is>
      </c>
    </row>
    <row r="16953">
      <c r="A16953" s="8" t="inlineStr">
        <is>
          <t>2026-08-03</t>
        </is>
      </c>
      <c r="B16953" s="8" t="n">
        <v>21</v>
      </c>
      <c r="C16953" s="8" t="n">
        <v>31</v>
      </c>
      <c r="D16953" s="8" t="inlineStr">
        <is>
          <t>Disneyland Park</t>
        </is>
      </c>
      <c r="E16953" s="8" t="inlineStr">
        <is>
          <t>La Tanière du Dragon</t>
        </is>
      </c>
      <c r="F16953" s="8" t="inlineStr">
        <is>
          <t>STANDBY</t>
        </is>
      </c>
      <c r="G16953" s="8" t="n">
        <v>0</v>
      </c>
      <c r="H16953" s="8" t="inlineStr">
        <is>
          <t>CLOSED</t>
        </is>
      </c>
    </row>
    <row r="16954">
      <c r="A16954" s="8" t="inlineStr">
        <is>
          <t>2026-08-03</t>
        </is>
      </c>
      <c r="B16954" s="8" t="n">
        <v>21</v>
      </c>
      <c r="C16954" s="8" t="n">
        <v>31</v>
      </c>
      <c r="D16954" s="8" t="inlineStr">
        <is>
          <t>Disneyland Park</t>
        </is>
      </c>
      <c r="E16954" s="8" t="inlineStr">
        <is>
          <t>Le Carrousel de Lancelot</t>
        </is>
      </c>
      <c r="F16954" s="8" t="inlineStr">
        <is>
          <t>STANDBY</t>
        </is>
      </c>
      <c r="G16954" s="8" t="n">
        <v>0</v>
      </c>
      <c r="H16954" s="8" t="inlineStr">
        <is>
          <t>OPERATING</t>
        </is>
      </c>
    </row>
    <row r="16955">
      <c r="A16955" s="8" t="inlineStr">
        <is>
          <t>2026-08-03</t>
        </is>
      </c>
      <c r="B16955" s="8" t="n">
        <v>21</v>
      </c>
      <c r="C16955" s="8" t="n">
        <v>31</v>
      </c>
      <c r="D16955" s="8" t="inlineStr">
        <is>
          <t>Disneyland Park</t>
        </is>
      </c>
      <c r="E16955" s="8" t="inlineStr">
        <is>
          <t>Le Pays des Contes de Fées, presented by Vittel</t>
        </is>
      </c>
      <c r="F16955" s="8" t="inlineStr">
        <is>
          <t>STANDBY</t>
        </is>
      </c>
      <c r="G16955" s="8" t="n">
        <v>0</v>
      </c>
      <c r="H16955" s="8" t="inlineStr">
        <is>
          <t>CLOSED</t>
        </is>
      </c>
    </row>
    <row r="16956">
      <c r="A16956" s="8" t="inlineStr">
        <is>
          <t>2026-08-03</t>
        </is>
      </c>
      <c r="B16956" s="8" t="n">
        <v>21</v>
      </c>
      <c r="C16956" s="8" t="n">
        <v>31</v>
      </c>
      <c r="D16956" s="8" t="inlineStr">
        <is>
          <t>Disneyland Park</t>
        </is>
      </c>
      <c r="E16956" s="8" t="inlineStr">
        <is>
          <t>Les Voyages de Pinocchio</t>
        </is>
      </c>
      <c r="F16956" s="8" t="inlineStr">
        <is>
          <t>STANDBY</t>
        </is>
      </c>
      <c r="G16956" s="8" t="n">
        <v>0</v>
      </c>
      <c r="H16956" s="8" t="inlineStr">
        <is>
          <t>OPERATING</t>
        </is>
      </c>
    </row>
    <row r="16957">
      <c r="A16957" s="8" t="inlineStr">
        <is>
          <t>2026-08-03</t>
        </is>
      </c>
      <c r="B16957" s="8" t="n">
        <v>21</v>
      </c>
      <c r="C16957" s="8" t="n">
        <v>31</v>
      </c>
      <c r="D16957" s="8" t="inlineStr">
        <is>
          <t>Disneyland Park</t>
        </is>
      </c>
      <c r="E16957" s="8" t="inlineStr">
        <is>
          <t>Mad Hatter's Tea Cups</t>
        </is>
      </c>
      <c r="F16957" s="8" t="inlineStr">
        <is>
          <t>STANDBY</t>
        </is>
      </c>
      <c r="G16957" s="8" t="n">
        <v>0</v>
      </c>
      <c r="H16957" s="8" t="inlineStr">
        <is>
          <t>OPERATING</t>
        </is>
      </c>
    </row>
    <row r="16958">
      <c r="A16958" s="8" t="inlineStr">
        <is>
          <t>2026-08-03</t>
        </is>
      </c>
      <c r="B16958" s="8" t="n">
        <v>21</v>
      </c>
      <c r="C16958" s="8" t="n">
        <v>31</v>
      </c>
      <c r="D16958" s="8" t="inlineStr">
        <is>
          <t>Disneyland Park</t>
        </is>
      </c>
      <c r="E16958" s="8" t="inlineStr">
        <is>
          <t>Meet Mickey Mouse</t>
        </is>
      </c>
      <c r="F16958" s="8" t="inlineStr">
        <is>
          <t>STANDBY</t>
        </is>
      </c>
      <c r="G16958" s="8" t="n">
        <v>0</v>
      </c>
      <c r="H16958" s="8" t="inlineStr">
        <is>
          <t>CLOSED</t>
        </is>
      </c>
    </row>
    <row r="16959">
      <c r="A16959" s="8" t="inlineStr">
        <is>
          <t>2026-08-03</t>
        </is>
      </c>
      <c r="B16959" s="8" t="n">
        <v>21</v>
      </c>
      <c r="C16959" s="8" t="n">
        <v>31</v>
      </c>
      <c r="D16959" s="8" t="inlineStr">
        <is>
          <t>Disneyland Park</t>
        </is>
      </c>
      <c r="E16959" s="8" t="inlineStr">
        <is>
          <t>Peter Pan's Flight</t>
        </is>
      </c>
      <c r="F16959" s="8" t="inlineStr">
        <is>
          <t>STANDBY</t>
        </is>
      </c>
      <c r="G16959" s="8" t="n">
        <v>50</v>
      </c>
      <c r="H16959" s="8" t="inlineStr">
        <is>
          <t>OPERATING</t>
        </is>
      </c>
    </row>
    <row r="16960">
      <c r="A16960" s="8" t="inlineStr">
        <is>
          <t>2026-08-03</t>
        </is>
      </c>
      <c r="B16960" s="8" t="n">
        <v>21</v>
      </c>
      <c r="C16960" s="8" t="n">
        <v>31</v>
      </c>
      <c r="D16960" s="8" t="inlineStr">
        <is>
          <t>Disneyland Park</t>
        </is>
      </c>
      <c r="E16960" s="8" t="inlineStr">
        <is>
          <t>Princess Pavilion</t>
        </is>
      </c>
      <c r="F16960" s="8" t="inlineStr">
        <is>
          <t>STANDBY</t>
        </is>
      </c>
      <c r="G16960" s="8" t="n">
        <v>0</v>
      </c>
      <c r="H16960" s="8" t="inlineStr">
        <is>
          <t>CLOSED</t>
        </is>
      </c>
    </row>
    <row r="16961">
      <c r="A16961" s="8" t="inlineStr">
        <is>
          <t>2026-08-03</t>
        </is>
      </c>
      <c r="B16961" s="8" t="n">
        <v>21</v>
      </c>
      <c r="C16961" s="8" t="n">
        <v>31</v>
      </c>
      <c r="D16961" s="8" t="inlineStr">
        <is>
          <t>Disneyland Park</t>
        </is>
      </c>
      <c r="E16961" s="8" t="inlineStr">
        <is>
          <t>Big Thunder Mountain</t>
        </is>
      </c>
      <c r="F16961" s="8" t="inlineStr">
        <is>
          <t>STANDBY</t>
        </is>
      </c>
      <c r="G16961" s="8" t="n">
        <v>55</v>
      </c>
      <c r="H16961" s="8" t="inlineStr">
        <is>
          <t>OPERATING</t>
        </is>
      </c>
    </row>
    <row r="16962">
      <c r="A16962" s="8" t="inlineStr">
        <is>
          <t>2026-08-03</t>
        </is>
      </c>
      <c r="B16962" s="8" t="n">
        <v>21</v>
      </c>
      <c r="C16962" s="8" t="n">
        <v>31</v>
      </c>
      <c r="D16962" s="8" t="inlineStr">
        <is>
          <t>Disneyland Park</t>
        </is>
      </c>
      <c r="E16962" s="8" t="inlineStr">
        <is>
          <t>Disneyland Railroad Frontierland Depot</t>
        </is>
      </c>
      <c r="F16962" s="8" t="inlineStr">
        <is>
          <t>STANDBY</t>
        </is>
      </c>
      <c r="G16962" s="8" t="n">
        <v>0</v>
      </c>
      <c r="H16962" s="8" t="inlineStr">
        <is>
          <t>CLOSED</t>
        </is>
      </c>
    </row>
    <row r="16963">
      <c r="A16963" s="8" t="inlineStr">
        <is>
          <t>2026-08-03</t>
        </is>
      </c>
      <c r="B16963" s="8" t="n">
        <v>21</v>
      </c>
      <c r="C16963" s="8" t="n">
        <v>31</v>
      </c>
      <c r="D16963" s="8" t="inlineStr">
        <is>
          <t>Disneyland Park</t>
        </is>
      </c>
      <c r="E16963" s="8" t="inlineStr">
        <is>
          <t>Frontierland Playground</t>
        </is>
      </c>
      <c r="F16963" s="8" t="inlineStr">
        <is>
          <t>STANDBY</t>
        </is>
      </c>
      <c r="G16963" s="8" t="n">
        <v>0</v>
      </c>
      <c r="H16963" s="8" t="inlineStr">
        <is>
          <t>CLOSED</t>
        </is>
      </c>
    </row>
    <row r="16964">
      <c r="A16964" s="8" t="inlineStr">
        <is>
          <t>2026-08-03</t>
        </is>
      </c>
      <c r="B16964" s="8" t="n">
        <v>21</v>
      </c>
      <c r="C16964" s="8" t="n">
        <v>31</v>
      </c>
      <c r="D16964" s="8" t="inlineStr">
        <is>
          <t>Disneyland Park</t>
        </is>
      </c>
      <c r="E16964" s="8" t="inlineStr">
        <is>
          <t>Phantom Manor</t>
        </is>
      </c>
      <c r="F16964" s="8" t="inlineStr">
        <is>
          <t>STANDBY</t>
        </is>
      </c>
      <c r="G16964" s="8" t="n">
        <v>5</v>
      </c>
      <c r="H16964" s="8" t="inlineStr">
        <is>
          <t>OPERATING</t>
        </is>
      </c>
    </row>
    <row r="16965">
      <c r="A16965" s="8" t="inlineStr">
        <is>
          <t>2026-08-03</t>
        </is>
      </c>
      <c r="B16965" s="8" t="n">
        <v>21</v>
      </c>
      <c r="C16965" s="8" t="n">
        <v>31</v>
      </c>
      <c r="D16965" s="8" t="inlineStr">
        <is>
          <t>Disneyland Park</t>
        </is>
      </c>
      <c r="E16965" s="8" t="inlineStr">
        <is>
          <t>River Rogue Keelboats</t>
        </is>
      </c>
      <c r="F16965" s="8" t="inlineStr">
        <is>
          <t>STANDBY</t>
        </is>
      </c>
      <c r="G16965" s="8" t="n">
        <v>0</v>
      </c>
      <c r="H16965" s="8" t="inlineStr">
        <is>
          <t>CLOSED</t>
        </is>
      </c>
    </row>
    <row r="16966">
      <c r="A16966" s="8" t="inlineStr">
        <is>
          <t>2026-08-03</t>
        </is>
      </c>
      <c r="B16966" s="8" t="n">
        <v>21</v>
      </c>
      <c r="C16966" s="8" t="n">
        <v>31</v>
      </c>
      <c r="D16966" s="8" t="inlineStr">
        <is>
          <t>Disneyland Park</t>
        </is>
      </c>
      <c r="E16966" s="8" t="inlineStr">
        <is>
          <t>Rustler Roundup Shootin' Gallery</t>
        </is>
      </c>
      <c r="F16966" s="8" t="inlineStr">
        <is>
          <t>STANDBY</t>
        </is>
      </c>
      <c r="G16966" s="8" t="n">
        <v>0</v>
      </c>
      <c r="H16966" s="8" t="inlineStr">
        <is>
          <t>OPERATING</t>
        </is>
      </c>
    </row>
    <row r="16967">
      <c r="A16967" s="8" t="inlineStr">
        <is>
          <t>2026-08-03</t>
        </is>
      </c>
      <c r="B16967" s="8" t="n">
        <v>21</v>
      </c>
      <c r="C16967" s="8" t="n">
        <v>31</v>
      </c>
      <c r="D16967" s="8" t="inlineStr">
        <is>
          <t>Disneyland Park</t>
        </is>
      </c>
      <c r="E16967" s="8" t="inlineStr">
        <is>
          <t>Thunder Mesa Riverboat Landing</t>
        </is>
      </c>
      <c r="F16967" s="8" t="inlineStr">
        <is>
          <t>STANDBY</t>
        </is>
      </c>
      <c r="G16967" s="8" t="n">
        <v>0</v>
      </c>
      <c r="H16967" s="8" t="inlineStr">
        <is>
          <t>CLOSED</t>
        </is>
      </c>
    </row>
    <row r="16968">
      <c r="A16968" s="8" t="inlineStr">
        <is>
          <t>2026-08-03</t>
        </is>
      </c>
      <c r="B16968" s="8" t="n">
        <v>21</v>
      </c>
      <c r="C16968" s="8" t="n">
        <v>31</v>
      </c>
      <c r="D16968" s="8" t="inlineStr">
        <is>
          <t>Disneyland Park</t>
        </is>
      </c>
      <c r="E16968" s="8" t="inlineStr">
        <is>
          <t>Disneyland Railroad Main Street Station</t>
        </is>
      </c>
      <c r="F16968" s="8" t="inlineStr">
        <is>
          <t>STANDBY</t>
        </is>
      </c>
      <c r="G16968" s="8" t="n">
        <v>0</v>
      </c>
      <c r="H16968" s="8" t="inlineStr">
        <is>
          <t>CLOSED</t>
        </is>
      </c>
    </row>
    <row r="16969">
      <c r="A16969" s="8" t="inlineStr">
        <is>
          <t>2026-08-03</t>
        </is>
      </c>
      <c r="B16969" s="8" t="n">
        <v>21</v>
      </c>
      <c r="C16969" s="8" t="n">
        <v>31</v>
      </c>
      <c r="D16969" s="8" t="inlineStr">
        <is>
          <t>Disneyland Park</t>
        </is>
      </c>
      <c r="E16969" s="8" t="inlineStr">
        <is>
          <t>Main Street Vehicles</t>
        </is>
      </c>
      <c r="F16969" s="8" t="inlineStr">
        <is>
          <t>STANDBY</t>
        </is>
      </c>
      <c r="G16969" s="8" t="n">
        <v>0</v>
      </c>
      <c r="H16969" s="8" t="inlineStr">
        <is>
          <t>CLOSED</t>
        </is>
      </c>
    </row>
    <row r="16970">
      <c r="A16970" s="8" t="inlineStr">
        <is>
          <t>2026-08-03</t>
        </is>
      </c>
      <c r="B16970" s="8" t="n">
        <v>21</v>
      </c>
      <c r="C16970" s="8" t="n">
        <v>31</v>
      </c>
      <c r="D16970" s="8" t="inlineStr">
        <is>
          <t>Disney Adventure World</t>
        </is>
      </c>
      <c r="E16970" s="8" t="inlineStr">
        <is>
          <t>Avengers Assemble: Flight Force</t>
        </is>
      </c>
      <c r="F16970" s="8" t="inlineStr">
        <is>
          <t>STANDBY</t>
        </is>
      </c>
      <c r="G16970" s="8" t="n">
        <v>5</v>
      </c>
      <c r="H16970" s="8" t="inlineStr">
        <is>
          <t>OPERATING</t>
        </is>
      </c>
    </row>
    <row r="16971">
      <c r="A16971" s="8" t="inlineStr">
        <is>
          <t>2026-08-03</t>
        </is>
      </c>
      <c r="B16971" s="8" t="n">
        <v>21</v>
      </c>
      <c r="C16971" s="8" t="n">
        <v>31</v>
      </c>
      <c r="D16971" s="8" t="inlineStr">
        <is>
          <t>Disney Adventure World</t>
        </is>
      </c>
      <c r="E16971" s="8" t="inlineStr">
        <is>
          <t>Avengers Assemble: Flight Force Single Rider</t>
        </is>
      </c>
      <c r="F16971" s="8" t="inlineStr">
        <is>
          <t>STANDBY</t>
        </is>
      </c>
      <c r="G16971" s="8" t="n">
        <v>5</v>
      </c>
      <c r="H16971" s="8" t="inlineStr">
        <is>
          <t>OPERATING</t>
        </is>
      </c>
    </row>
    <row r="16972">
      <c r="A16972" s="8" t="inlineStr">
        <is>
          <t>2026-08-03</t>
        </is>
      </c>
      <c r="B16972" s="8" t="n">
        <v>21</v>
      </c>
      <c r="C16972" s="8" t="n">
        <v>31</v>
      </c>
      <c r="D16972" s="8" t="inlineStr">
        <is>
          <t>Disney Adventure World</t>
        </is>
      </c>
      <c r="E16972" s="8" t="inlineStr">
        <is>
          <t>Spider-Man W.E.B. Adventure</t>
        </is>
      </c>
      <c r="F16972" s="8" t="inlineStr">
        <is>
          <t>STANDBY</t>
        </is>
      </c>
      <c r="G16972" s="8" t="n">
        <v>20</v>
      </c>
      <c r="H16972" s="8" t="inlineStr">
        <is>
          <t>OPERATING</t>
        </is>
      </c>
    </row>
    <row r="16973">
      <c r="A16973" s="8" t="inlineStr">
        <is>
          <t>2026-08-03</t>
        </is>
      </c>
      <c r="B16973" s="8" t="n">
        <v>21</v>
      </c>
      <c r="C16973" s="8" t="n">
        <v>31</v>
      </c>
      <c r="D16973" s="8" t="inlineStr">
        <is>
          <t>Disney Adventure World</t>
        </is>
      </c>
      <c r="E16973" s="8" t="inlineStr">
        <is>
          <t>Spider-Man W.E.B. Adventure Single Rider</t>
        </is>
      </c>
      <c r="F16973" s="8" t="inlineStr">
        <is>
          <t>STANDBY</t>
        </is>
      </c>
      <c r="G16973" s="8" t="n">
        <v>5</v>
      </c>
      <c r="H16973" s="8" t="inlineStr">
        <is>
          <t>OPERATING</t>
        </is>
      </c>
    </row>
    <row r="16974">
      <c r="A16974" s="8" t="inlineStr">
        <is>
          <t>2026-08-03</t>
        </is>
      </c>
      <c r="B16974" s="8" t="n">
        <v>21</v>
      </c>
      <c r="C16974" s="8" t="n">
        <v>31</v>
      </c>
      <c r="D16974" s="8" t="inlineStr">
        <is>
          <t>Disney Adventure World</t>
        </is>
      </c>
      <c r="E16974" s="8" t="inlineStr">
        <is>
          <t>The Twilight Zone Tower of Terror</t>
        </is>
      </c>
      <c r="F16974" s="8" t="inlineStr">
        <is>
          <t>STANDBY</t>
        </is>
      </c>
      <c r="G16974" s="8" t="n">
        <v>15</v>
      </c>
      <c r="H16974" s="8" t="inlineStr">
        <is>
          <t>OPERATING</t>
        </is>
      </c>
    </row>
    <row r="16975">
      <c r="A16975" s="8" t="inlineStr">
        <is>
          <t>2026-08-03</t>
        </is>
      </c>
      <c r="B16975" s="8" t="n">
        <v>21</v>
      </c>
      <c r="C16975" s="8" t="n">
        <v>31</v>
      </c>
      <c r="D16975" s="8" t="inlineStr">
        <is>
          <t>Disney Adventure World</t>
        </is>
      </c>
      <c r="E16975" s="8" t="inlineStr">
        <is>
          <t>Cars Quatre Roues Rallye</t>
        </is>
      </c>
      <c r="F16975" s="8" t="inlineStr">
        <is>
          <t>STANDBY</t>
        </is>
      </c>
      <c r="G16975" s="8" t="n">
        <v>5</v>
      </c>
      <c r="H16975" s="8" t="inlineStr">
        <is>
          <t>OPERATING</t>
        </is>
      </c>
    </row>
    <row r="16976">
      <c r="A16976" s="8" t="inlineStr">
        <is>
          <t>2026-08-03</t>
        </is>
      </c>
      <c r="B16976" s="8" t="n">
        <v>21</v>
      </c>
      <c r="C16976" s="8" t="n">
        <v>31</v>
      </c>
      <c r="D16976" s="8" t="inlineStr">
        <is>
          <t>Disney Adventure World</t>
        </is>
      </c>
      <c r="E16976" s="8" t="inlineStr">
        <is>
          <t>Cars ROAD TRIP</t>
        </is>
      </c>
      <c r="F16976" s="8" t="inlineStr">
        <is>
          <t>STANDBY</t>
        </is>
      </c>
      <c r="G16976" s="8" t="n">
        <v>0</v>
      </c>
      <c r="H16976" s="8" t="inlineStr">
        <is>
          <t>CLOSED</t>
        </is>
      </c>
    </row>
    <row r="16977">
      <c r="A16977" s="8" t="inlineStr">
        <is>
          <t>2026-08-03</t>
        </is>
      </c>
      <c r="B16977" s="8" t="n">
        <v>21</v>
      </c>
      <c r="C16977" s="8" t="n">
        <v>31</v>
      </c>
      <c r="D16977" s="8" t="inlineStr">
        <is>
          <t>Disney Adventure World</t>
        </is>
      </c>
      <c r="E16977" s="8" t="inlineStr">
        <is>
          <t>Crush's Coaster</t>
        </is>
      </c>
      <c r="F16977" s="8" t="inlineStr">
        <is>
          <t>STANDBY</t>
        </is>
      </c>
      <c r="G16977" s="8" t="n">
        <v>50</v>
      </c>
      <c r="H16977" s="8" t="inlineStr">
        <is>
          <t>OPERATING</t>
        </is>
      </c>
    </row>
    <row r="16978">
      <c r="A16978" s="8" t="inlineStr">
        <is>
          <t>2026-08-03</t>
        </is>
      </c>
      <c r="B16978" s="8" t="n">
        <v>21</v>
      </c>
      <c r="C16978" s="8" t="n">
        <v>31</v>
      </c>
      <c r="D16978" s="8" t="inlineStr">
        <is>
          <t>Disney Adventure World</t>
        </is>
      </c>
      <c r="E16978" s="8" t="inlineStr">
        <is>
          <t>Crush's Coaster Single Rider</t>
        </is>
      </c>
      <c r="F16978" s="8" t="inlineStr">
        <is>
          <t>STANDBY</t>
        </is>
      </c>
      <c r="G16978" s="8" t="n">
        <v>25</v>
      </c>
      <c r="H16978" s="8" t="inlineStr">
        <is>
          <t>OPERATING</t>
        </is>
      </c>
    </row>
    <row r="16979">
      <c r="A16979" s="8" t="inlineStr">
        <is>
          <t>2026-08-03</t>
        </is>
      </c>
      <c r="B16979" s="8" t="n">
        <v>21</v>
      </c>
      <c r="C16979" s="8" t="n">
        <v>31</v>
      </c>
      <c r="D16979" s="8" t="inlineStr">
        <is>
          <t>Disney Adventure World</t>
        </is>
      </c>
      <c r="E16979" s="8" t="inlineStr">
        <is>
          <t>Les Tapis Volants - Flying Carpets Over Agrabah®</t>
        </is>
      </c>
      <c r="F16979" s="8" t="inlineStr">
        <is>
          <t>STANDBY</t>
        </is>
      </c>
      <c r="G16979" s="8" t="n">
        <v>5</v>
      </c>
      <c r="H16979" s="8" t="inlineStr">
        <is>
          <t>OPERATING</t>
        </is>
      </c>
    </row>
    <row r="16980">
      <c r="A16980" s="8" t="inlineStr">
        <is>
          <t>2026-08-03</t>
        </is>
      </c>
      <c r="B16980" s="8" t="n">
        <v>21</v>
      </c>
      <c r="C16980" s="8" t="n">
        <v>31</v>
      </c>
      <c r="D16980" s="8" t="inlineStr">
        <is>
          <t>Disney Adventure World</t>
        </is>
      </c>
      <c r="E16980" s="8" t="inlineStr">
        <is>
          <t>Ratatouille : L’Aventure Totalement Toquée de Rémy​</t>
        </is>
      </c>
      <c r="F16980" s="8" t="inlineStr">
        <is>
          <t>STANDBY</t>
        </is>
      </c>
      <c r="G16980" s="8" t="n">
        <v>35</v>
      </c>
      <c r="H16980" s="8" t="inlineStr">
        <is>
          <t>OPERATING</t>
        </is>
      </c>
    </row>
    <row r="16981">
      <c r="A16981" s="8" t="inlineStr">
        <is>
          <t>2026-08-03</t>
        </is>
      </c>
      <c r="B16981" s="8" t="n">
        <v>21</v>
      </c>
      <c r="C16981" s="8" t="n">
        <v>31</v>
      </c>
      <c r="D16981" s="8" t="inlineStr">
        <is>
          <t>Disney Adventure World</t>
        </is>
      </c>
      <c r="E16981" s="8" t="inlineStr">
        <is>
          <t>Ratatouille: The Adventure Single Rider</t>
        </is>
      </c>
      <c r="F16981" s="8" t="inlineStr">
        <is>
          <t>STANDBY</t>
        </is>
      </c>
      <c r="G16981" s="8" t="n">
        <v>5</v>
      </c>
      <c r="H16981" s="8" t="inlineStr">
        <is>
          <t>OPERATING</t>
        </is>
      </c>
    </row>
    <row r="16982">
      <c r="A16982" s="8" t="inlineStr">
        <is>
          <t>2026-08-03</t>
        </is>
      </c>
      <c r="B16982" s="8" t="n">
        <v>21</v>
      </c>
      <c r="C16982" s="8" t="n">
        <v>31</v>
      </c>
      <c r="D16982" s="8" t="inlineStr">
        <is>
          <t>Disney Adventure World</t>
        </is>
      </c>
      <c r="E16982" s="8" t="inlineStr">
        <is>
          <t>RC Racer</t>
        </is>
      </c>
      <c r="F16982" s="8" t="inlineStr">
        <is>
          <t>STANDBY</t>
        </is>
      </c>
      <c r="G16982" s="8" t="n">
        <v>25</v>
      </c>
      <c r="H16982" s="8" t="inlineStr">
        <is>
          <t>OPERATING</t>
        </is>
      </c>
    </row>
    <row r="16983">
      <c r="A16983" s="8" t="inlineStr">
        <is>
          <t>2026-08-03</t>
        </is>
      </c>
      <c r="B16983" s="8" t="n">
        <v>21</v>
      </c>
      <c r="C16983" s="8" t="n">
        <v>31</v>
      </c>
      <c r="D16983" s="8" t="inlineStr">
        <is>
          <t>Disney Adventure World</t>
        </is>
      </c>
      <c r="E16983" s="8" t="inlineStr">
        <is>
          <t>RC Racer Single Rider</t>
        </is>
      </c>
      <c r="F16983" s="8" t="inlineStr">
        <is>
          <t>STANDBY</t>
        </is>
      </c>
      <c r="G16983" s="8" t="n">
        <v>20</v>
      </c>
      <c r="H16983" s="8" t="inlineStr">
        <is>
          <t>OPERATING</t>
        </is>
      </c>
    </row>
    <row r="16984">
      <c r="A16984" s="8" t="inlineStr">
        <is>
          <t>2026-08-03</t>
        </is>
      </c>
      <c r="B16984" s="8" t="n">
        <v>21</v>
      </c>
      <c r="C16984" s="8" t="n">
        <v>31</v>
      </c>
      <c r="D16984" s="8" t="inlineStr">
        <is>
          <t>Disney Adventure World</t>
        </is>
      </c>
      <c r="E16984" s="8" t="inlineStr">
        <is>
          <t>Slinky® Dog Zigzag Spin</t>
        </is>
      </c>
      <c r="F16984" s="8" t="inlineStr">
        <is>
          <t>STANDBY</t>
        </is>
      </c>
      <c r="G16984" s="8" t="n">
        <v>5</v>
      </c>
      <c r="H16984" s="8" t="inlineStr">
        <is>
          <t>OPERATING</t>
        </is>
      </c>
    </row>
    <row r="16985">
      <c r="A16985" s="8" t="inlineStr">
        <is>
          <t>2026-08-03</t>
        </is>
      </c>
      <c r="B16985" s="8" t="n">
        <v>21</v>
      </c>
      <c r="C16985" s="8" t="n">
        <v>31</v>
      </c>
      <c r="D16985" s="8" t="inlineStr">
        <is>
          <t>Disney Adventure World</t>
        </is>
      </c>
      <c r="E16985" s="8" t="inlineStr">
        <is>
          <t>Toy Soldiers Parachute Drop</t>
        </is>
      </c>
      <c r="F16985" s="8" t="inlineStr">
        <is>
          <t>STANDBY</t>
        </is>
      </c>
      <c r="G16985" s="8" t="n">
        <v>30</v>
      </c>
      <c r="H16985" s="8" t="inlineStr">
        <is>
          <t>OPERATING</t>
        </is>
      </c>
    </row>
    <row r="16986">
      <c r="A16986" s="8" t="inlineStr">
        <is>
          <t>2026-08-03</t>
        </is>
      </c>
      <c r="B16986" s="8" t="n">
        <v>21</v>
      </c>
      <c r="C16986" s="8" t="n">
        <v>31</v>
      </c>
      <c r="D16986" s="8" t="inlineStr">
        <is>
          <t>Disney Adventure World</t>
        </is>
      </c>
      <c r="E16986" s="8" t="inlineStr">
        <is>
          <t>Toy Soldiers Parachute Drop Single Rider</t>
        </is>
      </c>
      <c r="F16986" s="8" t="inlineStr">
        <is>
          <t>STANDBY</t>
        </is>
      </c>
      <c r="G16986" s="8" t="n">
        <v>10</v>
      </c>
      <c r="H16986" s="8" t="inlineStr">
        <is>
          <t>OPERATING</t>
        </is>
      </c>
    </row>
    <row r="16987">
      <c r="A16987" s="8" t="inlineStr">
        <is>
          <t>2026-08-03</t>
        </is>
      </c>
      <c r="B16987" s="8" t="n">
        <v>21</v>
      </c>
      <c r="C16987" s="8" t="n">
        <v>31</v>
      </c>
      <c r="D16987" s="8" t="inlineStr">
        <is>
          <t>Disney Adventure World</t>
        </is>
      </c>
      <c r="E16987" s="8" t="inlineStr">
        <is>
          <t>Entry to World of Frozen</t>
        </is>
      </c>
      <c r="F16987" s="8" t="inlineStr">
        <is>
          <t>STANDBY</t>
        </is>
      </c>
      <c r="G16987" s="8" t="n">
        <v>0</v>
      </c>
      <c r="H16987" s="8" t="inlineStr">
        <is>
          <t>OPERATING</t>
        </is>
      </c>
    </row>
    <row r="16988">
      <c r="A16988" s="8" t="inlineStr">
        <is>
          <t>2026-08-03</t>
        </is>
      </c>
      <c r="B16988" s="8" t="n">
        <v>21</v>
      </c>
      <c r="C16988" s="8" t="n">
        <v>31</v>
      </c>
      <c r="D16988" s="8" t="inlineStr">
        <is>
          <t>Disney Adventure World</t>
        </is>
      </c>
      <c r="E16988" s="8" t="inlineStr">
        <is>
          <t>Frozen Ever After</t>
        </is>
      </c>
      <c r="F16988" s="8" t="inlineStr">
        <is>
          <t>STANDBY</t>
        </is>
      </c>
      <c r="G16988" s="8" t="n">
        <v>30</v>
      </c>
      <c r="H16988" s="8" t="inlineStr">
        <is>
          <t>OPERATING</t>
        </is>
      </c>
    </row>
    <row r="16989">
      <c r="A16989" s="8" t="inlineStr">
        <is>
          <t>2026-08-03</t>
        </is>
      </c>
      <c r="B16989" s="8" t="n">
        <v>21</v>
      </c>
      <c r="C16989" s="8" t="n">
        <v>31</v>
      </c>
      <c r="D16989" s="8" t="inlineStr">
        <is>
          <t>Disney Adventure World</t>
        </is>
      </c>
      <c r="E16989" s="8" t="inlineStr">
        <is>
          <t>Raiponce Tangled Spin</t>
        </is>
      </c>
      <c r="F16989" s="8" t="inlineStr">
        <is>
          <t>STANDBY</t>
        </is>
      </c>
      <c r="G16989" s="8" t="n">
        <v>5</v>
      </c>
      <c r="H16989" s="8" t="inlineStr">
        <is>
          <t>OPERATING</t>
        </is>
      </c>
    </row>
    <row r="16990">
      <c r="A16990" s="8" t="inlineStr">
        <is>
          <t>2026-08-03</t>
        </is>
      </c>
      <c r="B16990" s="8" t="n">
        <v>21</v>
      </c>
      <c r="C16990" s="8" t="n">
        <v>45</v>
      </c>
      <c r="D16990" s="8" t="inlineStr">
        <is>
          <t>Disneyland Park</t>
        </is>
      </c>
      <c r="E16990" s="8" t="inlineStr">
        <is>
          <t>Adventure Isle</t>
        </is>
      </c>
      <c r="F16990" s="8" t="inlineStr">
        <is>
          <t>STANDBY</t>
        </is>
      </c>
      <c r="G16990" s="8" t="n">
        <v>0</v>
      </c>
      <c r="H16990" s="8" t="inlineStr">
        <is>
          <t>OPERATING</t>
        </is>
      </c>
    </row>
    <row r="16991">
      <c r="A16991" s="8" t="inlineStr">
        <is>
          <t>2026-08-03</t>
        </is>
      </c>
      <c r="B16991" s="8" t="n">
        <v>21</v>
      </c>
      <c r="C16991" s="8" t="n">
        <v>45</v>
      </c>
      <c r="D16991" s="8" t="inlineStr">
        <is>
          <t>Disneyland Park</t>
        </is>
      </c>
      <c r="E16991" s="8" t="inlineStr">
        <is>
          <t>Indiana Jones and the Temple of Peril Single Rider</t>
        </is>
      </c>
      <c r="F16991" s="8" t="inlineStr">
        <is>
          <t>STANDBY</t>
        </is>
      </c>
      <c r="G16991" s="8" t="n">
        <v>5</v>
      </c>
      <c r="H16991" s="8" t="inlineStr">
        <is>
          <t>OPERATING</t>
        </is>
      </c>
    </row>
    <row r="16992">
      <c r="A16992" s="8" t="inlineStr">
        <is>
          <t>2026-08-03</t>
        </is>
      </c>
      <c r="B16992" s="8" t="n">
        <v>21</v>
      </c>
      <c r="C16992" s="8" t="n">
        <v>45</v>
      </c>
      <c r="D16992" s="8" t="inlineStr">
        <is>
          <t>Disneyland Park</t>
        </is>
      </c>
      <c r="E16992" s="8" t="inlineStr">
        <is>
          <t>Indiana Jones™ and the Temple of Peril</t>
        </is>
      </c>
      <c r="F16992" s="8" t="inlineStr">
        <is>
          <t>STANDBY</t>
        </is>
      </c>
      <c r="G16992" s="8" t="n">
        <v>10</v>
      </c>
      <c r="H16992" s="8" t="inlineStr">
        <is>
          <t>OPERATING</t>
        </is>
      </c>
    </row>
    <row r="16993">
      <c r="A16993" s="8" t="inlineStr">
        <is>
          <t>2026-08-03</t>
        </is>
      </c>
      <c r="B16993" s="8" t="n">
        <v>21</v>
      </c>
      <c r="C16993" s="8" t="n">
        <v>45</v>
      </c>
      <c r="D16993" s="8" t="inlineStr">
        <is>
          <t>Disneyland Park</t>
        </is>
      </c>
      <c r="E16993" s="8" t="inlineStr">
        <is>
          <t>La Cabane des Robinson</t>
        </is>
      </c>
      <c r="F16993" s="8" t="inlineStr">
        <is>
          <t>STANDBY</t>
        </is>
      </c>
      <c r="G16993" s="8" t="n">
        <v>5</v>
      </c>
      <c r="H16993" s="8" t="inlineStr">
        <is>
          <t>OPERATING</t>
        </is>
      </c>
    </row>
    <row r="16994">
      <c r="A16994" s="8" t="inlineStr">
        <is>
          <t>2026-08-03</t>
        </is>
      </c>
      <c r="B16994" s="8" t="n">
        <v>21</v>
      </c>
      <c r="C16994" s="8" t="n">
        <v>45</v>
      </c>
      <c r="D16994" s="8" t="inlineStr">
        <is>
          <t>Disneyland Park</t>
        </is>
      </c>
      <c r="E16994" s="8" t="inlineStr">
        <is>
          <t>Le Passage Enchanté d'Aladdin</t>
        </is>
      </c>
      <c r="F16994" s="8" t="inlineStr">
        <is>
          <t>STANDBY</t>
        </is>
      </c>
      <c r="G16994" s="8" t="n">
        <v>0</v>
      </c>
      <c r="H16994" s="8" t="inlineStr">
        <is>
          <t>OPERATING</t>
        </is>
      </c>
    </row>
    <row r="16995">
      <c r="A16995" s="8" t="inlineStr">
        <is>
          <t>2026-08-03</t>
        </is>
      </c>
      <c r="B16995" s="8" t="n">
        <v>21</v>
      </c>
      <c r="C16995" s="8" t="n">
        <v>45</v>
      </c>
      <c r="D16995" s="8" t="inlineStr">
        <is>
          <t>Disneyland Park</t>
        </is>
      </c>
      <c r="E16995" s="8" t="inlineStr">
        <is>
          <t>Pirate Galleon</t>
        </is>
      </c>
      <c r="F16995" s="8" t="inlineStr">
        <is>
          <t>STANDBY</t>
        </is>
      </c>
      <c r="G16995" s="8" t="n">
        <v>0</v>
      </c>
      <c r="H16995" s="8" t="inlineStr">
        <is>
          <t>CLOSED</t>
        </is>
      </c>
    </row>
    <row r="16996">
      <c r="A16996" s="8" t="inlineStr">
        <is>
          <t>2026-08-03</t>
        </is>
      </c>
      <c r="B16996" s="8" t="n">
        <v>21</v>
      </c>
      <c r="C16996" s="8" t="n">
        <v>45</v>
      </c>
      <c r="D16996" s="8" t="inlineStr">
        <is>
          <t>Disneyland Park</t>
        </is>
      </c>
      <c r="E16996" s="8" t="inlineStr">
        <is>
          <t>Pirates of the Caribbean</t>
        </is>
      </c>
      <c r="F16996" s="8" t="inlineStr">
        <is>
          <t>STANDBY</t>
        </is>
      </c>
      <c r="G16996" s="8" t="n">
        <v>10</v>
      </c>
      <c r="H16996" s="8" t="inlineStr">
        <is>
          <t>OPERATING</t>
        </is>
      </c>
    </row>
    <row r="16997">
      <c r="A16997" s="8" t="inlineStr">
        <is>
          <t>2026-08-03</t>
        </is>
      </c>
      <c r="B16997" s="8" t="n">
        <v>21</v>
      </c>
      <c r="C16997" s="8" t="n">
        <v>45</v>
      </c>
      <c r="D16997" s="8" t="inlineStr">
        <is>
          <t>Disneyland Park</t>
        </is>
      </c>
      <c r="E16997" s="8" t="inlineStr">
        <is>
          <t>Pirates' Beach</t>
        </is>
      </c>
      <c r="F16997" s="8" t="inlineStr">
        <is>
          <t>STANDBY</t>
        </is>
      </c>
      <c r="G16997" s="8" t="n">
        <v>0</v>
      </c>
      <c r="H16997" s="8" t="inlineStr">
        <is>
          <t>OPERATING</t>
        </is>
      </c>
    </row>
    <row r="16998">
      <c r="A16998" s="8" t="inlineStr">
        <is>
          <t>2026-08-03</t>
        </is>
      </c>
      <c r="B16998" s="8" t="n">
        <v>21</v>
      </c>
      <c r="C16998" s="8" t="n">
        <v>45</v>
      </c>
      <c r="D16998" s="8" t="inlineStr">
        <is>
          <t>Disneyland Park</t>
        </is>
      </c>
      <c r="E16998" s="8" t="inlineStr">
        <is>
          <t>Autopia, presented by Avis</t>
        </is>
      </c>
      <c r="F16998" s="8" t="inlineStr">
        <is>
          <t>STANDBY</t>
        </is>
      </c>
      <c r="G16998" s="8" t="n">
        <v>70</v>
      </c>
      <c r="H16998" s="8" t="inlineStr">
        <is>
          <t>OPERATING</t>
        </is>
      </c>
    </row>
    <row r="16999">
      <c r="A16999" s="8" t="inlineStr">
        <is>
          <t>2026-08-03</t>
        </is>
      </c>
      <c r="B16999" s="8" t="n">
        <v>21</v>
      </c>
      <c r="C16999" s="8" t="n">
        <v>45</v>
      </c>
      <c r="D16999" s="8" t="inlineStr">
        <is>
          <t>Disneyland Park</t>
        </is>
      </c>
      <c r="E16999" s="8" t="inlineStr">
        <is>
          <t>Buzz Lightyear Laser Blast</t>
        </is>
      </c>
      <c r="F16999" s="8" t="inlineStr">
        <is>
          <t>STANDBY</t>
        </is>
      </c>
      <c r="G16999" s="8" t="n">
        <v>25</v>
      </c>
      <c r="H16999" s="8" t="inlineStr">
        <is>
          <t>OPERATING</t>
        </is>
      </c>
    </row>
    <row r="17000">
      <c r="A17000" s="8" t="inlineStr">
        <is>
          <t>2026-08-03</t>
        </is>
      </c>
      <c r="B17000" s="8" t="n">
        <v>21</v>
      </c>
      <c r="C17000" s="8" t="n">
        <v>45</v>
      </c>
      <c r="D17000" s="8" t="inlineStr">
        <is>
          <t>Disneyland Park</t>
        </is>
      </c>
      <c r="E17000" s="8" t="inlineStr">
        <is>
          <t>Disneyland Railroad Discoveryland Station</t>
        </is>
      </c>
      <c r="F17000" s="8" t="inlineStr">
        <is>
          <t>STANDBY</t>
        </is>
      </c>
      <c r="G17000" s="8" t="n">
        <v>0</v>
      </c>
      <c r="H17000" s="8" t="inlineStr">
        <is>
          <t>CLOSED</t>
        </is>
      </c>
    </row>
    <row r="17001">
      <c r="A17001" s="8" t="inlineStr">
        <is>
          <t>2026-08-03</t>
        </is>
      </c>
      <c r="B17001" s="8" t="n">
        <v>21</v>
      </c>
      <c r="C17001" s="8" t="n">
        <v>45</v>
      </c>
      <c r="D17001" s="8" t="inlineStr">
        <is>
          <t>Disneyland Park</t>
        </is>
      </c>
      <c r="E17001" s="8" t="inlineStr">
        <is>
          <t>Les Mystères du Nautilus</t>
        </is>
      </c>
      <c r="F17001" s="8" t="inlineStr">
        <is>
          <t>STANDBY</t>
        </is>
      </c>
      <c r="G17001" s="8" t="n">
        <v>5</v>
      </c>
      <c r="H17001" s="8" t="inlineStr">
        <is>
          <t>OPERATING</t>
        </is>
      </c>
    </row>
    <row r="17002">
      <c r="A17002" s="8" t="inlineStr">
        <is>
          <t>2026-08-03</t>
        </is>
      </c>
      <c r="B17002" s="8" t="n">
        <v>21</v>
      </c>
      <c r="C17002" s="8" t="n">
        <v>45</v>
      </c>
      <c r="D17002" s="8" t="inlineStr">
        <is>
          <t>Disneyland Park</t>
        </is>
      </c>
      <c r="E17002" s="8" t="inlineStr">
        <is>
          <t>Mickey’s PhilharMagic</t>
        </is>
      </c>
      <c r="F17002" s="8" t="inlineStr">
        <is>
          <t>STANDBY</t>
        </is>
      </c>
      <c r="G17002" s="8" t="n">
        <v>0</v>
      </c>
      <c r="H17002" s="8" t="inlineStr">
        <is>
          <t>CLOSED</t>
        </is>
      </c>
    </row>
    <row r="17003">
      <c r="A17003" s="8" t="inlineStr">
        <is>
          <t>2026-08-03</t>
        </is>
      </c>
      <c r="B17003" s="8" t="n">
        <v>21</v>
      </c>
      <c r="C17003" s="8" t="n">
        <v>45</v>
      </c>
      <c r="D17003" s="8" t="inlineStr">
        <is>
          <t>Disneyland Park</t>
        </is>
      </c>
      <c r="E17003" s="8" t="inlineStr">
        <is>
          <t>Orbitron®</t>
        </is>
      </c>
      <c r="F17003" s="8" t="inlineStr">
        <is>
          <t>STANDBY</t>
        </is>
      </c>
      <c r="G17003" s="8" t="n">
        <v>30</v>
      </c>
      <c r="H17003" s="8" t="inlineStr">
        <is>
          <t>OPERATING</t>
        </is>
      </c>
    </row>
    <row r="17004">
      <c r="A17004" s="8" t="inlineStr">
        <is>
          <t>2026-08-03</t>
        </is>
      </c>
      <c r="B17004" s="8" t="n">
        <v>21</v>
      </c>
      <c r="C17004" s="8" t="n">
        <v>45</v>
      </c>
      <c r="D17004" s="8" t="inlineStr">
        <is>
          <t>Disneyland Park</t>
        </is>
      </c>
      <c r="E17004" s="8" t="inlineStr">
        <is>
          <t>Star Tours: The Adventures Continue*</t>
        </is>
      </c>
      <c r="F17004" s="8" t="inlineStr">
        <is>
          <t>STANDBY</t>
        </is>
      </c>
      <c r="G17004" s="8" t="n">
        <v>5</v>
      </c>
      <c r="H17004" s="8" t="inlineStr">
        <is>
          <t>OPERATING</t>
        </is>
      </c>
    </row>
    <row r="17005">
      <c r="A17005" s="8" t="inlineStr">
        <is>
          <t>2026-08-03</t>
        </is>
      </c>
      <c r="B17005" s="8" t="n">
        <v>21</v>
      </c>
      <c r="C17005" s="8" t="n">
        <v>45</v>
      </c>
      <c r="D17005" s="8" t="inlineStr">
        <is>
          <t>Disneyland Park</t>
        </is>
      </c>
      <c r="E17005" s="8" t="inlineStr">
        <is>
          <t>Star Wars Hyperspace Mountain</t>
        </is>
      </c>
      <c r="F17005" s="8" t="inlineStr">
        <is>
          <t>STANDBY</t>
        </is>
      </c>
      <c r="G17005" s="8" t="n">
        <v>15</v>
      </c>
      <c r="H17005" s="8" t="inlineStr">
        <is>
          <t>OPERATING</t>
        </is>
      </c>
    </row>
    <row r="17006">
      <c r="A17006" s="8" t="inlineStr">
        <is>
          <t>2026-08-03</t>
        </is>
      </c>
      <c r="B17006" s="8" t="n">
        <v>21</v>
      </c>
      <c r="C17006" s="8" t="n">
        <v>45</v>
      </c>
      <c r="D17006" s="8" t="inlineStr">
        <is>
          <t>Disneyland Park</t>
        </is>
      </c>
      <c r="E17006" s="8" t="inlineStr">
        <is>
          <t>Star Wars Hyperspace Mountain Single Rider</t>
        </is>
      </c>
      <c r="F17006" s="8" t="inlineStr">
        <is>
          <t>STANDBY</t>
        </is>
      </c>
      <c r="G17006" s="8" t="n">
        <v>5</v>
      </c>
      <c r="H17006" s="8" t="inlineStr">
        <is>
          <t>OPERATING</t>
        </is>
      </c>
    </row>
    <row r="17007">
      <c r="A17007" s="8" t="inlineStr">
        <is>
          <t>2026-08-03</t>
        </is>
      </c>
      <c r="B17007" s="8" t="n">
        <v>21</v>
      </c>
      <c r="C17007" s="8" t="n">
        <v>45</v>
      </c>
      <c r="D17007" s="8" t="inlineStr">
        <is>
          <t>Disneyland Park</t>
        </is>
      </c>
      <c r="E17007" s="8" t="inlineStr">
        <is>
          <t>Welcome to Starport: A Star Wars Encounter</t>
        </is>
      </c>
      <c r="F17007" s="8" t="inlineStr">
        <is>
          <t>STANDBY</t>
        </is>
      </c>
      <c r="G17007" s="8" t="n">
        <v>0</v>
      </c>
      <c r="H17007" s="8" t="inlineStr">
        <is>
          <t>CLOSED</t>
        </is>
      </c>
    </row>
    <row r="17008">
      <c r="A17008" s="8" t="inlineStr">
        <is>
          <t>2026-08-03</t>
        </is>
      </c>
      <c r="B17008" s="8" t="n">
        <v>21</v>
      </c>
      <c r="C17008" s="8" t="n">
        <v>45</v>
      </c>
      <c r="D17008" s="8" t="inlineStr">
        <is>
          <t>Disneyland Park</t>
        </is>
      </c>
      <c r="E17008" s="8" t="inlineStr">
        <is>
          <t>"it's a small world"</t>
        </is>
      </c>
      <c r="F17008" s="8" t="inlineStr">
        <is>
          <t>STANDBY</t>
        </is>
      </c>
      <c r="G17008" s="8" t="n">
        <v>5</v>
      </c>
      <c r="H17008" s="8" t="inlineStr">
        <is>
          <t>OPERATING</t>
        </is>
      </c>
    </row>
    <row r="17009">
      <c r="A17009" s="8" t="inlineStr">
        <is>
          <t>2026-08-03</t>
        </is>
      </c>
      <c r="B17009" s="8" t="n">
        <v>21</v>
      </c>
      <c r="C17009" s="8" t="n">
        <v>45</v>
      </c>
      <c r="D17009" s="8" t="inlineStr">
        <is>
          <t>Disneyland Park</t>
        </is>
      </c>
      <c r="E17009" s="8" t="inlineStr">
        <is>
          <t>Alice's Curious Labyrinth</t>
        </is>
      </c>
      <c r="F17009" s="8" t="inlineStr">
        <is>
          <t>STANDBY</t>
        </is>
      </c>
      <c r="G17009" s="8" t="n">
        <v>0</v>
      </c>
      <c r="H17009" s="8" t="inlineStr">
        <is>
          <t>CLOSED</t>
        </is>
      </c>
    </row>
    <row r="17010">
      <c r="A17010" s="8" t="inlineStr">
        <is>
          <t>2026-08-03</t>
        </is>
      </c>
      <c r="B17010" s="8" t="n">
        <v>21</v>
      </c>
      <c r="C17010" s="8" t="n">
        <v>45</v>
      </c>
      <c r="D17010" s="8" t="inlineStr">
        <is>
          <t>Disneyland Park</t>
        </is>
      </c>
      <c r="E17010" s="8" t="inlineStr">
        <is>
          <t>Blanche-Neige et les Sept Nains®</t>
        </is>
      </c>
      <c r="F17010" s="8" t="inlineStr">
        <is>
          <t>STANDBY</t>
        </is>
      </c>
      <c r="G17010" s="8" t="n">
        <v>0</v>
      </c>
      <c r="H17010" s="8" t="inlineStr">
        <is>
          <t>CLOSED</t>
        </is>
      </c>
    </row>
    <row r="17011">
      <c r="A17011" s="8" t="inlineStr">
        <is>
          <t>2026-08-03</t>
        </is>
      </c>
      <c r="B17011" s="8" t="n">
        <v>21</v>
      </c>
      <c r="C17011" s="8" t="n">
        <v>45</v>
      </c>
      <c r="D17011" s="8" t="inlineStr">
        <is>
          <t>Disneyland Park</t>
        </is>
      </c>
      <c r="E17011" s="8" t="inlineStr">
        <is>
          <t>Casey Jr. – le Petit Train du Cirque</t>
        </is>
      </c>
      <c r="F17011" s="8" t="inlineStr">
        <is>
          <t>STANDBY</t>
        </is>
      </c>
      <c r="G17011" s="8" t="n">
        <v>0</v>
      </c>
      <c r="H17011" s="8" t="inlineStr">
        <is>
          <t>CLOSED</t>
        </is>
      </c>
    </row>
    <row r="17012">
      <c r="A17012" s="8" t="inlineStr">
        <is>
          <t>2026-08-03</t>
        </is>
      </c>
      <c r="B17012" s="8" t="n">
        <v>21</v>
      </c>
      <c r="C17012" s="8" t="n">
        <v>45</v>
      </c>
      <c r="D17012" s="8" t="inlineStr">
        <is>
          <t>Disneyland Park</t>
        </is>
      </c>
      <c r="E17012" s="8" t="inlineStr">
        <is>
          <t>Disneyland Railroad Fantasyland Station</t>
        </is>
      </c>
      <c r="F17012" s="8" t="inlineStr">
        <is>
          <t>STANDBY</t>
        </is>
      </c>
      <c r="G17012" s="8" t="n">
        <v>0</v>
      </c>
      <c r="H17012" s="8" t="inlineStr">
        <is>
          <t>CLOSED</t>
        </is>
      </c>
    </row>
    <row r="17013">
      <c r="A17013" s="8" t="inlineStr">
        <is>
          <t>2026-08-03</t>
        </is>
      </c>
      <c r="B17013" s="8" t="n">
        <v>21</v>
      </c>
      <c r="C17013" s="8" t="n">
        <v>45</v>
      </c>
      <c r="D17013" s="8" t="inlineStr">
        <is>
          <t>Disneyland Park</t>
        </is>
      </c>
      <c r="E17013" s="8" t="inlineStr">
        <is>
          <t>Disneyland Railroad Main Street Station</t>
        </is>
      </c>
      <c r="F17013" s="8" t="inlineStr">
        <is>
          <t>STANDBY</t>
        </is>
      </c>
      <c r="G17013" s="8" t="n">
        <v>0</v>
      </c>
      <c r="H17013" s="8" t="inlineStr">
        <is>
          <t>CLOSED</t>
        </is>
      </c>
    </row>
    <row r="17014">
      <c r="A17014" s="8" t="inlineStr">
        <is>
          <t>2026-08-03</t>
        </is>
      </c>
      <c r="B17014" s="8" t="n">
        <v>21</v>
      </c>
      <c r="C17014" s="8" t="n">
        <v>45</v>
      </c>
      <c r="D17014" s="8" t="inlineStr">
        <is>
          <t>Disneyland Park</t>
        </is>
      </c>
      <c r="E17014" s="8" t="inlineStr">
        <is>
          <t>Dumbo the Flying Elephant</t>
        </is>
      </c>
      <c r="F17014" s="8" t="inlineStr">
        <is>
          <t>STANDBY</t>
        </is>
      </c>
      <c r="G17014" s="8" t="n">
        <v>0</v>
      </c>
      <c r="H17014" s="8" t="inlineStr">
        <is>
          <t>CLOSED</t>
        </is>
      </c>
    </row>
    <row r="17015">
      <c r="A17015" s="8" t="inlineStr">
        <is>
          <t>2026-08-03</t>
        </is>
      </c>
      <c r="B17015" s="8" t="n">
        <v>21</v>
      </c>
      <c r="C17015" s="8" t="n">
        <v>45</v>
      </c>
      <c r="D17015" s="8" t="inlineStr">
        <is>
          <t>Disneyland Park</t>
        </is>
      </c>
      <c r="E17015" s="8" t="inlineStr">
        <is>
          <t>La Tanière du Dragon</t>
        </is>
      </c>
      <c r="F17015" s="8" t="inlineStr">
        <is>
          <t>STANDBY</t>
        </is>
      </c>
      <c r="G17015" s="8" t="n">
        <v>0</v>
      </c>
      <c r="H17015" s="8" t="inlineStr">
        <is>
          <t>CLOSED</t>
        </is>
      </c>
    </row>
    <row r="17016">
      <c r="A17016" s="8" t="inlineStr">
        <is>
          <t>2026-08-03</t>
        </is>
      </c>
      <c r="B17016" s="8" t="n">
        <v>21</v>
      </c>
      <c r="C17016" s="8" t="n">
        <v>45</v>
      </c>
      <c r="D17016" s="8" t="inlineStr">
        <is>
          <t>Disneyland Park</t>
        </is>
      </c>
      <c r="E17016" s="8" t="inlineStr">
        <is>
          <t>Le Carrousel de Lancelot</t>
        </is>
      </c>
      <c r="F17016" s="8" t="inlineStr">
        <is>
          <t>STANDBY</t>
        </is>
      </c>
      <c r="G17016" s="8" t="n">
        <v>0</v>
      </c>
      <c r="H17016" s="8" t="inlineStr">
        <is>
          <t>CLOSED</t>
        </is>
      </c>
    </row>
    <row r="17017">
      <c r="A17017" s="8" t="inlineStr">
        <is>
          <t>2026-08-03</t>
        </is>
      </c>
      <c r="B17017" s="8" t="n">
        <v>21</v>
      </c>
      <c r="C17017" s="8" t="n">
        <v>45</v>
      </c>
      <c r="D17017" s="8" t="inlineStr">
        <is>
          <t>Disneyland Park</t>
        </is>
      </c>
      <c r="E17017" s="8" t="inlineStr">
        <is>
          <t>Le Pays des Contes de Fées, presented by Vittel</t>
        </is>
      </c>
      <c r="F17017" s="8" t="inlineStr">
        <is>
          <t>STANDBY</t>
        </is>
      </c>
      <c r="G17017" s="8" t="n">
        <v>0</v>
      </c>
      <c r="H17017" s="8" t="inlineStr">
        <is>
          <t>CLOSED</t>
        </is>
      </c>
    </row>
    <row r="17018">
      <c r="A17018" s="8" t="inlineStr">
        <is>
          <t>2026-08-03</t>
        </is>
      </c>
      <c r="B17018" s="8" t="n">
        <v>21</v>
      </c>
      <c r="C17018" s="8" t="n">
        <v>45</v>
      </c>
      <c r="D17018" s="8" t="inlineStr">
        <is>
          <t>Disneyland Park</t>
        </is>
      </c>
      <c r="E17018" s="8" t="inlineStr">
        <is>
          <t>Les Voyages de Pinocchio</t>
        </is>
      </c>
      <c r="F17018" s="8" t="inlineStr">
        <is>
          <t>STANDBY</t>
        </is>
      </c>
      <c r="G17018" s="8" t="n">
        <v>0</v>
      </c>
      <c r="H17018" s="8" t="inlineStr">
        <is>
          <t>CLOSED</t>
        </is>
      </c>
    </row>
    <row r="17019">
      <c r="A17019" s="8" t="inlineStr">
        <is>
          <t>2026-08-03</t>
        </is>
      </c>
      <c r="B17019" s="8" t="n">
        <v>21</v>
      </c>
      <c r="C17019" s="8" t="n">
        <v>45</v>
      </c>
      <c r="D17019" s="8" t="inlineStr">
        <is>
          <t>Disneyland Park</t>
        </is>
      </c>
      <c r="E17019" s="8" t="inlineStr">
        <is>
          <t>Mad Hatter's Tea Cups</t>
        </is>
      </c>
      <c r="F17019" s="8" t="inlineStr">
        <is>
          <t>STANDBY</t>
        </is>
      </c>
      <c r="G17019" s="8" t="n">
        <v>0</v>
      </c>
      <c r="H17019" s="8" t="inlineStr">
        <is>
          <t>CLOSED</t>
        </is>
      </c>
    </row>
    <row r="17020">
      <c r="A17020" s="8" t="inlineStr">
        <is>
          <t>2026-08-03</t>
        </is>
      </c>
      <c r="B17020" s="8" t="n">
        <v>21</v>
      </c>
      <c r="C17020" s="8" t="n">
        <v>45</v>
      </c>
      <c r="D17020" s="8" t="inlineStr">
        <is>
          <t>Disneyland Park</t>
        </is>
      </c>
      <c r="E17020" s="8" t="inlineStr">
        <is>
          <t>Meet Mickey Mouse</t>
        </is>
      </c>
      <c r="F17020" s="8" t="inlineStr">
        <is>
          <t>STANDBY</t>
        </is>
      </c>
      <c r="G17020" s="8" t="n">
        <v>0</v>
      </c>
      <c r="H17020" s="8" t="inlineStr">
        <is>
          <t>CLOSED</t>
        </is>
      </c>
    </row>
    <row r="17021">
      <c r="A17021" s="8" t="inlineStr">
        <is>
          <t>2026-08-03</t>
        </is>
      </c>
      <c r="B17021" s="8" t="n">
        <v>21</v>
      </c>
      <c r="C17021" s="8" t="n">
        <v>45</v>
      </c>
      <c r="D17021" s="8" t="inlineStr">
        <is>
          <t>Disneyland Park</t>
        </is>
      </c>
      <c r="E17021" s="8" t="inlineStr">
        <is>
          <t>Peter Pan's Flight</t>
        </is>
      </c>
      <c r="F17021" s="8" t="inlineStr">
        <is>
          <t>STANDBY</t>
        </is>
      </c>
      <c r="G17021" s="8" t="n">
        <v>50</v>
      </c>
      <c r="H17021" s="8" t="inlineStr">
        <is>
          <t>OPERATING</t>
        </is>
      </c>
    </row>
    <row r="17022">
      <c r="A17022" s="8" t="inlineStr">
        <is>
          <t>2026-08-03</t>
        </is>
      </c>
      <c r="B17022" s="8" t="n">
        <v>21</v>
      </c>
      <c r="C17022" s="8" t="n">
        <v>45</v>
      </c>
      <c r="D17022" s="8" t="inlineStr">
        <is>
          <t>Disneyland Park</t>
        </is>
      </c>
      <c r="E17022" s="8" t="inlineStr">
        <is>
          <t>Princess Pavilion</t>
        </is>
      </c>
      <c r="F17022" s="8" t="inlineStr">
        <is>
          <t>STANDBY</t>
        </is>
      </c>
      <c r="G17022" s="8" t="n">
        <v>0</v>
      </c>
      <c r="H17022" s="8" t="inlineStr">
        <is>
          <t>CLOSED</t>
        </is>
      </c>
    </row>
    <row r="17023">
      <c r="A17023" s="8" t="inlineStr">
        <is>
          <t>2026-08-03</t>
        </is>
      </c>
      <c r="B17023" s="8" t="n">
        <v>21</v>
      </c>
      <c r="C17023" s="8" t="n">
        <v>45</v>
      </c>
      <c r="D17023" s="8" t="inlineStr">
        <is>
          <t>Disneyland Park</t>
        </is>
      </c>
      <c r="E17023" s="8" t="inlineStr">
        <is>
          <t>Big Thunder Mountain</t>
        </is>
      </c>
      <c r="F17023" s="8" t="inlineStr">
        <is>
          <t>STANDBY</t>
        </is>
      </c>
      <c r="G17023" s="8" t="n">
        <v>50</v>
      </c>
      <c r="H17023" s="8" t="inlineStr">
        <is>
          <t>OPERATING</t>
        </is>
      </c>
    </row>
    <row r="17024">
      <c r="A17024" s="8" t="inlineStr">
        <is>
          <t>2026-08-03</t>
        </is>
      </c>
      <c r="B17024" s="8" t="n">
        <v>21</v>
      </c>
      <c r="C17024" s="8" t="n">
        <v>45</v>
      </c>
      <c r="D17024" s="8" t="inlineStr">
        <is>
          <t>Disneyland Park</t>
        </is>
      </c>
      <c r="E17024" s="8" t="inlineStr">
        <is>
          <t>Disneyland Railroad Frontierland Depot</t>
        </is>
      </c>
      <c r="F17024" s="8" t="inlineStr">
        <is>
          <t>STANDBY</t>
        </is>
      </c>
      <c r="G17024" s="8" t="n">
        <v>0</v>
      </c>
      <c r="H17024" s="8" t="inlineStr">
        <is>
          <t>CLOSED</t>
        </is>
      </c>
    </row>
    <row r="17025">
      <c r="A17025" s="8" t="inlineStr">
        <is>
          <t>2026-08-03</t>
        </is>
      </c>
      <c r="B17025" s="8" t="n">
        <v>21</v>
      </c>
      <c r="C17025" s="8" t="n">
        <v>45</v>
      </c>
      <c r="D17025" s="8" t="inlineStr">
        <is>
          <t>Disneyland Park</t>
        </is>
      </c>
      <c r="E17025" s="8" t="inlineStr">
        <is>
          <t>Frontierland Playground</t>
        </is>
      </c>
      <c r="F17025" s="8" t="inlineStr">
        <is>
          <t>STANDBY</t>
        </is>
      </c>
      <c r="G17025" s="8" t="n">
        <v>0</v>
      </c>
      <c r="H17025" s="8" t="inlineStr">
        <is>
          <t>CLOSED</t>
        </is>
      </c>
    </row>
    <row r="17026">
      <c r="A17026" s="8" t="inlineStr">
        <is>
          <t>2026-08-03</t>
        </is>
      </c>
      <c r="B17026" s="8" t="n">
        <v>21</v>
      </c>
      <c r="C17026" s="8" t="n">
        <v>45</v>
      </c>
      <c r="D17026" s="8" t="inlineStr">
        <is>
          <t>Disneyland Park</t>
        </is>
      </c>
      <c r="E17026" s="8" t="inlineStr">
        <is>
          <t>Phantom Manor</t>
        </is>
      </c>
      <c r="F17026" s="8" t="inlineStr">
        <is>
          <t>STANDBY</t>
        </is>
      </c>
      <c r="G17026" s="8" t="n">
        <v>5</v>
      </c>
      <c r="H17026" s="8" t="inlineStr">
        <is>
          <t>OPERATING</t>
        </is>
      </c>
    </row>
    <row r="17027">
      <c r="A17027" s="8" t="inlineStr">
        <is>
          <t>2026-08-03</t>
        </is>
      </c>
      <c r="B17027" s="8" t="n">
        <v>21</v>
      </c>
      <c r="C17027" s="8" t="n">
        <v>45</v>
      </c>
      <c r="D17027" s="8" t="inlineStr">
        <is>
          <t>Disneyland Park</t>
        </is>
      </c>
      <c r="E17027" s="8" t="inlineStr">
        <is>
          <t>River Rogue Keelboats</t>
        </is>
      </c>
      <c r="F17027" s="8" t="inlineStr">
        <is>
          <t>STANDBY</t>
        </is>
      </c>
      <c r="G17027" s="8" t="n">
        <v>0</v>
      </c>
      <c r="H17027" s="8" t="inlineStr">
        <is>
          <t>CLOSED</t>
        </is>
      </c>
    </row>
    <row r="17028">
      <c r="A17028" s="8" t="inlineStr">
        <is>
          <t>2026-08-03</t>
        </is>
      </c>
      <c r="B17028" s="8" t="n">
        <v>21</v>
      </c>
      <c r="C17028" s="8" t="n">
        <v>45</v>
      </c>
      <c r="D17028" s="8" t="inlineStr">
        <is>
          <t>Disneyland Park</t>
        </is>
      </c>
      <c r="E17028" s="8" t="inlineStr">
        <is>
          <t>Rustler Roundup Shootin' Gallery</t>
        </is>
      </c>
      <c r="F17028" s="8" t="inlineStr">
        <is>
          <t>STANDBY</t>
        </is>
      </c>
      <c r="G17028" s="8" t="n">
        <v>0</v>
      </c>
      <c r="H17028" s="8" t="inlineStr">
        <is>
          <t>CLOSED</t>
        </is>
      </c>
    </row>
    <row r="17029">
      <c r="A17029" s="8" t="inlineStr">
        <is>
          <t>2026-08-03</t>
        </is>
      </c>
      <c r="B17029" s="8" t="n">
        <v>21</v>
      </c>
      <c r="C17029" s="8" t="n">
        <v>45</v>
      </c>
      <c r="D17029" s="8" t="inlineStr">
        <is>
          <t>Disneyland Park</t>
        </is>
      </c>
      <c r="E17029" s="8" t="inlineStr">
        <is>
          <t>Thunder Mesa Riverboat Landing</t>
        </is>
      </c>
      <c r="F17029" s="8" t="inlineStr">
        <is>
          <t>STANDBY</t>
        </is>
      </c>
      <c r="G17029" s="8" t="n">
        <v>0</v>
      </c>
      <c r="H17029" s="8" t="inlineStr">
        <is>
          <t>CLOSED</t>
        </is>
      </c>
    </row>
    <row r="17030">
      <c r="A17030" s="8" t="inlineStr">
        <is>
          <t>2026-08-03</t>
        </is>
      </c>
      <c r="B17030" s="8" t="n">
        <v>21</v>
      </c>
      <c r="C17030" s="8" t="n">
        <v>45</v>
      </c>
      <c r="D17030" s="8" t="inlineStr">
        <is>
          <t>Disneyland Park</t>
        </is>
      </c>
      <c r="E17030" s="8" t="inlineStr">
        <is>
          <t>Disneyland Railroad Main Street Station</t>
        </is>
      </c>
      <c r="F17030" s="8" t="inlineStr">
        <is>
          <t>STANDBY</t>
        </is>
      </c>
      <c r="G17030" s="8" t="n">
        <v>0</v>
      </c>
      <c r="H17030" s="8" t="inlineStr">
        <is>
          <t>CLOSED</t>
        </is>
      </c>
    </row>
    <row r="17031">
      <c r="A17031" s="8" t="inlineStr">
        <is>
          <t>2026-08-03</t>
        </is>
      </c>
      <c r="B17031" s="8" t="n">
        <v>21</v>
      </c>
      <c r="C17031" s="8" t="n">
        <v>45</v>
      </c>
      <c r="D17031" s="8" t="inlineStr">
        <is>
          <t>Disneyland Park</t>
        </is>
      </c>
      <c r="E17031" s="8" t="inlineStr">
        <is>
          <t>Main Street Vehicles</t>
        </is>
      </c>
      <c r="F17031" s="8" t="inlineStr">
        <is>
          <t>STANDBY</t>
        </is>
      </c>
      <c r="G17031" s="8" t="n">
        <v>0</v>
      </c>
      <c r="H17031" s="8" t="inlineStr">
        <is>
          <t>CLOSED</t>
        </is>
      </c>
    </row>
    <row r="17032">
      <c r="A17032" s="8" t="inlineStr">
        <is>
          <t>2026-08-03</t>
        </is>
      </c>
      <c r="B17032" s="8" t="n">
        <v>21</v>
      </c>
      <c r="C17032" s="8" t="n">
        <v>45</v>
      </c>
      <c r="D17032" s="8" t="inlineStr">
        <is>
          <t>Disney Adventure World</t>
        </is>
      </c>
      <c r="E17032" s="8" t="inlineStr">
        <is>
          <t>Avengers Assemble: Flight Force</t>
        </is>
      </c>
      <c r="F17032" s="8" t="inlineStr">
        <is>
          <t>STANDBY</t>
        </is>
      </c>
      <c r="G17032" s="8" t="n">
        <v>5</v>
      </c>
      <c r="H17032" s="8" t="inlineStr">
        <is>
          <t>OPERATING</t>
        </is>
      </c>
    </row>
    <row r="17033">
      <c r="A17033" s="8" t="inlineStr">
        <is>
          <t>2026-08-03</t>
        </is>
      </c>
      <c r="B17033" s="8" t="n">
        <v>21</v>
      </c>
      <c r="C17033" s="8" t="n">
        <v>45</v>
      </c>
      <c r="D17033" s="8" t="inlineStr">
        <is>
          <t>Disney Adventure World</t>
        </is>
      </c>
      <c r="E17033" s="8" t="inlineStr">
        <is>
          <t>Avengers Assemble: Flight Force Single Rider</t>
        </is>
      </c>
      <c r="F17033" s="8" t="inlineStr">
        <is>
          <t>STANDBY</t>
        </is>
      </c>
      <c r="G17033" s="8" t="n">
        <v>5</v>
      </c>
      <c r="H17033" s="8" t="inlineStr">
        <is>
          <t>OPERATING</t>
        </is>
      </c>
    </row>
    <row r="17034">
      <c r="A17034" s="8" t="inlineStr">
        <is>
          <t>2026-08-03</t>
        </is>
      </c>
      <c r="B17034" s="8" t="n">
        <v>21</v>
      </c>
      <c r="C17034" s="8" t="n">
        <v>45</v>
      </c>
      <c r="D17034" s="8" t="inlineStr">
        <is>
          <t>Disney Adventure World</t>
        </is>
      </c>
      <c r="E17034" s="8" t="inlineStr">
        <is>
          <t>Spider-Man W.E.B. Adventure</t>
        </is>
      </c>
      <c r="F17034" s="8" t="inlineStr">
        <is>
          <t>STANDBY</t>
        </is>
      </c>
      <c r="G17034" s="8" t="n">
        <v>0</v>
      </c>
      <c r="H17034" s="8" t="inlineStr">
        <is>
          <t>CLOSED</t>
        </is>
      </c>
    </row>
    <row r="17035">
      <c r="A17035" s="8" t="inlineStr">
        <is>
          <t>2026-08-03</t>
        </is>
      </c>
      <c r="B17035" s="8" t="n">
        <v>21</v>
      </c>
      <c r="C17035" s="8" t="n">
        <v>45</v>
      </c>
      <c r="D17035" s="8" t="inlineStr">
        <is>
          <t>Disney Adventure World</t>
        </is>
      </c>
      <c r="E17035" s="8" t="inlineStr">
        <is>
          <t>Spider-Man W.E.B. Adventure Single Rider</t>
        </is>
      </c>
      <c r="F17035" s="8" t="inlineStr">
        <is>
          <t>STANDBY</t>
        </is>
      </c>
      <c r="G17035" s="8" t="n">
        <v>0</v>
      </c>
      <c r="H17035" s="8" t="inlineStr">
        <is>
          <t>CLOSED</t>
        </is>
      </c>
    </row>
    <row r="17036">
      <c r="A17036" s="8" t="inlineStr">
        <is>
          <t>2026-08-03</t>
        </is>
      </c>
      <c r="B17036" s="8" t="n">
        <v>21</v>
      </c>
      <c r="C17036" s="8" t="n">
        <v>45</v>
      </c>
      <c r="D17036" s="8" t="inlineStr">
        <is>
          <t>Disney Adventure World</t>
        </is>
      </c>
      <c r="E17036" s="8" t="inlineStr">
        <is>
          <t>The Twilight Zone Tower of Terror</t>
        </is>
      </c>
      <c r="F17036" s="8" t="inlineStr">
        <is>
          <t>STANDBY</t>
        </is>
      </c>
      <c r="G17036" s="8" t="n">
        <v>20</v>
      </c>
      <c r="H17036" s="8" t="inlineStr">
        <is>
          <t>OPERATING</t>
        </is>
      </c>
    </row>
    <row r="17037">
      <c r="A17037" s="8" t="inlineStr">
        <is>
          <t>2026-08-03</t>
        </is>
      </c>
      <c r="B17037" s="8" t="n">
        <v>21</v>
      </c>
      <c r="C17037" s="8" t="n">
        <v>45</v>
      </c>
      <c r="D17037" s="8" t="inlineStr">
        <is>
          <t>Disney Adventure World</t>
        </is>
      </c>
      <c r="E17037" s="8" t="inlineStr">
        <is>
          <t>Cars Quatre Roues Rallye</t>
        </is>
      </c>
      <c r="F17037" s="8" t="inlineStr">
        <is>
          <t>STANDBY</t>
        </is>
      </c>
      <c r="G17037" s="8" t="n">
        <v>5</v>
      </c>
      <c r="H17037" s="8" t="inlineStr">
        <is>
          <t>OPERATING</t>
        </is>
      </c>
    </row>
    <row r="17038">
      <c r="A17038" s="8" t="inlineStr">
        <is>
          <t>2026-08-03</t>
        </is>
      </c>
      <c r="B17038" s="8" t="n">
        <v>21</v>
      </c>
      <c r="C17038" s="8" t="n">
        <v>45</v>
      </c>
      <c r="D17038" s="8" t="inlineStr">
        <is>
          <t>Disney Adventure World</t>
        </is>
      </c>
      <c r="E17038" s="8" t="inlineStr">
        <is>
          <t>Cars ROAD TRIP</t>
        </is>
      </c>
      <c r="F17038" s="8" t="inlineStr">
        <is>
          <t>STANDBY</t>
        </is>
      </c>
      <c r="G17038" s="8" t="n">
        <v>0</v>
      </c>
      <c r="H17038" s="8" t="inlineStr">
        <is>
          <t>CLOSED</t>
        </is>
      </c>
    </row>
    <row r="17039">
      <c r="A17039" s="8" t="inlineStr">
        <is>
          <t>2026-08-03</t>
        </is>
      </c>
      <c r="B17039" s="8" t="n">
        <v>21</v>
      </c>
      <c r="C17039" s="8" t="n">
        <v>45</v>
      </c>
      <c r="D17039" s="8" t="inlineStr">
        <is>
          <t>Disney Adventure World</t>
        </is>
      </c>
      <c r="E17039" s="8" t="inlineStr">
        <is>
          <t>Crush's Coaster</t>
        </is>
      </c>
      <c r="F17039" s="8" t="inlineStr">
        <is>
          <t>STANDBY</t>
        </is>
      </c>
      <c r="G17039" s="8" t="n">
        <v>45</v>
      </c>
      <c r="H17039" s="8" t="inlineStr">
        <is>
          <t>OPERATING</t>
        </is>
      </c>
    </row>
    <row r="17040">
      <c r="A17040" s="8" t="inlineStr">
        <is>
          <t>2026-08-03</t>
        </is>
      </c>
      <c r="B17040" s="8" t="n">
        <v>21</v>
      </c>
      <c r="C17040" s="8" t="n">
        <v>45</v>
      </c>
      <c r="D17040" s="8" t="inlineStr">
        <is>
          <t>Disney Adventure World</t>
        </is>
      </c>
      <c r="E17040" s="8" t="inlineStr">
        <is>
          <t>Crush's Coaster Single Rider</t>
        </is>
      </c>
      <c r="F17040" s="8" t="inlineStr">
        <is>
          <t>STANDBY</t>
        </is>
      </c>
      <c r="G17040" s="8" t="n">
        <v>30</v>
      </c>
      <c r="H17040" s="8" t="inlineStr">
        <is>
          <t>OPERATING</t>
        </is>
      </c>
    </row>
    <row r="17041">
      <c r="A17041" s="8" t="inlineStr">
        <is>
          <t>2026-08-03</t>
        </is>
      </c>
      <c r="B17041" s="8" t="n">
        <v>21</v>
      </c>
      <c r="C17041" s="8" t="n">
        <v>45</v>
      </c>
      <c r="D17041" s="8" t="inlineStr">
        <is>
          <t>Disney Adventure World</t>
        </is>
      </c>
      <c r="E17041" s="8" t="inlineStr">
        <is>
          <t>Les Tapis Volants - Flying Carpets Over Agrabah®</t>
        </is>
      </c>
      <c r="F17041" s="8" t="inlineStr">
        <is>
          <t>STANDBY</t>
        </is>
      </c>
      <c r="G17041" s="8" t="n">
        <v>5</v>
      </c>
      <c r="H17041" s="8" t="inlineStr">
        <is>
          <t>OPERATING</t>
        </is>
      </c>
    </row>
    <row r="17042">
      <c r="A17042" s="8" t="inlineStr">
        <is>
          <t>2026-08-03</t>
        </is>
      </c>
      <c r="B17042" s="8" t="n">
        <v>21</v>
      </c>
      <c r="C17042" s="8" t="n">
        <v>45</v>
      </c>
      <c r="D17042" s="8" t="inlineStr">
        <is>
          <t>Disney Adventure World</t>
        </is>
      </c>
      <c r="E17042" s="8" t="inlineStr">
        <is>
          <t>Ratatouille : L’Aventure Totalement Toquée de Rémy​</t>
        </is>
      </c>
      <c r="F17042" s="8" t="inlineStr">
        <is>
          <t>STANDBY</t>
        </is>
      </c>
      <c r="G17042" s="8" t="n">
        <v>35</v>
      </c>
      <c r="H17042" s="8" t="inlineStr">
        <is>
          <t>OPERATING</t>
        </is>
      </c>
    </row>
    <row r="17043">
      <c r="A17043" s="8" t="inlineStr">
        <is>
          <t>2026-08-03</t>
        </is>
      </c>
      <c r="B17043" s="8" t="n">
        <v>21</v>
      </c>
      <c r="C17043" s="8" t="n">
        <v>45</v>
      </c>
      <c r="D17043" s="8" t="inlineStr">
        <is>
          <t>Disney Adventure World</t>
        </is>
      </c>
      <c r="E17043" s="8" t="inlineStr">
        <is>
          <t>Ratatouille: The Adventure Single Rider</t>
        </is>
      </c>
      <c r="F17043" s="8" t="inlineStr">
        <is>
          <t>STANDBY</t>
        </is>
      </c>
      <c r="G17043" s="8" t="n">
        <v>5</v>
      </c>
      <c r="H17043" s="8" t="inlineStr">
        <is>
          <t>OPERATING</t>
        </is>
      </c>
    </row>
    <row r="17044">
      <c r="A17044" s="8" t="inlineStr">
        <is>
          <t>2026-08-03</t>
        </is>
      </c>
      <c r="B17044" s="8" t="n">
        <v>21</v>
      </c>
      <c r="C17044" s="8" t="n">
        <v>45</v>
      </c>
      <c r="D17044" s="8" t="inlineStr">
        <is>
          <t>Disney Adventure World</t>
        </is>
      </c>
      <c r="E17044" s="8" t="inlineStr">
        <is>
          <t>RC Racer</t>
        </is>
      </c>
      <c r="F17044" s="8" t="inlineStr">
        <is>
          <t>STANDBY</t>
        </is>
      </c>
      <c r="G17044" s="8" t="n">
        <v>20</v>
      </c>
      <c r="H17044" s="8" t="inlineStr">
        <is>
          <t>OPERATING</t>
        </is>
      </c>
    </row>
    <row r="17045">
      <c r="A17045" s="8" t="inlineStr">
        <is>
          <t>2026-08-03</t>
        </is>
      </c>
      <c r="B17045" s="8" t="n">
        <v>21</v>
      </c>
      <c r="C17045" s="8" t="n">
        <v>45</v>
      </c>
      <c r="D17045" s="8" t="inlineStr">
        <is>
          <t>Disney Adventure World</t>
        </is>
      </c>
      <c r="E17045" s="8" t="inlineStr">
        <is>
          <t>RC Racer Single Rider</t>
        </is>
      </c>
      <c r="F17045" s="8" t="inlineStr">
        <is>
          <t>STANDBY</t>
        </is>
      </c>
      <c r="G17045" s="8" t="n">
        <v>15</v>
      </c>
      <c r="H17045" s="8" t="inlineStr">
        <is>
          <t>OPERATING</t>
        </is>
      </c>
    </row>
    <row r="17046">
      <c r="A17046" s="8" t="inlineStr">
        <is>
          <t>2026-08-03</t>
        </is>
      </c>
      <c r="B17046" s="8" t="n">
        <v>21</v>
      </c>
      <c r="C17046" s="8" t="n">
        <v>45</v>
      </c>
      <c r="D17046" s="8" t="inlineStr">
        <is>
          <t>Disney Adventure World</t>
        </is>
      </c>
      <c r="E17046" s="8" t="inlineStr">
        <is>
          <t>Slinky® Dog Zigzag Spin</t>
        </is>
      </c>
      <c r="F17046" s="8" t="inlineStr">
        <is>
          <t>STANDBY</t>
        </is>
      </c>
      <c r="G17046" s="8" t="n">
        <v>5</v>
      </c>
      <c r="H17046" s="8" t="inlineStr">
        <is>
          <t>OPERATING</t>
        </is>
      </c>
    </row>
    <row r="17047">
      <c r="A17047" s="8" t="inlineStr">
        <is>
          <t>2026-08-03</t>
        </is>
      </c>
      <c r="B17047" s="8" t="n">
        <v>21</v>
      </c>
      <c r="C17047" s="8" t="n">
        <v>45</v>
      </c>
      <c r="D17047" s="8" t="inlineStr">
        <is>
          <t>Disney Adventure World</t>
        </is>
      </c>
      <c r="E17047" s="8" t="inlineStr">
        <is>
          <t>Toy Soldiers Parachute Drop</t>
        </is>
      </c>
      <c r="F17047" s="8" t="inlineStr">
        <is>
          <t>STANDBY</t>
        </is>
      </c>
      <c r="G17047" s="8" t="n">
        <v>30</v>
      </c>
      <c r="H17047" s="8" t="inlineStr">
        <is>
          <t>OPERATING</t>
        </is>
      </c>
    </row>
    <row r="17048">
      <c r="A17048" s="8" t="inlineStr">
        <is>
          <t>2026-08-03</t>
        </is>
      </c>
      <c r="B17048" s="8" t="n">
        <v>21</v>
      </c>
      <c r="C17048" s="8" t="n">
        <v>45</v>
      </c>
      <c r="D17048" s="8" t="inlineStr">
        <is>
          <t>Disney Adventure World</t>
        </is>
      </c>
      <c r="E17048" s="8" t="inlineStr">
        <is>
          <t>Toy Soldiers Parachute Drop Single Rider</t>
        </is>
      </c>
      <c r="F17048" s="8" t="inlineStr">
        <is>
          <t>STANDBY</t>
        </is>
      </c>
      <c r="G17048" s="8" t="n">
        <v>10</v>
      </c>
      <c r="H17048" s="8" t="inlineStr">
        <is>
          <t>OPERATING</t>
        </is>
      </c>
    </row>
    <row r="17049">
      <c r="A17049" s="8" t="inlineStr">
        <is>
          <t>2026-08-03</t>
        </is>
      </c>
      <c r="B17049" s="8" t="n">
        <v>21</v>
      </c>
      <c r="C17049" s="8" t="n">
        <v>45</v>
      </c>
      <c r="D17049" s="8" t="inlineStr">
        <is>
          <t>Disney Adventure World</t>
        </is>
      </c>
      <c r="E17049" s="8" t="inlineStr">
        <is>
          <t>Entry to World of Frozen</t>
        </is>
      </c>
      <c r="F17049" s="8" t="inlineStr">
        <is>
          <t>STANDBY</t>
        </is>
      </c>
      <c r="G17049" s="8" t="n">
        <v>0</v>
      </c>
      <c r="H17049" s="8" t="inlineStr">
        <is>
          <t>OPERATING</t>
        </is>
      </c>
    </row>
    <row r="17050">
      <c r="A17050" s="8" t="inlineStr">
        <is>
          <t>2026-08-03</t>
        </is>
      </c>
      <c r="B17050" s="8" t="n">
        <v>21</v>
      </c>
      <c r="C17050" s="8" t="n">
        <v>45</v>
      </c>
      <c r="D17050" s="8" t="inlineStr">
        <is>
          <t>Disney Adventure World</t>
        </is>
      </c>
      <c r="E17050" s="8" t="inlineStr">
        <is>
          <t>Frozen Ever After</t>
        </is>
      </c>
      <c r="F17050" s="8" t="inlineStr">
        <is>
          <t>STANDBY</t>
        </is>
      </c>
      <c r="G17050" s="8" t="n">
        <v>30</v>
      </c>
      <c r="H17050" s="8" t="inlineStr">
        <is>
          <t>OPERATING</t>
        </is>
      </c>
    </row>
    <row r="17051">
      <c r="A17051" s="8" t="inlineStr">
        <is>
          <t>2026-08-03</t>
        </is>
      </c>
      <c r="B17051" s="8" t="n">
        <v>21</v>
      </c>
      <c r="C17051" s="8" t="n">
        <v>45</v>
      </c>
      <c r="D17051" s="8" t="inlineStr">
        <is>
          <t>Disney Adventure World</t>
        </is>
      </c>
      <c r="E17051" s="8" t="inlineStr">
        <is>
          <t>Raiponce Tangled Spin</t>
        </is>
      </c>
      <c r="F17051" s="8" t="inlineStr">
        <is>
          <t>STANDBY</t>
        </is>
      </c>
      <c r="G17051" s="8" t="n">
        <v>5</v>
      </c>
      <c r="H17051" s="8" t="inlineStr">
        <is>
          <t>OPERATING</t>
        </is>
      </c>
    </row>
    <row r="17052">
      <c r="A17052" s="8" t="inlineStr">
        <is>
          <t>2026-08-03</t>
        </is>
      </c>
      <c r="B17052" s="8" t="n">
        <v>21</v>
      </c>
      <c r="C17052" s="8" t="n">
        <v>51</v>
      </c>
      <c r="D17052" s="8" t="inlineStr">
        <is>
          <t>Disneyland Park</t>
        </is>
      </c>
      <c r="E17052" s="8" t="inlineStr">
        <is>
          <t>Adventure Isle</t>
        </is>
      </c>
      <c r="F17052" s="8" t="inlineStr">
        <is>
          <t>STANDBY</t>
        </is>
      </c>
      <c r="G17052" s="8" t="n">
        <v>0</v>
      </c>
      <c r="H17052" s="8" t="inlineStr">
        <is>
          <t>OPERATING</t>
        </is>
      </c>
    </row>
    <row r="17053">
      <c r="A17053" s="8" t="inlineStr">
        <is>
          <t>2026-08-03</t>
        </is>
      </c>
      <c r="B17053" s="8" t="n">
        <v>21</v>
      </c>
      <c r="C17053" s="8" t="n">
        <v>51</v>
      </c>
      <c r="D17053" s="8" t="inlineStr">
        <is>
          <t>Disneyland Park</t>
        </is>
      </c>
      <c r="E17053" s="8" t="inlineStr">
        <is>
          <t>Indiana Jones and the Temple of Peril Single Rider</t>
        </is>
      </c>
      <c r="F17053" s="8" t="inlineStr">
        <is>
          <t>STANDBY</t>
        </is>
      </c>
      <c r="G17053" s="8" t="n">
        <v>5</v>
      </c>
      <c r="H17053" s="8" t="inlineStr">
        <is>
          <t>OPERATING</t>
        </is>
      </c>
    </row>
    <row r="17054">
      <c r="A17054" s="8" t="inlineStr">
        <is>
          <t>2026-08-03</t>
        </is>
      </c>
      <c r="B17054" s="8" t="n">
        <v>21</v>
      </c>
      <c r="C17054" s="8" t="n">
        <v>51</v>
      </c>
      <c r="D17054" s="8" t="inlineStr">
        <is>
          <t>Disneyland Park</t>
        </is>
      </c>
      <c r="E17054" s="8" t="inlineStr">
        <is>
          <t>Indiana Jones™ and the Temple of Peril</t>
        </is>
      </c>
      <c r="F17054" s="8" t="inlineStr">
        <is>
          <t>STANDBY</t>
        </is>
      </c>
      <c r="G17054" s="8" t="n">
        <v>10</v>
      </c>
      <c r="H17054" s="8" t="inlineStr">
        <is>
          <t>OPERATING</t>
        </is>
      </c>
    </row>
    <row r="17055">
      <c r="A17055" s="8" t="inlineStr">
        <is>
          <t>2026-08-03</t>
        </is>
      </c>
      <c r="B17055" s="8" t="n">
        <v>21</v>
      </c>
      <c r="C17055" s="8" t="n">
        <v>51</v>
      </c>
      <c r="D17055" s="8" t="inlineStr">
        <is>
          <t>Disneyland Park</t>
        </is>
      </c>
      <c r="E17055" s="8" t="inlineStr">
        <is>
          <t>La Cabane des Robinson</t>
        </is>
      </c>
      <c r="F17055" s="8" t="inlineStr">
        <is>
          <t>STANDBY</t>
        </is>
      </c>
      <c r="G17055" s="8" t="n">
        <v>5</v>
      </c>
      <c r="H17055" s="8" t="inlineStr">
        <is>
          <t>OPERATING</t>
        </is>
      </c>
    </row>
    <row r="17056">
      <c r="A17056" s="8" t="inlineStr">
        <is>
          <t>2026-08-03</t>
        </is>
      </c>
      <c r="B17056" s="8" t="n">
        <v>21</v>
      </c>
      <c r="C17056" s="8" t="n">
        <v>51</v>
      </c>
      <c r="D17056" s="8" t="inlineStr">
        <is>
          <t>Disneyland Park</t>
        </is>
      </c>
      <c r="E17056" s="8" t="inlineStr">
        <is>
          <t>Le Passage Enchanté d'Aladdin</t>
        </is>
      </c>
      <c r="F17056" s="8" t="inlineStr">
        <is>
          <t>STANDBY</t>
        </is>
      </c>
      <c r="G17056" s="8" t="n">
        <v>0</v>
      </c>
      <c r="H17056" s="8" t="inlineStr">
        <is>
          <t>OPERATING</t>
        </is>
      </c>
    </row>
    <row r="17057">
      <c r="A17057" s="8" t="inlineStr">
        <is>
          <t>2026-08-03</t>
        </is>
      </c>
      <c r="B17057" s="8" t="n">
        <v>21</v>
      </c>
      <c r="C17057" s="8" t="n">
        <v>51</v>
      </c>
      <c r="D17057" s="8" t="inlineStr">
        <is>
          <t>Disneyland Park</t>
        </is>
      </c>
      <c r="E17057" s="8" t="inlineStr">
        <is>
          <t>Pirate Galleon</t>
        </is>
      </c>
      <c r="F17057" s="8" t="inlineStr">
        <is>
          <t>STANDBY</t>
        </is>
      </c>
      <c r="G17057" s="8" t="n">
        <v>0</v>
      </c>
      <c r="H17057" s="8" t="inlineStr">
        <is>
          <t>CLOSED</t>
        </is>
      </c>
    </row>
    <row r="17058">
      <c r="A17058" s="8" t="inlineStr">
        <is>
          <t>2026-08-03</t>
        </is>
      </c>
      <c r="B17058" s="8" t="n">
        <v>21</v>
      </c>
      <c r="C17058" s="8" t="n">
        <v>51</v>
      </c>
      <c r="D17058" s="8" t="inlineStr">
        <is>
          <t>Disneyland Park</t>
        </is>
      </c>
      <c r="E17058" s="8" t="inlineStr">
        <is>
          <t>Pirates of the Caribbean</t>
        </is>
      </c>
      <c r="F17058" s="8" t="inlineStr">
        <is>
          <t>STANDBY</t>
        </is>
      </c>
      <c r="G17058" s="8" t="n">
        <v>10</v>
      </c>
      <c r="H17058" s="8" t="inlineStr">
        <is>
          <t>OPERATING</t>
        </is>
      </c>
    </row>
    <row r="17059">
      <c r="A17059" s="8" t="inlineStr">
        <is>
          <t>2026-08-03</t>
        </is>
      </c>
      <c r="B17059" s="8" t="n">
        <v>21</v>
      </c>
      <c r="C17059" s="8" t="n">
        <v>51</v>
      </c>
      <c r="D17059" s="8" t="inlineStr">
        <is>
          <t>Disneyland Park</t>
        </is>
      </c>
      <c r="E17059" s="8" t="inlineStr">
        <is>
          <t>Pirates' Beach</t>
        </is>
      </c>
      <c r="F17059" s="8" t="inlineStr">
        <is>
          <t>STANDBY</t>
        </is>
      </c>
      <c r="G17059" s="8" t="n">
        <v>0</v>
      </c>
      <c r="H17059" s="8" t="inlineStr">
        <is>
          <t>OPERATING</t>
        </is>
      </c>
    </row>
    <row r="17060">
      <c r="A17060" s="8" t="inlineStr">
        <is>
          <t>2026-08-03</t>
        </is>
      </c>
      <c r="B17060" s="8" t="n">
        <v>21</v>
      </c>
      <c r="C17060" s="8" t="n">
        <v>51</v>
      </c>
      <c r="D17060" s="8" t="inlineStr">
        <is>
          <t>Disneyland Park</t>
        </is>
      </c>
      <c r="E17060" s="8" t="inlineStr">
        <is>
          <t>Autopia, presented by Avis</t>
        </is>
      </c>
      <c r="F17060" s="8" t="inlineStr">
        <is>
          <t>STANDBY</t>
        </is>
      </c>
      <c r="G17060" s="8" t="n">
        <v>70</v>
      </c>
      <c r="H17060" s="8" t="inlineStr">
        <is>
          <t>OPERATING</t>
        </is>
      </c>
    </row>
    <row r="17061">
      <c r="A17061" s="8" t="inlineStr">
        <is>
          <t>2026-08-03</t>
        </is>
      </c>
      <c r="B17061" s="8" t="n">
        <v>21</v>
      </c>
      <c r="C17061" s="8" t="n">
        <v>51</v>
      </c>
      <c r="D17061" s="8" t="inlineStr">
        <is>
          <t>Disneyland Park</t>
        </is>
      </c>
      <c r="E17061" s="8" t="inlineStr">
        <is>
          <t>Buzz Lightyear Laser Blast</t>
        </is>
      </c>
      <c r="F17061" s="8" t="inlineStr">
        <is>
          <t>STANDBY</t>
        </is>
      </c>
      <c r="G17061" s="8" t="n">
        <v>25</v>
      </c>
      <c r="H17061" s="8" t="inlineStr">
        <is>
          <t>OPERATING</t>
        </is>
      </c>
    </row>
    <row r="17062">
      <c r="A17062" s="8" t="inlineStr">
        <is>
          <t>2026-08-03</t>
        </is>
      </c>
      <c r="B17062" s="8" t="n">
        <v>21</v>
      </c>
      <c r="C17062" s="8" t="n">
        <v>51</v>
      </c>
      <c r="D17062" s="8" t="inlineStr">
        <is>
          <t>Disneyland Park</t>
        </is>
      </c>
      <c r="E17062" s="8" t="inlineStr">
        <is>
          <t>Disneyland Railroad Discoveryland Station</t>
        </is>
      </c>
      <c r="F17062" s="8" t="inlineStr">
        <is>
          <t>STANDBY</t>
        </is>
      </c>
      <c r="G17062" s="8" t="n">
        <v>0</v>
      </c>
      <c r="H17062" s="8" t="inlineStr">
        <is>
          <t>CLOSED</t>
        </is>
      </c>
    </row>
    <row r="17063">
      <c r="A17063" s="8" t="inlineStr">
        <is>
          <t>2026-08-03</t>
        </is>
      </c>
      <c r="B17063" s="8" t="n">
        <v>21</v>
      </c>
      <c r="C17063" s="8" t="n">
        <v>51</v>
      </c>
      <c r="D17063" s="8" t="inlineStr">
        <is>
          <t>Disneyland Park</t>
        </is>
      </c>
      <c r="E17063" s="8" t="inlineStr">
        <is>
          <t>Les Mystères du Nautilus</t>
        </is>
      </c>
      <c r="F17063" s="8" t="inlineStr">
        <is>
          <t>STANDBY</t>
        </is>
      </c>
      <c r="G17063" s="8" t="n">
        <v>5</v>
      </c>
      <c r="H17063" s="8" t="inlineStr">
        <is>
          <t>OPERATING</t>
        </is>
      </c>
    </row>
    <row r="17064">
      <c r="A17064" s="8" t="inlineStr">
        <is>
          <t>2026-08-03</t>
        </is>
      </c>
      <c r="B17064" s="8" t="n">
        <v>21</v>
      </c>
      <c r="C17064" s="8" t="n">
        <v>51</v>
      </c>
      <c r="D17064" s="8" t="inlineStr">
        <is>
          <t>Disneyland Park</t>
        </is>
      </c>
      <c r="E17064" s="8" t="inlineStr">
        <is>
          <t>Mickey’s PhilharMagic</t>
        </is>
      </c>
      <c r="F17064" s="8" t="inlineStr">
        <is>
          <t>STANDBY</t>
        </is>
      </c>
      <c r="G17064" s="8" t="n">
        <v>0</v>
      </c>
      <c r="H17064" s="8" t="inlineStr">
        <is>
          <t>CLOSED</t>
        </is>
      </c>
    </row>
    <row r="17065">
      <c r="A17065" s="8" t="inlineStr">
        <is>
          <t>2026-08-03</t>
        </is>
      </c>
      <c r="B17065" s="8" t="n">
        <v>21</v>
      </c>
      <c r="C17065" s="8" t="n">
        <v>51</v>
      </c>
      <c r="D17065" s="8" t="inlineStr">
        <is>
          <t>Disneyland Park</t>
        </is>
      </c>
      <c r="E17065" s="8" t="inlineStr">
        <is>
          <t>Orbitron®</t>
        </is>
      </c>
      <c r="F17065" s="8" t="inlineStr">
        <is>
          <t>STANDBY</t>
        </is>
      </c>
      <c r="G17065" s="8" t="n">
        <v>30</v>
      </c>
      <c r="H17065" s="8" t="inlineStr">
        <is>
          <t>OPERATING</t>
        </is>
      </c>
    </row>
    <row r="17066">
      <c r="A17066" s="8" t="inlineStr">
        <is>
          <t>2026-08-03</t>
        </is>
      </c>
      <c r="B17066" s="8" t="n">
        <v>21</v>
      </c>
      <c r="C17066" s="8" t="n">
        <v>51</v>
      </c>
      <c r="D17066" s="8" t="inlineStr">
        <is>
          <t>Disneyland Park</t>
        </is>
      </c>
      <c r="E17066" s="8" t="inlineStr">
        <is>
          <t>Star Tours: The Adventures Continue*</t>
        </is>
      </c>
      <c r="F17066" s="8" t="inlineStr">
        <is>
          <t>STANDBY</t>
        </is>
      </c>
      <c r="G17066" s="8" t="n">
        <v>5</v>
      </c>
      <c r="H17066" s="8" t="inlineStr">
        <is>
          <t>OPERATING</t>
        </is>
      </c>
    </row>
    <row r="17067">
      <c r="A17067" s="8" t="inlineStr">
        <is>
          <t>2026-08-03</t>
        </is>
      </c>
      <c r="B17067" s="8" t="n">
        <v>21</v>
      </c>
      <c r="C17067" s="8" t="n">
        <v>51</v>
      </c>
      <c r="D17067" s="8" t="inlineStr">
        <is>
          <t>Disneyland Park</t>
        </is>
      </c>
      <c r="E17067" s="8" t="inlineStr">
        <is>
          <t>Star Wars Hyperspace Mountain</t>
        </is>
      </c>
      <c r="F17067" s="8" t="inlineStr">
        <is>
          <t>STANDBY</t>
        </is>
      </c>
      <c r="G17067" s="8" t="n">
        <v>15</v>
      </c>
      <c r="H17067" s="8" t="inlineStr">
        <is>
          <t>OPERATING</t>
        </is>
      </c>
    </row>
    <row r="17068">
      <c r="A17068" s="8" t="inlineStr">
        <is>
          <t>2026-08-03</t>
        </is>
      </c>
      <c r="B17068" s="8" t="n">
        <v>21</v>
      </c>
      <c r="C17068" s="8" t="n">
        <v>51</v>
      </c>
      <c r="D17068" s="8" t="inlineStr">
        <is>
          <t>Disneyland Park</t>
        </is>
      </c>
      <c r="E17068" s="8" t="inlineStr">
        <is>
          <t>Star Wars Hyperspace Mountain Single Rider</t>
        </is>
      </c>
      <c r="F17068" s="8" t="inlineStr">
        <is>
          <t>STANDBY</t>
        </is>
      </c>
      <c r="G17068" s="8" t="n">
        <v>5</v>
      </c>
      <c r="H17068" s="8" t="inlineStr">
        <is>
          <t>OPERATING</t>
        </is>
      </c>
    </row>
    <row r="17069">
      <c r="A17069" s="8" t="inlineStr">
        <is>
          <t>2026-08-03</t>
        </is>
      </c>
      <c r="B17069" s="8" t="n">
        <v>21</v>
      </c>
      <c r="C17069" s="8" t="n">
        <v>51</v>
      </c>
      <c r="D17069" s="8" t="inlineStr">
        <is>
          <t>Disneyland Park</t>
        </is>
      </c>
      <c r="E17069" s="8" t="inlineStr">
        <is>
          <t>Welcome to Starport: A Star Wars Encounter</t>
        </is>
      </c>
      <c r="F17069" s="8" t="inlineStr">
        <is>
          <t>STANDBY</t>
        </is>
      </c>
      <c r="G17069" s="8" t="n">
        <v>0</v>
      </c>
      <c r="H17069" s="8" t="inlineStr">
        <is>
          <t>CLOSED</t>
        </is>
      </c>
    </row>
    <row r="17070">
      <c r="A17070" s="8" t="inlineStr">
        <is>
          <t>2026-08-03</t>
        </is>
      </c>
      <c r="B17070" s="8" t="n">
        <v>21</v>
      </c>
      <c r="C17070" s="8" t="n">
        <v>51</v>
      </c>
      <c r="D17070" s="8" t="inlineStr">
        <is>
          <t>Disneyland Park</t>
        </is>
      </c>
      <c r="E17070" s="8" t="inlineStr">
        <is>
          <t>"it's a small world"</t>
        </is>
      </c>
      <c r="F17070" s="8" t="inlineStr">
        <is>
          <t>STANDBY</t>
        </is>
      </c>
      <c r="G17070" s="8" t="n">
        <v>5</v>
      </c>
      <c r="H17070" s="8" t="inlineStr">
        <is>
          <t>OPERATING</t>
        </is>
      </c>
    </row>
    <row r="17071">
      <c r="A17071" s="8" t="inlineStr">
        <is>
          <t>2026-08-03</t>
        </is>
      </c>
      <c r="B17071" s="8" t="n">
        <v>21</v>
      </c>
      <c r="C17071" s="8" t="n">
        <v>51</v>
      </c>
      <c r="D17071" s="8" t="inlineStr">
        <is>
          <t>Disneyland Park</t>
        </is>
      </c>
      <c r="E17071" s="8" t="inlineStr">
        <is>
          <t>Alice's Curious Labyrinth</t>
        </is>
      </c>
      <c r="F17071" s="8" t="inlineStr">
        <is>
          <t>STANDBY</t>
        </is>
      </c>
      <c r="G17071" s="8" t="n">
        <v>0</v>
      </c>
      <c r="H17071" s="8" t="inlineStr">
        <is>
          <t>CLOSED</t>
        </is>
      </c>
    </row>
    <row r="17072">
      <c r="A17072" s="8" t="inlineStr">
        <is>
          <t>2026-08-03</t>
        </is>
      </c>
      <c r="B17072" s="8" t="n">
        <v>21</v>
      </c>
      <c r="C17072" s="8" t="n">
        <v>51</v>
      </c>
      <c r="D17072" s="8" t="inlineStr">
        <is>
          <t>Disneyland Park</t>
        </is>
      </c>
      <c r="E17072" s="8" t="inlineStr">
        <is>
          <t>Blanche-Neige et les Sept Nains®</t>
        </is>
      </c>
      <c r="F17072" s="8" t="inlineStr">
        <is>
          <t>STANDBY</t>
        </is>
      </c>
      <c r="G17072" s="8" t="n">
        <v>0</v>
      </c>
      <c r="H17072" s="8" t="inlineStr">
        <is>
          <t>CLOSED</t>
        </is>
      </c>
    </row>
    <row r="17073">
      <c r="A17073" s="8" t="inlineStr">
        <is>
          <t>2026-08-03</t>
        </is>
      </c>
      <c r="B17073" s="8" t="n">
        <v>21</v>
      </c>
      <c r="C17073" s="8" t="n">
        <v>51</v>
      </c>
      <c r="D17073" s="8" t="inlineStr">
        <is>
          <t>Disneyland Park</t>
        </is>
      </c>
      <c r="E17073" s="8" t="inlineStr">
        <is>
          <t>Casey Jr. – le Petit Train du Cirque</t>
        </is>
      </c>
      <c r="F17073" s="8" t="inlineStr">
        <is>
          <t>STANDBY</t>
        </is>
      </c>
      <c r="G17073" s="8" t="n">
        <v>0</v>
      </c>
      <c r="H17073" s="8" t="inlineStr">
        <is>
          <t>CLOSED</t>
        </is>
      </c>
    </row>
    <row r="17074">
      <c r="A17074" s="8" t="inlineStr">
        <is>
          <t>2026-08-03</t>
        </is>
      </c>
      <c r="B17074" s="8" t="n">
        <v>21</v>
      </c>
      <c r="C17074" s="8" t="n">
        <v>51</v>
      </c>
      <c r="D17074" s="8" t="inlineStr">
        <is>
          <t>Disneyland Park</t>
        </is>
      </c>
      <c r="E17074" s="8" t="inlineStr">
        <is>
          <t>Disneyland Railroad Fantasyland Station</t>
        </is>
      </c>
      <c r="F17074" s="8" t="inlineStr">
        <is>
          <t>STANDBY</t>
        </is>
      </c>
      <c r="G17074" s="8" t="n">
        <v>0</v>
      </c>
      <c r="H17074" s="8" t="inlineStr">
        <is>
          <t>CLOSED</t>
        </is>
      </c>
    </row>
    <row r="17075">
      <c r="A17075" s="8" t="inlineStr">
        <is>
          <t>2026-08-03</t>
        </is>
      </c>
      <c r="B17075" s="8" t="n">
        <v>21</v>
      </c>
      <c r="C17075" s="8" t="n">
        <v>51</v>
      </c>
      <c r="D17075" s="8" t="inlineStr">
        <is>
          <t>Disneyland Park</t>
        </is>
      </c>
      <c r="E17075" s="8" t="inlineStr">
        <is>
          <t>Disneyland Railroad Main Street Station</t>
        </is>
      </c>
      <c r="F17075" s="8" t="inlineStr">
        <is>
          <t>STANDBY</t>
        </is>
      </c>
      <c r="G17075" s="8" t="n">
        <v>0</v>
      </c>
      <c r="H17075" s="8" t="inlineStr">
        <is>
          <t>CLOSED</t>
        </is>
      </c>
    </row>
    <row r="17076">
      <c r="A17076" s="8" t="inlineStr">
        <is>
          <t>2026-08-03</t>
        </is>
      </c>
      <c r="B17076" s="8" t="n">
        <v>21</v>
      </c>
      <c r="C17076" s="8" t="n">
        <v>51</v>
      </c>
      <c r="D17076" s="8" t="inlineStr">
        <is>
          <t>Disneyland Park</t>
        </is>
      </c>
      <c r="E17076" s="8" t="inlineStr">
        <is>
          <t>Dumbo the Flying Elephant</t>
        </is>
      </c>
      <c r="F17076" s="8" t="inlineStr">
        <is>
          <t>STANDBY</t>
        </is>
      </c>
      <c r="G17076" s="8" t="n">
        <v>0</v>
      </c>
      <c r="H17076" s="8" t="inlineStr">
        <is>
          <t>CLOSED</t>
        </is>
      </c>
    </row>
    <row r="17077">
      <c r="A17077" s="8" t="inlineStr">
        <is>
          <t>2026-08-03</t>
        </is>
      </c>
      <c r="B17077" s="8" t="n">
        <v>21</v>
      </c>
      <c r="C17077" s="8" t="n">
        <v>51</v>
      </c>
      <c r="D17077" s="8" t="inlineStr">
        <is>
          <t>Disneyland Park</t>
        </is>
      </c>
      <c r="E17077" s="8" t="inlineStr">
        <is>
          <t>La Tanière du Dragon</t>
        </is>
      </c>
      <c r="F17077" s="8" t="inlineStr">
        <is>
          <t>STANDBY</t>
        </is>
      </c>
      <c r="G17077" s="8" t="n">
        <v>0</v>
      </c>
      <c r="H17077" s="8" t="inlineStr">
        <is>
          <t>CLOSED</t>
        </is>
      </c>
    </row>
    <row r="17078">
      <c r="A17078" s="8" t="inlineStr">
        <is>
          <t>2026-08-03</t>
        </is>
      </c>
      <c r="B17078" s="8" t="n">
        <v>21</v>
      </c>
      <c r="C17078" s="8" t="n">
        <v>51</v>
      </c>
      <c r="D17078" s="8" t="inlineStr">
        <is>
          <t>Disneyland Park</t>
        </is>
      </c>
      <c r="E17078" s="8" t="inlineStr">
        <is>
          <t>Le Carrousel de Lancelot</t>
        </is>
      </c>
      <c r="F17078" s="8" t="inlineStr">
        <is>
          <t>STANDBY</t>
        </is>
      </c>
      <c r="G17078" s="8" t="n">
        <v>0</v>
      </c>
      <c r="H17078" s="8" t="inlineStr">
        <is>
          <t>CLOSED</t>
        </is>
      </c>
    </row>
    <row r="17079">
      <c r="A17079" s="8" t="inlineStr">
        <is>
          <t>2026-08-03</t>
        </is>
      </c>
      <c r="B17079" s="8" t="n">
        <v>21</v>
      </c>
      <c r="C17079" s="8" t="n">
        <v>51</v>
      </c>
      <c r="D17079" s="8" t="inlineStr">
        <is>
          <t>Disneyland Park</t>
        </is>
      </c>
      <c r="E17079" s="8" t="inlineStr">
        <is>
          <t>Le Pays des Contes de Fées, presented by Vittel</t>
        </is>
      </c>
      <c r="F17079" s="8" t="inlineStr">
        <is>
          <t>STANDBY</t>
        </is>
      </c>
      <c r="G17079" s="8" t="n">
        <v>0</v>
      </c>
      <c r="H17079" s="8" t="inlineStr">
        <is>
          <t>CLOSED</t>
        </is>
      </c>
    </row>
    <row r="17080">
      <c r="A17080" s="8" t="inlineStr">
        <is>
          <t>2026-08-03</t>
        </is>
      </c>
      <c r="B17080" s="8" t="n">
        <v>21</v>
      </c>
      <c r="C17080" s="8" t="n">
        <v>51</v>
      </c>
      <c r="D17080" s="8" t="inlineStr">
        <is>
          <t>Disneyland Park</t>
        </is>
      </c>
      <c r="E17080" s="8" t="inlineStr">
        <is>
          <t>Les Voyages de Pinocchio</t>
        </is>
      </c>
      <c r="F17080" s="8" t="inlineStr">
        <is>
          <t>STANDBY</t>
        </is>
      </c>
      <c r="G17080" s="8" t="n">
        <v>0</v>
      </c>
      <c r="H17080" s="8" t="inlineStr">
        <is>
          <t>CLOSED</t>
        </is>
      </c>
    </row>
    <row r="17081">
      <c r="A17081" s="8" t="inlineStr">
        <is>
          <t>2026-08-03</t>
        </is>
      </c>
      <c r="B17081" s="8" t="n">
        <v>21</v>
      </c>
      <c r="C17081" s="8" t="n">
        <v>51</v>
      </c>
      <c r="D17081" s="8" t="inlineStr">
        <is>
          <t>Disneyland Park</t>
        </is>
      </c>
      <c r="E17081" s="8" t="inlineStr">
        <is>
          <t>Mad Hatter's Tea Cups</t>
        </is>
      </c>
      <c r="F17081" s="8" t="inlineStr">
        <is>
          <t>STANDBY</t>
        </is>
      </c>
      <c r="G17081" s="8" t="n">
        <v>0</v>
      </c>
      <c r="H17081" s="8" t="inlineStr">
        <is>
          <t>CLOSED</t>
        </is>
      </c>
    </row>
    <row r="17082">
      <c r="A17082" s="8" t="inlineStr">
        <is>
          <t>2026-08-03</t>
        </is>
      </c>
      <c r="B17082" s="8" t="n">
        <v>21</v>
      </c>
      <c r="C17082" s="8" t="n">
        <v>51</v>
      </c>
      <c r="D17082" s="8" t="inlineStr">
        <is>
          <t>Disneyland Park</t>
        </is>
      </c>
      <c r="E17082" s="8" t="inlineStr">
        <is>
          <t>Meet Mickey Mouse</t>
        </is>
      </c>
      <c r="F17082" s="8" t="inlineStr">
        <is>
          <t>STANDBY</t>
        </is>
      </c>
      <c r="G17082" s="8" t="n">
        <v>0</v>
      </c>
      <c r="H17082" s="8" t="inlineStr">
        <is>
          <t>CLOSED</t>
        </is>
      </c>
    </row>
    <row r="17083">
      <c r="A17083" s="8" t="inlineStr">
        <is>
          <t>2026-08-03</t>
        </is>
      </c>
      <c r="B17083" s="8" t="n">
        <v>21</v>
      </c>
      <c r="C17083" s="8" t="n">
        <v>51</v>
      </c>
      <c r="D17083" s="8" t="inlineStr">
        <is>
          <t>Disneyland Park</t>
        </is>
      </c>
      <c r="E17083" s="8" t="inlineStr">
        <is>
          <t>Peter Pan's Flight</t>
        </is>
      </c>
      <c r="F17083" s="8" t="inlineStr">
        <is>
          <t>STANDBY</t>
        </is>
      </c>
      <c r="G17083" s="8" t="n">
        <v>50</v>
      </c>
      <c r="H17083" s="8" t="inlineStr">
        <is>
          <t>OPERATING</t>
        </is>
      </c>
    </row>
    <row r="17084">
      <c r="A17084" s="8" t="inlineStr">
        <is>
          <t>2026-08-03</t>
        </is>
      </c>
      <c r="B17084" s="8" t="n">
        <v>21</v>
      </c>
      <c r="C17084" s="8" t="n">
        <v>51</v>
      </c>
      <c r="D17084" s="8" t="inlineStr">
        <is>
          <t>Disneyland Park</t>
        </is>
      </c>
      <c r="E17084" s="8" t="inlineStr">
        <is>
          <t>Princess Pavilion</t>
        </is>
      </c>
      <c r="F17084" s="8" t="inlineStr">
        <is>
          <t>STANDBY</t>
        </is>
      </c>
      <c r="G17084" s="8" t="n">
        <v>0</v>
      </c>
      <c r="H17084" s="8" t="inlineStr">
        <is>
          <t>CLOSED</t>
        </is>
      </c>
    </row>
    <row r="17085">
      <c r="A17085" s="8" t="inlineStr">
        <is>
          <t>2026-08-03</t>
        </is>
      </c>
      <c r="B17085" s="8" t="n">
        <v>21</v>
      </c>
      <c r="C17085" s="8" t="n">
        <v>51</v>
      </c>
      <c r="D17085" s="8" t="inlineStr">
        <is>
          <t>Disneyland Park</t>
        </is>
      </c>
      <c r="E17085" s="8" t="inlineStr">
        <is>
          <t>Big Thunder Mountain</t>
        </is>
      </c>
      <c r="F17085" s="8" t="inlineStr">
        <is>
          <t>STANDBY</t>
        </is>
      </c>
      <c r="G17085" s="8" t="n">
        <v>50</v>
      </c>
      <c r="H17085" s="8" t="inlineStr">
        <is>
          <t>OPERATING</t>
        </is>
      </c>
    </row>
    <row r="17086">
      <c r="A17086" s="8" t="inlineStr">
        <is>
          <t>2026-08-03</t>
        </is>
      </c>
      <c r="B17086" s="8" t="n">
        <v>21</v>
      </c>
      <c r="C17086" s="8" t="n">
        <v>51</v>
      </c>
      <c r="D17086" s="8" t="inlineStr">
        <is>
          <t>Disneyland Park</t>
        </is>
      </c>
      <c r="E17086" s="8" t="inlineStr">
        <is>
          <t>Disneyland Railroad Frontierland Depot</t>
        </is>
      </c>
      <c r="F17086" s="8" t="inlineStr">
        <is>
          <t>STANDBY</t>
        </is>
      </c>
      <c r="G17086" s="8" t="n">
        <v>0</v>
      </c>
      <c r="H17086" s="8" t="inlineStr">
        <is>
          <t>CLOSED</t>
        </is>
      </c>
    </row>
    <row r="17087">
      <c r="A17087" s="8" t="inlineStr">
        <is>
          <t>2026-08-03</t>
        </is>
      </c>
      <c r="B17087" s="8" t="n">
        <v>21</v>
      </c>
      <c r="C17087" s="8" t="n">
        <v>51</v>
      </c>
      <c r="D17087" s="8" t="inlineStr">
        <is>
          <t>Disneyland Park</t>
        </is>
      </c>
      <c r="E17087" s="8" t="inlineStr">
        <is>
          <t>Frontierland Playground</t>
        </is>
      </c>
      <c r="F17087" s="8" t="inlineStr">
        <is>
          <t>STANDBY</t>
        </is>
      </c>
      <c r="G17087" s="8" t="n">
        <v>0</v>
      </c>
      <c r="H17087" s="8" t="inlineStr">
        <is>
          <t>CLOSED</t>
        </is>
      </c>
    </row>
    <row r="17088">
      <c r="A17088" s="8" t="inlineStr">
        <is>
          <t>2026-08-03</t>
        </is>
      </c>
      <c r="B17088" s="8" t="n">
        <v>21</v>
      </c>
      <c r="C17088" s="8" t="n">
        <v>51</v>
      </c>
      <c r="D17088" s="8" t="inlineStr">
        <is>
          <t>Disneyland Park</t>
        </is>
      </c>
      <c r="E17088" s="8" t="inlineStr">
        <is>
          <t>Phantom Manor</t>
        </is>
      </c>
      <c r="F17088" s="8" t="inlineStr">
        <is>
          <t>STANDBY</t>
        </is>
      </c>
      <c r="G17088" s="8" t="n">
        <v>5</v>
      </c>
      <c r="H17088" s="8" t="inlineStr">
        <is>
          <t>OPERATING</t>
        </is>
      </c>
    </row>
    <row r="17089">
      <c r="A17089" s="8" t="inlineStr">
        <is>
          <t>2026-08-03</t>
        </is>
      </c>
      <c r="B17089" s="8" t="n">
        <v>21</v>
      </c>
      <c r="C17089" s="8" t="n">
        <v>51</v>
      </c>
      <c r="D17089" s="8" t="inlineStr">
        <is>
          <t>Disneyland Park</t>
        </is>
      </c>
      <c r="E17089" s="8" t="inlineStr">
        <is>
          <t>River Rogue Keelboats</t>
        </is>
      </c>
      <c r="F17089" s="8" t="inlineStr">
        <is>
          <t>STANDBY</t>
        </is>
      </c>
      <c r="G17089" s="8" t="n">
        <v>0</v>
      </c>
      <c r="H17089" s="8" t="inlineStr">
        <is>
          <t>CLOSED</t>
        </is>
      </c>
    </row>
    <row r="17090">
      <c r="A17090" s="8" t="inlineStr">
        <is>
          <t>2026-08-03</t>
        </is>
      </c>
      <c r="B17090" s="8" t="n">
        <v>21</v>
      </c>
      <c r="C17090" s="8" t="n">
        <v>51</v>
      </c>
      <c r="D17090" s="8" t="inlineStr">
        <is>
          <t>Disneyland Park</t>
        </is>
      </c>
      <c r="E17090" s="8" t="inlineStr">
        <is>
          <t>Rustler Roundup Shootin' Gallery</t>
        </is>
      </c>
      <c r="F17090" s="8" t="inlineStr">
        <is>
          <t>STANDBY</t>
        </is>
      </c>
      <c r="G17090" s="8" t="n">
        <v>0</v>
      </c>
      <c r="H17090" s="8" t="inlineStr">
        <is>
          <t>CLOSED</t>
        </is>
      </c>
    </row>
    <row r="17091">
      <c r="A17091" s="8" t="inlineStr">
        <is>
          <t>2026-08-03</t>
        </is>
      </c>
      <c r="B17091" s="8" t="n">
        <v>21</v>
      </c>
      <c r="C17091" s="8" t="n">
        <v>51</v>
      </c>
      <c r="D17091" s="8" t="inlineStr">
        <is>
          <t>Disneyland Park</t>
        </is>
      </c>
      <c r="E17091" s="8" t="inlineStr">
        <is>
          <t>Thunder Mesa Riverboat Landing</t>
        </is>
      </c>
      <c r="F17091" s="8" t="inlineStr">
        <is>
          <t>STANDBY</t>
        </is>
      </c>
      <c r="G17091" s="8" t="n">
        <v>0</v>
      </c>
      <c r="H17091" s="8" t="inlineStr">
        <is>
          <t>CLOSED</t>
        </is>
      </c>
    </row>
    <row r="17092">
      <c r="A17092" s="8" t="inlineStr">
        <is>
          <t>2026-08-03</t>
        </is>
      </c>
      <c r="B17092" s="8" t="n">
        <v>21</v>
      </c>
      <c r="C17092" s="8" t="n">
        <v>51</v>
      </c>
      <c r="D17092" s="8" t="inlineStr">
        <is>
          <t>Disneyland Park</t>
        </is>
      </c>
      <c r="E17092" s="8" t="inlineStr">
        <is>
          <t>Disneyland Railroad Main Street Station</t>
        </is>
      </c>
      <c r="F17092" s="8" t="inlineStr">
        <is>
          <t>STANDBY</t>
        </is>
      </c>
      <c r="G17092" s="8" t="n">
        <v>0</v>
      </c>
      <c r="H17092" s="8" t="inlineStr">
        <is>
          <t>CLOSED</t>
        </is>
      </c>
    </row>
    <row r="17093">
      <c r="A17093" s="8" t="inlineStr">
        <is>
          <t>2026-08-03</t>
        </is>
      </c>
      <c r="B17093" s="8" t="n">
        <v>21</v>
      </c>
      <c r="C17093" s="8" t="n">
        <v>51</v>
      </c>
      <c r="D17093" s="8" t="inlineStr">
        <is>
          <t>Disneyland Park</t>
        </is>
      </c>
      <c r="E17093" s="8" t="inlineStr">
        <is>
          <t>Main Street Vehicles</t>
        </is>
      </c>
      <c r="F17093" s="8" t="inlineStr">
        <is>
          <t>STANDBY</t>
        </is>
      </c>
      <c r="G17093" s="8" t="n">
        <v>0</v>
      </c>
      <c r="H17093" s="8" t="inlineStr">
        <is>
          <t>CLOSED</t>
        </is>
      </c>
    </row>
    <row r="17094">
      <c r="A17094" s="8" t="inlineStr">
        <is>
          <t>2026-08-03</t>
        </is>
      </c>
      <c r="B17094" s="8" t="n">
        <v>21</v>
      </c>
      <c r="C17094" s="8" t="n">
        <v>51</v>
      </c>
      <c r="D17094" s="8" t="inlineStr">
        <is>
          <t>Disney Adventure World</t>
        </is>
      </c>
      <c r="E17094" s="8" t="inlineStr">
        <is>
          <t>Avengers Assemble: Flight Force</t>
        </is>
      </c>
      <c r="F17094" s="8" t="inlineStr">
        <is>
          <t>STANDBY</t>
        </is>
      </c>
      <c r="G17094" s="8" t="n">
        <v>5</v>
      </c>
      <c r="H17094" s="8" t="inlineStr">
        <is>
          <t>OPERATING</t>
        </is>
      </c>
    </row>
    <row r="17095">
      <c r="A17095" s="8" t="inlineStr">
        <is>
          <t>2026-08-03</t>
        </is>
      </c>
      <c r="B17095" s="8" t="n">
        <v>21</v>
      </c>
      <c r="C17095" s="8" t="n">
        <v>51</v>
      </c>
      <c r="D17095" s="8" t="inlineStr">
        <is>
          <t>Disney Adventure World</t>
        </is>
      </c>
      <c r="E17095" s="8" t="inlineStr">
        <is>
          <t>Avengers Assemble: Flight Force Single Rider</t>
        </is>
      </c>
      <c r="F17095" s="8" t="inlineStr">
        <is>
          <t>STANDBY</t>
        </is>
      </c>
      <c r="G17095" s="8" t="n">
        <v>5</v>
      </c>
      <c r="H17095" s="8" t="inlineStr">
        <is>
          <t>OPERATING</t>
        </is>
      </c>
    </row>
    <row r="17096">
      <c r="A17096" s="8" t="inlineStr">
        <is>
          <t>2026-08-03</t>
        </is>
      </c>
      <c r="B17096" s="8" t="n">
        <v>21</v>
      </c>
      <c r="C17096" s="8" t="n">
        <v>51</v>
      </c>
      <c r="D17096" s="8" t="inlineStr">
        <is>
          <t>Disney Adventure World</t>
        </is>
      </c>
      <c r="E17096" s="8" t="inlineStr">
        <is>
          <t>Spider-Man W.E.B. Adventure</t>
        </is>
      </c>
      <c r="F17096" s="8" t="inlineStr">
        <is>
          <t>STANDBY</t>
        </is>
      </c>
      <c r="G17096" s="8" t="n">
        <v>20</v>
      </c>
      <c r="H17096" s="8" t="inlineStr">
        <is>
          <t>OPERATING</t>
        </is>
      </c>
    </row>
    <row r="17097">
      <c r="A17097" s="8" t="inlineStr">
        <is>
          <t>2026-08-03</t>
        </is>
      </c>
      <c r="B17097" s="8" t="n">
        <v>21</v>
      </c>
      <c r="C17097" s="8" t="n">
        <v>51</v>
      </c>
      <c r="D17097" s="8" t="inlineStr">
        <is>
          <t>Disney Adventure World</t>
        </is>
      </c>
      <c r="E17097" s="8" t="inlineStr">
        <is>
          <t>Spider-Man W.E.B. Adventure Single Rider</t>
        </is>
      </c>
      <c r="F17097" s="8" t="inlineStr">
        <is>
          <t>STANDBY</t>
        </is>
      </c>
      <c r="G17097" s="8" t="n">
        <v>5</v>
      </c>
      <c r="H17097" s="8" t="inlineStr">
        <is>
          <t>OPERATING</t>
        </is>
      </c>
    </row>
    <row r="17098">
      <c r="A17098" s="8" t="inlineStr">
        <is>
          <t>2026-08-03</t>
        </is>
      </c>
      <c r="B17098" s="8" t="n">
        <v>21</v>
      </c>
      <c r="C17098" s="8" t="n">
        <v>51</v>
      </c>
      <c r="D17098" s="8" t="inlineStr">
        <is>
          <t>Disney Adventure World</t>
        </is>
      </c>
      <c r="E17098" s="8" t="inlineStr">
        <is>
          <t>The Twilight Zone Tower of Terror</t>
        </is>
      </c>
      <c r="F17098" s="8" t="inlineStr">
        <is>
          <t>STANDBY</t>
        </is>
      </c>
      <c r="G17098" s="8" t="n">
        <v>20</v>
      </c>
      <c r="H17098" s="8" t="inlineStr">
        <is>
          <t>OPERATING</t>
        </is>
      </c>
    </row>
    <row r="17099">
      <c r="A17099" s="8" t="inlineStr">
        <is>
          <t>2026-08-03</t>
        </is>
      </c>
      <c r="B17099" s="8" t="n">
        <v>21</v>
      </c>
      <c r="C17099" s="8" t="n">
        <v>51</v>
      </c>
      <c r="D17099" s="8" t="inlineStr">
        <is>
          <t>Disney Adventure World</t>
        </is>
      </c>
      <c r="E17099" s="8" t="inlineStr">
        <is>
          <t>Cars Quatre Roues Rallye</t>
        </is>
      </c>
      <c r="F17099" s="8" t="inlineStr">
        <is>
          <t>STANDBY</t>
        </is>
      </c>
      <c r="G17099" s="8" t="n">
        <v>5</v>
      </c>
      <c r="H17099" s="8" t="inlineStr">
        <is>
          <t>OPERATING</t>
        </is>
      </c>
    </row>
    <row r="17100">
      <c r="A17100" s="8" t="inlineStr">
        <is>
          <t>2026-08-03</t>
        </is>
      </c>
      <c r="B17100" s="8" t="n">
        <v>21</v>
      </c>
      <c r="C17100" s="8" t="n">
        <v>51</v>
      </c>
      <c r="D17100" s="8" t="inlineStr">
        <is>
          <t>Disney Adventure World</t>
        </is>
      </c>
      <c r="E17100" s="8" t="inlineStr">
        <is>
          <t>Cars ROAD TRIP</t>
        </is>
      </c>
      <c r="F17100" s="8" t="inlineStr">
        <is>
          <t>STANDBY</t>
        </is>
      </c>
      <c r="G17100" s="8" t="n">
        <v>0</v>
      </c>
      <c r="H17100" s="8" t="inlineStr">
        <is>
          <t>CLOSED</t>
        </is>
      </c>
    </row>
    <row r="17101">
      <c r="A17101" s="8" t="inlineStr">
        <is>
          <t>2026-08-03</t>
        </is>
      </c>
      <c r="B17101" s="8" t="n">
        <v>21</v>
      </c>
      <c r="C17101" s="8" t="n">
        <v>51</v>
      </c>
      <c r="D17101" s="8" t="inlineStr">
        <is>
          <t>Disney Adventure World</t>
        </is>
      </c>
      <c r="E17101" s="8" t="inlineStr">
        <is>
          <t>Crush's Coaster</t>
        </is>
      </c>
      <c r="F17101" s="8" t="inlineStr">
        <is>
          <t>STANDBY</t>
        </is>
      </c>
      <c r="G17101" s="8" t="n">
        <v>45</v>
      </c>
      <c r="H17101" s="8" t="inlineStr">
        <is>
          <t>OPERATING</t>
        </is>
      </c>
    </row>
    <row r="17102">
      <c r="A17102" s="8" t="inlineStr">
        <is>
          <t>2026-08-03</t>
        </is>
      </c>
      <c r="B17102" s="8" t="n">
        <v>21</v>
      </c>
      <c r="C17102" s="8" t="n">
        <v>51</v>
      </c>
      <c r="D17102" s="8" t="inlineStr">
        <is>
          <t>Disney Adventure World</t>
        </is>
      </c>
      <c r="E17102" s="8" t="inlineStr">
        <is>
          <t>Crush's Coaster Single Rider</t>
        </is>
      </c>
      <c r="F17102" s="8" t="inlineStr">
        <is>
          <t>STANDBY</t>
        </is>
      </c>
      <c r="G17102" s="8" t="n">
        <v>40</v>
      </c>
      <c r="H17102" s="8" t="inlineStr">
        <is>
          <t>OPERATING</t>
        </is>
      </c>
    </row>
    <row r="17103">
      <c r="A17103" s="8" t="inlineStr">
        <is>
          <t>2026-08-03</t>
        </is>
      </c>
      <c r="B17103" s="8" t="n">
        <v>21</v>
      </c>
      <c r="C17103" s="8" t="n">
        <v>51</v>
      </c>
      <c r="D17103" s="8" t="inlineStr">
        <is>
          <t>Disney Adventure World</t>
        </is>
      </c>
      <c r="E17103" s="8" t="inlineStr">
        <is>
          <t>Les Tapis Volants - Flying Carpets Over Agrabah®</t>
        </is>
      </c>
      <c r="F17103" s="8" t="inlineStr">
        <is>
          <t>STANDBY</t>
        </is>
      </c>
      <c r="G17103" s="8" t="n">
        <v>5</v>
      </c>
      <c r="H17103" s="8" t="inlineStr">
        <is>
          <t>OPERATING</t>
        </is>
      </c>
    </row>
    <row r="17104">
      <c r="A17104" s="8" t="inlineStr">
        <is>
          <t>2026-08-03</t>
        </is>
      </c>
      <c r="B17104" s="8" t="n">
        <v>21</v>
      </c>
      <c r="C17104" s="8" t="n">
        <v>51</v>
      </c>
      <c r="D17104" s="8" t="inlineStr">
        <is>
          <t>Disney Adventure World</t>
        </is>
      </c>
      <c r="E17104" s="8" t="inlineStr">
        <is>
          <t>Ratatouille : L’Aventure Totalement Toquée de Rémy​</t>
        </is>
      </c>
      <c r="F17104" s="8" t="inlineStr">
        <is>
          <t>STANDBY</t>
        </is>
      </c>
      <c r="G17104" s="8" t="n">
        <v>35</v>
      </c>
      <c r="H17104" s="8" t="inlineStr">
        <is>
          <t>OPERATING</t>
        </is>
      </c>
    </row>
    <row r="17105">
      <c r="A17105" s="8" t="inlineStr">
        <is>
          <t>2026-08-03</t>
        </is>
      </c>
      <c r="B17105" s="8" t="n">
        <v>21</v>
      </c>
      <c r="C17105" s="8" t="n">
        <v>51</v>
      </c>
      <c r="D17105" s="8" t="inlineStr">
        <is>
          <t>Disney Adventure World</t>
        </is>
      </c>
      <c r="E17105" s="8" t="inlineStr">
        <is>
          <t>Ratatouille: The Adventure Single Rider</t>
        </is>
      </c>
      <c r="F17105" s="8" t="inlineStr">
        <is>
          <t>STANDBY</t>
        </is>
      </c>
      <c r="G17105" s="8" t="n">
        <v>5</v>
      </c>
      <c r="H17105" s="8" t="inlineStr">
        <is>
          <t>OPERATING</t>
        </is>
      </c>
    </row>
    <row r="17106">
      <c r="A17106" s="8" t="inlineStr">
        <is>
          <t>2026-08-03</t>
        </is>
      </c>
      <c r="B17106" s="8" t="n">
        <v>21</v>
      </c>
      <c r="C17106" s="8" t="n">
        <v>51</v>
      </c>
      <c r="D17106" s="8" t="inlineStr">
        <is>
          <t>Disney Adventure World</t>
        </is>
      </c>
      <c r="E17106" s="8" t="inlineStr">
        <is>
          <t>RC Racer</t>
        </is>
      </c>
      <c r="F17106" s="8" t="inlineStr">
        <is>
          <t>STANDBY</t>
        </is>
      </c>
      <c r="G17106" s="8" t="n">
        <v>15</v>
      </c>
      <c r="H17106" s="8" t="inlineStr">
        <is>
          <t>OPERATING</t>
        </is>
      </c>
    </row>
    <row r="17107">
      <c r="A17107" s="8" t="inlineStr">
        <is>
          <t>2026-08-03</t>
        </is>
      </c>
      <c r="B17107" s="8" t="n">
        <v>21</v>
      </c>
      <c r="C17107" s="8" t="n">
        <v>51</v>
      </c>
      <c r="D17107" s="8" t="inlineStr">
        <is>
          <t>Disney Adventure World</t>
        </is>
      </c>
      <c r="E17107" s="8" t="inlineStr">
        <is>
          <t>RC Racer Single Rider</t>
        </is>
      </c>
      <c r="F17107" s="8" t="inlineStr">
        <is>
          <t>STANDBY</t>
        </is>
      </c>
      <c r="G17107" s="8" t="n">
        <v>10</v>
      </c>
      <c r="H17107" s="8" t="inlineStr">
        <is>
          <t>OPERATING</t>
        </is>
      </c>
    </row>
    <row r="17108">
      <c r="A17108" s="8" t="inlineStr">
        <is>
          <t>2026-08-03</t>
        </is>
      </c>
      <c r="B17108" s="8" t="n">
        <v>21</v>
      </c>
      <c r="C17108" s="8" t="n">
        <v>51</v>
      </c>
      <c r="D17108" s="8" t="inlineStr">
        <is>
          <t>Disney Adventure World</t>
        </is>
      </c>
      <c r="E17108" s="8" t="inlineStr">
        <is>
          <t>Slinky® Dog Zigzag Spin</t>
        </is>
      </c>
      <c r="F17108" s="8" t="inlineStr">
        <is>
          <t>STANDBY</t>
        </is>
      </c>
      <c r="G17108" s="8" t="n">
        <v>5</v>
      </c>
      <c r="H17108" s="8" t="inlineStr">
        <is>
          <t>OPERATING</t>
        </is>
      </c>
    </row>
    <row r="17109">
      <c r="A17109" s="8" t="inlineStr">
        <is>
          <t>2026-08-03</t>
        </is>
      </c>
      <c r="B17109" s="8" t="n">
        <v>21</v>
      </c>
      <c r="C17109" s="8" t="n">
        <v>51</v>
      </c>
      <c r="D17109" s="8" t="inlineStr">
        <is>
          <t>Disney Adventure World</t>
        </is>
      </c>
      <c r="E17109" s="8" t="inlineStr">
        <is>
          <t>Toy Soldiers Parachute Drop</t>
        </is>
      </c>
      <c r="F17109" s="8" t="inlineStr">
        <is>
          <t>STANDBY</t>
        </is>
      </c>
      <c r="G17109" s="8" t="n">
        <v>30</v>
      </c>
      <c r="H17109" s="8" t="inlineStr">
        <is>
          <t>OPERATING</t>
        </is>
      </c>
    </row>
    <row r="17110">
      <c r="A17110" s="8" t="inlineStr">
        <is>
          <t>2026-08-03</t>
        </is>
      </c>
      <c r="B17110" s="8" t="n">
        <v>21</v>
      </c>
      <c r="C17110" s="8" t="n">
        <v>51</v>
      </c>
      <c r="D17110" s="8" t="inlineStr">
        <is>
          <t>Disney Adventure World</t>
        </is>
      </c>
      <c r="E17110" s="8" t="inlineStr">
        <is>
          <t>Toy Soldiers Parachute Drop Single Rider</t>
        </is>
      </c>
      <c r="F17110" s="8" t="inlineStr">
        <is>
          <t>STANDBY</t>
        </is>
      </c>
      <c r="G17110" s="8" t="n">
        <v>10</v>
      </c>
      <c r="H17110" s="8" t="inlineStr">
        <is>
          <t>OPERATING</t>
        </is>
      </c>
    </row>
    <row r="17111">
      <c r="A17111" s="8" t="inlineStr">
        <is>
          <t>2026-08-03</t>
        </is>
      </c>
      <c r="B17111" s="8" t="n">
        <v>21</v>
      </c>
      <c r="C17111" s="8" t="n">
        <v>51</v>
      </c>
      <c r="D17111" s="8" t="inlineStr">
        <is>
          <t>Disney Adventure World</t>
        </is>
      </c>
      <c r="E17111" s="8" t="inlineStr">
        <is>
          <t>Entry to World of Frozen</t>
        </is>
      </c>
      <c r="F17111" s="8" t="inlineStr">
        <is>
          <t>STANDBY</t>
        </is>
      </c>
      <c r="G17111" s="8" t="n">
        <v>0</v>
      </c>
      <c r="H17111" s="8" t="inlineStr">
        <is>
          <t>OPERATING</t>
        </is>
      </c>
    </row>
    <row r="17112">
      <c r="A17112" s="8" t="inlineStr">
        <is>
          <t>2026-08-03</t>
        </is>
      </c>
      <c r="B17112" s="8" t="n">
        <v>21</v>
      </c>
      <c r="C17112" s="8" t="n">
        <v>51</v>
      </c>
      <c r="D17112" s="8" t="inlineStr">
        <is>
          <t>Disney Adventure World</t>
        </is>
      </c>
      <c r="E17112" s="8" t="inlineStr">
        <is>
          <t>Frozen Ever After</t>
        </is>
      </c>
      <c r="F17112" s="8" t="inlineStr">
        <is>
          <t>STANDBY</t>
        </is>
      </c>
      <c r="G17112" s="8" t="n">
        <v>20</v>
      </c>
      <c r="H17112" s="8" t="inlineStr">
        <is>
          <t>OPERATING</t>
        </is>
      </c>
    </row>
    <row r="17113">
      <c r="A17113" s="8" t="inlineStr">
        <is>
          <t>2026-08-03</t>
        </is>
      </c>
      <c r="B17113" s="8" t="n">
        <v>21</v>
      </c>
      <c r="C17113" s="8" t="n">
        <v>51</v>
      </c>
      <c r="D17113" s="8" t="inlineStr">
        <is>
          <t>Disney Adventure World</t>
        </is>
      </c>
      <c r="E17113" s="8" t="inlineStr">
        <is>
          <t>Raiponce Tangled Spin</t>
        </is>
      </c>
      <c r="F17113" s="8" t="inlineStr">
        <is>
          <t>STANDBY</t>
        </is>
      </c>
      <c r="G17113" s="8" t="n">
        <v>5</v>
      </c>
      <c r="H17113" s="8" t="inlineStr">
        <is>
          <t>OPERATING</t>
        </is>
      </c>
    </row>
    <row r="17114">
      <c r="A17114" s="8" t="inlineStr">
        <is>
          <t>2026-08-03</t>
        </is>
      </c>
      <c r="B17114" s="8" t="n">
        <v>22</v>
      </c>
      <c r="C17114" s="8" t="n">
        <v>1</v>
      </c>
      <c r="D17114" s="8" t="inlineStr">
        <is>
          <t>Disneyland Park</t>
        </is>
      </c>
      <c r="E17114" s="8" t="inlineStr">
        <is>
          <t>Adventure Isle</t>
        </is>
      </c>
      <c r="F17114" s="8" t="inlineStr">
        <is>
          <t>STANDBY</t>
        </is>
      </c>
      <c r="G17114" s="8" t="n">
        <v>0</v>
      </c>
      <c r="H17114" s="8" t="inlineStr">
        <is>
          <t>OPERATING</t>
        </is>
      </c>
    </row>
    <row r="17115">
      <c r="A17115" s="8" t="inlineStr">
        <is>
          <t>2026-08-03</t>
        </is>
      </c>
      <c r="B17115" s="8" t="n">
        <v>22</v>
      </c>
      <c r="C17115" s="8" t="n">
        <v>1</v>
      </c>
      <c r="D17115" s="8" t="inlineStr">
        <is>
          <t>Disneyland Park</t>
        </is>
      </c>
      <c r="E17115" s="8" t="inlineStr">
        <is>
          <t>Indiana Jones and the Temple of Peril Single Rider</t>
        </is>
      </c>
      <c r="F17115" s="8" t="inlineStr">
        <is>
          <t>STANDBY</t>
        </is>
      </c>
      <c r="G17115" s="8" t="n">
        <v>5</v>
      </c>
      <c r="H17115" s="8" t="inlineStr">
        <is>
          <t>OPERATING</t>
        </is>
      </c>
    </row>
    <row r="17116">
      <c r="A17116" s="8" t="inlineStr">
        <is>
          <t>2026-08-03</t>
        </is>
      </c>
      <c r="B17116" s="8" t="n">
        <v>22</v>
      </c>
      <c r="C17116" s="8" t="n">
        <v>1</v>
      </c>
      <c r="D17116" s="8" t="inlineStr">
        <is>
          <t>Disneyland Park</t>
        </is>
      </c>
      <c r="E17116" s="8" t="inlineStr">
        <is>
          <t>Indiana Jones™ and the Temple of Peril</t>
        </is>
      </c>
      <c r="F17116" s="8" t="inlineStr">
        <is>
          <t>STANDBY</t>
        </is>
      </c>
      <c r="G17116" s="8" t="n">
        <v>10</v>
      </c>
      <c r="H17116" s="8" t="inlineStr">
        <is>
          <t>OPERATING</t>
        </is>
      </c>
    </row>
    <row r="17117">
      <c r="A17117" s="8" t="inlineStr">
        <is>
          <t>2026-08-03</t>
        </is>
      </c>
      <c r="B17117" s="8" t="n">
        <v>22</v>
      </c>
      <c r="C17117" s="8" t="n">
        <v>1</v>
      </c>
      <c r="D17117" s="8" t="inlineStr">
        <is>
          <t>Disneyland Park</t>
        </is>
      </c>
      <c r="E17117" s="8" t="inlineStr">
        <is>
          <t>La Cabane des Robinson</t>
        </is>
      </c>
      <c r="F17117" s="8" t="inlineStr">
        <is>
          <t>STANDBY</t>
        </is>
      </c>
      <c r="G17117" s="8" t="n">
        <v>5</v>
      </c>
      <c r="H17117" s="8" t="inlineStr">
        <is>
          <t>OPERATING</t>
        </is>
      </c>
    </row>
    <row r="17118">
      <c r="A17118" s="8" t="inlineStr">
        <is>
          <t>2026-08-03</t>
        </is>
      </c>
      <c r="B17118" s="8" t="n">
        <v>22</v>
      </c>
      <c r="C17118" s="8" t="n">
        <v>1</v>
      </c>
      <c r="D17118" s="8" t="inlineStr">
        <is>
          <t>Disneyland Park</t>
        </is>
      </c>
      <c r="E17118" s="8" t="inlineStr">
        <is>
          <t>Le Passage Enchanté d'Aladdin</t>
        </is>
      </c>
      <c r="F17118" s="8" t="inlineStr">
        <is>
          <t>STANDBY</t>
        </is>
      </c>
      <c r="G17118" s="8" t="n">
        <v>0</v>
      </c>
      <c r="H17118" s="8" t="inlineStr">
        <is>
          <t>OPERATING</t>
        </is>
      </c>
    </row>
    <row r="17119">
      <c r="A17119" s="8" t="inlineStr">
        <is>
          <t>2026-08-03</t>
        </is>
      </c>
      <c r="B17119" s="8" t="n">
        <v>22</v>
      </c>
      <c r="C17119" s="8" t="n">
        <v>1</v>
      </c>
      <c r="D17119" s="8" t="inlineStr">
        <is>
          <t>Disneyland Park</t>
        </is>
      </c>
      <c r="E17119" s="8" t="inlineStr">
        <is>
          <t>Pirate Galleon</t>
        </is>
      </c>
      <c r="F17119" s="8" t="inlineStr">
        <is>
          <t>STANDBY</t>
        </is>
      </c>
      <c r="G17119" s="8" t="n">
        <v>0</v>
      </c>
      <c r="H17119" s="8" t="inlineStr">
        <is>
          <t>CLOSED</t>
        </is>
      </c>
    </row>
    <row r="17120">
      <c r="A17120" s="8" t="inlineStr">
        <is>
          <t>2026-08-03</t>
        </is>
      </c>
      <c r="B17120" s="8" t="n">
        <v>22</v>
      </c>
      <c r="C17120" s="8" t="n">
        <v>1</v>
      </c>
      <c r="D17120" s="8" t="inlineStr">
        <is>
          <t>Disneyland Park</t>
        </is>
      </c>
      <c r="E17120" s="8" t="inlineStr">
        <is>
          <t>Pirates of the Caribbean</t>
        </is>
      </c>
      <c r="F17120" s="8" t="inlineStr">
        <is>
          <t>STANDBY</t>
        </is>
      </c>
      <c r="G17120" s="8" t="n">
        <v>5</v>
      </c>
      <c r="H17120" s="8" t="inlineStr">
        <is>
          <t>OPERATING</t>
        </is>
      </c>
    </row>
    <row r="17121">
      <c r="A17121" s="8" t="inlineStr">
        <is>
          <t>2026-08-03</t>
        </is>
      </c>
      <c r="B17121" s="8" t="n">
        <v>22</v>
      </c>
      <c r="C17121" s="8" t="n">
        <v>1</v>
      </c>
      <c r="D17121" s="8" t="inlineStr">
        <is>
          <t>Disneyland Park</t>
        </is>
      </c>
      <c r="E17121" s="8" t="inlineStr">
        <is>
          <t>Pirates' Beach</t>
        </is>
      </c>
      <c r="F17121" s="8" t="inlineStr">
        <is>
          <t>STANDBY</t>
        </is>
      </c>
      <c r="G17121" s="8" t="n">
        <v>0</v>
      </c>
      <c r="H17121" s="8" t="inlineStr">
        <is>
          <t>OPERATING</t>
        </is>
      </c>
    </row>
    <row r="17122">
      <c r="A17122" s="8" t="inlineStr">
        <is>
          <t>2026-08-03</t>
        </is>
      </c>
      <c r="B17122" s="8" t="n">
        <v>22</v>
      </c>
      <c r="C17122" s="8" t="n">
        <v>1</v>
      </c>
      <c r="D17122" s="8" t="inlineStr">
        <is>
          <t>Disneyland Park</t>
        </is>
      </c>
      <c r="E17122" s="8" t="inlineStr">
        <is>
          <t>Autopia, presented by Avis</t>
        </is>
      </c>
      <c r="F17122" s="8" t="inlineStr">
        <is>
          <t>STANDBY</t>
        </is>
      </c>
      <c r="G17122" s="8" t="n">
        <v>60</v>
      </c>
      <c r="H17122" s="8" t="inlineStr">
        <is>
          <t>OPERATING</t>
        </is>
      </c>
    </row>
    <row r="17123">
      <c r="A17123" s="8" t="inlineStr">
        <is>
          <t>2026-08-03</t>
        </is>
      </c>
      <c r="B17123" s="8" t="n">
        <v>22</v>
      </c>
      <c r="C17123" s="8" t="n">
        <v>1</v>
      </c>
      <c r="D17123" s="8" t="inlineStr">
        <is>
          <t>Disneyland Park</t>
        </is>
      </c>
      <c r="E17123" s="8" t="inlineStr">
        <is>
          <t>Buzz Lightyear Laser Blast</t>
        </is>
      </c>
      <c r="F17123" s="8" t="inlineStr">
        <is>
          <t>STANDBY</t>
        </is>
      </c>
      <c r="G17123" s="8" t="n">
        <v>10</v>
      </c>
      <c r="H17123" s="8" t="inlineStr">
        <is>
          <t>OPERATING</t>
        </is>
      </c>
    </row>
    <row r="17124">
      <c r="A17124" s="8" t="inlineStr">
        <is>
          <t>2026-08-03</t>
        </is>
      </c>
      <c r="B17124" s="8" t="n">
        <v>22</v>
      </c>
      <c r="C17124" s="8" t="n">
        <v>1</v>
      </c>
      <c r="D17124" s="8" t="inlineStr">
        <is>
          <t>Disneyland Park</t>
        </is>
      </c>
      <c r="E17124" s="8" t="inlineStr">
        <is>
          <t>Disneyland Railroad Discoveryland Station</t>
        </is>
      </c>
      <c r="F17124" s="8" t="inlineStr">
        <is>
          <t>STANDBY</t>
        </is>
      </c>
      <c r="G17124" s="8" t="n">
        <v>0</v>
      </c>
      <c r="H17124" s="8" t="inlineStr">
        <is>
          <t>CLOSED</t>
        </is>
      </c>
    </row>
    <row r="17125">
      <c r="A17125" s="8" t="inlineStr">
        <is>
          <t>2026-08-03</t>
        </is>
      </c>
      <c r="B17125" s="8" t="n">
        <v>22</v>
      </c>
      <c r="C17125" s="8" t="n">
        <v>1</v>
      </c>
      <c r="D17125" s="8" t="inlineStr">
        <is>
          <t>Disneyland Park</t>
        </is>
      </c>
      <c r="E17125" s="8" t="inlineStr">
        <is>
          <t>Les Mystères du Nautilus</t>
        </is>
      </c>
      <c r="F17125" s="8" t="inlineStr">
        <is>
          <t>STANDBY</t>
        </is>
      </c>
      <c r="G17125" s="8" t="n">
        <v>5</v>
      </c>
      <c r="H17125" s="8" t="inlineStr">
        <is>
          <t>OPERATING</t>
        </is>
      </c>
    </row>
    <row r="17126">
      <c r="A17126" s="8" t="inlineStr">
        <is>
          <t>2026-08-03</t>
        </is>
      </c>
      <c r="B17126" s="8" t="n">
        <v>22</v>
      </c>
      <c r="C17126" s="8" t="n">
        <v>1</v>
      </c>
      <c r="D17126" s="8" t="inlineStr">
        <is>
          <t>Disneyland Park</t>
        </is>
      </c>
      <c r="E17126" s="8" t="inlineStr">
        <is>
          <t>Mickey’s PhilharMagic</t>
        </is>
      </c>
      <c r="F17126" s="8" t="inlineStr">
        <is>
          <t>STANDBY</t>
        </is>
      </c>
      <c r="G17126" s="8" t="n">
        <v>0</v>
      </c>
      <c r="H17126" s="8" t="inlineStr">
        <is>
          <t>CLOSED</t>
        </is>
      </c>
    </row>
    <row r="17127">
      <c r="A17127" s="8" t="inlineStr">
        <is>
          <t>2026-08-03</t>
        </is>
      </c>
      <c r="B17127" s="8" t="n">
        <v>22</v>
      </c>
      <c r="C17127" s="8" t="n">
        <v>1</v>
      </c>
      <c r="D17127" s="8" t="inlineStr">
        <is>
          <t>Disneyland Park</t>
        </is>
      </c>
      <c r="E17127" s="8" t="inlineStr">
        <is>
          <t>Orbitron®</t>
        </is>
      </c>
      <c r="F17127" s="8" t="inlineStr">
        <is>
          <t>STANDBY</t>
        </is>
      </c>
      <c r="G17127" s="8" t="n">
        <v>40</v>
      </c>
      <c r="H17127" s="8" t="inlineStr">
        <is>
          <t>OPERATING</t>
        </is>
      </c>
    </row>
    <row r="17128">
      <c r="A17128" s="8" t="inlineStr">
        <is>
          <t>2026-08-03</t>
        </is>
      </c>
      <c r="B17128" s="8" t="n">
        <v>22</v>
      </c>
      <c r="C17128" s="8" t="n">
        <v>1</v>
      </c>
      <c r="D17128" s="8" t="inlineStr">
        <is>
          <t>Disneyland Park</t>
        </is>
      </c>
      <c r="E17128" s="8" t="inlineStr">
        <is>
          <t>Star Tours: The Adventures Continue*</t>
        </is>
      </c>
      <c r="F17128" s="8" t="inlineStr">
        <is>
          <t>STANDBY</t>
        </is>
      </c>
      <c r="G17128" s="8" t="n">
        <v>5</v>
      </c>
      <c r="H17128" s="8" t="inlineStr">
        <is>
          <t>OPERATING</t>
        </is>
      </c>
    </row>
    <row r="17129">
      <c r="A17129" s="8" t="inlineStr">
        <is>
          <t>2026-08-03</t>
        </is>
      </c>
      <c r="B17129" s="8" t="n">
        <v>22</v>
      </c>
      <c r="C17129" s="8" t="n">
        <v>1</v>
      </c>
      <c r="D17129" s="8" t="inlineStr">
        <is>
          <t>Disneyland Park</t>
        </is>
      </c>
      <c r="E17129" s="8" t="inlineStr">
        <is>
          <t>Star Wars Hyperspace Mountain</t>
        </is>
      </c>
      <c r="F17129" s="8" t="inlineStr">
        <is>
          <t>STANDBY</t>
        </is>
      </c>
      <c r="G17129" s="8" t="n">
        <v>15</v>
      </c>
      <c r="H17129" s="8" t="inlineStr">
        <is>
          <t>OPERATING</t>
        </is>
      </c>
    </row>
    <row r="17130">
      <c r="A17130" s="8" t="inlineStr">
        <is>
          <t>2026-08-03</t>
        </is>
      </c>
      <c r="B17130" s="8" t="n">
        <v>22</v>
      </c>
      <c r="C17130" s="8" t="n">
        <v>1</v>
      </c>
      <c r="D17130" s="8" t="inlineStr">
        <is>
          <t>Disneyland Park</t>
        </is>
      </c>
      <c r="E17130" s="8" t="inlineStr">
        <is>
          <t>Star Wars Hyperspace Mountain Single Rider</t>
        </is>
      </c>
      <c r="F17130" s="8" t="inlineStr">
        <is>
          <t>STANDBY</t>
        </is>
      </c>
      <c r="G17130" s="8" t="n">
        <v>10</v>
      </c>
      <c r="H17130" s="8" t="inlineStr">
        <is>
          <t>OPERATING</t>
        </is>
      </c>
    </row>
    <row r="17131">
      <c r="A17131" s="8" t="inlineStr">
        <is>
          <t>2026-08-03</t>
        </is>
      </c>
      <c r="B17131" s="8" t="n">
        <v>22</v>
      </c>
      <c r="C17131" s="8" t="n">
        <v>1</v>
      </c>
      <c r="D17131" s="8" t="inlineStr">
        <is>
          <t>Disneyland Park</t>
        </is>
      </c>
      <c r="E17131" s="8" t="inlineStr">
        <is>
          <t>Welcome to Starport: A Star Wars Encounter</t>
        </is>
      </c>
      <c r="F17131" s="8" t="inlineStr">
        <is>
          <t>STANDBY</t>
        </is>
      </c>
      <c r="G17131" s="8" t="n">
        <v>0</v>
      </c>
      <c r="H17131" s="8" t="inlineStr">
        <is>
          <t>CLOSED</t>
        </is>
      </c>
    </row>
    <row r="17132">
      <c r="A17132" s="8" t="inlineStr">
        <is>
          <t>2026-08-03</t>
        </is>
      </c>
      <c r="B17132" s="8" t="n">
        <v>22</v>
      </c>
      <c r="C17132" s="8" t="n">
        <v>1</v>
      </c>
      <c r="D17132" s="8" t="inlineStr">
        <is>
          <t>Disneyland Park</t>
        </is>
      </c>
      <c r="E17132" s="8" t="inlineStr">
        <is>
          <t>"it's a small world"</t>
        </is>
      </c>
      <c r="F17132" s="8" t="inlineStr">
        <is>
          <t>STANDBY</t>
        </is>
      </c>
      <c r="G17132" s="8" t="n">
        <v>5</v>
      </c>
      <c r="H17132" s="8" t="inlineStr">
        <is>
          <t>OPERATING</t>
        </is>
      </c>
    </row>
    <row r="17133">
      <c r="A17133" s="8" t="inlineStr">
        <is>
          <t>2026-08-03</t>
        </is>
      </c>
      <c r="B17133" s="8" t="n">
        <v>22</v>
      </c>
      <c r="C17133" s="8" t="n">
        <v>1</v>
      </c>
      <c r="D17133" s="8" t="inlineStr">
        <is>
          <t>Disneyland Park</t>
        </is>
      </c>
      <c r="E17133" s="8" t="inlineStr">
        <is>
          <t>Alice's Curious Labyrinth</t>
        </is>
      </c>
      <c r="F17133" s="8" t="inlineStr">
        <is>
          <t>STANDBY</t>
        </is>
      </c>
      <c r="G17133" s="8" t="n">
        <v>0</v>
      </c>
      <c r="H17133" s="8" t="inlineStr">
        <is>
          <t>CLOSED</t>
        </is>
      </c>
    </row>
    <row r="17134">
      <c r="A17134" s="8" t="inlineStr">
        <is>
          <t>2026-08-03</t>
        </is>
      </c>
      <c r="B17134" s="8" t="n">
        <v>22</v>
      </c>
      <c r="C17134" s="8" t="n">
        <v>1</v>
      </c>
      <c r="D17134" s="8" t="inlineStr">
        <is>
          <t>Disneyland Park</t>
        </is>
      </c>
      <c r="E17134" s="8" t="inlineStr">
        <is>
          <t>Blanche-Neige et les Sept Nains®</t>
        </is>
      </c>
      <c r="F17134" s="8" t="inlineStr">
        <is>
          <t>STANDBY</t>
        </is>
      </c>
      <c r="G17134" s="8" t="n">
        <v>0</v>
      </c>
      <c r="H17134" s="8" t="inlineStr">
        <is>
          <t>CLOSED</t>
        </is>
      </c>
    </row>
    <row r="17135">
      <c r="A17135" s="8" t="inlineStr">
        <is>
          <t>2026-08-03</t>
        </is>
      </c>
      <c r="B17135" s="8" t="n">
        <v>22</v>
      </c>
      <c r="C17135" s="8" t="n">
        <v>1</v>
      </c>
      <c r="D17135" s="8" t="inlineStr">
        <is>
          <t>Disneyland Park</t>
        </is>
      </c>
      <c r="E17135" s="8" t="inlineStr">
        <is>
          <t>Casey Jr. – le Petit Train du Cirque</t>
        </is>
      </c>
      <c r="F17135" s="8" t="inlineStr">
        <is>
          <t>STANDBY</t>
        </is>
      </c>
      <c r="G17135" s="8" t="n">
        <v>0</v>
      </c>
      <c r="H17135" s="8" t="inlineStr">
        <is>
          <t>CLOSED</t>
        </is>
      </c>
    </row>
    <row r="17136">
      <c r="A17136" s="8" t="inlineStr">
        <is>
          <t>2026-08-03</t>
        </is>
      </c>
      <c r="B17136" s="8" t="n">
        <v>22</v>
      </c>
      <c r="C17136" s="8" t="n">
        <v>1</v>
      </c>
      <c r="D17136" s="8" t="inlineStr">
        <is>
          <t>Disneyland Park</t>
        </is>
      </c>
      <c r="E17136" s="8" t="inlineStr">
        <is>
          <t>Disneyland Railroad Fantasyland Station</t>
        </is>
      </c>
      <c r="F17136" s="8" t="inlineStr">
        <is>
          <t>STANDBY</t>
        </is>
      </c>
      <c r="G17136" s="8" t="n">
        <v>0</v>
      </c>
      <c r="H17136" s="8" t="inlineStr">
        <is>
          <t>CLOSED</t>
        </is>
      </c>
    </row>
    <row r="17137">
      <c r="A17137" s="8" t="inlineStr">
        <is>
          <t>2026-08-03</t>
        </is>
      </c>
      <c r="B17137" s="8" t="n">
        <v>22</v>
      </c>
      <c r="C17137" s="8" t="n">
        <v>1</v>
      </c>
      <c r="D17137" s="8" t="inlineStr">
        <is>
          <t>Disneyland Park</t>
        </is>
      </c>
      <c r="E17137" s="8" t="inlineStr">
        <is>
          <t>Disneyland Railroad Main Street Station</t>
        </is>
      </c>
      <c r="F17137" s="8" t="inlineStr">
        <is>
          <t>STANDBY</t>
        </is>
      </c>
      <c r="G17137" s="8" t="n">
        <v>0</v>
      </c>
      <c r="H17137" s="8" t="inlineStr">
        <is>
          <t>CLOSED</t>
        </is>
      </c>
    </row>
    <row r="17138">
      <c r="A17138" s="8" t="inlineStr">
        <is>
          <t>2026-08-03</t>
        </is>
      </c>
      <c r="B17138" s="8" t="n">
        <v>22</v>
      </c>
      <c r="C17138" s="8" t="n">
        <v>1</v>
      </c>
      <c r="D17138" s="8" t="inlineStr">
        <is>
          <t>Disneyland Park</t>
        </is>
      </c>
      <c r="E17138" s="8" t="inlineStr">
        <is>
          <t>Dumbo the Flying Elephant</t>
        </is>
      </c>
      <c r="F17138" s="8" t="inlineStr">
        <is>
          <t>STANDBY</t>
        </is>
      </c>
      <c r="G17138" s="8" t="n">
        <v>0</v>
      </c>
      <c r="H17138" s="8" t="inlineStr">
        <is>
          <t>CLOSED</t>
        </is>
      </c>
    </row>
    <row r="17139">
      <c r="A17139" s="8" t="inlineStr">
        <is>
          <t>2026-08-03</t>
        </is>
      </c>
      <c r="B17139" s="8" t="n">
        <v>22</v>
      </c>
      <c r="C17139" s="8" t="n">
        <v>1</v>
      </c>
      <c r="D17139" s="8" t="inlineStr">
        <is>
          <t>Disneyland Park</t>
        </is>
      </c>
      <c r="E17139" s="8" t="inlineStr">
        <is>
          <t>La Tanière du Dragon</t>
        </is>
      </c>
      <c r="F17139" s="8" t="inlineStr">
        <is>
          <t>STANDBY</t>
        </is>
      </c>
      <c r="G17139" s="8" t="n">
        <v>0</v>
      </c>
      <c r="H17139" s="8" t="inlineStr">
        <is>
          <t>CLOSED</t>
        </is>
      </c>
    </row>
    <row r="17140">
      <c r="A17140" s="8" t="inlineStr">
        <is>
          <t>2026-08-03</t>
        </is>
      </c>
      <c r="B17140" s="8" t="n">
        <v>22</v>
      </c>
      <c r="C17140" s="8" t="n">
        <v>1</v>
      </c>
      <c r="D17140" s="8" t="inlineStr">
        <is>
          <t>Disneyland Park</t>
        </is>
      </c>
      <c r="E17140" s="8" t="inlineStr">
        <is>
          <t>Le Carrousel de Lancelot</t>
        </is>
      </c>
      <c r="F17140" s="8" t="inlineStr">
        <is>
          <t>STANDBY</t>
        </is>
      </c>
      <c r="G17140" s="8" t="n">
        <v>0</v>
      </c>
      <c r="H17140" s="8" t="inlineStr">
        <is>
          <t>CLOSED</t>
        </is>
      </c>
    </row>
    <row r="17141">
      <c r="A17141" s="8" t="inlineStr">
        <is>
          <t>2026-08-03</t>
        </is>
      </c>
      <c r="B17141" s="8" t="n">
        <v>22</v>
      </c>
      <c r="C17141" s="8" t="n">
        <v>1</v>
      </c>
      <c r="D17141" s="8" t="inlineStr">
        <is>
          <t>Disneyland Park</t>
        </is>
      </c>
      <c r="E17141" s="8" t="inlineStr">
        <is>
          <t>Le Pays des Contes de Fées, presented by Vittel</t>
        </is>
      </c>
      <c r="F17141" s="8" t="inlineStr">
        <is>
          <t>STANDBY</t>
        </is>
      </c>
      <c r="G17141" s="8" t="n">
        <v>0</v>
      </c>
      <c r="H17141" s="8" t="inlineStr">
        <is>
          <t>CLOSED</t>
        </is>
      </c>
    </row>
    <row r="17142">
      <c r="A17142" s="8" t="inlineStr">
        <is>
          <t>2026-08-03</t>
        </is>
      </c>
      <c r="B17142" s="8" t="n">
        <v>22</v>
      </c>
      <c r="C17142" s="8" t="n">
        <v>1</v>
      </c>
      <c r="D17142" s="8" t="inlineStr">
        <is>
          <t>Disneyland Park</t>
        </is>
      </c>
      <c r="E17142" s="8" t="inlineStr">
        <is>
          <t>Les Voyages de Pinocchio</t>
        </is>
      </c>
      <c r="F17142" s="8" t="inlineStr">
        <is>
          <t>STANDBY</t>
        </is>
      </c>
      <c r="G17142" s="8" t="n">
        <v>0</v>
      </c>
      <c r="H17142" s="8" t="inlineStr">
        <is>
          <t>CLOSED</t>
        </is>
      </c>
    </row>
    <row r="17143">
      <c r="A17143" s="8" t="inlineStr">
        <is>
          <t>2026-08-03</t>
        </is>
      </c>
      <c r="B17143" s="8" t="n">
        <v>22</v>
      </c>
      <c r="C17143" s="8" t="n">
        <v>1</v>
      </c>
      <c r="D17143" s="8" t="inlineStr">
        <is>
          <t>Disneyland Park</t>
        </is>
      </c>
      <c r="E17143" s="8" t="inlineStr">
        <is>
          <t>Mad Hatter's Tea Cups</t>
        </is>
      </c>
      <c r="F17143" s="8" t="inlineStr">
        <is>
          <t>STANDBY</t>
        </is>
      </c>
      <c r="G17143" s="8" t="n">
        <v>0</v>
      </c>
      <c r="H17143" s="8" t="inlineStr">
        <is>
          <t>CLOSED</t>
        </is>
      </c>
    </row>
    <row r="17144">
      <c r="A17144" s="8" t="inlineStr">
        <is>
          <t>2026-08-03</t>
        </is>
      </c>
      <c r="B17144" s="8" t="n">
        <v>22</v>
      </c>
      <c r="C17144" s="8" t="n">
        <v>1</v>
      </c>
      <c r="D17144" s="8" t="inlineStr">
        <is>
          <t>Disneyland Park</t>
        </is>
      </c>
      <c r="E17144" s="8" t="inlineStr">
        <is>
          <t>Meet Mickey Mouse</t>
        </is>
      </c>
      <c r="F17144" s="8" t="inlineStr">
        <is>
          <t>STANDBY</t>
        </is>
      </c>
      <c r="G17144" s="8" t="n">
        <v>0</v>
      </c>
      <c r="H17144" s="8" t="inlineStr">
        <is>
          <t>CLOSED</t>
        </is>
      </c>
    </row>
    <row r="17145">
      <c r="A17145" s="8" t="inlineStr">
        <is>
          <t>2026-08-03</t>
        </is>
      </c>
      <c r="B17145" s="8" t="n">
        <v>22</v>
      </c>
      <c r="C17145" s="8" t="n">
        <v>1</v>
      </c>
      <c r="D17145" s="8" t="inlineStr">
        <is>
          <t>Disneyland Park</t>
        </is>
      </c>
      <c r="E17145" s="8" t="inlineStr">
        <is>
          <t>Peter Pan's Flight</t>
        </is>
      </c>
      <c r="F17145" s="8" t="inlineStr">
        <is>
          <t>STANDBY</t>
        </is>
      </c>
      <c r="G17145" s="8" t="n">
        <v>30</v>
      </c>
      <c r="H17145" s="8" t="inlineStr">
        <is>
          <t>OPERATING</t>
        </is>
      </c>
    </row>
    <row r="17146">
      <c r="A17146" s="8" t="inlineStr">
        <is>
          <t>2026-08-03</t>
        </is>
      </c>
      <c r="B17146" s="8" t="n">
        <v>22</v>
      </c>
      <c r="C17146" s="8" t="n">
        <v>1</v>
      </c>
      <c r="D17146" s="8" t="inlineStr">
        <is>
          <t>Disneyland Park</t>
        </is>
      </c>
      <c r="E17146" s="8" t="inlineStr">
        <is>
          <t>Princess Pavilion</t>
        </is>
      </c>
      <c r="F17146" s="8" t="inlineStr">
        <is>
          <t>STANDBY</t>
        </is>
      </c>
      <c r="G17146" s="8" t="n">
        <v>0</v>
      </c>
      <c r="H17146" s="8" t="inlineStr">
        <is>
          <t>CLOSED</t>
        </is>
      </c>
    </row>
    <row r="17147">
      <c r="A17147" s="8" t="inlineStr">
        <is>
          <t>2026-08-03</t>
        </is>
      </c>
      <c r="B17147" s="8" t="n">
        <v>22</v>
      </c>
      <c r="C17147" s="8" t="n">
        <v>1</v>
      </c>
      <c r="D17147" s="8" t="inlineStr">
        <is>
          <t>Disneyland Park</t>
        </is>
      </c>
      <c r="E17147" s="8" t="inlineStr">
        <is>
          <t>Big Thunder Mountain</t>
        </is>
      </c>
      <c r="F17147" s="8" t="inlineStr">
        <is>
          <t>STANDBY</t>
        </is>
      </c>
      <c r="G17147" s="8" t="n">
        <v>35</v>
      </c>
      <c r="H17147" s="8" t="inlineStr">
        <is>
          <t>OPERATING</t>
        </is>
      </c>
    </row>
    <row r="17148">
      <c r="A17148" s="8" t="inlineStr">
        <is>
          <t>2026-08-03</t>
        </is>
      </c>
      <c r="B17148" s="8" t="n">
        <v>22</v>
      </c>
      <c r="C17148" s="8" t="n">
        <v>1</v>
      </c>
      <c r="D17148" s="8" t="inlineStr">
        <is>
          <t>Disneyland Park</t>
        </is>
      </c>
      <c r="E17148" s="8" t="inlineStr">
        <is>
          <t>Disneyland Railroad Frontierland Depot</t>
        </is>
      </c>
      <c r="F17148" s="8" t="inlineStr">
        <is>
          <t>STANDBY</t>
        </is>
      </c>
      <c r="G17148" s="8" t="n">
        <v>0</v>
      </c>
      <c r="H17148" s="8" t="inlineStr">
        <is>
          <t>CLOSED</t>
        </is>
      </c>
    </row>
    <row r="17149">
      <c r="A17149" s="8" t="inlineStr">
        <is>
          <t>2026-08-03</t>
        </is>
      </c>
      <c r="B17149" s="8" t="n">
        <v>22</v>
      </c>
      <c r="C17149" s="8" t="n">
        <v>1</v>
      </c>
      <c r="D17149" s="8" t="inlineStr">
        <is>
          <t>Disneyland Park</t>
        </is>
      </c>
      <c r="E17149" s="8" t="inlineStr">
        <is>
          <t>Frontierland Playground</t>
        </is>
      </c>
      <c r="F17149" s="8" t="inlineStr">
        <is>
          <t>STANDBY</t>
        </is>
      </c>
      <c r="G17149" s="8" t="n">
        <v>0</v>
      </c>
      <c r="H17149" s="8" t="inlineStr">
        <is>
          <t>CLOSED</t>
        </is>
      </c>
    </row>
    <row r="17150">
      <c r="A17150" s="8" t="inlineStr">
        <is>
          <t>2026-08-03</t>
        </is>
      </c>
      <c r="B17150" s="8" t="n">
        <v>22</v>
      </c>
      <c r="C17150" s="8" t="n">
        <v>1</v>
      </c>
      <c r="D17150" s="8" t="inlineStr">
        <is>
          <t>Disneyland Park</t>
        </is>
      </c>
      <c r="E17150" s="8" t="inlineStr">
        <is>
          <t>Phantom Manor</t>
        </is>
      </c>
      <c r="F17150" s="8" t="inlineStr">
        <is>
          <t>STANDBY</t>
        </is>
      </c>
      <c r="G17150" s="8" t="n">
        <v>5</v>
      </c>
      <c r="H17150" s="8" t="inlineStr">
        <is>
          <t>OPERATING</t>
        </is>
      </c>
    </row>
    <row r="17151">
      <c r="A17151" s="8" t="inlineStr">
        <is>
          <t>2026-08-03</t>
        </is>
      </c>
      <c r="B17151" s="8" t="n">
        <v>22</v>
      </c>
      <c r="C17151" s="8" t="n">
        <v>1</v>
      </c>
      <c r="D17151" s="8" t="inlineStr">
        <is>
          <t>Disneyland Park</t>
        </is>
      </c>
      <c r="E17151" s="8" t="inlineStr">
        <is>
          <t>River Rogue Keelboats</t>
        </is>
      </c>
      <c r="F17151" s="8" t="inlineStr">
        <is>
          <t>STANDBY</t>
        </is>
      </c>
      <c r="G17151" s="8" t="n">
        <v>0</v>
      </c>
      <c r="H17151" s="8" t="inlineStr">
        <is>
          <t>CLOSED</t>
        </is>
      </c>
    </row>
    <row r="17152">
      <c r="A17152" s="8" t="inlineStr">
        <is>
          <t>2026-08-03</t>
        </is>
      </c>
      <c r="B17152" s="8" t="n">
        <v>22</v>
      </c>
      <c r="C17152" s="8" t="n">
        <v>1</v>
      </c>
      <c r="D17152" s="8" t="inlineStr">
        <is>
          <t>Disneyland Park</t>
        </is>
      </c>
      <c r="E17152" s="8" t="inlineStr">
        <is>
          <t>Rustler Roundup Shootin' Gallery</t>
        </is>
      </c>
      <c r="F17152" s="8" t="inlineStr">
        <is>
          <t>STANDBY</t>
        </is>
      </c>
      <c r="G17152" s="8" t="n">
        <v>0</v>
      </c>
      <c r="H17152" s="8" t="inlineStr">
        <is>
          <t>CLOSED</t>
        </is>
      </c>
    </row>
    <row r="17153">
      <c r="A17153" s="8" t="inlineStr">
        <is>
          <t>2026-08-03</t>
        </is>
      </c>
      <c r="B17153" s="8" t="n">
        <v>22</v>
      </c>
      <c r="C17153" s="8" t="n">
        <v>1</v>
      </c>
      <c r="D17153" s="8" t="inlineStr">
        <is>
          <t>Disneyland Park</t>
        </is>
      </c>
      <c r="E17153" s="8" t="inlineStr">
        <is>
          <t>Thunder Mesa Riverboat Landing</t>
        </is>
      </c>
      <c r="F17153" s="8" t="inlineStr">
        <is>
          <t>STANDBY</t>
        </is>
      </c>
      <c r="G17153" s="8" t="n">
        <v>0</v>
      </c>
      <c r="H17153" s="8" t="inlineStr">
        <is>
          <t>CLOSED</t>
        </is>
      </c>
    </row>
    <row r="17154">
      <c r="A17154" s="8" t="inlineStr">
        <is>
          <t>2026-08-03</t>
        </is>
      </c>
      <c r="B17154" s="8" t="n">
        <v>22</v>
      </c>
      <c r="C17154" s="8" t="n">
        <v>1</v>
      </c>
      <c r="D17154" s="8" t="inlineStr">
        <is>
          <t>Disneyland Park</t>
        </is>
      </c>
      <c r="E17154" s="8" t="inlineStr">
        <is>
          <t>Disneyland Railroad Main Street Station</t>
        </is>
      </c>
      <c r="F17154" s="8" t="inlineStr">
        <is>
          <t>STANDBY</t>
        </is>
      </c>
      <c r="G17154" s="8" t="n">
        <v>0</v>
      </c>
      <c r="H17154" s="8" t="inlineStr">
        <is>
          <t>CLOSED</t>
        </is>
      </c>
    </row>
    <row r="17155">
      <c r="A17155" s="8" t="inlineStr">
        <is>
          <t>2026-08-03</t>
        </is>
      </c>
      <c r="B17155" s="8" t="n">
        <v>22</v>
      </c>
      <c r="C17155" s="8" t="n">
        <v>1</v>
      </c>
      <c r="D17155" s="8" t="inlineStr">
        <is>
          <t>Disneyland Park</t>
        </is>
      </c>
      <c r="E17155" s="8" t="inlineStr">
        <is>
          <t>Main Street Vehicles</t>
        </is>
      </c>
      <c r="F17155" s="8" t="inlineStr">
        <is>
          <t>STANDBY</t>
        </is>
      </c>
      <c r="G17155" s="8" t="n">
        <v>0</v>
      </c>
      <c r="H17155" s="8" t="inlineStr">
        <is>
          <t>CLOSED</t>
        </is>
      </c>
    </row>
    <row r="17156">
      <c r="A17156" s="8" t="inlineStr">
        <is>
          <t>2026-08-03</t>
        </is>
      </c>
      <c r="B17156" s="8" t="n">
        <v>22</v>
      </c>
      <c r="C17156" s="8" t="n">
        <v>1</v>
      </c>
      <c r="D17156" s="8" t="inlineStr">
        <is>
          <t>Disney Adventure World</t>
        </is>
      </c>
      <c r="E17156" s="8" t="inlineStr">
        <is>
          <t>Avengers Assemble: Flight Force</t>
        </is>
      </c>
      <c r="F17156" s="8" t="inlineStr">
        <is>
          <t>STANDBY</t>
        </is>
      </c>
      <c r="G17156" s="8" t="n">
        <v>5</v>
      </c>
      <c r="H17156" s="8" t="inlineStr">
        <is>
          <t>OPERATING</t>
        </is>
      </c>
    </row>
    <row r="17157">
      <c r="A17157" s="8" t="inlineStr">
        <is>
          <t>2026-08-03</t>
        </is>
      </c>
      <c r="B17157" s="8" t="n">
        <v>22</v>
      </c>
      <c r="C17157" s="8" t="n">
        <v>1</v>
      </c>
      <c r="D17157" s="8" t="inlineStr">
        <is>
          <t>Disney Adventure World</t>
        </is>
      </c>
      <c r="E17157" s="8" t="inlineStr">
        <is>
          <t>Avengers Assemble: Flight Force Single Rider</t>
        </is>
      </c>
      <c r="F17157" s="8" t="inlineStr">
        <is>
          <t>STANDBY</t>
        </is>
      </c>
      <c r="G17157" s="8" t="n">
        <v>5</v>
      </c>
      <c r="H17157" s="8" t="inlineStr">
        <is>
          <t>OPERATING</t>
        </is>
      </c>
    </row>
    <row r="17158">
      <c r="A17158" s="8" t="inlineStr">
        <is>
          <t>2026-08-03</t>
        </is>
      </c>
      <c r="B17158" s="8" t="n">
        <v>22</v>
      </c>
      <c r="C17158" s="8" t="n">
        <v>1</v>
      </c>
      <c r="D17158" s="8" t="inlineStr">
        <is>
          <t>Disney Adventure World</t>
        </is>
      </c>
      <c r="E17158" s="8" t="inlineStr">
        <is>
          <t>Spider-Man W.E.B. Adventure</t>
        </is>
      </c>
      <c r="F17158" s="8" t="inlineStr">
        <is>
          <t>STANDBY</t>
        </is>
      </c>
      <c r="G17158" s="8" t="n">
        <v>10</v>
      </c>
      <c r="H17158" s="8" t="inlineStr">
        <is>
          <t>OPERATING</t>
        </is>
      </c>
    </row>
    <row r="17159">
      <c r="A17159" s="8" t="inlineStr">
        <is>
          <t>2026-08-03</t>
        </is>
      </c>
      <c r="B17159" s="8" t="n">
        <v>22</v>
      </c>
      <c r="C17159" s="8" t="n">
        <v>1</v>
      </c>
      <c r="D17159" s="8" t="inlineStr">
        <is>
          <t>Disney Adventure World</t>
        </is>
      </c>
      <c r="E17159" s="8" t="inlineStr">
        <is>
          <t>Spider-Man W.E.B. Adventure Single Rider</t>
        </is>
      </c>
      <c r="F17159" s="8" t="inlineStr">
        <is>
          <t>STANDBY</t>
        </is>
      </c>
      <c r="G17159" s="8" t="n">
        <v>5</v>
      </c>
      <c r="H17159" s="8" t="inlineStr">
        <is>
          <t>OPERATING</t>
        </is>
      </c>
    </row>
    <row r="17160">
      <c r="A17160" s="8" t="inlineStr">
        <is>
          <t>2026-08-03</t>
        </is>
      </c>
      <c r="B17160" s="8" t="n">
        <v>22</v>
      </c>
      <c r="C17160" s="8" t="n">
        <v>1</v>
      </c>
      <c r="D17160" s="8" t="inlineStr">
        <is>
          <t>Disney Adventure World</t>
        </is>
      </c>
      <c r="E17160" s="8" t="inlineStr">
        <is>
          <t>The Twilight Zone Tower of Terror</t>
        </is>
      </c>
      <c r="F17160" s="8" t="inlineStr">
        <is>
          <t>STANDBY</t>
        </is>
      </c>
      <c r="G17160" s="8" t="n">
        <v>30</v>
      </c>
      <c r="H17160" s="8" t="inlineStr">
        <is>
          <t>OPERATING</t>
        </is>
      </c>
    </row>
    <row r="17161">
      <c r="A17161" s="8" t="inlineStr">
        <is>
          <t>2026-08-03</t>
        </is>
      </c>
      <c r="B17161" s="8" t="n">
        <v>22</v>
      </c>
      <c r="C17161" s="8" t="n">
        <v>1</v>
      </c>
      <c r="D17161" s="8" t="inlineStr">
        <is>
          <t>Disney Adventure World</t>
        </is>
      </c>
      <c r="E17161" s="8" t="inlineStr">
        <is>
          <t>Cars Quatre Roues Rallye</t>
        </is>
      </c>
      <c r="F17161" s="8" t="inlineStr">
        <is>
          <t>STANDBY</t>
        </is>
      </c>
      <c r="G17161" s="8" t="n">
        <v>5</v>
      </c>
      <c r="H17161" s="8" t="inlineStr">
        <is>
          <t>OPERATING</t>
        </is>
      </c>
    </row>
    <row r="17162">
      <c r="A17162" s="8" t="inlineStr">
        <is>
          <t>2026-08-03</t>
        </is>
      </c>
      <c r="B17162" s="8" t="n">
        <v>22</v>
      </c>
      <c r="C17162" s="8" t="n">
        <v>1</v>
      </c>
      <c r="D17162" s="8" t="inlineStr">
        <is>
          <t>Disney Adventure World</t>
        </is>
      </c>
      <c r="E17162" s="8" t="inlineStr">
        <is>
          <t>Cars ROAD TRIP</t>
        </is>
      </c>
      <c r="F17162" s="8" t="inlineStr">
        <is>
          <t>STANDBY</t>
        </is>
      </c>
      <c r="G17162" s="8" t="n">
        <v>0</v>
      </c>
      <c r="H17162" s="8" t="inlineStr">
        <is>
          <t>CLOSED</t>
        </is>
      </c>
    </row>
    <row r="17163">
      <c r="A17163" s="8" t="inlineStr">
        <is>
          <t>2026-08-03</t>
        </is>
      </c>
      <c r="B17163" s="8" t="n">
        <v>22</v>
      </c>
      <c r="C17163" s="8" t="n">
        <v>1</v>
      </c>
      <c r="D17163" s="8" t="inlineStr">
        <is>
          <t>Disney Adventure World</t>
        </is>
      </c>
      <c r="E17163" s="8" t="inlineStr">
        <is>
          <t>Crush's Coaster</t>
        </is>
      </c>
      <c r="F17163" s="8" t="inlineStr">
        <is>
          <t>STANDBY</t>
        </is>
      </c>
      <c r="G17163" s="8" t="n">
        <v>45</v>
      </c>
      <c r="H17163" s="8" t="inlineStr">
        <is>
          <t>OPERATING</t>
        </is>
      </c>
    </row>
    <row r="17164">
      <c r="A17164" s="8" t="inlineStr">
        <is>
          <t>2026-08-03</t>
        </is>
      </c>
      <c r="B17164" s="8" t="n">
        <v>22</v>
      </c>
      <c r="C17164" s="8" t="n">
        <v>1</v>
      </c>
      <c r="D17164" s="8" t="inlineStr">
        <is>
          <t>Disney Adventure World</t>
        </is>
      </c>
      <c r="E17164" s="8" t="inlineStr">
        <is>
          <t>Crush's Coaster Single Rider</t>
        </is>
      </c>
      <c r="F17164" s="8" t="inlineStr">
        <is>
          <t>STANDBY</t>
        </is>
      </c>
      <c r="G17164" s="8" t="n">
        <v>40</v>
      </c>
      <c r="H17164" s="8" t="inlineStr">
        <is>
          <t>OPERATING</t>
        </is>
      </c>
    </row>
    <row r="17165">
      <c r="A17165" s="8" t="inlineStr">
        <is>
          <t>2026-08-03</t>
        </is>
      </c>
      <c r="B17165" s="8" t="n">
        <v>22</v>
      </c>
      <c r="C17165" s="8" t="n">
        <v>1</v>
      </c>
      <c r="D17165" s="8" t="inlineStr">
        <is>
          <t>Disney Adventure World</t>
        </is>
      </c>
      <c r="E17165" s="8" t="inlineStr">
        <is>
          <t>Les Tapis Volants - Flying Carpets Over Agrabah®</t>
        </is>
      </c>
      <c r="F17165" s="8" t="inlineStr">
        <is>
          <t>STANDBY</t>
        </is>
      </c>
      <c r="G17165" s="8" t="n">
        <v>5</v>
      </c>
      <c r="H17165" s="8" t="inlineStr">
        <is>
          <t>OPERATING</t>
        </is>
      </c>
    </row>
    <row r="17166">
      <c r="A17166" s="8" t="inlineStr">
        <is>
          <t>2026-08-03</t>
        </is>
      </c>
      <c r="B17166" s="8" t="n">
        <v>22</v>
      </c>
      <c r="C17166" s="8" t="n">
        <v>1</v>
      </c>
      <c r="D17166" s="8" t="inlineStr">
        <is>
          <t>Disney Adventure World</t>
        </is>
      </c>
      <c r="E17166" s="8" t="inlineStr">
        <is>
          <t>Ratatouille : L’Aventure Totalement Toquée de Rémy​</t>
        </is>
      </c>
      <c r="F17166" s="8" t="inlineStr">
        <is>
          <t>STANDBY</t>
        </is>
      </c>
      <c r="G17166" s="8" t="n">
        <v>20</v>
      </c>
      <c r="H17166" s="8" t="inlineStr">
        <is>
          <t>OPERATING</t>
        </is>
      </c>
    </row>
    <row r="17167">
      <c r="A17167" s="8" t="inlineStr">
        <is>
          <t>2026-08-03</t>
        </is>
      </c>
      <c r="B17167" s="8" t="n">
        <v>22</v>
      </c>
      <c r="C17167" s="8" t="n">
        <v>1</v>
      </c>
      <c r="D17167" s="8" t="inlineStr">
        <is>
          <t>Disney Adventure World</t>
        </is>
      </c>
      <c r="E17167" s="8" t="inlineStr">
        <is>
          <t>Ratatouille: The Adventure Single Rider</t>
        </is>
      </c>
      <c r="F17167" s="8" t="inlineStr">
        <is>
          <t>STANDBY</t>
        </is>
      </c>
      <c r="G17167" s="8" t="n">
        <v>5</v>
      </c>
      <c r="H17167" s="8" t="inlineStr">
        <is>
          <t>OPERATING</t>
        </is>
      </c>
    </row>
    <row r="17168">
      <c r="A17168" s="8" t="inlineStr">
        <is>
          <t>2026-08-03</t>
        </is>
      </c>
      <c r="B17168" s="8" t="n">
        <v>22</v>
      </c>
      <c r="C17168" s="8" t="n">
        <v>1</v>
      </c>
      <c r="D17168" s="8" t="inlineStr">
        <is>
          <t>Disney Adventure World</t>
        </is>
      </c>
      <c r="E17168" s="8" t="inlineStr">
        <is>
          <t>RC Racer</t>
        </is>
      </c>
      <c r="F17168" s="8" t="inlineStr">
        <is>
          <t>STANDBY</t>
        </is>
      </c>
      <c r="G17168" s="8" t="n">
        <v>20</v>
      </c>
      <c r="H17168" s="8" t="inlineStr">
        <is>
          <t>OPERATING</t>
        </is>
      </c>
    </row>
    <row r="17169">
      <c r="A17169" s="8" t="inlineStr">
        <is>
          <t>2026-08-03</t>
        </is>
      </c>
      <c r="B17169" s="8" t="n">
        <v>22</v>
      </c>
      <c r="C17169" s="8" t="n">
        <v>1</v>
      </c>
      <c r="D17169" s="8" t="inlineStr">
        <is>
          <t>Disney Adventure World</t>
        </is>
      </c>
      <c r="E17169" s="8" t="inlineStr">
        <is>
          <t>RC Racer Single Rider</t>
        </is>
      </c>
      <c r="F17169" s="8" t="inlineStr">
        <is>
          <t>STANDBY</t>
        </is>
      </c>
      <c r="G17169" s="8" t="n">
        <v>15</v>
      </c>
      <c r="H17169" s="8" t="inlineStr">
        <is>
          <t>OPERATING</t>
        </is>
      </c>
    </row>
    <row r="17170">
      <c r="A17170" s="8" t="inlineStr">
        <is>
          <t>2026-08-03</t>
        </is>
      </c>
      <c r="B17170" s="8" t="n">
        <v>22</v>
      </c>
      <c r="C17170" s="8" t="n">
        <v>1</v>
      </c>
      <c r="D17170" s="8" t="inlineStr">
        <is>
          <t>Disney Adventure World</t>
        </is>
      </c>
      <c r="E17170" s="8" t="inlineStr">
        <is>
          <t>Slinky® Dog Zigzag Spin</t>
        </is>
      </c>
      <c r="F17170" s="8" t="inlineStr">
        <is>
          <t>STANDBY</t>
        </is>
      </c>
      <c r="G17170" s="8" t="n">
        <v>5</v>
      </c>
      <c r="H17170" s="8" t="inlineStr">
        <is>
          <t>OPERATING</t>
        </is>
      </c>
    </row>
    <row r="17171">
      <c r="A17171" s="8" t="inlineStr">
        <is>
          <t>2026-08-03</t>
        </is>
      </c>
      <c r="B17171" s="8" t="n">
        <v>22</v>
      </c>
      <c r="C17171" s="8" t="n">
        <v>1</v>
      </c>
      <c r="D17171" s="8" t="inlineStr">
        <is>
          <t>Disney Adventure World</t>
        </is>
      </c>
      <c r="E17171" s="8" t="inlineStr">
        <is>
          <t>Toy Soldiers Parachute Drop</t>
        </is>
      </c>
      <c r="F17171" s="8" t="inlineStr">
        <is>
          <t>STANDBY</t>
        </is>
      </c>
      <c r="G17171" s="8" t="n">
        <v>30</v>
      </c>
      <c r="H17171" s="8" t="inlineStr">
        <is>
          <t>OPERATING</t>
        </is>
      </c>
    </row>
    <row r="17172">
      <c r="A17172" s="8" t="inlineStr">
        <is>
          <t>2026-08-03</t>
        </is>
      </c>
      <c r="B17172" s="8" t="n">
        <v>22</v>
      </c>
      <c r="C17172" s="8" t="n">
        <v>1</v>
      </c>
      <c r="D17172" s="8" t="inlineStr">
        <is>
          <t>Disney Adventure World</t>
        </is>
      </c>
      <c r="E17172" s="8" t="inlineStr">
        <is>
          <t>Toy Soldiers Parachute Drop Single Rider</t>
        </is>
      </c>
      <c r="F17172" s="8" t="inlineStr">
        <is>
          <t>STANDBY</t>
        </is>
      </c>
      <c r="G17172" s="8" t="n">
        <v>10</v>
      </c>
      <c r="H17172" s="8" t="inlineStr">
        <is>
          <t>OPERATING</t>
        </is>
      </c>
    </row>
    <row r="17173">
      <c r="A17173" s="8" t="inlineStr">
        <is>
          <t>2026-08-03</t>
        </is>
      </c>
      <c r="B17173" s="8" t="n">
        <v>22</v>
      </c>
      <c r="C17173" s="8" t="n">
        <v>1</v>
      </c>
      <c r="D17173" s="8" t="inlineStr">
        <is>
          <t>Disney Adventure World</t>
        </is>
      </c>
      <c r="E17173" s="8" t="inlineStr">
        <is>
          <t>Entry to World of Frozen</t>
        </is>
      </c>
      <c r="F17173" s="8" t="inlineStr">
        <is>
          <t>STANDBY</t>
        </is>
      </c>
      <c r="G17173" s="8" t="n">
        <v>0</v>
      </c>
      <c r="H17173" s="8" t="inlineStr">
        <is>
          <t>OPERATING</t>
        </is>
      </c>
    </row>
    <row r="17174">
      <c r="A17174" s="8" t="inlineStr">
        <is>
          <t>2026-08-03</t>
        </is>
      </c>
      <c r="B17174" s="8" t="n">
        <v>22</v>
      </c>
      <c r="C17174" s="8" t="n">
        <v>1</v>
      </c>
      <c r="D17174" s="8" t="inlineStr">
        <is>
          <t>Disney Adventure World</t>
        </is>
      </c>
      <c r="E17174" s="8" t="inlineStr">
        <is>
          <t>Frozen Ever After</t>
        </is>
      </c>
      <c r="F17174" s="8" t="inlineStr">
        <is>
          <t>STANDBY</t>
        </is>
      </c>
      <c r="G17174" s="8" t="n">
        <v>15</v>
      </c>
      <c r="H17174" s="8" t="inlineStr">
        <is>
          <t>OPERATING</t>
        </is>
      </c>
    </row>
    <row r="17175">
      <c r="A17175" s="8" t="inlineStr">
        <is>
          <t>2026-08-03</t>
        </is>
      </c>
      <c r="B17175" s="8" t="n">
        <v>22</v>
      </c>
      <c r="C17175" s="8" t="n">
        <v>1</v>
      </c>
      <c r="D17175" s="8" t="inlineStr">
        <is>
          <t>Disney Adventure World</t>
        </is>
      </c>
      <c r="E17175" s="8" t="inlineStr">
        <is>
          <t>Raiponce Tangled Spin</t>
        </is>
      </c>
      <c r="F17175" s="8" t="inlineStr">
        <is>
          <t>STANDBY</t>
        </is>
      </c>
      <c r="G17175" s="8" t="n">
        <v>5</v>
      </c>
      <c r="H17175" s="8" t="inlineStr">
        <is>
          <t>OPERATING</t>
        </is>
      </c>
    </row>
    <row r="17176">
      <c r="A17176" s="8" t="inlineStr">
        <is>
          <t>2026-08-03</t>
        </is>
      </c>
      <c r="B17176" s="8" t="n">
        <v>22</v>
      </c>
      <c r="C17176" s="8" t="n">
        <v>15</v>
      </c>
      <c r="D17176" s="8" t="inlineStr">
        <is>
          <t>Disneyland Park</t>
        </is>
      </c>
      <c r="E17176" s="8" t="inlineStr">
        <is>
          <t>Adventure Isle</t>
        </is>
      </c>
      <c r="F17176" s="8" t="inlineStr">
        <is>
          <t>STANDBY</t>
        </is>
      </c>
      <c r="G17176" s="8" t="n">
        <v>0</v>
      </c>
      <c r="H17176" s="8" t="inlineStr">
        <is>
          <t>OPERATING</t>
        </is>
      </c>
    </row>
    <row r="17177">
      <c r="A17177" s="8" t="inlineStr">
        <is>
          <t>2026-08-03</t>
        </is>
      </c>
      <c r="B17177" s="8" t="n">
        <v>22</v>
      </c>
      <c r="C17177" s="8" t="n">
        <v>15</v>
      </c>
      <c r="D17177" s="8" t="inlineStr">
        <is>
          <t>Disneyland Park</t>
        </is>
      </c>
      <c r="E17177" s="8" t="inlineStr">
        <is>
          <t>Indiana Jones and the Temple of Peril Single Rider</t>
        </is>
      </c>
      <c r="F17177" s="8" t="inlineStr">
        <is>
          <t>STANDBY</t>
        </is>
      </c>
      <c r="G17177" s="8" t="n">
        <v>5</v>
      </c>
      <c r="H17177" s="8" t="inlineStr">
        <is>
          <t>OPERATING</t>
        </is>
      </c>
    </row>
    <row r="17178">
      <c r="A17178" s="8" t="inlineStr">
        <is>
          <t>2026-08-03</t>
        </is>
      </c>
      <c r="B17178" s="8" t="n">
        <v>22</v>
      </c>
      <c r="C17178" s="8" t="n">
        <v>15</v>
      </c>
      <c r="D17178" s="8" t="inlineStr">
        <is>
          <t>Disneyland Park</t>
        </is>
      </c>
      <c r="E17178" s="8" t="inlineStr">
        <is>
          <t>Indiana Jones™ and the Temple of Peril</t>
        </is>
      </c>
      <c r="F17178" s="8" t="inlineStr">
        <is>
          <t>STANDBY</t>
        </is>
      </c>
      <c r="G17178" s="8" t="n">
        <v>5</v>
      </c>
      <c r="H17178" s="8" t="inlineStr">
        <is>
          <t>OPERATING</t>
        </is>
      </c>
    </row>
    <row r="17179">
      <c r="A17179" s="8" t="inlineStr">
        <is>
          <t>2026-08-03</t>
        </is>
      </c>
      <c r="B17179" s="8" t="n">
        <v>22</v>
      </c>
      <c r="C17179" s="8" t="n">
        <v>15</v>
      </c>
      <c r="D17179" s="8" t="inlineStr">
        <is>
          <t>Disneyland Park</t>
        </is>
      </c>
      <c r="E17179" s="8" t="inlineStr">
        <is>
          <t>La Cabane des Robinson</t>
        </is>
      </c>
      <c r="F17179" s="8" t="inlineStr">
        <is>
          <t>STANDBY</t>
        </is>
      </c>
      <c r="G17179" s="8" t="n">
        <v>5</v>
      </c>
      <c r="H17179" s="8" t="inlineStr">
        <is>
          <t>OPERATING</t>
        </is>
      </c>
    </row>
    <row r="17180">
      <c r="A17180" s="8" t="inlineStr">
        <is>
          <t>2026-08-03</t>
        </is>
      </c>
      <c r="B17180" s="8" t="n">
        <v>22</v>
      </c>
      <c r="C17180" s="8" t="n">
        <v>15</v>
      </c>
      <c r="D17180" s="8" t="inlineStr">
        <is>
          <t>Disneyland Park</t>
        </is>
      </c>
      <c r="E17180" s="8" t="inlineStr">
        <is>
          <t>Le Passage Enchanté d'Aladdin</t>
        </is>
      </c>
      <c r="F17180" s="8" t="inlineStr">
        <is>
          <t>STANDBY</t>
        </is>
      </c>
      <c r="G17180" s="8" t="n">
        <v>0</v>
      </c>
      <c r="H17180" s="8" t="inlineStr">
        <is>
          <t>OPERATING</t>
        </is>
      </c>
    </row>
    <row r="17181">
      <c r="A17181" s="8" t="inlineStr">
        <is>
          <t>2026-08-03</t>
        </is>
      </c>
      <c r="B17181" s="8" t="n">
        <v>22</v>
      </c>
      <c r="C17181" s="8" t="n">
        <v>15</v>
      </c>
      <c r="D17181" s="8" t="inlineStr">
        <is>
          <t>Disneyland Park</t>
        </is>
      </c>
      <c r="E17181" s="8" t="inlineStr">
        <is>
          <t>Pirate Galleon</t>
        </is>
      </c>
      <c r="F17181" s="8" t="inlineStr">
        <is>
          <t>STANDBY</t>
        </is>
      </c>
      <c r="G17181" s="8" t="n">
        <v>0</v>
      </c>
      <c r="H17181" s="8" t="inlineStr">
        <is>
          <t>CLOSED</t>
        </is>
      </c>
    </row>
    <row r="17182">
      <c r="A17182" s="8" t="inlineStr">
        <is>
          <t>2026-08-03</t>
        </is>
      </c>
      <c r="B17182" s="8" t="n">
        <v>22</v>
      </c>
      <c r="C17182" s="8" t="n">
        <v>15</v>
      </c>
      <c r="D17182" s="8" t="inlineStr">
        <is>
          <t>Disneyland Park</t>
        </is>
      </c>
      <c r="E17182" s="8" t="inlineStr">
        <is>
          <t>Pirates of the Caribbean</t>
        </is>
      </c>
      <c r="F17182" s="8" t="inlineStr">
        <is>
          <t>STANDBY</t>
        </is>
      </c>
      <c r="G17182" s="8" t="n">
        <v>5</v>
      </c>
      <c r="H17182" s="8" t="inlineStr">
        <is>
          <t>OPERATING</t>
        </is>
      </c>
    </row>
    <row r="17183">
      <c r="A17183" s="8" t="inlineStr">
        <is>
          <t>2026-08-03</t>
        </is>
      </c>
      <c r="B17183" s="8" t="n">
        <v>22</v>
      </c>
      <c r="C17183" s="8" t="n">
        <v>15</v>
      </c>
      <c r="D17183" s="8" t="inlineStr">
        <is>
          <t>Disneyland Park</t>
        </is>
      </c>
      <c r="E17183" s="8" t="inlineStr">
        <is>
          <t>Pirates' Beach</t>
        </is>
      </c>
      <c r="F17183" s="8" t="inlineStr">
        <is>
          <t>STANDBY</t>
        </is>
      </c>
      <c r="G17183" s="8" t="n">
        <v>0</v>
      </c>
      <c r="H17183" s="8" t="inlineStr">
        <is>
          <t>OPERATING</t>
        </is>
      </c>
    </row>
    <row r="17184">
      <c r="A17184" s="8" t="inlineStr">
        <is>
          <t>2026-08-03</t>
        </is>
      </c>
      <c r="B17184" s="8" t="n">
        <v>22</v>
      </c>
      <c r="C17184" s="8" t="n">
        <v>15</v>
      </c>
      <c r="D17184" s="8" t="inlineStr">
        <is>
          <t>Disneyland Park</t>
        </is>
      </c>
      <c r="E17184" s="8" t="inlineStr">
        <is>
          <t>Autopia, presented by Avis</t>
        </is>
      </c>
      <c r="F17184" s="8" t="inlineStr">
        <is>
          <t>STANDBY</t>
        </is>
      </c>
      <c r="G17184" s="8" t="n">
        <v>35</v>
      </c>
      <c r="H17184" s="8" t="inlineStr">
        <is>
          <t>OPERATING</t>
        </is>
      </c>
    </row>
    <row r="17185">
      <c r="A17185" s="8" t="inlineStr">
        <is>
          <t>2026-08-03</t>
        </is>
      </c>
      <c r="B17185" s="8" t="n">
        <v>22</v>
      </c>
      <c r="C17185" s="8" t="n">
        <v>15</v>
      </c>
      <c r="D17185" s="8" t="inlineStr">
        <is>
          <t>Disneyland Park</t>
        </is>
      </c>
      <c r="E17185" s="8" t="inlineStr">
        <is>
          <t>Buzz Lightyear Laser Blast</t>
        </is>
      </c>
      <c r="F17185" s="8" t="inlineStr">
        <is>
          <t>STANDBY</t>
        </is>
      </c>
      <c r="G17185" s="8" t="n">
        <v>15</v>
      </c>
      <c r="H17185" s="8" t="inlineStr">
        <is>
          <t>OPERATING</t>
        </is>
      </c>
    </row>
    <row r="17186">
      <c r="A17186" s="8" t="inlineStr">
        <is>
          <t>2026-08-03</t>
        </is>
      </c>
      <c r="B17186" s="8" t="n">
        <v>22</v>
      </c>
      <c r="C17186" s="8" t="n">
        <v>15</v>
      </c>
      <c r="D17186" s="8" t="inlineStr">
        <is>
          <t>Disneyland Park</t>
        </is>
      </c>
      <c r="E17186" s="8" t="inlineStr">
        <is>
          <t>Disneyland Railroad Discoveryland Station</t>
        </is>
      </c>
      <c r="F17186" s="8" t="inlineStr">
        <is>
          <t>STANDBY</t>
        </is>
      </c>
      <c r="G17186" s="8" t="n">
        <v>0</v>
      </c>
      <c r="H17186" s="8" t="inlineStr">
        <is>
          <t>CLOSED</t>
        </is>
      </c>
    </row>
    <row r="17187">
      <c r="A17187" s="8" t="inlineStr">
        <is>
          <t>2026-08-03</t>
        </is>
      </c>
      <c r="B17187" s="8" t="n">
        <v>22</v>
      </c>
      <c r="C17187" s="8" t="n">
        <v>15</v>
      </c>
      <c r="D17187" s="8" t="inlineStr">
        <is>
          <t>Disneyland Park</t>
        </is>
      </c>
      <c r="E17187" s="8" t="inlineStr">
        <is>
          <t>Les Mystères du Nautilus</t>
        </is>
      </c>
      <c r="F17187" s="8" t="inlineStr">
        <is>
          <t>STANDBY</t>
        </is>
      </c>
      <c r="G17187" s="8" t="n">
        <v>5</v>
      </c>
      <c r="H17187" s="8" t="inlineStr">
        <is>
          <t>OPERATING</t>
        </is>
      </c>
    </row>
    <row r="17188">
      <c r="A17188" s="8" t="inlineStr">
        <is>
          <t>2026-08-03</t>
        </is>
      </c>
      <c r="B17188" s="8" t="n">
        <v>22</v>
      </c>
      <c r="C17188" s="8" t="n">
        <v>15</v>
      </c>
      <c r="D17188" s="8" t="inlineStr">
        <is>
          <t>Disneyland Park</t>
        </is>
      </c>
      <c r="E17188" s="8" t="inlineStr">
        <is>
          <t>Mickey’s PhilharMagic</t>
        </is>
      </c>
      <c r="F17188" s="8" t="inlineStr">
        <is>
          <t>STANDBY</t>
        </is>
      </c>
      <c r="G17188" s="8" t="n">
        <v>0</v>
      </c>
      <c r="H17188" s="8" t="inlineStr">
        <is>
          <t>CLOSED</t>
        </is>
      </c>
    </row>
    <row r="17189">
      <c r="A17189" s="8" t="inlineStr">
        <is>
          <t>2026-08-03</t>
        </is>
      </c>
      <c r="B17189" s="8" t="n">
        <v>22</v>
      </c>
      <c r="C17189" s="8" t="n">
        <v>15</v>
      </c>
      <c r="D17189" s="8" t="inlineStr">
        <is>
          <t>Disneyland Park</t>
        </is>
      </c>
      <c r="E17189" s="8" t="inlineStr">
        <is>
          <t>Orbitron®</t>
        </is>
      </c>
      <c r="F17189" s="8" t="inlineStr">
        <is>
          <t>STANDBY</t>
        </is>
      </c>
      <c r="G17189" s="8" t="n">
        <v>30</v>
      </c>
      <c r="H17189" s="8" t="inlineStr">
        <is>
          <t>OPERATING</t>
        </is>
      </c>
    </row>
    <row r="17190">
      <c r="A17190" s="8" t="inlineStr">
        <is>
          <t>2026-08-03</t>
        </is>
      </c>
      <c r="B17190" s="8" t="n">
        <v>22</v>
      </c>
      <c r="C17190" s="8" t="n">
        <v>15</v>
      </c>
      <c r="D17190" s="8" t="inlineStr">
        <is>
          <t>Disneyland Park</t>
        </is>
      </c>
      <c r="E17190" s="8" t="inlineStr">
        <is>
          <t>Star Tours: The Adventures Continue*</t>
        </is>
      </c>
      <c r="F17190" s="8" t="inlineStr">
        <is>
          <t>STANDBY</t>
        </is>
      </c>
      <c r="G17190" s="8" t="n">
        <v>5</v>
      </c>
      <c r="H17190" s="8" t="inlineStr">
        <is>
          <t>OPERATING</t>
        </is>
      </c>
    </row>
    <row r="17191">
      <c r="A17191" s="8" t="inlineStr">
        <is>
          <t>2026-08-03</t>
        </is>
      </c>
      <c r="B17191" s="8" t="n">
        <v>22</v>
      </c>
      <c r="C17191" s="8" t="n">
        <v>15</v>
      </c>
      <c r="D17191" s="8" t="inlineStr">
        <is>
          <t>Disneyland Park</t>
        </is>
      </c>
      <c r="E17191" s="8" t="inlineStr">
        <is>
          <t>Star Wars Hyperspace Mountain</t>
        </is>
      </c>
      <c r="F17191" s="8" t="inlineStr">
        <is>
          <t>STANDBY</t>
        </is>
      </c>
      <c r="G17191" s="8" t="n">
        <v>5</v>
      </c>
      <c r="H17191" s="8" t="inlineStr">
        <is>
          <t>OPERATING</t>
        </is>
      </c>
    </row>
    <row r="17192">
      <c r="A17192" s="8" t="inlineStr">
        <is>
          <t>2026-08-03</t>
        </is>
      </c>
      <c r="B17192" s="8" t="n">
        <v>22</v>
      </c>
      <c r="C17192" s="8" t="n">
        <v>15</v>
      </c>
      <c r="D17192" s="8" t="inlineStr">
        <is>
          <t>Disneyland Park</t>
        </is>
      </c>
      <c r="E17192" s="8" t="inlineStr">
        <is>
          <t>Star Wars Hyperspace Mountain Single Rider</t>
        </is>
      </c>
      <c r="F17192" s="8" t="inlineStr">
        <is>
          <t>STANDBY</t>
        </is>
      </c>
      <c r="G17192" s="8" t="n">
        <v>0</v>
      </c>
      <c r="H17192" s="8" t="inlineStr">
        <is>
          <t>OPERATING</t>
        </is>
      </c>
    </row>
    <row r="17193">
      <c r="A17193" s="8" t="inlineStr">
        <is>
          <t>2026-08-03</t>
        </is>
      </c>
      <c r="B17193" s="8" t="n">
        <v>22</v>
      </c>
      <c r="C17193" s="8" t="n">
        <v>15</v>
      </c>
      <c r="D17193" s="8" t="inlineStr">
        <is>
          <t>Disneyland Park</t>
        </is>
      </c>
      <c r="E17193" s="8" t="inlineStr">
        <is>
          <t>Welcome to Starport: A Star Wars Encounter</t>
        </is>
      </c>
      <c r="F17193" s="8" t="inlineStr">
        <is>
          <t>STANDBY</t>
        </is>
      </c>
      <c r="G17193" s="8" t="n">
        <v>0</v>
      </c>
      <c r="H17193" s="8" t="inlineStr">
        <is>
          <t>CLOSED</t>
        </is>
      </c>
    </row>
    <row r="17194">
      <c r="A17194" s="8" t="inlineStr">
        <is>
          <t>2026-08-03</t>
        </is>
      </c>
      <c r="B17194" s="8" t="n">
        <v>22</v>
      </c>
      <c r="C17194" s="8" t="n">
        <v>15</v>
      </c>
      <c r="D17194" s="8" t="inlineStr">
        <is>
          <t>Disneyland Park</t>
        </is>
      </c>
      <c r="E17194" s="8" t="inlineStr">
        <is>
          <t>"it's a small world"</t>
        </is>
      </c>
      <c r="F17194" s="8" t="inlineStr">
        <is>
          <t>STANDBY</t>
        </is>
      </c>
      <c r="G17194" s="8" t="n">
        <v>5</v>
      </c>
      <c r="H17194" s="8" t="inlineStr">
        <is>
          <t>OPERATING</t>
        </is>
      </c>
    </row>
    <row r="17195">
      <c r="A17195" s="8" t="inlineStr">
        <is>
          <t>2026-08-03</t>
        </is>
      </c>
      <c r="B17195" s="8" t="n">
        <v>22</v>
      </c>
      <c r="C17195" s="8" t="n">
        <v>15</v>
      </c>
      <c r="D17195" s="8" t="inlineStr">
        <is>
          <t>Disneyland Park</t>
        </is>
      </c>
      <c r="E17195" s="8" t="inlineStr">
        <is>
          <t>Alice's Curious Labyrinth</t>
        </is>
      </c>
      <c r="F17195" s="8" t="inlineStr">
        <is>
          <t>STANDBY</t>
        </is>
      </c>
      <c r="G17195" s="8" t="n">
        <v>0</v>
      </c>
      <c r="H17195" s="8" t="inlineStr">
        <is>
          <t>CLOSED</t>
        </is>
      </c>
    </row>
    <row r="17196">
      <c r="A17196" s="8" t="inlineStr">
        <is>
          <t>2026-08-03</t>
        </is>
      </c>
      <c r="B17196" s="8" t="n">
        <v>22</v>
      </c>
      <c r="C17196" s="8" t="n">
        <v>15</v>
      </c>
      <c r="D17196" s="8" t="inlineStr">
        <is>
          <t>Disneyland Park</t>
        </is>
      </c>
      <c r="E17196" s="8" t="inlineStr">
        <is>
          <t>Blanche-Neige et les Sept Nains®</t>
        </is>
      </c>
      <c r="F17196" s="8" t="inlineStr">
        <is>
          <t>STANDBY</t>
        </is>
      </c>
      <c r="G17196" s="8" t="n">
        <v>0</v>
      </c>
      <c r="H17196" s="8" t="inlineStr">
        <is>
          <t>CLOSED</t>
        </is>
      </c>
    </row>
    <row r="17197">
      <c r="A17197" s="8" t="inlineStr">
        <is>
          <t>2026-08-03</t>
        </is>
      </c>
      <c r="B17197" s="8" t="n">
        <v>22</v>
      </c>
      <c r="C17197" s="8" t="n">
        <v>15</v>
      </c>
      <c r="D17197" s="8" t="inlineStr">
        <is>
          <t>Disneyland Park</t>
        </is>
      </c>
      <c r="E17197" s="8" t="inlineStr">
        <is>
          <t>Casey Jr. – le Petit Train du Cirque</t>
        </is>
      </c>
      <c r="F17197" s="8" t="inlineStr">
        <is>
          <t>STANDBY</t>
        </is>
      </c>
      <c r="G17197" s="8" t="n">
        <v>0</v>
      </c>
      <c r="H17197" s="8" t="inlineStr">
        <is>
          <t>CLOSED</t>
        </is>
      </c>
    </row>
    <row r="17198">
      <c r="A17198" s="8" t="inlineStr">
        <is>
          <t>2026-08-03</t>
        </is>
      </c>
      <c r="B17198" s="8" t="n">
        <v>22</v>
      </c>
      <c r="C17198" s="8" t="n">
        <v>15</v>
      </c>
      <c r="D17198" s="8" t="inlineStr">
        <is>
          <t>Disneyland Park</t>
        </is>
      </c>
      <c r="E17198" s="8" t="inlineStr">
        <is>
          <t>Disneyland Railroad Fantasyland Station</t>
        </is>
      </c>
      <c r="F17198" s="8" t="inlineStr">
        <is>
          <t>STANDBY</t>
        </is>
      </c>
      <c r="G17198" s="8" t="n">
        <v>0</v>
      </c>
      <c r="H17198" s="8" t="inlineStr">
        <is>
          <t>CLOSED</t>
        </is>
      </c>
    </row>
    <row r="17199">
      <c r="A17199" s="8" t="inlineStr">
        <is>
          <t>2026-08-03</t>
        </is>
      </c>
      <c r="B17199" s="8" t="n">
        <v>22</v>
      </c>
      <c r="C17199" s="8" t="n">
        <v>15</v>
      </c>
      <c r="D17199" s="8" t="inlineStr">
        <is>
          <t>Disneyland Park</t>
        </is>
      </c>
      <c r="E17199" s="8" t="inlineStr">
        <is>
          <t>Disneyland Railroad Main Street Station</t>
        </is>
      </c>
      <c r="F17199" s="8" t="inlineStr">
        <is>
          <t>STANDBY</t>
        </is>
      </c>
      <c r="G17199" s="8" t="n">
        <v>0</v>
      </c>
      <c r="H17199" s="8" t="inlineStr">
        <is>
          <t>CLOSED</t>
        </is>
      </c>
    </row>
    <row r="17200">
      <c r="A17200" s="8" t="inlineStr">
        <is>
          <t>2026-08-03</t>
        </is>
      </c>
      <c r="B17200" s="8" t="n">
        <v>22</v>
      </c>
      <c r="C17200" s="8" t="n">
        <v>15</v>
      </c>
      <c r="D17200" s="8" t="inlineStr">
        <is>
          <t>Disneyland Park</t>
        </is>
      </c>
      <c r="E17200" s="8" t="inlineStr">
        <is>
          <t>Dumbo the Flying Elephant</t>
        </is>
      </c>
      <c r="F17200" s="8" t="inlineStr">
        <is>
          <t>STANDBY</t>
        </is>
      </c>
      <c r="G17200" s="8" t="n">
        <v>0</v>
      </c>
      <c r="H17200" s="8" t="inlineStr">
        <is>
          <t>CLOSED</t>
        </is>
      </c>
    </row>
    <row r="17201">
      <c r="A17201" s="8" t="inlineStr">
        <is>
          <t>2026-08-03</t>
        </is>
      </c>
      <c r="B17201" s="8" t="n">
        <v>22</v>
      </c>
      <c r="C17201" s="8" t="n">
        <v>15</v>
      </c>
      <c r="D17201" s="8" t="inlineStr">
        <is>
          <t>Disneyland Park</t>
        </is>
      </c>
      <c r="E17201" s="8" t="inlineStr">
        <is>
          <t>La Tanière du Dragon</t>
        </is>
      </c>
      <c r="F17201" s="8" t="inlineStr">
        <is>
          <t>STANDBY</t>
        </is>
      </c>
      <c r="G17201" s="8" t="n">
        <v>0</v>
      </c>
      <c r="H17201" s="8" t="inlineStr">
        <is>
          <t>CLOSED</t>
        </is>
      </c>
    </row>
    <row r="17202">
      <c r="A17202" s="8" t="inlineStr">
        <is>
          <t>2026-08-03</t>
        </is>
      </c>
      <c r="B17202" s="8" t="n">
        <v>22</v>
      </c>
      <c r="C17202" s="8" t="n">
        <v>15</v>
      </c>
      <c r="D17202" s="8" t="inlineStr">
        <is>
          <t>Disneyland Park</t>
        </is>
      </c>
      <c r="E17202" s="8" t="inlineStr">
        <is>
          <t>Le Carrousel de Lancelot</t>
        </is>
      </c>
      <c r="F17202" s="8" t="inlineStr">
        <is>
          <t>STANDBY</t>
        </is>
      </c>
      <c r="G17202" s="8" t="n">
        <v>0</v>
      </c>
      <c r="H17202" s="8" t="inlineStr">
        <is>
          <t>CLOSED</t>
        </is>
      </c>
    </row>
    <row r="17203">
      <c r="A17203" s="8" t="inlineStr">
        <is>
          <t>2026-08-03</t>
        </is>
      </c>
      <c r="B17203" s="8" t="n">
        <v>22</v>
      </c>
      <c r="C17203" s="8" t="n">
        <v>15</v>
      </c>
      <c r="D17203" s="8" t="inlineStr">
        <is>
          <t>Disneyland Park</t>
        </is>
      </c>
      <c r="E17203" s="8" t="inlineStr">
        <is>
          <t>Le Pays des Contes de Fées, presented by Vittel</t>
        </is>
      </c>
      <c r="F17203" s="8" t="inlineStr">
        <is>
          <t>STANDBY</t>
        </is>
      </c>
      <c r="G17203" s="8" t="n">
        <v>0</v>
      </c>
      <c r="H17203" s="8" t="inlineStr">
        <is>
          <t>CLOSED</t>
        </is>
      </c>
    </row>
    <row r="17204">
      <c r="A17204" s="8" t="inlineStr">
        <is>
          <t>2026-08-03</t>
        </is>
      </c>
      <c r="B17204" s="8" t="n">
        <v>22</v>
      </c>
      <c r="C17204" s="8" t="n">
        <v>15</v>
      </c>
      <c r="D17204" s="8" t="inlineStr">
        <is>
          <t>Disneyland Park</t>
        </is>
      </c>
      <c r="E17204" s="8" t="inlineStr">
        <is>
          <t>Les Voyages de Pinocchio</t>
        </is>
      </c>
      <c r="F17204" s="8" t="inlineStr">
        <is>
          <t>STANDBY</t>
        </is>
      </c>
      <c r="G17204" s="8" t="n">
        <v>0</v>
      </c>
      <c r="H17204" s="8" t="inlineStr">
        <is>
          <t>CLOSED</t>
        </is>
      </c>
    </row>
    <row r="17205">
      <c r="A17205" s="8" t="inlineStr">
        <is>
          <t>2026-08-03</t>
        </is>
      </c>
      <c r="B17205" s="8" t="n">
        <v>22</v>
      </c>
      <c r="C17205" s="8" t="n">
        <v>15</v>
      </c>
      <c r="D17205" s="8" t="inlineStr">
        <is>
          <t>Disneyland Park</t>
        </is>
      </c>
      <c r="E17205" s="8" t="inlineStr">
        <is>
          <t>Mad Hatter's Tea Cups</t>
        </is>
      </c>
      <c r="F17205" s="8" t="inlineStr">
        <is>
          <t>STANDBY</t>
        </is>
      </c>
      <c r="G17205" s="8" t="n">
        <v>0</v>
      </c>
      <c r="H17205" s="8" t="inlineStr">
        <is>
          <t>CLOSED</t>
        </is>
      </c>
    </row>
    <row r="17206">
      <c r="A17206" s="8" t="inlineStr">
        <is>
          <t>2026-08-03</t>
        </is>
      </c>
      <c r="B17206" s="8" t="n">
        <v>22</v>
      </c>
      <c r="C17206" s="8" t="n">
        <v>15</v>
      </c>
      <c r="D17206" s="8" t="inlineStr">
        <is>
          <t>Disneyland Park</t>
        </is>
      </c>
      <c r="E17206" s="8" t="inlineStr">
        <is>
          <t>Meet Mickey Mouse</t>
        </is>
      </c>
      <c r="F17206" s="8" t="inlineStr">
        <is>
          <t>STANDBY</t>
        </is>
      </c>
      <c r="G17206" s="8" t="n">
        <v>0</v>
      </c>
      <c r="H17206" s="8" t="inlineStr">
        <is>
          <t>CLOSED</t>
        </is>
      </c>
    </row>
    <row r="17207">
      <c r="A17207" s="8" t="inlineStr">
        <is>
          <t>2026-08-03</t>
        </is>
      </c>
      <c r="B17207" s="8" t="n">
        <v>22</v>
      </c>
      <c r="C17207" s="8" t="n">
        <v>15</v>
      </c>
      <c r="D17207" s="8" t="inlineStr">
        <is>
          <t>Disneyland Park</t>
        </is>
      </c>
      <c r="E17207" s="8" t="inlineStr">
        <is>
          <t>Peter Pan's Flight</t>
        </is>
      </c>
      <c r="F17207" s="8" t="inlineStr">
        <is>
          <t>STANDBY</t>
        </is>
      </c>
      <c r="G17207" s="8" t="n">
        <v>10</v>
      </c>
      <c r="H17207" s="8" t="inlineStr">
        <is>
          <t>OPERATING</t>
        </is>
      </c>
    </row>
    <row r="17208">
      <c r="A17208" s="8" t="inlineStr">
        <is>
          <t>2026-08-03</t>
        </is>
      </c>
      <c r="B17208" s="8" t="n">
        <v>22</v>
      </c>
      <c r="C17208" s="8" t="n">
        <v>15</v>
      </c>
      <c r="D17208" s="8" t="inlineStr">
        <is>
          <t>Disneyland Park</t>
        </is>
      </c>
      <c r="E17208" s="8" t="inlineStr">
        <is>
          <t>Princess Pavilion</t>
        </is>
      </c>
      <c r="F17208" s="8" t="inlineStr">
        <is>
          <t>STANDBY</t>
        </is>
      </c>
      <c r="G17208" s="8" t="n">
        <v>0</v>
      </c>
      <c r="H17208" s="8" t="inlineStr">
        <is>
          <t>CLOSED</t>
        </is>
      </c>
    </row>
    <row r="17209">
      <c r="A17209" s="8" t="inlineStr">
        <is>
          <t>2026-08-03</t>
        </is>
      </c>
      <c r="B17209" s="8" t="n">
        <v>22</v>
      </c>
      <c r="C17209" s="8" t="n">
        <v>15</v>
      </c>
      <c r="D17209" s="8" t="inlineStr">
        <is>
          <t>Disneyland Park</t>
        </is>
      </c>
      <c r="E17209" s="8" t="inlineStr">
        <is>
          <t>Big Thunder Mountain</t>
        </is>
      </c>
      <c r="F17209" s="8" t="inlineStr">
        <is>
          <t>STANDBY</t>
        </is>
      </c>
      <c r="G17209" s="8" t="n">
        <v>35</v>
      </c>
      <c r="H17209" s="8" t="inlineStr">
        <is>
          <t>OPERATING</t>
        </is>
      </c>
    </row>
    <row r="17210">
      <c r="A17210" s="8" t="inlineStr">
        <is>
          <t>2026-08-03</t>
        </is>
      </c>
      <c r="B17210" s="8" t="n">
        <v>22</v>
      </c>
      <c r="C17210" s="8" t="n">
        <v>15</v>
      </c>
      <c r="D17210" s="8" t="inlineStr">
        <is>
          <t>Disneyland Park</t>
        </is>
      </c>
      <c r="E17210" s="8" t="inlineStr">
        <is>
          <t>Disneyland Railroad Frontierland Depot</t>
        </is>
      </c>
      <c r="F17210" s="8" t="inlineStr">
        <is>
          <t>STANDBY</t>
        </is>
      </c>
      <c r="G17210" s="8" t="n">
        <v>0</v>
      </c>
      <c r="H17210" s="8" t="inlineStr">
        <is>
          <t>CLOSED</t>
        </is>
      </c>
    </row>
    <row r="17211">
      <c r="A17211" s="8" t="inlineStr">
        <is>
          <t>2026-08-03</t>
        </is>
      </c>
      <c r="B17211" s="8" t="n">
        <v>22</v>
      </c>
      <c r="C17211" s="8" t="n">
        <v>15</v>
      </c>
      <c r="D17211" s="8" t="inlineStr">
        <is>
          <t>Disneyland Park</t>
        </is>
      </c>
      <c r="E17211" s="8" t="inlineStr">
        <is>
          <t>Frontierland Playground</t>
        </is>
      </c>
      <c r="F17211" s="8" t="inlineStr">
        <is>
          <t>STANDBY</t>
        </is>
      </c>
      <c r="G17211" s="8" t="n">
        <v>0</v>
      </c>
      <c r="H17211" s="8" t="inlineStr">
        <is>
          <t>CLOSED</t>
        </is>
      </c>
    </row>
    <row r="17212">
      <c r="A17212" s="8" t="inlineStr">
        <is>
          <t>2026-08-03</t>
        </is>
      </c>
      <c r="B17212" s="8" t="n">
        <v>22</v>
      </c>
      <c r="C17212" s="8" t="n">
        <v>15</v>
      </c>
      <c r="D17212" s="8" t="inlineStr">
        <is>
          <t>Disneyland Park</t>
        </is>
      </c>
      <c r="E17212" s="8" t="inlineStr">
        <is>
          <t>Phantom Manor</t>
        </is>
      </c>
      <c r="F17212" s="8" t="inlineStr">
        <is>
          <t>STANDBY</t>
        </is>
      </c>
      <c r="G17212" s="8" t="n">
        <v>5</v>
      </c>
      <c r="H17212" s="8" t="inlineStr">
        <is>
          <t>OPERATING</t>
        </is>
      </c>
    </row>
    <row r="17213">
      <c r="A17213" s="8" t="inlineStr">
        <is>
          <t>2026-08-03</t>
        </is>
      </c>
      <c r="B17213" s="8" t="n">
        <v>22</v>
      </c>
      <c r="C17213" s="8" t="n">
        <v>15</v>
      </c>
      <c r="D17213" s="8" t="inlineStr">
        <is>
          <t>Disneyland Park</t>
        </is>
      </c>
      <c r="E17213" s="8" t="inlineStr">
        <is>
          <t>River Rogue Keelboats</t>
        </is>
      </c>
      <c r="F17213" s="8" t="inlineStr">
        <is>
          <t>STANDBY</t>
        </is>
      </c>
      <c r="G17213" s="8" t="n">
        <v>0</v>
      </c>
      <c r="H17213" s="8" t="inlineStr">
        <is>
          <t>CLOSED</t>
        </is>
      </c>
    </row>
    <row r="17214">
      <c r="A17214" s="8" t="inlineStr">
        <is>
          <t>2026-08-03</t>
        </is>
      </c>
      <c r="B17214" s="8" t="n">
        <v>22</v>
      </c>
      <c r="C17214" s="8" t="n">
        <v>15</v>
      </c>
      <c r="D17214" s="8" t="inlineStr">
        <is>
          <t>Disneyland Park</t>
        </is>
      </c>
      <c r="E17214" s="8" t="inlineStr">
        <is>
          <t>Rustler Roundup Shootin' Gallery</t>
        </is>
      </c>
      <c r="F17214" s="8" t="inlineStr">
        <is>
          <t>STANDBY</t>
        </is>
      </c>
      <c r="G17214" s="8" t="n">
        <v>0</v>
      </c>
      <c r="H17214" s="8" t="inlineStr">
        <is>
          <t>CLOSED</t>
        </is>
      </c>
    </row>
    <row r="17215">
      <c r="A17215" s="8" t="inlineStr">
        <is>
          <t>2026-08-03</t>
        </is>
      </c>
      <c r="B17215" s="8" t="n">
        <v>22</v>
      </c>
      <c r="C17215" s="8" t="n">
        <v>15</v>
      </c>
      <c r="D17215" s="8" t="inlineStr">
        <is>
          <t>Disneyland Park</t>
        </is>
      </c>
      <c r="E17215" s="8" t="inlineStr">
        <is>
          <t>Thunder Mesa Riverboat Landing</t>
        </is>
      </c>
      <c r="F17215" s="8" t="inlineStr">
        <is>
          <t>STANDBY</t>
        </is>
      </c>
      <c r="G17215" s="8" t="n">
        <v>0</v>
      </c>
      <c r="H17215" s="8" t="inlineStr">
        <is>
          <t>CLOSED</t>
        </is>
      </c>
    </row>
    <row r="17216">
      <c r="A17216" s="8" t="inlineStr">
        <is>
          <t>2026-08-03</t>
        </is>
      </c>
      <c r="B17216" s="8" t="n">
        <v>22</v>
      </c>
      <c r="C17216" s="8" t="n">
        <v>15</v>
      </c>
      <c r="D17216" s="8" t="inlineStr">
        <is>
          <t>Disneyland Park</t>
        </is>
      </c>
      <c r="E17216" s="8" t="inlineStr">
        <is>
          <t>Disneyland Railroad Main Street Station</t>
        </is>
      </c>
      <c r="F17216" s="8" t="inlineStr">
        <is>
          <t>STANDBY</t>
        </is>
      </c>
      <c r="G17216" s="8" t="n">
        <v>0</v>
      </c>
      <c r="H17216" s="8" t="inlineStr">
        <is>
          <t>CLOSED</t>
        </is>
      </c>
    </row>
    <row r="17217">
      <c r="A17217" s="8" t="inlineStr">
        <is>
          <t>2026-08-03</t>
        </is>
      </c>
      <c r="B17217" s="8" t="n">
        <v>22</v>
      </c>
      <c r="C17217" s="8" t="n">
        <v>15</v>
      </c>
      <c r="D17217" s="8" t="inlineStr">
        <is>
          <t>Disneyland Park</t>
        </is>
      </c>
      <c r="E17217" s="8" t="inlineStr">
        <is>
          <t>Main Street Vehicles</t>
        </is>
      </c>
      <c r="F17217" s="8" t="inlineStr">
        <is>
          <t>STANDBY</t>
        </is>
      </c>
      <c r="G17217" s="8" t="n">
        <v>0</v>
      </c>
      <c r="H17217" s="8" t="inlineStr">
        <is>
          <t>CLOSED</t>
        </is>
      </c>
    </row>
    <row r="17218">
      <c r="A17218" s="8" t="inlineStr">
        <is>
          <t>2026-08-03</t>
        </is>
      </c>
      <c r="B17218" s="8" t="n">
        <v>22</v>
      </c>
      <c r="C17218" s="8" t="n">
        <v>15</v>
      </c>
      <c r="D17218" s="8" t="inlineStr">
        <is>
          <t>Disney Adventure World</t>
        </is>
      </c>
      <c r="E17218" s="8" t="inlineStr">
        <is>
          <t>Avengers Assemble: Flight Force</t>
        </is>
      </c>
      <c r="F17218" s="8" t="inlineStr">
        <is>
          <t>STANDBY</t>
        </is>
      </c>
      <c r="G17218" s="8" t="n">
        <v>5</v>
      </c>
      <c r="H17218" s="8" t="inlineStr">
        <is>
          <t>OPERATING</t>
        </is>
      </c>
    </row>
    <row r="17219">
      <c r="A17219" s="8" t="inlineStr">
        <is>
          <t>2026-08-03</t>
        </is>
      </c>
      <c r="B17219" s="8" t="n">
        <v>22</v>
      </c>
      <c r="C17219" s="8" t="n">
        <v>15</v>
      </c>
      <c r="D17219" s="8" t="inlineStr">
        <is>
          <t>Disney Adventure World</t>
        </is>
      </c>
      <c r="E17219" s="8" t="inlineStr">
        <is>
          <t>Avengers Assemble: Flight Force Single Rider</t>
        </is>
      </c>
      <c r="F17219" s="8" t="inlineStr">
        <is>
          <t>STANDBY</t>
        </is>
      </c>
      <c r="G17219" s="8" t="n">
        <v>5</v>
      </c>
      <c r="H17219" s="8" t="inlineStr">
        <is>
          <t>OPERATING</t>
        </is>
      </c>
    </row>
    <row r="17220">
      <c r="A17220" s="8" t="inlineStr">
        <is>
          <t>2026-08-03</t>
        </is>
      </c>
      <c r="B17220" s="8" t="n">
        <v>22</v>
      </c>
      <c r="C17220" s="8" t="n">
        <v>15</v>
      </c>
      <c r="D17220" s="8" t="inlineStr">
        <is>
          <t>Disney Adventure World</t>
        </is>
      </c>
      <c r="E17220" s="8" t="inlineStr">
        <is>
          <t>Spider-Man W.E.B. Adventure</t>
        </is>
      </c>
      <c r="F17220" s="8" t="inlineStr">
        <is>
          <t>STANDBY</t>
        </is>
      </c>
      <c r="G17220" s="8" t="n">
        <v>10</v>
      </c>
      <c r="H17220" s="8" t="inlineStr">
        <is>
          <t>OPERATING</t>
        </is>
      </c>
    </row>
    <row r="17221">
      <c r="A17221" s="8" t="inlineStr">
        <is>
          <t>2026-08-03</t>
        </is>
      </c>
      <c r="B17221" s="8" t="n">
        <v>22</v>
      </c>
      <c r="C17221" s="8" t="n">
        <v>15</v>
      </c>
      <c r="D17221" s="8" t="inlineStr">
        <is>
          <t>Disney Adventure World</t>
        </is>
      </c>
      <c r="E17221" s="8" t="inlineStr">
        <is>
          <t>Spider-Man W.E.B. Adventure Single Rider</t>
        </is>
      </c>
      <c r="F17221" s="8" t="inlineStr">
        <is>
          <t>STANDBY</t>
        </is>
      </c>
      <c r="G17221" s="8" t="n">
        <v>5</v>
      </c>
      <c r="H17221" s="8" t="inlineStr">
        <is>
          <t>OPERATING</t>
        </is>
      </c>
    </row>
    <row r="17222">
      <c r="A17222" s="8" t="inlineStr">
        <is>
          <t>2026-08-03</t>
        </is>
      </c>
      <c r="B17222" s="8" t="n">
        <v>22</v>
      </c>
      <c r="C17222" s="8" t="n">
        <v>15</v>
      </c>
      <c r="D17222" s="8" t="inlineStr">
        <is>
          <t>Disney Adventure World</t>
        </is>
      </c>
      <c r="E17222" s="8" t="inlineStr">
        <is>
          <t>The Twilight Zone Tower of Terror</t>
        </is>
      </c>
      <c r="F17222" s="8" t="inlineStr">
        <is>
          <t>STANDBY</t>
        </is>
      </c>
      <c r="G17222" s="8" t="n">
        <v>25</v>
      </c>
      <c r="H17222" s="8" t="inlineStr">
        <is>
          <t>OPERATING</t>
        </is>
      </c>
    </row>
    <row r="17223">
      <c r="A17223" s="8" t="inlineStr">
        <is>
          <t>2026-08-03</t>
        </is>
      </c>
      <c r="B17223" s="8" t="n">
        <v>22</v>
      </c>
      <c r="C17223" s="8" t="n">
        <v>15</v>
      </c>
      <c r="D17223" s="8" t="inlineStr">
        <is>
          <t>Disney Adventure World</t>
        </is>
      </c>
      <c r="E17223" s="8" t="inlineStr">
        <is>
          <t>Cars Quatre Roues Rallye</t>
        </is>
      </c>
      <c r="F17223" s="8" t="inlineStr">
        <is>
          <t>STANDBY</t>
        </is>
      </c>
      <c r="G17223" s="8" t="n">
        <v>5</v>
      </c>
      <c r="H17223" s="8" t="inlineStr">
        <is>
          <t>OPERATING</t>
        </is>
      </c>
    </row>
    <row r="17224">
      <c r="A17224" s="8" t="inlineStr">
        <is>
          <t>2026-08-03</t>
        </is>
      </c>
      <c r="B17224" s="8" t="n">
        <v>22</v>
      </c>
      <c r="C17224" s="8" t="n">
        <v>15</v>
      </c>
      <c r="D17224" s="8" t="inlineStr">
        <is>
          <t>Disney Adventure World</t>
        </is>
      </c>
      <c r="E17224" s="8" t="inlineStr">
        <is>
          <t>Cars ROAD TRIP</t>
        </is>
      </c>
      <c r="F17224" s="8" t="inlineStr">
        <is>
          <t>STANDBY</t>
        </is>
      </c>
      <c r="G17224" s="8" t="n">
        <v>0</v>
      </c>
      <c r="H17224" s="8" t="inlineStr">
        <is>
          <t>CLOSED</t>
        </is>
      </c>
    </row>
    <row r="17225">
      <c r="A17225" s="8" t="inlineStr">
        <is>
          <t>2026-08-03</t>
        </is>
      </c>
      <c r="B17225" s="8" t="n">
        <v>22</v>
      </c>
      <c r="C17225" s="8" t="n">
        <v>15</v>
      </c>
      <c r="D17225" s="8" t="inlineStr">
        <is>
          <t>Disney Adventure World</t>
        </is>
      </c>
      <c r="E17225" s="8" t="inlineStr">
        <is>
          <t>Crush's Coaster</t>
        </is>
      </c>
      <c r="F17225" s="8" t="inlineStr">
        <is>
          <t>STANDBY</t>
        </is>
      </c>
      <c r="G17225" s="8" t="n">
        <v>40</v>
      </c>
      <c r="H17225" s="8" t="inlineStr">
        <is>
          <t>OPERATING</t>
        </is>
      </c>
    </row>
    <row r="17226">
      <c r="A17226" s="8" t="inlineStr">
        <is>
          <t>2026-08-03</t>
        </is>
      </c>
      <c r="B17226" s="8" t="n">
        <v>22</v>
      </c>
      <c r="C17226" s="8" t="n">
        <v>15</v>
      </c>
      <c r="D17226" s="8" t="inlineStr">
        <is>
          <t>Disney Adventure World</t>
        </is>
      </c>
      <c r="E17226" s="8" t="inlineStr">
        <is>
          <t>Crush's Coaster Single Rider</t>
        </is>
      </c>
      <c r="F17226" s="8" t="inlineStr">
        <is>
          <t>STANDBY</t>
        </is>
      </c>
      <c r="G17226" s="8" t="n">
        <v>20</v>
      </c>
      <c r="H17226" s="8" t="inlineStr">
        <is>
          <t>OPERATING</t>
        </is>
      </c>
    </row>
    <row r="17227">
      <c r="A17227" s="8" t="inlineStr">
        <is>
          <t>2026-08-03</t>
        </is>
      </c>
      <c r="B17227" s="8" t="n">
        <v>22</v>
      </c>
      <c r="C17227" s="8" t="n">
        <v>15</v>
      </c>
      <c r="D17227" s="8" t="inlineStr">
        <is>
          <t>Disney Adventure World</t>
        </is>
      </c>
      <c r="E17227" s="8" t="inlineStr">
        <is>
          <t>Les Tapis Volants - Flying Carpets Over Agrabah®</t>
        </is>
      </c>
      <c r="F17227" s="8" t="inlineStr">
        <is>
          <t>STANDBY</t>
        </is>
      </c>
      <c r="G17227" s="8" t="n">
        <v>5</v>
      </c>
      <c r="H17227" s="8" t="inlineStr">
        <is>
          <t>OPERATING</t>
        </is>
      </c>
    </row>
    <row r="17228">
      <c r="A17228" s="8" t="inlineStr">
        <is>
          <t>2026-08-03</t>
        </is>
      </c>
      <c r="B17228" s="8" t="n">
        <v>22</v>
      </c>
      <c r="C17228" s="8" t="n">
        <v>15</v>
      </c>
      <c r="D17228" s="8" t="inlineStr">
        <is>
          <t>Disney Adventure World</t>
        </is>
      </c>
      <c r="E17228" s="8" t="inlineStr">
        <is>
          <t>Ratatouille : L’Aventure Totalement Toquée de Rémy​</t>
        </is>
      </c>
      <c r="F17228" s="8" t="inlineStr">
        <is>
          <t>STANDBY</t>
        </is>
      </c>
      <c r="G17228" s="8" t="n">
        <v>15</v>
      </c>
      <c r="H17228" s="8" t="inlineStr">
        <is>
          <t>OPERATING</t>
        </is>
      </c>
    </row>
    <row r="17229">
      <c r="A17229" s="8" t="inlineStr">
        <is>
          <t>2026-08-03</t>
        </is>
      </c>
      <c r="B17229" s="8" t="n">
        <v>22</v>
      </c>
      <c r="C17229" s="8" t="n">
        <v>15</v>
      </c>
      <c r="D17229" s="8" t="inlineStr">
        <is>
          <t>Disney Adventure World</t>
        </is>
      </c>
      <c r="E17229" s="8" t="inlineStr">
        <is>
          <t>Ratatouille: The Adventure Single Rider</t>
        </is>
      </c>
      <c r="F17229" s="8" t="inlineStr">
        <is>
          <t>STANDBY</t>
        </is>
      </c>
      <c r="G17229" s="8" t="n">
        <v>5</v>
      </c>
      <c r="H17229" s="8" t="inlineStr">
        <is>
          <t>OPERATING</t>
        </is>
      </c>
    </row>
    <row r="17230">
      <c r="A17230" s="8" t="inlineStr">
        <is>
          <t>2026-08-03</t>
        </is>
      </c>
      <c r="B17230" s="8" t="n">
        <v>22</v>
      </c>
      <c r="C17230" s="8" t="n">
        <v>15</v>
      </c>
      <c r="D17230" s="8" t="inlineStr">
        <is>
          <t>Disney Adventure World</t>
        </is>
      </c>
      <c r="E17230" s="8" t="inlineStr">
        <is>
          <t>RC Racer</t>
        </is>
      </c>
      <c r="F17230" s="8" t="inlineStr">
        <is>
          <t>STANDBY</t>
        </is>
      </c>
      <c r="G17230" s="8" t="n">
        <v>15</v>
      </c>
      <c r="H17230" s="8" t="inlineStr">
        <is>
          <t>OPERATING</t>
        </is>
      </c>
    </row>
    <row r="17231">
      <c r="A17231" s="8" t="inlineStr">
        <is>
          <t>2026-08-03</t>
        </is>
      </c>
      <c r="B17231" s="8" t="n">
        <v>22</v>
      </c>
      <c r="C17231" s="8" t="n">
        <v>15</v>
      </c>
      <c r="D17231" s="8" t="inlineStr">
        <is>
          <t>Disney Adventure World</t>
        </is>
      </c>
      <c r="E17231" s="8" t="inlineStr">
        <is>
          <t>RC Racer Single Rider</t>
        </is>
      </c>
      <c r="F17231" s="8" t="inlineStr">
        <is>
          <t>STANDBY</t>
        </is>
      </c>
      <c r="G17231" s="8" t="n">
        <v>10</v>
      </c>
      <c r="H17231" s="8" t="inlineStr">
        <is>
          <t>OPERATING</t>
        </is>
      </c>
    </row>
    <row r="17232">
      <c r="A17232" s="8" t="inlineStr">
        <is>
          <t>2026-08-03</t>
        </is>
      </c>
      <c r="B17232" s="8" t="n">
        <v>22</v>
      </c>
      <c r="C17232" s="8" t="n">
        <v>15</v>
      </c>
      <c r="D17232" s="8" t="inlineStr">
        <is>
          <t>Disney Adventure World</t>
        </is>
      </c>
      <c r="E17232" s="8" t="inlineStr">
        <is>
          <t>Slinky® Dog Zigzag Spin</t>
        </is>
      </c>
      <c r="F17232" s="8" t="inlineStr">
        <is>
          <t>STANDBY</t>
        </is>
      </c>
      <c r="G17232" s="8" t="n">
        <v>5</v>
      </c>
      <c r="H17232" s="8" t="inlineStr">
        <is>
          <t>OPERATING</t>
        </is>
      </c>
    </row>
    <row r="17233">
      <c r="A17233" s="8" t="inlineStr">
        <is>
          <t>2026-08-03</t>
        </is>
      </c>
      <c r="B17233" s="8" t="n">
        <v>22</v>
      </c>
      <c r="C17233" s="8" t="n">
        <v>15</v>
      </c>
      <c r="D17233" s="8" t="inlineStr">
        <is>
          <t>Disney Adventure World</t>
        </is>
      </c>
      <c r="E17233" s="8" t="inlineStr">
        <is>
          <t>Toy Soldiers Parachute Drop</t>
        </is>
      </c>
      <c r="F17233" s="8" t="inlineStr">
        <is>
          <t>STANDBY</t>
        </is>
      </c>
      <c r="G17233" s="8" t="n">
        <v>30</v>
      </c>
      <c r="H17233" s="8" t="inlineStr">
        <is>
          <t>OPERATING</t>
        </is>
      </c>
    </row>
    <row r="17234">
      <c r="A17234" s="8" t="inlineStr">
        <is>
          <t>2026-08-03</t>
        </is>
      </c>
      <c r="B17234" s="8" t="n">
        <v>22</v>
      </c>
      <c r="C17234" s="8" t="n">
        <v>15</v>
      </c>
      <c r="D17234" s="8" t="inlineStr">
        <is>
          <t>Disney Adventure World</t>
        </is>
      </c>
      <c r="E17234" s="8" t="inlineStr">
        <is>
          <t>Toy Soldiers Parachute Drop Single Rider</t>
        </is>
      </c>
      <c r="F17234" s="8" t="inlineStr">
        <is>
          <t>STANDBY</t>
        </is>
      </c>
      <c r="G17234" s="8" t="n">
        <v>10</v>
      </c>
      <c r="H17234" s="8" t="inlineStr">
        <is>
          <t>OPERATING</t>
        </is>
      </c>
    </row>
    <row r="17235">
      <c r="A17235" s="8" t="inlineStr">
        <is>
          <t>2026-08-03</t>
        </is>
      </c>
      <c r="B17235" s="8" t="n">
        <v>22</v>
      </c>
      <c r="C17235" s="8" t="n">
        <v>15</v>
      </c>
      <c r="D17235" s="8" t="inlineStr">
        <is>
          <t>Disney Adventure World</t>
        </is>
      </c>
      <c r="E17235" s="8" t="inlineStr">
        <is>
          <t>Entry to World of Frozen</t>
        </is>
      </c>
      <c r="F17235" s="8" t="inlineStr">
        <is>
          <t>STANDBY</t>
        </is>
      </c>
      <c r="G17235" s="8" t="n">
        <v>0</v>
      </c>
      <c r="H17235" s="8" t="inlineStr">
        <is>
          <t>OPERATING</t>
        </is>
      </c>
    </row>
    <row r="17236">
      <c r="A17236" s="8" t="inlineStr">
        <is>
          <t>2026-08-03</t>
        </is>
      </c>
      <c r="B17236" s="8" t="n">
        <v>22</v>
      </c>
      <c r="C17236" s="8" t="n">
        <v>15</v>
      </c>
      <c r="D17236" s="8" t="inlineStr">
        <is>
          <t>Disney Adventure World</t>
        </is>
      </c>
      <c r="E17236" s="8" t="inlineStr">
        <is>
          <t>Frozen Ever After</t>
        </is>
      </c>
      <c r="F17236" s="8" t="inlineStr">
        <is>
          <t>STANDBY</t>
        </is>
      </c>
      <c r="G17236" s="8" t="n">
        <v>15</v>
      </c>
      <c r="H17236" s="8" t="inlineStr">
        <is>
          <t>OPERATING</t>
        </is>
      </c>
    </row>
    <row r="17237">
      <c r="A17237" s="8" t="inlineStr">
        <is>
          <t>2026-08-03</t>
        </is>
      </c>
      <c r="B17237" s="8" t="n">
        <v>22</v>
      </c>
      <c r="C17237" s="8" t="n">
        <v>15</v>
      </c>
      <c r="D17237" s="8" t="inlineStr">
        <is>
          <t>Disney Adventure World</t>
        </is>
      </c>
      <c r="E17237" s="8" t="inlineStr">
        <is>
          <t>Raiponce Tangled Spin</t>
        </is>
      </c>
      <c r="F17237" s="8" t="inlineStr">
        <is>
          <t>STANDBY</t>
        </is>
      </c>
      <c r="G17237" s="8" t="n">
        <v>5</v>
      </c>
      <c r="H17237" s="8" t="inlineStr">
        <is>
          <t>OPERATING</t>
        </is>
      </c>
    </row>
    <row r="17238">
      <c r="A17238" s="8" t="inlineStr">
        <is>
          <t>2026-08-03</t>
        </is>
      </c>
      <c r="B17238" s="8" t="n">
        <v>22</v>
      </c>
      <c r="C17238" s="8" t="n">
        <v>31</v>
      </c>
      <c r="D17238" s="8" t="inlineStr">
        <is>
          <t>Disneyland Park</t>
        </is>
      </c>
      <c r="E17238" s="8" t="inlineStr">
        <is>
          <t>Adventure Isle</t>
        </is>
      </c>
      <c r="F17238" s="8" t="inlineStr">
        <is>
          <t>STANDBY</t>
        </is>
      </c>
      <c r="G17238" s="8" t="n">
        <v>0</v>
      </c>
      <c r="H17238" s="8" t="inlineStr">
        <is>
          <t>OPERATING</t>
        </is>
      </c>
    </row>
    <row r="17239">
      <c r="A17239" s="8" t="inlineStr">
        <is>
          <t>2026-08-03</t>
        </is>
      </c>
      <c r="B17239" s="8" t="n">
        <v>22</v>
      </c>
      <c r="C17239" s="8" t="n">
        <v>31</v>
      </c>
      <c r="D17239" s="8" t="inlineStr">
        <is>
          <t>Disneyland Park</t>
        </is>
      </c>
      <c r="E17239" s="8" t="inlineStr">
        <is>
          <t>Indiana Jones and the Temple of Peril Single Rider</t>
        </is>
      </c>
      <c r="F17239" s="8" t="inlineStr">
        <is>
          <t>STANDBY</t>
        </is>
      </c>
      <c r="G17239" s="8" t="n">
        <v>0</v>
      </c>
      <c r="H17239" s="8" t="inlineStr">
        <is>
          <t>CLOSED</t>
        </is>
      </c>
    </row>
    <row r="17240">
      <c r="A17240" s="8" t="inlineStr">
        <is>
          <t>2026-08-03</t>
        </is>
      </c>
      <c r="B17240" s="8" t="n">
        <v>22</v>
      </c>
      <c r="C17240" s="8" t="n">
        <v>31</v>
      </c>
      <c r="D17240" s="8" t="inlineStr">
        <is>
          <t>Disneyland Park</t>
        </is>
      </c>
      <c r="E17240" s="8" t="inlineStr">
        <is>
          <t>Indiana Jones™ and the Temple of Peril</t>
        </is>
      </c>
      <c r="F17240" s="8" t="inlineStr">
        <is>
          <t>STANDBY</t>
        </is>
      </c>
      <c r="G17240" s="8" t="n">
        <v>0</v>
      </c>
      <c r="H17240" s="8" t="inlineStr">
        <is>
          <t>CLOSED</t>
        </is>
      </c>
    </row>
    <row r="17241">
      <c r="A17241" s="8" t="inlineStr">
        <is>
          <t>2026-08-03</t>
        </is>
      </c>
      <c r="B17241" s="8" t="n">
        <v>22</v>
      </c>
      <c r="C17241" s="8" t="n">
        <v>31</v>
      </c>
      <c r="D17241" s="8" t="inlineStr">
        <is>
          <t>Disneyland Park</t>
        </is>
      </c>
      <c r="E17241" s="8" t="inlineStr">
        <is>
          <t>La Cabane des Robinson</t>
        </is>
      </c>
      <c r="F17241" s="8" t="inlineStr">
        <is>
          <t>STANDBY</t>
        </is>
      </c>
      <c r="G17241" s="8" t="n">
        <v>5</v>
      </c>
      <c r="H17241" s="8" t="inlineStr">
        <is>
          <t>OPERATING</t>
        </is>
      </c>
    </row>
    <row r="17242">
      <c r="A17242" s="8" t="inlineStr">
        <is>
          <t>2026-08-03</t>
        </is>
      </c>
      <c r="B17242" s="8" t="n">
        <v>22</v>
      </c>
      <c r="C17242" s="8" t="n">
        <v>31</v>
      </c>
      <c r="D17242" s="8" t="inlineStr">
        <is>
          <t>Disneyland Park</t>
        </is>
      </c>
      <c r="E17242" s="8" t="inlineStr">
        <is>
          <t>Le Passage Enchanté d'Aladdin</t>
        </is>
      </c>
      <c r="F17242" s="8" t="inlineStr">
        <is>
          <t>STANDBY</t>
        </is>
      </c>
      <c r="G17242" s="8" t="n">
        <v>0</v>
      </c>
      <c r="H17242" s="8" t="inlineStr">
        <is>
          <t>CLOSED</t>
        </is>
      </c>
    </row>
    <row r="17243">
      <c r="A17243" s="8" t="inlineStr">
        <is>
          <t>2026-08-03</t>
        </is>
      </c>
      <c r="B17243" s="8" t="n">
        <v>22</v>
      </c>
      <c r="C17243" s="8" t="n">
        <v>31</v>
      </c>
      <c r="D17243" s="8" t="inlineStr">
        <is>
          <t>Disneyland Park</t>
        </is>
      </c>
      <c r="E17243" s="8" t="inlineStr">
        <is>
          <t>Pirate Galleon</t>
        </is>
      </c>
      <c r="F17243" s="8" t="inlineStr">
        <is>
          <t>STANDBY</t>
        </is>
      </c>
      <c r="G17243" s="8" t="n">
        <v>0</v>
      </c>
      <c r="H17243" s="8" t="inlineStr">
        <is>
          <t>CLOSED</t>
        </is>
      </c>
    </row>
    <row r="17244">
      <c r="A17244" s="8" t="inlineStr">
        <is>
          <t>2026-08-03</t>
        </is>
      </c>
      <c r="B17244" s="8" t="n">
        <v>22</v>
      </c>
      <c r="C17244" s="8" t="n">
        <v>31</v>
      </c>
      <c r="D17244" s="8" t="inlineStr">
        <is>
          <t>Disneyland Park</t>
        </is>
      </c>
      <c r="E17244" s="8" t="inlineStr">
        <is>
          <t>Pirates of the Caribbean</t>
        </is>
      </c>
      <c r="F17244" s="8" t="inlineStr">
        <is>
          <t>STANDBY</t>
        </is>
      </c>
      <c r="G17244" s="8" t="n">
        <v>5</v>
      </c>
      <c r="H17244" s="8" t="inlineStr">
        <is>
          <t>OPERATING</t>
        </is>
      </c>
    </row>
    <row r="17245">
      <c r="A17245" s="8" t="inlineStr">
        <is>
          <t>2026-08-03</t>
        </is>
      </c>
      <c r="B17245" s="8" t="n">
        <v>22</v>
      </c>
      <c r="C17245" s="8" t="n">
        <v>31</v>
      </c>
      <c r="D17245" s="8" t="inlineStr">
        <is>
          <t>Disneyland Park</t>
        </is>
      </c>
      <c r="E17245" s="8" t="inlineStr">
        <is>
          <t>Pirates' Beach</t>
        </is>
      </c>
      <c r="F17245" s="8" t="inlineStr">
        <is>
          <t>STANDBY</t>
        </is>
      </c>
      <c r="G17245" s="8" t="n">
        <v>0</v>
      </c>
      <c r="H17245" s="8" t="inlineStr">
        <is>
          <t>CLOSED</t>
        </is>
      </c>
    </row>
    <row r="17246">
      <c r="A17246" s="8" t="inlineStr">
        <is>
          <t>2026-08-03</t>
        </is>
      </c>
      <c r="B17246" s="8" t="n">
        <v>22</v>
      </c>
      <c r="C17246" s="8" t="n">
        <v>31</v>
      </c>
      <c r="D17246" s="8" t="inlineStr">
        <is>
          <t>Disneyland Park</t>
        </is>
      </c>
      <c r="E17246" s="8" t="inlineStr">
        <is>
          <t>Autopia, presented by Avis</t>
        </is>
      </c>
      <c r="F17246" s="8" t="inlineStr">
        <is>
          <t>STANDBY</t>
        </is>
      </c>
      <c r="G17246" s="8" t="n">
        <v>35</v>
      </c>
      <c r="H17246" s="8" t="inlineStr">
        <is>
          <t>OPERATING</t>
        </is>
      </c>
    </row>
    <row r="17247">
      <c r="A17247" s="8" t="inlineStr">
        <is>
          <t>2026-08-03</t>
        </is>
      </c>
      <c r="B17247" s="8" t="n">
        <v>22</v>
      </c>
      <c r="C17247" s="8" t="n">
        <v>31</v>
      </c>
      <c r="D17247" s="8" t="inlineStr">
        <is>
          <t>Disneyland Park</t>
        </is>
      </c>
      <c r="E17247" s="8" t="inlineStr">
        <is>
          <t>Buzz Lightyear Laser Blast</t>
        </is>
      </c>
      <c r="F17247" s="8" t="inlineStr">
        <is>
          <t>STANDBY</t>
        </is>
      </c>
      <c r="G17247" s="8" t="n">
        <v>15</v>
      </c>
      <c r="H17247" s="8" t="inlineStr">
        <is>
          <t>OPERATING</t>
        </is>
      </c>
    </row>
    <row r="17248">
      <c r="A17248" s="8" t="inlineStr">
        <is>
          <t>2026-08-03</t>
        </is>
      </c>
      <c r="B17248" s="8" t="n">
        <v>22</v>
      </c>
      <c r="C17248" s="8" t="n">
        <v>31</v>
      </c>
      <c r="D17248" s="8" t="inlineStr">
        <is>
          <t>Disneyland Park</t>
        </is>
      </c>
      <c r="E17248" s="8" t="inlineStr">
        <is>
          <t>Disneyland Railroad Discoveryland Station</t>
        </is>
      </c>
      <c r="F17248" s="8" t="inlineStr">
        <is>
          <t>STANDBY</t>
        </is>
      </c>
      <c r="G17248" s="8" t="n">
        <v>0</v>
      </c>
      <c r="H17248" s="8" t="inlineStr">
        <is>
          <t>CLOSED</t>
        </is>
      </c>
    </row>
    <row r="17249">
      <c r="A17249" s="8" t="inlineStr">
        <is>
          <t>2026-08-03</t>
        </is>
      </c>
      <c r="B17249" s="8" t="n">
        <v>22</v>
      </c>
      <c r="C17249" s="8" t="n">
        <v>31</v>
      </c>
      <c r="D17249" s="8" t="inlineStr">
        <is>
          <t>Disneyland Park</t>
        </is>
      </c>
      <c r="E17249" s="8" t="inlineStr">
        <is>
          <t>Les Mystères du Nautilus</t>
        </is>
      </c>
      <c r="F17249" s="8" t="inlineStr">
        <is>
          <t>STANDBY</t>
        </is>
      </c>
      <c r="G17249" s="8" t="n">
        <v>5</v>
      </c>
      <c r="H17249" s="8" t="inlineStr">
        <is>
          <t>OPERATING</t>
        </is>
      </c>
    </row>
    <row r="17250">
      <c r="A17250" s="8" t="inlineStr">
        <is>
          <t>2026-08-03</t>
        </is>
      </c>
      <c r="B17250" s="8" t="n">
        <v>22</v>
      </c>
      <c r="C17250" s="8" t="n">
        <v>31</v>
      </c>
      <c r="D17250" s="8" t="inlineStr">
        <is>
          <t>Disneyland Park</t>
        </is>
      </c>
      <c r="E17250" s="8" t="inlineStr">
        <is>
          <t>Mickey’s PhilharMagic</t>
        </is>
      </c>
      <c r="F17250" s="8" t="inlineStr">
        <is>
          <t>STANDBY</t>
        </is>
      </c>
      <c r="G17250" s="8" t="n">
        <v>0</v>
      </c>
      <c r="H17250" s="8" t="inlineStr">
        <is>
          <t>CLOSED</t>
        </is>
      </c>
    </row>
    <row r="17251">
      <c r="A17251" s="8" t="inlineStr">
        <is>
          <t>2026-08-03</t>
        </is>
      </c>
      <c r="B17251" s="8" t="n">
        <v>22</v>
      </c>
      <c r="C17251" s="8" t="n">
        <v>31</v>
      </c>
      <c r="D17251" s="8" t="inlineStr">
        <is>
          <t>Disneyland Park</t>
        </is>
      </c>
      <c r="E17251" s="8" t="inlineStr">
        <is>
          <t>Orbitron®</t>
        </is>
      </c>
      <c r="F17251" s="8" t="inlineStr">
        <is>
          <t>STANDBY</t>
        </is>
      </c>
      <c r="G17251" s="8" t="n">
        <v>30</v>
      </c>
      <c r="H17251" s="8" t="inlineStr">
        <is>
          <t>OPERATING</t>
        </is>
      </c>
    </row>
    <row r="17252">
      <c r="A17252" s="8" t="inlineStr">
        <is>
          <t>2026-08-03</t>
        </is>
      </c>
      <c r="B17252" s="8" t="n">
        <v>22</v>
      </c>
      <c r="C17252" s="8" t="n">
        <v>31</v>
      </c>
      <c r="D17252" s="8" t="inlineStr">
        <is>
          <t>Disneyland Park</t>
        </is>
      </c>
      <c r="E17252" s="8" t="inlineStr">
        <is>
          <t>Star Tours: The Adventures Continue*</t>
        </is>
      </c>
      <c r="F17252" s="8" t="inlineStr">
        <is>
          <t>STANDBY</t>
        </is>
      </c>
      <c r="G17252" s="8" t="n">
        <v>5</v>
      </c>
      <c r="H17252" s="8" t="inlineStr">
        <is>
          <t>OPERATING</t>
        </is>
      </c>
    </row>
    <row r="17253">
      <c r="A17253" s="8" t="inlineStr">
        <is>
          <t>2026-08-03</t>
        </is>
      </c>
      <c r="B17253" s="8" t="n">
        <v>22</v>
      </c>
      <c r="C17253" s="8" t="n">
        <v>31</v>
      </c>
      <c r="D17253" s="8" t="inlineStr">
        <is>
          <t>Disneyland Park</t>
        </is>
      </c>
      <c r="E17253" s="8" t="inlineStr">
        <is>
          <t>Star Wars Hyperspace Mountain</t>
        </is>
      </c>
      <c r="F17253" s="8" t="inlineStr">
        <is>
          <t>STANDBY</t>
        </is>
      </c>
      <c r="G17253" s="8" t="n">
        <v>5</v>
      </c>
      <c r="H17253" s="8" t="inlineStr">
        <is>
          <t>OPERATING</t>
        </is>
      </c>
    </row>
    <row r="17254">
      <c r="A17254" s="8" t="inlineStr">
        <is>
          <t>2026-08-03</t>
        </is>
      </c>
      <c r="B17254" s="8" t="n">
        <v>22</v>
      </c>
      <c r="C17254" s="8" t="n">
        <v>31</v>
      </c>
      <c r="D17254" s="8" t="inlineStr">
        <is>
          <t>Disneyland Park</t>
        </is>
      </c>
      <c r="E17254" s="8" t="inlineStr">
        <is>
          <t>Star Wars Hyperspace Mountain Single Rider</t>
        </is>
      </c>
      <c r="F17254" s="8" t="inlineStr">
        <is>
          <t>STANDBY</t>
        </is>
      </c>
      <c r="G17254" s="8" t="n">
        <v>0</v>
      </c>
      <c r="H17254" s="8" t="inlineStr">
        <is>
          <t>OPERATING</t>
        </is>
      </c>
    </row>
    <row r="17255">
      <c r="A17255" s="8" t="inlineStr">
        <is>
          <t>2026-08-03</t>
        </is>
      </c>
      <c r="B17255" s="8" t="n">
        <v>22</v>
      </c>
      <c r="C17255" s="8" t="n">
        <v>31</v>
      </c>
      <c r="D17255" s="8" t="inlineStr">
        <is>
          <t>Disneyland Park</t>
        </is>
      </c>
      <c r="E17255" s="8" t="inlineStr">
        <is>
          <t>Welcome to Starport: A Star Wars Encounter</t>
        </is>
      </c>
      <c r="F17255" s="8" t="inlineStr">
        <is>
          <t>STANDBY</t>
        </is>
      </c>
      <c r="G17255" s="8" t="n">
        <v>0</v>
      </c>
      <c r="H17255" s="8" t="inlineStr">
        <is>
          <t>CLOSED</t>
        </is>
      </c>
    </row>
    <row r="17256">
      <c r="A17256" s="8" t="inlineStr">
        <is>
          <t>2026-08-03</t>
        </is>
      </c>
      <c r="B17256" s="8" t="n">
        <v>22</v>
      </c>
      <c r="C17256" s="8" t="n">
        <v>31</v>
      </c>
      <c r="D17256" s="8" t="inlineStr">
        <is>
          <t>Disneyland Park</t>
        </is>
      </c>
      <c r="E17256" s="8" t="inlineStr">
        <is>
          <t>"it's a small world"</t>
        </is>
      </c>
      <c r="F17256" s="8" t="inlineStr">
        <is>
          <t>STANDBY</t>
        </is>
      </c>
      <c r="G17256" s="8" t="n">
        <v>5</v>
      </c>
      <c r="H17256" s="8" t="inlineStr">
        <is>
          <t>OPERATING</t>
        </is>
      </c>
    </row>
    <row r="17257">
      <c r="A17257" s="8" t="inlineStr">
        <is>
          <t>2026-08-03</t>
        </is>
      </c>
      <c r="B17257" s="8" t="n">
        <v>22</v>
      </c>
      <c r="C17257" s="8" t="n">
        <v>31</v>
      </c>
      <c r="D17257" s="8" t="inlineStr">
        <is>
          <t>Disneyland Park</t>
        </is>
      </c>
      <c r="E17257" s="8" t="inlineStr">
        <is>
          <t>Alice's Curious Labyrinth</t>
        </is>
      </c>
      <c r="F17257" s="8" t="inlineStr">
        <is>
          <t>STANDBY</t>
        </is>
      </c>
      <c r="G17257" s="8" t="n">
        <v>0</v>
      </c>
      <c r="H17257" s="8" t="inlineStr">
        <is>
          <t>CLOSED</t>
        </is>
      </c>
    </row>
    <row r="17258">
      <c r="A17258" s="8" t="inlineStr">
        <is>
          <t>2026-08-03</t>
        </is>
      </c>
      <c r="B17258" s="8" t="n">
        <v>22</v>
      </c>
      <c r="C17258" s="8" t="n">
        <v>31</v>
      </c>
      <c r="D17258" s="8" t="inlineStr">
        <is>
          <t>Disneyland Park</t>
        </is>
      </c>
      <c r="E17258" s="8" t="inlineStr">
        <is>
          <t>Blanche-Neige et les Sept Nains®</t>
        </is>
      </c>
      <c r="F17258" s="8" t="inlineStr">
        <is>
          <t>STANDBY</t>
        </is>
      </c>
      <c r="G17258" s="8" t="n">
        <v>0</v>
      </c>
      <c r="H17258" s="8" t="inlineStr">
        <is>
          <t>CLOSED</t>
        </is>
      </c>
    </row>
    <row r="17259">
      <c r="A17259" s="8" t="inlineStr">
        <is>
          <t>2026-08-03</t>
        </is>
      </c>
      <c r="B17259" s="8" t="n">
        <v>22</v>
      </c>
      <c r="C17259" s="8" t="n">
        <v>31</v>
      </c>
      <c r="D17259" s="8" t="inlineStr">
        <is>
          <t>Disneyland Park</t>
        </is>
      </c>
      <c r="E17259" s="8" t="inlineStr">
        <is>
          <t>Casey Jr. – le Petit Train du Cirque</t>
        </is>
      </c>
      <c r="F17259" s="8" t="inlineStr">
        <is>
          <t>STANDBY</t>
        </is>
      </c>
      <c r="G17259" s="8" t="n">
        <v>0</v>
      </c>
      <c r="H17259" s="8" t="inlineStr">
        <is>
          <t>CLOSED</t>
        </is>
      </c>
    </row>
    <row r="17260">
      <c r="A17260" s="8" t="inlineStr">
        <is>
          <t>2026-08-03</t>
        </is>
      </c>
      <c r="B17260" s="8" t="n">
        <v>22</v>
      </c>
      <c r="C17260" s="8" t="n">
        <v>31</v>
      </c>
      <c r="D17260" s="8" t="inlineStr">
        <is>
          <t>Disneyland Park</t>
        </is>
      </c>
      <c r="E17260" s="8" t="inlineStr">
        <is>
          <t>Disneyland Railroad Fantasyland Station</t>
        </is>
      </c>
      <c r="F17260" s="8" t="inlineStr">
        <is>
          <t>STANDBY</t>
        </is>
      </c>
      <c r="G17260" s="8" t="n">
        <v>0</v>
      </c>
      <c r="H17260" s="8" t="inlineStr">
        <is>
          <t>CLOSED</t>
        </is>
      </c>
    </row>
    <row r="17261">
      <c r="A17261" s="8" t="inlineStr">
        <is>
          <t>2026-08-03</t>
        </is>
      </c>
      <c r="B17261" s="8" t="n">
        <v>22</v>
      </c>
      <c r="C17261" s="8" t="n">
        <v>31</v>
      </c>
      <c r="D17261" s="8" t="inlineStr">
        <is>
          <t>Disneyland Park</t>
        </is>
      </c>
      <c r="E17261" s="8" t="inlineStr">
        <is>
          <t>Disneyland Railroad Main Street Station</t>
        </is>
      </c>
      <c r="F17261" s="8" t="inlineStr">
        <is>
          <t>STANDBY</t>
        </is>
      </c>
      <c r="G17261" s="8" t="n">
        <v>0</v>
      </c>
      <c r="H17261" s="8" t="inlineStr">
        <is>
          <t>CLOSED</t>
        </is>
      </c>
    </row>
    <row r="17262">
      <c r="A17262" s="8" t="inlineStr">
        <is>
          <t>2026-08-03</t>
        </is>
      </c>
      <c r="B17262" s="8" t="n">
        <v>22</v>
      </c>
      <c r="C17262" s="8" t="n">
        <v>31</v>
      </c>
      <c r="D17262" s="8" t="inlineStr">
        <is>
          <t>Disneyland Park</t>
        </is>
      </c>
      <c r="E17262" s="8" t="inlineStr">
        <is>
          <t>Dumbo the Flying Elephant</t>
        </is>
      </c>
      <c r="F17262" s="8" t="inlineStr">
        <is>
          <t>STANDBY</t>
        </is>
      </c>
      <c r="G17262" s="8" t="n">
        <v>0</v>
      </c>
      <c r="H17262" s="8" t="inlineStr">
        <is>
          <t>CLOSED</t>
        </is>
      </c>
    </row>
    <row r="17263">
      <c r="A17263" s="8" t="inlineStr">
        <is>
          <t>2026-08-03</t>
        </is>
      </c>
      <c r="B17263" s="8" t="n">
        <v>22</v>
      </c>
      <c r="C17263" s="8" t="n">
        <v>31</v>
      </c>
      <c r="D17263" s="8" t="inlineStr">
        <is>
          <t>Disneyland Park</t>
        </is>
      </c>
      <c r="E17263" s="8" t="inlineStr">
        <is>
          <t>La Tanière du Dragon</t>
        </is>
      </c>
      <c r="F17263" s="8" t="inlineStr">
        <is>
          <t>STANDBY</t>
        </is>
      </c>
      <c r="G17263" s="8" t="n">
        <v>0</v>
      </c>
      <c r="H17263" s="8" t="inlineStr">
        <is>
          <t>CLOSED</t>
        </is>
      </c>
    </row>
    <row r="17264">
      <c r="A17264" s="8" t="inlineStr">
        <is>
          <t>2026-08-03</t>
        </is>
      </c>
      <c r="B17264" s="8" t="n">
        <v>22</v>
      </c>
      <c r="C17264" s="8" t="n">
        <v>31</v>
      </c>
      <c r="D17264" s="8" t="inlineStr">
        <is>
          <t>Disneyland Park</t>
        </is>
      </c>
      <c r="E17264" s="8" t="inlineStr">
        <is>
          <t>Le Carrousel de Lancelot</t>
        </is>
      </c>
      <c r="F17264" s="8" t="inlineStr">
        <is>
          <t>STANDBY</t>
        </is>
      </c>
      <c r="G17264" s="8" t="n">
        <v>0</v>
      </c>
      <c r="H17264" s="8" t="inlineStr">
        <is>
          <t>CLOSED</t>
        </is>
      </c>
    </row>
    <row r="17265">
      <c r="A17265" s="8" t="inlineStr">
        <is>
          <t>2026-08-03</t>
        </is>
      </c>
      <c r="B17265" s="8" t="n">
        <v>22</v>
      </c>
      <c r="C17265" s="8" t="n">
        <v>31</v>
      </c>
      <c r="D17265" s="8" t="inlineStr">
        <is>
          <t>Disneyland Park</t>
        </is>
      </c>
      <c r="E17265" s="8" t="inlineStr">
        <is>
          <t>Le Pays des Contes de Fées, presented by Vittel</t>
        </is>
      </c>
      <c r="F17265" s="8" t="inlineStr">
        <is>
          <t>STANDBY</t>
        </is>
      </c>
      <c r="G17265" s="8" t="n">
        <v>0</v>
      </c>
      <c r="H17265" s="8" t="inlineStr">
        <is>
          <t>CLOSED</t>
        </is>
      </c>
    </row>
    <row r="17266">
      <c r="A17266" s="8" t="inlineStr">
        <is>
          <t>2026-08-03</t>
        </is>
      </c>
      <c r="B17266" s="8" t="n">
        <v>22</v>
      </c>
      <c r="C17266" s="8" t="n">
        <v>31</v>
      </c>
      <c r="D17266" s="8" t="inlineStr">
        <is>
          <t>Disneyland Park</t>
        </is>
      </c>
      <c r="E17266" s="8" t="inlineStr">
        <is>
          <t>Les Voyages de Pinocchio</t>
        </is>
      </c>
      <c r="F17266" s="8" t="inlineStr">
        <is>
          <t>STANDBY</t>
        </is>
      </c>
      <c r="G17266" s="8" t="n">
        <v>0</v>
      </c>
      <c r="H17266" s="8" t="inlineStr">
        <is>
          <t>CLOSED</t>
        </is>
      </c>
    </row>
    <row r="17267">
      <c r="A17267" s="8" t="inlineStr">
        <is>
          <t>2026-08-03</t>
        </is>
      </c>
      <c r="B17267" s="8" t="n">
        <v>22</v>
      </c>
      <c r="C17267" s="8" t="n">
        <v>31</v>
      </c>
      <c r="D17267" s="8" t="inlineStr">
        <is>
          <t>Disneyland Park</t>
        </is>
      </c>
      <c r="E17267" s="8" t="inlineStr">
        <is>
          <t>Mad Hatter's Tea Cups</t>
        </is>
      </c>
      <c r="F17267" s="8" t="inlineStr">
        <is>
          <t>STANDBY</t>
        </is>
      </c>
      <c r="G17267" s="8" t="n">
        <v>0</v>
      </c>
      <c r="H17267" s="8" t="inlineStr">
        <is>
          <t>CLOSED</t>
        </is>
      </c>
    </row>
    <row r="17268">
      <c r="A17268" s="8" t="inlineStr">
        <is>
          <t>2026-08-03</t>
        </is>
      </c>
      <c r="B17268" s="8" t="n">
        <v>22</v>
      </c>
      <c r="C17268" s="8" t="n">
        <v>31</v>
      </c>
      <c r="D17268" s="8" t="inlineStr">
        <is>
          <t>Disneyland Park</t>
        </is>
      </c>
      <c r="E17268" s="8" t="inlineStr">
        <is>
          <t>Meet Mickey Mouse</t>
        </is>
      </c>
      <c r="F17268" s="8" t="inlineStr">
        <is>
          <t>STANDBY</t>
        </is>
      </c>
      <c r="G17268" s="8" t="n">
        <v>0</v>
      </c>
      <c r="H17268" s="8" t="inlineStr">
        <is>
          <t>CLOSED</t>
        </is>
      </c>
    </row>
    <row r="17269">
      <c r="A17269" s="8" t="inlineStr">
        <is>
          <t>2026-08-03</t>
        </is>
      </c>
      <c r="B17269" s="8" t="n">
        <v>22</v>
      </c>
      <c r="C17269" s="8" t="n">
        <v>31</v>
      </c>
      <c r="D17269" s="8" t="inlineStr">
        <is>
          <t>Disneyland Park</t>
        </is>
      </c>
      <c r="E17269" s="8" t="inlineStr">
        <is>
          <t>Peter Pan's Flight</t>
        </is>
      </c>
      <c r="F17269" s="8" t="inlineStr">
        <is>
          <t>STANDBY</t>
        </is>
      </c>
      <c r="G17269" s="8" t="n">
        <v>5</v>
      </c>
      <c r="H17269" s="8" t="inlineStr">
        <is>
          <t>OPERATING</t>
        </is>
      </c>
    </row>
    <row r="17270">
      <c r="A17270" s="8" t="inlineStr">
        <is>
          <t>2026-08-03</t>
        </is>
      </c>
      <c r="B17270" s="8" t="n">
        <v>22</v>
      </c>
      <c r="C17270" s="8" t="n">
        <v>31</v>
      </c>
      <c r="D17270" s="8" t="inlineStr">
        <is>
          <t>Disneyland Park</t>
        </is>
      </c>
      <c r="E17270" s="8" t="inlineStr">
        <is>
          <t>Princess Pavilion</t>
        </is>
      </c>
      <c r="F17270" s="8" t="inlineStr">
        <is>
          <t>STANDBY</t>
        </is>
      </c>
      <c r="G17270" s="8" t="n">
        <v>0</v>
      </c>
      <c r="H17270" s="8" t="inlineStr">
        <is>
          <t>CLOSED</t>
        </is>
      </c>
    </row>
    <row r="17271">
      <c r="A17271" s="8" t="inlineStr">
        <is>
          <t>2026-08-03</t>
        </is>
      </c>
      <c r="B17271" s="8" t="n">
        <v>22</v>
      </c>
      <c r="C17271" s="8" t="n">
        <v>31</v>
      </c>
      <c r="D17271" s="8" t="inlineStr">
        <is>
          <t>Disneyland Park</t>
        </is>
      </c>
      <c r="E17271" s="8" t="inlineStr">
        <is>
          <t>Big Thunder Mountain</t>
        </is>
      </c>
      <c r="F17271" s="8" t="inlineStr">
        <is>
          <t>STANDBY</t>
        </is>
      </c>
      <c r="G17271" s="8" t="n">
        <v>25</v>
      </c>
      <c r="H17271" s="8" t="inlineStr">
        <is>
          <t>OPERATING</t>
        </is>
      </c>
    </row>
    <row r="17272">
      <c r="A17272" s="8" t="inlineStr">
        <is>
          <t>2026-08-03</t>
        </is>
      </c>
      <c r="B17272" s="8" t="n">
        <v>22</v>
      </c>
      <c r="C17272" s="8" t="n">
        <v>31</v>
      </c>
      <c r="D17272" s="8" t="inlineStr">
        <is>
          <t>Disneyland Park</t>
        </is>
      </c>
      <c r="E17272" s="8" t="inlineStr">
        <is>
          <t>Disneyland Railroad Frontierland Depot</t>
        </is>
      </c>
      <c r="F17272" s="8" t="inlineStr">
        <is>
          <t>STANDBY</t>
        </is>
      </c>
      <c r="G17272" s="8" t="n">
        <v>0</v>
      </c>
      <c r="H17272" s="8" t="inlineStr">
        <is>
          <t>CLOSED</t>
        </is>
      </c>
    </row>
    <row r="17273">
      <c r="A17273" s="8" t="inlineStr">
        <is>
          <t>2026-08-03</t>
        </is>
      </c>
      <c r="B17273" s="8" t="n">
        <v>22</v>
      </c>
      <c r="C17273" s="8" t="n">
        <v>31</v>
      </c>
      <c r="D17273" s="8" t="inlineStr">
        <is>
          <t>Disneyland Park</t>
        </is>
      </c>
      <c r="E17273" s="8" t="inlineStr">
        <is>
          <t>Frontierland Playground</t>
        </is>
      </c>
      <c r="F17273" s="8" t="inlineStr">
        <is>
          <t>STANDBY</t>
        </is>
      </c>
      <c r="G17273" s="8" t="n">
        <v>0</v>
      </c>
      <c r="H17273" s="8" t="inlineStr">
        <is>
          <t>CLOSED</t>
        </is>
      </c>
    </row>
    <row r="17274">
      <c r="A17274" s="8" t="inlineStr">
        <is>
          <t>2026-08-03</t>
        </is>
      </c>
      <c r="B17274" s="8" t="n">
        <v>22</v>
      </c>
      <c r="C17274" s="8" t="n">
        <v>31</v>
      </c>
      <c r="D17274" s="8" t="inlineStr">
        <is>
          <t>Disneyland Park</t>
        </is>
      </c>
      <c r="E17274" s="8" t="inlineStr">
        <is>
          <t>Phantom Manor</t>
        </is>
      </c>
      <c r="F17274" s="8" t="inlineStr">
        <is>
          <t>STANDBY</t>
        </is>
      </c>
      <c r="G17274" s="8" t="n">
        <v>5</v>
      </c>
      <c r="H17274" s="8" t="inlineStr">
        <is>
          <t>OPERATING</t>
        </is>
      </c>
    </row>
    <row r="17275">
      <c r="A17275" s="8" t="inlineStr">
        <is>
          <t>2026-08-03</t>
        </is>
      </c>
      <c r="B17275" s="8" t="n">
        <v>22</v>
      </c>
      <c r="C17275" s="8" t="n">
        <v>31</v>
      </c>
      <c r="D17275" s="8" t="inlineStr">
        <is>
          <t>Disneyland Park</t>
        </is>
      </c>
      <c r="E17275" s="8" t="inlineStr">
        <is>
          <t>River Rogue Keelboats</t>
        </is>
      </c>
      <c r="F17275" s="8" t="inlineStr">
        <is>
          <t>STANDBY</t>
        </is>
      </c>
      <c r="G17275" s="8" t="n">
        <v>0</v>
      </c>
      <c r="H17275" s="8" t="inlineStr">
        <is>
          <t>CLOSED</t>
        </is>
      </c>
    </row>
    <row r="17276">
      <c r="A17276" s="8" t="inlineStr">
        <is>
          <t>2026-08-03</t>
        </is>
      </c>
      <c r="B17276" s="8" t="n">
        <v>22</v>
      </c>
      <c r="C17276" s="8" t="n">
        <v>31</v>
      </c>
      <c r="D17276" s="8" t="inlineStr">
        <is>
          <t>Disneyland Park</t>
        </is>
      </c>
      <c r="E17276" s="8" t="inlineStr">
        <is>
          <t>Rustler Roundup Shootin' Gallery</t>
        </is>
      </c>
      <c r="F17276" s="8" t="inlineStr">
        <is>
          <t>STANDBY</t>
        </is>
      </c>
      <c r="G17276" s="8" t="n">
        <v>0</v>
      </c>
      <c r="H17276" s="8" t="inlineStr">
        <is>
          <t>CLOSED</t>
        </is>
      </c>
    </row>
    <row r="17277">
      <c r="A17277" s="8" t="inlineStr">
        <is>
          <t>2026-08-03</t>
        </is>
      </c>
      <c r="B17277" s="8" t="n">
        <v>22</v>
      </c>
      <c r="C17277" s="8" t="n">
        <v>31</v>
      </c>
      <c r="D17277" s="8" t="inlineStr">
        <is>
          <t>Disneyland Park</t>
        </is>
      </c>
      <c r="E17277" s="8" t="inlineStr">
        <is>
          <t>Thunder Mesa Riverboat Landing</t>
        </is>
      </c>
      <c r="F17277" s="8" t="inlineStr">
        <is>
          <t>STANDBY</t>
        </is>
      </c>
      <c r="G17277" s="8" t="n">
        <v>0</v>
      </c>
      <c r="H17277" s="8" t="inlineStr">
        <is>
          <t>CLOSED</t>
        </is>
      </c>
    </row>
    <row r="17278">
      <c r="A17278" s="8" t="inlineStr">
        <is>
          <t>2026-08-03</t>
        </is>
      </c>
      <c r="B17278" s="8" t="n">
        <v>22</v>
      </c>
      <c r="C17278" s="8" t="n">
        <v>31</v>
      </c>
      <c r="D17278" s="8" t="inlineStr">
        <is>
          <t>Disneyland Park</t>
        </is>
      </c>
      <c r="E17278" s="8" t="inlineStr">
        <is>
          <t>Disneyland Railroad Main Street Station</t>
        </is>
      </c>
      <c r="F17278" s="8" t="inlineStr">
        <is>
          <t>STANDBY</t>
        </is>
      </c>
      <c r="G17278" s="8" t="n">
        <v>0</v>
      </c>
      <c r="H17278" s="8" t="inlineStr">
        <is>
          <t>CLOSED</t>
        </is>
      </c>
    </row>
    <row r="17279">
      <c r="A17279" s="8" t="inlineStr">
        <is>
          <t>2026-08-03</t>
        </is>
      </c>
      <c r="B17279" s="8" t="n">
        <v>22</v>
      </c>
      <c r="C17279" s="8" t="n">
        <v>31</v>
      </c>
      <c r="D17279" s="8" t="inlineStr">
        <is>
          <t>Disneyland Park</t>
        </is>
      </c>
      <c r="E17279" s="8" t="inlineStr">
        <is>
          <t>Main Street Vehicles</t>
        </is>
      </c>
      <c r="F17279" s="8" t="inlineStr">
        <is>
          <t>STANDBY</t>
        </is>
      </c>
      <c r="G17279" s="8" t="n">
        <v>0</v>
      </c>
      <c r="H17279" s="8" t="inlineStr">
        <is>
          <t>CLOSED</t>
        </is>
      </c>
    </row>
    <row r="17280">
      <c r="A17280" s="8" t="inlineStr">
        <is>
          <t>2026-08-03</t>
        </is>
      </c>
      <c r="B17280" s="8" t="n">
        <v>22</v>
      </c>
      <c r="C17280" s="8" t="n">
        <v>31</v>
      </c>
      <c r="D17280" s="8" t="inlineStr">
        <is>
          <t>Disney Adventure World</t>
        </is>
      </c>
      <c r="E17280" s="8" t="inlineStr">
        <is>
          <t>Avengers Assemble: Flight Force</t>
        </is>
      </c>
      <c r="F17280" s="8" t="inlineStr">
        <is>
          <t>STANDBY</t>
        </is>
      </c>
      <c r="G17280" s="8" t="n">
        <v>5</v>
      </c>
      <c r="H17280" s="8" t="inlineStr">
        <is>
          <t>OPERATING</t>
        </is>
      </c>
    </row>
    <row r="17281">
      <c r="A17281" s="8" t="inlineStr">
        <is>
          <t>2026-08-03</t>
        </is>
      </c>
      <c r="B17281" s="8" t="n">
        <v>22</v>
      </c>
      <c r="C17281" s="8" t="n">
        <v>31</v>
      </c>
      <c r="D17281" s="8" t="inlineStr">
        <is>
          <t>Disney Adventure World</t>
        </is>
      </c>
      <c r="E17281" s="8" t="inlineStr">
        <is>
          <t>Avengers Assemble: Flight Force Single Rider</t>
        </is>
      </c>
      <c r="F17281" s="8" t="inlineStr">
        <is>
          <t>STANDBY</t>
        </is>
      </c>
      <c r="G17281" s="8" t="n">
        <v>5</v>
      </c>
      <c r="H17281" s="8" t="inlineStr">
        <is>
          <t>OPERATING</t>
        </is>
      </c>
    </row>
    <row r="17282">
      <c r="A17282" s="8" t="inlineStr">
        <is>
          <t>2026-08-03</t>
        </is>
      </c>
      <c r="B17282" s="8" t="n">
        <v>22</v>
      </c>
      <c r="C17282" s="8" t="n">
        <v>31</v>
      </c>
      <c r="D17282" s="8" t="inlineStr">
        <is>
          <t>Disney Adventure World</t>
        </is>
      </c>
      <c r="E17282" s="8" t="inlineStr">
        <is>
          <t>Spider-Man W.E.B. Adventure</t>
        </is>
      </c>
      <c r="F17282" s="8" t="inlineStr">
        <is>
          <t>STANDBY</t>
        </is>
      </c>
      <c r="G17282" s="8" t="n">
        <v>5</v>
      </c>
      <c r="H17282" s="8" t="inlineStr">
        <is>
          <t>OPERATING</t>
        </is>
      </c>
    </row>
    <row r="17283">
      <c r="A17283" s="8" t="inlineStr">
        <is>
          <t>2026-08-03</t>
        </is>
      </c>
      <c r="B17283" s="8" t="n">
        <v>22</v>
      </c>
      <c r="C17283" s="8" t="n">
        <v>31</v>
      </c>
      <c r="D17283" s="8" t="inlineStr">
        <is>
          <t>Disney Adventure World</t>
        </is>
      </c>
      <c r="E17283" s="8" t="inlineStr">
        <is>
          <t>Spider-Man W.E.B. Adventure Single Rider</t>
        </is>
      </c>
      <c r="F17283" s="8" t="inlineStr">
        <is>
          <t>STANDBY</t>
        </is>
      </c>
      <c r="G17283" s="8" t="n">
        <v>5</v>
      </c>
      <c r="H17283" s="8" t="inlineStr">
        <is>
          <t>OPERATING</t>
        </is>
      </c>
    </row>
    <row r="17284">
      <c r="A17284" s="8" t="inlineStr">
        <is>
          <t>2026-08-03</t>
        </is>
      </c>
      <c r="B17284" s="8" t="n">
        <v>22</v>
      </c>
      <c r="C17284" s="8" t="n">
        <v>31</v>
      </c>
      <c r="D17284" s="8" t="inlineStr">
        <is>
          <t>Disney Adventure World</t>
        </is>
      </c>
      <c r="E17284" s="8" t="inlineStr">
        <is>
          <t>The Twilight Zone Tower of Terror</t>
        </is>
      </c>
      <c r="F17284" s="8" t="inlineStr">
        <is>
          <t>STANDBY</t>
        </is>
      </c>
      <c r="G17284" s="8" t="n">
        <v>5</v>
      </c>
      <c r="H17284" s="8" t="inlineStr">
        <is>
          <t>OPERATING</t>
        </is>
      </c>
    </row>
    <row r="17285">
      <c r="A17285" s="8" t="inlineStr">
        <is>
          <t>2026-08-03</t>
        </is>
      </c>
      <c r="B17285" s="8" t="n">
        <v>22</v>
      </c>
      <c r="C17285" s="8" t="n">
        <v>31</v>
      </c>
      <c r="D17285" s="8" t="inlineStr">
        <is>
          <t>Disney Adventure World</t>
        </is>
      </c>
      <c r="E17285" s="8" t="inlineStr">
        <is>
          <t>Cars Quatre Roues Rallye</t>
        </is>
      </c>
      <c r="F17285" s="8" t="inlineStr">
        <is>
          <t>STANDBY</t>
        </is>
      </c>
      <c r="G17285" s="8" t="n">
        <v>5</v>
      </c>
      <c r="H17285" s="8" t="inlineStr">
        <is>
          <t>OPERATING</t>
        </is>
      </c>
    </row>
    <row r="17286">
      <c r="A17286" s="8" t="inlineStr">
        <is>
          <t>2026-08-03</t>
        </is>
      </c>
      <c r="B17286" s="8" t="n">
        <v>22</v>
      </c>
      <c r="C17286" s="8" t="n">
        <v>31</v>
      </c>
      <c r="D17286" s="8" t="inlineStr">
        <is>
          <t>Disney Adventure World</t>
        </is>
      </c>
      <c r="E17286" s="8" t="inlineStr">
        <is>
          <t>Cars ROAD TRIP</t>
        </is>
      </c>
      <c r="F17286" s="8" t="inlineStr">
        <is>
          <t>STANDBY</t>
        </is>
      </c>
      <c r="G17286" s="8" t="n">
        <v>0</v>
      </c>
      <c r="H17286" s="8" t="inlineStr">
        <is>
          <t>CLOSED</t>
        </is>
      </c>
    </row>
    <row r="17287">
      <c r="A17287" s="8" t="inlineStr">
        <is>
          <t>2026-08-03</t>
        </is>
      </c>
      <c r="B17287" s="8" t="n">
        <v>22</v>
      </c>
      <c r="C17287" s="8" t="n">
        <v>31</v>
      </c>
      <c r="D17287" s="8" t="inlineStr">
        <is>
          <t>Disney Adventure World</t>
        </is>
      </c>
      <c r="E17287" s="8" t="inlineStr">
        <is>
          <t>Crush's Coaster</t>
        </is>
      </c>
      <c r="F17287" s="8" t="inlineStr">
        <is>
          <t>STANDBY</t>
        </is>
      </c>
      <c r="G17287" s="8" t="n">
        <v>25</v>
      </c>
      <c r="H17287" s="8" t="inlineStr">
        <is>
          <t>OPERATING</t>
        </is>
      </c>
    </row>
    <row r="17288">
      <c r="A17288" s="8" t="inlineStr">
        <is>
          <t>2026-08-03</t>
        </is>
      </c>
      <c r="B17288" s="8" t="n">
        <v>22</v>
      </c>
      <c r="C17288" s="8" t="n">
        <v>31</v>
      </c>
      <c r="D17288" s="8" t="inlineStr">
        <is>
          <t>Disney Adventure World</t>
        </is>
      </c>
      <c r="E17288" s="8" t="inlineStr">
        <is>
          <t>Crush's Coaster Single Rider</t>
        </is>
      </c>
      <c r="F17288" s="8" t="inlineStr">
        <is>
          <t>STANDBY</t>
        </is>
      </c>
      <c r="G17288" s="8" t="n">
        <v>20</v>
      </c>
      <c r="H17288" s="8" t="inlineStr">
        <is>
          <t>OPERATING</t>
        </is>
      </c>
    </row>
    <row r="17289">
      <c r="A17289" s="8" t="inlineStr">
        <is>
          <t>2026-08-03</t>
        </is>
      </c>
      <c r="B17289" s="8" t="n">
        <v>22</v>
      </c>
      <c r="C17289" s="8" t="n">
        <v>31</v>
      </c>
      <c r="D17289" s="8" t="inlineStr">
        <is>
          <t>Disney Adventure World</t>
        </is>
      </c>
      <c r="E17289" s="8" t="inlineStr">
        <is>
          <t>Les Tapis Volants - Flying Carpets Over Agrabah®</t>
        </is>
      </c>
      <c r="F17289" s="8" t="inlineStr">
        <is>
          <t>STANDBY</t>
        </is>
      </c>
      <c r="G17289" s="8" t="n">
        <v>5</v>
      </c>
      <c r="H17289" s="8" t="inlineStr">
        <is>
          <t>OPERATING</t>
        </is>
      </c>
    </row>
    <row r="17290">
      <c r="A17290" s="8" t="inlineStr">
        <is>
          <t>2026-08-03</t>
        </is>
      </c>
      <c r="B17290" s="8" t="n">
        <v>22</v>
      </c>
      <c r="C17290" s="8" t="n">
        <v>31</v>
      </c>
      <c r="D17290" s="8" t="inlineStr">
        <is>
          <t>Disney Adventure World</t>
        </is>
      </c>
      <c r="E17290" s="8" t="inlineStr">
        <is>
          <t>Ratatouille : L’Aventure Totalement Toquée de Rémy​</t>
        </is>
      </c>
      <c r="F17290" s="8" t="inlineStr">
        <is>
          <t>STANDBY</t>
        </is>
      </c>
      <c r="G17290" s="8" t="n">
        <v>15</v>
      </c>
      <c r="H17290" s="8" t="inlineStr">
        <is>
          <t>OPERATING</t>
        </is>
      </c>
    </row>
    <row r="17291">
      <c r="A17291" s="8" t="inlineStr">
        <is>
          <t>2026-08-03</t>
        </is>
      </c>
      <c r="B17291" s="8" t="n">
        <v>22</v>
      </c>
      <c r="C17291" s="8" t="n">
        <v>31</v>
      </c>
      <c r="D17291" s="8" t="inlineStr">
        <is>
          <t>Disney Adventure World</t>
        </is>
      </c>
      <c r="E17291" s="8" t="inlineStr">
        <is>
          <t>Ratatouille: The Adventure Single Rider</t>
        </is>
      </c>
      <c r="F17291" s="8" t="inlineStr">
        <is>
          <t>STANDBY</t>
        </is>
      </c>
      <c r="G17291" s="8" t="n">
        <v>5</v>
      </c>
      <c r="H17291" s="8" t="inlineStr">
        <is>
          <t>OPERATING</t>
        </is>
      </c>
    </row>
    <row r="17292">
      <c r="A17292" s="8" t="inlineStr">
        <is>
          <t>2026-08-03</t>
        </is>
      </c>
      <c r="B17292" s="8" t="n">
        <v>22</v>
      </c>
      <c r="C17292" s="8" t="n">
        <v>31</v>
      </c>
      <c r="D17292" s="8" t="inlineStr">
        <is>
          <t>Disney Adventure World</t>
        </is>
      </c>
      <c r="E17292" s="8" t="inlineStr">
        <is>
          <t>RC Racer</t>
        </is>
      </c>
      <c r="F17292" s="8" t="inlineStr">
        <is>
          <t>STANDBY</t>
        </is>
      </c>
      <c r="G17292" s="8" t="n">
        <v>15</v>
      </c>
      <c r="H17292" s="8" t="inlineStr">
        <is>
          <t>OPERATING</t>
        </is>
      </c>
    </row>
    <row r="17293">
      <c r="A17293" s="8" t="inlineStr">
        <is>
          <t>2026-08-03</t>
        </is>
      </c>
      <c r="B17293" s="8" t="n">
        <v>22</v>
      </c>
      <c r="C17293" s="8" t="n">
        <v>31</v>
      </c>
      <c r="D17293" s="8" t="inlineStr">
        <is>
          <t>Disney Adventure World</t>
        </is>
      </c>
      <c r="E17293" s="8" t="inlineStr">
        <is>
          <t>RC Racer Single Rider</t>
        </is>
      </c>
      <c r="F17293" s="8" t="inlineStr">
        <is>
          <t>STANDBY</t>
        </is>
      </c>
      <c r="G17293" s="8" t="n">
        <v>10</v>
      </c>
      <c r="H17293" s="8" t="inlineStr">
        <is>
          <t>OPERATING</t>
        </is>
      </c>
    </row>
    <row r="17294">
      <c r="A17294" s="8" t="inlineStr">
        <is>
          <t>2026-08-03</t>
        </is>
      </c>
      <c r="B17294" s="8" t="n">
        <v>22</v>
      </c>
      <c r="C17294" s="8" t="n">
        <v>31</v>
      </c>
      <c r="D17294" s="8" t="inlineStr">
        <is>
          <t>Disney Adventure World</t>
        </is>
      </c>
      <c r="E17294" s="8" t="inlineStr">
        <is>
          <t>Slinky® Dog Zigzag Spin</t>
        </is>
      </c>
      <c r="F17294" s="8" t="inlineStr">
        <is>
          <t>STANDBY</t>
        </is>
      </c>
      <c r="G17294" s="8" t="n">
        <v>5</v>
      </c>
      <c r="H17294" s="8" t="inlineStr">
        <is>
          <t>OPERATING</t>
        </is>
      </c>
    </row>
    <row r="17295">
      <c r="A17295" s="8" t="inlineStr">
        <is>
          <t>2026-08-03</t>
        </is>
      </c>
      <c r="B17295" s="8" t="n">
        <v>22</v>
      </c>
      <c r="C17295" s="8" t="n">
        <v>31</v>
      </c>
      <c r="D17295" s="8" t="inlineStr">
        <is>
          <t>Disney Adventure World</t>
        </is>
      </c>
      <c r="E17295" s="8" t="inlineStr">
        <is>
          <t>Toy Soldiers Parachute Drop</t>
        </is>
      </c>
      <c r="F17295" s="8" t="inlineStr">
        <is>
          <t>STANDBY</t>
        </is>
      </c>
      <c r="G17295" s="8" t="n">
        <v>20</v>
      </c>
      <c r="H17295" s="8" t="inlineStr">
        <is>
          <t>OPERATING</t>
        </is>
      </c>
    </row>
    <row r="17296">
      <c r="A17296" s="8" t="inlineStr">
        <is>
          <t>2026-08-03</t>
        </is>
      </c>
      <c r="B17296" s="8" t="n">
        <v>22</v>
      </c>
      <c r="C17296" s="8" t="n">
        <v>31</v>
      </c>
      <c r="D17296" s="8" t="inlineStr">
        <is>
          <t>Disney Adventure World</t>
        </is>
      </c>
      <c r="E17296" s="8" t="inlineStr">
        <is>
          <t>Toy Soldiers Parachute Drop Single Rider</t>
        </is>
      </c>
      <c r="F17296" s="8" t="inlineStr">
        <is>
          <t>STANDBY</t>
        </is>
      </c>
      <c r="G17296" s="8" t="n">
        <v>10</v>
      </c>
      <c r="H17296" s="8" t="inlineStr">
        <is>
          <t>OPERATING</t>
        </is>
      </c>
    </row>
    <row r="17297">
      <c r="A17297" s="8" t="inlineStr">
        <is>
          <t>2026-08-03</t>
        </is>
      </c>
      <c r="B17297" s="8" t="n">
        <v>22</v>
      </c>
      <c r="C17297" s="8" t="n">
        <v>31</v>
      </c>
      <c r="D17297" s="8" t="inlineStr">
        <is>
          <t>Disney Adventure World</t>
        </is>
      </c>
      <c r="E17297" s="8" t="inlineStr">
        <is>
          <t>Entry to World of Frozen</t>
        </is>
      </c>
      <c r="F17297" s="8" t="inlineStr">
        <is>
          <t>STANDBY</t>
        </is>
      </c>
      <c r="G17297" s="8" t="n">
        <v>0</v>
      </c>
      <c r="H17297" s="8" t="inlineStr">
        <is>
          <t>OPERATING</t>
        </is>
      </c>
    </row>
    <row r="17298">
      <c r="A17298" s="8" t="inlineStr">
        <is>
          <t>2026-08-03</t>
        </is>
      </c>
      <c r="B17298" s="8" t="n">
        <v>22</v>
      </c>
      <c r="C17298" s="8" t="n">
        <v>31</v>
      </c>
      <c r="D17298" s="8" t="inlineStr">
        <is>
          <t>Disney Adventure World</t>
        </is>
      </c>
      <c r="E17298" s="8" t="inlineStr">
        <is>
          <t>Frozen Ever After</t>
        </is>
      </c>
      <c r="F17298" s="8" t="inlineStr">
        <is>
          <t>STANDBY</t>
        </is>
      </c>
      <c r="G17298" s="8" t="n">
        <v>5</v>
      </c>
      <c r="H17298" s="8" t="inlineStr">
        <is>
          <t>OPERATING</t>
        </is>
      </c>
    </row>
    <row r="17299">
      <c r="A17299" s="8" t="inlineStr">
        <is>
          <t>2026-08-03</t>
        </is>
      </c>
      <c r="B17299" s="8" t="n">
        <v>22</v>
      </c>
      <c r="C17299" s="8" t="n">
        <v>31</v>
      </c>
      <c r="D17299" s="8" t="inlineStr">
        <is>
          <t>Disney Adventure World</t>
        </is>
      </c>
      <c r="E17299" s="8" t="inlineStr">
        <is>
          <t>Raiponce Tangled Spin</t>
        </is>
      </c>
      <c r="F17299" s="8" t="inlineStr">
        <is>
          <t>STANDBY</t>
        </is>
      </c>
      <c r="G17299" s="8" t="n">
        <v>5</v>
      </c>
      <c r="H17299" s="8" t="inlineStr">
        <is>
          <t>OPERATING</t>
        </is>
      </c>
    </row>
    <row r="17300">
      <c r="A17300" s="8" t="inlineStr">
        <is>
          <t>2026-08-03</t>
        </is>
      </c>
      <c r="B17300" s="8" t="n">
        <v>22</v>
      </c>
      <c r="C17300" s="8" t="n">
        <v>45</v>
      </c>
      <c r="D17300" s="8" t="inlineStr">
        <is>
          <t>Disneyland Park</t>
        </is>
      </c>
      <c r="E17300" s="8" t="inlineStr">
        <is>
          <t>Adventure Isle</t>
        </is>
      </c>
      <c r="F17300" s="8" t="inlineStr">
        <is>
          <t>STANDBY</t>
        </is>
      </c>
      <c r="G17300" s="8" t="n">
        <v>0</v>
      </c>
      <c r="H17300" s="8" t="inlineStr">
        <is>
          <t>CLOSED</t>
        </is>
      </c>
    </row>
    <row r="17301">
      <c r="A17301" s="8" t="inlineStr">
        <is>
          <t>2026-08-03</t>
        </is>
      </c>
      <c r="B17301" s="8" t="n">
        <v>22</v>
      </c>
      <c r="C17301" s="8" t="n">
        <v>45</v>
      </c>
      <c r="D17301" s="8" t="inlineStr">
        <is>
          <t>Disneyland Park</t>
        </is>
      </c>
      <c r="E17301" s="8" t="inlineStr">
        <is>
          <t>Indiana Jones and the Temple of Peril Single Rider</t>
        </is>
      </c>
      <c r="F17301" s="8" t="inlineStr">
        <is>
          <t>STANDBY</t>
        </is>
      </c>
      <c r="G17301" s="8" t="n">
        <v>0</v>
      </c>
      <c r="H17301" s="8" t="inlineStr">
        <is>
          <t>CLOSED</t>
        </is>
      </c>
    </row>
    <row r="17302">
      <c r="A17302" s="8" t="inlineStr">
        <is>
          <t>2026-08-03</t>
        </is>
      </c>
      <c r="B17302" s="8" t="n">
        <v>22</v>
      </c>
      <c r="C17302" s="8" t="n">
        <v>45</v>
      </c>
      <c r="D17302" s="8" t="inlineStr">
        <is>
          <t>Disneyland Park</t>
        </is>
      </c>
      <c r="E17302" s="8" t="inlineStr">
        <is>
          <t>Indiana Jones™ and the Temple of Peril</t>
        </is>
      </c>
      <c r="F17302" s="8" t="inlineStr">
        <is>
          <t>STANDBY</t>
        </is>
      </c>
      <c r="G17302" s="8" t="n">
        <v>0</v>
      </c>
      <c r="H17302" s="8" t="inlineStr">
        <is>
          <t>CLOSED</t>
        </is>
      </c>
    </row>
    <row r="17303">
      <c r="A17303" s="8" t="inlineStr">
        <is>
          <t>2026-08-03</t>
        </is>
      </c>
      <c r="B17303" s="8" t="n">
        <v>22</v>
      </c>
      <c r="C17303" s="8" t="n">
        <v>45</v>
      </c>
      <c r="D17303" s="8" t="inlineStr">
        <is>
          <t>Disneyland Park</t>
        </is>
      </c>
      <c r="E17303" s="8" t="inlineStr">
        <is>
          <t>La Cabane des Robinson</t>
        </is>
      </c>
      <c r="F17303" s="8" t="inlineStr">
        <is>
          <t>STANDBY</t>
        </is>
      </c>
      <c r="G17303" s="8" t="n">
        <v>0</v>
      </c>
      <c r="H17303" s="8" t="inlineStr">
        <is>
          <t>CLOSED</t>
        </is>
      </c>
    </row>
    <row r="17304">
      <c r="A17304" s="8" t="inlineStr">
        <is>
          <t>2026-08-03</t>
        </is>
      </c>
      <c r="B17304" s="8" t="n">
        <v>22</v>
      </c>
      <c r="C17304" s="8" t="n">
        <v>45</v>
      </c>
      <c r="D17304" s="8" t="inlineStr">
        <is>
          <t>Disneyland Park</t>
        </is>
      </c>
      <c r="E17304" s="8" t="inlineStr">
        <is>
          <t>Le Passage Enchanté d'Aladdin</t>
        </is>
      </c>
      <c r="F17304" s="8" t="inlineStr">
        <is>
          <t>STANDBY</t>
        </is>
      </c>
      <c r="G17304" s="8" t="n">
        <v>0</v>
      </c>
      <c r="H17304" s="8" t="inlineStr">
        <is>
          <t>CLOSED</t>
        </is>
      </c>
    </row>
    <row r="17305">
      <c r="A17305" s="8" t="inlineStr">
        <is>
          <t>2026-08-03</t>
        </is>
      </c>
      <c r="B17305" s="8" t="n">
        <v>22</v>
      </c>
      <c r="C17305" s="8" t="n">
        <v>45</v>
      </c>
      <c r="D17305" s="8" t="inlineStr">
        <is>
          <t>Disneyland Park</t>
        </is>
      </c>
      <c r="E17305" s="8" t="inlineStr">
        <is>
          <t>Pirate Galleon</t>
        </is>
      </c>
      <c r="F17305" s="8" t="inlineStr">
        <is>
          <t>STANDBY</t>
        </is>
      </c>
      <c r="G17305" s="8" t="n">
        <v>0</v>
      </c>
      <c r="H17305" s="8" t="inlineStr">
        <is>
          <t>CLOSED</t>
        </is>
      </c>
    </row>
    <row r="17306">
      <c r="A17306" s="8" t="inlineStr">
        <is>
          <t>2026-08-03</t>
        </is>
      </c>
      <c r="B17306" s="8" t="n">
        <v>22</v>
      </c>
      <c r="C17306" s="8" t="n">
        <v>45</v>
      </c>
      <c r="D17306" s="8" t="inlineStr">
        <is>
          <t>Disneyland Park</t>
        </is>
      </c>
      <c r="E17306" s="8" t="inlineStr">
        <is>
          <t>Pirates of the Caribbean</t>
        </is>
      </c>
      <c r="F17306" s="8" t="inlineStr">
        <is>
          <t>STANDBY</t>
        </is>
      </c>
      <c r="G17306" s="8" t="n">
        <v>0</v>
      </c>
      <c r="H17306" s="8" t="inlineStr">
        <is>
          <t>CLOSED</t>
        </is>
      </c>
    </row>
    <row r="17307">
      <c r="A17307" s="8" t="inlineStr">
        <is>
          <t>2026-08-03</t>
        </is>
      </c>
      <c r="B17307" s="8" t="n">
        <v>22</v>
      </c>
      <c r="C17307" s="8" t="n">
        <v>45</v>
      </c>
      <c r="D17307" s="8" t="inlineStr">
        <is>
          <t>Disneyland Park</t>
        </is>
      </c>
      <c r="E17307" s="8" t="inlineStr">
        <is>
          <t>Pirates' Beach</t>
        </is>
      </c>
      <c r="F17307" s="8" t="inlineStr">
        <is>
          <t>STANDBY</t>
        </is>
      </c>
      <c r="G17307" s="8" t="n">
        <v>0</v>
      </c>
      <c r="H17307" s="8" t="inlineStr">
        <is>
          <t>CLOSED</t>
        </is>
      </c>
    </row>
    <row r="17308">
      <c r="A17308" s="8" t="inlineStr">
        <is>
          <t>2026-08-03</t>
        </is>
      </c>
      <c r="B17308" s="8" t="n">
        <v>22</v>
      </c>
      <c r="C17308" s="8" t="n">
        <v>45</v>
      </c>
      <c r="D17308" s="8" t="inlineStr">
        <is>
          <t>Disneyland Park</t>
        </is>
      </c>
      <c r="E17308" s="8" t="inlineStr">
        <is>
          <t>Autopia, presented by Avis</t>
        </is>
      </c>
      <c r="F17308" s="8" t="inlineStr">
        <is>
          <t>STANDBY</t>
        </is>
      </c>
      <c r="G17308" s="8" t="n">
        <v>0</v>
      </c>
      <c r="H17308" s="8" t="inlineStr">
        <is>
          <t>CLOSED</t>
        </is>
      </c>
    </row>
    <row r="17309">
      <c r="A17309" s="8" t="inlineStr">
        <is>
          <t>2026-08-03</t>
        </is>
      </c>
      <c r="B17309" s="8" t="n">
        <v>22</v>
      </c>
      <c r="C17309" s="8" t="n">
        <v>45</v>
      </c>
      <c r="D17309" s="8" t="inlineStr">
        <is>
          <t>Disneyland Park</t>
        </is>
      </c>
      <c r="E17309" s="8" t="inlineStr">
        <is>
          <t>Buzz Lightyear Laser Blast</t>
        </is>
      </c>
      <c r="F17309" s="8" t="inlineStr">
        <is>
          <t>STANDBY</t>
        </is>
      </c>
      <c r="G17309" s="8" t="n">
        <v>0</v>
      </c>
      <c r="H17309" s="8" t="inlineStr">
        <is>
          <t>CLOSED</t>
        </is>
      </c>
    </row>
    <row r="17310">
      <c r="A17310" s="8" t="inlineStr">
        <is>
          <t>2026-08-03</t>
        </is>
      </c>
      <c r="B17310" s="8" t="n">
        <v>22</v>
      </c>
      <c r="C17310" s="8" t="n">
        <v>45</v>
      </c>
      <c r="D17310" s="8" t="inlineStr">
        <is>
          <t>Disneyland Park</t>
        </is>
      </c>
      <c r="E17310" s="8" t="inlineStr">
        <is>
          <t>Disneyland Railroad Discoveryland Station</t>
        </is>
      </c>
      <c r="F17310" s="8" t="inlineStr">
        <is>
          <t>STANDBY</t>
        </is>
      </c>
      <c r="G17310" s="8" t="n">
        <v>0</v>
      </c>
      <c r="H17310" s="8" t="inlineStr">
        <is>
          <t>CLOSED</t>
        </is>
      </c>
    </row>
    <row r="17311">
      <c r="A17311" s="8" t="inlineStr">
        <is>
          <t>2026-08-03</t>
        </is>
      </c>
      <c r="B17311" s="8" t="n">
        <v>22</v>
      </c>
      <c r="C17311" s="8" t="n">
        <v>45</v>
      </c>
      <c r="D17311" s="8" t="inlineStr">
        <is>
          <t>Disneyland Park</t>
        </is>
      </c>
      <c r="E17311" s="8" t="inlineStr">
        <is>
          <t>Les Mystères du Nautilus</t>
        </is>
      </c>
      <c r="F17311" s="8" t="inlineStr">
        <is>
          <t>STANDBY</t>
        </is>
      </c>
      <c r="G17311" s="8" t="n">
        <v>0</v>
      </c>
      <c r="H17311" s="8" t="inlineStr">
        <is>
          <t>CLOSED</t>
        </is>
      </c>
    </row>
    <row r="17312">
      <c r="A17312" s="8" t="inlineStr">
        <is>
          <t>2026-08-03</t>
        </is>
      </c>
      <c r="B17312" s="8" t="n">
        <v>22</v>
      </c>
      <c r="C17312" s="8" t="n">
        <v>45</v>
      </c>
      <c r="D17312" s="8" t="inlineStr">
        <is>
          <t>Disneyland Park</t>
        </is>
      </c>
      <c r="E17312" s="8" t="inlineStr">
        <is>
          <t>Mickey’s PhilharMagic</t>
        </is>
      </c>
      <c r="F17312" s="8" t="inlineStr">
        <is>
          <t>STANDBY</t>
        </is>
      </c>
      <c r="G17312" s="8" t="n">
        <v>0</v>
      </c>
      <c r="H17312" s="8" t="inlineStr">
        <is>
          <t>CLOSED</t>
        </is>
      </c>
    </row>
    <row r="17313">
      <c r="A17313" s="8" t="inlineStr">
        <is>
          <t>2026-08-03</t>
        </is>
      </c>
      <c r="B17313" s="8" t="n">
        <v>22</v>
      </c>
      <c r="C17313" s="8" t="n">
        <v>45</v>
      </c>
      <c r="D17313" s="8" t="inlineStr">
        <is>
          <t>Disneyland Park</t>
        </is>
      </c>
      <c r="E17313" s="8" t="inlineStr">
        <is>
          <t>Orbitron®</t>
        </is>
      </c>
      <c r="F17313" s="8" t="inlineStr">
        <is>
          <t>STANDBY</t>
        </is>
      </c>
      <c r="G17313" s="8" t="n">
        <v>0</v>
      </c>
      <c r="H17313" s="8" t="inlineStr">
        <is>
          <t>CLOSED</t>
        </is>
      </c>
    </row>
    <row r="17314">
      <c r="A17314" s="8" t="inlineStr">
        <is>
          <t>2026-08-03</t>
        </is>
      </c>
      <c r="B17314" s="8" t="n">
        <v>22</v>
      </c>
      <c r="C17314" s="8" t="n">
        <v>45</v>
      </c>
      <c r="D17314" s="8" t="inlineStr">
        <is>
          <t>Disneyland Park</t>
        </is>
      </c>
      <c r="E17314" s="8" t="inlineStr">
        <is>
          <t>Star Tours: The Adventures Continue*</t>
        </is>
      </c>
      <c r="F17314" s="8" t="inlineStr">
        <is>
          <t>STANDBY</t>
        </is>
      </c>
      <c r="G17314" s="8" t="n">
        <v>0</v>
      </c>
      <c r="H17314" s="8" t="inlineStr">
        <is>
          <t>CLOSED</t>
        </is>
      </c>
    </row>
    <row r="17315">
      <c r="A17315" s="8" t="inlineStr">
        <is>
          <t>2026-08-03</t>
        </is>
      </c>
      <c r="B17315" s="8" t="n">
        <v>22</v>
      </c>
      <c r="C17315" s="8" t="n">
        <v>45</v>
      </c>
      <c r="D17315" s="8" t="inlineStr">
        <is>
          <t>Disneyland Park</t>
        </is>
      </c>
      <c r="E17315" s="8" t="inlineStr">
        <is>
          <t>Star Wars Hyperspace Mountain</t>
        </is>
      </c>
      <c r="F17315" s="8" t="inlineStr">
        <is>
          <t>STANDBY</t>
        </is>
      </c>
      <c r="G17315" s="8" t="n">
        <v>0</v>
      </c>
      <c r="H17315" s="8" t="inlineStr">
        <is>
          <t>CLOSED</t>
        </is>
      </c>
    </row>
    <row r="17316">
      <c r="A17316" s="8" t="inlineStr">
        <is>
          <t>2026-08-03</t>
        </is>
      </c>
      <c r="B17316" s="8" t="n">
        <v>22</v>
      </c>
      <c r="C17316" s="8" t="n">
        <v>45</v>
      </c>
      <c r="D17316" s="8" t="inlineStr">
        <is>
          <t>Disneyland Park</t>
        </is>
      </c>
      <c r="E17316" s="8" t="inlineStr">
        <is>
          <t>Star Wars Hyperspace Mountain Single Rider</t>
        </is>
      </c>
      <c r="F17316" s="8" t="inlineStr">
        <is>
          <t>STANDBY</t>
        </is>
      </c>
      <c r="G17316" s="8" t="n">
        <v>0</v>
      </c>
      <c r="H17316" s="8" t="inlineStr">
        <is>
          <t>CLOSED</t>
        </is>
      </c>
    </row>
    <row r="17317">
      <c r="A17317" s="8" t="inlineStr">
        <is>
          <t>2026-08-03</t>
        </is>
      </c>
      <c r="B17317" s="8" t="n">
        <v>22</v>
      </c>
      <c r="C17317" s="8" t="n">
        <v>45</v>
      </c>
      <c r="D17317" s="8" t="inlineStr">
        <is>
          <t>Disneyland Park</t>
        </is>
      </c>
      <c r="E17317" s="8" t="inlineStr">
        <is>
          <t>Welcome to Starport: A Star Wars Encounter</t>
        </is>
      </c>
      <c r="F17317" s="8" t="inlineStr">
        <is>
          <t>STANDBY</t>
        </is>
      </c>
      <c r="G17317" s="8" t="n">
        <v>0</v>
      </c>
      <c r="H17317" s="8" t="inlineStr">
        <is>
          <t>CLOSED</t>
        </is>
      </c>
    </row>
    <row r="17318">
      <c r="A17318" s="8" t="inlineStr">
        <is>
          <t>2026-08-03</t>
        </is>
      </c>
      <c r="B17318" s="8" t="n">
        <v>22</v>
      </c>
      <c r="C17318" s="8" t="n">
        <v>45</v>
      </c>
      <c r="D17318" s="8" t="inlineStr">
        <is>
          <t>Disneyland Park</t>
        </is>
      </c>
      <c r="E17318" s="8" t="inlineStr">
        <is>
          <t>"it's a small world"</t>
        </is>
      </c>
      <c r="F17318" s="8" t="inlineStr">
        <is>
          <t>STANDBY</t>
        </is>
      </c>
      <c r="G17318" s="8" t="n">
        <v>0</v>
      </c>
      <c r="H17318" s="8" t="inlineStr">
        <is>
          <t>CLOSED</t>
        </is>
      </c>
    </row>
    <row r="17319">
      <c r="A17319" s="8" t="inlineStr">
        <is>
          <t>2026-08-03</t>
        </is>
      </c>
      <c r="B17319" s="8" t="n">
        <v>22</v>
      </c>
      <c r="C17319" s="8" t="n">
        <v>45</v>
      </c>
      <c r="D17319" s="8" t="inlineStr">
        <is>
          <t>Disneyland Park</t>
        </is>
      </c>
      <c r="E17319" s="8" t="inlineStr">
        <is>
          <t>Alice's Curious Labyrinth</t>
        </is>
      </c>
      <c r="F17319" s="8" t="inlineStr">
        <is>
          <t>STANDBY</t>
        </is>
      </c>
      <c r="G17319" s="8" t="n">
        <v>0</v>
      </c>
      <c r="H17319" s="8" t="inlineStr">
        <is>
          <t>CLOSED</t>
        </is>
      </c>
    </row>
    <row r="17320">
      <c r="A17320" s="8" t="inlineStr">
        <is>
          <t>2026-08-03</t>
        </is>
      </c>
      <c r="B17320" s="8" t="n">
        <v>22</v>
      </c>
      <c r="C17320" s="8" t="n">
        <v>45</v>
      </c>
      <c r="D17320" s="8" t="inlineStr">
        <is>
          <t>Disneyland Park</t>
        </is>
      </c>
      <c r="E17320" s="8" t="inlineStr">
        <is>
          <t>Blanche-Neige et les Sept Nains®</t>
        </is>
      </c>
      <c r="F17320" s="8" t="inlineStr">
        <is>
          <t>STANDBY</t>
        </is>
      </c>
      <c r="G17320" s="8" t="n">
        <v>0</v>
      </c>
      <c r="H17320" s="8" t="inlineStr">
        <is>
          <t>CLOSED</t>
        </is>
      </c>
    </row>
    <row r="17321">
      <c r="A17321" s="8" t="inlineStr">
        <is>
          <t>2026-08-03</t>
        </is>
      </c>
      <c r="B17321" s="8" t="n">
        <v>22</v>
      </c>
      <c r="C17321" s="8" t="n">
        <v>45</v>
      </c>
      <c r="D17321" s="8" t="inlineStr">
        <is>
          <t>Disneyland Park</t>
        </is>
      </c>
      <c r="E17321" s="8" t="inlineStr">
        <is>
          <t>Casey Jr. – le Petit Train du Cirque</t>
        </is>
      </c>
      <c r="F17321" s="8" t="inlineStr">
        <is>
          <t>STANDBY</t>
        </is>
      </c>
      <c r="G17321" s="8" t="n">
        <v>0</v>
      </c>
      <c r="H17321" s="8" t="inlineStr">
        <is>
          <t>CLOSED</t>
        </is>
      </c>
    </row>
    <row r="17322">
      <c r="A17322" s="8" t="inlineStr">
        <is>
          <t>2026-08-03</t>
        </is>
      </c>
      <c r="B17322" s="8" t="n">
        <v>22</v>
      </c>
      <c r="C17322" s="8" t="n">
        <v>45</v>
      </c>
      <c r="D17322" s="8" t="inlineStr">
        <is>
          <t>Disneyland Park</t>
        </is>
      </c>
      <c r="E17322" s="8" t="inlineStr">
        <is>
          <t>Disneyland Railroad Fantasyland Station</t>
        </is>
      </c>
      <c r="F17322" s="8" t="inlineStr">
        <is>
          <t>STANDBY</t>
        </is>
      </c>
      <c r="G17322" s="8" t="n">
        <v>0</v>
      </c>
      <c r="H17322" s="8" t="inlineStr">
        <is>
          <t>CLOSED</t>
        </is>
      </c>
    </row>
    <row r="17323">
      <c r="A17323" s="8" t="inlineStr">
        <is>
          <t>2026-08-03</t>
        </is>
      </c>
      <c r="B17323" s="8" t="n">
        <v>22</v>
      </c>
      <c r="C17323" s="8" t="n">
        <v>45</v>
      </c>
      <c r="D17323" s="8" t="inlineStr">
        <is>
          <t>Disneyland Park</t>
        </is>
      </c>
      <c r="E17323" s="8" t="inlineStr">
        <is>
          <t>Disneyland Railroad Main Street Station</t>
        </is>
      </c>
      <c r="F17323" s="8" t="inlineStr">
        <is>
          <t>STANDBY</t>
        </is>
      </c>
      <c r="G17323" s="8" t="n">
        <v>0</v>
      </c>
      <c r="H17323" s="8" t="inlineStr">
        <is>
          <t>CLOSED</t>
        </is>
      </c>
    </row>
    <row r="17324">
      <c r="A17324" s="8" t="inlineStr">
        <is>
          <t>2026-08-03</t>
        </is>
      </c>
      <c r="B17324" s="8" t="n">
        <v>22</v>
      </c>
      <c r="C17324" s="8" t="n">
        <v>45</v>
      </c>
      <c r="D17324" s="8" t="inlineStr">
        <is>
          <t>Disneyland Park</t>
        </is>
      </c>
      <c r="E17324" s="8" t="inlineStr">
        <is>
          <t>Dumbo the Flying Elephant</t>
        </is>
      </c>
      <c r="F17324" s="8" t="inlineStr">
        <is>
          <t>STANDBY</t>
        </is>
      </c>
      <c r="G17324" s="8" t="n">
        <v>0</v>
      </c>
      <c r="H17324" s="8" t="inlineStr">
        <is>
          <t>CLOSED</t>
        </is>
      </c>
    </row>
    <row r="17325">
      <c r="A17325" s="8" t="inlineStr">
        <is>
          <t>2026-08-03</t>
        </is>
      </c>
      <c r="B17325" s="8" t="n">
        <v>22</v>
      </c>
      <c r="C17325" s="8" t="n">
        <v>45</v>
      </c>
      <c r="D17325" s="8" t="inlineStr">
        <is>
          <t>Disneyland Park</t>
        </is>
      </c>
      <c r="E17325" s="8" t="inlineStr">
        <is>
          <t>La Tanière du Dragon</t>
        </is>
      </c>
      <c r="F17325" s="8" t="inlineStr">
        <is>
          <t>STANDBY</t>
        </is>
      </c>
      <c r="G17325" s="8" t="n">
        <v>0</v>
      </c>
      <c r="H17325" s="8" t="inlineStr">
        <is>
          <t>CLOSED</t>
        </is>
      </c>
    </row>
    <row r="17326">
      <c r="A17326" s="8" t="inlineStr">
        <is>
          <t>2026-08-03</t>
        </is>
      </c>
      <c r="B17326" s="8" t="n">
        <v>22</v>
      </c>
      <c r="C17326" s="8" t="n">
        <v>45</v>
      </c>
      <c r="D17326" s="8" t="inlineStr">
        <is>
          <t>Disneyland Park</t>
        </is>
      </c>
      <c r="E17326" s="8" t="inlineStr">
        <is>
          <t>Le Carrousel de Lancelot</t>
        </is>
      </c>
      <c r="F17326" s="8" t="inlineStr">
        <is>
          <t>STANDBY</t>
        </is>
      </c>
      <c r="G17326" s="8" t="n">
        <v>0</v>
      </c>
      <c r="H17326" s="8" t="inlineStr">
        <is>
          <t>CLOSED</t>
        </is>
      </c>
    </row>
    <row r="17327">
      <c r="A17327" s="8" t="inlineStr">
        <is>
          <t>2026-08-03</t>
        </is>
      </c>
      <c r="B17327" s="8" t="n">
        <v>22</v>
      </c>
      <c r="C17327" s="8" t="n">
        <v>45</v>
      </c>
      <c r="D17327" s="8" t="inlineStr">
        <is>
          <t>Disneyland Park</t>
        </is>
      </c>
      <c r="E17327" s="8" t="inlineStr">
        <is>
          <t>Le Pays des Contes de Fées, presented by Vittel</t>
        </is>
      </c>
      <c r="F17327" s="8" t="inlineStr">
        <is>
          <t>STANDBY</t>
        </is>
      </c>
      <c r="G17327" s="8" t="n">
        <v>0</v>
      </c>
      <c r="H17327" s="8" t="inlineStr">
        <is>
          <t>CLOSED</t>
        </is>
      </c>
    </row>
    <row r="17328">
      <c r="A17328" s="8" t="inlineStr">
        <is>
          <t>2026-08-03</t>
        </is>
      </c>
      <c r="B17328" s="8" t="n">
        <v>22</v>
      </c>
      <c r="C17328" s="8" t="n">
        <v>45</v>
      </c>
      <c r="D17328" s="8" t="inlineStr">
        <is>
          <t>Disneyland Park</t>
        </is>
      </c>
      <c r="E17328" s="8" t="inlineStr">
        <is>
          <t>Les Voyages de Pinocchio</t>
        </is>
      </c>
      <c r="F17328" s="8" t="inlineStr">
        <is>
          <t>STANDBY</t>
        </is>
      </c>
      <c r="G17328" s="8" t="n">
        <v>0</v>
      </c>
      <c r="H17328" s="8" t="inlineStr">
        <is>
          <t>CLOSED</t>
        </is>
      </c>
    </row>
    <row r="17329">
      <c r="A17329" s="8" t="inlineStr">
        <is>
          <t>2026-08-03</t>
        </is>
      </c>
      <c r="B17329" s="8" t="n">
        <v>22</v>
      </c>
      <c r="C17329" s="8" t="n">
        <v>45</v>
      </c>
      <c r="D17329" s="8" t="inlineStr">
        <is>
          <t>Disneyland Park</t>
        </is>
      </c>
      <c r="E17329" s="8" t="inlineStr">
        <is>
          <t>Mad Hatter's Tea Cups</t>
        </is>
      </c>
      <c r="F17329" s="8" t="inlineStr">
        <is>
          <t>STANDBY</t>
        </is>
      </c>
      <c r="G17329" s="8" t="n">
        <v>0</v>
      </c>
      <c r="H17329" s="8" t="inlineStr">
        <is>
          <t>CLOSED</t>
        </is>
      </c>
    </row>
    <row r="17330">
      <c r="A17330" s="8" t="inlineStr">
        <is>
          <t>2026-08-03</t>
        </is>
      </c>
      <c r="B17330" s="8" t="n">
        <v>22</v>
      </c>
      <c r="C17330" s="8" t="n">
        <v>45</v>
      </c>
      <c r="D17330" s="8" t="inlineStr">
        <is>
          <t>Disneyland Park</t>
        </is>
      </c>
      <c r="E17330" s="8" t="inlineStr">
        <is>
          <t>Meet Mickey Mouse</t>
        </is>
      </c>
      <c r="F17330" s="8" t="inlineStr">
        <is>
          <t>STANDBY</t>
        </is>
      </c>
      <c r="G17330" s="8" t="n">
        <v>0</v>
      </c>
      <c r="H17330" s="8" t="inlineStr">
        <is>
          <t>CLOSED</t>
        </is>
      </c>
    </row>
    <row r="17331">
      <c r="A17331" s="8" t="inlineStr">
        <is>
          <t>2026-08-03</t>
        </is>
      </c>
      <c r="B17331" s="8" t="n">
        <v>22</v>
      </c>
      <c r="C17331" s="8" t="n">
        <v>45</v>
      </c>
      <c r="D17331" s="8" t="inlineStr">
        <is>
          <t>Disneyland Park</t>
        </is>
      </c>
      <c r="E17331" s="8" t="inlineStr">
        <is>
          <t>Peter Pan's Flight</t>
        </is>
      </c>
      <c r="F17331" s="8" t="inlineStr">
        <is>
          <t>STANDBY</t>
        </is>
      </c>
      <c r="G17331" s="8" t="n">
        <v>0</v>
      </c>
      <c r="H17331" s="8" t="inlineStr">
        <is>
          <t>CLOSED</t>
        </is>
      </c>
    </row>
    <row r="17332">
      <c r="A17332" s="8" t="inlineStr">
        <is>
          <t>2026-08-03</t>
        </is>
      </c>
      <c r="B17332" s="8" t="n">
        <v>22</v>
      </c>
      <c r="C17332" s="8" t="n">
        <v>45</v>
      </c>
      <c r="D17332" s="8" t="inlineStr">
        <is>
          <t>Disneyland Park</t>
        </is>
      </c>
      <c r="E17332" s="8" t="inlineStr">
        <is>
          <t>Princess Pavilion</t>
        </is>
      </c>
      <c r="F17332" s="8" t="inlineStr">
        <is>
          <t>STANDBY</t>
        </is>
      </c>
      <c r="G17332" s="8" t="n">
        <v>0</v>
      </c>
      <c r="H17332" s="8" t="inlineStr">
        <is>
          <t>CLOSED</t>
        </is>
      </c>
    </row>
    <row r="17333">
      <c r="A17333" s="8" t="inlineStr">
        <is>
          <t>2026-08-03</t>
        </is>
      </c>
      <c r="B17333" s="8" t="n">
        <v>22</v>
      </c>
      <c r="C17333" s="8" t="n">
        <v>45</v>
      </c>
      <c r="D17333" s="8" t="inlineStr">
        <is>
          <t>Disneyland Park</t>
        </is>
      </c>
      <c r="E17333" s="8" t="inlineStr">
        <is>
          <t>Big Thunder Mountain</t>
        </is>
      </c>
      <c r="F17333" s="8" t="inlineStr">
        <is>
          <t>STANDBY</t>
        </is>
      </c>
      <c r="G17333" s="8" t="n">
        <v>0</v>
      </c>
      <c r="H17333" s="8" t="inlineStr">
        <is>
          <t>CLOSED</t>
        </is>
      </c>
    </row>
    <row r="17334">
      <c r="A17334" s="8" t="inlineStr">
        <is>
          <t>2026-08-03</t>
        </is>
      </c>
      <c r="B17334" s="8" t="n">
        <v>22</v>
      </c>
      <c r="C17334" s="8" t="n">
        <v>45</v>
      </c>
      <c r="D17334" s="8" t="inlineStr">
        <is>
          <t>Disneyland Park</t>
        </is>
      </c>
      <c r="E17334" s="8" t="inlineStr">
        <is>
          <t>Disneyland Railroad Frontierland Depot</t>
        </is>
      </c>
      <c r="F17334" s="8" t="inlineStr">
        <is>
          <t>STANDBY</t>
        </is>
      </c>
      <c r="G17334" s="8" t="n">
        <v>0</v>
      </c>
      <c r="H17334" s="8" t="inlineStr">
        <is>
          <t>CLOSED</t>
        </is>
      </c>
    </row>
    <row r="17335">
      <c r="A17335" s="8" t="inlineStr">
        <is>
          <t>2026-08-03</t>
        </is>
      </c>
      <c r="B17335" s="8" t="n">
        <v>22</v>
      </c>
      <c r="C17335" s="8" t="n">
        <v>45</v>
      </c>
      <c r="D17335" s="8" t="inlineStr">
        <is>
          <t>Disneyland Park</t>
        </is>
      </c>
      <c r="E17335" s="8" t="inlineStr">
        <is>
          <t>Frontierland Playground</t>
        </is>
      </c>
      <c r="F17335" s="8" t="inlineStr">
        <is>
          <t>STANDBY</t>
        </is>
      </c>
      <c r="G17335" s="8" t="n">
        <v>0</v>
      </c>
      <c r="H17335" s="8" t="inlineStr">
        <is>
          <t>CLOSED</t>
        </is>
      </c>
    </row>
    <row r="17336">
      <c r="A17336" s="8" t="inlineStr">
        <is>
          <t>2026-08-03</t>
        </is>
      </c>
      <c r="B17336" s="8" t="n">
        <v>22</v>
      </c>
      <c r="C17336" s="8" t="n">
        <v>45</v>
      </c>
      <c r="D17336" s="8" t="inlineStr">
        <is>
          <t>Disneyland Park</t>
        </is>
      </c>
      <c r="E17336" s="8" t="inlineStr">
        <is>
          <t>Phantom Manor</t>
        </is>
      </c>
      <c r="F17336" s="8" t="inlineStr">
        <is>
          <t>STANDBY</t>
        </is>
      </c>
      <c r="G17336" s="8" t="n">
        <v>0</v>
      </c>
      <c r="H17336" s="8" t="inlineStr">
        <is>
          <t>CLOSED</t>
        </is>
      </c>
    </row>
    <row r="17337">
      <c r="A17337" s="8" t="inlineStr">
        <is>
          <t>2026-08-03</t>
        </is>
      </c>
      <c r="B17337" s="8" t="n">
        <v>22</v>
      </c>
      <c r="C17337" s="8" t="n">
        <v>45</v>
      </c>
      <c r="D17337" s="8" t="inlineStr">
        <is>
          <t>Disneyland Park</t>
        </is>
      </c>
      <c r="E17337" s="8" t="inlineStr">
        <is>
          <t>River Rogue Keelboats</t>
        </is>
      </c>
      <c r="F17337" s="8" t="inlineStr">
        <is>
          <t>STANDBY</t>
        </is>
      </c>
      <c r="G17337" s="8" t="n">
        <v>0</v>
      </c>
      <c r="H17337" s="8" t="inlineStr">
        <is>
          <t>CLOSED</t>
        </is>
      </c>
    </row>
    <row r="17338">
      <c r="A17338" s="8" t="inlineStr">
        <is>
          <t>2026-08-03</t>
        </is>
      </c>
      <c r="B17338" s="8" t="n">
        <v>22</v>
      </c>
      <c r="C17338" s="8" t="n">
        <v>45</v>
      </c>
      <c r="D17338" s="8" t="inlineStr">
        <is>
          <t>Disneyland Park</t>
        </is>
      </c>
      <c r="E17338" s="8" t="inlineStr">
        <is>
          <t>Rustler Roundup Shootin' Gallery</t>
        </is>
      </c>
      <c r="F17338" s="8" t="inlineStr">
        <is>
          <t>STANDBY</t>
        </is>
      </c>
      <c r="G17338" s="8" t="n">
        <v>0</v>
      </c>
      <c r="H17338" s="8" t="inlineStr">
        <is>
          <t>CLOSED</t>
        </is>
      </c>
    </row>
    <row r="17339">
      <c r="A17339" s="8" t="inlineStr">
        <is>
          <t>2026-08-03</t>
        </is>
      </c>
      <c r="B17339" s="8" t="n">
        <v>22</v>
      </c>
      <c r="C17339" s="8" t="n">
        <v>45</v>
      </c>
      <c r="D17339" s="8" t="inlineStr">
        <is>
          <t>Disneyland Park</t>
        </is>
      </c>
      <c r="E17339" s="8" t="inlineStr">
        <is>
          <t>Thunder Mesa Riverboat Landing</t>
        </is>
      </c>
      <c r="F17339" s="8" t="inlineStr">
        <is>
          <t>STANDBY</t>
        </is>
      </c>
      <c r="G17339" s="8" t="n">
        <v>0</v>
      </c>
      <c r="H17339" s="8" t="inlineStr">
        <is>
          <t>CLOSED</t>
        </is>
      </c>
    </row>
    <row r="17340">
      <c r="A17340" s="8" t="inlineStr">
        <is>
          <t>2026-08-03</t>
        </is>
      </c>
      <c r="B17340" s="8" t="n">
        <v>22</v>
      </c>
      <c r="C17340" s="8" t="n">
        <v>45</v>
      </c>
      <c r="D17340" s="8" t="inlineStr">
        <is>
          <t>Disneyland Park</t>
        </is>
      </c>
      <c r="E17340" s="8" t="inlineStr">
        <is>
          <t>Disneyland Railroad Main Street Station</t>
        </is>
      </c>
      <c r="F17340" s="8" t="inlineStr">
        <is>
          <t>STANDBY</t>
        </is>
      </c>
      <c r="G17340" s="8" t="n">
        <v>0</v>
      </c>
      <c r="H17340" s="8" t="inlineStr">
        <is>
          <t>CLOSED</t>
        </is>
      </c>
    </row>
    <row r="17341">
      <c r="A17341" s="8" t="inlineStr">
        <is>
          <t>2026-08-03</t>
        </is>
      </c>
      <c r="B17341" s="8" t="n">
        <v>22</v>
      </c>
      <c r="C17341" s="8" t="n">
        <v>45</v>
      </c>
      <c r="D17341" s="8" t="inlineStr">
        <is>
          <t>Disneyland Park</t>
        </is>
      </c>
      <c r="E17341" s="8" t="inlineStr">
        <is>
          <t>Main Street Vehicles</t>
        </is>
      </c>
      <c r="F17341" s="8" t="inlineStr">
        <is>
          <t>STANDBY</t>
        </is>
      </c>
      <c r="G17341" s="8" t="n">
        <v>0</v>
      </c>
      <c r="H17341" s="8" t="inlineStr">
        <is>
          <t>CLOSED</t>
        </is>
      </c>
    </row>
    <row r="17342">
      <c r="A17342" s="8" t="inlineStr">
        <is>
          <t>2026-08-03</t>
        </is>
      </c>
      <c r="B17342" s="8" t="n">
        <v>22</v>
      </c>
      <c r="C17342" s="8" t="n">
        <v>45</v>
      </c>
      <c r="D17342" s="8" t="inlineStr">
        <is>
          <t>Disney Adventure World</t>
        </is>
      </c>
      <c r="E17342" s="8" t="inlineStr">
        <is>
          <t>Avengers Assemble: Flight Force</t>
        </is>
      </c>
      <c r="F17342" s="8" t="inlineStr">
        <is>
          <t>STANDBY</t>
        </is>
      </c>
      <c r="G17342" s="8" t="n">
        <v>5</v>
      </c>
      <c r="H17342" s="8" t="inlineStr">
        <is>
          <t>OPERATING</t>
        </is>
      </c>
    </row>
    <row r="17343">
      <c r="A17343" s="8" t="inlineStr">
        <is>
          <t>2026-08-03</t>
        </is>
      </c>
      <c r="B17343" s="8" t="n">
        <v>22</v>
      </c>
      <c r="C17343" s="8" t="n">
        <v>45</v>
      </c>
      <c r="D17343" s="8" t="inlineStr">
        <is>
          <t>Disney Adventure World</t>
        </is>
      </c>
      <c r="E17343" s="8" t="inlineStr">
        <is>
          <t>Avengers Assemble: Flight Force Single Rider</t>
        </is>
      </c>
      <c r="F17343" s="8" t="inlineStr">
        <is>
          <t>STANDBY</t>
        </is>
      </c>
      <c r="G17343" s="8" t="n">
        <v>5</v>
      </c>
      <c r="H17343" s="8" t="inlineStr">
        <is>
          <t>OPERATING</t>
        </is>
      </c>
    </row>
    <row r="17344">
      <c r="A17344" s="8" t="inlineStr">
        <is>
          <t>2026-08-03</t>
        </is>
      </c>
      <c r="B17344" s="8" t="n">
        <v>22</v>
      </c>
      <c r="C17344" s="8" t="n">
        <v>45</v>
      </c>
      <c r="D17344" s="8" t="inlineStr">
        <is>
          <t>Disney Adventure World</t>
        </is>
      </c>
      <c r="E17344" s="8" t="inlineStr">
        <is>
          <t>Spider-Man W.E.B. Adventure</t>
        </is>
      </c>
      <c r="F17344" s="8" t="inlineStr">
        <is>
          <t>STANDBY</t>
        </is>
      </c>
      <c r="G17344" s="8" t="n">
        <v>5</v>
      </c>
      <c r="H17344" s="8" t="inlineStr">
        <is>
          <t>OPERATING</t>
        </is>
      </c>
    </row>
    <row r="17345">
      <c r="A17345" s="8" t="inlineStr">
        <is>
          <t>2026-08-03</t>
        </is>
      </c>
      <c r="B17345" s="8" t="n">
        <v>22</v>
      </c>
      <c r="C17345" s="8" t="n">
        <v>45</v>
      </c>
      <c r="D17345" s="8" t="inlineStr">
        <is>
          <t>Disney Adventure World</t>
        </is>
      </c>
      <c r="E17345" s="8" t="inlineStr">
        <is>
          <t>Spider-Man W.E.B. Adventure Single Rider</t>
        </is>
      </c>
      <c r="F17345" s="8" t="inlineStr">
        <is>
          <t>STANDBY</t>
        </is>
      </c>
      <c r="G17345" s="8" t="n">
        <v>5</v>
      </c>
      <c r="H17345" s="8" t="inlineStr">
        <is>
          <t>OPERATING</t>
        </is>
      </c>
    </row>
    <row r="17346">
      <c r="A17346" s="8" t="inlineStr">
        <is>
          <t>2026-08-03</t>
        </is>
      </c>
      <c r="B17346" s="8" t="n">
        <v>22</v>
      </c>
      <c r="C17346" s="8" t="n">
        <v>45</v>
      </c>
      <c r="D17346" s="8" t="inlineStr">
        <is>
          <t>Disney Adventure World</t>
        </is>
      </c>
      <c r="E17346" s="8" t="inlineStr">
        <is>
          <t>The Twilight Zone Tower of Terror</t>
        </is>
      </c>
      <c r="F17346" s="8" t="inlineStr">
        <is>
          <t>STANDBY</t>
        </is>
      </c>
      <c r="G17346" s="8" t="n">
        <v>5</v>
      </c>
      <c r="H17346" s="8" t="inlineStr">
        <is>
          <t>OPERATING</t>
        </is>
      </c>
    </row>
    <row r="17347">
      <c r="A17347" s="8" t="inlineStr">
        <is>
          <t>2026-08-03</t>
        </is>
      </c>
      <c r="B17347" s="8" t="n">
        <v>22</v>
      </c>
      <c r="C17347" s="8" t="n">
        <v>45</v>
      </c>
      <c r="D17347" s="8" t="inlineStr">
        <is>
          <t>Disney Adventure World</t>
        </is>
      </c>
      <c r="E17347" s="8" t="inlineStr">
        <is>
          <t>Cars Quatre Roues Rallye</t>
        </is>
      </c>
      <c r="F17347" s="8" t="inlineStr">
        <is>
          <t>STANDBY</t>
        </is>
      </c>
      <c r="G17347" s="8" t="n">
        <v>5</v>
      </c>
      <c r="H17347" s="8" t="inlineStr">
        <is>
          <t>OPERATING</t>
        </is>
      </c>
    </row>
    <row r="17348">
      <c r="A17348" s="8" t="inlineStr">
        <is>
          <t>2026-08-03</t>
        </is>
      </c>
      <c r="B17348" s="8" t="n">
        <v>22</v>
      </c>
      <c r="C17348" s="8" t="n">
        <v>45</v>
      </c>
      <c r="D17348" s="8" t="inlineStr">
        <is>
          <t>Disney Adventure World</t>
        </is>
      </c>
      <c r="E17348" s="8" t="inlineStr">
        <is>
          <t>Cars ROAD TRIP</t>
        </is>
      </c>
      <c r="F17348" s="8" t="inlineStr">
        <is>
          <t>STANDBY</t>
        </is>
      </c>
      <c r="G17348" s="8" t="n">
        <v>0</v>
      </c>
      <c r="H17348" s="8" t="inlineStr">
        <is>
          <t>CLOSED</t>
        </is>
      </c>
    </row>
    <row r="17349">
      <c r="A17349" s="8" t="inlineStr">
        <is>
          <t>2026-08-03</t>
        </is>
      </c>
      <c r="B17349" s="8" t="n">
        <v>22</v>
      </c>
      <c r="C17349" s="8" t="n">
        <v>45</v>
      </c>
      <c r="D17349" s="8" t="inlineStr">
        <is>
          <t>Disney Adventure World</t>
        </is>
      </c>
      <c r="E17349" s="8" t="inlineStr">
        <is>
          <t>Crush's Coaster</t>
        </is>
      </c>
      <c r="F17349" s="8" t="inlineStr">
        <is>
          <t>STANDBY</t>
        </is>
      </c>
      <c r="G17349" s="8" t="n">
        <v>10</v>
      </c>
      <c r="H17349" s="8" t="inlineStr">
        <is>
          <t>OPERATING</t>
        </is>
      </c>
    </row>
    <row r="17350">
      <c r="A17350" s="8" t="inlineStr">
        <is>
          <t>2026-08-03</t>
        </is>
      </c>
      <c r="B17350" s="8" t="n">
        <v>22</v>
      </c>
      <c r="C17350" s="8" t="n">
        <v>45</v>
      </c>
      <c r="D17350" s="8" t="inlineStr">
        <is>
          <t>Disney Adventure World</t>
        </is>
      </c>
      <c r="E17350" s="8" t="inlineStr">
        <is>
          <t>Crush's Coaster Single Rider</t>
        </is>
      </c>
      <c r="F17350" s="8" t="inlineStr">
        <is>
          <t>STANDBY</t>
        </is>
      </c>
      <c r="G17350" s="8" t="n">
        <v>5</v>
      </c>
      <c r="H17350" s="8" t="inlineStr">
        <is>
          <t>OPERATING</t>
        </is>
      </c>
    </row>
    <row r="17351">
      <c r="A17351" s="8" t="inlineStr">
        <is>
          <t>2026-08-03</t>
        </is>
      </c>
      <c r="B17351" s="8" t="n">
        <v>22</v>
      </c>
      <c r="C17351" s="8" t="n">
        <v>45</v>
      </c>
      <c r="D17351" s="8" t="inlineStr">
        <is>
          <t>Disney Adventure World</t>
        </is>
      </c>
      <c r="E17351" s="8" t="inlineStr">
        <is>
          <t>Les Tapis Volants - Flying Carpets Over Agrabah®</t>
        </is>
      </c>
      <c r="F17351" s="8" t="inlineStr">
        <is>
          <t>STANDBY</t>
        </is>
      </c>
      <c r="G17351" s="8" t="n">
        <v>5</v>
      </c>
      <c r="H17351" s="8" t="inlineStr">
        <is>
          <t>OPERATING</t>
        </is>
      </c>
    </row>
    <row r="17352">
      <c r="A17352" s="8" t="inlineStr">
        <is>
          <t>2026-08-03</t>
        </is>
      </c>
      <c r="B17352" s="8" t="n">
        <v>22</v>
      </c>
      <c r="C17352" s="8" t="n">
        <v>45</v>
      </c>
      <c r="D17352" s="8" t="inlineStr">
        <is>
          <t>Disney Adventure World</t>
        </is>
      </c>
      <c r="E17352" s="8" t="inlineStr">
        <is>
          <t>Ratatouille : L’Aventure Totalement Toquée de Rémy​</t>
        </is>
      </c>
      <c r="F17352" s="8" t="inlineStr">
        <is>
          <t>STANDBY</t>
        </is>
      </c>
      <c r="G17352" s="8" t="n">
        <v>5</v>
      </c>
      <c r="H17352" s="8" t="inlineStr">
        <is>
          <t>OPERATING</t>
        </is>
      </c>
    </row>
    <row r="17353">
      <c r="A17353" s="8" t="inlineStr">
        <is>
          <t>2026-08-03</t>
        </is>
      </c>
      <c r="B17353" s="8" t="n">
        <v>22</v>
      </c>
      <c r="C17353" s="8" t="n">
        <v>45</v>
      </c>
      <c r="D17353" s="8" t="inlineStr">
        <is>
          <t>Disney Adventure World</t>
        </is>
      </c>
      <c r="E17353" s="8" t="inlineStr">
        <is>
          <t>Ratatouille: The Adventure Single Rider</t>
        </is>
      </c>
      <c r="F17353" s="8" t="inlineStr">
        <is>
          <t>STANDBY</t>
        </is>
      </c>
      <c r="G17353" s="8" t="n">
        <v>5</v>
      </c>
      <c r="H17353" s="8" t="inlineStr">
        <is>
          <t>OPERATING</t>
        </is>
      </c>
    </row>
    <row r="17354">
      <c r="A17354" s="8" t="inlineStr">
        <is>
          <t>2026-08-03</t>
        </is>
      </c>
      <c r="B17354" s="8" t="n">
        <v>22</v>
      </c>
      <c r="C17354" s="8" t="n">
        <v>45</v>
      </c>
      <c r="D17354" s="8" t="inlineStr">
        <is>
          <t>Disney Adventure World</t>
        </is>
      </c>
      <c r="E17354" s="8" t="inlineStr">
        <is>
          <t>RC Racer</t>
        </is>
      </c>
      <c r="F17354" s="8" t="inlineStr">
        <is>
          <t>STANDBY</t>
        </is>
      </c>
      <c r="G17354" s="8" t="n">
        <v>5</v>
      </c>
      <c r="H17354" s="8" t="inlineStr">
        <is>
          <t>OPERATING</t>
        </is>
      </c>
    </row>
    <row r="17355">
      <c r="A17355" s="8" t="inlineStr">
        <is>
          <t>2026-08-03</t>
        </is>
      </c>
      <c r="B17355" s="8" t="n">
        <v>22</v>
      </c>
      <c r="C17355" s="8" t="n">
        <v>45</v>
      </c>
      <c r="D17355" s="8" t="inlineStr">
        <is>
          <t>Disney Adventure World</t>
        </is>
      </c>
      <c r="E17355" s="8" t="inlineStr">
        <is>
          <t>RC Racer Single Rider</t>
        </is>
      </c>
      <c r="F17355" s="8" t="inlineStr">
        <is>
          <t>STANDBY</t>
        </is>
      </c>
      <c r="G17355" s="8" t="n">
        <v>5</v>
      </c>
      <c r="H17355" s="8" t="inlineStr">
        <is>
          <t>OPERATING</t>
        </is>
      </c>
    </row>
    <row r="17356">
      <c r="A17356" s="8" t="inlineStr">
        <is>
          <t>2026-08-03</t>
        </is>
      </c>
      <c r="B17356" s="8" t="n">
        <v>22</v>
      </c>
      <c r="C17356" s="8" t="n">
        <v>45</v>
      </c>
      <c r="D17356" s="8" t="inlineStr">
        <is>
          <t>Disney Adventure World</t>
        </is>
      </c>
      <c r="E17356" s="8" t="inlineStr">
        <is>
          <t>Slinky® Dog Zigzag Spin</t>
        </is>
      </c>
      <c r="F17356" s="8" t="inlineStr">
        <is>
          <t>STANDBY</t>
        </is>
      </c>
      <c r="G17356" s="8" t="n">
        <v>5</v>
      </c>
      <c r="H17356" s="8" t="inlineStr">
        <is>
          <t>OPERATING</t>
        </is>
      </c>
    </row>
    <row r="17357">
      <c r="A17357" s="8" t="inlineStr">
        <is>
          <t>2026-08-03</t>
        </is>
      </c>
      <c r="B17357" s="8" t="n">
        <v>22</v>
      </c>
      <c r="C17357" s="8" t="n">
        <v>45</v>
      </c>
      <c r="D17357" s="8" t="inlineStr">
        <is>
          <t>Disney Adventure World</t>
        </is>
      </c>
      <c r="E17357" s="8" t="inlineStr">
        <is>
          <t>Toy Soldiers Parachute Drop</t>
        </is>
      </c>
      <c r="F17357" s="8" t="inlineStr">
        <is>
          <t>STANDBY</t>
        </is>
      </c>
      <c r="G17357" s="8" t="n">
        <v>20</v>
      </c>
      <c r="H17357" s="8" t="inlineStr">
        <is>
          <t>OPERATING</t>
        </is>
      </c>
    </row>
    <row r="17358">
      <c r="A17358" s="8" t="inlineStr">
        <is>
          <t>2026-08-03</t>
        </is>
      </c>
      <c r="B17358" s="8" t="n">
        <v>22</v>
      </c>
      <c r="C17358" s="8" t="n">
        <v>45</v>
      </c>
      <c r="D17358" s="8" t="inlineStr">
        <is>
          <t>Disney Adventure World</t>
        </is>
      </c>
      <c r="E17358" s="8" t="inlineStr">
        <is>
          <t>Toy Soldiers Parachute Drop Single Rider</t>
        </is>
      </c>
      <c r="F17358" s="8" t="inlineStr">
        <is>
          <t>STANDBY</t>
        </is>
      </c>
      <c r="G17358" s="8" t="n">
        <v>10</v>
      </c>
      <c r="H17358" s="8" t="inlineStr">
        <is>
          <t>OPERATING</t>
        </is>
      </c>
    </row>
    <row r="17359">
      <c r="A17359" s="8" t="inlineStr">
        <is>
          <t>2026-08-03</t>
        </is>
      </c>
      <c r="B17359" s="8" t="n">
        <v>22</v>
      </c>
      <c r="C17359" s="8" t="n">
        <v>45</v>
      </c>
      <c r="D17359" s="8" t="inlineStr">
        <is>
          <t>Disney Adventure World</t>
        </is>
      </c>
      <c r="E17359" s="8" t="inlineStr">
        <is>
          <t>Entry to World of Frozen</t>
        </is>
      </c>
      <c r="F17359" s="8" t="inlineStr">
        <is>
          <t>STANDBY</t>
        </is>
      </c>
      <c r="G17359" s="8" t="n">
        <v>0</v>
      </c>
      <c r="H17359" s="8" t="inlineStr">
        <is>
          <t>OPERATING</t>
        </is>
      </c>
    </row>
    <row r="17360">
      <c r="A17360" s="8" t="inlineStr">
        <is>
          <t>2026-08-03</t>
        </is>
      </c>
      <c r="B17360" s="8" t="n">
        <v>22</v>
      </c>
      <c r="C17360" s="8" t="n">
        <v>45</v>
      </c>
      <c r="D17360" s="8" t="inlineStr">
        <is>
          <t>Disney Adventure World</t>
        </is>
      </c>
      <c r="E17360" s="8" t="inlineStr">
        <is>
          <t>Frozen Ever After</t>
        </is>
      </c>
      <c r="F17360" s="8" t="inlineStr">
        <is>
          <t>STANDBY</t>
        </is>
      </c>
      <c r="G17360" s="8" t="n">
        <v>5</v>
      </c>
      <c r="H17360" s="8" t="inlineStr">
        <is>
          <t>OPERATING</t>
        </is>
      </c>
    </row>
    <row r="17361">
      <c r="A17361" s="8" t="inlineStr">
        <is>
          <t>2026-08-03</t>
        </is>
      </c>
      <c r="B17361" s="8" t="n">
        <v>22</v>
      </c>
      <c r="C17361" s="8" t="n">
        <v>45</v>
      </c>
      <c r="D17361" s="8" t="inlineStr">
        <is>
          <t>Disney Adventure World</t>
        </is>
      </c>
      <c r="E17361" s="8" t="inlineStr">
        <is>
          <t>Raiponce Tangled Spin</t>
        </is>
      </c>
      <c r="F17361" s="8" t="inlineStr">
        <is>
          <t>STANDBY</t>
        </is>
      </c>
      <c r="G17361" s="8" t="n">
        <v>5</v>
      </c>
      <c r="H17361" s="8" t="inlineStr">
        <is>
          <t>OPERATING</t>
        </is>
      </c>
    </row>
    <row r="17362">
      <c r="A17362" s="8" t="inlineStr">
        <is>
          <t>2026-08-03</t>
        </is>
      </c>
      <c r="B17362" s="8" t="n">
        <v>22</v>
      </c>
      <c r="C17362" s="8" t="n">
        <v>54</v>
      </c>
      <c r="D17362" s="8" t="inlineStr">
        <is>
          <t>Disneyland Park</t>
        </is>
      </c>
      <c r="E17362" s="8" t="inlineStr">
        <is>
          <t>Adventure Isle</t>
        </is>
      </c>
      <c r="F17362" s="8" t="inlineStr">
        <is>
          <t>STANDBY</t>
        </is>
      </c>
      <c r="G17362" s="8" t="n">
        <v>0</v>
      </c>
      <c r="H17362" s="8" t="inlineStr">
        <is>
          <t>CLOSED</t>
        </is>
      </c>
    </row>
    <row r="17363">
      <c r="A17363" s="8" t="inlineStr">
        <is>
          <t>2026-08-03</t>
        </is>
      </c>
      <c r="B17363" s="8" t="n">
        <v>22</v>
      </c>
      <c r="C17363" s="8" t="n">
        <v>54</v>
      </c>
      <c r="D17363" s="8" t="inlineStr">
        <is>
          <t>Disneyland Park</t>
        </is>
      </c>
      <c r="E17363" s="8" t="inlineStr">
        <is>
          <t>Indiana Jones and the Temple of Peril Single Rider</t>
        </is>
      </c>
      <c r="F17363" s="8" t="inlineStr">
        <is>
          <t>STANDBY</t>
        </is>
      </c>
      <c r="G17363" s="8" t="n">
        <v>0</v>
      </c>
      <c r="H17363" s="8" t="inlineStr">
        <is>
          <t>CLOSED</t>
        </is>
      </c>
    </row>
    <row r="17364">
      <c r="A17364" s="8" t="inlineStr">
        <is>
          <t>2026-08-03</t>
        </is>
      </c>
      <c r="B17364" s="8" t="n">
        <v>22</v>
      </c>
      <c r="C17364" s="8" t="n">
        <v>54</v>
      </c>
      <c r="D17364" s="8" t="inlineStr">
        <is>
          <t>Disneyland Park</t>
        </is>
      </c>
      <c r="E17364" s="8" t="inlineStr">
        <is>
          <t>Indiana Jones™ and the Temple of Peril</t>
        </is>
      </c>
      <c r="F17364" s="8" t="inlineStr">
        <is>
          <t>STANDBY</t>
        </is>
      </c>
      <c r="G17364" s="8" t="n">
        <v>0</v>
      </c>
      <c r="H17364" s="8" t="inlineStr">
        <is>
          <t>CLOSED</t>
        </is>
      </c>
    </row>
    <row r="17365">
      <c r="A17365" s="8" t="inlineStr">
        <is>
          <t>2026-08-03</t>
        </is>
      </c>
      <c r="B17365" s="8" t="n">
        <v>22</v>
      </c>
      <c r="C17365" s="8" t="n">
        <v>54</v>
      </c>
      <c r="D17365" s="8" t="inlineStr">
        <is>
          <t>Disneyland Park</t>
        </is>
      </c>
      <c r="E17365" s="8" t="inlineStr">
        <is>
          <t>La Cabane des Robinson</t>
        </is>
      </c>
      <c r="F17365" s="8" t="inlineStr">
        <is>
          <t>STANDBY</t>
        </is>
      </c>
      <c r="G17365" s="8" t="n">
        <v>0</v>
      </c>
      <c r="H17365" s="8" t="inlineStr">
        <is>
          <t>CLOSED</t>
        </is>
      </c>
    </row>
    <row r="17366">
      <c r="A17366" s="8" t="inlineStr">
        <is>
          <t>2026-08-03</t>
        </is>
      </c>
      <c r="B17366" s="8" t="n">
        <v>22</v>
      </c>
      <c r="C17366" s="8" t="n">
        <v>54</v>
      </c>
      <c r="D17366" s="8" t="inlineStr">
        <is>
          <t>Disneyland Park</t>
        </is>
      </c>
      <c r="E17366" s="8" t="inlineStr">
        <is>
          <t>Le Passage Enchanté d'Aladdin</t>
        </is>
      </c>
      <c r="F17366" s="8" t="inlineStr">
        <is>
          <t>STANDBY</t>
        </is>
      </c>
      <c r="G17366" s="8" t="n">
        <v>0</v>
      </c>
      <c r="H17366" s="8" t="inlineStr">
        <is>
          <t>CLOSED</t>
        </is>
      </c>
    </row>
    <row r="17367">
      <c r="A17367" s="8" t="inlineStr">
        <is>
          <t>2026-08-03</t>
        </is>
      </c>
      <c r="B17367" s="8" t="n">
        <v>22</v>
      </c>
      <c r="C17367" s="8" t="n">
        <v>54</v>
      </c>
      <c r="D17367" s="8" t="inlineStr">
        <is>
          <t>Disneyland Park</t>
        </is>
      </c>
      <c r="E17367" s="8" t="inlineStr">
        <is>
          <t>Pirate Galleon</t>
        </is>
      </c>
      <c r="F17367" s="8" t="inlineStr">
        <is>
          <t>STANDBY</t>
        </is>
      </c>
      <c r="G17367" s="8" t="n">
        <v>0</v>
      </c>
      <c r="H17367" s="8" t="inlineStr">
        <is>
          <t>CLOSED</t>
        </is>
      </c>
    </row>
    <row r="17368">
      <c r="A17368" s="8" t="inlineStr">
        <is>
          <t>2026-08-03</t>
        </is>
      </c>
      <c r="B17368" s="8" t="n">
        <v>22</v>
      </c>
      <c r="C17368" s="8" t="n">
        <v>54</v>
      </c>
      <c r="D17368" s="8" t="inlineStr">
        <is>
          <t>Disneyland Park</t>
        </is>
      </c>
      <c r="E17368" s="8" t="inlineStr">
        <is>
          <t>Pirates of the Caribbean</t>
        </is>
      </c>
      <c r="F17368" s="8" t="inlineStr">
        <is>
          <t>STANDBY</t>
        </is>
      </c>
      <c r="G17368" s="8" t="n">
        <v>0</v>
      </c>
      <c r="H17368" s="8" t="inlineStr">
        <is>
          <t>CLOSED</t>
        </is>
      </c>
    </row>
    <row r="17369">
      <c r="A17369" s="8" t="inlineStr">
        <is>
          <t>2026-08-03</t>
        </is>
      </c>
      <c r="B17369" s="8" t="n">
        <v>22</v>
      </c>
      <c r="C17369" s="8" t="n">
        <v>54</v>
      </c>
      <c r="D17369" s="8" t="inlineStr">
        <is>
          <t>Disneyland Park</t>
        </is>
      </c>
      <c r="E17369" s="8" t="inlineStr">
        <is>
          <t>Pirates' Beach</t>
        </is>
      </c>
      <c r="F17369" s="8" t="inlineStr">
        <is>
          <t>STANDBY</t>
        </is>
      </c>
      <c r="G17369" s="8" t="n">
        <v>0</v>
      </c>
      <c r="H17369" s="8" t="inlineStr">
        <is>
          <t>CLOSED</t>
        </is>
      </c>
    </row>
    <row r="17370">
      <c r="A17370" s="8" t="inlineStr">
        <is>
          <t>2026-08-03</t>
        </is>
      </c>
      <c r="B17370" s="8" t="n">
        <v>22</v>
      </c>
      <c r="C17370" s="8" t="n">
        <v>54</v>
      </c>
      <c r="D17370" s="8" t="inlineStr">
        <is>
          <t>Disneyland Park</t>
        </is>
      </c>
      <c r="E17370" s="8" t="inlineStr">
        <is>
          <t>Autopia, presented by Avis</t>
        </is>
      </c>
      <c r="F17370" s="8" t="inlineStr">
        <is>
          <t>STANDBY</t>
        </is>
      </c>
      <c r="G17370" s="8" t="n">
        <v>0</v>
      </c>
      <c r="H17370" s="8" t="inlineStr">
        <is>
          <t>CLOSED</t>
        </is>
      </c>
    </row>
    <row r="17371">
      <c r="A17371" s="8" t="inlineStr">
        <is>
          <t>2026-08-03</t>
        </is>
      </c>
      <c r="B17371" s="8" t="n">
        <v>22</v>
      </c>
      <c r="C17371" s="8" t="n">
        <v>54</v>
      </c>
      <c r="D17371" s="8" t="inlineStr">
        <is>
          <t>Disneyland Park</t>
        </is>
      </c>
      <c r="E17371" s="8" t="inlineStr">
        <is>
          <t>Buzz Lightyear Laser Blast</t>
        </is>
      </c>
      <c r="F17371" s="8" t="inlineStr">
        <is>
          <t>STANDBY</t>
        </is>
      </c>
      <c r="G17371" s="8" t="n">
        <v>0</v>
      </c>
      <c r="H17371" s="8" t="inlineStr">
        <is>
          <t>CLOSED</t>
        </is>
      </c>
    </row>
    <row r="17372">
      <c r="A17372" s="8" t="inlineStr">
        <is>
          <t>2026-08-03</t>
        </is>
      </c>
      <c r="B17372" s="8" t="n">
        <v>22</v>
      </c>
      <c r="C17372" s="8" t="n">
        <v>54</v>
      </c>
      <c r="D17372" s="8" t="inlineStr">
        <is>
          <t>Disneyland Park</t>
        </is>
      </c>
      <c r="E17372" s="8" t="inlineStr">
        <is>
          <t>Disneyland Railroad Discoveryland Station</t>
        </is>
      </c>
      <c r="F17372" s="8" t="inlineStr">
        <is>
          <t>STANDBY</t>
        </is>
      </c>
      <c r="G17372" s="8" t="n">
        <v>0</v>
      </c>
      <c r="H17372" s="8" t="inlineStr">
        <is>
          <t>CLOSED</t>
        </is>
      </c>
    </row>
    <row r="17373">
      <c r="A17373" s="8" t="inlineStr">
        <is>
          <t>2026-08-03</t>
        </is>
      </c>
      <c r="B17373" s="8" t="n">
        <v>22</v>
      </c>
      <c r="C17373" s="8" t="n">
        <v>54</v>
      </c>
      <c r="D17373" s="8" t="inlineStr">
        <is>
          <t>Disneyland Park</t>
        </is>
      </c>
      <c r="E17373" s="8" t="inlineStr">
        <is>
          <t>Les Mystères du Nautilus</t>
        </is>
      </c>
      <c r="F17373" s="8" t="inlineStr">
        <is>
          <t>STANDBY</t>
        </is>
      </c>
      <c r="G17373" s="8" t="n">
        <v>0</v>
      </c>
      <c r="H17373" s="8" t="inlineStr">
        <is>
          <t>CLOSED</t>
        </is>
      </c>
    </row>
    <row r="17374">
      <c r="A17374" s="8" t="inlineStr">
        <is>
          <t>2026-08-03</t>
        </is>
      </c>
      <c r="B17374" s="8" t="n">
        <v>22</v>
      </c>
      <c r="C17374" s="8" t="n">
        <v>54</v>
      </c>
      <c r="D17374" s="8" t="inlineStr">
        <is>
          <t>Disneyland Park</t>
        </is>
      </c>
      <c r="E17374" s="8" t="inlineStr">
        <is>
          <t>Mickey’s PhilharMagic</t>
        </is>
      </c>
      <c r="F17374" s="8" t="inlineStr">
        <is>
          <t>STANDBY</t>
        </is>
      </c>
      <c r="G17374" s="8" t="n">
        <v>0</v>
      </c>
      <c r="H17374" s="8" t="inlineStr">
        <is>
          <t>CLOSED</t>
        </is>
      </c>
    </row>
    <row r="17375">
      <c r="A17375" s="8" t="inlineStr">
        <is>
          <t>2026-08-03</t>
        </is>
      </c>
      <c r="B17375" s="8" t="n">
        <v>22</v>
      </c>
      <c r="C17375" s="8" t="n">
        <v>54</v>
      </c>
      <c r="D17375" s="8" t="inlineStr">
        <is>
          <t>Disneyland Park</t>
        </is>
      </c>
      <c r="E17375" s="8" t="inlineStr">
        <is>
          <t>Orbitron®</t>
        </is>
      </c>
      <c r="F17375" s="8" t="inlineStr">
        <is>
          <t>STANDBY</t>
        </is>
      </c>
      <c r="G17375" s="8" t="n">
        <v>0</v>
      </c>
      <c r="H17375" s="8" t="inlineStr">
        <is>
          <t>CLOSED</t>
        </is>
      </c>
    </row>
    <row r="17376">
      <c r="A17376" s="8" t="inlineStr">
        <is>
          <t>2026-08-03</t>
        </is>
      </c>
      <c r="B17376" s="8" t="n">
        <v>22</v>
      </c>
      <c r="C17376" s="8" t="n">
        <v>54</v>
      </c>
      <c r="D17376" s="8" t="inlineStr">
        <is>
          <t>Disneyland Park</t>
        </is>
      </c>
      <c r="E17376" s="8" t="inlineStr">
        <is>
          <t>Star Tours: The Adventures Continue*</t>
        </is>
      </c>
      <c r="F17376" s="8" t="inlineStr">
        <is>
          <t>STANDBY</t>
        </is>
      </c>
      <c r="G17376" s="8" t="n">
        <v>0</v>
      </c>
      <c r="H17376" s="8" t="inlineStr">
        <is>
          <t>CLOSED</t>
        </is>
      </c>
    </row>
    <row r="17377">
      <c r="A17377" s="8" t="inlineStr">
        <is>
          <t>2026-08-03</t>
        </is>
      </c>
      <c r="B17377" s="8" t="n">
        <v>22</v>
      </c>
      <c r="C17377" s="8" t="n">
        <v>54</v>
      </c>
      <c r="D17377" s="8" t="inlineStr">
        <is>
          <t>Disneyland Park</t>
        </is>
      </c>
      <c r="E17377" s="8" t="inlineStr">
        <is>
          <t>Star Wars Hyperspace Mountain</t>
        </is>
      </c>
      <c r="F17377" s="8" t="inlineStr">
        <is>
          <t>STANDBY</t>
        </is>
      </c>
      <c r="G17377" s="8" t="n">
        <v>0</v>
      </c>
      <c r="H17377" s="8" t="inlineStr">
        <is>
          <t>CLOSED</t>
        </is>
      </c>
    </row>
    <row r="17378">
      <c r="A17378" s="8" t="inlineStr">
        <is>
          <t>2026-08-03</t>
        </is>
      </c>
      <c r="B17378" s="8" t="n">
        <v>22</v>
      </c>
      <c r="C17378" s="8" t="n">
        <v>54</v>
      </c>
      <c r="D17378" s="8" t="inlineStr">
        <is>
          <t>Disneyland Park</t>
        </is>
      </c>
      <c r="E17378" s="8" t="inlineStr">
        <is>
          <t>Star Wars Hyperspace Mountain Single Rider</t>
        </is>
      </c>
      <c r="F17378" s="8" t="inlineStr">
        <is>
          <t>STANDBY</t>
        </is>
      </c>
      <c r="G17378" s="8" t="n">
        <v>0</v>
      </c>
      <c r="H17378" s="8" t="inlineStr">
        <is>
          <t>CLOSED</t>
        </is>
      </c>
    </row>
    <row r="17379">
      <c r="A17379" s="8" t="inlineStr">
        <is>
          <t>2026-08-03</t>
        </is>
      </c>
      <c r="B17379" s="8" t="n">
        <v>22</v>
      </c>
      <c r="C17379" s="8" t="n">
        <v>54</v>
      </c>
      <c r="D17379" s="8" t="inlineStr">
        <is>
          <t>Disneyland Park</t>
        </is>
      </c>
      <c r="E17379" s="8" t="inlineStr">
        <is>
          <t>Welcome to Starport: A Star Wars Encounter</t>
        </is>
      </c>
      <c r="F17379" s="8" t="inlineStr">
        <is>
          <t>STANDBY</t>
        </is>
      </c>
      <c r="G17379" s="8" t="n">
        <v>0</v>
      </c>
      <c r="H17379" s="8" t="inlineStr">
        <is>
          <t>CLOSED</t>
        </is>
      </c>
    </row>
    <row r="17380">
      <c r="A17380" s="8" t="inlineStr">
        <is>
          <t>2026-08-03</t>
        </is>
      </c>
      <c r="B17380" s="8" t="n">
        <v>22</v>
      </c>
      <c r="C17380" s="8" t="n">
        <v>54</v>
      </c>
      <c r="D17380" s="8" t="inlineStr">
        <is>
          <t>Disneyland Park</t>
        </is>
      </c>
      <c r="E17380" s="8" t="inlineStr">
        <is>
          <t>"it's a small world"</t>
        </is>
      </c>
      <c r="F17380" s="8" t="inlineStr">
        <is>
          <t>STANDBY</t>
        </is>
      </c>
      <c r="G17380" s="8" t="n">
        <v>0</v>
      </c>
      <c r="H17380" s="8" t="inlineStr">
        <is>
          <t>CLOSED</t>
        </is>
      </c>
    </row>
    <row r="17381">
      <c r="A17381" s="8" t="inlineStr">
        <is>
          <t>2026-08-03</t>
        </is>
      </c>
      <c r="B17381" s="8" t="n">
        <v>22</v>
      </c>
      <c r="C17381" s="8" t="n">
        <v>54</v>
      </c>
      <c r="D17381" s="8" t="inlineStr">
        <is>
          <t>Disneyland Park</t>
        </is>
      </c>
      <c r="E17381" s="8" t="inlineStr">
        <is>
          <t>Alice's Curious Labyrinth</t>
        </is>
      </c>
      <c r="F17381" s="8" t="inlineStr">
        <is>
          <t>STANDBY</t>
        </is>
      </c>
      <c r="G17381" s="8" t="n">
        <v>0</v>
      </c>
      <c r="H17381" s="8" t="inlineStr">
        <is>
          <t>CLOSED</t>
        </is>
      </c>
    </row>
    <row r="17382">
      <c r="A17382" s="8" t="inlineStr">
        <is>
          <t>2026-08-03</t>
        </is>
      </c>
      <c r="B17382" s="8" t="n">
        <v>22</v>
      </c>
      <c r="C17382" s="8" t="n">
        <v>54</v>
      </c>
      <c r="D17382" s="8" t="inlineStr">
        <is>
          <t>Disneyland Park</t>
        </is>
      </c>
      <c r="E17382" s="8" t="inlineStr">
        <is>
          <t>Blanche-Neige et les Sept Nains®</t>
        </is>
      </c>
      <c r="F17382" s="8" t="inlineStr">
        <is>
          <t>STANDBY</t>
        </is>
      </c>
      <c r="G17382" s="8" t="n">
        <v>0</v>
      </c>
      <c r="H17382" s="8" t="inlineStr">
        <is>
          <t>CLOSED</t>
        </is>
      </c>
    </row>
    <row r="17383">
      <c r="A17383" s="8" t="inlineStr">
        <is>
          <t>2026-08-03</t>
        </is>
      </c>
      <c r="B17383" s="8" t="n">
        <v>22</v>
      </c>
      <c r="C17383" s="8" t="n">
        <v>54</v>
      </c>
      <c r="D17383" s="8" t="inlineStr">
        <is>
          <t>Disneyland Park</t>
        </is>
      </c>
      <c r="E17383" s="8" t="inlineStr">
        <is>
          <t>Casey Jr. – le Petit Train du Cirque</t>
        </is>
      </c>
      <c r="F17383" s="8" t="inlineStr">
        <is>
          <t>STANDBY</t>
        </is>
      </c>
      <c r="G17383" s="8" t="n">
        <v>0</v>
      </c>
      <c r="H17383" s="8" t="inlineStr">
        <is>
          <t>CLOSED</t>
        </is>
      </c>
    </row>
    <row r="17384">
      <c r="A17384" s="8" t="inlineStr">
        <is>
          <t>2026-08-03</t>
        </is>
      </c>
      <c r="B17384" s="8" t="n">
        <v>22</v>
      </c>
      <c r="C17384" s="8" t="n">
        <v>54</v>
      </c>
      <c r="D17384" s="8" t="inlineStr">
        <is>
          <t>Disneyland Park</t>
        </is>
      </c>
      <c r="E17384" s="8" t="inlineStr">
        <is>
          <t>Disneyland Railroad Fantasyland Station</t>
        </is>
      </c>
      <c r="F17384" s="8" t="inlineStr">
        <is>
          <t>STANDBY</t>
        </is>
      </c>
      <c r="G17384" s="8" t="n">
        <v>0</v>
      </c>
      <c r="H17384" s="8" t="inlineStr">
        <is>
          <t>CLOSED</t>
        </is>
      </c>
    </row>
    <row r="17385">
      <c r="A17385" s="8" t="inlineStr">
        <is>
          <t>2026-08-03</t>
        </is>
      </c>
      <c r="B17385" s="8" t="n">
        <v>22</v>
      </c>
      <c r="C17385" s="8" t="n">
        <v>54</v>
      </c>
      <c r="D17385" s="8" t="inlineStr">
        <is>
          <t>Disneyland Park</t>
        </is>
      </c>
      <c r="E17385" s="8" t="inlineStr">
        <is>
          <t>Disneyland Railroad Main Street Station</t>
        </is>
      </c>
      <c r="F17385" s="8" t="inlineStr">
        <is>
          <t>STANDBY</t>
        </is>
      </c>
      <c r="G17385" s="8" t="n">
        <v>0</v>
      </c>
      <c r="H17385" s="8" t="inlineStr">
        <is>
          <t>CLOSED</t>
        </is>
      </c>
    </row>
    <row r="17386">
      <c r="A17386" s="8" t="inlineStr">
        <is>
          <t>2026-08-03</t>
        </is>
      </c>
      <c r="B17386" s="8" t="n">
        <v>22</v>
      </c>
      <c r="C17386" s="8" t="n">
        <v>54</v>
      </c>
      <c r="D17386" s="8" t="inlineStr">
        <is>
          <t>Disneyland Park</t>
        </is>
      </c>
      <c r="E17386" s="8" t="inlineStr">
        <is>
          <t>Dumbo the Flying Elephant</t>
        </is>
      </c>
      <c r="F17386" s="8" t="inlineStr">
        <is>
          <t>STANDBY</t>
        </is>
      </c>
      <c r="G17386" s="8" t="n">
        <v>0</v>
      </c>
      <c r="H17386" s="8" t="inlineStr">
        <is>
          <t>CLOSED</t>
        </is>
      </c>
    </row>
    <row r="17387">
      <c r="A17387" s="8" t="inlineStr">
        <is>
          <t>2026-08-03</t>
        </is>
      </c>
      <c r="B17387" s="8" t="n">
        <v>22</v>
      </c>
      <c r="C17387" s="8" t="n">
        <v>54</v>
      </c>
      <c r="D17387" s="8" t="inlineStr">
        <is>
          <t>Disneyland Park</t>
        </is>
      </c>
      <c r="E17387" s="8" t="inlineStr">
        <is>
          <t>La Tanière du Dragon</t>
        </is>
      </c>
      <c r="F17387" s="8" t="inlineStr">
        <is>
          <t>STANDBY</t>
        </is>
      </c>
      <c r="G17387" s="8" t="n">
        <v>0</v>
      </c>
      <c r="H17387" s="8" t="inlineStr">
        <is>
          <t>CLOSED</t>
        </is>
      </c>
    </row>
    <row r="17388">
      <c r="A17388" s="8" t="inlineStr">
        <is>
          <t>2026-08-03</t>
        </is>
      </c>
      <c r="B17388" s="8" t="n">
        <v>22</v>
      </c>
      <c r="C17388" s="8" t="n">
        <v>54</v>
      </c>
      <c r="D17388" s="8" t="inlineStr">
        <is>
          <t>Disneyland Park</t>
        </is>
      </c>
      <c r="E17388" s="8" t="inlineStr">
        <is>
          <t>Le Carrousel de Lancelot</t>
        </is>
      </c>
      <c r="F17388" s="8" t="inlineStr">
        <is>
          <t>STANDBY</t>
        </is>
      </c>
      <c r="G17388" s="8" t="n">
        <v>0</v>
      </c>
      <c r="H17388" s="8" t="inlineStr">
        <is>
          <t>CLOSED</t>
        </is>
      </c>
    </row>
    <row r="17389">
      <c r="A17389" s="8" t="inlineStr">
        <is>
          <t>2026-08-03</t>
        </is>
      </c>
      <c r="B17389" s="8" t="n">
        <v>22</v>
      </c>
      <c r="C17389" s="8" t="n">
        <v>54</v>
      </c>
      <c r="D17389" s="8" t="inlineStr">
        <is>
          <t>Disneyland Park</t>
        </is>
      </c>
      <c r="E17389" s="8" t="inlineStr">
        <is>
          <t>Le Pays des Contes de Fées, presented by Vittel</t>
        </is>
      </c>
      <c r="F17389" s="8" t="inlineStr">
        <is>
          <t>STANDBY</t>
        </is>
      </c>
      <c r="G17389" s="8" t="n">
        <v>0</v>
      </c>
      <c r="H17389" s="8" t="inlineStr">
        <is>
          <t>CLOSED</t>
        </is>
      </c>
    </row>
    <row r="17390">
      <c r="A17390" s="8" t="inlineStr">
        <is>
          <t>2026-08-03</t>
        </is>
      </c>
      <c r="B17390" s="8" t="n">
        <v>22</v>
      </c>
      <c r="C17390" s="8" t="n">
        <v>54</v>
      </c>
      <c r="D17390" s="8" t="inlineStr">
        <is>
          <t>Disneyland Park</t>
        </is>
      </c>
      <c r="E17390" s="8" t="inlineStr">
        <is>
          <t>Les Voyages de Pinocchio</t>
        </is>
      </c>
      <c r="F17390" s="8" t="inlineStr">
        <is>
          <t>STANDBY</t>
        </is>
      </c>
      <c r="G17390" s="8" t="n">
        <v>0</v>
      </c>
      <c r="H17390" s="8" t="inlineStr">
        <is>
          <t>CLOSED</t>
        </is>
      </c>
    </row>
    <row r="17391">
      <c r="A17391" s="8" t="inlineStr">
        <is>
          <t>2026-08-03</t>
        </is>
      </c>
      <c r="B17391" s="8" t="n">
        <v>22</v>
      </c>
      <c r="C17391" s="8" t="n">
        <v>54</v>
      </c>
      <c r="D17391" s="8" t="inlineStr">
        <is>
          <t>Disneyland Park</t>
        </is>
      </c>
      <c r="E17391" s="8" t="inlineStr">
        <is>
          <t>Mad Hatter's Tea Cups</t>
        </is>
      </c>
      <c r="F17391" s="8" t="inlineStr">
        <is>
          <t>STANDBY</t>
        </is>
      </c>
      <c r="G17391" s="8" t="n">
        <v>0</v>
      </c>
      <c r="H17391" s="8" t="inlineStr">
        <is>
          <t>CLOSED</t>
        </is>
      </c>
    </row>
    <row r="17392">
      <c r="A17392" s="8" t="inlineStr">
        <is>
          <t>2026-08-03</t>
        </is>
      </c>
      <c r="B17392" s="8" t="n">
        <v>22</v>
      </c>
      <c r="C17392" s="8" t="n">
        <v>54</v>
      </c>
      <c r="D17392" s="8" t="inlineStr">
        <is>
          <t>Disneyland Park</t>
        </is>
      </c>
      <c r="E17392" s="8" t="inlineStr">
        <is>
          <t>Meet Mickey Mouse</t>
        </is>
      </c>
      <c r="F17392" s="8" t="inlineStr">
        <is>
          <t>STANDBY</t>
        </is>
      </c>
      <c r="G17392" s="8" t="n">
        <v>0</v>
      </c>
      <c r="H17392" s="8" t="inlineStr">
        <is>
          <t>CLOSED</t>
        </is>
      </c>
    </row>
    <row r="17393">
      <c r="A17393" s="8" t="inlineStr">
        <is>
          <t>2026-08-03</t>
        </is>
      </c>
      <c r="B17393" s="8" t="n">
        <v>22</v>
      </c>
      <c r="C17393" s="8" t="n">
        <v>54</v>
      </c>
      <c r="D17393" s="8" t="inlineStr">
        <is>
          <t>Disneyland Park</t>
        </is>
      </c>
      <c r="E17393" s="8" t="inlineStr">
        <is>
          <t>Peter Pan's Flight</t>
        </is>
      </c>
      <c r="F17393" s="8" t="inlineStr">
        <is>
          <t>STANDBY</t>
        </is>
      </c>
      <c r="G17393" s="8" t="n">
        <v>0</v>
      </c>
      <c r="H17393" s="8" t="inlineStr">
        <is>
          <t>CLOSED</t>
        </is>
      </c>
    </row>
    <row r="17394">
      <c r="A17394" s="8" t="inlineStr">
        <is>
          <t>2026-08-03</t>
        </is>
      </c>
      <c r="B17394" s="8" t="n">
        <v>22</v>
      </c>
      <c r="C17394" s="8" t="n">
        <v>54</v>
      </c>
      <c r="D17394" s="8" t="inlineStr">
        <is>
          <t>Disneyland Park</t>
        </is>
      </c>
      <c r="E17394" s="8" t="inlineStr">
        <is>
          <t>Princess Pavilion</t>
        </is>
      </c>
      <c r="F17394" s="8" t="inlineStr">
        <is>
          <t>STANDBY</t>
        </is>
      </c>
      <c r="G17394" s="8" t="n">
        <v>0</v>
      </c>
      <c r="H17394" s="8" t="inlineStr">
        <is>
          <t>CLOSED</t>
        </is>
      </c>
    </row>
    <row r="17395">
      <c r="A17395" s="8" t="inlineStr">
        <is>
          <t>2026-08-03</t>
        </is>
      </c>
      <c r="B17395" s="8" t="n">
        <v>22</v>
      </c>
      <c r="C17395" s="8" t="n">
        <v>54</v>
      </c>
      <c r="D17395" s="8" t="inlineStr">
        <is>
          <t>Disneyland Park</t>
        </is>
      </c>
      <c r="E17395" s="8" t="inlineStr">
        <is>
          <t>Big Thunder Mountain</t>
        </is>
      </c>
      <c r="F17395" s="8" t="inlineStr">
        <is>
          <t>STANDBY</t>
        </is>
      </c>
      <c r="G17395" s="8" t="n">
        <v>0</v>
      </c>
      <c r="H17395" s="8" t="inlineStr">
        <is>
          <t>CLOSED</t>
        </is>
      </c>
    </row>
    <row r="17396">
      <c r="A17396" s="8" t="inlineStr">
        <is>
          <t>2026-08-03</t>
        </is>
      </c>
      <c r="B17396" s="8" t="n">
        <v>22</v>
      </c>
      <c r="C17396" s="8" t="n">
        <v>54</v>
      </c>
      <c r="D17396" s="8" t="inlineStr">
        <is>
          <t>Disneyland Park</t>
        </is>
      </c>
      <c r="E17396" s="8" t="inlineStr">
        <is>
          <t>Disneyland Railroad Frontierland Depot</t>
        </is>
      </c>
      <c r="F17396" s="8" t="inlineStr">
        <is>
          <t>STANDBY</t>
        </is>
      </c>
      <c r="G17396" s="8" t="n">
        <v>0</v>
      </c>
      <c r="H17396" s="8" t="inlineStr">
        <is>
          <t>CLOSED</t>
        </is>
      </c>
    </row>
    <row r="17397">
      <c r="A17397" s="8" t="inlineStr">
        <is>
          <t>2026-08-03</t>
        </is>
      </c>
      <c r="B17397" s="8" t="n">
        <v>22</v>
      </c>
      <c r="C17397" s="8" t="n">
        <v>54</v>
      </c>
      <c r="D17397" s="8" t="inlineStr">
        <is>
          <t>Disneyland Park</t>
        </is>
      </c>
      <c r="E17397" s="8" t="inlineStr">
        <is>
          <t>Frontierland Playground</t>
        </is>
      </c>
      <c r="F17397" s="8" t="inlineStr">
        <is>
          <t>STANDBY</t>
        </is>
      </c>
      <c r="G17397" s="8" t="n">
        <v>0</v>
      </c>
      <c r="H17397" s="8" t="inlineStr">
        <is>
          <t>CLOSED</t>
        </is>
      </c>
    </row>
    <row r="17398">
      <c r="A17398" s="8" t="inlineStr">
        <is>
          <t>2026-08-03</t>
        </is>
      </c>
      <c r="B17398" s="8" t="n">
        <v>22</v>
      </c>
      <c r="C17398" s="8" t="n">
        <v>54</v>
      </c>
      <c r="D17398" s="8" t="inlineStr">
        <is>
          <t>Disneyland Park</t>
        </is>
      </c>
      <c r="E17398" s="8" t="inlineStr">
        <is>
          <t>Phantom Manor</t>
        </is>
      </c>
      <c r="F17398" s="8" t="inlineStr">
        <is>
          <t>STANDBY</t>
        </is>
      </c>
      <c r="G17398" s="8" t="n">
        <v>0</v>
      </c>
      <c r="H17398" s="8" t="inlineStr">
        <is>
          <t>CLOSED</t>
        </is>
      </c>
    </row>
    <row r="17399">
      <c r="A17399" s="8" t="inlineStr">
        <is>
          <t>2026-08-03</t>
        </is>
      </c>
      <c r="B17399" s="8" t="n">
        <v>22</v>
      </c>
      <c r="C17399" s="8" t="n">
        <v>54</v>
      </c>
      <c r="D17399" s="8" t="inlineStr">
        <is>
          <t>Disneyland Park</t>
        </is>
      </c>
      <c r="E17399" s="8" t="inlineStr">
        <is>
          <t>River Rogue Keelboats</t>
        </is>
      </c>
      <c r="F17399" s="8" t="inlineStr">
        <is>
          <t>STANDBY</t>
        </is>
      </c>
      <c r="G17399" s="8" t="n">
        <v>0</v>
      </c>
      <c r="H17399" s="8" t="inlineStr">
        <is>
          <t>CLOSED</t>
        </is>
      </c>
    </row>
    <row r="17400">
      <c r="A17400" s="8" t="inlineStr">
        <is>
          <t>2026-08-03</t>
        </is>
      </c>
      <c r="B17400" s="8" t="n">
        <v>22</v>
      </c>
      <c r="C17400" s="8" t="n">
        <v>54</v>
      </c>
      <c r="D17400" s="8" t="inlineStr">
        <is>
          <t>Disneyland Park</t>
        </is>
      </c>
      <c r="E17400" s="8" t="inlineStr">
        <is>
          <t>Rustler Roundup Shootin' Gallery</t>
        </is>
      </c>
      <c r="F17400" s="8" t="inlineStr">
        <is>
          <t>STANDBY</t>
        </is>
      </c>
      <c r="G17400" s="8" t="n">
        <v>0</v>
      </c>
      <c r="H17400" s="8" t="inlineStr">
        <is>
          <t>CLOSED</t>
        </is>
      </c>
    </row>
    <row r="17401">
      <c r="A17401" s="8" t="inlineStr">
        <is>
          <t>2026-08-03</t>
        </is>
      </c>
      <c r="B17401" s="8" t="n">
        <v>22</v>
      </c>
      <c r="C17401" s="8" t="n">
        <v>54</v>
      </c>
      <c r="D17401" s="8" t="inlineStr">
        <is>
          <t>Disneyland Park</t>
        </is>
      </c>
      <c r="E17401" s="8" t="inlineStr">
        <is>
          <t>Thunder Mesa Riverboat Landing</t>
        </is>
      </c>
      <c r="F17401" s="8" t="inlineStr">
        <is>
          <t>STANDBY</t>
        </is>
      </c>
      <c r="G17401" s="8" t="n">
        <v>0</v>
      </c>
      <c r="H17401" s="8" t="inlineStr">
        <is>
          <t>CLOSED</t>
        </is>
      </c>
    </row>
    <row r="17402">
      <c r="A17402" s="8" t="inlineStr">
        <is>
          <t>2026-08-03</t>
        </is>
      </c>
      <c r="B17402" s="8" t="n">
        <v>22</v>
      </c>
      <c r="C17402" s="8" t="n">
        <v>54</v>
      </c>
      <c r="D17402" s="8" t="inlineStr">
        <is>
          <t>Disneyland Park</t>
        </is>
      </c>
      <c r="E17402" s="8" t="inlineStr">
        <is>
          <t>Disneyland Railroad Main Street Station</t>
        </is>
      </c>
      <c r="F17402" s="8" t="inlineStr">
        <is>
          <t>STANDBY</t>
        </is>
      </c>
      <c r="G17402" s="8" t="n">
        <v>0</v>
      </c>
      <c r="H17402" s="8" t="inlineStr">
        <is>
          <t>CLOSED</t>
        </is>
      </c>
    </row>
    <row r="17403">
      <c r="A17403" s="8" t="inlineStr">
        <is>
          <t>2026-08-03</t>
        </is>
      </c>
      <c r="B17403" s="8" t="n">
        <v>22</v>
      </c>
      <c r="C17403" s="8" t="n">
        <v>54</v>
      </c>
      <c r="D17403" s="8" t="inlineStr">
        <is>
          <t>Disneyland Park</t>
        </is>
      </c>
      <c r="E17403" s="8" t="inlineStr">
        <is>
          <t>Main Street Vehicles</t>
        </is>
      </c>
      <c r="F17403" s="8" t="inlineStr">
        <is>
          <t>STANDBY</t>
        </is>
      </c>
      <c r="G17403" s="8" t="n">
        <v>0</v>
      </c>
      <c r="H17403" s="8" t="inlineStr">
        <is>
          <t>CLOSED</t>
        </is>
      </c>
    </row>
    <row r="17404">
      <c r="A17404" s="8" t="inlineStr">
        <is>
          <t>2026-08-03</t>
        </is>
      </c>
      <c r="B17404" s="8" t="n">
        <v>22</v>
      </c>
      <c r="C17404" s="8" t="n">
        <v>54</v>
      </c>
      <c r="D17404" s="8" t="inlineStr">
        <is>
          <t>Disney Adventure World</t>
        </is>
      </c>
      <c r="E17404" s="8" t="inlineStr">
        <is>
          <t>Avengers Assemble: Flight Force</t>
        </is>
      </c>
      <c r="F17404" s="8" t="inlineStr">
        <is>
          <t>STANDBY</t>
        </is>
      </c>
      <c r="G17404" s="8" t="n">
        <v>0</v>
      </c>
      <c r="H17404" s="8" t="inlineStr">
        <is>
          <t>CLOSED</t>
        </is>
      </c>
    </row>
    <row r="17405">
      <c r="A17405" s="8" t="inlineStr">
        <is>
          <t>2026-08-03</t>
        </is>
      </c>
      <c r="B17405" s="8" t="n">
        <v>22</v>
      </c>
      <c r="C17405" s="8" t="n">
        <v>54</v>
      </c>
      <c r="D17405" s="8" t="inlineStr">
        <is>
          <t>Disney Adventure World</t>
        </is>
      </c>
      <c r="E17405" s="8" t="inlineStr">
        <is>
          <t>Avengers Assemble: Flight Force Single Rider</t>
        </is>
      </c>
      <c r="F17405" s="8" t="inlineStr">
        <is>
          <t>STANDBY</t>
        </is>
      </c>
      <c r="G17405" s="8" t="n">
        <v>0</v>
      </c>
      <c r="H17405" s="8" t="inlineStr">
        <is>
          <t>CLOSED</t>
        </is>
      </c>
    </row>
    <row r="17406">
      <c r="A17406" s="8" t="inlineStr">
        <is>
          <t>2026-08-03</t>
        </is>
      </c>
      <c r="B17406" s="8" t="n">
        <v>22</v>
      </c>
      <c r="C17406" s="8" t="n">
        <v>54</v>
      </c>
      <c r="D17406" s="8" t="inlineStr">
        <is>
          <t>Disney Adventure World</t>
        </is>
      </c>
      <c r="E17406" s="8" t="inlineStr">
        <is>
          <t>Spider-Man W.E.B. Adventure</t>
        </is>
      </c>
      <c r="F17406" s="8" t="inlineStr">
        <is>
          <t>STANDBY</t>
        </is>
      </c>
      <c r="G17406" s="8" t="n">
        <v>0</v>
      </c>
      <c r="H17406" s="8" t="inlineStr">
        <is>
          <t>CLOSED</t>
        </is>
      </c>
    </row>
    <row r="17407">
      <c r="A17407" s="8" t="inlineStr">
        <is>
          <t>2026-08-03</t>
        </is>
      </c>
      <c r="B17407" s="8" t="n">
        <v>22</v>
      </c>
      <c r="C17407" s="8" t="n">
        <v>54</v>
      </c>
      <c r="D17407" s="8" t="inlineStr">
        <is>
          <t>Disney Adventure World</t>
        </is>
      </c>
      <c r="E17407" s="8" t="inlineStr">
        <is>
          <t>Spider-Man W.E.B. Adventure Single Rider</t>
        </is>
      </c>
      <c r="F17407" s="8" t="inlineStr">
        <is>
          <t>STANDBY</t>
        </is>
      </c>
      <c r="G17407" s="8" t="n">
        <v>0</v>
      </c>
      <c r="H17407" s="8" t="inlineStr">
        <is>
          <t>CLOSED</t>
        </is>
      </c>
    </row>
    <row r="17408">
      <c r="A17408" s="8" t="inlineStr">
        <is>
          <t>2026-08-03</t>
        </is>
      </c>
      <c r="B17408" s="8" t="n">
        <v>22</v>
      </c>
      <c r="C17408" s="8" t="n">
        <v>54</v>
      </c>
      <c r="D17408" s="8" t="inlineStr">
        <is>
          <t>Disney Adventure World</t>
        </is>
      </c>
      <c r="E17408" s="8" t="inlineStr">
        <is>
          <t>The Twilight Zone Tower of Terror</t>
        </is>
      </c>
      <c r="F17408" s="8" t="inlineStr">
        <is>
          <t>STANDBY</t>
        </is>
      </c>
      <c r="G17408" s="8" t="n">
        <v>0</v>
      </c>
      <c r="H17408" s="8" t="inlineStr">
        <is>
          <t>CLOSED</t>
        </is>
      </c>
    </row>
    <row r="17409">
      <c r="A17409" s="8" t="inlineStr">
        <is>
          <t>2026-08-03</t>
        </is>
      </c>
      <c r="B17409" s="8" t="n">
        <v>22</v>
      </c>
      <c r="C17409" s="8" t="n">
        <v>54</v>
      </c>
      <c r="D17409" s="8" t="inlineStr">
        <is>
          <t>Disney Adventure World</t>
        </is>
      </c>
      <c r="E17409" s="8" t="inlineStr">
        <is>
          <t>Cars Quatre Roues Rallye</t>
        </is>
      </c>
      <c r="F17409" s="8" t="inlineStr">
        <is>
          <t>STANDBY</t>
        </is>
      </c>
      <c r="G17409" s="8" t="n">
        <v>0</v>
      </c>
      <c r="H17409" s="8" t="inlineStr">
        <is>
          <t>CLOSED</t>
        </is>
      </c>
    </row>
    <row r="17410">
      <c r="A17410" s="8" t="inlineStr">
        <is>
          <t>2026-08-03</t>
        </is>
      </c>
      <c r="B17410" s="8" t="n">
        <v>22</v>
      </c>
      <c r="C17410" s="8" t="n">
        <v>54</v>
      </c>
      <c r="D17410" s="8" t="inlineStr">
        <is>
          <t>Disney Adventure World</t>
        </is>
      </c>
      <c r="E17410" s="8" t="inlineStr">
        <is>
          <t>Cars ROAD TRIP</t>
        </is>
      </c>
      <c r="F17410" s="8" t="inlineStr">
        <is>
          <t>STANDBY</t>
        </is>
      </c>
      <c r="G17410" s="8" t="n">
        <v>0</v>
      </c>
      <c r="H17410" s="8" t="inlineStr">
        <is>
          <t>CLOSED</t>
        </is>
      </c>
    </row>
    <row r="17411">
      <c r="A17411" s="8" t="inlineStr">
        <is>
          <t>2026-08-03</t>
        </is>
      </c>
      <c r="B17411" s="8" t="n">
        <v>22</v>
      </c>
      <c r="C17411" s="8" t="n">
        <v>54</v>
      </c>
      <c r="D17411" s="8" t="inlineStr">
        <is>
          <t>Disney Adventure World</t>
        </is>
      </c>
      <c r="E17411" s="8" t="inlineStr">
        <is>
          <t>Crush's Coaster</t>
        </is>
      </c>
      <c r="F17411" s="8" t="inlineStr">
        <is>
          <t>STANDBY</t>
        </is>
      </c>
      <c r="G17411" s="8" t="n">
        <v>0</v>
      </c>
      <c r="H17411" s="8" t="inlineStr">
        <is>
          <t>CLOSED</t>
        </is>
      </c>
    </row>
    <row r="17412">
      <c r="A17412" s="8" t="inlineStr">
        <is>
          <t>2026-08-03</t>
        </is>
      </c>
      <c r="B17412" s="8" t="n">
        <v>22</v>
      </c>
      <c r="C17412" s="8" t="n">
        <v>54</v>
      </c>
      <c r="D17412" s="8" t="inlineStr">
        <is>
          <t>Disney Adventure World</t>
        </is>
      </c>
      <c r="E17412" s="8" t="inlineStr">
        <is>
          <t>Crush's Coaster Single Rider</t>
        </is>
      </c>
      <c r="F17412" s="8" t="inlineStr">
        <is>
          <t>STANDBY</t>
        </is>
      </c>
      <c r="G17412" s="8" t="n">
        <v>0</v>
      </c>
      <c r="H17412" s="8" t="inlineStr">
        <is>
          <t>CLOSED</t>
        </is>
      </c>
    </row>
    <row r="17413">
      <c r="A17413" s="8" t="inlineStr">
        <is>
          <t>2026-08-03</t>
        </is>
      </c>
      <c r="B17413" s="8" t="n">
        <v>22</v>
      </c>
      <c r="C17413" s="8" t="n">
        <v>54</v>
      </c>
      <c r="D17413" s="8" t="inlineStr">
        <is>
          <t>Disney Adventure World</t>
        </is>
      </c>
      <c r="E17413" s="8" t="inlineStr">
        <is>
          <t>Les Tapis Volants - Flying Carpets Over Agrabah®</t>
        </is>
      </c>
      <c r="F17413" s="8" t="inlineStr">
        <is>
          <t>STANDBY</t>
        </is>
      </c>
      <c r="G17413" s="8" t="n">
        <v>0</v>
      </c>
      <c r="H17413" s="8" t="inlineStr">
        <is>
          <t>CLOSED</t>
        </is>
      </c>
    </row>
    <row r="17414">
      <c r="A17414" s="8" t="inlineStr">
        <is>
          <t>2026-08-03</t>
        </is>
      </c>
      <c r="B17414" s="8" t="n">
        <v>22</v>
      </c>
      <c r="C17414" s="8" t="n">
        <v>54</v>
      </c>
      <c r="D17414" s="8" t="inlineStr">
        <is>
          <t>Disney Adventure World</t>
        </is>
      </c>
      <c r="E17414" s="8" t="inlineStr">
        <is>
          <t>Ratatouille : L’Aventure Totalement Toquée de Rémy​</t>
        </is>
      </c>
      <c r="F17414" s="8" t="inlineStr">
        <is>
          <t>STANDBY</t>
        </is>
      </c>
      <c r="G17414" s="8" t="n">
        <v>0</v>
      </c>
      <c r="H17414" s="8" t="inlineStr">
        <is>
          <t>CLOSED</t>
        </is>
      </c>
    </row>
    <row r="17415">
      <c r="A17415" s="8" t="inlineStr">
        <is>
          <t>2026-08-03</t>
        </is>
      </c>
      <c r="B17415" s="8" t="n">
        <v>22</v>
      </c>
      <c r="C17415" s="8" t="n">
        <v>54</v>
      </c>
      <c r="D17415" s="8" t="inlineStr">
        <is>
          <t>Disney Adventure World</t>
        </is>
      </c>
      <c r="E17415" s="8" t="inlineStr">
        <is>
          <t>Ratatouille: The Adventure Single Rider</t>
        </is>
      </c>
      <c r="F17415" s="8" t="inlineStr">
        <is>
          <t>STANDBY</t>
        </is>
      </c>
      <c r="G17415" s="8" t="n">
        <v>0</v>
      </c>
      <c r="H17415" s="8" t="inlineStr">
        <is>
          <t>CLOSED</t>
        </is>
      </c>
    </row>
    <row r="17416">
      <c r="A17416" s="8" t="inlineStr">
        <is>
          <t>2026-08-03</t>
        </is>
      </c>
      <c r="B17416" s="8" t="n">
        <v>22</v>
      </c>
      <c r="C17416" s="8" t="n">
        <v>54</v>
      </c>
      <c r="D17416" s="8" t="inlineStr">
        <is>
          <t>Disney Adventure World</t>
        </is>
      </c>
      <c r="E17416" s="8" t="inlineStr">
        <is>
          <t>RC Racer</t>
        </is>
      </c>
      <c r="F17416" s="8" t="inlineStr">
        <is>
          <t>STANDBY</t>
        </is>
      </c>
      <c r="G17416" s="8" t="n">
        <v>0</v>
      </c>
      <c r="H17416" s="8" t="inlineStr">
        <is>
          <t>CLOSED</t>
        </is>
      </c>
    </row>
    <row r="17417">
      <c r="A17417" s="8" t="inlineStr">
        <is>
          <t>2026-08-03</t>
        </is>
      </c>
      <c r="B17417" s="8" t="n">
        <v>22</v>
      </c>
      <c r="C17417" s="8" t="n">
        <v>54</v>
      </c>
      <c r="D17417" s="8" t="inlineStr">
        <is>
          <t>Disney Adventure World</t>
        </is>
      </c>
      <c r="E17417" s="8" t="inlineStr">
        <is>
          <t>RC Racer Single Rider</t>
        </is>
      </c>
      <c r="F17417" s="8" t="inlineStr">
        <is>
          <t>STANDBY</t>
        </is>
      </c>
      <c r="G17417" s="8" t="n">
        <v>0</v>
      </c>
      <c r="H17417" s="8" t="inlineStr">
        <is>
          <t>CLOSED</t>
        </is>
      </c>
    </row>
    <row r="17418">
      <c r="A17418" s="8" t="inlineStr">
        <is>
          <t>2026-08-03</t>
        </is>
      </c>
      <c r="B17418" s="8" t="n">
        <v>22</v>
      </c>
      <c r="C17418" s="8" t="n">
        <v>54</v>
      </c>
      <c r="D17418" s="8" t="inlineStr">
        <is>
          <t>Disney Adventure World</t>
        </is>
      </c>
      <c r="E17418" s="8" t="inlineStr">
        <is>
          <t>Slinky® Dog Zigzag Spin</t>
        </is>
      </c>
      <c r="F17418" s="8" t="inlineStr">
        <is>
          <t>STANDBY</t>
        </is>
      </c>
      <c r="G17418" s="8" t="n">
        <v>0</v>
      </c>
      <c r="H17418" s="8" t="inlineStr">
        <is>
          <t>CLOSED</t>
        </is>
      </c>
    </row>
    <row r="17419">
      <c r="A17419" s="8" t="inlineStr">
        <is>
          <t>2026-08-03</t>
        </is>
      </c>
      <c r="B17419" s="8" t="n">
        <v>22</v>
      </c>
      <c r="C17419" s="8" t="n">
        <v>54</v>
      </c>
      <c r="D17419" s="8" t="inlineStr">
        <is>
          <t>Disney Adventure World</t>
        </is>
      </c>
      <c r="E17419" s="8" t="inlineStr">
        <is>
          <t>Toy Soldiers Parachute Drop</t>
        </is>
      </c>
      <c r="F17419" s="8" t="inlineStr">
        <is>
          <t>STANDBY</t>
        </is>
      </c>
      <c r="G17419" s="8" t="n">
        <v>0</v>
      </c>
      <c r="H17419" s="8" t="inlineStr">
        <is>
          <t>CLOSED</t>
        </is>
      </c>
    </row>
    <row r="17420">
      <c r="A17420" s="8" t="inlineStr">
        <is>
          <t>2026-08-03</t>
        </is>
      </c>
      <c r="B17420" s="8" t="n">
        <v>22</v>
      </c>
      <c r="C17420" s="8" t="n">
        <v>54</v>
      </c>
      <c r="D17420" s="8" t="inlineStr">
        <is>
          <t>Disney Adventure World</t>
        </is>
      </c>
      <c r="E17420" s="8" t="inlineStr">
        <is>
          <t>Toy Soldiers Parachute Drop Single Rider</t>
        </is>
      </c>
      <c r="F17420" s="8" t="inlineStr">
        <is>
          <t>STANDBY</t>
        </is>
      </c>
      <c r="G17420" s="8" t="n">
        <v>0</v>
      </c>
      <c r="H17420" s="8" t="inlineStr">
        <is>
          <t>CLOSED</t>
        </is>
      </c>
    </row>
    <row r="17421">
      <c r="A17421" s="8" t="inlineStr">
        <is>
          <t>2026-08-03</t>
        </is>
      </c>
      <c r="B17421" s="8" t="n">
        <v>22</v>
      </c>
      <c r="C17421" s="8" t="n">
        <v>54</v>
      </c>
      <c r="D17421" s="8" t="inlineStr">
        <is>
          <t>Disney Adventure World</t>
        </is>
      </c>
      <c r="E17421" s="8" t="inlineStr">
        <is>
          <t>Entry to World of Frozen</t>
        </is>
      </c>
      <c r="F17421" s="8" t="inlineStr">
        <is>
          <t>STANDBY</t>
        </is>
      </c>
      <c r="G17421" s="8" t="n">
        <v>0</v>
      </c>
      <c r="H17421" s="8" t="inlineStr">
        <is>
          <t>CLOSED</t>
        </is>
      </c>
    </row>
    <row r="17422">
      <c r="A17422" s="8" t="inlineStr">
        <is>
          <t>2026-08-03</t>
        </is>
      </c>
      <c r="B17422" s="8" t="n">
        <v>22</v>
      </c>
      <c r="C17422" s="8" t="n">
        <v>54</v>
      </c>
      <c r="D17422" s="8" t="inlineStr">
        <is>
          <t>Disney Adventure World</t>
        </is>
      </c>
      <c r="E17422" s="8" t="inlineStr">
        <is>
          <t>Frozen Ever After</t>
        </is>
      </c>
      <c r="F17422" s="8" t="inlineStr">
        <is>
          <t>STANDBY</t>
        </is>
      </c>
      <c r="G17422" s="8" t="n">
        <v>0</v>
      </c>
      <c r="H17422" s="8" t="inlineStr">
        <is>
          <t>CLOSED</t>
        </is>
      </c>
    </row>
    <row r="17423">
      <c r="A17423" s="8" t="inlineStr">
        <is>
          <t>2026-08-03</t>
        </is>
      </c>
      <c r="B17423" s="8" t="n">
        <v>22</v>
      </c>
      <c r="C17423" s="8" t="n">
        <v>54</v>
      </c>
      <c r="D17423" s="8" t="inlineStr">
        <is>
          <t>Disney Adventure World</t>
        </is>
      </c>
      <c r="E17423" s="8" t="inlineStr">
        <is>
          <t>Raiponce Tangled Spin</t>
        </is>
      </c>
      <c r="F17423" s="8" t="inlineStr">
        <is>
          <t>STANDBY</t>
        </is>
      </c>
      <c r="G17423" s="8" t="n">
        <v>0</v>
      </c>
      <c r="H17423" s="8" t="inlineStr">
        <is>
          <t>CLOSED</t>
        </is>
      </c>
    </row>
    <row r="17424">
      <c r="A17424" s="8" t="inlineStr">
        <is>
          <t>2026-08-03</t>
        </is>
      </c>
      <c r="B17424" s="8" t="n">
        <v>23</v>
      </c>
      <c r="C17424" s="8" t="n">
        <v>1</v>
      </c>
      <c r="D17424" s="8" t="inlineStr">
        <is>
          <t>Disneyland Park</t>
        </is>
      </c>
      <c r="E17424" s="8" t="inlineStr">
        <is>
          <t>Adventure Isle</t>
        </is>
      </c>
      <c r="F17424" s="8" t="inlineStr">
        <is>
          <t>STANDBY</t>
        </is>
      </c>
      <c r="G17424" s="8" t="n">
        <v>0</v>
      </c>
      <c r="H17424" s="8" t="inlineStr">
        <is>
          <t>CLOSED</t>
        </is>
      </c>
    </row>
    <row r="17425">
      <c r="A17425" s="8" t="inlineStr">
        <is>
          <t>2026-08-03</t>
        </is>
      </c>
      <c r="B17425" s="8" t="n">
        <v>23</v>
      </c>
      <c r="C17425" s="8" t="n">
        <v>1</v>
      </c>
      <c r="D17425" s="8" t="inlineStr">
        <is>
          <t>Disneyland Park</t>
        </is>
      </c>
      <c r="E17425" s="8" t="inlineStr">
        <is>
          <t>Indiana Jones and the Temple of Peril Single Rider</t>
        </is>
      </c>
      <c r="F17425" s="8" t="inlineStr">
        <is>
          <t>STANDBY</t>
        </is>
      </c>
      <c r="G17425" s="8" t="n">
        <v>0</v>
      </c>
      <c r="H17425" s="8" t="inlineStr">
        <is>
          <t>CLOSED</t>
        </is>
      </c>
    </row>
    <row r="17426">
      <c r="A17426" s="8" t="inlineStr">
        <is>
          <t>2026-08-03</t>
        </is>
      </c>
      <c r="B17426" s="8" t="n">
        <v>23</v>
      </c>
      <c r="C17426" s="8" t="n">
        <v>1</v>
      </c>
      <c r="D17426" s="8" t="inlineStr">
        <is>
          <t>Disneyland Park</t>
        </is>
      </c>
      <c r="E17426" s="8" t="inlineStr">
        <is>
          <t>Indiana Jones™ and the Temple of Peril</t>
        </is>
      </c>
      <c r="F17426" s="8" t="inlineStr">
        <is>
          <t>STANDBY</t>
        </is>
      </c>
      <c r="G17426" s="8" t="n">
        <v>0</v>
      </c>
      <c r="H17426" s="8" t="inlineStr">
        <is>
          <t>CLOSED</t>
        </is>
      </c>
    </row>
    <row r="17427">
      <c r="A17427" s="8" t="inlineStr">
        <is>
          <t>2026-08-03</t>
        </is>
      </c>
      <c r="B17427" s="8" t="n">
        <v>23</v>
      </c>
      <c r="C17427" s="8" t="n">
        <v>1</v>
      </c>
      <c r="D17427" s="8" t="inlineStr">
        <is>
          <t>Disneyland Park</t>
        </is>
      </c>
      <c r="E17427" s="8" t="inlineStr">
        <is>
          <t>La Cabane des Robinson</t>
        </is>
      </c>
      <c r="F17427" s="8" t="inlineStr">
        <is>
          <t>STANDBY</t>
        </is>
      </c>
      <c r="G17427" s="8" t="n">
        <v>0</v>
      </c>
      <c r="H17427" s="8" t="inlineStr">
        <is>
          <t>CLOSED</t>
        </is>
      </c>
    </row>
    <row r="17428">
      <c r="A17428" s="8" t="inlineStr">
        <is>
          <t>2026-08-03</t>
        </is>
      </c>
      <c r="B17428" s="8" t="n">
        <v>23</v>
      </c>
      <c r="C17428" s="8" t="n">
        <v>1</v>
      </c>
      <c r="D17428" s="8" t="inlineStr">
        <is>
          <t>Disneyland Park</t>
        </is>
      </c>
      <c r="E17428" s="8" t="inlineStr">
        <is>
          <t>Le Passage Enchanté d'Aladdin</t>
        </is>
      </c>
      <c r="F17428" s="8" t="inlineStr">
        <is>
          <t>STANDBY</t>
        </is>
      </c>
      <c r="G17428" s="8" t="n">
        <v>0</v>
      </c>
      <c r="H17428" s="8" t="inlineStr">
        <is>
          <t>CLOSED</t>
        </is>
      </c>
    </row>
    <row r="17429">
      <c r="A17429" s="8" t="inlineStr">
        <is>
          <t>2026-08-03</t>
        </is>
      </c>
      <c r="B17429" s="8" t="n">
        <v>23</v>
      </c>
      <c r="C17429" s="8" t="n">
        <v>1</v>
      </c>
      <c r="D17429" s="8" t="inlineStr">
        <is>
          <t>Disneyland Park</t>
        </is>
      </c>
      <c r="E17429" s="8" t="inlineStr">
        <is>
          <t>Pirate Galleon</t>
        </is>
      </c>
      <c r="F17429" s="8" t="inlineStr">
        <is>
          <t>STANDBY</t>
        </is>
      </c>
      <c r="G17429" s="8" t="n">
        <v>0</v>
      </c>
      <c r="H17429" s="8" t="inlineStr">
        <is>
          <t>CLOSED</t>
        </is>
      </c>
    </row>
    <row r="17430">
      <c r="A17430" s="8" t="inlineStr">
        <is>
          <t>2026-08-03</t>
        </is>
      </c>
      <c r="B17430" s="8" t="n">
        <v>23</v>
      </c>
      <c r="C17430" s="8" t="n">
        <v>1</v>
      </c>
      <c r="D17430" s="8" t="inlineStr">
        <is>
          <t>Disneyland Park</t>
        </is>
      </c>
      <c r="E17430" s="8" t="inlineStr">
        <is>
          <t>Pirates of the Caribbean</t>
        </is>
      </c>
      <c r="F17430" s="8" t="inlineStr">
        <is>
          <t>STANDBY</t>
        </is>
      </c>
      <c r="G17430" s="8" t="n">
        <v>0</v>
      </c>
      <c r="H17430" s="8" t="inlineStr">
        <is>
          <t>CLOSED</t>
        </is>
      </c>
    </row>
    <row r="17431">
      <c r="A17431" s="8" t="inlineStr">
        <is>
          <t>2026-08-03</t>
        </is>
      </c>
      <c r="B17431" s="8" t="n">
        <v>23</v>
      </c>
      <c r="C17431" s="8" t="n">
        <v>1</v>
      </c>
      <c r="D17431" s="8" t="inlineStr">
        <is>
          <t>Disneyland Park</t>
        </is>
      </c>
      <c r="E17431" s="8" t="inlineStr">
        <is>
          <t>Pirates' Beach</t>
        </is>
      </c>
      <c r="F17431" s="8" t="inlineStr">
        <is>
          <t>STANDBY</t>
        </is>
      </c>
      <c r="G17431" s="8" t="n">
        <v>0</v>
      </c>
      <c r="H17431" s="8" t="inlineStr">
        <is>
          <t>CLOSED</t>
        </is>
      </c>
    </row>
    <row r="17432">
      <c r="A17432" s="8" t="inlineStr">
        <is>
          <t>2026-08-03</t>
        </is>
      </c>
      <c r="B17432" s="8" t="n">
        <v>23</v>
      </c>
      <c r="C17432" s="8" t="n">
        <v>1</v>
      </c>
      <c r="D17432" s="8" t="inlineStr">
        <is>
          <t>Disneyland Park</t>
        </is>
      </c>
      <c r="E17432" s="8" t="inlineStr">
        <is>
          <t>Autopia, presented by Avis</t>
        </is>
      </c>
      <c r="F17432" s="8" t="inlineStr">
        <is>
          <t>STANDBY</t>
        </is>
      </c>
      <c r="G17432" s="8" t="n">
        <v>0</v>
      </c>
      <c r="H17432" s="8" t="inlineStr">
        <is>
          <t>CLOSED</t>
        </is>
      </c>
    </row>
    <row r="17433">
      <c r="A17433" s="8" t="inlineStr">
        <is>
          <t>2026-08-03</t>
        </is>
      </c>
      <c r="B17433" s="8" t="n">
        <v>23</v>
      </c>
      <c r="C17433" s="8" t="n">
        <v>1</v>
      </c>
      <c r="D17433" s="8" t="inlineStr">
        <is>
          <t>Disneyland Park</t>
        </is>
      </c>
      <c r="E17433" s="8" t="inlineStr">
        <is>
          <t>Buzz Lightyear Laser Blast</t>
        </is>
      </c>
      <c r="F17433" s="8" t="inlineStr">
        <is>
          <t>STANDBY</t>
        </is>
      </c>
      <c r="G17433" s="8" t="n">
        <v>0</v>
      </c>
      <c r="H17433" s="8" t="inlineStr">
        <is>
          <t>CLOSED</t>
        </is>
      </c>
    </row>
    <row r="17434">
      <c r="A17434" s="8" t="inlineStr">
        <is>
          <t>2026-08-03</t>
        </is>
      </c>
      <c r="B17434" s="8" t="n">
        <v>23</v>
      </c>
      <c r="C17434" s="8" t="n">
        <v>1</v>
      </c>
      <c r="D17434" s="8" t="inlineStr">
        <is>
          <t>Disneyland Park</t>
        </is>
      </c>
      <c r="E17434" s="8" t="inlineStr">
        <is>
          <t>Disneyland Railroad Discoveryland Station</t>
        </is>
      </c>
      <c r="F17434" s="8" t="inlineStr">
        <is>
          <t>STANDBY</t>
        </is>
      </c>
      <c r="G17434" s="8" t="n">
        <v>0</v>
      </c>
      <c r="H17434" s="8" t="inlineStr">
        <is>
          <t>CLOSED</t>
        </is>
      </c>
    </row>
    <row r="17435">
      <c r="A17435" s="8" t="inlineStr">
        <is>
          <t>2026-08-03</t>
        </is>
      </c>
      <c r="B17435" s="8" t="n">
        <v>23</v>
      </c>
      <c r="C17435" s="8" t="n">
        <v>1</v>
      </c>
      <c r="D17435" s="8" t="inlineStr">
        <is>
          <t>Disneyland Park</t>
        </is>
      </c>
      <c r="E17435" s="8" t="inlineStr">
        <is>
          <t>Les Mystères du Nautilus</t>
        </is>
      </c>
      <c r="F17435" s="8" t="inlineStr">
        <is>
          <t>STANDBY</t>
        </is>
      </c>
      <c r="G17435" s="8" t="n">
        <v>0</v>
      </c>
      <c r="H17435" s="8" t="inlineStr">
        <is>
          <t>CLOSED</t>
        </is>
      </c>
    </row>
    <row r="17436">
      <c r="A17436" s="8" t="inlineStr">
        <is>
          <t>2026-08-03</t>
        </is>
      </c>
      <c r="B17436" s="8" t="n">
        <v>23</v>
      </c>
      <c r="C17436" s="8" t="n">
        <v>1</v>
      </c>
      <c r="D17436" s="8" t="inlineStr">
        <is>
          <t>Disneyland Park</t>
        </is>
      </c>
      <c r="E17436" s="8" t="inlineStr">
        <is>
          <t>Mickey’s PhilharMagic</t>
        </is>
      </c>
      <c r="F17436" s="8" t="inlineStr">
        <is>
          <t>STANDBY</t>
        </is>
      </c>
      <c r="G17436" s="8" t="n">
        <v>0</v>
      </c>
      <c r="H17436" s="8" t="inlineStr">
        <is>
          <t>CLOSED</t>
        </is>
      </c>
    </row>
    <row r="17437">
      <c r="A17437" s="8" t="inlineStr">
        <is>
          <t>2026-08-03</t>
        </is>
      </c>
      <c r="B17437" s="8" t="n">
        <v>23</v>
      </c>
      <c r="C17437" s="8" t="n">
        <v>1</v>
      </c>
      <c r="D17437" s="8" t="inlineStr">
        <is>
          <t>Disneyland Park</t>
        </is>
      </c>
      <c r="E17437" s="8" t="inlineStr">
        <is>
          <t>Orbitron®</t>
        </is>
      </c>
      <c r="F17437" s="8" t="inlineStr">
        <is>
          <t>STANDBY</t>
        </is>
      </c>
      <c r="G17437" s="8" t="n">
        <v>0</v>
      </c>
      <c r="H17437" s="8" t="inlineStr">
        <is>
          <t>CLOSED</t>
        </is>
      </c>
    </row>
    <row r="17438">
      <c r="A17438" s="8" t="inlineStr">
        <is>
          <t>2026-08-03</t>
        </is>
      </c>
      <c r="B17438" s="8" t="n">
        <v>23</v>
      </c>
      <c r="C17438" s="8" t="n">
        <v>1</v>
      </c>
      <c r="D17438" s="8" t="inlineStr">
        <is>
          <t>Disneyland Park</t>
        </is>
      </c>
      <c r="E17438" s="8" t="inlineStr">
        <is>
          <t>Star Tours: The Adventures Continue*</t>
        </is>
      </c>
      <c r="F17438" s="8" t="inlineStr">
        <is>
          <t>STANDBY</t>
        </is>
      </c>
      <c r="G17438" s="8" t="n">
        <v>0</v>
      </c>
      <c r="H17438" s="8" t="inlineStr">
        <is>
          <t>CLOSED</t>
        </is>
      </c>
    </row>
    <row r="17439">
      <c r="A17439" s="8" t="inlineStr">
        <is>
          <t>2026-08-03</t>
        </is>
      </c>
      <c r="B17439" s="8" t="n">
        <v>23</v>
      </c>
      <c r="C17439" s="8" t="n">
        <v>1</v>
      </c>
      <c r="D17439" s="8" t="inlineStr">
        <is>
          <t>Disneyland Park</t>
        </is>
      </c>
      <c r="E17439" s="8" t="inlineStr">
        <is>
          <t>Star Wars Hyperspace Mountain</t>
        </is>
      </c>
      <c r="F17439" s="8" t="inlineStr">
        <is>
          <t>STANDBY</t>
        </is>
      </c>
      <c r="G17439" s="8" t="n">
        <v>0</v>
      </c>
      <c r="H17439" s="8" t="inlineStr">
        <is>
          <t>CLOSED</t>
        </is>
      </c>
    </row>
    <row r="17440">
      <c r="A17440" s="8" t="inlineStr">
        <is>
          <t>2026-08-03</t>
        </is>
      </c>
      <c r="B17440" s="8" t="n">
        <v>23</v>
      </c>
      <c r="C17440" s="8" t="n">
        <v>1</v>
      </c>
      <c r="D17440" s="8" t="inlineStr">
        <is>
          <t>Disneyland Park</t>
        </is>
      </c>
      <c r="E17440" s="8" t="inlineStr">
        <is>
          <t>Star Wars Hyperspace Mountain Single Rider</t>
        </is>
      </c>
      <c r="F17440" s="8" t="inlineStr">
        <is>
          <t>STANDBY</t>
        </is>
      </c>
      <c r="G17440" s="8" t="n">
        <v>0</v>
      </c>
      <c r="H17440" s="8" t="inlineStr">
        <is>
          <t>CLOSED</t>
        </is>
      </c>
    </row>
    <row r="17441">
      <c r="A17441" s="8" t="inlineStr">
        <is>
          <t>2026-08-03</t>
        </is>
      </c>
      <c r="B17441" s="8" t="n">
        <v>23</v>
      </c>
      <c r="C17441" s="8" t="n">
        <v>1</v>
      </c>
      <c r="D17441" s="8" t="inlineStr">
        <is>
          <t>Disneyland Park</t>
        </is>
      </c>
      <c r="E17441" s="8" t="inlineStr">
        <is>
          <t>Welcome to Starport: A Star Wars Encounter</t>
        </is>
      </c>
      <c r="F17441" s="8" t="inlineStr">
        <is>
          <t>STANDBY</t>
        </is>
      </c>
      <c r="G17441" s="8" t="n">
        <v>0</v>
      </c>
      <c r="H17441" s="8" t="inlineStr">
        <is>
          <t>CLOSED</t>
        </is>
      </c>
    </row>
    <row r="17442">
      <c r="A17442" s="8" t="inlineStr">
        <is>
          <t>2026-08-03</t>
        </is>
      </c>
      <c r="B17442" s="8" t="n">
        <v>23</v>
      </c>
      <c r="C17442" s="8" t="n">
        <v>1</v>
      </c>
      <c r="D17442" s="8" t="inlineStr">
        <is>
          <t>Disneyland Park</t>
        </is>
      </c>
      <c r="E17442" s="8" t="inlineStr">
        <is>
          <t>"it's a small world"</t>
        </is>
      </c>
      <c r="F17442" s="8" t="inlineStr">
        <is>
          <t>STANDBY</t>
        </is>
      </c>
      <c r="G17442" s="8" t="n">
        <v>0</v>
      </c>
      <c r="H17442" s="8" t="inlineStr">
        <is>
          <t>CLOSED</t>
        </is>
      </c>
    </row>
    <row r="17443">
      <c r="A17443" s="8" t="inlineStr">
        <is>
          <t>2026-08-03</t>
        </is>
      </c>
      <c r="B17443" s="8" t="n">
        <v>23</v>
      </c>
      <c r="C17443" s="8" t="n">
        <v>1</v>
      </c>
      <c r="D17443" s="8" t="inlineStr">
        <is>
          <t>Disneyland Park</t>
        </is>
      </c>
      <c r="E17443" s="8" t="inlineStr">
        <is>
          <t>Alice's Curious Labyrinth</t>
        </is>
      </c>
      <c r="F17443" s="8" t="inlineStr">
        <is>
          <t>STANDBY</t>
        </is>
      </c>
      <c r="G17443" s="8" t="n">
        <v>0</v>
      </c>
      <c r="H17443" s="8" t="inlineStr">
        <is>
          <t>CLOSED</t>
        </is>
      </c>
    </row>
    <row r="17444">
      <c r="A17444" s="8" t="inlineStr">
        <is>
          <t>2026-08-03</t>
        </is>
      </c>
      <c r="B17444" s="8" t="n">
        <v>23</v>
      </c>
      <c r="C17444" s="8" t="n">
        <v>1</v>
      </c>
      <c r="D17444" s="8" t="inlineStr">
        <is>
          <t>Disneyland Park</t>
        </is>
      </c>
      <c r="E17444" s="8" t="inlineStr">
        <is>
          <t>Blanche-Neige et les Sept Nains®</t>
        </is>
      </c>
      <c r="F17444" s="8" t="inlineStr">
        <is>
          <t>STANDBY</t>
        </is>
      </c>
      <c r="G17444" s="8" t="n">
        <v>0</v>
      </c>
      <c r="H17444" s="8" t="inlineStr">
        <is>
          <t>CLOSED</t>
        </is>
      </c>
    </row>
    <row r="17445">
      <c r="A17445" s="8" t="inlineStr">
        <is>
          <t>2026-08-03</t>
        </is>
      </c>
      <c r="B17445" s="8" t="n">
        <v>23</v>
      </c>
      <c r="C17445" s="8" t="n">
        <v>1</v>
      </c>
      <c r="D17445" s="8" t="inlineStr">
        <is>
          <t>Disneyland Park</t>
        </is>
      </c>
      <c r="E17445" s="8" t="inlineStr">
        <is>
          <t>Casey Jr. – le Petit Train du Cirque</t>
        </is>
      </c>
      <c r="F17445" s="8" t="inlineStr">
        <is>
          <t>STANDBY</t>
        </is>
      </c>
      <c r="G17445" s="8" t="n">
        <v>0</v>
      </c>
      <c r="H17445" s="8" t="inlineStr">
        <is>
          <t>CLOSED</t>
        </is>
      </c>
    </row>
    <row r="17446">
      <c r="A17446" s="8" t="inlineStr">
        <is>
          <t>2026-08-03</t>
        </is>
      </c>
      <c r="B17446" s="8" t="n">
        <v>23</v>
      </c>
      <c r="C17446" s="8" t="n">
        <v>1</v>
      </c>
      <c r="D17446" s="8" t="inlineStr">
        <is>
          <t>Disneyland Park</t>
        </is>
      </c>
      <c r="E17446" s="8" t="inlineStr">
        <is>
          <t>Disneyland Railroad Fantasyland Station</t>
        </is>
      </c>
      <c r="F17446" s="8" t="inlineStr">
        <is>
          <t>STANDBY</t>
        </is>
      </c>
      <c r="G17446" s="8" t="n">
        <v>0</v>
      </c>
      <c r="H17446" s="8" t="inlineStr">
        <is>
          <t>CLOSED</t>
        </is>
      </c>
    </row>
    <row r="17447">
      <c r="A17447" s="8" t="inlineStr">
        <is>
          <t>2026-08-03</t>
        </is>
      </c>
      <c r="B17447" s="8" t="n">
        <v>23</v>
      </c>
      <c r="C17447" s="8" t="n">
        <v>1</v>
      </c>
      <c r="D17447" s="8" t="inlineStr">
        <is>
          <t>Disneyland Park</t>
        </is>
      </c>
      <c r="E17447" s="8" t="inlineStr">
        <is>
          <t>Disneyland Railroad Main Street Station</t>
        </is>
      </c>
      <c r="F17447" s="8" t="inlineStr">
        <is>
          <t>STANDBY</t>
        </is>
      </c>
      <c r="G17447" s="8" t="n">
        <v>0</v>
      </c>
      <c r="H17447" s="8" t="inlineStr">
        <is>
          <t>CLOSED</t>
        </is>
      </c>
    </row>
    <row r="17448">
      <c r="A17448" s="8" t="inlineStr">
        <is>
          <t>2026-08-03</t>
        </is>
      </c>
      <c r="B17448" s="8" t="n">
        <v>23</v>
      </c>
      <c r="C17448" s="8" t="n">
        <v>1</v>
      </c>
      <c r="D17448" s="8" t="inlineStr">
        <is>
          <t>Disneyland Park</t>
        </is>
      </c>
      <c r="E17448" s="8" t="inlineStr">
        <is>
          <t>Dumbo the Flying Elephant</t>
        </is>
      </c>
      <c r="F17448" s="8" t="inlineStr">
        <is>
          <t>STANDBY</t>
        </is>
      </c>
      <c r="G17448" s="8" t="n">
        <v>0</v>
      </c>
      <c r="H17448" s="8" t="inlineStr">
        <is>
          <t>CLOSED</t>
        </is>
      </c>
    </row>
    <row r="17449">
      <c r="A17449" s="8" t="inlineStr">
        <is>
          <t>2026-08-03</t>
        </is>
      </c>
      <c r="B17449" s="8" t="n">
        <v>23</v>
      </c>
      <c r="C17449" s="8" t="n">
        <v>1</v>
      </c>
      <c r="D17449" s="8" t="inlineStr">
        <is>
          <t>Disneyland Park</t>
        </is>
      </c>
      <c r="E17449" s="8" t="inlineStr">
        <is>
          <t>La Tanière du Dragon</t>
        </is>
      </c>
      <c r="F17449" s="8" t="inlineStr">
        <is>
          <t>STANDBY</t>
        </is>
      </c>
      <c r="G17449" s="8" t="n">
        <v>0</v>
      </c>
      <c r="H17449" s="8" t="inlineStr">
        <is>
          <t>CLOSED</t>
        </is>
      </c>
    </row>
    <row r="17450">
      <c r="A17450" s="8" t="inlineStr">
        <is>
          <t>2026-08-03</t>
        </is>
      </c>
      <c r="B17450" s="8" t="n">
        <v>23</v>
      </c>
      <c r="C17450" s="8" t="n">
        <v>1</v>
      </c>
      <c r="D17450" s="8" t="inlineStr">
        <is>
          <t>Disneyland Park</t>
        </is>
      </c>
      <c r="E17450" s="8" t="inlineStr">
        <is>
          <t>Le Carrousel de Lancelot</t>
        </is>
      </c>
      <c r="F17450" s="8" t="inlineStr">
        <is>
          <t>STANDBY</t>
        </is>
      </c>
      <c r="G17450" s="8" t="n">
        <v>0</v>
      </c>
      <c r="H17450" s="8" t="inlineStr">
        <is>
          <t>CLOSED</t>
        </is>
      </c>
    </row>
    <row r="17451">
      <c r="A17451" s="8" t="inlineStr">
        <is>
          <t>2026-08-03</t>
        </is>
      </c>
      <c r="B17451" s="8" t="n">
        <v>23</v>
      </c>
      <c r="C17451" s="8" t="n">
        <v>1</v>
      </c>
      <c r="D17451" s="8" t="inlineStr">
        <is>
          <t>Disneyland Park</t>
        </is>
      </c>
      <c r="E17451" s="8" t="inlineStr">
        <is>
          <t>Le Pays des Contes de Fées, presented by Vittel</t>
        </is>
      </c>
      <c r="F17451" s="8" t="inlineStr">
        <is>
          <t>STANDBY</t>
        </is>
      </c>
      <c r="G17451" s="8" t="n">
        <v>0</v>
      </c>
      <c r="H17451" s="8" t="inlineStr">
        <is>
          <t>CLOSED</t>
        </is>
      </c>
    </row>
    <row r="17452">
      <c r="A17452" s="8" t="inlineStr">
        <is>
          <t>2026-08-03</t>
        </is>
      </c>
      <c r="B17452" s="8" t="n">
        <v>23</v>
      </c>
      <c r="C17452" s="8" t="n">
        <v>1</v>
      </c>
      <c r="D17452" s="8" t="inlineStr">
        <is>
          <t>Disneyland Park</t>
        </is>
      </c>
      <c r="E17452" s="8" t="inlineStr">
        <is>
          <t>Les Voyages de Pinocchio</t>
        </is>
      </c>
      <c r="F17452" s="8" t="inlineStr">
        <is>
          <t>STANDBY</t>
        </is>
      </c>
      <c r="G17452" s="8" t="n">
        <v>0</v>
      </c>
      <c r="H17452" s="8" t="inlineStr">
        <is>
          <t>CLOSED</t>
        </is>
      </c>
    </row>
    <row r="17453">
      <c r="A17453" s="8" t="inlineStr">
        <is>
          <t>2026-08-03</t>
        </is>
      </c>
      <c r="B17453" s="8" t="n">
        <v>23</v>
      </c>
      <c r="C17453" s="8" t="n">
        <v>1</v>
      </c>
      <c r="D17453" s="8" t="inlineStr">
        <is>
          <t>Disneyland Park</t>
        </is>
      </c>
      <c r="E17453" s="8" t="inlineStr">
        <is>
          <t>Mad Hatter's Tea Cups</t>
        </is>
      </c>
      <c r="F17453" s="8" t="inlineStr">
        <is>
          <t>STANDBY</t>
        </is>
      </c>
      <c r="G17453" s="8" t="n">
        <v>0</v>
      </c>
      <c r="H17453" s="8" t="inlineStr">
        <is>
          <t>CLOSED</t>
        </is>
      </c>
    </row>
    <row r="17454">
      <c r="A17454" s="8" t="inlineStr">
        <is>
          <t>2026-08-03</t>
        </is>
      </c>
      <c r="B17454" s="8" t="n">
        <v>23</v>
      </c>
      <c r="C17454" s="8" t="n">
        <v>1</v>
      </c>
      <c r="D17454" s="8" t="inlineStr">
        <is>
          <t>Disneyland Park</t>
        </is>
      </c>
      <c r="E17454" s="8" t="inlineStr">
        <is>
          <t>Meet Mickey Mouse</t>
        </is>
      </c>
      <c r="F17454" s="8" t="inlineStr">
        <is>
          <t>STANDBY</t>
        </is>
      </c>
      <c r="G17454" s="8" t="n">
        <v>0</v>
      </c>
      <c r="H17454" s="8" t="inlineStr">
        <is>
          <t>CLOSED</t>
        </is>
      </c>
    </row>
    <row r="17455">
      <c r="A17455" s="8" t="inlineStr">
        <is>
          <t>2026-08-03</t>
        </is>
      </c>
      <c r="B17455" s="8" t="n">
        <v>23</v>
      </c>
      <c r="C17455" s="8" t="n">
        <v>1</v>
      </c>
      <c r="D17455" s="8" t="inlineStr">
        <is>
          <t>Disneyland Park</t>
        </is>
      </c>
      <c r="E17455" s="8" t="inlineStr">
        <is>
          <t>Peter Pan's Flight</t>
        </is>
      </c>
      <c r="F17455" s="8" t="inlineStr">
        <is>
          <t>STANDBY</t>
        </is>
      </c>
      <c r="G17455" s="8" t="n">
        <v>0</v>
      </c>
      <c r="H17455" s="8" t="inlineStr">
        <is>
          <t>CLOSED</t>
        </is>
      </c>
    </row>
    <row r="17456">
      <c r="A17456" s="8" t="inlineStr">
        <is>
          <t>2026-08-03</t>
        </is>
      </c>
      <c r="B17456" s="8" t="n">
        <v>23</v>
      </c>
      <c r="C17456" s="8" t="n">
        <v>1</v>
      </c>
      <c r="D17456" s="8" t="inlineStr">
        <is>
          <t>Disneyland Park</t>
        </is>
      </c>
      <c r="E17456" s="8" t="inlineStr">
        <is>
          <t>Princess Pavilion</t>
        </is>
      </c>
      <c r="F17456" s="8" t="inlineStr">
        <is>
          <t>STANDBY</t>
        </is>
      </c>
      <c r="G17456" s="8" t="n">
        <v>0</v>
      </c>
      <c r="H17456" s="8" t="inlineStr">
        <is>
          <t>CLOSED</t>
        </is>
      </c>
    </row>
    <row r="17457">
      <c r="A17457" s="8" t="inlineStr">
        <is>
          <t>2026-08-03</t>
        </is>
      </c>
      <c r="B17457" s="8" t="n">
        <v>23</v>
      </c>
      <c r="C17457" s="8" t="n">
        <v>1</v>
      </c>
      <c r="D17457" s="8" t="inlineStr">
        <is>
          <t>Disneyland Park</t>
        </is>
      </c>
      <c r="E17457" s="8" t="inlineStr">
        <is>
          <t>Big Thunder Mountain</t>
        </is>
      </c>
      <c r="F17457" s="8" t="inlineStr">
        <is>
          <t>STANDBY</t>
        </is>
      </c>
      <c r="G17457" s="8" t="n">
        <v>0</v>
      </c>
      <c r="H17457" s="8" t="inlineStr">
        <is>
          <t>CLOSED</t>
        </is>
      </c>
    </row>
    <row r="17458">
      <c r="A17458" s="8" t="inlineStr">
        <is>
          <t>2026-08-03</t>
        </is>
      </c>
      <c r="B17458" s="8" t="n">
        <v>23</v>
      </c>
      <c r="C17458" s="8" t="n">
        <v>1</v>
      </c>
      <c r="D17458" s="8" t="inlineStr">
        <is>
          <t>Disneyland Park</t>
        </is>
      </c>
      <c r="E17458" s="8" t="inlineStr">
        <is>
          <t>Disneyland Railroad Frontierland Depot</t>
        </is>
      </c>
      <c r="F17458" s="8" t="inlineStr">
        <is>
          <t>STANDBY</t>
        </is>
      </c>
      <c r="G17458" s="8" t="n">
        <v>0</v>
      </c>
      <c r="H17458" s="8" t="inlineStr">
        <is>
          <t>CLOSED</t>
        </is>
      </c>
    </row>
    <row r="17459">
      <c r="A17459" s="8" t="inlineStr">
        <is>
          <t>2026-08-03</t>
        </is>
      </c>
      <c r="B17459" s="8" t="n">
        <v>23</v>
      </c>
      <c r="C17459" s="8" t="n">
        <v>1</v>
      </c>
      <c r="D17459" s="8" t="inlineStr">
        <is>
          <t>Disneyland Park</t>
        </is>
      </c>
      <c r="E17459" s="8" t="inlineStr">
        <is>
          <t>Frontierland Playground</t>
        </is>
      </c>
      <c r="F17459" s="8" t="inlineStr">
        <is>
          <t>STANDBY</t>
        </is>
      </c>
      <c r="G17459" s="8" t="n">
        <v>0</v>
      </c>
      <c r="H17459" s="8" t="inlineStr">
        <is>
          <t>CLOSED</t>
        </is>
      </c>
    </row>
    <row r="17460">
      <c r="A17460" s="8" t="inlineStr">
        <is>
          <t>2026-08-03</t>
        </is>
      </c>
      <c r="B17460" s="8" t="n">
        <v>23</v>
      </c>
      <c r="C17460" s="8" t="n">
        <v>1</v>
      </c>
      <c r="D17460" s="8" t="inlineStr">
        <is>
          <t>Disneyland Park</t>
        </is>
      </c>
      <c r="E17460" s="8" t="inlineStr">
        <is>
          <t>Phantom Manor</t>
        </is>
      </c>
      <c r="F17460" s="8" t="inlineStr">
        <is>
          <t>STANDBY</t>
        </is>
      </c>
      <c r="G17460" s="8" t="n">
        <v>0</v>
      </c>
      <c r="H17460" s="8" t="inlineStr">
        <is>
          <t>CLOSED</t>
        </is>
      </c>
    </row>
    <row r="17461">
      <c r="A17461" s="8" t="inlineStr">
        <is>
          <t>2026-08-03</t>
        </is>
      </c>
      <c r="B17461" s="8" t="n">
        <v>23</v>
      </c>
      <c r="C17461" s="8" t="n">
        <v>1</v>
      </c>
      <c r="D17461" s="8" t="inlineStr">
        <is>
          <t>Disneyland Park</t>
        </is>
      </c>
      <c r="E17461" s="8" t="inlineStr">
        <is>
          <t>River Rogue Keelboats</t>
        </is>
      </c>
      <c r="F17461" s="8" t="inlineStr">
        <is>
          <t>STANDBY</t>
        </is>
      </c>
      <c r="G17461" s="8" t="n">
        <v>0</v>
      </c>
      <c r="H17461" s="8" t="inlineStr">
        <is>
          <t>CLOSED</t>
        </is>
      </c>
    </row>
    <row r="17462">
      <c r="A17462" s="8" t="inlineStr">
        <is>
          <t>2026-08-03</t>
        </is>
      </c>
      <c r="B17462" s="8" t="n">
        <v>23</v>
      </c>
      <c r="C17462" s="8" t="n">
        <v>1</v>
      </c>
      <c r="D17462" s="8" t="inlineStr">
        <is>
          <t>Disneyland Park</t>
        </is>
      </c>
      <c r="E17462" s="8" t="inlineStr">
        <is>
          <t>Rustler Roundup Shootin' Gallery</t>
        </is>
      </c>
      <c r="F17462" s="8" t="inlineStr">
        <is>
          <t>STANDBY</t>
        </is>
      </c>
      <c r="G17462" s="8" t="n">
        <v>0</v>
      </c>
      <c r="H17462" s="8" t="inlineStr">
        <is>
          <t>CLOSED</t>
        </is>
      </c>
    </row>
    <row r="17463">
      <c r="A17463" s="8" t="inlineStr">
        <is>
          <t>2026-08-03</t>
        </is>
      </c>
      <c r="B17463" s="8" t="n">
        <v>23</v>
      </c>
      <c r="C17463" s="8" t="n">
        <v>1</v>
      </c>
      <c r="D17463" s="8" t="inlineStr">
        <is>
          <t>Disneyland Park</t>
        </is>
      </c>
      <c r="E17463" s="8" t="inlineStr">
        <is>
          <t>Thunder Mesa Riverboat Landing</t>
        </is>
      </c>
      <c r="F17463" s="8" t="inlineStr">
        <is>
          <t>STANDBY</t>
        </is>
      </c>
      <c r="G17463" s="8" t="n">
        <v>0</v>
      </c>
      <c r="H17463" s="8" t="inlineStr">
        <is>
          <t>CLOSED</t>
        </is>
      </c>
    </row>
    <row r="17464">
      <c r="A17464" s="8" t="inlineStr">
        <is>
          <t>2026-08-03</t>
        </is>
      </c>
      <c r="B17464" s="8" t="n">
        <v>23</v>
      </c>
      <c r="C17464" s="8" t="n">
        <v>1</v>
      </c>
      <c r="D17464" s="8" t="inlineStr">
        <is>
          <t>Disneyland Park</t>
        </is>
      </c>
      <c r="E17464" s="8" t="inlineStr">
        <is>
          <t>Disneyland Railroad Main Street Station</t>
        </is>
      </c>
      <c r="F17464" s="8" t="inlineStr">
        <is>
          <t>STANDBY</t>
        </is>
      </c>
      <c r="G17464" s="8" t="n">
        <v>0</v>
      </c>
      <c r="H17464" s="8" t="inlineStr">
        <is>
          <t>CLOSED</t>
        </is>
      </c>
    </row>
    <row r="17465">
      <c r="A17465" s="8" t="inlineStr">
        <is>
          <t>2026-08-03</t>
        </is>
      </c>
      <c r="B17465" s="8" t="n">
        <v>23</v>
      </c>
      <c r="C17465" s="8" t="n">
        <v>1</v>
      </c>
      <c r="D17465" s="8" t="inlineStr">
        <is>
          <t>Disneyland Park</t>
        </is>
      </c>
      <c r="E17465" s="8" t="inlineStr">
        <is>
          <t>Main Street Vehicles</t>
        </is>
      </c>
      <c r="F17465" s="8" t="inlineStr">
        <is>
          <t>STANDBY</t>
        </is>
      </c>
      <c r="G17465" s="8" t="n">
        <v>0</v>
      </c>
      <c r="H17465" s="8" t="inlineStr">
        <is>
          <t>CLOSED</t>
        </is>
      </c>
    </row>
    <row r="17466">
      <c r="A17466" s="8" t="inlineStr">
        <is>
          <t>2026-08-03</t>
        </is>
      </c>
      <c r="B17466" s="8" t="n">
        <v>23</v>
      </c>
      <c r="C17466" s="8" t="n">
        <v>1</v>
      </c>
      <c r="D17466" s="8" t="inlineStr">
        <is>
          <t>Disney Adventure World</t>
        </is>
      </c>
      <c r="E17466" s="8" t="inlineStr">
        <is>
          <t>Avengers Assemble: Flight Force</t>
        </is>
      </c>
      <c r="F17466" s="8" t="inlineStr">
        <is>
          <t>STANDBY</t>
        </is>
      </c>
      <c r="G17466" s="8" t="n">
        <v>0</v>
      </c>
      <c r="H17466" s="8" t="inlineStr">
        <is>
          <t>CLOSED</t>
        </is>
      </c>
    </row>
    <row r="17467">
      <c r="A17467" s="8" t="inlineStr">
        <is>
          <t>2026-08-03</t>
        </is>
      </c>
      <c r="B17467" s="8" t="n">
        <v>23</v>
      </c>
      <c r="C17467" s="8" t="n">
        <v>1</v>
      </c>
      <c r="D17467" s="8" t="inlineStr">
        <is>
          <t>Disney Adventure World</t>
        </is>
      </c>
      <c r="E17467" s="8" t="inlineStr">
        <is>
          <t>Avengers Assemble: Flight Force Single Rider</t>
        </is>
      </c>
      <c r="F17467" s="8" t="inlineStr">
        <is>
          <t>STANDBY</t>
        </is>
      </c>
      <c r="G17467" s="8" t="n">
        <v>0</v>
      </c>
      <c r="H17467" s="8" t="inlineStr">
        <is>
          <t>CLOSED</t>
        </is>
      </c>
    </row>
    <row r="17468">
      <c r="A17468" s="8" t="inlineStr">
        <is>
          <t>2026-08-03</t>
        </is>
      </c>
      <c r="B17468" s="8" t="n">
        <v>23</v>
      </c>
      <c r="C17468" s="8" t="n">
        <v>1</v>
      </c>
      <c r="D17468" s="8" t="inlineStr">
        <is>
          <t>Disney Adventure World</t>
        </is>
      </c>
      <c r="E17468" s="8" t="inlineStr">
        <is>
          <t>Spider-Man W.E.B. Adventure</t>
        </is>
      </c>
      <c r="F17468" s="8" t="inlineStr">
        <is>
          <t>STANDBY</t>
        </is>
      </c>
      <c r="G17468" s="8" t="n">
        <v>0</v>
      </c>
      <c r="H17468" s="8" t="inlineStr">
        <is>
          <t>CLOSED</t>
        </is>
      </c>
    </row>
    <row r="17469">
      <c r="A17469" s="8" t="inlineStr">
        <is>
          <t>2026-08-03</t>
        </is>
      </c>
      <c r="B17469" s="8" t="n">
        <v>23</v>
      </c>
      <c r="C17469" s="8" t="n">
        <v>1</v>
      </c>
      <c r="D17469" s="8" t="inlineStr">
        <is>
          <t>Disney Adventure World</t>
        </is>
      </c>
      <c r="E17469" s="8" t="inlineStr">
        <is>
          <t>Spider-Man W.E.B. Adventure Single Rider</t>
        </is>
      </c>
      <c r="F17469" s="8" t="inlineStr">
        <is>
          <t>STANDBY</t>
        </is>
      </c>
      <c r="G17469" s="8" t="n">
        <v>0</v>
      </c>
      <c r="H17469" s="8" t="inlineStr">
        <is>
          <t>CLOSED</t>
        </is>
      </c>
    </row>
    <row r="17470">
      <c r="A17470" s="8" t="inlineStr">
        <is>
          <t>2026-08-03</t>
        </is>
      </c>
      <c r="B17470" s="8" t="n">
        <v>23</v>
      </c>
      <c r="C17470" s="8" t="n">
        <v>1</v>
      </c>
      <c r="D17470" s="8" t="inlineStr">
        <is>
          <t>Disney Adventure World</t>
        </is>
      </c>
      <c r="E17470" s="8" t="inlineStr">
        <is>
          <t>The Twilight Zone Tower of Terror</t>
        </is>
      </c>
      <c r="F17470" s="8" t="inlineStr">
        <is>
          <t>STANDBY</t>
        </is>
      </c>
      <c r="G17470" s="8" t="n">
        <v>0</v>
      </c>
      <c r="H17470" s="8" t="inlineStr">
        <is>
          <t>CLOSED</t>
        </is>
      </c>
    </row>
    <row r="17471">
      <c r="A17471" s="8" t="inlineStr">
        <is>
          <t>2026-08-03</t>
        </is>
      </c>
      <c r="B17471" s="8" t="n">
        <v>23</v>
      </c>
      <c r="C17471" s="8" t="n">
        <v>1</v>
      </c>
      <c r="D17471" s="8" t="inlineStr">
        <is>
          <t>Disney Adventure World</t>
        </is>
      </c>
      <c r="E17471" s="8" t="inlineStr">
        <is>
          <t>Cars Quatre Roues Rallye</t>
        </is>
      </c>
      <c r="F17471" s="8" t="inlineStr">
        <is>
          <t>STANDBY</t>
        </is>
      </c>
      <c r="G17471" s="8" t="n">
        <v>0</v>
      </c>
      <c r="H17471" s="8" t="inlineStr">
        <is>
          <t>CLOSED</t>
        </is>
      </c>
    </row>
    <row r="17472">
      <c r="A17472" s="8" t="inlineStr">
        <is>
          <t>2026-08-03</t>
        </is>
      </c>
      <c r="B17472" s="8" t="n">
        <v>23</v>
      </c>
      <c r="C17472" s="8" t="n">
        <v>1</v>
      </c>
      <c r="D17472" s="8" t="inlineStr">
        <is>
          <t>Disney Adventure World</t>
        </is>
      </c>
      <c r="E17472" s="8" t="inlineStr">
        <is>
          <t>Cars ROAD TRIP</t>
        </is>
      </c>
      <c r="F17472" s="8" t="inlineStr">
        <is>
          <t>STANDBY</t>
        </is>
      </c>
      <c r="G17472" s="8" t="n">
        <v>0</v>
      </c>
      <c r="H17472" s="8" t="inlineStr">
        <is>
          <t>CLOSED</t>
        </is>
      </c>
    </row>
    <row r="17473">
      <c r="A17473" s="8" t="inlineStr">
        <is>
          <t>2026-08-03</t>
        </is>
      </c>
      <c r="B17473" s="8" t="n">
        <v>23</v>
      </c>
      <c r="C17473" s="8" t="n">
        <v>1</v>
      </c>
      <c r="D17473" s="8" t="inlineStr">
        <is>
          <t>Disney Adventure World</t>
        </is>
      </c>
      <c r="E17473" s="8" t="inlineStr">
        <is>
          <t>Crush's Coaster</t>
        </is>
      </c>
      <c r="F17473" s="8" t="inlineStr">
        <is>
          <t>STANDBY</t>
        </is>
      </c>
      <c r="G17473" s="8" t="n">
        <v>0</v>
      </c>
      <c r="H17473" s="8" t="inlineStr">
        <is>
          <t>CLOSED</t>
        </is>
      </c>
    </row>
    <row r="17474">
      <c r="A17474" s="8" t="inlineStr">
        <is>
          <t>2026-08-03</t>
        </is>
      </c>
      <c r="B17474" s="8" t="n">
        <v>23</v>
      </c>
      <c r="C17474" s="8" t="n">
        <v>1</v>
      </c>
      <c r="D17474" s="8" t="inlineStr">
        <is>
          <t>Disney Adventure World</t>
        </is>
      </c>
      <c r="E17474" s="8" t="inlineStr">
        <is>
          <t>Crush's Coaster Single Rider</t>
        </is>
      </c>
      <c r="F17474" s="8" t="inlineStr">
        <is>
          <t>STANDBY</t>
        </is>
      </c>
      <c r="G17474" s="8" t="n">
        <v>0</v>
      </c>
      <c r="H17474" s="8" t="inlineStr">
        <is>
          <t>CLOSED</t>
        </is>
      </c>
    </row>
    <row r="17475">
      <c r="A17475" s="8" t="inlineStr">
        <is>
          <t>2026-08-03</t>
        </is>
      </c>
      <c r="B17475" s="8" t="n">
        <v>23</v>
      </c>
      <c r="C17475" s="8" t="n">
        <v>1</v>
      </c>
      <c r="D17475" s="8" t="inlineStr">
        <is>
          <t>Disney Adventure World</t>
        </is>
      </c>
      <c r="E17475" s="8" t="inlineStr">
        <is>
          <t>Les Tapis Volants - Flying Carpets Over Agrabah®</t>
        </is>
      </c>
      <c r="F17475" s="8" t="inlineStr">
        <is>
          <t>STANDBY</t>
        </is>
      </c>
      <c r="G17475" s="8" t="n">
        <v>0</v>
      </c>
      <c r="H17475" s="8" t="inlineStr">
        <is>
          <t>CLOSED</t>
        </is>
      </c>
    </row>
    <row r="17476">
      <c r="A17476" s="8" t="inlineStr">
        <is>
          <t>2026-08-03</t>
        </is>
      </c>
      <c r="B17476" s="8" t="n">
        <v>23</v>
      </c>
      <c r="C17476" s="8" t="n">
        <v>1</v>
      </c>
      <c r="D17476" s="8" t="inlineStr">
        <is>
          <t>Disney Adventure World</t>
        </is>
      </c>
      <c r="E17476" s="8" t="inlineStr">
        <is>
          <t>Ratatouille : L’Aventure Totalement Toquée de Rémy​</t>
        </is>
      </c>
      <c r="F17476" s="8" t="inlineStr">
        <is>
          <t>STANDBY</t>
        </is>
      </c>
      <c r="G17476" s="8" t="n">
        <v>0</v>
      </c>
      <c r="H17476" s="8" t="inlineStr">
        <is>
          <t>CLOSED</t>
        </is>
      </c>
    </row>
    <row r="17477">
      <c r="A17477" s="8" t="inlineStr">
        <is>
          <t>2026-08-03</t>
        </is>
      </c>
      <c r="B17477" s="8" t="n">
        <v>23</v>
      </c>
      <c r="C17477" s="8" t="n">
        <v>1</v>
      </c>
      <c r="D17477" s="8" t="inlineStr">
        <is>
          <t>Disney Adventure World</t>
        </is>
      </c>
      <c r="E17477" s="8" t="inlineStr">
        <is>
          <t>Ratatouille: The Adventure Single Rider</t>
        </is>
      </c>
      <c r="F17477" s="8" t="inlineStr">
        <is>
          <t>STANDBY</t>
        </is>
      </c>
      <c r="G17477" s="8" t="n">
        <v>0</v>
      </c>
      <c r="H17477" s="8" t="inlineStr">
        <is>
          <t>CLOSED</t>
        </is>
      </c>
    </row>
    <row r="17478">
      <c r="A17478" s="8" t="inlineStr">
        <is>
          <t>2026-08-03</t>
        </is>
      </c>
      <c r="B17478" s="8" t="n">
        <v>23</v>
      </c>
      <c r="C17478" s="8" t="n">
        <v>1</v>
      </c>
      <c r="D17478" s="8" t="inlineStr">
        <is>
          <t>Disney Adventure World</t>
        </is>
      </c>
      <c r="E17478" s="8" t="inlineStr">
        <is>
          <t>RC Racer</t>
        </is>
      </c>
      <c r="F17478" s="8" t="inlineStr">
        <is>
          <t>STANDBY</t>
        </is>
      </c>
      <c r="G17478" s="8" t="n">
        <v>0</v>
      </c>
      <c r="H17478" s="8" t="inlineStr">
        <is>
          <t>CLOSED</t>
        </is>
      </c>
    </row>
    <row r="17479">
      <c r="A17479" s="8" t="inlineStr">
        <is>
          <t>2026-08-03</t>
        </is>
      </c>
      <c r="B17479" s="8" t="n">
        <v>23</v>
      </c>
      <c r="C17479" s="8" t="n">
        <v>1</v>
      </c>
      <c r="D17479" s="8" t="inlineStr">
        <is>
          <t>Disney Adventure World</t>
        </is>
      </c>
      <c r="E17479" s="8" t="inlineStr">
        <is>
          <t>RC Racer Single Rider</t>
        </is>
      </c>
      <c r="F17479" s="8" t="inlineStr">
        <is>
          <t>STANDBY</t>
        </is>
      </c>
      <c r="G17479" s="8" t="n">
        <v>0</v>
      </c>
      <c r="H17479" s="8" t="inlineStr">
        <is>
          <t>CLOSED</t>
        </is>
      </c>
    </row>
    <row r="17480">
      <c r="A17480" s="8" t="inlineStr">
        <is>
          <t>2026-08-03</t>
        </is>
      </c>
      <c r="B17480" s="8" t="n">
        <v>23</v>
      </c>
      <c r="C17480" s="8" t="n">
        <v>1</v>
      </c>
      <c r="D17480" s="8" t="inlineStr">
        <is>
          <t>Disney Adventure World</t>
        </is>
      </c>
      <c r="E17480" s="8" t="inlineStr">
        <is>
          <t>Slinky® Dog Zigzag Spin</t>
        </is>
      </c>
      <c r="F17480" s="8" t="inlineStr">
        <is>
          <t>STANDBY</t>
        </is>
      </c>
      <c r="G17480" s="8" t="n">
        <v>0</v>
      </c>
      <c r="H17480" s="8" t="inlineStr">
        <is>
          <t>CLOSED</t>
        </is>
      </c>
    </row>
    <row r="17481">
      <c r="A17481" s="8" t="inlineStr">
        <is>
          <t>2026-08-03</t>
        </is>
      </c>
      <c r="B17481" s="8" t="n">
        <v>23</v>
      </c>
      <c r="C17481" s="8" t="n">
        <v>1</v>
      </c>
      <c r="D17481" s="8" t="inlineStr">
        <is>
          <t>Disney Adventure World</t>
        </is>
      </c>
      <c r="E17481" s="8" t="inlineStr">
        <is>
          <t>Toy Soldiers Parachute Drop</t>
        </is>
      </c>
      <c r="F17481" s="8" t="inlineStr">
        <is>
          <t>STANDBY</t>
        </is>
      </c>
      <c r="G17481" s="8" t="n">
        <v>0</v>
      </c>
      <c r="H17481" s="8" t="inlineStr">
        <is>
          <t>CLOSED</t>
        </is>
      </c>
    </row>
    <row r="17482">
      <c r="A17482" s="8" t="inlineStr">
        <is>
          <t>2026-08-03</t>
        </is>
      </c>
      <c r="B17482" s="8" t="n">
        <v>23</v>
      </c>
      <c r="C17482" s="8" t="n">
        <v>1</v>
      </c>
      <c r="D17482" s="8" t="inlineStr">
        <is>
          <t>Disney Adventure World</t>
        </is>
      </c>
      <c r="E17482" s="8" t="inlineStr">
        <is>
          <t>Toy Soldiers Parachute Drop Single Rider</t>
        </is>
      </c>
      <c r="F17482" s="8" t="inlineStr">
        <is>
          <t>STANDBY</t>
        </is>
      </c>
      <c r="G17482" s="8" t="n">
        <v>0</v>
      </c>
      <c r="H17482" s="8" t="inlineStr">
        <is>
          <t>CLOSED</t>
        </is>
      </c>
    </row>
    <row r="17483">
      <c r="A17483" s="8" t="inlineStr">
        <is>
          <t>2026-08-03</t>
        </is>
      </c>
      <c r="B17483" s="8" t="n">
        <v>23</v>
      </c>
      <c r="C17483" s="8" t="n">
        <v>1</v>
      </c>
      <c r="D17483" s="8" t="inlineStr">
        <is>
          <t>Disney Adventure World</t>
        </is>
      </c>
      <c r="E17483" s="8" t="inlineStr">
        <is>
          <t>Entry to World of Frozen</t>
        </is>
      </c>
      <c r="F17483" s="8" t="inlineStr">
        <is>
          <t>STANDBY</t>
        </is>
      </c>
      <c r="G17483" s="8" t="n">
        <v>0</v>
      </c>
      <c r="H17483" s="8" t="inlineStr">
        <is>
          <t>CLOSED</t>
        </is>
      </c>
    </row>
    <row r="17484">
      <c r="A17484" s="8" t="inlineStr">
        <is>
          <t>2026-08-03</t>
        </is>
      </c>
      <c r="B17484" s="8" t="n">
        <v>23</v>
      </c>
      <c r="C17484" s="8" t="n">
        <v>1</v>
      </c>
      <c r="D17484" s="8" t="inlineStr">
        <is>
          <t>Disney Adventure World</t>
        </is>
      </c>
      <c r="E17484" s="8" t="inlineStr">
        <is>
          <t>Frozen Ever After</t>
        </is>
      </c>
      <c r="F17484" s="8" t="inlineStr">
        <is>
          <t>STANDBY</t>
        </is>
      </c>
      <c r="G17484" s="8" t="n">
        <v>0</v>
      </c>
      <c r="H17484" s="8" t="inlineStr">
        <is>
          <t>CLOSED</t>
        </is>
      </c>
    </row>
    <row r="17485">
      <c r="A17485" s="8" t="inlineStr">
        <is>
          <t>2026-08-03</t>
        </is>
      </c>
      <c r="B17485" s="8" t="n">
        <v>23</v>
      </c>
      <c r="C17485" s="8" t="n">
        <v>1</v>
      </c>
      <c r="D17485" s="8" t="inlineStr">
        <is>
          <t>Disney Adventure World</t>
        </is>
      </c>
      <c r="E17485" s="8" t="inlineStr">
        <is>
          <t>Raiponce Tangled Spin</t>
        </is>
      </c>
      <c r="F17485" s="8" t="inlineStr">
        <is>
          <t>STANDBY</t>
        </is>
      </c>
      <c r="G17485" s="8" t="n">
        <v>0</v>
      </c>
      <c r="H17485" s="8" t="inlineStr">
        <is>
          <t>CLOSED</t>
        </is>
      </c>
    </row>
    <row r="17486">
      <c r="A17486" s="8" t="inlineStr">
        <is>
          <t>2026-08-03</t>
        </is>
      </c>
      <c r="B17486" s="8" t="n">
        <v>23</v>
      </c>
      <c r="C17486" s="8" t="n">
        <v>15</v>
      </c>
      <c r="D17486" s="8" t="inlineStr">
        <is>
          <t>Disneyland Park</t>
        </is>
      </c>
      <c r="E17486" s="8" t="inlineStr">
        <is>
          <t>Adventure Isle</t>
        </is>
      </c>
      <c r="F17486" s="8" t="inlineStr">
        <is>
          <t>STANDBY</t>
        </is>
      </c>
      <c r="G17486" s="8" t="n">
        <v>0</v>
      </c>
      <c r="H17486" s="8" t="inlineStr">
        <is>
          <t>CLOSED</t>
        </is>
      </c>
    </row>
    <row r="17487">
      <c r="A17487" s="8" t="inlineStr">
        <is>
          <t>2026-08-03</t>
        </is>
      </c>
      <c r="B17487" s="8" t="n">
        <v>23</v>
      </c>
      <c r="C17487" s="8" t="n">
        <v>15</v>
      </c>
      <c r="D17487" s="8" t="inlineStr">
        <is>
          <t>Disneyland Park</t>
        </is>
      </c>
      <c r="E17487" s="8" t="inlineStr">
        <is>
          <t>Indiana Jones and the Temple of Peril Single Rider</t>
        </is>
      </c>
      <c r="F17487" s="8" t="inlineStr">
        <is>
          <t>STANDBY</t>
        </is>
      </c>
      <c r="G17487" s="8" t="n">
        <v>0</v>
      </c>
      <c r="H17487" s="8" t="inlineStr">
        <is>
          <t>CLOSED</t>
        </is>
      </c>
    </row>
    <row r="17488">
      <c r="A17488" s="8" t="inlineStr">
        <is>
          <t>2026-08-03</t>
        </is>
      </c>
      <c r="B17488" s="8" t="n">
        <v>23</v>
      </c>
      <c r="C17488" s="8" t="n">
        <v>15</v>
      </c>
      <c r="D17488" s="8" t="inlineStr">
        <is>
          <t>Disneyland Park</t>
        </is>
      </c>
      <c r="E17488" s="8" t="inlineStr">
        <is>
          <t>Indiana Jones™ and the Temple of Peril</t>
        </is>
      </c>
      <c r="F17488" s="8" t="inlineStr">
        <is>
          <t>STANDBY</t>
        </is>
      </c>
      <c r="G17488" s="8" t="n">
        <v>0</v>
      </c>
      <c r="H17488" s="8" t="inlineStr">
        <is>
          <t>CLOSED</t>
        </is>
      </c>
    </row>
    <row r="17489">
      <c r="A17489" s="8" t="inlineStr">
        <is>
          <t>2026-08-03</t>
        </is>
      </c>
      <c r="B17489" s="8" t="n">
        <v>23</v>
      </c>
      <c r="C17489" s="8" t="n">
        <v>15</v>
      </c>
      <c r="D17489" s="8" t="inlineStr">
        <is>
          <t>Disneyland Park</t>
        </is>
      </c>
      <c r="E17489" s="8" t="inlineStr">
        <is>
          <t>La Cabane des Robinson</t>
        </is>
      </c>
      <c r="F17489" s="8" t="inlineStr">
        <is>
          <t>STANDBY</t>
        </is>
      </c>
      <c r="G17489" s="8" t="n">
        <v>0</v>
      </c>
      <c r="H17489" s="8" t="inlineStr">
        <is>
          <t>CLOSED</t>
        </is>
      </c>
    </row>
    <row r="17490">
      <c r="A17490" s="8" t="inlineStr">
        <is>
          <t>2026-08-03</t>
        </is>
      </c>
      <c r="B17490" s="8" t="n">
        <v>23</v>
      </c>
      <c r="C17490" s="8" t="n">
        <v>15</v>
      </c>
      <c r="D17490" s="8" t="inlineStr">
        <is>
          <t>Disneyland Park</t>
        </is>
      </c>
      <c r="E17490" s="8" t="inlineStr">
        <is>
          <t>Le Passage Enchanté d'Aladdin</t>
        </is>
      </c>
      <c r="F17490" s="8" t="inlineStr">
        <is>
          <t>STANDBY</t>
        </is>
      </c>
      <c r="G17490" s="8" t="n">
        <v>0</v>
      </c>
      <c r="H17490" s="8" t="inlineStr">
        <is>
          <t>CLOSED</t>
        </is>
      </c>
    </row>
    <row r="17491">
      <c r="A17491" s="8" t="inlineStr">
        <is>
          <t>2026-08-03</t>
        </is>
      </c>
      <c r="B17491" s="8" t="n">
        <v>23</v>
      </c>
      <c r="C17491" s="8" t="n">
        <v>15</v>
      </c>
      <c r="D17491" s="8" t="inlineStr">
        <is>
          <t>Disneyland Park</t>
        </is>
      </c>
      <c r="E17491" s="8" t="inlineStr">
        <is>
          <t>Pirate Galleon</t>
        </is>
      </c>
      <c r="F17491" s="8" t="inlineStr">
        <is>
          <t>STANDBY</t>
        </is>
      </c>
      <c r="G17491" s="8" t="n">
        <v>0</v>
      </c>
      <c r="H17491" s="8" t="inlineStr">
        <is>
          <t>CLOSED</t>
        </is>
      </c>
    </row>
    <row r="17492">
      <c r="A17492" s="8" t="inlineStr">
        <is>
          <t>2026-08-03</t>
        </is>
      </c>
      <c r="B17492" s="8" t="n">
        <v>23</v>
      </c>
      <c r="C17492" s="8" t="n">
        <v>15</v>
      </c>
      <c r="D17492" s="8" t="inlineStr">
        <is>
          <t>Disneyland Park</t>
        </is>
      </c>
      <c r="E17492" s="8" t="inlineStr">
        <is>
          <t>Pirates of the Caribbean</t>
        </is>
      </c>
      <c r="F17492" s="8" t="inlineStr">
        <is>
          <t>STANDBY</t>
        </is>
      </c>
      <c r="G17492" s="8" t="n">
        <v>0</v>
      </c>
      <c r="H17492" s="8" t="inlineStr">
        <is>
          <t>CLOSED</t>
        </is>
      </c>
    </row>
    <row r="17493">
      <c r="A17493" s="8" t="inlineStr">
        <is>
          <t>2026-08-03</t>
        </is>
      </c>
      <c r="B17493" s="8" t="n">
        <v>23</v>
      </c>
      <c r="C17493" s="8" t="n">
        <v>15</v>
      </c>
      <c r="D17493" s="8" t="inlineStr">
        <is>
          <t>Disneyland Park</t>
        </is>
      </c>
      <c r="E17493" s="8" t="inlineStr">
        <is>
          <t>Pirates' Beach</t>
        </is>
      </c>
      <c r="F17493" s="8" t="inlineStr">
        <is>
          <t>STANDBY</t>
        </is>
      </c>
      <c r="G17493" s="8" t="n">
        <v>0</v>
      </c>
      <c r="H17493" s="8" t="inlineStr">
        <is>
          <t>CLOSED</t>
        </is>
      </c>
    </row>
    <row r="17494">
      <c r="A17494" s="8" t="inlineStr">
        <is>
          <t>2026-08-03</t>
        </is>
      </c>
      <c r="B17494" s="8" t="n">
        <v>23</v>
      </c>
      <c r="C17494" s="8" t="n">
        <v>15</v>
      </c>
      <c r="D17494" s="8" t="inlineStr">
        <is>
          <t>Disneyland Park</t>
        </is>
      </c>
      <c r="E17494" s="8" t="inlineStr">
        <is>
          <t>Autopia, presented by Avis</t>
        </is>
      </c>
      <c r="F17494" s="8" t="inlineStr">
        <is>
          <t>STANDBY</t>
        </is>
      </c>
      <c r="G17494" s="8" t="n">
        <v>0</v>
      </c>
      <c r="H17494" s="8" t="inlineStr">
        <is>
          <t>CLOSED</t>
        </is>
      </c>
    </row>
    <row r="17495">
      <c r="A17495" s="8" t="inlineStr">
        <is>
          <t>2026-08-03</t>
        </is>
      </c>
      <c r="B17495" s="8" t="n">
        <v>23</v>
      </c>
      <c r="C17495" s="8" t="n">
        <v>15</v>
      </c>
      <c r="D17495" s="8" t="inlineStr">
        <is>
          <t>Disneyland Park</t>
        </is>
      </c>
      <c r="E17495" s="8" t="inlineStr">
        <is>
          <t>Buzz Lightyear Laser Blast</t>
        </is>
      </c>
      <c r="F17495" s="8" t="inlineStr">
        <is>
          <t>STANDBY</t>
        </is>
      </c>
      <c r="G17495" s="8" t="n">
        <v>0</v>
      </c>
      <c r="H17495" s="8" t="inlineStr">
        <is>
          <t>CLOSED</t>
        </is>
      </c>
    </row>
    <row r="17496">
      <c r="A17496" s="8" t="inlineStr">
        <is>
          <t>2026-08-03</t>
        </is>
      </c>
      <c r="B17496" s="8" t="n">
        <v>23</v>
      </c>
      <c r="C17496" s="8" t="n">
        <v>15</v>
      </c>
      <c r="D17496" s="8" t="inlineStr">
        <is>
          <t>Disneyland Park</t>
        </is>
      </c>
      <c r="E17496" s="8" t="inlineStr">
        <is>
          <t>Disneyland Railroad Discoveryland Station</t>
        </is>
      </c>
      <c r="F17496" s="8" t="inlineStr">
        <is>
          <t>STANDBY</t>
        </is>
      </c>
      <c r="G17496" s="8" t="n">
        <v>0</v>
      </c>
      <c r="H17496" s="8" t="inlineStr">
        <is>
          <t>CLOSED</t>
        </is>
      </c>
    </row>
    <row r="17497">
      <c r="A17497" s="8" t="inlineStr">
        <is>
          <t>2026-08-03</t>
        </is>
      </c>
      <c r="B17497" s="8" t="n">
        <v>23</v>
      </c>
      <c r="C17497" s="8" t="n">
        <v>15</v>
      </c>
      <c r="D17497" s="8" t="inlineStr">
        <is>
          <t>Disneyland Park</t>
        </is>
      </c>
      <c r="E17497" s="8" t="inlineStr">
        <is>
          <t>Les Mystères du Nautilus</t>
        </is>
      </c>
      <c r="F17497" s="8" t="inlineStr">
        <is>
          <t>STANDBY</t>
        </is>
      </c>
      <c r="G17497" s="8" t="n">
        <v>0</v>
      </c>
      <c r="H17497" s="8" t="inlineStr">
        <is>
          <t>CLOSED</t>
        </is>
      </c>
    </row>
    <row r="17498">
      <c r="A17498" s="8" t="inlineStr">
        <is>
          <t>2026-08-03</t>
        </is>
      </c>
      <c r="B17498" s="8" t="n">
        <v>23</v>
      </c>
      <c r="C17498" s="8" t="n">
        <v>15</v>
      </c>
      <c r="D17498" s="8" t="inlineStr">
        <is>
          <t>Disneyland Park</t>
        </is>
      </c>
      <c r="E17498" s="8" t="inlineStr">
        <is>
          <t>Mickey’s PhilharMagic</t>
        </is>
      </c>
      <c r="F17498" s="8" t="inlineStr">
        <is>
          <t>STANDBY</t>
        </is>
      </c>
      <c r="G17498" s="8" t="n">
        <v>0</v>
      </c>
      <c r="H17498" s="8" t="inlineStr">
        <is>
          <t>CLOSED</t>
        </is>
      </c>
    </row>
    <row r="17499">
      <c r="A17499" s="8" t="inlineStr">
        <is>
          <t>2026-08-03</t>
        </is>
      </c>
      <c r="B17499" s="8" t="n">
        <v>23</v>
      </c>
      <c r="C17499" s="8" t="n">
        <v>15</v>
      </c>
      <c r="D17499" s="8" t="inlineStr">
        <is>
          <t>Disneyland Park</t>
        </is>
      </c>
      <c r="E17499" s="8" t="inlineStr">
        <is>
          <t>Orbitron®</t>
        </is>
      </c>
      <c r="F17499" s="8" t="inlineStr">
        <is>
          <t>STANDBY</t>
        </is>
      </c>
      <c r="G17499" s="8" t="n">
        <v>0</v>
      </c>
      <c r="H17499" s="8" t="inlineStr">
        <is>
          <t>CLOSED</t>
        </is>
      </c>
    </row>
    <row r="17500">
      <c r="A17500" s="8" t="inlineStr">
        <is>
          <t>2026-08-03</t>
        </is>
      </c>
      <c r="B17500" s="8" t="n">
        <v>23</v>
      </c>
      <c r="C17500" s="8" t="n">
        <v>15</v>
      </c>
      <c r="D17500" s="8" t="inlineStr">
        <is>
          <t>Disneyland Park</t>
        </is>
      </c>
      <c r="E17500" s="8" t="inlineStr">
        <is>
          <t>Star Tours: The Adventures Continue*</t>
        </is>
      </c>
      <c r="F17500" s="8" t="inlineStr">
        <is>
          <t>STANDBY</t>
        </is>
      </c>
      <c r="G17500" s="8" t="n">
        <v>0</v>
      </c>
      <c r="H17500" s="8" t="inlineStr">
        <is>
          <t>CLOSED</t>
        </is>
      </c>
    </row>
    <row r="17501">
      <c r="A17501" s="8" t="inlineStr">
        <is>
          <t>2026-08-03</t>
        </is>
      </c>
      <c r="B17501" s="8" t="n">
        <v>23</v>
      </c>
      <c r="C17501" s="8" t="n">
        <v>15</v>
      </c>
      <c r="D17501" s="8" t="inlineStr">
        <is>
          <t>Disneyland Park</t>
        </is>
      </c>
      <c r="E17501" s="8" t="inlineStr">
        <is>
          <t>Star Wars Hyperspace Mountain</t>
        </is>
      </c>
      <c r="F17501" s="8" t="inlineStr">
        <is>
          <t>STANDBY</t>
        </is>
      </c>
      <c r="G17501" s="8" t="n">
        <v>0</v>
      </c>
      <c r="H17501" s="8" t="inlineStr">
        <is>
          <t>CLOSED</t>
        </is>
      </c>
    </row>
    <row r="17502">
      <c r="A17502" s="8" t="inlineStr">
        <is>
          <t>2026-08-03</t>
        </is>
      </c>
      <c r="B17502" s="8" t="n">
        <v>23</v>
      </c>
      <c r="C17502" s="8" t="n">
        <v>15</v>
      </c>
      <c r="D17502" s="8" t="inlineStr">
        <is>
          <t>Disneyland Park</t>
        </is>
      </c>
      <c r="E17502" s="8" t="inlineStr">
        <is>
          <t>Star Wars Hyperspace Mountain Single Rider</t>
        </is>
      </c>
      <c r="F17502" s="8" t="inlineStr">
        <is>
          <t>STANDBY</t>
        </is>
      </c>
      <c r="G17502" s="8" t="n">
        <v>0</v>
      </c>
      <c r="H17502" s="8" t="inlineStr">
        <is>
          <t>CLOSED</t>
        </is>
      </c>
    </row>
    <row r="17503">
      <c r="A17503" s="8" t="inlineStr">
        <is>
          <t>2026-08-03</t>
        </is>
      </c>
      <c r="B17503" s="8" t="n">
        <v>23</v>
      </c>
      <c r="C17503" s="8" t="n">
        <v>15</v>
      </c>
      <c r="D17503" s="8" t="inlineStr">
        <is>
          <t>Disneyland Park</t>
        </is>
      </c>
      <c r="E17503" s="8" t="inlineStr">
        <is>
          <t>Welcome to Starport: A Star Wars Encounter</t>
        </is>
      </c>
      <c r="F17503" s="8" t="inlineStr">
        <is>
          <t>STANDBY</t>
        </is>
      </c>
      <c r="G17503" s="8" t="n">
        <v>0</v>
      </c>
      <c r="H17503" s="8" t="inlineStr">
        <is>
          <t>CLOSED</t>
        </is>
      </c>
    </row>
    <row r="17504">
      <c r="A17504" s="8" t="inlineStr">
        <is>
          <t>2026-08-03</t>
        </is>
      </c>
      <c r="B17504" s="8" t="n">
        <v>23</v>
      </c>
      <c r="C17504" s="8" t="n">
        <v>15</v>
      </c>
      <c r="D17504" s="8" t="inlineStr">
        <is>
          <t>Disneyland Park</t>
        </is>
      </c>
      <c r="E17504" s="8" t="inlineStr">
        <is>
          <t>"it's a small world"</t>
        </is>
      </c>
      <c r="F17504" s="8" t="inlineStr">
        <is>
          <t>STANDBY</t>
        </is>
      </c>
      <c r="G17504" s="8" t="n">
        <v>0</v>
      </c>
      <c r="H17504" s="8" t="inlineStr">
        <is>
          <t>CLOSED</t>
        </is>
      </c>
    </row>
    <row r="17505">
      <c r="A17505" s="8" t="inlineStr">
        <is>
          <t>2026-08-03</t>
        </is>
      </c>
      <c r="B17505" s="8" t="n">
        <v>23</v>
      </c>
      <c r="C17505" s="8" t="n">
        <v>15</v>
      </c>
      <c r="D17505" s="8" t="inlineStr">
        <is>
          <t>Disneyland Park</t>
        </is>
      </c>
      <c r="E17505" s="8" t="inlineStr">
        <is>
          <t>Alice's Curious Labyrinth</t>
        </is>
      </c>
      <c r="F17505" s="8" t="inlineStr">
        <is>
          <t>STANDBY</t>
        </is>
      </c>
      <c r="G17505" s="8" t="n">
        <v>0</v>
      </c>
      <c r="H17505" s="8" t="inlineStr">
        <is>
          <t>CLOSED</t>
        </is>
      </c>
    </row>
    <row r="17506">
      <c r="A17506" s="8" t="inlineStr">
        <is>
          <t>2026-08-03</t>
        </is>
      </c>
      <c r="B17506" s="8" t="n">
        <v>23</v>
      </c>
      <c r="C17506" s="8" t="n">
        <v>15</v>
      </c>
      <c r="D17506" s="8" t="inlineStr">
        <is>
          <t>Disneyland Park</t>
        </is>
      </c>
      <c r="E17506" s="8" t="inlineStr">
        <is>
          <t>Blanche-Neige et les Sept Nains®</t>
        </is>
      </c>
      <c r="F17506" s="8" t="inlineStr">
        <is>
          <t>STANDBY</t>
        </is>
      </c>
      <c r="G17506" s="8" t="n">
        <v>0</v>
      </c>
      <c r="H17506" s="8" t="inlineStr">
        <is>
          <t>CLOSED</t>
        </is>
      </c>
    </row>
    <row r="17507">
      <c r="A17507" s="8" t="inlineStr">
        <is>
          <t>2026-08-03</t>
        </is>
      </c>
      <c r="B17507" s="8" t="n">
        <v>23</v>
      </c>
      <c r="C17507" s="8" t="n">
        <v>15</v>
      </c>
      <c r="D17507" s="8" t="inlineStr">
        <is>
          <t>Disneyland Park</t>
        </is>
      </c>
      <c r="E17507" s="8" t="inlineStr">
        <is>
          <t>Casey Jr. – le Petit Train du Cirque</t>
        </is>
      </c>
      <c r="F17507" s="8" t="inlineStr">
        <is>
          <t>STANDBY</t>
        </is>
      </c>
      <c r="G17507" s="8" t="n">
        <v>0</v>
      </c>
      <c r="H17507" s="8" t="inlineStr">
        <is>
          <t>CLOSED</t>
        </is>
      </c>
    </row>
    <row r="17508">
      <c r="A17508" s="8" t="inlineStr">
        <is>
          <t>2026-08-03</t>
        </is>
      </c>
      <c r="B17508" s="8" t="n">
        <v>23</v>
      </c>
      <c r="C17508" s="8" t="n">
        <v>15</v>
      </c>
      <c r="D17508" s="8" t="inlineStr">
        <is>
          <t>Disneyland Park</t>
        </is>
      </c>
      <c r="E17508" s="8" t="inlineStr">
        <is>
          <t>Disneyland Railroad Fantasyland Station</t>
        </is>
      </c>
      <c r="F17508" s="8" t="inlineStr">
        <is>
          <t>STANDBY</t>
        </is>
      </c>
      <c r="G17508" s="8" t="n">
        <v>0</v>
      </c>
      <c r="H17508" s="8" t="inlineStr">
        <is>
          <t>CLOSED</t>
        </is>
      </c>
    </row>
    <row r="17509">
      <c r="A17509" s="8" t="inlineStr">
        <is>
          <t>2026-08-03</t>
        </is>
      </c>
      <c r="B17509" s="8" t="n">
        <v>23</v>
      </c>
      <c r="C17509" s="8" t="n">
        <v>15</v>
      </c>
      <c r="D17509" s="8" t="inlineStr">
        <is>
          <t>Disneyland Park</t>
        </is>
      </c>
      <c r="E17509" s="8" t="inlineStr">
        <is>
          <t>Disneyland Railroad Main Street Station</t>
        </is>
      </c>
      <c r="F17509" s="8" t="inlineStr">
        <is>
          <t>STANDBY</t>
        </is>
      </c>
      <c r="G17509" s="8" t="n">
        <v>0</v>
      </c>
      <c r="H17509" s="8" t="inlineStr">
        <is>
          <t>CLOSED</t>
        </is>
      </c>
    </row>
    <row r="17510">
      <c r="A17510" s="8" t="inlineStr">
        <is>
          <t>2026-08-03</t>
        </is>
      </c>
      <c r="B17510" s="8" t="n">
        <v>23</v>
      </c>
      <c r="C17510" s="8" t="n">
        <v>15</v>
      </c>
      <c r="D17510" s="8" t="inlineStr">
        <is>
          <t>Disneyland Park</t>
        </is>
      </c>
      <c r="E17510" s="8" t="inlineStr">
        <is>
          <t>Dumbo the Flying Elephant</t>
        </is>
      </c>
      <c r="F17510" s="8" t="inlineStr">
        <is>
          <t>STANDBY</t>
        </is>
      </c>
      <c r="G17510" s="8" t="n">
        <v>0</v>
      </c>
      <c r="H17510" s="8" t="inlineStr">
        <is>
          <t>CLOSED</t>
        </is>
      </c>
    </row>
    <row r="17511">
      <c r="A17511" s="8" t="inlineStr">
        <is>
          <t>2026-08-03</t>
        </is>
      </c>
      <c r="B17511" s="8" t="n">
        <v>23</v>
      </c>
      <c r="C17511" s="8" t="n">
        <v>15</v>
      </c>
      <c r="D17511" s="8" t="inlineStr">
        <is>
          <t>Disneyland Park</t>
        </is>
      </c>
      <c r="E17511" s="8" t="inlineStr">
        <is>
          <t>La Tanière du Dragon</t>
        </is>
      </c>
      <c r="F17511" s="8" t="inlineStr">
        <is>
          <t>STANDBY</t>
        </is>
      </c>
      <c r="G17511" s="8" t="n">
        <v>0</v>
      </c>
      <c r="H17511" s="8" t="inlineStr">
        <is>
          <t>CLOSED</t>
        </is>
      </c>
    </row>
    <row r="17512">
      <c r="A17512" s="8" t="inlineStr">
        <is>
          <t>2026-08-03</t>
        </is>
      </c>
      <c r="B17512" s="8" t="n">
        <v>23</v>
      </c>
      <c r="C17512" s="8" t="n">
        <v>15</v>
      </c>
      <c r="D17512" s="8" t="inlineStr">
        <is>
          <t>Disneyland Park</t>
        </is>
      </c>
      <c r="E17512" s="8" t="inlineStr">
        <is>
          <t>Le Carrousel de Lancelot</t>
        </is>
      </c>
      <c r="F17512" s="8" t="inlineStr">
        <is>
          <t>STANDBY</t>
        </is>
      </c>
      <c r="G17512" s="8" t="n">
        <v>0</v>
      </c>
      <c r="H17512" s="8" t="inlineStr">
        <is>
          <t>CLOSED</t>
        </is>
      </c>
    </row>
    <row r="17513">
      <c r="A17513" s="8" t="inlineStr">
        <is>
          <t>2026-08-03</t>
        </is>
      </c>
      <c r="B17513" s="8" t="n">
        <v>23</v>
      </c>
      <c r="C17513" s="8" t="n">
        <v>15</v>
      </c>
      <c r="D17513" s="8" t="inlineStr">
        <is>
          <t>Disneyland Park</t>
        </is>
      </c>
      <c r="E17513" s="8" t="inlineStr">
        <is>
          <t>Le Pays des Contes de Fées, presented by Vittel</t>
        </is>
      </c>
      <c r="F17513" s="8" t="inlineStr">
        <is>
          <t>STANDBY</t>
        </is>
      </c>
      <c r="G17513" s="8" t="n">
        <v>0</v>
      </c>
      <c r="H17513" s="8" t="inlineStr">
        <is>
          <t>CLOSED</t>
        </is>
      </c>
    </row>
    <row r="17514">
      <c r="A17514" s="8" t="inlineStr">
        <is>
          <t>2026-08-03</t>
        </is>
      </c>
      <c r="B17514" s="8" t="n">
        <v>23</v>
      </c>
      <c r="C17514" s="8" t="n">
        <v>15</v>
      </c>
      <c r="D17514" s="8" t="inlineStr">
        <is>
          <t>Disneyland Park</t>
        </is>
      </c>
      <c r="E17514" s="8" t="inlineStr">
        <is>
          <t>Les Voyages de Pinocchio</t>
        </is>
      </c>
      <c r="F17514" s="8" t="inlineStr">
        <is>
          <t>STANDBY</t>
        </is>
      </c>
      <c r="G17514" s="8" t="n">
        <v>0</v>
      </c>
      <c r="H17514" s="8" t="inlineStr">
        <is>
          <t>CLOSED</t>
        </is>
      </c>
    </row>
    <row r="17515">
      <c r="A17515" s="8" t="inlineStr">
        <is>
          <t>2026-08-03</t>
        </is>
      </c>
      <c r="B17515" s="8" t="n">
        <v>23</v>
      </c>
      <c r="C17515" s="8" t="n">
        <v>15</v>
      </c>
      <c r="D17515" s="8" t="inlineStr">
        <is>
          <t>Disneyland Park</t>
        </is>
      </c>
      <c r="E17515" s="8" t="inlineStr">
        <is>
          <t>Mad Hatter's Tea Cups</t>
        </is>
      </c>
      <c r="F17515" s="8" t="inlineStr">
        <is>
          <t>STANDBY</t>
        </is>
      </c>
      <c r="G17515" s="8" t="n">
        <v>0</v>
      </c>
      <c r="H17515" s="8" t="inlineStr">
        <is>
          <t>CLOSED</t>
        </is>
      </c>
    </row>
    <row r="17516">
      <c r="A17516" s="8" t="inlineStr">
        <is>
          <t>2026-08-03</t>
        </is>
      </c>
      <c r="B17516" s="8" t="n">
        <v>23</v>
      </c>
      <c r="C17516" s="8" t="n">
        <v>15</v>
      </c>
      <c r="D17516" s="8" t="inlineStr">
        <is>
          <t>Disneyland Park</t>
        </is>
      </c>
      <c r="E17516" s="8" t="inlineStr">
        <is>
          <t>Meet Mickey Mouse</t>
        </is>
      </c>
      <c r="F17516" s="8" t="inlineStr">
        <is>
          <t>STANDBY</t>
        </is>
      </c>
      <c r="G17516" s="8" t="n">
        <v>0</v>
      </c>
      <c r="H17516" s="8" t="inlineStr">
        <is>
          <t>CLOSED</t>
        </is>
      </c>
    </row>
    <row r="17517">
      <c r="A17517" s="8" t="inlineStr">
        <is>
          <t>2026-08-03</t>
        </is>
      </c>
      <c r="B17517" s="8" t="n">
        <v>23</v>
      </c>
      <c r="C17517" s="8" t="n">
        <v>15</v>
      </c>
      <c r="D17517" s="8" t="inlineStr">
        <is>
          <t>Disneyland Park</t>
        </is>
      </c>
      <c r="E17517" s="8" t="inlineStr">
        <is>
          <t>Peter Pan's Flight</t>
        </is>
      </c>
      <c r="F17517" s="8" t="inlineStr">
        <is>
          <t>STANDBY</t>
        </is>
      </c>
      <c r="G17517" s="8" t="n">
        <v>0</v>
      </c>
      <c r="H17517" s="8" t="inlineStr">
        <is>
          <t>CLOSED</t>
        </is>
      </c>
    </row>
    <row r="17518">
      <c r="A17518" s="8" t="inlineStr">
        <is>
          <t>2026-08-03</t>
        </is>
      </c>
      <c r="B17518" s="8" t="n">
        <v>23</v>
      </c>
      <c r="C17518" s="8" t="n">
        <v>15</v>
      </c>
      <c r="D17518" s="8" t="inlineStr">
        <is>
          <t>Disneyland Park</t>
        </is>
      </c>
      <c r="E17518" s="8" t="inlineStr">
        <is>
          <t>Princess Pavilion</t>
        </is>
      </c>
      <c r="F17518" s="8" t="inlineStr">
        <is>
          <t>STANDBY</t>
        </is>
      </c>
      <c r="G17518" s="8" t="n">
        <v>0</v>
      </c>
      <c r="H17518" s="8" t="inlineStr">
        <is>
          <t>CLOSED</t>
        </is>
      </c>
    </row>
    <row r="17519">
      <c r="A17519" s="8" t="inlineStr">
        <is>
          <t>2026-08-03</t>
        </is>
      </c>
      <c r="B17519" s="8" t="n">
        <v>23</v>
      </c>
      <c r="C17519" s="8" t="n">
        <v>15</v>
      </c>
      <c r="D17519" s="8" t="inlineStr">
        <is>
          <t>Disneyland Park</t>
        </is>
      </c>
      <c r="E17519" s="8" t="inlineStr">
        <is>
          <t>Big Thunder Mountain</t>
        </is>
      </c>
      <c r="F17519" s="8" t="inlineStr">
        <is>
          <t>STANDBY</t>
        </is>
      </c>
      <c r="G17519" s="8" t="n">
        <v>0</v>
      </c>
      <c r="H17519" s="8" t="inlineStr">
        <is>
          <t>CLOSED</t>
        </is>
      </c>
    </row>
    <row r="17520">
      <c r="A17520" s="8" t="inlineStr">
        <is>
          <t>2026-08-03</t>
        </is>
      </c>
      <c r="B17520" s="8" t="n">
        <v>23</v>
      </c>
      <c r="C17520" s="8" t="n">
        <v>15</v>
      </c>
      <c r="D17520" s="8" t="inlineStr">
        <is>
          <t>Disneyland Park</t>
        </is>
      </c>
      <c r="E17520" s="8" t="inlineStr">
        <is>
          <t>Disneyland Railroad Frontierland Depot</t>
        </is>
      </c>
      <c r="F17520" s="8" t="inlineStr">
        <is>
          <t>STANDBY</t>
        </is>
      </c>
      <c r="G17520" s="8" t="n">
        <v>0</v>
      </c>
      <c r="H17520" s="8" t="inlineStr">
        <is>
          <t>CLOSED</t>
        </is>
      </c>
    </row>
    <row r="17521">
      <c r="A17521" s="8" t="inlineStr">
        <is>
          <t>2026-08-03</t>
        </is>
      </c>
      <c r="B17521" s="8" t="n">
        <v>23</v>
      </c>
      <c r="C17521" s="8" t="n">
        <v>15</v>
      </c>
      <c r="D17521" s="8" t="inlineStr">
        <is>
          <t>Disneyland Park</t>
        </is>
      </c>
      <c r="E17521" s="8" t="inlineStr">
        <is>
          <t>Frontierland Playground</t>
        </is>
      </c>
      <c r="F17521" s="8" t="inlineStr">
        <is>
          <t>STANDBY</t>
        </is>
      </c>
      <c r="G17521" s="8" t="n">
        <v>0</v>
      </c>
      <c r="H17521" s="8" t="inlineStr">
        <is>
          <t>CLOSED</t>
        </is>
      </c>
    </row>
    <row r="17522">
      <c r="A17522" s="8" t="inlineStr">
        <is>
          <t>2026-08-03</t>
        </is>
      </c>
      <c r="B17522" s="8" t="n">
        <v>23</v>
      </c>
      <c r="C17522" s="8" t="n">
        <v>15</v>
      </c>
      <c r="D17522" s="8" t="inlineStr">
        <is>
          <t>Disneyland Park</t>
        </is>
      </c>
      <c r="E17522" s="8" t="inlineStr">
        <is>
          <t>Phantom Manor</t>
        </is>
      </c>
      <c r="F17522" s="8" t="inlineStr">
        <is>
          <t>STANDBY</t>
        </is>
      </c>
      <c r="G17522" s="8" t="n">
        <v>0</v>
      </c>
      <c r="H17522" s="8" t="inlineStr">
        <is>
          <t>CLOSED</t>
        </is>
      </c>
    </row>
    <row r="17523">
      <c r="A17523" s="8" t="inlineStr">
        <is>
          <t>2026-08-03</t>
        </is>
      </c>
      <c r="B17523" s="8" t="n">
        <v>23</v>
      </c>
      <c r="C17523" s="8" t="n">
        <v>15</v>
      </c>
      <c r="D17523" s="8" t="inlineStr">
        <is>
          <t>Disneyland Park</t>
        </is>
      </c>
      <c r="E17523" s="8" t="inlineStr">
        <is>
          <t>River Rogue Keelboats</t>
        </is>
      </c>
      <c r="F17523" s="8" t="inlineStr">
        <is>
          <t>STANDBY</t>
        </is>
      </c>
      <c r="G17523" s="8" t="n">
        <v>0</v>
      </c>
      <c r="H17523" s="8" t="inlineStr">
        <is>
          <t>CLOSED</t>
        </is>
      </c>
    </row>
    <row r="17524">
      <c r="A17524" s="8" t="inlineStr">
        <is>
          <t>2026-08-03</t>
        </is>
      </c>
      <c r="B17524" s="8" t="n">
        <v>23</v>
      </c>
      <c r="C17524" s="8" t="n">
        <v>15</v>
      </c>
      <c r="D17524" s="8" t="inlineStr">
        <is>
          <t>Disneyland Park</t>
        </is>
      </c>
      <c r="E17524" s="8" t="inlineStr">
        <is>
          <t>Rustler Roundup Shootin' Gallery</t>
        </is>
      </c>
      <c r="F17524" s="8" t="inlineStr">
        <is>
          <t>STANDBY</t>
        </is>
      </c>
      <c r="G17524" s="8" t="n">
        <v>0</v>
      </c>
      <c r="H17524" s="8" t="inlineStr">
        <is>
          <t>CLOSED</t>
        </is>
      </c>
    </row>
    <row r="17525">
      <c r="A17525" s="8" t="inlineStr">
        <is>
          <t>2026-08-03</t>
        </is>
      </c>
      <c r="B17525" s="8" t="n">
        <v>23</v>
      </c>
      <c r="C17525" s="8" t="n">
        <v>15</v>
      </c>
      <c r="D17525" s="8" t="inlineStr">
        <is>
          <t>Disneyland Park</t>
        </is>
      </c>
      <c r="E17525" s="8" t="inlineStr">
        <is>
          <t>Thunder Mesa Riverboat Landing</t>
        </is>
      </c>
      <c r="F17525" s="8" t="inlineStr">
        <is>
          <t>STANDBY</t>
        </is>
      </c>
      <c r="G17525" s="8" t="n">
        <v>0</v>
      </c>
      <c r="H17525" s="8" t="inlineStr">
        <is>
          <t>CLOSED</t>
        </is>
      </c>
    </row>
    <row r="17526">
      <c r="A17526" s="8" t="inlineStr">
        <is>
          <t>2026-08-03</t>
        </is>
      </c>
      <c r="B17526" s="8" t="n">
        <v>23</v>
      </c>
      <c r="C17526" s="8" t="n">
        <v>15</v>
      </c>
      <c r="D17526" s="8" t="inlineStr">
        <is>
          <t>Disneyland Park</t>
        </is>
      </c>
      <c r="E17526" s="8" t="inlineStr">
        <is>
          <t>Disneyland Railroad Main Street Station</t>
        </is>
      </c>
      <c r="F17526" s="8" t="inlineStr">
        <is>
          <t>STANDBY</t>
        </is>
      </c>
      <c r="G17526" s="8" t="n">
        <v>0</v>
      </c>
      <c r="H17526" s="8" t="inlineStr">
        <is>
          <t>CLOSED</t>
        </is>
      </c>
    </row>
    <row r="17527">
      <c r="A17527" s="8" t="inlineStr">
        <is>
          <t>2026-08-03</t>
        </is>
      </c>
      <c r="B17527" s="8" t="n">
        <v>23</v>
      </c>
      <c r="C17527" s="8" t="n">
        <v>15</v>
      </c>
      <c r="D17527" s="8" t="inlineStr">
        <is>
          <t>Disneyland Park</t>
        </is>
      </c>
      <c r="E17527" s="8" t="inlineStr">
        <is>
          <t>Main Street Vehicles</t>
        </is>
      </c>
      <c r="F17527" s="8" t="inlineStr">
        <is>
          <t>STANDBY</t>
        </is>
      </c>
      <c r="G17527" s="8" t="n">
        <v>0</v>
      </c>
      <c r="H17527" s="8" t="inlineStr">
        <is>
          <t>CLOSED</t>
        </is>
      </c>
    </row>
    <row r="17528">
      <c r="A17528" s="8" t="inlineStr">
        <is>
          <t>2026-08-03</t>
        </is>
      </c>
      <c r="B17528" s="8" t="n">
        <v>23</v>
      </c>
      <c r="C17528" s="8" t="n">
        <v>15</v>
      </c>
      <c r="D17528" s="8" t="inlineStr">
        <is>
          <t>Disney Adventure World</t>
        </is>
      </c>
      <c r="E17528" s="8" t="inlineStr">
        <is>
          <t>Avengers Assemble: Flight Force</t>
        </is>
      </c>
      <c r="F17528" s="8" t="inlineStr">
        <is>
          <t>STANDBY</t>
        </is>
      </c>
      <c r="G17528" s="8" t="n">
        <v>0</v>
      </c>
      <c r="H17528" s="8" t="inlineStr">
        <is>
          <t>CLOSED</t>
        </is>
      </c>
    </row>
    <row r="17529">
      <c r="A17529" s="8" t="inlineStr">
        <is>
          <t>2026-08-03</t>
        </is>
      </c>
      <c r="B17529" s="8" t="n">
        <v>23</v>
      </c>
      <c r="C17529" s="8" t="n">
        <v>15</v>
      </c>
      <c r="D17529" s="8" t="inlineStr">
        <is>
          <t>Disney Adventure World</t>
        </is>
      </c>
      <c r="E17529" s="8" t="inlineStr">
        <is>
          <t>Avengers Assemble: Flight Force Single Rider</t>
        </is>
      </c>
      <c r="F17529" s="8" t="inlineStr">
        <is>
          <t>STANDBY</t>
        </is>
      </c>
      <c r="G17529" s="8" t="n">
        <v>0</v>
      </c>
      <c r="H17529" s="8" t="inlineStr">
        <is>
          <t>CLOSED</t>
        </is>
      </c>
    </row>
    <row r="17530">
      <c r="A17530" s="8" t="inlineStr">
        <is>
          <t>2026-08-03</t>
        </is>
      </c>
      <c r="B17530" s="8" t="n">
        <v>23</v>
      </c>
      <c r="C17530" s="8" t="n">
        <v>15</v>
      </c>
      <c r="D17530" s="8" t="inlineStr">
        <is>
          <t>Disney Adventure World</t>
        </is>
      </c>
      <c r="E17530" s="8" t="inlineStr">
        <is>
          <t>Spider-Man W.E.B. Adventure</t>
        </is>
      </c>
      <c r="F17530" s="8" t="inlineStr">
        <is>
          <t>STANDBY</t>
        </is>
      </c>
      <c r="G17530" s="8" t="n">
        <v>0</v>
      </c>
      <c r="H17530" s="8" t="inlineStr">
        <is>
          <t>CLOSED</t>
        </is>
      </c>
    </row>
    <row r="17531">
      <c r="A17531" s="8" t="inlineStr">
        <is>
          <t>2026-08-03</t>
        </is>
      </c>
      <c r="B17531" s="8" t="n">
        <v>23</v>
      </c>
      <c r="C17531" s="8" t="n">
        <v>15</v>
      </c>
      <c r="D17531" s="8" t="inlineStr">
        <is>
          <t>Disney Adventure World</t>
        </is>
      </c>
      <c r="E17531" s="8" t="inlineStr">
        <is>
          <t>Spider-Man W.E.B. Adventure Single Rider</t>
        </is>
      </c>
      <c r="F17531" s="8" t="inlineStr">
        <is>
          <t>STANDBY</t>
        </is>
      </c>
      <c r="G17531" s="8" t="n">
        <v>0</v>
      </c>
      <c r="H17531" s="8" t="inlineStr">
        <is>
          <t>CLOSED</t>
        </is>
      </c>
    </row>
    <row r="17532">
      <c r="A17532" s="8" t="inlineStr">
        <is>
          <t>2026-08-03</t>
        </is>
      </c>
      <c r="B17532" s="8" t="n">
        <v>23</v>
      </c>
      <c r="C17532" s="8" t="n">
        <v>15</v>
      </c>
      <c r="D17532" s="8" t="inlineStr">
        <is>
          <t>Disney Adventure World</t>
        </is>
      </c>
      <c r="E17532" s="8" t="inlineStr">
        <is>
          <t>The Twilight Zone Tower of Terror</t>
        </is>
      </c>
      <c r="F17532" s="8" t="inlineStr">
        <is>
          <t>STANDBY</t>
        </is>
      </c>
      <c r="G17532" s="8" t="n">
        <v>0</v>
      </c>
      <c r="H17532" s="8" t="inlineStr">
        <is>
          <t>CLOSED</t>
        </is>
      </c>
    </row>
    <row r="17533">
      <c r="A17533" s="8" t="inlineStr">
        <is>
          <t>2026-08-03</t>
        </is>
      </c>
      <c r="B17533" s="8" t="n">
        <v>23</v>
      </c>
      <c r="C17533" s="8" t="n">
        <v>15</v>
      </c>
      <c r="D17533" s="8" t="inlineStr">
        <is>
          <t>Disney Adventure World</t>
        </is>
      </c>
      <c r="E17533" s="8" t="inlineStr">
        <is>
          <t>Cars Quatre Roues Rallye</t>
        </is>
      </c>
      <c r="F17533" s="8" t="inlineStr">
        <is>
          <t>STANDBY</t>
        </is>
      </c>
      <c r="G17533" s="8" t="n">
        <v>0</v>
      </c>
      <c r="H17533" s="8" t="inlineStr">
        <is>
          <t>CLOSED</t>
        </is>
      </c>
    </row>
    <row r="17534">
      <c r="A17534" s="8" t="inlineStr">
        <is>
          <t>2026-08-03</t>
        </is>
      </c>
      <c r="B17534" s="8" t="n">
        <v>23</v>
      </c>
      <c r="C17534" s="8" t="n">
        <v>15</v>
      </c>
      <c r="D17534" s="8" t="inlineStr">
        <is>
          <t>Disney Adventure World</t>
        </is>
      </c>
      <c r="E17534" s="8" t="inlineStr">
        <is>
          <t>Cars ROAD TRIP</t>
        </is>
      </c>
      <c r="F17534" s="8" t="inlineStr">
        <is>
          <t>STANDBY</t>
        </is>
      </c>
      <c r="G17534" s="8" t="n">
        <v>0</v>
      </c>
      <c r="H17534" s="8" t="inlineStr">
        <is>
          <t>CLOSED</t>
        </is>
      </c>
    </row>
    <row r="17535">
      <c r="A17535" s="8" t="inlineStr">
        <is>
          <t>2026-08-03</t>
        </is>
      </c>
      <c r="B17535" s="8" t="n">
        <v>23</v>
      </c>
      <c r="C17535" s="8" t="n">
        <v>15</v>
      </c>
      <c r="D17535" s="8" t="inlineStr">
        <is>
          <t>Disney Adventure World</t>
        </is>
      </c>
      <c r="E17535" s="8" t="inlineStr">
        <is>
          <t>Crush's Coaster</t>
        </is>
      </c>
      <c r="F17535" s="8" t="inlineStr">
        <is>
          <t>STANDBY</t>
        </is>
      </c>
      <c r="G17535" s="8" t="n">
        <v>0</v>
      </c>
      <c r="H17535" s="8" t="inlineStr">
        <is>
          <t>CLOSED</t>
        </is>
      </c>
    </row>
    <row r="17536">
      <c r="A17536" s="8" t="inlineStr">
        <is>
          <t>2026-08-03</t>
        </is>
      </c>
      <c r="B17536" s="8" t="n">
        <v>23</v>
      </c>
      <c r="C17536" s="8" t="n">
        <v>15</v>
      </c>
      <c r="D17536" s="8" t="inlineStr">
        <is>
          <t>Disney Adventure World</t>
        </is>
      </c>
      <c r="E17536" s="8" t="inlineStr">
        <is>
          <t>Crush's Coaster Single Rider</t>
        </is>
      </c>
      <c r="F17536" s="8" t="inlineStr">
        <is>
          <t>STANDBY</t>
        </is>
      </c>
      <c r="G17536" s="8" t="n">
        <v>0</v>
      </c>
      <c r="H17536" s="8" t="inlineStr">
        <is>
          <t>CLOSED</t>
        </is>
      </c>
    </row>
    <row r="17537">
      <c r="A17537" s="8" t="inlineStr">
        <is>
          <t>2026-08-03</t>
        </is>
      </c>
      <c r="B17537" s="8" t="n">
        <v>23</v>
      </c>
      <c r="C17537" s="8" t="n">
        <v>15</v>
      </c>
      <c r="D17537" s="8" t="inlineStr">
        <is>
          <t>Disney Adventure World</t>
        </is>
      </c>
      <c r="E17537" s="8" t="inlineStr">
        <is>
          <t>Les Tapis Volants - Flying Carpets Over Agrabah®</t>
        </is>
      </c>
      <c r="F17537" s="8" t="inlineStr">
        <is>
          <t>STANDBY</t>
        </is>
      </c>
      <c r="G17537" s="8" t="n">
        <v>0</v>
      </c>
      <c r="H17537" s="8" t="inlineStr">
        <is>
          <t>CLOSED</t>
        </is>
      </c>
    </row>
    <row r="17538">
      <c r="A17538" s="8" t="inlineStr">
        <is>
          <t>2026-08-03</t>
        </is>
      </c>
      <c r="B17538" s="8" t="n">
        <v>23</v>
      </c>
      <c r="C17538" s="8" t="n">
        <v>15</v>
      </c>
      <c r="D17538" s="8" t="inlineStr">
        <is>
          <t>Disney Adventure World</t>
        </is>
      </c>
      <c r="E17538" s="8" t="inlineStr">
        <is>
          <t>Ratatouille : L’Aventure Totalement Toquée de Rémy​</t>
        </is>
      </c>
      <c r="F17538" s="8" t="inlineStr">
        <is>
          <t>STANDBY</t>
        </is>
      </c>
      <c r="G17538" s="8" t="n">
        <v>0</v>
      </c>
      <c r="H17538" s="8" t="inlineStr">
        <is>
          <t>CLOSED</t>
        </is>
      </c>
    </row>
    <row r="17539">
      <c r="A17539" s="8" t="inlineStr">
        <is>
          <t>2026-08-03</t>
        </is>
      </c>
      <c r="B17539" s="8" t="n">
        <v>23</v>
      </c>
      <c r="C17539" s="8" t="n">
        <v>15</v>
      </c>
      <c r="D17539" s="8" t="inlineStr">
        <is>
          <t>Disney Adventure World</t>
        </is>
      </c>
      <c r="E17539" s="8" t="inlineStr">
        <is>
          <t>Ratatouille: The Adventure Single Rider</t>
        </is>
      </c>
      <c r="F17539" s="8" t="inlineStr">
        <is>
          <t>STANDBY</t>
        </is>
      </c>
      <c r="G17539" s="8" t="n">
        <v>0</v>
      </c>
      <c r="H17539" s="8" t="inlineStr">
        <is>
          <t>CLOSED</t>
        </is>
      </c>
    </row>
    <row r="17540">
      <c r="A17540" s="8" t="inlineStr">
        <is>
          <t>2026-08-03</t>
        </is>
      </c>
      <c r="B17540" s="8" t="n">
        <v>23</v>
      </c>
      <c r="C17540" s="8" t="n">
        <v>15</v>
      </c>
      <c r="D17540" s="8" t="inlineStr">
        <is>
          <t>Disney Adventure World</t>
        </is>
      </c>
      <c r="E17540" s="8" t="inlineStr">
        <is>
          <t>RC Racer</t>
        </is>
      </c>
      <c r="F17540" s="8" t="inlineStr">
        <is>
          <t>STANDBY</t>
        </is>
      </c>
      <c r="G17540" s="8" t="n">
        <v>0</v>
      </c>
      <c r="H17540" s="8" t="inlineStr">
        <is>
          <t>CLOSED</t>
        </is>
      </c>
    </row>
    <row r="17541">
      <c r="A17541" s="8" t="inlineStr">
        <is>
          <t>2026-08-03</t>
        </is>
      </c>
      <c r="B17541" s="8" t="n">
        <v>23</v>
      </c>
      <c r="C17541" s="8" t="n">
        <v>15</v>
      </c>
      <c r="D17541" s="8" t="inlineStr">
        <is>
          <t>Disney Adventure World</t>
        </is>
      </c>
      <c r="E17541" s="8" t="inlineStr">
        <is>
          <t>RC Racer Single Rider</t>
        </is>
      </c>
      <c r="F17541" s="8" t="inlineStr">
        <is>
          <t>STANDBY</t>
        </is>
      </c>
      <c r="G17541" s="8" t="n">
        <v>0</v>
      </c>
      <c r="H17541" s="8" t="inlineStr">
        <is>
          <t>CLOSED</t>
        </is>
      </c>
    </row>
    <row r="17542">
      <c r="A17542" s="8" t="inlineStr">
        <is>
          <t>2026-08-03</t>
        </is>
      </c>
      <c r="B17542" s="8" t="n">
        <v>23</v>
      </c>
      <c r="C17542" s="8" t="n">
        <v>15</v>
      </c>
      <c r="D17542" s="8" t="inlineStr">
        <is>
          <t>Disney Adventure World</t>
        </is>
      </c>
      <c r="E17542" s="8" t="inlineStr">
        <is>
          <t>Slinky® Dog Zigzag Spin</t>
        </is>
      </c>
      <c r="F17542" s="8" t="inlineStr">
        <is>
          <t>STANDBY</t>
        </is>
      </c>
      <c r="G17542" s="8" t="n">
        <v>0</v>
      </c>
      <c r="H17542" s="8" t="inlineStr">
        <is>
          <t>CLOSED</t>
        </is>
      </c>
    </row>
    <row r="17543">
      <c r="A17543" s="8" t="inlineStr">
        <is>
          <t>2026-08-03</t>
        </is>
      </c>
      <c r="B17543" s="8" t="n">
        <v>23</v>
      </c>
      <c r="C17543" s="8" t="n">
        <v>15</v>
      </c>
      <c r="D17543" s="8" t="inlineStr">
        <is>
          <t>Disney Adventure World</t>
        </is>
      </c>
      <c r="E17543" s="8" t="inlineStr">
        <is>
          <t>Toy Soldiers Parachute Drop</t>
        </is>
      </c>
      <c r="F17543" s="8" t="inlineStr">
        <is>
          <t>STANDBY</t>
        </is>
      </c>
      <c r="G17543" s="8" t="n">
        <v>0</v>
      </c>
      <c r="H17543" s="8" t="inlineStr">
        <is>
          <t>CLOSED</t>
        </is>
      </c>
    </row>
    <row r="17544">
      <c r="A17544" s="8" t="inlineStr">
        <is>
          <t>2026-08-03</t>
        </is>
      </c>
      <c r="B17544" s="8" t="n">
        <v>23</v>
      </c>
      <c r="C17544" s="8" t="n">
        <v>15</v>
      </c>
      <c r="D17544" s="8" t="inlineStr">
        <is>
          <t>Disney Adventure World</t>
        </is>
      </c>
      <c r="E17544" s="8" t="inlineStr">
        <is>
          <t>Toy Soldiers Parachute Drop Single Rider</t>
        </is>
      </c>
      <c r="F17544" s="8" t="inlineStr">
        <is>
          <t>STANDBY</t>
        </is>
      </c>
      <c r="G17544" s="8" t="n">
        <v>0</v>
      </c>
      <c r="H17544" s="8" t="inlineStr">
        <is>
          <t>CLOSED</t>
        </is>
      </c>
    </row>
    <row r="17545">
      <c r="A17545" s="8" t="inlineStr">
        <is>
          <t>2026-08-03</t>
        </is>
      </c>
      <c r="B17545" s="8" t="n">
        <v>23</v>
      </c>
      <c r="C17545" s="8" t="n">
        <v>15</v>
      </c>
      <c r="D17545" s="8" t="inlineStr">
        <is>
          <t>Disney Adventure World</t>
        </is>
      </c>
      <c r="E17545" s="8" t="inlineStr">
        <is>
          <t>Entry to World of Frozen</t>
        </is>
      </c>
      <c r="F17545" s="8" t="inlineStr">
        <is>
          <t>STANDBY</t>
        </is>
      </c>
      <c r="G17545" s="8" t="n">
        <v>0</v>
      </c>
      <c r="H17545" s="8" t="inlineStr">
        <is>
          <t>CLOSED</t>
        </is>
      </c>
    </row>
    <row r="17546">
      <c r="A17546" s="8" t="inlineStr">
        <is>
          <t>2026-08-03</t>
        </is>
      </c>
      <c r="B17546" s="8" t="n">
        <v>23</v>
      </c>
      <c r="C17546" s="8" t="n">
        <v>15</v>
      </c>
      <c r="D17546" s="8" t="inlineStr">
        <is>
          <t>Disney Adventure World</t>
        </is>
      </c>
      <c r="E17546" s="8" t="inlineStr">
        <is>
          <t>Frozen Ever After</t>
        </is>
      </c>
      <c r="F17546" s="8" t="inlineStr">
        <is>
          <t>STANDBY</t>
        </is>
      </c>
      <c r="G17546" s="8" t="n">
        <v>0</v>
      </c>
      <c r="H17546" s="8" t="inlineStr">
        <is>
          <t>CLOSED</t>
        </is>
      </c>
    </row>
    <row r="17547">
      <c r="A17547" s="8" t="inlineStr">
        <is>
          <t>2026-08-03</t>
        </is>
      </c>
      <c r="B17547" s="8" t="n">
        <v>23</v>
      </c>
      <c r="C17547" s="8" t="n">
        <v>15</v>
      </c>
      <c r="D17547" s="8" t="inlineStr">
        <is>
          <t>Disney Adventure World</t>
        </is>
      </c>
      <c r="E17547" s="8" t="inlineStr">
        <is>
          <t>Raiponce Tangled Spin</t>
        </is>
      </c>
      <c r="F17547" s="8" t="inlineStr">
        <is>
          <t>STANDBY</t>
        </is>
      </c>
      <c r="G17547" s="8" t="n">
        <v>0</v>
      </c>
      <c r="H17547" s="8" t="inlineStr">
        <is>
          <t>CLOSED</t>
        </is>
      </c>
    </row>
    <row r="17548">
      <c r="A17548" s="8" t="inlineStr">
        <is>
          <t>2026-08-03</t>
        </is>
      </c>
      <c r="B17548" s="8" t="n">
        <v>23</v>
      </c>
      <c r="C17548" s="8" t="n">
        <v>31</v>
      </c>
      <c r="D17548" s="8" t="inlineStr">
        <is>
          <t>Disneyland Park</t>
        </is>
      </c>
      <c r="E17548" s="8" t="inlineStr">
        <is>
          <t>Adventure Isle</t>
        </is>
      </c>
      <c r="F17548" s="8" t="inlineStr">
        <is>
          <t>STANDBY</t>
        </is>
      </c>
      <c r="G17548" s="8" t="n">
        <v>0</v>
      </c>
      <c r="H17548" s="8" t="inlineStr">
        <is>
          <t>CLOSED</t>
        </is>
      </c>
    </row>
    <row r="17549">
      <c r="A17549" s="8" t="inlineStr">
        <is>
          <t>2026-08-03</t>
        </is>
      </c>
      <c r="B17549" s="8" t="n">
        <v>23</v>
      </c>
      <c r="C17549" s="8" t="n">
        <v>31</v>
      </c>
      <c r="D17549" s="8" t="inlineStr">
        <is>
          <t>Disneyland Park</t>
        </is>
      </c>
      <c r="E17549" s="8" t="inlineStr">
        <is>
          <t>Indiana Jones and the Temple of Peril Single Rider</t>
        </is>
      </c>
      <c r="F17549" s="8" t="inlineStr">
        <is>
          <t>STANDBY</t>
        </is>
      </c>
      <c r="G17549" s="8" t="n">
        <v>0</v>
      </c>
      <c r="H17549" s="8" t="inlineStr">
        <is>
          <t>CLOSED</t>
        </is>
      </c>
    </row>
    <row r="17550">
      <c r="A17550" s="8" t="inlineStr">
        <is>
          <t>2026-08-03</t>
        </is>
      </c>
      <c r="B17550" s="8" t="n">
        <v>23</v>
      </c>
      <c r="C17550" s="8" t="n">
        <v>31</v>
      </c>
      <c r="D17550" s="8" t="inlineStr">
        <is>
          <t>Disneyland Park</t>
        </is>
      </c>
      <c r="E17550" s="8" t="inlineStr">
        <is>
          <t>Indiana Jones™ and the Temple of Peril</t>
        </is>
      </c>
      <c r="F17550" s="8" t="inlineStr">
        <is>
          <t>STANDBY</t>
        </is>
      </c>
      <c r="G17550" s="8" t="n">
        <v>0</v>
      </c>
      <c r="H17550" s="8" t="inlineStr">
        <is>
          <t>CLOSED</t>
        </is>
      </c>
    </row>
    <row r="17551">
      <c r="A17551" s="8" t="inlineStr">
        <is>
          <t>2026-08-03</t>
        </is>
      </c>
      <c r="B17551" s="8" t="n">
        <v>23</v>
      </c>
      <c r="C17551" s="8" t="n">
        <v>31</v>
      </c>
      <c r="D17551" s="8" t="inlineStr">
        <is>
          <t>Disneyland Park</t>
        </is>
      </c>
      <c r="E17551" s="8" t="inlineStr">
        <is>
          <t>La Cabane des Robinson</t>
        </is>
      </c>
      <c r="F17551" s="8" t="inlineStr">
        <is>
          <t>STANDBY</t>
        </is>
      </c>
      <c r="G17551" s="8" t="n">
        <v>0</v>
      </c>
      <c r="H17551" s="8" t="inlineStr">
        <is>
          <t>CLOSED</t>
        </is>
      </c>
    </row>
    <row r="17552">
      <c r="A17552" s="8" t="inlineStr">
        <is>
          <t>2026-08-03</t>
        </is>
      </c>
      <c r="B17552" s="8" t="n">
        <v>23</v>
      </c>
      <c r="C17552" s="8" t="n">
        <v>31</v>
      </c>
      <c r="D17552" s="8" t="inlineStr">
        <is>
          <t>Disneyland Park</t>
        </is>
      </c>
      <c r="E17552" s="8" t="inlineStr">
        <is>
          <t>Le Passage Enchanté d'Aladdin</t>
        </is>
      </c>
      <c r="F17552" s="8" t="inlineStr">
        <is>
          <t>STANDBY</t>
        </is>
      </c>
      <c r="G17552" s="8" t="n">
        <v>0</v>
      </c>
      <c r="H17552" s="8" t="inlineStr">
        <is>
          <t>CLOSED</t>
        </is>
      </c>
    </row>
    <row r="17553">
      <c r="A17553" s="8" t="inlineStr">
        <is>
          <t>2026-08-03</t>
        </is>
      </c>
      <c r="B17553" s="8" t="n">
        <v>23</v>
      </c>
      <c r="C17553" s="8" t="n">
        <v>31</v>
      </c>
      <c r="D17553" s="8" t="inlineStr">
        <is>
          <t>Disneyland Park</t>
        </is>
      </c>
      <c r="E17553" s="8" t="inlineStr">
        <is>
          <t>Pirate Galleon</t>
        </is>
      </c>
      <c r="F17553" s="8" t="inlineStr">
        <is>
          <t>STANDBY</t>
        </is>
      </c>
      <c r="G17553" s="8" t="n">
        <v>0</v>
      </c>
      <c r="H17553" s="8" t="inlineStr">
        <is>
          <t>CLOSED</t>
        </is>
      </c>
    </row>
    <row r="17554">
      <c r="A17554" s="8" t="inlineStr">
        <is>
          <t>2026-08-03</t>
        </is>
      </c>
      <c r="B17554" s="8" t="n">
        <v>23</v>
      </c>
      <c r="C17554" s="8" t="n">
        <v>31</v>
      </c>
      <c r="D17554" s="8" t="inlineStr">
        <is>
          <t>Disneyland Park</t>
        </is>
      </c>
      <c r="E17554" s="8" t="inlineStr">
        <is>
          <t>Pirates of the Caribbean</t>
        </is>
      </c>
      <c r="F17554" s="8" t="inlineStr">
        <is>
          <t>STANDBY</t>
        </is>
      </c>
      <c r="G17554" s="8" t="n">
        <v>0</v>
      </c>
      <c r="H17554" s="8" t="inlineStr">
        <is>
          <t>CLOSED</t>
        </is>
      </c>
    </row>
    <row r="17555">
      <c r="A17555" s="8" t="inlineStr">
        <is>
          <t>2026-08-03</t>
        </is>
      </c>
      <c r="B17555" s="8" t="n">
        <v>23</v>
      </c>
      <c r="C17555" s="8" t="n">
        <v>31</v>
      </c>
      <c r="D17555" s="8" t="inlineStr">
        <is>
          <t>Disneyland Park</t>
        </is>
      </c>
      <c r="E17555" s="8" t="inlineStr">
        <is>
          <t>Pirates' Beach</t>
        </is>
      </c>
      <c r="F17555" s="8" t="inlineStr">
        <is>
          <t>STANDBY</t>
        </is>
      </c>
      <c r="G17555" s="8" t="n">
        <v>0</v>
      </c>
      <c r="H17555" s="8" t="inlineStr">
        <is>
          <t>CLOSED</t>
        </is>
      </c>
    </row>
    <row r="17556">
      <c r="A17556" s="8" t="inlineStr">
        <is>
          <t>2026-08-03</t>
        </is>
      </c>
      <c r="B17556" s="8" t="n">
        <v>23</v>
      </c>
      <c r="C17556" s="8" t="n">
        <v>31</v>
      </c>
      <c r="D17556" s="8" t="inlineStr">
        <is>
          <t>Disneyland Park</t>
        </is>
      </c>
      <c r="E17556" s="8" t="inlineStr">
        <is>
          <t>Autopia, presented by Avis</t>
        </is>
      </c>
      <c r="F17556" s="8" t="inlineStr">
        <is>
          <t>STANDBY</t>
        </is>
      </c>
      <c r="G17556" s="8" t="n">
        <v>0</v>
      </c>
      <c r="H17556" s="8" t="inlineStr">
        <is>
          <t>CLOSED</t>
        </is>
      </c>
    </row>
    <row r="17557">
      <c r="A17557" s="8" t="inlineStr">
        <is>
          <t>2026-08-03</t>
        </is>
      </c>
      <c r="B17557" s="8" t="n">
        <v>23</v>
      </c>
      <c r="C17557" s="8" t="n">
        <v>31</v>
      </c>
      <c r="D17557" s="8" t="inlineStr">
        <is>
          <t>Disneyland Park</t>
        </is>
      </c>
      <c r="E17557" s="8" t="inlineStr">
        <is>
          <t>Buzz Lightyear Laser Blast</t>
        </is>
      </c>
      <c r="F17557" s="8" t="inlineStr">
        <is>
          <t>STANDBY</t>
        </is>
      </c>
      <c r="G17557" s="8" t="n">
        <v>0</v>
      </c>
      <c r="H17557" s="8" t="inlineStr">
        <is>
          <t>CLOSED</t>
        </is>
      </c>
    </row>
    <row r="17558">
      <c r="A17558" s="8" t="inlineStr">
        <is>
          <t>2026-08-03</t>
        </is>
      </c>
      <c r="B17558" s="8" t="n">
        <v>23</v>
      </c>
      <c r="C17558" s="8" t="n">
        <v>31</v>
      </c>
      <c r="D17558" s="8" t="inlineStr">
        <is>
          <t>Disneyland Park</t>
        </is>
      </c>
      <c r="E17558" s="8" t="inlineStr">
        <is>
          <t>Disneyland Railroad Discoveryland Station</t>
        </is>
      </c>
      <c r="F17558" s="8" t="inlineStr">
        <is>
          <t>STANDBY</t>
        </is>
      </c>
      <c r="G17558" s="8" t="n">
        <v>0</v>
      </c>
      <c r="H17558" s="8" t="inlineStr">
        <is>
          <t>CLOSED</t>
        </is>
      </c>
    </row>
    <row r="17559">
      <c r="A17559" s="8" t="inlineStr">
        <is>
          <t>2026-08-03</t>
        </is>
      </c>
      <c r="B17559" s="8" t="n">
        <v>23</v>
      </c>
      <c r="C17559" s="8" t="n">
        <v>31</v>
      </c>
      <c r="D17559" s="8" t="inlineStr">
        <is>
          <t>Disneyland Park</t>
        </is>
      </c>
      <c r="E17559" s="8" t="inlineStr">
        <is>
          <t>Les Mystères du Nautilus</t>
        </is>
      </c>
      <c r="F17559" s="8" t="inlineStr">
        <is>
          <t>STANDBY</t>
        </is>
      </c>
      <c r="G17559" s="8" t="n">
        <v>0</v>
      </c>
      <c r="H17559" s="8" t="inlineStr">
        <is>
          <t>CLOSED</t>
        </is>
      </c>
    </row>
    <row r="17560">
      <c r="A17560" s="8" t="inlineStr">
        <is>
          <t>2026-08-03</t>
        </is>
      </c>
      <c r="B17560" s="8" t="n">
        <v>23</v>
      </c>
      <c r="C17560" s="8" t="n">
        <v>31</v>
      </c>
      <c r="D17560" s="8" t="inlineStr">
        <is>
          <t>Disneyland Park</t>
        </is>
      </c>
      <c r="E17560" s="8" t="inlineStr">
        <is>
          <t>Mickey’s PhilharMagic</t>
        </is>
      </c>
      <c r="F17560" s="8" t="inlineStr">
        <is>
          <t>STANDBY</t>
        </is>
      </c>
      <c r="G17560" s="8" t="n">
        <v>0</v>
      </c>
      <c r="H17560" s="8" t="inlineStr">
        <is>
          <t>CLOSED</t>
        </is>
      </c>
    </row>
    <row r="17561">
      <c r="A17561" s="8" t="inlineStr">
        <is>
          <t>2026-08-03</t>
        </is>
      </c>
      <c r="B17561" s="8" t="n">
        <v>23</v>
      </c>
      <c r="C17561" s="8" t="n">
        <v>31</v>
      </c>
      <c r="D17561" s="8" t="inlineStr">
        <is>
          <t>Disneyland Park</t>
        </is>
      </c>
      <c r="E17561" s="8" t="inlineStr">
        <is>
          <t>Orbitron®</t>
        </is>
      </c>
      <c r="F17561" s="8" t="inlineStr">
        <is>
          <t>STANDBY</t>
        </is>
      </c>
      <c r="G17561" s="8" t="n">
        <v>0</v>
      </c>
      <c r="H17561" s="8" t="inlineStr">
        <is>
          <t>CLOSED</t>
        </is>
      </c>
    </row>
    <row r="17562">
      <c r="A17562" s="8" t="inlineStr">
        <is>
          <t>2026-08-03</t>
        </is>
      </c>
      <c r="B17562" s="8" t="n">
        <v>23</v>
      </c>
      <c r="C17562" s="8" t="n">
        <v>31</v>
      </c>
      <c r="D17562" s="8" t="inlineStr">
        <is>
          <t>Disneyland Park</t>
        </is>
      </c>
      <c r="E17562" s="8" t="inlineStr">
        <is>
          <t>Star Tours: The Adventures Continue*</t>
        </is>
      </c>
      <c r="F17562" s="8" t="inlineStr">
        <is>
          <t>STANDBY</t>
        </is>
      </c>
      <c r="G17562" s="8" t="n">
        <v>0</v>
      </c>
      <c r="H17562" s="8" t="inlineStr">
        <is>
          <t>CLOSED</t>
        </is>
      </c>
    </row>
    <row r="17563">
      <c r="A17563" s="8" t="inlineStr">
        <is>
          <t>2026-08-03</t>
        </is>
      </c>
      <c r="B17563" s="8" t="n">
        <v>23</v>
      </c>
      <c r="C17563" s="8" t="n">
        <v>31</v>
      </c>
      <c r="D17563" s="8" t="inlineStr">
        <is>
          <t>Disneyland Park</t>
        </is>
      </c>
      <c r="E17563" s="8" t="inlineStr">
        <is>
          <t>Star Wars Hyperspace Mountain</t>
        </is>
      </c>
      <c r="F17563" s="8" t="inlineStr">
        <is>
          <t>STANDBY</t>
        </is>
      </c>
      <c r="G17563" s="8" t="n">
        <v>0</v>
      </c>
      <c r="H17563" s="8" t="inlineStr">
        <is>
          <t>CLOSED</t>
        </is>
      </c>
    </row>
    <row r="17564">
      <c r="A17564" s="8" t="inlineStr">
        <is>
          <t>2026-08-03</t>
        </is>
      </c>
      <c r="B17564" s="8" t="n">
        <v>23</v>
      </c>
      <c r="C17564" s="8" t="n">
        <v>31</v>
      </c>
      <c r="D17564" s="8" t="inlineStr">
        <is>
          <t>Disneyland Park</t>
        </is>
      </c>
      <c r="E17564" s="8" t="inlineStr">
        <is>
          <t>Star Wars Hyperspace Mountain Single Rider</t>
        </is>
      </c>
      <c r="F17564" s="8" t="inlineStr">
        <is>
          <t>STANDBY</t>
        </is>
      </c>
      <c r="G17564" s="8" t="n">
        <v>0</v>
      </c>
      <c r="H17564" s="8" t="inlineStr">
        <is>
          <t>CLOSED</t>
        </is>
      </c>
    </row>
    <row r="17565">
      <c r="A17565" s="8" t="inlineStr">
        <is>
          <t>2026-08-03</t>
        </is>
      </c>
      <c r="B17565" s="8" t="n">
        <v>23</v>
      </c>
      <c r="C17565" s="8" t="n">
        <v>31</v>
      </c>
      <c r="D17565" s="8" t="inlineStr">
        <is>
          <t>Disneyland Park</t>
        </is>
      </c>
      <c r="E17565" s="8" t="inlineStr">
        <is>
          <t>Welcome to Starport: A Star Wars Encounter</t>
        </is>
      </c>
      <c r="F17565" s="8" t="inlineStr">
        <is>
          <t>STANDBY</t>
        </is>
      </c>
      <c r="G17565" s="8" t="n">
        <v>0</v>
      </c>
      <c r="H17565" s="8" t="inlineStr">
        <is>
          <t>CLOSED</t>
        </is>
      </c>
    </row>
    <row r="17566">
      <c r="A17566" s="8" t="inlineStr">
        <is>
          <t>2026-08-03</t>
        </is>
      </c>
      <c r="B17566" s="8" t="n">
        <v>23</v>
      </c>
      <c r="C17566" s="8" t="n">
        <v>31</v>
      </c>
      <c r="D17566" s="8" t="inlineStr">
        <is>
          <t>Disneyland Park</t>
        </is>
      </c>
      <c r="E17566" s="8" t="inlineStr">
        <is>
          <t>"it's a small world"</t>
        </is>
      </c>
      <c r="F17566" s="8" t="inlineStr">
        <is>
          <t>STANDBY</t>
        </is>
      </c>
      <c r="G17566" s="8" t="n">
        <v>0</v>
      </c>
      <c r="H17566" s="8" t="inlineStr">
        <is>
          <t>CLOSED</t>
        </is>
      </c>
    </row>
    <row r="17567">
      <c r="A17567" s="8" t="inlineStr">
        <is>
          <t>2026-08-03</t>
        </is>
      </c>
      <c r="B17567" s="8" t="n">
        <v>23</v>
      </c>
      <c r="C17567" s="8" t="n">
        <v>31</v>
      </c>
      <c r="D17567" s="8" t="inlineStr">
        <is>
          <t>Disneyland Park</t>
        </is>
      </c>
      <c r="E17567" s="8" t="inlineStr">
        <is>
          <t>Alice's Curious Labyrinth</t>
        </is>
      </c>
      <c r="F17567" s="8" t="inlineStr">
        <is>
          <t>STANDBY</t>
        </is>
      </c>
      <c r="G17567" s="8" t="n">
        <v>0</v>
      </c>
      <c r="H17567" s="8" t="inlineStr">
        <is>
          <t>CLOSED</t>
        </is>
      </c>
    </row>
    <row r="17568">
      <c r="A17568" s="8" t="inlineStr">
        <is>
          <t>2026-08-03</t>
        </is>
      </c>
      <c r="B17568" s="8" t="n">
        <v>23</v>
      </c>
      <c r="C17568" s="8" t="n">
        <v>31</v>
      </c>
      <c r="D17568" s="8" t="inlineStr">
        <is>
          <t>Disneyland Park</t>
        </is>
      </c>
      <c r="E17568" s="8" t="inlineStr">
        <is>
          <t>Blanche-Neige et les Sept Nains®</t>
        </is>
      </c>
      <c r="F17568" s="8" t="inlineStr">
        <is>
          <t>STANDBY</t>
        </is>
      </c>
      <c r="G17568" s="8" t="n">
        <v>0</v>
      </c>
      <c r="H17568" s="8" t="inlineStr">
        <is>
          <t>CLOSED</t>
        </is>
      </c>
    </row>
    <row r="17569">
      <c r="A17569" s="8" t="inlineStr">
        <is>
          <t>2026-08-03</t>
        </is>
      </c>
      <c r="B17569" s="8" t="n">
        <v>23</v>
      </c>
      <c r="C17569" s="8" t="n">
        <v>31</v>
      </c>
      <c r="D17569" s="8" t="inlineStr">
        <is>
          <t>Disneyland Park</t>
        </is>
      </c>
      <c r="E17569" s="8" t="inlineStr">
        <is>
          <t>Casey Jr. – le Petit Train du Cirque</t>
        </is>
      </c>
      <c r="F17569" s="8" t="inlineStr">
        <is>
          <t>STANDBY</t>
        </is>
      </c>
      <c r="G17569" s="8" t="n">
        <v>0</v>
      </c>
      <c r="H17569" s="8" t="inlineStr">
        <is>
          <t>CLOSED</t>
        </is>
      </c>
    </row>
    <row r="17570">
      <c r="A17570" s="8" t="inlineStr">
        <is>
          <t>2026-08-03</t>
        </is>
      </c>
      <c r="B17570" s="8" t="n">
        <v>23</v>
      </c>
      <c r="C17570" s="8" t="n">
        <v>31</v>
      </c>
      <c r="D17570" s="8" t="inlineStr">
        <is>
          <t>Disneyland Park</t>
        </is>
      </c>
      <c r="E17570" s="8" t="inlineStr">
        <is>
          <t>Disneyland Railroad Fantasyland Station</t>
        </is>
      </c>
      <c r="F17570" s="8" t="inlineStr">
        <is>
          <t>STANDBY</t>
        </is>
      </c>
      <c r="G17570" s="8" t="n">
        <v>0</v>
      </c>
      <c r="H17570" s="8" t="inlineStr">
        <is>
          <t>CLOSED</t>
        </is>
      </c>
    </row>
    <row r="17571">
      <c r="A17571" s="8" t="inlineStr">
        <is>
          <t>2026-08-03</t>
        </is>
      </c>
      <c r="B17571" s="8" t="n">
        <v>23</v>
      </c>
      <c r="C17571" s="8" t="n">
        <v>31</v>
      </c>
      <c r="D17571" s="8" t="inlineStr">
        <is>
          <t>Disneyland Park</t>
        </is>
      </c>
      <c r="E17571" s="8" t="inlineStr">
        <is>
          <t>Disneyland Railroad Main Street Station</t>
        </is>
      </c>
      <c r="F17571" s="8" t="inlineStr">
        <is>
          <t>STANDBY</t>
        </is>
      </c>
      <c r="G17571" s="8" t="n">
        <v>0</v>
      </c>
      <c r="H17571" s="8" t="inlineStr">
        <is>
          <t>CLOSED</t>
        </is>
      </c>
    </row>
    <row r="17572">
      <c r="A17572" s="8" t="inlineStr">
        <is>
          <t>2026-08-03</t>
        </is>
      </c>
      <c r="B17572" s="8" t="n">
        <v>23</v>
      </c>
      <c r="C17572" s="8" t="n">
        <v>31</v>
      </c>
      <c r="D17572" s="8" t="inlineStr">
        <is>
          <t>Disneyland Park</t>
        </is>
      </c>
      <c r="E17572" s="8" t="inlineStr">
        <is>
          <t>Dumbo the Flying Elephant</t>
        </is>
      </c>
      <c r="F17572" s="8" t="inlineStr">
        <is>
          <t>STANDBY</t>
        </is>
      </c>
      <c r="G17572" s="8" t="n">
        <v>0</v>
      </c>
      <c r="H17572" s="8" t="inlineStr">
        <is>
          <t>CLOSED</t>
        </is>
      </c>
    </row>
    <row r="17573">
      <c r="A17573" s="8" t="inlineStr">
        <is>
          <t>2026-08-03</t>
        </is>
      </c>
      <c r="B17573" s="8" t="n">
        <v>23</v>
      </c>
      <c r="C17573" s="8" t="n">
        <v>31</v>
      </c>
      <c r="D17573" s="8" t="inlineStr">
        <is>
          <t>Disneyland Park</t>
        </is>
      </c>
      <c r="E17573" s="8" t="inlineStr">
        <is>
          <t>La Tanière du Dragon</t>
        </is>
      </c>
      <c r="F17573" s="8" t="inlineStr">
        <is>
          <t>STANDBY</t>
        </is>
      </c>
      <c r="G17573" s="8" t="n">
        <v>0</v>
      </c>
      <c r="H17573" s="8" t="inlineStr">
        <is>
          <t>CLOSED</t>
        </is>
      </c>
    </row>
    <row r="17574">
      <c r="A17574" s="8" t="inlineStr">
        <is>
          <t>2026-08-03</t>
        </is>
      </c>
      <c r="B17574" s="8" t="n">
        <v>23</v>
      </c>
      <c r="C17574" s="8" t="n">
        <v>31</v>
      </c>
      <c r="D17574" s="8" t="inlineStr">
        <is>
          <t>Disneyland Park</t>
        </is>
      </c>
      <c r="E17574" s="8" t="inlineStr">
        <is>
          <t>Le Carrousel de Lancelot</t>
        </is>
      </c>
      <c r="F17574" s="8" t="inlineStr">
        <is>
          <t>STANDBY</t>
        </is>
      </c>
      <c r="G17574" s="8" t="n">
        <v>0</v>
      </c>
      <c r="H17574" s="8" t="inlineStr">
        <is>
          <t>CLOSED</t>
        </is>
      </c>
    </row>
    <row r="17575">
      <c r="A17575" s="8" t="inlineStr">
        <is>
          <t>2026-08-03</t>
        </is>
      </c>
      <c r="B17575" s="8" t="n">
        <v>23</v>
      </c>
      <c r="C17575" s="8" t="n">
        <v>31</v>
      </c>
      <c r="D17575" s="8" t="inlineStr">
        <is>
          <t>Disneyland Park</t>
        </is>
      </c>
      <c r="E17575" s="8" t="inlineStr">
        <is>
          <t>Le Pays des Contes de Fées, presented by Vittel</t>
        </is>
      </c>
      <c r="F17575" s="8" t="inlineStr">
        <is>
          <t>STANDBY</t>
        </is>
      </c>
      <c r="G17575" s="8" t="n">
        <v>0</v>
      </c>
      <c r="H17575" s="8" t="inlineStr">
        <is>
          <t>CLOSED</t>
        </is>
      </c>
    </row>
    <row r="17576">
      <c r="A17576" s="8" t="inlineStr">
        <is>
          <t>2026-08-03</t>
        </is>
      </c>
      <c r="B17576" s="8" t="n">
        <v>23</v>
      </c>
      <c r="C17576" s="8" t="n">
        <v>31</v>
      </c>
      <c r="D17576" s="8" t="inlineStr">
        <is>
          <t>Disneyland Park</t>
        </is>
      </c>
      <c r="E17576" s="8" t="inlineStr">
        <is>
          <t>Les Voyages de Pinocchio</t>
        </is>
      </c>
      <c r="F17576" s="8" t="inlineStr">
        <is>
          <t>STANDBY</t>
        </is>
      </c>
      <c r="G17576" s="8" t="n">
        <v>0</v>
      </c>
      <c r="H17576" s="8" t="inlineStr">
        <is>
          <t>CLOSED</t>
        </is>
      </c>
    </row>
    <row r="17577">
      <c r="A17577" s="8" t="inlineStr">
        <is>
          <t>2026-08-03</t>
        </is>
      </c>
      <c r="B17577" s="8" t="n">
        <v>23</v>
      </c>
      <c r="C17577" s="8" t="n">
        <v>31</v>
      </c>
      <c r="D17577" s="8" t="inlineStr">
        <is>
          <t>Disneyland Park</t>
        </is>
      </c>
      <c r="E17577" s="8" t="inlineStr">
        <is>
          <t>Mad Hatter's Tea Cups</t>
        </is>
      </c>
      <c r="F17577" s="8" t="inlineStr">
        <is>
          <t>STANDBY</t>
        </is>
      </c>
      <c r="G17577" s="8" t="n">
        <v>0</v>
      </c>
      <c r="H17577" s="8" t="inlineStr">
        <is>
          <t>CLOSED</t>
        </is>
      </c>
    </row>
    <row r="17578">
      <c r="A17578" s="8" t="inlineStr">
        <is>
          <t>2026-08-03</t>
        </is>
      </c>
      <c r="B17578" s="8" t="n">
        <v>23</v>
      </c>
      <c r="C17578" s="8" t="n">
        <v>31</v>
      </c>
      <c r="D17578" s="8" t="inlineStr">
        <is>
          <t>Disneyland Park</t>
        </is>
      </c>
      <c r="E17578" s="8" t="inlineStr">
        <is>
          <t>Meet Mickey Mouse</t>
        </is>
      </c>
      <c r="F17578" s="8" t="inlineStr">
        <is>
          <t>STANDBY</t>
        </is>
      </c>
      <c r="G17578" s="8" t="n">
        <v>0</v>
      </c>
      <c r="H17578" s="8" t="inlineStr">
        <is>
          <t>CLOSED</t>
        </is>
      </c>
    </row>
    <row r="17579">
      <c r="A17579" s="8" t="inlineStr">
        <is>
          <t>2026-08-03</t>
        </is>
      </c>
      <c r="B17579" s="8" t="n">
        <v>23</v>
      </c>
      <c r="C17579" s="8" t="n">
        <v>31</v>
      </c>
      <c r="D17579" s="8" t="inlineStr">
        <is>
          <t>Disneyland Park</t>
        </is>
      </c>
      <c r="E17579" s="8" t="inlineStr">
        <is>
          <t>Peter Pan's Flight</t>
        </is>
      </c>
      <c r="F17579" s="8" t="inlineStr">
        <is>
          <t>STANDBY</t>
        </is>
      </c>
      <c r="G17579" s="8" t="n">
        <v>0</v>
      </c>
      <c r="H17579" s="8" t="inlineStr">
        <is>
          <t>CLOSED</t>
        </is>
      </c>
    </row>
    <row r="17580">
      <c r="A17580" s="8" t="inlineStr">
        <is>
          <t>2026-08-03</t>
        </is>
      </c>
      <c r="B17580" s="8" t="n">
        <v>23</v>
      </c>
      <c r="C17580" s="8" t="n">
        <v>31</v>
      </c>
      <c r="D17580" s="8" t="inlineStr">
        <is>
          <t>Disneyland Park</t>
        </is>
      </c>
      <c r="E17580" s="8" t="inlineStr">
        <is>
          <t>Princess Pavilion</t>
        </is>
      </c>
      <c r="F17580" s="8" t="inlineStr">
        <is>
          <t>STANDBY</t>
        </is>
      </c>
      <c r="G17580" s="8" t="n">
        <v>0</v>
      </c>
      <c r="H17580" s="8" t="inlineStr">
        <is>
          <t>CLOSED</t>
        </is>
      </c>
    </row>
    <row r="17581">
      <c r="A17581" s="8" t="inlineStr">
        <is>
          <t>2026-08-03</t>
        </is>
      </c>
      <c r="B17581" s="8" t="n">
        <v>23</v>
      </c>
      <c r="C17581" s="8" t="n">
        <v>31</v>
      </c>
      <c r="D17581" s="8" t="inlineStr">
        <is>
          <t>Disneyland Park</t>
        </is>
      </c>
      <c r="E17581" s="8" t="inlineStr">
        <is>
          <t>Big Thunder Mountain</t>
        </is>
      </c>
      <c r="F17581" s="8" t="inlineStr">
        <is>
          <t>STANDBY</t>
        </is>
      </c>
      <c r="G17581" s="8" t="n">
        <v>0</v>
      </c>
      <c r="H17581" s="8" t="inlineStr">
        <is>
          <t>CLOSED</t>
        </is>
      </c>
    </row>
    <row r="17582">
      <c r="A17582" s="8" t="inlineStr">
        <is>
          <t>2026-08-03</t>
        </is>
      </c>
      <c r="B17582" s="8" t="n">
        <v>23</v>
      </c>
      <c r="C17582" s="8" t="n">
        <v>31</v>
      </c>
      <c r="D17582" s="8" t="inlineStr">
        <is>
          <t>Disneyland Park</t>
        </is>
      </c>
      <c r="E17582" s="8" t="inlineStr">
        <is>
          <t>Disneyland Railroad Frontierland Depot</t>
        </is>
      </c>
      <c r="F17582" s="8" t="inlineStr">
        <is>
          <t>STANDBY</t>
        </is>
      </c>
      <c r="G17582" s="8" t="n">
        <v>0</v>
      </c>
      <c r="H17582" s="8" t="inlineStr">
        <is>
          <t>CLOSED</t>
        </is>
      </c>
    </row>
    <row r="17583">
      <c r="A17583" s="8" t="inlineStr">
        <is>
          <t>2026-08-03</t>
        </is>
      </c>
      <c r="B17583" s="8" t="n">
        <v>23</v>
      </c>
      <c r="C17583" s="8" t="n">
        <v>31</v>
      </c>
      <c r="D17583" s="8" t="inlineStr">
        <is>
          <t>Disneyland Park</t>
        </is>
      </c>
      <c r="E17583" s="8" t="inlineStr">
        <is>
          <t>Frontierland Playground</t>
        </is>
      </c>
      <c r="F17583" s="8" t="inlineStr">
        <is>
          <t>STANDBY</t>
        </is>
      </c>
      <c r="G17583" s="8" t="n">
        <v>0</v>
      </c>
      <c r="H17583" s="8" t="inlineStr">
        <is>
          <t>CLOSED</t>
        </is>
      </c>
    </row>
    <row r="17584">
      <c r="A17584" s="8" t="inlineStr">
        <is>
          <t>2026-08-03</t>
        </is>
      </c>
      <c r="B17584" s="8" t="n">
        <v>23</v>
      </c>
      <c r="C17584" s="8" t="n">
        <v>31</v>
      </c>
      <c r="D17584" s="8" t="inlineStr">
        <is>
          <t>Disneyland Park</t>
        </is>
      </c>
      <c r="E17584" s="8" t="inlineStr">
        <is>
          <t>Phantom Manor</t>
        </is>
      </c>
      <c r="F17584" s="8" t="inlineStr">
        <is>
          <t>STANDBY</t>
        </is>
      </c>
      <c r="G17584" s="8" t="n">
        <v>0</v>
      </c>
      <c r="H17584" s="8" t="inlineStr">
        <is>
          <t>CLOSED</t>
        </is>
      </c>
    </row>
    <row r="17585">
      <c r="A17585" s="8" t="inlineStr">
        <is>
          <t>2026-08-03</t>
        </is>
      </c>
      <c r="B17585" s="8" t="n">
        <v>23</v>
      </c>
      <c r="C17585" s="8" t="n">
        <v>31</v>
      </c>
      <c r="D17585" s="8" t="inlineStr">
        <is>
          <t>Disneyland Park</t>
        </is>
      </c>
      <c r="E17585" s="8" t="inlineStr">
        <is>
          <t>River Rogue Keelboats</t>
        </is>
      </c>
      <c r="F17585" s="8" t="inlineStr">
        <is>
          <t>STANDBY</t>
        </is>
      </c>
      <c r="G17585" s="8" t="n">
        <v>0</v>
      </c>
      <c r="H17585" s="8" t="inlineStr">
        <is>
          <t>CLOSED</t>
        </is>
      </c>
    </row>
    <row r="17586">
      <c r="A17586" s="8" t="inlineStr">
        <is>
          <t>2026-08-03</t>
        </is>
      </c>
      <c r="B17586" s="8" t="n">
        <v>23</v>
      </c>
      <c r="C17586" s="8" t="n">
        <v>31</v>
      </c>
      <c r="D17586" s="8" t="inlineStr">
        <is>
          <t>Disneyland Park</t>
        </is>
      </c>
      <c r="E17586" s="8" t="inlineStr">
        <is>
          <t>Rustler Roundup Shootin' Gallery</t>
        </is>
      </c>
      <c r="F17586" s="8" t="inlineStr">
        <is>
          <t>STANDBY</t>
        </is>
      </c>
      <c r="G17586" s="8" t="n">
        <v>0</v>
      </c>
      <c r="H17586" s="8" t="inlineStr">
        <is>
          <t>CLOSED</t>
        </is>
      </c>
    </row>
    <row r="17587">
      <c r="A17587" s="8" t="inlineStr">
        <is>
          <t>2026-08-03</t>
        </is>
      </c>
      <c r="B17587" s="8" t="n">
        <v>23</v>
      </c>
      <c r="C17587" s="8" t="n">
        <v>31</v>
      </c>
      <c r="D17587" s="8" t="inlineStr">
        <is>
          <t>Disneyland Park</t>
        </is>
      </c>
      <c r="E17587" s="8" t="inlineStr">
        <is>
          <t>Thunder Mesa Riverboat Landing</t>
        </is>
      </c>
      <c r="F17587" s="8" t="inlineStr">
        <is>
          <t>STANDBY</t>
        </is>
      </c>
      <c r="G17587" s="8" t="n">
        <v>0</v>
      </c>
      <c r="H17587" s="8" t="inlineStr">
        <is>
          <t>CLOSED</t>
        </is>
      </c>
    </row>
    <row r="17588">
      <c r="A17588" s="8" t="inlineStr">
        <is>
          <t>2026-08-03</t>
        </is>
      </c>
      <c r="B17588" s="8" t="n">
        <v>23</v>
      </c>
      <c r="C17588" s="8" t="n">
        <v>31</v>
      </c>
      <c r="D17588" s="8" t="inlineStr">
        <is>
          <t>Disneyland Park</t>
        </is>
      </c>
      <c r="E17588" s="8" t="inlineStr">
        <is>
          <t>Disneyland Railroad Main Street Station</t>
        </is>
      </c>
      <c r="F17588" s="8" t="inlineStr">
        <is>
          <t>STANDBY</t>
        </is>
      </c>
      <c r="G17588" s="8" t="n">
        <v>0</v>
      </c>
      <c r="H17588" s="8" t="inlineStr">
        <is>
          <t>CLOSED</t>
        </is>
      </c>
    </row>
    <row r="17589">
      <c r="A17589" s="8" t="inlineStr">
        <is>
          <t>2026-08-03</t>
        </is>
      </c>
      <c r="B17589" s="8" t="n">
        <v>23</v>
      </c>
      <c r="C17589" s="8" t="n">
        <v>31</v>
      </c>
      <c r="D17589" s="8" t="inlineStr">
        <is>
          <t>Disneyland Park</t>
        </is>
      </c>
      <c r="E17589" s="8" t="inlineStr">
        <is>
          <t>Main Street Vehicles</t>
        </is>
      </c>
      <c r="F17589" s="8" t="inlineStr">
        <is>
          <t>STANDBY</t>
        </is>
      </c>
      <c r="G17589" s="8" t="n">
        <v>0</v>
      </c>
      <c r="H17589" s="8" t="inlineStr">
        <is>
          <t>CLOSED</t>
        </is>
      </c>
    </row>
    <row r="17590">
      <c r="A17590" s="8" t="inlineStr">
        <is>
          <t>2026-08-03</t>
        </is>
      </c>
      <c r="B17590" s="8" t="n">
        <v>23</v>
      </c>
      <c r="C17590" s="8" t="n">
        <v>31</v>
      </c>
      <c r="D17590" s="8" t="inlineStr">
        <is>
          <t>Disney Adventure World</t>
        </is>
      </c>
      <c r="E17590" s="8" t="inlineStr">
        <is>
          <t>Avengers Assemble: Flight Force</t>
        </is>
      </c>
      <c r="F17590" s="8" t="inlineStr">
        <is>
          <t>STANDBY</t>
        </is>
      </c>
      <c r="G17590" s="8" t="n">
        <v>0</v>
      </c>
      <c r="H17590" s="8" t="inlineStr">
        <is>
          <t>CLOSED</t>
        </is>
      </c>
    </row>
    <row r="17591">
      <c r="A17591" s="8" t="inlineStr">
        <is>
          <t>2026-08-03</t>
        </is>
      </c>
      <c r="B17591" s="8" t="n">
        <v>23</v>
      </c>
      <c r="C17591" s="8" t="n">
        <v>31</v>
      </c>
      <c r="D17591" s="8" t="inlineStr">
        <is>
          <t>Disney Adventure World</t>
        </is>
      </c>
      <c r="E17591" s="8" t="inlineStr">
        <is>
          <t>Avengers Assemble: Flight Force Single Rider</t>
        </is>
      </c>
      <c r="F17591" s="8" t="inlineStr">
        <is>
          <t>STANDBY</t>
        </is>
      </c>
      <c r="G17591" s="8" t="n">
        <v>0</v>
      </c>
      <c r="H17591" s="8" t="inlineStr">
        <is>
          <t>CLOSED</t>
        </is>
      </c>
    </row>
    <row r="17592">
      <c r="A17592" s="8" t="inlineStr">
        <is>
          <t>2026-08-03</t>
        </is>
      </c>
      <c r="B17592" s="8" t="n">
        <v>23</v>
      </c>
      <c r="C17592" s="8" t="n">
        <v>31</v>
      </c>
      <c r="D17592" s="8" t="inlineStr">
        <is>
          <t>Disney Adventure World</t>
        </is>
      </c>
      <c r="E17592" s="8" t="inlineStr">
        <is>
          <t>Spider-Man W.E.B. Adventure</t>
        </is>
      </c>
      <c r="F17592" s="8" t="inlineStr">
        <is>
          <t>STANDBY</t>
        </is>
      </c>
      <c r="G17592" s="8" t="n">
        <v>0</v>
      </c>
      <c r="H17592" s="8" t="inlineStr">
        <is>
          <t>CLOSED</t>
        </is>
      </c>
    </row>
    <row r="17593">
      <c r="A17593" s="8" t="inlineStr">
        <is>
          <t>2026-08-03</t>
        </is>
      </c>
      <c r="B17593" s="8" t="n">
        <v>23</v>
      </c>
      <c r="C17593" s="8" t="n">
        <v>31</v>
      </c>
      <c r="D17593" s="8" t="inlineStr">
        <is>
          <t>Disney Adventure World</t>
        </is>
      </c>
      <c r="E17593" s="8" t="inlineStr">
        <is>
          <t>Spider-Man W.E.B. Adventure Single Rider</t>
        </is>
      </c>
      <c r="F17593" s="8" t="inlineStr">
        <is>
          <t>STANDBY</t>
        </is>
      </c>
      <c r="G17593" s="8" t="n">
        <v>0</v>
      </c>
      <c r="H17593" s="8" t="inlineStr">
        <is>
          <t>CLOSED</t>
        </is>
      </c>
    </row>
    <row r="17594">
      <c r="A17594" s="8" t="inlineStr">
        <is>
          <t>2026-08-03</t>
        </is>
      </c>
      <c r="B17594" s="8" t="n">
        <v>23</v>
      </c>
      <c r="C17594" s="8" t="n">
        <v>31</v>
      </c>
      <c r="D17594" s="8" t="inlineStr">
        <is>
          <t>Disney Adventure World</t>
        </is>
      </c>
      <c r="E17594" s="8" t="inlineStr">
        <is>
          <t>The Twilight Zone Tower of Terror</t>
        </is>
      </c>
      <c r="F17594" s="8" t="inlineStr">
        <is>
          <t>STANDBY</t>
        </is>
      </c>
      <c r="G17594" s="8" t="n">
        <v>0</v>
      </c>
      <c r="H17594" s="8" t="inlineStr">
        <is>
          <t>CLOSED</t>
        </is>
      </c>
    </row>
    <row r="17595">
      <c r="A17595" s="8" t="inlineStr">
        <is>
          <t>2026-08-03</t>
        </is>
      </c>
      <c r="B17595" s="8" t="n">
        <v>23</v>
      </c>
      <c r="C17595" s="8" t="n">
        <v>31</v>
      </c>
      <c r="D17595" s="8" t="inlineStr">
        <is>
          <t>Disney Adventure World</t>
        </is>
      </c>
      <c r="E17595" s="8" t="inlineStr">
        <is>
          <t>Cars Quatre Roues Rallye</t>
        </is>
      </c>
      <c r="F17595" s="8" t="inlineStr">
        <is>
          <t>STANDBY</t>
        </is>
      </c>
      <c r="G17595" s="8" t="n">
        <v>0</v>
      </c>
      <c r="H17595" s="8" t="inlineStr">
        <is>
          <t>CLOSED</t>
        </is>
      </c>
    </row>
    <row r="17596">
      <c r="A17596" s="8" t="inlineStr">
        <is>
          <t>2026-08-03</t>
        </is>
      </c>
      <c r="B17596" s="8" t="n">
        <v>23</v>
      </c>
      <c r="C17596" s="8" t="n">
        <v>31</v>
      </c>
      <c r="D17596" s="8" t="inlineStr">
        <is>
          <t>Disney Adventure World</t>
        </is>
      </c>
      <c r="E17596" s="8" t="inlineStr">
        <is>
          <t>Cars ROAD TRIP</t>
        </is>
      </c>
      <c r="F17596" s="8" t="inlineStr">
        <is>
          <t>STANDBY</t>
        </is>
      </c>
      <c r="G17596" s="8" t="n">
        <v>0</v>
      </c>
      <c r="H17596" s="8" t="inlineStr">
        <is>
          <t>CLOSED</t>
        </is>
      </c>
    </row>
    <row r="17597">
      <c r="A17597" s="8" t="inlineStr">
        <is>
          <t>2026-08-03</t>
        </is>
      </c>
      <c r="B17597" s="8" t="n">
        <v>23</v>
      </c>
      <c r="C17597" s="8" t="n">
        <v>31</v>
      </c>
      <c r="D17597" s="8" t="inlineStr">
        <is>
          <t>Disney Adventure World</t>
        </is>
      </c>
      <c r="E17597" s="8" t="inlineStr">
        <is>
          <t>Crush's Coaster</t>
        </is>
      </c>
      <c r="F17597" s="8" t="inlineStr">
        <is>
          <t>STANDBY</t>
        </is>
      </c>
      <c r="G17597" s="8" t="n">
        <v>0</v>
      </c>
      <c r="H17597" s="8" t="inlineStr">
        <is>
          <t>CLOSED</t>
        </is>
      </c>
    </row>
    <row r="17598">
      <c r="A17598" s="8" t="inlineStr">
        <is>
          <t>2026-08-03</t>
        </is>
      </c>
      <c r="B17598" s="8" t="n">
        <v>23</v>
      </c>
      <c r="C17598" s="8" t="n">
        <v>31</v>
      </c>
      <c r="D17598" s="8" t="inlineStr">
        <is>
          <t>Disney Adventure World</t>
        </is>
      </c>
      <c r="E17598" s="8" t="inlineStr">
        <is>
          <t>Crush's Coaster Single Rider</t>
        </is>
      </c>
      <c r="F17598" s="8" t="inlineStr">
        <is>
          <t>STANDBY</t>
        </is>
      </c>
      <c r="G17598" s="8" t="n">
        <v>0</v>
      </c>
      <c r="H17598" s="8" t="inlineStr">
        <is>
          <t>CLOSED</t>
        </is>
      </c>
    </row>
    <row r="17599">
      <c r="A17599" s="8" t="inlineStr">
        <is>
          <t>2026-08-03</t>
        </is>
      </c>
      <c r="B17599" s="8" t="n">
        <v>23</v>
      </c>
      <c r="C17599" s="8" t="n">
        <v>31</v>
      </c>
      <c r="D17599" s="8" t="inlineStr">
        <is>
          <t>Disney Adventure World</t>
        </is>
      </c>
      <c r="E17599" s="8" t="inlineStr">
        <is>
          <t>Les Tapis Volants - Flying Carpets Over Agrabah®</t>
        </is>
      </c>
      <c r="F17599" s="8" t="inlineStr">
        <is>
          <t>STANDBY</t>
        </is>
      </c>
      <c r="G17599" s="8" t="n">
        <v>0</v>
      </c>
      <c r="H17599" s="8" t="inlineStr">
        <is>
          <t>CLOSED</t>
        </is>
      </c>
    </row>
    <row r="17600">
      <c r="A17600" s="8" t="inlineStr">
        <is>
          <t>2026-08-03</t>
        </is>
      </c>
      <c r="B17600" s="8" t="n">
        <v>23</v>
      </c>
      <c r="C17600" s="8" t="n">
        <v>31</v>
      </c>
      <c r="D17600" s="8" t="inlineStr">
        <is>
          <t>Disney Adventure World</t>
        </is>
      </c>
      <c r="E17600" s="8" t="inlineStr">
        <is>
          <t>Ratatouille : L’Aventure Totalement Toquée de Rémy​</t>
        </is>
      </c>
      <c r="F17600" s="8" t="inlineStr">
        <is>
          <t>STANDBY</t>
        </is>
      </c>
      <c r="G17600" s="8" t="n">
        <v>0</v>
      </c>
      <c r="H17600" s="8" t="inlineStr">
        <is>
          <t>CLOSED</t>
        </is>
      </c>
    </row>
    <row r="17601">
      <c r="A17601" s="8" t="inlineStr">
        <is>
          <t>2026-08-03</t>
        </is>
      </c>
      <c r="B17601" s="8" t="n">
        <v>23</v>
      </c>
      <c r="C17601" s="8" t="n">
        <v>31</v>
      </c>
      <c r="D17601" s="8" t="inlineStr">
        <is>
          <t>Disney Adventure World</t>
        </is>
      </c>
      <c r="E17601" s="8" t="inlineStr">
        <is>
          <t>Ratatouille: The Adventure Single Rider</t>
        </is>
      </c>
      <c r="F17601" s="8" t="inlineStr">
        <is>
          <t>STANDBY</t>
        </is>
      </c>
      <c r="G17601" s="8" t="n">
        <v>0</v>
      </c>
      <c r="H17601" s="8" t="inlineStr">
        <is>
          <t>CLOSED</t>
        </is>
      </c>
    </row>
    <row r="17602">
      <c r="A17602" s="8" t="inlineStr">
        <is>
          <t>2026-08-03</t>
        </is>
      </c>
      <c r="B17602" s="8" t="n">
        <v>23</v>
      </c>
      <c r="C17602" s="8" t="n">
        <v>31</v>
      </c>
      <c r="D17602" s="8" t="inlineStr">
        <is>
          <t>Disney Adventure World</t>
        </is>
      </c>
      <c r="E17602" s="8" t="inlineStr">
        <is>
          <t>RC Racer</t>
        </is>
      </c>
      <c r="F17602" s="8" t="inlineStr">
        <is>
          <t>STANDBY</t>
        </is>
      </c>
      <c r="G17602" s="8" t="n">
        <v>0</v>
      </c>
      <c r="H17602" s="8" t="inlineStr">
        <is>
          <t>CLOSED</t>
        </is>
      </c>
    </row>
    <row r="17603">
      <c r="A17603" s="8" t="inlineStr">
        <is>
          <t>2026-08-03</t>
        </is>
      </c>
      <c r="B17603" s="8" t="n">
        <v>23</v>
      </c>
      <c r="C17603" s="8" t="n">
        <v>31</v>
      </c>
      <c r="D17603" s="8" t="inlineStr">
        <is>
          <t>Disney Adventure World</t>
        </is>
      </c>
      <c r="E17603" s="8" t="inlineStr">
        <is>
          <t>RC Racer Single Rider</t>
        </is>
      </c>
      <c r="F17603" s="8" t="inlineStr">
        <is>
          <t>STANDBY</t>
        </is>
      </c>
      <c r="G17603" s="8" t="n">
        <v>0</v>
      </c>
      <c r="H17603" s="8" t="inlineStr">
        <is>
          <t>CLOSED</t>
        </is>
      </c>
    </row>
    <row r="17604">
      <c r="A17604" s="8" t="inlineStr">
        <is>
          <t>2026-08-03</t>
        </is>
      </c>
      <c r="B17604" s="8" t="n">
        <v>23</v>
      </c>
      <c r="C17604" s="8" t="n">
        <v>31</v>
      </c>
      <c r="D17604" s="8" t="inlineStr">
        <is>
          <t>Disney Adventure World</t>
        </is>
      </c>
      <c r="E17604" s="8" t="inlineStr">
        <is>
          <t>Slinky® Dog Zigzag Spin</t>
        </is>
      </c>
      <c r="F17604" s="8" t="inlineStr">
        <is>
          <t>STANDBY</t>
        </is>
      </c>
      <c r="G17604" s="8" t="n">
        <v>0</v>
      </c>
      <c r="H17604" s="8" t="inlineStr">
        <is>
          <t>CLOSED</t>
        </is>
      </c>
    </row>
    <row r="17605">
      <c r="A17605" s="8" t="inlineStr">
        <is>
          <t>2026-08-03</t>
        </is>
      </c>
      <c r="B17605" s="8" t="n">
        <v>23</v>
      </c>
      <c r="C17605" s="8" t="n">
        <v>31</v>
      </c>
      <c r="D17605" s="8" t="inlineStr">
        <is>
          <t>Disney Adventure World</t>
        </is>
      </c>
      <c r="E17605" s="8" t="inlineStr">
        <is>
          <t>Toy Soldiers Parachute Drop</t>
        </is>
      </c>
      <c r="F17605" s="8" t="inlineStr">
        <is>
          <t>STANDBY</t>
        </is>
      </c>
      <c r="G17605" s="8" t="n">
        <v>0</v>
      </c>
      <c r="H17605" s="8" t="inlineStr">
        <is>
          <t>CLOSED</t>
        </is>
      </c>
    </row>
    <row r="17606">
      <c r="A17606" s="8" t="inlineStr">
        <is>
          <t>2026-08-03</t>
        </is>
      </c>
      <c r="B17606" s="8" t="n">
        <v>23</v>
      </c>
      <c r="C17606" s="8" t="n">
        <v>31</v>
      </c>
      <c r="D17606" s="8" t="inlineStr">
        <is>
          <t>Disney Adventure World</t>
        </is>
      </c>
      <c r="E17606" s="8" t="inlineStr">
        <is>
          <t>Toy Soldiers Parachute Drop Single Rider</t>
        </is>
      </c>
      <c r="F17606" s="8" t="inlineStr">
        <is>
          <t>STANDBY</t>
        </is>
      </c>
      <c r="G17606" s="8" t="n">
        <v>0</v>
      </c>
      <c r="H17606" s="8" t="inlineStr">
        <is>
          <t>CLOSED</t>
        </is>
      </c>
    </row>
    <row r="17607">
      <c r="A17607" s="8" t="inlineStr">
        <is>
          <t>2026-08-03</t>
        </is>
      </c>
      <c r="B17607" s="8" t="n">
        <v>23</v>
      </c>
      <c r="C17607" s="8" t="n">
        <v>31</v>
      </c>
      <c r="D17607" s="8" t="inlineStr">
        <is>
          <t>Disney Adventure World</t>
        </is>
      </c>
      <c r="E17607" s="8" t="inlineStr">
        <is>
          <t>Entry to World of Frozen</t>
        </is>
      </c>
      <c r="F17607" s="8" t="inlineStr">
        <is>
          <t>STANDBY</t>
        </is>
      </c>
      <c r="G17607" s="8" t="n">
        <v>0</v>
      </c>
      <c r="H17607" s="8" t="inlineStr">
        <is>
          <t>CLOSED</t>
        </is>
      </c>
    </row>
    <row r="17608">
      <c r="A17608" s="8" t="inlineStr">
        <is>
          <t>2026-08-03</t>
        </is>
      </c>
      <c r="B17608" s="8" t="n">
        <v>23</v>
      </c>
      <c r="C17608" s="8" t="n">
        <v>31</v>
      </c>
      <c r="D17608" s="8" t="inlineStr">
        <is>
          <t>Disney Adventure World</t>
        </is>
      </c>
      <c r="E17608" s="8" t="inlineStr">
        <is>
          <t>Frozen Ever After</t>
        </is>
      </c>
      <c r="F17608" s="8" t="inlineStr">
        <is>
          <t>STANDBY</t>
        </is>
      </c>
      <c r="G17608" s="8" t="n">
        <v>0</v>
      </c>
      <c r="H17608" s="8" t="inlineStr">
        <is>
          <t>CLOSED</t>
        </is>
      </c>
    </row>
    <row r="17609">
      <c r="A17609" s="8" t="inlineStr">
        <is>
          <t>2026-08-03</t>
        </is>
      </c>
      <c r="B17609" s="8" t="n">
        <v>23</v>
      </c>
      <c r="C17609" s="8" t="n">
        <v>31</v>
      </c>
      <c r="D17609" s="8" t="inlineStr">
        <is>
          <t>Disney Adventure World</t>
        </is>
      </c>
      <c r="E17609" s="8" t="inlineStr">
        <is>
          <t>Raiponce Tangled Spin</t>
        </is>
      </c>
      <c r="F17609" s="8" t="inlineStr">
        <is>
          <t>STANDBY</t>
        </is>
      </c>
      <c r="G17609" s="8" t="n">
        <v>0</v>
      </c>
      <c r="H17609" s="8" t="inlineStr">
        <is>
          <t>CLOSED</t>
        </is>
      </c>
    </row>
    <row r="17610">
      <c r="A17610" s="8" t="inlineStr">
        <is>
          <t>2026-08-03</t>
        </is>
      </c>
      <c r="B17610" s="8" t="n">
        <v>23</v>
      </c>
      <c r="C17610" s="8" t="n">
        <v>45</v>
      </c>
      <c r="D17610" s="8" t="inlineStr">
        <is>
          <t>Disneyland Park</t>
        </is>
      </c>
      <c r="E17610" s="8" t="inlineStr">
        <is>
          <t>Adventure Isle</t>
        </is>
      </c>
      <c r="F17610" s="8" t="inlineStr">
        <is>
          <t>STANDBY</t>
        </is>
      </c>
      <c r="G17610" s="8" t="n">
        <v>0</v>
      </c>
      <c r="H17610" s="8" t="inlineStr">
        <is>
          <t>CLOSED</t>
        </is>
      </c>
    </row>
    <row r="17611">
      <c r="A17611" s="8" t="inlineStr">
        <is>
          <t>2026-08-03</t>
        </is>
      </c>
      <c r="B17611" s="8" t="n">
        <v>23</v>
      </c>
      <c r="C17611" s="8" t="n">
        <v>45</v>
      </c>
      <c r="D17611" s="8" t="inlineStr">
        <is>
          <t>Disneyland Park</t>
        </is>
      </c>
      <c r="E17611" s="8" t="inlineStr">
        <is>
          <t>Indiana Jones and the Temple of Peril Single Rider</t>
        </is>
      </c>
      <c r="F17611" s="8" t="inlineStr">
        <is>
          <t>STANDBY</t>
        </is>
      </c>
      <c r="G17611" s="8" t="n">
        <v>0</v>
      </c>
      <c r="H17611" s="8" t="inlineStr">
        <is>
          <t>CLOSED</t>
        </is>
      </c>
    </row>
    <row r="17612">
      <c r="A17612" s="8" t="inlineStr">
        <is>
          <t>2026-08-03</t>
        </is>
      </c>
      <c r="B17612" s="8" t="n">
        <v>23</v>
      </c>
      <c r="C17612" s="8" t="n">
        <v>45</v>
      </c>
      <c r="D17612" s="8" t="inlineStr">
        <is>
          <t>Disneyland Park</t>
        </is>
      </c>
      <c r="E17612" s="8" t="inlineStr">
        <is>
          <t>Indiana Jones™ and the Temple of Peril</t>
        </is>
      </c>
      <c r="F17612" s="8" t="inlineStr">
        <is>
          <t>STANDBY</t>
        </is>
      </c>
      <c r="G17612" s="8" t="n">
        <v>0</v>
      </c>
      <c r="H17612" s="8" t="inlineStr">
        <is>
          <t>CLOSED</t>
        </is>
      </c>
    </row>
    <row r="17613">
      <c r="A17613" s="8" t="inlineStr">
        <is>
          <t>2026-08-03</t>
        </is>
      </c>
      <c r="B17613" s="8" t="n">
        <v>23</v>
      </c>
      <c r="C17613" s="8" t="n">
        <v>45</v>
      </c>
      <c r="D17613" s="8" t="inlineStr">
        <is>
          <t>Disneyland Park</t>
        </is>
      </c>
      <c r="E17613" s="8" t="inlineStr">
        <is>
          <t>La Cabane des Robinson</t>
        </is>
      </c>
      <c r="F17613" s="8" t="inlineStr">
        <is>
          <t>STANDBY</t>
        </is>
      </c>
      <c r="G17613" s="8" t="n">
        <v>0</v>
      </c>
      <c r="H17613" s="8" t="inlineStr">
        <is>
          <t>CLOSED</t>
        </is>
      </c>
    </row>
    <row r="17614">
      <c r="A17614" s="8" t="inlineStr">
        <is>
          <t>2026-08-03</t>
        </is>
      </c>
      <c r="B17614" s="8" t="n">
        <v>23</v>
      </c>
      <c r="C17614" s="8" t="n">
        <v>45</v>
      </c>
      <c r="D17614" s="8" t="inlineStr">
        <is>
          <t>Disneyland Park</t>
        </is>
      </c>
      <c r="E17614" s="8" t="inlineStr">
        <is>
          <t>Le Passage Enchanté d'Aladdin</t>
        </is>
      </c>
      <c r="F17614" s="8" t="inlineStr">
        <is>
          <t>STANDBY</t>
        </is>
      </c>
      <c r="G17614" s="8" t="n">
        <v>0</v>
      </c>
      <c r="H17614" s="8" t="inlineStr">
        <is>
          <t>CLOSED</t>
        </is>
      </c>
    </row>
    <row r="17615">
      <c r="A17615" s="8" t="inlineStr">
        <is>
          <t>2026-08-03</t>
        </is>
      </c>
      <c r="B17615" s="8" t="n">
        <v>23</v>
      </c>
      <c r="C17615" s="8" t="n">
        <v>45</v>
      </c>
      <c r="D17615" s="8" t="inlineStr">
        <is>
          <t>Disneyland Park</t>
        </is>
      </c>
      <c r="E17615" s="8" t="inlineStr">
        <is>
          <t>Pirate Galleon</t>
        </is>
      </c>
      <c r="F17615" s="8" t="inlineStr">
        <is>
          <t>STANDBY</t>
        </is>
      </c>
      <c r="G17615" s="8" t="n">
        <v>0</v>
      </c>
      <c r="H17615" s="8" t="inlineStr">
        <is>
          <t>CLOSED</t>
        </is>
      </c>
    </row>
    <row r="17616">
      <c r="A17616" s="8" t="inlineStr">
        <is>
          <t>2026-08-03</t>
        </is>
      </c>
      <c r="B17616" s="8" t="n">
        <v>23</v>
      </c>
      <c r="C17616" s="8" t="n">
        <v>45</v>
      </c>
      <c r="D17616" s="8" t="inlineStr">
        <is>
          <t>Disneyland Park</t>
        </is>
      </c>
      <c r="E17616" s="8" t="inlineStr">
        <is>
          <t>Pirates of the Caribbean</t>
        </is>
      </c>
      <c r="F17616" s="8" t="inlineStr">
        <is>
          <t>STANDBY</t>
        </is>
      </c>
      <c r="G17616" s="8" t="n">
        <v>0</v>
      </c>
      <c r="H17616" s="8" t="inlineStr">
        <is>
          <t>CLOSED</t>
        </is>
      </c>
    </row>
    <row r="17617">
      <c r="A17617" s="8" t="inlineStr">
        <is>
          <t>2026-08-03</t>
        </is>
      </c>
      <c r="B17617" s="8" t="n">
        <v>23</v>
      </c>
      <c r="C17617" s="8" t="n">
        <v>45</v>
      </c>
      <c r="D17617" s="8" t="inlineStr">
        <is>
          <t>Disneyland Park</t>
        </is>
      </c>
      <c r="E17617" s="8" t="inlineStr">
        <is>
          <t>Pirates' Beach</t>
        </is>
      </c>
      <c r="F17617" s="8" t="inlineStr">
        <is>
          <t>STANDBY</t>
        </is>
      </c>
      <c r="G17617" s="8" t="n">
        <v>0</v>
      </c>
      <c r="H17617" s="8" t="inlineStr">
        <is>
          <t>CLOSED</t>
        </is>
      </c>
    </row>
    <row r="17618">
      <c r="A17618" s="8" t="inlineStr">
        <is>
          <t>2026-08-03</t>
        </is>
      </c>
      <c r="B17618" s="8" t="n">
        <v>23</v>
      </c>
      <c r="C17618" s="8" t="n">
        <v>45</v>
      </c>
      <c r="D17618" s="8" t="inlineStr">
        <is>
          <t>Disneyland Park</t>
        </is>
      </c>
      <c r="E17618" s="8" t="inlineStr">
        <is>
          <t>Autopia, presented by Avis</t>
        </is>
      </c>
      <c r="F17618" s="8" t="inlineStr">
        <is>
          <t>STANDBY</t>
        </is>
      </c>
      <c r="G17618" s="8" t="n">
        <v>0</v>
      </c>
      <c r="H17618" s="8" t="inlineStr">
        <is>
          <t>CLOSED</t>
        </is>
      </c>
    </row>
    <row r="17619">
      <c r="A17619" s="8" t="inlineStr">
        <is>
          <t>2026-08-03</t>
        </is>
      </c>
      <c r="B17619" s="8" t="n">
        <v>23</v>
      </c>
      <c r="C17619" s="8" t="n">
        <v>45</v>
      </c>
      <c r="D17619" s="8" t="inlineStr">
        <is>
          <t>Disneyland Park</t>
        </is>
      </c>
      <c r="E17619" s="8" t="inlineStr">
        <is>
          <t>Buzz Lightyear Laser Blast</t>
        </is>
      </c>
      <c r="F17619" s="8" t="inlineStr">
        <is>
          <t>STANDBY</t>
        </is>
      </c>
      <c r="G17619" s="8" t="n">
        <v>0</v>
      </c>
      <c r="H17619" s="8" t="inlineStr">
        <is>
          <t>CLOSED</t>
        </is>
      </c>
    </row>
    <row r="17620">
      <c r="A17620" s="8" t="inlineStr">
        <is>
          <t>2026-08-03</t>
        </is>
      </c>
      <c r="B17620" s="8" t="n">
        <v>23</v>
      </c>
      <c r="C17620" s="8" t="n">
        <v>45</v>
      </c>
      <c r="D17620" s="8" t="inlineStr">
        <is>
          <t>Disneyland Park</t>
        </is>
      </c>
      <c r="E17620" s="8" t="inlineStr">
        <is>
          <t>Disneyland Railroad Discoveryland Station</t>
        </is>
      </c>
      <c r="F17620" s="8" t="inlineStr">
        <is>
          <t>STANDBY</t>
        </is>
      </c>
      <c r="G17620" s="8" t="n">
        <v>0</v>
      </c>
      <c r="H17620" s="8" t="inlineStr">
        <is>
          <t>CLOSED</t>
        </is>
      </c>
    </row>
    <row r="17621">
      <c r="A17621" s="8" t="inlineStr">
        <is>
          <t>2026-08-03</t>
        </is>
      </c>
      <c r="B17621" s="8" t="n">
        <v>23</v>
      </c>
      <c r="C17621" s="8" t="n">
        <v>45</v>
      </c>
      <c r="D17621" s="8" t="inlineStr">
        <is>
          <t>Disneyland Park</t>
        </is>
      </c>
      <c r="E17621" s="8" t="inlineStr">
        <is>
          <t>Les Mystères du Nautilus</t>
        </is>
      </c>
      <c r="F17621" s="8" t="inlineStr">
        <is>
          <t>STANDBY</t>
        </is>
      </c>
      <c r="G17621" s="8" t="n">
        <v>0</v>
      </c>
      <c r="H17621" s="8" t="inlineStr">
        <is>
          <t>CLOSED</t>
        </is>
      </c>
    </row>
    <row r="17622">
      <c r="A17622" s="8" t="inlineStr">
        <is>
          <t>2026-08-03</t>
        </is>
      </c>
      <c r="B17622" s="8" t="n">
        <v>23</v>
      </c>
      <c r="C17622" s="8" t="n">
        <v>45</v>
      </c>
      <c r="D17622" s="8" t="inlineStr">
        <is>
          <t>Disneyland Park</t>
        </is>
      </c>
      <c r="E17622" s="8" t="inlineStr">
        <is>
          <t>Mickey’s PhilharMagic</t>
        </is>
      </c>
      <c r="F17622" s="8" t="inlineStr">
        <is>
          <t>STANDBY</t>
        </is>
      </c>
      <c r="G17622" s="8" t="n">
        <v>0</v>
      </c>
      <c r="H17622" s="8" t="inlineStr">
        <is>
          <t>CLOSED</t>
        </is>
      </c>
    </row>
    <row r="17623">
      <c r="A17623" s="8" t="inlineStr">
        <is>
          <t>2026-08-03</t>
        </is>
      </c>
      <c r="B17623" s="8" t="n">
        <v>23</v>
      </c>
      <c r="C17623" s="8" t="n">
        <v>45</v>
      </c>
      <c r="D17623" s="8" t="inlineStr">
        <is>
          <t>Disneyland Park</t>
        </is>
      </c>
      <c r="E17623" s="8" t="inlineStr">
        <is>
          <t>Orbitron®</t>
        </is>
      </c>
      <c r="F17623" s="8" t="inlineStr">
        <is>
          <t>STANDBY</t>
        </is>
      </c>
      <c r="G17623" s="8" t="n">
        <v>0</v>
      </c>
      <c r="H17623" s="8" t="inlineStr">
        <is>
          <t>CLOSED</t>
        </is>
      </c>
    </row>
    <row r="17624">
      <c r="A17624" s="8" t="inlineStr">
        <is>
          <t>2026-08-03</t>
        </is>
      </c>
      <c r="B17624" s="8" t="n">
        <v>23</v>
      </c>
      <c r="C17624" s="8" t="n">
        <v>45</v>
      </c>
      <c r="D17624" s="8" t="inlineStr">
        <is>
          <t>Disneyland Park</t>
        </is>
      </c>
      <c r="E17624" s="8" t="inlineStr">
        <is>
          <t>Star Tours: The Adventures Continue*</t>
        </is>
      </c>
      <c r="F17624" s="8" t="inlineStr">
        <is>
          <t>STANDBY</t>
        </is>
      </c>
      <c r="G17624" s="8" t="n">
        <v>0</v>
      </c>
      <c r="H17624" s="8" t="inlineStr">
        <is>
          <t>CLOSED</t>
        </is>
      </c>
    </row>
    <row r="17625">
      <c r="A17625" s="8" t="inlineStr">
        <is>
          <t>2026-08-03</t>
        </is>
      </c>
      <c r="B17625" s="8" t="n">
        <v>23</v>
      </c>
      <c r="C17625" s="8" t="n">
        <v>45</v>
      </c>
      <c r="D17625" s="8" t="inlineStr">
        <is>
          <t>Disneyland Park</t>
        </is>
      </c>
      <c r="E17625" s="8" t="inlineStr">
        <is>
          <t>Star Wars Hyperspace Mountain</t>
        </is>
      </c>
      <c r="F17625" s="8" t="inlineStr">
        <is>
          <t>STANDBY</t>
        </is>
      </c>
      <c r="G17625" s="8" t="n">
        <v>0</v>
      </c>
      <c r="H17625" s="8" t="inlineStr">
        <is>
          <t>CLOSED</t>
        </is>
      </c>
    </row>
    <row r="17626">
      <c r="A17626" s="8" t="inlineStr">
        <is>
          <t>2026-08-03</t>
        </is>
      </c>
      <c r="B17626" s="8" t="n">
        <v>23</v>
      </c>
      <c r="C17626" s="8" t="n">
        <v>45</v>
      </c>
      <c r="D17626" s="8" t="inlineStr">
        <is>
          <t>Disneyland Park</t>
        </is>
      </c>
      <c r="E17626" s="8" t="inlineStr">
        <is>
          <t>Star Wars Hyperspace Mountain Single Rider</t>
        </is>
      </c>
      <c r="F17626" s="8" t="inlineStr">
        <is>
          <t>STANDBY</t>
        </is>
      </c>
      <c r="G17626" s="8" t="n">
        <v>0</v>
      </c>
      <c r="H17626" s="8" t="inlineStr">
        <is>
          <t>CLOSED</t>
        </is>
      </c>
    </row>
    <row r="17627">
      <c r="A17627" s="8" t="inlineStr">
        <is>
          <t>2026-08-03</t>
        </is>
      </c>
      <c r="B17627" s="8" t="n">
        <v>23</v>
      </c>
      <c r="C17627" s="8" t="n">
        <v>45</v>
      </c>
      <c r="D17627" s="8" t="inlineStr">
        <is>
          <t>Disneyland Park</t>
        </is>
      </c>
      <c r="E17627" s="8" t="inlineStr">
        <is>
          <t>Welcome to Starport: A Star Wars Encounter</t>
        </is>
      </c>
      <c r="F17627" s="8" t="inlineStr">
        <is>
          <t>STANDBY</t>
        </is>
      </c>
      <c r="G17627" s="8" t="n">
        <v>0</v>
      </c>
      <c r="H17627" s="8" t="inlineStr">
        <is>
          <t>CLOSED</t>
        </is>
      </c>
    </row>
    <row r="17628">
      <c r="A17628" s="8" t="inlineStr">
        <is>
          <t>2026-08-03</t>
        </is>
      </c>
      <c r="B17628" s="8" t="n">
        <v>23</v>
      </c>
      <c r="C17628" s="8" t="n">
        <v>45</v>
      </c>
      <c r="D17628" s="8" t="inlineStr">
        <is>
          <t>Disneyland Park</t>
        </is>
      </c>
      <c r="E17628" s="8" t="inlineStr">
        <is>
          <t>"it's a small world"</t>
        </is>
      </c>
      <c r="F17628" s="8" t="inlineStr">
        <is>
          <t>STANDBY</t>
        </is>
      </c>
      <c r="G17628" s="8" t="n">
        <v>0</v>
      </c>
      <c r="H17628" s="8" t="inlineStr">
        <is>
          <t>CLOSED</t>
        </is>
      </c>
    </row>
    <row r="17629">
      <c r="A17629" s="8" t="inlineStr">
        <is>
          <t>2026-08-03</t>
        </is>
      </c>
      <c r="B17629" s="8" t="n">
        <v>23</v>
      </c>
      <c r="C17629" s="8" t="n">
        <v>45</v>
      </c>
      <c r="D17629" s="8" t="inlineStr">
        <is>
          <t>Disneyland Park</t>
        </is>
      </c>
      <c r="E17629" s="8" t="inlineStr">
        <is>
          <t>Alice's Curious Labyrinth</t>
        </is>
      </c>
      <c r="F17629" s="8" t="inlineStr">
        <is>
          <t>STANDBY</t>
        </is>
      </c>
      <c r="G17629" s="8" t="n">
        <v>0</v>
      </c>
      <c r="H17629" s="8" t="inlineStr">
        <is>
          <t>CLOSED</t>
        </is>
      </c>
    </row>
    <row r="17630">
      <c r="A17630" s="8" t="inlineStr">
        <is>
          <t>2026-08-03</t>
        </is>
      </c>
      <c r="B17630" s="8" t="n">
        <v>23</v>
      </c>
      <c r="C17630" s="8" t="n">
        <v>45</v>
      </c>
      <c r="D17630" s="8" t="inlineStr">
        <is>
          <t>Disneyland Park</t>
        </is>
      </c>
      <c r="E17630" s="8" t="inlineStr">
        <is>
          <t>Blanche-Neige et les Sept Nains®</t>
        </is>
      </c>
      <c r="F17630" s="8" t="inlineStr">
        <is>
          <t>STANDBY</t>
        </is>
      </c>
      <c r="G17630" s="8" t="n">
        <v>0</v>
      </c>
      <c r="H17630" s="8" t="inlineStr">
        <is>
          <t>CLOSED</t>
        </is>
      </c>
    </row>
    <row r="17631">
      <c r="A17631" s="8" t="inlineStr">
        <is>
          <t>2026-08-03</t>
        </is>
      </c>
      <c r="B17631" s="8" t="n">
        <v>23</v>
      </c>
      <c r="C17631" s="8" t="n">
        <v>45</v>
      </c>
      <c r="D17631" s="8" t="inlineStr">
        <is>
          <t>Disneyland Park</t>
        </is>
      </c>
      <c r="E17631" s="8" t="inlineStr">
        <is>
          <t>Casey Jr. – le Petit Train du Cirque</t>
        </is>
      </c>
      <c r="F17631" s="8" t="inlineStr">
        <is>
          <t>STANDBY</t>
        </is>
      </c>
      <c r="G17631" s="8" t="n">
        <v>0</v>
      </c>
      <c r="H17631" s="8" t="inlineStr">
        <is>
          <t>CLOSED</t>
        </is>
      </c>
    </row>
    <row r="17632">
      <c r="A17632" s="8" t="inlineStr">
        <is>
          <t>2026-08-03</t>
        </is>
      </c>
      <c r="B17632" s="8" t="n">
        <v>23</v>
      </c>
      <c r="C17632" s="8" t="n">
        <v>45</v>
      </c>
      <c r="D17632" s="8" t="inlineStr">
        <is>
          <t>Disneyland Park</t>
        </is>
      </c>
      <c r="E17632" s="8" t="inlineStr">
        <is>
          <t>Disneyland Railroad Fantasyland Station</t>
        </is>
      </c>
      <c r="F17632" s="8" t="inlineStr">
        <is>
          <t>STANDBY</t>
        </is>
      </c>
      <c r="G17632" s="8" t="n">
        <v>0</v>
      </c>
      <c r="H17632" s="8" t="inlineStr">
        <is>
          <t>CLOSED</t>
        </is>
      </c>
    </row>
    <row r="17633">
      <c r="A17633" s="8" t="inlineStr">
        <is>
          <t>2026-08-03</t>
        </is>
      </c>
      <c r="B17633" s="8" t="n">
        <v>23</v>
      </c>
      <c r="C17633" s="8" t="n">
        <v>45</v>
      </c>
      <c r="D17633" s="8" t="inlineStr">
        <is>
          <t>Disneyland Park</t>
        </is>
      </c>
      <c r="E17633" s="8" t="inlineStr">
        <is>
          <t>Disneyland Railroad Main Street Station</t>
        </is>
      </c>
      <c r="F17633" s="8" t="inlineStr">
        <is>
          <t>STANDBY</t>
        </is>
      </c>
      <c r="G17633" s="8" t="n">
        <v>0</v>
      </c>
      <c r="H17633" s="8" t="inlineStr">
        <is>
          <t>CLOSED</t>
        </is>
      </c>
    </row>
    <row r="17634">
      <c r="A17634" s="8" t="inlineStr">
        <is>
          <t>2026-08-03</t>
        </is>
      </c>
      <c r="B17634" s="8" t="n">
        <v>23</v>
      </c>
      <c r="C17634" s="8" t="n">
        <v>45</v>
      </c>
      <c r="D17634" s="8" t="inlineStr">
        <is>
          <t>Disneyland Park</t>
        </is>
      </c>
      <c r="E17634" s="8" t="inlineStr">
        <is>
          <t>Dumbo the Flying Elephant</t>
        </is>
      </c>
      <c r="F17634" s="8" t="inlineStr">
        <is>
          <t>STANDBY</t>
        </is>
      </c>
      <c r="G17634" s="8" t="n">
        <v>0</v>
      </c>
      <c r="H17634" s="8" t="inlineStr">
        <is>
          <t>CLOSED</t>
        </is>
      </c>
    </row>
    <row r="17635">
      <c r="A17635" s="8" t="inlineStr">
        <is>
          <t>2026-08-03</t>
        </is>
      </c>
      <c r="B17635" s="8" t="n">
        <v>23</v>
      </c>
      <c r="C17635" s="8" t="n">
        <v>45</v>
      </c>
      <c r="D17635" s="8" t="inlineStr">
        <is>
          <t>Disneyland Park</t>
        </is>
      </c>
      <c r="E17635" s="8" t="inlineStr">
        <is>
          <t>La Tanière du Dragon</t>
        </is>
      </c>
      <c r="F17635" s="8" t="inlineStr">
        <is>
          <t>STANDBY</t>
        </is>
      </c>
      <c r="G17635" s="8" t="n">
        <v>0</v>
      </c>
      <c r="H17635" s="8" t="inlineStr">
        <is>
          <t>CLOSED</t>
        </is>
      </c>
    </row>
    <row r="17636">
      <c r="A17636" s="8" t="inlineStr">
        <is>
          <t>2026-08-03</t>
        </is>
      </c>
      <c r="B17636" s="8" t="n">
        <v>23</v>
      </c>
      <c r="C17636" s="8" t="n">
        <v>45</v>
      </c>
      <c r="D17636" s="8" t="inlineStr">
        <is>
          <t>Disneyland Park</t>
        </is>
      </c>
      <c r="E17636" s="8" t="inlineStr">
        <is>
          <t>Le Carrousel de Lancelot</t>
        </is>
      </c>
      <c r="F17636" s="8" t="inlineStr">
        <is>
          <t>STANDBY</t>
        </is>
      </c>
      <c r="G17636" s="8" t="n">
        <v>0</v>
      </c>
      <c r="H17636" s="8" t="inlineStr">
        <is>
          <t>CLOSED</t>
        </is>
      </c>
    </row>
    <row r="17637">
      <c r="A17637" s="8" t="inlineStr">
        <is>
          <t>2026-08-03</t>
        </is>
      </c>
      <c r="B17637" s="8" t="n">
        <v>23</v>
      </c>
      <c r="C17637" s="8" t="n">
        <v>45</v>
      </c>
      <c r="D17637" s="8" t="inlineStr">
        <is>
          <t>Disneyland Park</t>
        </is>
      </c>
      <c r="E17637" s="8" t="inlineStr">
        <is>
          <t>Le Pays des Contes de Fées, presented by Vittel</t>
        </is>
      </c>
      <c r="F17637" s="8" t="inlineStr">
        <is>
          <t>STANDBY</t>
        </is>
      </c>
      <c r="G17637" s="8" t="n">
        <v>0</v>
      </c>
      <c r="H17637" s="8" t="inlineStr">
        <is>
          <t>CLOSED</t>
        </is>
      </c>
    </row>
    <row r="17638">
      <c r="A17638" s="8" t="inlineStr">
        <is>
          <t>2026-08-03</t>
        </is>
      </c>
      <c r="B17638" s="8" t="n">
        <v>23</v>
      </c>
      <c r="C17638" s="8" t="n">
        <v>45</v>
      </c>
      <c r="D17638" s="8" t="inlineStr">
        <is>
          <t>Disneyland Park</t>
        </is>
      </c>
      <c r="E17638" s="8" t="inlineStr">
        <is>
          <t>Les Voyages de Pinocchio</t>
        </is>
      </c>
      <c r="F17638" s="8" t="inlineStr">
        <is>
          <t>STANDBY</t>
        </is>
      </c>
      <c r="G17638" s="8" t="n">
        <v>0</v>
      </c>
      <c r="H17638" s="8" t="inlineStr">
        <is>
          <t>CLOSED</t>
        </is>
      </c>
    </row>
    <row r="17639">
      <c r="A17639" s="8" t="inlineStr">
        <is>
          <t>2026-08-03</t>
        </is>
      </c>
      <c r="B17639" s="8" t="n">
        <v>23</v>
      </c>
      <c r="C17639" s="8" t="n">
        <v>45</v>
      </c>
      <c r="D17639" s="8" t="inlineStr">
        <is>
          <t>Disneyland Park</t>
        </is>
      </c>
      <c r="E17639" s="8" t="inlineStr">
        <is>
          <t>Mad Hatter's Tea Cups</t>
        </is>
      </c>
      <c r="F17639" s="8" t="inlineStr">
        <is>
          <t>STANDBY</t>
        </is>
      </c>
      <c r="G17639" s="8" t="n">
        <v>0</v>
      </c>
      <c r="H17639" s="8" t="inlineStr">
        <is>
          <t>CLOSED</t>
        </is>
      </c>
    </row>
    <row r="17640">
      <c r="A17640" s="8" t="inlineStr">
        <is>
          <t>2026-08-03</t>
        </is>
      </c>
      <c r="B17640" s="8" t="n">
        <v>23</v>
      </c>
      <c r="C17640" s="8" t="n">
        <v>45</v>
      </c>
      <c r="D17640" s="8" t="inlineStr">
        <is>
          <t>Disneyland Park</t>
        </is>
      </c>
      <c r="E17640" s="8" t="inlineStr">
        <is>
          <t>Meet Mickey Mouse</t>
        </is>
      </c>
      <c r="F17640" s="8" t="inlineStr">
        <is>
          <t>STANDBY</t>
        </is>
      </c>
      <c r="G17640" s="8" t="n">
        <v>0</v>
      </c>
      <c r="H17640" s="8" t="inlineStr">
        <is>
          <t>CLOSED</t>
        </is>
      </c>
    </row>
    <row r="17641">
      <c r="A17641" s="8" t="inlineStr">
        <is>
          <t>2026-08-03</t>
        </is>
      </c>
      <c r="B17641" s="8" t="n">
        <v>23</v>
      </c>
      <c r="C17641" s="8" t="n">
        <v>45</v>
      </c>
      <c r="D17641" s="8" t="inlineStr">
        <is>
          <t>Disneyland Park</t>
        </is>
      </c>
      <c r="E17641" s="8" t="inlineStr">
        <is>
          <t>Peter Pan's Flight</t>
        </is>
      </c>
      <c r="F17641" s="8" t="inlineStr">
        <is>
          <t>STANDBY</t>
        </is>
      </c>
      <c r="G17641" s="8" t="n">
        <v>0</v>
      </c>
      <c r="H17641" s="8" t="inlineStr">
        <is>
          <t>CLOSED</t>
        </is>
      </c>
    </row>
    <row r="17642">
      <c r="A17642" s="8" t="inlineStr">
        <is>
          <t>2026-08-03</t>
        </is>
      </c>
      <c r="B17642" s="8" t="n">
        <v>23</v>
      </c>
      <c r="C17642" s="8" t="n">
        <v>45</v>
      </c>
      <c r="D17642" s="8" t="inlineStr">
        <is>
          <t>Disneyland Park</t>
        </is>
      </c>
      <c r="E17642" s="8" t="inlineStr">
        <is>
          <t>Princess Pavilion</t>
        </is>
      </c>
      <c r="F17642" s="8" t="inlineStr">
        <is>
          <t>STANDBY</t>
        </is>
      </c>
      <c r="G17642" s="8" t="n">
        <v>0</v>
      </c>
      <c r="H17642" s="8" t="inlineStr">
        <is>
          <t>CLOSED</t>
        </is>
      </c>
    </row>
    <row r="17643">
      <c r="A17643" s="8" t="inlineStr">
        <is>
          <t>2026-08-03</t>
        </is>
      </c>
      <c r="B17643" s="8" t="n">
        <v>23</v>
      </c>
      <c r="C17643" s="8" t="n">
        <v>45</v>
      </c>
      <c r="D17643" s="8" t="inlineStr">
        <is>
          <t>Disneyland Park</t>
        </is>
      </c>
      <c r="E17643" s="8" t="inlineStr">
        <is>
          <t>Big Thunder Mountain</t>
        </is>
      </c>
      <c r="F17643" s="8" t="inlineStr">
        <is>
          <t>STANDBY</t>
        </is>
      </c>
      <c r="G17643" s="8" t="n">
        <v>0</v>
      </c>
      <c r="H17643" s="8" t="inlineStr">
        <is>
          <t>CLOSED</t>
        </is>
      </c>
    </row>
    <row r="17644">
      <c r="A17644" s="8" t="inlineStr">
        <is>
          <t>2026-08-03</t>
        </is>
      </c>
      <c r="B17644" s="8" t="n">
        <v>23</v>
      </c>
      <c r="C17644" s="8" t="n">
        <v>45</v>
      </c>
      <c r="D17644" s="8" t="inlineStr">
        <is>
          <t>Disneyland Park</t>
        </is>
      </c>
      <c r="E17644" s="8" t="inlineStr">
        <is>
          <t>Disneyland Railroad Frontierland Depot</t>
        </is>
      </c>
      <c r="F17644" s="8" t="inlineStr">
        <is>
          <t>STANDBY</t>
        </is>
      </c>
      <c r="G17644" s="8" t="n">
        <v>0</v>
      </c>
      <c r="H17644" s="8" t="inlineStr">
        <is>
          <t>CLOSED</t>
        </is>
      </c>
    </row>
    <row r="17645">
      <c r="A17645" s="8" t="inlineStr">
        <is>
          <t>2026-08-03</t>
        </is>
      </c>
      <c r="B17645" s="8" t="n">
        <v>23</v>
      </c>
      <c r="C17645" s="8" t="n">
        <v>45</v>
      </c>
      <c r="D17645" s="8" t="inlineStr">
        <is>
          <t>Disneyland Park</t>
        </is>
      </c>
      <c r="E17645" s="8" t="inlineStr">
        <is>
          <t>Frontierland Playground</t>
        </is>
      </c>
      <c r="F17645" s="8" t="inlineStr">
        <is>
          <t>STANDBY</t>
        </is>
      </c>
      <c r="G17645" s="8" t="n">
        <v>0</v>
      </c>
      <c r="H17645" s="8" t="inlineStr">
        <is>
          <t>CLOSED</t>
        </is>
      </c>
    </row>
    <row r="17646">
      <c r="A17646" s="8" t="inlineStr">
        <is>
          <t>2026-08-03</t>
        </is>
      </c>
      <c r="B17646" s="8" t="n">
        <v>23</v>
      </c>
      <c r="C17646" s="8" t="n">
        <v>45</v>
      </c>
      <c r="D17646" s="8" t="inlineStr">
        <is>
          <t>Disneyland Park</t>
        </is>
      </c>
      <c r="E17646" s="8" t="inlineStr">
        <is>
          <t>Phantom Manor</t>
        </is>
      </c>
      <c r="F17646" s="8" t="inlineStr">
        <is>
          <t>STANDBY</t>
        </is>
      </c>
      <c r="G17646" s="8" t="n">
        <v>0</v>
      </c>
      <c r="H17646" s="8" t="inlineStr">
        <is>
          <t>CLOSED</t>
        </is>
      </c>
    </row>
    <row r="17647">
      <c r="A17647" s="8" t="inlineStr">
        <is>
          <t>2026-08-03</t>
        </is>
      </c>
      <c r="B17647" s="8" t="n">
        <v>23</v>
      </c>
      <c r="C17647" s="8" t="n">
        <v>45</v>
      </c>
      <c r="D17647" s="8" t="inlineStr">
        <is>
          <t>Disneyland Park</t>
        </is>
      </c>
      <c r="E17647" s="8" t="inlineStr">
        <is>
          <t>River Rogue Keelboats</t>
        </is>
      </c>
      <c r="F17647" s="8" t="inlineStr">
        <is>
          <t>STANDBY</t>
        </is>
      </c>
      <c r="G17647" s="8" t="n">
        <v>0</v>
      </c>
      <c r="H17647" s="8" t="inlineStr">
        <is>
          <t>CLOSED</t>
        </is>
      </c>
    </row>
    <row r="17648">
      <c r="A17648" s="8" t="inlineStr">
        <is>
          <t>2026-08-03</t>
        </is>
      </c>
      <c r="B17648" s="8" t="n">
        <v>23</v>
      </c>
      <c r="C17648" s="8" t="n">
        <v>45</v>
      </c>
      <c r="D17648" s="8" t="inlineStr">
        <is>
          <t>Disneyland Park</t>
        </is>
      </c>
      <c r="E17648" s="8" t="inlineStr">
        <is>
          <t>Rustler Roundup Shootin' Gallery</t>
        </is>
      </c>
      <c r="F17648" s="8" t="inlineStr">
        <is>
          <t>STANDBY</t>
        </is>
      </c>
      <c r="G17648" s="8" t="n">
        <v>0</v>
      </c>
      <c r="H17648" s="8" t="inlineStr">
        <is>
          <t>CLOSED</t>
        </is>
      </c>
    </row>
    <row r="17649">
      <c r="A17649" s="8" t="inlineStr">
        <is>
          <t>2026-08-03</t>
        </is>
      </c>
      <c r="B17649" s="8" t="n">
        <v>23</v>
      </c>
      <c r="C17649" s="8" t="n">
        <v>45</v>
      </c>
      <c r="D17649" s="8" t="inlineStr">
        <is>
          <t>Disneyland Park</t>
        </is>
      </c>
      <c r="E17649" s="8" t="inlineStr">
        <is>
          <t>Thunder Mesa Riverboat Landing</t>
        </is>
      </c>
      <c r="F17649" s="8" t="inlineStr">
        <is>
          <t>STANDBY</t>
        </is>
      </c>
      <c r="G17649" s="8" t="n">
        <v>0</v>
      </c>
      <c r="H17649" s="8" t="inlineStr">
        <is>
          <t>CLOSED</t>
        </is>
      </c>
    </row>
    <row r="17650">
      <c r="A17650" s="8" t="inlineStr">
        <is>
          <t>2026-08-03</t>
        </is>
      </c>
      <c r="B17650" s="8" t="n">
        <v>23</v>
      </c>
      <c r="C17650" s="8" t="n">
        <v>45</v>
      </c>
      <c r="D17650" s="8" t="inlineStr">
        <is>
          <t>Disneyland Park</t>
        </is>
      </c>
      <c r="E17650" s="8" t="inlineStr">
        <is>
          <t>Disneyland Railroad Main Street Station</t>
        </is>
      </c>
      <c r="F17650" s="8" t="inlineStr">
        <is>
          <t>STANDBY</t>
        </is>
      </c>
      <c r="G17650" s="8" t="n">
        <v>0</v>
      </c>
      <c r="H17650" s="8" t="inlineStr">
        <is>
          <t>CLOSED</t>
        </is>
      </c>
    </row>
    <row r="17651">
      <c r="A17651" s="8" t="inlineStr">
        <is>
          <t>2026-08-03</t>
        </is>
      </c>
      <c r="B17651" s="8" t="n">
        <v>23</v>
      </c>
      <c r="C17651" s="8" t="n">
        <v>45</v>
      </c>
      <c r="D17651" s="8" t="inlineStr">
        <is>
          <t>Disneyland Park</t>
        </is>
      </c>
      <c r="E17651" s="8" t="inlineStr">
        <is>
          <t>Main Street Vehicles</t>
        </is>
      </c>
      <c r="F17651" s="8" t="inlineStr">
        <is>
          <t>STANDBY</t>
        </is>
      </c>
      <c r="G17651" s="8" t="n">
        <v>0</v>
      </c>
      <c r="H17651" s="8" t="inlineStr">
        <is>
          <t>CLOSED</t>
        </is>
      </c>
    </row>
    <row r="17652">
      <c r="A17652" s="8" t="inlineStr">
        <is>
          <t>2026-08-03</t>
        </is>
      </c>
      <c r="B17652" s="8" t="n">
        <v>23</v>
      </c>
      <c r="C17652" s="8" t="n">
        <v>45</v>
      </c>
      <c r="D17652" s="8" t="inlineStr">
        <is>
          <t>Disney Adventure World</t>
        </is>
      </c>
      <c r="E17652" s="8" t="inlineStr">
        <is>
          <t>Avengers Assemble: Flight Force</t>
        </is>
      </c>
      <c r="F17652" s="8" t="inlineStr">
        <is>
          <t>STANDBY</t>
        </is>
      </c>
      <c r="G17652" s="8" t="n">
        <v>0</v>
      </c>
      <c r="H17652" s="8" t="inlineStr">
        <is>
          <t>CLOSED</t>
        </is>
      </c>
    </row>
    <row r="17653">
      <c r="A17653" s="8" t="inlineStr">
        <is>
          <t>2026-08-03</t>
        </is>
      </c>
      <c r="B17653" s="8" t="n">
        <v>23</v>
      </c>
      <c r="C17653" s="8" t="n">
        <v>45</v>
      </c>
      <c r="D17653" s="8" t="inlineStr">
        <is>
          <t>Disney Adventure World</t>
        </is>
      </c>
      <c r="E17653" s="8" t="inlineStr">
        <is>
          <t>Avengers Assemble: Flight Force Single Rider</t>
        </is>
      </c>
      <c r="F17653" s="8" t="inlineStr">
        <is>
          <t>STANDBY</t>
        </is>
      </c>
      <c r="G17653" s="8" t="n">
        <v>0</v>
      </c>
      <c r="H17653" s="8" t="inlineStr">
        <is>
          <t>CLOSED</t>
        </is>
      </c>
    </row>
    <row r="17654">
      <c r="A17654" s="8" t="inlineStr">
        <is>
          <t>2026-08-03</t>
        </is>
      </c>
      <c r="B17654" s="8" t="n">
        <v>23</v>
      </c>
      <c r="C17654" s="8" t="n">
        <v>45</v>
      </c>
      <c r="D17654" s="8" t="inlineStr">
        <is>
          <t>Disney Adventure World</t>
        </is>
      </c>
      <c r="E17654" s="8" t="inlineStr">
        <is>
          <t>Spider-Man W.E.B. Adventure</t>
        </is>
      </c>
      <c r="F17654" s="8" t="inlineStr">
        <is>
          <t>STANDBY</t>
        </is>
      </c>
      <c r="G17654" s="8" t="n">
        <v>0</v>
      </c>
      <c r="H17654" s="8" t="inlineStr">
        <is>
          <t>CLOSED</t>
        </is>
      </c>
    </row>
    <row r="17655">
      <c r="A17655" s="8" t="inlineStr">
        <is>
          <t>2026-08-03</t>
        </is>
      </c>
      <c r="B17655" s="8" t="n">
        <v>23</v>
      </c>
      <c r="C17655" s="8" t="n">
        <v>45</v>
      </c>
      <c r="D17655" s="8" t="inlineStr">
        <is>
          <t>Disney Adventure World</t>
        </is>
      </c>
      <c r="E17655" s="8" t="inlineStr">
        <is>
          <t>Spider-Man W.E.B. Adventure Single Rider</t>
        </is>
      </c>
      <c r="F17655" s="8" t="inlineStr">
        <is>
          <t>STANDBY</t>
        </is>
      </c>
      <c r="G17655" s="8" t="n">
        <v>0</v>
      </c>
      <c r="H17655" s="8" t="inlineStr">
        <is>
          <t>CLOSED</t>
        </is>
      </c>
    </row>
    <row r="17656">
      <c r="A17656" s="8" t="inlineStr">
        <is>
          <t>2026-08-03</t>
        </is>
      </c>
      <c r="B17656" s="8" t="n">
        <v>23</v>
      </c>
      <c r="C17656" s="8" t="n">
        <v>45</v>
      </c>
      <c r="D17656" s="8" t="inlineStr">
        <is>
          <t>Disney Adventure World</t>
        </is>
      </c>
      <c r="E17656" s="8" t="inlineStr">
        <is>
          <t>The Twilight Zone Tower of Terror</t>
        </is>
      </c>
      <c r="F17656" s="8" t="inlineStr">
        <is>
          <t>STANDBY</t>
        </is>
      </c>
      <c r="G17656" s="8" t="n">
        <v>0</v>
      </c>
      <c r="H17656" s="8" t="inlineStr">
        <is>
          <t>CLOSED</t>
        </is>
      </c>
    </row>
    <row r="17657">
      <c r="A17657" s="8" t="inlineStr">
        <is>
          <t>2026-08-03</t>
        </is>
      </c>
      <c r="B17657" s="8" t="n">
        <v>23</v>
      </c>
      <c r="C17657" s="8" t="n">
        <v>45</v>
      </c>
      <c r="D17657" s="8" t="inlineStr">
        <is>
          <t>Disney Adventure World</t>
        </is>
      </c>
      <c r="E17657" s="8" t="inlineStr">
        <is>
          <t>Cars Quatre Roues Rallye</t>
        </is>
      </c>
      <c r="F17657" s="8" t="inlineStr">
        <is>
          <t>STANDBY</t>
        </is>
      </c>
      <c r="G17657" s="8" t="n">
        <v>0</v>
      </c>
      <c r="H17657" s="8" t="inlineStr">
        <is>
          <t>CLOSED</t>
        </is>
      </c>
    </row>
    <row r="17658">
      <c r="A17658" s="8" t="inlineStr">
        <is>
          <t>2026-08-03</t>
        </is>
      </c>
      <c r="B17658" s="8" t="n">
        <v>23</v>
      </c>
      <c r="C17658" s="8" t="n">
        <v>45</v>
      </c>
      <c r="D17658" s="8" t="inlineStr">
        <is>
          <t>Disney Adventure World</t>
        </is>
      </c>
      <c r="E17658" s="8" t="inlineStr">
        <is>
          <t>Cars ROAD TRIP</t>
        </is>
      </c>
      <c r="F17658" s="8" t="inlineStr">
        <is>
          <t>STANDBY</t>
        </is>
      </c>
      <c r="G17658" s="8" t="n">
        <v>0</v>
      </c>
      <c r="H17658" s="8" t="inlineStr">
        <is>
          <t>CLOSED</t>
        </is>
      </c>
    </row>
    <row r="17659">
      <c r="A17659" s="8" t="inlineStr">
        <is>
          <t>2026-08-03</t>
        </is>
      </c>
      <c r="B17659" s="8" t="n">
        <v>23</v>
      </c>
      <c r="C17659" s="8" t="n">
        <v>45</v>
      </c>
      <c r="D17659" s="8" t="inlineStr">
        <is>
          <t>Disney Adventure World</t>
        </is>
      </c>
      <c r="E17659" s="8" t="inlineStr">
        <is>
          <t>Crush's Coaster</t>
        </is>
      </c>
      <c r="F17659" s="8" t="inlineStr">
        <is>
          <t>STANDBY</t>
        </is>
      </c>
      <c r="G17659" s="8" t="n">
        <v>0</v>
      </c>
      <c r="H17659" s="8" t="inlineStr">
        <is>
          <t>CLOSED</t>
        </is>
      </c>
    </row>
    <row r="17660">
      <c r="A17660" s="8" t="inlineStr">
        <is>
          <t>2026-08-03</t>
        </is>
      </c>
      <c r="B17660" s="8" t="n">
        <v>23</v>
      </c>
      <c r="C17660" s="8" t="n">
        <v>45</v>
      </c>
      <c r="D17660" s="8" t="inlineStr">
        <is>
          <t>Disney Adventure World</t>
        </is>
      </c>
      <c r="E17660" s="8" t="inlineStr">
        <is>
          <t>Crush's Coaster Single Rider</t>
        </is>
      </c>
      <c r="F17660" s="8" t="inlineStr">
        <is>
          <t>STANDBY</t>
        </is>
      </c>
      <c r="G17660" s="8" t="n">
        <v>0</v>
      </c>
      <c r="H17660" s="8" t="inlineStr">
        <is>
          <t>CLOSED</t>
        </is>
      </c>
    </row>
    <row r="17661">
      <c r="A17661" s="8" t="inlineStr">
        <is>
          <t>2026-08-03</t>
        </is>
      </c>
      <c r="B17661" s="8" t="n">
        <v>23</v>
      </c>
      <c r="C17661" s="8" t="n">
        <v>45</v>
      </c>
      <c r="D17661" s="8" t="inlineStr">
        <is>
          <t>Disney Adventure World</t>
        </is>
      </c>
      <c r="E17661" s="8" t="inlineStr">
        <is>
          <t>Les Tapis Volants - Flying Carpets Over Agrabah®</t>
        </is>
      </c>
      <c r="F17661" s="8" t="inlineStr">
        <is>
          <t>STANDBY</t>
        </is>
      </c>
      <c r="G17661" s="8" t="n">
        <v>0</v>
      </c>
      <c r="H17661" s="8" t="inlineStr">
        <is>
          <t>CLOSED</t>
        </is>
      </c>
    </row>
    <row r="17662">
      <c r="A17662" s="8" t="inlineStr">
        <is>
          <t>2026-08-03</t>
        </is>
      </c>
      <c r="B17662" s="8" t="n">
        <v>23</v>
      </c>
      <c r="C17662" s="8" t="n">
        <v>45</v>
      </c>
      <c r="D17662" s="8" t="inlineStr">
        <is>
          <t>Disney Adventure World</t>
        </is>
      </c>
      <c r="E17662" s="8" t="inlineStr">
        <is>
          <t>Ratatouille : L’Aventure Totalement Toquée de Rémy​</t>
        </is>
      </c>
      <c r="F17662" s="8" t="inlineStr">
        <is>
          <t>STANDBY</t>
        </is>
      </c>
      <c r="G17662" s="8" t="n">
        <v>0</v>
      </c>
      <c r="H17662" s="8" t="inlineStr">
        <is>
          <t>CLOSED</t>
        </is>
      </c>
    </row>
    <row r="17663">
      <c r="A17663" s="8" t="inlineStr">
        <is>
          <t>2026-08-03</t>
        </is>
      </c>
      <c r="B17663" s="8" t="n">
        <v>23</v>
      </c>
      <c r="C17663" s="8" t="n">
        <v>45</v>
      </c>
      <c r="D17663" s="8" t="inlineStr">
        <is>
          <t>Disney Adventure World</t>
        </is>
      </c>
      <c r="E17663" s="8" t="inlineStr">
        <is>
          <t>Ratatouille: The Adventure Single Rider</t>
        </is>
      </c>
      <c r="F17663" s="8" t="inlineStr">
        <is>
          <t>STANDBY</t>
        </is>
      </c>
      <c r="G17663" s="8" t="n">
        <v>0</v>
      </c>
      <c r="H17663" s="8" t="inlineStr">
        <is>
          <t>CLOSED</t>
        </is>
      </c>
    </row>
    <row r="17664">
      <c r="A17664" s="8" t="inlineStr">
        <is>
          <t>2026-08-03</t>
        </is>
      </c>
      <c r="B17664" s="8" t="n">
        <v>23</v>
      </c>
      <c r="C17664" s="8" t="n">
        <v>45</v>
      </c>
      <c r="D17664" s="8" t="inlineStr">
        <is>
          <t>Disney Adventure World</t>
        </is>
      </c>
      <c r="E17664" s="8" t="inlineStr">
        <is>
          <t>RC Racer</t>
        </is>
      </c>
      <c r="F17664" s="8" t="inlineStr">
        <is>
          <t>STANDBY</t>
        </is>
      </c>
      <c r="G17664" s="8" t="n">
        <v>0</v>
      </c>
      <c r="H17664" s="8" t="inlineStr">
        <is>
          <t>CLOSED</t>
        </is>
      </c>
    </row>
    <row r="17665">
      <c r="A17665" s="8" t="inlineStr">
        <is>
          <t>2026-08-03</t>
        </is>
      </c>
      <c r="B17665" s="8" t="n">
        <v>23</v>
      </c>
      <c r="C17665" s="8" t="n">
        <v>45</v>
      </c>
      <c r="D17665" s="8" t="inlineStr">
        <is>
          <t>Disney Adventure World</t>
        </is>
      </c>
      <c r="E17665" s="8" t="inlineStr">
        <is>
          <t>RC Racer Single Rider</t>
        </is>
      </c>
      <c r="F17665" s="8" t="inlineStr">
        <is>
          <t>STANDBY</t>
        </is>
      </c>
      <c r="G17665" s="8" t="n">
        <v>0</v>
      </c>
      <c r="H17665" s="8" t="inlineStr">
        <is>
          <t>CLOSED</t>
        </is>
      </c>
    </row>
    <row r="17666">
      <c r="A17666" s="8" t="inlineStr">
        <is>
          <t>2026-08-03</t>
        </is>
      </c>
      <c r="B17666" s="8" t="n">
        <v>23</v>
      </c>
      <c r="C17666" s="8" t="n">
        <v>45</v>
      </c>
      <c r="D17666" s="8" t="inlineStr">
        <is>
          <t>Disney Adventure World</t>
        </is>
      </c>
      <c r="E17666" s="8" t="inlineStr">
        <is>
          <t>Slinky® Dog Zigzag Spin</t>
        </is>
      </c>
      <c r="F17666" s="8" t="inlineStr">
        <is>
          <t>STANDBY</t>
        </is>
      </c>
      <c r="G17666" s="8" t="n">
        <v>0</v>
      </c>
      <c r="H17666" s="8" t="inlineStr">
        <is>
          <t>CLOSED</t>
        </is>
      </c>
    </row>
    <row r="17667">
      <c r="A17667" s="8" t="inlineStr">
        <is>
          <t>2026-08-03</t>
        </is>
      </c>
      <c r="B17667" s="8" t="n">
        <v>23</v>
      </c>
      <c r="C17667" s="8" t="n">
        <v>45</v>
      </c>
      <c r="D17667" s="8" t="inlineStr">
        <is>
          <t>Disney Adventure World</t>
        </is>
      </c>
      <c r="E17667" s="8" t="inlineStr">
        <is>
          <t>Toy Soldiers Parachute Drop</t>
        </is>
      </c>
      <c r="F17667" s="8" t="inlineStr">
        <is>
          <t>STANDBY</t>
        </is>
      </c>
      <c r="G17667" s="8" t="n">
        <v>0</v>
      </c>
      <c r="H17667" s="8" t="inlineStr">
        <is>
          <t>CLOSED</t>
        </is>
      </c>
    </row>
    <row r="17668">
      <c r="A17668" s="8" t="inlineStr">
        <is>
          <t>2026-08-03</t>
        </is>
      </c>
      <c r="B17668" s="8" t="n">
        <v>23</v>
      </c>
      <c r="C17668" s="8" t="n">
        <v>45</v>
      </c>
      <c r="D17668" s="8" t="inlineStr">
        <is>
          <t>Disney Adventure World</t>
        </is>
      </c>
      <c r="E17668" s="8" t="inlineStr">
        <is>
          <t>Toy Soldiers Parachute Drop Single Rider</t>
        </is>
      </c>
      <c r="F17668" s="8" t="inlineStr">
        <is>
          <t>STANDBY</t>
        </is>
      </c>
      <c r="G17668" s="8" t="n">
        <v>0</v>
      </c>
      <c r="H17668" s="8" t="inlineStr">
        <is>
          <t>CLOSED</t>
        </is>
      </c>
    </row>
    <row r="17669">
      <c r="A17669" s="8" t="inlineStr">
        <is>
          <t>2026-08-03</t>
        </is>
      </c>
      <c r="B17669" s="8" t="n">
        <v>23</v>
      </c>
      <c r="C17669" s="8" t="n">
        <v>45</v>
      </c>
      <c r="D17669" s="8" t="inlineStr">
        <is>
          <t>Disney Adventure World</t>
        </is>
      </c>
      <c r="E17669" s="8" t="inlineStr">
        <is>
          <t>Entry to World of Frozen</t>
        </is>
      </c>
      <c r="F17669" s="8" t="inlineStr">
        <is>
          <t>STANDBY</t>
        </is>
      </c>
      <c r="G17669" s="8" t="n">
        <v>0</v>
      </c>
      <c r="H17669" s="8" t="inlineStr">
        <is>
          <t>CLOSED</t>
        </is>
      </c>
    </row>
    <row r="17670">
      <c r="A17670" s="8" t="inlineStr">
        <is>
          <t>2026-08-03</t>
        </is>
      </c>
      <c r="B17670" s="8" t="n">
        <v>23</v>
      </c>
      <c r="C17670" s="8" t="n">
        <v>45</v>
      </c>
      <c r="D17670" s="8" t="inlineStr">
        <is>
          <t>Disney Adventure World</t>
        </is>
      </c>
      <c r="E17670" s="8" t="inlineStr">
        <is>
          <t>Frozen Ever After</t>
        </is>
      </c>
      <c r="F17670" s="8" t="inlineStr">
        <is>
          <t>STANDBY</t>
        </is>
      </c>
      <c r="G17670" s="8" t="n">
        <v>0</v>
      </c>
      <c r="H17670" s="8" t="inlineStr">
        <is>
          <t>CLOSED</t>
        </is>
      </c>
    </row>
    <row r="17671">
      <c r="A17671" s="8" t="inlineStr">
        <is>
          <t>2026-08-03</t>
        </is>
      </c>
      <c r="B17671" s="8" t="n">
        <v>23</v>
      </c>
      <c r="C17671" s="8" t="n">
        <v>45</v>
      </c>
      <c r="D17671" s="8" t="inlineStr">
        <is>
          <t>Disney Adventure World</t>
        </is>
      </c>
      <c r="E17671" s="8" t="inlineStr">
        <is>
          <t>Raiponce Tangled Spin</t>
        </is>
      </c>
      <c r="F17671" s="8" t="inlineStr">
        <is>
          <t>STANDBY</t>
        </is>
      </c>
      <c r="G17671" s="8" t="n">
        <v>0</v>
      </c>
      <c r="H17671" s="8" t="inlineStr">
        <is>
          <t>CLOSED</t>
        </is>
      </c>
    </row>
    <row r="17672">
      <c r="A17672" s="8" t="inlineStr">
        <is>
          <t>2026-08-04</t>
        </is>
      </c>
      <c r="B17672" s="8" t="n">
        <v>0</v>
      </c>
      <c r="C17672" s="8" t="n">
        <v>1</v>
      </c>
      <c r="D17672" s="8" t="inlineStr">
        <is>
          <t>Disneyland Park</t>
        </is>
      </c>
      <c r="E17672" s="8" t="inlineStr">
        <is>
          <t>Adventure Isle</t>
        </is>
      </c>
      <c r="F17672" s="8" t="inlineStr">
        <is>
          <t>STANDBY</t>
        </is>
      </c>
      <c r="G17672" s="8" t="n">
        <v>0</v>
      </c>
      <c r="H17672" s="8" t="inlineStr">
        <is>
          <t>CLOSED</t>
        </is>
      </c>
    </row>
    <row r="17673">
      <c r="A17673" s="8" t="inlineStr">
        <is>
          <t>2026-08-04</t>
        </is>
      </c>
      <c r="B17673" s="8" t="n">
        <v>0</v>
      </c>
      <c r="C17673" s="8" t="n">
        <v>1</v>
      </c>
      <c r="D17673" s="8" t="inlineStr">
        <is>
          <t>Disneyland Park</t>
        </is>
      </c>
      <c r="E17673" s="8" t="inlineStr">
        <is>
          <t>Indiana Jones and the Temple of Peril Single Rider</t>
        </is>
      </c>
      <c r="F17673" s="8" t="inlineStr">
        <is>
          <t>STANDBY</t>
        </is>
      </c>
      <c r="G17673" s="8" t="n">
        <v>0</v>
      </c>
      <c r="H17673" s="8" t="inlineStr">
        <is>
          <t>CLOSED</t>
        </is>
      </c>
    </row>
    <row r="17674">
      <c r="A17674" s="8" t="inlineStr">
        <is>
          <t>2026-08-04</t>
        </is>
      </c>
      <c r="B17674" s="8" t="n">
        <v>0</v>
      </c>
      <c r="C17674" s="8" t="n">
        <v>1</v>
      </c>
      <c r="D17674" s="8" t="inlineStr">
        <is>
          <t>Disneyland Park</t>
        </is>
      </c>
      <c r="E17674" s="8" t="inlineStr">
        <is>
          <t>Indiana Jones™ and the Temple of Peril</t>
        </is>
      </c>
      <c r="F17674" s="8" t="inlineStr">
        <is>
          <t>STANDBY</t>
        </is>
      </c>
      <c r="G17674" s="8" t="n">
        <v>0</v>
      </c>
      <c r="H17674" s="8" t="inlineStr">
        <is>
          <t>CLOSED</t>
        </is>
      </c>
    </row>
    <row r="17675">
      <c r="A17675" s="8" t="inlineStr">
        <is>
          <t>2026-08-04</t>
        </is>
      </c>
      <c r="B17675" s="8" t="n">
        <v>0</v>
      </c>
      <c r="C17675" s="8" t="n">
        <v>1</v>
      </c>
      <c r="D17675" s="8" t="inlineStr">
        <is>
          <t>Disneyland Park</t>
        </is>
      </c>
      <c r="E17675" s="8" t="inlineStr">
        <is>
          <t>La Cabane des Robinson</t>
        </is>
      </c>
      <c r="F17675" s="8" t="inlineStr">
        <is>
          <t>STANDBY</t>
        </is>
      </c>
      <c r="G17675" s="8" t="n">
        <v>0</v>
      </c>
      <c r="H17675" s="8" t="inlineStr">
        <is>
          <t>CLOSED</t>
        </is>
      </c>
    </row>
    <row r="17676">
      <c r="A17676" s="8" t="inlineStr">
        <is>
          <t>2026-08-04</t>
        </is>
      </c>
      <c r="B17676" s="8" t="n">
        <v>0</v>
      </c>
      <c r="C17676" s="8" t="n">
        <v>1</v>
      </c>
      <c r="D17676" s="8" t="inlineStr">
        <is>
          <t>Disneyland Park</t>
        </is>
      </c>
      <c r="E17676" s="8" t="inlineStr">
        <is>
          <t>Le Passage Enchanté d'Aladdin</t>
        </is>
      </c>
      <c r="F17676" s="8" t="inlineStr">
        <is>
          <t>STANDBY</t>
        </is>
      </c>
      <c r="G17676" s="8" t="n">
        <v>0</v>
      </c>
      <c r="H17676" s="8" t="inlineStr">
        <is>
          <t>CLOSED</t>
        </is>
      </c>
    </row>
    <row r="17677">
      <c r="A17677" s="8" t="inlineStr">
        <is>
          <t>2026-08-04</t>
        </is>
      </c>
      <c r="B17677" s="8" t="n">
        <v>0</v>
      </c>
      <c r="C17677" s="8" t="n">
        <v>1</v>
      </c>
      <c r="D17677" s="8" t="inlineStr">
        <is>
          <t>Disneyland Park</t>
        </is>
      </c>
      <c r="E17677" s="8" t="inlineStr">
        <is>
          <t>Pirate Galleon</t>
        </is>
      </c>
      <c r="F17677" s="8" t="inlineStr">
        <is>
          <t>STANDBY</t>
        </is>
      </c>
      <c r="G17677" s="8" t="n">
        <v>0</v>
      </c>
      <c r="H17677" s="8" t="inlineStr">
        <is>
          <t>CLOSED</t>
        </is>
      </c>
    </row>
    <row r="17678">
      <c r="A17678" s="8" t="inlineStr">
        <is>
          <t>2026-08-04</t>
        </is>
      </c>
      <c r="B17678" s="8" t="n">
        <v>0</v>
      </c>
      <c r="C17678" s="8" t="n">
        <v>1</v>
      </c>
      <c r="D17678" s="8" t="inlineStr">
        <is>
          <t>Disneyland Park</t>
        </is>
      </c>
      <c r="E17678" s="8" t="inlineStr">
        <is>
          <t>Pirates of the Caribbean</t>
        </is>
      </c>
      <c r="F17678" s="8" t="inlineStr">
        <is>
          <t>STANDBY</t>
        </is>
      </c>
      <c r="G17678" s="8" t="n">
        <v>0</v>
      </c>
      <c r="H17678" s="8" t="inlineStr">
        <is>
          <t>CLOSED</t>
        </is>
      </c>
    </row>
    <row r="17679">
      <c r="A17679" s="8" t="inlineStr">
        <is>
          <t>2026-08-04</t>
        </is>
      </c>
      <c r="B17679" s="8" t="n">
        <v>0</v>
      </c>
      <c r="C17679" s="8" t="n">
        <v>1</v>
      </c>
      <c r="D17679" s="8" t="inlineStr">
        <is>
          <t>Disneyland Park</t>
        </is>
      </c>
      <c r="E17679" s="8" t="inlineStr">
        <is>
          <t>Pirates' Beach</t>
        </is>
      </c>
      <c r="F17679" s="8" t="inlineStr">
        <is>
          <t>STANDBY</t>
        </is>
      </c>
      <c r="G17679" s="8" t="n">
        <v>0</v>
      </c>
      <c r="H17679" s="8" t="inlineStr">
        <is>
          <t>CLOSED</t>
        </is>
      </c>
    </row>
    <row r="17680">
      <c r="A17680" s="8" t="inlineStr">
        <is>
          <t>2026-08-04</t>
        </is>
      </c>
      <c r="B17680" s="8" t="n">
        <v>0</v>
      </c>
      <c r="C17680" s="8" t="n">
        <v>1</v>
      </c>
      <c r="D17680" s="8" t="inlineStr">
        <is>
          <t>Disneyland Park</t>
        </is>
      </c>
      <c r="E17680" s="8" t="inlineStr">
        <is>
          <t>Autopia, presented by Avis</t>
        </is>
      </c>
      <c r="F17680" s="8" t="inlineStr">
        <is>
          <t>STANDBY</t>
        </is>
      </c>
      <c r="G17680" s="8" t="n">
        <v>0</v>
      </c>
      <c r="H17680" s="8" t="inlineStr">
        <is>
          <t>CLOSED</t>
        </is>
      </c>
    </row>
    <row r="17681">
      <c r="A17681" s="8" t="inlineStr">
        <is>
          <t>2026-08-04</t>
        </is>
      </c>
      <c r="B17681" s="8" t="n">
        <v>0</v>
      </c>
      <c r="C17681" s="8" t="n">
        <v>1</v>
      </c>
      <c r="D17681" s="8" t="inlineStr">
        <is>
          <t>Disneyland Park</t>
        </is>
      </c>
      <c r="E17681" s="8" t="inlineStr">
        <is>
          <t>Buzz Lightyear Laser Blast</t>
        </is>
      </c>
      <c r="F17681" s="8" t="inlineStr">
        <is>
          <t>STANDBY</t>
        </is>
      </c>
      <c r="G17681" s="8" t="n">
        <v>0</v>
      </c>
      <c r="H17681" s="8" t="inlineStr">
        <is>
          <t>CLOSED</t>
        </is>
      </c>
    </row>
    <row r="17682">
      <c r="A17682" s="8" t="inlineStr">
        <is>
          <t>2026-08-04</t>
        </is>
      </c>
      <c r="B17682" s="8" t="n">
        <v>0</v>
      </c>
      <c r="C17682" s="8" t="n">
        <v>1</v>
      </c>
      <c r="D17682" s="8" t="inlineStr">
        <is>
          <t>Disneyland Park</t>
        </is>
      </c>
      <c r="E17682" s="8" t="inlineStr">
        <is>
          <t>Disneyland Railroad Discoveryland Station</t>
        </is>
      </c>
      <c r="F17682" s="8" t="inlineStr">
        <is>
          <t>STANDBY</t>
        </is>
      </c>
      <c r="G17682" s="8" t="n">
        <v>0</v>
      </c>
      <c r="H17682" s="8" t="inlineStr">
        <is>
          <t>CLOSED</t>
        </is>
      </c>
    </row>
    <row r="17683">
      <c r="A17683" s="8" t="inlineStr">
        <is>
          <t>2026-08-04</t>
        </is>
      </c>
      <c r="B17683" s="8" t="n">
        <v>0</v>
      </c>
      <c r="C17683" s="8" t="n">
        <v>1</v>
      </c>
      <c r="D17683" s="8" t="inlineStr">
        <is>
          <t>Disneyland Park</t>
        </is>
      </c>
      <c r="E17683" s="8" t="inlineStr">
        <is>
          <t>Les Mystères du Nautilus</t>
        </is>
      </c>
      <c r="F17683" s="8" t="inlineStr">
        <is>
          <t>STANDBY</t>
        </is>
      </c>
      <c r="G17683" s="8" t="n">
        <v>0</v>
      </c>
      <c r="H17683" s="8" t="inlineStr">
        <is>
          <t>CLOSED</t>
        </is>
      </c>
    </row>
    <row r="17684">
      <c r="A17684" s="8" t="inlineStr">
        <is>
          <t>2026-08-04</t>
        </is>
      </c>
      <c r="B17684" s="8" t="n">
        <v>0</v>
      </c>
      <c r="C17684" s="8" t="n">
        <v>1</v>
      </c>
      <c r="D17684" s="8" t="inlineStr">
        <is>
          <t>Disneyland Park</t>
        </is>
      </c>
      <c r="E17684" s="8" t="inlineStr">
        <is>
          <t>Mickey’s PhilharMagic</t>
        </is>
      </c>
      <c r="F17684" s="8" t="inlineStr">
        <is>
          <t>STANDBY</t>
        </is>
      </c>
      <c r="G17684" s="8" t="n">
        <v>0</v>
      </c>
      <c r="H17684" s="8" t="inlineStr">
        <is>
          <t>CLOSED</t>
        </is>
      </c>
    </row>
    <row r="17685">
      <c r="A17685" s="8" t="inlineStr">
        <is>
          <t>2026-08-04</t>
        </is>
      </c>
      <c r="B17685" s="8" t="n">
        <v>0</v>
      </c>
      <c r="C17685" s="8" t="n">
        <v>1</v>
      </c>
      <c r="D17685" s="8" t="inlineStr">
        <is>
          <t>Disneyland Park</t>
        </is>
      </c>
      <c r="E17685" s="8" t="inlineStr">
        <is>
          <t>Orbitron®</t>
        </is>
      </c>
      <c r="F17685" s="8" t="inlineStr">
        <is>
          <t>STANDBY</t>
        </is>
      </c>
      <c r="G17685" s="8" t="n">
        <v>0</v>
      </c>
      <c r="H17685" s="8" t="inlineStr">
        <is>
          <t>CLOSED</t>
        </is>
      </c>
    </row>
    <row r="17686">
      <c r="A17686" s="8" t="inlineStr">
        <is>
          <t>2026-08-04</t>
        </is>
      </c>
      <c r="B17686" s="8" t="n">
        <v>0</v>
      </c>
      <c r="C17686" s="8" t="n">
        <v>1</v>
      </c>
      <c r="D17686" s="8" t="inlineStr">
        <is>
          <t>Disneyland Park</t>
        </is>
      </c>
      <c r="E17686" s="8" t="inlineStr">
        <is>
          <t>Star Tours: The Adventures Continue*</t>
        </is>
      </c>
      <c r="F17686" s="8" t="inlineStr">
        <is>
          <t>STANDBY</t>
        </is>
      </c>
      <c r="G17686" s="8" t="n">
        <v>0</v>
      </c>
      <c r="H17686" s="8" t="inlineStr">
        <is>
          <t>CLOSED</t>
        </is>
      </c>
    </row>
    <row r="17687">
      <c r="A17687" s="8" t="inlineStr">
        <is>
          <t>2026-08-04</t>
        </is>
      </c>
      <c r="B17687" s="8" t="n">
        <v>0</v>
      </c>
      <c r="C17687" s="8" t="n">
        <v>1</v>
      </c>
      <c r="D17687" s="8" t="inlineStr">
        <is>
          <t>Disneyland Park</t>
        </is>
      </c>
      <c r="E17687" s="8" t="inlineStr">
        <is>
          <t>Star Wars Hyperspace Mountain</t>
        </is>
      </c>
      <c r="F17687" s="8" t="inlineStr">
        <is>
          <t>STANDBY</t>
        </is>
      </c>
      <c r="G17687" s="8" t="n">
        <v>0</v>
      </c>
      <c r="H17687" s="8" t="inlineStr">
        <is>
          <t>CLOSED</t>
        </is>
      </c>
    </row>
    <row r="17688">
      <c r="A17688" s="8" t="inlineStr">
        <is>
          <t>2026-08-04</t>
        </is>
      </c>
      <c r="B17688" s="8" t="n">
        <v>0</v>
      </c>
      <c r="C17688" s="8" t="n">
        <v>1</v>
      </c>
      <c r="D17688" s="8" t="inlineStr">
        <is>
          <t>Disneyland Park</t>
        </is>
      </c>
      <c r="E17688" s="8" t="inlineStr">
        <is>
          <t>Star Wars Hyperspace Mountain Single Rider</t>
        </is>
      </c>
      <c r="F17688" s="8" t="inlineStr">
        <is>
          <t>STANDBY</t>
        </is>
      </c>
      <c r="G17688" s="8" t="n">
        <v>0</v>
      </c>
      <c r="H17688" s="8" t="inlineStr">
        <is>
          <t>CLOSED</t>
        </is>
      </c>
    </row>
    <row r="17689">
      <c r="A17689" s="8" t="inlineStr">
        <is>
          <t>2026-08-04</t>
        </is>
      </c>
      <c r="B17689" s="8" t="n">
        <v>0</v>
      </c>
      <c r="C17689" s="8" t="n">
        <v>1</v>
      </c>
      <c r="D17689" s="8" t="inlineStr">
        <is>
          <t>Disneyland Park</t>
        </is>
      </c>
      <c r="E17689" s="8" t="inlineStr">
        <is>
          <t>Welcome to Starport: A Star Wars Encounter</t>
        </is>
      </c>
      <c r="F17689" s="8" t="inlineStr">
        <is>
          <t>STANDBY</t>
        </is>
      </c>
      <c r="G17689" s="8" t="n">
        <v>0</v>
      </c>
      <c r="H17689" s="8" t="inlineStr">
        <is>
          <t>CLOSED</t>
        </is>
      </c>
    </row>
    <row r="17690">
      <c r="A17690" s="8" t="inlineStr">
        <is>
          <t>2026-08-04</t>
        </is>
      </c>
      <c r="B17690" s="8" t="n">
        <v>0</v>
      </c>
      <c r="C17690" s="8" t="n">
        <v>1</v>
      </c>
      <c r="D17690" s="8" t="inlineStr">
        <is>
          <t>Disneyland Park</t>
        </is>
      </c>
      <c r="E17690" s="8" t="inlineStr">
        <is>
          <t>"it's a small world"</t>
        </is>
      </c>
      <c r="F17690" s="8" t="inlineStr">
        <is>
          <t>STANDBY</t>
        </is>
      </c>
      <c r="G17690" s="8" t="n">
        <v>0</v>
      </c>
      <c r="H17690" s="8" t="inlineStr">
        <is>
          <t>CLOSED</t>
        </is>
      </c>
    </row>
    <row r="17691">
      <c r="A17691" s="8" t="inlineStr">
        <is>
          <t>2026-08-04</t>
        </is>
      </c>
      <c r="B17691" s="8" t="n">
        <v>0</v>
      </c>
      <c r="C17691" s="8" t="n">
        <v>1</v>
      </c>
      <c r="D17691" s="8" t="inlineStr">
        <is>
          <t>Disneyland Park</t>
        </is>
      </c>
      <c r="E17691" s="8" t="inlineStr">
        <is>
          <t>Alice's Curious Labyrinth</t>
        </is>
      </c>
      <c r="F17691" s="8" t="inlineStr">
        <is>
          <t>STANDBY</t>
        </is>
      </c>
      <c r="G17691" s="8" t="n">
        <v>0</v>
      </c>
      <c r="H17691" s="8" t="inlineStr">
        <is>
          <t>CLOSED</t>
        </is>
      </c>
    </row>
    <row r="17692">
      <c r="A17692" s="8" t="inlineStr">
        <is>
          <t>2026-08-04</t>
        </is>
      </c>
      <c r="B17692" s="8" t="n">
        <v>0</v>
      </c>
      <c r="C17692" s="8" t="n">
        <v>1</v>
      </c>
      <c r="D17692" s="8" t="inlineStr">
        <is>
          <t>Disneyland Park</t>
        </is>
      </c>
      <c r="E17692" s="8" t="inlineStr">
        <is>
          <t>Blanche-Neige et les Sept Nains®</t>
        </is>
      </c>
      <c r="F17692" s="8" t="inlineStr">
        <is>
          <t>STANDBY</t>
        </is>
      </c>
      <c r="G17692" s="8" t="n">
        <v>0</v>
      </c>
      <c r="H17692" s="8" t="inlineStr">
        <is>
          <t>CLOSED</t>
        </is>
      </c>
    </row>
    <row r="17693">
      <c r="A17693" s="8" t="inlineStr">
        <is>
          <t>2026-08-04</t>
        </is>
      </c>
      <c r="B17693" s="8" t="n">
        <v>0</v>
      </c>
      <c r="C17693" s="8" t="n">
        <v>1</v>
      </c>
      <c r="D17693" s="8" t="inlineStr">
        <is>
          <t>Disneyland Park</t>
        </is>
      </c>
      <c r="E17693" s="8" t="inlineStr">
        <is>
          <t>Casey Jr. – le Petit Train du Cirque</t>
        </is>
      </c>
      <c r="F17693" s="8" t="inlineStr">
        <is>
          <t>STANDBY</t>
        </is>
      </c>
      <c r="G17693" s="8" t="n">
        <v>0</v>
      </c>
      <c r="H17693" s="8" t="inlineStr">
        <is>
          <t>CLOSED</t>
        </is>
      </c>
    </row>
    <row r="17694">
      <c r="A17694" s="8" t="inlineStr">
        <is>
          <t>2026-08-04</t>
        </is>
      </c>
      <c r="B17694" s="8" t="n">
        <v>0</v>
      </c>
      <c r="C17694" s="8" t="n">
        <v>1</v>
      </c>
      <c r="D17694" s="8" t="inlineStr">
        <is>
          <t>Disneyland Park</t>
        </is>
      </c>
      <c r="E17694" s="8" t="inlineStr">
        <is>
          <t>Disneyland Railroad Fantasyland Station</t>
        </is>
      </c>
      <c r="F17694" s="8" t="inlineStr">
        <is>
          <t>STANDBY</t>
        </is>
      </c>
      <c r="G17694" s="8" t="n">
        <v>0</v>
      </c>
      <c r="H17694" s="8" t="inlineStr">
        <is>
          <t>CLOSED</t>
        </is>
      </c>
    </row>
    <row r="17695">
      <c r="A17695" s="8" t="inlineStr">
        <is>
          <t>2026-08-04</t>
        </is>
      </c>
      <c r="B17695" s="8" t="n">
        <v>0</v>
      </c>
      <c r="C17695" s="8" t="n">
        <v>1</v>
      </c>
      <c r="D17695" s="8" t="inlineStr">
        <is>
          <t>Disneyland Park</t>
        </is>
      </c>
      <c r="E17695" s="8" t="inlineStr">
        <is>
          <t>Disneyland Railroad Main Street Station</t>
        </is>
      </c>
      <c r="F17695" s="8" t="inlineStr">
        <is>
          <t>STANDBY</t>
        </is>
      </c>
      <c r="G17695" s="8" t="n">
        <v>0</v>
      </c>
      <c r="H17695" s="8" t="inlineStr">
        <is>
          <t>CLOSED</t>
        </is>
      </c>
    </row>
    <row r="17696">
      <c r="A17696" s="8" t="inlineStr">
        <is>
          <t>2026-08-04</t>
        </is>
      </c>
      <c r="B17696" s="8" t="n">
        <v>0</v>
      </c>
      <c r="C17696" s="8" t="n">
        <v>1</v>
      </c>
      <c r="D17696" s="8" t="inlineStr">
        <is>
          <t>Disneyland Park</t>
        </is>
      </c>
      <c r="E17696" s="8" t="inlineStr">
        <is>
          <t>Dumbo the Flying Elephant</t>
        </is>
      </c>
      <c r="F17696" s="8" t="inlineStr">
        <is>
          <t>STANDBY</t>
        </is>
      </c>
      <c r="G17696" s="8" t="n">
        <v>0</v>
      </c>
      <c r="H17696" s="8" t="inlineStr">
        <is>
          <t>CLOSED</t>
        </is>
      </c>
    </row>
    <row r="17697">
      <c r="A17697" s="8" t="inlineStr">
        <is>
          <t>2026-08-04</t>
        </is>
      </c>
      <c r="B17697" s="8" t="n">
        <v>0</v>
      </c>
      <c r="C17697" s="8" t="n">
        <v>1</v>
      </c>
      <c r="D17697" s="8" t="inlineStr">
        <is>
          <t>Disneyland Park</t>
        </is>
      </c>
      <c r="E17697" s="8" t="inlineStr">
        <is>
          <t>La Tanière du Dragon</t>
        </is>
      </c>
      <c r="F17697" s="8" t="inlineStr">
        <is>
          <t>STANDBY</t>
        </is>
      </c>
      <c r="G17697" s="8" t="n">
        <v>0</v>
      </c>
      <c r="H17697" s="8" t="inlineStr">
        <is>
          <t>CLOSED</t>
        </is>
      </c>
    </row>
    <row r="17698">
      <c r="A17698" s="8" t="inlineStr">
        <is>
          <t>2026-08-04</t>
        </is>
      </c>
      <c r="B17698" s="8" t="n">
        <v>0</v>
      </c>
      <c r="C17698" s="8" t="n">
        <v>1</v>
      </c>
      <c r="D17698" s="8" t="inlineStr">
        <is>
          <t>Disneyland Park</t>
        </is>
      </c>
      <c r="E17698" s="8" t="inlineStr">
        <is>
          <t>Le Carrousel de Lancelot</t>
        </is>
      </c>
      <c r="F17698" s="8" t="inlineStr">
        <is>
          <t>STANDBY</t>
        </is>
      </c>
      <c r="G17698" s="8" t="n">
        <v>0</v>
      </c>
      <c r="H17698" s="8" t="inlineStr">
        <is>
          <t>CLOSED</t>
        </is>
      </c>
    </row>
    <row r="17699">
      <c r="A17699" s="8" t="inlineStr">
        <is>
          <t>2026-08-04</t>
        </is>
      </c>
      <c r="B17699" s="8" t="n">
        <v>0</v>
      </c>
      <c r="C17699" s="8" t="n">
        <v>1</v>
      </c>
      <c r="D17699" s="8" t="inlineStr">
        <is>
          <t>Disneyland Park</t>
        </is>
      </c>
      <c r="E17699" s="8" t="inlineStr">
        <is>
          <t>Le Pays des Contes de Fées, presented by Vittel</t>
        </is>
      </c>
      <c r="F17699" s="8" t="inlineStr">
        <is>
          <t>STANDBY</t>
        </is>
      </c>
      <c r="G17699" s="8" t="n">
        <v>0</v>
      </c>
      <c r="H17699" s="8" t="inlineStr">
        <is>
          <t>CLOSED</t>
        </is>
      </c>
    </row>
    <row r="17700">
      <c r="A17700" s="8" t="inlineStr">
        <is>
          <t>2026-08-04</t>
        </is>
      </c>
      <c r="B17700" s="8" t="n">
        <v>0</v>
      </c>
      <c r="C17700" s="8" t="n">
        <v>1</v>
      </c>
      <c r="D17700" s="8" t="inlineStr">
        <is>
          <t>Disneyland Park</t>
        </is>
      </c>
      <c r="E17700" s="8" t="inlineStr">
        <is>
          <t>Les Voyages de Pinocchio</t>
        </is>
      </c>
      <c r="F17700" s="8" t="inlineStr">
        <is>
          <t>STANDBY</t>
        </is>
      </c>
      <c r="G17700" s="8" t="n">
        <v>0</v>
      </c>
      <c r="H17700" s="8" t="inlineStr">
        <is>
          <t>CLOSED</t>
        </is>
      </c>
    </row>
    <row r="17701">
      <c r="A17701" s="8" t="inlineStr">
        <is>
          <t>2026-08-04</t>
        </is>
      </c>
      <c r="B17701" s="8" t="n">
        <v>0</v>
      </c>
      <c r="C17701" s="8" t="n">
        <v>1</v>
      </c>
      <c r="D17701" s="8" t="inlineStr">
        <is>
          <t>Disneyland Park</t>
        </is>
      </c>
      <c r="E17701" s="8" t="inlineStr">
        <is>
          <t>Mad Hatter's Tea Cups</t>
        </is>
      </c>
      <c r="F17701" s="8" t="inlineStr">
        <is>
          <t>STANDBY</t>
        </is>
      </c>
      <c r="G17701" s="8" t="n">
        <v>0</v>
      </c>
      <c r="H17701" s="8" t="inlineStr">
        <is>
          <t>CLOSED</t>
        </is>
      </c>
    </row>
    <row r="17702">
      <c r="A17702" s="8" t="inlineStr">
        <is>
          <t>2026-08-04</t>
        </is>
      </c>
      <c r="B17702" s="8" t="n">
        <v>0</v>
      </c>
      <c r="C17702" s="8" t="n">
        <v>1</v>
      </c>
      <c r="D17702" s="8" t="inlineStr">
        <is>
          <t>Disneyland Park</t>
        </is>
      </c>
      <c r="E17702" s="8" t="inlineStr">
        <is>
          <t>Meet Mickey Mouse</t>
        </is>
      </c>
      <c r="F17702" s="8" t="inlineStr">
        <is>
          <t>STANDBY</t>
        </is>
      </c>
      <c r="G17702" s="8" t="n">
        <v>0</v>
      </c>
      <c r="H17702" s="8" t="inlineStr">
        <is>
          <t>CLOSED</t>
        </is>
      </c>
    </row>
    <row r="17703">
      <c r="A17703" s="8" t="inlineStr">
        <is>
          <t>2026-08-04</t>
        </is>
      </c>
      <c r="B17703" s="8" t="n">
        <v>0</v>
      </c>
      <c r="C17703" s="8" t="n">
        <v>1</v>
      </c>
      <c r="D17703" s="8" t="inlineStr">
        <is>
          <t>Disneyland Park</t>
        </is>
      </c>
      <c r="E17703" s="8" t="inlineStr">
        <is>
          <t>Peter Pan's Flight</t>
        </is>
      </c>
      <c r="F17703" s="8" t="inlineStr">
        <is>
          <t>STANDBY</t>
        </is>
      </c>
      <c r="G17703" s="8" t="n">
        <v>0</v>
      </c>
      <c r="H17703" s="8" t="inlineStr">
        <is>
          <t>CLOSED</t>
        </is>
      </c>
    </row>
    <row r="17704">
      <c r="A17704" s="8" t="inlineStr">
        <is>
          <t>2026-08-04</t>
        </is>
      </c>
      <c r="B17704" s="8" t="n">
        <v>0</v>
      </c>
      <c r="C17704" s="8" t="n">
        <v>1</v>
      </c>
      <c r="D17704" s="8" t="inlineStr">
        <is>
          <t>Disneyland Park</t>
        </is>
      </c>
      <c r="E17704" s="8" t="inlineStr">
        <is>
          <t>Princess Pavilion</t>
        </is>
      </c>
      <c r="F17704" s="8" t="inlineStr">
        <is>
          <t>STANDBY</t>
        </is>
      </c>
      <c r="G17704" s="8" t="n">
        <v>0</v>
      </c>
      <c r="H17704" s="8" t="inlineStr">
        <is>
          <t>CLOSED</t>
        </is>
      </c>
    </row>
    <row r="17705">
      <c r="A17705" s="8" t="inlineStr">
        <is>
          <t>2026-08-04</t>
        </is>
      </c>
      <c r="B17705" s="8" t="n">
        <v>0</v>
      </c>
      <c r="C17705" s="8" t="n">
        <v>1</v>
      </c>
      <c r="D17705" s="8" t="inlineStr">
        <is>
          <t>Disneyland Park</t>
        </is>
      </c>
      <c r="E17705" s="8" t="inlineStr">
        <is>
          <t>Big Thunder Mountain</t>
        </is>
      </c>
      <c r="F17705" s="8" t="inlineStr">
        <is>
          <t>STANDBY</t>
        </is>
      </c>
      <c r="G17705" s="8" t="n">
        <v>0</v>
      </c>
      <c r="H17705" s="8" t="inlineStr">
        <is>
          <t>CLOSED</t>
        </is>
      </c>
    </row>
    <row r="17706">
      <c r="A17706" s="8" t="inlineStr">
        <is>
          <t>2026-08-04</t>
        </is>
      </c>
      <c r="B17706" s="8" t="n">
        <v>0</v>
      </c>
      <c r="C17706" s="8" t="n">
        <v>1</v>
      </c>
      <c r="D17706" s="8" t="inlineStr">
        <is>
          <t>Disneyland Park</t>
        </is>
      </c>
      <c r="E17706" s="8" t="inlineStr">
        <is>
          <t>Disneyland Railroad Frontierland Depot</t>
        </is>
      </c>
      <c r="F17706" s="8" t="inlineStr">
        <is>
          <t>STANDBY</t>
        </is>
      </c>
      <c r="G17706" s="8" t="n">
        <v>0</v>
      </c>
      <c r="H17706" s="8" t="inlineStr">
        <is>
          <t>CLOSED</t>
        </is>
      </c>
    </row>
    <row r="17707">
      <c r="A17707" s="8" t="inlineStr">
        <is>
          <t>2026-08-04</t>
        </is>
      </c>
      <c r="B17707" s="8" t="n">
        <v>0</v>
      </c>
      <c r="C17707" s="8" t="n">
        <v>1</v>
      </c>
      <c r="D17707" s="8" t="inlineStr">
        <is>
          <t>Disneyland Park</t>
        </is>
      </c>
      <c r="E17707" s="8" t="inlineStr">
        <is>
          <t>Frontierland Playground</t>
        </is>
      </c>
      <c r="F17707" s="8" t="inlineStr">
        <is>
          <t>STANDBY</t>
        </is>
      </c>
      <c r="G17707" s="8" t="n">
        <v>0</v>
      </c>
      <c r="H17707" s="8" t="inlineStr">
        <is>
          <t>CLOSED</t>
        </is>
      </c>
    </row>
    <row r="17708">
      <c r="A17708" s="8" t="inlineStr">
        <is>
          <t>2026-08-04</t>
        </is>
      </c>
      <c r="B17708" s="8" t="n">
        <v>0</v>
      </c>
      <c r="C17708" s="8" t="n">
        <v>1</v>
      </c>
      <c r="D17708" s="8" t="inlineStr">
        <is>
          <t>Disneyland Park</t>
        </is>
      </c>
      <c r="E17708" s="8" t="inlineStr">
        <is>
          <t>Phantom Manor</t>
        </is>
      </c>
      <c r="F17708" s="8" t="inlineStr">
        <is>
          <t>STANDBY</t>
        </is>
      </c>
      <c r="G17708" s="8" t="n">
        <v>0</v>
      </c>
      <c r="H17708" s="8" t="inlineStr">
        <is>
          <t>CLOSED</t>
        </is>
      </c>
    </row>
    <row r="17709">
      <c r="A17709" s="8" t="inlineStr">
        <is>
          <t>2026-08-04</t>
        </is>
      </c>
      <c r="B17709" s="8" t="n">
        <v>0</v>
      </c>
      <c r="C17709" s="8" t="n">
        <v>1</v>
      </c>
      <c r="D17709" s="8" t="inlineStr">
        <is>
          <t>Disneyland Park</t>
        </is>
      </c>
      <c r="E17709" s="8" t="inlineStr">
        <is>
          <t>River Rogue Keelboats</t>
        </is>
      </c>
      <c r="F17709" s="8" t="inlineStr">
        <is>
          <t>STANDBY</t>
        </is>
      </c>
      <c r="G17709" s="8" t="n">
        <v>0</v>
      </c>
      <c r="H17709" s="8" t="inlineStr">
        <is>
          <t>CLOSED</t>
        </is>
      </c>
    </row>
    <row r="17710">
      <c r="A17710" s="8" t="inlineStr">
        <is>
          <t>2026-08-04</t>
        </is>
      </c>
      <c r="B17710" s="8" t="n">
        <v>0</v>
      </c>
      <c r="C17710" s="8" t="n">
        <v>1</v>
      </c>
      <c r="D17710" s="8" t="inlineStr">
        <is>
          <t>Disneyland Park</t>
        </is>
      </c>
      <c r="E17710" s="8" t="inlineStr">
        <is>
          <t>Rustler Roundup Shootin' Gallery</t>
        </is>
      </c>
      <c r="F17710" s="8" t="inlineStr">
        <is>
          <t>STANDBY</t>
        </is>
      </c>
      <c r="G17710" s="8" t="n">
        <v>0</v>
      </c>
      <c r="H17710" s="8" t="inlineStr">
        <is>
          <t>CLOSED</t>
        </is>
      </c>
    </row>
    <row r="17711">
      <c r="A17711" s="8" t="inlineStr">
        <is>
          <t>2026-08-04</t>
        </is>
      </c>
      <c r="B17711" s="8" t="n">
        <v>0</v>
      </c>
      <c r="C17711" s="8" t="n">
        <v>1</v>
      </c>
      <c r="D17711" s="8" t="inlineStr">
        <is>
          <t>Disneyland Park</t>
        </is>
      </c>
      <c r="E17711" s="8" t="inlineStr">
        <is>
          <t>Thunder Mesa Riverboat Landing</t>
        </is>
      </c>
      <c r="F17711" s="8" t="inlineStr">
        <is>
          <t>STANDBY</t>
        </is>
      </c>
      <c r="G17711" s="8" t="n">
        <v>0</v>
      </c>
      <c r="H17711" s="8" t="inlineStr">
        <is>
          <t>CLOSED</t>
        </is>
      </c>
    </row>
    <row r="17712">
      <c r="A17712" s="8" t="inlineStr">
        <is>
          <t>2026-08-04</t>
        </is>
      </c>
      <c r="B17712" s="8" t="n">
        <v>0</v>
      </c>
      <c r="C17712" s="8" t="n">
        <v>1</v>
      </c>
      <c r="D17712" s="8" t="inlineStr">
        <is>
          <t>Disneyland Park</t>
        </is>
      </c>
      <c r="E17712" s="8" t="inlineStr">
        <is>
          <t>Disneyland Railroad Main Street Station</t>
        </is>
      </c>
      <c r="F17712" s="8" t="inlineStr">
        <is>
          <t>STANDBY</t>
        </is>
      </c>
      <c r="G17712" s="8" t="n">
        <v>0</v>
      </c>
      <c r="H17712" s="8" t="inlineStr">
        <is>
          <t>CLOSED</t>
        </is>
      </c>
    </row>
    <row r="17713">
      <c r="A17713" s="8" t="inlineStr">
        <is>
          <t>2026-08-04</t>
        </is>
      </c>
      <c r="B17713" s="8" t="n">
        <v>0</v>
      </c>
      <c r="C17713" s="8" t="n">
        <v>1</v>
      </c>
      <c r="D17713" s="8" t="inlineStr">
        <is>
          <t>Disneyland Park</t>
        </is>
      </c>
      <c r="E17713" s="8" t="inlineStr">
        <is>
          <t>Main Street Vehicles</t>
        </is>
      </c>
      <c r="F17713" s="8" t="inlineStr">
        <is>
          <t>STANDBY</t>
        </is>
      </c>
      <c r="G17713" s="8" t="n">
        <v>0</v>
      </c>
      <c r="H17713" s="8" t="inlineStr">
        <is>
          <t>CLOSED</t>
        </is>
      </c>
    </row>
    <row r="17714">
      <c r="A17714" s="8" t="inlineStr">
        <is>
          <t>2026-08-04</t>
        </is>
      </c>
      <c r="B17714" s="8" t="n">
        <v>0</v>
      </c>
      <c r="C17714" s="8" t="n">
        <v>1</v>
      </c>
      <c r="D17714" s="8" t="inlineStr">
        <is>
          <t>Disney Adventure World</t>
        </is>
      </c>
      <c r="E17714" s="8" t="inlineStr">
        <is>
          <t>Avengers Assemble: Flight Force</t>
        </is>
      </c>
      <c r="F17714" s="8" t="inlineStr">
        <is>
          <t>STANDBY</t>
        </is>
      </c>
      <c r="G17714" s="8" t="n">
        <v>0</v>
      </c>
      <c r="H17714" s="8" t="inlineStr">
        <is>
          <t>CLOSED</t>
        </is>
      </c>
    </row>
    <row r="17715">
      <c r="A17715" s="8" t="inlineStr">
        <is>
          <t>2026-08-04</t>
        </is>
      </c>
      <c r="B17715" s="8" t="n">
        <v>0</v>
      </c>
      <c r="C17715" s="8" t="n">
        <v>1</v>
      </c>
      <c r="D17715" s="8" t="inlineStr">
        <is>
          <t>Disney Adventure World</t>
        </is>
      </c>
      <c r="E17715" s="8" t="inlineStr">
        <is>
          <t>Avengers Assemble: Flight Force Single Rider</t>
        </is>
      </c>
      <c r="F17715" s="8" t="inlineStr">
        <is>
          <t>STANDBY</t>
        </is>
      </c>
      <c r="G17715" s="8" t="n">
        <v>0</v>
      </c>
      <c r="H17715" s="8" t="inlineStr">
        <is>
          <t>CLOSED</t>
        </is>
      </c>
    </row>
    <row r="17716">
      <c r="A17716" s="8" t="inlineStr">
        <is>
          <t>2026-08-04</t>
        </is>
      </c>
      <c r="B17716" s="8" t="n">
        <v>0</v>
      </c>
      <c r="C17716" s="8" t="n">
        <v>1</v>
      </c>
      <c r="D17716" s="8" t="inlineStr">
        <is>
          <t>Disney Adventure World</t>
        </is>
      </c>
      <c r="E17716" s="8" t="inlineStr">
        <is>
          <t>Spider-Man W.E.B. Adventure</t>
        </is>
      </c>
      <c r="F17716" s="8" t="inlineStr">
        <is>
          <t>STANDBY</t>
        </is>
      </c>
      <c r="G17716" s="8" t="n">
        <v>0</v>
      </c>
      <c r="H17716" s="8" t="inlineStr">
        <is>
          <t>CLOSED</t>
        </is>
      </c>
    </row>
    <row r="17717">
      <c r="A17717" s="8" t="inlineStr">
        <is>
          <t>2026-08-04</t>
        </is>
      </c>
      <c r="B17717" s="8" t="n">
        <v>0</v>
      </c>
      <c r="C17717" s="8" t="n">
        <v>1</v>
      </c>
      <c r="D17717" s="8" t="inlineStr">
        <is>
          <t>Disney Adventure World</t>
        </is>
      </c>
      <c r="E17717" s="8" t="inlineStr">
        <is>
          <t>Spider-Man W.E.B. Adventure Single Rider</t>
        </is>
      </c>
      <c r="F17717" s="8" t="inlineStr">
        <is>
          <t>STANDBY</t>
        </is>
      </c>
      <c r="G17717" s="8" t="n">
        <v>0</v>
      </c>
      <c r="H17717" s="8" t="inlineStr">
        <is>
          <t>CLOSED</t>
        </is>
      </c>
    </row>
    <row r="17718">
      <c r="A17718" s="8" t="inlineStr">
        <is>
          <t>2026-08-04</t>
        </is>
      </c>
      <c r="B17718" s="8" t="n">
        <v>0</v>
      </c>
      <c r="C17718" s="8" t="n">
        <v>1</v>
      </c>
      <c r="D17718" s="8" t="inlineStr">
        <is>
          <t>Disney Adventure World</t>
        </is>
      </c>
      <c r="E17718" s="8" t="inlineStr">
        <is>
          <t>The Twilight Zone Tower of Terror</t>
        </is>
      </c>
      <c r="F17718" s="8" t="inlineStr">
        <is>
          <t>STANDBY</t>
        </is>
      </c>
      <c r="G17718" s="8" t="n">
        <v>0</v>
      </c>
      <c r="H17718" s="8" t="inlineStr">
        <is>
          <t>CLOSED</t>
        </is>
      </c>
    </row>
    <row r="17719">
      <c r="A17719" s="8" t="inlineStr">
        <is>
          <t>2026-08-04</t>
        </is>
      </c>
      <c r="B17719" s="8" t="n">
        <v>0</v>
      </c>
      <c r="C17719" s="8" t="n">
        <v>1</v>
      </c>
      <c r="D17719" s="8" t="inlineStr">
        <is>
          <t>Disney Adventure World</t>
        </is>
      </c>
      <c r="E17719" s="8" t="inlineStr">
        <is>
          <t>Cars Quatre Roues Rallye</t>
        </is>
      </c>
      <c r="F17719" s="8" t="inlineStr">
        <is>
          <t>STANDBY</t>
        </is>
      </c>
      <c r="G17719" s="8" t="n">
        <v>0</v>
      </c>
      <c r="H17719" s="8" t="inlineStr">
        <is>
          <t>CLOSED</t>
        </is>
      </c>
    </row>
    <row r="17720">
      <c r="A17720" s="8" t="inlineStr">
        <is>
          <t>2026-08-04</t>
        </is>
      </c>
      <c r="B17720" s="8" t="n">
        <v>0</v>
      </c>
      <c r="C17720" s="8" t="n">
        <v>1</v>
      </c>
      <c r="D17720" s="8" t="inlineStr">
        <is>
          <t>Disney Adventure World</t>
        </is>
      </c>
      <c r="E17720" s="8" t="inlineStr">
        <is>
          <t>Cars ROAD TRIP</t>
        </is>
      </c>
      <c r="F17720" s="8" t="inlineStr">
        <is>
          <t>STANDBY</t>
        </is>
      </c>
      <c r="G17720" s="8" t="n">
        <v>0</v>
      </c>
      <c r="H17720" s="8" t="inlineStr">
        <is>
          <t>CLOSED</t>
        </is>
      </c>
    </row>
    <row r="17721">
      <c r="A17721" s="8" t="inlineStr">
        <is>
          <t>2026-08-04</t>
        </is>
      </c>
      <c r="B17721" s="8" t="n">
        <v>0</v>
      </c>
      <c r="C17721" s="8" t="n">
        <v>1</v>
      </c>
      <c r="D17721" s="8" t="inlineStr">
        <is>
          <t>Disney Adventure World</t>
        </is>
      </c>
      <c r="E17721" s="8" t="inlineStr">
        <is>
          <t>Crush's Coaster</t>
        </is>
      </c>
      <c r="F17721" s="8" t="inlineStr">
        <is>
          <t>STANDBY</t>
        </is>
      </c>
      <c r="G17721" s="8" t="n">
        <v>0</v>
      </c>
      <c r="H17721" s="8" t="inlineStr">
        <is>
          <t>CLOSED</t>
        </is>
      </c>
    </row>
    <row r="17722">
      <c r="A17722" s="8" t="inlineStr">
        <is>
          <t>2026-08-04</t>
        </is>
      </c>
      <c r="B17722" s="8" t="n">
        <v>0</v>
      </c>
      <c r="C17722" s="8" t="n">
        <v>1</v>
      </c>
      <c r="D17722" s="8" t="inlineStr">
        <is>
          <t>Disney Adventure World</t>
        </is>
      </c>
      <c r="E17722" s="8" t="inlineStr">
        <is>
          <t>Crush's Coaster Single Rider</t>
        </is>
      </c>
      <c r="F17722" s="8" t="inlineStr">
        <is>
          <t>STANDBY</t>
        </is>
      </c>
      <c r="G17722" s="8" t="n">
        <v>0</v>
      </c>
      <c r="H17722" s="8" t="inlineStr">
        <is>
          <t>CLOSED</t>
        </is>
      </c>
    </row>
    <row r="17723">
      <c r="A17723" s="8" t="inlineStr">
        <is>
          <t>2026-08-04</t>
        </is>
      </c>
      <c r="B17723" s="8" t="n">
        <v>0</v>
      </c>
      <c r="C17723" s="8" t="n">
        <v>1</v>
      </c>
      <c r="D17723" s="8" t="inlineStr">
        <is>
          <t>Disney Adventure World</t>
        </is>
      </c>
      <c r="E17723" s="8" t="inlineStr">
        <is>
          <t>Les Tapis Volants - Flying Carpets Over Agrabah®</t>
        </is>
      </c>
      <c r="F17723" s="8" t="inlineStr">
        <is>
          <t>STANDBY</t>
        </is>
      </c>
      <c r="G17723" s="8" t="n">
        <v>0</v>
      </c>
      <c r="H17723" s="8" t="inlineStr">
        <is>
          <t>CLOSED</t>
        </is>
      </c>
    </row>
    <row r="17724">
      <c r="A17724" s="8" t="inlineStr">
        <is>
          <t>2026-08-04</t>
        </is>
      </c>
      <c r="B17724" s="8" t="n">
        <v>0</v>
      </c>
      <c r="C17724" s="8" t="n">
        <v>1</v>
      </c>
      <c r="D17724" s="8" t="inlineStr">
        <is>
          <t>Disney Adventure World</t>
        </is>
      </c>
      <c r="E17724" s="8" t="inlineStr">
        <is>
          <t>Ratatouille : L’Aventure Totalement Toquée de Rémy​</t>
        </is>
      </c>
      <c r="F17724" s="8" t="inlineStr">
        <is>
          <t>STANDBY</t>
        </is>
      </c>
      <c r="G17724" s="8" t="n">
        <v>0</v>
      </c>
      <c r="H17724" s="8" t="inlineStr">
        <is>
          <t>CLOSED</t>
        </is>
      </c>
    </row>
    <row r="17725">
      <c r="A17725" s="8" t="inlineStr">
        <is>
          <t>2026-08-04</t>
        </is>
      </c>
      <c r="B17725" s="8" t="n">
        <v>0</v>
      </c>
      <c r="C17725" s="8" t="n">
        <v>1</v>
      </c>
      <c r="D17725" s="8" t="inlineStr">
        <is>
          <t>Disney Adventure World</t>
        </is>
      </c>
      <c r="E17725" s="8" t="inlineStr">
        <is>
          <t>Ratatouille: The Adventure Single Rider</t>
        </is>
      </c>
      <c r="F17725" s="8" t="inlineStr">
        <is>
          <t>STANDBY</t>
        </is>
      </c>
      <c r="G17725" s="8" t="n">
        <v>0</v>
      </c>
      <c r="H17725" s="8" t="inlineStr">
        <is>
          <t>CLOSED</t>
        </is>
      </c>
    </row>
    <row r="17726">
      <c r="A17726" s="8" t="inlineStr">
        <is>
          <t>2026-08-04</t>
        </is>
      </c>
      <c r="B17726" s="8" t="n">
        <v>0</v>
      </c>
      <c r="C17726" s="8" t="n">
        <v>1</v>
      </c>
      <c r="D17726" s="8" t="inlineStr">
        <is>
          <t>Disney Adventure World</t>
        </is>
      </c>
      <c r="E17726" s="8" t="inlineStr">
        <is>
          <t>RC Racer</t>
        </is>
      </c>
      <c r="F17726" s="8" t="inlineStr">
        <is>
          <t>STANDBY</t>
        </is>
      </c>
      <c r="G17726" s="8" t="n">
        <v>0</v>
      </c>
      <c r="H17726" s="8" t="inlineStr">
        <is>
          <t>CLOSED</t>
        </is>
      </c>
    </row>
    <row r="17727">
      <c r="A17727" s="8" t="inlineStr">
        <is>
          <t>2026-08-04</t>
        </is>
      </c>
      <c r="B17727" s="8" t="n">
        <v>0</v>
      </c>
      <c r="C17727" s="8" t="n">
        <v>1</v>
      </c>
      <c r="D17727" s="8" t="inlineStr">
        <is>
          <t>Disney Adventure World</t>
        </is>
      </c>
      <c r="E17727" s="8" t="inlineStr">
        <is>
          <t>RC Racer Single Rider</t>
        </is>
      </c>
      <c r="F17727" s="8" t="inlineStr">
        <is>
          <t>STANDBY</t>
        </is>
      </c>
      <c r="G17727" s="8" t="n">
        <v>0</v>
      </c>
      <c r="H17727" s="8" t="inlineStr">
        <is>
          <t>CLOSED</t>
        </is>
      </c>
    </row>
    <row r="17728">
      <c r="A17728" s="8" t="inlineStr">
        <is>
          <t>2026-08-04</t>
        </is>
      </c>
      <c r="B17728" s="8" t="n">
        <v>0</v>
      </c>
      <c r="C17728" s="8" t="n">
        <v>1</v>
      </c>
      <c r="D17728" s="8" t="inlineStr">
        <is>
          <t>Disney Adventure World</t>
        </is>
      </c>
      <c r="E17728" s="8" t="inlineStr">
        <is>
          <t>Slinky® Dog Zigzag Spin</t>
        </is>
      </c>
      <c r="F17728" s="8" t="inlineStr">
        <is>
          <t>STANDBY</t>
        </is>
      </c>
      <c r="G17728" s="8" t="n">
        <v>0</v>
      </c>
      <c r="H17728" s="8" t="inlineStr">
        <is>
          <t>CLOSED</t>
        </is>
      </c>
    </row>
    <row r="17729">
      <c r="A17729" s="8" t="inlineStr">
        <is>
          <t>2026-08-04</t>
        </is>
      </c>
      <c r="B17729" s="8" t="n">
        <v>0</v>
      </c>
      <c r="C17729" s="8" t="n">
        <v>1</v>
      </c>
      <c r="D17729" s="8" t="inlineStr">
        <is>
          <t>Disney Adventure World</t>
        </is>
      </c>
      <c r="E17729" s="8" t="inlineStr">
        <is>
          <t>Toy Soldiers Parachute Drop</t>
        </is>
      </c>
      <c r="F17729" s="8" t="inlineStr">
        <is>
          <t>STANDBY</t>
        </is>
      </c>
      <c r="G17729" s="8" t="n">
        <v>0</v>
      </c>
      <c r="H17729" s="8" t="inlineStr">
        <is>
          <t>CLOSED</t>
        </is>
      </c>
    </row>
    <row r="17730">
      <c r="A17730" s="8" t="inlineStr">
        <is>
          <t>2026-08-04</t>
        </is>
      </c>
      <c r="B17730" s="8" t="n">
        <v>0</v>
      </c>
      <c r="C17730" s="8" t="n">
        <v>1</v>
      </c>
      <c r="D17730" s="8" t="inlineStr">
        <is>
          <t>Disney Adventure World</t>
        </is>
      </c>
      <c r="E17730" s="8" t="inlineStr">
        <is>
          <t>Toy Soldiers Parachute Drop Single Rider</t>
        </is>
      </c>
      <c r="F17730" s="8" t="inlineStr">
        <is>
          <t>STANDBY</t>
        </is>
      </c>
      <c r="G17730" s="8" t="n">
        <v>0</v>
      </c>
      <c r="H17730" s="8" t="inlineStr">
        <is>
          <t>CLOSED</t>
        </is>
      </c>
    </row>
    <row r="17731">
      <c r="A17731" s="8" t="inlineStr">
        <is>
          <t>2026-08-04</t>
        </is>
      </c>
      <c r="B17731" s="8" t="n">
        <v>0</v>
      </c>
      <c r="C17731" s="8" t="n">
        <v>1</v>
      </c>
      <c r="D17731" s="8" t="inlineStr">
        <is>
          <t>Disney Adventure World</t>
        </is>
      </c>
      <c r="E17731" s="8" t="inlineStr">
        <is>
          <t>Entry to World of Frozen</t>
        </is>
      </c>
      <c r="F17731" s="8" t="inlineStr">
        <is>
          <t>STANDBY</t>
        </is>
      </c>
      <c r="G17731" s="8" t="n">
        <v>0</v>
      </c>
      <c r="H17731" s="8" t="inlineStr">
        <is>
          <t>CLOSED</t>
        </is>
      </c>
    </row>
    <row r="17732">
      <c r="A17732" s="8" t="inlineStr">
        <is>
          <t>2026-08-04</t>
        </is>
      </c>
      <c r="B17732" s="8" t="n">
        <v>0</v>
      </c>
      <c r="C17732" s="8" t="n">
        <v>1</v>
      </c>
      <c r="D17732" s="8" t="inlineStr">
        <is>
          <t>Disney Adventure World</t>
        </is>
      </c>
      <c r="E17732" s="8" t="inlineStr">
        <is>
          <t>Frozen Ever After</t>
        </is>
      </c>
      <c r="F17732" s="8" t="inlineStr">
        <is>
          <t>STANDBY</t>
        </is>
      </c>
      <c r="G17732" s="8" t="n">
        <v>0</v>
      </c>
      <c r="H17732" s="8" t="inlineStr">
        <is>
          <t>CLOSED</t>
        </is>
      </c>
    </row>
    <row r="17733">
      <c r="A17733" s="8" t="inlineStr">
        <is>
          <t>2026-08-04</t>
        </is>
      </c>
      <c r="B17733" s="8" t="n">
        <v>0</v>
      </c>
      <c r="C17733" s="8" t="n">
        <v>1</v>
      </c>
      <c r="D17733" s="8" t="inlineStr">
        <is>
          <t>Disney Adventure World</t>
        </is>
      </c>
      <c r="E17733" s="8" t="inlineStr">
        <is>
          <t>Raiponce Tangled Spin</t>
        </is>
      </c>
      <c r="F17733" s="8" t="inlineStr">
        <is>
          <t>STANDBY</t>
        </is>
      </c>
      <c r="G17733" s="8" t="n">
        <v>0</v>
      </c>
      <c r="H17733" s="8" t="inlineStr">
        <is>
          <t>CLOSED</t>
        </is>
      </c>
    </row>
    <row r="17734">
      <c r="A17734" s="8" t="inlineStr">
        <is>
          <t>2026-08-04</t>
        </is>
      </c>
      <c r="B17734" s="8" t="n">
        <v>0</v>
      </c>
      <c r="C17734" s="8" t="n">
        <v>14</v>
      </c>
      <c r="D17734" s="8" t="inlineStr">
        <is>
          <t>Disneyland Park</t>
        </is>
      </c>
      <c r="E17734" s="8" t="inlineStr">
        <is>
          <t>Adventure Isle</t>
        </is>
      </c>
      <c r="F17734" s="8" t="inlineStr">
        <is>
          <t>STANDBY</t>
        </is>
      </c>
      <c r="G17734" s="8" t="n">
        <v>0</v>
      </c>
      <c r="H17734" s="8" t="inlineStr">
        <is>
          <t>CLOSED</t>
        </is>
      </c>
    </row>
    <row r="17735">
      <c r="A17735" s="8" t="inlineStr">
        <is>
          <t>2026-08-04</t>
        </is>
      </c>
      <c r="B17735" s="8" t="n">
        <v>0</v>
      </c>
      <c r="C17735" s="8" t="n">
        <v>14</v>
      </c>
      <c r="D17735" s="8" t="inlineStr">
        <is>
          <t>Disneyland Park</t>
        </is>
      </c>
      <c r="E17735" s="8" t="inlineStr">
        <is>
          <t>Indiana Jones and the Temple of Peril Single Rider</t>
        </is>
      </c>
      <c r="F17735" s="8" t="inlineStr">
        <is>
          <t>STANDBY</t>
        </is>
      </c>
      <c r="G17735" s="8" t="n">
        <v>0</v>
      </c>
      <c r="H17735" s="8" t="inlineStr">
        <is>
          <t>CLOSED</t>
        </is>
      </c>
    </row>
    <row r="17736">
      <c r="A17736" s="8" t="inlineStr">
        <is>
          <t>2026-08-04</t>
        </is>
      </c>
      <c r="B17736" s="8" t="n">
        <v>0</v>
      </c>
      <c r="C17736" s="8" t="n">
        <v>14</v>
      </c>
      <c r="D17736" s="8" t="inlineStr">
        <is>
          <t>Disneyland Park</t>
        </is>
      </c>
      <c r="E17736" s="8" t="inlineStr">
        <is>
          <t>Indiana Jones™ and the Temple of Peril</t>
        </is>
      </c>
      <c r="F17736" s="8" t="inlineStr">
        <is>
          <t>STANDBY</t>
        </is>
      </c>
      <c r="G17736" s="8" t="n">
        <v>0</v>
      </c>
      <c r="H17736" s="8" t="inlineStr">
        <is>
          <t>CLOSED</t>
        </is>
      </c>
    </row>
    <row r="17737">
      <c r="A17737" s="8" t="inlineStr">
        <is>
          <t>2026-08-04</t>
        </is>
      </c>
      <c r="B17737" s="8" t="n">
        <v>0</v>
      </c>
      <c r="C17737" s="8" t="n">
        <v>14</v>
      </c>
      <c r="D17737" s="8" t="inlineStr">
        <is>
          <t>Disneyland Park</t>
        </is>
      </c>
      <c r="E17737" s="8" t="inlineStr">
        <is>
          <t>La Cabane des Robinson</t>
        </is>
      </c>
      <c r="F17737" s="8" t="inlineStr">
        <is>
          <t>STANDBY</t>
        </is>
      </c>
      <c r="G17737" s="8" t="n">
        <v>0</v>
      </c>
      <c r="H17737" s="8" t="inlineStr">
        <is>
          <t>CLOSED</t>
        </is>
      </c>
    </row>
    <row r="17738">
      <c r="A17738" s="8" t="inlineStr">
        <is>
          <t>2026-08-04</t>
        </is>
      </c>
      <c r="B17738" s="8" t="n">
        <v>0</v>
      </c>
      <c r="C17738" s="8" t="n">
        <v>14</v>
      </c>
      <c r="D17738" s="8" t="inlineStr">
        <is>
          <t>Disneyland Park</t>
        </is>
      </c>
      <c r="E17738" s="8" t="inlineStr">
        <is>
          <t>Le Passage Enchanté d'Aladdin</t>
        </is>
      </c>
      <c r="F17738" s="8" t="inlineStr">
        <is>
          <t>STANDBY</t>
        </is>
      </c>
      <c r="G17738" s="8" t="n">
        <v>0</v>
      </c>
      <c r="H17738" s="8" t="inlineStr">
        <is>
          <t>CLOSED</t>
        </is>
      </c>
    </row>
    <row r="17739">
      <c r="A17739" s="8" t="inlineStr">
        <is>
          <t>2026-08-04</t>
        </is>
      </c>
      <c r="B17739" s="8" t="n">
        <v>0</v>
      </c>
      <c r="C17739" s="8" t="n">
        <v>14</v>
      </c>
      <c r="D17739" s="8" t="inlineStr">
        <is>
          <t>Disneyland Park</t>
        </is>
      </c>
      <c r="E17739" s="8" t="inlineStr">
        <is>
          <t>Pirate Galleon</t>
        </is>
      </c>
      <c r="F17739" s="8" t="inlineStr">
        <is>
          <t>STANDBY</t>
        </is>
      </c>
      <c r="G17739" s="8" t="n">
        <v>0</v>
      </c>
      <c r="H17739" s="8" t="inlineStr">
        <is>
          <t>CLOSED</t>
        </is>
      </c>
    </row>
    <row r="17740">
      <c r="A17740" s="8" t="inlineStr">
        <is>
          <t>2026-08-04</t>
        </is>
      </c>
      <c r="B17740" s="8" t="n">
        <v>0</v>
      </c>
      <c r="C17740" s="8" t="n">
        <v>14</v>
      </c>
      <c r="D17740" s="8" t="inlineStr">
        <is>
          <t>Disneyland Park</t>
        </is>
      </c>
      <c r="E17740" s="8" t="inlineStr">
        <is>
          <t>Pirates of the Caribbean</t>
        </is>
      </c>
      <c r="F17740" s="8" t="inlineStr">
        <is>
          <t>STANDBY</t>
        </is>
      </c>
      <c r="G17740" s="8" t="n">
        <v>0</v>
      </c>
      <c r="H17740" s="8" t="inlineStr">
        <is>
          <t>CLOSED</t>
        </is>
      </c>
    </row>
    <row r="17741">
      <c r="A17741" s="8" t="inlineStr">
        <is>
          <t>2026-08-04</t>
        </is>
      </c>
      <c r="B17741" s="8" t="n">
        <v>0</v>
      </c>
      <c r="C17741" s="8" t="n">
        <v>14</v>
      </c>
      <c r="D17741" s="8" t="inlineStr">
        <is>
          <t>Disneyland Park</t>
        </is>
      </c>
      <c r="E17741" s="8" t="inlineStr">
        <is>
          <t>Pirates' Beach</t>
        </is>
      </c>
      <c r="F17741" s="8" t="inlineStr">
        <is>
          <t>STANDBY</t>
        </is>
      </c>
      <c r="G17741" s="8" t="n">
        <v>0</v>
      </c>
      <c r="H17741" s="8" t="inlineStr">
        <is>
          <t>CLOSED</t>
        </is>
      </c>
    </row>
    <row r="17742">
      <c r="A17742" s="8" t="inlineStr">
        <is>
          <t>2026-08-04</t>
        </is>
      </c>
      <c r="B17742" s="8" t="n">
        <v>0</v>
      </c>
      <c r="C17742" s="8" t="n">
        <v>14</v>
      </c>
      <c r="D17742" s="8" t="inlineStr">
        <is>
          <t>Disneyland Park</t>
        </is>
      </c>
      <c r="E17742" s="8" t="inlineStr">
        <is>
          <t>Autopia, presented by Avis</t>
        </is>
      </c>
      <c r="F17742" s="8" t="inlineStr">
        <is>
          <t>STANDBY</t>
        </is>
      </c>
      <c r="G17742" s="8" t="n">
        <v>0</v>
      </c>
      <c r="H17742" s="8" t="inlineStr">
        <is>
          <t>CLOSED</t>
        </is>
      </c>
    </row>
    <row r="17743">
      <c r="A17743" s="8" t="inlineStr">
        <is>
          <t>2026-08-04</t>
        </is>
      </c>
      <c r="B17743" s="8" t="n">
        <v>0</v>
      </c>
      <c r="C17743" s="8" t="n">
        <v>14</v>
      </c>
      <c r="D17743" s="8" t="inlineStr">
        <is>
          <t>Disneyland Park</t>
        </is>
      </c>
      <c r="E17743" s="8" t="inlineStr">
        <is>
          <t>Buzz Lightyear Laser Blast</t>
        </is>
      </c>
      <c r="F17743" s="8" t="inlineStr">
        <is>
          <t>STANDBY</t>
        </is>
      </c>
      <c r="G17743" s="8" t="n">
        <v>0</v>
      </c>
      <c r="H17743" s="8" t="inlineStr">
        <is>
          <t>CLOSED</t>
        </is>
      </c>
    </row>
    <row r="17744">
      <c r="A17744" s="8" t="inlineStr">
        <is>
          <t>2026-08-04</t>
        </is>
      </c>
      <c r="B17744" s="8" t="n">
        <v>0</v>
      </c>
      <c r="C17744" s="8" t="n">
        <v>14</v>
      </c>
      <c r="D17744" s="8" t="inlineStr">
        <is>
          <t>Disneyland Park</t>
        </is>
      </c>
      <c r="E17744" s="8" t="inlineStr">
        <is>
          <t>Disneyland Railroad Discoveryland Station</t>
        </is>
      </c>
      <c r="F17744" s="8" t="inlineStr">
        <is>
          <t>STANDBY</t>
        </is>
      </c>
      <c r="G17744" s="8" t="n">
        <v>0</v>
      </c>
      <c r="H17744" s="8" t="inlineStr">
        <is>
          <t>CLOSED</t>
        </is>
      </c>
    </row>
    <row r="17745">
      <c r="A17745" s="8" t="inlineStr">
        <is>
          <t>2026-08-04</t>
        </is>
      </c>
      <c r="B17745" s="8" t="n">
        <v>0</v>
      </c>
      <c r="C17745" s="8" t="n">
        <v>14</v>
      </c>
      <c r="D17745" s="8" t="inlineStr">
        <is>
          <t>Disneyland Park</t>
        </is>
      </c>
      <c r="E17745" s="8" t="inlineStr">
        <is>
          <t>Les Mystères du Nautilus</t>
        </is>
      </c>
      <c r="F17745" s="8" t="inlineStr">
        <is>
          <t>STANDBY</t>
        </is>
      </c>
      <c r="G17745" s="8" t="n">
        <v>0</v>
      </c>
      <c r="H17745" s="8" t="inlineStr">
        <is>
          <t>CLOSED</t>
        </is>
      </c>
    </row>
    <row r="17746">
      <c r="A17746" s="8" t="inlineStr">
        <is>
          <t>2026-08-04</t>
        </is>
      </c>
      <c r="B17746" s="8" t="n">
        <v>0</v>
      </c>
      <c r="C17746" s="8" t="n">
        <v>14</v>
      </c>
      <c r="D17746" s="8" t="inlineStr">
        <is>
          <t>Disneyland Park</t>
        </is>
      </c>
      <c r="E17746" s="8" t="inlineStr">
        <is>
          <t>Mickey’s PhilharMagic</t>
        </is>
      </c>
      <c r="F17746" s="8" t="inlineStr">
        <is>
          <t>STANDBY</t>
        </is>
      </c>
      <c r="G17746" s="8" t="n">
        <v>0</v>
      </c>
      <c r="H17746" s="8" t="inlineStr">
        <is>
          <t>CLOSED</t>
        </is>
      </c>
    </row>
    <row r="17747">
      <c r="A17747" s="8" t="inlineStr">
        <is>
          <t>2026-08-04</t>
        </is>
      </c>
      <c r="B17747" s="8" t="n">
        <v>0</v>
      </c>
      <c r="C17747" s="8" t="n">
        <v>14</v>
      </c>
      <c r="D17747" s="8" t="inlineStr">
        <is>
          <t>Disneyland Park</t>
        </is>
      </c>
      <c r="E17747" s="8" t="inlineStr">
        <is>
          <t>Orbitron®</t>
        </is>
      </c>
      <c r="F17747" s="8" t="inlineStr">
        <is>
          <t>STANDBY</t>
        </is>
      </c>
      <c r="G17747" s="8" t="n">
        <v>0</v>
      </c>
      <c r="H17747" s="8" t="inlineStr">
        <is>
          <t>CLOSED</t>
        </is>
      </c>
    </row>
    <row r="17748">
      <c r="A17748" s="8" t="inlineStr">
        <is>
          <t>2026-08-04</t>
        </is>
      </c>
      <c r="B17748" s="8" t="n">
        <v>0</v>
      </c>
      <c r="C17748" s="8" t="n">
        <v>14</v>
      </c>
      <c r="D17748" s="8" t="inlineStr">
        <is>
          <t>Disneyland Park</t>
        </is>
      </c>
      <c r="E17748" s="8" t="inlineStr">
        <is>
          <t>Star Tours: The Adventures Continue*</t>
        </is>
      </c>
      <c r="F17748" s="8" t="inlineStr">
        <is>
          <t>STANDBY</t>
        </is>
      </c>
      <c r="G17748" s="8" t="n">
        <v>0</v>
      </c>
      <c r="H17748" s="8" t="inlineStr">
        <is>
          <t>CLOSED</t>
        </is>
      </c>
    </row>
    <row r="17749">
      <c r="A17749" s="8" t="inlineStr">
        <is>
          <t>2026-08-04</t>
        </is>
      </c>
      <c r="B17749" s="8" t="n">
        <v>0</v>
      </c>
      <c r="C17749" s="8" t="n">
        <v>14</v>
      </c>
      <c r="D17749" s="8" t="inlineStr">
        <is>
          <t>Disneyland Park</t>
        </is>
      </c>
      <c r="E17749" s="8" t="inlineStr">
        <is>
          <t>Star Wars Hyperspace Mountain</t>
        </is>
      </c>
      <c r="F17749" s="8" t="inlineStr">
        <is>
          <t>STANDBY</t>
        </is>
      </c>
      <c r="G17749" s="8" t="n">
        <v>0</v>
      </c>
      <c r="H17749" s="8" t="inlineStr">
        <is>
          <t>CLOSED</t>
        </is>
      </c>
    </row>
    <row r="17750">
      <c r="A17750" s="8" t="inlineStr">
        <is>
          <t>2026-08-04</t>
        </is>
      </c>
      <c r="B17750" s="8" t="n">
        <v>0</v>
      </c>
      <c r="C17750" s="8" t="n">
        <v>14</v>
      </c>
      <c r="D17750" s="8" t="inlineStr">
        <is>
          <t>Disneyland Park</t>
        </is>
      </c>
      <c r="E17750" s="8" t="inlineStr">
        <is>
          <t>Star Wars Hyperspace Mountain Single Rider</t>
        </is>
      </c>
      <c r="F17750" s="8" t="inlineStr">
        <is>
          <t>STANDBY</t>
        </is>
      </c>
      <c r="G17750" s="8" t="n">
        <v>0</v>
      </c>
      <c r="H17750" s="8" t="inlineStr">
        <is>
          <t>CLOSED</t>
        </is>
      </c>
    </row>
    <row r="17751">
      <c r="A17751" s="8" t="inlineStr">
        <is>
          <t>2026-08-04</t>
        </is>
      </c>
      <c r="B17751" s="8" t="n">
        <v>0</v>
      </c>
      <c r="C17751" s="8" t="n">
        <v>14</v>
      </c>
      <c r="D17751" s="8" t="inlineStr">
        <is>
          <t>Disneyland Park</t>
        </is>
      </c>
      <c r="E17751" s="8" t="inlineStr">
        <is>
          <t>Welcome to Starport: A Star Wars Encounter</t>
        </is>
      </c>
      <c r="F17751" s="8" t="inlineStr">
        <is>
          <t>STANDBY</t>
        </is>
      </c>
      <c r="G17751" s="8" t="n">
        <v>0</v>
      </c>
      <c r="H17751" s="8" t="inlineStr">
        <is>
          <t>CLOSED</t>
        </is>
      </c>
    </row>
    <row r="17752">
      <c r="A17752" s="8" t="inlineStr">
        <is>
          <t>2026-08-04</t>
        </is>
      </c>
      <c r="B17752" s="8" t="n">
        <v>0</v>
      </c>
      <c r="C17752" s="8" t="n">
        <v>14</v>
      </c>
      <c r="D17752" s="8" t="inlineStr">
        <is>
          <t>Disneyland Park</t>
        </is>
      </c>
      <c r="E17752" s="8" t="inlineStr">
        <is>
          <t>"it's a small world"</t>
        </is>
      </c>
      <c r="F17752" s="8" t="inlineStr">
        <is>
          <t>STANDBY</t>
        </is>
      </c>
      <c r="G17752" s="8" t="n">
        <v>0</v>
      </c>
      <c r="H17752" s="8" t="inlineStr">
        <is>
          <t>CLOSED</t>
        </is>
      </c>
    </row>
    <row r="17753">
      <c r="A17753" s="8" t="inlineStr">
        <is>
          <t>2026-08-04</t>
        </is>
      </c>
      <c r="B17753" s="8" t="n">
        <v>0</v>
      </c>
      <c r="C17753" s="8" t="n">
        <v>14</v>
      </c>
      <c r="D17753" s="8" t="inlineStr">
        <is>
          <t>Disneyland Park</t>
        </is>
      </c>
      <c r="E17753" s="8" t="inlineStr">
        <is>
          <t>Alice's Curious Labyrinth</t>
        </is>
      </c>
      <c r="F17753" s="8" t="inlineStr">
        <is>
          <t>STANDBY</t>
        </is>
      </c>
      <c r="G17753" s="8" t="n">
        <v>0</v>
      </c>
      <c r="H17753" s="8" t="inlineStr">
        <is>
          <t>CLOSED</t>
        </is>
      </c>
    </row>
    <row r="17754">
      <c r="A17754" s="8" t="inlineStr">
        <is>
          <t>2026-08-04</t>
        </is>
      </c>
      <c r="B17754" s="8" t="n">
        <v>0</v>
      </c>
      <c r="C17754" s="8" t="n">
        <v>14</v>
      </c>
      <c r="D17754" s="8" t="inlineStr">
        <is>
          <t>Disneyland Park</t>
        </is>
      </c>
      <c r="E17754" s="8" t="inlineStr">
        <is>
          <t>Blanche-Neige et les Sept Nains®</t>
        </is>
      </c>
      <c r="F17754" s="8" t="inlineStr">
        <is>
          <t>STANDBY</t>
        </is>
      </c>
      <c r="G17754" s="8" t="n">
        <v>0</v>
      </c>
      <c r="H17754" s="8" t="inlineStr">
        <is>
          <t>CLOSED</t>
        </is>
      </c>
    </row>
    <row r="17755">
      <c r="A17755" s="8" t="inlineStr">
        <is>
          <t>2026-08-04</t>
        </is>
      </c>
      <c r="B17755" s="8" t="n">
        <v>0</v>
      </c>
      <c r="C17755" s="8" t="n">
        <v>14</v>
      </c>
      <c r="D17755" s="8" t="inlineStr">
        <is>
          <t>Disneyland Park</t>
        </is>
      </c>
      <c r="E17755" s="8" t="inlineStr">
        <is>
          <t>Casey Jr. – le Petit Train du Cirque</t>
        </is>
      </c>
      <c r="F17755" s="8" t="inlineStr">
        <is>
          <t>STANDBY</t>
        </is>
      </c>
      <c r="G17755" s="8" t="n">
        <v>0</v>
      </c>
      <c r="H17755" s="8" t="inlineStr">
        <is>
          <t>CLOSED</t>
        </is>
      </c>
    </row>
    <row r="17756">
      <c r="A17756" s="8" t="inlineStr">
        <is>
          <t>2026-08-04</t>
        </is>
      </c>
      <c r="B17756" s="8" t="n">
        <v>0</v>
      </c>
      <c r="C17756" s="8" t="n">
        <v>14</v>
      </c>
      <c r="D17756" s="8" t="inlineStr">
        <is>
          <t>Disneyland Park</t>
        </is>
      </c>
      <c r="E17756" s="8" t="inlineStr">
        <is>
          <t>Disneyland Railroad Fantasyland Station</t>
        </is>
      </c>
      <c r="F17756" s="8" t="inlineStr">
        <is>
          <t>STANDBY</t>
        </is>
      </c>
      <c r="G17756" s="8" t="n">
        <v>0</v>
      </c>
      <c r="H17756" s="8" t="inlineStr">
        <is>
          <t>CLOSED</t>
        </is>
      </c>
    </row>
    <row r="17757">
      <c r="A17757" s="8" t="inlineStr">
        <is>
          <t>2026-08-04</t>
        </is>
      </c>
      <c r="B17757" s="8" t="n">
        <v>0</v>
      </c>
      <c r="C17757" s="8" t="n">
        <v>14</v>
      </c>
      <c r="D17757" s="8" t="inlineStr">
        <is>
          <t>Disneyland Park</t>
        </is>
      </c>
      <c r="E17757" s="8" t="inlineStr">
        <is>
          <t>Disneyland Railroad Main Street Station</t>
        </is>
      </c>
      <c r="F17757" s="8" t="inlineStr">
        <is>
          <t>STANDBY</t>
        </is>
      </c>
      <c r="G17757" s="8" t="n">
        <v>0</v>
      </c>
      <c r="H17757" s="8" t="inlineStr">
        <is>
          <t>CLOSED</t>
        </is>
      </c>
    </row>
    <row r="17758">
      <c r="A17758" s="8" t="inlineStr">
        <is>
          <t>2026-08-04</t>
        </is>
      </c>
      <c r="B17758" s="8" t="n">
        <v>0</v>
      </c>
      <c r="C17758" s="8" t="n">
        <v>14</v>
      </c>
      <c r="D17758" s="8" t="inlineStr">
        <is>
          <t>Disneyland Park</t>
        </is>
      </c>
      <c r="E17758" s="8" t="inlineStr">
        <is>
          <t>Dumbo the Flying Elephant</t>
        </is>
      </c>
      <c r="F17758" s="8" t="inlineStr">
        <is>
          <t>STANDBY</t>
        </is>
      </c>
      <c r="G17758" s="8" t="n">
        <v>0</v>
      </c>
      <c r="H17758" s="8" t="inlineStr">
        <is>
          <t>CLOSED</t>
        </is>
      </c>
    </row>
    <row r="17759">
      <c r="A17759" s="8" t="inlineStr">
        <is>
          <t>2026-08-04</t>
        </is>
      </c>
      <c r="B17759" s="8" t="n">
        <v>0</v>
      </c>
      <c r="C17759" s="8" t="n">
        <v>14</v>
      </c>
      <c r="D17759" s="8" t="inlineStr">
        <is>
          <t>Disneyland Park</t>
        </is>
      </c>
      <c r="E17759" s="8" t="inlineStr">
        <is>
          <t>La Tanière du Dragon</t>
        </is>
      </c>
      <c r="F17759" s="8" t="inlineStr">
        <is>
          <t>STANDBY</t>
        </is>
      </c>
      <c r="G17759" s="8" t="n">
        <v>0</v>
      </c>
      <c r="H17759" s="8" t="inlineStr">
        <is>
          <t>CLOSED</t>
        </is>
      </c>
    </row>
    <row r="17760">
      <c r="A17760" s="8" t="inlineStr">
        <is>
          <t>2026-08-04</t>
        </is>
      </c>
      <c r="B17760" s="8" t="n">
        <v>0</v>
      </c>
      <c r="C17760" s="8" t="n">
        <v>14</v>
      </c>
      <c r="D17760" s="8" t="inlineStr">
        <is>
          <t>Disneyland Park</t>
        </is>
      </c>
      <c r="E17760" s="8" t="inlineStr">
        <is>
          <t>Le Carrousel de Lancelot</t>
        </is>
      </c>
      <c r="F17760" s="8" t="inlineStr">
        <is>
          <t>STANDBY</t>
        </is>
      </c>
      <c r="G17760" s="8" t="n">
        <v>0</v>
      </c>
      <c r="H17760" s="8" t="inlineStr">
        <is>
          <t>CLOSED</t>
        </is>
      </c>
    </row>
    <row r="17761">
      <c r="A17761" s="8" t="inlineStr">
        <is>
          <t>2026-08-04</t>
        </is>
      </c>
      <c r="B17761" s="8" t="n">
        <v>0</v>
      </c>
      <c r="C17761" s="8" t="n">
        <v>14</v>
      </c>
      <c r="D17761" s="8" t="inlineStr">
        <is>
          <t>Disneyland Park</t>
        </is>
      </c>
      <c r="E17761" s="8" t="inlineStr">
        <is>
          <t>Le Pays des Contes de Fées, presented by Vittel</t>
        </is>
      </c>
      <c r="F17761" s="8" t="inlineStr">
        <is>
          <t>STANDBY</t>
        </is>
      </c>
      <c r="G17761" s="8" t="n">
        <v>0</v>
      </c>
      <c r="H17761" s="8" t="inlineStr">
        <is>
          <t>CLOSED</t>
        </is>
      </c>
    </row>
    <row r="17762">
      <c r="A17762" s="8" t="inlineStr">
        <is>
          <t>2026-08-04</t>
        </is>
      </c>
      <c r="B17762" s="8" t="n">
        <v>0</v>
      </c>
      <c r="C17762" s="8" t="n">
        <v>14</v>
      </c>
      <c r="D17762" s="8" t="inlineStr">
        <is>
          <t>Disneyland Park</t>
        </is>
      </c>
      <c r="E17762" s="8" t="inlineStr">
        <is>
          <t>Les Voyages de Pinocchio</t>
        </is>
      </c>
      <c r="F17762" s="8" t="inlineStr">
        <is>
          <t>STANDBY</t>
        </is>
      </c>
      <c r="G17762" s="8" t="n">
        <v>0</v>
      </c>
      <c r="H17762" s="8" t="inlineStr">
        <is>
          <t>CLOSED</t>
        </is>
      </c>
    </row>
    <row r="17763">
      <c r="A17763" s="8" t="inlineStr">
        <is>
          <t>2026-08-04</t>
        </is>
      </c>
      <c r="B17763" s="8" t="n">
        <v>0</v>
      </c>
      <c r="C17763" s="8" t="n">
        <v>14</v>
      </c>
      <c r="D17763" s="8" t="inlineStr">
        <is>
          <t>Disneyland Park</t>
        </is>
      </c>
      <c r="E17763" s="8" t="inlineStr">
        <is>
          <t>Mad Hatter's Tea Cups</t>
        </is>
      </c>
      <c r="F17763" s="8" t="inlineStr">
        <is>
          <t>STANDBY</t>
        </is>
      </c>
      <c r="G17763" s="8" t="n">
        <v>0</v>
      </c>
      <c r="H17763" s="8" t="inlineStr">
        <is>
          <t>CLOSED</t>
        </is>
      </c>
    </row>
    <row r="17764">
      <c r="A17764" s="8" t="inlineStr">
        <is>
          <t>2026-08-04</t>
        </is>
      </c>
      <c r="B17764" s="8" t="n">
        <v>0</v>
      </c>
      <c r="C17764" s="8" t="n">
        <v>14</v>
      </c>
      <c r="D17764" s="8" t="inlineStr">
        <is>
          <t>Disneyland Park</t>
        </is>
      </c>
      <c r="E17764" s="8" t="inlineStr">
        <is>
          <t>Meet Mickey Mouse</t>
        </is>
      </c>
      <c r="F17764" s="8" t="inlineStr">
        <is>
          <t>STANDBY</t>
        </is>
      </c>
      <c r="G17764" s="8" t="n">
        <v>0</v>
      </c>
      <c r="H17764" s="8" t="inlineStr">
        <is>
          <t>CLOSED</t>
        </is>
      </c>
    </row>
    <row r="17765">
      <c r="A17765" s="8" t="inlineStr">
        <is>
          <t>2026-08-04</t>
        </is>
      </c>
      <c r="B17765" s="8" t="n">
        <v>0</v>
      </c>
      <c r="C17765" s="8" t="n">
        <v>14</v>
      </c>
      <c r="D17765" s="8" t="inlineStr">
        <is>
          <t>Disneyland Park</t>
        </is>
      </c>
      <c r="E17765" s="8" t="inlineStr">
        <is>
          <t>Peter Pan's Flight</t>
        </is>
      </c>
      <c r="F17765" s="8" t="inlineStr">
        <is>
          <t>STANDBY</t>
        </is>
      </c>
      <c r="G17765" s="8" t="n">
        <v>0</v>
      </c>
      <c r="H17765" s="8" t="inlineStr">
        <is>
          <t>CLOSED</t>
        </is>
      </c>
    </row>
    <row r="17766">
      <c r="A17766" s="8" t="inlineStr">
        <is>
          <t>2026-08-04</t>
        </is>
      </c>
      <c r="B17766" s="8" t="n">
        <v>0</v>
      </c>
      <c r="C17766" s="8" t="n">
        <v>14</v>
      </c>
      <c r="D17766" s="8" t="inlineStr">
        <is>
          <t>Disneyland Park</t>
        </is>
      </c>
      <c r="E17766" s="8" t="inlineStr">
        <is>
          <t>Princess Pavilion</t>
        </is>
      </c>
      <c r="F17766" s="8" t="inlineStr">
        <is>
          <t>STANDBY</t>
        </is>
      </c>
      <c r="G17766" s="8" t="n">
        <v>0</v>
      </c>
      <c r="H17766" s="8" t="inlineStr">
        <is>
          <t>CLOSED</t>
        </is>
      </c>
    </row>
    <row r="17767">
      <c r="A17767" s="8" t="inlineStr">
        <is>
          <t>2026-08-04</t>
        </is>
      </c>
      <c r="B17767" s="8" t="n">
        <v>0</v>
      </c>
      <c r="C17767" s="8" t="n">
        <v>14</v>
      </c>
      <c r="D17767" s="8" t="inlineStr">
        <is>
          <t>Disneyland Park</t>
        </is>
      </c>
      <c r="E17767" s="8" t="inlineStr">
        <is>
          <t>Big Thunder Mountain</t>
        </is>
      </c>
      <c r="F17767" s="8" t="inlineStr">
        <is>
          <t>STANDBY</t>
        </is>
      </c>
      <c r="G17767" s="8" t="n">
        <v>0</v>
      </c>
      <c r="H17767" s="8" t="inlineStr">
        <is>
          <t>CLOSED</t>
        </is>
      </c>
    </row>
    <row r="17768">
      <c r="A17768" s="8" t="inlineStr">
        <is>
          <t>2026-08-04</t>
        </is>
      </c>
      <c r="B17768" s="8" t="n">
        <v>0</v>
      </c>
      <c r="C17768" s="8" t="n">
        <v>14</v>
      </c>
      <c r="D17768" s="8" t="inlineStr">
        <is>
          <t>Disneyland Park</t>
        </is>
      </c>
      <c r="E17768" s="8" t="inlineStr">
        <is>
          <t>Disneyland Railroad Frontierland Depot</t>
        </is>
      </c>
      <c r="F17768" s="8" t="inlineStr">
        <is>
          <t>STANDBY</t>
        </is>
      </c>
      <c r="G17768" s="8" t="n">
        <v>0</v>
      </c>
      <c r="H17768" s="8" t="inlineStr">
        <is>
          <t>CLOSED</t>
        </is>
      </c>
    </row>
    <row r="17769">
      <c r="A17769" s="8" t="inlineStr">
        <is>
          <t>2026-08-04</t>
        </is>
      </c>
      <c r="B17769" s="8" t="n">
        <v>0</v>
      </c>
      <c r="C17769" s="8" t="n">
        <v>14</v>
      </c>
      <c r="D17769" s="8" t="inlineStr">
        <is>
          <t>Disneyland Park</t>
        </is>
      </c>
      <c r="E17769" s="8" t="inlineStr">
        <is>
          <t>Frontierland Playground</t>
        </is>
      </c>
      <c r="F17769" s="8" t="inlineStr">
        <is>
          <t>STANDBY</t>
        </is>
      </c>
      <c r="G17769" s="8" t="n">
        <v>0</v>
      </c>
      <c r="H17769" s="8" t="inlineStr">
        <is>
          <t>CLOSED</t>
        </is>
      </c>
    </row>
    <row r="17770">
      <c r="A17770" s="8" t="inlineStr">
        <is>
          <t>2026-08-04</t>
        </is>
      </c>
      <c r="B17770" s="8" t="n">
        <v>0</v>
      </c>
      <c r="C17770" s="8" t="n">
        <v>14</v>
      </c>
      <c r="D17770" s="8" t="inlineStr">
        <is>
          <t>Disneyland Park</t>
        </is>
      </c>
      <c r="E17770" s="8" t="inlineStr">
        <is>
          <t>Phantom Manor</t>
        </is>
      </c>
      <c r="F17770" s="8" t="inlineStr">
        <is>
          <t>STANDBY</t>
        </is>
      </c>
      <c r="G17770" s="8" t="n">
        <v>0</v>
      </c>
      <c r="H17770" s="8" t="inlineStr">
        <is>
          <t>CLOSED</t>
        </is>
      </c>
    </row>
    <row r="17771">
      <c r="A17771" s="8" t="inlineStr">
        <is>
          <t>2026-08-04</t>
        </is>
      </c>
      <c r="B17771" s="8" t="n">
        <v>0</v>
      </c>
      <c r="C17771" s="8" t="n">
        <v>14</v>
      </c>
      <c r="D17771" s="8" t="inlineStr">
        <is>
          <t>Disneyland Park</t>
        </is>
      </c>
      <c r="E17771" s="8" t="inlineStr">
        <is>
          <t>River Rogue Keelboats</t>
        </is>
      </c>
      <c r="F17771" s="8" t="inlineStr">
        <is>
          <t>STANDBY</t>
        </is>
      </c>
      <c r="G17771" s="8" t="n">
        <v>0</v>
      </c>
      <c r="H17771" s="8" t="inlineStr">
        <is>
          <t>CLOSED</t>
        </is>
      </c>
    </row>
    <row r="17772">
      <c r="A17772" s="8" t="inlineStr">
        <is>
          <t>2026-08-04</t>
        </is>
      </c>
      <c r="B17772" s="8" t="n">
        <v>0</v>
      </c>
      <c r="C17772" s="8" t="n">
        <v>14</v>
      </c>
      <c r="D17772" s="8" t="inlineStr">
        <is>
          <t>Disneyland Park</t>
        </is>
      </c>
      <c r="E17772" s="8" t="inlineStr">
        <is>
          <t>Rustler Roundup Shootin' Gallery</t>
        </is>
      </c>
      <c r="F17772" s="8" t="inlineStr">
        <is>
          <t>STANDBY</t>
        </is>
      </c>
      <c r="G17772" s="8" t="n">
        <v>0</v>
      </c>
      <c r="H17772" s="8" t="inlineStr">
        <is>
          <t>CLOSED</t>
        </is>
      </c>
    </row>
    <row r="17773">
      <c r="A17773" s="8" t="inlineStr">
        <is>
          <t>2026-08-04</t>
        </is>
      </c>
      <c r="B17773" s="8" t="n">
        <v>0</v>
      </c>
      <c r="C17773" s="8" t="n">
        <v>14</v>
      </c>
      <c r="D17773" s="8" t="inlineStr">
        <is>
          <t>Disneyland Park</t>
        </is>
      </c>
      <c r="E17773" s="8" t="inlineStr">
        <is>
          <t>Thunder Mesa Riverboat Landing</t>
        </is>
      </c>
      <c r="F17773" s="8" t="inlineStr">
        <is>
          <t>STANDBY</t>
        </is>
      </c>
      <c r="G17773" s="8" t="n">
        <v>0</v>
      </c>
      <c r="H17773" s="8" t="inlineStr">
        <is>
          <t>CLOSED</t>
        </is>
      </c>
    </row>
    <row r="17774">
      <c r="A17774" s="8" t="inlineStr">
        <is>
          <t>2026-08-04</t>
        </is>
      </c>
      <c r="B17774" s="8" t="n">
        <v>0</v>
      </c>
      <c r="C17774" s="8" t="n">
        <v>14</v>
      </c>
      <c r="D17774" s="8" t="inlineStr">
        <is>
          <t>Disneyland Park</t>
        </is>
      </c>
      <c r="E17774" s="8" t="inlineStr">
        <is>
          <t>Disneyland Railroad Main Street Station</t>
        </is>
      </c>
      <c r="F17774" s="8" t="inlineStr">
        <is>
          <t>STANDBY</t>
        </is>
      </c>
      <c r="G17774" s="8" t="n">
        <v>0</v>
      </c>
      <c r="H17774" s="8" t="inlineStr">
        <is>
          <t>CLOSED</t>
        </is>
      </c>
    </row>
    <row r="17775">
      <c r="A17775" s="8" t="inlineStr">
        <is>
          <t>2026-08-04</t>
        </is>
      </c>
      <c r="B17775" s="8" t="n">
        <v>0</v>
      </c>
      <c r="C17775" s="8" t="n">
        <v>14</v>
      </c>
      <c r="D17775" s="8" t="inlineStr">
        <is>
          <t>Disneyland Park</t>
        </is>
      </c>
      <c r="E17775" s="8" t="inlineStr">
        <is>
          <t>Main Street Vehicles</t>
        </is>
      </c>
      <c r="F17775" s="8" t="inlineStr">
        <is>
          <t>STANDBY</t>
        </is>
      </c>
      <c r="G17775" s="8" t="n">
        <v>0</v>
      </c>
      <c r="H17775" s="8" t="inlineStr">
        <is>
          <t>CLOSED</t>
        </is>
      </c>
    </row>
    <row r="17776">
      <c r="A17776" s="8" t="inlineStr">
        <is>
          <t>2026-08-04</t>
        </is>
      </c>
      <c r="B17776" s="8" t="n">
        <v>0</v>
      </c>
      <c r="C17776" s="8" t="n">
        <v>14</v>
      </c>
      <c r="D17776" s="8" t="inlineStr">
        <is>
          <t>Disney Adventure World</t>
        </is>
      </c>
      <c r="E17776" s="8" t="inlineStr">
        <is>
          <t>Avengers Assemble: Flight Force</t>
        </is>
      </c>
      <c r="F17776" s="8" t="inlineStr">
        <is>
          <t>STANDBY</t>
        </is>
      </c>
      <c r="G17776" s="8" t="n">
        <v>0</v>
      </c>
      <c r="H17776" s="8" t="inlineStr">
        <is>
          <t>CLOSED</t>
        </is>
      </c>
    </row>
    <row r="17777">
      <c r="A17777" s="8" t="inlineStr">
        <is>
          <t>2026-08-04</t>
        </is>
      </c>
      <c r="B17777" s="8" t="n">
        <v>0</v>
      </c>
      <c r="C17777" s="8" t="n">
        <v>14</v>
      </c>
      <c r="D17777" s="8" t="inlineStr">
        <is>
          <t>Disney Adventure World</t>
        </is>
      </c>
      <c r="E17777" s="8" t="inlineStr">
        <is>
          <t>Avengers Assemble: Flight Force Single Rider</t>
        </is>
      </c>
      <c r="F17777" s="8" t="inlineStr">
        <is>
          <t>STANDBY</t>
        </is>
      </c>
      <c r="G17777" s="8" t="n">
        <v>0</v>
      </c>
      <c r="H17777" s="8" t="inlineStr">
        <is>
          <t>CLOSED</t>
        </is>
      </c>
    </row>
    <row r="17778">
      <c r="A17778" s="8" t="inlineStr">
        <is>
          <t>2026-08-04</t>
        </is>
      </c>
      <c r="B17778" s="8" t="n">
        <v>0</v>
      </c>
      <c r="C17778" s="8" t="n">
        <v>14</v>
      </c>
      <c r="D17778" s="8" t="inlineStr">
        <is>
          <t>Disney Adventure World</t>
        </is>
      </c>
      <c r="E17778" s="8" t="inlineStr">
        <is>
          <t>Spider-Man W.E.B. Adventure</t>
        </is>
      </c>
      <c r="F17778" s="8" t="inlineStr">
        <is>
          <t>STANDBY</t>
        </is>
      </c>
      <c r="G17778" s="8" t="n">
        <v>0</v>
      </c>
      <c r="H17778" s="8" t="inlineStr">
        <is>
          <t>CLOSED</t>
        </is>
      </c>
    </row>
    <row r="17779">
      <c r="A17779" s="8" t="inlineStr">
        <is>
          <t>2026-08-04</t>
        </is>
      </c>
      <c r="B17779" s="8" t="n">
        <v>0</v>
      </c>
      <c r="C17779" s="8" t="n">
        <v>14</v>
      </c>
      <c r="D17779" s="8" t="inlineStr">
        <is>
          <t>Disney Adventure World</t>
        </is>
      </c>
      <c r="E17779" s="8" t="inlineStr">
        <is>
          <t>Spider-Man W.E.B. Adventure Single Rider</t>
        </is>
      </c>
      <c r="F17779" s="8" t="inlineStr">
        <is>
          <t>STANDBY</t>
        </is>
      </c>
      <c r="G17779" s="8" t="n">
        <v>0</v>
      </c>
      <c r="H17779" s="8" t="inlineStr">
        <is>
          <t>CLOSED</t>
        </is>
      </c>
    </row>
    <row r="17780">
      <c r="A17780" s="8" t="inlineStr">
        <is>
          <t>2026-08-04</t>
        </is>
      </c>
      <c r="B17780" s="8" t="n">
        <v>0</v>
      </c>
      <c r="C17780" s="8" t="n">
        <v>14</v>
      </c>
      <c r="D17780" s="8" t="inlineStr">
        <is>
          <t>Disney Adventure World</t>
        </is>
      </c>
      <c r="E17780" s="8" t="inlineStr">
        <is>
          <t>The Twilight Zone Tower of Terror</t>
        </is>
      </c>
      <c r="F17780" s="8" t="inlineStr">
        <is>
          <t>STANDBY</t>
        </is>
      </c>
      <c r="G17780" s="8" t="n">
        <v>0</v>
      </c>
      <c r="H17780" s="8" t="inlineStr">
        <is>
          <t>CLOSED</t>
        </is>
      </c>
    </row>
    <row r="17781">
      <c r="A17781" s="8" t="inlineStr">
        <is>
          <t>2026-08-04</t>
        </is>
      </c>
      <c r="B17781" s="8" t="n">
        <v>0</v>
      </c>
      <c r="C17781" s="8" t="n">
        <v>14</v>
      </c>
      <c r="D17781" s="8" t="inlineStr">
        <is>
          <t>Disney Adventure World</t>
        </is>
      </c>
      <c r="E17781" s="8" t="inlineStr">
        <is>
          <t>Cars Quatre Roues Rallye</t>
        </is>
      </c>
      <c r="F17781" s="8" t="inlineStr">
        <is>
          <t>STANDBY</t>
        </is>
      </c>
      <c r="G17781" s="8" t="n">
        <v>0</v>
      </c>
      <c r="H17781" s="8" t="inlineStr">
        <is>
          <t>CLOSED</t>
        </is>
      </c>
    </row>
    <row r="17782">
      <c r="A17782" s="8" t="inlineStr">
        <is>
          <t>2026-08-04</t>
        </is>
      </c>
      <c r="B17782" s="8" t="n">
        <v>0</v>
      </c>
      <c r="C17782" s="8" t="n">
        <v>14</v>
      </c>
      <c r="D17782" s="8" t="inlineStr">
        <is>
          <t>Disney Adventure World</t>
        </is>
      </c>
      <c r="E17782" s="8" t="inlineStr">
        <is>
          <t>Cars ROAD TRIP</t>
        </is>
      </c>
      <c r="F17782" s="8" t="inlineStr">
        <is>
          <t>STANDBY</t>
        </is>
      </c>
      <c r="G17782" s="8" t="n">
        <v>0</v>
      </c>
      <c r="H17782" s="8" t="inlineStr">
        <is>
          <t>CLOSED</t>
        </is>
      </c>
    </row>
    <row r="17783">
      <c r="A17783" s="8" t="inlineStr">
        <is>
          <t>2026-08-04</t>
        </is>
      </c>
      <c r="B17783" s="8" t="n">
        <v>0</v>
      </c>
      <c r="C17783" s="8" t="n">
        <v>14</v>
      </c>
      <c r="D17783" s="8" t="inlineStr">
        <is>
          <t>Disney Adventure World</t>
        </is>
      </c>
      <c r="E17783" s="8" t="inlineStr">
        <is>
          <t>Crush's Coaster</t>
        </is>
      </c>
      <c r="F17783" s="8" t="inlineStr">
        <is>
          <t>STANDBY</t>
        </is>
      </c>
      <c r="G17783" s="8" t="n">
        <v>0</v>
      </c>
      <c r="H17783" s="8" t="inlineStr">
        <is>
          <t>CLOSED</t>
        </is>
      </c>
    </row>
    <row r="17784">
      <c r="A17784" s="8" t="inlineStr">
        <is>
          <t>2026-08-04</t>
        </is>
      </c>
      <c r="B17784" s="8" t="n">
        <v>0</v>
      </c>
      <c r="C17784" s="8" t="n">
        <v>14</v>
      </c>
      <c r="D17784" s="8" t="inlineStr">
        <is>
          <t>Disney Adventure World</t>
        </is>
      </c>
      <c r="E17784" s="8" t="inlineStr">
        <is>
          <t>Crush's Coaster Single Rider</t>
        </is>
      </c>
      <c r="F17784" s="8" t="inlineStr">
        <is>
          <t>STANDBY</t>
        </is>
      </c>
      <c r="G17784" s="8" t="n">
        <v>0</v>
      </c>
      <c r="H17784" s="8" t="inlineStr">
        <is>
          <t>CLOSED</t>
        </is>
      </c>
    </row>
    <row r="17785">
      <c r="A17785" s="8" t="inlineStr">
        <is>
          <t>2026-08-04</t>
        </is>
      </c>
      <c r="B17785" s="8" t="n">
        <v>0</v>
      </c>
      <c r="C17785" s="8" t="n">
        <v>14</v>
      </c>
      <c r="D17785" s="8" t="inlineStr">
        <is>
          <t>Disney Adventure World</t>
        </is>
      </c>
      <c r="E17785" s="8" t="inlineStr">
        <is>
          <t>Les Tapis Volants - Flying Carpets Over Agrabah®</t>
        </is>
      </c>
      <c r="F17785" s="8" t="inlineStr">
        <is>
          <t>STANDBY</t>
        </is>
      </c>
      <c r="G17785" s="8" t="n">
        <v>0</v>
      </c>
      <c r="H17785" s="8" t="inlineStr">
        <is>
          <t>CLOSED</t>
        </is>
      </c>
    </row>
    <row r="17786">
      <c r="A17786" s="8" t="inlineStr">
        <is>
          <t>2026-08-04</t>
        </is>
      </c>
      <c r="B17786" s="8" t="n">
        <v>0</v>
      </c>
      <c r="C17786" s="8" t="n">
        <v>14</v>
      </c>
      <c r="D17786" s="8" t="inlineStr">
        <is>
          <t>Disney Adventure World</t>
        </is>
      </c>
      <c r="E17786" s="8" t="inlineStr">
        <is>
          <t>Ratatouille : L’Aventure Totalement Toquée de Rémy​</t>
        </is>
      </c>
      <c r="F17786" s="8" t="inlineStr">
        <is>
          <t>STANDBY</t>
        </is>
      </c>
      <c r="G17786" s="8" t="n">
        <v>0</v>
      </c>
      <c r="H17786" s="8" t="inlineStr">
        <is>
          <t>CLOSED</t>
        </is>
      </c>
    </row>
    <row r="17787">
      <c r="A17787" s="8" t="inlineStr">
        <is>
          <t>2026-08-04</t>
        </is>
      </c>
      <c r="B17787" s="8" t="n">
        <v>0</v>
      </c>
      <c r="C17787" s="8" t="n">
        <v>14</v>
      </c>
      <c r="D17787" s="8" t="inlineStr">
        <is>
          <t>Disney Adventure World</t>
        </is>
      </c>
      <c r="E17787" s="8" t="inlineStr">
        <is>
          <t>Ratatouille: The Adventure Single Rider</t>
        </is>
      </c>
      <c r="F17787" s="8" t="inlineStr">
        <is>
          <t>STANDBY</t>
        </is>
      </c>
      <c r="G17787" s="8" t="n">
        <v>0</v>
      </c>
      <c r="H17787" s="8" t="inlineStr">
        <is>
          <t>CLOSED</t>
        </is>
      </c>
    </row>
    <row r="17788">
      <c r="A17788" s="8" t="inlineStr">
        <is>
          <t>2026-08-04</t>
        </is>
      </c>
      <c r="B17788" s="8" t="n">
        <v>0</v>
      </c>
      <c r="C17788" s="8" t="n">
        <v>14</v>
      </c>
      <c r="D17788" s="8" t="inlineStr">
        <is>
          <t>Disney Adventure World</t>
        </is>
      </c>
      <c r="E17788" s="8" t="inlineStr">
        <is>
          <t>RC Racer</t>
        </is>
      </c>
      <c r="F17788" s="8" t="inlineStr">
        <is>
          <t>STANDBY</t>
        </is>
      </c>
      <c r="G17788" s="8" t="n">
        <v>0</v>
      </c>
      <c r="H17788" s="8" t="inlineStr">
        <is>
          <t>CLOSED</t>
        </is>
      </c>
    </row>
    <row r="17789">
      <c r="A17789" s="8" t="inlineStr">
        <is>
          <t>2026-08-04</t>
        </is>
      </c>
      <c r="B17789" s="8" t="n">
        <v>0</v>
      </c>
      <c r="C17789" s="8" t="n">
        <v>14</v>
      </c>
      <c r="D17789" s="8" t="inlineStr">
        <is>
          <t>Disney Adventure World</t>
        </is>
      </c>
      <c r="E17789" s="8" t="inlineStr">
        <is>
          <t>RC Racer Single Rider</t>
        </is>
      </c>
      <c r="F17789" s="8" t="inlineStr">
        <is>
          <t>STANDBY</t>
        </is>
      </c>
      <c r="G17789" s="8" t="n">
        <v>0</v>
      </c>
      <c r="H17789" s="8" t="inlineStr">
        <is>
          <t>CLOSED</t>
        </is>
      </c>
    </row>
    <row r="17790">
      <c r="A17790" s="8" t="inlineStr">
        <is>
          <t>2026-08-04</t>
        </is>
      </c>
      <c r="B17790" s="8" t="n">
        <v>0</v>
      </c>
      <c r="C17790" s="8" t="n">
        <v>14</v>
      </c>
      <c r="D17790" s="8" t="inlineStr">
        <is>
          <t>Disney Adventure World</t>
        </is>
      </c>
      <c r="E17790" s="8" t="inlineStr">
        <is>
          <t>Slinky® Dog Zigzag Spin</t>
        </is>
      </c>
      <c r="F17790" s="8" t="inlineStr">
        <is>
          <t>STANDBY</t>
        </is>
      </c>
      <c r="G17790" s="8" t="n">
        <v>0</v>
      </c>
      <c r="H17790" s="8" t="inlineStr">
        <is>
          <t>CLOSED</t>
        </is>
      </c>
    </row>
    <row r="17791">
      <c r="A17791" s="8" t="inlineStr">
        <is>
          <t>2026-08-04</t>
        </is>
      </c>
      <c r="B17791" s="8" t="n">
        <v>0</v>
      </c>
      <c r="C17791" s="8" t="n">
        <v>14</v>
      </c>
      <c r="D17791" s="8" t="inlineStr">
        <is>
          <t>Disney Adventure World</t>
        </is>
      </c>
      <c r="E17791" s="8" t="inlineStr">
        <is>
          <t>Toy Soldiers Parachute Drop</t>
        </is>
      </c>
      <c r="F17791" s="8" t="inlineStr">
        <is>
          <t>STANDBY</t>
        </is>
      </c>
      <c r="G17791" s="8" t="n">
        <v>0</v>
      </c>
      <c r="H17791" s="8" t="inlineStr">
        <is>
          <t>CLOSED</t>
        </is>
      </c>
    </row>
    <row r="17792">
      <c r="A17792" s="8" t="inlineStr">
        <is>
          <t>2026-08-04</t>
        </is>
      </c>
      <c r="B17792" s="8" t="n">
        <v>0</v>
      </c>
      <c r="C17792" s="8" t="n">
        <v>14</v>
      </c>
      <c r="D17792" s="8" t="inlineStr">
        <is>
          <t>Disney Adventure World</t>
        </is>
      </c>
      <c r="E17792" s="8" t="inlineStr">
        <is>
          <t>Toy Soldiers Parachute Drop Single Rider</t>
        </is>
      </c>
      <c r="F17792" s="8" t="inlineStr">
        <is>
          <t>STANDBY</t>
        </is>
      </c>
      <c r="G17792" s="8" t="n">
        <v>0</v>
      </c>
      <c r="H17792" s="8" t="inlineStr">
        <is>
          <t>CLOSED</t>
        </is>
      </c>
    </row>
    <row r="17793">
      <c r="A17793" s="8" t="inlineStr">
        <is>
          <t>2026-08-04</t>
        </is>
      </c>
      <c r="B17793" s="8" t="n">
        <v>0</v>
      </c>
      <c r="C17793" s="8" t="n">
        <v>14</v>
      </c>
      <c r="D17793" s="8" t="inlineStr">
        <is>
          <t>Disney Adventure World</t>
        </is>
      </c>
      <c r="E17793" s="8" t="inlineStr">
        <is>
          <t>Entry to World of Frozen</t>
        </is>
      </c>
      <c r="F17793" s="8" t="inlineStr">
        <is>
          <t>STANDBY</t>
        </is>
      </c>
      <c r="G17793" s="8" t="n">
        <v>0</v>
      </c>
      <c r="H17793" s="8" t="inlineStr">
        <is>
          <t>CLOSED</t>
        </is>
      </c>
    </row>
    <row r="17794">
      <c r="A17794" s="8" t="inlineStr">
        <is>
          <t>2026-08-04</t>
        </is>
      </c>
      <c r="B17794" s="8" t="n">
        <v>0</v>
      </c>
      <c r="C17794" s="8" t="n">
        <v>14</v>
      </c>
      <c r="D17794" s="8" t="inlineStr">
        <is>
          <t>Disney Adventure World</t>
        </is>
      </c>
      <c r="E17794" s="8" t="inlineStr">
        <is>
          <t>Frozen Ever After</t>
        </is>
      </c>
      <c r="F17794" s="8" t="inlineStr">
        <is>
          <t>STANDBY</t>
        </is>
      </c>
      <c r="G17794" s="8" t="n">
        <v>0</v>
      </c>
      <c r="H17794" s="8" t="inlineStr">
        <is>
          <t>CLOSED</t>
        </is>
      </c>
    </row>
    <row r="17795">
      <c r="A17795" s="8" t="inlineStr">
        <is>
          <t>2026-08-04</t>
        </is>
      </c>
      <c r="B17795" s="8" t="n">
        <v>0</v>
      </c>
      <c r="C17795" s="8" t="n">
        <v>14</v>
      </c>
      <c r="D17795" s="8" t="inlineStr">
        <is>
          <t>Disney Adventure World</t>
        </is>
      </c>
      <c r="E17795" s="8" t="inlineStr">
        <is>
          <t>Raiponce Tangled Spin</t>
        </is>
      </c>
      <c r="F17795" s="8" t="inlineStr">
        <is>
          <t>STANDBY</t>
        </is>
      </c>
      <c r="G17795" s="8" t="n">
        <v>0</v>
      </c>
      <c r="H17795" s="8" t="inlineStr">
        <is>
          <t>CLOSED</t>
        </is>
      </c>
    </row>
    <row r="17796">
      <c r="A17796" s="8" t="inlineStr">
        <is>
          <t>2026-08-04</t>
        </is>
      </c>
      <c r="B17796" s="8" t="n">
        <v>0</v>
      </c>
      <c r="C17796" s="8" t="n">
        <v>15</v>
      </c>
      <c r="D17796" s="8" t="inlineStr">
        <is>
          <t>Disneyland Park</t>
        </is>
      </c>
      <c r="E17796" s="8" t="inlineStr">
        <is>
          <t>Adventure Isle</t>
        </is>
      </c>
      <c r="F17796" s="8" t="inlineStr">
        <is>
          <t>STANDBY</t>
        </is>
      </c>
      <c r="G17796" s="8" t="n">
        <v>0</v>
      </c>
      <c r="H17796" s="8" t="inlineStr">
        <is>
          <t>CLOSED</t>
        </is>
      </c>
    </row>
    <row r="17797">
      <c r="A17797" s="8" t="inlineStr">
        <is>
          <t>2026-08-04</t>
        </is>
      </c>
      <c r="B17797" s="8" t="n">
        <v>0</v>
      </c>
      <c r="C17797" s="8" t="n">
        <v>15</v>
      </c>
      <c r="D17797" s="8" t="inlineStr">
        <is>
          <t>Disneyland Park</t>
        </is>
      </c>
      <c r="E17797" s="8" t="inlineStr">
        <is>
          <t>Indiana Jones and the Temple of Peril Single Rider</t>
        </is>
      </c>
      <c r="F17797" s="8" t="inlineStr">
        <is>
          <t>STANDBY</t>
        </is>
      </c>
      <c r="G17797" s="8" t="n">
        <v>0</v>
      </c>
      <c r="H17797" s="8" t="inlineStr">
        <is>
          <t>CLOSED</t>
        </is>
      </c>
    </row>
    <row r="17798">
      <c r="A17798" s="8" t="inlineStr">
        <is>
          <t>2026-08-04</t>
        </is>
      </c>
      <c r="B17798" s="8" t="n">
        <v>0</v>
      </c>
      <c r="C17798" s="8" t="n">
        <v>15</v>
      </c>
      <c r="D17798" s="8" t="inlineStr">
        <is>
          <t>Disneyland Park</t>
        </is>
      </c>
      <c r="E17798" s="8" t="inlineStr">
        <is>
          <t>Indiana Jones™ and the Temple of Peril</t>
        </is>
      </c>
      <c r="F17798" s="8" t="inlineStr">
        <is>
          <t>STANDBY</t>
        </is>
      </c>
      <c r="G17798" s="8" t="n">
        <v>0</v>
      </c>
      <c r="H17798" s="8" t="inlineStr">
        <is>
          <t>CLOSED</t>
        </is>
      </c>
    </row>
    <row r="17799">
      <c r="A17799" s="8" t="inlineStr">
        <is>
          <t>2026-08-04</t>
        </is>
      </c>
      <c r="B17799" s="8" t="n">
        <v>0</v>
      </c>
      <c r="C17799" s="8" t="n">
        <v>15</v>
      </c>
      <c r="D17799" s="8" t="inlineStr">
        <is>
          <t>Disneyland Park</t>
        </is>
      </c>
      <c r="E17799" s="8" t="inlineStr">
        <is>
          <t>La Cabane des Robinson</t>
        </is>
      </c>
      <c r="F17799" s="8" t="inlineStr">
        <is>
          <t>STANDBY</t>
        </is>
      </c>
      <c r="G17799" s="8" t="n">
        <v>0</v>
      </c>
      <c r="H17799" s="8" t="inlineStr">
        <is>
          <t>CLOSED</t>
        </is>
      </c>
    </row>
    <row r="17800">
      <c r="A17800" s="8" t="inlineStr">
        <is>
          <t>2026-08-04</t>
        </is>
      </c>
      <c r="B17800" s="8" t="n">
        <v>0</v>
      </c>
      <c r="C17800" s="8" t="n">
        <v>15</v>
      </c>
      <c r="D17800" s="8" t="inlineStr">
        <is>
          <t>Disneyland Park</t>
        </is>
      </c>
      <c r="E17800" s="8" t="inlineStr">
        <is>
          <t>Le Passage Enchanté d'Aladdin</t>
        </is>
      </c>
      <c r="F17800" s="8" t="inlineStr">
        <is>
          <t>STANDBY</t>
        </is>
      </c>
      <c r="G17800" s="8" t="n">
        <v>0</v>
      </c>
      <c r="H17800" s="8" t="inlineStr">
        <is>
          <t>CLOSED</t>
        </is>
      </c>
    </row>
    <row r="17801">
      <c r="A17801" s="8" t="inlineStr">
        <is>
          <t>2026-08-04</t>
        </is>
      </c>
      <c r="B17801" s="8" t="n">
        <v>0</v>
      </c>
      <c r="C17801" s="8" t="n">
        <v>15</v>
      </c>
      <c r="D17801" s="8" t="inlineStr">
        <is>
          <t>Disneyland Park</t>
        </is>
      </c>
      <c r="E17801" s="8" t="inlineStr">
        <is>
          <t>Pirate Galleon</t>
        </is>
      </c>
      <c r="F17801" s="8" t="inlineStr">
        <is>
          <t>STANDBY</t>
        </is>
      </c>
      <c r="G17801" s="8" t="n">
        <v>0</v>
      </c>
      <c r="H17801" s="8" t="inlineStr">
        <is>
          <t>CLOSED</t>
        </is>
      </c>
    </row>
    <row r="17802">
      <c r="A17802" s="8" t="inlineStr">
        <is>
          <t>2026-08-04</t>
        </is>
      </c>
      <c r="B17802" s="8" t="n">
        <v>0</v>
      </c>
      <c r="C17802" s="8" t="n">
        <v>15</v>
      </c>
      <c r="D17802" s="8" t="inlineStr">
        <is>
          <t>Disneyland Park</t>
        </is>
      </c>
      <c r="E17802" s="8" t="inlineStr">
        <is>
          <t>Pirates of the Caribbean</t>
        </is>
      </c>
      <c r="F17802" s="8" t="inlineStr">
        <is>
          <t>STANDBY</t>
        </is>
      </c>
      <c r="G17802" s="8" t="n">
        <v>0</v>
      </c>
      <c r="H17802" s="8" t="inlineStr">
        <is>
          <t>CLOSED</t>
        </is>
      </c>
    </row>
    <row r="17803">
      <c r="A17803" s="8" t="inlineStr">
        <is>
          <t>2026-08-04</t>
        </is>
      </c>
      <c r="B17803" s="8" t="n">
        <v>0</v>
      </c>
      <c r="C17803" s="8" t="n">
        <v>15</v>
      </c>
      <c r="D17803" s="8" t="inlineStr">
        <is>
          <t>Disneyland Park</t>
        </is>
      </c>
      <c r="E17803" s="8" t="inlineStr">
        <is>
          <t>Pirates' Beach</t>
        </is>
      </c>
      <c r="F17803" s="8" t="inlineStr">
        <is>
          <t>STANDBY</t>
        </is>
      </c>
      <c r="G17803" s="8" t="n">
        <v>0</v>
      </c>
      <c r="H17803" s="8" t="inlineStr">
        <is>
          <t>CLOSED</t>
        </is>
      </c>
    </row>
    <row r="17804">
      <c r="A17804" s="8" t="inlineStr">
        <is>
          <t>2026-08-04</t>
        </is>
      </c>
      <c r="B17804" s="8" t="n">
        <v>0</v>
      </c>
      <c r="C17804" s="8" t="n">
        <v>15</v>
      </c>
      <c r="D17804" s="8" t="inlineStr">
        <is>
          <t>Disneyland Park</t>
        </is>
      </c>
      <c r="E17804" s="8" t="inlineStr">
        <is>
          <t>Autopia, presented by Avis</t>
        </is>
      </c>
      <c r="F17804" s="8" t="inlineStr">
        <is>
          <t>STANDBY</t>
        </is>
      </c>
      <c r="G17804" s="8" t="n">
        <v>0</v>
      </c>
      <c r="H17804" s="8" t="inlineStr">
        <is>
          <t>CLOSED</t>
        </is>
      </c>
    </row>
    <row r="17805">
      <c r="A17805" s="8" t="inlineStr">
        <is>
          <t>2026-08-04</t>
        </is>
      </c>
      <c r="B17805" s="8" t="n">
        <v>0</v>
      </c>
      <c r="C17805" s="8" t="n">
        <v>15</v>
      </c>
      <c r="D17805" s="8" t="inlineStr">
        <is>
          <t>Disneyland Park</t>
        </is>
      </c>
      <c r="E17805" s="8" t="inlineStr">
        <is>
          <t>Buzz Lightyear Laser Blast</t>
        </is>
      </c>
      <c r="F17805" s="8" t="inlineStr">
        <is>
          <t>STANDBY</t>
        </is>
      </c>
      <c r="G17805" s="8" t="n">
        <v>0</v>
      </c>
      <c r="H17805" s="8" t="inlineStr">
        <is>
          <t>CLOSED</t>
        </is>
      </c>
    </row>
    <row r="17806">
      <c r="A17806" s="8" t="inlineStr">
        <is>
          <t>2026-08-04</t>
        </is>
      </c>
      <c r="B17806" s="8" t="n">
        <v>0</v>
      </c>
      <c r="C17806" s="8" t="n">
        <v>15</v>
      </c>
      <c r="D17806" s="8" t="inlineStr">
        <is>
          <t>Disneyland Park</t>
        </is>
      </c>
      <c r="E17806" s="8" t="inlineStr">
        <is>
          <t>Disneyland Railroad Discoveryland Station</t>
        </is>
      </c>
      <c r="F17806" s="8" t="inlineStr">
        <is>
          <t>STANDBY</t>
        </is>
      </c>
      <c r="G17806" s="8" t="n">
        <v>0</v>
      </c>
      <c r="H17806" s="8" t="inlineStr">
        <is>
          <t>CLOSED</t>
        </is>
      </c>
    </row>
    <row r="17807">
      <c r="A17807" s="8" t="inlineStr">
        <is>
          <t>2026-08-04</t>
        </is>
      </c>
      <c r="B17807" s="8" t="n">
        <v>0</v>
      </c>
      <c r="C17807" s="8" t="n">
        <v>15</v>
      </c>
      <c r="D17807" s="8" t="inlineStr">
        <is>
          <t>Disneyland Park</t>
        </is>
      </c>
      <c r="E17807" s="8" t="inlineStr">
        <is>
          <t>Les Mystères du Nautilus</t>
        </is>
      </c>
      <c r="F17807" s="8" t="inlineStr">
        <is>
          <t>STANDBY</t>
        </is>
      </c>
      <c r="G17807" s="8" t="n">
        <v>0</v>
      </c>
      <c r="H17807" s="8" t="inlineStr">
        <is>
          <t>CLOSED</t>
        </is>
      </c>
    </row>
    <row r="17808">
      <c r="A17808" s="8" t="inlineStr">
        <is>
          <t>2026-08-04</t>
        </is>
      </c>
      <c r="B17808" s="8" t="n">
        <v>0</v>
      </c>
      <c r="C17808" s="8" t="n">
        <v>15</v>
      </c>
      <c r="D17808" s="8" t="inlineStr">
        <is>
          <t>Disneyland Park</t>
        </is>
      </c>
      <c r="E17808" s="8" t="inlineStr">
        <is>
          <t>Mickey’s PhilharMagic</t>
        </is>
      </c>
      <c r="F17808" s="8" t="inlineStr">
        <is>
          <t>STANDBY</t>
        </is>
      </c>
      <c r="G17808" s="8" t="n">
        <v>0</v>
      </c>
      <c r="H17808" s="8" t="inlineStr">
        <is>
          <t>CLOSED</t>
        </is>
      </c>
    </row>
    <row r="17809">
      <c r="A17809" s="8" t="inlineStr">
        <is>
          <t>2026-08-04</t>
        </is>
      </c>
      <c r="B17809" s="8" t="n">
        <v>0</v>
      </c>
      <c r="C17809" s="8" t="n">
        <v>15</v>
      </c>
      <c r="D17809" s="8" t="inlineStr">
        <is>
          <t>Disneyland Park</t>
        </is>
      </c>
      <c r="E17809" s="8" t="inlineStr">
        <is>
          <t>Orbitron®</t>
        </is>
      </c>
      <c r="F17809" s="8" t="inlineStr">
        <is>
          <t>STANDBY</t>
        </is>
      </c>
      <c r="G17809" s="8" t="n">
        <v>0</v>
      </c>
      <c r="H17809" s="8" t="inlineStr">
        <is>
          <t>CLOSED</t>
        </is>
      </c>
    </row>
    <row r="17810">
      <c r="A17810" s="8" t="inlineStr">
        <is>
          <t>2026-08-04</t>
        </is>
      </c>
      <c r="B17810" s="8" t="n">
        <v>0</v>
      </c>
      <c r="C17810" s="8" t="n">
        <v>15</v>
      </c>
      <c r="D17810" s="8" t="inlineStr">
        <is>
          <t>Disneyland Park</t>
        </is>
      </c>
      <c r="E17810" s="8" t="inlineStr">
        <is>
          <t>Star Tours: The Adventures Continue*</t>
        </is>
      </c>
      <c r="F17810" s="8" t="inlineStr">
        <is>
          <t>STANDBY</t>
        </is>
      </c>
      <c r="G17810" s="8" t="n">
        <v>0</v>
      </c>
      <c r="H17810" s="8" t="inlineStr">
        <is>
          <t>CLOSED</t>
        </is>
      </c>
    </row>
    <row r="17811">
      <c r="A17811" s="8" t="inlineStr">
        <is>
          <t>2026-08-04</t>
        </is>
      </c>
      <c r="B17811" s="8" t="n">
        <v>0</v>
      </c>
      <c r="C17811" s="8" t="n">
        <v>15</v>
      </c>
      <c r="D17811" s="8" t="inlineStr">
        <is>
          <t>Disneyland Park</t>
        </is>
      </c>
      <c r="E17811" s="8" t="inlineStr">
        <is>
          <t>Star Wars Hyperspace Mountain</t>
        </is>
      </c>
      <c r="F17811" s="8" t="inlineStr">
        <is>
          <t>STANDBY</t>
        </is>
      </c>
      <c r="G17811" s="8" t="n">
        <v>0</v>
      </c>
      <c r="H17811" s="8" t="inlineStr">
        <is>
          <t>CLOSED</t>
        </is>
      </c>
    </row>
    <row r="17812">
      <c r="A17812" s="8" t="inlineStr">
        <is>
          <t>2026-08-04</t>
        </is>
      </c>
      <c r="B17812" s="8" t="n">
        <v>0</v>
      </c>
      <c r="C17812" s="8" t="n">
        <v>15</v>
      </c>
      <c r="D17812" s="8" t="inlineStr">
        <is>
          <t>Disneyland Park</t>
        </is>
      </c>
      <c r="E17812" s="8" t="inlineStr">
        <is>
          <t>Star Wars Hyperspace Mountain Single Rider</t>
        </is>
      </c>
      <c r="F17812" s="8" t="inlineStr">
        <is>
          <t>STANDBY</t>
        </is>
      </c>
      <c r="G17812" s="8" t="n">
        <v>0</v>
      </c>
      <c r="H17812" s="8" t="inlineStr">
        <is>
          <t>CLOSED</t>
        </is>
      </c>
    </row>
    <row r="17813">
      <c r="A17813" s="8" t="inlineStr">
        <is>
          <t>2026-08-04</t>
        </is>
      </c>
      <c r="B17813" s="8" t="n">
        <v>0</v>
      </c>
      <c r="C17813" s="8" t="n">
        <v>15</v>
      </c>
      <c r="D17813" s="8" t="inlineStr">
        <is>
          <t>Disneyland Park</t>
        </is>
      </c>
      <c r="E17813" s="8" t="inlineStr">
        <is>
          <t>Welcome to Starport: A Star Wars Encounter</t>
        </is>
      </c>
      <c r="F17813" s="8" t="inlineStr">
        <is>
          <t>STANDBY</t>
        </is>
      </c>
      <c r="G17813" s="8" t="n">
        <v>0</v>
      </c>
      <c r="H17813" s="8" t="inlineStr">
        <is>
          <t>CLOSED</t>
        </is>
      </c>
    </row>
    <row r="17814">
      <c r="A17814" s="8" t="inlineStr">
        <is>
          <t>2026-08-04</t>
        </is>
      </c>
      <c r="B17814" s="8" t="n">
        <v>0</v>
      </c>
      <c r="C17814" s="8" t="n">
        <v>15</v>
      </c>
      <c r="D17814" s="8" t="inlineStr">
        <is>
          <t>Disneyland Park</t>
        </is>
      </c>
      <c r="E17814" s="8" t="inlineStr">
        <is>
          <t>"it's a small world"</t>
        </is>
      </c>
      <c r="F17814" s="8" t="inlineStr">
        <is>
          <t>STANDBY</t>
        </is>
      </c>
      <c r="G17814" s="8" t="n">
        <v>0</v>
      </c>
      <c r="H17814" s="8" t="inlineStr">
        <is>
          <t>CLOSED</t>
        </is>
      </c>
    </row>
    <row r="17815">
      <c r="A17815" s="8" t="inlineStr">
        <is>
          <t>2026-08-04</t>
        </is>
      </c>
      <c r="B17815" s="8" t="n">
        <v>0</v>
      </c>
      <c r="C17815" s="8" t="n">
        <v>15</v>
      </c>
      <c r="D17815" s="8" t="inlineStr">
        <is>
          <t>Disneyland Park</t>
        </is>
      </c>
      <c r="E17815" s="8" t="inlineStr">
        <is>
          <t>Alice's Curious Labyrinth</t>
        </is>
      </c>
      <c r="F17815" s="8" t="inlineStr">
        <is>
          <t>STANDBY</t>
        </is>
      </c>
      <c r="G17815" s="8" t="n">
        <v>0</v>
      </c>
      <c r="H17815" s="8" t="inlineStr">
        <is>
          <t>CLOSED</t>
        </is>
      </c>
    </row>
    <row r="17816">
      <c r="A17816" s="8" t="inlineStr">
        <is>
          <t>2026-08-04</t>
        </is>
      </c>
      <c r="B17816" s="8" t="n">
        <v>0</v>
      </c>
      <c r="C17816" s="8" t="n">
        <v>15</v>
      </c>
      <c r="D17816" s="8" t="inlineStr">
        <is>
          <t>Disneyland Park</t>
        </is>
      </c>
      <c r="E17816" s="8" t="inlineStr">
        <is>
          <t>Blanche-Neige et les Sept Nains®</t>
        </is>
      </c>
      <c r="F17816" s="8" t="inlineStr">
        <is>
          <t>STANDBY</t>
        </is>
      </c>
      <c r="G17816" s="8" t="n">
        <v>0</v>
      </c>
      <c r="H17816" s="8" t="inlineStr">
        <is>
          <t>CLOSED</t>
        </is>
      </c>
    </row>
    <row r="17817">
      <c r="A17817" s="8" t="inlineStr">
        <is>
          <t>2026-08-04</t>
        </is>
      </c>
      <c r="B17817" s="8" t="n">
        <v>0</v>
      </c>
      <c r="C17817" s="8" t="n">
        <v>15</v>
      </c>
      <c r="D17817" s="8" t="inlineStr">
        <is>
          <t>Disneyland Park</t>
        </is>
      </c>
      <c r="E17817" s="8" t="inlineStr">
        <is>
          <t>Casey Jr. – le Petit Train du Cirque</t>
        </is>
      </c>
      <c r="F17817" s="8" t="inlineStr">
        <is>
          <t>STANDBY</t>
        </is>
      </c>
      <c r="G17817" s="8" t="n">
        <v>0</v>
      </c>
      <c r="H17817" s="8" t="inlineStr">
        <is>
          <t>CLOSED</t>
        </is>
      </c>
    </row>
    <row r="17818">
      <c r="A17818" s="8" t="inlineStr">
        <is>
          <t>2026-08-04</t>
        </is>
      </c>
      <c r="B17818" s="8" t="n">
        <v>0</v>
      </c>
      <c r="C17818" s="8" t="n">
        <v>15</v>
      </c>
      <c r="D17818" s="8" t="inlineStr">
        <is>
          <t>Disneyland Park</t>
        </is>
      </c>
      <c r="E17818" s="8" t="inlineStr">
        <is>
          <t>Disneyland Railroad Fantasyland Station</t>
        </is>
      </c>
      <c r="F17818" s="8" t="inlineStr">
        <is>
          <t>STANDBY</t>
        </is>
      </c>
      <c r="G17818" s="8" t="n">
        <v>0</v>
      </c>
      <c r="H17818" s="8" t="inlineStr">
        <is>
          <t>CLOSED</t>
        </is>
      </c>
    </row>
    <row r="17819">
      <c r="A17819" s="8" t="inlineStr">
        <is>
          <t>2026-08-04</t>
        </is>
      </c>
      <c r="B17819" s="8" t="n">
        <v>0</v>
      </c>
      <c r="C17819" s="8" t="n">
        <v>15</v>
      </c>
      <c r="D17819" s="8" t="inlineStr">
        <is>
          <t>Disneyland Park</t>
        </is>
      </c>
      <c r="E17819" s="8" t="inlineStr">
        <is>
          <t>Disneyland Railroad Main Street Station</t>
        </is>
      </c>
      <c r="F17819" s="8" t="inlineStr">
        <is>
          <t>STANDBY</t>
        </is>
      </c>
      <c r="G17819" s="8" t="n">
        <v>0</v>
      </c>
      <c r="H17819" s="8" t="inlineStr">
        <is>
          <t>CLOSED</t>
        </is>
      </c>
    </row>
    <row r="17820">
      <c r="A17820" s="8" t="inlineStr">
        <is>
          <t>2026-08-04</t>
        </is>
      </c>
      <c r="B17820" s="8" t="n">
        <v>0</v>
      </c>
      <c r="C17820" s="8" t="n">
        <v>15</v>
      </c>
      <c r="D17820" s="8" t="inlineStr">
        <is>
          <t>Disneyland Park</t>
        </is>
      </c>
      <c r="E17820" s="8" t="inlineStr">
        <is>
          <t>Dumbo the Flying Elephant</t>
        </is>
      </c>
      <c r="F17820" s="8" t="inlineStr">
        <is>
          <t>STANDBY</t>
        </is>
      </c>
      <c r="G17820" s="8" t="n">
        <v>0</v>
      </c>
      <c r="H17820" s="8" t="inlineStr">
        <is>
          <t>CLOSED</t>
        </is>
      </c>
    </row>
    <row r="17821">
      <c r="A17821" s="8" t="inlineStr">
        <is>
          <t>2026-08-04</t>
        </is>
      </c>
      <c r="B17821" s="8" t="n">
        <v>0</v>
      </c>
      <c r="C17821" s="8" t="n">
        <v>15</v>
      </c>
      <c r="D17821" s="8" t="inlineStr">
        <is>
          <t>Disneyland Park</t>
        </is>
      </c>
      <c r="E17821" s="8" t="inlineStr">
        <is>
          <t>La Tanière du Dragon</t>
        </is>
      </c>
      <c r="F17821" s="8" t="inlineStr">
        <is>
          <t>STANDBY</t>
        </is>
      </c>
      <c r="G17821" s="8" t="n">
        <v>0</v>
      </c>
      <c r="H17821" s="8" t="inlineStr">
        <is>
          <t>CLOSED</t>
        </is>
      </c>
    </row>
    <row r="17822">
      <c r="A17822" s="8" t="inlineStr">
        <is>
          <t>2026-08-04</t>
        </is>
      </c>
      <c r="B17822" s="8" t="n">
        <v>0</v>
      </c>
      <c r="C17822" s="8" t="n">
        <v>15</v>
      </c>
      <c r="D17822" s="8" t="inlineStr">
        <is>
          <t>Disneyland Park</t>
        </is>
      </c>
      <c r="E17822" s="8" t="inlineStr">
        <is>
          <t>Le Carrousel de Lancelot</t>
        </is>
      </c>
      <c r="F17822" s="8" t="inlineStr">
        <is>
          <t>STANDBY</t>
        </is>
      </c>
      <c r="G17822" s="8" t="n">
        <v>0</v>
      </c>
      <c r="H17822" s="8" t="inlineStr">
        <is>
          <t>CLOSED</t>
        </is>
      </c>
    </row>
    <row r="17823">
      <c r="A17823" s="8" t="inlineStr">
        <is>
          <t>2026-08-04</t>
        </is>
      </c>
      <c r="B17823" s="8" t="n">
        <v>0</v>
      </c>
      <c r="C17823" s="8" t="n">
        <v>15</v>
      </c>
      <c r="D17823" s="8" t="inlineStr">
        <is>
          <t>Disneyland Park</t>
        </is>
      </c>
      <c r="E17823" s="8" t="inlineStr">
        <is>
          <t>Le Pays des Contes de Fées, presented by Vittel</t>
        </is>
      </c>
      <c r="F17823" s="8" t="inlineStr">
        <is>
          <t>STANDBY</t>
        </is>
      </c>
      <c r="G17823" s="8" t="n">
        <v>0</v>
      </c>
      <c r="H17823" s="8" t="inlineStr">
        <is>
          <t>CLOSED</t>
        </is>
      </c>
    </row>
    <row r="17824">
      <c r="A17824" s="8" t="inlineStr">
        <is>
          <t>2026-08-04</t>
        </is>
      </c>
      <c r="B17824" s="8" t="n">
        <v>0</v>
      </c>
      <c r="C17824" s="8" t="n">
        <v>15</v>
      </c>
      <c r="D17824" s="8" t="inlineStr">
        <is>
          <t>Disneyland Park</t>
        </is>
      </c>
      <c r="E17824" s="8" t="inlineStr">
        <is>
          <t>Les Voyages de Pinocchio</t>
        </is>
      </c>
      <c r="F17824" s="8" t="inlineStr">
        <is>
          <t>STANDBY</t>
        </is>
      </c>
      <c r="G17824" s="8" t="n">
        <v>0</v>
      </c>
      <c r="H17824" s="8" t="inlineStr">
        <is>
          <t>CLOSED</t>
        </is>
      </c>
    </row>
    <row r="17825">
      <c r="A17825" s="8" t="inlineStr">
        <is>
          <t>2026-08-04</t>
        </is>
      </c>
      <c r="B17825" s="8" t="n">
        <v>0</v>
      </c>
      <c r="C17825" s="8" t="n">
        <v>15</v>
      </c>
      <c r="D17825" s="8" t="inlineStr">
        <is>
          <t>Disneyland Park</t>
        </is>
      </c>
      <c r="E17825" s="8" t="inlineStr">
        <is>
          <t>Mad Hatter's Tea Cups</t>
        </is>
      </c>
      <c r="F17825" s="8" t="inlineStr">
        <is>
          <t>STANDBY</t>
        </is>
      </c>
      <c r="G17825" s="8" t="n">
        <v>0</v>
      </c>
      <c r="H17825" s="8" t="inlineStr">
        <is>
          <t>CLOSED</t>
        </is>
      </c>
    </row>
    <row r="17826">
      <c r="A17826" s="8" t="inlineStr">
        <is>
          <t>2026-08-04</t>
        </is>
      </c>
      <c r="B17826" s="8" t="n">
        <v>0</v>
      </c>
      <c r="C17826" s="8" t="n">
        <v>15</v>
      </c>
      <c r="D17826" s="8" t="inlineStr">
        <is>
          <t>Disneyland Park</t>
        </is>
      </c>
      <c r="E17826" s="8" t="inlineStr">
        <is>
          <t>Meet Mickey Mouse</t>
        </is>
      </c>
      <c r="F17826" s="8" t="inlineStr">
        <is>
          <t>STANDBY</t>
        </is>
      </c>
      <c r="G17826" s="8" t="n">
        <v>0</v>
      </c>
      <c r="H17826" s="8" t="inlineStr">
        <is>
          <t>CLOSED</t>
        </is>
      </c>
    </row>
    <row r="17827">
      <c r="A17827" s="8" t="inlineStr">
        <is>
          <t>2026-08-04</t>
        </is>
      </c>
      <c r="B17827" s="8" t="n">
        <v>0</v>
      </c>
      <c r="C17827" s="8" t="n">
        <v>15</v>
      </c>
      <c r="D17827" s="8" t="inlineStr">
        <is>
          <t>Disneyland Park</t>
        </is>
      </c>
      <c r="E17827" s="8" t="inlineStr">
        <is>
          <t>Peter Pan's Flight</t>
        </is>
      </c>
      <c r="F17827" s="8" t="inlineStr">
        <is>
          <t>STANDBY</t>
        </is>
      </c>
      <c r="G17827" s="8" t="n">
        <v>0</v>
      </c>
      <c r="H17827" s="8" t="inlineStr">
        <is>
          <t>CLOSED</t>
        </is>
      </c>
    </row>
    <row r="17828">
      <c r="A17828" s="8" t="inlineStr">
        <is>
          <t>2026-08-04</t>
        </is>
      </c>
      <c r="B17828" s="8" t="n">
        <v>0</v>
      </c>
      <c r="C17828" s="8" t="n">
        <v>15</v>
      </c>
      <c r="D17828" s="8" t="inlineStr">
        <is>
          <t>Disneyland Park</t>
        </is>
      </c>
      <c r="E17828" s="8" t="inlineStr">
        <is>
          <t>Princess Pavilion</t>
        </is>
      </c>
      <c r="F17828" s="8" t="inlineStr">
        <is>
          <t>STANDBY</t>
        </is>
      </c>
      <c r="G17828" s="8" t="n">
        <v>0</v>
      </c>
      <c r="H17828" s="8" t="inlineStr">
        <is>
          <t>CLOSED</t>
        </is>
      </c>
    </row>
    <row r="17829">
      <c r="A17829" s="8" t="inlineStr">
        <is>
          <t>2026-08-04</t>
        </is>
      </c>
      <c r="B17829" s="8" t="n">
        <v>0</v>
      </c>
      <c r="C17829" s="8" t="n">
        <v>15</v>
      </c>
      <c r="D17829" s="8" t="inlineStr">
        <is>
          <t>Disneyland Park</t>
        </is>
      </c>
      <c r="E17829" s="8" t="inlineStr">
        <is>
          <t>Big Thunder Mountain</t>
        </is>
      </c>
      <c r="F17829" s="8" t="inlineStr">
        <is>
          <t>STANDBY</t>
        </is>
      </c>
      <c r="G17829" s="8" t="n">
        <v>0</v>
      </c>
      <c r="H17829" s="8" t="inlineStr">
        <is>
          <t>CLOSED</t>
        </is>
      </c>
    </row>
    <row r="17830">
      <c r="A17830" s="8" t="inlineStr">
        <is>
          <t>2026-08-04</t>
        </is>
      </c>
      <c r="B17830" s="8" t="n">
        <v>0</v>
      </c>
      <c r="C17830" s="8" t="n">
        <v>15</v>
      </c>
      <c r="D17830" s="8" t="inlineStr">
        <is>
          <t>Disneyland Park</t>
        </is>
      </c>
      <c r="E17830" s="8" t="inlineStr">
        <is>
          <t>Disneyland Railroad Frontierland Depot</t>
        </is>
      </c>
      <c r="F17830" s="8" t="inlineStr">
        <is>
          <t>STANDBY</t>
        </is>
      </c>
      <c r="G17830" s="8" t="n">
        <v>0</v>
      </c>
      <c r="H17830" s="8" t="inlineStr">
        <is>
          <t>CLOSED</t>
        </is>
      </c>
    </row>
    <row r="17831">
      <c r="A17831" s="8" t="inlineStr">
        <is>
          <t>2026-08-04</t>
        </is>
      </c>
      <c r="B17831" s="8" t="n">
        <v>0</v>
      </c>
      <c r="C17831" s="8" t="n">
        <v>15</v>
      </c>
      <c r="D17831" s="8" t="inlineStr">
        <is>
          <t>Disneyland Park</t>
        </is>
      </c>
      <c r="E17831" s="8" t="inlineStr">
        <is>
          <t>Frontierland Playground</t>
        </is>
      </c>
      <c r="F17831" s="8" t="inlineStr">
        <is>
          <t>STANDBY</t>
        </is>
      </c>
      <c r="G17831" s="8" t="n">
        <v>0</v>
      </c>
      <c r="H17831" s="8" t="inlineStr">
        <is>
          <t>CLOSED</t>
        </is>
      </c>
    </row>
    <row r="17832">
      <c r="A17832" s="8" t="inlineStr">
        <is>
          <t>2026-08-04</t>
        </is>
      </c>
      <c r="B17832" s="8" t="n">
        <v>0</v>
      </c>
      <c r="C17832" s="8" t="n">
        <v>15</v>
      </c>
      <c r="D17832" s="8" t="inlineStr">
        <is>
          <t>Disneyland Park</t>
        </is>
      </c>
      <c r="E17832" s="8" t="inlineStr">
        <is>
          <t>Phantom Manor</t>
        </is>
      </c>
      <c r="F17832" s="8" t="inlineStr">
        <is>
          <t>STANDBY</t>
        </is>
      </c>
      <c r="G17832" s="8" t="n">
        <v>0</v>
      </c>
      <c r="H17832" s="8" t="inlineStr">
        <is>
          <t>CLOSED</t>
        </is>
      </c>
    </row>
    <row r="17833">
      <c r="A17833" s="8" t="inlineStr">
        <is>
          <t>2026-08-04</t>
        </is>
      </c>
      <c r="B17833" s="8" t="n">
        <v>0</v>
      </c>
      <c r="C17833" s="8" t="n">
        <v>15</v>
      </c>
      <c r="D17833" s="8" t="inlineStr">
        <is>
          <t>Disneyland Park</t>
        </is>
      </c>
      <c r="E17833" s="8" t="inlineStr">
        <is>
          <t>River Rogue Keelboats</t>
        </is>
      </c>
      <c r="F17833" s="8" t="inlineStr">
        <is>
          <t>STANDBY</t>
        </is>
      </c>
      <c r="G17833" s="8" t="n">
        <v>0</v>
      </c>
      <c r="H17833" s="8" t="inlineStr">
        <is>
          <t>CLOSED</t>
        </is>
      </c>
    </row>
    <row r="17834">
      <c r="A17834" s="8" t="inlineStr">
        <is>
          <t>2026-08-04</t>
        </is>
      </c>
      <c r="B17834" s="8" t="n">
        <v>0</v>
      </c>
      <c r="C17834" s="8" t="n">
        <v>15</v>
      </c>
      <c r="D17834" s="8" t="inlineStr">
        <is>
          <t>Disneyland Park</t>
        </is>
      </c>
      <c r="E17834" s="8" t="inlineStr">
        <is>
          <t>Rustler Roundup Shootin' Gallery</t>
        </is>
      </c>
      <c r="F17834" s="8" t="inlineStr">
        <is>
          <t>STANDBY</t>
        </is>
      </c>
      <c r="G17834" s="8" t="n">
        <v>0</v>
      </c>
      <c r="H17834" s="8" t="inlineStr">
        <is>
          <t>CLOSED</t>
        </is>
      </c>
    </row>
    <row r="17835">
      <c r="A17835" s="8" t="inlineStr">
        <is>
          <t>2026-08-04</t>
        </is>
      </c>
      <c r="B17835" s="8" t="n">
        <v>0</v>
      </c>
      <c r="C17835" s="8" t="n">
        <v>15</v>
      </c>
      <c r="D17835" s="8" t="inlineStr">
        <is>
          <t>Disneyland Park</t>
        </is>
      </c>
      <c r="E17835" s="8" t="inlineStr">
        <is>
          <t>Thunder Mesa Riverboat Landing</t>
        </is>
      </c>
      <c r="F17835" s="8" t="inlineStr">
        <is>
          <t>STANDBY</t>
        </is>
      </c>
      <c r="G17835" s="8" t="n">
        <v>0</v>
      </c>
      <c r="H17835" s="8" t="inlineStr">
        <is>
          <t>CLOSED</t>
        </is>
      </c>
    </row>
    <row r="17836">
      <c r="A17836" s="8" t="inlineStr">
        <is>
          <t>2026-08-04</t>
        </is>
      </c>
      <c r="B17836" s="8" t="n">
        <v>0</v>
      </c>
      <c r="C17836" s="8" t="n">
        <v>15</v>
      </c>
      <c r="D17836" s="8" t="inlineStr">
        <is>
          <t>Disneyland Park</t>
        </is>
      </c>
      <c r="E17836" s="8" t="inlineStr">
        <is>
          <t>Disneyland Railroad Main Street Station</t>
        </is>
      </c>
      <c r="F17836" s="8" t="inlineStr">
        <is>
          <t>STANDBY</t>
        </is>
      </c>
      <c r="G17836" s="8" t="n">
        <v>0</v>
      </c>
      <c r="H17836" s="8" t="inlineStr">
        <is>
          <t>CLOSED</t>
        </is>
      </c>
    </row>
    <row r="17837">
      <c r="A17837" s="8" t="inlineStr">
        <is>
          <t>2026-08-04</t>
        </is>
      </c>
      <c r="B17837" s="8" t="n">
        <v>0</v>
      </c>
      <c r="C17837" s="8" t="n">
        <v>15</v>
      </c>
      <c r="D17837" s="8" t="inlineStr">
        <is>
          <t>Disneyland Park</t>
        </is>
      </c>
      <c r="E17837" s="8" t="inlineStr">
        <is>
          <t>Main Street Vehicles</t>
        </is>
      </c>
      <c r="F17837" s="8" t="inlineStr">
        <is>
          <t>STANDBY</t>
        </is>
      </c>
      <c r="G17837" s="8" t="n">
        <v>0</v>
      </c>
      <c r="H17837" s="8" t="inlineStr">
        <is>
          <t>CLOSED</t>
        </is>
      </c>
    </row>
    <row r="17838">
      <c r="A17838" s="8" t="inlineStr">
        <is>
          <t>2026-08-04</t>
        </is>
      </c>
      <c r="B17838" s="8" t="n">
        <v>0</v>
      </c>
      <c r="C17838" s="8" t="n">
        <v>15</v>
      </c>
      <c r="D17838" s="8" t="inlineStr">
        <is>
          <t>Disney Adventure World</t>
        </is>
      </c>
      <c r="E17838" s="8" t="inlineStr">
        <is>
          <t>Avengers Assemble: Flight Force</t>
        </is>
      </c>
      <c r="F17838" s="8" t="inlineStr">
        <is>
          <t>STANDBY</t>
        </is>
      </c>
      <c r="G17838" s="8" t="n">
        <v>0</v>
      </c>
      <c r="H17838" s="8" t="inlineStr">
        <is>
          <t>CLOSED</t>
        </is>
      </c>
    </row>
    <row r="17839">
      <c r="A17839" s="8" t="inlineStr">
        <is>
          <t>2026-08-04</t>
        </is>
      </c>
      <c r="B17839" s="8" t="n">
        <v>0</v>
      </c>
      <c r="C17839" s="8" t="n">
        <v>15</v>
      </c>
      <c r="D17839" s="8" t="inlineStr">
        <is>
          <t>Disney Adventure World</t>
        </is>
      </c>
      <c r="E17839" s="8" t="inlineStr">
        <is>
          <t>Avengers Assemble: Flight Force Single Rider</t>
        </is>
      </c>
      <c r="F17839" s="8" t="inlineStr">
        <is>
          <t>STANDBY</t>
        </is>
      </c>
      <c r="G17839" s="8" t="n">
        <v>0</v>
      </c>
      <c r="H17839" s="8" t="inlineStr">
        <is>
          <t>CLOSED</t>
        </is>
      </c>
    </row>
    <row r="17840">
      <c r="A17840" s="8" t="inlineStr">
        <is>
          <t>2026-08-04</t>
        </is>
      </c>
      <c r="B17840" s="8" t="n">
        <v>0</v>
      </c>
      <c r="C17840" s="8" t="n">
        <v>15</v>
      </c>
      <c r="D17840" s="8" t="inlineStr">
        <is>
          <t>Disney Adventure World</t>
        </is>
      </c>
      <c r="E17840" s="8" t="inlineStr">
        <is>
          <t>Spider-Man W.E.B. Adventure</t>
        </is>
      </c>
      <c r="F17840" s="8" t="inlineStr">
        <is>
          <t>STANDBY</t>
        </is>
      </c>
      <c r="G17840" s="8" t="n">
        <v>0</v>
      </c>
      <c r="H17840" s="8" t="inlineStr">
        <is>
          <t>CLOSED</t>
        </is>
      </c>
    </row>
    <row r="17841">
      <c r="A17841" s="8" t="inlineStr">
        <is>
          <t>2026-08-04</t>
        </is>
      </c>
      <c r="B17841" s="8" t="n">
        <v>0</v>
      </c>
      <c r="C17841" s="8" t="n">
        <v>15</v>
      </c>
      <c r="D17841" s="8" t="inlineStr">
        <is>
          <t>Disney Adventure World</t>
        </is>
      </c>
      <c r="E17841" s="8" t="inlineStr">
        <is>
          <t>Spider-Man W.E.B. Adventure Single Rider</t>
        </is>
      </c>
      <c r="F17841" s="8" t="inlineStr">
        <is>
          <t>STANDBY</t>
        </is>
      </c>
      <c r="G17841" s="8" t="n">
        <v>0</v>
      </c>
      <c r="H17841" s="8" t="inlineStr">
        <is>
          <t>CLOSED</t>
        </is>
      </c>
    </row>
    <row r="17842">
      <c r="A17842" s="8" t="inlineStr">
        <is>
          <t>2026-08-04</t>
        </is>
      </c>
      <c r="B17842" s="8" t="n">
        <v>0</v>
      </c>
      <c r="C17842" s="8" t="n">
        <v>15</v>
      </c>
      <c r="D17842" s="8" t="inlineStr">
        <is>
          <t>Disney Adventure World</t>
        </is>
      </c>
      <c r="E17842" s="8" t="inlineStr">
        <is>
          <t>The Twilight Zone Tower of Terror</t>
        </is>
      </c>
      <c r="F17842" s="8" t="inlineStr">
        <is>
          <t>STANDBY</t>
        </is>
      </c>
      <c r="G17842" s="8" t="n">
        <v>0</v>
      </c>
      <c r="H17842" s="8" t="inlineStr">
        <is>
          <t>CLOSED</t>
        </is>
      </c>
    </row>
    <row r="17843">
      <c r="A17843" s="8" t="inlineStr">
        <is>
          <t>2026-08-04</t>
        </is>
      </c>
      <c r="B17843" s="8" t="n">
        <v>0</v>
      </c>
      <c r="C17843" s="8" t="n">
        <v>15</v>
      </c>
      <c r="D17843" s="8" t="inlineStr">
        <is>
          <t>Disney Adventure World</t>
        </is>
      </c>
      <c r="E17843" s="8" t="inlineStr">
        <is>
          <t>Cars Quatre Roues Rallye</t>
        </is>
      </c>
      <c r="F17843" s="8" t="inlineStr">
        <is>
          <t>STANDBY</t>
        </is>
      </c>
      <c r="G17843" s="8" t="n">
        <v>0</v>
      </c>
      <c r="H17843" s="8" t="inlineStr">
        <is>
          <t>CLOSED</t>
        </is>
      </c>
    </row>
    <row r="17844">
      <c r="A17844" s="8" t="inlineStr">
        <is>
          <t>2026-08-04</t>
        </is>
      </c>
      <c r="B17844" s="8" t="n">
        <v>0</v>
      </c>
      <c r="C17844" s="8" t="n">
        <v>15</v>
      </c>
      <c r="D17844" s="8" t="inlineStr">
        <is>
          <t>Disney Adventure World</t>
        </is>
      </c>
      <c r="E17844" s="8" t="inlineStr">
        <is>
          <t>Cars ROAD TRIP</t>
        </is>
      </c>
      <c r="F17844" s="8" t="inlineStr">
        <is>
          <t>STANDBY</t>
        </is>
      </c>
      <c r="G17844" s="8" t="n">
        <v>0</v>
      </c>
      <c r="H17844" s="8" t="inlineStr">
        <is>
          <t>CLOSED</t>
        </is>
      </c>
    </row>
    <row r="17845">
      <c r="A17845" s="8" t="inlineStr">
        <is>
          <t>2026-08-04</t>
        </is>
      </c>
      <c r="B17845" s="8" t="n">
        <v>0</v>
      </c>
      <c r="C17845" s="8" t="n">
        <v>15</v>
      </c>
      <c r="D17845" s="8" t="inlineStr">
        <is>
          <t>Disney Adventure World</t>
        </is>
      </c>
      <c r="E17845" s="8" t="inlineStr">
        <is>
          <t>Crush's Coaster</t>
        </is>
      </c>
      <c r="F17845" s="8" t="inlineStr">
        <is>
          <t>STANDBY</t>
        </is>
      </c>
      <c r="G17845" s="8" t="n">
        <v>0</v>
      </c>
      <c r="H17845" s="8" t="inlineStr">
        <is>
          <t>CLOSED</t>
        </is>
      </c>
    </row>
    <row r="17846">
      <c r="A17846" s="8" t="inlineStr">
        <is>
          <t>2026-08-04</t>
        </is>
      </c>
      <c r="B17846" s="8" t="n">
        <v>0</v>
      </c>
      <c r="C17846" s="8" t="n">
        <v>15</v>
      </c>
      <c r="D17846" s="8" t="inlineStr">
        <is>
          <t>Disney Adventure World</t>
        </is>
      </c>
      <c r="E17846" s="8" t="inlineStr">
        <is>
          <t>Crush's Coaster Single Rider</t>
        </is>
      </c>
      <c r="F17846" s="8" t="inlineStr">
        <is>
          <t>STANDBY</t>
        </is>
      </c>
      <c r="G17846" s="8" t="n">
        <v>0</v>
      </c>
      <c r="H17846" s="8" t="inlineStr">
        <is>
          <t>CLOSED</t>
        </is>
      </c>
    </row>
    <row r="17847">
      <c r="A17847" s="8" t="inlineStr">
        <is>
          <t>2026-08-04</t>
        </is>
      </c>
      <c r="B17847" s="8" t="n">
        <v>0</v>
      </c>
      <c r="C17847" s="8" t="n">
        <v>15</v>
      </c>
      <c r="D17847" s="8" t="inlineStr">
        <is>
          <t>Disney Adventure World</t>
        </is>
      </c>
      <c r="E17847" s="8" t="inlineStr">
        <is>
          <t>Les Tapis Volants - Flying Carpets Over Agrabah®</t>
        </is>
      </c>
      <c r="F17847" s="8" t="inlineStr">
        <is>
          <t>STANDBY</t>
        </is>
      </c>
      <c r="G17847" s="8" t="n">
        <v>0</v>
      </c>
      <c r="H17847" s="8" t="inlineStr">
        <is>
          <t>CLOSED</t>
        </is>
      </c>
    </row>
    <row r="17848">
      <c r="A17848" s="8" t="inlineStr">
        <is>
          <t>2026-08-04</t>
        </is>
      </c>
      <c r="B17848" s="8" t="n">
        <v>0</v>
      </c>
      <c r="C17848" s="8" t="n">
        <v>15</v>
      </c>
      <c r="D17848" s="8" t="inlineStr">
        <is>
          <t>Disney Adventure World</t>
        </is>
      </c>
      <c r="E17848" s="8" t="inlineStr">
        <is>
          <t>Ratatouille : L’Aventure Totalement Toquée de Rémy​</t>
        </is>
      </c>
      <c r="F17848" s="8" t="inlineStr">
        <is>
          <t>STANDBY</t>
        </is>
      </c>
      <c r="G17848" s="8" t="n">
        <v>0</v>
      </c>
      <c r="H17848" s="8" t="inlineStr">
        <is>
          <t>CLOSED</t>
        </is>
      </c>
    </row>
    <row r="17849">
      <c r="A17849" s="8" t="inlineStr">
        <is>
          <t>2026-08-04</t>
        </is>
      </c>
      <c r="B17849" s="8" t="n">
        <v>0</v>
      </c>
      <c r="C17849" s="8" t="n">
        <v>15</v>
      </c>
      <c r="D17849" s="8" t="inlineStr">
        <is>
          <t>Disney Adventure World</t>
        </is>
      </c>
      <c r="E17849" s="8" t="inlineStr">
        <is>
          <t>Ratatouille: The Adventure Single Rider</t>
        </is>
      </c>
      <c r="F17849" s="8" t="inlineStr">
        <is>
          <t>STANDBY</t>
        </is>
      </c>
      <c r="G17849" s="8" t="n">
        <v>0</v>
      </c>
      <c r="H17849" s="8" t="inlineStr">
        <is>
          <t>CLOSED</t>
        </is>
      </c>
    </row>
    <row r="17850">
      <c r="A17850" s="8" t="inlineStr">
        <is>
          <t>2026-08-04</t>
        </is>
      </c>
      <c r="B17850" s="8" t="n">
        <v>0</v>
      </c>
      <c r="C17850" s="8" t="n">
        <v>15</v>
      </c>
      <c r="D17850" s="8" t="inlineStr">
        <is>
          <t>Disney Adventure World</t>
        </is>
      </c>
      <c r="E17850" s="8" t="inlineStr">
        <is>
          <t>RC Racer</t>
        </is>
      </c>
      <c r="F17850" s="8" t="inlineStr">
        <is>
          <t>STANDBY</t>
        </is>
      </c>
      <c r="G17850" s="8" t="n">
        <v>0</v>
      </c>
      <c r="H17850" s="8" t="inlineStr">
        <is>
          <t>CLOSED</t>
        </is>
      </c>
    </row>
    <row r="17851">
      <c r="A17851" s="8" t="inlineStr">
        <is>
          <t>2026-08-04</t>
        </is>
      </c>
      <c r="B17851" s="8" t="n">
        <v>0</v>
      </c>
      <c r="C17851" s="8" t="n">
        <v>15</v>
      </c>
      <c r="D17851" s="8" t="inlineStr">
        <is>
          <t>Disney Adventure World</t>
        </is>
      </c>
      <c r="E17851" s="8" t="inlineStr">
        <is>
          <t>RC Racer Single Rider</t>
        </is>
      </c>
      <c r="F17851" s="8" t="inlineStr">
        <is>
          <t>STANDBY</t>
        </is>
      </c>
      <c r="G17851" s="8" t="n">
        <v>0</v>
      </c>
      <c r="H17851" s="8" t="inlineStr">
        <is>
          <t>CLOSED</t>
        </is>
      </c>
    </row>
    <row r="17852">
      <c r="A17852" s="8" t="inlineStr">
        <is>
          <t>2026-08-04</t>
        </is>
      </c>
      <c r="B17852" s="8" t="n">
        <v>0</v>
      </c>
      <c r="C17852" s="8" t="n">
        <v>15</v>
      </c>
      <c r="D17852" s="8" t="inlineStr">
        <is>
          <t>Disney Adventure World</t>
        </is>
      </c>
      <c r="E17852" s="8" t="inlineStr">
        <is>
          <t>Slinky® Dog Zigzag Spin</t>
        </is>
      </c>
      <c r="F17852" s="8" t="inlineStr">
        <is>
          <t>STANDBY</t>
        </is>
      </c>
      <c r="G17852" s="8" t="n">
        <v>0</v>
      </c>
      <c r="H17852" s="8" t="inlineStr">
        <is>
          <t>CLOSED</t>
        </is>
      </c>
    </row>
    <row r="17853">
      <c r="A17853" s="8" t="inlineStr">
        <is>
          <t>2026-08-04</t>
        </is>
      </c>
      <c r="B17853" s="8" t="n">
        <v>0</v>
      </c>
      <c r="C17853" s="8" t="n">
        <v>15</v>
      </c>
      <c r="D17853" s="8" t="inlineStr">
        <is>
          <t>Disney Adventure World</t>
        </is>
      </c>
      <c r="E17853" s="8" t="inlineStr">
        <is>
          <t>Toy Soldiers Parachute Drop</t>
        </is>
      </c>
      <c r="F17853" s="8" t="inlineStr">
        <is>
          <t>STANDBY</t>
        </is>
      </c>
      <c r="G17853" s="8" t="n">
        <v>0</v>
      </c>
      <c r="H17853" s="8" t="inlineStr">
        <is>
          <t>CLOSED</t>
        </is>
      </c>
    </row>
    <row r="17854">
      <c r="A17854" s="8" t="inlineStr">
        <is>
          <t>2026-08-04</t>
        </is>
      </c>
      <c r="B17854" s="8" t="n">
        <v>0</v>
      </c>
      <c r="C17854" s="8" t="n">
        <v>15</v>
      </c>
      <c r="D17854" s="8" t="inlineStr">
        <is>
          <t>Disney Adventure World</t>
        </is>
      </c>
      <c r="E17854" s="8" t="inlineStr">
        <is>
          <t>Toy Soldiers Parachute Drop Single Rider</t>
        </is>
      </c>
      <c r="F17854" s="8" t="inlineStr">
        <is>
          <t>STANDBY</t>
        </is>
      </c>
      <c r="G17854" s="8" t="n">
        <v>0</v>
      </c>
      <c r="H17854" s="8" t="inlineStr">
        <is>
          <t>CLOSED</t>
        </is>
      </c>
    </row>
    <row r="17855">
      <c r="A17855" s="8" t="inlineStr">
        <is>
          <t>2026-08-04</t>
        </is>
      </c>
      <c r="B17855" s="8" t="n">
        <v>0</v>
      </c>
      <c r="C17855" s="8" t="n">
        <v>15</v>
      </c>
      <c r="D17855" s="8" t="inlineStr">
        <is>
          <t>Disney Adventure World</t>
        </is>
      </c>
      <c r="E17855" s="8" t="inlineStr">
        <is>
          <t>Entry to World of Frozen</t>
        </is>
      </c>
      <c r="F17855" s="8" t="inlineStr">
        <is>
          <t>STANDBY</t>
        </is>
      </c>
      <c r="G17855" s="8" t="n">
        <v>0</v>
      </c>
      <c r="H17855" s="8" t="inlineStr">
        <is>
          <t>CLOSED</t>
        </is>
      </c>
    </row>
    <row r="17856">
      <c r="A17856" s="8" t="inlineStr">
        <is>
          <t>2026-08-04</t>
        </is>
      </c>
      <c r="B17856" s="8" t="n">
        <v>0</v>
      </c>
      <c r="C17856" s="8" t="n">
        <v>15</v>
      </c>
      <c r="D17856" s="8" t="inlineStr">
        <is>
          <t>Disney Adventure World</t>
        </is>
      </c>
      <c r="E17856" s="8" t="inlineStr">
        <is>
          <t>Frozen Ever After</t>
        </is>
      </c>
      <c r="F17856" s="8" t="inlineStr">
        <is>
          <t>STANDBY</t>
        </is>
      </c>
      <c r="G17856" s="8" t="n">
        <v>0</v>
      </c>
      <c r="H17856" s="8" t="inlineStr">
        <is>
          <t>CLOSED</t>
        </is>
      </c>
    </row>
    <row r="17857">
      <c r="A17857" s="8" t="inlineStr">
        <is>
          <t>2026-08-04</t>
        </is>
      </c>
      <c r="B17857" s="8" t="n">
        <v>0</v>
      </c>
      <c r="C17857" s="8" t="n">
        <v>15</v>
      </c>
      <c r="D17857" s="8" t="inlineStr">
        <is>
          <t>Disney Adventure World</t>
        </is>
      </c>
      <c r="E17857" s="8" t="inlineStr">
        <is>
          <t>Raiponce Tangled Spin</t>
        </is>
      </c>
      <c r="F17857" s="8" t="inlineStr">
        <is>
          <t>STANDBY</t>
        </is>
      </c>
      <c r="G17857" s="8" t="n">
        <v>0</v>
      </c>
      <c r="H17857" s="8" t="inlineStr">
        <is>
          <t>CLOSED</t>
        </is>
      </c>
    </row>
    <row r="17858">
      <c r="A17858" s="8" t="inlineStr">
        <is>
          <t>2026-08-04</t>
        </is>
      </c>
      <c r="B17858" s="8" t="n">
        <v>0</v>
      </c>
      <c r="C17858" s="8" t="n">
        <v>31</v>
      </c>
      <c r="D17858" s="8" t="inlineStr">
        <is>
          <t>Disneyland Park</t>
        </is>
      </c>
      <c r="E17858" s="8" t="inlineStr">
        <is>
          <t>Adventure Isle</t>
        </is>
      </c>
      <c r="F17858" s="8" t="inlineStr">
        <is>
          <t>STANDBY</t>
        </is>
      </c>
      <c r="G17858" s="8" t="n">
        <v>0</v>
      </c>
      <c r="H17858" s="8" t="inlineStr">
        <is>
          <t>CLOSED</t>
        </is>
      </c>
    </row>
    <row r="17859">
      <c r="A17859" s="8" t="inlineStr">
        <is>
          <t>2026-08-04</t>
        </is>
      </c>
      <c r="B17859" s="8" t="n">
        <v>0</v>
      </c>
      <c r="C17859" s="8" t="n">
        <v>31</v>
      </c>
      <c r="D17859" s="8" t="inlineStr">
        <is>
          <t>Disneyland Park</t>
        </is>
      </c>
      <c r="E17859" s="8" t="inlineStr">
        <is>
          <t>Indiana Jones and the Temple of Peril Single Rider</t>
        </is>
      </c>
      <c r="F17859" s="8" t="inlineStr">
        <is>
          <t>STANDBY</t>
        </is>
      </c>
      <c r="G17859" s="8" t="n">
        <v>0</v>
      </c>
      <c r="H17859" s="8" t="inlineStr">
        <is>
          <t>CLOSED</t>
        </is>
      </c>
    </row>
    <row r="17860">
      <c r="A17860" s="8" t="inlineStr">
        <is>
          <t>2026-08-04</t>
        </is>
      </c>
      <c r="B17860" s="8" t="n">
        <v>0</v>
      </c>
      <c r="C17860" s="8" t="n">
        <v>31</v>
      </c>
      <c r="D17860" s="8" t="inlineStr">
        <is>
          <t>Disneyland Park</t>
        </is>
      </c>
      <c r="E17860" s="8" t="inlineStr">
        <is>
          <t>Indiana Jones™ and the Temple of Peril</t>
        </is>
      </c>
      <c r="F17860" s="8" t="inlineStr">
        <is>
          <t>STANDBY</t>
        </is>
      </c>
      <c r="G17860" s="8" t="n">
        <v>0</v>
      </c>
      <c r="H17860" s="8" t="inlineStr">
        <is>
          <t>CLOSED</t>
        </is>
      </c>
    </row>
    <row r="17861">
      <c r="A17861" s="8" t="inlineStr">
        <is>
          <t>2026-08-04</t>
        </is>
      </c>
      <c r="B17861" s="8" t="n">
        <v>0</v>
      </c>
      <c r="C17861" s="8" t="n">
        <v>31</v>
      </c>
      <c r="D17861" s="8" t="inlineStr">
        <is>
          <t>Disneyland Park</t>
        </is>
      </c>
      <c r="E17861" s="8" t="inlineStr">
        <is>
          <t>La Cabane des Robinson</t>
        </is>
      </c>
      <c r="F17861" s="8" t="inlineStr">
        <is>
          <t>STANDBY</t>
        </is>
      </c>
      <c r="G17861" s="8" t="n">
        <v>0</v>
      </c>
      <c r="H17861" s="8" t="inlineStr">
        <is>
          <t>CLOSED</t>
        </is>
      </c>
    </row>
    <row r="17862">
      <c r="A17862" s="8" t="inlineStr">
        <is>
          <t>2026-08-04</t>
        </is>
      </c>
      <c r="B17862" s="8" t="n">
        <v>0</v>
      </c>
      <c r="C17862" s="8" t="n">
        <v>31</v>
      </c>
      <c r="D17862" s="8" t="inlineStr">
        <is>
          <t>Disneyland Park</t>
        </is>
      </c>
      <c r="E17862" s="8" t="inlineStr">
        <is>
          <t>Le Passage Enchanté d'Aladdin</t>
        </is>
      </c>
      <c r="F17862" s="8" t="inlineStr">
        <is>
          <t>STANDBY</t>
        </is>
      </c>
      <c r="G17862" s="8" t="n">
        <v>0</v>
      </c>
      <c r="H17862" s="8" t="inlineStr">
        <is>
          <t>CLOSED</t>
        </is>
      </c>
    </row>
    <row r="17863">
      <c r="A17863" s="8" t="inlineStr">
        <is>
          <t>2026-08-04</t>
        </is>
      </c>
      <c r="B17863" s="8" t="n">
        <v>0</v>
      </c>
      <c r="C17863" s="8" t="n">
        <v>31</v>
      </c>
      <c r="D17863" s="8" t="inlineStr">
        <is>
          <t>Disneyland Park</t>
        </is>
      </c>
      <c r="E17863" s="8" t="inlineStr">
        <is>
          <t>Pirate Galleon</t>
        </is>
      </c>
      <c r="F17863" s="8" t="inlineStr">
        <is>
          <t>STANDBY</t>
        </is>
      </c>
      <c r="G17863" s="8" t="n">
        <v>0</v>
      </c>
      <c r="H17863" s="8" t="inlineStr">
        <is>
          <t>CLOSED</t>
        </is>
      </c>
    </row>
    <row r="17864">
      <c r="A17864" s="8" t="inlineStr">
        <is>
          <t>2026-08-04</t>
        </is>
      </c>
      <c r="B17864" s="8" t="n">
        <v>0</v>
      </c>
      <c r="C17864" s="8" t="n">
        <v>31</v>
      </c>
      <c r="D17864" s="8" t="inlineStr">
        <is>
          <t>Disneyland Park</t>
        </is>
      </c>
      <c r="E17864" s="8" t="inlineStr">
        <is>
          <t>Pirates of the Caribbean</t>
        </is>
      </c>
      <c r="F17864" s="8" t="inlineStr">
        <is>
          <t>STANDBY</t>
        </is>
      </c>
      <c r="G17864" s="8" t="n">
        <v>0</v>
      </c>
      <c r="H17864" s="8" t="inlineStr">
        <is>
          <t>CLOSED</t>
        </is>
      </c>
    </row>
    <row r="17865">
      <c r="A17865" s="8" t="inlineStr">
        <is>
          <t>2026-08-04</t>
        </is>
      </c>
      <c r="B17865" s="8" t="n">
        <v>0</v>
      </c>
      <c r="C17865" s="8" t="n">
        <v>31</v>
      </c>
      <c r="D17865" s="8" t="inlineStr">
        <is>
          <t>Disneyland Park</t>
        </is>
      </c>
      <c r="E17865" s="8" t="inlineStr">
        <is>
          <t>Pirates' Beach</t>
        </is>
      </c>
      <c r="F17865" s="8" t="inlineStr">
        <is>
          <t>STANDBY</t>
        </is>
      </c>
      <c r="G17865" s="8" t="n">
        <v>0</v>
      </c>
      <c r="H17865" s="8" t="inlineStr">
        <is>
          <t>CLOSED</t>
        </is>
      </c>
    </row>
    <row r="17866">
      <c r="A17866" s="8" t="inlineStr">
        <is>
          <t>2026-08-04</t>
        </is>
      </c>
      <c r="B17866" s="8" t="n">
        <v>0</v>
      </c>
      <c r="C17866" s="8" t="n">
        <v>31</v>
      </c>
      <c r="D17866" s="8" t="inlineStr">
        <is>
          <t>Disneyland Park</t>
        </is>
      </c>
      <c r="E17866" s="8" t="inlineStr">
        <is>
          <t>Autopia, presented by Avis</t>
        </is>
      </c>
      <c r="F17866" s="8" t="inlineStr">
        <is>
          <t>STANDBY</t>
        </is>
      </c>
      <c r="G17866" s="8" t="n">
        <v>0</v>
      </c>
      <c r="H17866" s="8" t="inlineStr">
        <is>
          <t>CLOSED</t>
        </is>
      </c>
    </row>
    <row r="17867">
      <c r="A17867" s="8" t="inlineStr">
        <is>
          <t>2026-08-04</t>
        </is>
      </c>
      <c r="B17867" s="8" t="n">
        <v>0</v>
      </c>
      <c r="C17867" s="8" t="n">
        <v>31</v>
      </c>
      <c r="D17867" s="8" t="inlineStr">
        <is>
          <t>Disneyland Park</t>
        </is>
      </c>
      <c r="E17867" s="8" t="inlineStr">
        <is>
          <t>Buzz Lightyear Laser Blast</t>
        </is>
      </c>
      <c r="F17867" s="8" t="inlineStr">
        <is>
          <t>STANDBY</t>
        </is>
      </c>
      <c r="G17867" s="8" t="n">
        <v>0</v>
      </c>
      <c r="H17867" s="8" t="inlineStr">
        <is>
          <t>CLOSED</t>
        </is>
      </c>
    </row>
    <row r="17868">
      <c r="A17868" s="8" t="inlineStr">
        <is>
          <t>2026-08-04</t>
        </is>
      </c>
      <c r="B17868" s="8" t="n">
        <v>0</v>
      </c>
      <c r="C17868" s="8" t="n">
        <v>31</v>
      </c>
      <c r="D17868" s="8" t="inlineStr">
        <is>
          <t>Disneyland Park</t>
        </is>
      </c>
      <c r="E17868" s="8" t="inlineStr">
        <is>
          <t>Disneyland Railroad Discoveryland Station</t>
        </is>
      </c>
      <c r="F17868" s="8" t="inlineStr">
        <is>
          <t>STANDBY</t>
        </is>
      </c>
      <c r="G17868" s="8" t="n">
        <v>0</v>
      </c>
      <c r="H17868" s="8" t="inlineStr">
        <is>
          <t>CLOSED</t>
        </is>
      </c>
    </row>
    <row r="17869">
      <c r="A17869" s="8" t="inlineStr">
        <is>
          <t>2026-08-04</t>
        </is>
      </c>
      <c r="B17869" s="8" t="n">
        <v>0</v>
      </c>
      <c r="C17869" s="8" t="n">
        <v>31</v>
      </c>
      <c r="D17869" s="8" t="inlineStr">
        <is>
          <t>Disneyland Park</t>
        </is>
      </c>
      <c r="E17869" s="8" t="inlineStr">
        <is>
          <t>Les Mystères du Nautilus</t>
        </is>
      </c>
      <c r="F17869" s="8" t="inlineStr">
        <is>
          <t>STANDBY</t>
        </is>
      </c>
      <c r="G17869" s="8" t="n">
        <v>0</v>
      </c>
      <c r="H17869" s="8" t="inlineStr">
        <is>
          <t>CLOSED</t>
        </is>
      </c>
    </row>
    <row r="17870">
      <c r="A17870" s="8" t="inlineStr">
        <is>
          <t>2026-08-04</t>
        </is>
      </c>
      <c r="B17870" s="8" t="n">
        <v>0</v>
      </c>
      <c r="C17870" s="8" t="n">
        <v>31</v>
      </c>
      <c r="D17870" s="8" t="inlineStr">
        <is>
          <t>Disneyland Park</t>
        </is>
      </c>
      <c r="E17870" s="8" t="inlineStr">
        <is>
          <t>Mickey’s PhilharMagic</t>
        </is>
      </c>
      <c r="F17870" s="8" t="inlineStr">
        <is>
          <t>STANDBY</t>
        </is>
      </c>
      <c r="G17870" s="8" t="n">
        <v>0</v>
      </c>
      <c r="H17870" s="8" t="inlineStr">
        <is>
          <t>CLOSED</t>
        </is>
      </c>
    </row>
    <row r="17871">
      <c r="A17871" s="8" t="inlineStr">
        <is>
          <t>2026-08-04</t>
        </is>
      </c>
      <c r="B17871" s="8" t="n">
        <v>0</v>
      </c>
      <c r="C17871" s="8" t="n">
        <v>31</v>
      </c>
      <c r="D17871" s="8" t="inlineStr">
        <is>
          <t>Disneyland Park</t>
        </is>
      </c>
      <c r="E17871" s="8" t="inlineStr">
        <is>
          <t>Orbitron®</t>
        </is>
      </c>
      <c r="F17871" s="8" t="inlineStr">
        <is>
          <t>STANDBY</t>
        </is>
      </c>
      <c r="G17871" s="8" t="n">
        <v>0</v>
      </c>
      <c r="H17871" s="8" t="inlineStr">
        <is>
          <t>CLOSED</t>
        </is>
      </c>
    </row>
    <row r="17872">
      <c r="A17872" s="8" t="inlineStr">
        <is>
          <t>2026-08-04</t>
        </is>
      </c>
      <c r="B17872" s="8" t="n">
        <v>0</v>
      </c>
      <c r="C17872" s="8" t="n">
        <v>31</v>
      </c>
      <c r="D17872" s="8" t="inlineStr">
        <is>
          <t>Disneyland Park</t>
        </is>
      </c>
      <c r="E17872" s="8" t="inlineStr">
        <is>
          <t>Star Tours: The Adventures Continue*</t>
        </is>
      </c>
      <c r="F17872" s="8" t="inlineStr">
        <is>
          <t>STANDBY</t>
        </is>
      </c>
      <c r="G17872" s="8" t="n">
        <v>0</v>
      </c>
      <c r="H17872" s="8" t="inlineStr">
        <is>
          <t>CLOSED</t>
        </is>
      </c>
    </row>
    <row r="17873">
      <c r="A17873" s="8" t="inlineStr">
        <is>
          <t>2026-08-04</t>
        </is>
      </c>
      <c r="B17873" s="8" t="n">
        <v>0</v>
      </c>
      <c r="C17873" s="8" t="n">
        <v>31</v>
      </c>
      <c r="D17873" s="8" t="inlineStr">
        <is>
          <t>Disneyland Park</t>
        </is>
      </c>
      <c r="E17873" s="8" t="inlineStr">
        <is>
          <t>Star Wars Hyperspace Mountain</t>
        </is>
      </c>
      <c r="F17873" s="8" t="inlineStr">
        <is>
          <t>STANDBY</t>
        </is>
      </c>
      <c r="G17873" s="8" t="n">
        <v>0</v>
      </c>
      <c r="H17873" s="8" t="inlineStr">
        <is>
          <t>CLOSED</t>
        </is>
      </c>
    </row>
    <row r="17874">
      <c r="A17874" s="8" t="inlineStr">
        <is>
          <t>2026-08-04</t>
        </is>
      </c>
      <c r="B17874" s="8" t="n">
        <v>0</v>
      </c>
      <c r="C17874" s="8" t="n">
        <v>31</v>
      </c>
      <c r="D17874" s="8" t="inlineStr">
        <is>
          <t>Disneyland Park</t>
        </is>
      </c>
      <c r="E17874" s="8" t="inlineStr">
        <is>
          <t>Star Wars Hyperspace Mountain Single Rider</t>
        </is>
      </c>
      <c r="F17874" s="8" t="inlineStr">
        <is>
          <t>STANDBY</t>
        </is>
      </c>
      <c r="G17874" s="8" t="n">
        <v>0</v>
      </c>
      <c r="H17874" s="8" t="inlineStr">
        <is>
          <t>CLOSED</t>
        </is>
      </c>
    </row>
    <row r="17875">
      <c r="A17875" s="8" t="inlineStr">
        <is>
          <t>2026-08-04</t>
        </is>
      </c>
      <c r="B17875" s="8" t="n">
        <v>0</v>
      </c>
      <c r="C17875" s="8" t="n">
        <v>31</v>
      </c>
      <c r="D17875" s="8" t="inlineStr">
        <is>
          <t>Disneyland Park</t>
        </is>
      </c>
      <c r="E17875" s="8" t="inlineStr">
        <is>
          <t>Welcome to Starport: A Star Wars Encounter</t>
        </is>
      </c>
      <c r="F17875" s="8" t="inlineStr">
        <is>
          <t>STANDBY</t>
        </is>
      </c>
      <c r="G17875" s="8" t="n">
        <v>0</v>
      </c>
      <c r="H17875" s="8" t="inlineStr">
        <is>
          <t>CLOSED</t>
        </is>
      </c>
    </row>
    <row r="17876">
      <c r="A17876" s="8" t="inlineStr">
        <is>
          <t>2026-08-04</t>
        </is>
      </c>
      <c r="B17876" s="8" t="n">
        <v>0</v>
      </c>
      <c r="C17876" s="8" t="n">
        <v>31</v>
      </c>
      <c r="D17876" s="8" t="inlineStr">
        <is>
          <t>Disneyland Park</t>
        </is>
      </c>
      <c r="E17876" s="8" t="inlineStr">
        <is>
          <t>"it's a small world"</t>
        </is>
      </c>
      <c r="F17876" s="8" t="inlineStr">
        <is>
          <t>STANDBY</t>
        </is>
      </c>
      <c r="G17876" s="8" t="n">
        <v>0</v>
      </c>
      <c r="H17876" s="8" t="inlineStr">
        <is>
          <t>CLOSED</t>
        </is>
      </c>
    </row>
    <row r="17877">
      <c r="A17877" s="8" t="inlineStr">
        <is>
          <t>2026-08-04</t>
        </is>
      </c>
      <c r="B17877" s="8" t="n">
        <v>0</v>
      </c>
      <c r="C17877" s="8" t="n">
        <v>31</v>
      </c>
      <c r="D17877" s="8" t="inlineStr">
        <is>
          <t>Disneyland Park</t>
        </is>
      </c>
      <c r="E17877" s="8" t="inlineStr">
        <is>
          <t>Alice's Curious Labyrinth</t>
        </is>
      </c>
      <c r="F17877" s="8" t="inlineStr">
        <is>
          <t>STANDBY</t>
        </is>
      </c>
      <c r="G17877" s="8" t="n">
        <v>0</v>
      </c>
      <c r="H17877" s="8" t="inlineStr">
        <is>
          <t>CLOSED</t>
        </is>
      </c>
    </row>
    <row r="17878">
      <c r="A17878" s="8" t="inlineStr">
        <is>
          <t>2026-08-04</t>
        </is>
      </c>
      <c r="B17878" s="8" t="n">
        <v>0</v>
      </c>
      <c r="C17878" s="8" t="n">
        <v>31</v>
      </c>
      <c r="D17878" s="8" t="inlineStr">
        <is>
          <t>Disneyland Park</t>
        </is>
      </c>
      <c r="E17878" s="8" t="inlineStr">
        <is>
          <t>Blanche-Neige et les Sept Nains®</t>
        </is>
      </c>
      <c r="F17878" s="8" t="inlineStr">
        <is>
          <t>STANDBY</t>
        </is>
      </c>
      <c r="G17878" s="8" t="n">
        <v>0</v>
      </c>
      <c r="H17878" s="8" t="inlineStr">
        <is>
          <t>CLOSED</t>
        </is>
      </c>
    </row>
    <row r="17879">
      <c r="A17879" s="8" t="inlineStr">
        <is>
          <t>2026-08-04</t>
        </is>
      </c>
      <c r="B17879" s="8" t="n">
        <v>0</v>
      </c>
      <c r="C17879" s="8" t="n">
        <v>31</v>
      </c>
      <c r="D17879" s="8" t="inlineStr">
        <is>
          <t>Disneyland Park</t>
        </is>
      </c>
      <c r="E17879" s="8" t="inlineStr">
        <is>
          <t>Casey Jr. – le Petit Train du Cirque</t>
        </is>
      </c>
      <c r="F17879" s="8" t="inlineStr">
        <is>
          <t>STANDBY</t>
        </is>
      </c>
      <c r="G17879" s="8" t="n">
        <v>0</v>
      </c>
      <c r="H17879" s="8" t="inlineStr">
        <is>
          <t>CLOSED</t>
        </is>
      </c>
    </row>
    <row r="17880">
      <c r="A17880" s="8" t="inlineStr">
        <is>
          <t>2026-08-04</t>
        </is>
      </c>
      <c r="B17880" s="8" t="n">
        <v>0</v>
      </c>
      <c r="C17880" s="8" t="n">
        <v>31</v>
      </c>
      <c r="D17880" s="8" t="inlineStr">
        <is>
          <t>Disneyland Park</t>
        </is>
      </c>
      <c r="E17880" s="8" t="inlineStr">
        <is>
          <t>Disneyland Railroad Fantasyland Station</t>
        </is>
      </c>
      <c r="F17880" s="8" t="inlineStr">
        <is>
          <t>STANDBY</t>
        </is>
      </c>
      <c r="G17880" s="8" t="n">
        <v>0</v>
      </c>
      <c r="H17880" s="8" t="inlineStr">
        <is>
          <t>CLOSED</t>
        </is>
      </c>
    </row>
    <row r="17881">
      <c r="A17881" s="8" t="inlineStr">
        <is>
          <t>2026-08-04</t>
        </is>
      </c>
      <c r="B17881" s="8" t="n">
        <v>0</v>
      </c>
      <c r="C17881" s="8" t="n">
        <v>31</v>
      </c>
      <c r="D17881" s="8" t="inlineStr">
        <is>
          <t>Disneyland Park</t>
        </is>
      </c>
      <c r="E17881" s="8" t="inlineStr">
        <is>
          <t>Disneyland Railroad Main Street Station</t>
        </is>
      </c>
      <c r="F17881" s="8" t="inlineStr">
        <is>
          <t>STANDBY</t>
        </is>
      </c>
      <c r="G17881" s="8" t="n">
        <v>0</v>
      </c>
      <c r="H17881" s="8" t="inlineStr">
        <is>
          <t>CLOSED</t>
        </is>
      </c>
    </row>
    <row r="17882">
      <c r="A17882" s="8" t="inlineStr">
        <is>
          <t>2026-08-04</t>
        </is>
      </c>
      <c r="B17882" s="8" t="n">
        <v>0</v>
      </c>
      <c r="C17882" s="8" t="n">
        <v>31</v>
      </c>
      <c r="D17882" s="8" t="inlineStr">
        <is>
          <t>Disneyland Park</t>
        </is>
      </c>
      <c r="E17882" s="8" t="inlineStr">
        <is>
          <t>Dumbo the Flying Elephant</t>
        </is>
      </c>
      <c r="F17882" s="8" t="inlineStr">
        <is>
          <t>STANDBY</t>
        </is>
      </c>
      <c r="G17882" s="8" t="n">
        <v>0</v>
      </c>
      <c r="H17882" s="8" t="inlineStr">
        <is>
          <t>CLOSED</t>
        </is>
      </c>
    </row>
    <row r="17883">
      <c r="A17883" s="8" t="inlineStr">
        <is>
          <t>2026-08-04</t>
        </is>
      </c>
      <c r="B17883" s="8" t="n">
        <v>0</v>
      </c>
      <c r="C17883" s="8" t="n">
        <v>31</v>
      </c>
      <c r="D17883" s="8" t="inlineStr">
        <is>
          <t>Disneyland Park</t>
        </is>
      </c>
      <c r="E17883" s="8" t="inlineStr">
        <is>
          <t>La Tanière du Dragon</t>
        </is>
      </c>
      <c r="F17883" s="8" t="inlineStr">
        <is>
          <t>STANDBY</t>
        </is>
      </c>
      <c r="G17883" s="8" t="n">
        <v>0</v>
      </c>
      <c r="H17883" s="8" t="inlineStr">
        <is>
          <t>CLOSED</t>
        </is>
      </c>
    </row>
    <row r="17884">
      <c r="A17884" s="8" t="inlineStr">
        <is>
          <t>2026-08-04</t>
        </is>
      </c>
      <c r="B17884" s="8" t="n">
        <v>0</v>
      </c>
      <c r="C17884" s="8" t="n">
        <v>31</v>
      </c>
      <c r="D17884" s="8" t="inlineStr">
        <is>
          <t>Disneyland Park</t>
        </is>
      </c>
      <c r="E17884" s="8" t="inlineStr">
        <is>
          <t>Le Carrousel de Lancelot</t>
        </is>
      </c>
      <c r="F17884" s="8" t="inlineStr">
        <is>
          <t>STANDBY</t>
        </is>
      </c>
      <c r="G17884" s="8" t="n">
        <v>0</v>
      </c>
      <c r="H17884" s="8" t="inlineStr">
        <is>
          <t>CLOSED</t>
        </is>
      </c>
    </row>
    <row r="17885">
      <c r="A17885" s="8" t="inlineStr">
        <is>
          <t>2026-08-04</t>
        </is>
      </c>
      <c r="B17885" s="8" t="n">
        <v>0</v>
      </c>
      <c r="C17885" s="8" t="n">
        <v>31</v>
      </c>
      <c r="D17885" s="8" t="inlineStr">
        <is>
          <t>Disneyland Park</t>
        </is>
      </c>
      <c r="E17885" s="8" t="inlineStr">
        <is>
          <t>Le Pays des Contes de Fées, presented by Vittel</t>
        </is>
      </c>
      <c r="F17885" s="8" t="inlineStr">
        <is>
          <t>STANDBY</t>
        </is>
      </c>
      <c r="G17885" s="8" t="n">
        <v>0</v>
      </c>
      <c r="H17885" s="8" t="inlineStr">
        <is>
          <t>CLOSED</t>
        </is>
      </c>
    </row>
    <row r="17886">
      <c r="A17886" s="8" t="inlineStr">
        <is>
          <t>2026-08-04</t>
        </is>
      </c>
      <c r="B17886" s="8" t="n">
        <v>0</v>
      </c>
      <c r="C17886" s="8" t="n">
        <v>31</v>
      </c>
      <c r="D17886" s="8" t="inlineStr">
        <is>
          <t>Disneyland Park</t>
        </is>
      </c>
      <c r="E17886" s="8" t="inlineStr">
        <is>
          <t>Les Voyages de Pinocchio</t>
        </is>
      </c>
      <c r="F17886" s="8" t="inlineStr">
        <is>
          <t>STANDBY</t>
        </is>
      </c>
      <c r="G17886" s="8" t="n">
        <v>0</v>
      </c>
      <c r="H17886" s="8" t="inlineStr">
        <is>
          <t>CLOSED</t>
        </is>
      </c>
    </row>
    <row r="17887">
      <c r="A17887" s="8" t="inlineStr">
        <is>
          <t>2026-08-04</t>
        </is>
      </c>
      <c r="B17887" s="8" t="n">
        <v>0</v>
      </c>
      <c r="C17887" s="8" t="n">
        <v>31</v>
      </c>
      <c r="D17887" s="8" t="inlineStr">
        <is>
          <t>Disneyland Park</t>
        </is>
      </c>
      <c r="E17887" s="8" t="inlineStr">
        <is>
          <t>Mad Hatter's Tea Cups</t>
        </is>
      </c>
      <c r="F17887" s="8" t="inlineStr">
        <is>
          <t>STANDBY</t>
        </is>
      </c>
      <c r="G17887" s="8" t="n">
        <v>0</v>
      </c>
      <c r="H17887" s="8" t="inlineStr">
        <is>
          <t>CLOSED</t>
        </is>
      </c>
    </row>
    <row r="17888">
      <c r="A17888" s="8" t="inlineStr">
        <is>
          <t>2026-08-04</t>
        </is>
      </c>
      <c r="B17888" s="8" t="n">
        <v>0</v>
      </c>
      <c r="C17888" s="8" t="n">
        <v>31</v>
      </c>
      <c r="D17888" s="8" t="inlineStr">
        <is>
          <t>Disneyland Park</t>
        </is>
      </c>
      <c r="E17888" s="8" t="inlineStr">
        <is>
          <t>Meet Mickey Mouse</t>
        </is>
      </c>
      <c r="F17888" s="8" t="inlineStr">
        <is>
          <t>STANDBY</t>
        </is>
      </c>
      <c r="G17888" s="8" t="n">
        <v>0</v>
      </c>
      <c r="H17888" s="8" t="inlineStr">
        <is>
          <t>CLOSED</t>
        </is>
      </c>
    </row>
    <row r="17889">
      <c r="A17889" s="8" t="inlineStr">
        <is>
          <t>2026-08-04</t>
        </is>
      </c>
      <c r="B17889" s="8" t="n">
        <v>0</v>
      </c>
      <c r="C17889" s="8" t="n">
        <v>31</v>
      </c>
      <c r="D17889" s="8" t="inlineStr">
        <is>
          <t>Disneyland Park</t>
        </is>
      </c>
      <c r="E17889" s="8" t="inlineStr">
        <is>
          <t>Peter Pan's Flight</t>
        </is>
      </c>
      <c r="F17889" s="8" t="inlineStr">
        <is>
          <t>STANDBY</t>
        </is>
      </c>
      <c r="G17889" s="8" t="n">
        <v>0</v>
      </c>
      <c r="H17889" s="8" t="inlineStr">
        <is>
          <t>CLOSED</t>
        </is>
      </c>
    </row>
    <row r="17890">
      <c r="A17890" s="8" t="inlineStr">
        <is>
          <t>2026-08-04</t>
        </is>
      </c>
      <c r="B17890" s="8" t="n">
        <v>0</v>
      </c>
      <c r="C17890" s="8" t="n">
        <v>31</v>
      </c>
      <c r="D17890" s="8" t="inlineStr">
        <is>
          <t>Disneyland Park</t>
        </is>
      </c>
      <c r="E17890" s="8" t="inlineStr">
        <is>
          <t>Princess Pavilion</t>
        </is>
      </c>
      <c r="F17890" s="8" t="inlineStr">
        <is>
          <t>STANDBY</t>
        </is>
      </c>
      <c r="G17890" s="8" t="n">
        <v>0</v>
      </c>
      <c r="H17890" s="8" t="inlineStr">
        <is>
          <t>CLOSED</t>
        </is>
      </c>
    </row>
    <row r="17891">
      <c r="A17891" s="8" t="inlineStr">
        <is>
          <t>2026-08-04</t>
        </is>
      </c>
      <c r="B17891" s="8" t="n">
        <v>0</v>
      </c>
      <c r="C17891" s="8" t="n">
        <v>31</v>
      </c>
      <c r="D17891" s="8" t="inlineStr">
        <is>
          <t>Disneyland Park</t>
        </is>
      </c>
      <c r="E17891" s="8" t="inlineStr">
        <is>
          <t>Big Thunder Mountain</t>
        </is>
      </c>
      <c r="F17891" s="8" t="inlineStr">
        <is>
          <t>STANDBY</t>
        </is>
      </c>
      <c r="G17891" s="8" t="n">
        <v>0</v>
      </c>
      <c r="H17891" s="8" t="inlineStr">
        <is>
          <t>CLOSED</t>
        </is>
      </c>
    </row>
    <row r="17892">
      <c r="A17892" s="8" t="inlineStr">
        <is>
          <t>2026-08-04</t>
        </is>
      </c>
      <c r="B17892" s="8" t="n">
        <v>0</v>
      </c>
      <c r="C17892" s="8" t="n">
        <v>31</v>
      </c>
      <c r="D17892" s="8" t="inlineStr">
        <is>
          <t>Disneyland Park</t>
        </is>
      </c>
      <c r="E17892" s="8" t="inlineStr">
        <is>
          <t>Disneyland Railroad Frontierland Depot</t>
        </is>
      </c>
      <c r="F17892" s="8" t="inlineStr">
        <is>
          <t>STANDBY</t>
        </is>
      </c>
      <c r="G17892" s="8" t="n">
        <v>0</v>
      </c>
      <c r="H17892" s="8" t="inlineStr">
        <is>
          <t>CLOSED</t>
        </is>
      </c>
    </row>
    <row r="17893">
      <c r="A17893" s="8" t="inlineStr">
        <is>
          <t>2026-08-04</t>
        </is>
      </c>
      <c r="B17893" s="8" t="n">
        <v>0</v>
      </c>
      <c r="C17893" s="8" t="n">
        <v>31</v>
      </c>
      <c r="D17893" s="8" t="inlineStr">
        <is>
          <t>Disneyland Park</t>
        </is>
      </c>
      <c r="E17893" s="8" t="inlineStr">
        <is>
          <t>Frontierland Playground</t>
        </is>
      </c>
      <c r="F17893" s="8" t="inlineStr">
        <is>
          <t>STANDBY</t>
        </is>
      </c>
      <c r="G17893" s="8" t="n">
        <v>0</v>
      </c>
      <c r="H17893" s="8" t="inlineStr">
        <is>
          <t>CLOSED</t>
        </is>
      </c>
    </row>
    <row r="17894">
      <c r="A17894" s="8" t="inlineStr">
        <is>
          <t>2026-08-04</t>
        </is>
      </c>
      <c r="B17894" s="8" t="n">
        <v>0</v>
      </c>
      <c r="C17894" s="8" t="n">
        <v>31</v>
      </c>
      <c r="D17894" s="8" t="inlineStr">
        <is>
          <t>Disneyland Park</t>
        </is>
      </c>
      <c r="E17894" s="8" t="inlineStr">
        <is>
          <t>Phantom Manor</t>
        </is>
      </c>
      <c r="F17894" s="8" t="inlineStr">
        <is>
          <t>STANDBY</t>
        </is>
      </c>
      <c r="G17894" s="8" t="n">
        <v>0</v>
      </c>
      <c r="H17894" s="8" t="inlineStr">
        <is>
          <t>CLOSED</t>
        </is>
      </c>
    </row>
    <row r="17895">
      <c r="A17895" s="8" t="inlineStr">
        <is>
          <t>2026-08-04</t>
        </is>
      </c>
      <c r="B17895" s="8" t="n">
        <v>0</v>
      </c>
      <c r="C17895" s="8" t="n">
        <v>31</v>
      </c>
      <c r="D17895" s="8" t="inlineStr">
        <is>
          <t>Disneyland Park</t>
        </is>
      </c>
      <c r="E17895" s="8" t="inlineStr">
        <is>
          <t>River Rogue Keelboats</t>
        </is>
      </c>
      <c r="F17895" s="8" t="inlineStr">
        <is>
          <t>STANDBY</t>
        </is>
      </c>
      <c r="G17895" s="8" t="n">
        <v>0</v>
      </c>
      <c r="H17895" s="8" t="inlineStr">
        <is>
          <t>CLOSED</t>
        </is>
      </c>
    </row>
    <row r="17896">
      <c r="A17896" s="8" t="inlineStr">
        <is>
          <t>2026-08-04</t>
        </is>
      </c>
      <c r="B17896" s="8" t="n">
        <v>0</v>
      </c>
      <c r="C17896" s="8" t="n">
        <v>31</v>
      </c>
      <c r="D17896" s="8" t="inlineStr">
        <is>
          <t>Disneyland Park</t>
        </is>
      </c>
      <c r="E17896" s="8" t="inlineStr">
        <is>
          <t>Rustler Roundup Shootin' Gallery</t>
        </is>
      </c>
      <c r="F17896" s="8" t="inlineStr">
        <is>
          <t>STANDBY</t>
        </is>
      </c>
      <c r="G17896" s="8" t="n">
        <v>0</v>
      </c>
      <c r="H17896" s="8" t="inlineStr">
        <is>
          <t>CLOSED</t>
        </is>
      </c>
    </row>
    <row r="17897">
      <c r="A17897" s="8" t="inlineStr">
        <is>
          <t>2026-08-04</t>
        </is>
      </c>
      <c r="B17897" s="8" t="n">
        <v>0</v>
      </c>
      <c r="C17897" s="8" t="n">
        <v>31</v>
      </c>
      <c r="D17897" s="8" t="inlineStr">
        <is>
          <t>Disneyland Park</t>
        </is>
      </c>
      <c r="E17897" s="8" t="inlineStr">
        <is>
          <t>Thunder Mesa Riverboat Landing</t>
        </is>
      </c>
      <c r="F17897" s="8" t="inlineStr">
        <is>
          <t>STANDBY</t>
        </is>
      </c>
      <c r="G17897" s="8" t="n">
        <v>0</v>
      </c>
      <c r="H17897" s="8" t="inlineStr">
        <is>
          <t>CLOSED</t>
        </is>
      </c>
    </row>
    <row r="17898">
      <c r="A17898" s="8" t="inlineStr">
        <is>
          <t>2026-08-04</t>
        </is>
      </c>
      <c r="B17898" s="8" t="n">
        <v>0</v>
      </c>
      <c r="C17898" s="8" t="n">
        <v>31</v>
      </c>
      <c r="D17898" s="8" t="inlineStr">
        <is>
          <t>Disneyland Park</t>
        </is>
      </c>
      <c r="E17898" s="8" t="inlineStr">
        <is>
          <t>Disneyland Railroad Main Street Station</t>
        </is>
      </c>
      <c r="F17898" s="8" t="inlineStr">
        <is>
          <t>STANDBY</t>
        </is>
      </c>
      <c r="G17898" s="8" t="n">
        <v>0</v>
      </c>
      <c r="H17898" s="8" t="inlineStr">
        <is>
          <t>CLOSED</t>
        </is>
      </c>
    </row>
    <row r="17899">
      <c r="A17899" s="8" t="inlineStr">
        <is>
          <t>2026-08-04</t>
        </is>
      </c>
      <c r="B17899" s="8" t="n">
        <v>0</v>
      </c>
      <c r="C17899" s="8" t="n">
        <v>31</v>
      </c>
      <c r="D17899" s="8" t="inlineStr">
        <is>
          <t>Disneyland Park</t>
        </is>
      </c>
      <c r="E17899" s="8" t="inlineStr">
        <is>
          <t>Main Street Vehicles</t>
        </is>
      </c>
      <c r="F17899" s="8" t="inlineStr">
        <is>
          <t>STANDBY</t>
        </is>
      </c>
      <c r="G17899" s="8" t="n">
        <v>0</v>
      </c>
      <c r="H17899" s="8" t="inlineStr">
        <is>
          <t>CLOSED</t>
        </is>
      </c>
    </row>
    <row r="17900">
      <c r="A17900" s="8" t="inlineStr">
        <is>
          <t>2026-08-04</t>
        </is>
      </c>
      <c r="B17900" s="8" t="n">
        <v>0</v>
      </c>
      <c r="C17900" s="8" t="n">
        <v>31</v>
      </c>
      <c r="D17900" s="8" t="inlineStr">
        <is>
          <t>Disney Adventure World</t>
        </is>
      </c>
      <c r="E17900" s="8" t="inlineStr">
        <is>
          <t>Avengers Assemble: Flight Force</t>
        </is>
      </c>
      <c r="F17900" s="8" t="inlineStr">
        <is>
          <t>STANDBY</t>
        </is>
      </c>
      <c r="G17900" s="8" t="n">
        <v>0</v>
      </c>
      <c r="H17900" s="8" t="inlineStr">
        <is>
          <t>CLOSED</t>
        </is>
      </c>
    </row>
    <row r="17901">
      <c r="A17901" s="8" t="inlineStr">
        <is>
          <t>2026-08-04</t>
        </is>
      </c>
      <c r="B17901" s="8" t="n">
        <v>0</v>
      </c>
      <c r="C17901" s="8" t="n">
        <v>31</v>
      </c>
      <c r="D17901" s="8" t="inlineStr">
        <is>
          <t>Disney Adventure World</t>
        </is>
      </c>
      <c r="E17901" s="8" t="inlineStr">
        <is>
          <t>Avengers Assemble: Flight Force Single Rider</t>
        </is>
      </c>
      <c r="F17901" s="8" t="inlineStr">
        <is>
          <t>STANDBY</t>
        </is>
      </c>
      <c r="G17901" s="8" t="n">
        <v>0</v>
      </c>
      <c r="H17901" s="8" t="inlineStr">
        <is>
          <t>CLOSED</t>
        </is>
      </c>
    </row>
    <row r="17902">
      <c r="A17902" s="8" t="inlineStr">
        <is>
          <t>2026-08-04</t>
        </is>
      </c>
      <c r="B17902" s="8" t="n">
        <v>0</v>
      </c>
      <c r="C17902" s="8" t="n">
        <v>31</v>
      </c>
      <c r="D17902" s="8" t="inlineStr">
        <is>
          <t>Disney Adventure World</t>
        </is>
      </c>
      <c r="E17902" s="8" t="inlineStr">
        <is>
          <t>Spider-Man W.E.B. Adventure</t>
        </is>
      </c>
      <c r="F17902" s="8" t="inlineStr">
        <is>
          <t>STANDBY</t>
        </is>
      </c>
      <c r="G17902" s="8" t="n">
        <v>0</v>
      </c>
      <c r="H17902" s="8" t="inlineStr">
        <is>
          <t>CLOSED</t>
        </is>
      </c>
    </row>
    <row r="17903">
      <c r="A17903" s="8" t="inlineStr">
        <is>
          <t>2026-08-04</t>
        </is>
      </c>
      <c r="B17903" s="8" t="n">
        <v>0</v>
      </c>
      <c r="C17903" s="8" t="n">
        <v>31</v>
      </c>
      <c r="D17903" s="8" t="inlineStr">
        <is>
          <t>Disney Adventure World</t>
        </is>
      </c>
      <c r="E17903" s="8" t="inlineStr">
        <is>
          <t>Spider-Man W.E.B. Adventure Single Rider</t>
        </is>
      </c>
      <c r="F17903" s="8" t="inlineStr">
        <is>
          <t>STANDBY</t>
        </is>
      </c>
      <c r="G17903" s="8" t="n">
        <v>0</v>
      </c>
      <c r="H17903" s="8" t="inlineStr">
        <is>
          <t>CLOSED</t>
        </is>
      </c>
    </row>
    <row r="17904">
      <c r="A17904" s="8" t="inlineStr">
        <is>
          <t>2026-08-04</t>
        </is>
      </c>
      <c r="B17904" s="8" t="n">
        <v>0</v>
      </c>
      <c r="C17904" s="8" t="n">
        <v>31</v>
      </c>
      <c r="D17904" s="8" t="inlineStr">
        <is>
          <t>Disney Adventure World</t>
        </is>
      </c>
      <c r="E17904" s="8" t="inlineStr">
        <is>
          <t>The Twilight Zone Tower of Terror</t>
        </is>
      </c>
      <c r="F17904" s="8" t="inlineStr">
        <is>
          <t>STANDBY</t>
        </is>
      </c>
      <c r="G17904" s="8" t="n">
        <v>0</v>
      </c>
      <c r="H17904" s="8" t="inlineStr">
        <is>
          <t>CLOSED</t>
        </is>
      </c>
    </row>
    <row r="17905">
      <c r="A17905" s="8" t="inlineStr">
        <is>
          <t>2026-08-04</t>
        </is>
      </c>
      <c r="B17905" s="8" t="n">
        <v>0</v>
      </c>
      <c r="C17905" s="8" t="n">
        <v>31</v>
      </c>
      <c r="D17905" s="8" t="inlineStr">
        <is>
          <t>Disney Adventure World</t>
        </is>
      </c>
      <c r="E17905" s="8" t="inlineStr">
        <is>
          <t>Cars Quatre Roues Rallye</t>
        </is>
      </c>
      <c r="F17905" s="8" t="inlineStr">
        <is>
          <t>STANDBY</t>
        </is>
      </c>
      <c r="G17905" s="8" t="n">
        <v>0</v>
      </c>
      <c r="H17905" s="8" t="inlineStr">
        <is>
          <t>CLOSED</t>
        </is>
      </c>
    </row>
    <row r="17906">
      <c r="A17906" s="8" t="inlineStr">
        <is>
          <t>2026-08-04</t>
        </is>
      </c>
      <c r="B17906" s="8" t="n">
        <v>0</v>
      </c>
      <c r="C17906" s="8" t="n">
        <v>31</v>
      </c>
      <c r="D17906" s="8" t="inlineStr">
        <is>
          <t>Disney Adventure World</t>
        </is>
      </c>
      <c r="E17906" s="8" t="inlineStr">
        <is>
          <t>Cars ROAD TRIP</t>
        </is>
      </c>
      <c r="F17906" s="8" t="inlineStr">
        <is>
          <t>STANDBY</t>
        </is>
      </c>
      <c r="G17906" s="8" t="n">
        <v>0</v>
      </c>
      <c r="H17906" s="8" t="inlineStr">
        <is>
          <t>CLOSED</t>
        </is>
      </c>
    </row>
    <row r="17907">
      <c r="A17907" s="8" t="inlineStr">
        <is>
          <t>2026-08-04</t>
        </is>
      </c>
      <c r="B17907" s="8" t="n">
        <v>0</v>
      </c>
      <c r="C17907" s="8" t="n">
        <v>31</v>
      </c>
      <c r="D17907" s="8" t="inlineStr">
        <is>
          <t>Disney Adventure World</t>
        </is>
      </c>
      <c r="E17907" s="8" t="inlineStr">
        <is>
          <t>Crush's Coaster</t>
        </is>
      </c>
      <c r="F17907" s="8" t="inlineStr">
        <is>
          <t>STANDBY</t>
        </is>
      </c>
      <c r="G17907" s="8" t="n">
        <v>0</v>
      </c>
      <c r="H17907" s="8" t="inlineStr">
        <is>
          <t>CLOSED</t>
        </is>
      </c>
    </row>
    <row r="17908">
      <c r="A17908" s="8" t="inlineStr">
        <is>
          <t>2026-08-04</t>
        </is>
      </c>
      <c r="B17908" s="8" t="n">
        <v>0</v>
      </c>
      <c r="C17908" s="8" t="n">
        <v>31</v>
      </c>
      <c r="D17908" s="8" t="inlineStr">
        <is>
          <t>Disney Adventure World</t>
        </is>
      </c>
      <c r="E17908" s="8" t="inlineStr">
        <is>
          <t>Crush's Coaster Single Rider</t>
        </is>
      </c>
      <c r="F17908" s="8" t="inlineStr">
        <is>
          <t>STANDBY</t>
        </is>
      </c>
      <c r="G17908" s="8" t="n">
        <v>0</v>
      </c>
      <c r="H17908" s="8" t="inlineStr">
        <is>
          <t>CLOSED</t>
        </is>
      </c>
    </row>
    <row r="17909">
      <c r="A17909" s="8" t="inlineStr">
        <is>
          <t>2026-08-04</t>
        </is>
      </c>
      <c r="B17909" s="8" t="n">
        <v>0</v>
      </c>
      <c r="C17909" s="8" t="n">
        <v>31</v>
      </c>
      <c r="D17909" s="8" t="inlineStr">
        <is>
          <t>Disney Adventure World</t>
        </is>
      </c>
      <c r="E17909" s="8" t="inlineStr">
        <is>
          <t>Les Tapis Volants - Flying Carpets Over Agrabah®</t>
        </is>
      </c>
      <c r="F17909" s="8" t="inlineStr">
        <is>
          <t>STANDBY</t>
        </is>
      </c>
      <c r="G17909" s="8" t="n">
        <v>0</v>
      </c>
      <c r="H17909" s="8" t="inlineStr">
        <is>
          <t>CLOSED</t>
        </is>
      </c>
    </row>
    <row r="17910">
      <c r="A17910" s="8" t="inlineStr">
        <is>
          <t>2026-08-04</t>
        </is>
      </c>
      <c r="B17910" s="8" t="n">
        <v>0</v>
      </c>
      <c r="C17910" s="8" t="n">
        <v>31</v>
      </c>
      <c r="D17910" s="8" t="inlineStr">
        <is>
          <t>Disney Adventure World</t>
        </is>
      </c>
      <c r="E17910" s="8" t="inlineStr">
        <is>
          <t>Ratatouille : L’Aventure Totalement Toquée de Rémy​</t>
        </is>
      </c>
      <c r="F17910" s="8" t="inlineStr">
        <is>
          <t>STANDBY</t>
        </is>
      </c>
      <c r="G17910" s="8" t="n">
        <v>0</v>
      </c>
      <c r="H17910" s="8" t="inlineStr">
        <is>
          <t>CLOSED</t>
        </is>
      </c>
    </row>
    <row r="17911">
      <c r="A17911" s="8" t="inlineStr">
        <is>
          <t>2026-08-04</t>
        </is>
      </c>
      <c r="B17911" s="8" t="n">
        <v>0</v>
      </c>
      <c r="C17911" s="8" t="n">
        <v>31</v>
      </c>
      <c r="D17911" s="8" t="inlineStr">
        <is>
          <t>Disney Adventure World</t>
        </is>
      </c>
      <c r="E17911" s="8" t="inlineStr">
        <is>
          <t>Ratatouille: The Adventure Single Rider</t>
        </is>
      </c>
      <c r="F17911" s="8" t="inlineStr">
        <is>
          <t>STANDBY</t>
        </is>
      </c>
      <c r="G17911" s="8" t="n">
        <v>0</v>
      </c>
      <c r="H17911" s="8" t="inlineStr">
        <is>
          <t>CLOSED</t>
        </is>
      </c>
    </row>
    <row r="17912">
      <c r="A17912" s="8" t="inlineStr">
        <is>
          <t>2026-08-04</t>
        </is>
      </c>
      <c r="B17912" s="8" t="n">
        <v>0</v>
      </c>
      <c r="C17912" s="8" t="n">
        <v>31</v>
      </c>
      <c r="D17912" s="8" t="inlineStr">
        <is>
          <t>Disney Adventure World</t>
        </is>
      </c>
      <c r="E17912" s="8" t="inlineStr">
        <is>
          <t>RC Racer</t>
        </is>
      </c>
      <c r="F17912" s="8" t="inlineStr">
        <is>
          <t>STANDBY</t>
        </is>
      </c>
      <c r="G17912" s="8" t="n">
        <v>0</v>
      </c>
      <c r="H17912" s="8" t="inlineStr">
        <is>
          <t>CLOSED</t>
        </is>
      </c>
    </row>
    <row r="17913">
      <c r="A17913" s="8" t="inlineStr">
        <is>
          <t>2026-08-04</t>
        </is>
      </c>
      <c r="B17913" s="8" t="n">
        <v>0</v>
      </c>
      <c r="C17913" s="8" t="n">
        <v>31</v>
      </c>
      <c r="D17913" s="8" t="inlineStr">
        <is>
          <t>Disney Adventure World</t>
        </is>
      </c>
      <c r="E17913" s="8" t="inlineStr">
        <is>
          <t>RC Racer Single Rider</t>
        </is>
      </c>
      <c r="F17913" s="8" t="inlineStr">
        <is>
          <t>STANDBY</t>
        </is>
      </c>
      <c r="G17913" s="8" t="n">
        <v>0</v>
      </c>
      <c r="H17913" s="8" t="inlineStr">
        <is>
          <t>CLOSED</t>
        </is>
      </c>
    </row>
    <row r="17914">
      <c r="A17914" s="8" t="inlineStr">
        <is>
          <t>2026-08-04</t>
        </is>
      </c>
      <c r="B17914" s="8" t="n">
        <v>0</v>
      </c>
      <c r="C17914" s="8" t="n">
        <v>31</v>
      </c>
      <c r="D17914" s="8" t="inlineStr">
        <is>
          <t>Disney Adventure World</t>
        </is>
      </c>
      <c r="E17914" s="8" t="inlineStr">
        <is>
          <t>Slinky® Dog Zigzag Spin</t>
        </is>
      </c>
      <c r="F17914" s="8" t="inlineStr">
        <is>
          <t>STANDBY</t>
        </is>
      </c>
      <c r="G17914" s="8" t="n">
        <v>0</v>
      </c>
      <c r="H17914" s="8" t="inlineStr">
        <is>
          <t>CLOSED</t>
        </is>
      </c>
    </row>
    <row r="17915">
      <c r="A17915" s="8" t="inlineStr">
        <is>
          <t>2026-08-04</t>
        </is>
      </c>
      <c r="B17915" s="8" t="n">
        <v>0</v>
      </c>
      <c r="C17915" s="8" t="n">
        <v>31</v>
      </c>
      <c r="D17915" s="8" t="inlineStr">
        <is>
          <t>Disney Adventure World</t>
        </is>
      </c>
      <c r="E17915" s="8" t="inlineStr">
        <is>
          <t>Toy Soldiers Parachute Drop</t>
        </is>
      </c>
      <c r="F17915" s="8" t="inlineStr">
        <is>
          <t>STANDBY</t>
        </is>
      </c>
      <c r="G17915" s="8" t="n">
        <v>0</v>
      </c>
      <c r="H17915" s="8" t="inlineStr">
        <is>
          <t>CLOSED</t>
        </is>
      </c>
    </row>
    <row r="17916">
      <c r="A17916" s="8" t="inlineStr">
        <is>
          <t>2026-08-04</t>
        </is>
      </c>
      <c r="B17916" s="8" t="n">
        <v>0</v>
      </c>
      <c r="C17916" s="8" t="n">
        <v>31</v>
      </c>
      <c r="D17916" s="8" t="inlineStr">
        <is>
          <t>Disney Adventure World</t>
        </is>
      </c>
      <c r="E17916" s="8" t="inlineStr">
        <is>
          <t>Toy Soldiers Parachute Drop Single Rider</t>
        </is>
      </c>
      <c r="F17916" s="8" t="inlineStr">
        <is>
          <t>STANDBY</t>
        </is>
      </c>
      <c r="G17916" s="8" t="n">
        <v>0</v>
      </c>
      <c r="H17916" s="8" t="inlineStr">
        <is>
          <t>CLOSED</t>
        </is>
      </c>
    </row>
    <row r="17917">
      <c r="A17917" s="8" t="inlineStr">
        <is>
          <t>2026-08-04</t>
        </is>
      </c>
      <c r="B17917" s="8" t="n">
        <v>0</v>
      </c>
      <c r="C17917" s="8" t="n">
        <v>31</v>
      </c>
      <c r="D17917" s="8" t="inlineStr">
        <is>
          <t>Disney Adventure World</t>
        </is>
      </c>
      <c r="E17917" s="8" t="inlineStr">
        <is>
          <t>Entry to World of Frozen</t>
        </is>
      </c>
      <c r="F17917" s="8" t="inlineStr">
        <is>
          <t>STANDBY</t>
        </is>
      </c>
      <c r="G17917" s="8" t="n">
        <v>0</v>
      </c>
      <c r="H17917" s="8" t="inlineStr">
        <is>
          <t>CLOSED</t>
        </is>
      </c>
    </row>
    <row r="17918">
      <c r="A17918" s="8" t="inlineStr">
        <is>
          <t>2026-08-04</t>
        </is>
      </c>
      <c r="B17918" s="8" t="n">
        <v>0</v>
      </c>
      <c r="C17918" s="8" t="n">
        <v>31</v>
      </c>
      <c r="D17918" s="8" t="inlineStr">
        <is>
          <t>Disney Adventure World</t>
        </is>
      </c>
      <c r="E17918" s="8" t="inlineStr">
        <is>
          <t>Frozen Ever After</t>
        </is>
      </c>
      <c r="F17918" s="8" t="inlineStr">
        <is>
          <t>STANDBY</t>
        </is>
      </c>
      <c r="G17918" s="8" t="n">
        <v>0</v>
      </c>
      <c r="H17918" s="8" t="inlineStr">
        <is>
          <t>CLOSED</t>
        </is>
      </c>
    </row>
    <row r="17919">
      <c r="A17919" s="8" t="inlineStr">
        <is>
          <t>2026-08-04</t>
        </is>
      </c>
      <c r="B17919" s="8" t="n">
        <v>0</v>
      </c>
      <c r="C17919" s="8" t="n">
        <v>31</v>
      </c>
      <c r="D17919" s="8" t="inlineStr">
        <is>
          <t>Disney Adventure World</t>
        </is>
      </c>
      <c r="E17919" s="8" t="inlineStr">
        <is>
          <t>Raiponce Tangled Spin</t>
        </is>
      </c>
      <c r="F17919" s="8" t="inlineStr">
        <is>
          <t>STANDBY</t>
        </is>
      </c>
      <c r="G17919" s="8" t="n">
        <v>0</v>
      </c>
      <c r="H17919" s="8" t="inlineStr">
        <is>
          <t>CLOSED</t>
        </is>
      </c>
    </row>
    <row r="17920">
      <c r="A17920" s="8" t="inlineStr">
        <is>
          <t>2026-08-04</t>
        </is>
      </c>
      <c r="B17920" s="8" t="n">
        <v>0</v>
      </c>
      <c r="C17920" s="8" t="n">
        <v>45</v>
      </c>
      <c r="D17920" s="8" t="inlineStr">
        <is>
          <t>Disneyland Park</t>
        </is>
      </c>
      <c r="E17920" s="8" t="inlineStr">
        <is>
          <t>Adventure Isle</t>
        </is>
      </c>
      <c r="F17920" s="8" t="inlineStr">
        <is>
          <t>STANDBY</t>
        </is>
      </c>
      <c r="G17920" s="8" t="n">
        <v>0</v>
      </c>
      <c r="H17920" s="8" t="inlineStr">
        <is>
          <t>CLOSED</t>
        </is>
      </c>
    </row>
    <row r="17921">
      <c r="A17921" s="8" t="inlineStr">
        <is>
          <t>2026-08-04</t>
        </is>
      </c>
      <c r="B17921" s="8" t="n">
        <v>0</v>
      </c>
      <c r="C17921" s="8" t="n">
        <v>45</v>
      </c>
      <c r="D17921" s="8" t="inlineStr">
        <is>
          <t>Disneyland Park</t>
        </is>
      </c>
      <c r="E17921" s="8" t="inlineStr">
        <is>
          <t>Indiana Jones and the Temple of Peril Single Rider</t>
        </is>
      </c>
      <c r="F17921" s="8" t="inlineStr">
        <is>
          <t>STANDBY</t>
        </is>
      </c>
      <c r="G17921" s="8" t="n">
        <v>0</v>
      </c>
      <c r="H17921" s="8" t="inlineStr">
        <is>
          <t>CLOSED</t>
        </is>
      </c>
    </row>
    <row r="17922">
      <c r="A17922" s="8" t="inlineStr">
        <is>
          <t>2026-08-04</t>
        </is>
      </c>
      <c r="B17922" s="8" t="n">
        <v>0</v>
      </c>
      <c r="C17922" s="8" t="n">
        <v>45</v>
      </c>
      <c r="D17922" s="8" t="inlineStr">
        <is>
          <t>Disneyland Park</t>
        </is>
      </c>
      <c r="E17922" s="8" t="inlineStr">
        <is>
          <t>Indiana Jones™ and the Temple of Peril</t>
        </is>
      </c>
      <c r="F17922" s="8" t="inlineStr">
        <is>
          <t>STANDBY</t>
        </is>
      </c>
      <c r="G17922" s="8" t="n">
        <v>0</v>
      </c>
      <c r="H17922" s="8" t="inlineStr">
        <is>
          <t>CLOSED</t>
        </is>
      </c>
    </row>
    <row r="17923">
      <c r="A17923" s="8" t="inlineStr">
        <is>
          <t>2026-08-04</t>
        </is>
      </c>
      <c r="B17923" s="8" t="n">
        <v>0</v>
      </c>
      <c r="C17923" s="8" t="n">
        <v>45</v>
      </c>
      <c r="D17923" s="8" t="inlineStr">
        <is>
          <t>Disneyland Park</t>
        </is>
      </c>
      <c r="E17923" s="8" t="inlineStr">
        <is>
          <t>La Cabane des Robinson</t>
        </is>
      </c>
      <c r="F17923" s="8" t="inlineStr">
        <is>
          <t>STANDBY</t>
        </is>
      </c>
      <c r="G17923" s="8" t="n">
        <v>0</v>
      </c>
      <c r="H17923" s="8" t="inlineStr">
        <is>
          <t>CLOSED</t>
        </is>
      </c>
    </row>
    <row r="17924">
      <c r="A17924" s="8" t="inlineStr">
        <is>
          <t>2026-08-04</t>
        </is>
      </c>
      <c r="B17924" s="8" t="n">
        <v>0</v>
      </c>
      <c r="C17924" s="8" t="n">
        <v>45</v>
      </c>
      <c r="D17924" s="8" t="inlineStr">
        <is>
          <t>Disneyland Park</t>
        </is>
      </c>
      <c r="E17924" s="8" t="inlineStr">
        <is>
          <t>Le Passage Enchanté d'Aladdin</t>
        </is>
      </c>
      <c r="F17924" s="8" t="inlineStr">
        <is>
          <t>STANDBY</t>
        </is>
      </c>
      <c r="G17924" s="8" t="n">
        <v>0</v>
      </c>
      <c r="H17924" s="8" t="inlineStr">
        <is>
          <t>CLOSED</t>
        </is>
      </c>
    </row>
    <row r="17925">
      <c r="A17925" s="8" t="inlineStr">
        <is>
          <t>2026-08-04</t>
        </is>
      </c>
      <c r="B17925" s="8" t="n">
        <v>0</v>
      </c>
      <c r="C17925" s="8" t="n">
        <v>45</v>
      </c>
      <c r="D17925" s="8" t="inlineStr">
        <is>
          <t>Disneyland Park</t>
        </is>
      </c>
      <c r="E17925" s="8" t="inlineStr">
        <is>
          <t>Pirate Galleon</t>
        </is>
      </c>
      <c r="F17925" s="8" t="inlineStr">
        <is>
          <t>STANDBY</t>
        </is>
      </c>
      <c r="G17925" s="8" t="n">
        <v>0</v>
      </c>
      <c r="H17925" s="8" t="inlineStr">
        <is>
          <t>CLOSED</t>
        </is>
      </c>
    </row>
    <row r="17926">
      <c r="A17926" s="8" t="inlineStr">
        <is>
          <t>2026-08-04</t>
        </is>
      </c>
      <c r="B17926" s="8" t="n">
        <v>0</v>
      </c>
      <c r="C17926" s="8" t="n">
        <v>45</v>
      </c>
      <c r="D17926" s="8" t="inlineStr">
        <is>
          <t>Disneyland Park</t>
        </is>
      </c>
      <c r="E17926" s="8" t="inlineStr">
        <is>
          <t>Pirates of the Caribbean</t>
        </is>
      </c>
      <c r="F17926" s="8" t="inlineStr">
        <is>
          <t>STANDBY</t>
        </is>
      </c>
      <c r="G17926" s="8" t="n">
        <v>0</v>
      </c>
      <c r="H17926" s="8" t="inlineStr">
        <is>
          <t>CLOSED</t>
        </is>
      </c>
    </row>
    <row r="17927">
      <c r="A17927" s="8" t="inlineStr">
        <is>
          <t>2026-08-04</t>
        </is>
      </c>
      <c r="B17927" s="8" t="n">
        <v>0</v>
      </c>
      <c r="C17927" s="8" t="n">
        <v>45</v>
      </c>
      <c r="D17927" s="8" t="inlineStr">
        <is>
          <t>Disneyland Park</t>
        </is>
      </c>
      <c r="E17927" s="8" t="inlineStr">
        <is>
          <t>Pirates' Beach</t>
        </is>
      </c>
      <c r="F17927" s="8" t="inlineStr">
        <is>
          <t>STANDBY</t>
        </is>
      </c>
      <c r="G17927" s="8" t="n">
        <v>0</v>
      </c>
      <c r="H17927" s="8" t="inlineStr">
        <is>
          <t>CLOSED</t>
        </is>
      </c>
    </row>
    <row r="17928">
      <c r="A17928" s="8" t="inlineStr">
        <is>
          <t>2026-08-04</t>
        </is>
      </c>
      <c r="B17928" s="8" t="n">
        <v>0</v>
      </c>
      <c r="C17928" s="8" t="n">
        <v>45</v>
      </c>
      <c r="D17928" s="8" t="inlineStr">
        <is>
          <t>Disneyland Park</t>
        </is>
      </c>
      <c r="E17928" s="8" t="inlineStr">
        <is>
          <t>Autopia, presented by Avis</t>
        </is>
      </c>
      <c r="F17928" s="8" t="inlineStr">
        <is>
          <t>STANDBY</t>
        </is>
      </c>
      <c r="G17928" s="8" t="n">
        <v>0</v>
      </c>
      <c r="H17928" s="8" t="inlineStr">
        <is>
          <t>CLOSED</t>
        </is>
      </c>
    </row>
    <row r="17929">
      <c r="A17929" s="8" t="inlineStr">
        <is>
          <t>2026-08-04</t>
        </is>
      </c>
      <c r="B17929" s="8" t="n">
        <v>0</v>
      </c>
      <c r="C17929" s="8" t="n">
        <v>45</v>
      </c>
      <c r="D17929" s="8" t="inlineStr">
        <is>
          <t>Disneyland Park</t>
        </is>
      </c>
      <c r="E17929" s="8" t="inlineStr">
        <is>
          <t>Buzz Lightyear Laser Blast</t>
        </is>
      </c>
      <c r="F17929" s="8" t="inlineStr">
        <is>
          <t>STANDBY</t>
        </is>
      </c>
      <c r="G17929" s="8" t="n">
        <v>0</v>
      </c>
      <c r="H17929" s="8" t="inlineStr">
        <is>
          <t>CLOSED</t>
        </is>
      </c>
    </row>
    <row r="17930">
      <c r="A17930" s="8" t="inlineStr">
        <is>
          <t>2026-08-04</t>
        </is>
      </c>
      <c r="B17930" s="8" t="n">
        <v>0</v>
      </c>
      <c r="C17930" s="8" t="n">
        <v>45</v>
      </c>
      <c r="D17930" s="8" t="inlineStr">
        <is>
          <t>Disneyland Park</t>
        </is>
      </c>
      <c r="E17930" s="8" t="inlineStr">
        <is>
          <t>Disneyland Railroad Discoveryland Station</t>
        </is>
      </c>
      <c r="F17930" s="8" t="inlineStr">
        <is>
          <t>STANDBY</t>
        </is>
      </c>
      <c r="G17930" s="8" t="n">
        <v>0</v>
      </c>
      <c r="H17930" s="8" t="inlineStr">
        <is>
          <t>CLOSED</t>
        </is>
      </c>
    </row>
    <row r="17931">
      <c r="A17931" s="8" t="inlineStr">
        <is>
          <t>2026-08-04</t>
        </is>
      </c>
      <c r="B17931" s="8" t="n">
        <v>0</v>
      </c>
      <c r="C17931" s="8" t="n">
        <v>45</v>
      </c>
      <c r="D17931" s="8" t="inlineStr">
        <is>
          <t>Disneyland Park</t>
        </is>
      </c>
      <c r="E17931" s="8" t="inlineStr">
        <is>
          <t>Les Mystères du Nautilus</t>
        </is>
      </c>
      <c r="F17931" s="8" t="inlineStr">
        <is>
          <t>STANDBY</t>
        </is>
      </c>
      <c r="G17931" s="8" t="n">
        <v>0</v>
      </c>
      <c r="H17931" s="8" t="inlineStr">
        <is>
          <t>CLOSED</t>
        </is>
      </c>
    </row>
    <row r="17932">
      <c r="A17932" s="8" t="inlineStr">
        <is>
          <t>2026-08-04</t>
        </is>
      </c>
      <c r="B17932" s="8" t="n">
        <v>0</v>
      </c>
      <c r="C17932" s="8" t="n">
        <v>45</v>
      </c>
      <c r="D17932" s="8" t="inlineStr">
        <is>
          <t>Disneyland Park</t>
        </is>
      </c>
      <c r="E17932" s="8" t="inlineStr">
        <is>
          <t>Mickey’s PhilharMagic</t>
        </is>
      </c>
      <c r="F17932" s="8" t="inlineStr">
        <is>
          <t>STANDBY</t>
        </is>
      </c>
      <c r="G17932" s="8" t="n">
        <v>0</v>
      </c>
      <c r="H17932" s="8" t="inlineStr">
        <is>
          <t>CLOSED</t>
        </is>
      </c>
    </row>
    <row r="17933">
      <c r="A17933" s="8" t="inlineStr">
        <is>
          <t>2026-08-04</t>
        </is>
      </c>
      <c r="B17933" s="8" t="n">
        <v>0</v>
      </c>
      <c r="C17933" s="8" t="n">
        <v>45</v>
      </c>
      <c r="D17933" s="8" t="inlineStr">
        <is>
          <t>Disneyland Park</t>
        </is>
      </c>
      <c r="E17933" s="8" t="inlineStr">
        <is>
          <t>Orbitron®</t>
        </is>
      </c>
      <c r="F17933" s="8" t="inlineStr">
        <is>
          <t>STANDBY</t>
        </is>
      </c>
      <c r="G17933" s="8" t="n">
        <v>0</v>
      </c>
      <c r="H17933" s="8" t="inlineStr">
        <is>
          <t>CLOSED</t>
        </is>
      </c>
    </row>
    <row r="17934">
      <c r="A17934" s="8" t="inlineStr">
        <is>
          <t>2026-08-04</t>
        </is>
      </c>
      <c r="B17934" s="8" t="n">
        <v>0</v>
      </c>
      <c r="C17934" s="8" t="n">
        <v>45</v>
      </c>
      <c r="D17934" s="8" t="inlineStr">
        <is>
          <t>Disneyland Park</t>
        </is>
      </c>
      <c r="E17934" s="8" t="inlineStr">
        <is>
          <t>Star Tours: The Adventures Continue*</t>
        </is>
      </c>
      <c r="F17934" s="8" t="inlineStr">
        <is>
          <t>STANDBY</t>
        </is>
      </c>
      <c r="G17934" s="8" t="n">
        <v>0</v>
      </c>
      <c r="H17934" s="8" t="inlineStr">
        <is>
          <t>CLOSED</t>
        </is>
      </c>
    </row>
    <row r="17935">
      <c r="A17935" s="8" t="inlineStr">
        <is>
          <t>2026-08-04</t>
        </is>
      </c>
      <c r="B17935" s="8" t="n">
        <v>0</v>
      </c>
      <c r="C17935" s="8" t="n">
        <v>45</v>
      </c>
      <c r="D17935" s="8" t="inlineStr">
        <is>
          <t>Disneyland Park</t>
        </is>
      </c>
      <c r="E17935" s="8" t="inlineStr">
        <is>
          <t>Star Wars Hyperspace Mountain</t>
        </is>
      </c>
      <c r="F17935" s="8" t="inlineStr">
        <is>
          <t>STANDBY</t>
        </is>
      </c>
      <c r="G17935" s="8" t="n">
        <v>0</v>
      </c>
      <c r="H17935" s="8" t="inlineStr">
        <is>
          <t>CLOSED</t>
        </is>
      </c>
    </row>
    <row r="17936">
      <c r="A17936" s="8" t="inlineStr">
        <is>
          <t>2026-08-04</t>
        </is>
      </c>
      <c r="B17936" s="8" t="n">
        <v>0</v>
      </c>
      <c r="C17936" s="8" t="n">
        <v>45</v>
      </c>
      <c r="D17936" s="8" t="inlineStr">
        <is>
          <t>Disneyland Park</t>
        </is>
      </c>
      <c r="E17936" s="8" t="inlineStr">
        <is>
          <t>Star Wars Hyperspace Mountain Single Rider</t>
        </is>
      </c>
      <c r="F17936" s="8" t="inlineStr">
        <is>
          <t>STANDBY</t>
        </is>
      </c>
      <c r="G17936" s="8" t="n">
        <v>0</v>
      </c>
      <c r="H17936" s="8" t="inlineStr">
        <is>
          <t>CLOSED</t>
        </is>
      </c>
    </row>
    <row r="17937">
      <c r="A17937" s="8" t="inlineStr">
        <is>
          <t>2026-08-04</t>
        </is>
      </c>
      <c r="B17937" s="8" t="n">
        <v>0</v>
      </c>
      <c r="C17937" s="8" t="n">
        <v>45</v>
      </c>
      <c r="D17937" s="8" t="inlineStr">
        <is>
          <t>Disneyland Park</t>
        </is>
      </c>
      <c r="E17937" s="8" t="inlineStr">
        <is>
          <t>Welcome to Starport: A Star Wars Encounter</t>
        </is>
      </c>
      <c r="F17937" s="8" t="inlineStr">
        <is>
          <t>STANDBY</t>
        </is>
      </c>
      <c r="G17937" s="8" t="n">
        <v>0</v>
      </c>
      <c r="H17937" s="8" t="inlineStr">
        <is>
          <t>CLOSED</t>
        </is>
      </c>
    </row>
    <row r="17938">
      <c r="A17938" s="8" t="inlineStr">
        <is>
          <t>2026-08-04</t>
        </is>
      </c>
      <c r="B17938" s="8" t="n">
        <v>0</v>
      </c>
      <c r="C17938" s="8" t="n">
        <v>45</v>
      </c>
      <c r="D17938" s="8" t="inlineStr">
        <is>
          <t>Disneyland Park</t>
        </is>
      </c>
      <c r="E17938" s="8" t="inlineStr">
        <is>
          <t>"it's a small world"</t>
        </is>
      </c>
      <c r="F17938" s="8" t="inlineStr">
        <is>
          <t>STANDBY</t>
        </is>
      </c>
      <c r="G17938" s="8" t="n">
        <v>0</v>
      </c>
      <c r="H17938" s="8" t="inlineStr">
        <is>
          <t>CLOSED</t>
        </is>
      </c>
    </row>
    <row r="17939">
      <c r="A17939" s="8" t="inlineStr">
        <is>
          <t>2026-08-04</t>
        </is>
      </c>
      <c r="B17939" s="8" t="n">
        <v>0</v>
      </c>
      <c r="C17939" s="8" t="n">
        <v>45</v>
      </c>
      <c r="D17939" s="8" t="inlineStr">
        <is>
          <t>Disneyland Park</t>
        </is>
      </c>
      <c r="E17939" s="8" t="inlineStr">
        <is>
          <t>Alice's Curious Labyrinth</t>
        </is>
      </c>
      <c r="F17939" s="8" t="inlineStr">
        <is>
          <t>STANDBY</t>
        </is>
      </c>
      <c r="G17939" s="8" t="n">
        <v>0</v>
      </c>
      <c r="H17939" s="8" t="inlineStr">
        <is>
          <t>CLOSED</t>
        </is>
      </c>
    </row>
    <row r="17940">
      <c r="A17940" s="8" t="inlineStr">
        <is>
          <t>2026-08-04</t>
        </is>
      </c>
      <c r="B17940" s="8" t="n">
        <v>0</v>
      </c>
      <c r="C17940" s="8" t="n">
        <v>45</v>
      </c>
      <c r="D17940" s="8" t="inlineStr">
        <is>
          <t>Disneyland Park</t>
        </is>
      </c>
      <c r="E17940" s="8" t="inlineStr">
        <is>
          <t>Blanche-Neige et les Sept Nains®</t>
        </is>
      </c>
      <c r="F17940" s="8" t="inlineStr">
        <is>
          <t>STANDBY</t>
        </is>
      </c>
      <c r="G17940" s="8" t="n">
        <v>0</v>
      </c>
      <c r="H17940" s="8" t="inlineStr">
        <is>
          <t>CLOSED</t>
        </is>
      </c>
    </row>
    <row r="17941">
      <c r="A17941" s="8" t="inlineStr">
        <is>
          <t>2026-08-04</t>
        </is>
      </c>
      <c r="B17941" s="8" t="n">
        <v>0</v>
      </c>
      <c r="C17941" s="8" t="n">
        <v>45</v>
      </c>
      <c r="D17941" s="8" t="inlineStr">
        <is>
          <t>Disneyland Park</t>
        </is>
      </c>
      <c r="E17941" s="8" t="inlineStr">
        <is>
          <t>Casey Jr. – le Petit Train du Cirque</t>
        </is>
      </c>
      <c r="F17941" s="8" t="inlineStr">
        <is>
          <t>STANDBY</t>
        </is>
      </c>
      <c r="G17941" s="8" t="n">
        <v>0</v>
      </c>
      <c r="H17941" s="8" t="inlineStr">
        <is>
          <t>CLOSED</t>
        </is>
      </c>
    </row>
    <row r="17942">
      <c r="A17942" s="8" t="inlineStr">
        <is>
          <t>2026-08-04</t>
        </is>
      </c>
      <c r="B17942" s="8" t="n">
        <v>0</v>
      </c>
      <c r="C17942" s="8" t="n">
        <v>45</v>
      </c>
      <c r="D17942" s="8" t="inlineStr">
        <is>
          <t>Disneyland Park</t>
        </is>
      </c>
      <c r="E17942" s="8" t="inlineStr">
        <is>
          <t>Disneyland Railroad Fantasyland Station</t>
        </is>
      </c>
      <c r="F17942" s="8" t="inlineStr">
        <is>
          <t>STANDBY</t>
        </is>
      </c>
      <c r="G17942" s="8" t="n">
        <v>0</v>
      </c>
      <c r="H17942" s="8" t="inlineStr">
        <is>
          <t>CLOSED</t>
        </is>
      </c>
    </row>
    <row r="17943">
      <c r="A17943" s="8" t="inlineStr">
        <is>
          <t>2026-08-04</t>
        </is>
      </c>
      <c r="B17943" s="8" t="n">
        <v>0</v>
      </c>
      <c r="C17943" s="8" t="n">
        <v>45</v>
      </c>
      <c r="D17943" s="8" t="inlineStr">
        <is>
          <t>Disneyland Park</t>
        </is>
      </c>
      <c r="E17943" s="8" t="inlineStr">
        <is>
          <t>Disneyland Railroad Main Street Station</t>
        </is>
      </c>
      <c r="F17943" s="8" t="inlineStr">
        <is>
          <t>STANDBY</t>
        </is>
      </c>
      <c r="G17943" s="8" t="n">
        <v>0</v>
      </c>
      <c r="H17943" s="8" t="inlineStr">
        <is>
          <t>CLOSED</t>
        </is>
      </c>
    </row>
    <row r="17944">
      <c r="A17944" s="8" t="inlineStr">
        <is>
          <t>2026-08-04</t>
        </is>
      </c>
      <c r="B17944" s="8" t="n">
        <v>0</v>
      </c>
      <c r="C17944" s="8" t="n">
        <v>45</v>
      </c>
      <c r="D17944" s="8" t="inlineStr">
        <is>
          <t>Disneyland Park</t>
        </is>
      </c>
      <c r="E17944" s="8" t="inlineStr">
        <is>
          <t>Dumbo the Flying Elephant</t>
        </is>
      </c>
      <c r="F17944" s="8" t="inlineStr">
        <is>
          <t>STANDBY</t>
        </is>
      </c>
      <c r="G17944" s="8" t="n">
        <v>0</v>
      </c>
      <c r="H17944" s="8" t="inlineStr">
        <is>
          <t>CLOSED</t>
        </is>
      </c>
    </row>
    <row r="17945">
      <c r="A17945" s="8" t="inlineStr">
        <is>
          <t>2026-08-04</t>
        </is>
      </c>
      <c r="B17945" s="8" t="n">
        <v>0</v>
      </c>
      <c r="C17945" s="8" t="n">
        <v>45</v>
      </c>
      <c r="D17945" s="8" t="inlineStr">
        <is>
          <t>Disneyland Park</t>
        </is>
      </c>
      <c r="E17945" s="8" t="inlineStr">
        <is>
          <t>La Tanière du Dragon</t>
        </is>
      </c>
      <c r="F17945" s="8" t="inlineStr">
        <is>
          <t>STANDBY</t>
        </is>
      </c>
      <c r="G17945" s="8" t="n">
        <v>0</v>
      </c>
      <c r="H17945" s="8" t="inlineStr">
        <is>
          <t>CLOSED</t>
        </is>
      </c>
    </row>
    <row r="17946">
      <c r="A17946" s="8" t="inlineStr">
        <is>
          <t>2026-08-04</t>
        </is>
      </c>
      <c r="B17946" s="8" t="n">
        <v>0</v>
      </c>
      <c r="C17946" s="8" t="n">
        <v>45</v>
      </c>
      <c r="D17946" s="8" t="inlineStr">
        <is>
          <t>Disneyland Park</t>
        </is>
      </c>
      <c r="E17946" s="8" t="inlineStr">
        <is>
          <t>Le Carrousel de Lancelot</t>
        </is>
      </c>
      <c r="F17946" s="8" t="inlineStr">
        <is>
          <t>STANDBY</t>
        </is>
      </c>
      <c r="G17946" s="8" t="n">
        <v>0</v>
      </c>
      <c r="H17946" s="8" t="inlineStr">
        <is>
          <t>CLOSED</t>
        </is>
      </c>
    </row>
    <row r="17947">
      <c r="A17947" s="8" t="inlineStr">
        <is>
          <t>2026-08-04</t>
        </is>
      </c>
      <c r="B17947" s="8" t="n">
        <v>0</v>
      </c>
      <c r="C17947" s="8" t="n">
        <v>45</v>
      </c>
      <c r="D17947" s="8" t="inlineStr">
        <is>
          <t>Disneyland Park</t>
        </is>
      </c>
      <c r="E17947" s="8" t="inlineStr">
        <is>
          <t>Le Pays des Contes de Fées, presented by Vittel</t>
        </is>
      </c>
      <c r="F17947" s="8" t="inlineStr">
        <is>
          <t>STANDBY</t>
        </is>
      </c>
      <c r="G17947" s="8" t="n">
        <v>0</v>
      </c>
      <c r="H17947" s="8" t="inlineStr">
        <is>
          <t>CLOSED</t>
        </is>
      </c>
    </row>
    <row r="17948">
      <c r="A17948" s="8" t="inlineStr">
        <is>
          <t>2026-08-04</t>
        </is>
      </c>
      <c r="B17948" s="8" t="n">
        <v>0</v>
      </c>
      <c r="C17948" s="8" t="n">
        <v>45</v>
      </c>
      <c r="D17948" s="8" t="inlineStr">
        <is>
          <t>Disneyland Park</t>
        </is>
      </c>
      <c r="E17948" s="8" t="inlineStr">
        <is>
          <t>Les Voyages de Pinocchio</t>
        </is>
      </c>
      <c r="F17948" s="8" t="inlineStr">
        <is>
          <t>STANDBY</t>
        </is>
      </c>
      <c r="G17948" s="8" t="n">
        <v>0</v>
      </c>
      <c r="H17948" s="8" t="inlineStr">
        <is>
          <t>CLOSED</t>
        </is>
      </c>
    </row>
    <row r="17949">
      <c r="A17949" s="8" t="inlineStr">
        <is>
          <t>2026-08-04</t>
        </is>
      </c>
      <c r="B17949" s="8" t="n">
        <v>0</v>
      </c>
      <c r="C17949" s="8" t="n">
        <v>45</v>
      </c>
      <c r="D17949" s="8" t="inlineStr">
        <is>
          <t>Disneyland Park</t>
        </is>
      </c>
      <c r="E17949" s="8" t="inlineStr">
        <is>
          <t>Mad Hatter's Tea Cups</t>
        </is>
      </c>
      <c r="F17949" s="8" t="inlineStr">
        <is>
          <t>STANDBY</t>
        </is>
      </c>
      <c r="G17949" s="8" t="n">
        <v>0</v>
      </c>
      <c r="H17949" s="8" t="inlineStr">
        <is>
          <t>CLOSED</t>
        </is>
      </c>
    </row>
    <row r="17950">
      <c r="A17950" s="8" t="inlineStr">
        <is>
          <t>2026-08-04</t>
        </is>
      </c>
      <c r="B17950" s="8" t="n">
        <v>0</v>
      </c>
      <c r="C17950" s="8" t="n">
        <v>45</v>
      </c>
      <c r="D17950" s="8" t="inlineStr">
        <is>
          <t>Disneyland Park</t>
        </is>
      </c>
      <c r="E17950" s="8" t="inlineStr">
        <is>
          <t>Meet Mickey Mouse</t>
        </is>
      </c>
      <c r="F17950" s="8" t="inlineStr">
        <is>
          <t>STANDBY</t>
        </is>
      </c>
      <c r="G17950" s="8" t="n">
        <v>0</v>
      </c>
      <c r="H17950" s="8" t="inlineStr">
        <is>
          <t>CLOSED</t>
        </is>
      </c>
    </row>
    <row r="17951">
      <c r="A17951" s="8" t="inlineStr">
        <is>
          <t>2026-08-04</t>
        </is>
      </c>
      <c r="B17951" s="8" t="n">
        <v>0</v>
      </c>
      <c r="C17951" s="8" t="n">
        <v>45</v>
      </c>
      <c r="D17951" s="8" t="inlineStr">
        <is>
          <t>Disneyland Park</t>
        </is>
      </c>
      <c r="E17951" s="8" t="inlineStr">
        <is>
          <t>Peter Pan's Flight</t>
        </is>
      </c>
      <c r="F17951" s="8" t="inlineStr">
        <is>
          <t>STANDBY</t>
        </is>
      </c>
      <c r="G17951" s="8" t="n">
        <v>0</v>
      </c>
      <c r="H17951" s="8" t="inlineStr">
        <is>
          <t>CLOSED</t>
        </is>
      </c>
    </row>
    <row r="17952">
      <c r="A17952" s="8" t="inlineStr">
        <is>
          <t>2026-08-04</t>
        </is>
      </c>
      <c r="B17952" s="8" t="n">
        <v>0</v>
      </c>
      <c r="C17952" s="8" t="n">
        <v>45</v>
      </c>
      <c r="D17952" s="8" t="inlineStr">
        <is>
          <t>Disneyland Park</t>
        </is>
      </c>
      <c r="E17952" s="8" t="inlineStr">
        <is>
          <t>Princess Pavilion</t>
        </is>
      </c>
      <c r="F17952" s="8" t="inlineStr">
        <is>
          <t>STANDBY</t>
        </is>
      </c>
      <c r="G17952" s="8" t="n">
        <v>0</v>
      </c>
      <c r="H17952" s="8" t="inlineStr">
        <is>
          <t>CLOSED</t>
        </is>
      </c>
    </row>
    <row r="17953">
      <c r="A17953" s="8" t="inlineStr">
        <is>
          <t>2026-08-04</t>
        </is>
      </c>
      <c r="B17953" s="8" t="n">
        <v>0</v>
      </c>
      <c r="C17953" s="8" t="n">
        <v>45</v>
      </c>
      <c r="D17953" s="8" t="inlineStr">
        <is>
          <t>Disneyland Park</t>
        </is>
      </c>
      <c r="E17953" s="8" t="inlineStr">
        <is>
          <t>Big Thunder Mountain</t>
        </is>
      </c>
      <c r="F17953" s="8" t="inlineStr">
        <is>
          <t>STANDBY</t>
        </is>
      </c>
      <c r="G17953" s="8" t="n">
        <v>0</v>
      </c>
      <c r="H17953" s="8" t="inlineStr">
        <is>
          <t>CLOSED</t>
        </is>
      </c>
    </row>
    <row r="17954">
      <c r="A17954" s="8" t="inlineStr">
        <is>
          <t>2026-08-04</t>
        </is>
      </c>
      <c r="B17954" s="8" t="n">
        <v>0</v>
      </c>
      <c r="C17954" s="8" t="n">
        <v>45</v>
      </c>
      <c r="D17954" s="8" t="inlineStr">
        <is>
          <t>Disneyland Park</t>
        </is>
      </c>
      <c r="E17954" s="8" t="inlineStr">
        <is>
          <t>Disneyland Railroad Frontierland Depot</t>
        </is>
      </c>
      <c r="F17954" s="8" t="inlineStr">
        <is>
          <t>STANDBY</t>
        </is>
      </c>
      <c r="G17954" s="8" t="n">
        <v>0</v>
      </c>
      <c r="H17954" s="8" t="inlineStr">
        <is>
          <t>CLOSED</t>
        </is>
      </c>
    </row>
    <row r="17955">
      <c r="A17955" s="8" t="inlineStr">
        <is>
          <t>2026-08-04</t>
        </is>
      </c>
      <c r="B17955" s="8" t="n">
        <v>0</v>
      </c>
      <c r="C17955" s="8" t="n">
        <v>45</v>
      </c>
      <c r="D17955" s="8" t="inlineStr">
        <is>
          <t>Disneyland Park</t>
        </is>
      </c>
      <c r="E17955" s="8" t="inlineStr">
        <is>
          <t>Frontierland Playground</t>
        </is>
      </c>
      <c r="F17955" s="8" t="inlineStr">
        <is>
          <t>STANDBY</t>
        </is>
      </c>
      <c r="G17955" s="8" t="n">
        <v>0</v>
      </c>
      <c r="H17955" s="8" t="inlineStr">
        <is>
          <t>CLOSED</t>
        </is>
      </c>
    </row>
    <row r="17956">
      <c r="A17956" s="8" t="inlineStr">
        <is>
          <t>2026-08-04</t>
        </is>
      </c>
      <c r="B17956" s="8" t="n">
        <v>0</v>
      </c>
      <c r="C17956" s="8" t="n">
        <v>45</v>
      </c>
      <c r="D17956" s="8" t="inlineStr">
        <is>
          <t>Disneyland Park</t>
        </is>
      </c>
      <c r="E17956" s="8" t="inlineStr">
        <is>
          <t>Phantom Manor</t>
        </is>
      </c>
      <c r="F17956" s="8" t="inlineStr">
        <is>
          <t>STANDBY</t>
        </is>
      </c>
      <c r="G17956" s="8" t="n">
        <v>0</v>
      </c>
      <c r="H17956" s="8" t="inlineStr">
        <is>
          <t>CLOSED</t>
        </is>
      </c>
    </row>
    <row r="17957">
      <c r="A17957" s="8" t="inlineStr">
        <is>
          <t>2026-08-04</t>
        </is>
      </c>
      <c r="B17957" s="8" t="n">
        <v>0</v>
      </c>
      <c r="C17957" s="8" t="n">
        <v>45</v>
      </c>
      <c r="D17957" s="8" t="inlineStr">
        <is>
          <t>Disneyland Park</t>
        </is>
      </c>
      <c r="E17957" s="8" t="inlineStr">
        <is>
          <t>River Rogue Keelboats</t>
        </is>
      </c>
      <c r="F17957" s="8" t="inlineStr">
        <is>
          <t>STANDBY</t>
        </is>
      </c>
      <c r="G17957" s="8" t="n">
        <v>0</v>
      </c>
      <c r="H17957" s="8" t="inlineStr">
        <is>
          <t>CLOSED</t>
        </is>
      </c>
    </row>
    <row r="17958">
      <c r="A17958" s="8" t="inlineStr">
        <is>
          <t>2026-08-04</t>
        </is>
      </c>
      <c r="B17958" s="8" t="n">
        <v>0</v>
      </c>
      <c r="C17958" s="8" t="n">
        <v>45</v>
      </c>
      <c r="D17958" s="8" t="inlineStr">
        <is>
          <t>Disneyland Park</t>
        </is>
      </c>
      <c r="E17958" s="8" t="inlineStr">
        <is>
          <t>Rustler Roundup Shootin' Gallery</t>
        </is>
      </c>
      <c r="F17958" s="8" t="inlineStr">
        <is>
          <t>STANDBY</t>
        </is>
      </c>
      <c r="G17958" s="8" t="n">
        <v>0</v>
      </c>
      <c r="H17958" s="8" t="inlineStr">
        <is>
          <t>CLOSED</t>
        </is>
      </c>
    </row>
    <row r="17959">
      <c r="A17959" s="8" t="inlineStr">
        <is>
          <t>2026-08-04</t>
        </is>
      </c>
      <c r="B17959" s="8" t="n">
        <v>0</v>
      </c>
      <c r="C17959" s="8" t="n">
        <v>45</v>
      </c>
      <c r="D17959" s="8" t="inlineStr">
        <is>
          <t>Disneyland Park</t>
        </is>
      </c>
      <c r="E17959" s="8" t="inlineStr">
        <is>
          <t>Thunder Mesa Riverboat Landing</t>
        </is>
      </c>
      <c r="F17959" s="8" t="inlineStr">
        <is>
          <t>STANDBY</t>
        </is>
      </c>
      <c r="G17959" s="8" t="n">
        <v>0</v>
      </c>
      <c r="H17959" s="8" t="inlineStr">
        <is>
          <t>CLOSED</t>
        </is>
      </c>
    </row>
    <row r="17960">
      <c r="A17960" s="8" t="inlineStr">
        <is>
          <t>2026-08-04</t>
        </is>
      </c>
      <c r="B17960" s="8" t="n">
        <v>0</v>
      </c>
      <c r="C17960" s="8" t="n">
        <v>45</v>
      </c>
      <c r="D17960" s="8" t="inlineStr">
        <is>
          <t>Disneyland Park</t>
        </is>
      </c>
      <c r="E17960" s="8" t="inlineStr">
        <is>
          <t>Disneyland Railroad Main Street Station</t>
        </is>
      </c>
      <c r="F17960" s="8" t="inlineStr">
        <is>
          <t>STANDBY</t>
        </is>
      </c>
      <c r="G17960" s="8" t="n">
        <v>0</v>
      </c>
      <c r="H17960" s="8" t="inlineStr">
        <is>
          <t>CLOSED</t>
        </is>
      </c>
    </row>
    <row r="17961">
      <c r="A17961" s="8" t="inlineStr">
        <is>
          <t>2026-08-04</t>
        </is>
      </c>
      <c r="B17961" s="8" t="n">
        <v>0</v>
      </c>
      <c r="C17961" s="8" t="n">
        <v>45</v>
      </c>
      <c r="D17961" s="8" t="inlineStr">
        <is>
          <t>Disneyland Park</t>
        </is>
      </c>
      <c r="E17961" s="8" t="inlineStr">
        <is>
          <t>Main Street Vehicles</t>
        </is>
      </c>
      <c r="F17961" s="8" t="inlineStr">
        <is>
          <t>STANDBY</t>
        </is>
      </c>
      <c r="G17961" s="8" t="n">
        <v>0</v>
      </c>
      <c r="H17961" s="8" t="inlineStr">
        <is>
          <t>CLOSED</t>
        </is>
      </c>
    </row>
    <row r="17962">
      <c r="A17962" s="8" t="inlineStr">
        <is>
          <t>2026-08-04</t>
        </is>
      </c>
      <c r="B17962" s="8" t="n">
        <v>0</v>
      </c>
      <c r="C17962" s="8" t="n">
        <v>45</v>
      </c>
      <c r="D17962" s="8" t="inlineStr">
        <is>
          <t>Disney Adventure World</t>
        </is>
      </c>
      <c r="E17962" s="8" t="inlineStr">
        <is>
          <t>Avengers Assemble: Flight Force</t>
        </is>
      </c>
      <c r="F17962" s="8" t="inlineStr">
        <is>
          <t>STANDBY</t>
        </is>
      </c>
      <c r="G17962" s="8" t="n">
        <v>0</v>
      </c>
      <c r="H17962" s="8" t="inlineStr">
        <is>
          <t>CLOSED</t>
        </is>
      </c>
    </row>
    <row r="17963">
      <c r="A17963" s="8" t="inlineStr">
        <is>
          <t>2026-08-04</t>
        </is>
      </c>
      <c r="B17963" s="8" t="n">
        <v>0</v>
      </c>
      <c r="C17963" s="8" t="n">
        <v>45</v>
      </c>
      <c r="D17963" s="8" t="inlineStr">
        <is>
          <t>Disney Adventure World</t>
        </is>
      </c>
      <c r="E17963" s="8" t="inlineStr">
        <is>
          <t>Avengers Assemble: Flight Force Single Rider</t>
        </is>
      </c>
      <c r="F17963" s="8" t="inlineStr">
        <is>
          <t>STANDBY</t>
        </is>
      </c>
      <c r="G17963" s="8" t="n">
        <v>0</v>
      </c>
      <c r="H17963" s="8" t="inlineStr">
        <is>
          <t>CLOSED</t>
        </is>
      </c>
    </row>
    <row r="17964">
      <c r="A17964" s="8" t="inlineStr">
        <is>
          <t>2026-08-04</t>
        </is>
      </c>
      <c r="B17964" s="8" t="n">
        <v>0</v>
      </c>
      <c r="C17964" s="8" t="n">
        <v>45</v>
      </c>
      <c r="D17964" s="8" t="inlineStr">
        <is>
          <t>Disney Adventure World</t>
        </is>
      </c>
      <c r="E17964" s="8" t="inlineStr">
        <is>
          <t>Spider-Man W.E.B. Adventure</t>
        </is>
      </c>
      <c r="F17964" s="8" t="inlineStr">
        <is>
          <t>STANDBY</t>
        </is>
      </c>
      <c r="G17964" s="8" t="n">
        <v>0</v>
      </c>
      <c r="H17964" s="8" t="inlineStr">
        <is>
          <t>CLOSED</t>
        </is>
      </c>
    </row>
    <row r="17965">
      <c r="A17965" s="8" t="inlineStr">
        <is>
          <t>2026-08-04</t>
        </is>
      </c>
      <c r="B17965" s="8" t="n">
        <v>0</v>
      </c>
      <c r="C17965" s="8" t="n">
        <v>45</v>
      </c>
      <c r="D17965" s="8" t="inlineStr">
        <is>
          <t>Disney Adventure World</t>
        </is>
      </c>
      <c r="E17965" s="8" t="inlineStr">
        <is>
          <t>Spider-Man W.E.B. Adventure Single Rider</t>
        </is>
      </c>
      <c r="F17965" s="8" t="inlineStr">
        <is>
          <t>STANDBY</t>
        </is>
      </c>
      <c r="G17965" s="8" t="n">
        <v>0</v>
      </c>
      <c r="H17965" s="8" t="inlineStr">
        <is>
          <t>CLOSED</t>
        </is>
      </c>
    </row>
    <row r="17966">
      <c r="A17966" s="8" t="inlineStr">
        <is>
          <t>2026-08-04</t>
        </is>
      </c>
      <c r="B17966" s="8" t="n">
        <v>0</v>
      </c>
      <c r="C17966" s="8" t="n">
        <v>45</v>
      </c>
      <c r="D17966" s="8" t="inlineStr">
        <is>
          <t>Disney Adventure World</t>
        </is>
      </c>
      <c r="E17966" s="8" t="inlineStr">
        <is>
          <t>The Twilight Zone Tower of Terror</t>
        </is>
      </c>
      <c r="F17966" s="8" t="inlineStr">
        <is>
          <t>STANDBY</t>
        </is>
      </c>
      <c r="G17966" s="8" t="n">
        <v>0</v>
      </c>
      <c r="H17966" s="8" t="inlineStr">
        <is>
          <t>CLOSED</t>
        </is>
      </c>
    </row>
    <row r="17967">
      <c r="A17967" s="8" t="inlineStr">
        <is>
          <t>2026-08-04</t>
        </is>
      </c>
      <c r="B17967" s="8" t="n">
        <v>0</v>
      </c>
      <c r="C17967" s="8" t="n">
        <v>45</v>
      </c>
      <c r="D17967" s="8" t="inlineStr">
        <is>
          <t>Disney Adventure World</t>
        </is>
      </c>
      <c r="E17967" s="8" t="inlineStr">
        <is>
          <t>Cars Quatre Roues Rallye</t>
        </is>
      </c>
      <c r="F17967" s="8" t="inlineStr">
        <is>
          <t>STANDBY</t>
        </is>
      </c>
      <c r="G17967" s="8" t="n">
        <v>0</v>
      </c>
      <c r="H17967" s="8" t="inlineStr">
        <is>
          <t>CLOSED</t>
        </is>
      </c>
    </row>
    <row r="17968">
      <c r="A17968" s="8" t="inlineStr">
        <is>
          <t>2026-08-04</t>
        </is>
      </c>
      <c r="B17968" s="8" t="n">
        <v>0</v>
      </c>
      <c r="C17968" s="8" t="n">
        <v>45</v>
      </c>
      <c r="D17968" s="8" t="inlineStr">
        <is>
          <t>Disney Adventure World</t>
        </is>
      </c>
      <c r="E17968" s="8" t="inlineStr">
        <is>
          <t>Cars ROAD TRIP</t>
        </is>
      </c>
      <c r="F17968" s="8" t="inlineStr">
        <is>
          <t>STANDBY</t>
        </is>
      </c>
      <c r="G17968" s="8" t="n">
        <v>0</v>
      </c>
      <c r="H17968" s="8" t="inlineStr">
        <is>
          <t>CLOSED</t>
        </is>
      </c>
    </row>
    <row r="17969">
      <c r="A17969" s="8" t="inlineStr">
        <is>
          <t>2026-08-04</t>
        </is>
      </c>
      <c r="B17969" s="8" t="n">
        <v>0</v>
      </c>
      <c r="C17969" s="8" t="n">
        <v>45</v>
      </c>
      <c r="D17969" s="8" t="inlineStr">
        <is>
          <t>Disney Adventure World</t>
        </is>
      </c>
      <c r="E17969" s="8" t="inlineStr">
        <is>
          <t>Crush's Coaster</t>
        </is>
      </c>
      <c r="F17969" s="8" t="inlineStr">
        <is>
          <t>STANDBY</t>
        </is>
      </c>
      <c r="G17969" s="8" t="n">
        <v>0</v>
      </c>
      <c r="H17969" s="8" t="inlineStr">
        <is>
          <t>CLOSED</t>
        </is>
      </c>
    </row>
    <row r="17970">
      <c r="A17970" s="8" t="inlineStr">
        <is>
          <t>2026-08-04</t>
        </is>
      </c>
      <c r="B17970" s="8" t="n">
        <v>0</v>
      </c>
      <c r="C17970" s="8" t="n">
        <v>45</v>
      </c>
      <c r="D17970" s="8" t="inlineStr">
        <is>
          <t>Disney Adventure World</t>
        </is>
      </c>
      <c r="E17970" s="8" t="inlineStr">
        <is>
          <t>Crush's Coaster Single Rider</t>
        </is>
      </c>
      <c r="F17970" s="8" t="inlineStr">
        <is>
          <t>STANDBY</t>
        </is>
      </c>
      <c r="G17970" s="8" t="n">
        <v>0</v>
      </c>
      <c r="H17970" s="8" t="inlineStr">
        <is>
          <t>CLOSED</t>
        </is>
      </c>
    </row>
    <row r="17971">
      <c r="A17971" s="8" t="inlineStr">
        <is>
          <t>2026-08-04</t>
        </is>
      </c>
      <c r="B17971" s="8" t="n">
        <v>0</v>
      </c>
      <c r="C17971" s="8" t="n">
        <v>45</v>
      </c>
      <c r="D17971" s="8" t="inlineStr">
        <is>
          <t>Disney Adventure World</t>
        </is>
      </c>
      <c r="E17971" s="8" t="inlineStr">
        <is>
          <t>Les Tapis Volants - Flying Carpets Over Agrabah®</t>
        </is>
      </c>
      <c r="F17971" s="8" t="inlineStr">
        <is>
          <t>STANDBY</t>
        </is>
      </c>
      <c r="G17971" s="8" t="n">
        <v>0</v>
      </c>
      <c r="H17971" s="8" t="inlineStr">
        <is>
          <t>CLOSED</t>
        </is>
      </c>
    </row>
    <row r="17972">
      <c r="A17972" s="8" t="inlineStr">
        <is>
          <t>2026-08-04</t>
        </is>
      </c>
      <c r="B17972" s="8" t="n">
        <v>0</v>
      </c>
      <c r="C17972" s="8" t="n">
        <v>45</v>
      </c>
      <c r="D17972" s="8" t="inlineStr">
        <is>
          <t>Disney Adventure World</t>
        </is>
      </c>
      <c r="E17972" s="8" t="inlineStr">
        <is>
          <t>Ratatouille : L’Aventure Totalement Toquée de Rémy​</t>
        </is>
      </c>
      <c r="F17972" s="8" t="inlineStr">
        <is>
          <t>STANDBY</t>
        </is>
      </c>
      <c r="G17972" s="8" t="n">
        <v>0</v>
      </c>
      <c r="H17972" s="8" t="inlineStr">
        <is>
          <t>CLOSED</t>
        </is>
      </c>
    </row>
    <row r="17973">
      <c r="A17973" s="8" t="inlineStr">
        <is>
          <t>2026-08-04</t>
        </is>
      </c>
      <c r="B17973" s="8" t="n">
        <v>0</v>
      </c>
      <c r="C17973" s="8" t="n">
        <v>45</v>
      </c>
      <c r="D17973" s="8" t="inlineStr">
        <is>
          <t>Disney Adventure World</t>
        </is>
      </c>
      <c r="E17973" s="8" t="inlineStr">
        <is>
          <t>Ratatouille: The Adventure Single Rider</t>
        </is>
      </c>
      <c r="F17973" s="8" t="inlineStr">
        <is>
          <t>STANDBY</t>
        </is>
      </c>
      <c r="G17973" s="8" t="n">
        <v>0</v>
      </c>
      <c r="H17973" s="8" t="inlineStr">
        <is>
          <t>CLOSED</t>
        </is>
      </c>
    </row>
    <row r="17974">
      <c r="A17974" s="8" t="inlineStr">
        <is>
          <t>2026-08-04</t>
        </is>
      </c>
      <c r="B17974" s="8" t="n">
        <v>0</v>
      </c>
      <c r="C17974" s="8" t="n">
        <v>45</v>
      </c>
      <c r="D17974" s="8" t="inlineStr">
        <is>
          <t>Disney Adventure World</t>
        </is>
      </c>
      <c r="E17974" s="8" t="inlineStr">
        <is>
          <t>RC Racer</t>
        </is>
      </c>
      <c r="F17974" s="8" t="inlineStr">
        <is>
          <t>STANDBY</t>
        </is>
      </c>
      <c r="G17974" s="8" t="n">
        <v>0</v>
      </c>
      <c r="H17974" s="8" t="inlineStr">
        <is>
          <t>CLOSED</t>
        </is>
      </c>
    </row>
    <row r="17975">
      <c r="A17975" s="8" t="inlineStr">
        <is>
          <t>2026-08-04</t>
        </is>
      </c>
      <c r="B17975" s="8" t="n">
        <v>0</v>
      </c>
      <c r="C17975" s="8" t="n">
        <v>45</v>
      </c>
      <c r="D17975" s="8" t="inlineStr">
        <is>
          <t>Disney Adventure World</t>
        </is>
      </c>
      <c r="E17975" s="8" t="inlineStr">
        <is>
          <t>RC Racer Single Rider</t>
        </is>
      </c>
      <c r="F17975" s="8" t="inlineStr">
        <is>
          <t>STANDBY</t>
        </is>
      </c>
      <c r="G17975" s="8" t="n">
        <v>0</v>
      </c>
      <c r="H17975" s="8" t="inlineStr">
        <is>
          <t>CLOSED</t>
        </is>
      </c>
    </row>
    <row r="17976">
      <c r="A17976" s="8" t="inlineStr">
        <is>
          <t>2026-08-04</t>
        </is>
      </c>
      <c r="B17976" s="8" t="n">
        <v>0</v>
      </c>
      <c r="C17976" s="8" t="n">
        <v>45</v>
      </c>
      <c r="D17976" s="8" t="inlineStr">
        <is>
          <t>Disney Adventure World</t>
        </is>
      </c>
      <c r="E17976" s="8" t="inlineStr">
        <is>
          <t>Slinky® Dog Zigzag Spin</t>
        </is>
      </c>
      <c r="F17976" s="8" t="inlineStr">
        <is>
          <t>STANDBY</t>
        </is>
      </c>
      <c r="G17976" s="8" t="n">
        <v>0</v>
      </c>
      <c r="H17976" s="8" t="inlineStr">
        <is>
          <t>CLOSED</t>
        </is>
      </c>
    </row>
    <row r="17977">
      <c r="A17977" s="8" t="inlineStr">
        <is>
          <t>2026-08-04</t>
        </is>
      </c>
      <c r="B17977" s="8" t="n">
        <v>0</v>
      </c>
      <c r="C17977" s="8" t="n">
        <v>45</v>
      </c>
      <c r="D17977" s="8" t="inlineStr">
        <is>
          <t>Disney Adventure World</t>
        </is>
      </c>
      <c r="E17977" s="8" t="inlineStr">
        <is>
          <t>Toy Soldiers Parachute Drop</t>
        </is>
      </c>
      <c r="F17977" s="8" t="inlineStr">
        <is>
          <t>STANDBY</t>
        </is>
      </c>
      <c r="G17977" s="8" t="n">
        <v>0</v>
      </c>
      <c r="H17977" s="8" t="inlineStr">
        <is>
          <t>CLOSED</t>
        </is>
      </c>
    </row>
    <row r="17978">
      <c r="A17978" s="8" t="inlineStr">
        <is>
          <t>2026-08-04</t>
        </is>
      </c>
      <c r="B17978" s="8" t="n">
        <v>0</v>
      </c>
      <c r="C17978" s="8" t="n">
        <v>45</v>
      </c>
      <c r="D17978" s="8" t="inlineStr">
        <is>
          <t>Disney Adventure World</t>
        </is>
      </c>
      <c r="E17978" s="8" t="inlineStr">
        <is>
          <t>Toy Soldiers Parachute Drop Single Rider</t>
        </is>
      </c>
      <c r="F17978" s="8" t="inlineStr">
        <is>
          <t>STANDBY</t>
        </is>
      </c>
      <c r="G17978" s="8" t="n">
        <v>0</v>
      </c>
      <c r="H17978" s="8" t="inlineStr">
        <is>
          <t>CLOSED</t>
        </is>
      </c>
    </row>
    <row r="17979">
      <c r="A17979" s="8" t="inlineStr">
        <is>
          <t>2026-08-04</t>
        </is>
      </c>
      <c r="B17979" s="8" t="n">
        <v>0</v>
      </c>
      <c r="C17979" s="8" t="n">
        <v>45</v>
      </c>
      <c r="D17979" s="8" t="inlineStr">
        <is>
          <t>Disney Adventure World</t>
        </is>
      </c>
      <c r="E17979" s="8" t="inlineStr">
        <is>
          <t>Entry to World of Frozen</t>
        </is>
      </c>
      <c r="F17979" s="8" t="inlineStr">
        <is>
          <t>STANDBY</t>
        </is>
      </c>
      <c r="G17979" s="8" t="n">
        <v>0</v>
      </c>
      <c r="H17979" s="8" t="inlineStr">
        <is>
          <t>CLOSED</t>
        </is>
      </c>
    </row>
    <row r="17980">
      <c r="A17980" s="8" t="inlineStr">
        <is>
          <t>2026-08-04</t>
        </is>
      </c>
      <c r="B17980" s="8" t="n">
        <v>0</v>
      </c>
      <c r="C17980" s="8" t="n">
        <v>45</v>
      </c>
      <c r="D17980" s="8" t="inlineStr">
        <is>
          <t>Disney Adventure World</t>
        </is>
      </c>
      <c r="E17980" s="8" t="inlineStr">
        <is>
          <t>Frozen Ever After</t>
        </is>
      </c>
      <c r="F17980" s="8" t="inlineStr">
        <is>
          <t>STANDBY</t>
        </is>
      </c>
      <c r="G17980" s="8" t="n">
        <v>0</v>
      </c>
      <c r="H17980" s="8" t="inlineStr">
        <is>
          <t>CLOSED</t>
        </is>
      </c>
    </row>
    <row r="17981">
      <c r="A17981" s="8" t="inlineStr">
        <is>
          <t>2026-08-04</t>
        </is>
      </c>
      <c r="B17981" s="8" t="n">
        <v>0</v>
      </c>
      <c r="C17981" s="8" t="n">
        <v>45</v>
      </c>
      <c r="D17981" s="8" t="inlineStr">
        <is>
          <t>Disney Adventure World</t>
        </is>
      </c>
      <c r="E17981" s="8" t="inlineStr">
        <is>
          <t>Raiponce Tangled Spin</t>
        </is>
      </c>
      <c r="F17981" s="8" t="inlineStr">
        <is>
          <t>STANDBY</t>
        </is>
      </c>
      <c r="G17981" s="8" t="n">
        <v>0</v>
      </c>
      <c r="H17981" s="8" t="inlineStr">
        <is>
          <t>CLOSED</t>
        </is>
      </c>
    </row>
    <row r="17982">
      <c r="A17982" s="8" t="inlineStr">
        <is>
          <t>2026-08-04</t>
        </is>
      </c>
      <c r="B17982" s="8" t="n">
        <v>1</v>
      </c>
      <c r="C17982" s="8" t="n">
        <v>1</v>
      </c>
      <c r="D17982" s="8" t="inlineStr">
        <is>
          <t>Disneyland Park</t>
        </is>
      </c>
      <c r="E17982" s="8" t="inlineStr">
        <is>
          <t>Adventure Isle</t>
        </is>
      </c>
      <c r="F17982" s="8" t="inlineStr">
        <is>
          <t>STANDBY</t>
        </is>
      </c>
      <c r="G17982" s="8" t="n">
        <v>0</v>
      </c>
      <c r="H17982" s="8" t="inlineStr">
        <is>
          <t>CLOSED</t>
        </is>
      </c>
    </row>
    <row r="17983">
      <c r="A17983" s="8" t="inlineStr">
        <is>
          <t>2026-08-04</t>
        </is>
      </c>
      <c r="B17983" s="8" t="n">
        <v>1</v>
      </c>
      <c r="C17983" s="8" t="n">
        <v>1</v>
      </c>
      <c r="D17983" s="8" t="inlineStr">
        <is>
          <t>Disneyland Park</t>
        </is>
      </c>
      <c r="E17983" s="8" t="inlineStr">
        <is>
          <t>Indiana Jones and the Temple of Peril Single Rider</t>
        </is>
      </c>
      <c r="F17983" s="8" t="inlineStr">
        <is>
          <t>STANDBY</t>
        </is>
      </c>
      <c r="G17983" s="8" t="n">
        <v>0</v>
      </c>
      <c r="H17983" s="8" t="inlineStr">
        <is>
          <t>CLOSED</t>
        </is>
      </c>
    </row>
    <row r="17984">
      <c r="A17984" s="8" t="inlineStr">
        <is>
          <t>2026-08-04</t>
        </is>
      </c>
      <c r="B17984" s="8" t="n">
        <v>1</v>
      </c>
      <c r="C17984" s="8" t="n">
        <v>1</v>
      </c>
      <c r="D17984" s="8" t="inlineStr">
        <is>
          <t>Disneyland Park</t>
        </is>
      </c>
      <c r="E17984" s="8" t="inlineStr">
        <is>
          <t>Indiana Jones™ and the Temple of Peril</t>
        </is>
      </c>
      <c r="F17984" s="8" t="inlineStr">
        <is>
          <t>STANDBY</t>
        </is>
      </c>
      <c r="G17984" s="8" t="n">
        <v>0</v>
      </c>
      <c r="H17984" s="8" t="inlineStr">
        <is>
          <t>CLOSED</t>
        </is>
      </c>
    </row>
    <row r="17985">
      <c r="A17985" s="8" t="inlineStr">
        <is>
          <t>2026-08-04</t>
        </is>
      </c>
      <c r="B17985" s="8" t="n">
        <v>1</v>
      </c>
      <c r="C17985" s="8" t="n">
        <v>1</v>
      </c>
      <c r="D17985" s="8" t="inlineStr">
        <is>
          <t>Disneyland Park</t>
        </is>
      </c>
      <c r="E17985" s="8" t="inlineStr">
        <is>
          <t>La Cabane des Robinson</t>
        </is>
      </c>
      <c r="F17985" s="8" t="inlineStr">
        <is>
          <t>STANDBY</t>
        </is>
      </c>
      <c r="G17985" s="8" t="n">
        <v>0</v>
      </c>
      <c r="H17985" s="8" t="inlineStr">
        <is>
          <t>CLOSED</t>
        </is>
      </c>
    </row>
    <row r="17986">
      <c r="A17986" s="8" t="inlineStr">
        <is>
          <t>2026-08-04</t>
        </is>
      </c>
      <c r="B17986" s="8" t="n">
        <v>1</v>
      </c>
      <c r="C17986" s="8" t="n">
        <v>1</v>
      </c>
      <c r="D17986" s="8" t="inlineStr">
        <is>
          <t>Disneyland Park</t>
        </is>
      </c>
      <c r="E17986" s="8" t="inlineStr">
        <is>
          <t>Le Passage Enchanté d'Aladdin</t>
        </is>
      </c>
      <c r="F17986" s="8" t="inlineStr">
        <is>
          <t>STANDBY</t>
        </is>
      </c>
      <c r="G17986" s="8" t="n">
        <v>0</v>
      </c>
      <c r="H17986" s="8" t="inlineStr">
        <is>
          <t>CLOSED</t>
        </is>
      </c>
    </row>
    <row r="17987">
      <c r="A17987" s="8" t="inlineStr">
        <is>
          <t>2026-08-04</t>
        </is>
      </c>
      <c r="B17987" s="8" t="n">
        <v>1</v>
      </c>
      <c r="C17987" s="8" t="n">
        <v>1</v>
      </c>
      <c r="D17987" s="8" t="inlineStr">
        <is>
          <t>Disneyland Park</t>
        </is>
      </c>
      <c r="E17987" s="8" t="inlineStr">
        <is>
          <t>Pirate Galleon</t>
        </is>
      </c>
      <c r="F17987" s="8" t="inlineStr">
        <is>
          <t>STANDBY</t>
        </is>
      </c>
      <c r="G17987" s="8" t="n">
        <v>0</v>
      </c>
      <c r="H17987" s="8" t="inlineStr">
        <is>
          <t>CLOSED</t>
        </is>
      </c>
    </row>
    <row r="17988">
      <c r="A17988" s="8" t="inlineStr">
        <is>
          <t>2026-08-04</t>
        </is>
      </c>
      <c r="B17988" s="8" t="n">
        <v>1</v>
      </c>
      <c r="C17988" s="8" t="n">
        <v>1</v>
      </c>
      <c r="D17988" s="8" t="inlineStr">
        <is>
          <t>Disneyland Park</t>
        </is>
      </c>
      <c r="E17988" s="8" t="inlineStr">
        <is>
          <t>Pirates of the Caribbean</t>
        </is>
      </c>
      <c r="F17988" s="8" t="inlineStr">
        <is>
          <t>STANDBY</t>
        </is>
      </c>
      <c r="G17988" s="8" t="n">
        <v>0</v>
      </c>
      <c r="H17988" s="8" t="inlineStr">
        <is>
          <t>CLOSED</t>
        </is>
      </c>
    </row>
    <row r="17989">
      <c r="A17989" s="8" t="inlineStr">
        <is>
          <t>2026-08-04</t>
        </is>
      </c>
      <c r="B17989" s="8" t="n">
        <v>1</v>
      </c>
      <c r="C17989" s="8" t="n">
        <v>1</v>
      </c>
      <c r="D17989" s="8" t="inlineStr">
        <is>
          <t>Disneyland Park</t>
        </is>
      </c>
      <c r="E17989" s="8" t="inlineStr">
        <is>
          <t>Pirates' Beach</t>
        </is>
      </c>
      <c r="F17989" s="8" t="inlineStr">
        <is>
          <t>STANDBY</t>
        </is>
      </c>
      <c r="G17989" s="8" t="n">
        <v>0</v>
      </c>
      <c r="H17989" s="8" t="inlineStr">
        <is>
          <t>CLOSED</t>
        </is>
      </c>
    </row>
    <row r="17990">
      <c r="A17990" s="8" t="inlineStr">
        <is>
          <t>2026-08-04</t>
        </is>
      </c>
      <c r="B17990" s="8" t="n">
        <v>1</v>
      </c>
      <c r="C17990" s="8" t="n">
        <v>1</v>
      </c>
      <c r="D17990" s="8" t="inlineStr">
        <is>
          <t>Disneyland Park</t>
        </is>
      </c>
      <c r="E17990" s="8" t="inlineStr">
        <is>
          <t>Autopia, presented by Avis</t>
        </is>
      </c>
      <c r="F17990" s="8" t="inlineStr">
        <is>
          <t>STANDBY</t>
        </is>
      </c>
      <c r="G17990" s="8" t="n">
        <v>0</v>
      </c>
      <c r="H17990" s="8" t="inlineStr">
        <is>
          <t>CLOSED</t>
        </is>
      </c>
    </row>
    <row r="17991">
      <c r="A17991" s="8" t="inlineStr">
        <is>
          <t>2026-08-04</t>
        </is>
      </c>
      <c r="B17991" s="8" t="n">
        <v>1</v>
      </c>
      <c r="C17991" s="8" t="n">
        <v>1</v>
      </c>
      <c r="D17991" s="8" t="inlineStr">
        <is>
          <t>Disneyland Park</t>
        </is>
      </c>
      <c r="E17991" s="8" t="inlineStr">
        <is>
          <t>Buzz Lightyear Laser Blast</t>
        </is>
      </c>
      <c r="F17991" s="8" t="inlineStr">
        <is>
          <t>STANDBY</t>
        </is>
      </c>
      <c r="G17991" s="8" t="n">
        <v>0</v>
      </c>
      <c r="H17991" s="8" t="inlineStr">
        <is>
          <t>CLOSED</t>
        </is>
      </c>
    </row>
    <row r="17992">
      <c r="A17992" s="8" t="inlineStr">
        <is>
          <t>2026-08-04</t>
        </is>
      </c>
      <c r="B17992" s="8" t="n">
        <v>1</v>
      </c>
      <c r="C17992" s="8" t="n">
        <v>1</v>
      </c>
      <c r="D17992" s="8" t="inlineStr">
        <is>
          <t>Disneyland Park</t>
        </is>
      </c>
      <c r="E17992" s="8" t="inlineStr">
        <is>
          <t>Disneyland Railroad Discoveryland Station</t>
        </is>
      </c>
      <c r="F17992" s="8" t="inlineStr">
        <is>
          <t>STANDBY</t>
        </is>
      </c>
      <c r="G17992" s="8" t="n">
        <v>0</v>
      </c>
      <c r="H17992" s="8" t="inlineStr">
        <is>
          <t>CLOSED</t>
        </is>
      </c>
    </row>
    <row r="17993">
      <c r="A17993" s="8" t="inlineStr">
        <is>
          <t>2026-08-04</t>
        </is>
      </c>
      <c r="B17993" s="8" t="n">
        <v>1</v>
      </c>
      <c r="C17993" s="8" t="n">
        <v>1</v>
      </c>
      <c r="D17993" s="8" t="inlineStr">
        <is>
          <t>Disneyland Park</t>
        </is>
      </c>
      <c r="E17993" s="8" t="inlineStr">
        <is>
          <t>Les Mystères du Nautilus</t>
        </is>
      </c>
      <c r="F17993" s="8" t="inlineStr">
        <is>
          <t>STANDBY</t>
        </is>
      </c>
      <c r="G17993" s="8" t="n">
        <v>0</v>
      </c>
      <c r="H17993" s="8" t="inlineStr">
        <is>
          <t>CLOSED</t>
        </is>
      </c>
    </row>
    <row r="17994">
      <c r="A17994" s="8" t="inlineStr">
        <is>
          <t>2026-08-04</t>
        </is>
      </c>
      <c r="B17994" s="8" t="n">
        <v>1</v>
      </c>
      <c r="C17994" s="8" t="n">
        <v>1</v>
      </c>
      <c r="D17994" s="8" t="inlineStr">
        <is>
          <t>Disneyland Park</t>
        </is>
      </c>
      <c r="E17994" s="8" t="inlineStr">
        <is>
          <t>Mickey’s PhilharMagic</t>
        </is>
      </c>
      <c r="F17994" s="8" t="inlineStr">
        <is>
          <t>STANDBY</t>
        </is>
      </c>
      <c r="G17994" s="8" t="n">
        <v>0</v>
      </c>
      <c r="H17994" s="8" t="inlineStr">
        <is>
          <t>CLOSED</t>
        </is>
      </c>
    </row>
    <row r="17995">
      <c r="A17995" s="8" t="inlineStr">
        <is>
          <t>2026-08-04</t>
        </is>
      </c>
      <c r="B17995" s="8" t="n">
        <v>1</v>
      </c>
      <c r="C17995" s="8" t="n">
        <v>1</v>
      </c>
      <c r="D17995" s="8" t="inlineStr">
        <is>
          <t>Disneyland Park</t>
        </is>
      </c>
      <c r="E17995" s="8" t="inlineStr">
        <is>
          <t>Orbitron®</t>
        </is>
      </c>
      <c r="F17995" s="8" t="inlineStr">
        <is>
          <t>STANDBY</t>
        </is>
      </c>
      <c r="G17995" s="8" t="n">
        <v>0</v>
      </c>
      <c r="H17995" s="8" t="inlineStr">
        <is>
          <t>CLOSED</t>
        </is>
      </c>
    </row>
    <row r="17996">
      <c r="A17996" s="8" t="inlineStr">
        <is>
          <t>2026-08-04</t>
        </is>
      </c>
      <c r="B17996" s="8" t="n">
        <v>1</v>
      </c>
      <c r="C17996" s="8" t="n">
        <v>1</v>
      </c>
      <c r="D17996" s="8" t="inlineStr">
        <is>
          <t>Disneyland Park</t>
        </is>
      </c>
      <c r="E17996" s="8" t="inlineStr">
        <is>
          <t>Star Tours: The Adventures Continue*</t>
        </is>
      </c>
      <c r="F17996" s="8" t="inlineStr">
        <is>
          <t>STANDBY</t>
        </is>
      </c>
      <c r="G17996" s="8" t="n">
        <v>0</v>
      </c>
      <c r="H17996" s="8" t="inlineStr">
        <is>
          <t>CLOSED</t>
        </is>
      </c>
    </row>
    <row r="17997">
      <c r="A17997" s="8" t="inlineStr">
        <is>
          <t>2026-08-04</t>
        </is>
      </c>
      <c r="B17997" s="8" t="n">
        <v>1</v>
      </c>
      <c r="C17997" s="8" t="n">
        <v>1</v>
      </c>
      <c r="D17997" s="8" t="inlineStr">
        <is>
          <t>Disneyland Park</t>
        </is>
      </c>
      <c r="E17997" s="8" t="inlineStr">
        <is>
          <t>Star Wars Hyperspace Mountain</t>
        </is>
      </c>
      <c r="F17997" s="8" t="inlineStr">
        <is>
          <t>STANDBY</t>
        </is>
      </c>
      <c r="G17997" s="8" t="n">
        <v>0</v>
      </c>
      <c r="H17997" s="8" t="inlineStr">
        <is>
          <t>CLOSED</t>
        </is>
      </c>
    </row>
    <row r="17998">
      <c r="A17998" s="8" t="inlineStr">
        <is>
          <t>2026-08-04</t>
        </is>
      </c>
      <c r="B17998" s="8" t="n">
        <v>1</v>
      </c>
      <c r="C17998" s="8" t="n">
        <v>1</v>
      </c>
      <c r="D17998" s="8" t="inlineStr">
        <is>
          <t>Disneyland Park</t>
        </is>
      </c>
      <c r="E17998" s="8" t="inlineStr">
        <is>
          <t>Star Wars Hyperspace Mountain Single Rider</t>
        </is>
      </c>
      <c r="F17998" s="8" t="inlineStr">
        <is>
          <t>STANDBY</t>
        </is>
      </c>
      <c r="G17998" s="8" t="n">
        <v>0</v>
      </c>
      <c r="H17998" s="8" t="inlineStr">
        <is>
          <t>CLOSED</t>
        </is>
      </c>
    </row>
    <row r="17999">
      <c r="A17999" s="8" t="inlineStr">
        <is>
          <t>2026-08-04</t>
        </is>
      </c>
      <c r="B17999" s="8" t="n">
        <v>1</v>
      </c>
      <c r="C17999" s="8" t="n">
        <v>1</v>
      </c>
      <c r="D17999" s="8" t="inlineStr">
        <is>
          <t>Disneyland Park</t>
        </is>
      </c>
      <c r="E17999" s="8" t="inlineStr">
        <is>
          <t>Welcome to Starport: A Star Wars Encounter</t>
        </is>
      </c>
      <c r="F17999" s="8" t="inlineStr">
        <is>
          <t>STANDBY</t>
        </is>
      </c>
      <c r="G17999" s="8" t="n">
        <v>0</v>
      </c>
      <c r="H17999" s="8" t="inlineStr">
        <is>
          <t>CLOSED</t>
        </is>
      </c>
    </row>
    <row r="18000">
      <c r="A18000" s="8" t="inlineStr">
        <is>
          <t>2026-08-04</t>
        </is>
      </c>
      <c r="B18000" s="8" t="n">
        <v>1</v>
      </c>
      <c r="C18000" s="8" t="n">
        <v>1</v>
      </c>
      <c r="D18000" s="8" t="inlineStr">
        <is>
          <t>Disneyland Park</t>
        </is>
      </c>
      <c r="E18000" s="8" t="inlineStr">
        <is>
          <t>"it's a small world"</t>
        </is>
      </c>
      <c r="F18000" s="8" t="inlineStr">
        <is>
          <t>STANDBY</t>
        </is>
      </c>
      <c r="G18000" s="8" t="n">
        <v>0</v>
      </c>
      <c r="H18000" s="8" t="inlineStr">
        <is>
          <t>CLOSED</t>
        </is>
      </c>
    </row>
    <row r="18001">
      <c r="A18001" s="8" t="inlineStr">
        <is>
          <t>2026-08-04</t>
        </is>
      </c>
      <c r="B18001" s="8" t="n">
        <v>1</v>
      </c>
      <c r="C18001" s="8" t="n">
        <v>1</v>
      </c>
      <c r="D18001" s="8" t="inlineStr">
        <is>
          <t>Disneyland Park</t>
        </is>
      </c>
      <c r="E18001" s="8" t="inlineStr">
        <is>
          <t>Alice's Curious Labyrinth</t>
        </is>
      </c>
      <c r="F18001" s="8" t="inlineStr">
        <is>
          <t>STANDBY</t>
        </is>
      </c>
      <c r="G18001" s="8" t="n">
        <v>0</v>
      </c>
      <c r="H18001" s="8" t="inlineStr">
        <is>
          <t>CLOSED</t>
        </is>
      </c>
    </row>
    <row r="18002">
      <c r="A18002" s="8" t="inlineStr">
        <is>
          <t>2026-08-04</t>
        </is>
      </c>
      <c r="B18002" s="8" t="n">
        <v>1</v>
      </c>
      <c r="C18002" s="8" t="n">
        <v>1</v>
      </c>
      <c r="D18002" s="8" t="inlineStr">
        <is>
          <t>Disneyland Park</t>
        </is>
      </c>
      <c r="E18002" s="8" t="inlineStr">
        <is>
          <t>Blanche-Neige et les Sept Nains®</t>
        </is>
      </c>
      <c r="F18002" s="8" t="inlineStr">
        <is>
          <t>STANDBY</t>
        </is>
      </c>
      <c r="G18002" s="8" t="n">
        <v>0</v>
      </c>
      <c r="H18002" s="8" t="inlineStr">
        <is>
          <t>CLOSED</t>
        </is>
      </c>
    </row>
    <row r="18003">
      <c r="A18003" s="8" t="inlineStr">
        <is>
          <t>2026-08-04</t>
        </is>
      </c>
      <c r="B18003" s="8" t="n">
        <v>1</v>
      </c>
      <c r="C18003" s="8" t="n">
        <v>1</v>
      </c>
      <c r="D18003" s="8" t="inlineStr">
        <is>
          <t>Disneyland Park</t>
        </is>
      </c>
      <c r="E18003" s="8" t="inlineStr">
        <is>
          <t>Casey Jr. – le Petit Train du Cirque</t>
        </is>
      </c>
      <c r="F18003" s="8" t="inlineStr">
        <is>
          <t>STANDBY</t>
        </is>
      </c>
      <c r="G18003" s="8" t="n">
        <v>0</v>
      </c>
      <c r="H18003" s="8" t="inlineStr">
        <is>
          <t>CLOSED</t>
        </is>
      </c>
    </row>
    <row r="18004">
      <c r="A18004" s="8" t="inlineStr">
        <is>
          <t>2026-08-04</t>
        </is>
      </c>
      <c r="B18004" s="8" t="n">
        <v>1</v>
      </c>
      <c r="C18004" s="8" t="n">
        <v>1</v>
      </c>
      <c r="D18004" s="8" t="inlineStr">
        <is>
          <t>Disneyland Park</t>
        </is>
      </c>
      <c r="E18004" s="8" t="inlineStr">
        <is>
          <t>Disneyland Railroad Fantasyland Station</t>
        </is>
      </c>
      <c r="F18004" s="8" t="inlineStr">
        <is>
          <t>STANDBY</t>
        </is>
      </c>
      <c r="G18004" s="8" t="n">
        <v>0</v>
      </c>
      <c r="H18004" s="8" t="inlineStr">
        <is>
          <t>CLOSED</t>
        </is>
      </c>
    </row>
    <row r="18005">
      <c r="A18005" s="8" t="inlineStr">
        <is>
          <t>2026-08-04</t>
        </is>
      </c>
      <c r="B18005" s="8" t="n">
        <v>1</v>
      </c>
      <c r="C18005" s="8" t="n">
        <v>1</v>
      </c>
      <c r="D18005" s="8" t="inlineStr">
        <is>
          <t>Disneyland Park</t>
        </is>
      </c>
      <c r="E18005" s="8" t="inlineStr">
        <is>
          <t>Disneyland Railroad Main Street Station</t>
        </is>
      </c>
      <c r="F18005" s="8" t="inlineStr">
        <is>
          <t>STANDBY</t>
        </is>
      </c>
      <c r="G18005" s="8" t="n">
        <v>0</v>
      </c>
      <c r="H18005" s="8" t="inlineStr">
        <is>
          <t>CLOSED</t>
        </is>
      </c>
    </row>
    <row r="18006">
      <c r="A18006" s="8" t="inlineStr">
        <is>
          <t>2026-08-04</t>
        </is>
      </c>
      <c r="B18006" s="8" t="n">
        <v>1</v>
      </c>
      <c r="C18006" s="8" t="n">
        <v>1</v>
      </c>
      <c r="D18006" s="8" t="inlineStr">
        <is>
          <t>Disneyland Park</t>
        </is>
      </c>
      <c r="E18006" s="8" t="inlineStr">
        <is>
          <t>Dumbo the Flying Elephant</t>
        </is>
      </c>
      <c r="F18006" s="8" t="inlineStr">
        <is>
          <t>STANDBY</t>
        </is>
      </c>
      <c r="G18006" s="8" t="n">
        <v>0</v>
      </c>
      <c r="H18006" s="8" t="inlineStr">
        <is>
          <t>CLOSED</t>
        </is>
      </c>
    </row>
    <row r="18007">
      <c r="A18007" s="8" t="inlineStr">
        <is>
          <t>2026-08-04</t>
        </is>
      </c>
      <c r="B18007" s="8" t="n">
        <v>1</v>
      </c>
      <c r="C18007" s="8" t="n">
        <v>1</v>
      </c>
      <c r="D18007" s="8" t="inlineStr">
        <is>
          <t>Disneyland Park</t>
        </is>
      </c>
      <c r="E18007" s="8" t="inlineStr">
        <is>
          <t>La Tanière du Dragon</t>
        </is>
      </c>
      <c r="F18007" s="8" t="inlineStr">
        <is>
          <t>STANDBY</t>
        </is>
      </c>
      <c r="G18007" s="8" t="n">
        <v>0</v>
      </c>
      <c r="H18007" s="8" t="inlineStr">
        <is>
          <t>CLOSED</t>
        </is>
      </c>
    </row>
    <row r="18008">
      <c r="A18008" s="8" t="inlineStr">
        <is>
          <t>2026-08-04</t>
        </is>
      </c>
      <c r="B18008" s="8" t="n">
        <v>1</v>
      </c>
      <c r="C18008" s="8" t="n">
        <v>1</v>
      </c>
      <c r="D18008" s="8" t="inlineStr">
        <is>
          <t>Disneyland Park</t>
        </is>
      </c>
      <c r="E18008" s="8" t="inlineStr">
        <is>
          <t>Le Carrousel de Lancelot</t>
        </is>
      </c>
      <c r="F18008" s="8" t="inlineStr">
        <is>
          <t>STANDBY</t>
        </is>
      </c>
      <c r="G18008" s="8" t="n">
        <v>0</v>
      </c>
      <c r="H18008" s="8" t="inlineStr">
        <is>
          <t>CLOSED</t>
        </is>
      </c>
    </row>
    <row r="18009">
      <c r="A18009" s="8" t="inlineStr">
        <is>
          <t>2026-08-04</t>
        </is>
      </c>
      <c r="B18009" s="8" t="n">
        <v>1</v>
      </c>
      <c r="C18009" s="8" t="n">
        <v>1</v>
      </c>
      <c r="D18009" s="8" t="inlineStr">
        <is>
          <t>Disneyland Park</t>
        </is>
      </c>
      <c r="E18009" s="8" t="inlineStr">
        <is>
          <t>Le Pays des Contes de Fées, presented by Vittel</t>
        </is>
      </c>
      <c r="F18009" s="8" t="inlineStr">
        <is>
          <t>STANDBY</t>
        </is>
      </c>
      <c r="G18009" s="8" t="n">
        <v>0</v>
      </c>
      <c r="H18009" s="8" t="inlineStr">
        <is>
          <t>CLOSED</t>
        </is>
      </c>
    </row>
    <row r="18010">
      <c r="A18010" s="8" t="inlineStr">
        <is>
          <t>2026-08-04</t>
        </is>
      </c>
      <c r="B18010" s="8" t="n">
        <v>1</v>
      </c>
      <c r="C18010" s="8" t="n">
        <v>1</v>
      </c>
      <c r="D18010" s="8" t="inlineStr">
        <is>
          <t>Disneyland Park</t>
        </is>
      </c>
      <c r="E18010" s="8" t="inlineStr">
        <is>
          <t>Les Voyages de Pinocchio</t>
        </is>
      </c>
      <c r="F18010" s="8" t="inlineStr">
        <is>
          <t>STANDBY</t>
        </is>
      </c>
      <c r="G18010" s="8" t="n">
        <v>0</v>
      </c>
      <c r="H18010" s="8" t="inlineStr">
        <is>
          <t>CLOSED</t>
        </is>
      </c>
    </row>
    <row r="18011">
      <c r="A18011" s="8" t="inlineStr">
        <is>
          <t>2026-08-04</t>
        </is>
      </c>
      <c r="B18011" s="8" t="n">
        <v>1</v>
      </c>
      <c r="C18011" s="8" t="n">
        <v>1</v>
      </c>
      <c r="D18011" s="8" t="inlineStr">
        <is>
          <t>Disneyland Park</t>
        </is>
      </c>
      <c r="E18011" s="8" t="inlineStr">
        <is>
          <t>Mad Hatter's Tea Cups</t>
        </is>
      </c>
      <c r="F18011" s="8" t="inlineStr">
        <is>
          <t>STANDBY</t>
        </is>
      </c>
      <c r="G18011" s="8" t="n">
        <v>0</v>
      </c>
      <c r="H18011" s="8" t="inlineStr">
        <is>
          <t>CLOSED</t>
        </is>
      </c>
    </row>
    <row r="18012">
      <c r="A18012" s="8" t="inlineStr">
        <is>
          <t>2026-08-04</t>
        </is>
      </c>
      <c r="B18012" s="8" t="n">
        <v>1</v>
      </c>
      <c r="C18012" s="8" t="n">
        <v>1</v>
      </c>
      <c r="D18012" s="8" t="inlineStr">
        <is>
          <t>Disneyland Park</t>
        </is>
      </c>
      <c r="E18012" s="8" t="inlineStr">
        <is>
          <t>Meet Mickey Mouse</t>
        </is>
      </c>
      <c r="F18012" s="8" t="inlineStr">
        <is>
          <t>STANDBY</t>
        </is>
      </c>
      <c r="G18012" s="8" t="n">
        <v>0</v>
      </c>
      <c r="H18012" s="8" t="inlineStr">
        <is>
          <t>CLOSED</t>
        </is>
      </c>
    </row>
    <row r="18013">
      <c r="A18013" s="8" t="inlineStr">
        <is>
          <t>2026-08-04</t>
        </is>
      </c>
      <c r="B18013" s="8" t="n">
        <v>1</v>
      </c>
      <c r="C18013" s="8" t="n">
        <v>1</v>
      </c>
      <c r="D18013" s="8" t="inlineStr">
        <is>
          <t>Disneyland Park</t>
        </is>
      </c>
      <c r="E18013" s="8" t="inlineStr">
        <is>
          <t>Peter Pan's Flight</t>
        </is>
      </c>
      <c r="F18013" s="8" t="inlineStr">
        <is>
          <t>STANDBY</t>
        </is>
      </c>
      <c r="G18013" s="8" t="n">
        <v>0</v>
      </c>
      <c r="H18013" s="8" t="inlineStr">
        <is>
          <t>CLOSED</t>
        </is>
      </c>
    </row>
    <row r="18014">
      <c r="A18014" s="8" t="inlineStr">
        <is>
          <t>2026-08-04</t>
        </is>
      </c>
      <c r="B18014" s="8" t="n">
        <v>1</v>
      </c>
      <c r="C18014" s="8" t="n">
        <v>1</v>
      </c>
      <c r="D18014" s="8" t="inlineStr">
        <is>
          <t>Disneyland Park</t>
        </is>
      </c>
      <c r="E18014" s="8" t="inlineStr">
        <is>
          <t>Princess Pavilion</t>
        </is>
      </c>
      <c r="F18014" s="8" t="inlineStr">
        <is>
          <t>STANDBY</t>
        </is>
      </c>
      <c r="G18014" s="8" t="n">
        <v>0</v>
      </c>
      <c r="H18014" s="8" t="inlineStr">
        <is>
          <t>CLOSED</t>
        </is>
      </c>
    </row>
    <row r="18015">
      <c r="A18015" s="8" t="inlineStr">
        <is>
          <t>2026-08-04</t>
        </is>
      </c>
      <c r="B18015" s="8" t="n">
        <v>1</v>
      </c>
      <c r="C18015" s="8" t="n">
        <v>1</v>
      </c>
      <c r="D18015" s="8" t="inlineStr">
        <is>
          <t>Disneyland Park</t>
        </is>
      </c>
      <c r="E18015" s="8" t="inlineStr">
        <is>
          <t>Big Thunder Mountain</t>
        </is>
      </c>
      <c r="F18015" s="8" t="inlineStr">
        <is>
          <t>STANDBY</t>
        </is>
      </c>
      <c r="G18015" s="8" t="n">
        <v>0</v>
      </c>
      <c r="H18015" s="8" t="inlineStr">
        <is>
          <t>CLOSED</t>
        </is>
      </c>
    </row>
    <row r="18016">
      <c r="A18016" s="8" t="inlineStr">
        <is>
          <t>2026-08-04</t>
        </is>
      </c>
      <c r="B18016" s="8" t="n">
        <v>1</v>
      </c>
      <c r="C18016" s="8" t="n">
        <v>1</v>
      </c>
      <c r="D18016" s="8" t="inlineStr">
        <is>
          <t>Disneyland Park</t>
        </is>
      </c>
      <c r="E18016" s="8" t="inlineStr">
        <is>
          <t>Disneyland Railroad Frontierland Depot</t>
        </is>
      </c>
      <c r="F18016" s="8" t="inlineStr">
        <is>
          <t>STANDBY</t>
        </is>
      </c>
      <c r="G18016" s="8" t="n">
        <v>0</v>
      </c>
      <c r="H18016" s="8" t="inlineStr">
        <is>
          <t>CLOSED</t>
        </is>
      </c>
    </row>
    <row r="18017">
      <c r="A18017" s="8" t="inlineStr">
        <is>
          <t>2026-08-04</t>
        </is>
      </c>
      <c r="B18017" s="8" t="n">
        <v>1</v>
      </c>
      <c r="C18017" s="8" t="n">
        <v>1</v>
      </c>
      <c r="D18017" s="8" t="inlineStr">
        <is>
          <t>Disneyland Park</t>
        </is>
      </c>
      <c r="E18017" s="8" t="inlineStr">
        <is>
          <t>Frontierland Playground</t>
        </is>
      </c>
      <c r="F18017" s="8" t="inlineStr">
        <is>
          <t>STANDBY</t>
        </is>
      </c>
      <c r="G18017" s="8" t="n">
        <v>0</v>
      </c>
      <c r="H18017" s="8" t="inlineStr">
        <is>
          <t>CLOSED</t>
        </is>
      </c>
    </row>
    <row r="18018">
      <c r="A18018" s="8" t="inlineStr">
        <is>
          <t>2026-08-04</t>
        </is>
      </c>
      <c r="B18018" s="8" t="n">
        <v>1</v>
      </c>
      <c r="C18018" s="8" t="n">
        <v>1</v>
      </c>
      <c r="D18018" s="8" t="inlineStr">
        <is>
          <t>Disneyland Park</t>
        </is>
      </c>
      <c r="E18018" s="8" t="inlineStr">
        <is>
          <t>Phantom Manor</t>
        </is>
      </c>
      <c r="F18018" s="8" t="inlineStr">
        <is>
          <t>STANDBY</t>
        </is>
      </c>
      <c r="G18018" s="8" t="n">
        <v>0</v>
      </c>
      <c r="H18018" s="8" t="inlineStr">
        <is>
          <t>CLOSED</t>
        </is>
      </c>
    </row>
    <row r="18019">
      <c r="A18019" s="8" t="inlineStr">
        <is>
          <t>2026-08-04</t>
        </is>
      </c>
      <c r="B18019" s="8" t="n">
        <v>1</v>
      </c>
      <c r="C18019" s="8" t="n">
        <v>1</v>
      </c>
      <c r="D18019" s="8" t="inlineStr">
        <is>
          <t>Disneyland Park</t>
        </is>
      </c>
      <c r="E18019" s="8" t="inlineStr">
        <is>
          <t>River Rogue Keelboats</t>
        </is>
      </c>
      <c r="F18019" s="8" t="inlineStr">
        <is>
          <t>STANDBY</t>
        </is>
      </c>
      <c r="G18019" s="8" t="n">
        <v>0</v>
      </c>
      <c r="H18019" s="8" t="inlineStr">
        <is>
          <t>CLOSED</t>
        </is>
      </c>
    </row>
    <row r="18020">
      <c r="A18020" s="8" t="inlineStr">
        <is>
          <t>2026-08-04</t>
        </is>
      </c>
      <c r="B18020" s="8" t="n">
        <v>1</v>
      </c>
      <c r="C18020" s="8" t="n">
        <v>1</v>
      </c>
      <c r="D18020" s="8" t="inlineStr">
        <is>
          <t>Disneyland Park</t>
        </is>
      </c>
      <c r="E18020" s="8" t="inlineStr">
        <is>
          <t>Rustler Roundup Shootin' Gallery</t>
        </is>
      </c>
      <c r="F18020" s="8" t="inlineStr">
        <is>
          <t>STANDBY</t>
        </is>
      </c>
      <c r="G18020" s="8" t="n">
        <v>0</v>
      </c>
      <c r="H18020" s="8" t="inlineStr">
        <is>
          <t>CLOSED</t>
        </is>
      </c>
    </row>
    <row r="18021">
      <c r="A18021" s="8" t="inlineStr">
        <is>
          <t>2026-08-04</t>
        </is>
      </c>
      <c r="B18021" s="8" t="n">
        <v>1</v>
      </c>
      <c r="C18021" s="8" t="n">
        <v>1</v>
      </c>
      <c r="D18021" s="8" t="inlineStr">
        <is>
          <t>Disneyland Park</t>
        </is>
      </c>
      <c r="E18021" s="8" t="inlineStr">
        <is>
          <t>Thunder Mesa Riverboat Landing</t>
        </is>
      </c>
      <c r="F18021" s="8" t="inlineStr">
        <is>
          <t>STANDBY</t>
        </is>
      </c>
      <c r="G18021" s="8" t="n">
        <v>0</v>
      </c>
      <c r="H18021" s="8" t="inlineStr">
        <is>
          <t>CLOSED</t>
        </is>
      </c>
    </row>
    <row r="18022">
      <c r="A18022" s="8" t="inlineStr">
        <is>
          <t>2026-08-04</t>
        </is>
      </c>
      <c r="B18022" s="8" t="n">
        <v>1</v>
      </c>
      <c r="C18022" s="8" t="n">
        <v>1</v>
      </c>
      <c r="D18022" s="8" t="inlineStr">
        <is>
          <t>Disneyland Park</t>
        </is>
      </c>
      <c r="E18022" s="8" t="inlineStr">
        <is>
          <t>Disneyland Railroad Main Street Station</t>
        </is>
      </c>
      <c r="F18022" s="8" t="inlineStr">
        <is>
          <t>STANDBY</t>
        </is>
      </c>
      <c r="G18022" s="8" t="n">
        <v>0</v>
      </c>
      <c r="H18022" s="8" t="inlineStr">
        <is>
          <t>CLOSED</t>
        </is>
      </c>
    </row>
    <row r="18023">
      <c r="A18023" s="8" t="inlineStr">
        <is>
          <t>2026-08-04</t>
        </is>
      </c>
      <c r="B18023" s="8" t="n">
        <v>1</v>
      </c>
      <c r="C18023" s="8" t="n">
        <v>1</v>
      </c>
      <c r="D18023" s="8" t="inlineStr">
        <is>
          <t>Disneyland Park</t>
        </is>
      </c>
      <c r="E18023" s="8" t="inlineStr">
        <is>
          <t>Main Street Vehicles</t>
        </is>
      </c>
      <c r="F18023" s="8" t="inlineStr">
        <is>
          <t>STANDBY</t>
        </is>
      </c>
      <c r="G18023" s="8" t="n">
        <v>0</v>
      </c>
      <c r="H18023" s="8" t="inlineStr">
        <is>
          <t>CLOSED</t>
        </is>
      </c>
    </row>
    <row r="18024">
      <c r="A18024" s="8" t="inlineStr">
        <is>
          <t>2026-08-04</t>
        </is>
      </c>
      <c r="B18024" s="8" t="n">
        <v>1</v>
      </c>
      <c r="C18024" s="8" t="n">
        <v>1</v>
      </c>
      <c r="D18024" s="8" t="inlineStr">
        <is>
          <t>Disney Adventure World</t>
        </is>
      </c>
      <c r="E18024" s="8" t="inlineStr">
        <is>
          <t>Avengers Assemble: Flight Force</t>
        </is>
      </c>
      <c r="F18024" s="8" t="inlineStr">
        <is>
          <t>STANDBY</t>
        </is>
      </c>
      <c r="G18024" s="8" t="n">
        <v>0</v>
      </c>
      <c r="H18024" s="8" t="inlineStr">
        <is>
          <t>CLOSED</t>
        </is>
      </c>
    </row>
    <row r="18025">
      <c r="A18025" s="8" t="inlineStr">
        <is>
          <t>2026-08-04</t>
        </is>
      </c>
      <c r="B18025" s="8" t="n">
        <v>1</v>
      </c>
      <c r="C18025" s="8" t="n">
        <v>1</v>
      </c>
      <c r="D18025" s="8" t="inlineStr">
        <is>
          <t>Disney Adventure World</t>
        </is>
      </c>
      <c r="E18025" s="8" t="inlineStr">
        <is>
          <t>Avengers Assemble: Flight Force Single Rider</t>
        </is>
      </c>
      <c r="F18025" s="8" t="inlineStr">
        <is>
          <t>STANDBY</t>
        </is>
      </c>
      <c r="G18025" s="8" t="n">
        <v>0</v>
      </c>
      <c r="H18025" s="8" t="inlineStr">
        <is>
          <t>CLOSED</t>
        </is>
      </c>
    </row>
    <row r="18026">
      <c r="A18026" s="8" t="inlineStr">
        <is>
          <t>2026-08-04</t>
        </is>
      </c>
      <c r="B18026" s="8" t="n">
        <v>1</v>
      </c>
      <c r="C18026" s="8" t="n">
        <v>1</v>
      </c>
      <c r="D18026" s="8" t="inlineStr">
        <is>
          <t>Disney Adventure World</t>
        </is>
      </c>
      <c r="E18026" s="8" t="inlineStr">
        <is>
          <t>Spider-Man W.E.B. Adventure</t>
        </is>
      </c>
      <c r="F18026" s="8" t="inlineStr">
        <is>
          <t>STANDBY</t>
        </is>
      </c>
      <c r="G18026" s="8" t="n">
        <v>0</v>
      </c>
      <c r="H18026" s="8" t="inlineStr">
        <is>
          <t>CLOSED</t>
        </is>
      </c>
    </row>
    <row r="18027">
      <c r="A18027" s="8" t="inlineStr">
        <is>
          <t>2026-08-04</t>
        </is>
      </c>
      <c r="B18027" s="8" t="n">
        <v>1</v>
      </c>
      <c r="C18027" s="8" t="n">
        <v>1</v>
      </c>
      <c r="D18027" s="8" t="inlineStr">
        <is>
          <t>Disney Adventure World</t>
        </is>
      </c>
      <c r="E18027" s="8" t="inlineStr">
        <is>
          <t>Spider-Man W.E.B. Adventure Single Rider</t>
        </is>
      </c>
      <c r="F18027" s="8" t="inlineStr">
        <is>
          <t>STANDBY</t>
        </is>
      </c>
      <c r="G18027" s="8" t="n">
        <v>0</v>
      </c>
      <c r="H18027" s="8" t="inlineStr">
        <is>
          <t>CLOSED</t>
        </is>
      </c>
    </row>
    <row r="18028">
      <c r="A18028" s="8" t="inlineStr">
        <is>
          <t>2026-08-04</t>
        </is>
      </c>
      <c r="B18028" s="8" t="n">
        <v>1</v>
      </c>
      <c r="C18028" s="8" t="n">
        <v>1</v>
      </c>
      <c r="D18028" s="8" t="inlineStr">
        <is>
          <t>Disney Adventure World</t>
        </is>
      </c>
      <c r="E18028" s="8" t="inlineStr">
        <is>
          <t>The Twilight Zone Tower of Terror</t>
        </is>
      </c>
      <c r="F18028" s="8" t="inlineStr">
        <is>
          <t>STANDBY</t>
        </is>
      </c>
      <c r="G18028" s="8" t="n">
        <v>0</v>
      </c>
      <c r="H18028" s="8" t="inlineStr">
        <is>
          <t>CLOSED</t>
        </is>
      </c>
    </row>
    <row r="18029">
      <c r="A18029" s="8" t="inlineStr">
        <is>
          <t>2026-08-04</t>
        </is>
      </c>
      <c r="B18029" s="8" t="n">
        <v>1</v>
      </c>
      <c r="C18029" s="8" t="n">
        <v>1</v>
      </c>
      <c r="D18029" s="8" t="inlineStr">
        <is>
          <t>Disney Adventure World</t>
        </is>
      </c>
      <c r="E18029" s="8" t="inlineStr">
        <is>
          <t>Cars Quatre Roues Rallye</t>
        </is>
      </c>
      <c r="F18029" s="8" t="inlineStr">
        <is>
          <t>STANDBY</t>
        </is>
      </c>
      <c r="G18029" s="8" t="n">
        <v>0</v>
      </c>
      <c r="H18029" s="8" t="inlineStr">
        <is>
          <t>CLOSED</t>
        </is>
      </c>
    </row>
    <row r="18030">
      <c r="A18030" s="8" t="inlineStr">
        <is>
          <t>2026-08-04</t>
        </is>
      </c>
      <c r="B18030" s="8" t="n">
        <v>1</v>
      </c>
      <c r="C18030" s="8" t="n">
        <v>1</v>
      </c>
      <c r="D18030" s="8" t="inlineStr">
        <is>
          <t>Disney Adventure World</t>
        </is>
      </c>
      <c r="E18030" s="8" t="inlineStr">
        <is>
          <t>Cars ROAD TRIP</t>
        </is>
      </c>
      <c r="F18030" s="8" t="inlineStr">
        <is>
          <t>STANDBY</t>
        </is>
      </c>
      <c r="G18030" s="8" t="n">
        <v>0</v>
      </c>
      <c r="H18030" s="8" t="inlineStr">
        <is>
          <t>CLOSED</t>
        </is>
      </c>
    </row>
    <row r="18031">
      <c r="A18031" s="8" t="inlineStr">
        <is>
          <t>2026-08-04</t>
        </is>
      </c>
      <c r="B18031" s="8" t="n">
        <v>1</v>
      </c>
      <c r="C18031" s="8" t="n">
        <v>1</v>
      </c>
      <c r="D18031" s="8" t="inlineStr">
        <is>
          <t>Disney Adventure World</t>
        </is>
      </c>
      <c r="E18031" s="8" t="inlineStr">
        <is>
          <t>Crush's Coaster</t>
        </is>
      </c>
      <c r="F18031" s="8" t="inlineStr">
        <is>
          <t>STANDBY</t>
        </is>
      </c>
      <c r="G18031" s="8" t="n">
        <v>0</v>
      </c>
      <c r="H18031" s="8" t="inlineStr">
        <is>
          <t>CLOSED</t>
        </is>
      </c>
    </row>
    <row r="18032">
      <c r="A18032" s="8" t="inlineStr">
        <is>
          <t>2026-08-04</t>
        </is>
      </c>
      <c r="B18032" s="8" t="n">
        <v>1</v>
      </c>
      <c r="C18032" s="8" t="n">
        <v>1</v>
      </c>
      <c r="D18032" s="8" t="inlineStr">
        <is>
          <t>Disney Adventure World</t>
        </is>
      </c>
      <c r="E18032" s="8" t="inlineStr">
        <is>
          <t>Crush's Coaster Single Rider</t>
        </is>
      </c>
      <c r="F18032" s="8" t="inlineStr">
        <is>
          <t>STANDBY</t>
        </is>
      </c>
      <c r="G18032" s="8" t="n">
        <v>0</v>
      </c>
      <c r="H18032" s="8" t="inlineStr">
        <is>
          <t>CLOSED</t>
        </is>
      </c>
    </row>
    <row r="18033">
      <c r="A18033" s="8" t="inlineStr">
        <is>
          <t>2026-08-04</t>
        </is>
      </c>
      <c r="B18033" s="8" t="n">
        <v>1</v>
      </c>
      <c r="C18033" s="8" t="n">
        <v>1</v>
      </c>
      <c r="D18033" s="8" t="inlineStr">
        <is>
          <t>Disney Adventure World</t>
        </is>
      </c>
      <c r="E18033" s="8" t="inlineStr">
        <is>
          <t>Les Tapis Volants - Flying Carpets Over Agrabah®</t>
        </is>
      </c>
      <c r="F18033" s="8" t="inlineStr">
        <is>
          <t>STANDBY</t>
        </is>
      </c>
      <c r="G18033" s="8" t="n">
        <v>0</v>
      </c>
      <c r="H18033" s="8" t="inlineStr">
        <is>
          <t>CLOSED</t>
        </is>
      </c>
    </row>
    <row r="18034">
      <c r="A18034" s="8" t="inlineStr">
        <is>
          <t>2026-08-04</t>
        </is>
      </c>
      <c r="B18034" s="8" t="n">
        <v>1</v>
      </c>
      <c r="C18034" s="8" t="n">
        <v>1</v>
      </c>
      <c r="D18034" s="8" t="inlineStr">
        <is>
          <t>Disney Adventure World</t>
        </is>
      </c>
      <c r="E18034" s="8" t="inlineStr">
        <is>
          <t>Ratatouille : L’Aventure Totalement Toquée de Rémy​</t>
        </is>
      </c>
      <c r="F18034" s="8" t="inlineStr">
        <is>
          <t>STANDBY</t>
        </is>
      </c>
      <c r="G18034" s="8" t="n">
        <v>0</v>
      </c>
      <c r="H18034" s="8" t="inlineStr">
        <is>
          <t>CLOSED</t>
        </is>
      </c>
    </row>
    <row r="18035">
      <c r="A18035" s="8" t="inlineStr">
        <is>
          <t>2026-08-04</t>
        </is>
      </c>
      <c r="B18035" s="8" t="n">
        <v>1</v>
      </c>
      <c r="C18035" s="8" t="n">
        <v>1</v>
      </c>
      <c r="D18035" s="8" t="inlineStr">
        <is>
          <t>Disney Adventure World</t>
        </is>
      </c>
      <c r="E18035" s="8" t="inlineStr">
        <is>
          <t>Ratatouille: The Adventure Single Rider</t>
        </is>
      </c>
      <c r="F18035" s="8" t="inlineStr">
        <is>
          <t>STANDBY</t>
        </is>
      </c>
      <c r="G18035" s="8" t="n">
        <v>0</v>
      </c>
      <c r="H18035" s="8" t="inlineStr">
        <is>
          <t>CLOSED</t>
        </is>
      </c>
    </row>
    <row r="18036">
      <c r="A18036" s="8" t="inlineStr">
        <is>
          <t>2026-08-04</t>
        </is>
      </c>
      <c r="B18036" s="8" t="n">
        <v>1</v>
      </c>
      <c r="C18036" s="8" t="n">
        <v>1</v>
      </c>
      <c r="D18036" s="8" t="inlineStr">
        <is>
          <t>Disney Adventure World</t>
        </is>
      </c>
      <c r="E18036" s="8" t="inlineStr">
        <is>
          <t>RC Racer</t>
        </is>
      </c>
      <c r="F18036" s="8" t="inlineStr">
        <is>
          <t>STANDBY</t>
        </is>
      </c>
      <c r="G18036" s="8" t="n">
        <v>0</v>
      </c>
      <c r="H18036" s="8" t="inlineStr">
        <is>
          <t>CLOSED</t>
        </is>
      </c>
    </row>
    <row r="18037">
      <c r="A18037" s="8" t="inlineStr">
        <is>
          <t>2026-08-04</t>
        </is>
      </c>
      <c r="B18037" s="8" t="n">
        <v>1</v>
      </c>
      <c r="C18037" s="8" t="n">
        <v>1</v>
      </c>
      <c r="D18037" s="8" t="inlineStr">
        <is>
          <t>Disney Adventure World</t>
        </is>
      </c>
      <c r="E18037" s="8" t="inlineStr">
        <is>
          <t>RC Racer Single Rider</t>
        </is>
      </c>
      <c r="F18037" s="8" t="inlineStr">
        <is>
          <t>STANDBY</t>
        </is>
      </c>
      <c r="G18037" s="8" t="n">
        <v>0</v>
      </c>
      <c r="H18037" s="8" t="inlineStr">
        <is>
          <t>CLOSED</t>
        </is>
      </c>
    </row>
    <row r="18038">
      <c r="A18038" s="8" t="inlineStr">
        <is>
          <t>2026-08-04</t>
        </is>
      </c>
      <c r="B18038" s="8" t="n">
        <v>1</v>
      </c>
      <c r="C18038" s="8" t="n">
        <v>1</v>
      </c>
      <c r="D18038" s="8" t="inlineStr">
        <is>
          <t>Disney Adventure World</t>
        </is>
      </c>
      <c r="E18038" s="8" t="inlineStr">
        <is>
          <t>Slinky® Dog Zigzag Spin</t>
        </is>
      </c>
      <c r="F18038" s="8" t="inlineStr">
        <is>
          <t>STANDBY</t>
        </is>
      </c>
      <c r="G18038" s="8" t="n">
        <v>0</v>
      </c>
      <c r="H18038" s="8" t="inlineStr">
        <is>
          <t>CLOSED</t>
        </is>
      </c>
    </row>
    <row r="18039">
      <c r="A18039" s="8" t="inlineStr">
        <is>
          <t>2026-08-04</t>
        </is>
      </c>
      <c r="B18039" s="8" t="n">
        <v>1</v>
      </c>
      <c r="C18039" s="8" t="n">
        <v>1</v>
      </c>
      <c r="D18039" s="8" t="inlineStr">
        <is>
          <t>Disney Adventure World</t>
        </is>
      </c>
      <c r="E18039" s="8" t="inlineStr">
        <is>
          <t>Toy Soldiers Parachute Drop</t>
        </is>
      </c>
      <c r="F18039" s="8" t="inlineStr">
        <is>
          <t>STANDBY</t>
        </is>
      </c>
      <c r="G18039" s="8" t="n">
        <v>0</v>
      </c>
      <c r="H18039" s="8" t="inlineStr">
        <is>
          <t>CLOSED</t>
        </is>
      </c>
    </row>
    <row r="18040">
      <c r="A18040" s="8" t="inlineStr">
        <is>
          <t>2026-08-04</t>
        </is>
      </c>
      <c r="B18040" s="8" t="n">
        <v>1</v>
      </c>
      <c r="C18040" s="8" t="n">
        <v>1</v>
      </c>
      <c r="D18040" s="8" t="inlineStr">
        <is>
          <t>Disney Adventure World</t>
        </is>
      </c>
      <c r="E18040" s="8" t="inlineStr">
        <is>
          <t>Toy Soldiers Parachute Drop Single Rider</t>
        </is>
      </c>
      <c r="F18040" s="8" t="inlineStr">
        <is>
          <t>STANDBY</t>
        </is>
      </c>
      <c r="G18040" s="8" t="n">
        <v>0</v>
      </c>
      <c r="H18040" s="8" t="inlineStr">
        <is>
          <t>CLOSED</t>
        </is>
      </c>
    </row>
    <row r="18041">
      <c r="A18041" s="8" t="inlineStr">
        <is>
          <t>2026-08-04</t>
        </is>
      </c>
      <c r="B18041" s="8" t="n">
        <v>1</v>
      </c>
      <c r="C18041" s="8" t="n">
        <v>1</v>
      </c>
      <c r="D18041" s="8" t="inlineStr">
        <is>
          <t>Disney Adventure World</t>
        </is>
      </c>
      <c r="E18041" s="8" t="inlineStr">
        <is>
          <t>Entry to World of Frozen</t>
        </is>
      </c>
      <c r="F18041" s="8" t="inlineStr">
        <is>
          <t>STANDBY</t>
        </is>
      </c>
      <c r="G18041" s="8" t="n">
        <v>0</v>
      </c>
      <c r="H18041" s="8" t="inlineStr">
        <is>
          <t>CLOSED</t>
        </is>
      </c>
    </row>
    <row r="18042">
      <c r="A18042" s="8" t="inlineStr">
        <is>
          <t>2026-08-04</t>
        </is>
      </c>
      <c r="B18042" s="8" t="n">
        <v>1</v>
      </c>
      <c r="C18042" s="8" t="n">
        <v>1</v>
      </c>
      <c r="D18042" s="8" t="inlineStr">
        <is>
          <t>Disney Adventure World</t>
        </is>
      </c>
      <c r="E18042" s="8" t="inlineStr">
        <is>
          <t>Frozen Ever After</t>
        </is>
      </c>
      <c r="F18042" s="8" t="inlineStr">
        <is>
          <t>STANDBY</t>
        </is>
      </c>
      <c r="G18042" s="8" t="n">
        <v>0</v>
      </c>
      <c r="H18042" s="8" t="inlineStr">
        <is>
          <t>CLOSED</t>
        </is>
      </c>
    </row>
    <row r="18043">
      <c r="A18043" s="8" t="inlineStr">
        <is>
          <t>2026-08-04</t>
        </is>
      </c>
      <c r="B18043" s="8" t="n">
        <v>1</v>
      </c>
      <c r="C18043" s="8" t="n">
        <v>1</v>
      </c>
      <c r="D18043" s="8" t="inlineStr">
        <is>
          <t>Disney Adventure World</t>
        </is>
      </c>
      <c r="E18043" s="8" t="inlineStr">
        <is>
          <t>Raiponce Tangled Spin</t>
        </is>
      </c>
      <c r="F18043" s="8" t="inlineStr">
        <is>
          <t>STANDBY</t>
        </is>
      </c>
      <c r="G18043" s="8" t="n">
        <v>0</v>
      </c>
      <c r="H18043" s="8" t="inlineStr">
        <is>
          <t>CLOSED</t>
        </is>
      </c>
    </row>
    <row r="18044">
      <c r="A18044" s="8" t="inlineStr">
        <is>
          <t>2026-08-04</t>
        </is>
      </c>
      <c r="B18044" s="8" t="n">
        <v>1</v>
      </c>
      <c r="C18044" s="8" t="n">
        <v>15</v>
      </c>
      <c r="D18044" s="8" t="inlineStr">
        <is>
          <t>Disneyland Park</t>
        </is>
      </c>
      <c r="E18044" s="8" t="inlineStr">
        <is>
          <t>Adventure Isle</t>
        </is>
      </c>
      <c r="F18044" s="8" t="inlineStr">
        <is>
          <t>STANDBY</t>
        </is>
      </c>
      <c r="G18044" s="8" t="n">
        <v>0</v>
      </c>
      <c r="H18044" s="8" t="inlineStr">
        <is>
          <t>CLOSED</t>
        </is>
      </c>
    </row>
    <row r="18045">
      <c r="A18045" s="8" t="inlineStr">
        <is>
          <t>2026-08-04</t>
        </is>
      </c>
      <c r="B18045" s="8" t="n">
        <v>1</v>
      </c>
      <c r="C18045" s="8" t="n">
        <v>15</v>
      </c>
      <c r="D18045" s="8" t="inlineStr">
        <is>
          <t>Disneyland Park</t>
        </is>
      </c>
      <c r="E18045" s="8" t="inlineStr">
        <is>
          <t>Indiana Jones and the Temple of Peril Single Rider</t>
        </is>
      </c>
      <c r="F18045" s="8" t="inlineStr">
        <is>
          <t>STANDBY</t>
        </is>
      </c>
      <c r="G18045" s="8" t="n">
        <v>0</v>
      </c>
      <c r="H18045" s="8" t="inlineStr">
        <is>
          <t>CLOSED</t>
        </is>
      </c>
    </row>
    <row r="18046">
      <c r="A18046" s="8" t="inlineStr">
        <is>
          <t>2026-08-04</t>
        </is>
      </c>
      <c r="B18046" s="8" t="n">
        <v>1</v>
      </c>
      <c r="C18046" s="8" t="n">
        <v>15</v>
      </c>
      <c r="D18046" s="8" t="inlineStr">
        <is>
          <t>Disneyland Park</t>
        </is>
      </c>
      <c r="E18046" s="8" t="inlineStr">
        <is>
          <t>Indiana Jones™ and the Temple of Peril</t>
        </is>
      </c>
      <c r="F18046" s="8" t="inlineStr">
        <is>
          <t>STANDBY</t>
        </is>
      </c>
      <c r="G18046" s="8" t="n">
        <v>0</v>
      </c>
      <c r="H18046" s="8" t="inlineStr">
        <is>
          <t>CLOSED</t>
        </is>
      </c>
    </row>
    <row r="18047">
      <c r="A18047" s="8" t="inlineStr">
        <is>
          <t>2026-08-04</t>
        </is>
      </c>
      <c r="B18047" s="8" t="n">
        <v>1</v>
      </c>
      <c r="C18047" s="8" t="n">
        <v>15</v>
      </c>
      <c r="D18047" s="8" t="inlineStr">
        <is>
          <t>Disneyland Park</t>
        </is>
      </c>
      <c r="E18047" s="8" t="inlineStr">
        <is>
          <t>La Cabane des Robinson</t>
        </is>
      </c>
      <c r="F18047" s="8" t="inlineStr">
        <is>
          <t>STANDBY</t>
        </is>
      </c>
      <c r="G18047" s="8" t="n">
        <v>0</v>
      </c>
      <c r="H18047" s="8" t="inlineStr">
        <is>
          <t>CLOSED</t>
        </is>
      </c>
    </row>
    <row r="18048">
      <c r="A18048" s="8" t="inlineStr">
        <is>
          <t>2026-08-04</t>
        </is>
      </c>
      <c r="B18048" s="8" t="n">
        <v>1</v>
      </c>
      <c r="C18048" s="8" t="n">
        <v>15</v>
      </c>
      <c r="D18048" s="8" t="inlineStr">
        <is>
          <t>Disneyland Park</t>
        </is>
      </c>
      <c r="E18048" s="8" t="inlineStr">
        <is>
          <t>Le Passage Enchanté d'Aladdin</t>
        </is>
      </c>
      <c r="F18048" s="8" t="inlineStr">
        <is>
          <t>STANDBY</t>
        </is>
      </c>
      <c r="G18048" s="8" t="n">
        <v>0</v>
      </c>
      <c r="H18048" s="8" t="inlineStr">
        <is>
          <t>CLOSED</t>
        </is>
      </c>
    </row>
    <row r="18049">
      <c r="A18049" s="8" t="inlineStr">
        <is>
          <t>2026-08-04</t>
        </is>
      </c>
      <c r="B18049" s="8" t="n">
        <v>1</v>
      </c>
      <c r="C18049" s="8" t="n">
        <v>15</v>
      </c>
      <c r="D18049" s="8" t="inlineStr">
        <is>
          <t>Disneyland Park</t>
        </is>
      </c>
      <c r="E18049" s="8" t="inlineStr">
        <is>
          <t>Pirate Galleon</t>
        </is>
      </c>
      <c r="F18049" s="8" t="inlineStr">
        <is>
          <t>STANDBY</t>
        </is>
      </c>
      <c r="G18049" s="8" t="n">
        <v>0</v>
      </c>
      <c r="H18049" s="8" t="inlineStr">
        <is>
          <t>CLOSED</t>
        </is>
      </c>
    </row>
    <row r="18050">
      <c r="A18050" s="8" t="inlineStr">
        <is>
          <t>2026-08-04</t>
        </is>
      </c>
      <c r="B18050" s="8" t="n">
        <v>1</v>
      </c>
      <c r="C18050" s="8" t="n">
        <v>15</v>
      </c>
      <c r="D18050" s="8" t="inlineStr">
        <is>
          <t>Disneyland Park</t>
        </is>
      </c>
      <c r="E18050" s="8" t="inlineStr">
        <is>
          <t>Pirates of the Caribbean</t>
        </is>
      </c>
      <c r="F18050" s="8" t="inlineStr">
        <is>
          <t>STANDBY</t>
        </is>
      </c>
      <c r="G18050" s="8" t="n">
        <v>0</v>
      </c>
      <c r="H18050" s="8" t="inlineStr">
        <is>
          <t>CLOSED</t>
        </is>
      </c>
    </row>
    <row r="18051">
      <c r="A18051" s="8" t="inlineStr">
        <is>
          <t>2026-08-04</t>
        </is>
      </c>
      <c r="B18051" s="8" t="n">
        <v>1</v>
      </c>
      <c r="C18051" s="8" t="n">
        <v>15</v>
      </c>
      <c r="D18051" s="8" t="inlineStr">
        <is>
          <t>Disneyland Park</t>
        </is>
      </c>
      <c r="E18051" s="8" t="inlineStr">
        <is>
          <t>Pirates' Beach</t>
        </is>
      </c>
      <c r="F18051" s="8" t="inlineStr">
        <is>
          <t>STANDBY</t>
        </is>
      </c>
      <c r="G18051" s="8" t="n">
        <v>0</v>
      </c>
      <c r="H18051" s="8" t="inlineStr">
        <is>
          <t>CLOSED</t>
        </is>
      </c>
    </row>
    <row r="18052">
      <c r="A18052" s="8" t="inlineStr">
        <is>
          <t>2026-08-04</t>
        </is>
      </c>
      <c r="B18052" s="8" t="n">
        <v>1</v>
      </c>
      <c r="C18052" s="8" t="n">
        <v>15</v>
      </c>
      <c r="D18052" s="8" t="inlineStr">
        <is>
          <t>Disneyland Park</t>
        </is>
      </c>
      <c r="E18052" s="8" t="inlineStr">
        <is>
          <t>Autopia, presented by Avis</t>
        </is>
      </c>
      <c r="F18052" s="8" t="inlineStr">
        <is>
          <t>STANDBY</t>
        </is>
      </c>
      <c r="G18052" s="8" t="n">
        <v>0</v>
      </c>
      <c r="H18052" s="8" t="inlineStr">
        <is>
          <t>CLOSED</t>
        </is>
      </c>
    </row>
    <row r="18053">
      <c r="A18053" s="8" t="inlineStr">
        <is>
          <t>2026-08-04</t>
        </is>
      </c>
      <c r="B18053" s="8" t="n">
        <v>1</v>
      </c>
      <c r="C18053" s="8" t="n">
        <v>15</v>
      </c>
      <c r="D18053" s="8" t="inlineStr">
        <is>
          <t>Disneyland Park</t>
        </is>
      </c>
      <c r="E18053" s="8" t="inlineStr">
        <is>
          <t>Buzz Lightyear Laser Blast</t>
        </is>
      </c>
      <c r="F18053" s="8" t="inlineStr">
        <is>
          <t>STANDBY</t>
        </is>
      </c>
      <c r="G18053" s="8" t="n">
        <v>0</v>
      </c>
      <c r="H18053" s="8" t="inlineStr">
        <is>
          <t>CLOSED</t>
        </is>
      </c>
    </row>
    <row r="18054">
      <c r="A18054" s="8" t="inlineStr">
        <is>
          <t>2026-08-04</t>
        </is>
      </c>
      <c r="B18054" s="8" t="n">
        <v>1</v>
      </c>
      <c r="C18054" s="8" t="n">
        <v>15</v>
      </c>
      <c r="D18054" s="8" t="inlineStr">
        <is>
          <t>Disneyland Park</t>
        </is>
      </c>
      <c r="E18054" s="8" t="inlineStr">
        <is>
          <t>Disneyland Railroad Discoveryland Station</t>
        </is>
      </c>
      <c r="F18054" s="8" t="inlineStr">
        <is>
          <t>STANDBY</t>
        </is>
      </c>
      <c r="G18054" s="8" t="n">
        <v>0</v>
      </c>
      <c r="H18054" s="8" t="inlineStr">
        <is>
          <t>CLOSED</t>
        </is>
      </c>
    </row>
    <row r="18055">
      <c r="A18055" s="8" t="inlineStr">
        <is>
          <t>2026-08-04</t>
        </is>
      </c>
      <c r="B18055" s="8" t="n">
        <v>1</v>
      </c>
      <c r="C18055" s="8" t="n">
        <v>15</v>
      </c>
      <c r="D18055" s="8" t="inlineStr">
        <is>
          <t>Disneyland Park</t>
        </is>
      </c>
      <c r="E18055" s="8" t="inlineStr">
        <is>
          <t>Les Mystères du Nautilus</t>
        </is>
      </c>
      <c r="F18055" s="8" t="inlineStr">
        <is>
          <t>STANDBY</t>
        </is>
      </c>
      <c r="G18055" s="8" t="n">
        <v>0</v>
      </c>
      <c r="H18055" s="8" t="inlineStr">
        <is>
          <t>CLOSED</t>
        </is>
      </c>
    </row>
    <row r="18056">
      <c r="A18056" s="8" t="inlineStr">
        <is>
          <t>2026-08-04</t>
        </is>
      </c>
      <c r="B18056" s="8" t="n">
        <v>1</v>
      </c>
      <c r="C18056" s="8" t="n">
        <v>15</v>
      </c>
      <c r="D18056" s="8" t="inlineStr">
        <is>
          <t>Disneyland Park</t>
        </is>
      </c>
      <c r="E18056" s="8" t="inlineStr">
        <is>
          <t>Mickey’s PhilharMagic</t>
        </is>
      </c>
      <c r="F18056" s="8" t="inlineStr">
        <is>
          <t>STANDBY</t>
        </is>
      </c>
      <c r="G18056" s="8" t="n">
        <v>0</v>
      </c>
      <c r="H18056" s="8" t="inlineStr">
        <is>
          <t>CLOSED</t>
        </is>
      </c>
    </row>
    <row r="18057">
      <c r="A18057" s="8" t="inlineStr">
        <is>
          <t>2026-08-04</t>
        </is>
      </c>
      <c r="B18057" s="8" t="n">
        <v>1</v>
      </c>
      <c r="C18057" s="8" t="n">
        <v>15</v>
      </c>
      <c r="D18057" s="8" t="inlineStr">
        <is>
          <t>Disneyland Park</t>
        </is>
      </c>
      <c r="E18057" s="8" t="inlineStr">
        <is>
          <t>Orbitron®</t>
        </is>
      </c>
      <c r="F18057" s="8" t="inlineStr">
        <is>
          <t>STANDBY</t>
        </is>
      </c>
      <c r="G18057" s="8" t="n">
        <v>0</v>
      </c>
      <c r="H18057" s="8" t="inlineStr">
        <is>
          <t>CLOSED</t>
        </is>
      </c>
    </row>
    <row r="18058">
      <c r="A18058" s="8" t="inlineStr">
        <is>
          <t>2026-08-04</t>
        </is>
      </c>
      <c r="B18058" s="8" t="n">
        <v>1</v>
      </c>
      <c r="C18058" s="8" t="n">
        <v>15</v>
      </c>
      <c r="D18058" s="8" t="inlineStr">
        <is>
          <t>Disneyland Park</t>
        </is>
      </c>
      <c r="E18058" s="8" t="inlineStr">
        <is>
          <t>Star Tours: The Adventures Continue*</t>
        </is>
      </c>
      <c r="F18058" s="8" t="inlineStr">
        <is>
          <t>STANDBY</t>
        </is>
      </c>
      <c r="G18058" s="8" t="n">
        <v>0</v>
      </c>
      <c r="H18058" s="8" t="inlineStr">
        <is>
          <t>CLOSED</t>
        </is>
      </c>
    </row>
    <row r="18059">
      <c r="A18059" s="8" t="inlineStr">
        <is>
          <t>2026-08-04</t>
        </is>
      </c>
      <c r="B18059" s="8" t="n">
        <v>1</v>
      </c>
      <c r="C18059" s="8" t="n">
        <v>15</v>
      </c>
      <c r="D18059" s="8" t="inlineStr">
        <is>
          <t>Disneyland Park</t>
        </is>
      </c>
      <c r="E18059" s="8" t="inlineStr">
        <is>
          <t>Star Wars Hyperspace Mountain</t>
        </is>
      </c>
      <c r="F18059" s="8" t="inlineStr">
        <is>
          <t>STANDBY</t>
        </is>
      </c>
      <c r="G18059" s="8" t="n">
        <v>0</v>
      </c>
      <c r="H18059" s="8" t="inlineStr">
        <is>
          <t>CLOSED</t>
        </is>
      </c>
    </row>
    <row r="18060">
      <c r="A18060" s="8" t="inlineStr">
        <is>
          <t>2026-08-04</t>
        </is>
      </c>
      <c r="B18060" s="8" t="n">
        <v>1</v>
      </c>
      <c r="C18060" s="8" t="n">
        <v>15</v>
      </c>
      <c r="D18060" s="8" t="inlineStr">
        <is>
          <t>Disneyland Park</t>
        </is>
      </c>
      <c r="E18060" s="8" t="inlineStr">
        <is>
          <t>Star Wars Hyperspace Mountain Single Rider</t>
        </is>
      </c>
      <c r="F18060" s="8" t="inlineStr">
        <is>
          <t>STANDBY</t>
        </is>
      </c>
      <c r="G18060" s="8" t="n">
        <v>0</v>
      </c>
      <c r="H18060" s="8" t="inlineStr">
        <is>
          <t>CLOSED</t>
        </is>
      </c>
    </row>
    <row r="18061">
      <c r="A18061" s="8" t="inlineStr">
        <is>
          <t>2026-08-04</t>
        </is>
      </c>
      <c r="B18061" s="8" t="n">
        <v>1</v>
      </c>
      <c r="C18061" s="8" t="n">
        <v>15</v>
      </c>
      <c r="D18061" s="8" t="inlineStr">
        <is>
          <t>Disneyland Park</t>
        </is>
      </c>
      <c r="E18061" s="8" t="inlineStr">
        <is>
          <t>Welcome to Starport: A Star Wars Encounter</t>
        </is>
      </c>
      <c r="F18061" s="8" t="inlineStr">
        <is>
          <t>STANDBY</t>
        </is>
      </c>
      <c r="G18061" s="8" t="n">
        <v>0</v>
      </c>
      <c r="H18061" s="8" t="inlineStr">
        <is>
          <t>CLOSED</t>
        </is>
      </c>
    </row>
    <row r="18062">
      <c r="A18062" s="8" t="inlineStr">
        <is>
          <t>2026-08-04</t>
        </is>
      </c>
      <c r="B18062" s="8" t="n">
        <v>1</v>
      </c>
      <c r="C18062" s="8" t="n">
        <v>15</v>
      </c>
      <c r="D18062" s="8" t="inlineStr">
        <is>
          <t>Disneyland Park</t>
        </is>
      </c>
      <c r="E18062" s="8" t="inlineStr">
        <is>
          <t>"it's a small world"</t>
        </is>
      </c>
      <c r="F18062" s="8" t="inlineStr">
        <is>
          <t>STANDBY</t>
        </is>
      </c>
      <c r="G18062" s="8" t="n">
        <v>0</v>
      </c>
      <c r="H18062" s="8" t="inlineStr">
        <is>
          <t>CLOSED</t>
        </is>
      </c>
    </row>
    <row r="18063">
      <c r="A18063" s="8" t="inlineStr">
        <is>
          <t>2026-08-04</t>
        </is>
      </c>
      <c r="B18063" s="8" t="n">
        <v>1</v>
      </c>
      <c r="C18063" s="8" t="n">
        <v>15</v>
      </c>
      <c r="D18063" s="8" t="inlineStr">
        <is>
          <t>Disneyland Park</t>
        </is>
      </c>
      <c r="E18063" s="8" t="inlineStr">
        <is>
          <t>Alice's Curious Labyrinth</t>
        </is>
      </c>
      <c r="F18063" s="8" t="inlineStr">
        <is>
          <t>STANDBY</t>
        </is>
      </c>
      <c r="G18063" s="8" t="n">
        <v>0</v>
      </c>
      <c r="H18063" s="8" t="inlineStr">
        <is>
          <t>CLOSED</t>
        </is>
      </c>
    </row>
    <row r="18064">
      <c r="A18064" s="8" t="inlineStr">
        <is>
          <t>2026-08-04</t>
        </is>
      </c>
      <c r="B18064" s="8" t="n">
        <v>1</v>
      </c>
      <c r="C18064" s="8" t="n">
        <v>15</v>
      </c>
      <c r="D18064" s="8" t="inlineStr">
        <is>
          <t>Disneyland Park</t>
        </is>
      </c>
      <c r="E18064" s="8" t="inlineStr">
        <is>
          <t>Blanche-Neige et les Sept Nains®</t>
        </is>
      </c>
      <c r="F18064" s="8" t="inlineStr">
        <is>
          <t>STANDBY</t>
        </is>
      </c>
      <c r="G18064" s="8" t="n">
        <v>0</v>
      </c>
      <c r="H18064" s="8" t="inlineStr">
        <is>
          <t>CLOSED</t>
        </is>
      </c>
    </row>
    <row r="18065">
      <c r="A18065" s="8" t="inlineStr">
        <is>
          <t>2026-08-04</t>
        </is>
      </c>
      <c r="B18065" s="8" t="n">
        <v>1</v>
      </c>
      <c r="C18065" s="8" t="n">
        <v>15</v>
      </c>
      <c r="D18065" s="8" t="inlineStr">
        <is>
          <t>Disneyland Park</t>
        </is>
      </c>
      <c r="E18065" s="8" t="inlineStr">
        <is>
          <t>Casey Jr. – le Petit Train du Cirque</t>
        </is>
      </c>
      <c r="F18065" s="8" t="inlineStr">
        <is>
          <t>STANDBY</t>
        </is>
      </c>
      <c r="G18065" s="8" t="n">
        <v>0</v>
      </c>
      <c r="H18065" s="8" t="inlineStr">
        <is>
          <t>CLOSED</t>
        </is>
      </c>
    </row>
    <row r="18066">
      <c r="A18066" s="8" t="inlineStr">
        <is>
          <t>2026-08-04</t>
        </is>
      </c>
      <c r="B18066" s="8" t="n">
        <v>1</v>
      </c>
      <c r="C18066" s="8" t="n">
        <v>15</v>
      </c>
      <c r="D18066" s="8" t="inlineStr">
        <is>
          <t>Disneyland Park</t>
        </is>
      </c>
      <c r="E18066" s="8" t="inlineStr">
        <is>
          <t>Disneyland Railroad Fantasyland Station</t>
        </is>
      </c>
      <c r="F18066" s="8" t="inlineStr">
        <is>
          <t>STANDBY</t>
        </is>
      </c>
      <c r="G18066" s="8" t="n">
        <v>0</v>
      </c>
      <c r="H18066" s="8" t="inlineStr">
        <is>
          <t>CLOSED</t>
        </is>
      </c>
    </row>
    <row r="18067">
      <c r="A18067" s="8" t="inlineStr">
        <is>
          <t>2026-08-04</t>
        </is>
      </c>
      <c r="B18067" s="8" t="n">
        <v>1</v>
      </c>
      <c r="C18067" s="8" t="n">
        <v>15</v>
      </c>
      <c r="D18067" s="8" t="inlineStr">
        <is>
          <t>Disneyland Park</t>
        </is>
      </c>
      <c r="E18067" s="8" t="inlineStr">
        <is>
          <t>Disneyland Railroad Main Street Station</t>
        </is>
      </c>
      <c r="F18067" s="8" t="inlineStr">
        <is>
          <t>STANDBY</t>
        </is>
      </c>
      <c r="G18067" s="8" t="n">
        <v>0</v>
      </c>
      <c r="H18067" s="8" t="inlineStr">
        <is>
          <t>CLOSED</t>
        </is>
      </c>
    </row>
    <row r="18068">
      <c r="A18068" s="8" t="inlineStr">
        <is>
          <t>2026-08-04</t>
        </is>
      </c>
      <c r="B18068" s="8" t="n">
        <v>1</v>
      </c>
      <c r="C18068" s="8" t="n">
        <v>15</v>
      </c>
      <c r="D18068" s="8" t="inlineStr">
        <is>
          <t>Disneyland Park</t>
        </is>
      </c>
      <c r="E18068" s="8" t="inlineStr">
        <is>
          <t>Dumbo the Flying Elephant</t>
        </is>
      </c>
      <c r="F18068" s="8" t="inlineStr">
        <is>
          <t>STANDBY</t>
        </is>
      </c>
      <c r="G18068" s="8" t="n">
        <v>0</v>
      </c>
      <c r="H18068" s="8" t="inlineStr">
        <is>
          <t>CLOSED</t>
        </is>
      </c>
    </row>
    <row r="18069">
      <c r="A18069" s="8" t="inlineStr">
        <is>
          <t>2026-08-04</t>
        </is>
      </c>
      <c r="B18069" s="8" t="n">
        <v>1</v>
      </c>
      <c r="C18069" s="8" t="n">
        <v>15</v>
      </c>
      <c r="D18069" s="8" t="inlineStr">
        <is>
          <t>Disneyland Park</t>
        </is>
      </c>
      <c r="E18069" s="8" t="inlineStr">
        <is>
          <t>La Tanière du Dragon</t>
        </is>
      </c>
      <c r="F18069" s="8" t="inlineStr">
        <is>
          <t>STANDBY</t>
        </is>
      </c>
      <c r="G18069" s="8" t="n">
        <v>0</v>
      </c>
      <c r="H18069" s="8" t="inlineStr">
        <is>
          <t>CLOSED</t>
        </is>
      </c>
    </row>
    <row r="18070">
      <c r="A18070" s="8" t="inlineStr">
        <is>
          <t>2026-08-04</t>
        </is>
      </c>
      <c r="B18070" s="8" t="n">
        <v>1</v>
      </c>
      <c r="C18070" s="8" t="n">
        <v>15</v>
      </c>
      <c r="D18070" s="8" t="inlineStr">
        <is>
          <t>Disneyland Park</t>
        </is>
      </c>
      <c r="E18070" s="8" t="inlineStr">
        <is>
          <t>Le Carrousel de Lancelot</t>
        </is>
      </c>
      <c r="F18070" s="8" t="inlineStr">
        <is>
          <t>STANDBY</t>
        </is>
      </c>
      <c r="G18070" s="8" t="n">
        <v>0</v>
      </c>
      <c r="H18070" s="8" t="inlineStr">
        <is>
          <t>CLOSED</t>
        </is>
      </c>
    </row>
    <row r="18071">
      <c r="A18071" s="8" t="inlineStr">
        <is>
          <t>2026-08-04</t>
        </is>
      </c>
      <c r="B18071" s="8" t="n">
        <v>1</v>
      </c>
      <c r="C18071" s="8" t="n">
        <v>15</v>
      </c>
      <c r="D18071" s="8" t="inlineStr">
        <is>
          <t>Disneyland Park</t>
        </is>
      </c>
      <c r="E18071" s="8" t="inlineStr">
        <is>
          <t>Le Pays des Contes de Fées, presented by Vittel</t>
        </is>
      </c>
      <c r="F18071" s="8" t="inlineStr">
        <is>
          <t>STANDBY</t>
        </is>
      </c>
      <c r="G18071" s="8" t="n">
        <v>0</v>
      </c>
      <c r="H18071" s="8" t="inlineStr">
        <is>
          <t>CLOSED</t>
        </is>
      </c>
    </row>
    <row r="18072">
      <c r="A18072" s="8" t="inlineStr">
        <is>
          <t>2026-08-04</t>
        </is>
      </c>
      <c r="B18072" s="8" t="n">
        <v>1</v>
      </c>
      <c r="C18072" s="8" t="n">
        <v>15</v>
      </c>
      <c r="D18072" s="8" t="inlineStr">
        <is>
          <t>Disneyland Park</t>
        </is>
      </c>
      <c r="E18072" s="8" t="inlineStr">
        <is>
          <t>Les Voyages de Pinocchio</t>
        </is>
      </c>
      <c r="F18072" s="8" t="inlineStr">
        <is>
          <t>STANDBY</t>
        </is>
      </c>
      <c r="G18072" s="8" t="n">
        <v>0</v>
      </c>
      <c r="H18072" s="8" t="inlineStr">
        <is>
          <t>CLOSED</t>
        </is>
      </c>
    </row>
    <row r="18073">
      <c r="A18073" s="8" t="inlineStr">
        <is>
          <t>2026-08-04</t>
        </is>
      </c>
      <c r="B18073" s="8" t="n">
        <v>1</v>
      </c>
      <c r="C18073" s="8" t="n">
        <v>15</v>
      </c>
      <c r="D18073" s="8" t="inlineStr">
        <is>
          <t>Disneyland Park</t>
        </is>
      </c>
      <c r="E18073" s="8" t="inlineStr">
        <is>
          <t>Mad Hatter's Tea Cups</t>
        </is>
      </c>
      <c r="F18073" s="8" t="inlineStr">
        <is>
          <t>STANDBY</t>
        </is>
      </c>
      <c r="G18073" s="8" t="n">
        <v>0</v>
      </c>
      <c r="H18073" s="8" t="inlineStr">
        <is>
          <t>CLOSED</t>
        </is>
      </c>
    </row>
    <row r="18074">
      <c r="A18074" s="8" t="inlineStr">
        <is>
          <t>2026-08-04</t>
        </is>
      </c>
      <c r="B18074" s="8" t="n">
        <v>1</v>
      </c>
      <c r="C18074" s="8" t="n">
        <v>15</v>
      </c>
      <c r="D18074" s="8" t="inlineStr">
        <is>
          <t>Disneyland Park</t>
        </is>
      </c>
      <c r="E18074" s="8" t="inlineStr">
        <is>
          <t>Meet Mickey Mouse</t>
        </is>
      </c>
      <c r="F18074" s="8" t="inlineStr">
        <is>
          <t>STANDBY</t>
        </is>
      </c>
      <c r="G18074" s="8" t="n">
        <v>0</v>
      </c>
      <c r="H18074" s="8" t="inlineStr">
        <is>
          <t>CLOSED</t>
        </is>
      </c>
    </row>
    <row r="18075">
      <c r="A18075" s="8" t="inlineStr">
        <is>
          <t>2026-08-04</t>
        </is>
      </c>
      <c r="B18075" s="8" t="n">
        <v>1</v>
      </c>
      <c r="C18075" s="8" t="n">
        <v>15</v>
      </c>
      <c r="D18075" s="8" t="inlineStr">
        <is>
          <t>Disneyland Park</t>
        </is>
      </c>
      <c r="E18075" s="8" t="inlineStr">
        <is>
          <t>Peter Pan's Flight</t>
        </is>
      </c>
      <c r="F18075" s="8" t="inlineStr">
        <is>
          <t>STANDBY</t>
        </is>
      </c>
      <c r="G18075" s="8" t="n">
        <v>0</v>
      </c>
      <c r="H18075" s="8" t="inlineStr">
        <is>
          <t>CLOSED</t>
        </is>
      </c>
    </row>
    <row r="18076">
      <c r="A18076" s="8" t="inlineStr">
        <is>
          <t>2026-08-04</t>
        </is>
      </c>
      <c r="B18076" s="8" t="n">
        <v>1</v>
      </c>
      <c r="C18076" s="8" t="n">
        <v>15</v>
      </c>
      <c r="D18076" s="8" t="inlineStr">
        <is>
          <t>Disneyland Park</t>
        </is>
      </c>
      <c r="E18076" s="8" t="inlineStr">
        <is>
          <t>Princess Pavilion</t>
        </is>
      </c>
      <c r="F18076" s="8" t="inlineStr">
        <is>
          <t>STANDBY</t>
        </is>
      </c>
      <c r="G18076" s="8" t="n">
        <v>0</v>
      </c>
      <c r="H18076" s="8" t="inlineStr">
        <is>
          <t>CLOSED</t>
        </is>
      </c>
    </row>
    <row r="18077">
      <c r="A18077" s="8" t="inlineStr">
        <is>
          <t>2026-08-04</t>
        </is>
      </c>
      <c r="B18077" s="8" t="n">
        <v>1</v>
      </c>
      <c r="C18077" s="8" t="n">
        <v>15</v>
      </c>
      <c r="D18077" s="8" t="inlineStr">
        <is>
          <t>Disneyland Park</t>
        </is>
      </c>
      <c r="E18077" s="8" t="inlineStr">
        <is>
          <t>Big Thunder Mountain</t>
        </is>
      </c>
      <c r="F18077" s="8" t="inlineStr">
        <is>
          <t>STANDBY</t>
        </is>
      </c>
      <c r="G18077" s="8" t="n">
        <v>0</v>
      </c>
      <c r="H18077" s="8" t="inlineStr">
        <is>
          <t>CLOSED</t>
        </is>
      </c>
    </row>
    <row r="18078">
      <c r="A18078" s="8" t="inlineStr">
        <is>
          <t>2026-08-04</t>
        </is>
      </c>
      <c r="B18078" s="8" t="n">
        <v>1</v>
      </c>
      <c r="C18078" s="8" t="n">
        <v>15</v>
      </c>
      <c r="D18078" s="8" t="inlineStr">
        <is>
          <t>Disneyland Park</t>
        </is>
      </c>
      <c r="E18078" s="8" t="inlineStr">
        <is>
          <t>Disneyland Railroad Frontierland Depot</t>
        </is>
      </c>
      <c r="F18078" s="8" t="inlineStr">
        <is>
          <t>STANDBY</t>
        </is>
      </c>
      <c r="G18078" s="8" t="n">
        <v>0</v>
      </c>
      <c r="H18078" s="8" t="inlineStr">
        <is>
          <t>CLOSED</t>
        </is>
      </c>
    </row>
    <row r="18079">
      <c r="A18079" s="8" t="inlineStr">
        <is>
          <t>2026-08-04</t>
        </is>
      </c>
      <c r="B18079" s="8" t="n">
        <v>1</v>
      </c>
      <c r="C18079" s="8" t="n">
        <v>15</v>
      </c>
      <c r="D18079" s="8" t="inlineStr">
        <is>
          <t>Disneyland Park</t>
        </is>
      </c>
      <c r="E18079" s="8" t="inlineStr">
        <is>
          <t>Frontierland Playground</t>
        </is>
      </c>
      <c r="F18079" s="8" t="inlineStr">
        <is>
          <t>STANDBY</t>
        </is>
      </c>
      <c r="G18079" s="8" t="n">
        <v>0</v>
      </c>
      <c r="H18079" s="8" t="inlineStr">
        <is>
          <t>CLOSED</t>
        </is>
      </c>
    </row>
    <row r="18080">
      <c r="A18080" s="8" t="inlineStr">
        <is>
          <t>2026-08-04</t>
        </is>
      </c>
      <c r="B18080" s="8" t="n">
        <v>1</v>
      </c>
      <c r="C18080" s="8" t="n">
        <v>15</v>
      </c>
      <c r="D18080" s="8" t="inlineStr">
        <is>
          <t>Disneyland Park</t>
        </is>
      </c>
      <c r="E18080" s="8" t="inlineStr">
        <is>
          <t>Phantom Manor</t>
        </is>
      </c>
      <c r="F18080" s="8" t="inlineStr">
        <is>
          <t>STANDBY</t>
        </is>
      </c>
      <c r="G18080" s="8" t="n">
        <v>0</v>
      </c>
      <c r="H18080" s="8" t="inlineStr">
        <is>
          <t>CLOSED</t>
        </is>
      </c>
    </row>
    <row r="18081">
      <c r="A18081" s="8" t="inlineStr">
        <is>
          <t>2026-08-04</t>
        </is>
      </c>
      <c r="B18081" s="8" t="n">
        <v>1</v>
      </c>
      <c r="C18081" s="8" t="n">
        <v>15</v>
      </c>
      <c r="D18081" s="8" t="inlineStr">
        <is>
          <t>Disneyland Park</t>
        </is>
      </c>
      <c r="E18081" s="8" t="inlineStr">
        <is>
          <t>River Rogue Keelboats</t>
        </is>
      </c>
      <c r="F18081" s="8" t="inlineStr">
        <is>
          <t>STANDBY</t>
        </is>
      </c>
      <c r="G18081" s="8" t="n">
        <v>0</v>
      </c>
      <c r="H18081" s="8" t="inlineStr">
        <is>
          <t>CLOSED</t>
        </is>
      </c>
    </row>
    <row r="18082">
      <c r="A18082" s="8" t="inlineStr">
        <is>
          <t>2026-08-04</t>
        </is>
      </c>
      <c r="B18082" s="8" t="n">
        <v>1</v>
      </c>
      <c r="C18082" s="8" t="n">
        <v>15</v>
      </c>
      <c r="D18082" s="8" t="inlineStr">
        <is>
          <t>Disneyland Park</t>
        </is>
      </c>
      <c r="E18082" s="8" t="inlineStr">
        <is>
          <t>Rustler Roundup Shootin' Gallery</t>
        </is>
      </c>
      <c r="F18082" s="8" t="inlineStr">
        <is>
          <t>STANDBY</t>
        </is>
      </c>
      <c r="G18082" s="8" t="n">
        <v>0</v>
      </c>
      <c r="H18082" s="8" t="inlineStr">
        <is>
          <t>CLOSED</t>
        </is>
      </c>
    </row>
    <row r="18083">
      <c r="A18083" s="8" t="inlineStr">
        <is>
          <t>2026-08-04</t>
        </is>
      </c>
      <c r="B18083" s="8" t="n">
        <v>1</v>
      </c>
      <c r="C18083" s="8" t="n">
        <v>15</v>
      </c>
      <c r="D18083" s="8" t="inlineStr">
        <is>
          <t>Disneyland Park</t>
        </is>
      </c>
      <c r="E18083" s="8" t="inlineStr">
        <is>
          <t>Thunder Mesa Riverboat Landing</t>
        </is>
      </c>
      <c r="F18083" s="8" t="inlineStr">
        <is>
          <t>STANDBY</t>
        </is>
      </c>
      <c r="G18083" s="8" t="n">
        <v>0</v>
      </c>
      <c r="H18083" s="8" t="inlineStr">
        <is>
          <t>CLOSED</t>
        </is>
      </c>
    </row>
    <row r="18084">
      <c r="A18084" s="8" t="inlineStr">
        <is>
          <t>2026-08-04</t>
        </is>
      </c>
      <c r="B18084" s="8" t="n">
        <v>1</v>
      </c>
      <c r="C18084" s="8" t="n">
        <v>15</v>
      </c>
      <c r="D18084" s="8" t="inlineStr">
        <is>
          <t>Disneyland Park</t>
        </is>
      </c>
      <c r="E18084" s="8" t="inlineStr">
        <is>
          <t>Disneyland Railroad Main Street Station</t>
        </is>
      </c>
      <c r="F18084" s="8" t="inlineStr">
        <is>
          <t>STANDBY</t>
        </is>
      </c>
      <c r="G18084" s="8" t="n">
        <v>0</v>
      </c>
      <c r="H18084" s="8" t="inlineStr">
        <is>
          <t>CLOSED</t>
        </is>
      </c>
    </row>
    <row r="18085">
      <c r="A18085" s="8" t="inlineStr">
        <is>
          <t>2026-08-04</t>
        </is>
      </c>
      <c r="B18085" s="8" t="n">
        <v>1</v>
      </c>
      <c r="C18085" s="8" t="n">
        <v>15</v>
      </c>
      <c r="D18085" s="8" t="inlineStr">
        <is>
          <t>Disneyland Park</t>
        </is>
      </c>
      <c r="E18085" s="8" t="inlineStr">
        <is>
          <t>Main Street Vehicles</t>
        </is>
      </c>
      <c r="F18085" s="8" t="inlineStr">
        <is>
          <t>STANDBY</t>
        </is>
      </c>
      <c r="G18085" s="8" t="n">
        <v>0</v>
      </c>
      <c r="H18085" s="8" t="inlineStr">
        <is>
          <t>CLOSED</t>
        </is>
      </c>
    </row>
    <row r="18086">
      <c r="A18086" s="8" t="inlineStr">
        <is>
          <t>2026-08-04</t>
        </is>
      </c>
      <c r="B18086" s="8" t="n">
        <v>1</v>
      </c>
      <c r="C18086" s="8" t="n">
        <v>15</v>
      </c>
      <c r="D18086" s="8" t="inlineStr">
        <is>
          <t>Disney Adventure World</t>
        </is>
      </c>
      <c r="E18086" s="8" t="inlineStr">
        <is>
          <t>Avengers Assemble: Flight Force</t>
        </is>
      </c>
      <c r="F18086" s="8" t="inlineStr">
        <is>
          <t>STANDBY</t>
        </is>
      </c>
      <c r="G18086" s="8" t="n">
        <v>0</v>
      </c>
      <c r="H18086" s="8" t="inlineStr">
        <is>
          <t>CLOSED</t>
        </is>
      </c>
    </row>
    <row r="18087">
      <c r="A18087" s="8" t="inlineStr">
        <is>
          <t>2026-08-04</t>
        </is>
      </c>
      <c r="B18087" s="8" t="n">
        <v>1</v>
      </c>
      <c r="C18087" s="8" t="n">
        <v>15</v>
      </c>
      <c r="D18087" s="8" t="inlineStr">
        <is>
          <t>Disney Adventure World</t>
        </is>
      </c>
      <c r="E18087" s="8" t="inlineStr">
        <is>
          <t>Avengers Assemble: Flight Force Single Rider</t>
        </is>
      </c>
      <c r="F18087" s="8" t="inlineStr">
        <is>
          <t>STANDBY</t>
        </is>
      </c>
      <c r="G18087" s="8" t="n">
        <v>0</v>
      </c>
      <c r="H18087" s="8" t="inlineStr">
        <is>
          <t>CLOSED</t>
        </is>
      </c>
    </row>
    <row r="18088">
      <c r="A18088" s="8" t="inlineStr">
        <is>
          <t>2026-08-04</t>
        </is>
      </c>
      <c r="B18088" s="8" t="n">
        <v>1</v>
      </c>
      <c r="C18088" s="8" t="n">
        <v>15</v>
      </c>
      <c r="D18088" s="8" t="inlineStr">
        <is>
          <t>Disney Adventure World</t>
        </is>
      </c>
      <c r="E18088" s="8" t="inlineStr">
        <is>
          <t>Spider-Man W.E.B. Adventure</t>
        </is>
      </c>
      <c r="F18088" s="8" t="inlineStr">
        <is>
          <t>STANDBY</t>
        </is>
      </c>
      <c r="G18088" s="8" t="n">
        <v>0</v>
      </c>
      <c r="H18088" s="8" t="inlineStr">
        <is>
          <t>CLOSED</t>
        </is>
      </c>
    </row>
    <row r="18089">
      <c r="A18089" s="8" t="inlineStr">
        <is>
          <t>2026-08-04</t>
        </is>
      </c>
      <c r="B18089" s="8" t="n">
        <v>1</v>
      </c>
      <c r="C18089" s="8" t="n">
        <v>15</v>
      </c>
      <c r="D18089" s="8" t="inlineStr">
        <is>
          <t>Disney Adventure World</t>
        </is>
      </c>
      <c r="E18089" s="8" t="inlineStr">
        <is>
          <t>Spider-Man W.E.B. Adventure Single Rider</t>
        </is>
      </c>
      <c r="F18089" s="8" t="inlineStr">
        <is>
          <t>STANDBY</t>
        </is>
      </c>
      <c r="G18089" s="8" t="n">
        <v>0</v>
      </c>
      <c r="H18089" s="8" t="inlineStr">
        <is>
          <t>CLOSED</t>
        </is>
      </c>
    </row>
    <row r="18090">
      <c r="A18090" s="8" t="inlineStr">
        <is>
          <t>2026-08-04</t>
        </is>
      </c>
      <c r="B18090" s="8" t="n">
        <v>1</v>
      </c>
      <c r="C18090" s="8" t="n">
        <v>15</v>
      </c>
      <c r="D18090" s="8" t="inlineStr">
        <is>
          <t>Disney Adventure World</t>
        </is>
      </c>
      <c r="E18090" s="8" t="inlineStr">
        <is>
          <t>The Twilight Zone Tower of Terror</t>
        </is>
      </c>
      <c r="F18090" s="8" t="inlineStr">
        <is>
          <t>STANDBY</t>
        </is>
      </c>
      <c r="G18090" s="8" t="n">
        <v>0</v>
      </c>
      <c r="H18090" s="8" t="inlineStr">
        <is>
          <t>CLOSED</t>
        </is>
      </c>
    </row>
    <row r="18091">
      <c r="A18091" s="8" t="inlineStr">
        <is>
          <t>2026-08-04</t>
        </is>
      </c>
      <c r="B18091" s="8" t="n">
        <v>1</v>
      </c>
      <c r="C18091" s="8" t="n">
        <v>15</v>
      </c>
      <c r="D18091" s="8" t="inlineStr">
        <is>
          <t>Disney Adventure World</t>
        </is>
      </c>
      <c r="E18091" s="8" t="inlineStr">
        <is>
          <t>Cars Quatre Roues Rallye</t>
        </is>
      </c>
      <c r="F18091" s="8" t="inlineStr">
        <is>
          <t>STANDBY</t>
        </is>
      </c>
      <c r="G18091" s="8" t="n">
        <v>0</v>
      </c>
      <c r="H18091" s="8" t="inlineStr">
        <is>
          <t>CLOSED</t>
        </is>
      </c>
    </row>
    <row r="18092">
      <c r="A18092" s="8" t="inlineStr">
        <is>
          <t>2026-08-04</t>
        </is>
      </c>
      <c r="B18092" s="8" t="n">
        <v>1</v>
      </c>
      <c r="C18092" s="8" t="n">
        <v>15</v>
      </c>
      <c r="D18092" s="8" t="inlineStr">
        <is>
          <t>Disney Adventure World</t>
        </is>
      </c>
      <c r="E18092" s="8" t="inlineStr">
        <is>
          <t>Cars ROAD TRIP</t>
        </is>
      </c>
      <c r="F18092" s="8" t="inlineStr">
        <is>
          <t>STANDBY</t>
        </is>
      </c>
      <c r="G18092" s="8" t="n">
        <v>0</v>
      </c>
      <c r="H18092" s="8" t="inlineStr">
        <is>
          <t>CLOSED</t>
        </is>
      </c>
    </row>
    <row r="18093">
      <c r="A18093" s="8" t="inlineStr">
        <is>
          <t>2026-08-04</t>
        </is>
      </c>
      <c r="B18093" s="8" t="n">
        <v>1</v>
      </c>
      <c r="C18093" s="8" t="n">
        <v>15</v>
      </c>
      <c r="D18093" s="8" t="inlineStr">
        <is>
          <t>Disney Adventure World</t>
        </is>
      </c>
      <c r="E18093" s="8" t="inlineStr">
        <is>
          <t>Crush's Coaster</t>
        </is>
      </c>
      <c r="F18093" s="8" t="inlineStr">
        <is>
          <t>STANDBY</t>
        </is>
      </c>
      <c r="G18093" s="8" t="n">
        <v>0</v>
      </c>
      <c r="H18093" s="8" t="inlineStr">
        <is>
          <t>CLOSED</t>
        </is>
      </c>
    </row>
    <row r="18094">
      <c r="A18094" s="8" t="inlineStr">
        <is>
          <t>2026-08-04</t>
        </is>
      </c>
      <c r="B18094" s="8" t="n">
        <v>1</v>
      </c>
      <c r="C18094" s="8" t="n">
        <v>15</v>
      </c>
      <c r="D18094" s="8" t="inlineStr">
        <is>
          <t>Disney Adventure World</t>
        </is>
      </c>
      <c r="E18094" s="8" t="inlineStr">
        <is>
          <t>Crush's Coaster Single Rider</t>
        </is>
      </c>
      <c r="F18094" s="8" t="inlineStr">
        <is>
          <t>STANDBY</t>
        </is>
      </c>
      <c r="G18094" s="8" t="n">
        <v>0</v>
      </c>
      <c r="H18094" s="8" t="inlineStr">
        <is>
          <t>CLOSED</t>
        </is>
      </c>
    </row>
    <row r="18095">
      <c r="A18095" s="8" t="inlineStr">
        <is>
          <t>2026-08-04</t>
        </is>
      </c>
      <c r="B18095" s="8" t="n">
        <v>1</v>
      </c>
      <c r="C18095" s="8" t="n">
        <v>15</v>
      </c>
      <c r="D18095" s="8" t="inlineStr">
        <is>
          <t>Disney Adventure World</t>
        </is>
      </c>
      <c r="E18095" s="8" t="inlineStr">
        <is>
          <t>Les Tapis Volants - Flying Carpets Over Agrabah®</t>
        </is>
      </c>
      <c r="F18095" s="8" t="inlineStr">
        <is>
          <t>STANDBY</t>
        </is>
      </c>
      <c r="G18095" s="8" t="n">
        <v>0</v>
      </c>
      <c r="H18095" s="8" t="inlineStr">
        <is>
          <t>CLOSED</t>
        </is>
      </c>
    </row>
    <row r="18096">
      <c r="A18096" s="8" t="inlineStr">
        <is>
          <t>2026-08-04</t>
        </is>
      </c>
      <c r="B18096" s="8" t="n">
        <v>1</v>
      </c>
      <c r="C18096" s="8" t="n">
        <v>15</v>
      </c>
      <c r="D18096" s="8" t="inlineStr">
        <is>
          <t>Disney Adventure World</t>
        </is>
      </c>
      <c r="E18096" s="8" t="inlineStr">
        <is>
          <t>Ratatouille : L’Aventure Totalement Toquée de Rémy​</t>
        </is>
      </c>
      <c r="F18096" s="8" t="inlineStr">
        <is>
          <t>STANDBY</t>
        </is>
      </c>
      <c r="G18096" s="8" t="n">
        <v>0</v>
      </c>
      <c r="H18096" s="8" t="inlineStr">
        <is>
          <t>CLOSED</t>
        </is>
      </c>
    </row>
    <row r="18097">
      <c r="A18097" s="8" t="inlineStr">
        <is>
          <t>2026-08-04</t>
        </is>
      </c>
      <c r="B18097" s="8" t="n">
        <v>1</v>
      </c>
      <c r="C18097" s="8" t="n">
        <v>15</v>
      </c>
      <c r="D18097" s="8" t="inlineStr">
        <is>
          <t>Disney Adventure World</t>
        </is>
      </c>
      <c r="E18097" s="8" t="inlineStr">
        <is>
          <t>Ratatouille: The Adventure Single Rider</t>
        </is>
      </c>
      <c r="F18097" s="8" t="inlineStr">
        <is>
          <t>STANDBY</t>
        </is>
      </c>
      <c r="G18097" s="8" t="n">
        <v>0</v>
      </c>
      <c r="H18097" s="8" t="inlineStr">
        <is>
          <t>CLOSED</t>
        </is>
      </c>
    </row>
    <row r="18098">
      <c r="A18098" s="8" t="inlineStr">
        <is>
          <t>2026-08-04</t>
        </is>
      </c>
      <c r="B18098" s="8" t="n">
        <v>1</v>
      </c>
      <c r="C18098" s="8" t="n">
        <v>15</v>
      </c>
      <c r="D18098" s="8" t="inlineStr">
        <is>
          <t>Disney Adventure World</t>
        </is>
      </c>
      <c r="E18098" s="8" t="inlineStr">
        <is>
          <t>RC Racer</t>
        </is>
      </c>
      <c r="F18098" s="8" t="inlineStr">
        <is>
          <t>STANDBY</t>
        </is>
      </c>
      <c r="G18098" s="8" t="n">
        <v>0</v>
      </c>
      <c r="H18098" s="8" t="inlineStr">
        <is>
          <t>CLOSED</t>
        </is>
      </c>
    </row>
    <row r="18099">
      <c r="A18099" s="8" t="inlineStr">
        <is>
          <t>2026-08-04</t>
        </is>
      </c>
      <c r="B18099" s="8" t="n">
        <v>1</v>
      </c>
      <c r="C18099" s="8" t="n">
        <v>15</v>
      </c>
      <c r="D18099" s="8" t="inlineStr">
        <is>
          <t>Disney Adventure World</t>
        </is>
      </c>
      <c r="E18099" s="8" t="inlineStr">
        <is>
          <t>RC Racer Single Rider</t>
        </is>
      </c>
      <c r="F18099" s="8" t="inlineStr">
        <is>
          <t>STANDBY</t>
        </is>
      </c>
      <c r="G18099" s="8" t="n">
        <v>0</v>
      </c>
      <c r="H18099" s="8" t="inlineStr">
        <is>
          <t>CLOSED</t>
        </is>
      </c>
    </row>
    <row r="18100">
      <c r="A18100" s="8" t="inlineStr">
        <is>
          <t>2026-08-04</t>
        </is>
      </c>
      <c r="B18100" s="8" t="n">
        <v>1</v>
      </c>
      <c r="C18100" s="8" t="n">
        <v>15</v>
      </c>
      <c r="D18100" s="8" t="inlineStr">
        <is>
          <t>Disney Adventure World</t>
        </is>
      </c>
      <c r="E18100" s="8" t="inlineStr">
        <is>
          <t>Slinky® Dog Zigzag Spin</t>
        </is>
      </c>
      <c r="F18100" s="8" t="inlineStr">
        <is>
          <t>STANDBY</t>
        </is>
      </c>
      <c r="G18100" s="8" t="n">
        <v>0</v>
      </c>
      <c r="H18100" s="8" t="inlineStr">
        <is>
          <t>CLOSED</t>
        </is>
      </c>
    </row>
    <row r="18101">
      <c r="A18101" s="8" t="inlineStr">
        <is>
          <t>2026-08-04</t>
        </is>
      </c>
      <c r="B18101" s="8" t="n">
        <v>1</v>
      </c>
      <c r="C18101" s="8" t="n">
        <v>15</v>
      </c>
      <c r="D18101" s="8" t="inlineStr">
        <is>
          <t>Disney Adventure World</t>
        </is>
      </c>
      <c r="E18101" s="8" t="inlineStr">
        <is>
          <t>Toy Soldiers Parachute Drop</t>
        </is>
      </c>
      <c r="F18101" s="8" t="inlineStr">
        <is>
          <t>STANDBY</t>
        </is>
      </c>
      <c r="G18101" s="8" t="n">
        <v>0</v>
      </c>
      <c r="H18101" s="8" t="inlineStr">
        <is>
          <t>CLOSED</t>
        </is>
      </c>
    </row>
    <row r="18102">
      <c r="A18102" s="8" t="inlineStr">
        <is>
          <t>2026-08-04</t>
        </is>
      </c>
      <c r="B18102" s="8" t="n">
        <v>1</v>
      </c>
      <c r="C18102" s="8" t="n">
        <v>15</v>
      </c>
      <c r="D18102" s="8" t="inlineStr">
        <is>
          <t>Disney Adventure World</t>
        </is>
      </c>
      <c r="E18102" s="8" t="inlineStr">
        <is>
          <t>Toy Soldiers Parachute Drop Single Rider</t>
        </is>
      </c>
      <c r="F18102" s="8" t="inlineStr">
        <is>
          <t>STANDBY</t>
        </is>
      </c>
      <c r="G18102" s="8" t="n">
        <v>0</v>
      </c>
      <c r="H18102" s="8" t="inlineStr">
        <is>
          <t>CLOSED</t>
        </is>
      </c>
    </row>
    <row r="18103">
      <c r="A18103" s="8" t="inlineStr">
        <is>
          <t>2026-08-04</t>
        </is>
      </c>
      <c r="B18103" s="8" t="n">
        <v>1</v>
      </c>
      <c r="C18103" s="8" t="n">
        <v>15</v>
      </c>
      <c r="D18103" s="8" t="inlineStr">
        <is>
          <t>Disney Adventure World</t>
        </is>
      </c>
      <c r="E18103" s="8" t="inlineStr">
        <is>
          <t>Entry to World of Frozen</t>
        </is>
      </c>
      <c r="F18103" s="8" t="inlineStr">
        <is>
          <t>STANDBY</t>
        </is>
      </c>
      <c r="G18103" s="8" t="n">
        <v>0</v>
      </c>
      <c r="H18103" s="8" t="inlineStr">
        <is>
          <t>CLOSED</t>
        </is>
      </c>
    </row>
    <row r="18104">
      <c r="A18104" s="8" t="inlineStr">
        <is>
          <t>2026-08-04</t>
        </is>
      </c>
      <c r="B18104" s="8" t="n">
        <v>1</v>
      </c>
      <c r="C18104" s="8" t="n">
        <v>15</v>
      </c>
      <c r="D18104" s="8" t="inlineStr">
        <is>
          <t>Disney Adventure World</t>
        </is>
      </c>
      <c r="E18104" s="8" t="inlineStr">
        <is>
          <t>Frozen Ever After</t>
        </is>
      </c>
      <c r="F18104" s="8" t="inlineStr">
        <is>
          <t>STANDBY</t>
        </is>
      </c>
      <c r="G18104" s="8" t="n">
        <v>0</v>
      </c>
      <c r="H18104" s="8" t="inlineStr">
        <is>
          <t>CLOSED</t>
        </is>
      </c>
    </row>
    <row r="18105">
      <c r="A18105" s="8" t="inlineStr">
        <is>
          <t>2026-08-04</t>
        </is>
      </c>
      <c r="B18105" s="8" t="n">
        <v>1</v>
      </c>
      <c r="C18105" s="8" t="n">
        <v>15</v>
      </c>
      <c r="D18105" s="8" t="inlineStr">
        <is>
          <t>Disney Adventure World</t>
        </is>
      </c>
      <c r="E18105" s="8" t="inlineStr">
        <is>
          <t>Raiponce Tangled Spin</t>
        </is>
      </c>
      <c r="F18105" s="8" t="inlineStr">
        <is>
          <t>STANDBY</t>
        </is>
      </c>
      <c r="G18105" s="8" t="n">
        <v>0</v>
      </c>
      <c r="H18105" s="8" t="inlineStr">
        <is>
          <t>CLOSED</t>
        </is>
      </c>
    </row>
    <row r="18106">
      <c r="A18106" s="8" t="inlineStr">
        <is>
          <t>2026-08-04</t>
        </is>
      </c>
      <c r="B18106" s="8" t="n">
        <v>1</v>
      </c>
      <c r="C18106" s="8" t="n">
        <v>31</v>
      </c>
      <c r="D18106" s="8" t="inlineStr">
        <is>
          <t>Disneyland Park</t>
        </is>
      </c>
      <c r="E18106" s="8" t="inlineStr">
        <is>
          <t>Adventure Isle</t>
        </is>
      </c>
      <c r="F18106" s="8" t="inlineStr">
        <is>
          <t>STANDBY</t>
        </is>
      </c>
      <c r="G18106" s="8" t="n">
        <v>0</v>
      </c>
      <c r="H18106" s="8" t="inlineStr">
        <is>
          <t>CLOSED</t>
        </is>
      </c>
    </row>
    <row r="18107">
      <c r="A18107" s="8" t="inlineStr">
        <is>
          <t>2026-08-04</t>
        </is>
      </c>
      <c r="B18107" s="8" t="n">
        <v>1</v>
      </c>
      <c r="C18107" s="8" t="n">
        <v>31</v>
      </c>
      <c r="D18107" s="8" t="inlineStr">
        <is>
          <t>Disneyland Park</t>
        </is>
      </c>
      <c r="E18107" s="8" t="inlineStr">
        <is>
          <t>Indiana Jones and the Temple of Peril Single Rider</t>
        </is>
      </c>
      <c r="F18107" s="8" t="inlineStr">
        <is>
          <t>STANDBY</t>
        </is>
      </c>
      <c r="G18107" s="8" t="n">
        <v>0</v>
      </c>
      <c r="H18107" s="8" t="inlineStr">
        <is>
          <t>CLOSED</t>
        </is>
      </c>
    </row>
    <row r="18108">
      <c r="A18108" s="8" t="inlineStr">
        <is>
          <t>2026-08-04</t>
        </is>
      </c>
      <c r="B18108" s="8" t="n">
        <v>1</v>
      </c>
      <c r="C18108" s="8" t="n">
        <v>31</v>
      </c>
      <c r="D18108" s="8" t="inlineStr">
        <is>
          <t>Disneyland Park</t>
        </is>
      </c>
      <c r="E18108" s="8" t="inlineStr">
        <is>
          <t>Indiana Jones™ and the Temple of Peril</t>
        </is>
      </c>
      <c r="F18108" s="8" t="inlineStr">
        <is>
          <t>STANDBY</t>
        </is>
      </c>
      <c r="G18108" s="8" t="n">
        <v>0</v>
      </c>
      <c r="H18108" s="8" t="inlineStr">
        <is>
          <t>CLOSED</t>
        </is>
      </c>
    </row>
    <row r="18109">
      <c r="A18109" s="8" t="inlineStr">
        <is>
          <t>2026-08-04</t>
        </is>
      </c>
      <c r="B18109" s="8" t="n">
        <v>1</v>
      </c>
      <c r="C18109" s="8" t="n">
        <v>31</v>
      </c>
      <c r="D18109" s="8" t="inlineStr">
        <is>
          <t>Disneyland Park</t>
        </is>
      </c>
      <c r="E18109" s="8" t="inlineStr">
        <is>
          <t>La Cabane des Robinson</t>
        </is>
      </c>
      <c r="F18109" s="8" t="inlineStr">
        <is>
          <t>STANDBY</t>
        </is>
      </c>
      <c r="G18109" s="8" t="n">
        <v>0</v>
      </c>
      <c r="H18109" s="8" t="inlineStr">
        <is>
          <t>CLOSED</t>
        </is>
      </c>
    </row>
    <row r="18110">
      <c r="A18110" s="8" t="inlineStr">
        <is>
          <t>2026-08-04</t>
        </is>
      </c>
      <c r="B18110" s="8" t="n">
        <v>1</v>
      </c>
      <c r="C18110" s="8" t="n">
        <v>31</v>
      </c>
      <c r="D18110" s="8" t="inlineStr">
        <is>
          <t>Disneyland Park</t>
        </is>
      </c>
      <c r="E18110" s="8" t="inlineStr">
        <is>
          <t>Le Passage Enchanté d'Aladdin</t>
        </is>
      </c>
      <c r="F18110" s="8" t="inlineStr">
        <is>
          <t>STANDBY</t>
        </is>
      </c>
      <c r="G18110" s="8" t="n">
        <v>0</v>
      </c>
      <c r="H18110" s="8" t="inlineStr">
        <is>
          <t>CLOSED</t>
        </is>
      </c>
    </row>
    <row r="18111">
      <c r="A18111" s="8" t="inlineStr">
        <is>
          <t>2026-08-04</t>
        </is>
      </c>
      <c r="B18111" s="8" t="n">
        <v>1</v>
      </c>
      <c r="C18111" s="8" t="n">
        <v>31</v>
      </c>
      <c r="D18111" s="8" t="inlineStr">
        <is>
          <t>Disneyland Park</t>
        </is>
      </c>
      <c r="E18111" s="8" t="inlineStr">
        <is>
          <t>Pirate Galleon</t>
        </is>
      </c>
      <c r="F18111" s="8" t="inlineStr">
        <is>
          <t>STANDBY</t>
        </is>
      </c>
      <c r="G18111" s="8" t="n">
        <v>0</v>
      </c>
      <c r="H18111" s="8" t="inlineStr">
        <is>
          <t>CLOSED</t>
        </is>
      </c>
    </row>
    <row r="18112">
      <c r="A18112" s="8" t="inlineStr">
        <is>
          <t>2026-08-04</t>
        </is>
      </c>
      <c r="B18112" s="8" t="n">
        <v>1</v>
      </c>
      <c r="C18112" s="8" t="n">
        <v>31</v>
      </c>
      <c r="D18112" s="8" t="inlineStr">
        <is>
          <t>Disneyland Park</t>
        </is>
      </c>
      <c r="E18112" s="8" t="inlineStr">
        <is>
          <t>Pirates of the Caribbean</t>
        </is>
      </c>
      <c r="F18112" s="8" t="inlineStr">
        <is>
          <t>STANDBY</t>
        </is>
      </c>
      <c r="G18112" s="8" t="n">
        <v>0</v>
      </c>
      <c r="H18112" s="8" t="inlineStr">
        <is>
          <t>CLOSED</t>
        </is>
      </c>
    </row>
    <row r="18113">
      <c r="A18113" s="8" t="inlineStr">
        <is>
          <t>2026-08-04</t>
        </is>
      </c>
      <c r="B18113" s="8" t="n">
        <v>1</v>
      </c>
      <c r="C18113" s="8" t="n">
        <v>31</v>
      </c>
      <c r="D18113" s="8" t="inlineStr">
        <is>
          <t>Disneyland Park</t>
        </is>
      </c>
      <c r="E18113" s="8" t="inlineStr">
        <is>
          <t>Pirates' Beach</t>
        </is>
      </c>
      <c r="F18113" s="8" t="inlineStr">
        <is>
          <t>STANDBY</t>
        </is>
      </c>
      <c r="G18113" s="8" t="n">
        <v>0</v>
      </c>
      <c r="H18113" s="8" t="inlineStr">
        <is>
          <t>CLOSED</t>
        </is>
      </c>
    </row>
    <row r="18114">
      <c r="A18114" s="8" t="inlineStr">
        <is>
          <t>2026-08-04</t>
        </is>
      </c>
      <c r="B18114" s="8" t="n">
        <v>1</v>
      </c>
      <c r="C18114" s="8" t="n">
        <v>31</v>
      </c>
      <c r="D18114" s="8" t="inlineStr">
        <is>
          <t>Disneyland Park</t>
        </is>
      </c>
      <c r="E18114" s="8" t="inlineStr">
        <is>
          <t>Autopia, presented by Avis</t>
        </is>
      </c>
      <c r="F18114" s="8" t="inlineStr">
        <is>
          <t>STANDBY</t>
        </is>
      </c>
      <c r="G18114" s="8" t="n">
        <v>0</v>
      </c>
      <c r="H18114" s="8" t="inlineStr">
        <is>
          <t>CLOSED</t>
        </is>
      </c>
    </row>
    <row r="18115">
      <c r="A18115" s="8" t="inlineStr">
        <is>
          <t>2026-08-04</t>
        </is>
      </c>
      <c r="B18115" s="8" t="n">
        <v>1</v>
      </c>
      <c r="C18115" s="8" t="n">
        <v>31</v>
      </c>
      <c r="D18115" s="8" t="inlineStr">
        <is>
          <t>Disneyland Park</t>
        </is>
      </c>
      <c r="E18115" s="8" t="inlineStr">
        <is>
          <t>Buzz Lightyear Laser Blast</t>
        </is>
      </c>
      <c r="F18115" s="8" t="inlineStr">
        <is>
          <t>STANDBY</t>
        </is>
      </c>
      <c r="G18115" s="8" t="n">
        <v>0</v>
      </c>
      <c r="H18115" s="8" t="inlineStr">
        <is>
          <t>CLOSED</t>
        </is>
      </c>
    </row>
    <row r="18116">
      <c r="A18116" s="8" t="inlineStr">
        <is>
          <t>2026-08-04</t>
        </is>
      </c>
      <c r="B18116" s="8" t="n">
        <v>1</v>
      </c>
      <c r="C18116" s="8" t="n">
        <v>31</v>
      </c>
      <c r="D18116" s="8" t="inlineStr">
        <is>
          <t>Disneyland Park</t>
        </is>
      </c>
      <c r="E18116" s="8" t="inlineStr">
        <is>
          <t>Disneyland Railroad Discoveryland Station</t>
        </is>
      </c>
      <c r="F18116" s="8" t="inlineStr">
        <is>
          <t>STANDBY</t>
        </is>
      </c>
      <c r="G18116" s="8" t="n">
        <v>0</v>
      </c>
      <c r="H18116" s="8" t="inlineStr">
        <is>
          <t>CLOSED</t>
        </is>
      </c>
    </row>
    <row r="18117">
      <c r="A18117" s="8" t="inlineStr">
        <is>
          <t>2026-08-04</t>
        </is>
      </c>
      <c r="B18117" s="8" t="n">
        <v>1</v>
      </c>
      <c r="C18117" s="8" t="n">
        <v>31</v>
      </c>
      <c r="D18117" s="8" t="inlineStr">
        <is>
          <t>Disneyland Park</t>
        </is>
      </c>
      <c r="E18117" s="8" t="inlineStr">
        <is>
          <t>Les Mystères du Nautilus</t>
        </is>
      </c>
      <c r="F18117" s="8" t="inlineStr">
        <is>
          <t>STANDBY</t>
        </is>
      </c>
      <c r="G18117" s="8" t="n">
        <v>0</v>
      </c>
      <c r="H18117" s="8" t="inlineStr">
        <is>
          <t>CLOSED</t>
        </is>
      </c>
    </row>
    <row r="18118">
      <c r="A18118" s="8" t="inlineStr">
        <is>
          <t>2026-08-04</t>
        </is>
      </c>
      <c r="B18118" s="8" t="n">
        <v>1</v>
      </c>
      <c r="C18118" s="8" t="n">
        <v>31</v>
      </c>
      <c r="D18118" s="8" t="inlineStr">
        <is>
          <t>Disneyland Park</t>
        </is>
      </c>
      <c r="E18118" s="8" t="inlineStr">
        <is>
          <t>Mickey’s PhilharMagic</t>
        </is>
      </c>
      <c r="F18118" s="8" t="inlineStr">
        <is>
          <t>STANDBY</t>
        </is>
      </c>
      <c r="G18118" s="8" t="n">
        <v>0</v>
      </c>
      <c r="H18118" s="8" t="inlineStr">
        <is>
          <t>CLOSED</t>
        </is>
      </c>
    </row>
    <row r="18119">
      <c r="A18119" s="8" t="inlineStr">
        <is>
          <t>2026-08-04</t>
        </is>
      </c>
      <c r="B18119" s="8" t="n">
        <v>1</v>
      </c>
      <c r="C18119" s="8" t="n">
        <v>31</v>
      </c>
      <c r="D18119" s="8" t="inlineStr">
        <is>
          <t>Disneyland Park</t>
        </is>
      </c>
      <c r="E18119" s="8" t="inlineStr">
        <is>
          <t>Orbitron®</t>
        </is>
      </c>
      <c r="F18119" s="8" t="inlineStr">
        <is>
          <t>STANDBY</t>
        </is>
      </c>
      <c r="G18119" s="8" t="n">
        <v>0</v>
      </c>
      <c r="H18119" s="8" t="inlineStr">
        <is>
          <t>CLOSED</t>
        </is>
      </c>
    </row>
    <row r="18120">
      <c r="A18120" s="8" t="inlineStr">
        <is>
          <t>2026-08-04</t>
        </is>
      </c>
      <c r="B18120" s="8" t="n">
        <v>1</v>
      </c>
      <c r="C18120" s="8" t="n">
        <v>31</v>
      </c>
      <c r="D18120" s="8" t="inlineStr">
        <is>
          <t>Disneyland Park</t>
        </is>
      </c>
      <c r="E18120" s="8" t="inlineStr">
        <is>
          <t>Star Tours: The Adventures Continue*</t>
        </is>
      </c>
      <c r="F18120" s="8" t="inlineStr">
        <is>
          <t>STANDBY</t>
        </is>
      </c>
      <c r="G18120" s="8" t="n">
        <v>0</v>
      </c>
      <c r="H18120" s="8" t="inlineStr">
        <is>
          <t>CLOSED</t>
        </is>
      </c>
    </row>
    <row r="18121">
      <c r="A18121" s="8" t="inlineStr">
        <is>
          <t>2026-08-04</t>
        </is>
      </c>
      <c r="B18121" s="8" t="n">
        <v>1</v>
      </c>
      <c r="C18121" s="8" t="n">
        <v>31</v>
      </c>
      <c r="D18121" s="8" t="inlineStr">
        <is>
          <t>Disneyland Park</t>
        </is>
      </c>
      <c r="E18121" s="8" t="inlineStr">
        <is>
          <t>Star Wars Hyperspace Mountain</t>
        </is>
      </c>
      <c r="F18121" s="8" t="inlineStr">
        <is>
          <t>STANDBY</t>
        </is>
      </c>
      <c r="G18121" s="8" t="n">
        <v>0</v>
      </c>
      <c r="H18121" s="8" t="inlineStr">
        <is>
          <t>CLOSED</t>
        </is>
      </c>
    </row>
    <row r="18122">
      <c r="A18122" s="8" t="inlineStr">
        <is>
          <t>2026-08-04</t>
        </is>
      </c>
      <c r="B18122" s="8" t="n">
        <v>1</v>
      </c>
      <c r="C18122" s="8" t="n">
        <v>31</v>
      </c>
      <c r="D18122" s="8" t="inlineStr">
        <is>
          <t>Disneyland Park</t>
        </is>
      </c>
      <c r="E18122" s="8" t="inlineStr">
        <is>
          <t>Star Wars Hyperspace Mountain Single Rider</t>
        </is>
      </c>
      <c r="F18122" s="8" t="inlineStr">
        <is>
          <t>STANDBY</t>
        </is>
      </c>
      <c r="G18122" s="8" t="n">
        <v>0</v>
      </c>
      <c r="H18122" s="8" t="inlineStr">
        <is>
          <t>CLOSED</t>
        </is>
      </c>
    </row>
    <row r="18123">
      <c r="A18123" s="8" t="inlineStr">
        <is>
          <t>2026-08-04</t>
        </is>
      </c>
      <c r="B18123" s="8" t="n">
        <v>1</v>
      </c>
      <c r="C18123" s="8" t="n">
        <v>31</v>
      </c>
      <c r="D18123" s="8" t="inlineStr">
        <is>
          <t>Disneyland Park</t>
        </is>
      </c>
      <c r="E18123" s="8" t="inlineStr">
        <is>
          <t>Welcome to Starport: A Star Wars Encounter</t>
        </is>
      </c>
      <c r="F18123" s="8" t="inlineStr">
        <is>
          <t>STANDBY</t>
        </is>
      </c>
      <c r="G18123" s="8" t="n">
        <v>0</v>
      </c>
      <c r="H18123" s="8" t="inlineStr">
        <is>
          <t>CLOSED</t>
        </is>
      </c>
    </row>
    <row r="18124">
      <c r="A18124" s="8" t="inlineStr">
        <is>
          <t>2026-08-04</t>
        </is>
      </c>
      <c r="B18124" s="8" t="n">
        <v>1</v>
      </c>
      <c r="C18124" s="8" t="n">
        <v>31</v>
      </c>
      <c r="D18124" s="8" t="inlineStr">
        <is>
          <t>Disneyland Park</t>
        </is>
      </c>
      <c r="E18124" s="8" t="inlineStr">
        <is>
          <t>"it's a small world"</t>
        </is>
      </c>
      <c r="F18124" s="8" t="inlineStr">
        <is>
          <t>STANDBY</t>
        </is>
      </c>
      <c r="G18124" s="8" t="n">
        <v>0</v>
      </c>
      <c r="H18124" s="8" t="inlineStr">
        <is>
          <t>CLOSED</t>
        </is>
      </c>
    </row>
    <row r="18125">
      <c r="A18125" s="8" t="inlineStr">
        <is>
          <t>2026-08-04</t>
        </is>
      </c>
      <c r="B18125" s="8" t="n">
        <v>1</v>
      </c>
      <c r="C18125" s="8" t="n">
        <v>31</v>
      </c>
      <c r="D18125" s="8" t="inlineStr">
        <is>
          <t>Disneyland Park</t>
        </is>
      </c>
      <c r="E18125" s="8" t="inlineStr">
        <is>
          <t>Alice's Curious Labyrinth</t>
        </is>
      </c>
      <c r="F18125" s="8" t="inlineStr">
        <is>
          <t>STANDBY</t>
        </is>
      </c>
      <c r="G18125" s="8" t="n">
        <v>0</v>
      </c>
      <c r="H18125" s="8" t="inlineStr">
        <is>
          <t>CLOSED</t>
        </is>
      </c>
    </row>
    <row r="18126">
      <c r="A18126" s="8" t="inlineStr">
        <is>
          <t>2026-08-04</t>
        </is>
      </c>
      <c r="B18126" s="8" t="n">
        <v>1</v>
      </c>
      <c r="C18126" s="8" t="n">
        <v>31</v>
      </c>
      <c r="D18126" s="8" t="inlineStr">
        <is>
          <t>Disneyland Park</t>
        </is>
      </c>
      <c r="E18126" s="8" t="inlineStr">
        <is>
          <t>Blanche-Neige et les Sept Nains®</t>
        </is>
      </c>
      <c r="F18126" s="8" t="inlineStr">
        <is>
          <t>STANDBY</t>
        </is>
      </c>
      <c r="G18126" s="8" t="n">
        <v>0</v>
      </c>
      <c r="H18126" s="8" t="inlineStr">
        <is>
          <t>CLOSED</t>
        </is>
      </c>
    </row>
    <row r="18127">
      <c r="A18127" s="8" t="inlineStr">
        <is>
          <t>2026-08-04</t>
        </is>
      </c>
      <c r="B18127" s="8" t="n">
        <v>1</v>
      </c>
      <c r="C18127" s="8" t="n">
        <v>31</v>
      </c>
      <c r="D18127" s="8" t="inlineStr">
        <is>
          <t>Disneyland Park</t>
        </is>
      </c>
      <c r="E18127" s="8" t="inlineStr">
        <is>
          <t>Casey Jr. – le Petit Train du Cirque</t>
        </is>
      </c>
      <c r="F18127" s="8" t="inlineStr">
        <is>
          <t>STANDBY</t>
        </is>
      </c>
      <c r="G18127" s="8" t="n">
        <v>0</v>
      </c>
      <c r="H18127" s="8" t="inlineStr">
        <is>
          <t>CLOSED</t>
        </is>
      </c>
    </row>
    <row r="18128">
      <c r="A18128" s="8" t="inlineStr">
        <is>
          <t>2026-08-04</t>
        </is>
      </c>
      <c r="B18128" s="8" t="n">
        <v>1</v>
      </c>
      <c r="C18128" s="8" t="n">
        <v>31</v>
      </c>
      <c r="D18128" s="8" t="inlineStr">
        <is>
          <t>Disneyland Park</t>
        </is>
      </c>
      <c r="E18128" s="8" t="inlineStr">
        <is>
          <t>Disneyland Railroad Fantasyland Station</t>
        </is>
      </c>
      <c r="F18128" s="8" t="inlineStr">
        <is>
          <t>STANDBY</t>
        </is>
      </c>
      <c r="G18128" s="8" t="n">
        <v>0</v>
      </c>
      <c r="H18128" s="8" t="inlineStr">
        <is>
          <t>CLOSED</t>
        </is>
      </c>
    </row>
    <row r="18129">
      <c r="A18129" s="8" t="inlineStr">
        <is>
          <t>2026-08-04</t>
        </is>
      </c>
      <c r="B18129" s="8" t="n">
        <v>1</v>
      </c>
      <c r="C18129" s="8" t="n">
        <v>31</v>
      </c>
      <c r="D18129" s="8" t="inlineStr">
        <is>
          <t>Disneyland Park</t>
        </is>
      </c>
      <c r="E18129" s="8" t="inlineStr">
        <is>
          <t>Disneyland Railroad Main Street Station</t>
        </is>
      </c>
      <c r="F18129" s="8" t="inlineStr">
        <is>
          <t>STANDBY</t>
        </is>
      </c>
      <c r="G18129" s="8" t="n">
        <v>0</v>
      </c>
      <c r="H18129" s="8" t="inlineStr">
        <is>
          <t>CLOSED</t>
        </is>
      </c>
    </row>
    <row r="18130">
      <c r="A18130" s="8" t="inlineStr">
        <is>
          <t>2026-08-04</t>
        </is>
      </c>
      <c r="B18130" s="8" t="n">
        <v>1</v>
      </c>
      <c r="C18130" s="8" t="n">
        <v>31</v>
      </c>
      <c r="D18130" s="8" t="inlineStr">
        <is>
          <t>Disneyland Park</t>
        </is>
      </c>
      <c r="E18130" s="8" t="inlineStr">
        <is>
          <t>Dumbo the Flying Elephant</t>
        </is>
      </c>
      <c r="F18130" s="8" t="inlineStr">
        <is>
          <t>STANDBY</t>
        </is>
      </c>
      <c r="G18130" s="8" t="n">
        <v>0</v>
      </c>
      <c r="H18130" s="8" t="inlineStr">
        <is>
          <t>CLOSED</t>
        </is>
      </c>
    </row>
    <row r="18131">
      <c r="A18131" s="8" t="inlineStr">
        <is>
          <t>2026-08-04</t>
        </is>
      </c>
      <c r="B18131" s="8" t="n">
        <v>1</v>
      </c>
      <c r="C18131" s="8" t="n">
        <v>31</v>
      </c>
      <c r="D18131" s="8" t="inlineStr">
        <is>
          <t>Disneyland Park</t>
        </is>
      </c>
      <c r="E18131" s="8" t="inlineStr">
        <is>
          <t>La Tanière du Dragon</t>
        </is>
      </c>
      <c r="F18131" s="8" t="inlineStr">
        <is>
          <t>STANDBY</t>
        </is>
      </c>
      <c r="G18131" s="8" t="n">
        <v>0</v>
      </c>
      <c r="H18131" s="8" t="inlineStr">
        <is>
          <t>CLOSED</t>
        </is>
      </c>
    </row>
    <row r="18132">
      <c r="A18132" s="8" t="inlineStr">
        <is>
          <t>2026-08-04</t>
        </is>
      </c>
      <c r="B18132" s="8" t="n">
        <v>1</v>
      </c>
      <c r="C18132" s="8" t="n">
        <v>31</v>
      </c>
      <c r="D18132" s="8" t="inlineStr">
        <is>
          <t>Disneyland Park</t>
        </is>
      </c>
      <c r="E18132" s="8" t="inlineStr">
        <is>
          <t>Le Carrousel de Lancelot</t>
        </is>
      </c>
      <c r="F18132" s="8" t="inlineStr">
        <is>
          <t>STANDBY</t>
        </is>
      </c>
      <c r="G18132" s="8" t="n">
        <v>0</v>
      </c>
      <c r="H18132" s="8" t="inlineStr">
        <is>
          <t>CLOSED</t>
        </is>
      </c>
    </row>
    <row r="18133">
      <c r="A18133" s="8" t="inlineStr">
        <is>
          <t>2026-08-04</t>
        </is>
      </c>
      <c r="B18133" s="8" t="n">
        <v>1</v>
      </c>
      <c r="C18133" s="8" t="n">
        <v>31</v>
      </c>
      <c r="D18133" s="8" t="inlineStr">
        <is>
          <t>Disneyland Park</t>
        </is>
      </c>
      <c r="E18133" s="8" t="inlineStr">
        <is>
          <t>Le Pays des Contes de Fées, presented by Vittel</t>
        </is>
      </c>
      <c r="F18133" s="8" t="inlineStr">
        <is>
          <t>STANDBY</t>
        </is>
      </c>
      <c r="G18133" s="8" t="n">
        <v>0</v>
      </c>
      <c r="H18133" s="8" t="inlineStr">
        <is>
          <t>CLOSED</t>
        </is>
      </c>
    </row>
    <row r="18134">
      <c r="A18134" s="8" t="inlineStr">
        <is>
          <t>2026-08-04</t>
        </is>
      </c>
      <c r="B18134" s="8" t="n">
        <v>1</v>
      </c>
      <c r="C18134" s="8" t="n">
        <v>31</v>
      </c>
      <c r="D18134" s="8" t="inlineStr">
        <is>
          <t>Disneyland Park</t>
        </is>
      </c>
      <c r="E18134" s="8" t="inlineStr">
        <is>
          <t>Les Voyages de Pinocchio</t>
        </is>
      </c>
      <c r="F18134" s="8" t="inlineStr">
        <is>
          <t>STANDBY</t>
        </is>
      </c>
      <c r="G18134" s="8" t="n">
        <v>0</v>
      </c>
      <c r="H18134" s="8" t="inlineStr">
        <is>
          <t>CLOSED</t>
        </is>
      </c>
    </row>
    <row r="18135">
      <c r="A18135" s="8" t="inlineStr">
        <is>
          <t>2026-08-04</t>
        </is>
      </c>
      <c r="B18135" s="8" t="n">
        <v>1</v>
      </c>
      <c r="C18135" s="8" t="n">
        <v>31</v>
      </c>
      <c r="D18135" s="8" t="inlineStr">
        <is>
          <t>Disneyland Park</t>
        </is>
      </c>
      <c r="E18135" s="8" t="inlineStr">
        <is>
          <t>Mad Hatter's Tea Cups</t>
        </is>
      </c>
      <c r="F18135" s="8" t="inlineStr">
        <is>
          <t>STANDBY</t>
        </is>
      </c>
      <c r="G18135" s="8" t="n">
        <v>0</v>
      </c>
      <c r="H18135" s="8" t="inlineStr">
        <is>
          <t>CLOSED</t>
        </is>
      </c>
    </row>
    <row r="18136">
      <c r="A18136" s="8" t="inlineStr">
        <is>
          <t>2026-08-04</t>
        </is>
      </c>
      <c r="B18136" s="8" t="n">
        <v>1</v>
      </c>
      <c r="C18136" s="8" t="n">
        <v>31</v>
      </c>
      <c r="D18136" s="8" t="inlineStr">
        <is>
          <t>Disneyland Park</t>
        </is>
      </c>
      <c r="E18136" s="8" t="inlineStr">
        <is>
          <t>Meet Mickey Mouse</t>
        </is>
      </c>
      <c r="F18136" s="8" t="inlineStr">
        <is>
          <t>STANDBY</t>
        </is>
      </c>
      <c r="G18136" s="8" t="n">
        <v>0</v>
      </c>
      <c r="H18136" s="8" t="inlineStr">
        <is>
          <t>CLOSED</t>
        </is>
      </c>
    </row>
    <row r="18137">
      <c r="A18137" s="8" t="inlineStr">
        <is>
          <t>2026-08-04</t>
        </is>
      </c>
      <c r="B18137" s="8" t="n">
        <v>1</v>
      </c>
      <c r="C18137" s="8" t="n">
        <v>31</v>
      </c>
      <c r="D18137" s="8" t="inlineStr">
        <is>
          <t>Disneyland Park</t>
        </is>
      </c>
      <c r="E18137" s="8" t="inlineStr">
        <is>
          <t>Peter Pan's Flight</t>
        </is>
      </c>
      <c r="F18137" s="8" t="inlineStr">
        <is>
          <t>STANDBY</t>
        </is>
      </c>
      <c r="G18137" s="8" t="n">
        <v>0</v>
      </c>
      <c r="H18137" s="8" t="inlineStr">
        <is>
          <t>CLOSED</t>
        </is>
      </c>
    </row>
    <row r="18138">
      <c r="A18138" s="8" t="inlineStr">
        <is>
          <t>2026-08-04</t>
        </is>
      </c>
      <c r="B18138" s="8" t="n">
        <v>1</v>
      </c>
      <c r="C18138" s="8" t="n">
        <v>31</v>
      </c>
      <c r="D18138" s="8" t="inlineStr">
        <is>
          <t>Disneyland Park</t>
        </is>
      </c>
      <c r="E18138" s="8" t="inlineStr">
        <is>
          <t>Princess Pavilion</t>
        </is>
      </c>
      <c r="F18138" s="8" t="inlineStr">
        <is>
          <t>STANDBY</t>
        </is>
      </c>
      <c r="G18138" s="8" t="n">
        <v>0</v>
      </c>
      <c r="H18138" s="8" t="inlineStr">
        <is>
          <t>CLOSED</t>
        </is>
      </c>
    </row>
    <row r="18139">
      <c r="A18139" s="8" t="inlineStr">
        <is>
          <t>2026-08-04</t>
        </is>
      </c>
      <c r="B18139" s="8" t="n">
        <v>1</v>
      </c>
      <c r="C18139" s="8" t="n">
        <v>31</v>
      </c>
      <c r="D18139" s="8" t="inlineStr">
        <is>
          <t>Disneyland Park</t>
        </is>
      </c>
      <c r="E18139" s="8" t="inlineStr">
        <is>
          <t>Big Thunder Mountain</t>
        </is>
      </c>
      <c r="F18139" s="8" t="inlineStr">
        <is>
          <t>STANDBY</t>
        </is>
      </c>
      <c r="G18139" s="8" t="n">
        <v>0</v>
      </c>
      <c r="H18139" s="8" t="inlineStr">
        <is>
          <t>CLOSED</t>
        </is>
      </c>
    </row>
    <row r="18140">
      <c r="A18140" s="8" t="inlineStr">
        <is>
          <t>2026-08-04</t>
        </is>
      </c>
      <c r="B18140" s="8" t="n">
        <v>1</v>
      </c>
      <c r="C18140" s="8" t="n">
        <v>31</v>
      </c>
      <c r="D18140" s="8" t="inlineStr">
        <is>
          <t>Disneyland Park</t>
        </is>
      </c>
      <c r="E18140" s="8" t="inlineStr">
        <is>
          <t>Disneyland Railroad Frontierland Depot</t>
        </is>
      </c>
      <c r="F18140" s="8" t="inlineStr">
        <is>
          <t>STANDBY</t>
        </is>
      </c>
      <c r="G18140" s="8" t="n">
        <v>0</v>
      </c>
      <c r="H18140" s="8" t="inlineStr">
        <is>
          <t>CLOSED</t>
        </is>
      </c>
    </row>
    <row r="18141">
      <c r="A18141" s="8" t="inlineStr">
        <is>
          <t>2026-08-04</t>
        </is>
      </c>
      <c r="B18141" s="8" t="n">
        <v>1</v>
      </c>
      <c r="C18141" s="8" t="n">
        <v>31</v>
      </c>
      <c r="D18141" s="8" t="inlineStr">
        <is>
          <t>Disneyland Park</t>
        </is>
      </c>
      <c r="E18141" s="8" t="inlineStr">
        <is>
          <t>Frontierland Playground</t>
        </is>
      </c>
      <c r="F18141" s="8" t="inlineStr">
        <is>
          <t>STANDBY</t>
        </is>
      </c>
      <c r="G18141" s="8" t="n">
        <v>0</v>
      </c>
      <c r="H18141" s="8" t="inlineStr">
        <is>
          <t>CLOSED</t>
        </is>
      </c>
    </row>
    <row r="18142">
      <c r="A18142" s="8" t="inlineStr">
        <is>
          <t>2026-08-04</t>
        </is>
      </c>
      <c r="B18142" s="8" t="n">
        <v>1</v>
      </c>
      <c r="C18142" s="8" t="n">
        <v>31</v>
      </c>
      <c r="D18142" s="8" t="inlineStr">
        <is>
          <t>Disneyland Park</t>
        </is>
      </c>
      <c r="E18142" s="8" t="inlineStr">
        <is>
          <t>Phantom Manor</t>
        </is>
      </c>
      <c r="F18142" s="8" t="inlineStr">
        <is>
          <t>STANDBY</t>
        </is>
      </c>
      <c r="G18142" s="8" t="n">
        <v>0</v>
      </c>
      <c r="H18142" s="8" t="inlineStr">
        <is>
          <t>CLOSED</t>
        </is>
      </c>
    </row>
    <row r="18143">
      <c r="A18143" s="8" t="inlineStr">
        <is>
          <t>2026-08-04</t>
        </is>
      </c>
      <c r="B18143" s="8" t="n">
        <v>1</v>
      </c>
      <c r="C18143" s="8" t="n">
        <v>31</v>
      </c>
      <c r="D18143" s="8" t="inlineStr">
        <is>
          <t>Disneyland Park</t>
        </is>
      </c>
      <c r="E18143" s="8" t="inlineStr">
        <is>
          <t>River Rogue Keelboats</t>
        </is>
      </c>
      <c r="F18143" s="8" t="inlineStr">
        <is>
          <t>STANDBY</t>
        </is>
      </c>
      <c r="G18143" s="8" t="n">
        <v>0</v>
      </c>
      <c r="H18143" s="8" t="inlineStr">
        <is>
          <t>CLOSED</t>
        </is>
      </c>
    </row>
    <row r="18144">
      <c r="A18144" s="8" t="inlineStr">
        <is>
          <t>2026-08-04</t>
        </is>
      </c>
      <c r="B18144" s="8" t="n">
        <v>1</v>
      </c>
      <c r="C18144" s="8" t="n">
        <v>31</v>
      </c>
      <c r="D18144" s="8" t="inlineStr">
        <is>
          <t>Disneyland Park</t>
        </is>
      </c>
      <c r="E18144" s="8" t="inlineStr">
        <is>
          <t>Rustler Roundup Shootin' Gallery</t>
        </is>
      </c>
      <c r="F18144" s="8" t="inlineStr">
        <is>
          <t>STANDBY</t>
        </is>
      </c>
      <c r="G18144" s="8" t="n">
        <v>0</v>
      </c>
      <c r="H18144" s="8" t="inlineStr">
        <is>
          <t>CLOSED</t>
        </is>
      </c>
    </row>
    <row r="18145">
      <c r="A18145" s="8" t="inlineStr">
        <is>
          <t>2026-08-04</t>
        </is>
      </c>
      <c r="B18145" s="8" t="n">
        <v>1</v>
      </c>
      <c r="C18145" s="8" t="n">
        <v>31</v>
      </c>
      <c r="D18145" s="8" t="inlineStr">
        <is>
          <t>Disneyland Park</t>
        </is>
      </c>
      <c r="E18145" s="8" t="inlineStr">
        <is>
          <t>Thunder Mesa Riverboat Landing</t>
        </is>
      </c>
      <c r="F18145" s="8" t="inlineStr">
        <is>
          <t>STANDBY</t>
        </is>
      </c>
      <c r="G18145" s="8" t="n">
        <v>0</v>
      </c>
      <c r="H18145" s="8" t="inlineStr">
        <is>
          <t>CLOSED</t>
        </is>
      </c>
    </row>
    <row r="18146">
      <c r="A18146" s="8" t="inlineStr">
        <is>
          <t>2026-08-04</t>
        </is>
      </c>
      <c r="B18146" s="8" t="n">
        <v>1</v>
      </c>
      <c r="C18146" s="8" t="n">
        <v>31</v>
      </c>
      <c r="D18146" s="8" t="inlineStr">
        <is>
          <t>Disneyland Park</t>
        </is>
      </c>
      <c r="E18146" s="8" t="inlineStr">
        <is>
          <t>Disneyland Railroad Main Street Station</t>
        </is>
      </c>
      <c r="F18146" s="8" t="inlineStr">
        <is>
          <t>STANDBY</t>
        </is>
      </c>
      <c r="G18146" s="8" t="n">
        <v>0</v>
      </c>
      <c r="H18146" s="8" t="inlineStr">
        <is>
          <t>CLOSED</t>
        </is>
      </c>
    </row>
    <row r="18147">
      <c r="A18147" s="8" t="inlineStr">
        <is>
          <t>2026-08-04</t>
        </is>
      </c>
      <c r="B18147" s="8" t="n">
        <v>1</v>
      </c>
      <c r="C18147" s="8" t="n">
        <v>31</v>
      </c>
      <c r="D18147" s="8" t="inlineStr">
        <is>
          <t>Disneyland Park</t>
        </is>
      </c>
      <c r="E18147" s="8" t="inlineStr">
        <is>
          <t>Main Street Vehicles</t>
        </is>
      </c>
      <c r="F18147" s="8" t="inlineStr">
        <is>
          <t>STANDBY</t>
        </is>
      </c>
      <c r="G18147" s="8" t="n">
        <v>0</v>
      </c>
      <c r="H18147" s="8" t="inlineStr">
        <is>
          <t>CLOSED</t>
        </is>
      </c>
    </row>
    <row r="18148">
      <c r="A18148" s="8" t="inlineStr">
        <is>
          <t>2026-08-04</t>
        </is>
      </c>
      <c r="B18148" s="8" t="n">
        <v>1</v>
      </c>
      <c r="C18148" s="8" t="n">
        <v>31</v>
      </c>
      <c r="D18148" s="8" t="inlineStr">
        <is>
          <t>Disney Adventure World</t>
        </is>
      </c>
      <c r="E18148" s="8" t="inlineStr">
        <is>
          <t>Avengers Assemble: Flight Force</t>
        </is>
      </c>
      <c r="F18148" s="8" t="inlineStr">
        <is>
          <t>STANDBY</t>
        </is>
      </c>
      <c r="G18148" s="8" t="n">
        <v>0</v>
      </c>
      <c r="H18148" s="8" t="inlineStr">
        <is>
          <t>CLOSED</t>
        </is>
      </c>
    </row>
    <row r="18149">
      <c r="A18149" s="8" t="inlineStr">
        <is>
          <t>2026-08-04</t>
        </is>
      </c>
      <c r="B18149" s="8" t="n">
        <v>1</v>
      </c>
      <c r="C18149" s="8" t="n">
        <v>31</v>
      </c>
      <c r="D18149" s="8" t="inlineStr">
        <is>
          <t>Disney Adventure World</t>
        </is>
      </c>
      <c r="E18149" s="8" t="inlineStr">
        <is>
          <t>Avengers Assemble: Flight Force Single Rider</t>
        </is>
      </c>
      <c r="F18149" s="8" t="inlineStr">
        <is>
          <t>STANDBY</t>
        </is>
      </c>
      <c r="G18149" s="8" t="n">
        <v>0</v>
      </c>
      <c r="H18149" s="8" t="inlineStr">
        <is>
          <t>CLOSED</t>
        </is>
      </c>
    </row>
    <row r="18150">
      <c r="A18150" s="8" t="inlineStr">
        <is>
          <t>2026-08-04</t>
        </is>
      </c>
      <c r="B18150" s="8" t="n">
        <v>1</v>
      </c>
      <c r="C18150" s="8" t="n">
        <v>31</v>
      </c>
      <c r="D18150" s="8" t="inlineStr">
        <is>
          <t>Disney Adventure World</t>
        </is>
      </c>
      <c r="E18150" s="8" t="inlineStr">
        <is>
          <t>Spider-Man W.E.B. Adventure</t>
        </is>
      </c>
      <c r="F18150" s="8" t="inlineStr">
        <is>
          <t>STANDBY</t>
        </is>
      </c>
      <c r="G18150" s="8" t="n">
        <v>0</v>
      </c>
      <c r="H18150" s="8" t="inlineStr">
        <is>
          <t>CLOSED</t>
        </is>
      </c>
    </row>
    <row r="18151">
      <c r="A18151" s="8" t="inlineStr">
        <is>
          <t>2026-08-04</t>
        </is>
      </c>
      <c r="B18151" s="8" t="n">
        <v>1</v>
      </c>
      <c r="C18151" s="8" t="n">
        <v>31</v>
      </c>
      <c r="D18151" s="8" t="inlineStr">
        <is>
          <t>Disney Adventure World</t>
        </is>
      </c>
      <c r="E18151" s="8" t="inlineStr">
        <is>
          <t>Spider-Man W.E.B. Adventure Single Rider</t>
        </is>
      </c>
      <c r="F18151" s="8" t="inlineStr">
        <is>
          <t>STANDBY</t>
        </is>
      </c>
      <c r="G18151" s="8" t="n">
        <v>0</v>
      </c>
      <c r="H18151" s="8" t="inlineStr">
        <is>
          <t>CLOSED</t>
        </is>
      </c>
    </row>
    <row r="18152">
      <c r="A18152" s="8" t="inlineStr">
        <is>
          <t>2026-08-04</t>
        </is>
      </c>
      <c r="B18152" s="8" t="n">
        <v>1</v>
      </c>
      <c r="C18152" s="8" t="n">
        <v>31</v>
      </c>
      <c r="D18152" s="8" t="inlineStr">
        <is>
          <t>Disney Adventure World</t>
        </is>
      </c>
      <c r="E18152" s="8" t="inlineStr">
        <is>
          <t>The Twilight Zone Tower of Terror</t>
        </is>
      </c>
      <c r="F18152" s="8" t="inlineStr">
        <is>
          <t>STANDBY</t>
        </is>
      </c>
      <c r="G18152" s="8" t="n">
        <v>0</v>
      </c>
      <c r="H18152" s="8" t="inlineStr">
        <is>
          <t>CLOSED</t>
        </is>
      </c>
    </row>
    <row r="18153">
      <c r="A18153" s="8" t="inlineStr">
        <is>
          <t>2026-08-04</t>
        </is>
      </c>
      <c r="B18153" s="8" t="n">
        <v>1</v>
      </c>
      <c r="C18153" s="8" t="n">
        <v>31</v>
      </c>
      <c r="D18153" s="8" t="inlineStr">
        <is>
          <t>Disney Adventure World</t>
        </is>
      </c>
      <c r="E18153" s="8" t="inlineStr">
        <is>
          <t>Cars Quatre Roues Rallye</t>
        </is>
      </c>
      <c r="F18153" s="8" t="inlineStr">
        <is>
          <t>STANDBY</t>
        </is>
      </c>
      <c r="G18153" s="8" t="n">
        <v>0</v>
      </c>
      <c r="H18153" s="8" t="inlineStr">
        <is>
          <t>CLOSED</t>
        </is>
      </c>
    </row>
    <row r="18154">
      <c r="A18154" s="8" t="inlineStr">
        <is>
          <t>2026-08-04</t>
        </is>
      </c>
      <c r="B18154" s="8" t="n">
        <v>1</v>
      </c>
      <c r="C18154" s="8" t="n">
        <v>31</v>
      </c>
      <c r="D18154" s="8" t="inlineStr">
        <is>
          <t>Disney Adventure World</t>
        </is>
      </c>
      <c r="E18154" s="8" t="inlineStr">
        <is>
          <t>Cars ROAD TRIP</t>
        </is>
      </c>
      <c r="F18154" s="8" t="inlineStr">
        <is>
          <t>STANDBY</t>
        </is>
      </c>
      <c r="G18154" s="8" t="n">
        <v>0</v>
      </c>
      <c r="H18154" s="8" t="inlineStr">
        <is>
          <t>CLOSED</t>
        </is>
      </c>
    </row>
    <row r="18155">
      <c r="A18155" s="8" t="inlineStr">
        <is>
          <t>2026-08-04</t>
        </is>
      </c>
      <c r="B18155" s="8" t="n">
        <v>1</v>
      </c>
      <c r="C18155" s="8" t="n">
        <v>31</v>
      </c>
      <c r="D18155" s="8" t="inlineStr">
        <is>
          <t>Disney Adventure World</t>
        </is>
      </c>
      <c r="E18155" s="8" t="inlineStr">
        <is>
          <t>Crush's Coaster</t>
        </is>
      </c>
      <c r="F18155" s="8" t="inlineStr">
        <is>
          <t>STANDBY</t>
        </is>
      </c>
      <c r="G18155" s="8" t="n">
        <v>0</v>
      </c>
      <c r="H18155" s="8" t="inlineStr">
        <is>
          <t>CLOSED</t>
        </is>
      </c>
    </row>
    <row r="18156">
      <c r="A18156" s="8" t="inlineStr">
        <is>
          <t>2026-08-04</t>
        </is>
      </c>
      <c r="B18156" s="8" t="n">
        <v>1</v>
      </c>
      <c r="C18156" s="8" t="n">
        <v>31</v>
      </c>
      <c r="D18156" s="8" t="inlineStr">
        <is>
          <t>Disney Adventure World</t>
        </is>
      </c>
      <c r="E18156" s="8" t="inlineStr">
        <is>
          <t>Crush's Coaster Single Rider</t>
        </is>
      </c>
      <c r="F18156" s="8" t="inlineStr">
        <is>
          <t>STANDBY</t>
        </is>
      </c>
      <c r="G18156" s="8" t="n">
        <v>0</v>
      </c>
      <c r="H18156" s="8" t="inlineStr">
        <is>
          <t>CLOSED</t>
        </is>
      </c>
    </row>
    <row r="18157">
      <c r="A18157" s="8" t="inlineStr">
        <is>
          <t>2026-08-04</t>
        </is>
      </c>
      <c r="B18157" s="8" t="n">
        <v>1</v>
      </c>
      <c r="C18157" s="8" t="n">
        <v>31</v>
      </c>
      <c r="D18157" s="8" t="inlineStr">
        <is>
          <t>Disney Adventure World</t>
        </is>
      </c>
      <c r="E18157" s="8" t="inlineStr">
        <is>
          <t>Les Tapis Volants - Flying Carpets Over Agrabah®</t>
        </is>
      </c>
      <c r="F18157" s="8" t="inlineStr">
        <is>
          <t>STANDBY</t>
        </is>
      </c>
      <c r="G18157" s="8" t="n">
        <v>0</v>
      </c>
      <c r="H18157" s="8" t="inlineStr">
        <is>
          <t>CLOSED</t>
        </is>
      </c>
    </row>
    <row r="18158">
      <c r="A18158" s="8" t="inlineStr">
        <is>
          <t>2026-08-04</t>
        </is>
      </c>
      <c r="B18158" s="8" t="n">
        <v>1</v>
      </c>
      <c r="C18158" s="8" t="n">
        <v>31</v>
      </c>
      <c r="D18158" s="8" t="inlineStr">
        <is>
          <t>Disney Adventure World</t>
        </is>
      </c>
      <c r="E18158" s="8" t="inlineStr">
        <is>
          <t>Ratatouille : L’Aventure Totalement Toquée de Rémy​</t>
        </is>
      </c>
      <c r="F18158" s="8" t="inlineStr">
        <is>
          <t>STANDBY</t>
        </is>
      </c>
      <c r="G18158" s="8" t="n">
        <v>0</v>
      </c>
      <c r="H18158" s="8" t="inlineStr">
        <is>
          <t>CLOSED</t>
        </is>
      </c>
    </row>
    <row r="18159">
      <c r="A18159" s="8" t="inlineStr">
        <is>
          <t>2026-08-04</t>
        </is>
      </c>
      <c r="B18159" s="8" t="n">
        <v>1</v>
      </c>
      <c r="C18159" s="8" t="n">
        <v>31</v>
      </c>
      <c r="D18159" s="8" t="inlineStr">
        <is>
          <t>Disney Adventure World</t>
        </is>
      </c>
      <c r="E18159" s="8" t="inlineStr">
        <is>
          <t>Ratatouille: The Adventure Single Rider</t>
        </is>
      </c>
      <c r="F18159" s="8" t="inlineStr">
        <is>
          <t>STANDBY</t>
        </is>
      </c>
      <c r="G18159" s="8" t="n">
        <v>0</v>
      </c>
      <c r="H18159" s="8" t="inlineStr">
        <is>
          <t>CLOSED</t>
        </is>
      </c>
    </row>
    <row r="18160">
      <c r="A18160" s="8" t="inlineStr">
        <is>
          <t>2026-08-04</t>
        </is>
      </c>
      <c r="B18160" s="8" t="n">
        <v>1</v>
      </c>
      <c r="C18160" s="8" t="n">
        <v>31</v>
      </c>
      <c r="D18160" s="8" t="inlineStr">
        <is>
          <t>Disney Adventure World</t>
        </is>
      </c>
      <c r="E18160" s="8" t="inlineStr">
        <is>
          <t>RC Racer</t>
        </is>
      </c>
      <c r="F18160" s="8" t="inlineStr">
        <is>
          <t>STANDBY</t>
        </is>
      </c>
      <c r="G18160" s="8" t="n">
        <v>0</v>
      </c>
      <c r="H18160" s="8" t="inlineStr">
        <is>
          <t>CLOSED</t>
        </is>
      </c>
    </row>
    <row r="18161">
      <c r="A18161" s="8" t="inlineStr">
        <is>
          <t>2026-08-04</t>
        </is>
      </c>
      <c r="B18161" s="8" t="n">
        <v>1</v>
      </c>
      <c r="C18161" s="8" t="n">
        <v>31</v>
      </c>
      <c r="D18161" s="8" t="inlineStr">
        <is>
          <t>Disney Adventure World</t>
        </is>
      </c>
      <c r="E18161" s="8" t="inlineStr">
        <is>
          <t>RC Racer Single Rider</t>
        </is>
      </c>
      <c r="F18161" s="8" t="inlineStr">
        <is>
          <t>STANDBY</t>
        </is>
      </c>
      <c r="G18161" s="8" t="n">
        <v>0</v>
      </c>
      <c r="H18161" s="8" t="inlineStr">
        <is>
          <t>CLOSED</t>
        </is>
      </c>
    </row>
    <row r="18162">
      <c r="A18162" s="8" t="inlineStr">
        <is>
          <t>2026-08-04</t>
        </is>
      </c>
      <c r="B18162" s="8" t="n">
        <v>1</v>
      </c>
      <c r="C18162" s="8" t="n">
        <v>31</v>
      </c>
      <c r="D18162" s="8" t="inlineStr">
        <is>
          <t>Disney Adventure World</t>
        </is>
      </c>
      <c r="E18162" s="8" t="inlineStr">
        <is>
          <t>Slinky® Dog Zigzag Spin</t>
        </is>
      </c>
      <c r="F18162" s="8" t="inlineStr">
        <is>
          <t>STANDBY</t>
        </is>
      </c>
      <c r="G18162" s="8" t="n">
        <v>0</v>
      </c>
      <c r="H18162" s="8" t="inlineStr">
        <is>
          <t>CLOSED</t>
        </is>
      </c>
    </row>
    <row r="18163">
      <c r="A18163" s="8" t="inlineStr">
        <is>
          <t>2026-08-04</t>
        </is>
      </c>
      <c r="B18163" s="8" t="n">
        <v>1</v>
      </c>
      <c r="C18163" s="8" t="n">
        <v>31</v>
      </c>
      <c r="D18163" s="8" t="inlineStr">
        <is>
          <t>Disney Adventure World</t>
        </is>
      </c>
      <c r="E18163" s="8" t="inlineStr">
        <is>
          <t>Toy Soldiers Parachute Drop</t>
        </is>
      </c>
      <c r="F18163" s="8" t="inlineStr">
        <is>
          <t>STANDBY</t>
        </is>
      </c>
      <c r="G18163" s="8" t="n">
        <v>0</v>
      </c>
      <c r="H18163" s="8" t="inlineStr">
        <is>
          <t>CLOSED</t>
        </is>
      </c>
    </row>
    <row r="18164">
      <c r="A18164" s="8" t="inlineStr">
        <is>
          <t>2026-08-04</t>
        </is>
      </c>
      <c r="B18164" s="8" t="n">
        <v>1</v>
      </c>
      <c r="C18164" s="8" t="n">
        <v>31</v>
      </c>
      <c r="D18164" s="8" t="inlineStr">
        <is>
          <t>Disney Adventure World</t>
        </is>
      </c>
      <c r="E18164" s="8" t="inlineStr">
        <is>
          <t>Toy Soldiers Parachute Drop Single Rider</t>
        </is>
      </c>
      <c r="F18164" s="8" t="inlineStr">
        <is>
          <t>STANDBY</t>
        </is>
      </c>
      <c r="G18164" s="8" t="n">
        <v>0</v>
      </c>
      <c r="H18164" s="8" t="inlineStr">
        <is>
          <t>CLOSED</t>
        </is>
      </c>
    </row>
    <row r="18165">
      <c r="A18165" s="8" t="inlineStr">
        <is>
          <t>2026-08-04</t>
        </is>
      </c>
      <c r="B18165" s="8" t="n">
        <v>1</v>
      </c>
      <c r="C18165" s="8" t="n">
        <v>31</v>
      </c>
      <c r="D18165" s="8" t="inlineStr">
        <is>
          <t>Disney Adventure World</t>
        </is>
      </c>
      <c r="E18165" s="8" t="inlineStr">
        <is>
          <t>Entry to World of Frozen</t>
        </is>
      </c>
      <c r="F18165" s="8" t="inlineStr">
        <is>
          <t>STANDBY</t>
        </is>
      </c>
      <c r="G18165" s="8" t="n">
        <v>0</v>
      </c>
      <c r="H18165" s="8" t="inlineStr">
        <is>
          <t>CLOSED</t>
        </is>
      </c>
    </row>
    <row r="18166">
      <c r="A18166" s="8" t="inlineStr">
        <is>
          <t>2026-08-04</t>
        </is>
      </c>
      <c r="B18166" s="8" t="n">
        <v>1</v>
      </c>
      <c r="C18166" s="8" t="n">
        <v>31</v>
      </c>
      <c r="D18166" s="8" t="inlineStr">
        <is>
          <t>Disney Adventure World</t>
        </is>
      </c>
      <c r="E18166" s="8" t="inlineStr">
        <is>
          <t>Frozen Ever After</t>
        </is>
      </c>
      <c r="F18166" s="8" t="inlineStr">
        <is>
          <t>STANDBY</t>
        </is>
      </c>
      <c r="G18166" s="8" t="n">
        <v>0</v>
      </c>
      <c r="H18166" s="8" t="inlineStr">
        <is>
          <t>CLOSED</t>
        </is>
      </c>
    </row>
    <row r="18167">
      <c r="A18167" s="8" t="inlineStr">
        <is>
          <t>2026-08-04</t>
        </is>
      </c>
      <c r="B18167" s="8" t="n">
        <v>1</v>
      </c>
      <c r="C18167" s="8" t="n">
        <v>31</v>
      </c>
      <c r="D18167" s="8" t="inlineStr">
        <is>
          <t>Disney Adventure World</t>
        </is>
      </c>
      <c r="E18167" s="8" t="inlineStr">
        <is>
          <t>Raiponce Tangled Spin</t>
        </is>
      </c>
      <c r="F18167" s="8" t="inlineStr">
        <is>
          <t>STANDBY</t>
        </is>
      </c>
      <c r="G18167" s="8" t="n">
        <v>0</v>
      </c>
      <c r="H18167" s="8" t="inlineStr">
        <is>
          <t>CLOSED</t>
        </is>
      </c>
    </row>
    <row r="18168">
      <c r="A18168" s="8" t="inlineStr">
        <is>
          <t>2026-08-04</t>
        </is>
      </c>
      <c r="B18168" s="8" t="n">
        <v>1</v>
      </c>
      <c r="C18168" s="8" t="n">
        <v>31</v>
      </c>
      <c r="D18168" s="8" t="inlineStr">
        <is>
          <t>Disneyland Park</t>
        </is>
      </c>
      <c r="E18168" s="8" t="inlineStr">
        <is>
          <t>Adventure Isle</t>
        </is>
      </c>
      <c r="F18168" s="8" t="inlineStr">
        <is>
          <t>STANDBY</t>
        </is>
      </c>
      <c r="G18168" s="8" t="n">
        <v>0</v>
      </c>
      <c r="H18168" s="8" t="inlineStr">
        <is>
          <t>CLOSED</t>
        </is>
      </c>
    </row>
    <row r="18169">
      <c r="A18169" s="8" t="inlineStr">
        <is>
          <t>2026-08-04</t>
        </is>
      </c>
      <c r="B18169" s="8" t="n">
        <v>1</v>
      </c>
      <c r="C18169" s="8" t="n">
        <v>31</v>
      </c>
      <c r="D18169" s="8" t="inlineStr">
        <is>
          <t>Disneyland Park</t>
        </is>
      </c>
      <c r="E18169" s="8" t="inlineStr">
        <is>
          <t>Indiana Jones and the Temple of Peril Single Rider</t>
        </is>
      </c>
      <c r="F18169" s="8" t="inlineStr">
        <is>
          <t>STANDBY</t>
        </is>
      </c>
      <c r="G18169" s="8" t="n">
        <v>0</v>
      </c>
      <c r="H18169" s="8" t="inlineStr">
        <is>
          <t>CLOSED</t>
        </is>
      </c>
    </row>
    <row r="18170">
      <c r="A18170" s="8" t="inlineStr">
        <is>
          <t>2026-08-04</t>
        </is>
      </c>
      <c r="B18170" s="8" t="n">
        <v>1</v>
      </c>
      <c r="C18170" s="8" t="n">
        <v>31</v>
      </c>
      <c r="D18170" s="8" t="inlineStr">
        <is>
          <t>Disneyland Park</t>
        </is>
      </c>
      <c r="E18170" s="8" t="inlineStr">
        <is>
          <t>Indiana Jones™ and the Temple of Peril</t>
        </is>
      </c>
      <c r="F18170" s="8" t="inlineStr">
        <is>
          <t>STANDBY</t>
        </is>
      </c>
      <c r="G18170" s="8" t="n">
        <v>0</v>
      </c>
      <c r="H18170" s="8" t="inlineStr">
        <is>
          <t>CLOSED</t>
        </is>
      </c>
    </row>
    <row r="18171">
      <c r="A18171" s="8" t="inlineStr">
        <is>
          <t>2026-08-04</t>
        </is>
      </c>
      <c r="B18171" s="8" t="n">
        <v>1</v>
      </c>
      <c r="C18171" s="8" t="n">
        <v>31</v>
      </c>
      <c r="D18171" s="8" t="inlineStr">
        <is>
          <t>Disneyland Park</t>
        </is>
      </c>
      <c r="E18171" s="8" t="inlineStr">
        <is>
          <t>La Cabane des Robinson</t>
        </is>
      </c>
      <c r="F18171" s="8" t="inlineStr">
        <is>
          <t>STANDBY</t>
        </is>
      </c>
      <c r="G18171" s="8" t="n">
        <v>0</v>
      </c>
      <c r="H18171" s="8" t="inlineStr">
        <is>
          <t>CLOSED</t>
        </is>
      </c>
    </row>
    <row r="18172">
      <c r="A18172" s="8" t="inlineStr">
        <is>
          <t>2026-08-04</t>
        </is>
      </c>
      <c r="B18172" s="8" t="n">
        <v>1</v>
      </c>
      <c r="C18172" s="8" t="n">
        <v>31</v>
      </c>
      <c r="D18172" s="8" t="inlineStr">
        <is>
          <t>Disneyland Park</t>
        </is>
      </c>
      <c r="E18172" s="8" t="inlineStr">
        <is>
          <t>Le Passage Enchanté d'Aladdin</t>
        </is>
      </c>
      <c r="F18172" s="8" t="inlineStr">
        <is>
          <t>STANDBY</t>
        </is>
      </c>
      <c r="G18172" s="8" t="n">
        <v>0</v>
      </c>
      <c r="H18172" s="8" t="inlineStr">
        <is>
          <t>CLOSED</t>
        </is>
      </c>
    </row>
    <row r="18173">
      <c r="A18173" s="8" t="inlineStr">
        <is>
          <t>2026-08-04</t>
        </is>
      </c>
      <c r="B18173" s="8" t="n">
        <v>1</v>
      </c>
      <c r="C18173" s="8" t="n">
        <v>31</v>
      </c>
      <c r="D18173" s="8" t="inlineStr">
        <is>
          <t>Disneyland Park</t>
        </is>
      </c>
      <c r="E18173" s="8" t="inlineStr">
        <is>
          <t>Pirate Galleon</t>
        </is>
      </c>
      <c r="F18173" s="8" t="inlineStr">
        <is>
          <t>STANDBY</t>
        </is>
      </c>
      <c r="G18173" s="8" t="n">
        <v>0</v>
      </c>
      <c r="H18173" s="8" t="inlineStr">
        <is>
          <t>CLOSED</t>
        </is>
      </c>
    </row>
    <row r="18174">
      <c r="A18174" s="8" t="inlineStr">
        <is>
          <t>2026-08-04</t>
        </is>
      </c>
      <c r="B18174" s="8" t="n">
        <v>1</v>
      </c>
      <c r="C18174" s="8" t="n">
        <v>31</v>
      </c>
      <c r="D18174" s="8" t="inlineStr">
        <is>
          <t>Disneyland Park</t>
        </is>
      </c>
      <c r="E18174" s="8" t="inlineStr">
        <is>
          <t>Pirates of the Caribbean</t>
        </is>
      </c>
      <c r="F18174" s="8" t="inlineStr">
        <is>
          <t>STANDBY</t>
        </is>
      </c>
      <c r="G18174" s="8" t="n">
        <v>0</v>
      </c>
      <c r="H18174" s="8" t="inlineStr">
        <is>
          <t>CLOSED</t>
        </is>
      </c>
    </row>
    <row r="18175">
      <c r="A18175" s="8" t="inlineStr">
        <is>
          <t>2026-08-04</t>
        </is>
      </c>
      <c r="B18175" s="8" t="n">
        <v>1</v>
      </c>
      <c r="C18175" s="8" t="n">
        <v>31</v>
      </c>
      <c r="D18175" s="8" t="inlineStr">
        <is>
          <t>Disneyland Park</t>
        </is>
      </c>
      <c r="E18175" s="8" t="inlineStr">
        <is>
          <t>Pirates' Beach</t>
        </is>
      </c>
      <c r="F18175" s="8" t="inlineStr">
        <is>
          <t>STANDBY</t>
        </is>
      </c>
      <c r="G18175" s="8" t="n">
        <v>0</v>
      </c>
      <c r="H18175" s="8" t="inlineStr">
        <is>
          <t>CLOSED</t>
        </is>
      </c>
    </row>
    <row r="18176">
      <c r="A18176" s="8" t="inlineStr">
        <is>
          <t>2026-08-04</t>
        </is>
      </c>
      <c r="B18176" s="8" t="n">
        <v>1</v>
      </c>
      <c r="C18176" s="8" t="n">
        <v>31</v>
      </c>
      <c r="D18176" s="8" t="inlineStr">
        <is>
          <t>Disneyland Park</t>
        </is>
      </c>
      <c r="E18176" s="8" t="inlineStr">
        <is>
          <t>Autopia, presented by Avis</t>
        </is>
      </c>
      <c r="F18176" s="8" t="inlineStr">
        <is>
          <t>STANDBY</t>
        </is>
      </c>
      <c r="G18176" s="8" t="n">
        <v>0</v>
      </c>
      <c r="H18176" s="8" t="inlineStr">
        <is>
          <t>CLOSED</t>
        </is>
      </c>
    </row>
    <row r="18177">
      <c r="A18177" s="8" t="inlineStr">
        <is>
          <t>2026-08-04</t>
        </is>
      </c>
      <c r="B18177" s="8" t="n">
        <v>1</v>
      </c>
      <c r="C18177" s="8" t="n">
        <v>31</v>
      </c>
      <c r="D18177" s="8" t="inlineStr">
        <is>
          <t>Disneyland Park</t>
        </is>
      </c>
      <c r="E18177" s="8" t="inlineStr">
        <is>
          <t>Buzz Lightyear Laser Blast</t>
        </is>
      </c>
      <c r="F18177" s="8" t="inlineStr">
        <is>
          <t>STANDBY</t>
        </is>
      </c>
      <c r="G18177" s="8" t="n">
        <v>0</v>
      </c>
      <c r="H18177" s="8" t="inlineStr">
        <is>
          <t>CLOSED</t>
        </is>
      </c>
    </row>
    <row r="18178">
      <c r="A18178" s="8" t="inlineStr">
        <is>
          <t>2026-08-04</t>
        </is>
      </c>
      <c r="B18178" s="8" t="n">
        <v>1</v>
      </c>
      <c r="C18178" s="8" t="n">
        <v>31</v>
      </c>
      <c r="D18178" s="8" t="inlineStr">
        <is>
          <t>Disneyland Park</t>
        </is>
      </c>
      <c r="E18178" s="8" t="inlineStr">
        <is>
          <t>Disneyland Railroad Discoveryland Station</t>
        </is>
      </c>
      <c r="F18178" s="8" t="inlineStr">
        <is>
          <t>STANDBY</t>
        </is>
      </c>
      <c r="G18178" s="8" t="n">
        <v>0</v>
      </c>
      <c r="H18178" s="8" t="inlineStr">
        <is>
          <t>CLOSED</t>
        </is>
      </c>
    </row>
    <row r="18179">
      <c r="A18179" s="8" t="inlineStr">
        <is>
          <t>2026-08-04</t>
        </is>
      </c>
      <c r="B18179" s="8" t="n">
        <v>1</v>
      </c>
      <c r="C18179" s="8" t="n">
        <v>31</v>
      </c>
      <c r="D18179" s="8" t="inlineStr">
        <is>
          <t>Disneyland Park</t>
        </is>
      </c>
      <c r="E18179" s="8" t="inlineStr">
        <is>
          <t>Les Mystères du Nautilus</t>
        </is>
      </c>
      <c r="F18179" s="8" t="inlineStr">
        <is>
          <t>STANDBY</t>
        </is>
      </c>
      <c r="G18179" s="8" t="n">
        <v>0</v>
      </c>
      <c r="H18179" s="8" t="inlineStr">
        <is>
          <t>CLOSED</t>
        </is>
      </c>
    </row>
    <row r="18180">
      <c r="A18180" s="8" t="inlineStr">
        <is>
          <t>2026-08-04</t>
        </is>
      </c>
      <c r="B18180" s="8" t="n">
        <v>1</v>
      </c>
      <c r="C18180" s="8" t="n">
        <v>31</v>
      </c>
      <c r="D18180" s="8" t="inlineStr">
        <is>
          <t>Disneyland Park</t>
        </is>
      </c>
      <c r="E18180" s="8" t="inlineStr">
        <is>
          <t>Mickey’s PhilharMagic</t>
        </is>
      </c>
      <c r="F18180" s="8" t="inlineStr">
        <is>
          <t>STANDBY</t>
        </is>
      </c>
      <c r="G18180" s="8" t="n">
        <v>0</v>
      </c>
      <c r="H18180" s="8" t="inlineStr">
        <is>
          <t>CLOSED</t>
        </is>
      </c>
    </row>
    <row r="18181">
      <c r="A18181" s="8" t="inlineStr">
        <is>
          <t>2026-08-04</t>
        </is>
      </c>
      <c r="B18181" s="8" t="n">
        <v>1</v>
      </c>
      <c r="C18181" s="8" t="n">
        <v>31</v>
      </c>
      <c r="D18181" s="8" t="inlineStr">
        <is>
          <t>Disneyland Park</t>
        </is>
      </c>
      <c r="E18181" s="8" t="inlineStr">
        <is>
          <t>Orbitron®</t>
        </is>
      </c>
      <c r="F18181" s="8" t="inlineStr">
        <is>
          <t>STANDBY</t>
        </is>
      </c>
      <c r="G18181" s="8" t="n">
        <v>0</v>
      </c>
      <c r="H18181" s="8" t="inlineStr">
        <is>
          <t>CLOSED</t>
        </is>
      </c>
    </row>
    <row r="18182">
      <c r="A18182" s="8" t="inlineStr">
        <is>
          <t>2026-08-04</t>
        </is>
      </c>
      <c r="B18182" s="8" t="n">
        <v>1</v>
      </c>
      <c r="C18182" s="8" t="n">
        <v>31</v>
      </c>
      <c r="D18182" s="8" t="inlineStr">
        <is>
          <t>Disneyland Park</t>
        </is>
      </c>
      <c r="E18182" s="8" t="inlineStr">
        <is>
          <t>Star Tours: The Adventures Continue*</t>
        </is>
      </c>
      <c r="F18182" s="8" t="inlineStr">
        <is>
          <t>STANDBY</t>
        </is>
      </c>
      <c r="G18182" s="8" t="n">
        <v>0</v>
      </c>
      <c r="H18182" s="8" t="inlineStr">
        <is>
          <t>CLOSED</t>
        </is>
      </c>
    </row>
    <row r="18183">
      <c r="A18183" s="8" t="inlineStr">
        <is>
          <t>2026-08-04</t>
        </is>
      </c>
      <c r="B18183" s="8" t="n">
        <v>1</v>
      </c>
      <c r="C18183" s="8" t="n">
        <v>31</v>
      </c>
      <c r="D18183" s="8" t="inlineStr">
        <is>
          <t>Disneyland Park</t>
        </is>
      </c>
      <c r="E18183" s="8" t="inlineStr">
        <is>
          <t>Star Wars Hyperspace Mountain</t>
        </is>
      </c>
      <c r="F18183" s="8" t="inlineStr">
        <is>
          <t>STANDBY</t>
        </is>
      </c>
      <c r="G18183" s="8" t="n">
        <v>0</v>
      </c>
      <c r="H18183" s="8" t="inlineStr">
        <is>
          <t>CLOSED</t>
        </is>
      </c>
    </row>
    <row r="18184">
      <c r="A18184" s="8" t="inlineStr">
        <is>
          <t>2026-08-04</t>
        </is>
      </c>
      <c r="B18184" s="8" t="n">
        <v>1</v>
      </c>
      <c r="C18184" s="8" t="n">
        <v>31</v>
      </c>
      <c r="D18184" s="8" t="inlineStr">
        <is>
          <t>Disneyland Park</t>
        </is>
      </c>
      <c r="E18184" s="8" t="inlineStr">
        <is>
          <t>Star Wars Hyperspace Mountain Single Rider</t>
        </is>
      </c>
      <c r="F18184" s="8" t="inlineStr">
        <is>
          <t>STANDBY</t>
        </is>
      </c>
      <c r="G18184" s="8" t="n">
        <v>0</v>
      </c>
      <c r="H18184" s="8" t="inlineStr">
        <is>
          <t>CLOSED</t>
        </is>
      </c>
    </row>
    <row r="18185">
      <c r="A18185" s="8" t="inlineStr">
        <is>
          <t>2026-08-04</t>
        </is>
      </c>
      <c r="B18185" s="8" t="n">
        <v>1</v>
      </c>
      <c r="C18185" s="8" t="n">
        <v>31</v>
      </c>
      <c r="D18185" s="8" t="inlineStr">
        <is>
          <t>Disneyland Park</t>
        </is>
      </c>
      <c r="E18185" s="8" t="inlineStr">
        <is>
          <t>Welcome to Starport: A Star Wars Encounter</t>
        </is>
      </c>
      <c r="F18185" s="8" t="inlineStr">
        <is>
          <t>STANDBY</t>
        </is>
      </c>
      <c r="G18185" s="8" t="n">
        <v>0</v>
      </c>
      <c r="H18185" s="8" t="inlineStr">
        <is>
          <t>CLOSED</t>
        </is>
      </c>
    </row>
    <row r="18186">
      <c r="A18186" s="8" t="inlineStr">
        <is>
          <t>2026-08-04</t>
        </is>
      </c>
      <c r="B18186" s="8" t="n">
        <v>1</v>
      </c>
      <c r="C18186" s="8" t="n">
        <v>31</v>
      </c>
      <c r="D18186" s="8" t="inlineStr">
        <is>
          <t>Disneyland Park</t>
        </is>
      </c>
      <c r="E18186" s="8" t="inlineStr">
        <is>
          <t>"it's a small world"</t>
        </is>
      </c>
      <c r="F18186" s="8" t="inlineStr">
        <is>
          <t>STANDBY</t>
        </is>
      </c>
      <c r="G18186" s="8" t="n">
        <v>0</v>
      </c>
      <c r="H18186" s="8" t="inlineStr">
        <is>
          <t>CLOSED</t>
        </is>
      </c>
    </row>
    <row r="18187">
      <c r="A18187" s="8" t="inlineStr">
        <is>
          <t>2026-08-04</t>
        </is>
      </c>
      <c r="B18187" s="8" t="n">
        <v>1</v>
      </c>
      <c r="C18187" s="8" t="n">
        <v>31</v>
      </c>
      <c r="D18187" s="8" t="inlineStr">
        <is>
          <t>Disneyland Park</t>
        </is>
      </c>
      <c r="E18187" s="8" t="inlineStr">
        <is>
          <t>Alice's Curious Labyrinth</t>
        </is>
      </c>
      <c r="F18187" s="8" t="inlineStr">
        <is>
          <t>STANDBY</t>
        </is>
      </c>
      <c r="G18187" s="8" t="n">
        <v>0</v>
      </c>
      <c r="H18187" s="8" t="inlineStr">
        <is>
          <t>CLOSED</t>
        </is>
      </c>
    </row>
    <row r="18188">
      <c r="A18188" s="8" t="inlineStr">
        <is>
          <t>2026-08-04</t>
        </is>
      </c>
      <c r="B18188" s="8" t="n">
        <v>1</v>
      </c>
      <c r="C18188" s="8" t="n">
        <v>31</v>
      </c>
      <c r="D18188" s="8" t="inlineStr">
        <is>
          <t>Disneyland Park</t>
        </is>
      </c>
      <c r="E18188" s="8" t="inlineStr">
        <is>
          <t>Blanche-Neige et les Sept Nains®</t>
        </is>
      </c>
      <c r="F18188" s="8" t="inlineStr">
        <is>
          <t>STANDBY</t>
        </is>
      </c>
      <c r="G18188" s="8" t="n">
        <v>0</v>
      </c>
      <c r="H18188" s="8" t="inlineStr">
        <is>
          <t>CLOSED</t>
        </is>
      </c>
    </row>
    <row r="18189">
      <c r="A18189" s="8" t="inlineStr">
        <is>
          <t>2026-08-04</t>
        </is>
      </c>
      <c r="B18189" s="8" t="n">
        <v>1</v>
      </c>
      <c r="C18189" s="8" t="n">
        <v>31</v>
      </c>
      <c r="D18189" s="8" t="inlineStr">
        <is>
          <t>Disneyland Park</t>
        </is>
      </c>
      <c r="E18189" s="8" t="inlineStr">
        <is>
          <t>Casey Jr. – le Petit Train du Cirque</t>
        </is>
      </c>
      <c r="F18189" s="8" t="inlineStr">
        <is>
          <t>STANDBY</t>
        </is>
      </c>
      <c r="G18189" s="8" t="n">
        <v>0</v>
      </c>
      <c r="H18189" s="8" t="inlineStr">
        <is>
          <t>CLOSED</t>
        </is>
      </c>
    </row>
    <row r="18190">
      <c r="A18190" s="8" t="inlineStr">
        <is>
          <t>2026-08-04</t>
        </is>
      </c>
      <c r="B18190" s="8" t="n">
        <v>1</v>
      </c>
      <c r="C18190" s="8" t="n">
        <v>31</v>
      </c>
      <c r="D18190" s="8" t="inlineStr">
        <is>
          <t>Disneyland Park</t>
        </is>
      </c>
      <c r="E18190" s="8" t="inlineStr">
        <is>
          <t>Disneyland Railroad Fantasyland Station</t>
        </is>
      </c>
      <c r="F18190" s="8" t="inlineStr">
        <is>
          <t>STANDBY</t>
        </is>
      </c>
      <c r="G18190" s="8" t="n">
        <v>0</v>
      </c>
      <c r="H18190" s="8" t="inlineStr">
        <is>
          <t>CLOSED</t>
        </is>
      </c>
    </row>
    <row r="18191">
      <c r="A18191" s="8" t="inlineStr">
        <is>
          <t>2026-08-04</t>
        </is>
      </c>
      <c r="B18191" s="8" t="n">
        <v>1</v>
      </c>
      <c r="C18191" s="8" t="n">
        <v>31</v>
      </c>
      <c r="D18191" s="8" t="inlineStr">
        <is>
          <t>Disneyland Park</t>
        </is>
      </c>
      <c r="E18191" s="8" t="inlineStr">
        <is>
          <t>Disneyland Railroad Main Street Station</t>
        </is>
      </c>
      <c r="F18191" s="8" t="inlineStr">
        <is>
          <t>STANDBY</t>
        </is>
      </c>
      <c r="G18191" s="8" t="n">
        <v>0</v>
      </c>
      <c r="H18191" s="8" t="inlineStr">
        <is>
          <t>CLOSED</t>
        </is>
      </c>
    </row>
    <row r="18192">
      <c r="A18192" s="8" t="inlineStr">
        <is>
          <t>2026-08-04</t>
        </is>
      </c>
      <c r="B18192" s="8" t="n">
        <v>1</v>
      </c>
      <c r="C18192" s="8" t="n">
        <v>31</v>
      </c>
      <c r="D18192" s="8" t="inlineStr">
        <is>
          <t>Disneyland Park</t>
        </is>
      </c>
      <c r="E18192" s="8" t="inlineStr">
        <is>
          <t>Dumbo the Flying Elephant</t>
        </is>
      </c>
      <c r="F18192" s="8" t="inlineStr">
        <is>
          <t>STANDBY</t>
        </is>
      </c>
      <c r="G18192" s="8" t="n">
        <v>0</v>
      </c>
      <c r="H18192" s="8" t="inlineStr">
        <is>
          <t>CLOSED</t>
        </is>
      </c>
    </row>
    <row r="18193">
      <c r="A18193" s="8" t="inlineStr">
        <is>
          <t>2026-08-04</t>
        </is>
      </c>
      <c r="B18193" s="8" t="n">
        <v>1</v>
      </c>
      <c r="C18193" s="8" t="n">
        <v>31</v>
      </c>
      <c r="D18193" s="8" t="inlineStr">
        <is>
          <t>Disneyland Park</t>
        </is>
      </c>
      <c r="E18193" s="8" t="inlineStr">
        <is>
          <t>La Tanière du Dragon</t>
        </is>
      </c>
      <c r="F18193" s="8" t="inlineStr">
        <is>
          <t>STANDBY</t>
        </is>
      </c>
      <c r="G18193" s="8" t="n">
        <v>0</v>
      </c>
      <c r="H18193" s="8" t="inlineStr">
        <is>
          <t>CLOSED</t>
        </is>
      </c>
    </row>
    <row r="18194">
      <c r="A18194" s="8" t="inlineStr">
        <is>
          <t>2026-08-04</t>
        </is>
      </c>
      <c r="B18194" s="8" t="n">
        <v>1</v>
      </c>
      <c r="C18194" s="8" t="n">
        <v>31</v>
      </c>
      <c r="D18194" s="8" t="inlineStr">
        <is>
          <t>Disneyland Park</t>
        </is>
      </c>
      <c r="E18194" s="8" t="inlineStr">
        <is>
          <t>Le Carrousel de Lancelot</t>
        </is>
      </c>
      <c r="F18194" s="8" t="inlineStr">
        <is>
          <t>STANDBY</t>
        </is>
      </c>
      <c r="G18194" s="8" t="n">
        <v>0</v>
      </c>
      <c r="H18194" s="8" t="inlineStr">
        <is>
          <t>CLOSED</t>
        </is>
      </c>
    </row>
    <row r="18195">
      <c r="A18195" s="8" t="inlineStr">
        <is>
          <t>2026-08-04</t>
        </is>
      </c>
      <c r="B18195" s="8" t="n">
        <v>1</v>
      </c>
      <c r="C18195" s="8" t="n">
        <v>31</v>
      </c>
      <c r="D18195" s="8" t="inlineStr">
        <is>
          <t>Disneyland Park</t>
        </is>
      </c>
      <c r="E18195" s="8" t="inlineStr">
        <is>
          <t>Le Pays des Contes de Fées, presented by Vittel</t>
        </is>
      </c>
      <c r="F18195" s="8" t="inlineStr">
        <is>
          <t>STANDBY</t>
        </is>
      </c>
      <c r="G18195" s="8" t="n">
        <v>0</v>
      </c>
      <c r="H18195" s="8" t="inlineStr">
        <is>
          <t>CLOSED</t>
        </is>
      </c>
    </row>
    <row r="18196">
      <c r="A18196" s="8" t="inlineStr">
        <is>
          <t>2026-08-04</t>
        </is>
      </c>
      <c r="B18196" s="8" t="n">
        <v>1</v>
      </c>
      <c r="C18196" s="8" t="n">
        <v>31</v>
      </c>
      <c r="D18196" s="8" t="inlineStr">
        <is>
          <t>Disneyland Park</t>
        </is>
      </c>
      <c r="E18196" s="8" t="inlineStr">
        <is>
          <t>Les Voyages de Pinocchio</t>
        </is>
      </c>
      <c r="F18196" s="8" t="inlineStr">
        <is>
          <t>STANDBY</t>
        </is>
      </c>
      <c r="G18196" s="8" t="n">
        <v>0</v>
      </c>
      <c r="H18196" s="8" t="inlineStr">
        <is>
          <t>CLOSED</t>
        </is>
      </c>
    </row>
    <row r="18197">
      <c r="A18197" s="8" t="inlineStr">
        <is>
          <t>2026-08-04</t>
        </is>
      </c>
      <c r="B18197" s="8" t="n">
        <v>1</v>
      </c>
      <c r="C18197" s="8" t="n">
        <v>31</v>
      </c>
      <c r="D18197" s="8" t="inlineStr">
        <is>
          <t>Disneyland Park</t>
        </is>
      </c>
      <c r="E18197" s="8" t="inlineStr">
        <is>
          <t>Mad Hatter's Tea Cups</t>
        </is>
      </c>
      <c r="F18197" s="8" t="inlineStr">
        <is>
          <t>STANDBY</t>
        </is>
      </c>
      <c r="G18197" s="8" t="n">
        <v>0</v>
      </c>
      <c r="H18197" s="8" t="inlineStr">
        <is>
          <t>CLOSED</t>
        </is>
      </c>
    </row>
    <row r="18198">
      <c r="A18198" s="8" t="inlineStr">
        <is>
          <t>2026-08-04</t>
        </is>
      </c>
      <c r="B18198" s="8" t="n">
        <v>1</v>
      </c>
      <c r="C18198" s="8" t="n">
        <v>31</v>
      </c>
      <c r="D18198" s="8" t="inlineStr">
        <is>
          <t>Disneyland Park</t>
        </is>
      </c>
      <c r="E18198" s="8" t="inlineStr">
        <is>
          <t>Meet Mickey Mouse</t>
        </is>
      </c>
      <c r="F18198" s="8" t="inlineStr">
        <is>
          <t>STANDBY</t>
        </is>
      </c>
      <c r="G18198" s="8" t="n">
        <v>0</v>
      </c>
      <c r="H18198" s="8" t="inlineStr">
        <is>
          <t>CLOSED</t>
        </is>
      </c>
    </row>
    <row r="18199">
      <c r="A18199" s="8" t="inlineStr">
        <is>
          <t>2026-08-04</t>
        </is>
      </c>
      <c r="B18199" s="8" t="n">
        <v>1</v>
      </c>
      <c r="C18199" s="8" t="n">
        <v>31</v>
      </c>
      <c r="D18199" s="8" t="inlineStr">
        <is>
          <t>Disneyland Park</t>
        </is>
      </c>
      <c r="E18199" s="8" t="inlineStr">
        <is>
          <t>Peter Pan's Flight</t>
        </is>
      </c>
      <c r="F18199" s="8" t="inlineStr">
        <is>
          <t>STANDBY</t>
        </is>
      </c>
      <c r="G18199" s="8" t="n">
        <v>0</v>
      </c>
      <c r="H18199" s="8" t="inlineStr">
        <is>
          <t>CLOSED</t>
        </is>
      </c>
    </row>
    <row r="18200">
      <c r="A18200" s="8" t="inlineStr">
        <is>
          <t>2026-08-04</t>
        </is>
      </c>
      <c r="B18200" s="8" t="n">
        <v>1</v>
      </c>
      <c r="C18200" s="8" t="n">
        <v>31</v>
      </c>
      <c r="D18200" s="8" t="inlineStr">
        <is>
          <t>Disneyland Park</t>
        </is>
      </c>
      <c r="E18200" s="8" t="inlineStr">
        <is>
          <t>Princess Pavilion</t>
        </is>
      </c>
      <c r="F18200" s="8" t="inlineStr">
        <is>
          <t>STANDBY</t>
        </is>
      </c>
      <c r="G18200" s="8" t="n">
        <v>0</v>
      </c>
      <c r="H18200" s="8" t="inlineStr">
        <is>
          <t>CLOSED</t>
        </is>
      </c>
    </row>
    <row r="18201">
      <c r="A18201" s="8" t="inlineStr">
        <is>
          <t>2026-08-04</t>
        </is>
      </c>
      <c r="B18201" s="8" t="n">
        <v>1</v>
      </c>
      <c r="C18201" s="8" t="n">
        <v>31</v>
      </c>
      <c r="D18201" s="8" t="inlineStr">
        <is>
          <t>Disneyland Park</t>
        </is>
      </c>
      <c r="E18201" s="8" t="inlineStr">
        <is>
          <t>Big Thunder Mountain</t>
        </is>
      </c>
      <c r="F18201" s="8" t="inlineStr">
        <is>
          <t>STANDBY</t>
        </is>
      </c>
      <c r="G18201" s="8" t="n">
        <v>0</v>
      </c>
      <c r="H18201" s="8" t="inlineStr">
        <is>
          <t>CLOSED</t>
        </is>
      </c>
    </row>
    <row r="18202">
      <c r="A18202" s="8" t="inlineStr">
        <is>
          <t>2026-08-04</t>
        </is>
      </c>
      <c r="B18202" s="8" t="n">
        <v>1</v>
      </c>
      <c r="C18202" s="8" t="n">
        <v>31</v>
      </c>
      <c r="D18202" s="8" t="inlineStr">
        <is>
          <t>Disneyland Park</t>
        </is>
      </c>
      <c r="E18202" s="8" t="inlineStr">
        <is>
          <t>Disneyland Railroad Frontierland Depot</t>
        </is>
      </c>
      <c r="F18202" s="8" t="inlineStr">
        <is>
          <t>STANDBY</t>
        </is>
      </c>
      <c r="G18202" s="8" t="n">
        <v>0</v>
      </c>
      <c r="H18202" s="8" t="inlineStr">
        <is>
          <t>CLOSED</t>
        </is>
      </c>
    </row>
    <row r="18203">
      <c r="A18203" s="8" t="inlineStr">
        <is>
          <t>2026-08-04</t>
        </is>
      </c>
      <c r="B18203" s="8" t="n">
        <v>1</v>
      </c>
      <c r="C18203" s="8" t="n">
        <v>31</v>
      </c>
      <c r="D18203" s="8" t="inlineStr">
        <is>
          <t>Disneyland Park</t>
        </is>
      </c>
      <c r="E18203" s="8" t="inlineStr">
        <is>
          <t>Frontierland Playground</t>
        </is>
      </c>
      <c r="F18203" s="8" t="inlineStr">
        <is>
          <t>STANDBY</t>
        </is>
      </c>
      <c r="G18203" s="8" t="n">
        <v>0</v>
      </c>
      <c r="H18203" s="8" t="inlineStr">
        <is>
          <t>CLOSED</t>
        </is>
      </c>
    </row>
    <row r="18204">
      <c r="A18204" s="8" t="inlineStr">
        <is>
          <t>2026-08-04</t>
        </is>
      </c>
      <c r="B18204" s="8" t="n">
        <v>1</v>
      </c>
      <c r="C18204" s="8" t="n">
        <v>31</v>
      </c>
      <c r="D18204" s="8" t="inlineStr">
        <is>
          <t>Disneyland Park</t>
        </is>
      </c>
      <c r="E18204" s="8" t="inlineStr">
        <is>
          <t>Phantom Manor</t>
        </is>
      </c>
      <c r="F18204" s="8" t="inlineStr">
        <is>
          <t>STANDBY</t>
        </is>
      </c>
      <c r="G18204" s="8" t="n">
        <v>0</v>
      </c>
      <c r="H18204" s="8" t="inlineStr">
        <is>
          <t>CLOSED</t>
        </is>
      </c>
    </row>
    <row r="18205">
      <c r="A18205" s="8" t="inlineStr">
        <is>
          <t>2026-08-04</t>
        </is>
      </c>
      <c r="B18205" s="8" t="n">
        <v>1</v>
      </c>
      <c r="C18205" s="8" t="n">
        <v>31</v>
      </c>
      <c r="D18205" s="8" t="inlineStr">
        <is>
          <t>Disneyland Park</t>
        </is>
      </c>
      <c r="E18205" s="8" t="inlineStr">
        <is>
          <t>River Rogue Keelboats</t>
        </is>
      </c>
      <c r="F18205" s="8" t="inlineStr">
        <is>
          <t>STANDBY</t>
        </is>
      </c>
      <c r="G18205" s="8" t="n">
        <v>0</v>
      </c>
      <c r="H18205" s="8" t="inlineStr">
        <is>
          <t>CLOSED</t>
        </is>
      </c>
    </row>
    <row r="18206">
      <c r="A18206" s="8" t="inlineStr">
        <is>
          <t>2026-08-04</t>
        </is>
      </c>
      <c r="B18206" s="8" t="n">
        <v>1</v>
      </c>
      <c r="C18206" s="8" t="n">
        <v>31</v>
      </c>
      <c r="D18206" s="8" t="inlineStr">
        <is>
          <t>Disneyland Park</t>
        </is>
      </c>
      <c r="E18206" s="8" t="inlineStr">
        <is>
          <t>Rustler Roundup Shootin' Gallery</t>
        </is>
      </c>
      <c r="F18206" s="8" t="inlineStr">
        <is>
          <t>STANDBY</t>
        </is>
      </c>
      <c r="G18206" s="8" t="n">
        <v>0</v>
      </c>
      <c r="H18206" s="8" t="inlineStr">
        <is>
          <t>CLOSED</t>
        </is>
      </c>
    </row>
    <row r="18207">
      <c r="A18207" s="8" t="inlineStr">
        <is>
          <t>2026-08-04</t>
        </is>
      </c>
      <c r="B18207" s="8" t="n">
        <v>1</v>
      </c>
      <c r="C18207" s="8" t="n">
        <v>31</v>
      </c>
      <c r="D18207" s="8" t="inlineStr">
        <is>
          <t>Disneyland Park</t>
        </is>
      </c>
      <c r="E18207" s="8" t="inlineStr">
        <is>
          <t>Thunder Mesa Riverboat Landing</t>
        </is>
      </c>
      <c r="F18207" s="8" t="inlineStr">
        <is>
          <t>STANDBY</t>
        </is>
      </c>
      <c r="G18207" s="8" t="n">
        <v>0</v>
      </c>
      <c r="H18207" s="8" t="inlineStr">
        <is>
          <t>CLOSED</t>
        </is>
      </c>
    </row>
    <row r="18208">
      <c r="A18208" s="8" t="inlineStr">
        <is>
          <t>2026-08-04</t>
        </is>
      </c>
      <c r="B18208" s="8" t="n">
        <v>1</v>
      </c>
      <c r="C18208" s="8" t="n">
        <v>31</v>
      </c>
      <c r="D18208" s="8" t="inlineStr">
        <is>
          <t>Disneyland Park</t>
        </is>
      </c>
      <c r="E18208" s="8" t="inlineStr">
        <is>
          <t>Disneyland Railroad Main Street Station</t>
        </is>
      </c>
      <c r="F18208" s="8" t="inlineStr">
        <is>
          <t>STANDBY</t>
        </is>
      </c>
      <c r="G18208" s="8" t="n">
        <v>0</v>
      </c>
      <c r="H18208" s="8" t="inlineStr">
        <is>
          <t>CLOSED</t>
        </is>
      </c>
    </row>
    <row r="18209">
      <c r="A18209" s="8" t="inlineStr">
        <is>
          <t>2026-08-04</t>
        </is>
      </c>
      <c r="B18209" s="8" t="n">
        <v>1</v>
      </c>
      <c r="C18209" s="8" t="n">
        <v>31</v>
      </c>
      <c r="D18209" s="8" t="inlineStr">
        <is>
          <t>Disneyland Park</t>
        </is>
      </c>
      <c r="E18209" s="8" t="inlineStr">
        <is>
          <t>Main Street Vehicles</t>
        </is>
      </c>
      <c r="F18209" s="8" t="inlineStr">
        <is>
          <t>STANDBY</t>
        </is>
      </c>
      <c r="G18209" s="8" t="n">
        <v>0</v>
      </c>
      <c r="H18209" s="8" t="inlineStr">
        <is>
          <t>CLOSED</t>
        </is>
      </c>
    </row>
    <row r="18210">
      <c r="A18210" s="8" t="inlineStr">
        <is>
          <t>2026-08-04</t>
        </is>
      </c>
      <c r="B18210" s="8" t="n">
        <v>1</v>
      </c>
      <c r="C18210" s="8" t="n">
        <v>31</v>
      </c>
      <c r="D18210" s="8" t="inlineStr">
        <is>
          <t>Disney Adventure World</t>
        </is>
      </c>
      <c r="E18210" s="8" t="inlineStr">
        <is>
          <t>Avengers Assemble: Flight Force</t>
        </is>
      </c>
      <c r="F18210" s="8" t="inlineStr">
        <is>
          <t>STANDBY</t>
        </is>
      </c>
      <c r="G18210" s="8" t="n">
        <v>0</v>
      </c>
      <c r="H18210" s="8" t="inlineStr">
        <is>
          <t>CLOSED</t>
        </is>
      </c>
    </row>
    <row r="18211">
      <c r="A18211" s="8" t="inlineStr">
        <is>
          <t>2026-08-04</t>
        </is>
      </c>
      <c r="B18211" s="8" t="n">
        <v>1</v>
      </c>
      <c r="C18211" s="8" t="n">
        <v>31</v>
      </c>
      <c r="D18211" s="8" t="inlineStr">
        <is>
          <t>Disney Adventure World</t>
        </is>
      </c>
      <c r="E18211" s="8" t="inlineStr">
        <is>
          <t>Avengers Assemble: Flight Force Single Rider</t>
        </is>
      </c>
      <c r="F18211" s="8" t="inlineStr">
        <is>
          <t>STANDBY</t>
        </is>
      </c>
      <c r="G18211" s="8" t="n">
        <v>0</v>
      </c>
      <c r="H18211" s="8" t="inlineStr">
        <is>
          <t>CLOSED</t>
        </is>
      </c>
    </row>
    <row r="18212">
      <c r="A18212" s="8" t="inlineStr">
        <is>
          <t>2026-08-04</t>
        </is>
      </c>
      <c r="B18212" s="8" t="n">
        <v>1</v>
      </c>
      <c r="C18212" s="8" t="n">
        <v>31</v>
      </c>
      <c r="D18212" s="8" t="inlineStr">
        <is>
          <t>Disney Adventure World</t>
        </is>
      </c>
      <c r="E18212" s="8" t="inlineStr">
        <is>
          <t>Spider-Man W.E.B. Adventure</t>
        </is>
      </c>
      <c r="F18212" s="8" t="inlineStr">
        <is>
          <t>STANDBY</t>
        </is>
      </c>
      <c r="G18212" s="8" t="n">
        <v>0</v>
      </c>
      <c r="H18212" s="8" t="inlineStr">
        <is>
          <t>CLOSED</t>
        </is>
      </c>
    </row>
    <row r="18213">
      <c r="A18213" s="8" t="inlineStr">
        <is>
          <t>2026-08-04</t>
        </is>
      </c>
      <c r="B18213" s="8" t="n">
        <v>1</v>
      </c>
      <c r="C18213" s="8" t="n">
        <v>31</v>
      </c>
      <c r="D18213" s="8" t="inlineStr">
        <is>
          <t>Disney Adventure World</t>
        </is>
      </c>
      <c r="E18213" s="8" t="inlineStr">
        <is>
          <t>Spider-Man W.E.B. Adventure Single Rider</t>
        </is>
      </c>
      <c r="F18213" s="8" t="inlineStr">
        <is>
          <t>STANDBY</t>
        </is>
      </c>
      <c r="G18213" s="8" t="n">
        <v>0</v>
      </c>
      <c r="H18213" s="8" t="inlineStr">
        <is>
          <t>CLOSED</t>
        </is>
      </c>
    </row>
    <row r="18214">
      <c r="A18214" s="8" t="inlineStr">
        <is>
          <t>2026-08-04</t>
        </is>
      </c>
      <c r="B18214" s="8" t="n">
        <v>1</v>
      </c>
      <c r="C18214" s="8" t="n">
        <v>31</v>
      </c>
      <c r="D18214" s="8" t="inlineStr">
        <is>
          <t>Disney Adventure World</t>
        </is>
      </c>
      <c r="E18214" s="8" t="inlineStr">
        <is>
          <t>The Twilight Zone Tower of Terror</t>
        </is>
      </c>
      <c r="F18214" s="8" t="inlineStr">
        <is>
          <t>STANDBY</t>
        </is>
      </c>
      <c r="G18214" s="8" t="n">
        <v>0</v>
      </c>
      <c r="H18214" s="8" t="inlineStr">
        <is>
          <t>CLOSED</t>
        </is>
      </c>
    </row>
    <row r="18215">
      <c r="A18215" s="8" t="inlineStr">
        <is>
          <t>2026-08-04</t>
        </is>
      </c>
      <c r="B18215" s="8" t="n">
        <v>1</v>
      </c>
      <c r="C18215" s="8" t="n">
        <v>31</v>
      </c>
      <c r="D18215" s="8" t="inlineStr">
        <is>
          <t>Disney Adventure World</t>
        </is>
      </c>
      <c r="E18215" s="8" t="inlineStr">
        <is>
          <t>Cars Quatre Roues Rallye</t>
        </is>
      </c>
      <c r="F18215" s="8" t="inlineStr">
        <is>
          <t>STANDBY</t>
        </is>
      </c>
      <c r="G18215" s="8" t="n">
        <v>0</v>
      </c>
      <c r="H18215" s="8" t="inlineStr">
        <is>
          <t>CLOSED</t>
        </is>
      </c>
    </row>
    <row r="18216">
      <c r="A18216" s="8" t="inlineStr">
        <is>
          <t>2026-08-04</t>
        </is>
      </c>
      <c r="B18216" s="8" t="n">
        <v>1</v>
      </c>
      <c r="C18216" s="8" t="n">
        <v>31</v>
      </c>
      <c r="D18216" s="8" t="inlineStr">
        <is>
          <t>Disney Adventure World</t>
        </is>
      </c>
      <c r="E18216" s="8" t="inlineStr">
        <is>
          <t>Cars ROAD TRIP</t>
        </is>
      </c>
      <c r="F18216" s="8" t="inlineStr">
        <is>
          <t>STANDBY</t>
        </is>
      </c>
      <c r="G18216" s="8" t="n">
        <v>0</v>
      </c>
      <c r="H18216" s="8" t="inlineStr">
        <is>
          <t>CLOSED</t>
        </is>
      </c>
    </row>
    <row r="18217">
      <c r="A18217" s="8" t="inlineStr">
        <is>
          <t>2026-08-04</t>
        </is>
      </c>
      <c r="B18217" s="8" t="n">
        <v>1</v>
      </c>
      <c r="C18217" s="8" t="n">
        <v>31</v>
      </c>
      <c r="D18217" s="8" t="inlineStr">
        <is>
          <t>Disney Adventure World</t>
        </is>
      </c>
      <c r="E18217" s="8" t="inlineStr">
        <is>
          <t>Crush's Coaster</t>
        </is>
      </c>
      <c r="F18217" s="8" t="inlineStr">
        <is>
          <t>STANDBY</t>
        </is>
      </c>
      <c r="G18217" s="8" t="n">
        <v>0</v>
      </c>
      <c r="H18217" s="8" t="inlineStr">
        <is>
          <t>CLOSED</t>
        </is>
      </c>
    </row>
    <row r="18218">
      <c r="A18218" s="8" t="inlineStr">
        <is>
          <t>2026-08-04</t>
        </is>
      </c>
      <c r="B18218" s="8" t="n">
        <v>1</v>
      </c>
      <c r="C18218" s="8" t="n">
        <v>31</v>
      </c>
      <c r="D18218" s="8" t="inlineStr">
        <is>
          <t>Disney Adventure World</t>
        </is>
      </c>
      <c r="E18218" s="8" t="inlineStr">
        <is>
          <t>Crush's Coaster Single Rider</t>
        </is>
      </c>
      <c r="F18218" s="8" t="inlineStr">
        <is>
          <t>STANDBY</t>
        </is>
      </c>
      <c r="G18218" s="8" t="n">
        <v>0</v>
      </c>
      <c r="H18218" s="8" t="inlineStr">
        <is>
          <t>CLOSED</t>
        </is>
      </c>
    </row>
    <row r="18219">
      <c r="A18219" s="8" t="inlineStr">
        <is>
          <t>2026-08-04</t>
        </is>
      </c>
      <c r="B18219" s="8" t="n">
        <v>1</v>
      </c>
      <c r="C18219" s="8" t="n">
        <v>31</v>
      </c>
      <c r="D18219" s="8" t="inlineStr">
        <is>
          <t>Disney Adventure World</t>
        </is>
      </c>
      <c r="E18219" s="8" t="inlineStr">
        <is>
          <t>Les Tapis Volants - Flying Carpets Over Agrabah®</t>
        </is>
      </c>
      <c r="F18219" s="8" t="inlineStr">
        <is>
          <t>STANDBY</t>
        </is>
      </c>
      <c r="G18219" s="8" t="n">
        <v>0</v>
      </c>
      <c r="H18219" s="8" t="inlineStr">
        <is>
          <t>CLOSED</t>
        </is>
      </c>
    </row>
    <row r="18220">
      <c r="A18220" s="8" t="inlineStr">
        <is>
          <t>2026-08-04</t>
        </is>
      </c>
      <c r="B18220" s="8" t="n">
        <v>1</v>
      </c>
      <c r="C18220" s="8" t="n">
        <v>31</v>
      </c>
      <c r="D18220" s="8" t="inlineStr">
        <is>
          <t>Disney Adventure World</t>
        </is>
      </c>
      <c r="E18220" s="8" t="inlineStr">
        <is>
          <t>Ratatouille : L’Aventure Totalement Toquée de Rémy​</t>
        </is>
      </c>
      <c r="F18220" s="8" t="inlineStr">
        <is>
          <t>STANDBY</t>
        </is>
      </c>
      <c r="G18220" s="8" t="n">
        <v>0</v>
      </c>
      <c r="H18220" s="8" t="inlineStr">
        <is>
          <t>CLOSED</t>
        </is>
      </c>
    </row>
    <row r="18221">
      <c r="A18221" s="8" t="inlineStr">
        <is>
          <t>2026-08-04</t>
        </is>
      </c>
      <c r="B18221" s="8" t="n">
        <v>1</v>
      </c>
      <c r="C18221" s="8" t="n">
        <v>31</v>
      </c>
      <c r="D18221" s="8" t="inlineStr">
        <is>
          <t>Disney Adventure World</t>
        </is>
      </c>
      <c r="E18221" s="8" t="inlineStr">
        <is>
          <t>Ratatouille: The Adventure Single Rider</t>
        </is>
      </c>
      <c r="F18221" s="8" t="inlineStr">
        <is>
          <t>STANDBY</t>
        </is>
      </c>
      <c r="G18221" s="8" t="n">
        <v>0</v>
      </c>
      <c r="H18221" s="8" t="inlineStr">
        <is>
          <t>CLOSED</t>
        </is>
      </c>
    </row>
    <row r="18222">
      <c r="A18222" s="8" t="inlineStr">
        <is>
          <t>2026-08-04</t>
        </is>
      </c>
      <c r="B18222" s="8" t="n">
        <v>1</v>
      </c>
      <c r="C18222" s="8" t="n">
        <v>31</v>
      </c>
      <c r="D18222" s="8" t="inlineStr">
        <is>
          <t>Disney Adventure World</t>
        </is>
      </c>
      <c r="E18222" s="8" t="inlineStr">
        <is>
          <t>RC Racer</t>
        </is>
      </c>
      <c r="F18222" s="8" t="inlineStr">
        <is>
          <t>STANDBY</t>
        </is>
      </c>
      <c r="G18222" s="8" t="n">
        <v>0</v>
      </c>
      <c r="H18222" s="8" t="inlineStr">
        <is>
          <t>CLOSED</t>
        </is>
      </c>
    </row>
    <row r="18223">
      <c r="A18223" s="8" t="inlineStr">
        <is>
          <t>2026-08-04</t>
        </is>
      </c>
      <c r="B18223" s="8" t="n">
        <v>1</v>
      </c>
      <c r="C18223" s="8" t="n">
        <v>31</v>
      </c>
      <c r="D18223" s="8" t="inlineStr">
        <is>
          <t>Disney Adventure World</t>
        </is>
      </c>
      <c r="E18223" s="8" t="inlineStr">
        <is>
          <t>RC Racer Single Rider</t>
        </is>
      </c>
      <c r="F18223" s="8" t="inlineStr">
        <is>
          <t>STANDBY</t>
        </is>
      </c>
      <c r="G18223" s="8" t="n">
        <v>0</v>
      </c>
      <c r="H18223" s="8" t="inlineStr">
        <is>
          <t>CLOSED</t>
        </is>
      </c>
    </row>
    <row r="18224">
      <c r="A18224" s="8" t="inlineStr">
        <is>
          <t>2026-08-04</t>
        </is>
      </c>
      <c r="B18224" s="8" t="n">
        <v>1</v>
      </c>
      <c r="C18224" s="8" t="n">
        <v>31</v>
      </c>
      <c r="D18224" s="8" t="inlineStr">
        <is>
          <t>Disney Adventure World</t>
        </is>
      </c>
      <c r="E18224" s="8" t="inlineStr">
        <is>
          <t>Slinky® Dog Zigzag Spin</t>
        </is>
      </c>
      <c r="F18224" s="8" t="inlineStr">
        <is>
          <t>STANDBY</t>
        </is>
      </c>
      <c r="G18224" s="8" t="n">
        <v>0</v>
      </c>
      <c r="H18224" s="8" t="inlineStr">
        <is>
          <t>CLOSED</t>
        </is>
      </c>
    </row>
    <row r="18225">
      <c r="A18225" s="8" t="inlineStr">
        <is>
          <t>2026-08-04</t>
        </is>
      </c>
      <c r="B18225" s="8" t="n">
        <v>1</v>
      </c>
      <c r="C18225" s="8" t="n">
        <v>31</v>
      </c>
      <c r="D18225" s="8" t="inlineStr">
        <is>
          <t>Disney Adventure World</t>
        </is>
      </c>
      <c r="E18225" s="8" t="inlineStr">
        <is>
          <t>Toy Soldiers Parachute Drop</t>
        </is>
      </c>
      <c r="F18225" s="8" t="inlineStr">
        <is>
          <t>STANDBY</t>
        </is>
      </c>
      <c r="G18225" s="8" t="n">
        <v>0</v>
      </c>
      <c r="H18225" s="8" t="inlineStr">
        <is>
          <t>CLOSED</t>
        </is>
      </c>
    </row>
    <row r="18226">
      <c r="A18226" s="8" t="inlineStr">
        <is>
          <t>2026-08-04</t>
        </is>
      </c>
      <c r="B18226" s="8" t="n">
        <v>1</v>
      </c>
      <c r="C18226" s="8" t="n">
        <v>31</v>
      </c>
      <c r="D18226" s="8" t="inlineStr">
        <is>
          <t>Disney Adventure World</t>
        </is>
      </c>
      <c r="E18226" s="8" t="inlineStr">
        <is>
          <t>Toy Soldiers Parachute Drop Single Rider</t>
        </is>
      </c>
      <c r="F18226" s="8" t="inlineStr">
        <is>
          <t>STANDBY</t>
        </is>
      </c>
      <c r="G18226" s="8" t="n">
        <v>0</v>
      </c>
      <c r="H18226" s="8" t="inlineStr">
        <is>
          <t>CLOSED</t>
        </is>
      </c>
    </row>
    <row r="18227">
      <c r="A18227" s="8" t="inlineStr">
        <is>
          <t>2026-08-04</t>
        </is>
      </c>
      <c r="B18227" s="8" t="n">
        <v>1</v>
      </c>
      <c r="C18227" s="8" t="n">
        <v>31</v>
      </c>
      <c r="D18227" s="8" t="inlineStr">
        <is>
          <t>Disney Adventure World</t>
        </is>
      </c>
      <c r="E18227" s="8" t="inlineStr">
        <is>
          <t>Entry to World of Frozen</t>
        </is>
      </c>
      <c r="F18227" s="8" t="inlineStr">
        <is>
          <t>STANDBY</t>
        </is>
      </c>
      <c r="G18227" s="8" t="n">
        <v>0</v>
      </c>
      <c r="H18227" s="8" t="inlineStr">
        <is>
          <t>CLOSED</t>
        </is>
      </c>
    </row>
    <row r="18228">
      <c r="A18228" s="8" t="inlineStr">
        <is>
          <t>2026-08-04</t>
        </is>
      </c>
      <c r="B18228" s="8" t="n">
        <v>1</v>
      </c>
      <c r="C18228" s="8" t="n">
        <v>31</v>
      </c>
      <c r="D18228" s="8" t="inlineStr">
        <is>
          <t>Disney Adventure World</t>
        </is>
      </c>
      <c r="E18228" s="8" t="inlineStr">
        <is>
          <t>Frozen Ever After</t>
        </is>
      </c>
      <c r="F18228" s="8" t="inlineStr">
        <is>
          <t>STANDBY</t>
        </is>
      </c>
      <c r="G18228" s="8" t="n">
        <v>0</v>
      </c>
      <c r="H18228" s="8" t="inlineStr">
        <is>
          <t>CLOSED</t>
        </is>
      </c>
    </row>
    <row r="18229">
      <c r="A18229" s="8" t="inlineStr">
        <is>
          <t>2026-08-04</t>
        </is>
      </c>
      <c r="B18229" s="8" t="n">
        <v>1</v>
      </c>
      <c r="C18229" s="8" t="n">
        <v>31</v>
      </c>
      <c r="D18229" s="8" t="inlineStr">
        <is>
          <t>Disney Adventure World</t>
        </is>
      </c>
      <c r="E18229" s="8" t="inlineStr">
        <is>
          <t>Raiponce Tangled Spin</t>
        </is>
      </c>
      <c r="F18229" s="8" t="inlineStr">
        <is>
          <t>STANDBY</t>
        </is>
      </c>
      <c r="G18229" s="8" t="n">
        <v>0</v>
      </c>
      <c r="H18229" s="8" t="inlineStr">
        <is>
          <t>CLOSED</t>
        </is>
      </c>
    </row>
    <row r="18230">
      <c r="A18230" s="8" t="inlineStr">
        <is>
          <t>2026-08-04</t>
        </is>
      </c>
      <c r="B18230" s="8" t="n">
        <v>1</v>
      </c>
      <c r="C18230" s="8" t="n">
        <v>45</v>
      </c>
      <c r="D18230" s="8" t="inlineStr">
        <is>
          <t>Disneyland Park</t>
        </is>
      </c>
      <c r="E18230" s="8" t="inlineStr">
        <is>
          <t>Adventure Isle</t>
        </is>
      </c>
      <c r="F18230" s="8" t="inlineStr">
        <is>
          <t>STANDBY</t>
        </is>
      </c>
      <c r="G18230" s="8" t="n">
        <v>0</v>
      </c>
      <c r="H18230" s="8" t="inlineStr">
        <is>
          <t>CLOSED</t>
        </is>
      </c>
    </row>
    <row r="18231">
      <c r="A18231" s="8" t="inlineStr">
        <is>
          <t>2026-08-04</t>
        </is>
      </c>
      <c r="B18231" s="8" t="n">
        <v>1</v>
      </c>
      <c r="C18231" s="8" t="n">
        <v>45</v>
      </c>
      <c r="D18231" s="8" t="inlineStr">
        <is>
          <t>Disneyland Park</t>
        </is>
      </c>
      <c r="E18231" s="8" t="inlineStr">
        <is>
          <t>Indiana Jones and the Temple of Peril Single Rider</t>
        </is>
      </c>
      <c r="F18231" s="8" t="inlineStr">
        <is>
          <t>STANDBY</t>
        </is>
      </c>
      <c r="G18231" s="8" t="n">
        <v>0</v>
      </c>
      <c r="H18231" s="8" t="inlineStr">
        <is>
          <t>CLOSED</t>
        </is>
      </c>
    </row>
    <row r="18232">
      <c r="A18232" s="8" t="inlineStr">
        <is>
          <t>2026-08-04</t>
        </is>
      </c>
      <c r="B18232" s="8" t="n">
        <v>1</v>
      </c>
      <c r="C18232" s="8" t="n">
        <v>45</v>
      </c>
      <c r="D18232" s="8" t="inlineStr">
        <is>
          <t>Disneyland Park</t>
        </is>
      </c>
      <c r="E18232" s="8" t="inlineStr">
        <is>
          <t>Indiana Jones™ and the Temple of Peril</t>
        </is>
      </c>
      <c r="F18232" s="8" t="inlineStr">
        <is>
          <t>STANDBY</t>
        </is>
      </c>
      <c r="G18232" s="8" t="n">
        <v>0</v>
      </c>
      <c r="H18232" s="8" t="inlineStr">
        <is>
          <t>CLOSED</t>
        </is>
      </c>
    </row>
    <row r="18233">
      <c r="A18233" s="8" t="inlineStr">
        <is>
          <t>2026-08-04</t>
        </is>
      </c>
      <c r="B18233" s="8" t="n">
        <v>1</v>
      </c>
      <c r="C18233" s="8" t="n">
        <v>45</v>
      </c>
      <c r="D18233" s="8" t="inlineStr">
        <is>
          <t>Disneyland Park</t>
        </is>
      </c>
      <c r="E18233" s="8" t="inlineStr">
        <is>
          <t>La Cabane des Robinson</t>
        </is>
      </c>
      <c r="F18233" s="8" t="inlineStr">
        <is>
          <t>STANDBY</t>
        </is>
      </c>
      <c r="G18233" s="8" t="n">
        <v>0</v>
      </c>
      <c r="H18233" s="8" t="inlineStr">
        <is>
          <t>CLOSED</t>
        </is>
      </c>
    </row>
    <row r="18234">
      <c r="A18234" s="8" t="inlineStr">
        <is>
          <t>2026-08-04</t>
        </is>
      </c>
      <c r="B18234" s="8" t="n">
        <v>1</v>
      </c>
      <c r="C18234" s="8" t="n">
        <v>45</v>
      </c>
      <c r="D18234" s="8" t="inlineStr">
        <is>
          <t>Disneyland Park</t>
        </is>
      </c>
      <c r="E18234" s="8" t="inlineStr">
        <is>
          <t>Le Passage Enchanté d'Aladdin</t>
        </is>
      </c>
      <c r="F18234" s="8" t="inlineStr">
        <is>
          <t>STANDBY</t>
        </is>
      </c>
      <c r="G18234" s="8" t="n">
        <v>0</v>
      </c>
      <c r="H18234" s="8" t="inlineStr">
        <is>
          <t>CLOSED</t>
        </is>
      </c>
    </row>
    <row r="18235">
      <c r="A18235" s="8" t="inlineStr">
        <is>
          <t>2026-08-04</t>
        </is>
      </c>
      <c r="B18235" s="8" t="n">
        <v>1</v>
      </c>
      <c r="C18235" s="8" t="n">
        <v>45</v>
      </c>
      <c r="D18235" s="8" t="inlineStr">
        <is>
          <t>Disneyland Park</t>
        </is>
      </c>
      <c r="E18235" s="8" t="inlineStr">
        <is>
          <t>Pirate Galleon</t>
        </is>
      </c>
      <c r="F18235" s="8" t="inlineStr">
        <is>
          <t>STANDBY</t>
        </is>
      </c>
      <c r="G18235" s="8" t="n">
        <v>0</v>
      </c>
      <c r="H18235" s="8" t="inlineStr">
        <is>
          <t>CLOSED</t>
        </is>
      </c>
    </row>
    <row r="18236">
      <c r="A18236" s="8" t="inlineStr">
        <is>
          <t>2026-08-04</t>
        </is>
      </c>
      <c r="B18236" s="8" t="n">
        <v>1</v>
      </c>
      <c r="C18236" s="8" t="n">
        <v>45</v>
      </c>
      <c r="D18236" s="8" t="inlineStr">
        <is>
          <t>Disneyland Park</t>
        </is>
      </c>
      <c r="E18236" s="8" t="inlineStr">
        <is>
          <t>Pirates of the Caribbean</t>
        </is>
      </c>
      <c r="F18236" s="8" t="inlineStr">
        <is>
          <t>STANDBY</t>
        </is>
      </c>
      <c r="G18236" s="8" t="n">
        <v>0</v>
      </c>
      <c r="H18236" s="8" t="inlineStr">
        <is>
          <t>CLOSED</t>
        </is>
      </c>
    </row>
    <row r="18237">
      <c r="A18237" s="8" t="inlineStr">
        <is>
          <t>2026-08-04</t>
        </is>
      </c>
      <c r="B18237" s="8" t="n">
        <v>1</v>
      </c>
      <c r="C18237" s="8" t="n">
        <v>45</v>
      </c>
      <c r="D18237" s="8" t="inlineStr">
        <is>
          <t>Disneyland Park</t>
        </is>
      </c>
      <c r="E18237" s="8" t="inlineStr">
        <is>
          <t>Pirates' Beach</t>
        </is>
      </c>
      <c r="F18237" s="8" t="inlineStr">
        <is>
          <t>STANDBY</t>
        </is>
      </c>
      <c r="G18237" s="8" t="n">
        <v>0</v>
      </c>
      <c r="H18237" s="8" t="inlineStr">
        <is>
          <t>CLOSED</t>
        </is>
      </c>
    </row>
    <row r="18238">
      <c r="A18238" s="8" t="inlineStr">
        <is>
          <t>2026-08-04</t>
        </is>
      </c>
      <c r="B18238" s="8" t="n">
        <v>1</v>
      </c>
      <c r="C18238" s="8" t="n">
        <v>45</v>
      </c>
      <c r="D18238" s="8" t="inlineStr">
        <is>
          <t>Disneyland Park</t>
        </is>
      </c>
      <c r="E18238" s="8" t="inlineStr">
        <is>
          <t>Autopia, presented by Avis</t>
        </is>
      </c>
      <c r="F18238" s="8" t="inlineStr">
        <is>
          <t>STANDBY</t>
        </is>
      </c>
      <c r="G18238" s="8" t="n">
        <v>0</v>
      </c>
      <c r="H18238" s="8" t="inlineStr">
        <is>
          <t>CLOSED</t>
        </is>
      </c>
    </row>
    <row r="18239">
      <c r="A18239" s="8" t="inlineStr">
        <is>
          <t>2026-08-04</t>
        </is>
      </c>
      <c r="B18239" s="8" t="n">
        <v>1</v>
      </c>
      <c r="C18239" s="8" t="n">
        <v>45</v>
      </c>
      <c r="D18239" s="8" t="inlineStr">
        <is>
          <t>Disneyland Park</t>
        </is>
      </c>
      <c r="E18239" s="8" t="inlineStr">
        <is>
          <t>Buzz Lightyear Laser Blast</t>
        </is>
      </c>
      <c r="F18239" s="8" t="inlineStr">
        <is>
          <t>STANDBY</t>
        </is>
      </c>
      <c r="G18239" s="8" t="n">
        <v>0</v>
      </c>
      <c r="H18239" s="8" t="inlineStr">
        <is>
          <t>CLOSED</t>
        </is>
      </c>
    </row>
    <row r="18240">
      <c r="A18240" s="8" t="inlineStr">
        <is>
          <t>2026-08-04</t>
        </is>
      </c>
      <c r="B18240" s="8" t="n">
        <v>1</v>
      </c>
      <c r="C18240" s="8" t="n">
        <v>45</v>
      </c>
      <c r="D18240" s="8" t="inlineStr">
        <is>
          <t>Disneyland Park</t>
        </is>
      </c>
      <c r="E18240" s="8" t="inlineStr">
        <is>
          <t>Disneyland Railroad Discoveryland Station</t>
        </is>
      </c>
      <c r="F18240" s="8" t="inlineStr">
        <is>
          <t>STANDBY</t>
        </is>
      </c>
      <c r="G18240" s="8" t="n">
        <v>0</v>
      </c>
      <c r="H18240" s="8" t="inlineStr">
        <is>
          <t>CLOSED</t>
        </is>
      </c>
    </row>
    <row r="18241">
      <c r="A18241" s="8" t="inlineStr">
        <is>
          <t>2026-08-04</t>
        </is>
      </c>
      <c r="B18241" s="8" t="n">
        <v>1</v>
      </c>
      <c r="C18241" s="8" t="n">
        <v>45</v>
      </c>
      <c r="D18241" s="8" t="inlineStr">
        <is>
          <t>Disneyland Park</t>
        </is>
      </c>
      <c r="E18241" s="8" t="inlineStr">
        <is>
          <t>Les Mystères du Nautilus</t>
        </is>
      </c>
      <c r="F18241" s="8" t="inlineStr">
        <is>
          <t>STANDBY</t>
        </is>
      </c>
      <c r="G18241" s="8" t="n">
        <v>0</v>
      </c>
      <c r="H18241" s="8" t="inlineStr">
        <is>
          <t>CLOSED</t>
        </is>
      </c>
    </row>
    <row r="18242">
      <c r="A18242" s="8" t="inlineStr">
        <is>
          <t>2026-08-04</t>
        </is>
      </c>
      <c r="B18242" s="8" t="n">
        <v>1</v>
      </c>
      <c r="C18242" s="8" t="n">
        <v>45</v>
      </c>
      <c r="D18242" s="8" t="inlineStr">
        <is>
          <t>Disneyland Park</t>
        </is>
      </c>
      <c r="E18242" s="8" t="inlineStr">
        <is>
          <t>Mickey’s PhilharMagic</t>
        </is>
      </c>
      <c r="F18242" s="8" t="inlineStr">
        <is>
          <t>STANDBY</t>
        </is>
      </c>
      <c r="G18242" s="8" t="n">
        <v>0</v>
      </c>
      <c r="H18242" s="8" t="inlineStr">
        <is>
          <t>CLOSED</t>
        </is>
      </c>
    </row>
    <row r="18243">
      <c r="A18243" s="8" t="inlineStr">
        <is>
          <t>2026-08-04</t>
        </is>
      </c>
      <c r="B18243" s="8" t="n">
        <v>1</v>
      </c>
      <c r="C18243" s="8" t="n">
        <v>45</v>
      </c>
      <c r="D18243" s="8" t="inlineStr">
        <is>
          <t>Disneyland Park</t>
        </is>
      </c>
      <c r="E18243" s="8" t="inlineStr">
        <is>
          <t>Orbitron®</t>
        </is>
      </c>
      <c r="F18243" s="8" t="inlineStr">
        <is>
          <t>STANDBY</t>
        </is>
      </c>
      <c r="G18243" s="8" t="n">
        <v>0</v>
      </c>
      <c r="H18243" s="8" t="inlineStr">
        <is>
          <t>CLOSED</t>
        </is>
      </c>
    </row>
    <row r="18244">
      <c r="A18244" s="8" t="inlineStr">
        <is>
          <t>2026-08-04</t>
        </is>
      </c>
      <c r="B18244" s="8" t="n">
        <v>1</v>
      </c>
      <c r="C18244" s="8" t="n">
        <v>45</v>
      </c>
      <c r="D18244" s="8" t="inlineStr">
        <is>
          <t>Disneyland Park</t>
        </is>
      </c>
      <c r="E18244" s="8" t="inlineStr">
        <is>
          <t>Star Tours: The Adventures Continue*</t>
        </is>
      </c>
      <c r="F18244" s="8" t="inlineStr">
        <is>
          <t>STANDBY</t>
        </is>
      </c>
      <c r="G18244" s="8" t="n">
        <v>0</v>
      </c>
      <c r="H18244" s="8" t="inlineStr">
        <is>
          <t>CLOSED</t>
        </is>
      </c>
    </row>
    <row r="18245">
      <c r="A18245" s="8" t="inlineStr">
        <is>
          <t>2026-08-04</t>
        </is>
      </c>
      <c r="B18245" s="8" t="n">
        <v>1</v>
      </c>
      <c r="C18245" s="8" t="n">
        <v>45</v>
      </c>
      <c r="D18245" s="8" t="inlineStr">
        <is>
          <t>Disneyland Park</t>
        </is>
      </c>
      <c r="E18245" s="8" t="inlineStr">
        <is>
          <t>Star Wars Hyperspace Mountain</t>
        </is>
      </c>
      <c r="F18245" s="8" t="inlineStr">
        <is>
          <t>STANDBY</t>
        </is>
      </c>
      <c r="G18245" s="8" t="n">
        <v>0</v>
      </c>
      <c r="H18245" s="8" t="inlineStr">
        <is>
          <t>CLOSED</t>
        </is>
      </c>
    </row>
    <row r="18246">
      <c r="A18246" s="8" t="inlineStr">
        <is>
          <t>2026-08-04</t>
        </is>
      </c>
      <c r="B18246" s="8" t="n">
        <v>1</v>
      </c>
      <c r="C18246" s="8" t="n">
        <v>45</v>
      </c>
      <c r="D18246" s="8" t="inlineStr">
        <is>
          <t>Disneyland Park</t>
        </is>
      </c>
      <c r="E18246" s="8" t="inlineStr">
        <is>
          <t>Star Wars Hyperspace Mountain Single Rider</t>
        </is>
      </c>
      <c r="F18246" s="8" t="inlineStr">
        <is>
          <t>STANDBY</t>
        </is>
      </c>
      <c r="G18246" s="8" t="n">
        <v>0</v>
      </c>
      <c r="H18246" s="8" t="inlineStr">
        <is>
          <t>CLOSED</t>
        </is>
      </c>
    </row>
    <row r="18247">
      <c r="A18247" s="8" t="inlineStr">
        <is>
          <t>2026-08-04</t>
        </is>
      </c>
      <c r="B18247" s="8" t="n">
        <v>1</v>
      </c>
      <c r="C18247" s="8" t="n">
        <v>45</v>
      </c>
      <c r="D18247" s="8" t="inlineStr">
        <is>
          <t>Disneyland Park</t>
        </is>
      </c>
      <c r="E18247" s="8" t="inlineStr">
        <is>
          <t>Welcome to Starport: A Star Wars Encounter</t>
        </is>
      </c>
      <c r="F18247" s="8" t="inlineStr">
        <is>
          <t>STANDBY</t>
        </is>
      </c>
      <c r="G18247" s="8" t="n">
        <v>0</v>
      </c>
      <c r="H18247" s="8" t="inlineStr">
        <is>
          <t>CLOSED</t>
        </is>
      </c>
    </row>
    <row r="18248">
      <c r="A18248" s="8" t="inlineStr">
        <is>
          <t>2026-08-04</t>
        </is>
      </c>
      <c r="B18248" s="8" t="n">
        <v>1</v>
      </c>
      <c r="C18248" s="8" t="n">
        <v>45</v>
      </c>
      <c r="D18248" s="8" t="inlineStr">
        <is>
          <t>Disneyland Park</t>
        </is>
      </c>
      <c r="E18248" s="8" t="inlineStr">
        <is>
          <t>"it's a small world"</t>
        </is>
      </c>
      <c r="F18248" s="8" t="inlineStr">
        <is>
          <t>STANDBY</t>
        </is>
      </c>
      <c r="G18248" s="8" t="n">
        <v>0</v>
      </c>
      <c r="H18248" s="8" t="inlineStr">
        <is>
          <t>CLOSED</t>
        </is>
      </c>
    </row>
    <row r="18249">
      <c r="A18249" s="8" t="inlineStr">
        <is>
          <t>2026-08-04</t>
        </is>
      </c>
      <c r="B18249" s="8" t="n">
        <v>1</v>
      </c>
      <c r="C18249" s="8" t="n">
        <v>45</v>
      </c>
      <c r="D18249" s="8" t="inlineStr">
        <is>
          <t>Disneyland Park</t>
        </is>
      </c>
      <c r="E18249" s="8" t="inlineStr">
        <is>
          <t>Alice's Curious Labyrinth</t>
        </is>
      </c>
      <c r="F18249" s="8" t="inlineStr">
        <is>
          <t>STANDBY</t>
        </is>
      </c>
      <c r="G18249" s="8" t="n">
        <v>0</v>
      </c>
      <c r="H18249" s="8" t="inlineStr">
        <is>
          <t>CLOSED</t>
        </is>
      </c>
    </row>
    <row r="18250">
      <c r="A18250" s="8" t="inlineStr">
        <is>
          <t>2026-08-04</t>
        </is>
      </c>
      <c r="B18250" s="8" t="n">
        <v>1</v>
      </c>
      <c r="C18250" s="8" t="n">
        <v>45</v>
      </c>
      <c r="D18250" s="8" t="inlineStr">
        <is>
          <t>Disneyland Park</t>
        </is>
      </c>
      <c r="E18250" s="8" t="inlineStr">
        <is>
          <t>Blanche-Neige et les Sept Nains®</t>
        </is>
      </c>
      <c r="F18250" s="8" t="inlineStr">
        <is>
          <t>STANDBY</t>
        </is>
      </c>
      <c r="G18250" s="8" t="n">
        <v>0</v>
      </c>
      <c r="H18250" s="8" t="inlineStr">
        <is>
          <t>CLOSED</t>
        </is>
      </c>
    </row>
    <row r="18251">
      <c r="A18251" s="8" t="inlineStr">
        <is>
          <t>2026-08-04</t>
        </is>
      </c>
      <c r="B18251" s="8" t="n">
        <v>1</v>
      </c>
      <c r="C18251" s="8" t="n">
        <v>45</v>
      </c>
      <c r="D18251" s="8" t="inlineStr">
        <is>
          <t>Disneyland Park</t>
        </is>
      </c>
      <c r="E18251" s="8" t="inlineStr">
        <is>
          <t>Casey Jr. – le Petit Train du Cirque</t>
        </is>
      </c>
      <c r="F18251" s="8" t="inlineStr">
        <is>
          <t>STANDBY</t>
        </is>
      </c>
      <c r="G18251" s="8" t="n">
        <v>0</v>
      </c>
      <c r="H18251" s="8" t="inlineStr">
        <is>
          <t>CLOSED</t>
        </is>
      </c>
    </row>
    <row r="18252">
      <c r="A18252" s="8" t="inlineStr">
        <is>
          <t>2026-08-04</t>
        </is>
      </c>
      <c r="B18252" s="8" t="n">
        <v>1</v>
      </c>
      <c r="C18252" s="8" t="n">
        <v>45</v>
      </c>
      <c r="D18252" s="8" t="inlineStr">
        <is>
          <t>Disneyland Park</t>
        </is>
      </c>
      <c r="E18252" s="8" t="inlineStr">
        <is>
          <t>Disneyland Railroad Fantasyland Station</t>
        </is>
      </c>
      <c r="F18252" s="8" t="inlineStr">
        <is>
          <t>STANDBY</t>
        </is>
      </c>
      <c r="G18252" s="8" t="n">
        <v>0</v>
      </c>
      <c r="H18252" s="8" t="inlineStr">
        <is>
          <t>CLOSED</t>
        </is>
      </c>
    </row>
    <row r="18253">
      <c r="A18253" s="8" t="inlineStr">
        <is>
          <t>2026-08-04</t>
        </is>
      </c>
      <c r="B18253" s="8" t="n">
        <v>1</v>
      </c>
      <c r="C18253" s="8" t="n">
        <v>45</v>
      </c>
      <c r="D18253" s="8" t="inlineStr">
        <is>
          <t>Disneyland Park</t>
        </is>
      </c>
      <c r="E18253" s="8" t="inlineStr">
        <is>
          <t>Disneyland Railroad Main Street Station</t>
        </is>
      </c>
      <c r="F18253" s="8" t="inlineStr">
        <is>
          <t>STANDBY</t>
        </is>
      </c>
      <c r="G18253" s="8" t="n">
        <v>0</v>
      </c>
      <c r="H18253" s="8" t="inlineStr">
        <is>
          <t>CLOSED</t>
        </is>
      </c>
    </row>
    <row r="18254">
      <c r="A18254" s="8" t="inlineStr">
        <is>
          <t>2026-08-04</t>
        </is>
      </c>
      <c r="B18254" s="8" t="n">
        <v>1</v>
      </c>
      <c r="C18254" s="8" t="n">
        <v>45</v>
      </c>
      <c r="D18254" s="8" t="inlineStr">
        <is>
          <t>Disneyland Park</t>
        </is>
      </c>
      <c r="E18254" s="8" t="inlineStr">
        <is>
          <t>Dumbo the Flying Elephant</t>
        </is>
      </c>
      <c r="F18254" s="8" t="inlineStr">
        <is>
          <t>STANDBY</t>
        </is>
      </c>
      <c r="G18254" s="8" t="n">
        <v>0</v>
      </c>
      <c r="H18254" s="8" t="inlineStr">
        <is>
          <t>CLOSED</t>
        </is>
      </c>
    </row>
    <row r="18255">
      <c r="A18255" s="8" t="inlineStr">
        <is>
          <t>2026-08-04</t>
        </is>
      </c>
      <c r="B18255" s="8" t="n">
        <v>1</v>
      </c>
      <c r="C18255" s="8" t="n">
        <v>45</v>
      </c>
      <c r="D18255" s="8" t="inlineStr">
        <is>
          <t>Disneyland Park</t>
        </is>
      </c>
      <c r="E18255" s="8" t="inlineStr">
        <is>
          <t>La Tanière du Dragon</t>
        </is>
      </c>
      <c r="F18255" s="8" t="inlineStr">
        <is>
          <t>STANDBY</t>
        </is>
      </c>
      <c r="G18255" s="8" t="n">
        <v>0</v>
      </c>
      <c r="H18255" s="8" t="inlineStr">
        <is>
          <t>CLOSED</t>
        </is>
      </c>
    </row>
    <row r="18256">
      <c r="A18256" s="8" t="inlineStr">
        <is>
          <t>2026-08-04</t>
        </is>
      </c>
      <c r="B18256" s="8" t="n">
        <v>1</v>
      </c>
      <c r="C18256" s="8" t="n">
        <v>45</v>
      </c>
      <c r="D18256" s="8" t="inlineStr">
        <is>
          <t>Disneyland Park</t>
        </is>
      </c>
      <c r="E18256" s="8" t="inlineStr">
        <is>
          <t>Le Carrousel de Lancelot</t>
        </is>
      </c>
      <c r="F18256" s="8" t="inlineStr">
        <is>
          <t>STANDBY</t>
        </is>
      </c>
      <c r="G18256" s="8" t="n">
        <v>0</v>
      </c>
      <c r="H18256" s="8" t="inlineStr">
        <is>
          <t>CLOSED</t>
        </is>
      </c>
    </row>
    <row r="18257">
      <c r="A18257" s="8" t="inlineStr">
        <is>
          <t>2026-08-04</t>
        </is>
      </c>
      <c r="B18257" s="8" t="n">
        <v>1</v>
      </c>
      <c r="C18257" s="8" t="n">
        <v>45</v>
      </c>
      <c r="D18257" s="8" t="inlineStr">
        <is>
          <t>Disneyland Park</t>
        </is>
      </c>
      <c r="E18257" s="8" t="inlineStr">
        <is>
          <t>Le Pays des Contes de Fées, presented by Vittel</t>
        </is>
      </c>
      <c r="F18257" s="8" t="inlineStr">
        <is>
          <t>STANDBY</t>
        </is>
      </c>
      <c r="G18257" s="8" t="n">
        <v>0</v>
      </c>
      <c r="H18257" s="8" t="inlineStr">
        <is>
          <t>CLOSED</t>
        </is>
      </c>
    </row>
    <row r="18258">
      <c r="A18258" s="8" t="inlineStr">
        <is>
          <t>2026-08-04</t>
        </is>
      </c>
      <c r="B18258" s="8" t="n">
        <v>1</v>
      </c>
      <c r="C18258" s="8" t="n">
        <v>45</v>
      </c>
      <c r="D18258" s="8" t="inlineStr">
        <is>
          <t>Disneyland Park</t>
        </is>
      </c>
      <c r="E18258" s="8" t="inlineStr">
        <is>
          <t>Les Voyages de Pinocchio</t>
        </is>
      </c>
      <c r="F18258" s="8" t="inlineStr">
        <is>
          <t>STANDBY</t>
        </is>
      </c>
      <c r="G18258" s="8" t="n">
        <v>0</v>
      </c>
      <c r="H18258" s="8" t="inlineStr">
        <is>
          <t>CLOSED</t>
        </is>
      </c>
    </row>
    <row r="18259">
      <c r="A18259" s="8" t="inlineStr">
        <is>
          <t>2026-08-04</t>
        </is>
      </c>
      <c r="B18259" s="8" t="n">
        <v>1</v>
      </c>
      <c r="C18259" s="8" t="n">
        <v>45</v>
      </c>
      <c r="D18259" s="8" t="inlineStr">
        <is>
          <t>Disneyland Park</t>
        </is>
      </c>
      <c r="E18259" s="8" t="inlineStr">
        <is>
          <t>Mad Hatter's Tea Cups</t>
        </is>
      </c>
      <c r="F18259" s="8" t="inlineStr">
        <is>
          <t>STANDBY</t>
        </is>
      </c>
      <c r="G18259" s="8" t="n">
        <v>0</v>
      </c>
      <c r="H18259" s="8" t="inlineStr">
        <is>
          <t>CLOSED</t>
        </is>
      </c>
    </row>
    <row r="18260">
      <c r="A18260" s="8" t="inlineStr">
        <is>
          <t>2026-08-04</t>
        </is>
      </c>
      <c r="B18260" s="8" t="n">
        <v>1</v>
      </c>
      <c r="C18260" s="8" t="n">
        <v>45</v>
      </c>
      <c r="D18260" s="8" t="inlineStr">
        <is>
          <t>Disneyland Park</t>
        </is>
      </c>
      <c r="E18260" s="8" t="inlineStr">
        <is>
          <t>Meet Mickey Mouse</t>
        </is>
      </c>
      <c r="F18260" s="8" t="inlineStr">
        <is>
          <t>STANDBY</t>
        </is>
      </c>
      <c r="G18260" s="8" t="n">
        <v>0</v>
      </c>
      <c r="H18260" s="8" t="inlineStr">
        <is>
          <t>CLOSED</t>
        </is>
      </c>
    </row>
    <row r="18261">
      <c r="A18261" s="8" t="inlineStr">
        <is>
          <t>2026-08-04</t>
        </is>
      </c>
      <c r="B18261" s="8" t="n">
        <v>1</v>
      </c>
      <c r="C18261" s="8" t="n">
        <v>45</v>
      </c>
      <c r="D18261" s="8" t="inlineStr">
        <is>
          <t>Disneyland Park</t>
        </is>
      </c>
      <c r="E18261" s="8" t="inlineStr">
        <is>
          <t>Peter Pan's Flight</t>
        </is>
      </c>
      <c r="F18261" s="8" t="inlineStr">
        <is>
          <t>STANDBY</t>
        </is>
      </c>
      <c r="G18261" s="8" t="n">
        <v>0</v>
      </c>
      <c r="H18261" s="8" t="inlineStr">
        <is>
          <t>CLOSED</t>
        </is>
      </c>
    </row>
    <row r="18262">
      <c r="A18262" s="8" t="inlineStr">
        <is>
          <t>2026-08-04</t>
        </is>
      </c>
      <c r="B18262" s="8" t="n">
        <v>1</v>
      </c>
      <c r="C18262" s="8" t="n">
        <v>45</v>
      </c>
      <c r="D18262" s="8" t="inlineStr">
        <is>
          <t>Disneyland Park</t>
        </is>
      </c>
      <c r="E18262" s="8" t="inlineStr">
        <is>
          <t>Princess Pavilion</t>
        </is>
      </c>
      <c r="F18262" s="8" t="inlineStr">
        <is>
          <t>STANDBY</t>
        </is>
      </c>
      <c r="G18262" s="8" t="n">
        <v>0</v>
      </c>
      <c r="H18262" s="8" t="inlineStr">
        <is>
          <t>CLOSED</t>
        </is>
      </c>
    </row>
    <row r="18263">
      <c r="A18263" s="8" t="inlineStr">
        <is>
          <t>2026-08-04</t>
        </is>
      </c>
      <c r="B18263" s="8" t="n">
        <v>1</v>
      </c>
      <c r="C18263" s="8" t="n">
        <v>45</v>
      </c>
      <c r="D18263" s="8" t="inlineStr">
        <is>
          <t>Disneyland Park</t>
        </is>
      </c>
      <c r="E18263" s="8" t="inlineStr">
        <is>
          <t>Big Thunder Mountain</t>
        </is>
      </c>
      <c r="F18263" s="8" t="inlineStr">
        <is>
          <t>STANDBY</t>
        </is>
      </c>
      <c r="G18263" s="8" t="n">
        <v>0</v>
      </c>
      <c r="H18263" s="8" t="inlineStr">
        <is>
          <t>CLOSED</t>
        </is>
      </c>
    </row>
    <row r="18264">
      <c r="A18264" s="8" t="inlineStr">
        <is>
          <t>2026-08-04</t>
        </is>
      </c>
      <c r="B18264" s="8" t="n">
        <v>1</v>
      </c>
      <c r="C18264" s="8" t="n">
        <v>45</v>
      </c>
      <c r="D18264" s="8" t="inlineStr">
        <is>
          <t>Disneyland Park</t>
        </is>
      </c>
      <c r="E18264" s="8" t="inlineStr">
        <is>
          <t>Disneyland Railroad Frontierland Depot</t>
        </is>
      </c>
      <c r="F18264" s="8" t="inlineStr">
        <is>
          <t>STANDBY</t>
        </is>
      </c>
      <c r="G18264" s="8" t="n">
        <v>0</v>
      </c>
      <c r="H18264" s="8" t="inlineStr">
        <is>
          <t>CLOSED</t>
        </is>
      </c>
    </row>
    <row r="18265">
      <c r="A18265" s="8" t="inlineStr">
        <is>
          <t>2026-08-04</t>
        </is>
      </c>
      <c r="B18265" s="8" t="n">
        <v>1</v>
      </c>
      <c r="C18265" s="8" t="n">
        <v>45</v>
      </c>
      <c r="D18265" s="8" t="inlineStr">
        <is>
          <t>Disneyland Park</t>
        </is>
      </c>
      <c r="E18265" s="8" t="inlineStr">
        <is>
          <t>Frontierland Playground</t>
        </is>
      </c>
      <c r="F18265" s="8" t="inlineStr">
        <is>
          <t>STANDBY</t>
        </is>
      </c>
      <c r="G18265" s="8" t="n">
        <v>0</v>
      </c>
      <c r="H18265" s="8" t="inlineStr">
        <is>
          <t>CLOSED</t>
        </is>
      </c>
    </row>
    <row r="18266">
      <c r="A18266" s="8" t="inlineStr">
        <is>
          <t>2026-08-04</t>
        </is>
      </c>
      <c r="B18266" s="8" t="n">
        <v>1</v>
      </c>
      <c r="C18266" s="8" t="n">
        <v>45</v>
      </c>
      <c r="D18266" s="8" t="inlineStr">
        <is>
          <t>Disneyland Park</t>
        </is>
      </c>
      <c r="E18266" s="8" t="inlineStr">
        <is>
          <t>Phantom Manor</t>
        </is>
      </c>
      <c r="F18266" s="8" t="inlineStr">
        <is>
          <t>STANDBY</t>
        </is>
      </c>
      <c r="G18266" s="8" t="n">
        <v>0</v>
      </c>
      <c r="H18266" s="8" t="inlineStr">
        <is>
          <t>CLOSED</t>
        </is>
      </c>
    </row>
    <row r="18267">
      <c r="A18267" s="8" t="inlineStr">
        <is>
          <t>2026-08-04</t>
        </is>
      </c>
      <c r="B18267" s="8" t="n">
        <v>1</v>
      </c>
      <c r="C18267" s="8" t="n">
        <v>45</v>
      </c>
      <c r="D18267" s="8" t="inlineStr">
        <is>
          <t>Disneyland Park</t>
        </is>
      </c>
      <c r="E18267" s="8" t="inlineStr">
        <is>
          <t>River Rogue Keelboats</t>
        </is>
      </c>
      <c r="F18267" s="8" t="inlineStr">
        <is>
          <t>STANDBY</t>
        </is>
      </c>
      <c r="G18267" s="8" t="n">
        <v>0</v>
      </c>
      <c r="H18267" s="8" t="inlineStr">
        <is>
          <t>CLOSED</t>
        </is>
      </c>
    </row>
    <row r="18268">
      <c r="A18268" s="8" t="inlineStr">
        <is>
          <t>2026-08-04</t>
        </is>
      </c>
      <c r="B18268" s="8" t="n">
        <v>1</v>
      </c>
      <c r="C18268" s="8" t="n">
        <v>45</v>
      </c>
      <c r="D18268" s="8" t="inlineStr">
        <is>
          <t>Disneyland Park</t>
        </is>
      </c>
      <c r="E18268" s="8" t="inlineStr">
        <is>
          <t>Rustler Roundup Shootin' Gallery</t>
        </is>
      </c>
      <c r="F18268" s="8" t="inlineStr">
        <is>
          <t>STANDBY</t>
        </is>
      </c>
      <c r="G18268" s="8" t="n">
        <v>0</v>
      </c>
      <c r="H18268" s="8" t="inlineStr">
        <is>
          <t>CLOSED</t>
        </is>
      </c>
    </row>
    <row r="18269">
      <c r="A18269" s="8" t="inlineStr">
        <is>
          <t>2026-08-04</t>
        </is>
      </c>
      <c r="B18269" s="8" t="n">
        <v>1</v>
      </c>
      <c r="C18269" s="8" t="n">
        <v>45</v>
      </c>
      <c r="D18269" s="8" t="inlineStr">
        <is>
          <t>Disneyland Park</t>
        </is>
      </c>
      <c r="E18269" s="8" t="inlineStr">
        <is>
          <t>Thunder Mesa Riverboat Landing</t>
        </is>
      </c>
      <c r="F18269" s="8" t="inlineStr">
        <is>
          <t>STANDBY</t>
        </is>
      </c>
      <c r="G18269" s="8" t="n">
        <v>0</v>
      </c>
      <c r="H18269" s="8" t="inlineStr">
        <is>
          <t>CLOSED</t>
        </is>
      </c>
    </row>
    <row r="18270">
      <c r="A18270" s="8" t="inlineStr">
        <is>
          <t>2026-08-04</t>
        </is>
      </c>
      <c r="B18270" s="8" t="n">
        <v>1</v>
      </c>
      <c r="C18270" s="8" t="n">
        <v>45</v>
      </c>
      <c r="D18270" s="8" t="inlineStr">
        <is>
          <t>Disneyland Park</t>
        </is>
      </c>
      <c r="E18270" s="8" t="inlineStr">
        <is>
          <t>Disneyland Railroad Main Street Station</t>
        </is>
      </c>
      <c r="F18270" s="8" t="inlineStr">
        <is>
          <t>STANDBY</t>
        </is>
      </c>
      <c r="G18270" s="8" t="n">
        <v>0</v>
      </c>
      <c r="H18270" s="8" t="inlineStr">
        <is>
          <t>CLOSED</t>
        </is>
      </c>
    </row>
    <row r="18271">
      <c r="A18271" s="8" t="inlineStr">
        <is>
          <t>2026-08-04</t>
        </is>
      </c>
      <c r="B18271" s="8" t="n">
        <v>1</v>
      </c>
      <c r="C18271" s="8" t="n">
        <v>45</v>
      </c>
      <c r="D18271" s="8" t="inlineStr">
        <is>
          <t>Disneyland Park</t>
        </is>
      </c>
      <c r="E18271" s="8" t="inlineStr">
        <is>
          <t>Main Street Vehicles</t>
        </is>
      </c>
      <c r="F18271" s="8" t="inlineStr">
        <is>
          <t>STANDBY</t>
        </is>
      </c>
      <c r="G18271" s="8" t="n">
        <v>0</v>
      </c>
      <c r="H18271" s="8" t="inlineStr">
        <is>
          <t>CLOSED</t>
        </is>
      </c>
    </row>
    <row r="18272">
      <c r="A18272" s="8" t="inlineStr">
        <is>
          <t>2026-08-04</t>
        </is>
      </c>
      <c r="B18272" s="8" t="n">
        <v>1</v>
      </c>
      <c r="C18272" s="8" t="n">
        <v>45</v>
      </c>
      <c r="D18272" s="8" t="inlineStr">
        <is>
          <t>Disney Adventure World</t>
        </is>
      </c>
      <c r="E18272" s="8" t="inlineStr">
        <is>
          <t>Avengers Assemble: Flight Force</t>
        </is>
      </c>
      <c r="F18272" s="8" t="inlineStr">
        <is>
          <t>STANDBY</t>
        </is>
      </c>
      <c r="G18272" s="8" t="n">
        <v>0</v>
      </c>
      <c r="H18272" s="8" t="inlineStr">
        <is>
          <t>CLOSED</t>
        </is>
      </c>
    </row>
    <row r="18273">
      <c r="A18273" s="8" t="inlineStr">
        <is>
          <t>2026-08-04</t>
        </is>
      </c>
      <c r="B18273" s="8" t="n">
        <v>1</v>
      </c>
      <c r="C18273" s="8" t="n">
        <v>45</v>
      </c>
      <c r="D18273" s="8" t="inlineStr">
        <is>
          <t>Disney Adventure World</t>
        </is>
      </c>
      <c r="E18273" s="8" t="inlineStr">
        <is>
          <t>Avengers Assemble: Flight Force Single Rider</t>
        </is>
      </c>
      <c r="F18273" s="8" t="inlineStr">
        <is>
          <t>STANDBY</t>
        </is>
      </c>
      <c r="G18273" s="8" t="n">
        <v>0</v>
      </c>
      <c r="H18273" s="8" t="inlineStr">
        <is>
          <t>CLOSED</t>
        </is>
      </c>
    </row>
    <row r="18274">
      <c r="A18274" s="8" t="inlineStr">
        <is>
          <t>2026-08-04</t>
        </is>
      </c>
      <c r="B18274" s="8" t="n">
        <v>1</v>
      </c>
      <c r="C18274" s="8" t="n">
        <v>45</v>
      </c>
      <c r="D18274" s="8" t="inlineStr">
        <is>
          <t>Disney Adventure World</t>
        </is>
      </c>
      <c r="E18274" s="8" t="inlineStr">
        <is>
          <t>Spider-Man W.E.B. Adventure</t>
        </is>
      </c>
      <c r="F18274" s="8" t="inlineStr">
        <is>
          <t>STANDBY</t>
        </is>
      </c>
      <c r="G18274" s="8" t="n">
        <v>0</v>
      </c>
      <c r="H18274" s="8" t="inlineStr">
        <is>
          <t>CLOSED</t>
        </is>
      </c>
    </row>
    <row r="18275">
      <c r="A18275" s="8" t="inlineStr">
        <is>
          <t>2026-08-04</t>
        </is>
      </c>
      <c r="B18275" s="8" t="n">
        <v>1</v>
      </c>
      <c r="C18275" s="8" t="n">
        <v>45</v>
      </c>
      <c r="D18275" s="8" t="inlineStr">
        <is>
          <t>Disney Adventure World</t>
        </is>
      </c>
      <c r="E18275" s="8" t="inlineStr">
        <is>
          <t>Spider-Man W.E.B. Adventure Single Rider</t>
        </is>
      </c>
      <c r="F18275" s="8" t="inlineStr">
        <is>
          <t>STANDBY</t>
        </is>
      </c>
      <c r="G18275" s="8" t="n">
        <v>0</v>
      </c>
      <c r="H18275" s="8" t="inlineStr">
        <is>
          <t>CLOSED</t>
        </is>
      </c>
    </row>
    <row r="18276">
      <c r="A18276" s="8" t="inlineStr">
        <is>
          <t>2026-08-04</t>
        </is>
      </c>
      <c r="B18276" s="8" t="n">
        <v>1</v>
      </c>
      <c r="C18276" s="8" t="n">
        <v>45</v>
      </c>
      <c r="D18276" s="8" t="inlineStr">
        <is>
          <t>Disney Adventure World</t>
        </is>
      </c>
      <c r="E18276" s="8" t="inlineStr">
        <is>
          <t>The Twilight Zone Tower of Terror</t>
        </is>
      </c>
      <c r="F18276" s="8" t="inlineStr">
        <is>
          <t>STANDBY</t>
        </is>
      </c>
      <c r="G18276" s="8" t="n">
        <v>0</v>
      </c>
      <c r="H18276" s="8" t="inlineStr">
        <is>
          <t>CLOSED</t>
        </is>
      </c>
    </row>
    <row r="18277">
      <c r="A18277" s="8" t="inlineStr">
        <is>
          <t>2026-08-04</t>
        </is>
      </c>
      <c r="B18277" s="8" t="n">
        <v>1</v>
      </c>
      <c r="C18277" s="8" t="n">
        <v>45</v>
      </c>
      <c r="D18277" s="8" t="inlineStr">
        <is>
          <t>Disney Adventure World</t>
        </is>
      </c>
      <c r="E18277" s="8" t="inlineStr">
        <is>
          <t>Cars Quatre Roues Rallye</t>
        </is>
      </c>
      <c r="F18277" s="8" t="inlineStr">
        <is>
          <t>STANDBY</t>
        </is>
      </c>
      <c r="G18277" s="8" t="n">
        <v>0</v>
      </c>
      <c r="H18277" s="8" t="inlineStr">
        <is>
          <t>CLOSED</t>
        </is>
      </c>
    </row>
    <row r="18278">
      <c r="A18278" s="8" t="inlineStr">
        <is>
          <t>2026-08-04</t>
        </is>
      </c>
      <c r="B18278" s="8" t="n">
        <v>1</v>
      </c>
      <c r="C18278" s="8" t="n">
        <v>45</v>
      </c>
      <c r="D18278" s="8" t="inlineStr">
        <is>
          <t>Disney Adventure World</t>
        </is>
      </c>
      <c r="E18278" s="8" t="inlineStr">
        <is>
          <t>Cars ROAD TRIP</t>
        </is>
      </c>
      <c r="F18278" s="8" t="inlineStr">
        <is>
          <t>STANDBY</t>
        </is>
      </c>
      <c r="G18278" s="8" t="n">
        <v>0</v>
      </c>
      <c r="H18278" s="8" t="inlineStr">
        <is>
          <t>CLOSED</t>
        </is>
      </c>
    </row>
    <row r="18279">
      <c r="A18279" s="8" t="inlineStr">
        <is>
          <t>2026-08-04</t>
        </is>
      </c>
      <c r="B18279" s="8" t="n">
        <v>1</v>
      </c>
      <c r="C18279" s="8" t="n">
        <v>45</v>
      </c>
      <c r="D18279" s="8" t="inlineStr">
        <is>
          <t>Disney Adventure World</t>
        </is>
      </c>
      <c r="E18279" s="8" t="inlineStr">
        <is>
          <t>Crush's Coaster</t>
        </is>
      </c>
      <c r="F18279" s="8" t="inlineStr">
        <is>
          <t>STANDBY</t>
        </is>
      </c>
      <c r="G18279" s="8" t="n">
        <v>0</v>
      </c>
      <c r="H18279" s="8" t="inlineStr">
        <is>
          <t>CLOSED</t>
        </is>
      </c>
    </row>
    <row r="18280">
      <c r="A18280" s="8" t="inlineStr">
        <is>
          <t>2026-08-04</t>
        </is>
      </c>
      <c r="B18280" s="8" t="n">
        <v>1</v>
      </c>
      <c r="C18280" s="8" t="n">
        <v>45</v>
      </c>
      <c r="D18280" s="8" t="inlineStr">
        <is>
          <t>Disney Adventure World</t>
        </is>
      </c>
      <c r="E18280" s="8" t="inlineStr">
        <is>
          <t>Crush's Coaster Single Rider</t>
        </is>
      </c>
      <c r="F18280" s="8" t="inlineStr">
        <is>
          <t>STANDBY</t>
        </is>
      </c>
      <c r="G18280" s="8" t="n">
        <v>0</v>
      </c>
      <c r="H18280" s="8" t="inlineStr">
        <is>
          <t>CLOSED</t>
        </is>
      </c>
    </row>
    <row r="18281">
      <c r="A18281" s="8" t="inlineStr">
        <is>
          <t>2026-08-04</t>
        </is>
      </c>
      <c r="B18281" s="8" t="n">
        <v>1</v>
      </c>
      <c r="C18281" s="8" t="n">
        <v>45</v>
      </c>
      <c r="D18281" s="8" t="inlineStr">
        <is>
          <t>Disney Adventure World</t>
        </is>
      </c>
      <c r="E18281" s="8" t="inlineStr">
        <is>
          <t>Les Tapis Volants - Flying Carpets Over Agrabah®</t>
        </is>
      </c>
      <c r="F18281" s="8" t="inlineStr">
        <is>
          <t>STANDBY</t>
        </is>
      </c>
      <c r="G18281" s="8" t="n">
        <v>0</v>
      </c>
      <c r="H18281" s="8" t="inlineStr">
        <is>
          <t>CLOSED</t>
        </is>
      </c>
    </row>
    <row r="18282">
      <c r="A18282" s="8" t="inlineStr">
        <is>
          <t>2026-08-04</t>
        </is>
      </c>
      <c r="B18282" s="8" t="n">
        <v>1</v>
      </c>
      <c r="C18282" s="8" t="n">
        <v>45</v>
      </c>
      <c r="D18282" s="8" t="inlineStr">
        <is>
          <t>Disney Adventure World</t>
        </is>
      </c>
      <c r="E18282" s="8" t="inlineStr">
        <is>
          <t>Ratatouille : L’Aventure Totalement Toquée de Rémy​</t>
        </is>
      </c>
      <c r="F18282" s="8" t="inlineStr">
        <is>
          <t>STANDBY</t>
        </is>
      </c>
      <c r="G18282" s="8" t="n">
        <v>0</v>
      </c>
      <c r="H18282" s="8" t="inlineStr">
        <is>
          <t>CLOSED</t>
        </is>
      </c>
    </row>
    <row r="18283">
      <c r="A18283" s="8" t="inlineStr">
        <is>
          <t>2026-08-04</t>
        </is>
      </c>
      <c r="B18283" s="8" t="n">
        <v>1</v>
      </c>
      <c r="C18283" s="8" t="n">
        <v>45</v>
      </c>
      <c r="D18283" s="8" t="inlineStr">
        <is>
          <t>Disney Adventure World</t>
        </is>
      </c>
      <c r="E18283" s="8" t="inlineStr">
        <is>
          <t>Ratatouille: The Adventure Single Rider</t>
        </is>
      </c>
      <c r="F18283" s="8" t="inlineStr">
        <is>
          <t>STANDBY</t>
        </is>
      </c>
      <c r="G18283" s="8" t="n">
        <v>0</v>
      </c>
      <c r="H18283" s="8" t="inlineStr">
        <is>
          <t>CLOSED</t>
        </is>
      </c>
    </row>
    <row r="18284">
      <c r="A18284" s="8" t="inlineStr">
        <is>
          <t>2026-08-04</t>
        </is>
      </c>
      <c r="B18284" s="8" t="n">
        <v>1</v>
      </c>
      <c r="C18284" s="8" t="n">
        <v>45</v>
      </c>
      <c r="D18284" s="8" t="inlineStr">
        <is>
          <t>Disney Adventure World</t>
        </is>
      </c>
      <c r="E18284" s="8" t="inlineStr">
        <is>
          <t>RC Racer</t>
        </is>
      </c>
      <c r="F18284" s="8" t="inlineStr">
        <is>
          <t>STANDBY</t>
        </is>
      </c>
      <c r="G18284" s="8" t="n">
        <v>0</v>
      </c>
      <c r="H18284" s="8" t="inlineStr">
        <is>
          <t>CLOSED</t>
        </is>
      </c>
    </row>
    <row r="18285">
      <c r="A18285" s="8" t="inlineStr">
        <is>
          <t>2026-08-04</t>
        </is>
      </c>
      <c r="B18285" s="8" t="n">
        <v>1</v>
      </c>
      <c r="C18285" s="8" t="n">
        <v>45</v>
      </c>
      <c r="D18285" s="8" t="inlineStr">
        <is>
          <t>Disney Adventure World</t>
        </is>
      </c>
      <c r="E18285" s="8" t="inlineStr">
        <is>
          <t>RC Racer Single Rider</t>
        </is>
      </c>
      <c r="F18285" s="8" t="inlineStr">
        <is>
          <t>STANDBY</t>
        </is>
      </c>
      <c r="G18285" s="8" t="n">
        <v>0</v>
      </c>
      <c r="H18285" s="8" t="inlineStr">
        <is>
          <t>CLOSED</t>
        </is>
      </c>
    </row>
    <row r="18286">
      <c r="A18286" s="8" t="inlineStr">
        <is>
          <t>2026-08-04</t>
        </is>
      </c>
      <c r="B18286" s="8" t="n">
        <v>1</v>
      </c>
      <c r="C18286" s="8" t="n">
        <v>45</v>
      </c>
      <c r="D18286" s="8" t="inlineStr">
        <is>
          <t>Disney Adventure World</t>
        </is>
      </c>
      <c r="E18286" s="8" t="inlineStr">
        <is>
          <t>Slinky® Dog Zigzag Spin</t>
        </is>
      </c>
      <c r="F18286" s="8" t="inlineStr">
        <is>
          <t>STANDBY</t>
        </is>
      </c>
      <c r="G18286" s="8" t="n">
        <v>0</v>
      </c>
      <c r="H18286" s="8" t="inlineStr">
        <is>
          <t>CLOSED</t>
        </is>
      </c>
    </row>
    <row r="18287">
      <c r="A18287" s="8" t="inlineStr">
        <is>
          <t>2026-08-04</t>
        </is>
      </c>
      <c r="B18287" s="8" t="n">
        <v>1</v>
      </c>
      <c r="C18287" s="8" t="n">
        <v>45</v>
      </c>
      <c r="D18287" s="8" t="inlineStr">
        <is>
          <t>Disney Adventure World</t>
        </is>
      </c>
      <c r="E18287" s="8" t="inlineStr">
        <is>
          <t>Toy Soldiers Parachute Drop</t>
        </is>
      </c>
      <c r="F18287" s="8" t="inlineStr">
        <is>
          <t>STANDBY</t>
        </is>
      </c>
      <c r="G18287" s="8" t="n">
        <v>0</v>
      </c>
      <c r="H18287" s="8" t="inlineStr">
        <is>
          <t>CLOSED</t>
        </is>
      </c>
    </row>
    <row r="18288">
      <c r="A18288" s="8" t="inlineStr">
        <is>
          <t>2026-08-04</t>
        </is>
      </c>
      <c r="B18288" s="8" t="n">
        <v>1</v>
      </c>
      <c r="C18288" s="8" t="n">
        <v>45</v>
      </c>
      <c r="D18288" s="8" t="inlineStr">
        <is>
          <t>Disney Adventure World</t>
        </is>
      </c>
      <c r="E18288" s="8" t="inlineStr">
        <is>
          <t>Toy Soldiers Parachute Drop Single Rider</t>
        </is>
      </c>
      <c r="F18288" s="8" t="inlineStr">
        <is>
          <t>STANDBY</t>
        </is>
      </c>
      <c r="G18288" s="8" t="n">
        <v>0</v>
      </c>
      <c r="H18288" s="8" t="inlineStr">
        <is>
          <t>CLOSED</t>
        </is>
      </c>
    </row>
    <row r="18289">
      <c r="A18289" s="8" t="inlineStr">
        <is>
          <t>2026-08-04</t>
        </is>
      </c>
      <c r="B18289" s="8" t="n">
        <v>1</v>
      </c>
      <c r="C18289" s="8" t="n">
        <v>45</v>
      </c>
      <c r="D18289" s="8" t="inlineStr">
        <is>
          <t>Disney Adventure World</t>
        </is>
      </c>
      <c r="E18289" s="8" t="inlineStr">
        <is>
          <t>Entry to World of Frozen</t>
        </is>
      </c>
      <c r="F18289" s="8" t="inlineStr">
        <is>
          <t>STANDBY</t>
        </is>
      </c>
      <c r="G18289" s="8" t="n">
        <v>0</v>
      </c>
      <c r="H18289" s="8" t="inlineStr">
        <is>
          <t>CLOSED</t>
        </is>
      </c>
    </row>
    <row r="18290">
      <c r="A18290" s="8" t="inlineStr">
        <is>
          <t>2026-08-04</t>
        </is>
      </c>
      <c r="B18290" s="8" t="n">
        <v>1</v>
      </c>
      <c r="C18290" s="8" t="n">
        <v>45</v>
      </c>
      <c r="D18290" s="8" t="inlineStr">
        <is>
          <t>Disney Adventure World</t>
        </is>
      </c>
      <c r="E18290" s="8" t="inlineStr">
        <is>
          <t>Frozen Ever After</t>
        </is>
      </c>
      <c r="F18290" s="8" t="inlineStr">
        <is>
          <t>STANDBY</t>
        </is>
      </c>
      <c r="G18290" s="8" t="n">
        <v>0</v>
      </c>
      <c r="H18290" s="8" t="inlineStr">
        <is>
          <t>CLOSED</t>
        </is>
      </c>
    </row>
    <row r="18291">
      <c r="A18291" s="8" t="inlineStr">
        <is>
          <t>2026-08-04</t>
        </is>
      </c>
      <c r="B18291" s="8" t="n">
        <v>1</v>
      </c>
      <c r="C18291" s="8" t="n">
        <v>45</v>
      </c>
      <c r="D18291" s="8" t="inlineStr">
        <is>
          <t>Disney Adventure World</t>
        </is>
      </c>
      <c r="E18291" s="8" t="inlineStr">
        <is>
          <t>Raiponce Tangled Spin</t>
        </is>
      </c>
      <c r="F18291" s="8" t="inlineStr">
        <is>
          <t>STANDBY</t>
        </is>
      </c>
      <c r="G18291" s="8" t="n">
        <v>0</v>
      </c>
      <c r="H18291" s="8" t="inlineStr">
        <is>
          <t>CLOSED</t>
        </is>
      </c>
    </row>
    <row r="18292">
      <c r="A18292" s="8" t="inlineStr">
        <is>
          <t>2026-08-04</t>
        </is>
      </c>
      <c r="B18292" s="8" t="n">
        <v>8</v>
      </c>
      <c r="C18292" s="8" t="n">
        <v>1</v>
      </c>
      <c r="D18292" s="8" t="inlineStr">
        <is>
          <t>Disneyland Park</t>
        </is>
      </c>
      <c r="E18292" s="8" t="inlineStr">
        <is>
          <t>Adventure Isle</t>
        </is>
      </c>
      <c r="F18292" s="8" t="inlineStr">
        <is>
          <t>STANDBY</t>
        </is>
      </c>
      <c r="G18292" s="8" t="n">
        <v>0</v>
      </c>
      <c r="H18292" s="8" t="inlineStr">
        <is>
          <t>CLOSED</t>
        </is>
      </c>
    </row>
    <row r="18293">
      <c r="A18293" s="8" t="inlineStr">
        <is>
          <t>2026-08-04</t>
        </is>
      </c>
      <c r="B18293" s="8" t="n">
        <v>8</v>
      </c>
      <c r="C18293" s="8" t="n">
        <v>1</v>
      </c>
      <c r="D18293" s="8" t="inlineStr">
        <is>
          <t>Disneyland Park</t>
        </is>
      </c>
      <c r="E18293" s="8" t="inlineStr">
        <is>
          <t>Indiana Jones and the Temple of Peril Single Rider</t>
        </is>
      </c>
      <c r="F18293" s="8" t="inlineStr">
        <is>
          <t>STANDBY</t>
        </is>
      </c>
      <c r="G18293" s="8" t="n">
        <v>0</v>
      </c>
      <c r="H18293" s="8" t="inlineStr">
        <is>
          <t>CLOSED</t>
        </is>
      </c>
    </row>
    <row r="18294">
      <c r="A18294" s="8" t="inlineStr">
        <is>
          <t>2026-08-04</t>
        </is>
      </c>
      <c r="B18294" s="8" t="n">
        <v>8</v>
      </c>
      <c r="C18294" s="8" t="n">
        <v>1</v>
      </c>
      <c r="D18294" s="8" t="inlineStr">
        <is>
          <t>Disneyland Park</t>
        </is>
      </c>
      <c r="E18294" s="8" t="inlineStr">
        <is>
          <t>Indiana Jones™ and the Temple of Peril</t>
        </is>
      </c>
      <c r="F18294" s="8" t="inlineStr">
        <is>
          <t>STANDBY</t>
        </is>
      </c>
      <c r="G18294" s="8" t="n">
        <v>0</v>
      </c>
      <c r="H18294" s="8" t="inlineStr">
        <is>
          <t>CLOSED</t>
        </is>
      </c>
    </row>
    <row r="18295">
      <c r="A18295" s="8" t="inlineStr">
        <is>
          <t>2026-08-04</t>
        </is>
      </c>
      <c r="B18295" s="8" t="n">
        <v>8</v>
      </c>
      <c r="C18295" s="8" t="n">
        <v>1</v>
      </c>
      <c r="D18295" s="8" t="inlineStr">
        <is>
          <t>Disneyland Park</t>
        </is>
      </c>
      <c r="E18295" s="8" t="inlineStr">
        <is>
          <t>La Cabane des Robinson</t>
        </is>
      </c>
      <c r="F18295" s="8" t="inlineStr">
        <is>
          <t>STANDBY</t>
        </is>
      </c>
      <c r="G18295" s="8" t="n">
        <v>0</v>
      </c>
      <c r="H18295" s="8" t="inlineStr">
        <is>
          <t>CLOSED</t>
        </is>
      </c>
    </row>
    <row r="18296">
      <c r="A18296" s="8" t="inlineStr">
        <is>
          <t>2026-08-04</t>
        </is>
      </c>
      <c r="B18296" s="8" t="n">
        <v>8</v>
      </c>
      <c r="C18296" s="8" t="n">
        <v>1</v>
      </c>
      <c r="D18296" s="8" t="inlineStr">
        <is>
          <t>Disneyland Park</t>
        </is>
      </c>
      <c r="E18296" s="8" t="inlineStr">
        <is>
          <t>Le Passage Enchanté d'Aladdin</t>
        </is>
      </c>
      <c r="F18296" s="8" t="inlineStr">
        <is>
          <t>STANDBY</t>
        </is>
      </c>
      <c r="G18296" s="8" t="n">
        <v>0</v>
      </c>
      <c r="H18296" s="8" t="inlineStr">
        <is>
          <t>CLOSED</t>
        </is>
      </c>
    </row>
    <row r="18297">
      <c r="A18297" s="8" t="inlineStr">
        <is>
          <t>2026-08-04</t>
        </is>
      </c>
      <c r="B18297" s="8" t="n">
        <v>8</v>
      </c>
      <c r="C18297" s="8" t="n">
        <v>1</v>
      </c>
      <c r="D18297" s="8" t="inlineStr">
        <is>
          <t>Disneyland Park</t>
        </is>
      </c>
      <c r="E18297" s="8" t="inlineStr">
        <is>
          <t>Pirate Galleon</t>
        </is>
      </c>
      <c r="F18297" s="8" t="inlineStr">
        <is>
          <t>STANDBY</t>
        </is>
      </c>
      <c r="G18297" s="8" t="n">
        <v>0</v>
      </c>
      <c r="H18297" s="8" t="inlineStr">
        <is>
          <t>CLOSED</t>
        </is>
      </c>
    </row>
    <row r="18298">
      <c r="A18298" s="8" t="inlineStr">
        <is>
          <t>2026-08-04</t>
        </is>
      </c>
      <c r="B18298" s="8" t="n">
        <v>8</v>
      </c>
      <c r="C18298" s="8" t="n">
        <v>1</v>
      </c>
      <c r="D18298" s="8" t="inlineStr">
        <is>
          <t>Disneyland Park</t>
        </is>
      </c>
      <c r="E18298" s="8" t="inlineStr">
        <is>
          <t>Pirates of the Caribbean</t>
        </is>
      </c>
      <c r="F18298" s="8" t="inlineStr">
        <is>
          <t>STANDBY</t>
        </is>
      </c>
      <c r="G18298" s="8" t="n">
        <v>0</v>
      </c>
      <c r="H18298" s="8" t="inlineStr">
        <is>
          <t>CLOSED</t>
        </is>
      </c>
    </row>
    <row r="18299">
      <c r="A18299" s="8" t="inlineStr">
        <is>
          <t>2026-08-04</t>
        </is>
      </c>
      <c r="B18299" s="8" t="n">
        <v>8</v>
      </c>
      <c r="C18299" s="8" t="n">
        <v>1</v>
      </c>
      <c r="D18299" s="8" t="inlineStr">
        <is>
          <t>Disneyland Park</t>
        </is>
      </c>
      <c r="E18299" s="8" t="inlineStr">
        <is>
          <t>Pirates' Beach</t>
        </is>
      </c>
      <c r="F18299" s="8" t="inlineStr">
        <is>
          <t>STANDBY</t>
        </is>
      </c>
      <c r="G18299" s="8" t="n">
        <v>0</v>
      </c>
      <c r="H18299" s="8" t="inlineStr">
        <is>
          <t>CLOSED</t>
        </is>
      </c>
    </row>
    <row r="18300">
      <c r="A18300" s="8" t="inlineStr">
        <is>
          <t>2026-08-04</t>
        </is>
      </c>
      <c r="B18300" s="8" t="n">
        <v>8</v>
      </c>
      <c r="C18300" s="8" t="n">
        <v>1</v>
      </c>
      <c r="D18300" s="8" t="inlineStr">
        <is>
          <t>Disneyland Park</t>
        </is>
      </c>
      <c r="E18300" s="8" t="inlineStr">
        <is>
          <t>Autopia, presented by Avis</t>
        </is>
      </c>
      <c r="F18300" s="8" t="inlineStr">
        <is>
          <t>STANDBY</t>
        </is>
      </c>
      <c r="G18300" s="8" t="n">
        <v>0</v>
      </c>
      <c r="H18300" s="8" t="inlineStr">
        <is>
          <t>CLOSED</t>
        </is>
      </c>
    </row>
    <row r="18301">
      <c r="A18301" s="8" t="inlineStr">
        <is>
          <t>2026-08-04</t>
        </is>
      </c>
      <c r="B18301" s="8" t="n">
        <v>8</v>
      </c>
      <c r="C18301" s="8" t="n">
        <v>1</v>
      </c>
      <c r="D18301" s="8" t="inlineStr">
        <is>
          <t>Disneyland Park</t>
        </is>
      </c>
      <c r="E18301" s="8" t="inlineStr">
        <is>
          <t>Buzz Lightyear Laser Blast</t>
        </is>
      </c>
      <c r="F18301" s="8" t="inlineStr">
        <is>
          <t>STANDBY</t>
        </is>
      </c>
      <c r="G18301" s="8" t="n">
        <v>0</v>
      </c>
      <c r="H18301" s="8" t="inlineStr">
        <is>
          <t>CLOSED</t>
        </is>
      </c>
    </row>
    <row r="18302">
      <c r="A18302" s="8" t="inlineStr">
        <is>
          <t>2026-08-04</t>
        </is>
      </c>
      <c r="B18302" s="8" t="n">
        <v>8</v>
      </c>
      <c r="C18302" s="8" t="n">
        <v>1</v>
      </c>
      <c r="D18302" s="8" t="inlineStr">
        <is>
          <t>Disneyland Park</t>
        </is>
      </c>
      <c r="E18302" s="8" t="inlineStr">
        <is>
          <t>Disneyland Railroad Discoveryland Station</t>
        </is>
      </c>
      <c r="F18302" s="8" t="inlineStr">
        <is>
          <t>STANDBY</t>
        </is>
      </c>
      <c r="G18302" s="8" t="n">
        <v>0</v>
      </c>
      <c r="H18302" s="8" t="inlineStr">
        <is>
          <t>CLOSED</t>
        </is>
      </c>
    </row>
    <row r="18303">
      <c r="A18303" s="8" t="inlineStr">
        <is>
          <t>2026-08-04</t>
        </is>
      </c>
      <c r="B18303" s="8" t="n">
        <v>8</v>
      </c>
      <c r="C18303" s="8" t="n">
        <v>1</v>
      </c>
      <c r="D18303" s="8" t="inlineStr">
        <is>
          <t>Disneyland Park</t>
        </is>
      </c>
      <c r="E18303" s="8" t="inlineStr">
        <is>
          <t>Les Mystères du Nautilus</t>
        </is>
      </c>
      <c r="F18303" s="8" t="inlineStr">
        <is>
          <t>STANDBY</t>
        </is>
      </c>
      <c r="G18303" s="8" t="n">
        <v>0</v>
      </c>
      <c r="H18303" s="8" t="inlineStr">
        <is>
          <t>CLOSED</t>
        </is>
      </c>
    </row>
    <row r="18304">
      <c r="A18304" s="8" t="inlineStr">
        <is>
          <t>2026-08-04</t>
        </is>
      </c>
      <c r="B18304" s="8" t="n">
        <v>8</v>
      </c>
      <c r="C18304" s="8" t="n">
        <v>1</v>
      </c>
      <c r="D18304" s="8" t="inlineStr">
        <is>
          <t>Disneyland Park</t>
        </is>
      </c>
      <c r="E18304" s="8" t="inlineStr">
        <is>
          <t>Mickey’s PhilharMagic</t>
        </is>
      </c>
      <c r="F18304" s="8" t="inlineStr">
        <is>
          <t>STANDBY</t>
        </is>
      </c>
      <c r="G18304" s="8" t="n">
        <v>0</v>
      </c>
      <c r="H18304" s="8" t="inlineStr">
        <is>
          <t>CLOSED</t>
        </is>
      </c>
    </row>
    <row r="18305">
      <c r="A18305" s="8" t="inlineStr">
        <is>
          <t>2026-08-04</t>
        </is>
      </c>
      <c r="B18305" s="8" t="n">
        <v>8</v>
      </c>
      <c r="C18305" s="8" t="n">
        <v>1</v>
      </c>
      <c r="D18305" s="8" t="inlineStr">
        <is>
          <t>Disneyland Park</t>
        </is>
      </c>
      <c r="E18305" s="8" t="inlineStr">
        <is>
          <t>Orbitron®</t>
        </is>
      </c>
      <c r="F18305" s="8" t="inlineStr">
        <is>
          <t>STANDBY</t>
        </is>
      </c>
      <c r="G18305" s="8" t="n">
        <v>0</v>
      </c>
      <c r="H18305" s="8" t="inlineStr">
        <is>
          <t>CLOSED</t>
        </is>
      </c>
    </row>
    <row r="18306">
      <c r="A18306" s="8" t="inlineStr">
        <is>
          <t>2026-08-04</t>
        </is>
      </c>
      <c r="B18306" s="8" t="n">
        <v>8</v>
      </c>
      <c r="C18306" s="8" t="n">
        <v>1</v>
      </c>
      <c r="D18306" s="8" t="inlineStr">
        <is>
          <t>Disneyland Park</t>
        </is>
      </c>
      <c r="E18306" s="8" t="inlineStr">
        <is>
          <t>Star Tours: The Adventures Continue*</t>
        </is>
      </c>
      <c r="F18306" s="8" t="inlineStr">
        <is>
          <t>STANDBY</t>
        </is>
      </c>
      <c r="G18306" s="8" t="n">
        <v>0</v>
      </c>
      <c r="H18306" s="8" t="inlineStr">
        <is>
          <t>CLOSED</t>
        </is>
      </c>
    </row>
    <row r="18307">
      <c r="A18307" s="8" t="inlineStr">
        <is>
          <t>2026-08-04</t>
        </is>
      </c>
      <c r="B18307" s="8" t="n">
        <v>8</v>
      </c>
      <c r="C18307" s="8" t="n">
        <v>1</v>
      </c>
      <c r="D18307" s="8" t="inlineStr">
        <is>
          <t>Disneyland Park</t>
        </is>
      </c>
      <c r="E18307" s="8" t="inlineStr">
        <is>
          <t>Star Wars Hyperspace Mountain</t>
        </is>
      </c>
      <c r="F18307" s="8" t="inlineStr">
        <is>
          <t>STANDBY</t>
        </is>
      </c>
      <c r="G18307" s="8" t="n">
        <v>0</v>
      </c>
      <c r="H18307" s="8" t="inlineStr">
        <is>
          <t>CLOSED</t>
        </is>
      </c>
    </row>
    <row r="18308">
      <c r="A18308" s="8" t="inlineStr">
        <is>
          <t>2026-08-04</t>
        </is>
      </c>
      <c r="B18308" s="8" t="n">
        <v>8</v>
      </c>
      <c r="C18308" s="8" t="n">
        <v>1</v>
      </c>
      <c r="D18308" s="8" t="inlineStr">
        <is>
          <t>Disneyland Park</t>
        </is>
      </c>
      <c r="E18308" s="8" t="inlineStr">
        <is>
          <t>Star Wars Hyperspace Mountain Single Rider</t>
        </is>
      </c>
      <c r="F18308" s="8" t="inlineStr">
        <is>
          <t>STANDBY</t>
        </is>
      </c>
      <c r="G18308" s="8" t="n">
        <v>0</v>
      </c>
      <c r="H18308" s="8" t="inlineStr">
        <is>
          <t>CLOSED</t>
        </is>
      </c>
    </row>
    <row r="18309">
      <c r="A18309" s="8" t="inlineStr">
        <is>
          <t>2026-08-04</t>
        </is>
      </c>
      <c r="B18309" s="8" t="n">
        <v>8</v>
      </c>
      <c r="C18309" s="8" t="n">
        <v>1</v>
      </c>
      <c r="D18309" s="8" t="inlineStr">
        <is>
          <t>Disneyland Park</t>
        </is>
      </c>
      <c r="E18309" s="8" t="inlineStr">
        <is>
          <t>Welcome to Starport: A Star Wars Encounter</t>
        </is>
      </c>
      <c r="F18309" s="8" t="inlineStr">
        <is>
          <t>STANDBY</t>
        </is>
      </c>
      <c r="G18309" s="8" t="n">
        <v>0</v>
      </c>
      <c r="H18309" s="8" t="inlineStr">
        <is>
          <t>CLOSED</t>
        </is>
      </c>
    </row>
    <row r="18310">
      <c r="A18310" s="8" t="inlineStr">
        <is>
          <t>2026-08-04</t>
        </is>
      </c>
      <c r="B18310" s="8" t="n">
        <v>8</v>
      </c>
      <c r="C18310" s="8" t="n">
        <v>1</v>
      </c>
      <c r="D18310" s="8" t="inlineStr">
        <is>
          <t>Disneyland Park</t>
        </is>
      </c>
      <c r="E18310" s="8" t="inlineStr">
        <is>
          <t>"it's a small world"</t>
        </is>
      </c>
      <c r="F18310" s="8" t="inlineStr">
        <is>
          <t>STANDBY</t>
        </is>
      </c>
      <c r="G18310" s="8" t="n">
        <v>0</v>
      </c>
      <c r="H18310" s="8" t="inlineStr">
        <is>
          <t>CLOSED</t>
        </is>
      </c>
    </row>
    <row r="18311">
      <c r="A18311" s="8" t="inlineStr">
        <is>
          <t>2026-08-04</t>
        </is>
      </c>
      <c r="B18311" s="8" t="n">
        <v>8</v>
      </c>
      <c r="C18311" s="8" t="n">
        <v>1</v>
      </c>
      <c r="D18311" s="8" t="inlineStr">
        <is>
          <t>Disneyland Park</t>
        </is>
      </c>
      <c r="E18311" s="8" t="inlineStr">
        <is>
          <t>Alice's Curious Labyrinth</t>
        </is>
      </c>
      <c r="F18311" s="8" t="inlineStr">
        <is>
          <t>STANDBY</t>
        </is>
      </c>
      <c r="G18311" s="8" t="n">
        <v>0</v>
      </c>
      <c r="H18311" s="8" t="inlineStr">
        <is>
          <t>CLOSED</t>
        </is>
      </c>
    </row>
    <row r="18312">
      <c r="A18312" s="8" t="inlineStr">
        <is>
          <t>2026-08-04</t>
        </is>
      </c>
      <c r="B18312" s="8" t="n">
        <v>8</v>
      </c>
      <c r="C18312" s="8" t="n">
        <v>1</v>
      </c>
      <c r="D18312" s="8" t="inlineStr">
        <is>
          <t>Disneyland Park</t>
        </is>
      </c>
      <c r="E18312" s="8" t="inlineStr">
        <is>
          <t>Blanche-Neige et les Sept Nains®</t>
        </is>
      </c>
      <c r="F18312" s="8" t="inlineStr">
        <is>
          <t>STANDBY</t>
        </is>
      </c>
      <c r="G18312" s="8" t="n">
        <v>0</v>
      </c>
      <c r="H18312" s="8" t="inlineStr">
        <is>
          <t>CLOSED</t>
        </is>
      </c>
    </row>
    <row r="18313">
      <c r="A18313" s="8" t="inlineStr">
        <is>
          <t>2026-08-04</t>
        </is>
      </c>
      <c r="B18313" s="8" t="n">
        <v>8</v>
      </c>
      <c r="C18313" s="8" t="n">
        <v>1</v>
      </c>
      <c r="D18313" s="8" t="inlineStr">
        <is>
          <t>Disneyland Park</t>
        </is>
      </c>
      <c r="E18313" s="8" t="inlineStr">
        <is>
          <t>Casey Jr. – le Petit Train du Cirque</t>
        </is>
      </c>
      <c r="F18313" s="8" t="inlineStr">
        <is>
          <t>STANDBY</t>
        </is>
      </c>
      <c r="G18313" s="8" t="n">
        <v>0</v>
      </c>
      <c r="H18313" s="8" t="inlineStr">
        <is>
          <t>CLOSED</t>
        </is>
      </c>
    </row>
    <row r="18314">
      <c r="A18314" s="8" t="inlineStr">
        <is>
          <t>2026-08-04</t>
        </is>
      </c>
      <c r="B18314" s="8" t="n">
        <v>8</v>
      </c>
      <c r="C18314" s="8" t="n">
        <v>1</v>
      </c>
      <c r="D18314" s="8" t="inlineStr">
        <is>
          <t>Disneyland Park</t>
        </is>
      </c>
      <c r="E18314" s="8" t="inlineStr">
        <is>
          <t>Disneyland Railroad Fantasyland Station</t>
        </is>
      </c>
      <c r="F18314" s="8" t="inlineStr">
        <is>
          <t>STANDBY</t>
        </is>
      </c>
      <c r="G18314" s="8" t="n">
        <v>0</v>
      </c>
      <c r="H18314" s="8" t="inlineStr">
        <is>
          <t>CLOSED</t>
        </is>
      </c>
    </row>
    <row r="18315">
      <c r="A18315" s="8" t="inlineStr">
        <is>
          <t>2026-08-04</t>
        </is>
      </c>
      <c r="B18315" s="8" t="n">
        <v>8</v>
      </c>
      <c r="C18315" s="8" t="n">
        <v>1</v>
      </c>
      <c r="D18315" s="8" t="inlineStr">
        <is>
          <t>Disneyland Park</t>
        </is>
      </c>
      <c r="E18315" s="8" t="inlineStr">
        <is>
          <t>Disneyland Railroad Main Street Station</t>
        </is>
      </c>
      <c r="F18315" s="8" t="inlineStr">
        <is>
          <t>STANDBY</t>
        </is>
      </c>
      <c r="G18315" s="8" t="n">
        <v>0</v>
      </c>
      <c r="H18315" s="8" t="inlineStr">
        <is>
          <t>CLOSED</t>
        </is>
      </c>
    </row>
    <row r="18316">
      <c r="A18316" s="8" t="inlineStr">
        <is>
          <t>2026-08-04</t>
        </is>
      </c>
      <c r="B18316" s="8" t="n">
        <v>8</v>
      </c>
      <c r="C18316" s="8" t="n">
        <v>1</v>
      </c>
      <c r="D18316" s="8" t="inlineStr">
        <is>
          <t>Disneyland Park</t>
        </is>
      </c>
      <c r="E18316" s="8" t="inlineStr">
        <is>
          <t>Dumbo the Flying Elephant</t>
        </is>
      </c>
      <c r="F18316" s="8" t="inlineStr">
        <is>
          <t>STANDBY</t>
        </is>
      </c>
      <c r="G18316" s="8" t="n">
        <v>0</v>
      </c>
      <c r="H18316" s="8" t="inlineStr">
        <is>
          <t>CLOSED</t>
        </is>
      </c>
    </row>
    <row r="18317">
      <c r="A18317" s="8" t="inlineStr">
        <is>
          <t>2026-08-04</t>
        </is>
      </c>
      <c r="B18317" s="8" t="n">
        <v>8</v>
      </c>
      <c r="C18317" s="8" t="n">
        <v>1</v>
      </c>
      <c r="D18317" s="8" t="inlineStr">
        <is>
          <t>Disneyland Park</t>
        </is>
      </c>
      <c r="E18317" s="8" t="inlineStr">
        <is>
          <t>La Tanière du Dragon</t>
        </is>
      </c>
      <c r="F18317" s="8" t="inlineStr">
        <is>
          <t>STANDBY</t>
        </is>
      </c>
      <c r="G18317" s="8" t="n">
        <v>0</v>
      </c>
      <c r="H18317" s="8" t="inlineStr">
        <is>
          <t>CLOSED</t>
        </is>
      </c>
    </row>
    <row r="18318">
      <c r="A18318" s="8" t="inlineStr">
        <is>
          <t>2026-08-04</t>
        </is>
      </c>
      <c r="B18318" s="8" t="n">
        <v>8</v>
      </c>
      <c r="C18318" s="8" t="n">
        <v>1</v>
      </c>
      <c r="D18318" s="8" t="inlineStr">
        <is>
          <t>Disneyland Park</t>
        </is>
      </c>
      <c r="E18318" s="8" t="inlineStr">
        <is>
          <t>Le Carrousel de Lancelot</t>
        </is>
      </c>
      <c r="F18318" s="8" t="inlineStr">
        <is>
          <t>STANDBY</t>
        </is>
      </c>
      <c r="G18318" s="8" t="n">
        <v>0</v>
      </c>
      <c r="H18318" s="8" t="inlineStr">
        <is>
          <t>CLOSED</t>
        </is>
      </c>
    </row>
    <row r="18319">
      <c r="A18319" s="8" t="inlineStr">
        <is>
          <t>2026-08-04</t>
        </is>
      </c>
      <c r="B18319" s="8" t="n">
        <v>8</v>
      </c>
      <c r="C18319" s="8" t="n">
        <v>1</v>
      </c>
      <c r="D18319" s="8" t="inlineStr">
        <is>
          <t>Disneyland Park</t>
        </is>
      </c>
      <c r="E18319" s="8" t="inlineStr">
        <is>
          <t>Le Pays des Contes de Fées, presented by Vittel</t>
        </is>
      </c>
      <c r="F18319" s="8" t="inlineStr">
        <is>
          <t>STANDBY</t>
        </is>
      </c>
      <c r="G18319" s="8" t="n">
        <v>0</v>
      </c>
      <c r="H18319" s="8" t="inlineStr">
        <is>
          <t>CLOSED</t>
        </is>
      </c>
    </row>
    <row r="18320">
      <c r="A18320" s="8" t="inlineStr">
        <is>
          <t>2026-08-04</t>
        </is>
      </c>
      <c r="B18320" s="8" t="n">
        <v>8</v>
      </c>
      <c r="C18320" s="8" t="n">
        <v>1</v>
      </c>
      <c r="D18320" s="8" t="inlineStr">
        <is>
          <t>Disneyland Park</t>
        </is>
      </c>
      <c r="E18320" s="8" t="inlineStr">
        <is>
          <t>Les Voyages de Pinocchio</t>
        </is>
      </c>
      <c r="F18320" s="8" t="inlineStr">
        <is>
          <t>STANDBY</t>
        </is>
      </c>
      <c r="G18320" s="8" t="n">
        <v>0</v>
      </c>
      <c r="H18320" s="8" t="inlineStr">
        <is>
          <t>CLOSED</t>
        </is>
      </c>
    </row>
    <row r="18321">
      <c r="A18321" s="8" t="inlineStr">
        <is>
          <t>2026-08-04</t>
        </is>
      </c>
      <c r="B18321" s="8" t="n">
        <v>8</v>
      </c>
      <c r="C18321" s="8" t="n">
        <v>1</v>
      </c>
      <c r="D18321" s="8" t="inlineStr">
        <is>
          <t>Disneyland Park</t>
        </is>
      </c>
      <c r="E18321" s="8" t="inlineStr">
        <is>
          <t>Mad Hatter's Tea Cups</t>
        </is>
      </c>
      <c r="F18321" s="8" t="inlineStr">
        <is>
          <t>STANDBY</t>
        </is>
      </c>
      <c r="G18321" s="8" t="n">
        <v>0</v>
      </c>
      <c r="H18321" s="8" t="inlineStr">
        <is>
          <t>CLOSED</t>
        </is>
      </c>
    </row>
    <row r="18322">
      <c r="A18322" s="8" t="inlineStr">
        <is>
          <t>2026-08-04</t>
        </is>
      </c>
      <c r="B18322" s="8" t="n">
        <v>8</v>
      </c>
      <c r="C18322" s="8" t="n">
        <v>1</v>
      </c>
      <c r="D18322" s="8" t="inlineStr">
        <is>
          <t>Disneyland Park</t>
        </is>
      </c>
      <c r="E18322" s="8" t="inlineStr">
        <is>
          <t>Meet Mickey Mouse</t>
        </is>
      </c>
      <c r="F18322" s="8" t="inlineStr">
        <is>
          <t>STANDBY</t>
        </is>
      </c>
      <c r="G18322" s="8" t="n">
        <v>0</v>
      </c>
      <c r="H18322" s="8" t="inlineStr">
        <is>
          <t>CLOSED</t>
        </is>
      </c>
    </row>
    <row r="18323">
      <c r="A18323" s="8" t="inlineStr">
        <is>
          <t>2026-08-04</t>
        </is>
      </c>
      <c r="B18323" s="8" t="n">
        <v>8</v>
      </c>
      <c r="C18323" s="8" t="n">
        <v>1</v>
      </c>
      <c r="D18323" s="8" t="inlineStr">
        <is>
          <t>Disneyland Park</t>
        </is>
      </c>
      <c r="E18323" s="8" t="inlineStr">
        <is>
          <t>Peter Pan's Flight</t>
        </is>
      </c>
      <c r="F18323" s="8" t="inlineStr">
        <is>
          <t>STANDBY</t>
        </is>
      </c>
      <c r="G18323" s="8" t="n">
        <v>0</v>
      </c>
      <c r="H18323" s="8" t="inlineStr">
        <is>
          <t>CLOSED</t>
        </is>
      </c>
    </row>
    <row r="18324">
      <c r="A18324" s="8" t="inlineStr">
        <is>
          <t>2026-08-04</t>
        </is>
      </c>
      <c r="B18324" s="8" t="n">
        <v>8</v>
      </c>
      <c r="C18324" s="8" t="n">
        <v>1</v>
      </c>
      <c r="D18324" s="8" t="inlineStr">
        <is>
          <t>Disneyland Park</t>
        </is>
      </c>
      <c r="E18324" s="8" t="inlineStr">
        <is>
          <t>Princess Pavilion</t>
        </is>
      </c>
      <c r="F18324" s="8" t="inlineStr">
        <is>
          <t>STANDBY</t>
        </is>
      </c>
      <c r="G18324" s="8" t="n">
        <v>0</v>
      </c>
      <c r="H18324" s="8" t="inlineStr">
        <is>
          <t>CLOSED</t>
        </is>
      </c>
    </row>
    <row r="18325">
      <c r="A18325" s="8" t="inlineStr">
        <is>
          <t>2026-08-04</t>
        </is>
      </c>
      <c r="B18325" s="8" t="n">
        <v>8</v>
      </c>
      <c r="C18325" s="8" t="n">
        <v>1</v>
      </c>
      <c r="D18325" s="8" t="inlineStr">
        <is>
          <t>Disneyland Park</t>
        </is>
      </c>
      <c r="E18325" s="8" t="inlineStr">
        <is>
          <t>Big Thunder Mountain</t>
        </is>
      </c>
      <c r="F18325" s="8" t="inlineStr">
        <is>
          <t>STANDBY</t>
        </is>
      </c>
      <c r="G18325" s="8" t="n">
        <v>0</v>
      </c>
      <c r="H18325" s="8" t="inlineStr">
        <is>
          <t>CLOSED</t>
        </is>
      </c>
    </row>
    <row r="18326">
      <c r="A18326" s="8" t="inlineStr">
        <is>
          <t>2026-08-04</t>
        </is>
      </c>
      <c r="B18326" s="8" t="n">
        <v>8</v>
      </c>
      <c r="C18326" s="8" t="n">
        <v>1</v>
      </c>
      <c r="D18326" s="8" t="inlineStr">
        <is>
          <t>Disneyland Park</t>
        </is>
      </c>
      <c r="E18326" s="8" t="inlineStr">
        <is>
          <t>Disneyland Railroad Frontierland Depot</t>
        </is>
      </c>
      <c r="F18326" s="8" t="inlineStr">
        <is>
          <t>STANDBY</t>
        </is>
      </c>
      <c r="G18326" s="8" t="n">
        <v>0</v>
      </c>
      <c r="H18326" s="8" t="inlineStr">
        <is>
          <t>CLOSED</t>
        </is>
      </c>
    </row>
    <row r="18327">
      <c r="A18327" s="8" t="inlineStr">
        <is>
          <t>2026-08-04</t>
        </is>
      </c>
      <c r="B18327" s="8" t="n">
        <v>8</v>
      </c>
      <c r="C18327" s="8" t="n">
        <v>1</v>
      </c>
      <c r="D18327" s="8" t="inlineStr">
        <is>
          <t>Disneyland Park</t>
        </is>
      </c>
      <c r="E18327" s="8" t="inlineStr">
        <is>
          <t>Frontierland Playground</t>
        </is>
      </c>
      <c r="F18327" s="8" t="inlineStr">
        <is>
          <t>STANDBY</t>
        </is>
      </c>
      <c r="G18327" s="8" t="n">
        <v>0</v>
      </c>
      <c r="H18327" s="8" t="inlineStr">
        <is>
          <t>CLOSED</t>
        </is>
      </c>
    </row>
    <row r="18328">
      <c r="A18328" s="8" t="inlineStr">
        <is>
          <t>2026-08-04</t>
        </is>
      </c>
      <c r="B18328" s="8" t="n">
        <v>8</v>
      </c>
      <c r="C18328" s="8" t="n">
        <v>1</v>
      </c>
      <c r="D18328" s="8" t="inlineStr">
        <is>
          <t>Disneyland Park</t>
        </is>
      </c>
      <c r="E18328" s="8" t="inlineStr">
        <is>
          <t>Phantom Manor</t>
        </is>
      </c>
      <c r="F18328" s="8" t="inlineStr">
        <is>
          <t>STANDBY</t>
        </is>
      </c>
      <c r="G18328" s="8" t="n">
        <v>0</v>
      </c>
      <c r="H18328" s="8" t="inlineStr">
        <is>
          <t>CLOSED</t>
        </is>
      </c>
    </row>
    <row r="18329">
      <c r="A18329" s="8" t="inlineStr">
        <is>
          <t>2026-08-04</t>
        </is>
      </c>
      <c r="B18329" s="8" t="n">
        <v>8</v>
      </c>
      <c r="C18329" s="8" t="n">
        <v>1</v>
      </c>
      <c r="D18329" s="8" t="inlineStr">
        <is>
          <t>Disneyland Park</t>
        </is>
      </c>
      <c r="E18329" s="8" t="inlineStr">
        <is>
          <t>River Rogue Keelboats</t>
        </is>
      </c>
      <c r="F18329" s="8" t="inlineStr">
        <is>
          <t>STANDBY</t>
        </is>
      </c>
      <c r="G18329" s="8" t="n">
        <v>0</v>
      </c>
      <c r="H18329" s="8" t="inlineStr">
        <is>
          <t>CLOSED</t>
        </is>
      </c>
    </row>
    <row r="18330">
      <c r="A18330" s="8" t="inlineStr">
        <is>
          <t>2026-08-04</t>
        </is>
      </c>
      <c r="B18330" s="8" t="n">
        <v>8</v>
      </c>
      <c r="C18330" s="8" t="n">
        <v>1</v>
      </c>
      <c r="D18330" s="8" t="inlineStr">
        <is>
          <t>Disneyland Park</t>
        </is>
      </c>
      <c r="E18330" s="8" t="inlineStr">
        <is>
          <t>Rustler Roundup Shootin' Gallery</t>
        </is>
      </c>
      <c r="F18330" s="8" t="inlineStr">
        <is>
          <t>STANDBY</t>
        </is>
      </c>
      <c r="G18330" s="8" t="n">
        <v>0</v>
      </c>
      <c r="H18330" s="8" t="inlineStr">
        <is>
          <t>CLOSED</t>
        </is>
      </c>
    </row>
    <row r="18331">
      <c r="A18331" s="8" t="inlineStr">
        <is>
          <t>2026-08-04</t>
        </is>
      </c>
      <c r="B18331" s="8" t="n">
        <v>8</v>
      </c>
      <c r="C18331" s="8" t="n">
        <v>1</v>
      </c>
      <c r="D18331" s="8" t="inlineStr">
        <is>
          <t>Disneyland Park</t>
        </is>
      </c>
      <c r="E18331" s="8" t="inlineStr">
        <is>
          <t>Thunder Mesa Riverboat Landing</t>
        </is>
      </c>
      <c r="F18331" s="8" t="inlineStr">
        <is>
          <t>STANDBY</t>
        </is>
      </c>
      <c r="G18331" s="8" t="n">
        <v>0</v>
      </c>
      <c r="H18331" s="8" t="inlineStr">
        <is>
          <t>CLOSED</t>
        </is>
      </c>
    </row>
    <row r="18332">
      <c r="A18332" s="8" t="inlineStr">
        <is>
          <t>2026-08-04</t>
        </is>
      </c>
      <c r="B18332" s="8" t="n">
        <v>8</v>
      </c>
      <c r="C18332" s="8" t="n">
        <v>1</v>
      </c>
      <c r="D18332" s="8" t="inlineStr">
        <is>
          <t>Disneyland Park</t>
        </is>
      </c>
      <c r="E18332" s="8" t="inlineStr">
        <is>
          <t>Disneyland Railroad Main Street Station</t>
        </is>
      </c>
      <c r="F18332" s="8" t="inlineStr">
        <is>
          <t>STANDBY</t>
        </is>
      </c>
      <c r="G18332" s="8" t="n">
        <v>0</v>
      </c>
      <c r="H18332" s="8" t="inlineStr">
        <is>
          <t>CLOSED</t>
        </is>
      </c>
    </row>
    <row r="18333">
      <c r="A18333" s="8" t="inlineStr">
        <is>
          <t>2026-08-04</t>
        </is>
      </c>
      <c r="B18333" s="8" t="n">
        <v>8</v>
      </c>
      <c r="C18333" s="8" t="n">
        <v>1</v>
      </c>
      <c r="D18333" s="8" t="inlineStr">
        <is>
          <t>Disneyland Park</t>
        </is>
      </c>
      <c r="E18333" s="8" t="inlineStr">
        <is>
          <t>Main Street Vehicles</t>
        </is>
      </c>
      <c r="F18333" s="8" t="inlineStr">
        <is>
          <t>STANDBY</t>
        </is>
      </c>
      <c r="G18333" s="8" t="n">
        <v>0</v>
      </c>
      <c r="H18333" s="8" t="inlineStr">
        <is>
          <t>CLOSED</t>
        </is>
      </c>
    </row>
    <row r="18334">
      <c r="A18334" s="8" t="inlineStr">
        <is>
          <t>2026-08-04</t>
        </is>
      </c>
      <c r="B18334" s="8" t="n">
        <v>8</v>
      </c>
      <c r="C18334" s="8" t="n">
        <v>1</v>
      </c>
      <c r="D18334" s="8" t="inlineStr">
        <is>
          <t>Disney Adventure World</t>
        </is>
      </c>
      <c r="E18334" s="8" t="inlineStr">
        <is>
          <t>Avengers Assemble: Flight Force</t>
        </is>
      </c>
      <c r="F18334" s="8" t="inlineStr">
        <is>
          <t>STANDBY</t>
        </is>
      </c>
      <c r="G18334" s="8" t="n">
        <v>0</v>
      </c>
      <c r="H18334" s="8" t="inlineStr">
        <is>
          <t>CLOSED</t>
        </is>
      </c>
    </row>
    <row r="18335">
      <c r="A18335" s="8" t="inlineStr">
        <is>
          <t>2026-08-04</t>
        </is>
      </c>
      <c r="B18335" s="8" t="n">
        <v>8</v>
      </c>
      <c r="C18335" s="8" t="n">
        <v>1</v>
      </c>
      <c r="D18335" s="8" t="inlineStr">
        <is>
          <t>Disney Adventure World</t>
        </is>
      </c>
      <c r="E18335" s="8" t="inlineStr">
        <is>
          <t>Avengers Assemble: Flight Force Single Rider</t>
        </is>
      </c>
      <c r="F18335" s="8" t="inlineStr">
        <is>
          <t>STANDBY</t>
        </is>
      </c>
      <c r="G18335" s="8" t="n">
        <v>0</v>
      </c>
      <c r="H18335" s="8" t="inlineStr">
        <is>
          <t>CLOSED</t>
        </is>
      </c>
    </row>
    <row r="18336">
      <c r="A18336" s="8" t="inlineStr">
        <is>
          <t>2026-08-04</t>
        </is>
      </c>
      <c r="B18336" s="8" t="n">
        <v>8</v>
      </c>
      <c r="C18336" s="8" t="n">
        <v>1</v>
      </c>
      <c r="D18336" s="8" t="inlineStr">
        <is>
          <t>Disney Adventure World</t>
        </is>
      </c>
      <c r="E18336" s="8" t="inlineStr">
        <is>
          <t>Spider-Man W.E.B. Adventure</t>
        </is>
      </c>
      <c r="F18336" s="8" t="inlineStr">
        <is>
          <t>STANDBY</t>
        </is>
      </c>
      <c r="G18336" s="8" t="n">
        <v>0</v>
      </c>
      <c r="H18336" s="8" t="inlineStr">
        <is>
          <t>CLOSED</t>
        </is>
      </c>
    </row>
    <row r="18337">
      <c r="A18337" s="8" t="inlineStr">
        <is>
          <t>2026-08-04</t>
        </is>
      </c>
      <c r="B18337" s="8" t="n">
        <v>8</v>
      </c>
      <c r="C18337" s="8" t="n">
        <v>1</v>
      </c>
      <c r="D18337" s="8" t="inlineStr">
        <is>
          <t>Disney Adventure World</t>
        </is>
      </c>
      <c r="E18337" s="8" t="inlineStr">
        <is>
          <t>Spider-Man W.E.B. Adventure Single Rider</t>
        </is>
      </c>
      <c r="F18337" s="8" t="inlineStr">
        <is>
          <t>STANDBY</t>
        </is>
      </c>
      <c r="G18337" s="8" t="n">
        <v>0</v>
      </c>
      <c r="H18337" s="8" t="inlineStr">
        <is>
          <t>CLOSED</t>
        </is>
      </c>
    </row>
    <row r="18338">
      <c r="A18338" s="8" t="inlineStr">
        <is>
          <t>2026-08-04</t>
        </is>
      </c>
      <c r="B18338" s="8" t="n">
        <v>8</v>
      </c>
      <c r="C18338" s="8" t="n">
        <v>1</v>
      </c>
      <c r="D18338" s="8" t="inlineStr">
        <is>
          <t>Disney Adventure World</t>
        </is>
      </c>
      <c r="E18338" s="8" t="inlineStr">
        <is>
          <t>The Twilight Zone Tower of Terror</t>
        </is>
      </c>
      <c r="F18338" s="8" t="inlineStr">
        <is>
          <t>STANDBY</t>
        </is>
      </c>
      <c r="G18338" s="8" t="n">
        <v>0</v>
      </c>
      <c r="H18338" s="8" t="inlineStr">
        <is>
          <t>CLOSED</t>
        </is>
      </c>
    </row>
    <row r="18339">
      <c r="A18339" s="8" t="inlineStr">
        <is>
          <t>2026-08-04</t>
        </is>
      </c>
      <c r="B18339" s="8" t="n">
        <v>8</v>
      </c>
      <c r="C18339" s="8" t="n">
        <v>1</v>
      </c>
      <c r="D18339" s="8" t="inlineStr">
        <is>
          <t>Disney Adventure World</t>
        </is>
      </c>
      <c r="E18339" s="8" t="inlineStr">
        <is>
          <t>Cars Quatre Roues Rallye</t>
        </is>
      </c>
      <c r="F18339" s="8" t="inlineStr">
        <is>
          <t>STANDBY</t>
        </is>
      </c>
      <c r="G18339" s="8" t="n">
        <v>0</v>
      </c>
      <c r="H18339" s="8" t="inlineStr">
        <is>
          <t>CLOSED</t>
        </is>
      </c>
    </row>
    <row r="18340">
      <c r="A18340" s="8" t="inlineStr">
        <is>
          <t>2026-08-04</t>
        </is>
      </c>
      <c r="B18340" s="8" t="n">
        <v>8</v>
      </c>
      <c r="C18340" s="8" t="n">
        <v>1</v>
      </c>
      <c r="D18340" s="8" t="inlineStr">
        <is>
          <t>Disney Adventure World</t>
        </is>
      </c>
      <c r="E18340" s="8" t="inlineStr">
        <is>
          <t>Cars ROAD TRIP</t>
        </is>
      </c>
      <c r="F18340" s="8" t="inlineStr">
        <is>
          <t>STANDBY</t>
        </is>
      </c>
      <c r="G18340" s="8" t="n">
        <v>0</v>
      </c>
      <c r="H18340" s="8" t="inlineStr">
        <is>
          <t>CLOSED</t>
        </is>
      </c>
    </row>
    <row r="18341">
      <c r="A18341" s="8" t="inlineStr">
        <is>
          <t>2026-08-04</t>
        </is>
      </c>
      <c r="B18341" s="8" t="n">
        <v>8</v>
      </c>
      <c r="C18341" s="8" t="n">
        <v>1</v>
      </c>
      <c r="D18341" s="8" t="inlineStr">
        <is>
          <t>Disney Adventure World</t>
        </is>
      </c>
      <c r="E18341" s="8" t="inlineStr">
        <is>
          <t>Crush's Coaster</t>
        </is>
      </c>
      <c r="F18341" s="8" t="inlineStr">
        <is>
          <t>STANDBY</t>
        </is>
      </c>
      <c r="G18341" s="8" t="n">
        <v>0</v>
      </c>
      <c r="H18341" s="8" t="inlineStr">
        <is>
          <t>CLOSED</t>
        </is>
      </c>
    </row>
    <row r="18342">
      <c r="A18342" s="8" t="inlineStr">
        <is>
          <t>2026-08-04</t>
        </is>
      </c>
      <c r="B18342" s="8" t="n">
        <v>8</v>
      </c>
      <c r="C18342" s="8" t="n">
        <v>1</v>
      </c>
      <c r="D18342" s="8" t="inlineStr">
        <is>
          <t>Disney Adventure World</t>
        </is>
      </c>
      <c r="E18342" s="8" t="inlineStr">
        <is>
          <t>Crush's Coaster Single Rider</t>
        </is>
      </c>
      <c r="F18342" s="8" t="inlineStr">
        <is>
          <t>STANDBY</t>
        </is>
      </c>
      <c r="G18342" s="8" t="n">
        <v>0</v>
      </c>
      <c r="H18342" s="8" t="inlineStr">
        <is>
          <t>CLOSED</t>
        </is>
      </c>
    </row>
    <row r="18343">
      <c r="A18343" s="8" t="inlineStr">
        <is>
          <t>2026-08-04</t>
        </is>
      </c>
      <c r="B18343" s="8" t="n">
        <v>8</v>
      </c>
      <c r="C18343" s="8" t="n">
        <v>1</v>
      </c>
      <c r="D18343" s="8" t="inlineStr">
        <is>
          <t>Disney Adventure World</t>
        </is>
      </c>
      <c r="E18343" s="8" t="inlineStr">
        <is>
          <t>Les Tapis Volants - Flying Carpets Over Agrabah®</t>
        </is>
      </c>
      <c r="F18343" s="8" t="inlineStr">
        <is>
          <t>STANDBY</t>
        </is>
      </c>
      <c r="G18343" s="8" t="n">
        <v>0</v>
      </c>
      <c r="H18343" s="8" t="inlineStr">
        <is>
          <t>CLOSED</t>
        </is>
      </c>
    </row>
    <row r="18344">
      <c r="A18344" s="8" t="inlineStr">
        <is>
          <t>2026-08-04</t>
        </is>
      </c>
      <c r="B18344" s="8" t="n">
        <v>8</v>
      </c>
      <c r="C18344" s="8" t="n">
        <v>1</v>
      </c>
      <c r="D18344" s="8" t="inlineStr">
        <is>
          <t>Disney Adventure World</t>
        </is>
      </c>
      <c r="E18344" s="8" t="inlineStr">
        <is>
          <t>Ratatouille : L’Aventure Totalement Toquée de Rémy​</t>
        </is>
      </c>
      <c r="F18344" s="8" t="inlineStr">
        <is>
          <t>STANDBY</t>
        </is>
      </c>
      <c r="G18344" s="8" t="n">
        <v>0</v>
      </c>
      <c r="H18344" s="8" t="inlineStr">
        <is>
          <t>CLOSED</t>
        </is>
      </c>
    </row>
    <row r="18345">
      <c r="A18345" s="8" t="inlineStr">
        <is>
          <t>2026-08-04</t>
        </is>
      </c>
      <c r="B18345" s="8" t="n">
        <v>8</v>
      </c>
      <c r="C18345" s="8" t="n">
        <v>1</v>
      </c>
      <c r="D18345" s="8" t="inlineStr">
        <is>
          <t>Disney Adventure World</t>
        </is>
      </c>
      <c r="E18345" s="8" t="inlineStr">
        <is>
          <t>Ratatouille: The Adventure Single Rider</t>
        </is>
      </c>
      <c r="F18345" s="8" t="inlineStr">
        <is>
          <t>STANDBY</t>
        </is>
      </c>
      <c r="G18345" s="8" t="n">
        <v>0</v>
      </c>
      <c r="H18345" s="8" t="inlineStr">
        <is>
          <t>CLOSED</t>
        </is>
      </c>
    </row>
    <row r="18346">
      <c r="A18346" s="8" t="inlineStr">
        <is>
          <t>2026-08-04</t>
        </is>
      </c>
      <c r="B18346" s="8" t="n">
        <v>8</v>
      </c>
      <c r="C18346" s="8" t="n">
        <v>1</v>
      </c>
      <c r="D18346" s="8" t="inlineStr">
        <is>
          <t>Disney Adventure World</t>
        </is>
      </c>
      <c r="E18346" s="8" t="inlineStr">
        <is>
          <t>RC Racer</t>
        </is>
      </c>
      <c r="F18346" s="8" t="inlineStr">
        <is>
          <t>STANDBY</t>
        </is>
      </c>
      <c r="G18346" s="8" t="n">
        <v>0</v>
      </c>
      <c r="H18346" s="8" t="inlineStr">
        <is>
          <t>CLOSED</t>
        </is>
      </c>
    </row>
    <row r="18347">
      <c r="A18347" s="8" t="inlineStr">
        <is>
          <t>2026-08-04</t>
        </is>
      </c>
      <c r="B18347" s="8" t="n">
        <v>8</v>
      </c>
      <c r="C18347" s="8" t="n">
        <v>1</v>
      </c>
      <c r="D18347" s="8" t="inlineStr">
        <is>
          <t>Disney Adventure World</t>
        </is>
      </c>
      <c r="E18347" s="8" t="inlineStr">
        <is>
          <t>RC Racer Single Rider</t>
        </is>
      </c>
      <c r="F18347" s="8" t="inlineStr">
        <is>
          <t>STANDBY</t>
        </is>
      </c>
      <c r="G18347" s="8" t="n">
        <v>0</v>
      </c>
      <c r="H18347" s="8" t="inlineStr">
        <is>
          <t>CLOSED</t>
        </is>
      </c>
    </row>
    <row r="18348">
      <c r="A18348" s="8" t="inlineStr">
        <is>
          <t>2026-08-04</t>
        </is>
      </c>
      <c r="B18348" s="8" t="n">
        <v>8</v>
      </c>
      <c r="C18348" s="8" t="n">
        <v>1</v>
      </c>
      <c r="D18348" s="8" t="inlineStr">
        <is>
          <t>Disney Adventure World</t>
        </is>
      </c>
      <c r="E18348" s="8" t="inlineStr">
        <is>
          <t>Slinky® Dog Zigzag Spin</t>
        </is>
      </c>
      <c r="F18348" s="8" t="inlineStr">
        <is>
          <t>STANDBY</t>
        </is>
      </c>
      <c r="G18348" s="8" t="n">
        <v>0</v>
      </c>
      <c r="H18348" s="8" t="inlineStr">
        <is>
          <t>CLOSED</t>
        </is>
      </c>
    </row>
    <row r="18349">
      <c r="A18349" s="8" t="inlineStr">
        <is>
          <t>2026-08-04</t>
        </is>
      </c>
      <c r="B18349" s="8" t="n">
        <v>8</v>
      </c>
      <c r="C18349" s="8" t="n">
        <v>1</v>
      </c>
      <c r="D18349" s="8" t="inlineStr">
        <is>
          <t>Disney Adventure World</t>
        </is>
      </c>
      <c r="E18349" s="8" t="inlineStr">
        <is>
          <t>Toy Soldiers Parachute Drop</t>
        </is>
      </c>
      <c r="F18349" s="8" t="inlineStr">
        <is>
          <t>STANDBY</t>
        </is>
      </c>
      <c r="G18349" s="8" t="n">
        <v>0</v>
      </c>
      <c r="H18349" s="8" t="inlineStr">
        <is>
          <t>CLOSED</t>
        </is>
      </c>
    </row>
    <row r="18350">
      <c r="A18350" s="8" t="inlineStr">
        <is>
          <t>2026-08-04</t>
        </is>
      </c>
      <c r="B18350" s="8" t="n">
        <v>8</v>
      </c>
      <c r="C18350" s="8" t="n">
        <v>1</v>
      </c>
      <c r="D18350" s="8" t="inlineStr">
        <is>
          <t>Disney Adventure World</t>
        </is>
      </c>
      <c r="E18350" s="8" t="inlineStr">
        <is>
          <t>Toy Soldiers Parachute Drop Single Rider</t>
        </is>
      </c>
      <c r="F18350" s="8" t="inlineStr">
        <is>
          <t>STANDBY</t>
        </is>
      </c>
      <c r="G18350" s="8" t="n">
        <v>0</v>
      </c>
      <c r="H18350" s="8" t="inlineStr">
        <is>
          <t>CLOSED</t>
        </is>
      </c>
    </row>
    <row r="18351">
      <c r="A18351" s="8" t="inlineStr">
        <is>
          <t>2026-08-04</t>
        </is>
      </c>
      <c r="B18351" s="8" t="n">
        <v>8</v>
      </c>
      <c r="C18351" s="8" t="n">
        <v>1</v>
      </c>
      <c r="D18351" s="8" t="inlineStr">
        <is>
          <t>Disney Adventure World</t>
        </is>
      </c>
      <c r="E18351" s="8" t="inlineStr">
        <is>
          <t>Entry to World of Frozen</t>
        </is>
      </c>
      <c r="F18351" s="8" t="inlineStr">
        <is>
          <t>STANDBY</t>
        </is>
      </c>
      <c r="G18351" s="8" t="n">
        <v>0</v>
      </c>
      <c r="H18351" s="8" t="inlineStr">
        <is>
          <t>CLOSED</t>
        </is>
      </c>
    </row>
    <row r="18352">
      <c r="A18352" s="8" t="inlineStr">
        <is>
          <t>2026-08-04</t>
        </is>
      </c>
      <c r="B18352" s="8" t="n">
        <v>8</v>
      </c>
      <c r="C18352" s="8" t="n">
        <v>1</v>
      </c>
      <c r="D18352" s="8" t="inlineStr">
        <is>
          <t>Disney Adventure World</t>
        </is>
      </c>
      <c r="E18352" s="8" t="inlineStr">
        <is>
          <t>Frozen Ever After</t>
        </is>
      </c>
      <c r="F18352" s="8" t="inlineStr">
        <is>
          <t>STANDBY</t>
        </is>
      </c>
      <c r="G18352" s="8" t="n">
        <v>0</v>
      </c>
      <c r="H18352" s="8" t="inlineStr">
        <is>
          <t>CLOSED</t>
        </is>
      </c>
    </row>
    <row r="18353">
      <c r="A18353" s="8" t="inlineStr">
        <is>
          <t>2026-08-04</t>
        </is>
      </c>
      <c r="B18353" s="8" t="n">
        <v>8</v>
      </c>
      <c r="C18353" s="8" t="n">
        <v>1</v>
      </c>
      <c r="D18353" s="8" t="inlineStr">
        <is>
          <t>Disney Adventure World</t>
        </is>
      </c>
      <c r="E18353" s="8" t="inlineStr">
        <is>
          <t>Raiponce Tangled Spin</t>
        </is>
      </c>
      <c r="F18353" s="8" t="inlineStr">
        <is>
          <t>STANDBY</t>
        </is>
      </c>
      <c r="G18353" s="8" t="n">
        <v>0</v>
      </c>
      <c r="H18353" s="8" t="inlineStr">
        <is>
          <t>CLOSED</t>
        </is>
      </c>
    </row>
    <row r="18354">
      <c r="A18354" s="8" t="inlineStr">
        <is>
          <t>2026-08-04</t>
        </is>
      </c>
      <c r="B18354" s="8" t="n">
        <v>8</v>
      </c>
      <c r="C18354" s="8" t="n">
        <v>15</v>
      </c>
      <c r="D18354" s="8" t="inlineStr">
        <is>
          <t>Disneyland Park</t>
        </is>
      </c>
      <c r="E18354" s="8" t="inlineStr">
        <is>
          <t>Adventure Isle</t>
        </is>
      </c>
      <c r="F18354" s="8" t="inlineStr">
        <is>
          <t>STANDBY</t>
        </is>
      </c>
      <c r="G18354" s="8" t="n">
        <v>0</v>
      </c>
      <c r="H18354" s="8" t="inlineStr">
        <is>
          <t>CLOSED</t>
        </is>
      </c>
    </row>
    <row r="18355">
      <c r="A18355" s="8" t="inlineStr">
        <is>
          <t>2026-08-04</t>
        </is>
      </c>
      <c r="B18355" s="8" t="n">
        <v>8</v>
      </c>
      <c r="C18355" s="8" t="n">
        <v>15</v>
      </c>
      <c r="D18355" s="8" t="inlineStr">
        <is>
          <t>Disneyland Park</t>
        </is>
      </c>
      <c r="E18355" s="8" t="inlineStr">
        <is>
          <t>Indiana Jones and the Temple of Peril Single Rider</t>
        </is>
      </c>
      <c r="F18355" s="8" t="inlineStr">
        <is>
          <t>STANDBY</t>
        </is>
      </c>
      <c r="G18355" s="8" t="n">
        <v>0</v>
      </c>
      <c r="H18355" s="8" t="inlineStr">
        <is>
          <t>CLOSED</t>
        </is>
      </c>
    </row>
    <row r="18356">
      <c r="A18356" s="8" t="inlineStr">
        <is>
          <t>2026-08-04</t>
        </is>
      </c>
      <c r="B18356" s="8" t="n">
        <v>8</v>
      </c>
      <c r="C18356" s="8" t="n">
        <v>15</v>
      </c>
      <c r="D18356" s="8" t="inlineStr">
        <is>
          <t>Disneyland Park</t>
        </is>
      </c>
      <c r="E18356" s="8" t="inlineStr">
        <is>
          <t>Indiana Jones™ and the Temple of Peril</t>
        </is>
      </c>
      <c r="F18356" s="8" t="inlineStr">
        <is>
          <t>STANDBY</t>
        </is>
      </c>
      <c r="G18356" s="8" t="n">
        <v>0</v>
      </c>
      <c r="H18356" s="8" t="inlineStr">
        <is>
          <t>CLOSED</t>
        </is>
      </c>
    </row>
    <row r="18357">
      <c r="A18357" s="8" t="inlineStr">
        <is>
          <t>2026-08-04</t>
        </is>
      </c>
      <c r="B18357" s="8" t="n">
        <v>8</v>
      </c>
      <c r="C18357" s="8" t="n">
        <v>15</v>
      </c>
      <c r="D18357" s="8" t="inlineStr">
        <is>
          <t>Disneyland Park</t>
        </is>
      </c>
      <c r="E18357" s="8" t="inlineStr">
        <is>
          <t>La Cabane des Robinson</t>
        </is>
      </c>
      <c r="F18357" s="8" t="inlineStr">
        <is>
          <t>STANDBY</t>
        </is>
      </c>
      <c r="G18357" s="8" t="n">
        <v>0</v>
      </c>
      <c r="H18357" s="8" t="inlineStr">
        <is>
          <t>CLOSED</t>
        </is>
      </c>
    </row>
    <row r="18358">
      <c r="A18358" s="8" t="inlineStr">
        <is>
          <t>2026-08-04</t>
        </is>
      </c>
      <c r="B18358" s="8" t="n">
        <v>8</v>
      </c>
      <c r="C18358" s="8" t="n">
        <v>15</v>
      </c>
      <c r="D18358" s="8" t="inlineStr">
        <is>
          <t>Disneyland Park</t>
        </is>
      </c>
      <c r="E18358" s="8" t="inlineStr">
        <is>
          <t>Le Passage Enchanté d'Aladdin</t>
        </is>
      </c>
      <c r="F18358" s="8" t="inlineStr">
        <is>
          <t>STANDBY</t>
        </is>
      </c>
      <c r="G18358" s="8" t="n">
        <v>0</v>
      </c>
      <c r="H18358" s="8" t="inlineStr">
        <is>
          <t>CLOSED</t>
        </is>
      </c>
    </row>
    <row r="18359">
      <c r="A18359" s="8" t="inlineStr">
        <is>
          <t>2026-08-04</t>
        </is>
      </c>
      <c r="B18359" s="8" t="n">
        <v>8</v>
      </c>
      <c r="C18359" s="8" t="n">
        <v>15</v>
      </c>
      <c r="D18359" s="8" t="inlineStr">
        <is>
          <t>Disneyland Park</t>
        </is>
      </c>
      <c r="E18359" s="8" t="inlineStr">
        <is>
          <t>Pirate Galleon</t>
        </is>
      </c>
      <c r="F18359" s="8" t="inlineStr">
        <is>
          <t>STANDBY</t>
        </is>
      </c>
      <c r="G18359" s="8" t="n">
        <v>0</v>
      </c>
      <c r="H18359" s="8" t="inlineStr">
        <is>
          <t>CLOSED</t>
        </is>
      </c>
    </row>
    <row r="18360">
      <c r="A18360" s="8" t="inlineStr">
        <is>
          <t>2026-08-04</t>
        </is>
      </c>
      <c r="B18360" s="8" t="n">
        <v>8</v>
      </c>
      <c r="C18360" s="8" t="n">
        <v>15</v>
      </c>
      <c r="D18360" s="8" t="inlineStr">
        <is>
          <t>Disneyland Park</t>
        </is>
      </c>
      <c r="E18360" s="8" t="inlineStr">
        <is>
          <t>Pirates of the Caribbean</t>
        </is>
      </c>
      <c r="F18360" s="8" t="inlineStr">
        <is>
          <t>STANDBY</t>
        </is>
      </c>
      <c r="G18360" s="8" t="n">
        <v>0</v>
      </c>
      <c r="H18360" s="8" t="inlineStr">
        <is>
          <t>CLOSED</t>
        </is>
      </c>
    </row>
    <row r="18361">
      <c r="A18361" s="8" t="inlineStr">
        <is>
          <t>2026-08-04</t>
        </is>
      </c>
      <c r="B18361" s="8" t="n">
        <v>8</v>
      </c>
      <c r="C18361" s="8" t="n">
        <v>15</v>
      </c>
      <c r="D18361" s="8" t="inlineStr">
        <is>
          <t>Disneyland Park</t>
        </is>
      </c>
      <c r="E18361" s="8" t="inlineStr">
        <is>
          <t>Pirates' Beach</t>
        </is>
      </c>
      <c r="F18361" s="8" t="inlineStr">
        <is>
          <t>STANDBY</t>
        </is>
      </c>
      <c r="G18361" s="8" t="n">
        <v>0</v>
      </c>
      <c r="H18361" s="8" t="inlineStr">
        <is>
          <t>CLOSED</t>
        </is>
      </c>
    </row>
    <row r="18362">
      <c r="A18362" s="8" t="inlineStr">
        <is>
          <t>2026-08-04</t>
        </is>
      </c>
      <c r="B18362" s="8" t="n">
        <v>8</v>
      </c>
      <c r="C18362" s="8" t="n">
        <v>15</v>
      </c>
      <c r="D18362" s="8" t="inlineStr">
        <is>
          <t>Disneyland Park</t>
        </is>
      </c>
      <c r="E18362" s="8" t="inlineStr">
        <is>
          <t>Autopia, presented by Avis</t>
        </is>
      </c>
      <c r="F18362" s="8" t="inlineStr">
        <is>
          <t>STANDBY</t>
        </is>
      </c>
      <c r="G18362" s="8" t="n">
        <v>0</v>
      </c>
      <c r="H18362" s="8" t="inlineStr">
        <is>
          <t>CLOSED</t>
        </is>
      </c>
    </row>
    <row r="18363">
      <c r="A18363" s="8" t="inlineStr">
        <is>
          <t>2026-08-04</t>
        </is>
      </c>
      <c r="B18363" s="8" t="n">
        <v>8</v>
      </c>
      <c r="C18363" s="8" t="n">
        <v>15</v>
      </c>
      <c r="D18363" s="8" t="inlineStr">
        <is>
          <t>Disneyland Park</t>
        </is>
      </c>
      <c r="E18363" s="8" t="inlineStr">
        <is>
          <t>Buzz Lightyear Laser Blast</t>
        </is>
      </c>
      <c r="F18363" s="8" t="inlineStr">
        <is>
          <t>STANDBY</t>
        </is>
      </c>
      <c r="G18363" s="8" t="n">
        <v>0</v>
      </c>
      <c r="H18363" s="8" t="inlineStr">
        <is>
          <t>CLOSED</t>
        </is>
      </c>
    </row>
    <row r="18364">
      <c r="A18364" s="8" t="inlineStr">
        <is>
          <t>2026-08-04</t>
        </is>
      </c>
      <c r="B18364" s="8" t="n">
        <v>8</v>
      </c>
      <c r="C18364" s="8" t="n">
        <v>15</v>
      </c>
      <c r="D18364" s="8" t="inlineStr">
        <is>
          <t>Disneyland Park</t>
        </is>
      </c>
      <c r="E18364" s="8" t="inlineStr">
        <is>
          <t>Disneyland Railroad Discoveryland Station</t>
        </is>
      </c>
      <c r="F18364" s="8" t="inlineStr">
        <is>
          <t>STANDBY</t>
        </is>
      </c>
      <c r="G18364" s="8" t="n">
        <v>0</v>
      </c>
      <c r="H18364" s="8" t="inlineStr">
        <is>
          <t>CLOSED</t>
        </is>
      </c>
    </row>
    <row r="18365">
      <c r="A18365" s="8" t="inlineStr">
        <is>
          <t>2026-08-04</t>
        </is>
      </c>
      <c r="B18365" s="8" t="n">
        <v>8</v>
      </c>
      <c r="C18365" s="8" t="n">
        <v>15</v>
      </c>
      <c r="D18365" s="8" t="inlineStr">
        <is>
          <t>Disneyland Park</t>
        </is>
      </c>
      <c r="E18365" s="8" t="inlineStr">
        <is>
          <t>Les Mystères du Nautilus</t>
        </is>
      </c>
      <c r="F18365" s="8" t="inlineStr">
        <is>
          <t>STANDBY</t>
        </is>
      </c>
      <c r="G18365" s="8" t="n">
        <v>0</v>
      </c>
      <c r="H18365" s="8" t="inlineStr">
        <is>
          <t>CLOSED</t>
        </is>
      </c>
    </row>
    <row r="18366">
      <c r="A18366" s="8" t="inlineStr">
        <is>
          <t>2026-08-04</t>
        </is>
      </c>
      <c r="B18366" s="8" t="n">
        <v>8</v>
      </c>
      <c r="C18366" s="8" t="n">
        <v>15</v>
      </c>
      <c r="D18366" s="8" t="inlineStr">
        <is>
          <t>Disneyland Park</t>
        </is>
      </c>
      <c r="E18366" s="8" t="inlineStr">
        <is>
          <t>Mickey’s PhilharMagic</t>
        </is>
      </c>
      <c r="F18366" s="8" t="inlineStr">
        <is>
          <t>STANDBY</t>
        </is>
      </c>
      <c r="G18366" s="8" t="n">
        <v>0</v>
      </c>
      <c r="H18366" s="8" t="inlineStr">
        <is>
          <t>CLOSED</t>
        </is>
      </c>
    </row>
    <row r="18367">
      <c r="A18367" s="8" t="inlineStr">
        <is>
          <t>2026-08-04</t>
        </is>
      </c>
      <c r="B18367" s="8" t="n">
        <v>8</v>
      </c>
      <c r="C18367" s="8" t="n">
        <v>15</v>
      </c>
      <c r="D18367" s="8" t="inlineStr">
        <is>
          <t>Disneyland Park</t>
        </is>
      </c>
      <c r="E18367" s="8" t="inlineStr">
        <is>
          <t>Orbitron®</t>
        </is>
      </c>
      <c r="F18367" s="8" t="inlineStr">
        <is>
          <t>STANDBY</t>
        </is>
      </c>
      <c r="G18367" s="8" t="n">
        <v>0</v>
      </c>
      <c r="H18367" s="8" t="inlineStr">
        <is>
          <t>CLOSED</t>
        </is>
      </c>
    </row>
    <row r="18368">
      <c r="A18368" s="8" t="inlineStr">
        <is>
          <t>2026-08-04</t>
        </is>
      </c>
      <c r="B18368" s="8" t="n">
        <v>8</v>
      </c>
      <c r="C18368" s="8" t="n">
        <v>15</v>
      </c>
      <c r="D18368" s="8" t="inlineStr">
        <is>
          <t>Disneyland Park</t>
        </is>
      </c>
      <c r="E18368" s="8" t="inlineStr">
        <is>
          <t>Star Tours: The Adventures Continue*</t>
        </is>
      </c>
      <c r="F18368" s="8" t="inlineStr">
        <is>
          <t>STANDBY</t>
        </is>
      </c>
      <c r="G18368" s="8" t="n">
        <v>0</v>
      </c>
      <c r="H18368" s="8" t="inlineStr">
        <is>
          <t>CLOSED</t>
        </is>
      </c>
    </row>
    <row r="18369">
      <c r="A18369" s="8" t="inlineStr">
        <is>
          <t>2026-08-04</t>
        </is>
      </c>
      <c r="B18369" s="8" t="n">
        <v>8</v>
      </c>
      <c r="C18369" s="8" t="n">
        <v>15</v>
      </c>
      <c r="D18369" s="8" t="inlineStr">
        <is>
          <t>Disneyland Park</t>
        </is>
      </c>
      <c r="E18369" s="8" t="inlineStr">
        <is>
          <t>Star Wars Hyperspace Mountain</t>
        </is>
      </c>
      <c r="F18369" s="8" t="inlineStr">
        <is>
          <t>STANDBY</t>
        </is>
      </c>
      <c r="G18369" s="8" t="n">
        <v>0</v>
      </c>
      <c r="H18369" s="8" t="inlineStr">
        <is>
          <t>CLOSED</t>
        </is>
      </c>
    </row>
    <row r="18370">
      <c r="A18370" s="8" t="inlineStr">
        <is>
          <t>2026-08-04</t>
        </is>
      </c>
      <c r="B18370" s="8" t="n">
        <v>8</v>
      </c>
      <c r="C18370" s="8" t="n">
        <v>15</v>
      </c>
      <c r="D18370" s="8" t="inlineStr">
        <is>
          <t>Disneyland Park</t>
        </is>
      </c>
      <c r="E18370" s="8" t="inlineStr">
        <is>
          <t>Star Wars Hyperspace Mountain Single Rider</t>
        </is>
      </c>
      <c r="F18370" s="8" t="inlineStr">
        <is>
          <t>STANDBY</t>
        </is>
      </c>
      <c r="G18370" s="8" t="n">
        <v>0</v>
      </c>
      <c r="H18370" s="8" t="inlineStr">
        <is>
          <t>CLOSED</t>
        </is>
      </c>
    </row>
    <row r="18371">
      <c r="A18371" s="8" t="inlineStr">
        <is>
          <t>2026-08-04</t>
        </is>
      </c>
      <c r="B18371" s="8" t="n">
        <v>8</v>
      </c>
      <c r="C18371" s="8" t="n">
        <v>15</v>
      </c>
      <c r="D18371" s="8" t="inlineStr">
        <is>
          <t>Disneyland Park</t>
        </is>
      </c>
      <c r="E18371" s="8" t="inlineStr">
        <is>
          <t>Welcome to Starport: A Star Wars Encounter</t>
        </is>
      </c>
      <c r="F18371" s="8" t="inlineStr">
        <is>
          <t>STANDBY</t>
        </is>
      </c>
      <c r="G18371" s="8" t="n">
        <v>0</v>
      </c>
      <c r="H18371" s="8" t="inlineStr">
        <is>
          <t>CLOSED</t>
        </is>
      </c>
    </row>
    <row r="18372">
      <c r="A18372" s="8" t="inlineStr">
        <is>
          <t>2026-08-04</t>
        </is>
      </c>
      <c r="B18372" s="8" t="n">
        <v>8</v>
      </c>
      <c r="C18372" s="8" t="n">
        <v>15</v>
      </c>
      <c r="D18372" s="8" t="inlineStr">
        <is>
          <t>Disneyland Park</t>
        </is>
      </c>
      <c r="E18372" s="8" t="inlineStr">
        <is>
          <t>"it's a small world"</t>
        </is>
      </c>
      <c r="F18372" s="8" t="inlineStr">
        <is>
          <t>STANDBY</t>
        </is>
      </c>
      <c r="G18372" s="8" t="n">
        <v>0</v>
      </c>
      <c r="H18372" s="8" t="inlineStr">
        <is>
          <t>CLOSED</t>
        </is>
      </c>
    </row>
    <row r="18373">
      <c r="A18373" s="8" t="inlineStr">
        <is>
          <t>2026-08-04</t>
        </is>
      </c>
      <c r="B18373" s="8" t="n">
        <v>8</v>
      </c>
      <c r="C18373" s="8" t="n">
        <v>15</v>
      </c>
      <c r="D18373" s="8" t="inlineStr">
        <is>
          <t>Disneyland Park</t>
        </is>
      </c>
      <c r="E18373" s="8" t="inlineStr">
        <is>
          <t>Alice's Curious Labyrinth</t>
        </is>
      </c>
      <c r="F18373" s="8" t="inlineStr">
        <is>
          <t>STANDBY</t>
        </is>
      </c>
      <c r="G18373" s="8" t="n">
        <v>0</v>
      </c>
      <c r="H18373" s="8" t="inlineStr">
        <is>
          <t>CLOSED</t>
        </is>
      </c>
    </row>
    <row r="18374">
      <c r="A18374" s="8" t="inlineStr">
        <is>
          <t>2026-08-04</t>
        </is>
      </c>
      <c r="B18374" s="8" t="n">
        <v>8</v>
      </c>
      <c r="C18374" s="8" t="n">
        <v>15</v>
      </c>
      <c r="D18374" s="8" t="inlineStr">
        <is>
          <t>Disneyland Park</t>
        </is>
      </c>
      <c r="E18374" s="8" t="inlineStr">
        <is>
          <t>Blanche-Neige et les Sept Nains®</t>
        </is>
      </c>
      <c r="F18374" s="8" t="inlineStr">
        <is>
          <t>STANDBY</t>
        </is>
      </c>
      <c r="G18374" s="8" t="n">
        <v>0</v>
      </c>
      <c r="H18374" s="8" t="inlineStr">
        <is>
          <t>CLOSED</t>
        </is>
      </c>
    </row>
    <row r="18375">
      <c r="A18375" s="8" t="inlineStr">
        <is>
          <t>2026-08-04</t>
        </is>
      </c>
      <c r="B18375" s="8" t="n">
        <v>8</v>
      </c>
      <c r="C18375" s="8" t="n">
        <v>15</v>
      </c>
      <c r="D18375" s="8" t="inlineStr">
        <is>
          <t>Disneyland Park</t>
        </is>
      </c>
      <c r="E18375" s="8" t="inlineStr">
        <is>
          <t>Casey Jr. – le Petit Train du Cirque</t>
        </is>
      </c>
      <c r="F18375" s="8" t="inlineStr">
        <is>
          <t>STANDBY</t>
        </is>
      </c>
      <c r="G18375" s="8" t="n">
        <v>0</v>
      </c>
      <c r="H18375" s="8" t="inlineStr">
        <is>
          <t>CLOSED</t>
        </is>
      </c>
    </row>
    <row r="18376">
      <c r="A18376" s="8" t="inlineStr">
        <is>
          <t>2026-08-04</t>
        </is>
      </c>
      <c r="B18376" s="8" t="n">
        <v>8</v>
      </c>
      <c r="C18376" s="8" t="n">
        <v>15</v>
      </c>
      <c r="D18376" s="8" t="inlineStr">
        <is>
          <t>Disneyland Park</t>
        </is>
      </c>
      <c r="E18376" s="8" t="inlineStr">
        <is>
          <t>Disneyland Railroad Fantasyland Station</t>
        </is>
      </c>
      <c r="F18376" s="8" t="inlineStr">
        <is>
          <t>STANDBY</t>
        </is>
      </c>
      <c r="G18376" s="8" t="n">
        <v>0</v>
      </c>
      <c r="H18376" s="8" t="inlineStr">
        <is>
          <t>CLOSED</t>
        </is>
      </c>
    </row>
    <row r="18377">
      <c r="A18377" s="8" t="inlineStr">
        <is>
          <t>2026-08-04</t>
        </is>
      </c>
      <c r="B18377" s="8" t="n">
        <v>8</v>
      </c>
      <c r="C18377" s="8" t="n">
        <v>15</v>
      </c>
      <c r="D18377" s="8" t="inlineStr">
        <is>
          <t>Disneyland Park</t>
        </is>
      </c>
      <c r="E18377" s="8" t="inlineStr">
        <is>
          <t>Disneyland Railroad Main Street Station</t>
        </is>
      </c>
      <c r="F18377" s="8" t="inlineStr">
        <is>
          <t>STANDBY</t>
        </is>
      </c>
      <c r="G18377" s="8" t="n">
        <v>0</v>
      </c>
      <c r="H18377" s="8" t="inlineStr">
        <is>
          <t>CLOSED</t>
        </is>
      </c>
    </row>
    <row r="18378">
      <c r="A18378" s="8" t="inlineStr">
        <is>
          <t>2026-08-04</t>
        </is>
      </c>
      <c r="B18378" s="8" t="n">
        <v>8</v>
      </c>
      <c r="C18378" s="8" t="n">
        <v>15</v>
      </c>
      <c r="D18378" s="8" t="inlineStr">
        <is>
          <t>Disneyland Park</t>
        </is>
      </c>
      <c r="E18378" s="8" t="inlineStr">
        <is>
          <t>Dumbo the Flying Elephant</t>
        </is>
      </c>
      <c r="F18378" s="8" t="inlineStr">
        <is>
          <t>STANDBY</t>
        </is>
      </c>
      <c r="G18378" s="8" t="n">
        <v>0</v>
      </c>
      <c r="H18378" s="8" t="inlineStr">
        <is>
          <t>CLOSED</t>
        </is>
      </c>
    </row>
    <row r="18379">
      <c r="A18379" s="8" t="inlineStr">
        <is>
          <t>2026-08-04</t>
        </is>
      </c>
      <c r="B18379" s="8" t="n">
        <v>8</v>
      </c>
      <c r="C18379" s="8" t="n">
        <v>15</v>
      </c>
      <c r="D18379" s="8" t="inlineStr">
        <is>
          <t>Disneyland Park</t>
        </is>
      </c>
      <c r="E18379" s="8" t="inlineStr">
        <is>
          <t>La Tanière du Dragon</t>
        </is>
      </c>
      <c r="F18379" s="8" t="inlineStr">
        <is>
          <t>STANDBY</t>
        </is>
      </c>
      <c r="G18379" s="8" t="n">
        <v>0</v>
      </c>
      <c r="H18379" s="8" t="inlineStr">
        <is>
          <t>CLOSED</t>
        </is>
      </c>
    </row>
    <row r="18380">
      <c r="A18380" s="8" t="inlineStr">
        <is>
          <t>2026-08-04</t>
        </is>
      </c>
      <c r="B18380" s="8" t="n">
        <v>8</v>
      </c>
      <c r="C18380" s="8" t="n">
        <v>15</v>
      </c>
      <c r="D18380" s="8" t="inlineStr">
        <is>
          <t>Disneyland Park</t>
        </is>
      </c>
      <c r="E18380" s="8" t="inlineStr">
        <is>
          <t>Le Carrousel de Lancelot</t>
        </is>
      </c>
      <c r="F18380" s="8" t="inlineStr">
        <is>
          <t>STANDBY</t>
        </is>
      </c>
      <c r="G18380" s="8" t="n">
        <v>0</v>
      </c>
      <c r="H18380" s="8" t="inlineStr">
        <is>
          <t>CLOSED</t>
        </is>
      </c>
    </row>
    <row r="18381">
      <c r="A18381" s="8" t="inlineStr">
        <is>
          <t>2026-08-04</t>
        </is>
      </c>
      <c r="B18381" s="8" t="n">
        <v>8</v>
      </c>
      <c r="C18381" s="8" t="n">
        <v>15</v>
      </c>
      <c r="D18381" s="8" t="inlineStr">
        <is>
          <t>Disneyland Park</t>
        </is>
      </c>
      <c r="E18381" s="8" t="inlineStr">
        <is>
          <t>Le Pays des Contes de Fées, presented by Vittel</t>
        </is>
      </c>
      <c r="F18381" s="8" t="inlineStr">
        <is>
          <t>STANDBY</t>
        </is>
      </c>
      <c r="G18381" s="8" t="n">
        <v>0</v>
      </c>
      <c r="H18381" s="8" t="inlineStr">
        <is>
          <t>CLOSED</t>
        </is>
      </c>
    </row>
    <row r="18382">
      <c r="A18382" s="8" t="inlineStr">
        <is>
          <t>2026-08-04</t>
        </is>
      </c>
      <c r="B18382" s="8" t="n">
        <v>8</v>
      </c>
      <c r="C18382" s="8" t="n">
        <v>15</v>
      </c>
      <c r="D18382" s="8" t="inlineStr">
        <is>
          <t>Disneyland Park</t>
        </is>
      </c>
      <c r="E18382" s="8" t="inlineStr">
        <is>
          <t>Les Voyages de Pinocchio</t>
        </is>
      </c>
      <c r="F18382" s="8" t="inlineStr">
        <is>
          <t>STANDBY</t>
        </is>
      </c>
      <c r="G18382" s="8" t="n">
        <v>0</v>
      </c>
      <c r="H18382" s="8" t="inlineStr">
        <is>
          <t>CLOSED</t>
        </is>
      </c>
    </row>
    <row r="18383">
      <c r="A18383" s="8" t="inlineStr">
        <is>
          <t>2026-08-04</t>
        </is>
      </c>
      <c r="B18383" s="8" t="n">
        <v>8</v>
      </c>
      <c r="C18383" s="8" t="n">
        <v>15</v>
      </c>
      <c r="D18383" s="8" t="inlineStr">
        <is>
          <t>Disneyland Park</t>
        </is>
      </c>
      <c r="E18383" s="8" t="inlineStr">
        <is>
          <t>Mad Hatter's Tea Cups</t>
        </is>
      </c>
      <c r="F18383" s="8" t="inlineStr">
        <is>
          <t>STANDBY</t>
        </is>
      </c>
      <c r="G18383" s="8" t="n">
        <v>0</v>
      </c>
      <c r="H18383" s="8" t="inlineStr">
        <is>
          <t>CLOSED</t>
        </is>
      </c>
    </row>
    <row r="18384">
      <c r="A18384" s="8" t="inlineStr">
        <is>
          <t>2026-08-04</t>
        </is>
      </c>
      <c r="B18384" s="8" t="n">
        <v>8</v>
      </c>
      <c r="C18384" s="8" t="n">
        <v>15</v>
      </c>
      <c r="D18384" s="8" t="inlineStr">
        <is>
          <t>Disneyland Park</t>
        </is>
      </c>
      <c r="E18384" s="8" t="inlineStr">
        <is>
          <t>Meet Mickey Mouse</t>
        </is>
      </c>
      <c r="F18384" s="8" t="inlineStr">
        <is>
          <t>STANDBY</t>
        </is>
      </c>
      <c r="G18384" s="8" t="n">
        <v>0</v>
      </c>
      <c r="H18384" s="8" t="inlineStr">
        <is>
          <t>CLOSED</t>
        </is>
      </c>
    </row>
    <row r="18385">
      <c r="A18385" s="8" t="inlineStr">
        <is>
          <t>2026-08-04</t>
        </is>
      </c>
      <c r="B18385" s="8" t="n">
        <v>8</v>
      </c>
      <c r="C18385" s="8" t="n">
        <v>15</v>
      </c>
      <c r="D18385" s="8" t="inlineStr">
        <is>
          <t>Disneyland Park</t>
        </is>
      </c>
      <c r="E18385" s="8" t="inlineStr">
        <is>
          <t>Peter Pan's Flight</t>
        </is>
      </c>
      <c r="F18385" s="8" t="inlineStr">
        <is>
          <t>STANDBY</t>
        </is>
      </c>
      <c r="G18385" s="8" t="n">
        <v>0</v>
      </c>
      <c r="H18385" s="8" t="inlineStr">
        <is>
          <t>CLOSED</t>
        </is>
      </c>
    </row>
    <row r="18386">
      <c r="A18386" s="8" t="inlineStr">
        <is>
          <t>2026-08-04</t>
        </is>
      </c>
      <c r="B18386" s="8" t="n">
        <v>8</v>
      </c>
      <c r="C18386" s="8" t="n">
        <v>15</v>
      </c>
      <c r="D18386" s="8" t="inlineStr">
        <is>
          <t>Disneyland Park</t>
        </is>
      </c>
      <c r="E18386" s="8" t="inlineStr">
        <is>
          <t>Princess Pavilion</t>
        </is>
      </c>
      <c r="F18386" s="8" t="inlineStr">
        <is>
          <t>STANDBY</t>
        </is>
      </c>
      <c r="G18386" s="8" t="n">
        <v>0</v>
      </c>
      <c r="H18386" s="8" t="inlineStr">
        <is>
          <t>CLOSED</t>
        </is>
      </c>
    </row>
    <row r="18387">
      <c r="A18387" s="8" t="inlineStr">
        <is>
          <t>2026-08-04</t>
        </is>
      </c>
      <c r="B18387" s="8" t="n">
        <v>8</v>
      </c>
      <c r="C18387" s="8" t="n">
        <v>15</v>
      </c>
      <c r="D18387" s="8" t="inlineStr">
        <is>
          <t>Disneyland Park</t>
        </is>
      </c>
      <c r="E18387" s="8" t="inlineStr">
        <is>
          <t>Big Thunder Mountain</t>
        </is>
      </c>
      <c r="F18387" s="8" t="inlineStr">
        <is>
          <t>STANDBY</t>
        </is>
      </c>
      <c r="G18387" s="8" t="n">
        <v>0</v>
      </c>
      <c r="H18387" s="8" t="inlineStr">
        <is>
          <t>CLOSED</t>
        </is>
      </c>
    </row>
    <row r="18388">
      <c r="A18388" s="8" t="inlineStr">
        <is>
          <t>2026-08-04</t>
        </is>
      </c>
      <c r="B18388" s="8" t="n">
        <v>8</v>
      </c>
      <c r="C18388" s="8" t="n">
        <v>15</v>
      </c>
      <c r="D18388" s="8" t="inlineStr">
        <is>
          <t>Disneyland Park</t>
        </is>
      </c>
      <c r="E18388" s="8" t="inlineStr">
        <is>
          <t>Disneyland Railroad Frontierland Depot</t>
        </is>
      </c>
      <c r="F18388" s="8" t="inlineStr">
        <is>
          <t>STANDBY</t>
        </is>
      </c>
      <c r="G18388" s="8" t="n">
        <v>0</v>
      </c>
      <c r="H18388" s="8" t="inlineStr">
        <is>
          <t>CLOSED</t>
        </is>
      </c>
    </row>
    <row r="18389">
      <c r="A18389" s="8" t="inlineStr">
        <is>
          <t>2026-08-04</t>
        </is>
      </c>
      <c r="B18389" s="8" t="n">
        <v>8</v>
      </c>
      <c r="C18389" s="8" t="n">
        <v>15</v>
      </c>
      <c r="D18389" s="8" t="inlineStr">
        <is>
          <t>Disneyland Park</t>
        </is>
      </c>
      <c r="E18389" s="8" t="inlineStr">
        <is>
          <t>Frontierland Playground</t>
        </is>
      </c>
      <c r="F18389" s="8" t="inlineStr">
        <is>
          <t>STANDBY</t>
        </is>
      </c>
      <c r="G18389" s="8" t="n">
        <v>0</v>
      </c>
      <c r="H18389" s="8" t="inlineStr">
        <is>
          <t>CLOSED</t>
        </is>
      </c>
    </row>
    <row r="18390">
      <c r="A18390" s="8" t="inlineStr">
        <is>
          <t>2026-08-04</t>
        </is>
      </c>
      <c r="B18390" s="8" t="n">
        <v>8</v>
      </c>
      <c r="C18390" s="8" t="n">
        <v>15</v>
      </c>
      <c r="D18390" s="8" t="inlineStr">
        <is>
          <t>Disneyland Park</t>
        </is>
      </c>
      <c r="E18390" s="8" t="inlineStr">
        <is>
          <t>Phantom Manor</t>
        </is>
      </c>
      <c r="F18390" s="8" t="inlineStr">
        <is>
          <t>STANDBY</t>
        </is>
      </c>
      <c r="G18390" s="8" t="n">
        <v>0</v>
      </c>
      <c r="H18390" s="8" t="inlineStr">
        <is>
          <t>CLOSED</t>
        </is>
      </c>
    </row>
    <row r="18391">
      <c r="A18391" s="8" t="inlineStr">
        <is>
          <t>2026-08-04</t>
        </is>
      </c>
      <c r="B18391" s="8" t="n">
        <v>8</v>
      </c>
      <c r="C18391" s="8" t="n">
        <v>15</v>
      </c>
      <c r="D18391" s="8" t="inlineStr">
        <is>
          <t>Disneyland Park</t>
        </is>
      </c>
      <c r="E18391" s="8" t="inlineStr">
        <is>
          <t>River Rogue Keelboats</t>
        </is>
      </c>
      <c r="F18391" s="8" t="inlineStr">
        <is>
          <t>STANDBY</t>
        </is>
      </c>
      <c r="G18391" s="8" t="n">
        <v>0</v>
      </c>
      <c r="H18391" s="8" t="inlineStr">
        <is>
          <t>CLOSED</t>
        </is>
      </c>
    </row>
    <row r="18392">
      <c r="A18392" s="8" t="inlineStr">
        <is>
          <t>2026-08-04</t>
        </is>
      </c>
      <c r="B18392" s="8" t="n">
        <v>8</v>
      </c>
      <c r="C18392" s="8" t="n">
        <v>15</v>
      </c>
      <c r="D18392" s="8" t="inlineStr">
        <is>
          <t>Disneyland Park</t>
        </is>
      </c>
      <c r="E18392" s="8" t="inlineStr">
        <is>
          <t>Rustler Roundup Shootin' Gallery</t>
        </is>
      </c>
      <c r="F18392" s="8" t="inlineStr">
        <is>
          <t>STANDBY</t>
        </is>
      </c>
      <c r="G18392" s="8" t="n">
        <v>0</v>
      </c>
      <c r="H18392" s="8" t="inlineStr">
        <is>
          <t>CLOSED</t>
        </is>
      </c>
    </row>
    <row r="18393">
      <c r="A18393" s="8" t="inlineStr">
        <is>
          <t>2026-08-04</t>
        </is>
      </c>
      <c r="B18393" s="8" t="n">
        <v>8</v>
      </c>
      <c r="C18393" s="8" t="n">
        <v>15</v>
      </c>
      <c r="D18393" s="8" t="inlineStr">
        <is>
          <t>Disneyland Park</t>
        </is>
      </c>
      <c r="E18393" s="8" t="inlineStr">
        <is>
          <t>Thunder Mesa Riverboat Landing</t>
        </is>
      </c>
      <c r="F18393" s="8" t="inlineStr">
        <is>
          <t>STANDBY</t>
        </is>
      </c>
      <c r="G18393" s="8" t="n">
        <v>0</v>
      </c>
      <c r="H18393" s="8" t="inlineStr">
        <is>
          <t>CLOSED</t>
        </is>
      </c>
    </row>
    <row r="18394">
      <c r="A18394" s="8" t="inlineStr">
        <is>
          <t>2026-08-04</t>
        </is>
      </c>
      <c r="B18394" s="8" t="n">
        <v>8</v>
      </c>
      <c r="C18394" s="8" t="n">
        <v>15</v>
      </c>
      <c r="D18394" s="8" t="inlineStr">
        <is>
          <t>Disneyland Park</t>
        </is>
      </c>
      <c r="E18394" s="8" t="inlineStr">
        <is>
          <t>Disneyland Railroad Main Street Station</t>
        </is>
      </c>
      <c r="F18394" s="8" t="inlineStr">
        <is>
          <t>STANDBY</t>
        </is>
      </c>
      <c r="G18394" s="8" t="n">
        <v>0</v>
      </c>
      <c r="H18394" s="8" t="inlineStr">
        <is>
          <t>CLOSED</t>
        </is>
      </c>
    </row>
    <row r="18395">
      <c r="A18395" s="8" t="inlineStr">
        <is>
          <t>2026-08-04</t>
        </is>
      </c>
      <c r="B18395" s="8" t="n">
        <v>8</v>
      </c>
      <c r="C18395" s="8" t="n">
        <v>15</v>
      </c>
      <c r="D18395" s="8" t="inlineStr">
        <is>
          <t>Disneyland Park</t>
        </is>
      </c>
      <c r="E18395" s="8" t="inlineStr">
        <is>
          <t>Main Street Vehicles</t>
        </is>
      </c>
      <c r="F18395" s="8" t="inlineStr">
        <is>
          <t>STANDBY</t>
        </is>
      </c>
      <c r="G18395" s="8" t="n">
        <v>0</v>
      </c>
      <c r="H18395" s="8" t="inlineStr">
        <is>
          <t>CLOSED</t>
        </is>
      </c>
    </row>
    <row r="18396">
      <c r="A18396" s="8" t="inlineStr">
        <is>
          <t>2026-08-04</t>
        </is>
      </c>
      <c r="B18396" s="8" t="n">
        <v>8</v>
      </c>
      <c r="C18396" s="8" t="n">
        <v>15</v>
      </c>
      <c r="D18396" s="8" t="inlineStr">
        <is>
          <t>Disney Adventure World</t>
        </is>
      </c>
      <c r="E18396" s="8" t="inlineStr">
        <is>
          <t>Avengers Assemble: Flight Force</t>
        </is>
      </c>
      <c r="F18396" s="8" t="inlineStr">
        <is>
          <t>STANDBY</t>
        </is>
      </c>
      <c r="G18396" s="8" t="n">
        <v>0</v>
      </c>
      <c r="H18396" s="8" t="inlineStr">
        <is>
          <t>CLOSED</t>
        </is>
      </c>
    </row>
    <row r="18397">
      <c r="A18397" s="8" t="inlineStr">
        <is>
          <t>2026-08-04</t>
        </is>
      </c>
      <c r="B18397" s="8" t="n">
        <v>8</v>
      </c>
      <c r="C18397" s="8" t="n">
        <v>15</v>
      </c>
      <c r="D18397" s="8" t="inlineStr">
        <is>
          <t>Disney Adventure World</t>
        </is>
      </c>
      <c r="E18397" s="8" t="inlineStr">
        <is>
          <t>Avengers Assemble: Flight Force Single Rider</t>
        </is>
      </c>
      <c r="F18397" s="8" t="inlineStr">
        <is>
          <t>STANDBY</t>
        </is>
      </c>
      <c r="G18397" s="8" t="n">
        <v>0</v>
      </c>
      <c r="H18397" s="8" t="inlineStr">
        <is>
          <t>CLOSED</t>
        </is>
      </c>
    </row>
    <row r="18398">
      <c r="A18398" s="8" t="inlineStr">
        <is>
          <t>2026-08-04</t>
        </is>
      </c>
      <c r="B18398" s="8" t="n">
        <v>8</v>
      </c>
      <c r="C18398" s="8" t="n">
        <v>15</v>
      </c>
      <c r="D18398" s="8" t="inlineStr">
        <is>
          <t>Disney Adventure World</t>
        </is>
      </c>
      <c r="E18398" s="8" t="inlineStr">
        <is>
          <t>Spider-Man W.E.B. Adventure</t>
        </is>
      </c>
      <c r="F18398" s="8" t="inlineStr">
        <is>
          <t>STANDBY</t>
        </is>
      </c>
      <c r="G18398" s="8" t="n">
        <v>0</v>
      </c>
      <c r="H18398" s="8" t="inlineStr">
        <is>
          <t>CLOSED</t>
        </is>
      </c>
    </row>
    <row r="18399">
      <c r="A18399" s="8" t="inlineStr">
        <is>
          <t>2026-08-04</t>
        </is>
      </c>
      <c r="B18399" s="8" t="n">
        <v>8</v>
      </c>
      <c r="C18399" s="8" t="n">
        <v>15</v>
      </c>
      <c r="D18399" s="8" t="inlineStr">
        <is>
          <t>Disney Adventure World</t>
        </is>
      </c>
      <c r="E18399" s="8" t="inlineStr">
        <is>
          <t>Spider-Man W.E.B. Adventure Single Rider</t>
        </is>
      </c>
      <c r="F18399" s="8" t="inlineStr">
        <is>
          <t>STANDBY</t>
        </is>
      </c>
      <c r="G18399" s="8" t="n">
        <v>0</v>
      </c>
      <c r="H18399" s="8" t="inlineStr">
        <is>
          <t>CLOSED</t>
        </is>
      </c>
    </row>
    <row r="18400">
      <c r="A18400" s="8" t="inlineStr">
        <is>
          <t>2026-08-04</t>
        </is>
      </c>
      <c r="B18400" s="8" t="n">
        <v>8</v>
      </c>
      <c r="C18400" s="8" t="n">
        <v>15</v>
      </c>
      <c r="D18400" s="8" t="inlineStr">
        <is>
          <t>Disney Adventure World</t>
        </is>
      </c>
      <c r="E18400" s="8" t="inlineStr">
        <is>
          <t>The Twilight Zone Tower of Terror</t>
        </is>
      </c>
      <c r="F18400" s="8" t="inlineStr">
        <is>
          <t>STANDBY</t>
        </is>
      </c>
      <c r="G18400" s="8" t="n">
        <v>0</v>
      </c>
      <c r="H18400" s="8" t="inlineStr">
        <is>
          <t>CLOSED</t>
        </is>
      </c>
    </row>
    <row r="18401">
      <c r="A18401" s="8" t="inlineStr">
        <is>
          <t>2026-08-04</t>
        </is>
      </c>
      <c r="B18401" s="8" t="n">
        <v>8</v>
      </c>
      <c r="C18401" s="8" t="n">
        <v>15</v>
      </c>
      <c r="D18401" s="8" t="inlineStr">
        <is>
          <t>Disney Adventure World</t>
        </is>
      </c>
      <c r="E18401" s="8" t="inlineStr">
        <is>
          <t>Cars Quatre Roues Rallye</t>
        </is>
      </c>
      <c r="F18401" s="8" t="inlineStr">
        <is>
          <t>STANDBY</t>
        </is>
      </c>
      <c r="G18401" s="8" t="n">
        <v>0</v>
      </c>
      <c r="H18401" s="8" t="inlineStr">
        <is>
          <t>CLOSED</t>
        </is>
      </c>
    </row>
    <row r="18402">
      <c r="A18402" s="8" t="inlineStr">
        <is>
          <t>2026-08-04</t>
        </is>
      </c>
      <c r="B18402" s="8" t="n">
        <v>8</v>
      </c>
      <c r="C18402" s="8" t="n">
        <v>15</v>
      </c>
      <c r="D18402" s="8" t="inlineStr">
        <is>
          <t>Disney Adventure World</t>
        </is>
      </c>
      <c r="E18402" s="8" t="inlineStr">
        <is>
          <t>Cars ROAD TRIP</t>
        </is>
      </c>
      <c r="F18402" s="8" t="inlineStr">
        <is>
          <t>STANDBY</t>
        </is>
      </c>
      <c r="G18402" s="8" t="n">
        <v>0</v>
      </c>
      <c r="H18402" s="8" t="inlineStr">
        <is>
          <t>CLOSED</t>
        </is>
      </c>
    </row>
    <row r="18403">
      <c r="A18403" s="8" t="inlineStr">
        <is>
          <t>2026-08-04</t>
        </is>
      </c>
      <c r="B18403" s="8" t="n">
        <v>8</v>
      </c>
      <c r="C18403" s="8" t="n">
        <v>15</v>
      </c>
      <c r="D18403" s="8" t="inlineStr">
        <is>
          <t>Disney Adventure World</t>
        </is>
      </c>
      <c r="E18403" s="8" t="inlineStr">
        <is>
          <t>Crush's Coaster</t>
        </is>
      </c>
      <c r="F18403" s="8" t="inlineStr">
        <is>
          <t>STANDBY</t>
        </is>
      </c>
      <c r="G18403" s="8" t="n">
        <v>0</v>
      </c>
      <c r="H18403" s="8" t="inlineStr">
        <is>
          <t>CLOSED</t>
        </is>
      </c>
    </row>
    <row r="18404">
      <c r="A18404" s="8" t="inlineStr">
        <is>
          <t>2026-08-04</t>
        </is>
      </c>
      <c r="B18404" s="8" t="n">
        <v>8</v>
      </c>
      <c r="C18404" s="8" t="n">
        <v>15</v>
      </c>
      <c r="D18404" s="8" t="inlineStr">
        <is>
          <t>Disney Adventure World</t>
        </is>
      </c>
      <c r="E18404" s="8" t="inlineStr">
        <is>
          <t>Crush's Coaster Single Rider</t>
        </is>
      </c>
      <c r="F18404" s="8" t="inlineStr">
        <is>
          <t>STANDBY</t>
        </is>
      </c>
      <c r="G18404" s="8" t="n">
        <v>0</v>
      </c>
      <c r="H18404" s="8" t="inlineStr">
        <is>
          <t>CLOSED</t>
        </is>
      </c>
    </row>
    <row r="18405">
      <c r="A18405" s="8" t="inlineStr">
        <is>
          <t>2026-08-04</t>
        </is>
      </c>
      <c r="B18405" s="8" t="n">
        <v>8</v>
      </c>
      <c r="C18405" s="8" t="n">
        <v>15</v>
      </c>
      <c r="D18405" s="8" t="inlineStr">
        <is>
          <t>Disney Adventure World</t>
        </is>
      </c>
      <c r="E18405" s="8" t="inlineStr">
        <is>
          <t>Les Tapis Volants - Flying Carpets Over Agrabah®</t>
        </is>
      </c>
      <c r="F18405" s="8" t="inlineStr">
        <is>
          <t>STANDBY</t>
        </is>
      </c>
      <c r="G18405" s="8" t="n">
        <v>0</v>
      </c>
      <c r="H18405" s="8" t="inlineStr">
        <is>
          <t>CLOSED</t>
        </is>
      </c>
    </row>
    <row r="18406">
      <c r="A18406" s="8" t="inlineStr">
        <is>
          <t>2026-08-04</t>
        </is>
      </c>
      <c r="B18406" s="8" t="n">
        <v>8</v>
      </c>
      <c r="C18406" s="8" t="n">
        <v>15</v>
      </c>
      <c r="D18406" s="8" t="inlineStr">
        <is>
          <t>Disney Adventure World</t>
        </is>
      </c>
      <c r="E18406" s="8" t="inlineStr">
        <is>
          <t>Ratatouille : L’Aventure Totalement Toquée de Rémy​</t>
        </is>
      </c>
      <c r="F18406" s="8" t="inlineStr">
        <is>
          <t>STANDBY</t>
        </is>
      </c>
      <c r="G18406" s="8" t="n">
        <v>0</v>
      </c>
      <c r="H18406" s="8" t="inlineStr">
        <is>
          <t>CLOSED</t>
        </is>
      </c>
    </row>
    <row r="18407">
      <c r="A18407" s="8" t="inlineStr">
        <is>
          <t>2026-08-04</t>
        </is>
      </c>
      <c r="B18407" s="8" t="n">
        <v>8</v>
      </c>
      <c r="C18407" s="8" t="n">
        <v>15</v>
      </c>
      <c r="D18407" s="8" t="inlineStr">
        <is>
          <t>Disney Adventure World</t>
        </is>
      </c>
      <c r="E18407" s="8" t="inlineStr">
        <is>
          <t>Ratatouille: The Adventure Single Rider</t>
        </is>
      </c>
      <c r="F18407" s="8" t="inlineStr">
        <is>
          <t>STANDBY</t>
        </is>
      </c>
      <c r="G18407" s="8" t="n">
        <v>0</v>
      </c>
      <c r="H18407" s="8" t="inlineStr">
        <is>
          <t>CLOSED</t>
        </is>
      </c>
    </row>
    <row r="18408">
      <c r="A18408" s="8" t="inlineStr">
        <is>
          <t>2026-08-04</t>
        </is>
      </c>
      <c r="B18408" s="8" t="n">
        <v>8</v>
      </c>
      <c r="C18408" s="8" t="n">
        <v>15</v>
      </c>
      <c r="D18408" s="8" t="inlineStr">
        <is>
          <t>Disney Adventure World</t>
        </is>
      </c>
      <c r="E18408" s="8" t="inlineStr">
        <is>
          <t>RC Racer</t>
        </is>
      </c>
      <c r="F18408" s="8" t="inlineStr">
        <is>
          <t>STANDBY</t>
        </is>
      </c>
      <c r="G18408" s="8" t="n">
        <v>0</v>
      </c>
      <c r="H18408" s="8" t="inlineStr">
        <is>
          <t>CLOSED</t>
        </is>
      </c>
    </row>
    <row r="18409">
      <c r="A18409" s="8" t="inlineStr">
        <is>
          <t>2026-08-04</t>
        </is>
      </c>
      <c r="B18409" s="8" t="n">
        <v>8</v>
      </c>
      <c r="C18409" s="8" t="n">
        <v>15</v>
      </c>
      <c r="D18409" s="8" t="inlineStr">
        <is>
          <t>Disney Adventure World</t>
        </is>
      </c>
      <c r="E18409" s="8" t="inlineStr">
        <is>
          <t>RC Racer Single Rider</t>
        </is>
      </c>
      <c r="F18409" s="8" t="inlineStr">
        <is>
          <t>STANDBY</t>
        </is>
      </c>
      <c r="G18409" s="8" t="n">
        <v>0</v>
      </c>
      <c r="H18409" s="8" t="inlineStr">
        <is>
          <t>CLOSED</t>
        </is>
      </c>
    </row>
    <row r="18410">
      <c r="A18410" s="8" t="inlineStr">
        <is>
          <t>2026-08-04</t>
        </is>
      </c>
      <c r="B18410" s="8" t="n">
        <v>8</v>
      </c>
      <c r="C18410" s="8" t="n">
        <v>15</v>
      </c>
      <c r="D18410" s="8" t="inlineStr">
        <is>
          <t>Disney Adventure World</t>
        </is>
      </c>
      <c r="E18410" s="8" t="inlineStr">
        <is>
          <t>Slinky® Dog Zigzag Spin</t>
        </is>
      </c>
      <c r="F18410" s="8" t="inlineStr">
        <is>
          <t>STANDBY</t>
        </is>
      </c>
      <c r="G18410" s="8" t="n">
        <v>0</v>
      </c>
      <c r="H18410" s="8" t="inlineStr">
        <is>
          <t>CLOSED</t>
        </is>
      </c>
    </row>
    <row r="18411">
      <c r="A18411" s="8" t="inlineStr">
        <is>
          <t>2026-08-04</t>
        </is>
      </c>
      <c r="B18411" s="8" t="n">
        <v>8</v>
      </c>
      <c r="C18411" s="8" t="n">
        <v>15</v>
      </c>
      <c r="D18411" s="8" t="inlineStr">
        <is>
          <t>Disney Adventure World</t>
        </is>
      </c>
      <c r="E18411" s="8" t="inlineStr">
        <is>
          <t>Toy Soldiers Parachute Drop</t>
        </is>
      </c>
      <c r="F18411" s="8" t="inlineStr">
        <is>
          <t>STANDBY</t>
        </is>
      </c>
      <c r="G18411" s="8" t="n">
        <v>0</v>
      </c>
      <c r="H18411" s="8" t="inlineStr">
        <is>
          <t>CLOSED</t>
        </is>
      </c>
    </row>
    <row r="18412">
      <c r="A18412" s="8" t="inlineStr">
        <is>
          <t>2026-08-04</t>
        </is>
      </c>
      <c r="B18412" s="8" t="n">
        <v>8</v>
      </c>
      <c r="C18412" s="8" t="n">
        <v>15</v>
      </c>
      <c r="D18412" s="8" t="inlineStr">
        <is>
          <t>Disney Adventure World</t>
        </is>
      </c>
      <c r="E18412" s="8" t="inlineStr">
        <is>
          <t>Toy Soldiers Parachute Drop Single Rider</t>
        </is>
      </c>
      <c r="F18412" s="8" t="inlineStr">
        <is>
          <t>STANDBY</t>
        </is>
      </c>
      <c r="G18412" s="8" t="n">
        <v>0</v>
      </c>
      <c r="H18412" s="8" t="inlineStr">
        <is>
          <t>CLOSED</t>
        </is>
      </c>
    </row>
    <row r="18413">
      <c r="A18413" s="8" t="inlineStr">
        <is>
          <t>2026-08-04</t>
        </is>
      </c>
      <c r="B18413" s="8" t="n">
        <v>8</v>
      </c>
      <c r="C18413" s="8" t="n">
        <v>15</v>
      </c>
      <c r="D18413" s="8" t="inlineStr">
        <is>
          <t>Disney Adventure World</t>
        </is>
      </c>
      <c r="E18413" s="8" t="inlineStr">
        <is>
          <t>Entry to World of Frozen</t>
        </is>
      </c>
      <c r="F18413" s="8" t="inlineStr">
        <is>
          <t>STANDBY</t>
        </is>
      </c>
      <c r="G18413" s="8" t="n">
        <v>0</v>
      </c>
      <c r="H18413" s="8" t="inlineStr">
        <is>
          <t>CLOSED</t>
        </is>
      </c>
    </row>
    <row r="18414">
      <c r="A18414" s="8" t="inlineStr">
        <is>
          <t>2026-08-04</t>
        </is>
      </c>
      <c r="B18414" s="8" t="n">
        <v>8</v>
      </c>
      <c r="C18414" s="8" t="n">
        <v>15</v>
      </c>
      <c r="D18414" s="8" t="inlineStr">
        <is>
          <t>Disney Adventure World</t>
        </is>
      </c>
      <c r="E18414" s="8" t="inlineStr">
        <is>
          <t>Frozen Ever After</t>
        </is>
      </c>
      <c r="F18414" s="8" t="inlineStr">
        <is>
          <t>STANDBY</t>
        </is>
      </c>
      <c r="G18414" s="8" t="n">
        <v>0</v>
      </c>
      <c r="H18414" s="8" t="inlineStr">
        <is>
          <t>CLOSED</t>
        </is>
      </c>
    </row>
    <row r="18415">
      <c r="A18415" s="8" t="inlineStr">
        <is>
          <t>2026-08-04</t>
        </is>
      </c>
      <c r="B18415" s="8" t="n">
        <v>8</v>
      </c>
      <c r="C18415" s="8" t="n">
        <v>15</v>
      </c>
      <c r="D18415" s="8" t="inlineStr">
        <is>
          <t>Disney Adventure World</t>
        </is>
      </c>
      <c r="E18415" s="8" t="inlineStr">
        <is>
          <t>Raiponce Tangled Spin</t>
        </is>
      </c>
      <c r="F18415" s="8" t="inlineStr">
        <is>
          <t>STANDBY</t>
        </is>
      </c>
      <c r="G18415" s="8" t="n">
        <v>0</v>
      </c>
      <c r="H18415" s="8" t="inlineStr">
        <is>
          <t>CLOSED</t>
        </is>
      </c>
    </row>
    <row r="18416">
      <c r="A18416" s="8" t="inlineStr">
        <is>
          <t>2026-08-04</t>
        </is>
      </c>
      <c r="B18416" s="8" t="n">
        <v>8</v>
      </c>
      <c r="C18416" s="8" t="n">
        <v>31</v>
      </c>
      <c r="D18416" s="8" t="inlineStr">
        <is>
          <t>Disneyland Park</t>
        </is>
      </c>
      <c r="E18416" s="8" t="inlineStr">
        <is>
          <t>Adventure Isle</t>
        </is>
      </c>
      <c r="F18416" s="8" t="inlineStr">
        <is>
          <t>STANDBY</t>
        </is>
      </c>
      <c r="G18416" s="8" t="n">
        <v>0</v>
      </c>
      <c r="H18416" s="8" t="inlineStr">
        <is>
          <t>CLOSED</t>
        </is>
      </c>
    </row>
    <row r="18417">
      <c r="A18417" s="8" t="inlineStr">
        <is>
          <t>2026-08-04</t>
        </is>
      </c>
      <c r="B18417" s="8" t="n">
        <v>8</v>
      </c>
      <c r="C18417" s="8" t="n">
        <v>31</v>
      </c>
      <c r="D18417" s="8" t="inlineStr">
        <is>
          <t>Disneyland Park</t>
        </is>
      </c>
      <c r="E18417" s="8" t="inlineStr">
        <is>
          <t>Indiana Jones and the Temple of Peril Single Rider</t>
        </is>
      </c>
      <c r="F18417" s="8" t="inlineStr">
        <is>
          <t>STANDBY</t>
        </is>
      </c>
      <c r="G18417" s="8" t="n">
        <v>0</v>
      </c>
      <c r="H18417" s="8" t="inlineStr">
        <is>
          <t>CLOSED</t>
        </is>
      </c>
    </row>
    <row r="18418">
      <c r="A18418" s="8" t="inlineStr">
        <is>
          <t>2026-08-04</t>
        </is>
      </c>
      <c r="B18418" s="8" t="n">
        <v>8</v>
      </c>
      <c r="C18418" s="8" t="n">
        <v>31</v>
      </c>
      <c r="D18418" s="8" t="inlineStr">
        <is>
          <t>Disneyland Park</t>
        </is>
      </c>
      <c r="E18418" s="8" t="inlineStr">
        <is>
          <t>Indiana Jones™ and the Temple of Peril</t>
        </is>
      </c>
      <c r="F18418" s="8" t="inlineStr">
        <is>
          <t>STANDBY</t>
        </is>
      </c>
      <c r="G18418" s="8" t="n">
        <v>0</v>
      </c>
      <c r="H18418" s="8" t="inlineStr">
        <is>
          <t>CLOSED</t>
        </is>
      </c>
    </row>
    <row r="18419">
      <c r="A18419" s="8" t="inlineStr">
        <is>
          <t>2026-08-04</t>
        </is>
      </c>
      <c r="B18419" s="8" t="n">
        <v>8</v>
      </c>
      <c r="C18419" s="8" t="n">
        <v>31</v>
      </c>
      <c r="D18419" s="8" t="inlineStr">
        <is>
          <t>Disneyland Park</t>
        </is>
      </c>
      <c r="E18419" s="8" t="inlineStr">
        <is>
          <t>La Cabane des Robinson</t>
        </is>
      </c>
      <c r="F18419" s="8" t="inlineStr">
        <is>
          <t>STANDBY</t>
        </is>
      </c>
      <c r="G18419" s="8" t="n">
        <v>0</v>
      </c>
      <c r="H18419" s="8" t="inlineStr">
        <is>
          <t>CLOSED</t>
        </is>
      </c>
    </row>
    <row r="18420">
      <c r="A18420" s="8" t="inlineStr">
        <is>
          <t>2026-08-04</t>
        </is>
      </c>
      <c r="B18420" s="8" t="n">
        <v>8</v>
      </c>
      <c r="C18420" s="8" t="n">
        <v>31</v>
      </c>
      <c r="D18420" s="8" t="inlineStr">
        <is>
          <t>Disneyland Park</t>
        </is>
      </c>
      <c r="E18420" s="8" t="inlineStr">
        <is>
          <t>Le Passage Enchanté d'Aladdin</t>
        </is>
      </c>
      <c r="F18420" s="8" t="inlineStr">
        <is>
          <t>STANDBY</t>
        </is>
      </c>
      <c r="G18420" s="8" t="n">
        <v>0</v>
      </c>
      <c r="H18420" s="8" t="inlineStr">
        <is>
          <t>CLOSED</t>
        </is>
      </c>
    </row>
    <row r="18421">
      <c r="A18421" s="8" t="inlineStr">
        <is>
          <t>2026-08-04</t>
        </is>
      </c>
      <c r="B18421" s="8" t="n">
        <v>8</v>
      </c>
      <c r="C18421" s="8" t="n">
        <v>31</v>
      </c>
      <c r="D18421" s="8" t="inlineStr">
        <is>
          <t>Disneyland Park</t>
        </is>
      </c>
      <c r="E18421" s="8" t="inlineStr">
        <is>
          <t>Pirate Galleon</t>
        </is>
      </c>
      <c r="F18421" s="8" t="inlineStr">
        <is>
          <t>STANDBY</t>
        </is>
      </c>
      <c r="G18421" s="8" t="n">
        <v>0</v>
      </c>
      <c r="H18421" s="8" t="inlineStr">
        <is>
          <t>CLOSED</t>
        </is>
      </c>
    </row>
    <row r="18422">
      <c r="A18422" s="8" t="inlineStr">
        <is>
          <t>2026-08-04</t>
        </is>
      </c>
      <c r="B18422" s="8" t="n">
        <v>8</v>
      </c>
      <c r="C18422" s="8" t="n">
        <v>31</v>
      </c>
      <c r="D18422" s="8" t="inlineStr">
        <is>
          <t>Disneyland Park</t>
        </is>
      </c>
      <c r="E18422" s="8" t="inlineStr">
        <is>
          <t>Pirates of the Caribbean</t>
        </is>
      </c>
      <c r="F18422" s="8" t="inlineStr">
        <is>
          <t>STANDBY</t>
        </is>
      </c>
      <c r="G18422" s="8" t="n">
        <v>0</v>
      </c>
      <c r="H18422" s="8" t="inlineStr">
        <is>
          <t>CLOSED</t>
        </is>
      </c>
    </row>
    <row r="18423">
      <c r="A18423" s="8" t="inlineStr">
        <is>
          <t>2026-08-04</t>
        </is>
      </c>
      <c r="B18423" s="8" t="n">
        <v>8</v>
      </c>
      <c r="C18423" s="8" t="n">
        <v>31</v>
      </c>
      <c r="D18423" s="8" t="inlineStr">
        <is>
          <t>Disneyland Park</t>
        </is>
      </c>
      <c r="E18423" s="8" t="inlineStr">
        <is>
          <t>Pirates' Beach</t>
        </is>
      </c>
      <c r="F18423" s="8" t="inlineStr">
        <is>
          <t>STANDBY</t>
        </is>
      </c>
      <c r="G18423" s="8" t="n">
        <v>0</v>
      </c>
      <c r="H18423" s="8" t="inlineStr">
        <is>
          <t>CLOSED</t>
        </is>
      </c>
    </row>
    <row r="18424">
      <c r="A18424" s="8" t="inlineStr">
        <is>
          <t>2026-08-04</t>
        </is>
      </c>
      <c r="B18424" s="8" t="n">
        <v>8</v>
      </c>
      <c r="C18424" s="8" t="n">
        <v>31</v>
      </c>
      <c r="D18424" s="8" t="inlineStr">
        <is>
          <t>Disneyland Park</t>
        </is>
      </c>
      <c r="E18424" s="8" t="inlineStr">
        <is>
          <t>Autopia, presented by Avis</t>
        </is>
      </c>
      <c r="F18424" s="8" t="inlineStr">
        <is>
          <t>STANDBY</t>
        </is>
      </c>
      <c r="G18424" s="8" t="n">
        <v>0</v>
      </c>
      <c r="H18424" s="8" t="inlineStr">
        <is>
          <t>CLOSED</t>
        </is>
      </c>
    </row>
    <row r="18425">
      <c r="A18425" s="8" t="inlineStr">
        <is>
          <t>2026-08-04</t>
        </is>
      </c>
      <c r="B18425" s="8" t="n">
        <v>8</v>
      </c>
      <c r="C18425" s="8" t="n">
        <v>31</v>
      </c>
      <c r="D18425" s="8" t="inlineStr">
        <is>
          <t>Disneyland Park</t>
        </is>
      </c>
      <c r="E18425" s="8" t="inlineStr">
        <is>
          <t>Buzz Lightyear Laser Blast</t>
        </is>
      </c>
      <c r="F18425" s="8" t="inlineStr">
        <is>
          <t>STANDBY</t>
        </is>
      </c>
      <c r="G18425" s="8" t="n">
        <v>0</v>
      </c>
      <c r="H18425" s="8" t="inlineStr">
        <is>
          <t>CLOSED</t>
        </is>
      </c>
    </row>
    <row r="18426">
      <c r="A18426" s="8" t="inlineStr">
        <is>
          <t>2026-08-04</t>
        </is>
      </c>
      <c r="B18426" s="8" t="n">
        <v>8</v>
      </c>
      <c r="C18426" s="8" t="n">
        <v>31</v>
      </c>
      <c r="D18426" s="8" t="inlineStr">
        <is>
          <t>Disneyland Park</t>
        </is>
      </c>
      <c r="E18426" s="8" t="inlineStr">
        <is>
          <t>Disneyland Railroad Discoveryland Station</t>
        </is>
      </c>
      <c r="F18426" s="8" t="inlineStr">
        <is>
          <t>STANDBY</t>
        </is>
      </c>
      <c r="G18426" s="8" t="n">
        <v>0</v>
      </c>
      <c r="H18426" s="8" t="inlineStr">
        <is>
          <t>CLOSED</t>
        </is>
      </c>
    </row>
    <row r="18427">
      <c r="A18427" s="8" t="inlineStr">
        <is>
          <t>2026-08-04</t>
        </is>
      </c>
      <c r="B18427" s="8" t="n">
        <v>8</v>
      </c>
      <c r="C18427" s="8" t="n">
        <v>31</v>
      </c>
      <c r="D18427" s="8" t="inlineStr">
        <is>
          <t>Disneyland Park</t>
        </is>
      </c>
      <c r="E18427" s="8" t="inlineStr">
        <is>
          <t>Les Mystères du Nautilus</t>
        </is>
      </c>
      <c r="F18427" s="8" t="inlineStr">
        <is>
          <t>STANDBY</t>
        </is>
      </c>
      <c r="G18427" s="8" t="n">
        <v>0</v>
      </c>
      <c r="H18427" s="8" t="inlineStr">
        <is>
          <t>CLOSED</t>
        </is>
      </c>
    </row>
    <row r="18428">
      <c r="A18428" s="8" t="inlineStr">
        <is>
          <t>2026-08-04</t>
        </is>
      </c>
      <c r="B18428" s="8" t="n">
        <v>8</v>
      </c>
      <c r="C18428" s="8" t="n">
        <v>31</v>
      </c>
      <c r="D18428" s="8" t="inlineStr">
        <is>
          <t>Disneyland Park</t>
        </is>
      </c>
      <c r="E18428" s="8" t="inlineStr">
        <is>
          <t>Mickey’s PhilharMagic</t>
        </is>
      </c>
      <c r="F18428" s="8" t="inlineStr">
        <is>
          <t>STANDBY</t>
        </is>
      </c>
      <c r="G18428" s="8" t="n">
        <v>0</v>
      </c>
      <c r="H18428" s="8" t="inlineStr">
        <is>
          <t>CLOSED</t>
        </is>
      </c>
    </row>
    <row r="18429">
      <c r="A18429" s="8" t="inlineStr">
        <is>
          <t>2026-08-04</t>
        </is>
      </c>
      <c r="B18429" s="8" t="n">
        <v>8</v>
      </c>
      <c r="C18429" s="8" t="n">
        <v>31</v>
      </c>
      <c r="D18429" s="8" t="inlineStr">
        <is>
          <t>Disneyland Park</t>
        </is>
      </c>
      <c r="E18429" s="8" t="inlineStr">
        <is>
          <t>Orbitron®</t>
        </is>
      </c>
      <c r="F18429" s="8" t="inlineStr">
        <is>
          <t>STANDBY</t>
        </is>
      </c>
      <c r="G18429" s="8" t="n">
        <v>0</v>
      </c>
      <c r="H18429" s="8" t="inlineStr">
        <is>
          <t>CLOSED</t>
        </is>
      </c>
    </row>
    <row r="18430">
      <c r="A18430" s="8" t="inlineStr">
        <is>
          <t>2026-08-04</t>
        </is>
      </c>
      <c r="B18430" s="8" t="n">
        <v>8</v>
      </c>
      <c r="C18430" s="8" t="n">
        <v>31</v>
      </c>
      <c r="D18430" s="8" t="inlineStr">
        <is>
          <t>Disneyland Park</t>
        </is>
      </c>
      <c r="E18430" s="8" t="inlineStr">
        <is>
          <t>Star Tours: The Adventures Continue*</t>
        </is>
      </c>
      <c r="F18430" s="8" t="inlineStr">
        <is>
          <t>STANDBY</t>
        </is>
      </c>
      <c r="G18430" s="8" t="n">
        <v>0</v>
      </c>
      <c r="H18430" s="8" t="inlineStr">
        <is>
          <t>CLOSED</t>
        </is>
      </c>
    </row>
    <row r="18431">
      <c r="A18431" s="8" t="inlineStr">
        <is>
          <t>2026-08-04</t>
        </is>
      </c>
      <c r="B18431" s="8" t="n">
        <v>8</v>
      </c>
      <c r="C18431" s="8" t="n">
        <v>31</v>
      </c>
      <c r="D18431" s="8" t="inlineStr">
        <is>
          <t>Disneyland Park</t>
        </is>
      </c>
      <c r="E18431" s="8" t="inlineStr">
        <is>
          <t>Star Wars Hyperspace Mountain</t>
        </is>
      </c>
      <c r="F18431" s="8" t="inlineStr">
        <is>
          <t>STANDBY</t>
        </is>
      </c>
      <c r="G18431" s="8" t="n">
        <v>5</v>
      </c>
      <c r="H18431" s="8" t="inlineStr">
        <is>
          <t>OPERATING</t>
        </is>
      </c>
    </row>
    <row r="18432">
      <c r="A18432" s="8" t="inlineStr">
        <is>
          <t>2026-08-04</t>
        </is>
      </c>
      <c r="B18432" s="8" t="n">
        <v>8</v>
      </c>
      <c r="C18432" s="8" t="n">
        <v>31</v>
      </c>
      <c r="D18432" s="8" t="inlineStr">
        <is>
          <t>Disneyland Park</t>
        </is>
      </c>
      <c r="E18432" s="8" t="inlineStr">
        <is>
          <t>Star Wars Hyperspace Mountain Single Rider</t>
        </is>
      </c>
      <c r="F18432" s="8" t="inlineStr">
        <is>
          <t>STANDBY</t>
        </is>
      </c>
      <c r="G18432" s="8" t="n">
        <v>0</v>
      </c>
      <c r="H18432" s="8" t="inlineStr">
        <is>
          <t>OPERATING</t>
        </is>
      </c>
    </row>
    <row r="18433">
      <c r="A18433" s="8" t="inlineStr">
        <is>
          <t>2026-08-04</t>
        </is>
      </c>
      <c r="B18433" s="8" t="n">
        <v>8</v>
      </c>
      <c r="C18433" s="8" t="n">
        <v>31</v>
      </c>
      <c r="D18433" s="8" t="inlineStr">
        <is>
          <t>Disneyland Park</t>
        </is>
      </c>
      <c r="E18433" s="8" t="inlineStr">
        <is>
          <t>Welcome to Starport: A Star Wars Encounter</t>
        </is>
      </c>
      <c r="F18433" s="8" t="inlineStr">
        <is>
          <t>STANDBY</t>
        </is>
      </c>
      <c r="G18433" s="8" t="n">
        <v>0</v>
      </c>
      <c r="H18433" s="8" t="inlineStr">
        <is>
          <t>CLOSED</t>
        </is>
      </c>
    </row>
    <row r="18434">
      <c r="A18434" s="8" t="inlineStr">
        <is>
          <t>2026-08-04</t>
        </is>
      </c>
      <c r="B18434" s="8" t="n">
        <v>8</v>
      </c>
      <c r="C18434" s="8" t="n">
        <v>31</v>
      </c>
      <c r="D18434" s="8" t="inlineStr">
        <is>
          <t>Disneyland Park</t>
        </is>
      </c>
      <c r="E18434" s="8" t="inlineStr">
        <is>
          <t>"it's a small world"</t>
        </is>
      </c>
      <c r="F18434" s="8" t="inlineStr">
        <is>
          <t>STANDBY</t>
        </is>
      </c>
      <c r="G18434" s="8" t="n">
        <v>0</v>
      </c>
      <c r="H18434" s="8" t="inlineStr">
        <is>
          <t>CLOSED</t>
        </is>
      </c>
    </row>
    <row r="18435">
      <c r="A18435" s="8" t="inlineStr">
        <is>
          <t>2026-08-04</t>
        </is>
      </c>
      <c r="B18435" s="8" t="n">
        <v>8</v>
      </c>
      <c r="C18435" s="8" t="n">
        <v>31</v>
      </c>
      <c r="D18435" s="8" t="inlineStr">
        <is>
          <t>Disneyland Park</t>
        </is>
      </c>
      <c r="E18435" s="8" t="inlineStr">
        <is>
          <t>Alice's Curious Labyrinth</t>
        </is>
      </c>
      <c r="F18435" s="8" t="inlineStr">
        <is>
          <t>STANDBY</t>
        </is>
      </c>
      <c r="G18435" s="8" t="n">
        <v>0</v>
      </c>
      <c r="H18435" s="8" t="inlineStr">
        <is>
          <t>CLOSED</t>
        </is>
      </c>
    </row>
    <row r="18436">
      <c r="A18436" s="8" t="inlineStr">
        <is>
          <t>2026-08-04</t>
        </is>
      </c>
      <c r="B18436" s="8" t="n">
        <v>8</v>
      </c>
      <c r="C18436" s="8" t="n">
        <v>31</v>
      </c>
      <c r="D18436" s="8" t="inlineStr">
        <is>
          <t>Disneyland Park</t>
        </is>
      </c>
      <c r="E18436" s="8" t="inlineStr">
        <is>
          <t>Blanche-Neige et les Sept Nains®</t>
        </is>
      </c>
      <c r="F18436" s="8" t="inlineStr">
        <is>
          <t>STANDBY</t>
        </is>
      </c>
      <c r="G18436" s="8" t="n">
        <v>0</v>
      </c>
      <c r="H18436" s="8" t="inlineStr">
        <is>
          <t>CLOSED</t>
        </is>
      </c>
    </row>
    <row r="18437">
      <c r="A18437" s="8" t="inlineStr">
        <is>
          <t>2026-08-04</t>
        </is>
      </c>
      <c r="B18437" s="8" t="n">
        <v>8</v>
      </c>
      <c r="C18437" s="8" t="n">
        <v>31</v>
      </c>
      <c r="D18437" s="8" t="inlineStr">
        <is>
          <t>Disneyland Park</t>
        </is>
      </c>
      <c r="E18437" s="8" t="inlineStr">
        <is>
          <t>Casey Jr. – le Petit Train du Cirque</t>
        </is>
      </c>
      <c r="F18437" s="8" t="inlineStr">
        <is>
          <t>STANDBY</t>
        </is>
      </c>
      <c r="G18437" s="8" t="n">
        <v>0</v>
      </c>
      <c r="H18437" s="8" t="inlineStr">
        <is>
          <t>CLOSED</t>
        </is>
      </c>
    </row>
    <row r="18438">
      <c r="A18438" s="8" t="inlineStr">
        <is>
          <t>2026-08-04</t>
        </is>
      </c>
      <c r="B18438" s="8" t="n">
        <v>8</v>
      </c>
      <c r="C18438" s="8" t="n">
        <v>31</v>
      </c>
      <c r="D18438" s="8" t="inlineStr">
        <is>
          <t>Disneyland Park</t>
        </is>
      </c>
      <c r="E18438" s="8" t="inlineStr">
        <is>
          <t>Disneyland Railroad Fantasyland Station</t>
        </is>
      </c>
      <c r="F18438" s="8" t="inlineStr">
        <is>
          <t>STANDBY</t>
        </is>
      </c>
      <c r="G18438" s="8" t="n">
        <v>0</v>
      </c>
      <c r="H18438" s="8" t="inlineStr">
        <is>
          <t>CLOSED</t>
        </is>
      </c>
    </row>
    <row r="18439">
      <c r="A18439" s="8" t="inlineStr">
        <is>
          <t>2026-08-04</t>
        </is>
      </c>
      <c r="B18439" s="8" t="n">
        <v>8</v>
      </c>
      <c r="C18439" s="8" t="n">
        <v>31</v>
      </c>
      <c r="D18439" s="8" t="inlineStr">
        <is>
          <t>Disneyland Park</t>
        </is>
      </c>
      <c r="E18439" s="8" t="inlineStr">
        <is>
          <t>Disneyland Railroad Main Street Station</t>
        </is>
      </c>
      <c r="F18439" s="8" t="inlineStr">
        <is>
          <t>STANDBY</t>
        </is>
      </c>
      <c r="G18439" s="8" t="n">
        <v>0</v>
      </c>
      <c r="H18439" s="8" t="inlineStr">
        <is>
          <t>CLOSED</t>
        </is>
      </c>
    </row>
    <row r="18440">
      <c r="A18440" s="8" t="inlineStr">
        <is>
          <t>2026-08-04</t>
        </is>
      </c>
      <c r="B18440" s="8" t="n">
        <v>8</v>
      </c>
      <c r="C18440" s="8" t="n">
        <v>31</v>
      </c>
      <c r="D18440" s="8" t="inlineStr">
        <is>
          <t>Disneyland Park</t>
        </is>
      </c>
      <c r="E18440" s="8" t="inlineStr">
        <is>
          <t>Dumbo the Flying Elephant</t>
        </is>
      </c>
      <c r="F18440" s="8" t="inlineStr">
        <is>
          <t>STANDBY</t>
        </is>
      </c>
      <c r="G18440" s="8" t="n">
        <v>5</v>
      </c>
      <c r="H18440" s="8" t="inlineStr">
        <is>
          <t>OPERATING</t>
        </is>
      </c>
    </row>
    <row r="18441">
      <c r="A18441" s="8" t="inlineStr">
        <is>
          <t>2026-08-04</t>
        </is>
      </c>
      <c r="B18441" s="8" t="n">
        <v>8</v>
      </c>
      <c r="C18441" s="8" t="n">
        <v>31</v>
      </c>
      <c r="D18441" s="8" t="inlineStr">
        <is>
          <t>Disneyland Park</t>
        </is>
      </c>
      <c r="E18441" s="8" t="inlineStr">
        <is>
          <t>La Tanière du Dragon</t>
        </is>
      </c>
      <c r="F18441" s="8" t="inlineStr">
        <is>
          <t>STANDBY</t>
        </is>
      </c>
      <c r="G18441" s="8" t="n">
        <v>0</v>
      </c>
      <c r="H18441" s="8" t="inlineStr">
        <is>
          <t>CLOSED</t>
        </is>
      </c>
    </row>
    <row r="18442">
      <c r="A18442" s="8" t="inlineStr">
        <is>
          <t>2026-08-04</t>
        </is>
      </c>
      <c r="B18442" s="8" t="n">
        <v>8</v>
      </c>
      <c r="C18442" s="8" t="n">
        <v>31</v>
      </c>
      <c r="D18442" s="8" t="inlineStr">
        <is>
          <t>Disneyland Park</t>
        </is>
      </c>
      <c r="E18442" s="8" t="inlineStr">
        <is>
          <t>Le Carrousel de Lancelot</t>
        </is>
      </c>
      <c r="F18442" s="8" t="inlineStr">
        <is>
          <t>STANDBY</t>
        </is>
      </c>
      <c r="G18442" s="8" t="n">
        <v>0</v>
      </c>
      <c r="H18442" s="8" t="inlineStr">
        <is>
          <t>CLOSED</t>
        </is>
      </c>
    </row>
    <row r="18443">
      <c r="A18443" s="8" t="inlineStr">
        <is>
          <t>2026-08-04</t>
        </is>
      </c>
      <c r="B18443" s="8" t="n">
        <v>8</v>
      </c>
      <c r="C18443" s="8" t="n">
        <v>31</v>
      </c>
      <c r="D18443" s="8" t="inlineStr">
        <is>
          <t>Disneyland Park</t>
        </is>
      </c>
      <c r="E18443" s="8" t="inlineStr">
        <is>
          <t>Le Pays des Contes de Fées, presented by Vittel</t>
        </is>
      </c>
      <c r="F18443" s="8" t="inlineStr">
        <is>
          <t>STANDBY</t>
        </is>
      </c>
      <c r="G18443" s="8" t="n">
        <v>0</v>
      </c>
      <c r="H18443" s="8" t="inlineStr">
        <is>
          <t>CLOSED</t>
        </is>
      </c>
    </row>
    <row r="18444">
      <c r="A18444" s="8" t="inlineStr">
        <is>
          <t>2026-08-04</t>
        </is>
      </c>
      <c r="B18444" s="8" t="n">
        <v>8</v>
      </c>
      <c r="C18444" s="8" t="n">
        <v>31</v>
      </c>
      <c r="D18444" s="8" t="inlineStr">
        <is>
          <t>Disneyland Park</t>
        </is>
      </c>
      <c r="E18444" s="8" t="inlineStr">
        <is>
          <t>Les Voyages de Pinocchio</t>
        </is>
      </c>
      <c r="F18444" s="8" t="inlineStr">
        <is>
          <t>STANDBY</t>
        </is>
      </c>
      <c r="G18444" s="8" t="n">
        <v>0</v>
      </c>
      <c r="H18444" s="8" t="inlineStr">
        <is>
          <t>CLOSED</t>
        </is>
      </c>
    </row>
    <row r="18445">
      <c r="A18445" s="8" t="inlineStr">
        <is>
          <t>2026-08-04</t>
        </is>
      </c>
      <c r="B18445" s="8" t="n">
        <v>8</v>
      </c>
      <c r="C18445" s="8" t="n">
        <v>31</v>
      </c>
      <c r="D18445" s="8" t="inlineStr">
        <is>
          <t>Disneyland Park</t>
        </is>
      </c>
      <c r="E18445" s="8" t="inlineStr">
        <is>
          <t>Mad Hatter's Tea Cups</t>
        </is>
      </c>
      <c r="F18445" s="8" t="inlineStr">
        <is>
          <t>STANDBY</t>
        </is>
      </c>
      <c r="G18445" s="8" t="n">
        <v>0</v>
      </c>
      <c r="H18445" s="8" t="inlineStr">
        <is>
          <t>CLOSED</t>
        </is>
      </c>
    </row>
    <row r="18446">
      <c r="A18446" s="8" t="inlineStr">
        <is>
          <t>2026-08-04</t>
        </is>
      </c>
      <c r="B18446" s="8" t="n">
        <v>8</v>
      </c>
      <c r="C18446" s="8" t="n">
        <v>31</v>
      </c>
      <c r="D18446" s="8" t="inlineStr">
        <is>
          <t>Disneyland Park</t>
        </is>
      </c>
      <c r="E18446" s="8" t="inlineStr">
        <is>
          <t>Meet Mickey Mouse</t>
        </is>
      </c>
      <c r="F18446" s="8" t="inlineStr">
        <is>
          <t>STANDBY</t>
        </is>
      </c>
      <c r="G18446" s="8" t="n">
        <v>0</v>
      </c>
      <c r="H18446" s="8" t="inlineStr">
        <is>
          <t>CLOSED</t>
        </is>
      </c>
    </row>
    <row r="18447">
      <c r="A18447" s="8" t="inlineStr">
        <is>
          <t>2026-08-04</t>
        </is>
      </c>
      <c r="B18447" s="8" t="n">
        <v>8</v>
      </c>
      <c r="C18447" s="8" t="n">
        <v>31</v>
      </c>
      <c r="D18447" s="8" t="inlineStr">
        <is>
          <t>Disneyland Park</t>
        </is>
      </c>
      <c r="E18447" s="8" t="inlineStr">
        <is>
          <t>Peter Pan's Flight</t>
        </is>
      </c>
      <c r="F18447" s="8" t="inlineStr">
        <is>
          <t>STANDBY</t>
        </is>
      </c>
      <c r="G18447" s="8" t="n">
        <v>0</v>
      </c>
      <c r="H18447" s="8" t="inlineStr">
        <is>
          <t>CLOSED</t>
        </is>
      </c>
    </row>
    <row r="18448">
      <c r="A18448" s="8" t="inlineStr">
        <is>
          <t>2026-08-04</t>
        </is>
      </c>
      <c r="B18448" s="8" t="n">
        <v>8</v>
      </c>
      <c r="C18448" s="8" t="n">
        <v>31</v>
      </c>
      <c r="D18448" s="8" t="inlineStr">
        <is>
          <t>Disneyland Park</t>
        </is>
      </c>
      <c r="E18448" s="8" t="inlineStr">
        <is>
          <t>Princess Pavilion</t>
        </is>
      </c>
      <c r="F18448" s="8" t="inlineStr">
        <is>
          <t>STANDBY</t>
        </is>
      </c>
      <c r="G18448" s="8" t="n">
        <v>0</v>
      </c>
      <c r="H18448" s="8" t="inlineStr">
        <is>
          <t>CLOSED</t>
        </is>
      </c>
    </row>
    <row r="18449">
      <c r="A18449" s="8" t="inlineStr">
        <is>
          <t>2026-08-04</t>
        </is>
      </c>
      <c r="B18449" s="8" t="n">
        <v>8</v>
      </c>
      <c r="C18449" s="8" t="n">
        <v>31</v>
      </c>
      <c r="D18449" s="8" t="inlineStr">
        <is>
          <t>Disneyland Park</t>
        </is>
      </c>
      <c r="E18449" s="8" t="inlineStr">
        <is>
          <t>Big Thunder Mountain</t>
        </is>
      </c>
      <c r="F18449" s="8" t="inlineStr">
        <is>
          <t>STANDBY</t>
        </is>
      </c>
      <c r="G18449" s="8" t="n">
        <v>0</v>
      </c>
      <c r="H18449" s="8" t="inlineStr">
        <is>
          <t>CLOSED</t>
        </is>
      </c>
    </row>
    <row r="18450">
      <c r="A18450" s="8" t="inlineStr">
        <is>
          <t>2026-08-04</t>
        </is>
      </c>
      <c r="B18450" s="8" t="n">
        <v>8</v>
      </c>
      <c r="C18450" s="8" t="n">
        <v>31</v>
      </c>
      <c r="D18450" s="8" t="inlineStr">
        <is>
          <t>Disneyland Park</t>
        </is>
      </c>
      <c r="E18450" s="8" t="inlineStr">
        <is>
          <t>Disneyland Railroad Frontierland Depot</t>
        </is>
      </c>
      <c r="F18450" s="8" t="inlineStr">
        <is>
          <t>STANDBY</t>
        </is>
      </c>
      <c r="G18450" s="8" t="n">
        <v>0</v>
      </c>
      <c r="H18450" s="8" t="inlineStr">
        <is>
          <t>CLOSED</t>
        </is>
      </c>
    </row>
    <row r="18451">
      <c r="A18451" s="8" t="inlineStr">
        <is>
          <t>2026-08-04</t>
        </is>
      </c>
      <c r="B18451" s="8" t="n">
        <v>8</v>
      </c>
      <c r="C18451" s="8" t="n">
        <v>31</v>
      </c>
      <c r="D18451" s="8" t="inlineStr">
        <is>
          <t>Disneyland Park</t>
        </is>
      </c>
      <c r="E18451" s="8" t="inlineStr">
        <is>
          <t>Frontierland Playground</t>
        </is>
      </c>
      <c r="F18451" s="8" t="inlineStr">
        <is>
          <t>STANDBY</t>
        </is>
      </c>
      <c r="G18451" s="8" t="n">
        <v>0</v>
      </c>
      <c r="H18451" s="8" t="inlineStr">
        <is>
          <t>CLOSED</t>
        </is>
      </c>
    </row>
    <row r="18452">
      <c r="A18452" s="8" t="inlineStr">
        <is>
          <t>2026-08-04</t>
        </is>
      </c>
      <c r="B18452" s="8" t="n">
        <v>8</v>
      </c>
      <c r="C18452" s="8" t="n">
        <v>31</v>
      </c>
      <c r="D18452" s="8" t="inlineStr">
        <is>
          <t>Disneyland Park</t>
        </is>
      </c>
      <c r="E18452" s="8" t="inlineStr">
        <is>
          <t>Phantom Manor</t>
        </is>
      </c>
      <c r="F18452" s="8" t="inlineStr">
        <is>
          <t>STANDBY</t>
        </is>
      </c>
      <c r="G18452" s="8" t="n">
        <v>0</v>
      </c>
      <c r="H18452" s="8" t="inlineStr">
        <is>
          <t>CLOSED</t>
        </is>
      </c>
    </row>
    <row r="18453">
      <c r="A18453" s="8" t="inlineStr">
        <is>
          <t>2026-08-04</t>
        </is>
      </c>
      <c r="B18453" s="8" t="n">
        <v>8</v>
      </c>
      <c r="C18453" s="8" t="n">
        <v>31</v>
      </c>
      <c r="D18453" s="8" t="inlineStr">
        <is>
          <t>Disneyland Park</t>
        </is>
      </c>
      <c r="E18453" s="8" t="inlineStr">
        <is>
          <t>River Rogue Keelboats</t>
        </is>
      </c>
      <c r="F18453" s="8" t="inlineStr">
        <is>
          <t>STANDBY</t>
        </is>
      </c>
      <c r="G18453" s="8" t="n">
        <v>0</v>
      </c>
      <c r="H18453" s="8" t="inlineStr">
        <is>
          <t>CLOSED</t>
        </is>
      </c>
    </row>
    <row r="18454">
      <c r="A18454" s="8" t="inlineStr">
        <is>
          <t>2026-08-04</t>
        </is>
      </c>
      <c r="B18454" s="8" t="n">
        <v>8</v>
      </c>
      <c r="C18454" s="8" t="n">
        <v>31</v>
      </c>
      <c r="D18454" s="8" t="inlineStr">
        <is>
          <t>Disneyland Park</t>
        </is>
      </c>
      <c r="E18454" s="8" t="inlineStr">
        <is>
          <t>Rustler Roundup Shootin' Gallery</t>
        </is>
      </c>
      <c r="F18454" s="8" t="inlineStr">
        <is>
          <t>STANDBY</t>
        </is>
      </c>
      <c r="G18454" s="8" t="n">
        <v>0</v>
      </c>
      <c r="H18454" s="8" t="inlineStr">
        <is>
          <t>CLOSED</t>
        </is>
      </c>
    </row>
    <row r="18455">
      <c r="A18455" s="8" t="inlineStr">
        <is>
          <t>2026-08-04</t>
        </is>
      </c>
      <c r="B18455" s="8" t="n">
        <v>8</v>
      </c>
      <c r="C18455" s="8" t="n">
        <v>31</v>
      </c>
      <c r="D18455" s="8" t="inlineStr">
        <is>
          <t>Disneyland Park</t>
        </is>
      </c>
      <c r="E18455" s="8" t="inlineStr">
        <is>
          <t>Thunder Mesa Riverboat Landing</t>
        </is>
      </c>
      <c r="F18455" s="8" t="inlineStr">
        <is>
          <t>STANDBY</t>
        </is>
      </c>
      <c r="G18455" s="8" t="n">
        <v>0</v>
      </c>
      <c r="H18455" s="8" t="inlineStr">
        <is>
          <t>CLOSED</t>
        </is>
      </c>
    </row>
    <row r="18456">
      <c r="A18456" s="8" t="inlineStr">
        <is>
          <t>2026-08-04</t>
        </is>
      </c>
      <c r="B18456" s="8" t="n">
        <v>8</v>
      </c>
      <c r="C18456" s="8" t="n">
        <v>31</v>
      </c>
      <c r="D18456" s="8" t="inlineStr">
        <is>
          <t>Disneyland Park</t>
        </is>
      </c>
      <c r="E18456" s="8" t="inlineStr">
        <is>
          <t>Disneyland Railroad Main Street Station</t>
        </is>
      </c>
      <c r="F18456" s="8" t="inlineStr">
        <is>
          <t>STANDBY</t>
        </is>
      </c>
      <c r="G18456" s="8" t="n">
        <v>0</v>
      </c>
      <c r="H18456" s="8" t="inlineStr">
        <is>
          <t>CLOSED</t>
        </is>
      </c>
    </row>
    <row r="18457">
      <c r="A18457" s="8" t="inlineStr">
        <is>
          <t>2026-08-04</t>
        </is>
      </c>
      <c r="B18457" s="8" t="n">
        <v>8</v>
      </c>
      <c r="C18457" s="8" t="n">
        <v>31</v>
      </c>
      <c r="D18457" s="8" t="inlineStr">
        <is>
          <t>Disneyland Park</t>
        </is>
      </c>
      <c r="E18457" s="8" t="inlineStr">
        <is>
          <t>Main Street Vehicles</t>
        </is>
      </c>
      <c r="F18457" s="8" t="inlineStr">
        <is>
          <t>STANDBY</t>
        </is>
      </c>
      <c r="G18457" s="8" t="n">
        <v>0</v>
      </c>
      <c r="H18457" s="8" t="inlineStr">
        <is>
          <t>OPERATING</t>
        </is>
      </c>
    </row>
    <row r="18458">
      <c r="A18458" s="8" t="inlineStr">
        <is>
          <t>2026-08-04</t>
        </is>
      </c>
      <c r="B18458" s="8" t="n">
        <v>8</v>
      </c>
      <c r="C18458" s="8" t="n">
        <v>31</v>
      </c>
      <c r="D18458" s="8" t="inlineStr">
        <is>
          <t>Disney Adventure World</t>
        </is>
      </c>
      <c r="E18458" s="8" t="inlineStr">
        <is>
          <t>Avengers Assemble: Flight Force</t>
        </is>
      </c>
      <c r="F18458" s="8" t="inlineStr">
        <is>
          <t>STANDBY</t>
        </is>
      </c>
      <c r="G18458" s="8" t="n">
        <v>5</v>
      </c>
      <c r="H18458" s="8" t="inlineStr">
        <is>
          <t>OPERATING</t>
        </is>
      </c>
    </row>
    <row r="18459">
      <c r="A18459" s="8" t="inlineStr">
        <is>
          <t>2026-08-04</t>
        </is>
      </c>
      <c r="B18459" s="8" t="n">
        <v>8</v>
      </c>
      <c r="C18459" s="8" t="n">
        <v>31</v>
      </c>
      <c r="D18459" s="8" t="inlineStr">
        <is>
          <t>Disney Adventure World</t>
        </is>
      </c>
      <c r="E18459" s="8" t="inlineStr">
        <is>
          <t>Avengers Assemble: Flight Force Single Rider</t>
        </is>
      </c>
      <c r="F18459" s="8" t="inlineStr">
        <is>
          <t>STANDBY</t>
        </is>
      </c>
      <c r="G18459" s="8" t="n">
        <v>5</v>
      </c>
      <c r="H18459" s="8" t="inlineStr">
        <is>
          <t>OPERATING</t>
        </is>
      </c>
    </row>
    <row r="18460">
      <c r="A18460" s="8" t="inlineStr">
        <is>
          <t>2026-08-04</t>
        </is>
      </c>
      <c r="B18460" s="8" t="n">
        <v>8</v>
      </c>
      <c r="C18460" s="8" t="n">
        <v>31</v>
      </c>
      <c r="D18460" s="8" t="inlineStr">
        <is>
          <t>Disney Adventure World</t>
        </is>
      </c>
      <c r="E18460" s="8" t="inlineStr">
        <is>
          <t>Spider-Man W.E.B. Adventure</t>
        </is>
      </c>
      <c r="F18460" s="8" t="inlineStr">
        <is>
          <t>STANDBY</t>
        </is>
      </c>
      <c r="G18460" s="8" t="n">
        <v>5</v>
      </c>
      <c r="H18460" s="8" t="inlineStr">
        <is>
          <t>OPERATING</t>
        </is>
      </c>
    </row>
    <row r="18461">
      <c r="A18461" s="8" t="inlineStr">
        <is>
          <t>2026-08-04</t>
        </is>
      </c>
      <c r="B18461" s="8" t="n">
        <v>8</v>
      </c>
      <c r="C18461" s="8" t="n">
        <v>31</v>
      </c>
      <c r="D18461" s="8" t="inlineStr">
        <is>
          <t>Disney Adventure World</t>
        </is>
      </c>
      <c r="E18461" s="8" t="inlineStr">
        <is>
          <t>Spider-Man W.E.B. Adventure Single Rider</t>
        </is>
      </c>
      <c r="F18461" s="8" t="inlineStr">
        <is>
          <t>STANDBY</t>
        </is>
      </c>
      <c r="G18461" s="8" t="n">
        <v>5</v>
      </c>
      <c r="H18461" s="8" t="inlineStr">
        <is>
          <t>OPERATING</t>
        </is>
      </c>
    </row>
    <row r="18462">
      <c r="A18462" s="8" t="inlineStr">
        <is>
          <t>2026-08-04</t>
        </is>
      </c>
      <c r="B18462" s="8" t="n">
        <v>8</v>
      </c>
      <c r="C18462" s="8" t="n">
        <v>31</v>
      </c>
      <c r="D18462" s="8" t="inlineStr">
        <is>
          <t>Disney Adventure World</t>
        </is>
      </c>
      <c r="E18462" s="8" t="inlineStr">
        <is>
          <t>The Twilight Zone Tower of Terror</t>
        </is>
      </c>
      <c r="F18462" s="8" t="inlineStr">
        <is>
          <t>STANDBY</t>
        </is>
      </c>
      <c r="G18462" s="8" t="n">
        <v>10</v>
      </c>
      <c r="H18462" s="8" t="inlineStr">
        <is>
          <t>OPERATING</t>
        </is>
      </c>
    </row>
    <row r="18463">
      <c r="A18463" s="8" t="inlineStr">
        <is>
          <t>2026-08-04</t>
        </is>
      </c>
      <c r="B18463" s="8" t="n">
        <v>8</v>
      </c>
      <c r="C18463" s="8" t="n">
        <v>31</v>
      </c>
      <c r="D18463" s="8" t="inlineStr">
        <is>
          <t>Disney Adventure World</t>
        </is>
      </c>
      <c r="E18463" s="8" t="inlineStr">
        <is>
          <t>Cars Quatre Roues Rallye</t>
        </is>
      </c>
      <c r="F18463" s="8" t="inlineStr">
        <is>
          <t>STANDBY</t>
        </is>
      </c>
      <c r="G18463" s="8" t="n">
        <v>0</v>
      </c>
      <c r="H18463" s="8" t="inlineStr">
        <is>
          <t>CLOSED</t>
        </is>
      </c>
    </row>
    <row r="18464">
      <c r="A18464" s="8" t="inlineStr">
        <is>
          <t>2026-08-04</t>
        </is>
      </c>
      <c r="B18464" s="8" t="n">
        <v>8</v>
      </c>
      <c r="C18464" s="8" t="n">
        <v>31</v>
      </c>
      <c r="D18464" s="8" t="inlineStr">
        <is>
          <t>Disney Adventure World</t>
        </is>
      </c>
      <c r="E18464" s="8" t="inlineStr">
        <is>
          <t>Cars ROAD TRIP</t>
        </is>
      </c>
      <c r="F18464" s="8" t="inlineStr">
        <is>
          <t>STANDBY</t>
        </is>
      </c>
      <c r="G18464" s="8" t="n">
        <v>0</v>
      </c>
      <c r="H18464" s="8" t="inlineStr">
        <is>
          <t>CLOSED</t>
        </is>
      </c>
    </row>
    <row r="18465">
      <c r="A18465" s="8" t="inlineStr">
        <is>
          <t>2026-08-04</t>
        </is>
      </c>
      <c r="B18465" s="8" t="n">
        <v>8</v>
      </c>
      <c r="C18465" s="8" t="n">
        <v>31</v>
      </c>
      <c r="D18465" s="8" t="inlineStr">
        <is>
          <t>Disney Adventure World</t>
        </is>
      </c>
      <c r="E18465" s="8" t="inlineStr">
        <is>
          <t>Crush's Coaster</t>
        </is>
      </c>
      <c r="F18465" s="8" t="inlineStr">
        <is>
          <t>STANDBY</t>
        </is>
      </c>
      <c r="G18465" s="8" t="n">
        <v>10</v>
      </c>
      <c r="H18465" s="8" t="inlineStr">
        <is>
          <t>OPERATING</t>
        </is>
      </c>
    </row>
    <row r="18466">
      <c r="A18466" s="8" t="inlineStr">
        <is>
          <t>2026-08-04</t>
        </is>
      </c>
      <c r="B18466" s="8" t="n">
        <v>8</v>
      </c>
      <c r="C18466" s="8" t="n">
        <v>31</v>
      </c>
      <c r="D18466" s="8" t="inlineStr">
        <is>
          <t>Disney Adventure World</t>
        </is>
      </c>
      <c r="E18466" s="8" t="inlineStr">
        <is>
          <t>Crush's Coaster Single Rider</t>
        </is>
      </c>
      <c r="F18466" s="8" t="inlineStr">
        <is>
          <t>STANDBY</t>
        </is>
      </c>
      <c r="G18466" s="8" t="n">
        <v>5</v>
      </c>
      <c r="H18466" s="8" t="inlineStr">
        <is>
          <t>OPERATING</t>
        </is>
      </c>
    </row>
    <row r="18467">
      <c r="A18467" s="8" t="inlineStr">
        <is>
          <t>2026-08-04</t>
        </is>
      </c>
      <c r="B18467" s="8" t="n">
        <v>8</v>
      </c>
      <c r="C18467" s="8" t="n">
        <v>31</v>
      </c>
      <c r="D18467" s="8" t="inlineStr">
        <is>
          <t>Disney Adventure World</t>
        </is>
      </c>
      <c r="E18467" s="8" t="inlineStr">
        <is>
          <t>Les Tapis Volants - Flying Carpets Over Agrabah®</t>
        </is>
      </c>
      <c r="F18467" s="8" t="inlineStr">
        <is>
          <t>STANDBY</t>
        </is>
      </c>
      <c r="G18467" s="8" t="n">
        <v>0</v>
      </c>
      <c r="H18467" s="8" t="inlineStr">
        <is>
          <t>CLOSED</t>
        </is>
      </c>
    </row>
    <row r="18468">
      <c r="A18468" s="8" t="inlineStr">
        <is>
          <t>2026-08-04</t>
        </is>
      </c>
      <c r="B18468" s="8" t="n">
        <v>8</v>
      </c>
      <c r="C18468" s="8" t="n">
        <v>31</v>
      </c>
      <c r="D18468" s="8" t="inlineStr">
        <is>
          <t>Disney Adventure World</t>
        </is>
      </c>
      <c r="E18468" s="8" t="inlineStr">
        <is>
          <t>Ratatouille : L’Aventure Totalement Toquée de Rémy​</t>
        </is>
      </c>
      <c r="F18468" s="8" t="inlineStr">
        <is>
          <t>STANDBY</t>
        </is>
      </c>
      <c r="G18468" s="8" t="n">
        <v>0</v>
      </c>
      <c r="H18468" s="8" t="inlineStr">
        <is>
          <t>CLOSED</t>
        </is>
      </c>
    </row>
    <row r="18469">
      <c r="A18469" s="8" t="inlineStr">
        <is>
          <t>2026-08-04</t>
        </is>
      </c>
      <c r="B18469" s="8" t="n">
        <v>8</v>
      </c>
      <c r="C18469" s="8" t="n">
        <v>31</v>
      </c>
      <c r="D18469" s="8" t="inlineStr">
        <is>
          <t>Disney Adventure World</t>
        </is>
      </c>
      <c r="E18469" s="8" t="inlineStr">
        <is>
          <t>Ratatouille: The Adventure Single Rider</t>
        </is>
      </c>
      <c r="F18469" s="8" t="inlineStr">
        <is>
          <t>STANDBY</t>
        </is>
      </c>
      <c r="G18469" s="8" t="n">
        <v>0</v>
      </c>
      <c r="H18469" s="8" t="inlineStr">
        <is>
          <t>CLOSED</t>
        </is>
      </c>
    </row>
    <row r="18470">
      <c r="A18470" s="8" t="inlineStr">
        <is>
          <t>2026-08-04</t>
        </is>
      </c>
      <c r="B18470" s="8" t="n">
        <v>8</v>
      </c>
      <c r="C18470" s="8" t="n">
        <v>31</v>
      </c>
      <c r="D18470" s="8" t="inlineStr">
        <is>
          <t>Disney Adventure World</t>
        </is>
      </c>
      <c r="E18470" s="8" t="inlineStr">
        <is>
          <t>RC Racer</t>
        </is>
      </c>
      <c r="F18470" s="8" t="inlineStr">
        <is>
          <t>STANDBY</t>
        </is>
      </c>
      <c r="G18470" s="8" t="n">
        <v>0</v>
      </c>
      <c r="H18470" s="8" t="inlineStr">
        <is>
          <t>CLOSED</t>
        </is>
      </c>
    </row>
    <row r="18471">
      <c r="A18471" s="8" t="inlineStr">
        <is>
          <t>2026-08-04</t>
        </is>
      </c>
      <c r="B18471" s="8" t="n">
        <v>8</v>
      </c>
      <c r="C18471" s="8" t="n">
        <v>31</v>
      </c>
      <c r="D18471" s="8" t="inlineStr">
        <is>
          <t>Disney Adventure World</t>
        </is>
      </c>
      <c r="E18471" s="8" t="inlineStr">
        <is>
          <t>RC Racer Single Rider</t>
        </is>
      </c>
      <c r="F18471" s="8" t="inlineStr">
        <is>
          <t>STANDBY</t>
        </is>
      </c>
      <c r="G18471" s="8" t="n">
        <v>0</v>
      </c>
      <c r="H18471" s="8" t="inlineStr">
        <is>
          <t>CLOSED</t>
        </is>
      </c>
    </row>
    <row r="18472">
      <c r="A18472" s="8" t="inlineStr">
        <is>
          <t>2026-08-04</t>
        </is>
      </c>
      <c r="B18472" s="8" t="n">
        <v>8</v>
      </c>
      <c r="C18472" s="8" t="n">
        <v>31</v>
      </c>
      <c r="D18472" s="8" t="inlineStr">
        <is>
          <t>Disney Adventure World</t>
        </is>
      </c>
      <c r="E18472" s="8" t="inlineStr">
        <is>
          <t>Slinky® Dog Zigzag Spin</t>
        </is>
      </c>
      <c r="F18472" s="8" t="inlineStr">
        <is>
          <t>STANDBY</t>
        </is>
      </c>
      <c r="G18472" s="8" t="n">
        <v>0</v>
      </c>
      <c r="H18472" s="8" t="inlineStr">
        <is>
          <t>CLOSED</t>
        </is>
      </c>
    </row>
    <row r="18473">
      <c r="A18473" s="8" t="inlineStr">
        <is>
          <t>2026-08-04</t>
        </is>
      </c>
      <c r="B18473" s="8" t="n">
        <v>8</v>
      </c>
      <c r="C18473" s="8" t="n">
        <v>31</v>
      </c>
      <c r="D18473" s="8" t="inlineStr">
        <is>
          <t>Disney Adventure World</t>
        </is>
      </c>
      <c r="E18473" s="8" t="inlineStr">
        <is>
          <t>Toy Soldiers Parachute Drop</t>
        </is>
      </c>
      <c r="F18473" s="8" t="inlineStr">
        <is>
          <t>STANDBY</t>
        </is>
      </c>
      <c r="G18473" s="8" t="n">
        <v>0</v>
      </c>
      <c r="H18473" s="8" t="inlineStr">
        <is>
          <t>CLOSED</t>
        </is>
      </c>
    </row>
    <row r="18474">
      <c r="A18474" s="8" t="inlineStr">
        <is>
          <t>2026-08-04</t>
        </is>
      </c>
      <c r="B18474" s="8" t="n">
        <v>8</v>
      </c>
      <c r="C18474" s="8" t="n">
        <v>31</v>
      </c>
      <c r="D18474" s="8" t="inlineStr">
        <is>
          <t>Disney Adventure World</t>
        </is>
      </c>
      <c r="E18474" s="8" t="inlineStr">
        <is>
          <t>Toy Soldiers Parachute Drop Single Rider</t>
        </is>
      </c>
      <c r="F18474" s="8" t="inlineStr">
        <is>
          <t>STANDBY</t>
        </is>
      </c>
      <c r="G18474" s="8" t="n">
        <v>0</v>
      </c>
      <c r="H18474" s="8" t="inlineStr">
        <is>
          <t>CLOSED</t>
        </is>
      </c>
    </row>
    <row r="18475">
      <c r="A18475" s="8" t="inlineStr">
        <is>
          <t>2026-08-04</t>
        </is>
      </c>
      <c r="B18475" s="8" t="n">
        <v>8</v>
      </c>
      <c r="C18475" s="8" t="n">
        <v>31</v>
      </c>
      <c r="D18475" s="8" t="inlineStr">
        <is>
          <t>Disney Adventure World</t>
        </is>
      </c>
      <c r="E18475" s="8" t="inlineStr">
        <is>
          <t>Entry to World of Frozen</t>
        </is>
      </c>
      <c r="F18475" s="8" t="inlineStr">
        <is>
          <t>STANDBY</t>
        </is>
      </c>
      <c r="G18475" s="8" t="n">
        <v>0</v>
      </c>
      <c r="H18475" s="8" t="inlineStr">
        <is>
          <t>CLOSED</t>
        </is>
      </c>
    </row>
    <row r="18476">
      <c r="A18476" s="8" t="inlineStr">
        <is>
          <t>2026-08-04</t>
        </is>
      </c>
      <c r="B18476" s="8" t="n">
        <v>8</v>
      </c>
      <c r="C18476" s="8" t="n">
        <v>31</v>
      </c>
      <c r="D18476" s="8" t="inlineStr">
        <is>
          <t>Disney Adventure World</t>
        </is>
      </c>
      <c r="E18476" s="8" t="inlineStr">
        <is>
          <t>Frozen Ever After</t>
        </is>
      </c>
      <c r="F18476" s="8" t="inlineStr">
        <is>
          <t>STANDBY</t>
        </is>
      </c>
      <c r="G18476" s="8" t="n">
        <v>0</v>
      </c>
      <c r="H18476" s="8" t="inlineStr">
        <is>
          <t>CLOSED</t>
        </is>
      </c>
    </row>
    <row r="18477">
      <c r="A18477" s="8" t="inlineStr">
        <is>
          <t>2026-08-04</t>
        </is>
      </c>
      <c r="B18477" s="8" t="n">
        <v>8</v>
      </c>
      <c r="C18477" s="8" t="n">
        <v>31</v>
      </c>
      <c r="D18477" s="8" t="inlineStr">
        <is>
          <t>Disney Adventure World</t>
        </is>
      </c>
      <c r="E18477" s="8" t="inlineStr">
        <is>
          <t>Raiponce Tangled Spin</t>
        </is>
      </c>
      <c r="F18477" s="8" t="inlineStr">
        <is>
          <t>STANDBY</t>
        </is>
      </c>
      <c r="G18477" s="8" t="n">
        <v>5</v>
      </c>
      <c r="H18477" s="8" t="inlineStr">
        <is>
          <t>OPERATING</t>
        </is>
      </c>
    </row>
    <row r="18478">
      <c r="A18478" s="8" t="inlineStr">
        <is>
          <t>2026-08-04</t>
        </is>
      </c>
      <c r="B18478" s="8" t="n">
        <v>8</v>
      </c>
      <c r="C18478" s="8" t="n">
        <v>45</v>
      </c>
      <c r="D18478" s="8" t="inlineStr">
        <is>
          <t>Disneyland Park</t>
        </is>
      </c>
      <c r="E18478" s="8" t="inlineStr">
        <is>
          <t>Adventure Isle</t>
        </is>
      </c>
      <c r="F18478" s="8" t="inlineStr">
        <is>
          <t>STANDBY</t>
        </is>
      </c>
      <c r="G18478" s="8" t="n">
        <v>0</v>
      </c>
      <c r="H18478" s="8" t="inlineStr">
        <is>
          <t>CLOSED</t>
        </is>
      </c>
    </row>
    <row r="18479">
      <c r="A18479" s="8" t="inlineStr">
        <is>
          <t>2026-08-04</t>
        </is>
      </c>
      <c r="B18479" s="8" t="n">
        <v>8</v>
      </c>
      <c r="C18479" s="8" t="n">
        <v>45</v>
      </c>
      <c r="D18479" s="8" t="inlineStr">
        <is>
          <t>Disneyland Park</t>
        </is>
      </c>
      <c r="E18479" s="8" t="inlineStr">
        <is>
          <t>Indiana Jones and the Temple of Peril Single Rider</t>
        </is>
      </c>
      <c r="F18479" s="8" t="inlineStr">
        <is>
          <t>STANDBY</t>
        </is>
      </c>
      <c r="G18479" s="8" t="n">
        <v>0</v>
      </c>
      <c r="H18479" s="8" t="inlineStr">
        <is>
          <t>CLOSED</t>
        </is>
      </c>
    </row>
    <row r="18480">
      <c r="A18480" s="8" t="inlineStr">
        <is>
          <t>2026-08-04</t>
        </is>
      </c>
      <c r="B18480" s="8" t="n">
        <v>8</v>
      </c>
      <c r="C18480" s="8" t="n">
        <v>45</v>
      </c>
      <c r="D18480" s="8" t="inlineStr">
        <is>
          <t>Disneyland Park</t>
        </is>
      </c>
      <c r="E18480" s="8" t="inlineStr">
        <is>
          <t>Indiana Jones™ and the Temple of Peril</t>
        </is>
      </c>
      <c r="F18480" s="8" t="inlineStr">
        <is>
          <t>STANDBY</t>
        </is>
      </c>
      <c r="G18480" s="8" t="n">
        <v>0</v>
      </c>
      <c r="H18480" s="8" t="inlineStr">
        <is>
          <t>CLOSED</t>
        </is>
      </c>
    </row>
    <row r="18481">
      <c r="A18481" s="8" t="inlineStr">
        <is>
          <t>2026-08-04</t>
        </is>
      </c>
      <c r="B18481" s="8" t="n">
        <v>8</v>
      </c>
      <c r="C18481" s="8" t="n">
        <v>45</v>
      </c>
      <c r="D18481" s="8" t="inlineStr">
        <is>
          <t>Disneyland Park</t>
        </is>
      </c>
      <c r="E18481" s="8" t="inlineStr">
        <is>
          <t>La Cabane des Robinson</t>
        </is>
      </c>
      <c r="F18481" s="8" t="inlineStr">
        <is>
          <t>STANDBY</t>
        </is>
      </c>
      <c r="G18481" s="8" t="n">
        <v>0</v>
      </c>
      <c r="H18481" s="8" t="inlineStr">
        <is>
          <t>CLOSED</t>
        </is>
      </c>
    </row>
    <row r="18482">
      <c r="A18482" s="8" t="inlineStr">
        <is>
          <t>2026-08-04</t>
        </is>
      </c>
      <c r="B18482" s="8" t="n">
        <v>8</v>
      </c>
      <c r="C18482" s="8" t="n">
        <v>45</v>
      </c>
      <c r="D18482" s="8" t="inlineStr">
        <is>
          <t>Disneyland Park</t>
        </is>
      </c>
      <c r="E18482" s="8" t="inlineStr">
        <is>
          <t>Le Passage Enchanté d'Aladdin</t>
        </is>
      </c>
      <c r="F18482" s="8" t="inlineStr">
        <is>
          <t>STANDBY</t>
        </is>
      </c>
      <c r="G18482" s="8" t="n">
        <v>0</v>
      </c>
      <c r="H18482" s="8" t="inlineStr">
        <is>
          <t>CLOSED</t>
        </is>
      </c>
    </row>
    <row r="18483">
      <c r="A18483" s="8" t="inlineStr">
        <is>
          <t>2026-08-04</t>
        </is>
      </c>
      <c r="B18483" s="8" t="n">
        <v>8</v>
      </c>
      <c r="C18483" s="8" t="n">
        <v>45</v>
      </c>
      <c r="D18483" s="8" t="inlineStr">
        <is>
          <t>Disneyland Park</t>
        </is>
      </c>
      <c r="E18483" s="8" t="inlineStr">
        <is>
          <t>Pirate Galleon</t>
        </is>
      </c>
      <c r="F18483" s="8" t="inlineStr">
        <is>
          <t>STANDBY</t>
        </is>
      </c>
      <c r="G18483" s="8" t="n">
        <v>0</v>
      </c>
      <c r="H18483" s="8" t="inlineStr">
        <is>
          <t>CLOSED</t>
        </is>
      </c>
    </row>
    <row r="18484">
      <c r="A18484" s="8" t="inlineStr">
        <is>
          <t>2026-08-04</t>
        </is>
      </c>
      <c r="B18484" s="8" t="n">
        <v>8</v>
      </c>
      <c r="C18484" s="8" t="n">
        <v>45</v>
      </c>
      <c r="D18484" s="8" t="inlineStr">
        <is>
          <t>Disneyland Park</t>
        </is>
      </c>
      <c r="E18484" s="8" t="inlineStr">
        <is>
          <t>Pirates of the Caribbean</t>
        </is>
      </c>
      <c r="F18484" s="8" t="inlineStr">
        <is>
          <t>STANDBY</t>
        </is>
      </c>
      <c r="G18484" s="8" t="n">
        <v>0</v>
      </c>
      <c r="H18484" s="8" t="inlineStr">
        <is>
          <t>CLOSED</t>
        </is>
      </c>
    </row>
    <row r="18485">
      <c r="A18485" s="8" t="inlineStr">
        <is>
          <t>2026-08-04</t>
        </is>
      </c>
      <c r="B18485" s="8" t="n">
        <v>8</v>
      </c>
      <c r="C18485" s="8" t="n">
        <v>45</v>
      </c>
      <c r="D18485" s="8" t="inlineStr">
        <is>
          <t>Disneyland Park</t>
        </is>
      </c>
      <c r="E18485" s="8" t="inlineStr">
        <is>
          <t>Pirates' Beach</t>
        </is>
      </c>
      <c r="F18485" s="8" t="inlineStr">
        <is>
          <t>STANDBY</t>
        </is>
      </c>
      <c r="G18485" s="8" t="n">
        <v>0</v>
      </c>
      <c r="H18485" s="8" t="inlineStr">
        <is>
          <t>CLOSED</t>
        </is>
      </c>
    </row>
    <row r="18486">
      <c r="A18486" s="8" t="inlineStr">
        <is>
          <t>2026-08-04</t>
        </is>
      </c>
      <c r="B18486" s="8" t="n">
        <v>8</v>
      </c>
      <c r="C18486" s="8" t="n">
        <v>45</v>
      </c>
      <c r="D18486" s="8" t="inlineStr">
        <is>
          <t>Disneyland Park</t>
        </is>
      </c>
      <c r="E18486" s="8" t="inlineStr">
        <is>
          <t>Autopia, presented by Avis</t>
        </is>
      </c>
      <c r="F18486" s="8" t="inlineStr">
        <is>
          <t>STANDBY</t>
        </is>
      </c>
      <c r="G18486" s="8" t="n">
        <v>0</v>
      </c>
      <c r="H18486" s="8" t="inlineStr">
        <is>
          <t>CLOSED</t>
        </is>
      </c>
    </row>
    <row r="18487">
      <c r="A18487" s="8" t="inlineStr">
        <is>
          <t>2026-08-04</t>
        </is>
      </c>
      <c r="B18487" s="8" t="n">
        <v>8</v>
      </c>
      <c r="C18487" s="8" t="n">
        <v>45</v>
      </c>
      <c r="D18487" s="8" t="inlineStr">
        <is>
          <t>Disneyland Park</t>
        </is>
      </c>
      <c r="E18487" s="8" t="inlineStr">
        <is>
          <t>Buzz Lightyear Laser Blast</t>
        </is>
      </c>
      <c r="F18487" s="8" t="inlineStr">
        <is>
          <t>STANDBY</t>
        </is>
      </c>
      <c r="G18487" s="8" t="n">
        <v>5</v>
      </c>
      <c r="H18487" s="8" t="inlineStr">
        <is>
          <t>OPERATING</t>
        </is>
      </c>
    </row>
    <row r="18488">
      <c r="A18488" s="8" t="inlineStr">
        <is>
          <t>2026-08-04</t>
        </is>
      </c>
      <c r="B18488" s="8" t="n">
        <v>8</v>
      </c>
      <c r="C18488" s="8" t="n">
        <v>45</v>
      </c>
      <c r="D18488" s="8" t="inlineStr">
        <is>
          <t>Disneyland Park</t>
        </is>
      </c>
      <c r="E18488" s="8" t="inlineStr">
        <is>
          <t>Disneyland Railroad Discoveryland Station</t>
        </is>
      </c>
      <c r="F18488" s="8" t="inlineStr">
        <is>
          <t>STANDBY</t>
        </is>
      </c>
      <c r="G18488" s="8" t="n">
        <v>0</v>
      </c>
      <c r="H18488" s="8" t="inlineStr">
        <is>
          <t>CLOSED</t>
        </is>
      </c>
    </row>
    <row r="18489">
      <c r="A18489" s="8" t="inlineStr">
        <is>
          <t>2026-08-04</t>
        </is>
      </c>
      <c r="B18489" s="8" t="n">
        <v>8</v>
      </c>
      <c r="C18489" s="8" t="n">
        <v>45</v>
      </c>
      <c r="D18489" s="8" t="inlineStr">
        <is>
          <t>Disneyland Park</t>
        </is>
      </c>
      <c r="E18489" s="8" t="inlineStr">
        <is>
          <t>Les Mystères du Nautilus</t>
        </is>
      </c>
      <c r="F18489" s="8" t="inlineStr">
        <is>
          <t>STANDBY</t>
        </is>
      </c>
      <c r="G18489" s="8" t="n">
        <v>0</v>
      </c>
      <c r="H18489" s="8" t="inlineStr">
        <is>
          <t>CLOSED</t>
        </is>
      </c>
    </row>
    <row r="18490">
      <c r="A18490" s="8" t="inlineStr">
        <is>
          <t>2026-08-04</t>
        </is>
      </c>
      <c r="B18490" s="8" t="n">
        <v>8</v>
      </c>
      <c r="C18490" s="8" t="n">
        <v>45</v>
      </c>
      <c r="D18490" s="8" t="inlineStr">
        <is>
          <t>Disneyland Park</t>
        </is>
      </c>
      <c r="E18490" s="8" t="inlineStr">
        <is>
          <t>Mickey’s PhilharMagic</t>
        </is>
      </c>
      <c r="F18490" s="8" t="inlineStr">
        <is>
          <t>STANDBY</t>
        </is>
      </c>
      <c r="G18490" s="8" t="n">
        <v>0</v>
      </c>
      <c r="H18490" s="8" t="inlineStr">
        <is>
          <t>CLOSED</t>
        </is>
      </c>
    </row>
    <row r="18491">
      <c r="A18491" s="8" t="inlineStr">
        <is>
          <t>2026-08-04</t>
        </is>
      </c>
      <c r="B18491" s="8" t="n">
        <v>8</v>
      </c>
      <c r="C18491" s="8" t="n">
        <v>45</v>
      </c>
      <c r="D18491" s="8" t="inlineStr">
        <is>
          <t>Disneyland Park</t>
        </is>
      </c>
      <c r="E18491" s="8" t="inlineStr">
        <is>
          <t>Orbitron®</t>
        </is>
      </c>
      <c r="F18491" s="8" t="inlineStr">
        <is>
          <t>STANDBY</t>
        </is>
      </c>
      <c r="G18491" s="8" t="n">
        <v>0</v>
      </c>
      <c r="H18491" s="8" t="inlineStr">
        <is>
          <t>CLOSED</t>
        </is>
      </c>
    </row>
    <row r="18492">
      <c r="A18492" s="8" t="inlineStr">
        <is>
          <t>2026-08-04</t>
        </is>
      </c>
      <c r="B18492" s="8" t="n">
        <v>8</v>
      </c>
      <c r="C18492" s="8" t="n">
        <v>45</v>
      </c>
      <c r="D18492" s="8" t="inlineStr">
        <is>
          <t>Disneyland Park</t>
        </is>
      </c>
      <c r="E18492" s="8" t="inlineStr">
        <is>
          <t>Star Tours: The Adventures Continue*</t>
        </is>
      </c>
      <c r="F18492" s="8" t="inlineStr">
        <is>
          <t>STANDBY</t>
        </is>
      </c>
      <c r="G18492" s="8" t="n">
        <v>0</v>
      </c>
      <c r="H18492" s="8" t="inlineStr">
        <is>
          <t>CLOSED</t>
        </is>
      </c>
    </row>
    <row r="18493">
      <c r="A18493" s="8" t="inlineStr">
        <is>
          <t>2026-08-04</t>
        </is>
      </c>
      <c r="B18493" s="8" t="n">
        <v>8</v>
      </c>
      <c r="C18493" s="8" t="n">
        <v>45</v>
      </c>
      <c r="D18493" s="8" t="inlineStr">
        <is>
          <t>Disneyland Park</t>
        </is>
      </c>
      <c r="E18493" s="8" t="inlineStr">
        <is>
          <t>Star Wars Hyperspace Mountain</t>
        </is>
      </c>
      <c r="F18493" s="8" t="inlineStr">
        <is>
          <t>STANDBY</t>
        </is>
      </c>
      <c r="G18493" s="8" t="n">
        <v>10</v>
      </c>
      <c r="H18493" s="8" t="inlineStr">
        <is>
          <t>OPERATING</t>
        </is>
      </c>
    </row>
    <row r="18494">
      <c r="A18494" s="8" t="inlineStr">
        <is>
          <t>2026-08-04</t>
        </is>
      </c>
      <c r="B18494" s="8" t="n">
        <v>8</v>
      </c>
      <c r="C18494" s="8" t="n">
        <v>45</v>
      </c>
      <c r="D18494" s="8" t="inlineStr">
        <is>
          <t>Disneyland Park</t>
        </is>
      </c>
      <c r="E18494" s="8" t="inlineStr">
        <is>
          <t>Star Wars Hyperspace Mountain Single Rider</t>
        </is>
      </c>
      <c r="F18494" s="8" t="inlineStr">
        <is>
          <t>STANDBY</t>
        </is>
      </c>
      <c r="G18494" s="8" t="n">
        <v>0</v>
      </c>
      <c r="H18494" s="8" t="inlineStr">
        <is>
          <t>OPERATING</t>
        </is>
      </c>
    </row>
    <row r="18495">
      <c r="A18495" s="8" t="inlineStr">
        <is>
          <t>2026-08-04</t>
        </is>
      </c>
      <c r="B18495" s="8" t="n">
        <v>8</v>
      </c>
      <c r="C18495" s="8" t="n">
        <v>45</v>
      </c>
      <c r="D18495" s="8" t="inlineStr">
        <is>
          <t>Disneyland Park</t>
        </is>
      </c>
      <c r="E18495" s="8" t="inlineStr">
        <is>
          <t>Welcome to Starport: A Star Wars Encounter</t>
        </is>
      </c>
      <c r="F18495" s="8" t="inlineStr">
        <is>
          <t>STANDBY</t>
        </is>
      </c>
      <c r="G18495" s="8" t="n">
        <v>0</v>
      </c>
      <c r="H18495" s="8" t="inlineStr">
        <is>
          <t>CLOSED</t>
        </is>
      </c>
    </row>
    <row r="18496">
      <c r="A18496" s="8" t="inlineStr">
        <is>
          <t>2026-08-04</t>
        </is>
      </c>
      <c r="B18496" s="8" t="n">
        <v>8</v>
      </c>
      <c r="C18496" s="8" t="n">
        <v>45</v>
      </c>
      <c r="D18496" s="8" t="inlineStr">
        <is>
          <t>Disneyland Park</t>
        </is>
      </c>
      <c r="E18496" s="8" t="inlineStr">
        <is>
          <t>"it's a small world"</t>
        </is>
      </c>
      <c r="F18496" s="8" t="inlineStr">
        <is>
          <t>STANDBY</t>
        </is>
      </c>
      <c r="G18496" s="8" t="n">
        <v>0</v>
      </c>
      <c r="H18496" s="8" t="inlineStr">
        <is>
          <t>CLOSED</t>
        </is>
      </c>
    </row>
    <row r="18497">
      <c r="A18497" s="8" t="inlineStr">
        <is>
          <t>2026-08-04</t>
        </is>
      </c>
      <c r="B18497" s="8" t="n">
        <v>8</v>
      </c>
      <c r="C18497" s="8" t="n">
        <v>45</v>
      </c>
      <c r="D18497" s="8" t="inlineStr">
        <is>
          <t>Disneyland Park</t>
        </is>
      </c>
      <c r="E18497" s="8" t="inlineStr">
        <is>
          <t>Alice's Curious Labyrinth</t>
        </is>
      </c>
      <c r="F18497" s="8" t="inlineStr">
        <is>
          <t>STANDBY</t>
        </is>
      </c>
      <c r="G18497" s="8" t="n">
        <v>0</v>
      </c>
      <c r="H18497" s="8" t="inlineStr">
        <is>
          <t>CLOSED</t>
        </is>
      </c>
    </row>
    <row r="18498">
      <c r="A18498" s="8" t="inlineStr">
        <is>
          <t>2026-08-04</t>
        </is>
      </c>
      <c r="B18498" s="8" t="n">
        <v>8</v>
      </c>
      <c r="C18498" s="8" t="n">
        <v>45</v>
      </c>
      <c r="D18498" s="8" t="inlineStr">
        <is>
          <t>Disneyland Park</t>
        </is>
      </c>
      <c r="E18498" s="8" t="inlineStr">
        <is>
          <t>Blanche-Neige et les Sept Nains®</t>
        </is>
      </c>
      <c r="F18498" s="8" t="inlineStr">
        <is>
          <t>STANDBY</t>
        </is>
      </c>
      <c r="G18498" s="8" t="n">
        <v>0</v>
      </c>
      <c r="H18498" s="8" t="inlineStr">
        <is>
          <t>CLOSED</t>
        </is>
      </c>
    </row>
    <row r="18499">
      <c r="A18499" s="8" t="inlineStr">
        <is>
          <t>2026-08-04</t>
        </is>
      </c>
      <c r="B18499" s="8" t="n">
        <v>8</v>
      </c>
      <c r="C18499" s="8" t="n">
        <v>45</v>
      </c>
      <c r="D18499" s="8" t="inlineStr">
        <is>
          <t>Disneyland Park</t>
        </is>
      </c>
      <c r="E18499" s="8" t="inlineStr">
        <is>
          <t>Casey Jr. – le Petit Train du Cirque</t>
        </is>
      </c>
      <c r="F18499" s="8" t="inlineStr">
        <is>
          <t>STANDBY</t>
        </is>
      </c>
      <c r="G18499" s="8" t="n">
        <v>0</v>
      </c>
      <c r="H18499" s="8" t="inlineStr">
        <is>
          <t>CLOSED</t>
        </is>
      </c>
    </row>
    <row r="18500">
      <c r="A18500" s="8" t="inlineStr">
        <is>
          <t>2026-08-04</t>
        </is>
      </c>
      <c r="B18500" s="8" t="n">
        <v>8</v>
      </c>
      <c r="C18500" s="8" t="n">
        <v>45</v>
      </c>
      <c r="D18500" s="8" t="inlineStr">
        <is>
          <t>Disneyland Park</t>
        </is>
      </c>
      <c r="E18500" s="8" t="inlineStr">
        <is>
          <t>Disneyland Railroad Fantasyland Station</t>
        </is>
      </c>
      <c r="F18500" s="8" t="inlineStr">
        <is>
          <t>STANDBY</t>
        </is>
      </c>
      <c r="G18500" s="8" t="n">
        <v>0</v>
      </c>
      <c r="H18500" s="8" t="inlineStr">
        <is>
          <t>CLOSED</t>
        </is>
      </c>
    </row>
    <row r="18501">
      <c r="A18501" s="8" t="inlineStr">
        <is>
          <t>2026-08-04</t>
        </is>
      </c>
      <c r="B18501" s="8" t="n">
        <v>8</v>
      </c>
      <c r="C18501" s="8" t="n">
        <v>45</v>
      </c>
      <c r="D18501" s="8" t="inlineStr">
        <is>
          <t>Disneyland Park</t>
        </is>
      </c>
      <c r="E18501" s="8" t="inlineStr">
        <is>
          <t>Disneyland Railroad Main Street Station</t>
        </is>
      </c>
      <c r="F18501" s="8" t="inlineStr">
        <is>
          <t>STANDBY</t>
        </is>
      </c>
      <c r="G18501" s="8" t="n">
        <v>0</v>
      </c>
      <c r="H18501" s="8" t="inlineStr">
        <is>
          <t>CLOSED</t>
        </is>
      </c>
    </row>
    <row r="18502">
      <c r="A18502" s="8" t="inlineStr">
        <is>
          <t>2026-08-04</t>
        </is>
      </c>
      <c r="B18502" s="8" t="n">
        <v>8</v>
      </c>
      <c r="C18502" s="8" t="n">
        <v>45</v>
      </c>
      <c r="D18502" s="8" t="inlineStr">
        <is>
          <t>Disneyland Park</t>
        </is>
      </c>
      <c r="E18502" s="8" t="inlineStr">
        <is>
          <t>Dumbo the Flying Elephant</t>
        </is>
      </c>
      <c r="F18502" s="8" t="inlineStr">
        <is>
          <t>STANDBY</t>
        </is>
      </c>
      <c r="G18502" s="8" t="n">
        <v>5</v>
      </c>
      <c r="H18502" s="8" t="inlineStr">
        <is>
          <t>OPERATING</t>
        </is>
      </c>
    </row>
    <row r="18503">
      <c r="A18503" s="8" t="inlineStr">
        <is>
          <t>2026-08-04</t>
        </is>
      </c>
      <c r="B18503" s="8" t="n">
        <v>8</v>
      </c>
      <c r="C18503" s="8" t="n">
        <v>45</v>
      </c>
      <c r="D18503" s="8" t="inlineStr">
        <is>
          <t>Disneyland Park</t>
        </is>
      </c>
      <c r="E18503" s="8" t="inlineStr">
        <is>
          <t>La Tanière du Dragon</t>
        </is>
      </c>
      <c r="F18503" s="8" t="inlineStr">
        <is>
          <t>STANDBY</t>
        </is>
      </c>
      <c r="G18503" s="8" t="n">
        <v>0</v>
      </c>
      <c r="H18503" s="8" t="inlineStr">
        <is>
          <t>OPERATING</t>
        </is>
      </c>
    </row>
    <row r="18504">
      <c r="A18504" s="8" t="inlineStr">
        <is>
          <t>2026-08-04</t>
        </is>
      </c>
      <c r="B18504" s="8" t="n">
        <v>8</v>
      </c>
      <c r="C18504" s="8" t="n">
        <v>45</v>
      </c>
      <c r="D18504" s="8" t="inlineStr">
        <is>
          <t>Disneyland Park</t>
        </is>
      </c>
      <c r="E18504" s="8" t="inlineStr">
        <is>
          <t>Le Carrousel de Lancelot</t>
        </is>
      </c>
      <c r="F18504" s="8" t="inlineStr">
        <is>
          <t>STANDBY</t>
        </is>
      </c>
      <c r="G18504" s="8" t="n">
        <v>0</v>
      </c>
      <c r="H18504" s="8" t="inlineStr">
        <is>
          <t>CLOSED</t>
        </is>
      </c>
    </row>
    <row r="18505">
      <c r="A18505" s="8" t="inlineStr">
        <is>
          <t>2026-08-04</t>
        </is>
      </c>
      <c r="B18505" s="8" t="n">
        <v>8</v>
      </c>
      <c r="C18505" s="8" t="n">
        <v>45</v>
      </c>
      <c r="D18505" s="8" t="inlineStr">
        <is>
          <t>Disneyland Park</t>
        </is>
      </c>
      <c r="E18505" s="8" t="inlineStr">
        <is>
          <t>Le Pays des Contes de Fées, presented by Vittel</t>
        </is>
      </c>
      <c r="F18505" s="8" t="inlineStr">
        <is>
          <t>STANDBY</t>
        </is>
      </c>
      <c r="G18505" s="8" t="n">
        <v>0</v>
      </c>
      <c r="H18505" s="8" t="inlineStr">
        <is>
          <t>CLOSED</t>
        </is>
      </c>
    </row>
    <row r="18506">
      <c r="A18506" s="8" t="inlineStr">
        <is>
          <t>2026-08-04</t>
        </is>
      </c>
      <c r="B18506" s="8" t="n">
        <v>8</v>
      </c>
      <c r="C18506" s="8" t="n">
        <v>45</v>
      </c>
      <c r="D18506" s="8" t="inlineStr">
        <is>
          <t>Disneyland Park</t>
        </is>
      </c>
      <c r="E18506" s="8" t="inlineStr">
        <is>
          <t>Les Voyages de Pinocchio</t>
        </is>
      </c>
      <c r="F18506" s="8" t="inlineStr">
        <is>
          <t>STANDBY</t>
        </is>
      </c>
      <c r="G18506" s="8" t="n">
        <v>0</v>
      </c>
      <c r="H18506" s="8" t="inlineStr">
        <is>
          <t>CLOSED</t>
        </is>
      </c>
    </row>
    <row r="18507">
      <c r="A18507" s="8" t="inlineStr">
        <is>
          <t>2026-08-04</t>
        </is>
      </c>
      <c r="B18507" s="8" t="n">
        <v>8</v>
      </c>
      <c r="C18507" s="8" t="n">
        <v>45</v>
      </c>
      <c r="D18507" s="8" t="inlineStr">
        <is>
          <t>Disneyland Park</t>
        </is>
      </c>
      <c r="E18507" s="8" t="inlineStr">
        <is>
          <t>Mad Hatter's Tea Cups</t>
        </is>
      </c>
      <c r="F18507" s="8" t="inlineStr">
        <is>
          <t>STANDBY</t>
        </is>
      </c>
      <c r="G18507" s="8" t="n">
        <v>0</v>
      </c>
      <c r="H18507" s="8" t="inlineStr">
        <is>
          <t>CLOSED</t>
        </is>
      </c>
    </row>
    <row r="18508">
      <c r="A18508" s="8" t="inlineStr">
        <is>
          <t>2026-08-04</t>
        </is>
      </c>
      <c r="B18508" s="8" t="n">
        <v>8</v>
      </c>
      <c r="C18508" s="8" t="n">
        <v>45</v>
      </c>
      <c r="D18508" s="8" t="inlineStr">
        <is>
          <t>Disneyland Park</t>
        </is>
      </c>
      <c r="E18508" s="8" t="inlineStr">
        <is>
          <t>Meet Mickey Mouse</t>
        </is>
      </c>
      <c r="F18508" s="8" t="inlineStr">
        <is>
          <t>STANDBY</t>
        </is>
      </c>
      <c r="G18508" s="8" t="n">
        <v>0</v>
      </c>
      <c r="H18508" s="8" t="inlineStr">
        <is>
          <t>CLOSED</t>
        </is>
      </c>
    </row>
    <row r="18509">
      <c r="A18509" s="8" t="inlineStr">
        <is>
          <t>2026-08-04</t>
        </is>
      </c>
      <c r="B18509" s="8" t="n">
        <v>8</v>
      </c>
      <c r="C18509" s="8" t="n">
        <v>45</v>
      </c>
      <c r="D18509" s="8" t="inlineStr">
        <is>
          <t>Disneyland Park</t>
        </is>
      </c>
      <c r="E18509" s="8" t="inlineStr">
        <is>
          <t>Peter Pan's Flight</t>
        </is>
      </c>
      <c r="F18509" s="8" t="inlineStr">
        <is>
          <t>STANDBY</t>
        </is>
      </c>
      <c r="G18509" s="8" t="n">
        <v>35</v>
      </c>
      <c r="H18509" s="8" t="inlineStr">
        <is>
          <t>OPERATING</t>
        </is>
      </c>
    </row>
    <row r="18510">
      <c r="A18510" s="8" t="inlineStr">
        <is>
          <t>2026-08-04</t>
        </is>
      </c>
      <c r="B18510" s="8" t="n">
        <v>8</v>
      </c>
      <c r="C18510" s="8" t="n">
        <v>45</v>
      </c>
      <c r="D18510" s="8" t="inlineStr">
        <is>
          <t>Disneyland Park</t>
        </is>
      </c>
      <c r="E18510" s="8" t="inlineStr">
        <is>
          <t>Princess Pavilion</t>
        </is>
      </c>
      <c r="F18510" s="8" t="inlineStr">
        <is>
          <t>STANDBY</t>
        </is>
      </c>
      <c r="G18510" s="8" t="n">
        <v>0</v>
      </c>
      <c r="H18510" s="8" t="inlineStr">
        <is>
          <t>CLOSED</t>
        </is>
      </c>
    </row>
    <row r="18511">
      <c r="A18511" s="8" t="inlineStr">
        <is>
          <t>2026-08-04</t>
        </is>
      </c>
      <c r="B18511" s="8" t="n">
        <v>8</v>
      </c>
      <c r="C18511" s="8" t="n">
        <v>45</v>
      </c>
      <c r="D18511" s="8" t="inlineStr">
        <is>
          <t>Disneyland Park</t>
        </is>
      </c>
      <c r="E18511" s="8" t="inlineStr">
        <is>
          <t>Big Thunder Mountain</t>
        </is>
      </c>
      <c r="F18511" s="8" t="inlineStr">
        <is>
          <t>STANDBY</t>
        </is>
      </c>
      <c r="G18511" s="8" t="n">
        <v>5</v>
      </c>
      <c r="H18511" s="8" t="inlineStr">
        <is>
          <t>OPERATING</t>
        </is>
      </c>
    </row>
    <row r="18512">
      <c r="A18512" s="8" t="inlineStr">
        <is>
          <t>2026-08-04</t>
        </is>
      </c>
      <c r="B18512" s="8" t="n">
        <v>8</v>
      </c>
      <c r="C18512" s="8" t="n">
        <v>45</v>
      </c>
      <c r="D18512" s="8" t="inlineStr">
        <is>
          <t>Disneyland Park</t>
        </is>
      </c>
      <c r="E18512" s="8" t="inlineStr">
        <is>
          <t>Disneyland Railroad Frontierland Depot</t>
        </is>
      </c>
      <c r="F18512" s="8" t="inlineStr">
        <is>
          <t>STANDBY</t>
        </is>
      </c>
      <c r="G18512" s="8" t="n">
        <v>0</v>
      </c>
      <c r="H18512" s="8" t="inlineStr">
        <is>
          <t>CLOSED</t>
        </is>
      </c>
    </row>
    <row r="18513">
      <c r="A18513" s="8" t="inlineStr">
        <is>
          <t>2026-08-04</t>
        </is>
      </c>
      <c r="B18513" s="8" t="n">
        <v>8</v>
      </c>
      <c r="C18513" s="8" t="n">
        <v>45</v>
      </c>
      <c r="D18513" s="8" t="inlineStr">
        <is>
          <t>Disneyland Park</t>
        </is>
      </c>
      <c r="E18513" s="8" t="inlineStr">
        <is>
          <t>Frontierland Playground</t>
        </is>
      </c>
      <c r="F18513" s="8" t="inlineStr">
        <is>
          <t>STANDBY</t>
        </is>
      </c>
      <c r="G18513" s="8" t="n">
        <v>0</v>
      </c>
      <c r="H18513" s="8" t="inlineStr">
        <is>
          <t>CLOSED</t>
        </is>
      </c>
    </row>
    <row r="18514">
      <c r="A18514" s="8" t="inlineStr">
        <is>
          <t>2026-08-04</t>
        </is>
      </c>
      <c r="B18514" s="8" t="n">
        <v>8</v>
      </c>
      <c r="C18514" s="8" t="n">
        <v>45</v>
      </c>
      <c r="D18514" s="8" t="inlineStr">
        <is>
          <t>Disneyland Park</t>
        </is>
      </c>
      <c r="E18514" s="8" t="inlineStr">
        <is>
          <t>Phantom Manor</t>
        </is>
      </c>
      <c r="F18514" s="8" t="inlineStr">
        <is>
          <t>STANDBY</t>
        </is>
      </c>
      <c r="G18514" s="8" t="n">
        <v>0</v>
      </c>
      <c r="H18514" s="8" t="inlineStr">
        <is>
          <t>CLOSED</t>
        </is>
      </c>
    </row>
    <row r="18515">
      <c r="A18515" s="8" t="inlineStr">
        <is>
          <t>2026-08-04</t>
        </is>
      </c>
      <c r="B18515" s="8" t="n">
        <v>8</v>
      </c>
      <c r="C18515" s="8" t="n">
        <v>45</v>
      </c>
      <c r="D18515" s="8" t="inlineStr">
        <is>
          <t>Disneyland Park</t>
        </is>
      </c>
      <c r="E18515" s="8" t="inlineStr">
        <is>
          <t>River Rogue Keelboats</t>
        </is>
      </c>
      <c r="F18515" s="8" t="inlineStr">
        <is>
          <t>STANDBY</t>
        </is>
      </c>
      <c r="G18515" s="8" t="n">
        <v>0</v>
      </c>
      <c r="H18515" s="8" t="inlineStr">
        <is>
          <t>CLOSED</t>
        </is>
      </c>
    </row>
    <row r="18516">
      <c r="A18516" s="8" t="inlineStr">
        <is>
          <t>2026-08-04</t>
        </is>
      </c>
      <c r="B18516" s="8" t="n">
        <v>8</v>
      </c>
      <c r="C18516" s="8" t="n">
        <v>45</v>
      </c>
      <c r="D18516" s="8" t="inlineStr">
        <is>
          <t>Disneyland Park</t>
        </is>
      </c>
      <c r="E18516" s="8" t="inlineStr">
        <is>
          <t>Rustler Roundup Shootin' Gallery</t>
        </is>
      </c>
      <c r="F18516" s="8" t="inlineStr">
        <is>
          <t>STANDBY</t>
        </is>
      </c>
      <c r="G18516" s="8" t="n">
        <v>0</v>
      </c>
      <c r="H18516" s="8" t="inlineStr">
        <is>
          <t>OPERATING</t>
        </is>
      </c>
    </row>
    <row r="18517">
      <c r="A18517" s="8" t="inlineStr">
        <is>
          <t>2026-08-04</t>
        </is>
      </c>
      <c r="B18517" s="8" t="n">
        <v>8</v>
      </c>
      <c r="C18517" s="8" t="n">
        <v>45</v>
      </c>
      <c r="D18517" s="8" t="inlineStr">
        <is>
          <t>Disneyland Park</t>
        </is>
      </c>
      <c r="E18517" s="8" t="inlineStr">
        <is>
          <t>Thunder Mesa Riverboat Landing</t>
        </is>
      </c>
      <c r="F18517" s="8" t="inlineStr">
        <is>
          <t>STANDBY</t>
        </is>
      </c>
      <c r="G18517" s="8" t="n">
        <v>0</v>
      </c>
      <c r="H18517" s="8" t="inlineStr">
        <is>
          <t>CLOSED</t>
        </is>
      </c>
    </row>
    <row r="18518">
      <c r="A18518" s="8" t="inlineStr">
        <is>
          <t>2026-08-04</t>
        </is>
      </c>
      <c r="B18518" s="8" t="n">
        <v>8</v>
      </c>
      <c r="C18518" s="8" t="n">
        <v>45</v>
      </c>
      <c r="D18518" s="8" t="inlineStr">
        <is>
          <t>Disneyland Park</t>
        </is>
      </c>
      <c r="E18518" s="8" t="inlineStr">
        <is>
          <t>Disneyland Railroad Main Street Station</t>
        </is>
      </c>
      <c r="F18518" s="8" t="inlineStr">
        <is>
          <t>STANDBY</t>
        </is>
      </c>
      <c r="G18518" s="8" t="n">
        <v>0</v>
      </c>
      <c r="H18518" s="8" t="inlineStr">
        <is>
          <t>CLOSED</t>
        </is>
      </c>
    </row>
    <row r="18519">
      <c r="A18519" s="8" t="inlineStr">
        <is>
          <t>2026-08-04</t>
        </is>
      </c>
      <c r="B18519" s="8" t="n">
        <v>8</v>
      </c>
      <c r="C18519" s="8" t="n">
        <v>45</v>
      </c>
      <c r="D18519" s="8" t="inlineStr">
        <is>
          <t>Disneyland Park</t>
        </is>
      </c>
      <c r="E18519" s="8" t="inlineStr">
        <is>
          <t>Main Street Vehicles</t>
        </is>
      </c>
      <c r="F18519" s="8" t="inlineStr">
        <is>
          <t>STANDBY</t>
        </is>
      </c>
      <c r="G18519" s="8" t="n">
        <v>5</v>
      </c>
      <c r="H18519" s="8" t="inlineStr">
        <is>
          <t>OPERATING</t>
        </is>
      </c>
    </row>
    <row r="18520">
      <c r="A18520" s="8" t="inlineStr">
        <is>
          <t>2026-08-04</t>
        </is>
      </c>
      <c r="B18520" s="8" t="n">
        <v>8</v>
      </c>
      <c r="C18520" s="8" t="n">
        <v>45</v>
      </c>
      <c r="D18520" s="8" t="inlineStr">
        <is>
          <t>Disney Adventure World</t>
        </is>
      </c>
      <c r="E18520" s="8" t="inlineStr">
        <is>
          <t>Avengers Assemble: Flight Force</t>
        </is>
      </c>
      <c r="F18520" s="8" t="inlineStr">
        <is>
          <t>STANDBY</t>
        </is>
      </c>
      <c r="G18520" s="8" t="n">
        <v>5</v>
      </c>
      <c r="H18520" s="8" t="inlineStr">
        <is>
          <t>OPERATING</t>
        </is>
      </c>
    </row>
    <row r="18521">
      <c r="A18521" s="8" t="inlineStr">
        <is>
          <t>2026-08-04</t>
        </is>
      </c>
      <c r="B18521" s="8" t="n">
        <v>8</v>
      </c>
      <c r="C18521" s="8" t="n">
        <v>45</v>
      </c>
      <c r="D18521" s="8" t="inlineStr">
        <is>
          <t>Disney Adventure World</t>
        </is>
      </c>
      <c r="E18521" s="8" t="inlineStr">
        <is>
          <t>Avengers Assemble: Flight Force Single Rider</t>
        </is>
      </c>
      <c r="F18521" s="8" t="inlineStr">
        <is>
          <t>STANDBY</t>
        </is>
      </c>
      <c r="G18521" s="8" t="n">
        <v>5</v>
      </c>
      <c r="H18521" s="8" t="inlineStr">
        <is>
          <t>OPERATING</t>
        </is>
      </c>
    </row>
    <row r="18522">
      <c r="A18522" s="8" t="inlineStr">
        <is>
          <t>2026-08-04</t>
        </is>
      </c>
      <c r="B18522" s="8" t="n">
        <v>8</v>
      </c>
      <c r="C18522" s="8" t="n">
        <v>45</v>
      </c>
      <c r="D18522" s="8" t="inlineStr">
        <is>
          <t>Disney Adventure World</t>
        </is>
      </c>
      <c r="E18522" s="8" t="inlineStr">
        <is>
          <t>Spider-Man W.E.B. Adventure</t>
        </is>
      </c>
      <c r="F18522" s="8" t="inlineStr">
        <is>
          <t>STANDBY</t>
        </is>
      </c>
      <c r="G18522" s="8" t="n">
        <v>5</v>
      </c>
      <c r="H18522" s="8" t="inlineStr">
        <is>
          <t>OPERATING</t>
        </is>
      </c>
    </row>
    <row r="18523">
      <c r="A18523" s="8" t="inlineStr">
        <is>
          <t>2026-08-04</t>
        </is>
      </c>
      <c r="B18523" s="8" t="n">
        <v>8</v>
      </c>
      <c r="C18523" s="8" t="n">
        <v>45</v>
      </c>
      <c r="D18523" s="8" t="inlineStr">
        <is>
          <t>Disney Adventure World</t>
        </is>
      </c>
      <c r="E18523" s="8" t="inlineStr">
        <is>
          <t>Spider-Man W.E.B. Adventure Single Rider</t>
        </is>
      </c>
      <c r="F18523" s="8" t="inlineStr">
        <is>
          <t>STANDBY</t>
        </is>
      </c>
      <c r="G18523" s="8" t="n">
        <v>5</v>
      </c>
      <c r="H18523" s="8" t="inlineStr">
        <is>
          <t>OPERATING</t>
        </is>
      </c>
    </row>
    <row r="18524">
      <c r="A18524" s="8" t="inlineStr">
        <is>
          <t>2026-08-04</t>
        </is>
      </c>
      <c r="B18524" s="8" t="n">
        <v>8</v>
      </c>
      <c r="C18524" s="8" t="n">
        <v>45</v>
      </c>
      <c r="D18524" s="8" t="inlineStr">
        <is>
          <t>Disney Adventure World</t>
        </is>
      </c>
      <c r="E18524" s="8" t="inlineStr">
        <is>
          <t>The Twilight Zone Tower of Terror</t>
        </is>
      </c>
      <c r="F18524" s="8" t="inlineStr">
        <is>
          <t>STANDBY</t>
        </is>
      </c>
      <c r="G18524" s="8" t="n">
        <v>5</v>
      </c>
      <c r="H18524" s="8" t="inlineStr">
        <is>
          <t>OPERATING</t>
        </is>
      </c>
    </row>
    <row r="18525">
      <c r="A18525" s="8" t="inlineStr">
        <is>
          <t>2026-08-04</t>
        </is>
      </c>
      <c r="B18525" s="8" t="n">
        <v>8</v>
      </c>
      <c r="C18525" s="8" t="n">
        <v>45</v>
      </c>
      <c r="D18525" s="8" t="inlineStr">
        <is>
          <t>Disney Adventure World</t>
        </is>
      </c>
      <c r="E18525" s="8" t="inlineStr">
        <is>
          <t>Cars Quatre Roues Rallye</t>
        </is>
      </c>
      <c r="F18525" s="8" t="inlineStr">
        <is>
          <t>STANDBY</t>
        </is>
      </c>
      <c r="G18525" s="8" t="n">
        <v>0</v>
      </c>
      <c r="H18525" s="8" t="inlineStr">
        <is>
          <t>CLOSED</t>
        </is>
      </c>
    </row>
    <row r="18526">
      <c r="A18526" s="8" t="inlineStr">
        <is>
          <t>2026-08-04</t>
        </is>
      </c>
      <c r="B18526" s="8" t="n">
        <v>8</v>
      </c>
      <c r="C18526" s="8" t="n">
        <v>45</v>
      </c>
      <c r="D18526" s="8" t="inlineStr">
        <is>
          <t>Disney Adventure World</t>
        </is>
      </c>
      <c r="E18526" s="8" t="inlineStr">
        <is>
          <t>Cars ROAD TRIP</t>
        </is>
      </c>
      <c r="F18526" s="8" t="inlineStr">
        <is>
          <t>STANDBY</t>
        </is>
      </c>
      <c r="G18526" s="8" t="n">
        <v>0</v>
      </c>
      <c r="H18526" s="8" t="inlineStr">
        <is>
          <t>CLOSED</t>
        </is>
      </c>
    </row>
    <row r="18527">
      <c r="A18527" s="8" t="inlineStr">
        <is>
          <t>2026-08-04</t>
        </is>
      </c>
      <c r="B18527" s="8" t="n">
        <v>8</v>
      </c>
      <c r="C18527" s="8" t="n">
        <v>45</v>
      </c>
      <c r="D18527" s="8" t="inlineStr">
        <is>
          <t>Disney Adventure World</t>
        </is>
      </c>
      <c r="E18527" s="8" t="inlineStr">
        <is>
          <t>Crush's Coaster</t>
        </is>
      </c>
      <c r="F18527" s="8" t="inlineStr">
        <is>
          <t>STANDBY</t>
        </is>
      </c>
      <c r="G18527" s="8" t="n">
        <v>75</v>
      </c>
      <c r="H18527" s="8" t="inlineStr">
        <is>
          <t>OPERATING</t>
        </is>
      </c>
    </row>
    <row r="18528">
      <c r="A18528" s="8" t="inlineStr">
        <is>
          <t>2026-08-04</t>
        </is>
      </c>
      <c r="B18528" s="8" t="n">
        <v>8</v>
      </c>
      <c r="C18528" s="8" t="n">
        <v>45</v>
      </c>
      <c r="D18528" s="8" t="inlineStr">
        <is>
          <t>Disney Adventure World</t>
        </is>
      </c>
      <c r="E18528" s="8" t="inlineStr">
        <is>
          <t>Crush's Coaster Single Rider</t>
        </is>
      </c>
      <c r="F18528" s="8" t="inlineStr">
        <is>
          <t>STANDBY</t>
        </is>
      </c>
      <c r="G18528" s="8" t="n">
        <v>45</v>
      </c>
      <c r="H18528" s="8" t="inlineStr">
        <is>
          <t>OPERATING</t>
        </is>
      </c>
    </row>
    <row r="18529">
      <c r="A18529" s="8" t="inlineStr">
        <is>
          <t>2026-08-04</t>
        </is>
      </c>
      <c r="B18529" s="8" t="n">
        <v>8</v>
      </c>
      <c r="C18529" s="8" t="n">
        <v>45</v>
      </c>
      <c r="D18529" s="8" t="inlineStr">
        <is>
          <t>Disney Adventure World</t>
        </is>
      </c>
      <c r="E18529" s="8" t="inlineStr">
        <is>
          <t>Les Tapis Volants - Flying Carpets Over Agrabah®</t>
        </is>
      </c>
      <c r="F18529" s="8" t="inlineStr">
        <is>
          <t>STANDBY</t>
        </is>
      </c>
      <c r="G18529" s="8" t="n">
        <v>0</v>
      </c>
      <c r="H18529" s="8" t="inlineStr">
        <is>
          <t>CLOSED</t>
        </is>
      </c>
    </row>
    <row r="18530">
      <c r="A18530" s="8" t="inlineStr">
        <is>
          <t>2026-08-04</t>
        </is>
      </c>
      <c r="B18530" s="8" t="n">
        <v>8</v>
      </c>
      <c r="C18530" s="8" t="n">
        <v>45</v>
      </c>
      <c r="D18530" s="8" t="inlineStr">
        <is>
          <t>Disney Adventure World</t>
        </is>
      </c>
      <c r="E18530" s="8" t="inlineStr">
        <is>
          <t>Ratatouille : L’Aventure Totalement Toquée de Rémy​</t>
        </is>
      </c>
      <c r="F18530" s="8" t="inlineStr">
        <is>
          <t>STANDBY</t>
        </is>
      </c>
      <c r="G18530" s="8" t="n">
        <v>0</v>
      </c>
      <c r="H18530" s="8" t="inlineStr">
        <is>
          <t>CLOSED</t>
        </is>
      </c>
    </row>
    <row r="18531">
      <c r="A18531" s="8" t="inlineStr">
        <is>
          <t>2026-08-04</t>
        </is>
      </c>
      <c r="B18531" s="8" t="n">
        <v>8</v>
      </c>
      <c r="C18531" s="8" t="n">
        <v>45</v>
      </c>
      <c r="D18531" s="8" t="inlineStr">
        <is>
          <t>Disney Adventure World</t>
        </is>
      </c>
      <c r="E18531" s="8" t="inlineStr">
        <is>
          <t>Ratatouille: The Adventure Single Rider</t>
        </is>
      </c>
      <c r="F18531" s="8" t="inlineStr">
        <is>
          <t>STANDBY</t>
        </is>
      </c>
      <c r="G18531" s="8" t="n">
        <v>0</v>
      </c>
      <c r="H18531" s="8" t="inlineStr">
        <is>
          <t>CLOSED</t>
        </is>
      </c>
    </row>
    <row r="18532">
      <c r="A18532" s="8" t="inlineStr">
        <is>
          <t>2026-08-04</t>
        </is>
      </c>
      <c r="B18532" s="8" t="n">
        <v>8</v>
      </c>
      <c r="C18532" s="8" t="n">
        <v>45</v>
      </c>
      <c r="D18532" s="8" t="inlineStr">
        <is>
          <t>Disney Adventure World</t>
        </is>
      </c>
      <c r="E18532" s="8" t="inlineStr">
        <is>
          <t>RC Racer</t>
        </is>
      </c>
      <c r="F18532" s="8" t="inlineStr">
        <is>
          <t>STANDBY</t>
        </is>
      </c>
      <c r="G18532" s="8" t="n">
        <v>0</v>
      </c>
      <c r="H18532" s="8" t="inlineStr">
        <is>
          <t>CLOSED</t>
        </is>
      </c>
    </row>
    <row r="18533">
      <c r="A18533" s="8" t="inlineStr">
        <is>
          <t>2026-08-04</t>
        </is>
      </c>
      <c r="B18533" s="8" t="n">
        <v>8</v>
      </c>
      <c r="C18533" s="8" t="n">
        <v>45</v>
      </c>
      <c r="D18533" s="8" t="inlineStr">
        <is>
          <t>Disney Adventure World</t>
        </is>
      </c>
      <c r="E18533" s="8" t="inlineStr">
        <is>
          <t>RC Racer Single Rider</t>
        </is>
      </c>
      <c r="F18533" s="8" t="inlineStr">
        <is>
          <t>STANDBY</t>
        </is>
      </c>
      <c r="G18533" s="8" t="n">
        <v>0</v>
      </c>
      <c r="H18533" s="8" t="inlineStr">
        <is>
          <t>CLOSED</t>
        </is>
      </c>
    </row>
    <row r="18534">
      <c r="A18534" s="8" t="inlineStr">
        <is>
          <t>2026-08-04</t>
        </is>
      </c>
      <c r="B18534" s="8" t="n">
        <v>8</v>
      </c>
      <c r="C18534" s="8" t="n">
        <v>45</v>
      </c>
      <c r="D18534" s="8" t="inlineStr">
        <is>
          <t>Disney Adventure World</t>
        </is>
      </c>
      <c r="E18534" s="8" t="inlineStr">
        <is>
          <t>Slinky® Dog Zigzag Spin</t>
        </is>
      </c>
      <c r="F18534" s="8" t="inlineStr">
        <is>
          <t>STANDBY</t>
        </is>
      </c>
      <c r="G18534" s="8" t="n">
        <v>5</v>
      </c>
      <c r="H18534" s="8" t="inlineStr">
        <is>
          <t>OPERATING</t>
        </is>
      </c>
    </row>
    <row r="18535">
      <c r="A18535" s="8" t="inlineStr">
        <is>
          <t>2026-08-04</t>
        </is>
      </c>
      <c r="B18535" s="8" t="n">
        <v>8</v>
      </c>
      <c r="C18535" s="8" t="n">
        <v>45</v>
      </c>
      <c r="D18535" s="8" t="inlineStr">
        <is>
          <t>Disney Adventure World</t>
        </is>
      </c>
      <c r="E18535" s="8" t="inlineStr">
        <is>
          <t>Toy Soldiers Parachute Drop</t>
        </is>
      </c>
      <c r="F18535" s="8" t="inlineStr">
        <is>
          <t>STANDBY</t>
        </is>
      </c>
      <c r="G18535" s="8" t="n">
        <v>0</v>
      </c>
      <c r="H18535" s="8" t="inlineStr">
        <is>
          <t>CLOSED</t>
        </is>
      </c>
    </row>
    <row r="18536">
      <c r="A18536" s="8" t="inlineStr">
        <is>
          <t>2026-08-04</t>
        </is>
      </c>
      <c r="B18536" s="8" t="n">
        <v>8</v>
      </c>
      <c r="C18536" s="8" t="n">
        <v>45</v>
      </c>
      <c r="D18536" s="8" t="inlineStr">
        <is>
          <t>Disney Adventure World</t>
        </is>
      </c>
      <c r="E18536" s="8" t="inlineStr">
        <is>
          <t>Toy Soldiers Parachute Drop Single Rider</t>
        </is>
      </c>
      <c r="F18536" s="8" t="inlineStr">
        <is>
          <t>STANDBY</t>
        </is>
      </c>
      <c r="G18536" s="8" t="n">
        <v>0</v>
      </c>
      <c r="H18536" s="8" t="inlineStr">
        <is>
          <t>CLOSED</t>
        </is>
      </c>
    </row>
    <row r="18537">
      <c r="A18537" s="8" t="inlineStr">
        <is>
          <t>2026-08-04</t>
        </is>
      </c>
      <c r="B18537" s="8" t="n">
        <v>8</v>
      </c>
      <c r="C18537" s="8" t="n">
        <v>45</v>
      </c>
      <c r="D18537" s="8" t="inlineStr">
        <is>
          <t>Disney Adventure World</t>
        </is>
      </c>
      <c r="E18537" s="8" t="inlineStr">
        <is>
          <t>Entry to World of Frozen</t>
        </is>
      </c>
      <c r="F18537" s="8" t="inlineStr">
        <is>
          <t>STANDBY</t>
        </is>
      </c>
      <c r="G18537" s="8" t="n">
        <v>0</v>
      </c>
      <c r="H18537" s="8" t="inlineStr">
        <is>
          <t>OPERATING</t>
        </is>
      </c>
    </row>
    <row r="18538">
      <c r="A18538" s="8" t="inlineStr">
        <is>
          <t>2026-08-04</t>
        </is>
      </c>
      <c r="B18538" s="8" t="n">
        <v>8</v>
      </c>
      <c r="C18538" s="8" t="n">
        <v>45</v>
      </c>
      <c r="D18538" s="8" t="inlineStr">
        <is>
          <t>Disney Adventure World</t>
        </is>
      </c>
      <c r="E18538" s="8" t="inlineStr">
        <is>
          <t>Frozen Ever After</t>
        </is>
      </c>
      <c r="F18538" s="8" t="inlineStr">
        <is>
          <t>STANDBY</t>
        </is>
      </c>
      <c r="G18538" s="8" t="n">
        <v>25</v>
      </c>
      <c r="H18538" s="8" t="inlineStr">
        <is>
          <t>OPERATING</t>
        </is>
      </c>
    </row>
    <row r="18539">
      <c r="A18539" s="8" t="inlineStr">
        <is>
          <t>2026-08-04</t>
        </is>
      </c>
      <c r="B18539" s="8" t="n">
        <v>8</v>
      </c>
      <c r="C18539" s="8" t="n">
        <v>45</v>
      </c>
      <c r="D18539" s="8" t="inlineStr">
        <is>
          <t>Disney Adventure World</t>
        </is>
      </c>
      <c r="E18539" s="8" t="inlineStr">
        <is>
          <t>Raiponce Tangled Spin</t>
        </is>
      </c>
      <c r="F18539" s="8" t="inlineStr">
        <is>
          <t>STANDBY</t>
        </is>
      </c>
      <c r="G18539" s="8" t="n">
        <v>5</v>
      </c>
      <c r="H18539" s="8" t="inlineStr">
        <is>
          <t>OPERATING</t>
        </is>
      </c>
    </row>
    <row r="18540">
      <c r="A18540" s="8" t="inlineStr">
        <is>
          <t>2026-08-04</t>
        </is>
      </c>
      <c r="B18540" s="8" t="n">
        <v>9</v>
      </c>
      <c r="C18540" s="8" t="n">
        <v>1</v>
      </c>
      <c r="D18540" s="8" t="inlineStr">
        <is>
          <t>Disneyland Park</t>
        </is>
      </c>
      <c r="E18540" s="8" t="inlineStr">
        <is>
          <t>Adventure Isle</t>
        </is>
      </c>
      <c r="F18540" s="8" t="inlineStr">
        <is>
          <t>STANDBY</t>
        </is>
      </c>
      <c r="G18540" s="8" t="n">
        <v>0</v>
      </c>
      <c r="H18540" s="8" t="inlineStr">
        <is>
          <t>CLOSED</t>
        </is>
      </c>
    </row>
    <row r="18541">
      <c r="A18541" s="8" t="inlineStr">
        <is>
          <t>2026-08-04</t>
        </is>
      </c>
      <c r="B18541" s="8" t="n">
        <v>9</v>
      </c>
      <c r="C18541" s="8" t="n">
        <v>1</v>
      </c>
      <c r="D18541" s="8" t="inlineStr">
        <is>
          <t>Disneyland Park</t>
        </is>
      </c>
      <c r="E18541" s="8" t="inlineStr">
        <is>
          <t>Indiana Jones and the Temple of Peril Single Rider</t>
        </is>
      </c>
      <c r="F18541" s="8" t="inlineStr">
        <is>
          <t>STANDBY</t>
        </is>
      </c>
      <c r="G18541" s="8" t="n">
        <v>0</v>
      </c>
      <c r="H18541" s="8" t="inlineStr">
        <is>
          <t>CLOSED</t>
        </is>
      </c>
    </row>
    <row r="18542">
      <c r="A18542" s="8" t="inlineStr">
        <is>
          <t>2026-08-04</t>
        </is>
      </c>
      <c r="B18542" s="8" t="n">
        <v>9</v>
      </c>
      <c r="C18542" s="8" t="n">
        <v>1</v>
      </c>
      <c r="D18542" s="8" t="inlineStr">
        <is>
          <t>Disneyland Park</t>
        </is>
      </c>
      <c r="E18542" s="8" t="inlineStr">
        <is>
          <t>Indiana Jones™ and the Temple of Peril</t>
        </is>
      </c>
      <c r="F18542" s="8" t="inlineStr">
        <is>
          <t>STANDBY</t>
        </is>
      </c>
      <c r="G18542" s="8" t="n">
        <v>0</v>
      </c>
      <c r="H18542" s="8" t="inlineStr">
        <is>
          <t>CLOSED</t>
        </is>
      </c>
    </row>
    <row r="18543">
      <c r="A18543" s="8" t="inlineStr">
        <is>
          <t>2026-08-04</t>
        </is>
      </c>
      <c r="B18543" s="8" t="n">
        <v>9</v>
      </c>
      <c r="C18543" s="8" t="n">
        <v>1</v>
      </c>
      <c r="D18543" s="8" t="inlineStr">
        <is>
          <t>Disneyland Park</t>
        </is>
      </c>
      <c r="E18543" s="8" t="inlineStr">
        <is>
          <t>La Cabane des Robinson</t>
        </is>
      </c>
      <c r="F18543" s="8" t="inlineStr">
        <is>
          <t>STANDBY</t>
        </is>
      </c>
      <c r="G18543" s="8" t="n">
        <v>0</v>
      </c>
      <c r="H18543" s="8" t="inlineStr">
        <is>
          <t>CLOSED</t>
        </is>
      </c>
    </row>
    <row r="18544">
      <c r="A18544" s="8" t="inlineStr">
        <is>
          <t>2026-08-04</t>
        </is>
      </c>
      <c r="B18544" s="8" t="n">
        <v>9</v>
      </c>
      <c r="C18544" s="8" t="n">
        <v>1</v>
      </c>
      <c r="D18544" s="8" t="inlineStr">
        <is>
          <t>Disneyland Park</t>
        </is>
      </c>
      <c r="E18544" s="8" t="inlineStr">
        <is>
          <t>Le Passage Enchanté d'Aladdin</t>
        </is>
      </c>
      <c r="F18544" s="8" t="inlineStr">
        <is>
          <t>STANDBY</t>
        </is>
      </c>
      <c r="G18544" s="8" t="n">
        <v>0</v>
      </c>
      <c r="H18544" s="8" t="inlineStr">
        <is>
          <t>CLOSED</t>
        </is>
      </c>
    </row>
    <row r="18545">
      <c r="A18545" s="8" t="inlineStr">
        <is>
          <t>2026-08-04</t>
        </is>
      </c>
      <c r="B18545" s="8" t="n">
        <v>9</v>
      </c>
      <c r="C18545" s="8" t="n">
        <v>1</v>
      </c>
      <c r="D18545" s="8" t="inlineStr">
        <is>
          <t>Disneyland Park</t>
        </is>
      </c>
      <c r="E18545" s="8" t="inlineStr">
        <is>
          <t>Pirate Galleon</t>
        </is>
      </c>
      <c r="F18545" s="8" t="inlineStr">
        <is>
          <t>STANDBY</t>
        </is>
      </c>
      <c r="G18545" s="8" t="n">
        <v>0</v>
      </c>
      <c r="H18545" s="8" t="inlineStr">
        <is>
          <t>CLOSED</t>
        </is>
      </c>
    </row>
    <row r="18546">
      <c r="A18546" s="8" t="inlineStr">
        <is>
          <t>2026-08-04</t>
        </is>
      </c>
      <c r="B18546" s="8" t="n">
        <v>9</v>
      </c>
      <c r="C18546" s="8" t="n">
        <v>1</v>
      </c>
      <c r="D18546" s="8" t="inlineStr">
        <is>
          <t>Disneyland Park</t>
        </is>
      </c>
      <c r="E18546" s="8" t="inlineStr">
        <is>
          <t>Pirates of the Caribbean</t>
        </is>
      </c>
      <c r="F18546" s="8" t="inlineStr">
        <is>
          <t>STANDBY</t>
        </is>
      </c>
      <c r="G18546" s="8" t="n">
        <v>0</v>
      </c>
      <c r="H18546" s="8" t="inlineStr">
        <is>
          <t>CLOSED</t>
        </is>
      </c>
    </row>
    <row r="18547">
      <c r="A18547" s="8" t="inlineStr">
        <is>
          <t>2026-08-04</t>
        </is>
      </c>
      <c r="B18547" s="8" t="n">
        <v>9</v>
      </c>
      <c r="C18547" s="8" t="n">
        <v>1</v>
      </c>
      <c r="D18547" s="8" t="inlineStr">
        <is>
          <t>Disneyland Park</t>
        </is>
      </c>
      <c r="E18547" s="8" t="inlineStr">
        <is>
          <t>Pirates' Beach</t>
        </is>
      </c>
      <c r="F18547" s="8" t="inlineStr">
        <is>
          <t>STANDBY</t>
        </is>
      </c>
      <c r="G18547" s="8" t="n">
        <v>0</v>
      </c>
      <c r="H18547" s="8" t="inlineStr">
        <is>
          <t>CLOSED</t>
        </is>
      </c>
    </row>
    <row r="18548">
      <c r="A18548" s="8" t="inlineStr">
        <is>
          <t>2026-08-04</t>
        </is>
      </c>
      <c r="B18548" s="8" t="n">
        <v>9</v>
      </c>
      <c r="C18548" s="8" t="n">
        <v>1</v>
      </c>
      <c r="D18548" s="8" t="inlineStr">
        <is>
          <t>Disneyland Park</t>
        </is>
      </c>
      <c r="E18548" s="8" t="inlineStr">
        <is>
          <t>Autopia, presented by Avis</t>
        </is>
      </c>
      <c r="F18548" s="8" t="inlineStr">
        <is>
          <t>STANDBY</t>
        </is>
      </c>
      <c r="G18548" s="8" t="n">
        <v>0</v>
      </c>
      <c r="H18548" s="8" t="inlineStr">
        <is>
          <t>CLOSED</t>
        </is>
      </c>
    </row>
    <row r="18549">
      <c r="A18549" s="8" t="inlineStr">
        <is>
          <t>2026-08-04</t>
        </is>
      </c>
      <c r="B18549" s="8" t="n">
        <v>9</v>
      </c>
      <c r="C18549" s="8" t="n">
        <v>1</v>
      </c>
      <c r="D18549" s="8" t="inlineStr">
        <is>
          <t>Disneyland Park</t>
        </is>
      </c>
      <c r="E18549" s="8" t="inlineStr">
        <is>
          <t>Buzz Lightyear Laser Blast</t>
        </is>
      </c>
      <c r="F18549" s="8" t="inlineStr">
        <is>
          <t>STANDBY</t>
        </is>
      </c>
      <c r="G18549" s="8" t="n">
        <v>25</v>
      </c>
      <c r="H18549" s="8" t="inlineStr">
        <is>
          <t>OPERATING</t>
        </is>
      </c>
    </row>
    <row r="18550">
      <c r="A18550" s="8" t="inlineStr">
        <is>
          <t>2026-08-04</t>
        </is>
      </c>
      <c r="B18550" s="8" t="n">
        <v>9</v>
      </c>
      <c r="C18550" s="8" t="n">
        <v>1</v>
      </c>
      <c r="D18550" s="8" t="inlineStr">
        <is>
          <t>Disneyland Park</t>
        </is>
      </c>
      <c r="E18550" s="8" t="inlineStr">
        <is>
          <t>Disneyland Railroad Discoveryland Station</t>
        </is>
      </c>
      <c r="F18550" s="8" t="inlineStr">
        <is>
          <t>STANDBY</t>
        </is>
      </c>
      <c r="G18550" s="8" t="n">
        <v>0</v>
      </c>
      <c r="H18550" s="8" t="inlineStr">
        <is>
          <t>CLOSED</t>
        </is>
      </c>
    </row>
    <row r="18551">
      <c r="A18551" s="8" t="inlineStr">
        <is>
          <t>2026-08-04</t>
        </is>
      </c>
      <c r="B18551" s="8" t="n">
        <v>9</v>
      </c>
      <c r="C18551" s="8" t="n">
        <v>1</v>
      </c>
      <c r="D18551" s="8" t="inlineStr">
        <is>
          <t>Disneyland Park</t>
        </is>
      </c>
      <c r="E18551" s="8" t="inlineStr">
        <is>
          <t>Les Mystères du Nautilus</t>
        </is>
      </c>
      <c r="F18551" s="8" t="inlineStr">
        <is>
          <t>STANDBY</t>
        </is>
      </c>
      <c r="G18551" s="8" t="n">
        <v>0</v>
      </c>
      <c r="H18551" s="8" t="inlineStr">
        <is>
          <t>CLOSED</t>
        </is>
      </c>
    </row>
    <row r="18552">
      <c r="A18552" s="8" t="inlineStr">
        <is>
          <t>2026-08-04</t>
        </is>
      </c>
      <c r="B18552" s="8" t="n">
        <v>9</v>
      </c>
      <c r="C18552" s="8" t="n">
        <v>1</v>
      </c>
      <c r="D18552" s="8" t="inlineStr">
        <is>
          <t>Disneyland Park</t>
        </is>
      </c>
      <c r="E18552" s="8" t="inlineStr">
        <is>
          <t>Mickey’s PhilharMagic</t>
        </is>
      </c>
      <c r="F18552" s="8" t="inlineStr">
        <is>
          <t>STANDBY</t>
        </is>
      </c>
      <c r="G18552" s="8" t="n">
        <v>0</v>
      </c>
      <c r="H18552" s="8" t="inlineStr">
        <is>
          <t>CLOSED</t>
        </is>
      </c>
    </row>
    <row r="18553">
      <c r="A18553" s="8" t="inlineStr">
        <is>
          <t>2026-08-04</t>
        </is>
      </c>
      <c r="B18553" s="8" t="n">
        <v>9</v>
      </c>
      <c r="C18553" s="8" t="n">
        <v>1</v>
      </c>
      <c r="D18553" s="8" t="inlineStr">
        <is>
          <t>Disneyland Park</t>
        </is>
      </c>
      <c r="E18553" s="8" t="inlineStr">
        <is>
          <t>Orbitron®</t>
        </is>
      </c>
      <c r="F18553" s="8" t="inlineStr">
        <is>
          <t>STANDBY</t>
        </is>
      </c>
      <c r="G18553" s="8" t="n">
        <v>0</v>
      </c>
      <c r="H18553" s="8" t="inlineStr">
        <is>
          <t>CLOSED</t>
        </is>
      </c>
    </row>
    <row r="18554">
      <c r="A18554" s="8" t="inlineStr">
        <is>
          <t>2026-08-04</t>
        </is>
      </c>
      <c r="B18554" s="8" t="n">
        <v>9</v>
      </c>
      <c r="C18554" s="8" t="n">
        <v>1</v>
      </c>
      <c r="D18554" s="8" t="inlineStr">
        <is>
          <t>Disneyland Park</t>
        </is>
      </c>
      <c r="E18554" s="8" t="inlineStr">
        <is>
          <t>Star Tours: The Adventures Continue*</t>
        </is>
      </c>
      <c r="F18554" s="8" t="inlineStr">
        <is>
          <t>STANDBY</t>
        </is>
      </c>
      <c r="G18554" s="8" t="n">
        <v>0</v>
      </c>
      <c r="H18554" s="8" t="inlineStr">
        <is>
          <t>CLOSED</t>
        </is>
      </c>
    </row>
    <row r="18555">
      <c r="A18555" s="8" t="inlineStr">
        <is>
          <t>2026-08-04</t>
        </is>
      </c>
      <c r="B18555" s="8" t="n">
        <v>9</v>
      </c>
      <c r="C18555" s="8" t="n">
        <v>1</v>
      </c>
      <c r="D18555" s="8" t="inlineStr">
        <is>
          <t>Disneyland Park</t>
        </is>
      </c>
      <c r="E18555" s="8" t="inlineStr">
        <is>
          <t>Star Wars Hyperspace Mountain</t>
        </is>
      </c>
      <c r="F18555" s="8" t="inlineStr">
        <is>
          <t>STANDBY</t>
        </is>
      </c>
      <c r="G18555" s="8" t="n">
        <v>10</v>
      </c>
      <c r="H18555" s="8" t="inlineStr">
        <is>
          <t>OPERATING</t>
        </is>
      </c>
    </row>
    <row r="18556">
      <c r="A18556" s="8" t="inlineStr">
        <is>
          <t>2026-08-04</t>
        </is>
      </c>
      <c r="B18556" s="8" t="n">
        <v>9</v>
      </c>
      <c r="C18556" s="8" t="n">
        <v>1</v>
      </c>
      <c r="D18556" s="8" t="inlineStr">
        <is>
          <t>Disneyland Park</t>
        </is>
      </c>
      <c r="E18556" s="8" t="inlineStr">
        <is>
          <t>Star Wars Hyperspace Mountain Single Rider</t>
        </is>
      </c>
      <c r="F18556" s="8" t="inlineStr">
        <is>
          <t>STANDBY</t>
        </is>
      </c>
      <c r="G18556" s="8" t="n">
        <v>0</v>
      </c>
      <c r="H18556" s="8" t="inlineStr">
        <is>
          <t>OPERATING</t>
        </is>
      </c>
    </row>
    <row r="18557">
      <c r="A18557" s="8" t="inlineStr">
        <is>
          <t>2026-08-04</t>
        </is>
      </c>
      <c r="B18557" s="8" t="n">
        <v>9</v>
      </c>
      <c r="C18557" s="8" t="n">
        <v>1</v>
      </c>
      <c r="D18557" s="8" t="inlineStr">
        <is>
          <t>Disneyland Park</t>
        </is>
      </c>
      <c r="E18557" s="8" t="inlineStr">
        <is>
          <t>Welcome to Starport: A Star Wars Encounter</t>
        </is>
      </c>
      <c r="F18557" s="8" t="inlineStr">
        <is>
          <t>STANDBY</t>
        </is>
      </c>
      <c r="G18557" s="8" t="n">
        <v>0</v>
      </c>
      <c r="H18557" s="8" t="inlineStr">
        <is>
          <t>CLOSED</t>
        </is>
      </c>
    </row>
    <row r="18558">
      <c r="A18558" s="8" t="inlineStr">
        <is>
          <t>2026-08-04</t>
        </is>
      </c>
      <c r="B18558" s="8" t="n">
        <v>9</v>
      </c>
      <c r="C18558" s="8" t="n">
        <v>1</v>
      </c>
      <c r="D18558" s="8" t="inlineStr">
        <is>
          <t>Disneyland Park</t>
        </is>
      </c>
      <c r="E18558" s="8" t="inlineStr">
        <is>
          <t>"it's a small world"</t>
        </is>
      </c>
      <c r="F18558" s="8" t="inlineStr">
        <is>
          <t>STANDBY</t>
        </is>
      </c>
      <c r="G18558" s="8" t="n">
        <v>0</v>
      </c>
      <c r="H18558" s="8" t="inlineStr">
        <is>
          <t>CLOSED</t>
        </is>
      </c>
    </row>
    <row r="18559">
      <c r="A18559" s="8" t="inlineStr">
        <is>
          <t>2026-08-04</t>
        </is>
      </c>
      <c r="B18559" s="8" t="n">
        <v>9</v>
      </c>
      <c r="C18559" s="8" t="n">
        <v>1</v>
      </c>
      <c r="D18559" s="8" t="inlineStr">
        <is>
          <t>Disneyland Park</t>
        </is>
      </c>
      <c r="E18559" s="8" t="inlineStr">
        <is>
          <t>Alice's Curious Labyrinth</t>
        </is>
      </c>
      <c r="F18559" s="8" t="inlineStr">
        <is>
          <t>STANDBY</t>
        </is>
      </c>
      <c r="G18559" s="8" t="n">
        <v>0</v>
      </c>
      <c r="H18559" s="8" t="inlineStr">
        <is>
          <t>CLOSED</t>
        </is>
      </c>
    </row>
    <row r="18560">
      <c r="A18560" s="8" t="inlineStr">
        <is>
          <t>2026-08-04</t>
        </is>
      </c>
      <c r="B18560" s="8" t="n">
        <v>9</v>
      </c>
      <c r="C18560" s="8" t="n">
        <v>1</v>
      </c>
      <c r="D18560" s="8" t="inlineStr">
        <is>
          <t>Disneyland Park</t>
        </is>
      </c>
      <c r="E18560" s="8" t="inlineStr">
        <is>
          <t>Blanche-Neige et les Sept Nains®</t>
        </is>
      </c>
      <c r="F18560" s="8" t="inlineStr">
        <is>
          <t>STANDBY</t>
        </is>
      </c>
      <c r="G18560" s="8" t="n">
        <v>0</v>
      </c>
      <c r="H18560" s="8" t="inlineStr">
        <is>
          <t>CLOSED</t>
        </is>
      </c>
    </row>
    <row r="18561">
      <c r="A18561" s="8" t="inlineStr">
        <is>
          <t>2026-08-04</t>
        </is>
      </c>
      <c r="B18561" s="8" t="n">
        <v>9</v>
      </c>
      <c r="C18561" s="8" t="n">
        <v>1</v>
      </c>
      <c r="D18561" s="8" t="inlineStr">
        <is>
          <t>Disneyland Park</t>
        </is>
      </c>
      <c r="E18561" s="8" t="inlineStr">
        <is>
          <t>Casey Jr. – le Petit Train du Cirque</t>
        </is>
      </c>
      <c r="F18561" s="8" t="inlineStr">
        <is>
          <t>STANDBY</t>
        </is>
      </c>
      <c r="G18561" s="8" t="n">
        <v>0</v>
      </c>
      <c r="H18561" s="8" t="inlineStr">
        <is>
          <t>CLOSED</t>
        </is>
      </c>
    </row>
    <row r="18562">
      <c r="A18562" s="8" t="inlineStr">
        <is>
          <t>2026-08-04</t>
        </is>
      </c>
      <c r="B18562" s="8" t="n">
        <v>9</v>
      </c>
      <c r="C18562" s="8" t="n">
        <v>1</v>
      </c>
      <c r="D18562" s="8" t="inlineStr">
        <is>
          <t>Disneyland Park</t>
        </is>
      </c>
      <c r="E18562" s="8" t="inlineStr">
        <is>
          <t>Disneyland Railroad Fantasyland Station</t>
        </is>
      </c>
      <c r="F18562" s="8" t="inlineStr">
        <is>
          <t>STANDBY</t>
        </is>
      </c>
      <c r="G18562" s="8" t="n">
        <v>0</v>
      </c>
      <c r="H18562" s="8" t="inlineStr">
        <is>
          <t>CLOSED</t>
        </is>
      </c>
    </row>
    <row r="18563">
      <c r="A18563" s="8" t="inlineStr">
        <is>
          <t>2026-08-04</t>
        </is>
      </c>
      <c r="B18563" s="8" t="n">
        <v>9</v>
      </c>
      <c r="C18563" s="8" t="n">
        <v>1</v>
      </c>
      <c r="D18563" s="8" t="inlineStr">
        <is>
          <t>Disneyland Park</t>
        </is>
      </c>
      <c r="E18563" s="8" t="inlineStr">
        <is>
          <t>Disneyland Railroad Main Street Station</t>
        </is>
      </c>
      <c r="F18563" s="8" t="inlineStr">
        <is>
          <t>STANDBY</t>
        </is>
      </c>
      <c r="G18563" s="8" t="n">
        <v>0</v>
      </c>
      <c r="H18563" s="8" t="inlineStr">
        <is>
          <t>CLOSED</t>
        </is>
      </c>
    </row>
    <row r="18564">
      <c r="A18564" s="8" t="inlineStr">
        <is>
          <t>2026-08-04</t>
        </is>
      </c>
      <c r="B18564" s="8" t="n">
        <v>9</v>
      </c>
      <c r="C18564" s="8" t="n">
        <v>1</v>
      </c>
      <c r="D18564" s="8" t="inlineStr">
        <is>
          <t>Disneyland Park</t>
        </is>
      </c>
      <c r="E18564" s="8" t="inlineStr">
        <is>
          <t>Dumbo the Flying Elephant</t>
        </is>
      </c>
      <c r="F18564" s="8" t="inlineStr">
        <is>
          <t>STANDBY</t>
        </is>
      </c>
      <c r="G18564" s="8" t="n">
        <v>5</v>
      </c>
      <c r="H18564" s="8" t="inlineStr">
        <is>
          <t>OPERATING</t>
        </is>
      </c>
    </row>
    <row r="18565">
      <c r="A18565" s="8" t="inlineStr">
        <is>
          <t>2026-08-04</t>
        </is>
      </c>
      <c r="B18565" s="8" t="n">
        <v>9</v>
      </c>
      <c r="C18565" s="8" t="n">
        <v>1</v>
      </c>
      <c r="D18565" s="8" t="inlineStr">
        <is>
          <t>Disneyland Park</t>
        </is>
      </c>
      <c r="E18565" s="8" t="inlineStr">
        <is>
          <t>La Tanière du Dragon</t>
        </is>
      </c>
      <c r="F18565" s="8" t="inlineStr">
        <is>
          <t>STANDBY</t>
        </is>
      </c>
      <c r="G18565" s="8" t="n">
        <v>0</v>
      </c>
      <c r="H18565" s="8" t="inlineStr">
        <is>
          <t>OPERATING</t>
        </is>
      </c>
    </row>
    <row r="18566">
      <c r="A18566" s="8" t="inlineStr">
        <is>
          <t>2026-08-04</t>
        </is>
      </c>
      <c r="B18566" s="8" t="n">
        <v>9</v>
      </c>
      <c r="C18566" s="8" t="n">
        <v>1</v>
      </c>
      <c r="D18566" s="8" t="inlineStr">
        <is>
          <t>Disneyland Park</t>
        </is>
      </c>
      <c r="E18566" s="8" t="inlineStr">
        <is>
          <t>Le Carrousel de Lancelot</t>
        </is>
      </c>
      <c r="F18566" s="8" t="inlineStr">
        <is>
          <t>STANDBY</t>
        </is>
      </c>
      <c r="G18566" s="8" t="n">
        <v>0</v>
      </c>
      <c r="H18566" s="8" t="inlineStr">
        <is>
          <t>CLOSED</t>
        </is>
      </c>
    </row>
    <row r="18567">
      <c r="A18567" s="8" t="inlineStr">
        <is>
          <t>2026-08-04</t>
        </is>
      </c>
      <c r="B18567" s="8" t="n">
        <v>9</v>
      </c>
      <c r="C18567" s="8" t="n">
        <v>1</v>
      </c>
      <c r="D18567" s="8" t="inlineStr">
        <is>
          <t>Disneyland Park</t>
        </is>
      </c>
      <c r="E18567" s="8" t="inlineStr">
        <is>
          <t>Le Pays des Contes de Fées, presented by Vittel</t>
        </is>
      </c>
      <c r="F18567" s="8" t="inlineStr">
        <is>
          <t>STANDBY</t>
        </is>
      </c>
      <c r="G18567" s="8" t="n">
        <v>0</v>
      </c>
      <c r="H18567" s="8" t="inlineStr">
        <is>
          <t>CLOSED</t>
        </is>
      </c>
    </row>
    <row r="18568">
      <c r="A18568" s="8" t="inlineStr">
        <is>
          <t>2026-08-04</t>
        </is>
      </c>
      <c r="B18568" s="8" t="n">
        <v>9</v>
      </c>
      <c r="C18568" s="8" t="n">
        <v>1</v>
      </c>
      <c r="D18568" s="8" t="inlineStr">
        <is>
          <t>Disneyland Park</t>
        </is>
      </c>
      <c r="E18568" s="8" t="inlineStr">
        <is>
          <t>Les Voyages de Pinocchio</t>
        </is>
      </c>
      <c r="F18568" s="8" t="inlineStr">
        <is>
          <t>STANDBY</t>
        </is>
      </c>
      <c r="G18568" s="8" t="n">
        <v>0</v>
      </c>
      <c r="H18568" s="8" t="inlineStr">
        <is>
          <t>CLOSED</t>
        </is>
      </c>
    </row>
    <row r="18569">
      <c r="A18569" s="8" t="inlineStr">
        <is>
          <t>2026-08-04</t>
        </is>
      </c>
      <c r="B18569" s="8" t="n">
        <v>9</v>
      </c>
      <c r="C18569" s="8" t="n">
        <v>1</v>
      </c>
      <c r="D18569" s="8" t="inlineStr">
        <is>
          <t>Disneyland Park</t>
        </is>
      </c>
      <c r="E18569" s="8" t="inlineStr">
        <is>
          <t>Mad Hatter's Tea Cups</t>
        </is>
      </c>
      <c r="F18569" s="8" t="inlineStr">
        <is>
          <t>STANDBY</t>
        </is>
      </c>
      <c r="G18569" s="8" t="n">
        <v>0</v>
      </c>
      <c r="H18569" s="8" t="inlineStr">
        <is>
          <t>CLOSED</t>
        </is>
      </c>
    </row>
    <row r="18570">
      <c r="A18570" s="8" t="inlineStr">
        <is>
          <t>2026-08-04</t>
        </is>
      </c>
      <c r="B18570" s="8" t="n">
        <v>9</v>
      </c>
      <c r="C18570" s="8" t="n">
        <v>1</v>
      </c>
      <c r="D18570" s="8" t="inlineStr">
        <is>
          <t>Disneyland Park</t>
        </is>
      </c>
      <c r="E18570" s="8" t="inlineStr">
        <is>
          <t>Meet Mickey Mouse</t>
        </is>
      </c>
      <c r="F18570" s="8" t="inlineStr">
        <is>
          <t>STANDBY</t>
        </is>
      </c>
      <c r="G18570" s="8" t="n">
        <v>0</v>
      </c>
      <c r="H18570" s="8" t="inlineStr">
        <is>
          <t>CLOSED</t>
        </is>
      </c>
    </row>
    <row r="18571">
      <c r="A18571" s="8" t="inlineStr">
        <is>
          <t>2026-08-04</t>
        </is>
      </c>
      <c r="B18571" s="8" t="n">
        <v>9</v>
      </c>
      <c r="C18571" s="8" t="n">
        <v>1</v>
      </c>
      <c r="D18571" s="8" t="inlineStr">
        <is>
          <t>Disneyland Park</t>
        </is>
      </c>
      <c r="E18571" s="8" t="inlineStr">
        <is>
          <t>Peter Pan's Flight</t>
        </is>
      </c>
      <c r="F18571" s="8" t="inlineStr">
        <is>
          <t>STANDBY</t>
        </is>
      </c>
      <c r="G18571" s="8" t="n">
        <v>50</v>
      </c>
      <c r="H18571" s="8" t="inlineStr">
        <is>
          <t>OPERATING</t>
        </is>
      </c>
    </row>
    <row r="18572">
      <c r="A18572" s="8" t="inlineStr">
        <is>
          <t>2026-08-04</t>
        </is>
      </c>
      <c r="B18572" s="8" t="n">
        <v>9</v>
      </c>
      <c r="C18572" s="8" t="n">
        <v>1</v>
      </c>
      <c r="D18572" s="8" t="inlineStr">
        <is>
          <t>Disneyland Park</t>
        </is>
      </c>
      <c r="E18572" s="8" t="inlineStr">
        <is>
          <t>Princess Pavilion</t>
        </is>
      </c>
      <c r="F18572" s="8" t="inlineStr">
        <is>
          <t>STANDBY</t>
        </is>
      </c>
      <c r="G18572" s="8" t="n">
        <v>0</v>
      </c>
      <c r="H18572" s="8" t="inlineStr">
        <is>
          <t>CLOSED</t>
        </is>
      </c>
    </row>
    <row r="18573">
      <c r="A18573" s="8" t="inlineStr">
        <is>
          <t>2026-08-04</t>
        </is>
      </c>
      <c r="B18573" s="8" t="n">
        <v>9</v>
      </c>
      <c r="C18573" s="8" t="n">
        <v>1</v>
      </c>
      <c r="D18573" s="8" t="inlineStr">
        <is>
          <t>Disneyland Park</t>
        </is>
      </c>
      <c r="E18573" s="8" t="inlineStr">
        <is>
          <t>Big Thunder Mountain</t>
        </is>
      </c>
      <c r="F18573" s="8" t="inlineStr">
        <is>
          <t>STANDBY</t>
        </is>
      </c>
      <c r="G18573" s="8" t="n">
        <v>20</v>
      </c>
      <c r="H18573" s="8" t="inlineStr">
        <is>
          <t>OPERATING</t>
        </is>
      </c>
    </row>
    <row r="18574">
      <c r="A18574" s="8" t="inlineStr">
        <is>
          <t>2026-08-04</t>
        </is>
      </c>
      <c r="B18574" s="8" t="n">
        <v>9</v>
      </c>
      <c r="C18574" s="8" t="n">
        <v>1</v>
      </c>
      <c r="D18574" s="8" t="inlineStr">
        <is>
          <t>Disneyland Park</t>
        </is>
      </c>
      <c r="E18574" s="8" t="inlineStr">
        <is>
          <t>Disneyland Railroad Frontierland Depot</t>
        </is>
      </c>
      <c r="F18574" s="8" t="inlineStr">
        <is>
          <t>STANDBY</t>
        </is>
      </c>
      <c r="G18574" s="8" t="n">
        <v>0</v>
      </c>
      <c r="H18574" s="8" t="inlineStr">
        <is>
          <t>CLOSED</t>
        </is>
      </c>
    </row>
    <row r="18575">
      <c r="A18575" s="8" t="inlineStr">
        <is>
          <t>2026-08-04</t>
        </is>
      </c>
      <c r="B18575" s="8" t="n">
        <v>9</v>
      </c>
      <c r="C18575" s="8" t="n">
        <v>1</v>
      </c>
      <c r="D18575" s="8" t="inlineStr">
        <is>
          <t>Disneyland Park</t>
        </is>
      </c>
      <c r="E18575" s="8" t="inlineStr">
        <is>
          <t>Frontierland Playground</t>
        </is>
      </c>
      <c r="F18575" s="8" t="inlineStr">
        <is>
          <t>STANDBY</t>
        </is>
      </c>
      <c r="G18575" s="8" t="n">
        <v>0</v>
      </c>
      <c r="H18575" s="8" t="inlineStr">
        <is>
          <t>CLOSED</t>
        </is>
      </c>
    </row>
    <row r="18576">
      <c r="A18576" s="8" t="inlineStr">
        <is>
          <t>2026-08-04</t>
        </is>
      </c>
      <c r="B18576" s="8" t="n">
        <v>9</v>
      </c>
      <c r="C18576" s="8" t="n">
        <v>1</v>
      </c>
      <c r="D18576" s="8" t="inlineStr">
        <is>
          <t>Disneyland Park</t>
        </is>
      </c>
      <c r="E18576" s="8" t="inlineStr">
        <is>
          <t>Phantom Manor</t>
        </is>
      </c>
      <c r="F18576" s="8" t="inlineStr">
        <is>
          <t>STANDBY</t>
        </is>
      </c>
      <c r="G18576" s="8" t="n">
        <v>0</v>
      </c>
      <c r="H18576" s="8" t="inlineStr">
        <is>
          <t>CLOSED</t>
        </is>
      </c>
    </row>
    <row r="18577">
      <c r="A18577" s="8" t="inlineStr">
        <is>
          <t>2026-08-04</t>
        </is>
      </c>
      <c r="B18577" s="8" t="n">
        <v>9</v>
      </c>
      <c r="C18577" s="8" t="n">
        <v>1</v>
      </c>
      <c r="D18577" s="8" t="inlineStr">
        <is>
          <t>Disneyland Park</t>
        </is>
      </c>
      <c r="E18577" s="8" t="inlineStr">
        <is>
          <t>River Rogue Keelboats</t>
        </is>
      </c>
      <c r="F18577" s="8" t="inlineStr">
        <is>
          <t>STANDBY</t>
        </is>
      </c>
      <c r="G18577" s="8" t="n">
        <v>0</v>
      </c>
      <c r="H18577" s="8" t="inlineStr">
        <is>
          <t>CLOSED</t>
        </is>
      </c>
    </row>
    <row r="18578">
      <c r="A18578" s="8" t="inlineStr">
        <is>
          <t>2026-08-04</t>
        </is>
      </c>
      <c r="B18578" s="8" t="n">
        <v>9</v>
      </c>
      <c r="C18578" s="8" t="n">
        <v>1</v>
      </c>
      <c r="D18578" s="8" t="inlineStr">
        <is>
          <t>Disneyland Park</t>
        </is>
      </c>
      <c r="E18578" s="8" t="inlineStr">
        <is>
          <t>Rustler Roundup Shootin' Gallery</t>
        </is>
      </c>
      <c r="F18578" s="8" t="inlineStr">
        <is>
          <t>STANDBY</t>
        </is>
      </c>
      <c r="G18578" s="8" t="n">
        <v>0</v>
      </c>
      <c r="H18578" s="8" t="inlineStr">
        <is>
          <t>OPERATING</t>
        </is>
      </c>
    </row>
    <row r="18579">
      <c r="A18579" s="8" t="inlineStr">
        <is>
          <t>2026-08-04</t>
        </is>
      </c>
      <c r="B18579" s="8" t="n">
        <v>9</v>
      </c>
      <c r="C18579" s="8" t="n">
        <v>1</v>
      </c>
      <c r="D18579" s="8" t="inlineStr">
        <is>
          <t>Disneyland Park</t>
        </is>
      </c>
      <c r="E18579" s="8" t="inlineStr">
        <is>
          <t>Thunder Mesa Riverboat Landing</t>
        </is>
      </c>
      <c r="F18579" s="8" t="inlineStr">
        <is>
          <t>STANDBY</t>
        </is>
      </c>
      <c r="G18579" s="8" t="n">
        <v>0</v>
      </c>
      <c r="H18579" s="8" t="inlineStr">
        <is>
          <t>CLOSED</t>
        </is>
      </c>
    </row>
    <row r="18580">
      <c r="A18580" s="8" t="inlineStr">
        <is>
          <t>2026-08-04</t>
        </is>
      </c>
      <c r="B18580" s="8" t="n">
        <v>9</v>
      </c>
      <c r="C18580" s="8" t="n">
        <v>1</v>
      </c>
      <c r="D18580" s="8" t="inlineStr">
        <is>
          <t>Disneyland Park</t>
        </is>
      </c>
      <c r="E18580" s="8" t="inlineStr">
        <is>
          <t>Disneyland Railroad Main Street Station</t>
        </is>
      </c>
      <c r="F18580" s="8" t="inlineStr">
        <is>
          <t>STANDBY</t>
        </is>
      </c>
      <c r="G18580" s="8" t="n">
        <v>0</v>
      </c>
      <c r="H18580" s="8" t="inlineStr">
        <is>
          <t>CLOSED</t>
        </is>
      </c>
    </row>
    <row r="18581">
      <c r="A18581" s="8" t="inlineStr">
        <is>
          <t>2026-08-04</t>
        </is>
      </c>
      <c r="B18581" s="8" t="n">
        <v>9</v>
      </c>
      <c r="C18581" s="8" t="n">
        <v>1</v>
      </c>
      <c r="D18581" s="8" t="inlineStr">
        <is>
          <t>Disneyland Park</t>
        </is>
      </c>
      <c r="E18581" s="8" t="inlineStr">
        <is>
          <t>Main Street Vehicles</t>
        </is>
      </c>
      <c r="F18581" s="8" t="inlineStr">
        <is>
          <t>STANDBY</t>
        </is>
      </c>
      <c r="G18581" s="8" t="n">
        <v>5</v>
      </c>
      <c r="H18581" s="8" t="inlineStr">
        <is>
          <t>OPERATING</t>
        </is>
      </c>
    </row>
    <row r="18582">
      <c r="A18582" s="8" t="inlineStr">
        <is>
          <t>2026-08-04</t>
        </is>
      </c>
      <c r="B18582" s="8" t="n">
        <v>9</v>
      </c>
      <c r="C18582" s="8" t="n">
        <v>1</v>
      </c>
      <c r="D18582" s="8" t="inlineStr">
        <is>
          <t>Disney Adventure World</t>
        </is>
      </c>
      <c r="E18582" s="8" t="inlineStr">
        <is>
          <t>Avengers Assemble: Flight Force</t>
        </is>
      </c>
      <c r="F18582" s="8" t="inlineStr">
        <is>
          <t>STANDBY</t>
        </is>
      </c>
      <c r="G18582" s="8" t="n">
        <v>5</v>
      </c>
      <c r="H18582" s="8" t="inlineStr">
        <is>
          <t>OPERATING</t>
        </is>
      </c>
    </row>
    <row r="18583">
      <c r="A18583" s="8" t="inlineStr">
        <is>
          <t>2026-08-04</t>
        </is>
      </c>
      <c r="B18583" s="8" t="n">
        <v>9</v>
      </c>
      <c r="C18583" s="8" t="n">
        <v>1</v>
      </c>
      <c r="D18583" s="8" t="inlineStr">
        <is>
          <t>Disney Adventure World</t>
        </is>
      </c>
      <c r="E18583" s="8" t="inlineStr">
        <is>
          <t>Avengers Assemble: Flight Force Single Rider</t>
        </is>
      </c>
      <c r="F18583" s="8" t="inlineStr">
        <is>
          <t>STANDBY</t>
        </is>
      </c>
      <c r="G18583" s="8" t="n">
        <v>5</v>
      </c>
      <c r="H18583" s="8" t="inlineStr">
        <is>
          <t>OPERATING</t>
        </is>
      </c>
    </row>
    <row r="18584">
      <c r="A18584" s="8" t="inlineStr">
        <is>
          <t>2026-08-04</t>
        </is>
      </c>
      <c r="B18584" s="8" t="n">
        <v>9</v>
      </c>
      <c r="C18584" s="8" t="n">
        <v>1</v>
      </c>
      <c r="D18584" s="8" t="inlineStr">
        <is>
          <t>Disney Adventure World</t>
        </is>
      </c>
      <c r="E18584" s="8" t="inlineStr">
        <is>
          <t>Spider-Man W.E.B. Adventure</t>
        </is>
      </c>
      <c r="F18584" s="8" t="inlineStr">
        <is>
          <t>STANDBY</t>
        </is>
      </c>
      <c r="G18584" s="8" t="n">
        <v>5</v>
      </c>
      <c r="H18584" s="8" t="inlineStr">
        <is>
          <t>OPERATING</t>
        </is>
      </c>
    </row>
    <row r="18585">
      <c r="A18585" s="8" t="inlineStr">
        <is>
          <t>2026-08-04</t>
        </is>
      </c>
      <c r="B18585" s="8" t="n">
        <v>9</v>
      </c>
      <c r="C18585" s="8" t="n">
        <v>1</v>
      </c>
      <c r="D18585" s="8" t="inlineStr">
        <is>
          <t>Disney Adventure World</t>
        </is>
      </c>
      <c r="E18585" s="8" t="inlineStr">
        <is>
          <t>Spider-Man W.E.B. Adventure Single Rider</t>
        </is>
      </c>
      <c r="F18585" s="8" t="inlineStr">
        <is>
          <t>STANDBY</t>
        </is>
      </c>
      <c r="G18585" s="8" t="n">
        <v>5</v>
      </c>
      <c r="H18585" s="8" t="inlineStr">
        <is>
          <t>OPERATING</t>
        </is>
      </c>
    </row>
    <row r="18586">
      <c r="A18586" s="8" t="inlineStr">
        <is>
          <t>2026-08-04</t>
        </is>
      </c>
      <c r="B18586" s="8" t="n">
        <v>9</v>
      </c>
      <c r="C18586" s="8" t="n">
        <v>1</v>
      </c>
      <c r="D18586" s="8" t="inlineStr">
        <is>
          <t>Disney Adventure World</t>
        </is>
      </c>
      <c r="E18586" s="8" t="inlineStr">
        <is>
          <t>The Twilight Zone Tower of Terror</t>
        </is>
      </c>
      <c r="F18586" s="8" t="inlineStr">
        <is>
          <t>STANDBY</t>
        </is>
      </c>
      <c r="G18586" s="8" t="n">
        <v>10</v>
      </c>
      <c r="H18586" s="8" t="inlineStr">
        <is>
          <t>OPERATING</t>
        </is>
      </c>
    </row>
    <row r="18587">
      <c r="A18587" s="8" t="inlineStr">
        <is>
          <t>2026-08-04</t>
        </is>
      </c>
      <c r="B18587" s="8" t="n">
        <v>9</v>
      </c>
      <c r="C18587" s="8" t="n">
        <v>1</v>
      </c>
      <c r="D18587" s="8" t="inlineStr">
        <is>
          <t>Disney Adventure World</t>
        </is>
      </c>
      <c r="E18587" s="8" t="inlineStr">
        <is>
          <t>Cars Quatre Roues Rallye</t>
        </is>
      </c>
      <c r="F18587" s="8" t="inlineStr">
        <is>
          <t>STANDBY</t>
        </is>
      </c>
      <c r="G18587" s="8" t="n">
        <v>0</v>
      </c>
      <c r="H18587" s="8" t="inlineStr">
        <is>
          <t>CLOSED</t>
        </is>
      </c>
    </row>
    <row r="18588">
      <c r="A18588" s="8" t="inlineStr">
        <is>
          <t>2026-08-04</t>
        </is>
      </c>
      <c r="B18588" s="8" t="n">
        <v>9</v>
      </c>
      <c r="C18588" s="8" t="n">
        <v>1</v>
      </c>
      <c r="D18588" s="8" t="inlineStr">
        <is>
          <t>Disney Adventure World</t>
        </is>
      </c>
      <c r="E18588" s="8" t="inlineStr">
        <is>
          <t>Cars ROAD TRIP</t>
        </is>
      </c>
      <c r="F18588" s="8" t="inlineStr">
        <is>
          <t>STANDBY</t>
        </is>
      </c>
      <c r="G18588" s="8" t="n">
        <v>0</v>
      </c>
      <c r="H18588" s="8" t="inlineStr">
        <is>
          <t>CLOSED</t>
        </is>
      </c>
    </row>
    <row r="18589">
      <c r="A18589" s="8" t="inlineStr">
        <is>
          <t>2026-08-04</t>
        </is>
      </c>
      <c r="B18589" s="8" t="n">
        <v>9</v>
      </c>
      <c r="C18589" s="8" t="n">
        <v>1</v>
      </c>
      <c r="D18589" s="8" t="inlineStr">
        <is>
          <t>Disney Adventure World</t>
        </is>
      </c>
      <c r="E18589" s="8" t="inlineStr">
        <is>
          <t>Crush's Coaster</t>
        </is>
      </c>
      <c r="F18589" s="8" t="inlineStr">
        <is>
          <t>STANDBY</t>
        </is>
      </c>
      <c r="G18589" s="8" t="n">
        <v>70</v>
      </c>
      <c r="H18589" s="8" t="inlineStr">
        <is>
          <t>OPERATING</t>
        </is>
      </c>
    </row>
    <row r="18590">
      <c r="A18590" s="8" t="inlineStr">
        <is>
          <t>2026-08-04</t>
        </is>
      </c>
      <c r="B18590" s="8" t="n">
        <v>9</v>
      </c>
      <c r="C18590" s="8" t="n">
        <v>1</v>
      </c>
      <c r="D18590" s="8" t="inlineStr">
        <is>
          <t>Disney Adventure World</t>
        </is>
      </c>
      <c r="E18590" s="8" t="inlineStr">
        <is>
          <t>Crush's Coaster Single Rider</t>
        </is>
      </c>
      <c r="F18590" s="8" t="inlineStr">
        <is>
          <t>STANDBY</t>
        </is>
      </c>
      <c r="G18590" s="8" t="n">
        <v>40</v>
      </c>
      <c r="H18590" s="8" t="inlineStr">
        <is>
          <t>OPERATING</t>
        </is>
      </c>
    </row>
    <row r="18591">
      <c r="A18591" s="8" t="inlineStr">
        <is>
          <t>2026-08-04</t>
        </is>
      </c>
      <c r="B18591" s="8" t="n">
        <v>9</v>
      </c>
      <c r="C18591" s="8" t="n">
        <v>1</v>
      </c>
      <c r="D18591" s="8" t="inlineStr">
        <is>
          <t>Disney Adventure World</t>
        </is>
      </c>
      <c r="E18591" s="8" t="inlineStr">
        <is>
          <t>Les Tapis Volants - Flying Carpets Over Agrabah®</t>
        </is>
      </c>
      <c r="F18591" s="8" t="inlineStr">
        <is>
          <t>STANDBY</t>
        </is>
      </c>
      <c r="G18591" s="8" t="n">
        <v>0</v>
      </c>
      <c r="H18591" s="8" t="inlineStr">
        <is>
          <t>CLOSED</t>
        </is>
      </c>
    </row>
    <row r="18592">
      <c r="A18592" s="8" t="inlineStr">
        <is>
          <t>2026-08-04</t>
        </is>
      </c>
      <c r="B18592" s="8" t="n">
        <v>9</v>
      </c>
      <c r="C18592" s="8" t="n">
        <v>1</v>
      </c>
      <c r="D18592" s="8" t="inlineStr">
        <is>
          <t>Disney Adventure World</t>
        </is>
      </c>
      <c r="E18592" s="8" t="inlineStr">
        <is>
          <t>Ratatouille : L’Aventure Totalement Toquée de Rémy​</t>
        </is>
      </c>
      <c r="F18592" s="8" t="inlineStr">
        <is>
          <t>STANDBY</t>
        </is>
      </c>
      <c r="G18592" s="8" t="n">
        <v>5</v>
      </c>
      <c r="H18592" s="8" t="inlineStr">
        <is>
          <t>OPERATING</t>
        </is>
      </c>
    </row>
    <row r="18593">
      <c r="A18593" s="8" t="inlineStr">
        <is>
          <t>2026-08-04</t>
        </is>
      </c>
      <c r="B18593" s="8" t="n">
        <v>9</v>
      </c>
      <c r="C18593" s="8" t="n">
        <v>1</v>
      </c>
      <c r="D18593" s="8" t="inlineStr">
        <is>
          <t>Disney Adventure World</t>
        </is>
      </c>
      <c r="E18593" s="8" t="inlineStr">
        <is>
          <t>Ratatouille: The Adventure Single Rider</t>
        </is>
      </c>
      <c r="F18593" s="8" t="inlineStr">
        <is>
          <t>STANDBY</t>
        </is>
      </c>
      <c r="G18593" s="8" t="n">
        <v>5</v>
      </c>
      <c r="H18593" s="8" t="inlineStr">
        <is>
          <t>OPERATING</t>
        </is>
      </c>
    </row>
    <row r="18594">
      <c r="A18594" s="8" t="inlineStr">
        <is>
          <t>2026-08-04</t>
        </is>
      </c>
      <c r="B18594" s="8" t="n">
        <v>9</v>
      </c>
      <c r="C18594" s="8" t="n">
        <v>1</v>
      </c>
      <c r="D18594" s="8" t="inlineStr">
        <is>
          <t>Disney Adventure World</t>
        </is>
      </c>
      <c r="E18594" s="8" t="inlineStr">
        <is>
          <t>RC Racer</t>
        </is>
      </c>
      <c r="F18594" s="8" t="inlineStr">
        <is>
          <t>STANDBY</t>
        </is>
      </c>
      <c r="G18594" s="8" t="n">
        <v>0</v>
      </c>
      <c r="H18594" s="8" t="inlineStr">
        <is>
          <t>CLOSED</t>
        </is>
      </c>
    </row>
    <row r="18595">
      <c r="A18595" s="8" t="inlineStr">
        <is>
          <t>2026-08-04</t>
        </is>
      </c>
      <c r="B18595" s="8" t="n">
        <v>9</v>
      </c>
      <c r="C18595" s="8" t="n">
        <v>1</v>
      </c>
      <c r="D18595" s="8" t="inlineStr">
        <is>
          <t>Disney Adventure World</t>
        </is>
      </c>
      <c r="E18595" s="8" t="inlineStr">
        <is>
          <t>RC Racer Single Rider</t>
        </is>
      </c>
      <c r="F18595" s="8" t="inlineStr">
        <is>
          <t>STANDBY</t>
        </is>
      </c>
      <c r="G18595" s="8" t="n">
        <v>0</v>
      </c>
      <c r="H18595" s="8" t="inlineStr">
        <is>
          <t>CLOSED</t>
        </is>
      </c>
    </row>
    <row r="18596">
      <c r="A18596" s="8" t="inlineStr">
        <is>
          <t>2026-08-04</t>
        </is>
      </c>
      <c r="B18596" s="8" t="n">
        <v>9</v>
      </c>
      <c r="C18596" s="8" t="n">
        <v>1</v>
      </c>
      <c r="D18596" s="8" t="inlineStr">
        <is>
          <t>Disney Adventure World</t>
        </is>
      </c>
      <c r="E18596" s="8" t="inlineStr">
        <is>
          <t>Slinky® Dog Zigzag Spin</t>
        </is>
      </c>
      <c r="F18596" s="8" t="inlineStr">
        <is>
          <t>STANDBY</t>
        </is>
      </c>
      <c r="G18596" s="8" t="n">
        <v>5</v>
      </c>
      <c r="H18596" s="8" t="inlineStr">
        <is>
          <t>OPERATING</t>
        </is>
      </c>
    </row>
    <row r="18597">
      <c r="A18597" s="8" t="inlineStr">
        <is>
          <t>2026-08-04</t>
        </is>
      </c>
      <c r="B18597" s="8" t="n">
        <v>9</v>
      </c>
      <c r="C18597" s="8" t="n">
        <v>1</v>
      </c>
      <c r="D18597" s="8" t="inlineStr">
        <is>
          <t>Disney Adventure World</t>
        </is>
      </c>
      <c r="E18597" s="8" t="inlineStr">
        <is>
          <t>Toy Soldiers Parachute Drop</t>
        </is>
      </c>
      <c r="F18597" s="8" t="inlineStr">
        <is>
          <t>STANDBY</t>
        </is>
      </c>
      <c r="G18597" s="8" t="n">
        <v>0</v>
      </c>
      <c r="H18597" s="8" t="inlineStr">
        <is>
          <t>CLOSED</t>
        </is>
      </c>
    </row>
    <row r="18598">
      <c r="A18598" s="8" t="inlineStr">
        <is>
          <t>2026-08-04</t>
        </is>
      </c>
      <c r="B18598" s="8" t="n">
        <v>9</v>
      </c>
      <c r="C18598" s="8" t="n">
        <v>1</v>
      </c>
      <c r="D18598" s="8" t="inlineStr">
        <is>
          <t>Disney Adventure World</t>
        </is>
      </c>
      <c r="E18598" s="8" t="inlineStr">
        <is>
          <t>Toy Soldiers Parachute Drop Single Rider</t>
        </is>
      </c>
      <c r="F18598" s="8" t="inlineStr">
        <is>
          <t>STANDBY</t>
        </is>
      </c>
      <c r="G18598" s="8" t="n">
        <v>0</v>
      </c>
      <c r="H18598" s="8" t="inlineStr">
        <is>
          <t>CLOSED</t>
        </is>
      </c>
    </row>
    <row r="18599">
      <c r="A18599" s="8" t="inlineStr">
        <is>
          <t>2026-08-04</t>
        </is>
      </c>
      <c r="B18599" s="8" t="n">
        <v>9</v>
      </c>
      <c r="C18599" s="8" t="n">
        <v>1</v>
      </c>
      <c r="D18599" s="8" t="inlineStr">
        <is>
          <t>Disney Adventure World</t>
        </is>
      </c>
      <c r="E18599" s="8" t="inlineStr">
        <is>
          <t>Entry to World of Frozen</t>
        </is>
      </c>
      <c r="F18599" s="8" t="inlineStr">
        <is>
          <t>STANDBY</t>
        </is>
      </c>
      <c r="G18599" s="8" t="n">
        <v>0</v>
      </c>
      <c r="H18599" s="8" t="inlineStr">
        <is>
          <t>OPERATING</t>
        </is>
      </c>
    </row>
    <row r="18600">
      <c r="A18600" s="8" t="inlineStr">
        <is>
          <t>2026-08-04</t>
        </is>
      </c>
      <c r="B18600" s="8" t="n">
        <v>9</v>
      </c>
      <c r="C18600" s="8" t="n">
        <v>1</v>
      </c>
      <c r="D18600" s="8" t="inlineStr">
        <is>
          <t>Disney Adventure World</t>
        </is>
      </c>
      <c r="E18600" s="8" t="inlineStr">
        <is>
          <t>Frozen Ever After</t>
        </is>
      </c>
      <c r="F18600" s="8" t="inlineStr">
        <is>
          <t>STANDBY</t>
        </is>
      </c>
      <c r="G18600" s="8" t="n">
        <v>40</v>
      </c>
      <c r="H18600" s="8" t="inlineStr">
        <is>
          <t>OPERATING</t>
        </is>
      </c>
    </row>
    <row r="18601">
      <c r="A18601" s="8" t="inlineStr">
        <is>
          <t>2026-08-04</t>
        </is>
      </c>
      <c r="B18601" s="8" t="n">
        <v>9</v>
      </c>
      <c r="C18601" s="8" t="n">
        <v>1</v>
      </c>
      <c r="D18601" s="8" t="inlineStr">
        <is>
          <t>Disney Adventure World</t>
        </is>
      </c>
      <c r="E18601" s="8" t="inlineStr">
        <is>
          <t>Raiponce Tangled Spin</t>
        </is>
      </c>
      <c r="F18601" s="8" t="inlineStr">
        <is>
          <t>STANDBY</t>
        </is>
      </c>
      <c r="G18601" s="8" t="n">
        <v>5</v>
      </c>
      <c r="H18601" s="8" t="inlineStr">
        <is>
          <t>OPERATING</t>
        </is>
      </c>
    </row>
    <row r="18602">
      <c r="A18602" s="8" t="inlineStr">
        <is>
          <t>2026-08-04</t>
        </is>
      </c>
      <c r="B18602" s="8" t="n">
        <v>9</v>
      </c>
      <c r="C18602" s="8" t="n">
        <v>15</v>
      </c>
      <c r="D18602" s="8" t="inlineStr">
        <is>
          <t>Disneyland Park</t>
        </is>
      </c>
      <c r="E18602" s="8" t="inlineStr">
        <is>
          <t>Adventure Isle</t>
        </is>
      </c>
      <c r="F18602" s="8" t="inlineStr">
        <is>
          <t>STANDBY</t>
        </is>
      </c>
      <c r="G18602" s="8" t="n">
        <v>0</v>
      </c>
      <c r="H18602" s="8" t="inlineStr">
        <is>
          <t>CLOSED</t>
        </is>
      </c>
    </row>
    <row r="18603">
      <c r="A18603" s="8" t="inlineStr">
        <is>
          <t>2026-08-04</t>
        </is>
      </c>
      <c r="B18603" s="8" t="n">
        <v>9</v>
      </c>
      <c r="C18603" s="8" t="n">
        <v>15</v>
      </c>
      <c r="D18603" s="8" t="inlineStr">
        <is>
          <t>Disneyland Park</t>
        </is>
      </c>
      <c r="E18603" s="8" t="inlineStr">
        <is>
          <t>Indiana Jones and the Temple of Peril Single Rider</t>
        </is>
      </c>
      <c r="F18603" s="8" t="inlineStr">
        <is>
          <t>STANDBY</t>
        </is>
      </c>
      <c r="G18603" s="8" t="n">
        <v>0</v>
      </c>
      <c r="H18603" s="8" t="inlineStr">
        <is>
          <t>OPERATING</t>
        </is>
      </c>
    </row>
    <row r="18604">
      <c r="A18604" s="8" t="inlineStr">
        <is>
          <t>2026-08-04</t>
        </is>
      </c>
      <c r="B18604" s="8" t="n">
        <v>9</v>
      </c>
      <c r="C18604" s="8" t="n">
        <v>15</v>
      </c>
      <c r="D18604" s="8" t="inlineStr">
        <is>
          <t>Disneyland Park</t>
        </is>
      </c>
      <c r="E18604" s="8" t="inlineStr">
        <is>
          <t>Indiana Jones™ and the Temple of Peril</t>
        </is>
      </c>
      <c r="F18604" s="8" t="inlineStr">
        <is>
          <t>STANDBY</t>
        </is>
      </c>
      <c r="G18604" s="8" t="n">
        <v>5</v>
      </c>
      <c r="H18604" s="8" t="inlineStr">
        <is>
          <t>OPERATING</t>
        </is>
      </c>
    </row>
    <row r="18605">
      <c r="A18605" s="8" t="inlineStr">
        <is>
          <t>2026-08-04</t>
        </is>
      </c>
      <c r="B18605" s="8" t="n">
        <v>9</v>
      </c>
      <c r="C18605" s="8" t="n">
        <v>15</v>
      </c>
      <c r="D18605" s="8" t="inlineStr">
        <is>
          <t>Disneyland Park</t>
        </is>
      </c>
      <c r="E18605" s="8" t="inlineStr">
        <is>
          <t>La Cabane des Robinson</t>
        </is>
      </c>
      <c r="F18605" s="8" t="inlineStr">
        <is>
          <t>STANDBY</t>
        </is>
      </c>
      <c r="G18605" s="8" t="n">
        <v>0</v>
      </c>
      <c r="H18605" s="8" t="inlineStr">
        <is>
          <t>CLOSED</t>
        </is>
      </c>
    </row>
    <row r="18606">
      <c r="A18606" s="8" t="inlineStr">
        <is>
          <t>2026-08-04</t>
        </is>
      </c>
      <c r="B18606" s="8" t="n">
        <v>9</v>
      </c>
      <c r="C18606" s="8" t="n">
        <v>15</v>
      </c>
      <c r="D18606" s="8" t="inlineStr">
        <is>
          <t>Disneyland Park</t>
        </is>
      </c>
      <c r="E18606" s="8" t="inlineStr">
        <is>
          <t>Le Passage Enchanté d'Aladdin</t>
        </is>
      </c>
      <c r="F18606" s="8" t="inlineStr">
        <is>
          <t>STANDBY</t>
        </is>
      </c>
      <c r="G18606" s="8" t="n">
        <v>0</v>
      </c>
      <c r="H18606" s="8" t="inlineStr">
        <is>
          <t>CLOSED</t>
        </is>
      </c>
    </row>
    <row r="18607">
      <c r="A18607" s="8" t="inlineStr">
        <is>
          <t>2026-08-04</t>
        </is>
      </c>
      <c r="B18607" s="8" t="n">
        <v>9</v>
      </c>
      <c r="C18607" s="8" t="n">
        <v>15</v>
      </c>
      <c r="D18607" s="8" t="inlineStr">
        <is>
          <t>Disneyland Park</t>
        </is>
      </c>
      <c r="E18607" s="8" t="inlineStr">
        <is>
          <t>Pirate Galleon</t>
        </is>
      </c>
      <c r="F18607" s="8" t="inlineStr">
        <is>
          <t>STANDBY</t>
        </is>
      </c>
      <c r="G18607" s="8" t="n">
        <v>0</v>
      </c>
      <c r="H18607" s="8" t="inlineStr">
        <is>
          <t>CLOSED</t>
        </is>
      </c>
    </row>
    <row r="18608">
      <c r="A18608" s="8" t="inlineStr">
        <is>
          <t>2026-08-04</t>
        </is>
      </c>
      <c r="B18608" s="8" t="n">
        <v>9</v>
      </c>
      <c r="C18608" s="8" t="n">
        <v>15</v>
      </c>
      <c r="D18608" s="8" t="inlineStr">
        <is>
          <t>Disneyland Park</t>
        </is>
      </c>
      <c r="E18608" s="8" t="inlineStr">
        <is>
          <t>Pirates of the Caribbean</t>
        </is>
      </c>
      <c r="F18608" s="8" t="inlineStr">
        <is>
          <t>STANDBY</t>
        </is>
      </c>
      <c r="G18608" s="8" t="n">
        <v>5</v>
      </c>
      <c r="H18608" s="8" t="inlineStr">
        <is>
          <t>OPERATING</t>
        </is>
      </c>
    </row>
    <row r="18609">
      <c r="A18609" s="8" t="inlineStr">
        <is>
          <t>2026-08-04</t>
        </is>
      </c>
      <c r="B18609" s="8" t="n">
        <v>9</v>
      </c>
      <c r="C18609" s="8" t="n">
        <v>15</v>
      </c>
      <c r="D18609" s="8" t="inlineStr">
        <is>
          <t>Disneyland Park</t>
        </is>
      </c>
      <c r="E18609" s="8" t="inlineStr">
        <is>
          <t>Pirates' Beach</t>
        </is>
      </c>
      <c r="F18609" s="8" t="inlineStr">
        <is>
          <t>STANDBY</t>
        </is>
      </c>
      <c r="G18609" s="8" t="n">
        <v>0</v>
      </c>
      <c r="H18609" s="8" t="inlineStr">
        <is>
          <t>CLOSED</t>
        </is>
      </c>
    </row>
    <row r="18610">
      <c r="A18610" s="8" t="inlineStr">
        <is>
          <t>2026-08-04</t>
        </is>
      </c>
      <c r="B18610" s="8" t="n">
        <v>9</v>
      </c>
      <c r="C18610" s="8" t="n">
        <v>15</v>
      </c>
      <c r="D18610" s="8" t="inlineStr">
        <is>
          <t>Disneyland Park</t>
        </is>
      </c>
      <c r="E18610" s="8" t="inlineStr">
        <is>
          <t>Autopia, presented by Avis</t>
        </is>
      </c>
      <c r="F18610" s="8" t="inlineStr">
        <is>
          <t>STANDBY</t>
        </is>
      </c>
      <c r="G18610" s="8" t="n">
        <v>0</v>
      </c>
      <c r="H18610" s="8" t="inlineStr">
        <is>
          <t>CLOSED</t>
        </is>
      </c>
    </row>
    <row r="18611">
      <c r="A18611" s="8" t="inlineStr">
        <is>
          <t>2026-08-04</t>
        </is>
      </c>
      <c r="B18611" s="8" t="n">
        <v>9</v>
      </c>
      <c r="C18611" s="8" t="n">
        <v>15</v>
      </c>
      <c r="D18611" s="8" t="inlineStr">
        <is>
          <t>Disneyland Park</t>
        </is>
      </c>
      <c r="E18611" s="8" t="inlineStr">
        <is>
          <t>Buzz Lightyear Laser Blast</t>
        </is>
      </c>
      <c r="F18611" s="8" t="inlineStr">
        <is>
          <t>STANDBY</t>
        </is>
      </c>
      <c r="G18611" s="8" t="n">
        <v>25</v>
      </c>
      <c r="H18611" s="8" t="inlineStr">
        <is>
          <t>OPERATING</t>
        </is>
      </c>
    </row>
    <row r="18612">
      <c r="A18612" s="8" t="inlineStr">
        <is>
          <t>2026-08-04</t>
        </is>
      </c>
      <c r="B18612" s="8" t="n">
        <v>9</v>
      </c>
      <c r="C18612" s="8" t="n">
        <v>15</v>
      </c>
      <c r="D18612" s="8" t="inlineStr">
        <is>
          <t>Disneyland Park</t>
        </is>
      </c>
      <c r="E18612" s="8" t="inlineStr">
        <is>
          <t>Disneyland Railroad Discoveryland Station</t>
        </is>
      </c>
      <c r="F18612" s="8" t="inlineStr">
        <is>
          <t>STANDBY</t>
        </is>
      </c>
      <c r="G18612" s="8" t="n">
        <v>0</v>
      </c>
      <c r="H18612" s="8" t="inlineStr">
        <is>
          <t>CLOSED</t>
        </is>
      </c>
    </row>
    <row r="18613">
      <c r="A18613" s="8" t="inlineStr">
        <is>
          <t>2026-08-04</t>
        </is>
      </c>
      <c r="B18613" s="8" t="n">
        <v>9</v>
      </c>
      <c r="C18613" s="8" t="n">
        <v>15</v>
      </c>
      <c r="D18613" s="8" t="inlineStr">
        <is>
          <t>Disneyland Park</t>
        </is>
      </c>
      <c r="E18613" s="8" t="inlineStr">
        <is>
          <t>Les Mystères du Nautilus</t>
        </is>
      </c>
      <c r="F18613" s="8" t="inlineStr">
        <is>
          <t>STANDBY</t>
        </is>
      </c>
      <c r="G18613" s="8" t="n">
        <v>0</v>
      </c>
      <c r="H18613" s="8" t="inlineStr">
        <is>
          <t>CLOSED</t>
        </is>
      </c>
    </row>
    <row r="18614">
      <c r="A18614" s="8" t="inlineStr">
        <is>
          <t>2026-08-04</t>
        </is>
      </c>
      <c r="B18614" s="8" t="n">
        <v>9</v>
      </c>
      <c r="C18614" s="8" t="n">
        <v>15</v>
      </c>
      <c r="D18614" s="8" t="inlineStr">
        <is>
          <t>Disneyland Park</t>
        </is>
      </c>
      <c r="E18614" s="8" t="inlineStr">
        <is>
          <t>Mickey’s PhilharMagic</t>
        </is>
      </c>
      <c r="F18614" s="8" t="inlineStr">
        <is>
          <t>STANDBY</t>
        </is>
      </c>
      <c r="G18614" s="8" t="n">
        <v>0</v>
      </c>
      <c r="H18614" s="8" t="inlineStr">
        <is>
          <t>CLOSED</t>
        </is>
      </c>
    </row>
    <row r="18615">
      <c r="A18615" s="8" t="inlineStr">
        <is>
          <t>2026-08-04</t>
        </is>
      </c>
      <c r="B18615" s="8" t="n">
        <v>9</v>
      </c>
      <c r="C18615" s="8" t="n">
        <v>15</v>
      </c>
      <c r="D18615" s="8" t="inlineStr">
        <is>
          <t>Disneyland Park</t>
        </is>
      </c>
      <c r="E18615" s="8" t="inlineStr">
        <is>
          <t>Orbitron®</t>
        </is>
      </c>
      <c r="F18615" s="8" t="inlineStr">
        <is>
          <t>STANDBY</t>
        </is>
      </c>
      <c r="G18615" s="8" t="n">
        <v>0</v>
      </c>
      <c r="H18615" s="8" t="inlineStr">
        <is>
          <t>CLOSED</t>
        </is>
      </c>
    </row>
    <row r="18616">
      <c r="A18616" s="8" t="inlineStr">
        <is>
          <t>2026-08-04</t>
        </is>
      </c>
      <c r="B18616" s="8" t="n">
        <v>9</v>
      </c>
      <c r="C18616" s="8" t="n">
        <v>15</v>
      </c>
      <c r="D18616" s="8" t="inlineStr">
        <is>
          <t>Disneyland Park</t>
        </is>
      </c>
      <c r="E18616" s="8" t="inlineStr">
        <is>
          <t>Star Tours: The Adventures Continue*</t>
        </is>
      </c>
      <c r="F18616" s="8" t="inlineStr">
        <is>
          <t>STANDBY</t>
        </is>
      </c>
      <c r="G18616" s="8" t="n">
        <v>0</v>
      </c>
      <c r="H18616" s="8" t="inlineStr">
        <is>
          <t>CLOSED</t>
        </is>
      </c>
    </row>
    <row r="18617">
      <c r="A18617" s="8" t="inlineStr">
        <is>
          <t>2026-08-04</t>
        </is>
      </c>
      <c r="B18617" s="8" t="n">
        <v>9</v>
      </c>
      <c r="C18617" s="8" t="n">
        <v>15</v>
      </c>
      <c r="D18617" s="8" t="inlineStr">
        <is>
          <t>Disneyland Park</t>
        </is>
      </c>
      <c r="E18617" s="8" t="inlineStr">
        <is>
          <t>Star Wars Hyperspace Mountain</t>
        </is>
      </c>
      <c r="F18617" s="8" t="inlineStr">
        <is>
          <t>STANDBY</t>
        </is>
      </c>
      <c r="G18617" s="8" t="n">
        <v>0</v>
      </c>
      <c r="H18617" s="8" t="inlineStr">
        <is>
          <t>CLOSED</t>
        </is>
      </c>
    </row>
    <row r="18618">
      <c r="A18618" s="8" t="inlineStr">
        <is>
          <t>2026-08-04</t>
        </is>
      </c>
      <c r="B18618" s="8" t="n">
        <v>9</v>
      </c>
      <c r="C18618" s="8" t="n">
        <v>15</v>
      </c>
      <c r="D18618" s="8" t="inlineStr">
        <is>
          <t>Disneyland Park</t>
        </is>
      </c>
      <c r="E18618" s="8" t="inlineStr">
        <is>
          <t>Star Wars Hyperspace Mountain Single Rider</t>
        </is>
      </c>
      <c r="F18618" s="8" t="inlineStr">
        <is>
          <t>STANDBY</t>
        </is>
      </c>
      <c r="G18618" s="8" t="n">
        <v>0</v>
      </c>
      <c r="H18618" s="8" t="inlineStr">
        <is>
          <t>CLOSED</t>
        </is>
      </c>
    </row>
    <row r="18619">
      <c r="A18619" s="8" t="inlineStr">
        <is>
          <t>2026-08-04</t>
        </is>
      </c>
      <c r="B18619" s="8" t="n">
        <v>9</v>
      </c>
      <c r="C18619" s="8" t="n">
        <v>15</v>
      </c>
      <c r="D18619" s="8" t="inlineStr">
        <is>
          <t>Disneyland Park</t>
        </is>
      </c>
      <c r="E18619" s="8" t="inlineStr">
        <is>
          <t>Welcome to Starport: A Star Wars Encounter</t>
        </is>
      </c>
      <c r="F18619" s="8" t="inlineStr">
        <is>
          <t>STANDBY</t>
        </is>
      </c>
      <c r="G18619" s="8" t="n">
        <v>0</v>
      </c>
      <c r="H18619" s="8" t="inlineStr">
        <is>
          <t>CLOSED</t>
        </is>
      </c>
    </row>
    <row r="18620">
      <c r="A18620" s="8" t="inlineStr">
        <is>
          <t>2026-08-04</t>
        </is>
      </c>
      <c r="B18620" s="8" t="n">
        <v>9</v>
      </c>
      <c r="C18620" s="8" t="n">
        <v>15</v>
      </c>
      <c r="D18620" s="8" t="inlineStr">
        <is>
          <t>Disneyland Park</t>
        </is>
      </c>
      <c r="E18620" s="8" t="inlineStr">
        <is>
          <t>"it's a small world"</t>
        </is>
      </c>
      <c r="F18620" s="8" t="inlineStr">
        <is>
          <t>STANDBY</t>
        </is>
      </c>
      <c r="G18620" s="8" t="n">
        <v>0</v>
      </c>
      <c r="H18620" s="8" t="inlineStr">
        <is>
          <t>CLOSED</t>
        </is>
      </c>
    </row>
    <row r="18621">
      <c r="A18621" s="8" t="inlineStr">
        <is>
          <t>2026-08-04</t>
        </is>
      </c>
      <c r="B18621" s="8" t="n">
        <v>9</v>
      </c>
      <c r="C18621" s="8" t="n">
        <v>15</v>
      </c>
      <c r="D18621" s="8" t="inlineStr">
        <is>
          <t>Disneyland Park</t>
        </is>
      </c>
      <c r="E18621" s="8" t="inlineStr">
        <is>
          <t>Alice's Curious Labyrinth</t>
        </is>
      </c>
      <c r="F18621" s="8" t="inlineStr">
        <is>
          <t>STANDBY</t>
        </is>
      </c>
      <c r="G18621" s="8" t="n">
        <v>0</v>
      </c>
      <c r="H18621" s="8" t="inlineStr">
        <is>
          <t>CLOSED</t>
        </is>
      </c>
    </row>
    <row r="18622">
      <c r="A18622" s="8" t="inlineStr">
        <is>
          <t>2026-08-04</t>
        </is>
      </c>
      <c r="B18622" s="8" t="n">
        <v>9</v>
      </c>
      <c r="C18622" s="8" t="n">
        <v>15</v>
      </c>
      <c r="D18622" s="8" t="inlineStr">
        <is>
          <t>Disneyland Park</t>
        </is>
      </c>
      <c r="E18622" s="8" t="inlineStr">
        <is>
          <t>Blanche-Neige et les Sept Nains®</t>
        </is>
      </c>
      <c r="F18622" s="8" t="inlineStr">
        <is>
          <t>STANDBY</t>
        </is>
      </c>
      <c r="G18622" s="8" t="n">
        <v>0</v>
      </c>
      <c r="H18622" s="8" t="inlineStr">
        <is>
          <t>CLOSED</t>
        </is>
      </c>
    </row>
    <row r="18623">
      <c r="A18623" s="8" t="inlineStr">
        <is>
          <t>2026-08-04</t>
        </is>
      </c>
      <c r="B18623" s="8" t="n">
        <v>9</v>
      </c>
      <c r="C18623" s="8" t="n">
        <v>15</v>
      </c>
      <c r="D18623" s="8" t="inlineStr">
        <is>
          <t>Disneyland Park</t>
        </is>
      </c>
      <c r="E18623" s="8" t="inlineStr">
        <is>
          <t>Casey Jr. – le Petit Train du Cirque</t>
        </is>
      </c>
      <c r="F18623" s="8" t="inlineStr">
        <is>
          <t>STANDBY</t>
        </is>
      </c>
      <c r="G18623" s="8" t="n">
        <v>5</v>
      </c>
      <c r="H18623" s="8" t="inlineStr">
        <is>
          <t>OPERATING</t>
        </is>
      </c>
    </row>
    <row r="18624">
      <c r="A18624" s="8" t="inlineStr">
        <is>
          <t>2026-08-04</t>
        </is>
      </c>
      <c r="B18624" s="8" t="n">
        <v>9</v>
      </c>
      <c r="C18624" s="8" t="n">
        <v>15</v>
      </c>
      <c r="D18624" s="8" t="inlineStr">
        <is>
          <t>Disneyland Park</t>
        </is>
      </c>
      <c r="E18624" s="8" t="inlineStr">
        <is>
          <t>Disneyland Railroad Fantasyland Station</t>
        </is>
      </c>
      <c r="F18624" s="8" t="inlineStr">
        <is>
          <t>STANDBY</t>
        </is>
      </c>
      <c r="G18624" s="8" t="n">
        <v>0</v>
      </c>
      <c r="H18624" s="8" t="inlineStr">
        <is>
          <t>CLOSED</t>
        </is>
      </c>
    </row>
    <row r="18625">
      <c r="A18625" s="8" t="inlineStr">
        <is>
          <t>2026-08-04</t>
        </is>
      </c>
      <c r="B18625" s="8" t="n">
        <v>9</v>
      </c>
      <c r="C18625" s="8" t="n">
        <v>15</v>
      </c>
      <c r="D18625" s="8" t="inlineStr">
        <is>
          <t>Disneyland Park</t>
        </is>
      </c>
      <c r="E18625" s="8" t="inlineStr">
        <is>
          <t>Disneyland Railroad Main Street Station</t>
        </is>
      </c>
      <c r="F18625" s="8" t="inlineStr">
        <is>
          <t>STANDBY</t>
        </is>
      </c>
      <c r="G18625" s="8" t="n">
        <v>0</v>
      </c>
      <c r="H18625" s="8" t="inlineStr">
        <is>
          <t>CLOSED</t>
        </is>
      </c>
    </row>
    <row r="18626">
      <c r="A18626" s="8" t="inlineStr">
        <is>
          <t>2026-08-04</t>
        </is>
      </c>
      <c r="B18626" s="8" t="n">
        <v>9</v>
      </c>
      <c r="C18626" s="8" t="n">
        <v>15</v>
      </c>
      <c r="D18626" s="8" t="inlineStr">
        <is>
          <t>Disneyland Park</t>
        </is>
      </c>
      <c r="E18626" s="8" t="inlineStr">
        <is>
          <t>Dumbo the Flying Elephant</t>
        </is>
      </c>
      <c r="F18626" s="8" t="inlineStr">
        <is>
          <t>STANDBY</t>
        </is>
      </c>
      <c r="G18626" s="8" t="n">
        <v>20</v>
      </c>
      <c r="H18626" s="8" t="inlineStr">
        <is>
          <t>OPERATING</t>
        </is>
      </c>
    </row>
    <row r="18627">
      <c r="A18627" s="8" t="inlineStr">
        <is>
          <t>2026-08-04</t>
        </is>
      </c>
      <c r="B18627" s="8" t="n">
        <v>9</v>
      </c>
      <c r="C18627" s="8" t="n">
        <v>15</v>
      </c>
      <c r="D18627" s="8" t="inlineStr">
        <is>
          <t>Disneyland Park</t>
        </is>
      </c>
      <c r="E18627" s="8" t="inlineStr">
        <is>
          <t>La Tanière du Dragon</t>
        </is>
      </c>
      <c r="F18627" s="8" t="inlineStr">
        <is>
          <t>STANDBY</t>
        </is>
      </c>
      <c r="G18627" s="8" t="n">
        <v>0</v>
      </c>
      <c r="H18627" s="8" t="inlineStr">
        <is>
          <t>OPERATING</t>
        </is>
      </c>
    </row>
    <row r="18628">
      <c r="A18628" s="8" t="inlineStr">
        <is>
          <t>2026-08-04</t>
        </is>
      </c>
      <c r="B18628" s="8" t="n">
        <v>9</v>
      </c>
      <c r="C18628" s="8" t="n">
        <v>15</v>
      </c>
      <c r="D18628" s="8" t="inlineStr">
        <is>
          <t>Disneyland Park</t>
        </is>
      </c>
      <c r="E18628" s="8" t="inlineStr">
        <is>
          <t>Le Carrousel de Lancelot</t>
        </is>
      </c>
      <c r="F18628" s="8" t="inlineStr">
        <is>
          <t>STANDBY</t>
        </is>
      </c>
      <c r="G18628" s="8" t="n">
        <v>0</v>
      </c>
      <c r="H18628" s="8" t="inlineStr">
        <is>
          <t>CLOSED</t>
        </is>
      </c>
    </row>
    <row r="18629">
      <c r="A18629" s="8" t="inlineStr">
        <is>
          <t>2026-08-04</t>
        </is>
      </c>
      <c r="B18629" s="8" t="n">
        <v>9</v>
      </c>
      <c r="C18629" s="8" t="n">
        <v>15</v>
      </c>
      <c r="D18629" s="8" t="inlineStr">
        <is>
          <t>Disneyland Park</t>
        </is>
      </c>
      <c r="E18629" s="8" t="inlineStr">
        <is>
          <t>Le Pays des Contes de Fées, presented by Vittel</t>
        </is>
      </c>
      <c r="F18629" s="8" t="inlineStr">
        <is>
          <t>STANDBY</t>
        </is>
      </c>
      <c r="G18629" s="8" t="n">
        <v>5</v>
      </c>
      <c r="H18629" s="8" t="inlineStr">
        <is>
          <t>OPERATING</t>
        </is>
      </c>
    </row>
    <row r="18630">
      <c r="A18630" s="8" t="inlineStr">
        <is>
          <t>2026-08-04</t>
        </is>
      </c>
      <c r="B18630" s="8" t="n">
        <v>9</v>
      </c>
      <c r="C18630" s="8" t="n">
        <v>15</v>
      </c>
      <c r="D18630" s="8" t="inlineStr">
        <is>
          <t>Disneyland Park</t>
        </is>
      </c>
      <c r="E18630" s="8" t="inlineStr">
        <is>
          <t>Les Voyages de Pinocchio</t>
        </is>
      </c>
      <c r="F18630" s="8" t="inlineStr">
        <is>
          <t>STANDBY</t>
        </is>
      </c>
      <c r="G18630" s="8" t="n">
        <v>0</v>
      </c>
      <c r="H18630" s="8" t="inlineStr">
        <is>
          <t>CLOSED</t>
        </is>
      </c>
    </row>
    <row r="18631">
      <c r="A18631" s="8" t="inlineStr">
        <is>
          <t>2026-08-04</t>
        </is>
      </c>
      <c r="B18631" s="8" t="n">
        <v>9</v>
      </c>
      <c r="C18631" s="8" t="n">
        <v>15</v>
      </c>
      <c r="D18631" s="8" t="inlineStr">
        <is>
          <t>Disneyland Park</t>
        </is>
      </c>
      <c r="E18631" s="8" t="inlineStr">
        <is>
          <t>Mad Hatter's Tea Cups</t>
        </is>
      </c>
      <c r="F18631" s="8" t="inlineStr">
        <is>
          <t>STANDBY</t>
        </is>
      </c>
      <c r="G18631" s="8" t="n">
        <v>0</v>
      </c>
      <c r="H18631" s="8" t="inlineStr">
        <is>
          <t>CLOSED</t>
        </is>
      </c>
    </row>
    <row r="18632">
      <c r="A18632" s="8" t="inlineStr">
        <is>
          <t>2026-08-04</t>
        </is>
      </c>
      <c r="B18632" s="8" t="n">
        <v>9</v>
      </c>
      <c r="C18632" s="8" t="n">
        <v>15</v>
      </c>
      <c r="D18632" s="8" t="inlineStr">
        <is>
          <t>Disneyland Park</t>
        </is>
      </c>
      <c r="E18632" s="8" t="inlineStr">
        <is>
          <t>Meet Mickey Mouse</t>
        </is>
      </c>
      <c r="F18632" s="8" t="inlineStr">
        <is>
          <t>STANDBY</t>
        </is>
      </c>
      <c r="G18632" s="8" t="n">
        <v>0</v>
      </c>
      <c r="H18632" s="8" t="inlineStr">
        <is>
          <t>CLOSED</t>
        </is>
      </c>
    </row>
    <row r="18633">
      <c r="A18633" s="8" t="inlineStr">
        <is>
          <t>2026-08-04</t>
        </is>
      </c>
      <c r="B18633" s="8" t="n">
        <v>9</v>
      </c>
      <c r="C18633" s="8" t="n">
        <v>15</v>
      </c>
      <c r="D18633" s="8" t="inlineStr">
        <is>
          <t>Disneyland Park</t>
        </is>
      </c>
      <c r="E18633" s="8" t="inlineStr">
        <is>
          <t>Peter Pan's Flight</t>
        </is>
      </c>
      <c r="F18633" s="8" t="inlineStr">
        <is>
          <t>STANDBY</t>
        </is>
      </c>
      <c r="G18633" s="8" t="n">
        <v>40</v>
      </c>
      <c r="H18633" s="8" t="inlineStr">
        <is>
          <t>OPERATING</t>
        </is>
      </c>
    </row>
    <row r="18634">
      <c r="A18634" s="8" t="inlineStr">
        <is>
          <t>2026-08-04</t>
        </is>
      </c>
      <c r="B18634" s="8" t="n">
        <v>9</v>
      </c>
      <c r="C18634" s="8" t="n">
        <v>15</v>
      </c>
      <c r="D18634" s="8" t="inlineStr">
        <is>
          <t>Disneyland Park</t>
        </is>
      </c>
      <c r="E18634" s="8" t="inlineStr">
        <is>
          <t>Princess Pavilion</t>
        </is>
      </c>
      <c r="F18634" s="8" t="inlineStr">
        <is>
          <t>STANDBY</t>
        </is>
      </c>
      <c r="G18634" s="8" t="n">
        <v>0</v>
      </c>
      <c r="H18634" s="8" t="inlineStr">
        <is>
          <t>CLOSED</t>
        </is>
      </c>
    </row>
    <row r="18635">
      <c r="A18635" s="8" t="inlineStr">
        <is>
          <t>2026-08-04</t>
        </is>
      </c>
      <c r="B18635" s="8" t="n">
        <v>9</v>
      </c>
      <c r="C18635" s="8" t="n">
        <v>15</v>
      </c>
      <c r="D18635" s="8" t="inlineStr">
        <is>
          <t>Disneyland Park</t>
        </is>
      </c>
      <c r="E18635" s="8" t="inlineStr">
        <is>
          <t>Big Thunder Mountain</t>
        </is>
      </c>
      <c r="F18635" s="8" t="inlineStr">
        <is>
          <t>STANDBY</t>
        </is>
      </c>
      <c r="G18635" s="8" t="n">
        <v>40</v>
      </c>
      <c r="H18635" s="8" t="inlineStr">
        <is>
          <t>OPERATING</t>
        </is>
      </c>
    </row>
    <row r="18636">
      <c r="A18636" s="8" t="inlineStr">
        <is>
          <t>2026-08-04</t>
        </is>
      </c>
      <c r="B18636" s="8" t="n">
        <v>9</v>
      </c>
      <c r="C18636" s="8" t="n">
        <v>15</v>
      </c>
      <c r="D18636" s="8" t="inlineStr">
        <is>
          <t>Disneyland Park</t>
        </is>
      </c>
      <c r="E18636" s="8" t="inlineStr">
        <is>
          <t>Disneyland Railroad Frontierland Depot</t>
        </is>
      </c>
      <c r="F18636" s="8" t="inlineStr">
        <is>
          <t>STANDBY</t>
        </is>
      </c>
      <c r="G18636" s="8" t="n">
        <v>0</v>
      </c>
      <c r="H18636" s="8" t="inlineStr">
        <is>
          <t>CLOSED</t>
        </is>
      </c>
    </row>
    <row r="18637">
      <c r="A18637" s="8" t="inlineStr">
        <is>
          <t>2026-08-04</t>
        </is>
      </c>
      <c r="B18637" s="8" t="n">
        <v>9</v>
      </c>
      <c r="C18637" s="8" t="n">
        <v>15</v>
      </c>
      <c r="D18637" s="8" t="inlineStr">
        <is>
          <t>Disneyland Park</t>
        </is>
      </c>
      <c r="E18637" s="8" t="inlineStr">
        <is>
          <t>Frontierland Playground</t>
        </is>
      </c>
      <c r="F18637" s="8" t="inlineStr">
        <is>
          <t>STANDBY</t>
        </is>
      </c>
      <c r="G18637" s="8" t="n">
        <v>0</v>
      </c>
      <c r="H18637" s="8" t="inlineStr">
        <is>
          <t>CLOSED</t>
        </is>
      </c>
    </row>
    <row r="18638">
      <c r="A18638" s="8" t="inlineStr">
        <is>
          <t>2026-08-04</t>
        </is>
      </c>
      <c r="B18638" s="8" t="n">
        <v>9</v>
      </c>
      <c r="C18638" s="8" t="n">
        <v>15</v>
      </c>
      <c r="D18638" s="8" t="inlineStr">
        <is>
          <t>Disneyland Park</t>
        </is>
      </c>
      <c r="E18638" s="8" t="inlineStr">
        <is>
          <t>Phantom Manor</t>
        </is>
      </c>
      <c r="F18638" s="8" t="inlineStr">
        <is>
          <t>STANDBY</t>
        </is>
      </c>
      <c r="G18638" s="8" t="n">
        <v>0</v>
      </c>
      <c r="H18638" s="8" t="inlineStr">
        <is>
          <t>CLOSED</t>
        </is>
      </c>
    </row>
    <row r="18639">
      <c r="A18639" s="8" t="inlineStr">
        <is>
          <t>2026-08-04</t>
        </is>
      </c>
      <c r="B18639" s="8" t="n">
        <v>9</v>
      </c>
      <c r="C18639" s="8" t="n">
        <v>15</v>
      </c>
      <c r="D18639" s="8" t="inlineStr">
        <is>
          <t>Disneyland Park</t>
        </is>
      </c>
      <c r="E18639" s="8" t="inlineStr">
        <is>
          <t>River Rogue Keelboats</t>
        </is>
      </c>
      <c r="F18639" s="8" t="inlineStr">
        <is>
          <t>STANDBY</t>
        </is>
      </c>
      <c r="G18639" s="8" t="n">
        <v>0</v>
      </c>
      <c r="H18639" s="8" t="inlineStr">
        <is>
          <t>CLOSED</t>
        </is>
      </c>
    </row>
    <row r="18640">
      <c r="A18640" s="8" t="inlineStr">
        <is>
          <t>2026-08-04</t>
        </is>
      </c>
      <c r="B18640" s="8" t="n">
        <v>9</v>
      </c>
      <c r="C18640" s="8" t="n">
        <v>15</v>
      </c>
      <c r="D18640" s="8" t="inlineStr">
        <is>
          <t>Disneyland Park</t>
        </is>
      </c>
      <c r="E18640" s="8" t="inlineStr">
        <is>
          <t>Rustler Roundup Shootin' Gallery</t>
        </is>
      </c>
      <c r="F18640" s="8" t="inlineStr">
        <is>
          <t>STANDBY</t>
        </is>
      </c>
      <c r="G18640" s="8" t="n">
        <v>0</v>
      </c>
      <c r="H18640" s="8" t="inlineStr">
        <is>
          <t>OPERATING</t>
        </is>
      </c>
    </row>
    <row r="18641">
      <c r="A18641" s="8" t="inlineStr">
        <is>
          <t>2026-08-04</t>
        </is>
      </c>
      <c r="B18641" s="8" t="n">
        <v>9</v>
      </c>
      <c r="C18641" s="8" t="n">
        <v>15</v>
      </c>
      <c r="D18641" s="8" t="inlineStr">
        <is>
          <t>Disneyland Park</t>
        </is>
      </c>
      <c r="E18641" s="8" t="inlineStr">
        <is>
          <t>Thunder Mesa Riverboat Landing</t>
        </is>
      </c>
      <c r="F18641" s="8" t="inlineStr">
        <is>
          <t>STANDBY</t>
        </is>
      </c>
      <c r="G18641" s="8" t="n">
        <v>0</v>
      </c>
      <c r="H18641" s="8" t="inlineStr">
        <is>
          <t>CLOSED</t>
        </is>
      </c>
    </row>
    <row r="18642">
      <c r="A18642" s="8" t="inlineStr">
        <is>
          <t>2026-08-04</t>
        </is>
      </c>
      <c r="B18642" s="8" t="n">
        <v>9</v>
      </c>
      <c r="C18642" s="8" t="n">
        <v>15</v>
      </c>
      <c r="D18642" s="8" t="inlineStr">
        <is>
          <t>Disneyland Park</t>
        </is>
      </c>
      <c r="E18642" s="8" t="inlineStr">
        <is>
          <t>Disneyland Railroad Main Street Station</t>
        </is>
      </c>
      <c r="F18642" s="8" t="inlineStr">
        <is>
          <t>STANDBY</t>
        </is>
      </c>
      <c r="G18642" s="8" t="n">
        <v>0</v>
      </c>
      <c r="H18642" s="8" t="inlineStr">
        <is>
          <t>CLOSED</t>
        </is>
      </c>
    </row>
    <row r="18643">
      <c r="A18643" s="8" t="inlineStr">
        <is>
          <t>2026-08-04</t>
        </is>
      </c>
      <c r="B18643" s="8" t="n">
        <v>9</v>
      </c>
      <c r="C18643" s="8" t="n">
        <v>15</v>
      </c>
      <c r="D18643" s="8" t="inlineStr">
        <is>
          <t>Disneyland Park</t>
        </is>
      </c>
      <c r="E18643" s="8" t="inlineStr">
        <is>
          <t>Main Street Vehicles</t>
        </is>
      </c>
      <c r="F18643" s="8" t="inlineStr">
        <is>
          <t>STANDBY</t>
        </is>
      </c>
      <c r="G18643" s="8" t="n">
        <v>5</v>
      </c>
      <c r="H18643" s="8" t="inlineStr">
        <is>
          <t>OPERATING</t>
        </is>
      </c>
    </row>
    <row r="18644">
      <c r="A18644" s="8" t="inlineStr">
        <is>
          <t>2026-08-04</t>
        </is>
      </c>
      <c r="B18644" s="8" t="n">
        <v>9</v>
      </c>
      <c r="C18644" s="8" t="n">
        <v>15</v>
      </c>
      <c r="D18644" s="8" t="inlineStr">
        <is>
          <t>Disney Adventure World</t>
        </is>
      </c>
      <c r="E18644" s="8" t="inlineStr">
        <is>
          <t>Avengers Assemble: Flight Force</t>
        </is>
      </c>
      <c r="F18644" s="8" t="inlineStr">
        <is>
          <t>STANDBY</t>
        </is>
      </c>
      <c r="G18644" s="8" t="n">
        <v>5</v>
      </c>
      <c r="H18644" s="8" t="inlineStr">
        <is>
          <t>OPERATING</t>
        </is>
      </c>
    </row>
    <row r="18645">
      <c r="A18645" s="8" t="inlineStr">
        <is>
          <t>2026-08-04</t>
        </is>
      </c>
      <c r="B18645" s="8" t="n">
        <v>9</v>
      </c>
      <c r="C18645" s="8" t="n">
        <v>15</v>
      </c>
      <c r="D18645" s="8" t="inlineStr">
        <is>
          <t>Disney Adventure World</t>
        </is>
      </c>
      <c r="E18645" s="8" t="inlineStr">
        <is>
          <t>Avengers Assemble: Flight Force Single Rider</t>
        </is>
      </c>
      <c r="F18645" s="8" t="inlineStr">
        <is>
          <t>STANDBY</t>
        </is>
      </c>
      <c r="G18645" s="8" t="n">
        <v>5</v>
      </c>
      <c r="H18645" s="8" t="inlineStr">
        <is>
          <t>OPERATING</t>
        </is>
      </c>
    </row>
    <row r="18646">
      <c r="A18646" s="8" t="inlineStr">
        <is>
          <t>2026-08-04</t>
        </is>
      </c>
      <c r="B18646" s="8" t="n">
        <v>9</v>
      </c>
      <c r="C18646" s="8" t="n">
        <v>15</v>
      </c>
      <c r="D18646" s="8" t="inlineStr">
        <is>
          <t>Disney Adventure World</t>
        </is>
      </c>
      <c r="E18646" s="8" t="inlineStr">
        <is>
          <t>Spider-Man W.E.B. Adventure</t>
        </is>
      </c>
      <c r="F18646" s="8" t="inlineStr">
        <is>
          <t>STANDBY</t>
        </is>
      </c>
      <c r="G18646" s="8" t="n">
        <v>10</v>
      </c>
      <c r="H18646" s="8" t="inlineStr">
        <is>
          <t>OPERATING</t>
        </is>
      </c>
    </row>
    <row r="18647">
      <c r="A18647" s="8" t="inlineStr">
        <is>
          <t>2026-08-04</t>
        </is>
      </c>
      <c r="B18647" s="8" t="n">
        <v>9</v>
      </c>
      <c r="C18647" s="8" t="n">
        <v>15</v>
      </c>
      <c r="D18647" s="8" t="inlineStr">
        <is>
          <t>Disney Adventure World</t>
        </is>
      </c>
      <c r="E18647" s="8" t="inlineStr">
        <is>
          <t>Spider-Man W.E.B. Adventure Single Rider</t>
        </is>
      </c>
      <c r="F18647" s="8" t="inlineStr">
        <is>
          <t>STANDBY</t>
        </is>
      </c>
      <c r="G18647" s="8" t="n">
        <v>5</v>
      </c>
      <c r="H18647" s="8" t="inlineStr">
        <is>
          <t>OPERATING</t>
        </is>
      </c>
    </row>
    <row r="18648">
      <c r="A18648" s="8" t="inlineStr">
        <is>
          <t>2026-08-04</t>
        </is>
      </c>
      <c r="B18648" s="8" t="n">
        <v>9</v>
      </c>
      <c r="C18648" s="8" t="n">
        <v>15</v>
      </c>
      <c r="D18648" s="8" t="inlineStr">
        <is>
          <t>Disney Adventure World</t>
        </is>
      </c>
      <c r="E18648" s="8" t="inlineStr">
        <is>
          <t>The Twilight Zone Tower of Terror</t>
        </is>
      </c>
      <c r="F18648" s="8" t="inlineStr">
        <is>
          <t>STANDBY</t>
        </is>
      </c>
      <c r="G18648" s="8" t="n">
        <v>10</v>
      </c>
      <c r="H18648" s="8" t="inlineStr">
        <is>
          <t>OPERATING</t>
        </is>
      </c>
    </row>
    <row r="18649">
      <c r="A18649" s="8" t="inlineStr">
        <is>
          <t>2026-08-04</t>
        </is>
      </c>
      <c r="B18649" s="8" t="n">
        <v>9</v>
      </c>
      <c r="C18649" s="8" t="n">
        <v>15</v>
      </c>
      <c r="D18649" s="8" t="inlineStr">
        <is>
          <t>Disney Adventure World</t>
        </is>
      </c>
      <c r="E18649" s="8" t="inlineStr">
        <is>
          <t>Cars Quatre Roues Rallye</t>
        </is>
      </c>
      <c r="F18649" s="8" t="inlineStr">
        <is>
          <t>STANDBY</t>
        </is>
      </c>
      <c r="G18649" s="8" t="n">
        <v>0</v>
      </c>
      <c r="H18649" s="8" t="inlineStr">
        <is>
          <t>CLOSED</t>
        </is>
      </c>
    </row>
    <row r="18650">
      <c r="A18650" s="8" t="inlineStr">
        <is>
          <t>2026-08-04</t>
        </is>
      </c>
      <c r="B18650" s="8" t="n">
        <v>9</v>
      </c>
      <c r="C18650" s="8" t="n">
        <v>15</v>
      </c>
      <c r="D18650" s="8" t="inlineStr">
        <is>
          <t>Disney Adventure World</t>
        </is>
      </c>
      <c r="E18650" s="8" t="inlineStr">
        <is>
          <t>Cars ROAD TRIP</t>
        </is>
      </c>
      <c r="F18650" s="8" t="inlineStr">
        <is>
          <t>STANDBY</t>
        </is>
      </c>
      <c r="G18650" s="8" t="n">
        <v>0</v>
      </c>
      <c r="H18650" s="8" t="inlineStr">
        <is>
          <t>CLOSED</t>
        </is>
      </c>
    </row>
    <row r="18651">
      <c r="A18651" s="8" t="inlineStr">
        <is>
          <t>2026-08-04</t>
        </is>
      </c>
      <c r="B18651" s="8" t="n">
        <v>9</v>
      </c>
      <c r="C18651" s="8" t="n">
        <v>15</v>
      </c>
      <c r="D18651" s="8" t="inlineStr">
        <is>
          <t>Disney Adventure World</t>
        </is>
      </c>
      <c r="E18651" s="8" t="inlineStr">
        <is>
          <t>Crush's Coaster</t>
        </is>
      </c>
      <c r="F18651" s="8" t="inlineStr">
        <is>
          <t>STANDBY</t>
        </is>
      </c>
      <c r="G18651" s="8" t="n">
        <v>60</v>
      </c>
      <c r="H18651" s="8" t="inlineStr">
        <is>
          <t>OPERATING</t>
        </is>
      </c>
    </row>
    <row r="18652">
      <c r="A18652" s="8" t="inlineStr">
        <is>
          <t>2026-08-04</t>
        </is>
      </c>
      <c r="B18652" s="8" t="n">
        <v>9</v>
      </c>
      <c r="C18652" s="8" t="n">
        <v>15</v>
      </c>
      <c r="D18652" s="8" t="inlineStr">
        <is>
          <t>Disney Adventure World</t>
        </is>
      </c>
      <c r="E18652" s="8" t="inlineStr">
        <is>
          <t>Crush's Coaster Single Rider</t>
        </is>
      </c>
      <c r="F18652" s="8" t="inlineStr">
        <is>
          <t>STANDBY</t>
        </is>
      </c>
      <c r="G18652" s="8" t="n">
        <v>35</v>
      </c>
      <c r="H18652" s="8" t="inlineStr">
        <is>
          <t>OPERATING</t>
        </is>
      </c>
    </row>
    <row r="18653">
      <c r="A18653" s="8" t="inlineStr">
        <is>
          <t>2026-08-04</t>
        </is>
      </c>
      <c r="B18653" s="8" t="n">
        <v>9</v>
      </c>
      <c r="C18653" s="8" t="n">
        <v>15</v>
      </c>
      <c r="D18653" s="8" t="inlineStr">
        <is>
          <t>Disney Adventure World</t>
        </is>
      </c>
      <c r="E18653" s="8" t="inlineStr">
        <is>
          <t>Les Tapis Volants - Flying Carpets Over Agrabah®</t>
        </is>
      </c>
      <c r="F18653" s="8" t="inlineStr">
        <is>
          <t>STANDBY</t>
        </is>
      </c>
      <c r="G18653" s="8" t="n">
        <v>0</v>
      </c>
      <c r="H18653" s="8" t="inlineStr">
        <is>
          <t>CLOSED</t>
        </is>
      </c>
    </row>
    <row r="18654">
      <c r="A18654" s="8" t="inlineStr">
        <is>
          <t>2026-08-04</t>
        </is>
      </c>
      <c r="B18654" s="8" t="n">
        <v>9</v>
      </c>
      <c r="C18654" s="8" t="n">
        <v>15</v>
      </c>
      <c r="D18654" s="8" t="inlineStr">
        <is>
          <t>Disney Adventure World</t>
        </is>
      </c>
      <c r="E18654" s="8" t="inlineStr">
        <is>
          <t>Ratatouille : L’Aventure Totalement Toquée de Rémy​</t>
        </is>
      </c>
      <c r="F18654" s="8" t="inlineStr">
        <is>
          <t>STANDBY</t>
        </is>
      </c>
      <c r="G18654" s="8" t="n">
        <v>20</v>
      </c>
      <c r="H18654" s="8" t="inlineStr">
        <is>
          <t>OPERATING</t>
        </is>
      </c>
    </row>
    <row r="18655">
      <c r="A18655" s="8" t="inlineStr">
        <is>
          <t>2026-08-04</t>
        </is>
      </c>
      <c r="B18655" s="8" t="n">
        <v>9</v>
      </c>
      <c r="C18655" s="8" t="n">
        <v>15</v>
      </c>
      <c r="D18655" s="8" t="inlineStr">
        <is>
          <t>Disney Adventure World</t>
        </is>
      </c>
      <c r="E18655" s="8" t="inlineStr">
        <is>
          <t>Ratatouille: The Adventure Single Rider</t>
        </is>
      </c>
      <c r="F18655" s="8" t="inlineStr">
        <is>
          <t>STANDBY</t>
        </is>
      </c>
      <c r="G18655" s="8" t="n">
        <v>5</v>
      </c>
      <c r="H18655" s="8" t="inlineStr">
        <is>
          <t>OPERATING</t>
        </is>
      </c>
    </row>
    <row r="18656">
      <c r="A18656" s="8" t="inlineStr">
        <is>
          <t>2026-08-04</t>
        </is>
      </c>
      <c r="B18656" s="8" t="n">
        <v>9</v>
      </c>
      <c r="C18656" s="8" t="n">
        <v>15</v>
      </c>
      <c r="D18656" s="8" t="inlineStr">
        <is>
          <t>Disney Adventure World</t>
        </is>
      </c>
      <c r="E18656" s="8" t="inlineStr">
        <is>
          <t>RC Racer</t>
        </is>
      </c>
      <c r="F18656" s="8" t="inlineStr">
        <is>
          <t>STANDBY</t>
        </is>
      </c>
      <c r="G18656" s="8" t="n">
        <v>0</v>
      </c>
      <c r="H18656" s="8" t="inlineStr">
        <is>
          <t>CLOSED</t>
        </is>
      </c>
    </row>
    <row r="18657">
      <c r="A18657" s="8" t="inlineStr">
        <is>
          <t>2026-08-04</t>
        </is>
      </c>
      <c r="B18657" s="8" t="n">
        <v>9</v>
      </c>
      <c r="C18657" s="8" t="n">
        <v>15</v>
      </c>
      <c r="D18657" s="8" t="inlineStr">
        <is>
          <t>Disney Adventure World</t>
        </is>
      </c>
      <c r="E18657" s="8" t="inlineStr">
        <is>
          <t>RC Racer Single Rider</t>
        </is>
      </c>
      <c r="F18657" s="8" t="inlineStr">
        <is>
          <t>STANDBY</t>
        </is>
      </c>
      <c r="G18657" s="8" t="n">
        <v>0</v>
      </c>
      <c r="H18657" s="8" t="inlineStr">
        <is>
          <t>CLOSED</t>
        </is>
      </c>
    </row>
    <row r="18658">
      <c r="A18658" s="8" t="inlineStr">
        <is>
          <t>2026-08-04</t>
        </is>
      </c>
      <c r="B18658" s="8" t="n">
        <v>9</v>
      </c>
      <c r="C18658" s="8" t="n">
        <v>15</v>
      </c>
      <c r="D18658" s="8" t="inlineStr">
        <is>
          <t>Disney Adventure World</t>
        </is>
      </c>
      <c r="E18658" s="8" t="inlineStr">
        <is>
          <t>Slinky® Dog Zigzag Spin</t>
        </is>
      </c>
      <c r="F18658" s="8" t="inlineStr">
        <is>
          <t>STANDBY</t>
        </is>
      </c>
      <c r="G18658" s="8" t="n">
        <v>5</v>
      </c>
      <c r="H18658" s="8" t="inlineStr">
        <is>
          <t>OPERATING</t>
        </is>
      </c>
    </row>
    <row r="18659">
      <c r="A18659" s="8" t="inlineStr">
        <is>
          <t>2026-08-04</t>
        </is>
      </c>
      <c r="B18659" s="8" t="n">
        <v>9</v>
      </c>
      <c r="C18659" s="8" t="n">
        <v>15</v>
      </c>
      <c r="D18659" s="8" t="inlineStr">
        <is>
          <t>Disney Adventure World</t>
        </is>
      </c>
      <c r="E18659" s="8" t="inlineStr">
        <is>
          <t>Toy Soldiers Parachute Drop</t>
        </is>
      </c>
      <c r="F18659" s="8" t="inlineStr">
        <is>
          <t>STANDBY</t>
        </is>
      </c>
      <c r="G18659" s="8" t="n">
        <v>0</v>
      </c>
      <c r="H18659" s="8" t="inlineStr">
        <is>
          <t>CLOSED</t>
        </is>
      </c>
    </row>
    <row r="18660">
      <c r="A18660" s="8" t="inlineStr">
        <is>
          <t>2026-08-04</t>
        </is>
      </c>
      <c r="B18660" s="8" t="n">
        <v>9</v>
      </c>
      <c r="C18660" s="8" t="n">
        <v>15</v>
      </c>
      <c r="D18660" s="8" t="inlineStr">
        <is>
          <t>Disney Adventure World</t>
        </is>
      </c>
      <c r="E18660" s="8" t="inlineStr">
        <is>
          <t>Toy Soldiers Parachute Drop Single Rider</t>
        </is>
      </c>
      <c r="F18660" s="8" t="inlineStr">
        <is>
          <t>STANDBY</t>
        </is>
      </c>
      <c r="G18660" s="8" t="n">
        <v>0</v>
      </c>
      <c r="H18660" s="8" t="inlineStr">
        <is>
          <t>CLOSED</t>
        </is>
      </c>
    </row>
    <row r="18661">
      <c r="A18661" s="8" t="inlineStr">
        <is>
          <t>2026-08-04</t>
        </is>
      </c>
      <c r="B18661" s="8" t="n">
        <v>9</v>
      </c>
      <c r="C18661" s="8" t="n">
        <v>15</v>
      </c>
      <c r="D18661" s="8" t="inlineStr">
        <is>
          <t>Disney Adventure World</t>
        </is>
      </c>
      <c r="E18661" s="8" t="inlineStr">
        <is>
          <t>Entry to World of Frozen</t>
        </is>
      </c>
      <c r="F18661" s="8" t="inlineStr">
        <is>
          <t>STANDBY</t>
        </is>
      </c>
      <c r="G18661" s="8" t="n">
        <v>0</v>
      </c>
      <c r="H18661" s="8" t="inlineStr">
        <is>
          <t>OPERATING</t>
        </is>
      </c>
    </row>
    <row r="18662">
      <c r="A18662" s="8" t="inlineStr">
        <is>
          <t>2026-08-04</t>
        </is>
      </c>
      <c r="B18662" s="8" t="n">
        <v>9</v>
      </c>
      <c r="C18662" s="8" t="n">
        <v>15</v>
      </c>
      <c r="D18662" s="8" t="inlineStr">
        <is>
          <t>Disney Adventure World</t>
        </is>
      </c>
      <c r="E18662" s="8" t="inlineStr">
        <is>
          <t>Frozen Ever After</t>
        </is>
      </c>
      <c r="F18662" s="8" t="inlineStr">
        <is>
          <t>STANDBY</t>
        </is>
      </c>
      <c r="G18662" s="8" t="n">
        <v>40</v>
      </c>
      <c r="H18662" s="8" t="inlineStr">
        <is>
          <t>OPERATING</t>
        </is>
      </c>
    </row>
    <row r="18663">
      <c r="A18663" s="8" t="inlineStr">
        <is>
          <t>2026-08-04</t>
        </is>
      </c>
      <c r="B18663" s="8" t="n">
        <v>9</v>
      </c>
      <c r="C18663" s="8" t="n">
        <v>15</v>
      </c>
      <c r="D18663" s="8" t="inlineStr">
        <is>
          <t>Disney Adventure World</t>
        </is>
      </c>
      <c r="E18663" s="8" t="inlineStr">
        <is>
          <t>Raiponce Tangled Spin</t>
        </is>
      </c>
      <c r="F18663" s="8" t="inlineStr">
        <is>
          <t>STANDBY</t>
        </is>
      </c>
      <c r="G18663" s="8" t="n">
        <v>5</v>
      </c>
      <c r="H18663" s="8" t="inlineStr">
        <is>
          <t>OPERATING</t>
        </is>
      </c>
    </row>
    <row r="18664">
      <c r="A18664" s="8" t="inlineStr">
        <is>
          <t>2026-08-04</t>
        </is>
      </c>
      <c r="B18664" s="8" t="n">
        <v>9</v>
      </c>
      <c r="C18664" s="8" t="n">
        <v>31</v>
      </c>
      <c r="D18664" s="8" t="inlineStr">
        <is>
          <t>Disneyland Park</t>
        </is>
      </c>
      <c r="E18664" s="8" t="inlineStr">
        <is>
          <t>Adventure Isle</t>
        </is>
      </c>
      <c r="F18664" s="8" t="inlineStr">
        <is>
          <t>STANDBY</t>
        </is>
      </c>
      <c r="G18664" s="8" t="n">
        <v>0</v>
      </c>
      <c r="H18664" s="8" t="inlineStr">
        <is>
          <t>CLOSED</t>
        </is>
      </c>
    </row>
    <row r="18665">
      <c r="A18665" s="8" t="inlineStr">
        <is>
          <t>2026-08-04</t>
        </is>
      </c>
      <c r="B18665" s="8" t="n">
        <v>9</v>
      </c>
      <c r="C18665" s="8" t="n">
        <v>31</v>
      </c>
      <c r="D18665" s="8" t="inlineStr">
        <is>
          <t>Disneyland Park</t>
        </is>
      </c>
      <c r="E18665" s="8" t="inlineStr">
        <is>
          <t>Indiana Jones and the Temple of Peril Single Rider</t>
        </is>
      </c>
      <c r="F18665" s="8" t="inlineStr">
        <is>
          <t>STANDBY</t>
        </is>
      </c>
      <c r="G18665" s="8" t="n">
        <v>5</v>
      </c>
      <c r="H18665" s="8" t="inlineStr">
        <is>
          <t>OPERATING</t>
        </is>
      </c>
    </row>
    <row r="18666">
      <c r="A18666" s="8" t="inlineStr">
        <is>
          <t>2026-08-04</t>
        </is>
      </c>
      <c r="B18666" s="8" t="n">
        <v>9</v>
      </c>
      <c r="C18666" s="8" t="n">
        <v>31</v>
      </c>
      <c r="D18666" s="8" t="inlineStr">
        <is>
          <t>Disneyland Park</t>
        </is>
      </c>
      <c r="E18666" s="8" t="inlineStr">
        <is>
          <t>Indiana Jones™ and the Temple of Peril</t>
        </is>
      </c>
      <c r="F18666" s="8" t="inlineStr">
        <is>
          <t>STANDBY</t>
        </is>
      </c>
      <c r="G18666" s="8" t="n">
        <v>5</v>
      </c>
      <c r="H18666" s="8" t="inlineStr">
        <is>
          <t>OPERATING</t>
        </is>
      </c>
    </row>
    <row r="18667">
      <c r="A18667" s="8" t="inlineStr">
        <is>
          <t>2026-08-04</t>
        </is>
      </c>
      <c r="B18667" s="8" t="n">
        <v>9</v>
      </c>
      <c r="C18667" s="8" t="n">
        <v>31</v>
      </c>
      <c r="D18667" s="8" t="inlineStr">
        <is>
          <t>Disneyland Park</t>
        </is>
      </c>
      <c r="E18667" s="8" t="inlineStr">
        <is>
          <t>La Cabane des Robinson</t>
        </is>
      </c>
      <c r="F18667" s="8" t="inlineStr">
        <is>
          <t>STANDBY</t>
        </is>
      </c>
      <c r="G18667" s="8" t="n">
        <v>0</v>
      </c>
      <c r="H18667" s="8" t="inlineStr">
        <is>
          <t>OPERATING</t>
        </is>
      </c>
    </row>
    <row r="18668">
      <c r="A18668" s="8" t="inlineStr">
        <is>
          <t>2026-08-04</t>
        </is>
      </c>
      <c r="B18668" s="8" t="n">
        <v>9</v>
      </c>
      <c r="C18668" s="8" t="n">
        <v>31</v>
      </c>
      <c r="D18668" s="8" t="inlineStr">
        <is>
          <t>Disneyland Park</t>
        </is>
      </c>
      <c r="E18668" s="8" t="inlineStr">
        <is>
          <t>Le Passage Enchanté d'Aladdin</t>
        </is>
      </c>
      <c r="F18668" s="8" t="inlineStr">
        <is>
          <t>STANDBY</t>
        </is>
      </c>
      <c r="G18668" s="8" t="n">
        <v>0</v>
      </c>
      <c r="H18668" s="8" t="inlineStr">
        <is>
          <t>CLOSED</t>
        </is>
      </c>
    </row>
    <row r="18669">
      <c r="A18669" s="8" t="inlineStr">
        <is>
          <t>2026-08-04</t>
        </is>
      </c>
      <c r="B18669" s="8" t="n">
        <v>9</v>
      </c>
      <c r="C18669" s="8" t="n">
        <v>31</v>
      </c>
      <c r="D18669" s="8" t="inlineStr">
        <is>
          <t>Disneyland Park</t>
        </is>
      </c>
      <c r="E18669" s="8" t="inlineStr">
        <is>
          <t>Pirate Galleon</t>
        </is>
      </c>
      <c r="F18669" s="8" t="inlineStr">
        <is>
          <t>STANDBY</t>
        </is>
      </c>
      <c r="G18669" s="8" t="n">
        <v>0</v>
      </c>
      <c r="H18669" s="8" t="inlineStr">
        <is>
          <t>CLOSED</t>
        </is>
      </c>
    </row>
    <row r="18670">
      <c r="A18670" s="8" t="inlineStr">
        <is>
          <t>2026-08-04</t>
        </is>
      </c>
      <c r="B18670" s="8" t="n">
        <v>9</v>
      </c>
      <c r="C18670" s="8" t="n">
        <v>31</v>
      </c>
      <c r="D18670" s="8" t="inlineStr">
        <is>
          <t>Disneyland Park</t>
        </is>
      </c>
      <c r="E18670" s="8" t="inlineStr">
        <is>
          <t>Pirates of the Caribbean</t>
        </is>
      </c>
      <c r="F18670" s="8" t="inlineStr">
        <is>
          <t>STANDBY</t>
        </is>
      </c>
      <c r="G18670" s="8" t="n">
        <v>5</v>
      </c>
      <c r="H18670" s="8" t="inlineStr">
        <is>
          <t>OPERATING</t>
        </is>
      </c>
    </row>
    <row r="18671">
      <c r="A18671" s="8" t="inlineStr">
        <is>
          <t>2026-08-04</t>
        </is>
      </c>
      <c r="B18671" s="8" t="n">
        <v>9</v>
      </c>
      <c r="C18671" s="8" t="n">
        <v>31</v>
      </c>
      <c r="D18671" s="8" t="inlineStr">
        <is>
          <t>Disneyland Park</t>
        </is>
      </c>
      <c r="E18671" s="8" t="inlineStr">
        <is>
          <t>Pirates' Beach</t>
        </is>
      </c>
      <c r="F18671" s="8" t="inlineStr">
        <is>
          <t>STANDBY</t>
        </is>
      </c>
      <c r="G18671" s="8" t="n">
        <v>0</v>
      </c>
      <c r="H18671" s="8" t="inlineStr">
        <is>
          <t>OPERATING</t>
        </is>
      </c>
    </row>
    <row r="18672">
      <c r="A18672" s="8" t="inlineStr">
        <is>
          <t>2026-08-04</t>
        </is>
      </c>
      <c r="B18672" s="8" t="n">
        <v>9</v>
      </c>
      <c r="C18672" s="8" t="n">
        <v>31</v>
      </c>
      <c r="D18672" s="8" t="inlineStr">
        <is>
          <t>Disneyland Park</t>
        </is>
      </c>
      <c r="E18672" s="8" t="inlineStr">
        <is>
          <t>Autopia, presented by Avis</t>
        </is>
      </c>
      <c r="F18672" s="8" t="inlineStr">
        <is>
          <t>STANDBY</t>
        </is>
      </c>
      <c r="G18672" s="8" t="n">
        <v>10</v>
      </c>
      <c r="H18672" s="8" t="inlineStr">
        <is>
          <t>OPERATING</t>
        </is>
      </c>
    </row>
    <row r="18673">
      <c r="A18673" s="8" t="inlineStr">
        <is>
          <t>2026-08-04</t>
        </is>
      </c>
      <c r="B18673" s="8" t="n">
        <v>9</v>
      </c>
      <c r="C18673" s="8" t="n">
        <v>31</v>
      </c>
      <c r="D18673" s="8" t="inlineStr">
        <is>
          <t>Disneyland Park</t>
        </is>
      </c>
      <c r="E18673" s="8" t="inlineStr">
        <is>
          <t>Buzz Lightyear Laser Blast</t>
        </is>
      </c>
      <c r="F18673" s="8" t="inlineStr">
        <is>
          <t>STANDBY</t>
        </is>
      </c>
      <c r="G18673" s="8" t="n">
        <v>25</v>
      </c>
      <c r="H18673" s="8" t="inlineStr">
        <is>
          <t>OPERATING</t>
        </is>
      </c>
    </row>
    <row r="18674">
      <c r="A18674" s="8" t="inlineStr">
        <is>
          <t>2026-08-04</t>
        </is>
      </c>
      <c r="B18674" s="8" t="n">
        <v>9</v>
      </c>
      <c r="C18674" s="8" t="n">
        <v>31</v>
      </c>
      <c r="D18674" s="8" t="inlineStr">
        <is>
          <t>Disneyland Park</t>
        </is>
      </c>
      <c r="E18674" s="8" t="inlineStr">
        <is>
          <t>Disneyland Railroad Discoveryland Station</t>
        </is>
      </c>
      <c r="F18674" s="8" t="inlineStr">
        <is>
          <t>STANDBY</t>
        </is>
      </c>
      <c r="G18674" s="8" t="n">
        <v>0</v>
      </c>
      <c r="H18674" s="8" t="inlineStr">
        <is>
          <t>CLOSED</t>
        </is>
      </c>
    </row>
    <row r="18675">
      <c r="A18675" s="8" t="inlineStr">
        <is>
          <t>2026-08-04</t>
        </is>
      </c>
      <c r="B18675" s="8" t="n">
        <v>9</v>
      </c>
      <c r="C18675" s="8" t="n">
        <v>31</v>
      </c>
      <c r="D18675" s="8" t="inlineStr">
        <is>
          <t>Disneyland Park</t>
        </is>
      </c>
      <c r="E18675" s="8" t="inlineStr">
        <is>
          <t>Les Mystères du Nautilus</t>
        </is>
      </c>
      <c r="F18675" s="8" t="inlineStr">
        <is>
          <t>STANDBY</t>
        </is>
      </c>
      <c r="G18675" s="8" t="n">
        <v>5</v>
      </c>
      <c r="H18675" s="8" t="inlineStr">
        <is>
          <t>OPERATING</t>
        </is>
      </c>
    </row>
    <row r="18676">
      <c r="A18676" s="8" t="inlineStr">
        <is>
          <t>2026-08-04</t>
        </is>
      </c>
      <c r="B18676" s="8" t="n">
        <v>9</v>
      </c>
      <c r="C18676" s="8" t="n">
        <v>31</v>
      </c>
      <c r="D18676" s="8" t="inlineStr">
        <is>
          <t>Disneyland Park</t>
        </is>
      </c>
      <c r="E18676" s="8" t="inlineStr">
        <is>
          <t>Mickey’s PhilharMagic</t>
        </is>
      </c>
      <c r="F18676" s="8" t="inlineStr">
        <is>
          <t>STANDBY</t>
        </is>
      </c>
      <c r="G18676" s="8" t="n">
        <v>0</v>
      </c>
      <c r="H18676" s="8" t="inlineStr">
        <is>
          <t>CLOSED</t>
        </is>
      </c>
    </row>
    <row r="18677">
      <c r="A18677" s="8" t="inlineStr">
        <is>
          <t>2026-08-04</t>
        </is>
      </c>
      <c r="B18677" s="8" t="n">
        <v>9</v>
      </c>
      <c r="C18677" s="8" t="n">
        <v>31</v>
      </c>
      <c r="D18677" s="8" t="inlineStr">
        <is>
          <t>Disneyland Park</t>
        </is>
      </c>
      <c r="E18677" s="8" t="inlineStr">
        <is>
          <t>Orbitron®</t>
        </is>
      </c>
      <c r="F18677" s="8" t="inlineStr">
        <is>
          <t>STANDBY</t>
        </is>
      </c>
      <c r="G18677" s="8" t="n">
        <v>5</v>
      </c>
      <c r="H18677" s="8" t="inlineStr">
        <is>
          <t>OPERATING</t>
        </is>
      </c>
    </row>
    <row r="18678">
      <c r="A18678" s="8" t="inlineStr">
        <is>
          <t>2026-08-04</t>
        </is>
      </c>
      <c r="B18678" s="8" t="n">
        <v>9</v>
      </c>
      <c r="C18678" s="8" t="n">
        <v>31</v>
      </c>
      <c r="D18678" s="8" t="inlineStr">
        <is>
          <t>Disneyland Park</t>
        </is>
      </c>
      <c r="E18678" s="8" t="inlineStr">
        <is>
          <t>Star Tours: The Adventures Continue*</t>
        </is>
      </c>
      <c r="F18678" s="8" t="inlineStr">
        <is>
          <t>STANDBY</t>
        </is>
      </c>
      <c r="G18678" s="8" t="n">
        <v>5</v>
      </c>
      <c r="H18678" s="8" t="inlineStr">
        <is>
          <t>OPERATING</t>
        </is>
      </c>
    </row>
    <row r="18679">
      <c r="A18679" s="8" t="inlineStr">
        <is>
          <t>2026-08-04</t>
        </is>
      </c>
      <c r="B18679" s="8" t="n">
        <v>9</v>
      </c>
      <c r="C18679" s="8" t="n">
        <v>31</v>
      </c>
      <c r="D18679" s="8" t="inlineStr">
        <is>
          <t>Disneyland Park</t>
        </is>
      </c>
      <c r="E18679" s="8" t="inlineStr">
        <is>
          <t>Star Wars Hyperspace Mountain</t>
        </is>
      </c>
      <c r="F18679" s="8" t="inlineStr">
        <is>
          <t>STANDBY</t>
        </is>
      </c>
      <c r="G18679" s="8" t="n">
        <v>20</v>
      </c>
      <c r="H18679" s="8" t="inlineStr">
        <is>
          <t>OPERATING</t>
        </is>
      </c>
    </row>
    <row r="18680">
      <c r="A18680" s="8" t="inlineStr">
        <is>
          <t>2026-08-04</t>
        </is>
      </c>
      <c r="B18680" s="8" t="n">
        <v>9</v>
      </c>
      <c r="C18680" s="8" t="n">
        <v>31</v>
      </c>
      <c r="D18680" s="8" t="inlineStr">
        <is>
          <t>Disneyland Park</t>
        </is>
      </c>
      <c r="E18680" s="8" t="inlineStr">
        <is>
          <t>Star Wars Hyperspace Mountain Single Rider</t>
        </is>
      </c>
      <c r="F18680" s="8" t="inlineStr">
        <is>
          <t>STANDBY</t>
        </is>
      </c>
      <c r="G18680" s="8" t="n">
        <v>0</v>
      </c>
      <c r="H18680" s="8" t="inlineStr">
        <is>
          <t>OPERATING</t>
        </is>
      </c>
    </row>
    <row r="18681">
      <c r="A18681" s="8" t="inlineStr">
        <is>
          <t>2026-08-04</t>
        </is>
      </c>
      <c r="B18681" s="8" t="n">
        <v>9</v>
      </c>
      <c r="C18681" s="8" t="n">
        <v>31</v>
      </c>
      <c r="D18681" s="8" t="inlineStr">
        <is>
          <t>Disneyland Park</t>
        </is>
      </c>
      <c r="E18681" s="8" t="inlineStr">
        <is>
          <t>Welcome to Starport: A Star Wars Encounter</t>
        </is>
      </c>
      <c r="F18681" s="8" t="inlineStr">
        <is>
          <t>STANDBY</t>
        </is>
      </c>
      <c r="G18681" s="8" t="n">
        <v>0</v>
      </c>
      <c r="H18681" s="8" t="inlineStr">
        <is>
          <t>CLOSED</t>
        </is>
      </c>
    </row>
    <row r="18682">
      <c r="A18682" s="8" t="inlineStr">
        <is>
          <t>2026-08-04</t>
        </is>
      </c>
      <c r="B18682" s="8" t="n">
        <v>9</v>
      </c>
      <c r="C18682" s="8" t="n">
        <v>31</v>
      </c>
      <c r="D18682" s="8" t="inlineStr">
        <is>
          <t>Disneyland Park</t>
        </is>
      </c>
      <c r="E18682" s="8" t="inlineStr">
        <is>
          <t>"it's a small world"</t>
        </is>
      </c>
      <c r="F18682" s="8" t="inlineStr">
        <is>
          <t>STANDBY</t>
        </is>
      </c>
      <c r="G18682" s="8" t="n">
        <v>0</v>
      </c>
      <c r="H18682" s="8" t="inlineStr">
        <is>
          <t>CLOSED</t>
        </is>
      </c>
    </row>
    <row r="18683">
      <c r="A18683" s="8" t="inlineStr">
        <is>
          <t>2026-08-04</t>
        </is>
      </c>
      <c r="B18683" s="8" t="n">
        <v>9</v>
      </c>
      <c r="C18683" s="8" t="n">
        <v>31</v>
      </c>
      <c r="D18683" s="8" t="inlineStr">
        <is>
          <t>Disneyland Park</t>
        </is>
      </c>
      <c r="E18683" s="8" t="inlineStr">
        <is>
          <t>Alice's Curious Labyrinth</t>
        </is>
      </c>
      <c r="F18683" s="8" t="inlineStr">
        <is>
          <t>STANDBY</t>
        </is>
      </c>
      <c r="G18683" s="8" t="n">
        <v>0</v>
      </c>
      <c r="H18683" s="8" t="inlineStr">
        <is>
          <t>CLOSED</t>
        </is>
      </c>
    </row>
    <row r="18684">
      <c r="A18684" s="8" t="inlineStr">
        <is>
          <t>2026-08-04</t>
        </is>
      </c>
      <c r="B18684" s="8" t="n">
        <v>9</v>
      </c>
      <c r="C18684" s="8" t="n">
        <v>31</v>
      </c>
      <c r="D18684" s="8" t="inlineStr">
        <is>
          <t>Disneyland Park</t>
        </is>
      </c>
      <c r="E18684" s="8" t="inlineStr">
        <is>
          <t>Blanche-Neige et les Sept Nains®</t>
        </is>
      </c>
      <c r="F18684" s="8" t="inlineStr">
        <is>
          <t>STANDBY</t>
        </is>
      </c>
      <c r="G18684" s="8" t="n">
        <v>5</v>
      </c>
      <c r="H18684" s="8" t="inlineStr">
        <is>
          <t>OPERATING</t>
        </is>
      </c>
    </row>
    <row r="18685">
      <c r="A18685" s="8" t="inlineStr">
        <is>
          <t>2026-08-04</t>
        </is>
      </c>
      <c r="B18685" s="8" t="n">
        <v>9</v>
      </c>
      <c r="C18685" s="8" t="n">
        <v>31</v>
      </c>
      <c r="D18685" s="8" t="inlineStr">
        <is>
          <t>Disneyland Park</t>
        </is>
      </c>
      <c r="E18685" s="8" t="inlineStr">
        <is>
          <t>Casey Jr. – le Petit Train du Cirque</t>
        </is>
      </c>
      <c r="F18685" s="8" t="inlineStr">
        <is>
          <t>STANDBY</t>
        </is>
      </c>
      <c r="G18685" s="8" t="n">
        <v>5</v>
      </c>
      <c r="H18685" s="8" t="inlineStr">
        <is>
          <t>OPERATING</t>
        </is>
      </c>
    </row>
    <row r="18686">
      <c r="A18686" s="8" t="inlineStr">
        <is>
          <t>2026-08-04</t>
        </is>
      </c>
      <c r="B18686" s="8" t="n">
        <v>9</v>
      </c>
      <c r="C18686" s="8" t="n">
        <v>31</v>
      </c>
      <c r="D18686" s="8" t="inlineStr">
        <is>
          <t>Disneyland Park</t>
        </is>
      </c>
      <c r="E18686" s="8" t="inlineStr">
        <is>
          <t>Disneyland Railroad Fantasyland Station</t>
        </is>
      </c>
      <c r="F18686" s="8" t="inlineStr">
        <is>
          <t>STANDBY</t>
        </is>
      </c>
      <c r="G18686" s="8" t="n">
        <v>0</v>
      </c>
      <c r="H18686" s="8" t="inlineStr">
        <is>
          <t>CLOSED</t>
        </is>
      </c>
    </row>
    <row r="18687">
      <c r="A18687" s="8" t="inlineStr">
        <is>
          <t>2026-08-04</t>
        </is>
      </c>
      <c r="B18687" s="8" t="n">
        <v>9</v>
      </c>
      <c r="C18687" s="8" t="n">
        <v>31</v>
      </c>
      <c r="D18687" s="8" t="inlineStr">
        <is>
          <t>Disneyland Park</t>
        </is>
      </c>
      <c r="E18687" s="8" t="inlineStr">
        <is>
          <t>Disneyland Railroad Main Street Station</t>
        </is>
      </c>
      <c r="F18687" s="8" t="inlineStr">
        <is>
          <t>STANDBY</t>
        </is>
      </c>
      <c r="G18687" s="8" t="n">
        <v>0</v>
      </c>
      <c r="H18687" s="8" t="inlineStr">
        <is>
          <t>CLOSED</t>
        </is>
      </c>
    </row>
    <row r="18688">
      <c r="A18688" s="8" t="inlineStr">
        <is>
          <t>2026-08-04</t>
        </is>
      </c>
      <c r="B18688" s="8" t="n">
        <v>9</v>
      </c>
      <c r="C18688" s="8" t="n">
        <v>31</v>
      </c>
      <c r="D18688" s="8" t="inlineStr">
        <is>
          <t>Disneyland Park</t>
        </is>
      </c>
      <c r="E18688" s="8" t="inlineStr">
        <is>
          <t>Dumbo the Flying Elephant</t>
        </is>
      </c>
      <c r="F18688" s="8" t="inlineStr">
        <is>
          <t>STANDBY</t>
        </is>
      </c>
      <c r="G18688" s="8" t="n">
        <v>20</v>
      </c>
      <c r="H18688" s="8" t="inlineStr">
        <is>
          <t>OPERATING</t>
        </is>
      </c>
    </row>
    <row r="18689">
      <c r="A18689" s="8" t="inlineStr">
        <is>
          <t>2026-08-04</t>
        </is>
      </c>
      <c r="B18689" s="8" t="n">
        <v>9</v>
      </c>
      <c r="C18689" s="8" t="n">
        <v>31</v>
      </c>
      <c r="D18689" s="8" t="inlineStr">
        <is>
          <t>Disneyland Park</t>
        </is>
      </c>
      <c r="E18689" s="8" t="inlineStr">
        <is>
          <t>La Tanière du Dragon</t>
        </is>
      </c>
      <c r="F18689" s="8" t="inlineStr">
        <is>
          <t>STANDBY</t>
        </is>
      </c>
      <c r="G18689" s="8" t="n">
        <v>0</v>
      </c>
      <c r="H18689" s="8" t="inlineStr">
        <is>
          <t>OPERATING</t>
        </is>
      </c>
    </row>
    <row r="18690">
      <c r="A18690" s="8" t="inlineStr">
        <is>
          <t>2026-08-04</t>
        </is>
      </c>
      <c r="B18690" s="8" t="n">
        <v>9</v>
      </c>
      <c r="C18690" s="8" t="n">
        <v>31</v>
      </c>
      <c r="D18690" s="8" t="inlineStr">
        <is>
          <t>Disneyland Park</t>
        </is>
      </c>
      <c r="E18690" s="8" t="inlineStr">
        <is>
          <t>Le Carrousel de Lancelot</t>
        </is>
      </c>
      <c r="F18690" s="8" t="inlineStr">
        <is>
          <t>STANDBY</t>
        </is>
      </c>
      <c r="G18690" s="8" t="n">
        <v>5</v>
      </c>
      <c r="H18690" s="8" t="inlineStr">
        <is>
          <t>OPERATING</t>
        </is>
      </c>
    </row>
    <row r="18691">
      <c r="A18691" s="8" t="inlineStr">
        <is>
          <t>2026-08-04</t>
        </is>
      </c>
      <c r="B18691" s="8" t="n">
        <v>9</v>
      </c>
      <c r="C18691" s="8" t="n">
        <v>31</v>
      </c>
      <c r="D18691" s="8" t="inlineStr">
        <is>
          <t>Disneyland Park</t>
        </is>
      </c>
      <c r="E18691" s="8" t="inlineStr">
        <is>
          <t>Le Pays des Contes de Fées, presented by Vittel</t>
        </is>
      </c>
      <c r="F18691" s="8" t="inlineStr">
        <is>
          <t>STANDBY</t>
        </is>
      </c>
      <c r="G18691" s="8" t="n">
        <v>5</v>
      </c>
      <c r="H18691" s="8" t="inlineStr">
        <is>
          <t>OPERATING</t>
        </is>
      </c>
    </row>
    <row r="18692">
      <c r="A18692" s="8" t="inlineStr">
        <is>
          <t>2026-08-04</t>
        </is>
      </c>
      <c r="B18692" s="8" t="n">
        <v>9</v>
      </c>
      <c r="C18692" s="8" t="n">
        <v>31</v>
      </c>
      <c r="D18692" s="8" t="inlineStr">
        <is>
          <t>Disneyland Park</t>
        </is>
      </c>
      <c r="E18692" s="8" t="inlineStr">
        <is>
          <t>Les Voyages de Pinocchio</t>
        </is>
      </c>
      <c r="F18692" s="8" t="inlineStr">
        <is>
          <t>STANDBY</t>
        </is>
      </c>
      <c r="G18692" s="8" t="n">
        <v>0</v>
      </c>
      <c r="H18692" s="8" t="inlineStr">
        <is>
          <t>CLOSED</t>
        </is>
      </c>
    </row>
    <row r="18693">
      <c r="A18693" s="8" t="inlineStr">
        <is>
          <t>2026-08-04</t>
        </is>
      </c>
      <c r="B18693" s="8" t="n">
        <v>9</v>
      </c>
      <c r="C18693" s="8" t="n">
        <v>31</v>
      </c>
      <c r="D18693" s="8" t="inlineStr">
        <is>
          <t>Disneyland Park</t>
        </is>
      </c>
      <c r="E18693" s="8" t="inlineStr">
        <is>
          <t>Mad Hatter's Tea Cups</t>
        </is>
      </c>
      <c r="F18693" s="8" t="inlineStr">
        <is>
          <t>STANDBY</t>
        </is>
      </c>
      <c r="G18693" s="8" t="n">
        <v>5</v>
      </c>
      <c r="H18693" s="8" t="inlineStr">
        <is>
          <t>OPERATING</t>
        </is>
      </c>
    </row>
    <row r="18694">
      <c r="A18694" s="8" t="inlineStr">
        <is>
          <t>2026-08-04</t>
        </is>
      </c>
      <c r="B18694" s="8" t="n">
        <v>9</v>
      </c>
      <c r="C18694" s="8" t="n">
        <v>31</v>
      </c>
      <c r="D18694" s="8" t="inlineStr">
        <is>
          <t>Disneyland Park</t>
        </is>
      </c>
      <c r="E18694" s="8" t="inlineStr">
        <is>
          <t>Meet Mickey Mouse</t>
        </is>
      </c>
      <c r="F18694" s="8" t="inlineStr">
        <is>
          <t>STANDBY</t>
        </is>
      </c>
      <c r="G18694" s="8" t="n">
        <v>0</v>
      </c>
      <c r="H18694" s="8" t="inlineStr">
        <is>
          <t>CLOSED</t>
        </is>
      </c>
    </row>
    <row r="18695">
      <c r="A18695" s="8" t="inlineStr">
        <is>
          <t>2026-08-04</t>
        </is>
      </c>
      <c r="B18695" s="8" t="n">
        <v>9</v>
      </c>
      <c r="C18695" s="8" t="n">
        <v>31</v>
      </c>
      <c r="D18695" s="8" t="inlineStr">
        <is>
          <t>Disneyland Park</t>
        </is>
      </c>
      <c r="E18695" s="8" t="inlineStr">
        <is>
          <t>Peter Pan's Flight</t>
        </is>
      </c>
      <c r="F18695" s="8" t="inlineStr">
        <is>
          <t>STANDBY</t>
        </is>
      </c>
      <c r="G18695" s="8" t="n">
        <v>50</v>
      </c>
      <c r="H18695" s="8" t="inlineStr">
        <is>
          <t>OPERATING</t>
        </is>
      </c>
    </row>
    <row r="18696">
      <c r="A18696" s="8" t="inlineStr">
        <is>
          <t>2026-08-04</t>
        </is>
      </c>
      <c r="B18696" s="8" t="n">
        <v>9</v>
      </c>
      <c r="C18696" s="8" t="n">
        <v>31</v>
      </c>
      <c r="D18696" s="8" t="inlineStr">
        <is>
          <t>Disneyland Park</t>
        </is>
      </c>
      <c r="E18696" s="8" t="inlineStr">
        <is>
          <t>Princess Pavilion</t>
        </is>
      </c>
      <c r="F18696" s="8" t="inlineStr">
        <is>
          <t>STANDBY</t>
        </is>
      </c>
      <c r="G18696" s="8" t="n">
        <v>0</v>
      </c>
      <c r="H18696" s="8" t="inlineStr">
        <is>
          <t>CLOSED</t>
        </is>
      </c>
    </row>
    <row r="18697">
      <c r="A18697" s="8" t="inlineStr">
        <is>
          <t>2026-08-04</t>
        </is>
      </c>
      <c r="B18697" s="8" t="n">
        <v>9</v>
      </c>
      <c r="C18697" s="8" t="n">
        <v>31</v>
      </c>
      <c r="D18697" s="8" t="inlineStr">
        <is>
          <t>Disneyland Park</t>
        </is>
      </c>
      <c r="E18697" s="8" t="inlineStr">
        <is>
          <t>Big Thunder Mountain</t>
        </is>
      </c>
      <c r="F18697" s="8" t="inlineStr">
        <is>
          <t>STANDBY</t>
        </is>
      </c>
      <c r="G18697" s="8" t="n">
        <v>50</v>
      </c>
      <c r="H18697" s="8" t="inlineStr">
        <is>
          <t>OPERATING</t>
        </is>
      </c>
    </row>
    <row r="18698">
      <c r="A18698" s="8" t="inlineStr">
        <is>
          <t>2026-08-04</t>
        </is>
      </c>
      <c r="B18698" s="8" t="n">
        <v>9</v>
      </c>
      <c r="C18698" s="8" t="n">
        <v>31</v>
      </c>
      <c r="D18698" s="8" t="inlineStr">
        <is>
          <t>Disneyland Park</t>
        </is>
      </c>
      <c r="E18698" s="8" t="inlineStr">
        <is>
          <t>Disneyland Railroad Frontierland Depot</t>
        </is>
      </c>
      <c r="F18698" s="8" t="inlineStr">
        <is>
          <t>STANDBY</t>
        </is>
      </c>
      <c r="G18698" s="8" t="n">
        <v>0</v>
      </c>
      <c r="H18698" s="8" t="inlineStr">
        <is>
          <t>CLOSED</t>
        </is>
      </c>
    </row>
    <row r="18699">
      <c r="A18699" s="8" t="inlineStr">
        <is>
          <t>2026-08-04</t>
        </is>
      </c>
      <c r="B18699" s="8" t="n">
        <v>9</v>
      </c>
      <c r="C18699" s="8" t="n">
        <v>31</v>
      </c>
      <c r="D18699" s="8" t="inlineStr">
        <is>
          <t>Disneyland Park</t>
        </is>
      </c>
      <c r="E18699" s="8" t="inlineStr">
        <is>
          <t>Frontierland Playground</t>
        </is>
      </c>
      <c r="F18699" s="8" t="inlineStr">
        <is>
          <t>STANDBY</t>
        </is>
      </c>
      <c r="G18699" s="8" t="n">
        <v>0</v>
      </c>
      <c r="H18699" s="8" t="inlineStr">
        <is>
          <t>CLOSED</t>
        </is>
      </c>
    </row>
    <row r="18700">
      <c r="A18700" s="8" t="inlineStr">
        <is>
          <t>2026-08-04</t>
        </is>
      </c>
      <c r="B18700" s="8" t="n">
        <v>9</v>
      </c>
      <c r="C18700" s="8" t="n">
        <v>31</v>
      </c>
      <c r="D18700" s="8" t="inlineStr">
        <is>
          <t>Disneyland Park</t>
        </is>
      </c>
      <c r="E18700" s="8" t="inlineStr">
        <is>
          <t>Phantom Manor</t>
        </is>
      </c>
      <c r="F18700" s="8" t="inlineStr">
        <is>
          <t>STANDBY</t>
        </is>
      </c>
      <c r="G18700" s="8" t="n">
        <v>0</v>
      </c>
      <c r="H18700" s="8" t="inlineStr">
        <is>
          <t>OPERATING</t>
        </is>
      </c>
    </row>
    <row r="18701">
      <c r="A18701" s="8" t="inlineStr">
        <is>
          <t>2026-08-04</t>
        </is>
      </c>
      <c r="B18701" s="8" t="n">
        <v>9</v>
      </c>
      <c r="C18701" s="8" t="n">
        <v>31</v>
      </c>
      <c r="D18701" s="8" t="inlineStr">
        <is>
          <t>Disneyland Park</t>
        </is>
      </c>
      <c r="E18701" s="8" t="inlineStr">
        <is>
          <t>River Rogue Keelboats</t>
        </is>
      </c>
      <c r="F18701" s="8" t="inlineStr">
        <is>
          <t>STANDBY</t>
        </is>
      </c>
      <c r="G18701" s="8" t="n">
        <v>0</v>
      </c>
      <c r="H18701" s="8" t="inlineStr">
        <is>
          <t>CLOSED</t>
        </is>
      </c>
    </row>
    <row r="18702">
      <c r="A18702" s="8" t="inlineStr">
        <is>
          <t>2026-08-04</t>
        </is>
      </c>
      <c r="B18702" s="8" t="n">
        <v>9</v>
      </c>
      <c r="C18702" s="8" t="n">
        <v>31</v>
      </c>
      <c r="D18702" s="8" t="inlineStr">
        <is>
          <t>Disneyland Park</t>
        </is>
      </c>
      <c r="E18702" s="8" t="inlineStr">
        <is>
          <t>Rustler Roundup Shootin' Gallery</t>
        </is>
      </c>
      <c r="F18702" s="8" t="inlineStr">
        <is>
          <t>STANDBY</t>
        </is>
      </c>
      <c r="G18702" s="8" t="n">
        <v>0</v>
      </c>
      <c r="H18702" s="8" t="inlineStr">
        <is>
          <t>OPERATING</t>
        </is>
      </c>
    </row>
    <row r="18703">
      <c r="A18703" s="8" t="inlineStr">
        <is>
          <t>2026-08-04</t>
        </is>
      </c>
      <c r="B18703" s="8" t="n">
        <v>9</v>
      </c>
      <c r="C18703" s="8" t="n">
        <v>31</v>
      </c>
      <c r="D18703" s="8" t="inlineStr">
        <is>
          <t>Disneyland Park</t>
        </is>
      </c>
      <c r="E18703" s="8" t="inlineStr">
        <is>
          <t>Thunder Mesa Riverboat Landing</t>
        </is>
      </c>
      <c r="F18703" s="8" t="inlineStr">
        <is>
          <t>STANDBY</t>
        </is>
      </c>
      <c r="G18703" s="8" t="n">
        <v>0</v>
      </c>
      <c r="H18703" s="8" t="inlineStr">
        <is>
          <t>CLOSED</t>
        </is>
      </c>
    </row>
    <row r="18704">
      <c r="A18704" s="8" t="inlineStr">
        <is>
          <t>2026-08-04</t>
        </is>
      </c>
      <c r="B18704" s="8" t="n">
        <v>9</v>
      </c>
      <c r="C18704" s="8" t="n">
        <v>31</v>
      </c>
      <c r="D18704" s="8" t="inlineStr">
        <is>
          <t>Disneyland Park</t>
        </is>
      </c>
      <c r="E18704" s="8" t="inlineStr">
        <is>
          <t>Disneyland Railroad Main Street Station</t>
        </is>
      </c>
      <c r="F18704" s="8" t="inlineStr">
        <is>
          <t>STANDBY</t>
        </is>
      </c>
      <c r="G18704" s="8" t="n">
        <v>0</v>
      </c>
      <c r="H18704" s="8" t="inlineStr">
        <is>
          <t>CLOSED</t>
        </is>
      </c>
    </row>
    <row r="18705">
      <c r="A18705" s="8" t="inlineStr">
        <is>
          <t>2026-08-04</t>
        </is>
      </c>
      <c r="B18705" s="8" t="n">
        <v>9</v>
      </c>
      <c r="C18705" s="8" t="n">
        <v>31</v>
      </c>
      <c r="D18705" s="8" t="inlineStr">
        <is>
          <t>Disneyland Park</t>
        </is>
      </c>
      <c r="E18705" s="8" t="inlineStr">
        <is>
          <t>Main Street Vehicles</t>
        </is>
      </c>
      <c r="F18705" s="8" t="inlineStr">
        <is>
          <t>STANDBY</t>
        </is>
      </c>
      <c r="G18705" s="8" t="n">
        <v>5</v>
      </c>
      <c r="H18705" s="8" t="inlineStr">
        <is>
          <t>OPERATING</t>
        </is>
      </c>
    </row>
    <row r="18706">
      <c r="A18706" s="8" t="inlineStr">
        <is>
          <t>2026-08-04</t>
        </is>
      </c>
      <c r="B18706" s="8" t="n">
        <v>9</v>
      </c>
      <c r="C18706" s="8" t="n">
        <v>31</v>
      </c>
      <c r="D18706" s="8" t="inlineStr">
        <is>
          <t>Disney Adventure World</t>
        </is>
      </c>
      <c r="E18706" s="8" t="inlineStr">
        <is>
          <t>Avengers Assemble: Flight Force</t>
        </is>
      </c>
      <c r="F18706" s="8" t="inlineStr">
        <is>
          <t>STANDBY</t>
        </is>
      </c>
      <c r="G18706" s="8" t="n">
        <v>5</v>
      </c>
      <c r="H18706" s="8" t="inlineStr">
        <is>
          <t>OPERATING</t>
        </is>
      </c>
    </row>
    <row r="18707">
      <c r="A18707" s="8" t="inlineStr">
        <is>
          <t>2026-08-04</t>
        </is>
      </c>
      <c r="B18707" s="8" t="n">
        <v>9</v>
      </c>
      <c r="C18707" s="8" t="n">
        <v>31</v>
      </c>
      <c r="D18707" s="8" t="inlineStr">
        <is>
          <t>Disney Adventure World</t>
        </is>
      </c>
      <c r="E18707" s="8" t="inlineStr">
        <is>
          <t>Avengers Assemble: Flight Force Single Rider</t>
        </is>
      </c>
      <c r="F18707" s="8" t="inlineStr">
        <is>
          <t>STANDBY</t>
        </is>
      </c>
      <c r="G18707" s="8" t="n">
        <v>5</v>
      </c>
      <c r="H18707" s="8" t="inlineStr">
        <is>
          <t>OPERATING</t>
        </is>
      </c>
    </row>
    <row r="18708">
      <c r="A18708" s="8" t="inlineStr">
        <is>
          <t>2026-08-04</t>
        </is>
      </c>
      <c r="B18708" s="8" t="n">
        <v>9</v>
      </c>
      <c r="C18708" s="8" t="n">
        <v>31</v>
      </c>
      <c r="D18708" s="8" t="inlineStr">
        <is>
          <t>Disney Adventure World</t>
        </is>
      </c>
      <c r="E18708" s="8" t="inlineStr">
        <is>
          <t>Spider-Man W.E.B. Adventure</t>
        </is>
      </c>
      <c r="F18708" s="8" t="inlineStr">
        <is>
          <t>STANDBY</t>
        </is>
      </c>
      <c r="G18708" s="8" t="n">
        <v>20</v>
      </c>
      <c r="H18708" s="8" t="inlineStr">
        <is>
          <t>OPERATING</t>
        </is>
      </c>
    </row>
    <row r="18709">
      <c r="A18709" s="8" t="inlineStr">
        <is>
          <t>2026-08-04</t>
        </is>
      </c>
      <c r="B18709" s="8" t="n">
        <v>9</v>
      </c>
      <c r="C18709" s="8" t="n">
        <v>31</v>
      </c>
      <c r="D18709" s="8" t="inlineStr">
        <is>
          <t>Disney Adventure World</t>
        </is>
      </c>
      <c r="E18709" s="8" t="inlineStr">
        <is>
          <t>Spider-Man W.E.B. Adventure Single Rider</t>
        </is>
      </c>
      <c r="F18709" s="8" t="inlineStr">
        <is>
          <t>STANDBY</t>
        </is>
      </c>
      <c r="G18709" s="8" t="n">
        <v>5</v>
      </c>
      <c r="H18709" s="8" t="inlineStr">
        <is>
          <t>OPERATING</t>
        </is>
      </c>
    </row>
    <row r="18710">
      <c r="A18710" s="8" t="inlineStr">
        <is>
          <t>2026-08-04</t>
        </is>
      </c>
      <c r="B18710" s="8" t="n">
        <v>9</v>
      </c>
      <c r="C18710" s="8" t="n">
        <v>31</v>
      </c>
      <c r="D18710" s="8" t="inlineStr">
        <is>
          <t>Disney Adventure World</t>
        </is>
      </c>
      <c r="E18710" s="8" t="inlineStr">
        <is>
          <t>The Twilight Zone Tower of Terror</t>
        </is>
      </c>
      <c r="F18710" s="8" t="inlineStr">
        <is>
          <t>STANDBY</t>
        </is>
      </c>
      <c r="G18710" s="8" t="n">
        <v>5</v>
      </c>
      <c r="H18710" s="8" t="inlineStr">
        <is>
          <t>OPERATING</t>
        </is>
      </c>
    </row>
    <row r="18711">
      <c r="A18711" s="8" t="inlineStr">
        <is>
          <t>2026-08-04</t>
        </is>
      </c>
      <c r="B18711" s="8" t="n">
        <v>9</v>
      </c>
      <c r="C18711" s="8" t="n">
        <v>31</v>
      </c>
      <c r="D18711" s="8" t="inlineStr">
        <is>
          <t>Disney Adventure World</t>
        </is>
      </c>
      <c r="E18711" s="8" t="inlineStr">
        <is>
          <t>Cars Quatre Roues Rallye</t>
        </is>
      </c>
      <c r="F18711" s="8" t="inlineStr">
        <is>
          <t>STANDBY</t>
        </is>
      </c>
      <c r="G18711" s="8" t="n">
        <v>5</v>
      </c>
      <c r="H18711" s="8" t="inlineStr">
        <is>
          <t>OPERATING</t>
        </is>
      </c>
    </row>
    <row r="18712">
      <c r="A18712" s="8" t="inlineStr">
        <is>
          <t>2026-08-04</t>
        </is>
      </c>
      <c r="B18712" s="8" t="n">
        <v>9</v>
      </c>
      <c r="C18712" s="8" t="n">
        <v>31</v>
      </c>
      <c r="D18712" s="8" t="inlineStr">
        <is>
          <t>Disney Adventure World</t>
        </is>
      </c>
      <c r="E18712" s="8" t="inlineStr">
        <is>
          <t>Cars ROAD TRIP</t>
        </is>
      </c>
      <c r="F18712" s="8" t="inlineStr">
        <is>
          <t>STANDBY</t>
        </is>
      </c>
      <c r="G18712" s="8" t="n">
        <v>0</v>
      </c>
      <c r="H18712" s="8" t="inlineStr">
        <is>
          <t>CLOSED</t>
        </is>
      </c>
    </row>
    <row r="18713">
      <c r="A18713" s="8" t="inlineStr">
        <is>
          <t>2026-08-04</t>
        </is>
      </c>
      <c r="B18713" s="8" t="n">
        <v>9</v>
      </c>
      <c r="C18713" s="8" t="n">
        <v>31</v>
      </c>
      <c r="D18713" s="8" t="inlineStr">
        <is>
          <t>Disney Adventure World</t>
        </is>
      </c>
      <c r="E18713" s="8" t="inlineStr">
        <is>
          <t>Crush's Coaster</t>
        </is>
      </c>
      <c r="F18713" s="8" t="inlineStr">
        <is>
          <t>STANDBY</t>
        </is>
      </c>
      <c r="G18713" s="8" t="n">
        <v>70</v>
      </c>
      <c r="H18713" s="8" t="inlineStr">
        <is>
          <t>OPERATING</t>
        </is>
      </c>
    </row>
    <row r="18714">
      <c r="A18714" s="8" t="inlineStr">
        <is>
          <t>2026-08-04</t>
        </is>
      </c>
      <c r="B18714" s="8" t="n">
        <v>9</v>
      </c>
      <c r="C18714" s="8" t="n">
        <v>31</v>
      </c>
      <c r="D18714" s="8" t="inlineStr">
        <is>
          <t>Disney Adventure World</t>
        </is>
      </c>
      <c r="E18714" s="8" t="inlineStr">
        <is>
          <t>Crush's Coaster Single Rider</t>
        </is>
      </c>
      <c r="F18714" s="8" t="inlineStr">
        <is>
          <t>STANDBY</t>
        </is>
      </c>
      <c r="G18714" s="8" t="n">
        <v>40</v>
      </c>
      <c r="H18714" s="8" t="inlineStr">
        <is>
          <t>OPERATING</t>
        </is>
      </c>
    </row>
    <row r="18715">
      <c r="A18715" s="8" t="inlineStr">
        <is>
          <t>2026-08-04</t>
        </is>
      </c>
      <c r="B18715" s="8" t="n">
        <v>9</v>
      </c>
      <c r="C18715" s="8" t="n">
        <v>31</v>
      </c>
      <c r="D18715" s="8" t="inlineStr">
        <is>
          <t>Disney Adventure World</t>
        </is>
      </c>
      <c r="E18715" s="8" t="inlineStr">
        <is>
          <t>Les Tapis Volants - Flying Carpets Over Agrabah®</t>
        </is>
      </c>
      <c r="F18715" s="8" t="inlineStr">
        <is>
          <t>STANDBY</t>
        </is>
      </c>
      <c r="G18715" s="8" t="n">
        <v>5</v>
      </c>
      <c r="H18715" s="8" t="inlineStr">
        <is>
          <t>OPERATING</t>
        </is>
      </c>
    </row>
    <row r="18716">
      <c r="A18716" s="8" t="inlineStr">
        <is>
          <t>2026-08-04</t>
        </is>
      </c>
      <c r="B18716" s="8" t="n">
        <v>9</v>
      </c>
      <c r="C18716" s="8" t="n">
        <v>31</v>
      </c>
      <c r="D18716" s="8" t="inlineStr">
        <is>
          <t>Disney Adventure World</t>
        </is>
      </c>
      <c r="E18716" s="8" t="inlineStr">
        <is>
          <t>Ratatouille : L’Aventure Totalement Toquée de Rémy​</t>
        </is>
      </c>
      <c r="F18716" s="8" t="inlineStr">
        <is>
          <t>STANDBY</t>
        </is>
      </c>
      <c r="G18716" s="8" t="n">
        <v>55</v>
      </c>
      <c r="H18716" s="8" t="inlineStr">
        <is>
          <t>OPERATING</t>
        </is>
      </c>
    </row>
    <row r="18717">
      <c r="A18717" s="8" t="inlineStr">
        <is>
          <t>2026-08-04</t>
        </is>
      </c>
      <c r="B18717" s="8" t="n">
        <v>9</v>
      </c>
      <c r="C18717" s="8" t="n">
        <v>31</v>
      </c>
      <c r="D18717" s="8" t="inlineStr">
        <is>
          <t>Disney Adventure World</t>
        </is>
      </c>
      <c r="E18717" s="8" t="inlineStr">
        <is>
          <t>Ratatouille: The Adventure Single Rider</t>
        </is>
      </c>
      <c r="F18717" s="8" t="inlineStr">
        <is>
          <t>STANDBY</t>
        </is>
      </c>
      <c r="G18717" s="8" t="n">
        <v>5</v>
      </c>
      <c r="H18717" s="8" t="inlineStr">
        <is>
          <t>OPERATING</t>
        </is>
      </c>
    </row>
    <row r="18718">
      <c r="A18718" s="8" t="inlineStr">
        <is>
          <t>2026-08-04</t>
        </is>
      </c>
      <c r="B18718" s="8" t="n">
        <v>9</v>
      </c>
      <c r="C18718" s="8" t="n">
        <v>31</v>
      </c>
      <c r="D18718" s="8" t="inlineStr">
        <is>
          <t>Disney Adventure World</t>
        </is>
      </c>
      <c r="E18718" s="8" t="inlineStr">
        <is>
          <t>RC Racer</t>
        </is>
      </c>
      <c r="F18718" s="8" t="inlineStr">
        <is>
          <t>STANDBY</t>
        </is>
      </c>
      <c r="G18718" s="8" t="n">
        <v>5</v>
      </c>
      <c r="H18718" s="8" t="inlineStr">
        <is>
          <t>OPERATING</t>
        </is>
      </c>
    </row>
    <row r="18719">
      <c r="A18719" s="8" t="inlineStr">
        <is>
          <t>2026-08-04</t>
        </is>
      </c>
      <c r="B18719" s="8" t="n">
        <v>9</v>
      </c>
      <c r="C18719" s="8" t="n">
        <v>31</v>
      </c>
      <c r="D18719" s="8" t="inlineStr">
        <is>
          <t>Disney Adventure World</t>
        </is>
      </c>
      <c r="E18719" s="8" t="inlineStr">
        <is>
          <t>RC Racer Single Rider</t>
        </is>
      </c>
      <c r="F18719" s="8" t="inlineStr">
        <is>
          <t>STANDBY</t>
        </is>
      </c>
      <c r="G18719" s="8" t="n">
        <v>5</v>
      </c>
      <c r="H18719" s="8" t="inlineStr">
        <is>
          <t>OPERATING</t>
        </is>
      </c>
    </row>
    <row r="18720">
      <c r="A18720" s="8" t="inlineStr">
        <is>
          <t>2026-08-04</t>
        </is>
      </c>
      <c r="B18720" s="8" t="n">
        <v>9</v>
      </c>
      <c r="C18720" s="8" t="n">
        <v>31</v>
      </c>
      <c r="D18720" s="8" t="inlineStr">
        <is>
          <t>Disney Adventure World</t>
        </is>
      </c>
      <c r="E18720" s="8" t="inlineStr">
        <is>
          <t>Slinky® Dog Zigzag Spin</t>
        </is>
      </c>
      <c r="F18720" s="8" t="inlineStr">
        <is>
          <t>STANDBY</t>
        </is>
      </c>
      <c r="G18720" s="8" t="n">
        <v>5</v>
      </c>
      <c r="H18720" s="8" t="inlineStr">
        <is>
          <t>OPERATING</t>
        </is>
      </c>
    </row>
    <row r="18721">
      <c r="A18721" s="8" t="inlineStr">
        <is>
          <t>2026-08-04</t>
        </is>
      </c>
      <c r="B18721" s="8" t="n">
        <v>9</v>
      </c>
      <c r="C18721" s="8" t="n">
        <v>31</v>
      </c>
      <c r="D18721" s="8" t="inlineStr">
        <is>
          <t>Disney Adventure World</t>
        </is>
      </c>
      <c r="E18721" s="8" t="inlineStr">
        <is>
          <t>Toy Soldiers Parachute Drop</t>
        </is>
      </c>
      <c r="F18721" s="8" t="inlineStr">
        <is>
          <t>STANDBY</t>
        </is>
      </c>
      <c r="G18721" s="8" t="n">
        <v>20</v>
      </c>
      <c r="H18721" s="8" t="inlineStr">
        <is>
          <t>OPERATING</t>
        </is>
      </c>
    </row>
    <row r="18722">
      <c r="A18722" s="8" t="inlineStr">
        <is>
          <t>2026-08-04</t>
        </is>
      </c>
      <c r="B18722" s="8" t="n">
        <v>9</v>
      </c>
      <c r="C18722" s="8" t="n">
        <v>31</v>
      </c>
      <c r="D18722" s="8" t="inlineStr">
        <is>
          <t>Disney Adventure World</t>
        </is>
      </c>
      <c r="E18722" s="8" t="inlineStr">
        <is>
          <t>Toy Soldiers Parachute Drop Single Rider</t>
        </is>
      </c>
      <c r="F18722" s="8" t="inlineStr">
        <is>
          <t>STANDBY</t>
        </is>
      </c>
      <c r="G18722" s="8" t="n">
        <v>5</v>
      </c>
      <c r="H18722" s="8" t="inlineStr">
        <is>
          <t>OPERATING</t>
        </is>
      </c>
    </row>
    <row r="18723">
      <c r="A18723" s="8" t="inlineStr">
        <is>
          <t>2026-08-04</t>
        </is>
      </c>
      <c r="B18723" s="8" t="n">
        <v>9</v>
      </c>
      <c r="C18723" s="8" t="n">
        <v>31</v>
      </c>
      <c r="D18723" s="8" t="inlineStr">
        <is>
          <t>Disney Adventure World</t>
        </is>
      </c>
      <c r="E18723" s="8" t="inlineStr">
        <is>
          <t>Entry to World of Frozen</t>
        </is>
      </c>
      <c r="F18723" s="8" t="inlineStr">
        <is>
          <t>STANDBY</t>
        </is>
      </c>
      <c r="G18723" s="8" t="n">
        <v>0</v>
      </c>
      <c r="H18723" s="8" t="inlineStr">
        <is>
          <t>OPERATING</t>
        </is>
      </c>
    </row>
    <row r="18724">
      <c r="A18724" s="8" t="inlineStr">
        <is>
          <t>2026-08-04</t>
        </is>
      </c>
      <c r="B18724" s="8" t="n">
        <v>9</v>
      </c>
      <c r="C18724" s="8" t="n">
        <v>31</v>
      </c>
      <c r="D18724" s="8" t="inlineStr">
        <is>
          <t>Disney Adventure World</t>
        </is>
      </c>
      <c r="E18724" s="8" t="inlineStr">
        <is>
          <t>Frozen Ever After</t>
        </is>
      </c>
      <c r="F18724" s="8" t="inlineStr">
        <is>
          <t>STANDBY</t>
        </is>
      </c>
      <c r="G18724" s="8" t="n">
        <v>40</v>
      </c>
      <c r="H18724" s="8" t="inlineStr">
        <is>
          <t>OPERATING</t>
        </is>
      </c>
    </row>
    <row r="18725">
      <c r="A18725" s="8" t="inlineStr">
        <is>
          <t>2026-08-04</t>
        </is>
      </c>
      <c r="B18725" s="8" t="n">
        <v>9</v>
      </c>
      <c r="C18725" s="8" t="n">
        <v>31</v>
      </c>
      <c r="D18725" s="8" t="inlineStr">
        <is>
          <t>Disney Adventure World</t>
        </is>
      </c>
      <c r="E18725" s="8" t="inlineStr">
        <is>
          <t>Raiponce Tangled Spin</t>
        </is>
      </c>
      <c r="F18725" s="8" t="inlineStr">
        <is>
          <t>STANDBY</t>
        </is>
      </c>
      <c r="G18725" s="8" t="n">
        <v>5</v>
      </c>
      <c r="H18725" s="8" t="inlineStr">
        <is>
          <t>OPERATING</t>
        </is>
      </c>
    </row>
    <row r="18726">
      <c r="A18726" s="8" t="inlineStr">
        <is>
          <t>2026-08-04</t>
        </is>
      </c>
      <c r="B18726" s="8" t="n">
        <v>9</v>
      </c>
      <c r="C18726" s="8" t="n">
        <v>45</v>
      </c>
      <c r="D18726" s="8" t="inlineStr">
        <is>
          <t>Disneyland Park</t>
        </is>
      </c>
      <c r="E18726" s="8" t="inlineStr">
        <is>
          <t>Adventure Isle</t>
        </is>
      </c>
      <c r="F18726" s="8" t="inlineStr">
        <is>
          <t>STANDBY</t>
        </is>
      </c>
      <c r="G18726" s="8" t="n">
        <v>0</v>
      </c>
      <c r="H18726" s="8" t="inlineStr">
        <is>
          <t>OPERATING</t>
        </is>
      </c>
    </row>
    <row r="18727">
      <c r="A18727" s="8" t="inlineStr">
        <is>
          <t>2026-08-04</t>
        </is>
      </c>
      <c r="B18727" s="8" t="n">
        <v>9</v>
      </c>
      <c r="C18727" s="8" t="n">
        <v>45</v>
      </c>
      <c r="D18727" s="8" t="inlineStr">
        <is>
          <t>Disneyland Park</t>
        </is>
      </c>
      <c r="E18727" s="8" t="inlineStr">
        <is>
          <t>Indiana Jones and the Temple of Peril Single Rider</t>
        </is>
      </c>
      <c r="F18727" s="8" t="inlineStr">
        <is>
          <t>STANDBY</t>
        </is>
      </c>
      <c r="G18727" s="8" t="n">
        <v>5</v>
      </c>
      <c r="H18727" s="8" t="inlineStr">
        <is>
          <t>OPERATING</t>
        </is>
      </c>
    </row>
    <row r="18728">
      <c r="A18728" s="8" t="inlineStr">
        <is>
          <t>2026-08-04</t>
        </is>
      </c>
      <c r="B18728" s="8" t="n">
        <v>9</v>
      </c>
      <c r="C18728" s="8" t="n">
        <v>45</v>
      </c>
      <c r="D18728" s="8" t="inlineStr">
        <is>
          <t>Disneyland Park</t>
        </is>
      </c>
      <c r="E18728" s="8" t="inlineStr">
        <is>
          <t>Indiana Jones™ and the Temple of Peril</t>
        </is>
      </c>
      <c r="F18728" s="8" t="inlineStr">
        <is>
          <t>STANDBY</t>
        </is>
      </c>
      <c r="G18728" s="8" t="n">
        <v>5</v>
      </c>
      <c r="H18728" s="8" t="inlineStr">
        <is>
          <t>OPERATING</t>
        </is>
      </c>
    </row>
    <row r="18729">
      <c r="A18729" s="8" t="inlineStr">
        <is>
          <t>2026-08-04</t>
        </is>
      </c>
      <c r="B18729" s="8" t="n">
        <v>9</v>
      </c>
      <c r="C18729" s="8" t="n">
        <v>45</v>
      </c>
      <c r="D18729" s="8" t="inlineStr">
        <is>
          <t>Disneyland Park</t>
        </is>
      </c>
      <c r="E18729" s="8" t="inlineStr">
        <is>
          <t>La Cabane des Robinson</t>
        </is>
      </c>
      <c r="F18729" s="8" t="inlineStr">
        <is>
          <t>STANDBY</t>
        </is>
      </c>
      <c r="G18729" s="8" t="n">
        <v>5</v>
      </c>
      <c r="H18729" s="8" t="inlineStr">
        <is>
          <t>OPERATING</t>
        </is>
      </c>
    </row>
    <row r="18730">
      <c r="A18730" s="8" t="inlineStr">
        <is>
          <t>2026-08-04</t>
        </is>
      </c>
      <c r="B18730" s="8" t="n">
        <v>9</v>
      </c>
      <c r="C18730" s="8" t="n">
        <v>45</v>
      </c>
      <c r="D18730" s="8" t="inlineStr">
        <is>
          <t>Disneyland Park</t>
        </is>
      </c>
      <c r="E18730" s="8" t="inlineStr">
        <is>
          <t>Le Passage Enchanté d'Aladdin</t>
        </is>
      </c>
      <c r="F18730" s="8" t="inlineStr">
        <is>
          <t>STANDBY</t>
        </is>
      </c>
      <c r="G18730" s="8" t="n">
        <v>0</v>
      </c>
      <c r="H18730" s="8" t="inlineStr">
        <is>
          <t>OPERATING</t>
        </is>
      </c>
    </row>
    <row r="18731">
      <c r="A18731" s="8" t="inlineStr">
        <is>
          <t>2026-08-04</t>
        </is>
      </c>
      <c r="B18731" s="8" t="n">
        <v>9</v>
      </c>
      <c r="C18731" s="8" t="n">
        <v>45</v>
      </c>
      <c r="D18731" s="8" t="inlineStr">
        <is>
          <t>Disneyland Park</t>
        </is>
      </c>
      <c r="E18731" s="8" t="inlineStr">
        <is>
          <t>Pirate Galleon</t>
        </is>
      </c>
      <c r="F18731" s="8" t="inlineStr">
        <is>
          <t>STANDBY</t>
        </is>
      </c>
      <c r="G18731" s="8" t="n">
        <v>0</v>
      </c>
      <c r="H18731" s="8" t="inlineStr">
        <is>
          <t>CLOSED</t>
        </is>
      </c>
    </row>
    <row r="18732">
      <c r="A18732" s="8" t="inlineStr">
        <is>
          <t>2026-08-04</t>
        </is>
      </c>
      <c r="B18732" s="8" t="n">
        <v>9</v>
      </c>
      <c r="C18732" s="8" t="n">
        <v>45</v>
      </c>
      <c r="D18732" s="8" t="inlineStr">
        <is>
          <t>Disneyland Park</t>
        </is>
      </c>
      <c r="E18732" s="8" t="inlineStr">
        <is>
          <t>Pirates of the Caribbean</t>
        </is>
      </c>
      <c r="F18732" s="8" t="inlineStr">
        <is>
          <t>STANDBY</t>
        </is>
      </c>
      <c r="G18732" s="8" t="n">
        <v>5</v>
      </c>
      <c r="H18732" s="8" t="inlineStr">
        <is>
          <t>OPERATING</t>
        </is>
      </c>
    </row>
    <row r="18733">
      <c r="A18733" s="8" t="inlineStr">
        <is>
          <t>2026-08-04</t>
        </is>
      </c>
      <c r="B18733" s="8" t="n">
        <v>9</v>
      </c>
      <c r="C18733" s="8" t="n">
        <v>45</v>
      </c>
      <c r="D18733" s="8" t="inlineStr">
        <is>
          <t>Disneyland Park</t>
        </is>
      </c>
      <c r="E18733" s="8" t="inlineStr">
        <is>
          <t>Pirates' Beach</t>
        </is>
      </c>
      <c r="F18733" s="8" t="inlineStr">
        <is>
          <t>STANDBY</t>
        </is>
      </c>
      <c r="G18733" s="8" t="n">
        <v>0</v>
      </c>
      <c r="H18733" s="8" t="inlineStr">
        <is>
          <t>OPERATING</t>
        </is>
      </c>
    </row>
    <row r="18734">
      <c r="A18734" s="8" t="inlineStr">
        <is>
          <t>2026-08-04</t>
        </is>
      </c>
      <c r="B18734" s="8" t="n">
        <v>9</v>
      </c>
      <c r="C18734" s="8" t="n">
        <v>45</v>
      </c>
      <c r="D18734" s="8" t="inlineStr">
        <is>
          <t>Disneyland Park</t>
        </is>
      </c>
      <c r="E18734" s="8" t="inlineStr">
        <is>
          <t>Autopia, presented by Avis</t>
        </is>
      </c>
      <c r="F18734" s="8" t="inlineStr">
        <is>
          <t>STANDBY</t>
        </is>
      </c>
      <c r="G18734" s="8" t="n">
        <v>40</v>
      </c>
      <c r="H18734" s="8" t="inlineStr">
        <is>
          <t>OPERATING</t>
        </is>
      </c>
    </row>
    <row r="18735">
      <c r="A18735" s="8" t="inlineStr">
        <is>
          <t>2026-08-04</t>
        </is>
      </c>
      <c r="B18735" s="8" t="n">
        <v>9</v>
      </c>
      <c r="C18735" s="8" t="n">
        <v>45</v>
      </c>
      <c r="D18735" s="8" t="inlineStr">
        <is>
          <t>Disneyland Park</t>
        </is>
      </c>
      <c r="E18735" s="8" t="inlineStr">
        <is>
          <t>Buzz Lightyear Laser Blast</t>
        </is>
      </c>
      <c r="F18735" s="8" t="inlineStr">
        <is>
          <t>STANDBY</t>
        </is>
      </c>
      <c r="G18735" s="8" t="n">
        <v>30</v>
      </c>
      <c r="H18735" s="8" t="inlineStr">
        <is>
          <t>OPERATING</t>
        </is>
      </c>
    </row>
    <row r="18736">
      <c r="A18736" s="8" t="inlineStr">
        <is>
          <t>2026-08-04</t>
        </is>
      </c>
      <c r="B18736" s="8" t="n">
        <v>9</v>
      </c>
      <c r="C18736" s="8" t="n">
        <v>45</v>
      </c>
      <c r="D18736" s="8" t="inlineStr">
        <is>
          <t>Disneyland Park</t>
        </is>
      </c>
      <c r="E18736" s="8" t="inlineStr">
        <is>
          <t>Disneyland Railroad Discoveryland Station</t>
        </is>
      </c>
      <c r="F18736" s="8" t="inlineStr">
        <is>
          <t>STANDBY</t>
        </is>
      </c>
      <c r="G18736" s="8" t="n">
        <v>0</v>
      </c>
      <c r="H18736" s="8" t="inlineStr">
        <is>
          <t>CLOSED</t>
        </is>
      </c>
    </row>
    <row r="18737">
      <c r="A18737" s="8" t="inlineStr">
        <is>
          <t>2026-08-04</t>
        </is>
      </c>
      <c r="B18737" s="8" t="n">
        <v>9</v>
      </c>
      <c r="C18737" s="8" t="n">
        <v>45</v>
      </c>
      <c r="D18737" s="8" t="inlineStr">
        <is>
          <t>Disneyland Park</t>
        </is>
      </c>
      <c r="E18737" s="8" t="inlineStr">
        <is>
          <t>Les Mystères du Nautilus</t>
        </is>
      </c>
      <c r="F18737" s="8" t="inlineStr">
        <is>
          <t>STANDBY</t>
        </is>
      </c>
      <c r="G18737" s="8" t="n">
        <v>5</v>
      </c>
      <c r="H18737" s="8" t="inlineStr">
        <is>
          <t>OPERATING</t>
        </is>
      </c>
    </row>
    <row r="18738">
      <c r="A18738" s="8" t="inlineStr">
        <is>
          <t>2026-08-04</t>
        </is>
      </c>
      <c r="B18738" s="8" t="n">
        <v>9</v>
      </c>
      <c r="C18738" s="8" t="n">
        <v>45</v>
      </c>
      <c r="D18738" s="8" t="inlineStr">
        <is>
          <t>Disneyland Park</t>
        </is>
      </c>
      <c r="E18738" s="8" t="inlineStr">
        <is>
          <t>Mickey’s PhilharMagic</t>
        </is>
      </c>
      <c r="F18738" s="8" t="inlineStr">
        <is>
          <t>STANDBY</t>
        </is>
      </c>
      <c r="G18738" s="8" t="n">
        <v>0</v>
      </c>
      <c r="H18738" s="8" t="inlineStr">
        <is>
          <t>CLOSED</t>
        </is>
      </c>
    </row>
    <row r="18739">
      <c r="A18739" s="8" t="inlineStr">
        <is>
          <t>2026-08-04</t>
        </is>
      </c>
      <c r="B18739" s="8" t="n">
        <v>9</v>
      </c>
      <c r="C18739" s="8" t="n">
        <v>45</v>
      </c>
      <c r="D18739" s="8" t="inlineStr">
        <is>
          <t>Disneyland Park</t>
        </is>
      </c>
      <c r="E18739" s="8" t="inlineStr">
        <is>
          <t>Orbitron®</t>
        </is>
      </c>
      <c r="F18739" s="8" t="inlineStr">
        <is>
          <t>STANDBY</t>
        </is>
      </c>
      <c r="G18739" s="8" t="n">
        <v>30</v>
      </c>
      <c r="H18739" s="8" t="inlineStr">
        <is>
          <t>OPERATING</t>
        </is>
      </c>
    </row>
    <row r="18740">
      <c r="A18740" s="8" t="inlineStr">
        <is>
          <t>2026-08-04</t>
        </is>
      </c>
      <c r="B18740" s="8" t="n">
        <v>9</v>
      </c>
      <c r="C18740" s="8" t="n">
        <v>45</v>
      </c>
      <c r="D18740" s="8" t="inlineStr">
        <is>
          <t>Disneyland Park</t>
        </is>
      </c>
      <c r="E18740" s="8" t="inlineStr">
        <is>
          <t>Star Tours: The Adventures Continue*</t>
        </is>
      </c>
      <c r="F18740" s="8" t="inlineStr">
        <is>
          <t>STANDBY</t>
        </is>
      </c>
      <c r="G18740" s="8" t="n">
        <v>5</v>
      </c>
      <c r="H18740" s="8" t="inlineStr">
        <is>
          <t>OPERATING</t>
        </is>
      </c>
    </row>
    <row r="18741">
      <c r="A18741" s="8" t="inlineStr">
        <is>
          <t>2026-08-04</t>
        </is>
      </c>
      <c r="B18741" s="8" t="n">
        <v>9</v>
      </c>
      <c r="C18741" s="8" t="n">
        <v>45</v>
      </c>
      <c r="D18741" s="8" t="inlineStr">
        <is>
          <t>Disneyland Park</t>
        </is>
      </c>
      <c r="E18741" s="8" t="inlineStr">
        <is>
          <t>Star Wars Hyperspace Mountain</t>
        </is>
      </c>
      <c r="F18741" s="8" t="inlineStr">
        <is>
          <t>STANDBY</t>
        </is>
      </c>
      <c r="G18741" s="8" t="n">
        <v>15</v>
      </c>
      <c r="H18741" s="8" t="inlineStr">
        <is>
          <t>OPERATING</t>
        </is>
      </c>
    </row>
    <row r="18742">
      <c r="A18742" s="8" t="inlineStr">
        <is>
          <t>2026-08-04</t>
        </is>
      </c>
      <c r="B18742" s="8" t="n">
        <v>9</v>
      </c>
      <c r="C18742" s="8" t="n">
        <v>45</v>
      </c>
      <c r="D18742" s="8" t="inlineStr">
        <is>
          <t>Disneyland Park</t>
        </is>
      </c>
      <c r="E18742" s="8" t="inlineStr">
        <is>
          <t>Star Wars Hyperspace Mountain Single Rider</t>
        </is>
      </c>
      <c r="F18742" s="8" t="inlineStr">
        <is>
          <t>STANDBY</t>
        </is>
      </c>
      <c r="G18742" s="8" t="n">
        <v>5</v>
      </c>
      <c r="H18742" s="8" t="inlineStr">
        <is>
          <t>OPERATING</t>
        </is>
      </c>
    </row>
    <row r="18743">
      <c r="A18743" s="8" t="inlineStr">
        <is>
          <t>2026-08-04</t>
        </is>
      </c>
      <c r="B18743" s="8" t="n">
        <v>9</v>
      </c>
      <c r="C18743" s="8" t="n">
        <v>45</v>
      </c>
      <c r="D18743" s="8" t="inlineStr">
        <is>
          <t>Disneyland Park</t>
        </is>
      </c>
      <c r="E18743" s="8" t="inlineStr">
        <is>
          <t>Welcome to Starport: A Star Wars Encounter</t>
        </is>
      </c>
      <c r="F18743" s="8" t="inlineStr">
        <is>
          <t>STANDBY</t>
        </is>
      </c>
      <c r="G18743" s="8" t="n">
        <v>0</v>
      </c>
      <c r="H18743" s="8" t="inlineStr">
        <is>
          <t>CLOSED</t>
        </is>
      </c>
    </row>
    <row r="18744">
      <c r="A18744" s="8" t="inlineStr">
        <is>
          <t>2026-08-04</t>
        </is>
      </c>
      <c r="B18744" s="8" t="n">
        <v>9</v>
      </c>
      <c r="C18744" s="8" t="n">
        <v>45</v>
      </c>
      <c r="D18744" s="8" t="inlineStr">
        <is>
          <t>Disneyland Park</t>
        </is>
      </c>
      <c r="E18744" s="8" t="inlineStr">
        <is>
          <t>"it's a small world"</t>
        </is>
      </c>
      <c r="F18744" s="8" t="inlineStr">
        <is>
          <t>STANDBY</t>
        </is>
      </c>
      <c r="G18744" s="8" t="n">
        <v>5</v>
      </c>
      <c r="H18744" s="8" t="inlineStr">
        <is>
          <t>OPERATING</t>
        </is>
      </c>
    </row>
    <row r="18745">
      <c r="A18745" s="8" t="inlineStr">
        <is>
          <t>2026-08-04</t>
        </is>
      </c>
      <c r="B18745" s="8" t="n">
        <v>9</v>
      </c>
      <c r="C18745" s="8" t="n">
        <v>45</v>
      </c>
      <c r="D18745" s="8" t="inlineStr">
        <is>
          <t>Disneyland Park</t>
        </is>
      </c>
      <c r="E18745" s="8" t="inlineStr">
        <is>
          <t>Alice's Curious Labyrinth</t>
        </is>
      </c>
      <c r="F18745" s="8" t="inlineStr">
        <is>
          <t>STANDBY</t>
        </is>
      </c>
      <c r="G18745" s="8" t="n">
        <v>5</v>
      </c>
      <c r="H18745" s="8" t="inlineStr">
        <is>
          <t>OPERATING</t>
        </is>
      </c>
    </row>
    <row r="18746">
      <c r="A18746" s="8" t="inlineStr">
        <is>
          <t>2026-08-04</t>
        </is>
      </c>
      <c r="B18746" s="8" t="n">
        <v>9</v>
      </c>
      <c r="C18746" s="8" t="n">
        <v>45</v>
      </c>
      <c r="D18746" s="8" t="inlineStr">
        <is>
          <t>Disneyland Park</t>
        </is>
      </c>
      <c r="E18746" s="8" t="inlineStr">
        <is>
          <t>Blanche-Neige et les Sept Nains®</t>
        </is>
      </c>
      <c r="F18746" s="8" t="inlineStr">
        <is>
          <t>STANDBY</t>
        </is>
      </c>
      <c r="G18746" s="8" t="n">
        <v>5</v>
      </c>
      <c r="H18746" s="8" t="inlineStr">
        <is>
          <t>OPERATING</t>
        </is>
      </c>
    </row>
    <row r="18747">
      <c r="A18747" s="8" t="inlineStr">
        <is>
          <t>2026-08-04</t>
        </is>
      </c>
      <c r="B18747" s="8" t="n">
        <v>9</v>
      </c>
      <c r="C18747" s="8" t="n">
        <v>45</v>
      </c>
      <c r="D18747" s="8" t="inlineStr">
        <is>
          <t>Disneyland Park</t>
        </is>
      </c>
      <c r="E18747" s="8" t="inlineStr">
        <is>
          <t>Casey Jr. – le Petit Train du Cirque</t>
        </is>
      </c>
      <c r="F18747" s="8" t="inlineStr">
        <is>
          <t>STANDBY</t>
        </is>
      </c>
      <c r="G18747" s="8" t="n">
        <v>5</v>
      </c>
      <c r="H18747" s="8" t="inlineStr">
        <is>
          <t>OPERATING</t>
        </is>
      </c>
    </row>
    <row r="18748">
      <c r="A18748" s="8" t="inlineStr">
        <is>
          <t>2026-08-04</t>
        </is>
      </c>
      <c r="B18748" s="8" t="n">
        <v>9</v>
      </c>
      <c r="C18748" s="8" t="n">
        <v>45</v>
      </c>
      <c r="D18748" s="8" t="inlineStr">
        <is>
          <t>Disneyland Park</t>
        </is>
      </c>
      <c r="E18748" s="8" t="inlineStr">
        <is>
          <t>Disneyland Railroad Fantasyland Station</t>
        </is>
      </c>
      <c r="F18748" s="8" t="inlineStr">
        <is>
          <t>STANDBY</t>
        </is>
      </c>
      <c r="G18748" s="8" t="n">
        <v>0</v>
      </c>
      <c r="H18748" s="8" t="inlineStr">
        <is>
          <t>CLOSED</t>
        </is>
      </c>
    </row>
    <row r="18749">
      <c r="A18749" s="8" t="inlineStr">
        <is>
          <t>2026-08-04</t>
        </is>
      </c>
      <c r="B18749" s="8" t="n">
        <v>9</v>
      </c>
      <c r="C18749" s="8" t="n">
        <v>45</v>
      </c>
      <c r="D18749" s="8" t="inlineStr">
        <is>
          <t>Disneyland Park</t>
        </is>
      </c>
      <c r="E18749" s="8" t="inlineStr">
        <is>
          <t>Disneyland Railroad Main Street Station</t>
        </is>
      </c>
      <c r="F18749" s="8" t="inlineStr">
        <is>
          <t>STANDBY</t>
        </is>
      </c>
      <c r="G18749" s="8" t="n">
        <v>0</v>
      </c>
      <c r="H18749" s="8" t="inlineStr">
        <is>
          <t>CLOSED</t>
        </is>
      </c>
    </row>
    <row r="18750">
      <c r="A18750" s="8" t="inlineStr">
        <is>
          <t>2026-08-04</t>
        </is>
      </c>
      <c r="B18750" s="8" t="n">
        <v>9</v>
      </c>
      <c r="C18750" s="8" t="n">
        <v>45</v>
      </c>
      <c r="D18750" s="8" t="inlineStr">
        <is>
          <t>Disneyland Park</t>
        </is>
      </c>
      <c r="E18750" s="8" t="inlineStr">
        <is>
          <t>Dumbo the Flying Elephant</t>
        </is>
      </c>
      <c r="F18750" s="8" t="inlineStr">
        <is>
          <t>STANDBY</t>
        </is>
      </c>
      <c r="G18750" s="8" t="n">
        <v>20</v>
      </c>
      <c r="H18750" s="8" t="inlineStr">
        <is>
          <t>OPERATING</t>
        </is>
      </c>
    </row>
    <row r="18751">
      <c r="A18751" s="8" t="inlineStr">
        <is>
          <t>2026-08-04</t>
        </is>
      </c>
      <c r="B18751" s="8" t="n">
        <v>9</v>
      </c>
      <c r="C18751" s="8" t="n">
        <v>45</v>
      </c>
      <c r="D18751" s="8" t="inlineStr">
        <is>
          <t>Disneyland Park</t>
        </is>
      </c>
      <c r="E18751" s="8" t="inlineStr">
        <is>
          <t>La Tanière du Dragon</t>
        </is>
      </c>
      <c r="F18751" s="8" t="inlineStr">
        <is>
          <t>STANDBY</t>
        </is>
      </c>
      <c r="G18751" s="8" t="n">
        <v>0</v>
      </c>
      <c r="H18751" s="8" t="inlineStr">
        <is>
          <t>OPERATING</t>
        </is>
      </c>
    </row>
    <row r="18752">
      <c r="A18752" s="8" t="inlineStr">
        <is>
          <t>2026-08-04</t>
        </is>
      </c>
      <c r="B18752" s="8" t="n">
        <v>9</v>
      </c>
      <c r="C18752" s="8" t="n">
        <v>45</v>
      </c>
      <c r="D18752" s="8" t="inlineStr">
        <is>
          <t>Disneyland Park</t>
        </is>
      </c>
      <c r="E18752" s="8" t="inlineStr">
        <is>
          <t>Le Carrousel de Lancelot</t>
        </is>
      </c>
      <c r="F18752" s="8" t="inlineStr">
        <is>
          <t>STANDBY</t>
        </is>
      </c>
      <c r="G18752" s="8" t="n">
        <v>5</v>
      </c>
      <c r="H18752" s="8" t="inlineStr">
        <is>
          <t>OPERATING</t>
        </is>
      </c>
    </row>
    <row r="18753">
      <c r="A18753" s="8" t="inlineStr">
        <is>
          <t>2026-08-04</t>
        </is>
      </c>
      <c r="B18753" s="8" t="n">
        <v>9</v>
      </c>
      <c r="C18753" s="8" t="n">
        <v>45</v>
      </c>
      <c r="D18753" s="8" t="inlineStr">
        <is>
          <t>Disneyland Park</t>
        </is>
      </c>
      <c r="E18753" s="8" t="inlineStr">
        <is>
          <t>Le Pays des Contes de Fées, presented by Vittel</t>
        </is>
      </c>
      <c r="F18753" s="8" t="inlineStr">
        <is>
          <t>STANDBY</t>
        </is>
      </c>
      <c r="G18753" s="8" t="n">
        <v>5</v>
      </c>
      <c r="H18753" s="8" t="inlineStr">
        <is>
          <t>OPERATING</t>
        </is>
      </c>
    </row>
    <row r="18754">
      <c r="A18754" s="8" t="inlineStr">
        <is>
          <t>2026-08-04</t>
        </is>
      </c>
      <c r="B18754" s="8" t="n">
        <v>9</v>
      </c>
      <c r="C18754" s="8" t="n">
        <v>45</v>
      </c>
      <c r="D18754" s="8" t="inlineStr">
        <is>
          <t>Disneyland Park</t>
        </is>
      </c>
      <c r="E18754" s="8" t="inlineStr">
        <is>
          <t>Les Voyages de Pinocchio</t>
        </is>
      </c>
      <c r="F18754" s="8" t="inlineStr">
        <is>
          <t>STANDBY</t>
        </is>
      </c>
      <c r="G18754" s="8" t="n">
        <v>5</v>
      </c>
      <c r="H18754" s="8" t="inlineStr">
        <is>
          <t>OPERATING</t>
        </is>
      </c>
    </row>
    <row r="18755">
      <c r="A18755" s="8" t="inlineStr">
        <is>
          <t>2026-08-04</t>
        </is>
      </c>
      <c r="B18755" s="8" t="n">
        <v>9</v>
      </c>
      <c r="C18755" s="8" t="n">
        <v>45</v>
      </c>
      <c r="D18755" s="8" t="inlineStr">
        <is>
          <t>Disneyland Park</t>
        </is>
      </c>
      <c r="E18755" s="8" t="inlineStr">
        <is>
          <t>Mad Hatter's Tea Cups</t>
        </is>
      </c>
      <c r="F18755" s="8" t="inlineStr">
        <is>
          <t>STANDBY</t>
        </is>
      </c>
      <c r="G18755" s="8" t="n">
        <v>5</v>
      </c>
      <c r="H18755" s="8" t="inlineStr">
        <is>
          <t>OPERATING</t>
        </is>
      </c>
    </row>
    <row r="18756">
      <c r="A18756" s="8" t="inlineStr">
        <is>
          <t>2026-08-04</t>
        </is>
      </c>
      <c r="B18756" s="8" t="n">
        <v>9</v>
      </c>
      <c r="C18756" s="8" t="n">
        <v>45</v>
      </c>
      <c r="D18756" s="8" t="inlineStr">
        <is>
          <t>Disneyland Park</t>
        </is>
      </c>
      <c r="E18756" s="8" t="inlineStr">
        <is>
          <t>Meet Mickey Mouse</t>
        </is>
      </c>
      <c r="F18756" s="8" t="inlineStr">
        <is>
          <t>STANDBY</t>
        </is>
      </c>
      <c r="G18756" s="8" t="n">
        <v>0</v>
      </c>
      <c r="H18756" s="8" t="inlineStr">
        <is>
          <t>CLOSED</t>
        </is>
      </c>
    </row>
    <row r="18757">
      <c r="A18757" s="8" t="inlineStr">
        <is>
          <t>2026-08-04</t>
        </is>
      </c>
      <c r="B18757" s="8" t="n">
        <v>9</v>
      </c>
      <c r="C18757" s="8" t="n">
        <v>45</v>
      </c>
      <c r="D18757" s="8" t="inlineStr">
        <is>
          <t>Disneyland Park</t>
        </is>
      </c>
      <c r="E18757" s="8" t="inlineStr">
        <is>
          <t>Peter Pan's Flight</t>
        </is>
      </c>
      <c r="F18757" s="8" t="inlineStr">
        <is>
          <t>STANDBY</t>
        </is>
      </c>
      <c r="G18757" s="8" t="n">
        <v>45</v>
      </c>
      <c r="H18757" s="8" t="inlineStr">
        <is>
          <t>OPERATING</t>
        </is>
      </c>
    </row>
    <row r="18758">
      <c r="A18758" s="8" t="inlineStr">
        <is>
          <t>2026-08-04</t>
        </is>
      </c>
      <c r="B18758" s="8" t="n">
        <v>9</v>
      </c>
      <c r="C18758" s="8" t="n">
        <v>45</v>
      </c>
      <c r="D18758" s="8" t="inlineStr">
        <is>
          <t>Disneyland Park</t>
        </is>
      </c>
      <c r="E18758" s="8" t="inlineStr">
        <is>
          <t>Princess Pavilion</t>
        </is>
      </c>
      <c r="F18758" s="8" t="inlineStr">
        <is>
          <t>STANDBY</t>
        </is>
      </c>
      <c r="G18758" s="8" t="n">
        <v>0</v>
      </c>
      <c r="H18758" s="8" t="inlineStr">
        <is>
          <t>CLOSED</t>
        </is>
      </c>
    </row>
    <row r="18759">
      <c r="A18759" s="8" t="inlineStr">
        <is>
          <t>2026-08-04</t>
        </is>
      </c>
      <c r="B18759" s="8" t="n">
        <v>9</v>
      </c>
      <c r="C18759" s="8" t="n">
        <v>45</v>
      </c>
      <c r="D18759" s="8" t="inlineStr">
        <is>
          <t>Disneyland Park</t>
        </is>
      </c>
      <c r="E18759" s="8" t="inlineStr">
        <is>
          <t>Big Thunder Mountain</t>
        </is>
      </c>
      <c r="F18759" s="8" t="inlineStr">
        <is>
          <t>STANDBY</t>
        </is>
      </c>
      <c r="G18759" s="8" t="n">
        <v>50</v>
      </c>
      <c r="H18759" s="8" t="inlineStr">
        <is>
          <t>OPERATING</t>
        </is>
      </c>
    </row>
    <row r="18760">
      <c r="A18760" s="8" t="inlineStr">
        <is>
          <t>2026-08-04</t>
        </is>
      </c>
      <c r="B18760" s="8" t="n">
        <v>9</v>
      </c>
      <c r="C18760" s="8" t="n">
        <v>45</v>
      </c>
      <c r="D18760" s="8" t="inlineStr">
        <is>
          <t>Disneyland Park</t>
        </is>
      </c>
      <c r="E18760" s="8" t="inlineStr">
        <is>
          <t>Disneyland Railroad Frontierland Depot</t>
        </is>
      </c>
      <c r="F18760" s="8" t="inlineStr">
        <is>
          <t>STANDBY</t>
        </is>
      </c>
      <c r="G18760" s="8" t="n">
        <v>0</v>
      </c>
      <c r="H18760" s="8" t="inlineStr">
        <is>
          <t>CLOSED</t>
        </is>
      </c>
    </row>
    <row r="18761">
      <c r="A18761" s="8" t="inlineStr">
        <is>
          <t>2026-08-04</t>
        </is>
      </c>
      <c r="B18761" s="8" t="n">
        <v>9</v>
      </c>
      <c r="C18761" s="8" t="n">
        <v>45</v>
      </c>
      <c r="D18761" s="8" t="inlineStr">
        <is>
          <t>Disneyland Park</t>
        </is>
      </c>
      <c r="E18761" s="8" t="inlineStr">
        <is>
          <t>Frontierland Playground</t>
        </is>
      </c>
      <c r="F18761" s="8" t="inlineStr">
        <is>
          <t>STANDBY</t>
        </is>
      </c>
      <c r="G18761" s="8" t="n">
        <v>0</v>
      </c>
      <c r="H18761" s="8" t="inlineStr">
        <is>
          <t>OPERATING</t>
        </is>
      </c>
    </row>
    <row r="18762">
      <c r="A18762" s="8" t="inlineStr">
        <is>
          <t>2026-08-04</t>
        </is>
      </c>
      <c r="B18762" s="8" t="n">
        <v>9</v>
      </c>
      <c r="C18762" s="8" t="n">
        <v>45</v>
      </c>
      <c r="D18762" s="8" t="inlineStr">
        <is>
          <t>Disneyland Park</t>
        </is>
      </c>
      <c r="E18762" s="8" t="inlineStr">
        <is>
          <t>Phantom Manor</t>
        </is>
      </c>
      <c r="F18762" s="8" t="inlineStr">
        <is>
          <t>STANDBY</t>
        </is>
      </c>
      <c r="G18762" s="8" t="n">
        <v>5</v>
      </c>
      <c r="H18762" s="8" t="inlineStr">
        <is>
          <t>OPERATING</t>
        </is>
      </c>
    </row>
    <row r="18763">
      <c r="A18763" s="8" t="inlineStr">
        <is>
          <t>2026-08-04</t>
        </is>
      </c>
      <c r="B18763" s="8" t="n">
        <v>9</v>
      </c>
      <c r="C18763" s="8" t="n">
        <v>45</v>
      </c>
      <c r="D18763" s="8" t="inlineStr">
        <is>
          <t>Disneyland Park</t>
        </is>
      </c>
      <c r="E18763" s="8" t="inlineStr">
        <is>
          <t>River Rogue Keelboats</t>
        </is>
      </c>
      <c r="F18763" s="8" t="inlineStr">
        <is>
          <t>STANDBY</t>
        </is>
      </c>
      <c r="G18763" s="8" t="n">
        <v>0</v>
      </c>
      <c r="H18763" s="8" t="inlineStr">
        <is>
          <t>CLOSED</t>
        </is>
      </c>
    </row>
    <row r="18764">
      <c r="A18764" s="8" t="inlineStr">
        <is>
          <t>2026-08-04</t>
        </is>
      </c>
      <c r="B18764" s="8" t="n">
        <v>9</v>
      </c>
      <c r="C18764" s="8" t="n">
        <v>45</v>
      </c>
      <c r="D18764" s="8" t="inlineStr">
        <is>
          <t>Disneyland Park</t>
        </is>
      </c>
      <c r="E18764" s="8" t="inlineStr">
        <is>
          <t>Rustler Roundup Shootin' Gallery</t>
        </is>
      </c>
      <c r="F18764" s="8" t="inlineStr">
        <is>
          <t>STANDBY</t>
        </is>
      </c>
      <c r="G18764" s="8" t="n">
        <v>0</v>
      </c>
      <c r="H18764" s="8" t="inlineStr">
        <is>
          <t>OPERATING</t>
        </is>
      </c>
    </row>
    <row r="18765">
      <c r="A18765" s="8" t="inlineStr">
        <is>
          <t>2026-08-04</t>
        </is>
      </c>
      <c r="B18765" s="8" t="n">
        <v>9</v>
      </c>
      <c r="C18765" s="8" t="n">
        <v>45</v>
      </c>
      <c r="D18765" s="8" t="inlineStr">
        <is>
          <t>Disneyland Park</t>
        </is>
      </c>
      <c r="E18765" s="8" t="inlineStr">
        <is>
          <t>Thunder Mesa Riverboat Landing</t>
        </is>
      </c>
      <c r="F18765" s="8" t="inlineStr">
        <is>
          <t>STANDBY</t>
        </is>
      </c>
      <c r="G18765" s="8" t="n">
        <v>0</v>
      </c>
      <c r="H18765" s="8" t="inlineStr">
        <is>
          <t>CLOSED</t>
        </is>
      </c>
    </row>
    <row r="18766">
      <c r="A18766" s="8" t="inlineStr">
        <is>
          <t>2026-08-04</t>
        </is>
      </c>
      <c r="B18766" s="8" t="n">
        <v>9</v>
      </c>
      <c r="C18766" s="8" t="n">
        <v>45</v>
      </c>
      <c r="D18766" s="8" t="inlineStr">
        <is>
          <t>Disneyland Park</t>
        </is>
      </c>
      <c r="E18766" s="8" t="inlineStr">
        <is>
          <t>Disneyland Railroad Main Street Station</t>
        </is>
      </c>
      <c r="F18766" s="8" t="inlineStr">
        <is>
          <t>STANDBY</t>
        </is>
      </c>
      <c r="G18766" s="8" t="n">
        <v>0</v>
      </c>
      <c r="H18766" s="8" t="inlineStr">
        <is>
          <t>CLOSED</t>
        </is>
      </c>
    </row>
    <row r="18767">
      <c r="A18767" s="8" t="inlineStr">
        <is>
          <t>2026-08-04</t>
        </is>
      </c>
      <c r="B18767" s="8" t="n">
        <v>9</v>
      </c>
      <c r="C18767" s="8" t="n">
        <v>45</v>
      </c>
      <c r="D18767" s="8" t="inlineStr">
        <is>
          <t>Disneyland Park</t>
        </is>
      </c>
      <c r="E18767" s="8" t="inlineStr">
        <is>
          <t>Main Street Vehicles</t>
        </is>
      </c>
      <c r="F18767" s="8" t="inlineStr">
        <is>
          <t>STANDBY</t>
        </is>
      </c>
      <c r="G18767" s="8" t="n">
        <v>5</v>
      </c>
      <c r="H18767" s="8" t="inlineStr">
        <is>
          <t>OPERATING</t>
        </is>
      </c>
    </row>
    <row r="18768">
      <c r="A18768" s="8" t="inlineStr">
        <is>
          <t>2026-08-04</t>
        </is>
      </c>
      <c r="B18768" s="8" t="n">
        <v>9</v>
      </c>
      <c r="C18768" s="8" t="n">
        <v>45</v>
      </c>
      <c r="D18768" s="8" t="inlineStr">
        <is>
          <t>Disney Adventure World</t>
        </is>
      </c>
      <c r="E18768" s="8" t="inlineStr">
        <is>
          <t>Avengers Assemble: Flight Force</t>
        </is>
      </c>
      <c r="F18768" s="8" t="inlineStr">
        <is>
          <t>STANDBY</t>
        </is>
      </c>
      <c r="G18768" s="8" t="n">
        <v>5</v>
      </c>
      <c r="H18768" s="8" t="inlineStr">
        <is>
          <t>OPERATING</t>
        </is>
      </c>
    </row>
    <row r="18769">
      <c r="A18769" s="8" t="inlineStr">
        <is>
          <t>2026-08-04</t>
        </is>
      </c>
      <c r="B18769" s="8" t="n">
        <v>9</v>
      </c>
      <c r="C18769" s="8" t="n">
        <v>45</v>
      </c>
      <c r="D18769" s="8" t="inlineStr">
        <is>
          <t>Disney Adventure World</t>
        </is>
      </c>
      <c r="E18769" s="8" t="inlineStr">
        <is>
          <t>Avengers Assemble: Flight Force Single Rider</t>
        </is>
      </c>
      <c r="F18769" s="8" t="inlineStr">
        <is>
          <t>STANDBY</t>
        </is>
      </c>
      <c r="G18769" s="8" t="n">
        <v>5</v>
      </c>
      <c r="H18769" s="8" t="inlineStr">
        <is>
          <t>OPERATING</t>
        </is>
      </c>
    </row>
    <row r="18770">
      <c r="A18770" s="8" t="inlineStr">
        <is>
          <t>2026-08-04</t>
        </is>
      </c>
      <c r="B18770" s="8" t="n">
        <v>9</v>
      </c>
      <c r="C18770" s="8" t="n">
        <v>45</v>
      </c>
      <c r="D18770" s="8" t="inlineStr">
        <is>
          <t>Disney Adventure World</t>
        </is>
      </c>
      <c r="E18770" s="8" t="inlineStr">
        <is>
          <t>Spider-Man W.E.B. Adventure</t>
        </is>
      </c>
      <c r="F18770" s="8" t="inlineStr">
        <is>
          <t>STANDBY</t>
        </is>
      </c>
      <c r="G18770" s="8" t="n">
        <v>25</v>
      </c>
      <c r="H18770" s="8" t="inlineStr">
        <is>
          <t>OPERATING</t>
        </is>
      </c>
    </row>
    <row r="18771">
      <c r="A18771" s="8" t="inlineStr">
        <is>
          <t>2026-08-04</t>
        </is>
      </c>
      <c r="B18771" s="8" t="n">
        <v>9</v>
      </c>
      <c r="C18771" s="8" t="n">
        <v>45</v>
      </c>
      <c r="D18771" s="8" t="inlineStr">
        <is>
          <t>Disney Adventure World</t>
        </is>
      </c>
      <c r="E18771" s="8" t="inlineStr">
        <is>
          <t>Spider-Man W.E.B. Adventure Single Rider</t>
        </is>
      </c>
      <c r="F18771" s="8" t="inlineStr">
        <is>
          <t>STANDBY</t>
        </is>
      </c>
      <c r="G18771" s="8" t="n">
        <v>5</v>
      </c>
      <c r="H18771" s="8" t="inlineStr">
        <is>
          <t>OPERATING</t>
        </is>
      </c>
    </row>
    <row r="18772">
      <c r="A18772" s="8" t="inlineStr">
        <is>
          <t>2026-08-04</t>
        </is>
      </c>
      <c r="B18772" s="8" t="n">
        <v>9</v>
      </c>
      <c r="C18772" s="8" t="n">
        <v>45</v>
      </c>
      <c r="D18772" s="8" t="inlineStr">
        <is>
          <t>Disney Adventure World</t>
        </is>
      </c>
      <c r="E18772" s="8" t="inlineStr">
        <is>
          <t>The Twilight Zone Tower of Terror</t>
        </is>
      </c>
      <c r="F18772" s="8" t="inlineStr">
        <is>
          <t>STANDBY</t>
        </is>
      </c>
      <c r="G18772" s="8" t="n">
        <v>5</v>
      </c>
      <c r="H18772" s="8" t="inlineStr">
        <is>
          <t>OPERATING</t>
        </is>
      </c>
    </row>
    <row r="18773">
      <c r="A18773" s="8" t="inlineStr">
        <is>
          <t>2026-08-04</t>
        </is>
      </c>
      <c r="B18773" s="8" t="n">
        <v>9</v>
      </c>
      <c r="C18773" s="8" t="n">
        <v>45</v>
      </c>
      <c r="D18773" s="8" t="inlineStr">
        <is>
          <t>Disney Adventure World</t>
        </is>
      </c>
      <c r="E18773" s="8" t="inlineStr">
        <is>
          <t>Cars Quatre Roues Rallye</t>
        </is>
      </c>
      <c r="F18773" s="8" t="inlineStr">
        <is>
          <t>STANDBY</t>
        </is>
      </c>
      <c r="G18773" s="8" t="n">
        <v>5</v>
      </c>
      <c r="H18773" s="8" t="inlineStr">
        <is>
          <t>OPERATING</t>
        </is>
      </c>
    </row>
    <row r="18774">
      <c r="A18774" s="8" t="inlineStr">
        <is>
          <t>2026-08-04</t>
        </is>
      </c>
      <c r="B18774" s="8" t="n">
        <v>9</v>
      </c>
      <c r="C18774" s="8" t="n">
        <v>45</v>
      </c>
      <c r="D18774" s="8" t="inlineStr">
        <is>
          <t>Disney Adventure World</t>
        </is>
      </c>
      <c r="E18774" s="8" t="inlineStr">
        <is>
          <t>Cars ROAD TRIP</t>
        </is>
      </c>
      <c r="F18774" s="8" t="inlineStr">
        <is>
          <t>STANDBY</t>
        </is>
      </c>
      <c r="G18774" s="8" t="n">
        <v>10</v>
      </c>
      <c r="H18774" s="8" t="inlineStr">
        <is>
          <t>OPERATING</t>
        </is>
      </c>
    </row>
    <row r="18775">
      <c r="A18775" s="8" t="inlineStr">
        <is>
          <t>2026-08-04</t>
        </is>
      </c>
      <c r="B18775" s="8" t="n">
        <v>9</v>
      </c>
      <c r="C18775" s="8" t="n">
        <v>45</v>
      </c>
      <c r="D18775" s="8" t="inlineStr">
        <is>
          <t>Disney Adventure World</t>
        </is>
      </c>
      <c r="E18775" s="8" t="inlineStr">
        <is>
          <t>Crush's Coaster</t>
        </is>
      </c>
      <c r="F18775" s="8" t="inlineStr">
        <is>
          <t>STANDBY</t>
        </is>
      </c>
      <c r="G18775" s="8" t="n">
        <v>80</v>
      </c>
      <c r="H18775" s="8" t="inlineStr">
        <is>
          <t>OPERATING</t>
        </is>
      </c>
    </row>
    <row r="18776">
      <c r="A18776" s="8" t="inlineStr">
        <is>
          <t>2026-08-04</t>
        </is>
      </c>
      <c r="B18776" s="8" t="n">
        <v>9</v>
      </c>
      <c r="C18776" s="8" t="n">
        <v>45</v>
      </c>
      <c r="D18776" s="8" t="inlineStr">
        <is>
          <t>Disney Adventure World</t>
        </is>
      </c>
      <c r="E18776" s="8" t="inlineStr">
        <is>
          <t>Crush's Coaster Single Rider</t>
        </is>
      </c>
      <c r="F18776" s="8" t="inlineStr">
        <is>
          <t>STANDBY</t>
        </is>
      </c>
      <c r="G18776" s="8" t="n">
        <v>60</v>
      </c>
      <c r="H18776" s="8" t="inlineStr">
        <is>
          <t>OPERATING</t>
        </is>
      </c>
    </row>
    <row r="18777">
      <c r="A18777" s="8" t="inlineStr">
        <is>
          <t>2026-08-04</t>
        </is>
      </c>
      <c r="B18777" s="8" t="n">
        <v>9</v>
      </c>
      <c r="C18777" s="8" t="n">
        <v>45</v>
      </c>
      <c r="D18777" s="8" t="inlineStr">
        <is>
          <t>Disney Adventure World</t>
        </is>
      </c>
      <c r="E18777" s="8" t="inlineStr">
        <is>
          <t>Les Tapis Volants - Flying Carpets Over Agrabah®</t>
        </is>
      </c>
      <c r="F18777" s="8" t="inlineStr">
        <is>
          <t>STANDBY</t>
        </is>
      </c>
      <c r="G18777" s="8" t="n">
        <v>5</v>
      </c>
      <c r="H18777" s="8" t="inlineStr">
        <is>
          <t>OPERATING</t>
        </is>
      </c>
    </row>
    <row r="18778">
      <c r="A18778" s="8" t="inlineStr">
        <is>
          <t>2026-08-04</t>
        </is>
      </c>
      <c r="B18778" s="8" t="n">
        <v>9</v>
      </c>
      <c r="C18778" s="8" t="n">
        <v>45</v>
      </c>
      <c r="D18778" s="8" t="inlineStr">
        <is>
          <t>Disney Adventure World</t>
        </is>
      </c>
      <c r="E18778" s="8" t="inlineStr">
        <is>
          <t>Ratatouille : L’Aventure Totalement Toquée de Rémy​</t>
        </is>
      </c>
      <c r="F18778" s="8" t="inlineStr">
        <is>
          <t>STANDBY</t>
        </is>
      </c>
      <c r="G18778" s="8" t="n">
        <v>55</v>
      </c>
      <c r="H18778" s="8" t="inlineStr">
        <is>
          <t>OPERATING</t>
        </is>
      </c>
    </row>
    <row r="18779">
      <c r="A18779" s="8" t="inlineStr">
        <is>
          <t>2026-08-04</t>
        </is>
      </c>
      <c r="B18779" s="8" t="n">
        <v>9</v>
      </c>
      <c r="C18779" s="8" t="n">
        <v>45</v>
      </c>
      <c r="D18779" s="8" t="inlineStr">
        <is>
          <t>Disney Adventure World</t>
        </is>
      </c>
      <c r="E18779" s="8" t="inlineStr">
        <is>
          <t>Ratatouille: The Adventure Single Rider</t>
        </is>
      </c>
      <c r="F18779" s="8" t="inlineStr">
        <is>
          <t>STANDBY</t>
        </is>
      </c>
      <c r="G18779" s="8" t="n">
        <v>5</v>
      </c>
      <c r="H18779" s="8" t="inlineStr">
        <is>
          <t>OPERATING</t>
        </is>
      </c>
    </row>
    <row r="18780">
      <c r="A18780" s="8" t="inlineStr">
        <is>
          <t>2026-08-04</t>
        </is>
      </c>
      <c r="B18780" s="8" t="n">
        <v>9</v>
      </c>
      <c r="C18780" s="8" t="n">
        <v>45</v>
      </c>
      <c r="D18780" s="8" t="inlineStr">
        <is>
          <t>Disney Adventure World</t>
        </is>
      </c>
      <c r="E18780" s="8" t="inlineStr">
        <is>
          <t>RC Racer</t>
        </is>
      </c>
      <c r="F18780" s="8" t="inlineStr">
        <is>
          <t>STANDBY</t>
        </is>
      </c>
      <c r="G18780" s="8" t="n">
        <v>35</v>
      </c>
      <c r="H18780" s="8" t="inlineStr">
        <is>
          <t>OPERATING</t>
        </is>
      </c>
    </row>
    <row r="18781">
      <c r="A18781" s="8" t="inlineStr">
        <is>
          <t>2026-08-04</t>
        </is>
      </c>
      <c r="B18781" s="8" t="n">
        <v>9</v>
      </c>
      <c r="C18781" s="8" t="n">
        <v>45</v>
      </c>
      <c r="D18781" s="8" t="inlineStr">
        <is>
          <t>Disney Adventure World</t>
        </is>
      </c>
      <c r="E18781" s="8" t="inlineStr">
        <is>
          <t>RC Racer Single Rider</t>
        </is>
      </c>
      <c r="F18781" s="8" t="inlineStr">
        <is>
          <t>STANDBY</t>
        </is>
      </c>
      <c r="G18781" s="8" t="n">
        <v>5</v>
      </c>
      <c r="H18781" s="8" t="inlineStr">
        <is>
          <t>OPERATING</t>
        </is>
      </c>
    </row>
    <row r="18782">
      <c r="A18782" s="8" t="inlineStr">
        <is>
          <t>2026-08-04</t>
        </is>
      </c>
      <c r="B18782" s="8" t="n">
        <v>9</v>
      </c>
      <c r="C18782" s="8" t="n">
        <v>45</v>
      </c>
      <c r="D18782" s="8" t="inlineStr">
        <is>
          <t>Disney Adventure World</t>
        </is>
      </c>
      <c r="E18782" s="8" t="inlineStr">
        <is>
          <t>Slinky® Dog Zigzag Spin</t>
        </is>
      </c>
      <c r="F18782" s="8" t="inlineStr">
        <is>
          <t>STANDBY</t>
        </is>
      </c>
      <c r="G18782" s="8" t="n">
        <v>5</v>
      </c>
      <c r="H18782" s="8" t="inlineStr">
        <is>
          <t>OPERATING</t>
        </is>
      </c>
    </row>
    <row r="18783">
      <c r="A18783" s="8" t="inlineStr">
        <is>
          <t>2026-08-04</t>
        </is>
      </c>
      <c r="B18783" s="8" t="n">
        <v>9</v>
      </c>
      <c r="C18783" s="8" t="n">
        <v>45</v>
      </c>
      <c r="D18783" s="8" t="inlineStr">
        <is>
          <t>Disney Adventure World</t>
        </is>
      </c>
      <c r="E18783" s="8" t="inlineStr">
        <is>
          <t>Toy Soldiers Parachute Drop</t>
        </is>
      </c>
      <c r="F18783" s="8" t="inlineStr">
        <is>
          <t>STANDBY</t>
        </is>
      </c>
      <c r="G18783" s="8" t="n">
        <v>30</v>
      </c>
      <c r="H18783" s="8" t="inlineStr">
        <is>
          <t>OPERATING</t>
        </is>
      </c>
    </row>
    <row r="18784">
      <c r="A18784" s="8" t="inlineStr">
        <is>
          <t>2026-08-04</t>
        </is>
      </c>
      <c r="B18784" s="8" t="n">
        <v>9</v>
      </c>
      <c r="C18784" s="8" t="n">
        <v>45</v>
      </c>
      <c r="D18784" s="8" t="inlineStr">
        <is>
          <t>Disney Adventure World</t>
        </is>
      </c>
      <c r="E18784" s="8" t="inlineStr">
        <is>
          <t>Toy Soldiers Parachute Drop Single Rider</t>
        </is>
      </c>
      <c r="F18784" s="8" t="inlineStr">
        <is>
          <t>STANDBY</t>
        </is>
      </c>
      <c r="G18784" s="8" t="n">
        <v>5</v>
      </c>
      <c r="H18784" s="8" t="inlineStr">
        <is>
          <t>OPERATING</t>
        </is>
      </c>
    </row>
    <row r="18785">
      <c r="A18785" s="8" t="inlineStr">
        <is>
          <t>2026-08-04</t>
        </is>
      </c>
      <c r="B18785" s="8" t="n">
        <v>9</v>
      </c>
      <c r="C18785" s="8" t="n">
        <v>45</v>
      </c>
      <c r="D18785" s="8" t="inlineStr">
        <is>
          <t>Disney Adventure World</t>
        </is>
      </c>
      <c r="E18785" s="8" t="inlineStr">
        <is>
          <t>Entry to World of Frozen</t>
        </is>
      </c>
      <c r="F18785" s="8" t="inlineStr">
        <is>
          <t>STANDBY</t>
        </is>
      </c>
      <c r="G18785" s="8" t="n">
        <v>0</v>
      </c>
      <c r="H18785" s="8" t="inlineStr">
        <is>
          <t>OPERATING</t>
        </is>
      </c>
    </row>
    <row r="18786">
      <c r="A18786" s="8" t="inlineStr">
        <is>
          <t>2026-08-04</t>
        </is>
      </c>
      <c r="B18786" s="8" t="n">
        <v>9</v>
      </c>
      <c r="C18786" s="8" t="n">
        <v>45</v>
      </c>
      <c r="D18786" s="8" t="inlineStr">
        <is>
          <t>Disney Adventure World</t>
        </is>
      </c>
      <c r="E18786" s="8" t="inlineStr">
        <is>
          <t>Frozen Ever After</t>
        </is>
      </c>
      <c r="F18786" s="8" t="inlineStr">
        <is>
          <t>STANDBY</t>
        </is>
      </c>
      <c r="G18786" s="8" t="n">
        <v>50</v>
      </c>
      <c r="H18786" s="8" t="inlineStr">
        <is>
          <t>OPERATING</t>
        </is>
      </c>
    </row>
    <row r="18787">
      <c r="A18787" s="8" t="inlineStr">
        <is>
          <t>2026-08-04</t>
        </is>
      </c>
      <c r="B18787" s="8" t="n">
        <v>9</v>
      </c>
      <c r="C18787" s="8" t="n">
        <v>45</v>
      </c>
      <c r="D18787" s="8" t="inlineStr">
        <is>
          <t>Disney Adventure World</t>
        </is>
      </c>
      <c r="E18787" s="8" t="inlineStr">
        <is>
          <t>Raiponce Tangled Spin</t>
        </is>
      </c>
      <c r="F18787" s="8" t="inlineStr">
        <is>
          <t>STANDBY</t>
        </is>
      </c>
      <c r="G18787" s="8" t="n">
        <v>5</v>
      </c>
      <c r="H18787" s="8" t="inlineStr">
        <is>
          <t>OPERATING</t>
        </is>
      </c>
    </row>
    <row r="18788">
      <c r="A18788" s="8" t="inlineStr">
        <is>
          <t>2026-08-04</t>
        </is>
      </c>
      <c r="B18788" s="8" t="n">
        <v>10</v>
      </c>
      <c r="C18788" s="8" t="n">
        <v>1</v>
      </c>
      <c r="D18788" s="8" t="inlineStr">
        <is>
          <t>Disneyland Park</t>
        </is>
      </c>
      <c r="E18788" s="8" t="inlineStr">
        <is>
          <t>Adventure Isle</t>
        </is>
      </c>
      <c r="F18788" s="8" t="inlineStr">
        <is>
          <t>STANDBY</t>
        </is>
      </c>
      <c r="G18788" s="8" t="n">
        <v>0</v>
      </c>
      <c r="H18788" s="8" t="inlineStr">
        <is>
          <t>OPERATING</t>
        </is>
      </c>
    </row>
    <row r="18789">
      <c r="A18789" s="8" t="inlineStr">
        <is>
          <t>2026-08-04</t>
        </is>
      </c>
      <c r="B18789" s="8" t="n">
        <v>10</v>
      </c>
      <c r="C18789" s="8" t="n">
        <v>1</v>
      </c>
      <c r="D18789" s="8" t="inlineStr">
        <is>
          <t>Disneyland Park</t>
        </is>
      </c>
      <c r="E18789" s="8" t="inlineStr">
        <is>
          <t>Indiana Jones and the Temple of Peril Single Rider</t>
        </is>
      </c>
      <c r="F18789" s="8" t="inlineStr">
        <is>
          <t>STANDBY</t>
        </is>
      </c>
      <c r="G18789" s="8" t="n">
        <v>5</v>
      </c>
      <c r="H18789" s="8" t="inlineStr">
        <is>
          <t>OPERATING</t>
        </is>
      </c>
    </row>
    <row r="18790">
      <c r="A18790" s="8" t="inlineStr">
        <is>
          <t>2026-08-04</t>
        </is>
      </c>
      <c r="B18790" s="8" t="n">
        <v>10</v>
      </c>
      <c r="C18790" s="8" t="n">
        <v>1</v>
      </c>
      <c r="D18790" s="8" t="inlineStr">
        <is>
          <t>Disneyland Park</t>
        </is>
      </c>
      <c r="E18790" s="8" t="inlineStr">
        <is>
          <t>Indiana Jones™ and the Temple of Peril</t>
        </is>
      </c>
      <c r="F18790" s="8" t="inlineStr">
        <is>
          <t>STANDBY</t>
        </is>
      </c>
      <c r="G18790" s="8" t="n">
        <v>5</v>
      </c>
      <c r="H18790" s="8" t="inlineStr">
        <is>
          <t>OPERATING</t>
        </is>
      </c>
    </row>
    <row r="18791">
      <c r="A18791" s="8" t="inlineStr">
        <is>
          <t>2026-08-04</t>
        </is>
      </c>
      <c r="B18791" s="8" t="n">
        <v>10</v>
      </c>
      <c r="C18791" s="8" t="n">
        <v>1</v>
      </c>
      <c r="D18791" s="8" t="inlineStr">
        <is>
          <t>Disneyland Park</t>
        </is>
      </c>
      <c r="E18791" s="8" t="inlineStr">
        <is>
          <t>La Cabane des Robinson</t>
        </is>
      </c>
      <c r="F18791" s="8" t="inlineStr">
        <is>
          <t>STANDBY</t>
        </is>
      </c>
      <c r="G18791" s="8" t="n">
        <v>5</v>
      </c>
      <c r="H18791" s="8" t="inlineStr">
        <is>
          <t>OPERATING</t>
        </is>
      </c>
    </row>
    <row r="18792">
      <c r="A18792" s="8" t="inlineStr">
        <is>
          <t>2026-08-04</t>
        </is>
      </c>
      <c r="B18792" s="8" t="n">
        <v>10</v>
      </c>
      <c r="C18792" s="8" t="n">
        <v>1</v>
      </c>
      <c r="D18792" s="8" t="inlineStr">
        <is>
          <t>Disneyland Park</t>
        </is>
      </c>
      <c r="E18792" s="8" t="inlineStr">
        <is>
          <t>Le Passage Enchanté d'Aladdin</t>
        </is>
      </c>
      <c r="F18792" s="8" t="inlineStr">
        <is>
          <t>STANDBY</t>
        </is>
      </c>
      <c r="G18792" s="8" t="n">
        <v>0</v>
      </c>
      <c r="H18792" s="8" t="inlineStr">
        <is>
          <t>OPERATING</t>
        </is>
      </c>
    </row>
    <row r="18793">
      <c r="A18793" s="8" t="inlineStr">
        <is>
          <t>2026-08-04</t>
        </is>
      </c>
      <c r="B18793" s="8" t="n">
        <v>10</v>
      </c>
      <c r="C18793" s="8" t="n">
        <v>1</v>
      </c>
      <c r="D18793" s="8" t="inlineStr">
        <is>
          <t>Disneyland Park</t>
        </is>
      </c>
      <c r="E18793" s="8" t="inlineStr">
        <is>
          <t>Pirate Galleon</t>
        </is>
      </c>
      <c r="F18793" s="8" t="inlineStr">
        <is>
          <t>STANDBY</t>
        </is>
      </c>
      <c r="G18793" s="8" t="n">
        <v>0</v>
      </c>
      <c r="H18793" s="8" t="inlineStr">
        <is>
          <t>CLOSED</t>
        </is>
      </c>
    </row>
    <row r="18794">
      <c r="A18794" s="8" t="inlineStr">
        <is>
          <t>2026-08-04</t>
        </is>
      </c>
      <c r="B18794" s="8" t="n">
        <v>10</v>
      </c>
      <c r="C18794" s="8" t="n">
        <v>1</v>
      </c>
      <c r="D18794" s="8" t="inlineStr">
        <is>
          <t>Disneyland Park</t>
        </is>
      </c>
      <c r="E18794" s="8" t="inlineStr">
        <is>
          <t>Pirates of the Caribbean</t>
        </is>
      </c>
      <c r="F18794" s="8" t="inlineStr">
        <is>
          <t>STANDBY</t>
        </is>
      </c>
      <c r="G18794" s="8" t="n">
        <v>5</v>
      </c>
      <c r="H18794" s="8" t="inlineStr">
        <is>
          <t>OPERATING</t>
        </is>
      </c>
    </row>
    <row r="18795">
      <c r="A18795" s="8" t="inlineStr">
        <is>
          <t>2026-08-04</t>
        </is>
      </c>
      <c r="B18795" s="8" t="n">
        <v>10</v>
      </c>
      <c r="C18795" s="8" t="n">
        <v>1</v>
      </c>
      <c r="D18795" s="8" t="inlineStr">
        <is>
          <t>Disneyland Park</t>
        </is>
      </c>
      <c r="E18795" s="8" t="inlineStr">
        <is>
          <t>Pirates' Beach</t>
        </is>
      </c>
      <c r="F18795" s="8" t="inlineStr">
        <is>
          <t>STANDBY</t>
        </is>
      </c>
      <c r="G18795" s="8" t="n">
        <v>0</v>
      </c>
      <c r="H18795" s="8" t="inlineStr">
        <is>
          <t>OPERATING</t>
        </is>
      </c>
    </row>
    <row r="18796">
      <c r="A18796" s="8" t="inlineStr">
        <is>
          <t>2026-08-04</t>
        </is>
      </c>
      <c r="B18796" s="8" t="n">
        <v>10</v>
      </c>
      <c r="C18796" s="8" t="n">
        <v>1</v>
      </c>
      <c r="D18796" s="8" t="inlineStr">
        <is>
          <t>Disneyland Park</t>
        </is>
      </c>
      <c r="E18796" s="8" t="inlineStr">
        <is>
          <t>Autopia, presented by Avis</t>
        </is>
      </c>
      <c r="F18796" s="8" t="inlineStr">
        <is>
          <t>STANDBY</t>
        </is>
      </c>
      <c r="G18796" s="8" t="n">
        <v>45</v>
      </c>
      <c r="H18796" s="8" t="inlineStr">
        <is>
          <t>OPERATING</t>
        </is>
      </c>
    </row>
    <row r="18797">
      <c r="A18797" s="8" t="inlineStr">
        <is>
          <t>2026-08-04</t>
        </is>
      </c>
      <c r="B18797" s="8" t="n">
        <v>10</v>
      </c>
      <c r="C18797" s="8" t="n">
        <v>1</v>
      </c>
      <c r="D18797" s="8" t="inlineStr">
        <is>
          <t>Disneyland Park</t>
        </is>
      </c>
      <c r="E18797" s="8" t="inlineStr">
        <is>
          <t>Buzz Lightyear Laser Blast</t>
        </is>
      </c>
      <c r="F18797" s="8" t="inlineStr">
        <is>
          <t>STANDBY</t>
        </is>
      </c>
      <c r="G18797" s="8" t="n">
        <v>35</v>
      </c>
      <c r="H18797" s="8" t="inlineStr">
        <is>
          <t>OPERATING</t>
        </is>
      </c>
    </row>
    <row r="18798">
      <c r="A18798" s="8" t="inlineStr">
        <is>
          <t>2026-08-04</t>
        </is>
      </c>
      <c r="B18798" s="8" t="n">
        <v>10</v>
      </c>
      <c r="C18798" s="8" t="n">
        <v>1</v>
      </c>
      <c r="D18798" s="8" t="inlineStr">
        <is>
          <t>Disneyland Park</t>
        </is>
      </c>
      <c r="E18798" s="8" t="inlineStr">
        <is>
          <t>Disneyland Railroad Discoveryland Station</t>
        </is>
      </c>
      <c r="F18798" s="8" t="inlineStr">
        <is>
          <t>STANDBY</t>
        </is>
      </c>
      <c r="G18798" s="8" t="n">
        <v>0</v>
      </c>
      <c r="H18798" s="8" t="inlineStr">
        <is>
          <t>CLOSED</t>
        </is>
      </c>
    </row>
    <row r="18799">
      <c r="A18799" s="8" t="inlineStr">
        <is>
          <t>2026-08-04</t>
        </is>
      </c>
      <c r="B18799" s="8" t="n">
        <v>10</v>
      </c>
      <c r="C18799" s="8" t="n">
        <v>1</v>
      </c>
      <c r="D18799" s="8" t="inlineStr">
        <is>
          <t>Disneyland Park</t>
        </is>
      </c>
      <c r="E18799" s="8" t="inlineStr">
        <is>
          <t>Les Mystères du Nautilus</t>
        </is>
      </c>
      <c r="F18799" s="8" t="inlineStr">
        <is>
          <t>STANDBY</t>
        </is>
      </c>
      <c r="G18799" s="8" t="n">
        <v>5</v>
      </c>
      <c r="H18799" s="8" t="inlineStr">
        <is>
          <t>OPERATING</t>
        </is>
      </c>
    </row>
    <row r="18800">
      <c r="A18800" s="8" t="inlineStr">
        <is>
          <t>2026-08-04</t>
        </is>
      </c>
      <c r="B18800" s="8" t="n">
        <v>10</v>
      </c>
      <c r="C18800" s="8" t="n">
        <v>1</v>
      </c>
      <c r="D18800" s="8" t="inlineStr">
        <is>
          <t>Disneyland Park</t>
        </is>
      </c>
      <c r="E18800" s="8" t="inlineStr">
        <is>
          <t>Mickey’s PhilharMagic</t>
        </is>
      </c>
      <c r="F18800" s="8" t="inlineStr">
        <is>
          <t>STANDBY</t>
        </is>
      </c>
      <c r="G18800" s="8" t="n">
        <v>0</v>
      </c>
      <c r="H18800" s="8" t="inlineStr">
        <is>
          <t>CLOSED</t>
        </is>
      </c>
    </row>
    <row r="18801">
      <c r="A18801" s="8" t="inlineStr">
        <is>
          <t>2026-08-04</t>
        </is>
      </c>
      <c r="B18801" s="8" t="n">
        <v>10</v>
      </c>
      <c r="C18801" s="8" t="n">
        <v>1</v>
      </c>
      <c r="D18801" s="8" t="inlineStr">
        <is>
          <t>Disneyland Park</t>
        </is>
      </c>
      <c r="E18801" s="8" t="inlineStr">
        <is>
          <t>Orbitron®</t>
        </is>
      </c>
      <c r="F18801" s="8" t="inlineStr">
        <is>
          <t>STANDBY</t>
        </is>
      </c>
      <c r="G18801" s="8" t="n">
        <v>40</v>
      </c>
      <c r="H18801" s="8" t="inlineStr">
        <is>
          <t>OPERATING</t>
        </is>
      </c>
    </row>
    <row r="18802">
      <c r="A18802" s="8" t="inlineStr">
        <is>
          <t>2026-08-04</t>
        </is>
      </c>
      <c r="B18802" s="8" t="n">
        <v>10</v>
      </c>
      <c r="C18802" s="8" t="n">
        <v>1</v>
      </c>
      <c r="D18802" s="8" t="inlineStr">
        <is>
          <t>Disneyland Park</t>
        </is>
      </c>
      <c r="E18802" s="8" t="inlineStr">
        <is>
          <t>Star Tours: The Adventures Continue*</t>
        </is>
      </c>
      <c r="F18802" s="8" t="inlineStr">
        <is>
          <t>STANDBY</t>
        </is>
      </c>
      <c r="G18802" s="8" t="n">
        <v>5</v>
      </c>
      <c r="H18802" s="8" t="inlineStr">
        <is>
          <t>OPERATING</t>
        </is>
      </c>
    </row>
    <row r="18803">
      <c r="A18803" s="8" t="inlineStr">
        <is>
          <t>2026-08-04</t>
        </is>
      </c>
      <c r="B18803" s="8" t="n">
        <v>10</v>
      </c>
      <c r="C18803" s="8" t="n">
        <v>1</v>
      </c>
      <c r="D18803" s="8" t="inlineStr">
        <is>
          <t>Disneyland Park</t>
        </is>
      </c>
      <c r="E18803" s="8" t="inlineStr">
        <is>
          <t>Star Wars Hyperspace Mountain</t>
        </is>
      </c>
      <c r="F18803" s="8" t="inlineStr">
        <is>
          <t>STANDBY</t>
        </is>
      </c>
      <c r="G18803" s="8" t="n">
        <v>15</v>
      </c>
      <c r="H18803" s="8" t="inlineStr">
        <is>
          <t>OPERATING</t>
        </is>
      </c>
    </row>
    <row r="18804">
      <c r="A18804" s="8" t="inlineStr">
        <is>
          <t>2026-08-04</t>
        </is>
      </c>
      <c r="B18804" s="8" t="n">
        <v>10</v>
      </c>
      <c r="C18804" s="8" t="n">
        <v>1</v>
      </c>
      <c r="D18804" s="8" t="inlineStr">
        <is>
          <t>Disneyland Park</t>
        </is>
      </c>
      <c r="E18804" s="8" t="inlineStr">
        <is>
          <t>Star Wars Hyperspace Mountain Single Rider</t>
        </is>
      </c>
      <c r="F18804" s="8" t="inlineStr">
        <is>
          <t>STANDBY</t>
        </is>
      </c>
      <c r="G18804" s="8" t="n">
        <v>5</v>
      </c>
      <c r="H18804" s="8" t="inlineStr">
        <is>
          <t>OPERATING</t>
        </is>
      </c>
    </row>
    <row r="18805">
      <c r="A18805" s="8" t="inlineStr">
        <is>
          <t>2026-08-04</t>
        </is>
      </c>
      <c r="B18805" s="8" t="n">
        <v>10</v>
      </c>
      <c r="C18805" s="8" t="n">
        <v>1</v>
      </c>
      <c r="D18805" s="8" t="inlineStr">
        <is>
          <t>Disneyland Park</t>
        </is>
      </c>
      <c r="E18805" s="8" t="inlineStr">
        <is>
          <t>Welcome to Starport: A Star Wars Encounter</t>
        </is>
      </c>
      <c r="F18805" s="8" t="inlineStr">
        <is>
          <t>STANDBY</t>
        </is>
      </c>
      <c r="G18805" s="8" t="n">
        <v>0</v>
      </c>
      <c r="H18805" s="8" t="inlineStr">
        <is>
          <t>CLOSED</t>
        </is>
      </c>
    </row>
    <row r="18806">
      <c r="A18806" s="8" t="inlineStr">
        <is>
          <t>2026-08-04</t>
        </is>
      </c>
      <c r="B18806" s="8" t="n">
        <v>10</v>
      </c>
      <c r="C18806" s="8" t="n">
        <v>1</v>
      </c>
      <c r="D18806" s="8" t="inlineStr">
        <is>
          <t>Disneyland Park</t>
        </is>
      </c>
      <c r="E18806" s="8" t="inlineStr">
        <is>
          <t>"it's a small world"</t>
        </is>
      </c>
      <c r="F18806" s="8" t="inlineStr">
        <is>
          <t>STANDBY</t>
        </is>
      </c>
      <c r="G18806" s="8" t="n">
        <v>5</v>
      </c>
      <c r="H18806" s="8" t="inlineStr">
        <is>
          <t>OPERATING</t>
        </is>
      </c>
    </row>
    <row r="18807">
      <c r="A18807" s="8" t="inlineStr">
        <is>
          <t>2026-08-04</t>
        </is>
      </c>
      <c r="B18807" s="8" t="n">
        <v>10</v>
      </c>
      <c r="C18807" s="8" t="n">
        <v>1</v>
      </c>
      <c r="D18807" s="8" t="inlineStr">
        <is>
          <t>Disneyland Park</t>
        </is>
      </c>
      <c r="E18807" s="8" t="inlineStr">
        <is>
          <t>Alice's Curious Labyrinth</t>
        </is>
      </c>
      <c r="F18807" s="8" t="inlineStr">
        <is>
          <t>STANDBY</t>
        </is>
      </c>
      <c r="G18807" s="8" t="n">
        <v>5</v>
      </c>
      <c r="H18807" s="8" t="inlineStr">
        <is>
          <t>OPERATING</t>
        </is>
      </c>
    </row>
    <row r="18808">
      <c r="A18808" s="8" t="inlineStr">
        <is>
          <t>2026-08-04</t>
        </is>
      </c>
      <c r="B18808" s="8" t="n">
        <v>10</v>
      </c>
      <c r="C18808" s="8" t="n">
        <v>1</v>
      </c>
      <c r="D18808" s="8" t="inlineStr">
        <is>
          <t>Disneyland Park</t>
        </is>
      </c>
      <c r="E18808" s="8" t="inlineStr">
        <is>
          <t>Blanche-Neige et les Sept Nains®</t>
        </is>
      </c>
      <c r="F18808" s="8" t="inlineStr">
        <is>
          <t>STANDBY</t>
        </is>
      </c>
      <c r="G18808" s="8" t="n">
        <v>5</v>
      </c>
      <c r="H18808" s="8" t="inlineStr">
        <is>
          <t>OPERATING</t>
        </is>
      </c>
    </row>
    <row r="18809">
      <c r="A18809" s="8" t="inlineStr">
        <is>
          <t>2026-08-04</t>
        </is>
      </c>
      <c r="B18809" s="8" t="n">
        <v>10</v>
      </c>
      <c r="C18809" s="8" t="n">
        <v>1</v>
      </c>
      <c r="D18809" s="8" t="inlineStr">
        <is>
          <t>Disneyland Park</t>
        </is>
      </c>
      <c r="E18809" s="8" t="inlineStr">
        <is>
          <t>Casey Jr. – le Petit Train du Cirque</t>
        </is>
      </c>
      <c r="F18809" s="8" t="inlineStr">
        <is>
          <t>STANDBY</t>
        </is>
      </c>
      <c r="G18809" s="8" t="n">
        <v>5</v>
      </c>
      <c r="H18809" s="8" t="inlineStr">
        <is>
          <t>OPERATING</t>
        </is>
      </c>
    </row>
    <row r="18810">
      <c r="A18810" s="8" t="inlineStr">
        <is>
          <t>2026-08-04</t>
        </is>
      </c>
      <c r="B18810" s="8" t="n">
        <v>10</v>
      </c>
      <c r="C18810" s="8" t="n">
        <v>1</v>
      </c>
      <c r="D18810" s="8" t="inlineStr">
        <is>
          <t>Disneyland Park</t>
        </is>
      </c>
      <c r="E18810" s="8" t="inlineStr">
        <is>
          <t>Disneyland Railroad Fantasyland Station</t>
        </is>
      </c>
      <c r="F18810" s="8" t="inlineStr">
        <is>
          <t>STANDBY</t>
        </is>
      </c>
      <c r="G18810" s="8" t="n">
        <v>0</v>
      </c>
      <c r="H18810" s="8" t="inlineStr">
        <is>
          <t>CLOSED</t>
        </is>
      </c>
    </row>
    <row r="18811">
      <c r="A18811" s="8" t="inlineStr">
        <is>
          <t>2026-08-04</t>
        </is>
      </c>
      <c r="B18811" s="8" t="n">
        <v>10</v>
      </c>
      <c r="C18811" s="8" t="n">
        <v>1</v>
      </c>
      <c r="D18811" s="8" t="inlineStr">
        <is>
          <t>Disneyland Park</t>
        </is>
      </c>
      <c r="E18811" s="8" t="inlineStr">
        <is>
          <t>Disneyland Railroad Main Street Station</t>
        </is>
      </c>
      <c r="F18811" s="8" t="inlineStr">
        <is>
          <t>STANDBY</t>
        </is>
      </c>
      <c r="G18811" s="8" t="n">
        <v>0</v>
      </c>
      <c r="H18811" s="8" t="inlineStr">
        <is>
          <t>CLOSED</t>
        </is>
      </c>
    </row>
    <row r="18812">
      <c r="A18812" s="8" t="inlineStr">
        <is>
          <t>2026-08-04</t>
        </is>
      </c>
      <c r="B18812" s="8" t="n">
        <v>10</v>
      </c>
      <c r="C18812" s="8" t="n">
        <v>1</v>
      </c>
      <c r="D18812" s="8" t="inlineStr">
        <is>
          <t>Disneyland Park</t>
        </is>
      </c>
      <c r="E18812" s="8" t="inlineStr">
        <is>
          <t>Dumbo the Flying Elephant</t>
        </is>
      </c>
      <c r="F18812" s="8" t="inlineStr">
        <is>
          <t>STANDBY</t>
        </is>
      </c>
      <c r="G18812" s="8" t="n">
        <v>20</v>
      </c>
      <c r="H18812" s="8" t="inlineStr">
        <is>
          <t>OPERATING</t>
        </is>
      </c>
    </row>
    <row r="18813">
      <c r="A18813" s="8" t="inlineStr">
        <is>
          <t>2026-08-04</t>
        </is>
      </c>
      <c r="B18813" s="8" t="n">
        <v>10</v>
      </c>
      <c r="C18813" s="8" t="n">
        <v>1</v>
      </c>
      <c r="D18813" s="8" t="inlineStr">
        <is>
          <t>Disneyland Park</t>
        </is>
      </c>
      <c r="E18813" s="8" t="inlineStr">
        <is>
          <t>La Tanière du Dragon</t>
        </is>
      </c>
      <c r="F18813" s="8" t="inlineStr">
        <is>
          <t>STANDBY</t>
        </is>
      </c>
      <c r="G18813" s="8" t="n">
        <v>0</v>
      </c>
      <c r="H18813" s="8" t="inlineStr">
        <is>
          <t>OPERATING</t>
        </is>
      </c>
    </row>
    <row r="18814">
      <c r="A18814" s="8" t="inlineStr">
        <is>
          <t>2026-08-04</t>
        </is>
      </c>
      <c r="B18814" s="8" t="n">
        <v>10</v>
      </c>
      <c r="C18814" s="8" t="n">
        <v>1</v>
      </c>
      <c r="D18814" s="8" t="inlineStr">
        <is>
          <t>Disneyland Park</t>
        </is>
      </c>
      <c r="E18814" s="8" t="inlineStr">
        <is>
          <t>Le Carrousel de Lancelot</t>
        </is>
      </c>
      <c r="F18814" s="8" t="inlineStr">
        <is>
          <t>STANDBY</t>
        </is>
      </c>
      <c r="G18814" s="8" t="n">
        <v>5</v>
      </c>
      <c r="H18814" s="8" t="inlineStr">
        <is>
          <t>OPERATING</t>
        </is>
      </c>
    </row>
    <row r="18815">
      <c r="A18815" s="8" t="inlineStr">
        <is>
          <t>2026-08-04</t>
        </is>
      </c>
      <c r="B18815" s="8" t="n">
        <v>10</v>
      </c>
      <c r="C18815" s="8" t="n">
        <v>1</v>
      </c>
      <c r="D18815" s="8" t="inlineStr">
        <is>
          <t>Disneyland Park</t>
        </is>
      </c>
      <c r="E18815" s="8" t="inlineStr">
        <is>
          <t>Le Pays des Contes de Fées, presented by Vittel</t>
        </is>
      </c>
      <c r="F18815" s="8" t="inlineStr">
        <is>
          <t>STANDBY</t>
        </is>
      </c>
      <c r="G18815" s="8" t="n">
        <v>5</v>
      </c>
      <c r="H18815" s="8" t="inlineStr">
        <is>
          <t>OPERATING</t>
        </is>
      </c>
    </row>
    <row r="18816">
      <c r="A18816" s="8" t="inlineStr">
        <is>
          <t>2026-08-04</t>
        </is>
      </c>
      <c r="B18816" s="8" t="n">
        <v>10</v>
      </c>
      <c r="C18816" s="8" t="n">
        <v>1</v>
      </c>
      <c r="D18816" s="8" t="inlineStr">
        <is>
          <t>Disneyland Park</t>
        </is>
      </c>
      <c r="E18816" s="8" t="inlineStr">
        <is>
          <t>Les Voyages de Pinocchio</t>
        </is>
      </c>
      <c r="F18816" s="8" t="inlineStr">
        <is>
          <t>STANDBY</t>
        </is>
      </c>
      <c r="G18816" s="8" t="n">
        <v>5</v>
      </c>
      <c r="H18816" s="8" t="inlineStr">
        <is>
          <t>OPERATING</t>
        </is>
      </c>
    </row>
    <row r="18817">
      <c r="A18817" s="8" t="inlineStr">
        <is>
          <t>2026-08-04</t>
        </is>
      </c>
      <c r="B18817" s="8" t="n">
        <v>10</v>
      </c>
      <c r="C18817" s="8" t="n">
        <v>1</v>
      </c>
      <c r="D18817" s="8" t="inlineStr">
        <is>
          <t>Disneyland Park</t>
        </is>
      </c>
      <c r="E18817" s="8" t="inlineStr">
        <is>
          <t>Mad Hatter's Tea Cups</t>
        </is>
      </c>
      <c r="F18817" s="8" t="inlineStr">
        <is>
          <t>STANDBY</t>
        </is>
      </c>
      <c r="G18817" s="8" t="n">
        <v>5</v>
      </c>
      <c r="H18817" s="8" t="inlineStr">
        <is>
          <t>OPERATING</t>
        </is>
      </c>
    </row>
    <row r="18818">
      <c r="A18818" s="8" t="inlineStr">
        <is>
          <t>2026-08-04</t>
        </is>
      </c>
      <c r="B18818" s="8" t="n">
        <v>10</v>
      </c>
      <c r="C18818" s="8" t="n">
        <v>1</v>
      </c>
      <c r="D18818" s="8" t="inlineStr">
        <is>
          <t>Disneyland Park</t>
        </is>
      </c>
      <c r="E18818" s="8" t="inlineStr">
        <is>
          <t>Meet Mickey Mouse</t>
        </is>
      </c>
      <c r="F18818" s="8" t="inlineStr">
        <is>
          <t>STANDBY</t>
        </is>
      </c>
      <c r="G18818" s="8" t="n">
        <v>0</v>
      </c>
      <c r="H18818" s="8" t="inlineStr">
        <is>
          <t>CLOSED</t>
        </is>
      </c>
    </row>
    <row r="18819">
      <c r="A18819" s="8" t="inlineStr">
        <is>
          <t>2026-08-04</t>
        </is>
      </c>
      <c r="B18819" s="8" t="n">
        <v>10</v>
      </c>
      <c r="C18819" s="8" t="n">
        <v>1</v>
      </c>
      <c r="D18819" s="8" t="inlineStr">
        <is>
          <t>Disneyland Park</t>
        </is>
      </c>
      <c r="E18819" s="8" t="inlineStr">
        <is>
          <t>Peter Pan's Flight</t>
        </is>
      </c>
      <c r="F18819" s="8" t="inlineStr">
        <is>
          <t>STANDBY</t>
        </is>
      </c>
      <c r="G18819" s="8" t="n">
        <v>50</v>
      </c>
      <c r="H18819" s="8" t="inlineStr">
        <is>
          <t>OPERATING</t>
        </is>
      </c>
    </row>
    <row r="18820">
      <c r="A18820" s="8" t="inlineStr">
        <is>
          <t>2026-08-04</t>
        </is>
      </c>
      <c r="B18820" s="8" t="n">
        <v>10</v>
      </c>
      <c r="C18820" s="8" t="n">
        <v>1</v>
      </c>
      <c r="D18820" s="8" t="inlineStr">
        <is>
          <t>Disneyland Park</t>
        </is>
      </c>
      <c r="E18820" s="8" t="inlineStr">
        <is>
          <t>Princess Pavilion</t>
        </is>
      </c>
      <c r="F18820" s="8" t="inlineStr">
        <is>
          <t>STANDBY</t>
        </is>
      </c>
      <c r="G18820" s="8" t="n">
        <v>0</v>
      </c>
      <c r="H18820" s="8" t="inlineStr">
        <is>
          <t>CLOSED</t>
        </is>
      </c>
    </row>
    <row r="18821">
      <c r="A18821" s="8" t="inlineStr">
        <is>
          <t>2026-08-04</t>
        </is>
      </c>
      <c r="B18821" s="8" t="n">
        <v>10</v>
      </c>
      <c r="C18821" s="8" t="n">
        <v>1</v>
      </c>
      <c r="D18821" s="8" t="inlineStr">
        <is>
          <t>Disneyland Park</t>
        </is>
      </c>
      <c r="E18821" s="8" t="inlineStr">
        <is>
          <t>Big Thunder Mountain</t>
        </is>
      </c>
      <c r="F18821" s="8" t="inlineStr">
        <is>
          <t>STANDBY</t>
        </is>
      </c>
      <c r="G18821" s="8" t="n">
        <v>60</v>
      </c>
      <c r="H18821" s="8" t="inlineStr">
        <is>
          <t>OPERATING</t>
        </is>
      </c>
    </row>
    <row r="18822">
      <c r="A18822" s="8" t="inlineStr">
        <is>
          <t>2026-08-04</t>
        </is>
      </c>
      <c r="B18822" s="8" t="n">
        <v>10</v>
      </c>
      <c r="C18822" s="8" t="n">
        <v>1</v>
      </c>
      <c r="D18822" s="8" t="inlineStr">
        <is>
          <t>Disneyland Park</t>
        </is>
      </c>
      <c r="E18822" s="8" t="inlineStr">
        <is>
          <t>Disneyland Railroad Frontierland Depot</t>
        </is>
      </c>
      <c r="F18822" s="8" t="inlineStr">
        <is>
          <t>STANDBY</t>
        </is>
      </c>
      <c r="G18822" s="8" t="n">
        <v>0</v>
      </c>
      <c r="H18822" s="8" t="inlineStr">
        <is>
          <t>CLOSED</t>
        </is>
      </c>
    </row>
    <row r="18823">
      <c r="A18823" s="8" t="inlineStr">
        <is>
          <t>2026-08-04</t>
        </is>
      </c>
      <c r="B18823" s="8" t="n">
        <v>10</v>
      </c>
      <c r="C18823" s="8" t="n">
        <v>1</v>
      </c>
      <c r="D18823" s="8" t="inlineStr">
        <is>
          <t>Disneyland Park</t>
        </is>
      </c>
      <c r="E18823" s="8" t="inlineStr">
        <is>
          <t>Frontierland Playground</t>
        </is>
      </c>
      <c r="F18823" s="8" t="inlineStr">
        <is>
          <t>STANDBY</t>
        </is>
      </c>
      <c r="G18823" s="8" t="n">
        <v>0</v>
      </c>
      <c r="H18823" s="8" t="inlineStr">
        <is>
          <t>OPERATING</t>
        </is>
      </c>
    </row>
    <row r="18824">
      <c r="A18824" s="8" t="inlineStr">
        <is>
          <t>2026-08-04</t>
        </is>
      </c>
      <c r="B18824" s="8" t="n">
        <v>10</v>
      </c>
      <c r="C18824" s="8" t="n">
        <v>1</v>
      </c>
      <c r="D18824" s="8" t="inlineStr">
        <is>
          <t>Disneyland Park</t>
        </is>
      </c>
      <c r="E18824" s="8" t="inlineStr">
        <is>
          <t>Phantom Manor</t>
        </is>
      </c>
      <c r="F18824" s="8" t="inlineStr">
        <is>
          <t>STANDBY</t>
        </is>
      </c>
      <c r="G18824" s="8" t="n">
        <v>5</v>
      </c>
      <c r="H18824" s="8" t="inlineStr">
        <is>
          <t>OPERATING</t>
        </is>
      </c>
    </row>
    <row r="18825">
      <c r="A18825" s="8" t="inlineStr">
        <is>
          <t>2026-08-04</t>
        </is>
      </c>
      <c r="B18825" s="8" t="n">
        <v>10</v>
      </c>
      <c r="C18825" s="8" t="n">
        <v>1</v>
      </c>
      <c r="D18825" s="8" t="inlineStr">
        <is>
          <t>Disneyland Park</t>
        </is>
      </c>
      <c r="E18825" s="8" t="inlineStr">
        <is>
          <t>River Rogue Keelboats</t>
        </is>
      </c>
      <c r="F18825" s="8" t="inlineStr">
        <is>
          <t>STANDBY</t>
        </is>
      </c>
      <c r="G18825" s="8" t="n">
        <v>0</v>
      </c>
      <c r="H18825" s="8" t="inlineStr">
        <is>
          <t>CLOSED</t>
        </is>
      </c>
    </row>
    <row r="18826">
      <c r="A18826" s="8" t="inlineStr">
        <is>
          <t>2026-08-04</t>
        </is>
      </c>
      <c r="B18826" s="8" t="n">
        <v>10</v>
      </c>
      <c r="C18826" s="8" t="n">
        <v>1</v>
      </c>
      <c r="D18826" s="8" t="inlineStr">
        <is>
          <t>Disneyland Park</t>
        </is>
      </c>
      <c r="E18826" s="8" t="inlineStr">
        <is>
          <t>Rustler Roundup Shootin' Gallery</t>
        </is>
      </c>
      <c r="F18826" s="8" t="inlineStr">
        <is>
          <t>STANDBY</t>
        </is>
      </c>
      <c r="G18826" s="8" t="n">
        <v>0</v>
      </c>
      <c r="H18826" s="8" t="inlineStr">
        <is>
          <t>OPERATING</t>
        </is>
      </c>
    </row>
    <row r="18827">
      <c r="A18827" s="8" t="inlineStr">
        <is>
          <t>2026-08-04</t>
        </is>
      </c>
      <c r="B18827" s="8" t="n">
        <v>10</v>
      </c>
      <c r="C18827" s="8" t="n">
        <v>1</v>
      </c>
      <c r="D18827" s="8" t="inlineStr">
        <is>
          <t>Disneyland Park</t>
        </is>
      </c>
      <c r="E18827" s="8" t="inlineStr">
        <is>
          <t>Thunder Mesa Riverboat Landing</t>
        </is>
      </c>
      <c r="F18827" s="8" t="inlineStr">
        <is>
          <t>STANDBY</t>
        </is>
      </c>
      <c r="G18827" s="8" t="n">
        <v>0</v>
      </c>
      <c r="H18827" s="8" t="inlineStr">
        <is>
          <t>CLOSED</t>
        </is>
      </c>
    </row>
    <row r="18828">
      <c r="A18828" s="8" t="inlineStr">
        <is>
          <t>2026-08-04</t>
        </is>
      </c>
      <c r="B18828" s="8" t="n">
        <v>10</v>
      </c>
      <c r="C18828" s="8" t="n">
        <v>1</v>
      </c>
      <c r="D18828" s="8" t="inlineStr">
        <is>
          <t>Disneyland Park</t>
        </is>
      </c>
      <c r="E18828" s="8" t="inlineStr">
        <is>
          <t>Disneyland Railroad Main Street Station</t>
        </is>
      </c>
      <c r="F18828" s="8" t="inlineStr">
        <is>
          <t>STANDBY</t>
        </is>
      </c>
      <c r="G18828" s="8" t="n">
        <v>0</v>
      </c>
      <c r="H18828" s="8" t="inlineStr">
        <is>
          <t>CLOSED</t>
        </is>
      </c>
    </row>
    <row r="18829">
      <c r="A18829" s="8" t="inlineStr">
        <is>
          <t>2026-08-04</t>
        </is>
      </c>
      <c r="B18829" s="8" t="n">
        <v>10</v>
      </c>
      <c r="C18829" s="8" t="n">
        <v>1</v>
      </c>
      <c r="D18829" s="8" t="inlineStr">
        <is>
          <t>Disneyland Park</t>
        </is>
      </c>
      <c r="E18829" s="8" t="inlineStr">
        <is>
          <t>Main Street Vehicles</t>
        </is>
      </c>
      <c r="F18829" s="8" t="inlineStr">
        <is>
          <t>STANDBY</t>
        </is>
      </c>
      <c r="G18829" s="8" t="n">
        <v>5</v>
      </c>
      <c r="H18829" s="8" t="inlineStr">
        <is>
          <t>OPERATING</t>
        </is>
      </c>
    </row>
    <row r="18830">
      <c r="A18830" s="8" t="inlineStr">
        <is>
          <t>2026-08-04</t>
        </is>
      </c>
      <c r="B18830" s="8" t="n">
        <v>10</v>
      </c>
      <c r="C18830" s="8" t="n">
        <v>1</v>
      </c>
      <c r="D18830" s="8" t="inlineStr">
        <is>
          <t>Disney Adventure World</t>
        </is>
      </c>
      <c r="E18830" s="8" t="inlineStr">
        <is>
          <t>Avengers Assemble: Flight Force</t>
        </is>
      </c>
      <c r="F18830" s="8" t="inlineStr">
        <is>
          <t>STANDBY</t>
        </is>
      </c>
      <c r="G18830" s="8" t="n">
        <v>5</v>
      </c>
      <c r="H18830" s="8" t="inlineStr">
        <is>
          <t>OPERATING</t>
        </is>
      </c>
    </row>
    <row r="18831">
      <c r="A18831" s="8" t="inlineStr">
        <is>
          <t>2026-08-04</t>
        </is>
      </c>
      <c r="B18831" s="8" t="n">
        <v>10</v>
      </c>
      <c r="C18831" s="8" t="n">
        <v>1</v>
      </c>
      <c r="D18831" s="8" t="inlineStr">
        <is>
          <t>Disney Adventure World</t>
        </is>
      </c>
      <c r="E18831" s="8" t="inlineStr">
        <is>
          <t>Avengers Assemble: Flight Force Single Rider</t>
        </is>
      </c>
      <c r="F18831" s="8" t="inlineStr">
        <is>
          <t>STANDBY</t>
        </is>
      </c>
      <c r="G18831" s="8" t="n">
        <v>5</v>
      </c>
      <c r="H18831" s="8" t="inlineStr">
        <is>
          <t>OPERATING</t>
        </is>
      </c>
    </row>
    <row r="18832">
      <c r="A18832" s="8" t="inlineStr">
        <is>
          <t>2026-08-04</t>
        </is>
      </c>
      <c r="B18832" s="8" t="n">
        <v>10</v>
      </c>
      <c r="C18832" s="8" t="n">
        <v>1</v>
      </c>
      <c r="D18832" s="8" t="inlineStr">
        <is>
          <t>Disney Adventure World</t>
        </is>
      </c>
      <c r="E18832" s="8" t="inlineStr">
        <is>
          <t>Spider-Man W.E.B. Adventure</t>
        </is>
      </c>
      <c r="F18832" s="8" t="inlineStr">
        <is>
          <t>STANDBY</t>
        </is>
      </c>
      <c r="G18832" s="8" t="n">
        <v>35</v>
      </c>
      <c r="H18832" s="8" t="inlineStr">
        <is>
          <t>OPERATING</t>
        </is>
      </c>
    </row>
    <row r="18833">
      <c r="A18833" s="8" t="inlineStr">
        <is>
          <t>2026-08-04</t>
        </is>
      </c>
      <c r="B18833" s="8" t="n">
        <v>10</v>
      </c>
      <c r="C18833" s="8" t="n">
        <v>1</v>
      </c>
      <c r="D18833" s="8" t="inlineStr">
        <is>
          <t>Disney Adventure World</t>
        </is>
      </c>
      <c r="E18833" s="8" t="inlineStr">
        <is>
          <t>Spider-Man W.E.B. Adventure Single Rider</t>
        </is>
      </c>
      <c r="F18833" s="8" t="inlineStr">
        <is>
          <t>STANDBY</t>
        </is>
      </c>
      <c r="G18833" s="8" t="n">
        <v>5</v>
      </c>
      <c r="H18833" s="8" t="inlineStr">
        <is>
          <t>OPERATING</t>
        </is>
      </c>
    </row>
    <row r="18834">
      <c r="A18834" s="8" t="inlineStr">
        <is>
          <t>2026-08-04</t>
        </is>
      </c>
      <c r="B18834" s="8" t="n">
        <v>10</v>
      </c>
      <c r="C18834" s="8" t="n">
        <v>1</v>
      </c>
      <c r="D18834" s="8" t="inlineStr">
        <is>
          <t>Disney Adventure World</t>
        </is>
      </c>
      <c r="E18834" s="8" t="inlineStr">
        <is>
          <t>The Twilight Zone Tower of Terror</t>
        </is>
      </c>
      <c r="F18834" s="8" t="inlineStr">
        <is>
          <t>STANDBY</t>
        </is>
      </c>
      <c r="G18834" s="8" t="n">
        <v>10</v>
      </c>
      <c r="H18834" s="8" t="inlineStr">
        <is>
          <t>OPERATING</t>
        </is>
      </c>
    </row>
    <row r="18835">
      <c r="A18835" s="8" t="inlineStr">
        <is>
          <t>2026-08-04</t>
        </is>
      </c>
      <c r="B18835" s="8" t="n">
        <v>10</v>
      </c>
      <c r="C18835" s="8" t="n">
        <v>1</v>
      </c>
      <c r="D18835" s="8" t="inlineStr">
        <is>
          <t>Disney Adventure World</t>
        </is>
      </c>
      <c r="E18835" s="8" t="inlineStr">
        <is>
          <t>Cars Quatre Roues Rallye</t>
        </is>
      </c>
      <c r="F18835" s="8" t="inlineStr">
        <is>
          <t>STANDBY</t>
        </is>
      </c>
      <c r="G18835" s="8" t="n">
        <v>5</v>
      </c>
      <c r="H18835" s="8" t="inlineStr">
        <is>
          <t>OPERATING</t>
        </is>
      </c>
    </row>
    <row r="18836">
      <c r="A18836" s="8" t="inlineStr">
        <is>
          <t>2026-08-04</t>
        </is>
      </c>
      <c r="B18836" s="8" t="n">
        <v>10</v>
      </c>
      <c r="C18836" s="8" t="n">
        <v>1</v>
      </c>
      <c r="D18836" s="8" t="inlineStr">
        <is>
          <t>Disney Adventure World</t>
        </is>
      </c>
      <c r="E18836" s="8" t="inlineStr">
        <is>
          <t>Cars ROAD TRIP</t>
        </is>
      </c>
      <c r="F18836" s="8" t="inlineStr">
        <is>
          <t>STANDBY</t>
        </is>
      </c>
      <c r="G18836" s="8" t="n">
        <v>10</v>
      </c>
      <c r="H18836" s="8" t="inlineStr">
        <is>
          <t>OPERATING</t>
        </is>
      </c>
    </row>
    <row r="18837">
      <c r="A18837" s="8" t="inlineStr">
        <is>
          <t>2026-08-04</t>
        </is>
      </c>
      <c r="B18837" s="8" t="n">
        <v>10</v>
      </c>
      <c r="C18837" s="8" t="n">
        <v>1</v>
      </c>
      <c r="D18837" s="8" t="inlineStr">
        <is>
          <t>Disney Adventure World</t>
        </is>
      </c>
      <c r="E18837" s="8" t="inlineStr">
        <is>
          <t>Crush's Coaster</t>
        </is>
      </c>
      <c r="F18837" s="8" t="inlineStr">
        <is>
          <t>STANDBY</t>
        </is>
      </c>
      <c r="G18837" s="8" t="n">
        <v>85</v>
      </c>
      <c r="H18837" s="8" t="inlineStr">
        <is>
          <t>OPERATING</t>
        </is>
      </c>
    </row>
    <row r="18838">
      <c r="A18838" s="8" t="inlineStr">
        <is>
          <t>2026-08-04</t>
        </is>
      </c>
      <c r="B18838" s="8" t="n">
        <v>10</v>
      </c>
      <c r="C18838" s="8" t="n">
        <v>1</v>
      </c>
      <c r="D18838" s="8" t="inlineStr">
        <is>
          <t>Disney Adventure World</t>
        </is>
      </c>
      <c r="E18838" s="8" t="inlineStr">
        <is>
          <t>Crush's Coaster Single Rider</t>
        </is>
      </c>
      <c r="F18838" s="8" t="inlineStr">
        <is>
          <t>STANDBY</t>
        </is>
      </c>
      <c r="G18838" s="8" t="n">
        <v>65</v>
      </c>
      <c r="H18838" s="8" t="inlineStr">
        <is>
          <t>OPERATING</t>
        </is>
      </c>
    </row>
    <row r="18839">
      <c r="A18839" s="8" t="inlineStr">
        <is>
          <t>2026-08-04</t>
        </is>
      </c>
      <c r="B18839" s="8" t="n">
        <v>10</v>
      </c>
      <c r="C18839" s="8" t="n">
        <v>1</v>
      </c>
      <c r="D18839" s="8" t="inlineStr">
        <is>
          <t>Disney Adventure World</t>
        </is>
      </c>
      <c r="E18839" s="8" t="inlineStr">
        <is>
          <t>Les Tapis Volants - Flying Carpets Over Agrabah®</t>
        </is>
      </c>
      <c r="F18839" s="8" t="inlineStr">
        <is>
          <t>STANDBY</t>
        </is>
      </c>
      <c r="G18839" s="8" t="n">
        <v>5</v>
      </c>
      <c r="H18839" s="8" t="inlineStr">
        <is>
          <t>OPERATING</t>
        </is>
      </c>
    </row>
    <row r="18840">
      <c r="A18840" s="8" t="inlineStr">
        <is>
          <t>2026-08-04</t>
        </is>
      </c>
      <c r="B18840" s="8" t="n">
        <v>10</v>
      </c>
      <c r="C18840" s="8" t="n">
        <v>1</v>
      </c>
      <c r="D18840" s="8" t="inlineStr">
        <is>
          <t>Disney Adventure World</t>
        </is>
      </c>
      <c r="E18840" s="8" t="inlineStr">
        <is>
          <t>Ratatouille : L’Aventure Totalement Toquée de Rémy​</t>
        </is>
      </c>
      <c r="F18840" s="8" t="inlineStr">
        <is>
          <t>STANDBY</t>
        </is>
      </c>
      <c r="G18840" s="8" t="n">
        <v>45</v>
      </c>
      <c r="H18840" s="8" t="inlineStr">
        <is>
          <t>OPERATING</t>
        </is>
      </c>
    </row>
    <row r="18841">
      <c r="A18841" s="8" t="inlineStr">
        <is>
          <t>2026-08-04</t>
        </is>
      </c>
      <c r="B18841" s="8" t="n">
        <v>10</v>
      </c>
      <c r="C18841" s="8" t="n">
        <v>1</v>
      </c>
      <c r="D18841" s="8" t="inlineStr">
        <is>
          <t>Disney Adventure World</t>
        </is>
      </c>
      <c r="E18841" s="8" t="inlineStr">
        <is>
          <t>Ratatouille: The Adventure Single Rider</t>
        </is>
      </c>
      <c r="F18841" s="8" t="inlineStr">
        <is>
          <t>STANDBY</t>
        </is>
      </c>
      <c r="G18841" s="8" t="n">
        <v>5</v>
      </c>
      <c r="H18841" s="8" t="inlineStr">
        <is>
          <t>OPERATING</t>
        </is>
      </c>
    </row>
    <row r="18842">
      <c r="A18842" s="8" t="inlineStr">
        <is>
          <t>2026-08-04</t>
        </is>
      </c>
      <c r="B18842" s="8" t="n">
        <v>10</v>
      </c>
      <c r="C18842" s="8" t="n">
        <v>1</v>
      </c>
      <c r="D18842" s="8" t="inlineStr">
        <is>
          <t>Disney Adventure World</t>
        </is>
      </c>
      <c r="E18842" s="8" t="inlineStr">
        <is>
          <t>RC Racer</t>
        </is>
      </c>
      <c r="F18842" s="8" t="inlineStr">
        <is>
          <t>STANDBY</t>
        </is>
      </c>
      <c r="G18842" s="8" t="n">
        <v>35</v>
      </c>
      <c r="H18842" s="8" t="inlineStr">
        <is>
          <t>OPERATING</t>
        </is>
      </c>
    </row>
    <row r="18843">
      <c r="A18843" s="8" t="inlineStr">
        <is>
          <t>2026-08-04</t>
        </is>
      </c>
      <c r="B18843" s="8" t="n">
        <v>10</v>
      </c>
      <c r="C18843" s="8" t="n">
        <v>1</v>
      </c>
      <c r="D18843" s="8" t="inlineStr">
        <is>
          <t>Disney Adventure World</t>
        </is>
      </c>
      <c r="E18843" s="8" t="inlineStr">
        <is>
          <t>RC Racer Single Rider</t>
        </is>
      </c>
      <c r="F18843" s="8" t="inlineStr">
        <is>
          <t>STANDBY</t>
        </is>
      </c>
      <c r="G18843" s="8" t="n">
        <v>30</v>
      </c>
      <c r="H18843" s="8" t="inlineStr">
        <is>
          <t>OPERATING</t>
        </is>
      </c>
    </row>
    <row r="18844">
      <c r="A18844" s="8" t="inlineStr">
        <is>
          <t>2026-08-04</t>
        </is>
      </c>
      <c r="B18844" s="8" t="n">
        <v>10</v>
      </c>
      <c r="C18844" s="8" t="n">
        <v>1</v>
      </c>
      <c r="D18844" s="8" t="inlineStr">
        <is>
          <t>Disney Adventure World</t>
        </is>
      </c>
      <c r="E18844" s="8" t="inlineStr">
        <is>
          <t>Slinky® Dog Zigzag Spin</t>
        </is>
      </c>
      <c r="F18844" s="8" t="inlineStr">
        <is>
          <t>STANDBY</t>
        </is>
      </c>
      <c r="G18844" s="8" t="n">
        <v>10</v>
      </c>
      <c r="H18844" s="8" t="inlineStr">
        <is>
          <t>OPERATING</t>
        </is>
      </c>
    </row>
    <row r="18845">
      <c r="A18845" s="8" t="inlineStr">
        <is>
          <t>2026-08-04</t>
        </is>
      </c>
      <c r="B18845" s="8" t="n">
        <v>10</v>
      </c>
      <c r="C18845" s="8" t="n">
        <v>1</v>
      </c>
      <c r="D18845" s="8" t="inlineStr">
        <is>
          <t>Disney Adventure World</t>
        </is>
      </c>
      <c r="E18845" s="8" t="inlineStr">
        <is>
          <t>Toy Soldiers Parachute Drop</t>
        </is>
      </c>
      <c r="F18845" s="8" t="inlineStr">
        <is>
          <t>STANDBY</t>
        </is>
      </c>
      <c r="G18845" s="8" t="n">
        <v>45</v>
      </c>
      <c r="H18845" s="8" t="inlineStr">
        <is>
          <t>OPERATING</t>
        </is>
      </c>
    </row>
    <row r="18846">
      <c r="A18846" s="8" t="inlineStr">
        <is>
          <t>2026-08-04</t>
        </is>
      </c>
      <c r="B18846" s="8" t="n">
        <v>10</v>
      </c>
      <c r="C18846" s="8" t="n">
        <v>1</v>
      </c>
      <c r="D18846" s="8" t="inlineStr">
        <is>
          <t>Disney Adventure World</t>
        </is>
      </c>
      <c r="E18846" s="8" t="inlineStr">
        <is>
          <t>Toy Soldiers Parachute Drop Single Rider</t>
        </is>
      </c>
      <c r="F18846" s="8" t="inlineStr">
        <is>
          <t>STANDBY</t>
        </is>
      </c>
      <c r="G18846" s="8" t="n">
        <v>5</v>
      </c>
      <c r="H18846" s="8" t="inlineStr">
        <is>
          <t>OPERATING</t>
        </is>
      </c>
    </row>
    <row r="18847">
      <c r="A18847" s="8" t="inlineStr">
        <is>
          <t>2026-08-04</t>
        </is>
      </c>
      <c r="B18847" s="8" t="n">
        <v>10</v>
      </c>
      <c r="C18847" s="8" t="n">
        <v>1</v>
      </c>
      <c r="D18847" s="8" t="inlineStr">
        <is>
          <t>Disney Adventure World</t>
        </is>
      </c>
      <c r="E18847" s="8" t="inlineStr">
        <is>
          <t>Entry to World of Frozen</t>
        </is>
      </c>
      <c r="F18847" s="8" t="inlineStr">
        <is>
          <t>STANDBY</t>
        </is>
      </c>
      <c r="G18847" s="8" t="n">
        <v>0</v>
      </c>
      <c r="H18847" s="8" t="inlineStr">
        <is>
          <t>OPERATING</t>
        </is>
      </c>
    </row>
    <row r="18848">
      <c r="A18848" s="8" t="inlineStr">
        <is>
          <t>2026-08-04</t>
        </is>
      </c>
      <c r="B18848" s="8" t="n">
        <v>10</v>
      </c>
      <c r="C18848" s="8" t="n">
        <v>1</v>
      </c>
      <c r="D18848" s="8" t="inlineStr">
        <is>
          <t>Disney Adventure World</t>
        </is>
      </c>
      <c r="E18848" s="8" t="inlineStr">
        <is>
          <t>Frozen Ever After</t>
        </is>
      </c>
      <c r="F18848" s="8" t="inlineStr">
        <is>
          <t>STANDBY</t>
        </is>
      </c>
      <c r="G18848" s="8" t="n">
        <v>50</v>
      </c>
      <c r="H18848" s="8" t="inlineStr">
        <is>
          <t>OPERATING</t>
        </is>
      </c>
    </row>
    <row r="18849">
      <c r="A18849" s="8" t="inlineStr">
        <is>
          <t>2026-08-04</t>
        </is>
      </c>
      <c r="B18849" s="8" t="n">
        <v>10</v>
      </c>
      <c r="C18849" s="8" t="n">
        <v>1</v>
      </c>
      <c r="D18849" s="8" t="inlineStr">
        <is>
          <t>Disney Adventure World</t>
        </is>
      </c>
      <c r="E18849" s="8" t="inlineStr">
        <is>
          <t>Raiponce Tangled Spin</t>
        </is>
      </c>
      <c r="F18849" s="8" t="inlineStr">
        <is>
          <t>STANDBY</t>
        </is>
      </c>
      <c r="G18849" s="8" t="n">
        <v>5</v>
      </c>
      <c r="H18849" s="8" t="inlineStr">
        <is>
          <t>OPERATING</t>
        </is>
      </c>
    </row>
    <row r="18850">
      <c r="A18850" s="8" t="inlineStr">
        <is>
          <t>2026-08-04</t>
        </is>
      </c>
      <c r="B18850" s="8" t="n">
        <v>10</v>
      </c>
      <c r="C18850" s="8" t="n">
        <v>15</v>
      </c>
      <c r="D18850" s="8" t="inlineStr">
        <is>
          <t>Disneyland Park</t>
        </is>
      </c>
      <c r="E18850" s="8" t="inlineStr">
        <is>
          <t>Adventure Isle</t>
        </is>
      </c>
      <c r="F18850" s="8" t="inlineStr">
        <is>
          <t>STANDBY</t>
        </is>
      </c>
      <c r="G18850" s="8" t="n">
        <v>0</v>
      </c>
      <c r="H18850" s="8" t="inlineStr">
        <is>
          <t>OPERATING</t>
        </is>
      </c>
    </row>
    <row r="18851">
      <c r="A18851" s="8" t="inlineStr">
        <is>
          <t>2026-08-04</t>
        </is>
      </c>
      <c r="B18851" s="8" t="n">
        <v>10</v>
      </c>
      <c r="C18851" s="8" t="n">
        <v>15</v>
      </c>
      <c r="D18851" s="8" t="inlineStr">
        <is>
          <t>Disneyland Park</t>
        </is>
      </c>
      <c r="E18851" s="8" t="inlineStr">
        <is>
          <t>Indiana Jones and the Temple of Peril Single Rider</t>
        </is>
      </c>
      <c r="F18851" s="8" t="inlineStr">
        <is>
          <t>STANDBY</t>
        </is>
      </c>
      <c r="G18851" s="8" t="n">
        <v>5</v>
      </c>
      <c r="H18851" s="8" t="inlineStr">
        <is>
          <t>OPERATING</t>
        </is>
      </c>
    </row>
    <row r="18852">
      <c r="A18852" s="8" t="inlineStr">
        <is>
          <t>2026-08-04</t>
        </is>
      </c>
      <c r="B18852" s="8" t="n">
        <v>10</v>
      </c>
      <c r="C18852" s="8" t="n">
        <v>15</v>
      </c>
      <c r="D18852" s="8" t="inlineStr">
        <is>
          <t>Disneyland Park</t>
        </is>
      </c>
      <c r="E18852" s="8" t="inlineStr">
        <is>
          <t>Indiana Jones™ and the Temple of Peril</t>
        </is>
      </c>
      <c r="F18852" s="8" t="inlineStr">
        <is>
          <t>STANDBY</t>
        </is>
      </c>
      <c r="G18852" s="8" t="n">
        <v>5</v>
      </c>
      <c r="H18852" s="8" t="inlineStr">
        <is>
          <t>OPERATING</t>
        </is>
      </c>
    </row>
    <row r="18853">
      <c r="A18853" s="8" t="inlineStr">
        <is>
          <t>2026-08-04</t>
        </is>
      </c>
      <c r="B18853" s="8" t="n">
        <v>10</v>
      </c>
      <c r="C18853" s="8" t="n">
        <v>15</v>
      </c>
      <c r="D18853" s="8" t="inlineStr">
        <is>
          <t>Disneyland Park</t>
        </is>
      </c>
      <c r="E18853" s="8" t="inlineStr">
        <is>
          <t>La Cabane des Robinson</t>
        </is>
      </c>
      <c r="F18853" s="8" t="inlineStr">
        <is>
          <t>STANDBY</t>
        </is>
      </c>
      <c r="G18853" s="8" t="n">
        <v>5</v>
      </c>
      <c r="H18853" s="8" t="inlineStr">
        <is>
          <t>OPERATING</t>
        </is>
      </c>
    </row>
    <row r="18854">
      <c r="A18854" s="8" t="inlineStr">
        <is>
          <t>2026-08-04</t>
        </is>
      </c>
      <c r="B18854" s="8" t="n">
        <v>10</v>
      </c>
      <c r="C18854" s="8" t="n">
        <v>15</v>
      </c>
      <c r="D18854" s="8" t="inlineStr">
        <is>
          <t>Disneyland Park</t>
        </is>
      </c>
      <c r="E18854" s="8" t="inlineStr">
        <is>
          <t>Le Passage Enchanté d'Aladdin</t>
        </is>
      </c>
      <c r="F18854" s="8" t="inlineStr">
        <is>
          <t>STANDBY</t>
        </is>
      </c>
      <c r="G18854" s="8" t="n">
        <v>0</v>
      </c>
      <c r="H18854" s="8" t="inlineStr">
        <is>
          <t>OPERATING</t>
        </is>
      </c>
    </row>
    <row r="18855">
      <c r="A18855" s="8" t="inlineStr">
        <is>
          <t>2026-08-04</t>
        </is>
      </c>
      <c r="B18855" s="8" t="n">
        <v>10</v>
      </c>
      <c r="C18855" s="8" t="n">
        <v>15</v>
      </c>
      <c r="D18855" s="8" t="inlineStr">
        <is>
          <t>Disneyland Park</t>
        </is>
      </c>
      <c r="E18855" s="8" t="inlineStr">
        <is>
          <t>Pirate Galleon</t>
        </is>
      </c>
      <c r="F18855" s="8" t="inlineStr">
        <is>
          <t>STANDBY</t>
        </is>
      </c>
      <c r="G18855" s="8" t="n">
        <v>0</v>
      </c>
      <c r="H18855" s="8" t="inlineStr">
        <is>
          <t>CLOSED</t>
        </is>
      </c>
    </row>
    <row r="18856">
      <c r="A18856" s="8" t="inlineStr">
        <is>
          <t>2026-08-04</t>
        </is>
      </c>
      <c r="B18856" s="8" t="n">
        <v>10</v>
      </c>
      <c r="C18856" s="8" t="n">
        <v>15</v>
      </c>
      <c r="D18856" s="8" t="inlineStr">
        <is>
          <t>Disneyland Park</t>
        </is>
      </c>
      <c r="E18856" s="8" t="inlineStr">
        <is>
          <t>Pirates of the Caribbean</t>
        </is>
      </c>
      <c r="F18856" s="8" t="inlineStr">
        <is>
          <t>STANDBY</t>
        </is>
      </c>
      <c r="G18856" s="8" t="n">
        <v>10</v>
      </c>
      <c r="H18856" s="8" t="inlineStr">
        <is>
          <t>OPERATING</t>
        </is>
      </c>
    </row>
    <row r="18857">
      <c r="A18857" s="8" t="inlineStr">
        <is>
          <t>2026-08-04</t>
        </is>
      </c>
      <c r="B18857" s="8" t="n">
        <v>10</v>
      </c>
      <c r="C18857" s="8" t="n">
        <v>15</v>
      </c>
      <c r="D18857" s="8" t="inlineStr">
        <is>
          <t>Disneyland Park</t>
        </is>
      </c>
      <c r="E18857" s="8" t="inlineStr">
        <is>
          <t>Pirates' Beach</t>
        </is>
      </c>
      <c r="F18857" s="8" t="inlineStr">
        <is>
          <t>STANDBY</t>
        </is>
      </c>
      <c r="G18857" s="8" t="n">
        <v>0</v>
      </c>
      <c r="H18857" s="8" t="inlineStr">
        <is>
          <t>OPERATING</t>
        </is>
      </c>
    </row>
    <row r="18858">
      <c r="A18858" s="8" t="inlineStr">
        <is>
          <t>2026-08-04</t>
        </is>
      </c>
      <c r="B18858" s="8" t="n">
        <v>10</v>
      </c>
      <c r="C18858" s="8" t="n">
        <v>15</v>
      </c>
      <c r="D18858" s="8" t="inlineStr">
        <is>
          <t>Disneyland Park</t>
        </is>
      </c>
      <c r="E18858" s="8" t="inlineStr">
        <is>
          <t>Autopia, presented by Avis</t>
        </is>
      </c>
      <c r="F18858" s="8" t="inlineStr">
        <is>
          <t>STANDBY</t>
        </is>
      </c>
      <c r="G18858" s="8" t="n">
        <v>300</v>
      </c>
      <c r="H18858" s="8" t="inlineStr">
        <is>
          <t>OPERATING</t>
        </is>
      </c>
    </row>
    <row r="18859">
      <c r="A18859" s="8" t="inlineStr">
        <is>
          <t>2026-08-04</t>
        </is>
      </c>
      <c r="B18859" s="8" t="n">
        <v>10</v>
      </c>
      <c r="C18859" s="8" t="n">
        <v>15</v>
      </c>
      <c r="D18859" s="8" t="inlineStr">
        <is>
          <t>Disneyland Park</t>
        </is>
      </c>
      <c r="E18859" s="8" t="inlineStr">
        <is>
          <t>Buzz Lightyear Laser Blast</t>
        </is>
      </c>
      <c r="F18859" s="8" t="inlineStr">
        <is>
          <t>STANDBY</t>
        </is>
      </c>
      <c r="G18859" s="8" t="n">
        <v>35</v>
      </c>
      <c r="H18859" s="8" t="inlineStr">
        <is>
          <t>OPERATING</t>
        </is>
      </c>
    </row>
    <row r="18860">
      <c r="A18860" s="8" t="inlineStr">
        <is>
          <t>2026-08-04</t>
        </is>
      </c>
      <c r="B18860" s="8" t="n">
        <v>10</v>
      </c>
      <c r="C18860" s="8" t="n">
        <v>15</v>
      </c>
      <c r="D18860" s="8" t="inlineStr">
        <is>
          <t>Disneyland Park</t>
        </is>
      </c>
      <c r="E18860" s="8" t="inlineStr">
        <is>
          <t>Disneyland Railroad Discoveryland Station</t>
        </is>
      </c>
      <c r="F18860" s="8" t="inlineStr">
        <is>
          <t>STANDBY</t>
        </is>
      </c>
      <c r="G18860" s="8" t="n">
        <v>0</v>
      </c>
      <c r="H18860" s="8" t="inlineStr">
        <is>
          <t>CLOSED</t>
        </is>
      </c>
    </row>
    <row r="18861">
      <c r="A18861" s="8" t="inlineStr">
        <is>
          <t>2026-08-04</t>
        </is>
      </c>
      <c r="B18861" s="8" t="n">
        <v>10</v>
      </c>
      <c r="C18861" s="8" t="n">
        <v>15</v>
      </c>
      <c r="D18861" s="8" t="inlineStr">
        <is>
          <t>Disneyland Park</t>
        </is>
      </c>
      <c r="E18861" s="8" t="inlineStr">
        <is>
          <t>Les Mystères du Nautilus</t>
        </is>
      </c>
      <c r="F18861" s="8" t="inlineStr">
        <is>
          <t>STANDBY</t>
        </is>
      </c>
      <c r="G18861" s="8" t="n">
        <v>5</v>
      </c>
      <c r="H18861" s="8" t="inlineStr">
        <is>
          <t>OPERATING</t>
        </is>
      </c>
    </row>
    <row r="18862">
      <c r="A18862" s="8" t="inlineStr">
        <is>
          <t>2026-08-04</t>
        </is>
      </c>
      <c r="B18862" s="8" t="n">
        <v>10</v>
      </c>
      <c r="C18862" s="8" t="n">
        <v>15</v>
      </c>
      <c r="D18862" s="8" t="inlineStr">
        <is>
          <t>Disneyland Park</t>
        </is>
      </c>
      <c r="E18862" s="8" t="inlineStr">
        <is>
          <t>Mickey’s PhilharMagic</t>
        </is>
      </c>
      <c r="F18862" s="8" t="inlineStr">
        <is>
          <t>STANDBY</t>
        </is>
      </c>
      <c r="G18862" s="8" t="n">
        <v>0</v>
      </c>
      <c r="H18862" s="8" t="inlineStr">
        <is>
          <t>CLOSED</t>
        </is>
      </c>
    </row>
    <row r="18863">
      <c r="A18863" s="8" t="inlineStr">
        <is>
          <t>2026-08-04</t>
        </is>
      </c>
      <c r="B18863" s="8" t="n">
        <v>10</v>
      </c>
      <c r="C18863" s="8" t="n">
        <v>15</v>
      </c>
      <c r="D18863" s="8" t="inlineStr">
        <is>
          <t>Disneyland Park</t>
        </is>
      </c>
      <c r="E18863" s="8" t="inlineStr">
        <is>
          <t>Orbitron®</t>
        </is>
      </c>
      <c r="F18863" s="8" t="inlineStr">
        <is>
          <t>STANDBY</t>
        </is>
      </c>
      <c r="G18863" s="8" t="n">
        <v>45</v>
      </c>
      <c r="H18863" s="8" t="inlineStr">
        <is>
          <t>OPERATING</t>
        </is>
      </c>
    </row>
    <row r="18864">
      <c r="A18864" s="8" t="inlineStr">
        <is>
          <t>2026-08-04</t>
        </is>
      </c>
      <c r="B18864" s="8" t="n">
        <v>10</v>
      </c>
      <c r="C18864" s="8" t="n">
        <v>15</v>
      </c>
      <c r="D18864" s="8" t="inlineStr">
        <is>
          <t>Disneyland Park</t>
        </is>
      </c>
      <c r="E18864" s="8" t="inlineStr">
        <is>
          <t>Star Tours: The Adventures Continue*</t>
        </is>
      </c>
      <c r="F18864" s="8" t="inlineStr">
        <is>
          <t>STANDBY</t>
        </is>
      </c>
      <c r="G18864" s="8" t="n">
        <v>10</v>
      </c>
      <c r="H18864" s="8" t="inlineStr">
        <is>
          <t>OPERATING</t>
        </is>
      </c>
    </row>
    <row r="18865">
      <c r="A18865" s="8" t="inlineStr">
        <is>
          <t>2026-08-04</t>
        </is>
      </c>
      <c r="B18865" s="8" t="n">
        <v>10</v>
      </c>
      <c r="C18865" s="8" t="n">
        <v>15</v>
      </c>
      <c r="D18865" s="8" t="inlineStr">
        <is>
          <t>Disneyland Park</t>
        </is>
      </c>
      <c r="E18865" s="8" t="inlineStr">
        <is>
          <t>Star Wars Hyperspace Mountain</t>
        </is>
      </c>
      <c r="F18865" s="8" t="inlineStr">
        <is>
          <t>STANDBY</t>
        </is>
      </c>
      <c r="G18865" s="8" t="n">
        <v>30</v>
      </c>
      <c r="H18865" s="8" t="inlineStr">
        <is>
          <t>OPERATING</t>
        </is>
      </c>
    </row>
    <row r="18866">
      <c r="A18866" s="8" t="inlineStr">
        <is>
          <t>2026-08-04</t>
        </is>
      </c>
      <c r="B18866" s="8" t="n">
        <v>10</v>
      </c>
      <c r="C18866" s="8" t="n">
        <v>15</v>
      </c>
      <c r="D18866" s="8" t="inlineStr">
        <is>
          <t>Disneyland Park</t>
        </is>
      </c>
      <c r="E18866" s="8" t="inlineStr">
        <is>
          <t>Star Wars Hyperspace Mountain Single Rider</t>
        </is>
      </c>
      <c r="F18866" s="8" t="inlineStr">
        <is>
          <t>STANDBY</t>
        </is>
      </c>
      <c r="G18866" s="8" t="n">
        <v>15</v>
      </c>
      <c r="H18866" s="8" t="inlineStr">
        <is>
          <t>OPERATING</t>
        </is>
      </c>
    </row>
    <row r="18867">
      <c r="A18867" s="8" t="inlineStr">
        <is>
          <t>2026-08-04</t>
        </is>
      </c>
      <c r="B18867" s="8" t="n">
        <v>10</v>
      </c>
      <c r="C18867" s="8" t="n">
        <v>15</v>
      </c>
      <c r="D18867" s="8" t="inlineStr">
        <is>
          <t>Disneyland Park</t>
        </is>
      </c>
      <c r="E18867" s="8" t="inlineStr">
        <is>
          <t>Welcome to Starport: A Star Wars Encounter</t>
        </is>
      </c>
      <c r="F18867" s="8" t="inlineStr">
        <is>
          <t>STANDBY</t>
        </is>
      </c>
      <c r="G18867" s="8" t="n">
        <v>20</v>
      </c>
      <c r="H18867" s="8" t="inlineStr">
        <is>
          <t>OPERATING</t>
        </is>
      </c>
    </row>
    <row r="18868">
      <c r="A18868" s="8" t="inlineStr">
        <is>
          <t>2026-08-04</t>
        </is>
      </c>
      <c r="B18868" s="8" t="n">
        <v>10</v>
      </c>
      <c r="C18868" s="8" t="n">
        <v>15</v>
      </c>
      <c r="D18868" s="8" t="inlineStr">
        <is>
          <t>Disneyland Park</t>
        </is>
      </c>
      <c r="E18868" s="8" t="inlineStr">
        <is>
          <t>"it's a small world"</t>
        </is>
      </c>
      <c r="F18868" s="8" t="inlineStr">
        <is>
          <t>STANDBY</t>
        </is>
      </c>
      <c r="G18868" s="8" t="n">
        <v>15</v>
      </c>
      <c r="H18868" s="8" t="inlineStr">
        <is>
          <t>OPERATING</t>
        </is>
      </c>
    </row>
    <row r="18869">
      <c r="A18869" s="8" t="inlineStr">
        <is>
          <t>2026-08-04</t>
        </is>
      </c>
      <c r="B18869" s="8" t="n">
        <v>10</v>
      </c>
      <c r="C18869" s="8" t="n">
        <v>15</v>
      </c>
      <c r="D18869" s="8" t="inlineStr">
        <is>
          <t>Disneyland Park</t>
        </is>
      </c>
      <c r="E18869" s="8" t="inlineStr">
        <is>
          <t>Alice's Curious Labyrinth</t>
        </is>
      </c>
      <c r="F18869" s="8" t="inlineStr">
        <is>
          <t>STANDBY</t>
        </is>
      </c>
      <c r="G18869" s="8" t="n">
        <v>5</v>
      </c>
      <c r="H18869" s="8" t="inlineStr">
        <is>
          <t>OPERATING</t>
        </is>
      </c>
    </row>
    <row r="18870">
      <c r="A18870" s="8" t="inlineStr">
        <is>
          <t>2026-08-04</t>
        </is>
      </c>
      <c r="B18870" s="8" t="n">
        <v>10</v>
      </c>
      <c r="C18870" s="8" t="n">
        <v>15</v>
      </c>
      <c r="D18870" s="8" t="inlineStr">
        <is>
          <t>Disneyland Park</t>
        </is>
      </c>
      <c r="E18870" s="8" t="inlineStr">
        <is>
          <t>Blanche-Neige et les Sept Nains®</t>
        </is>
      </c>
      <c r="F18870" s="8" t="inlineStr">
        <is>
          <t>STANDBY</t>
        </is>
      </c>
      <c r="G18870" s="8" t="n">
        <v>10</v>
      </c>
      <c r="H18870" s="8" t="inlineStr">
        <is>
          <t>OPERATING</t>
        </is>
      </c>
    </row>
    <row r="18871">
      <c r="A18871" s="8" t="inlineStr">
        <is>
          <t>2026-08-04</t>
        </is>
      </c>
      <c r="B18871" s="8" t="n">
        <v>10</v>
      </c>
      <c r="C18871" s="8" t="n">
        <v>15</v>
      </c>
      <c r="D18871" s="8" t="inlineStr">
        <is>
          <t>Disneyland Park</t>
        </is>
      </c>
      <c r="E18871" s="8" t="inlineStr">
        <is>
          <t>Casey Jr. – le Petit Train du Cirque</t>
        </is>
      </c>
      <c r="F18871" s="8" t="inlineStr">
        <is>
          <t>STANDBY</t>
        </is>
      </c>
      <c r="G18871" s="8" t="n">
        <v>5</v>
      </c>
      <c r="H18871" s="8" t="inlineStr">
        <is>
          <t>OPERATING</t>
        </is>
      </c>
    </row>
    <row r="18872">
      <c r="A18872" s="8" t="inlineStr">
        <is>
          <t>2026-08-04</t>
        </is>
      </c>
      <c r="B18872" s="8" t="n">
        <v>10</v>
      </c>
      <c r="C18872" s="8" t="n">
        <v>15</v>
      </c>
      <c r="D18872" s="8" t="inlineStr">
        <is>
          <t>Disneyland Park</t>
        </is>
      </c>
      <c r="E18872" s="8" t="inlineStr">
        <is>
          <t>Disneyland Railroad Fantasyland Station</t>
        </is>
      </c>
      <c r="F18872" s="8" t="inlineStr">
        <is>
          <t>STANDBY</t>
        </is>
      </c>
      <c r="G18872" s="8" t="n">
        <v>0</v>
      </c>
      <c r="H18872" s="8" t="inlineStr">
        <is>
          <t>CLOSED</t>
        </is>
      </c>
    </row>
    <row r="18873">
      <c r="A18873" s="8" t="inlineStr">
        <is>
          <t>2026-08-04</t>
        </is>
      </c>
      <c r="B18873" s="8" t="n">
        <v>10</v>
      </c>
      <c r="C18873" s="8" t="n">
        <v>15</v>
      </c>
      <c r="D18873" s="8" t="inlineStr">
        <is>
          <t>Disneyland Park</t>
        </is>
      </c>
      <c r="E18873" s="8" t="inlineStr">
        <is>
          <t>Disneyland Railroad Main Street Station</t>
        </is>
      </c>
      <c r="F18873" s="8" t="inlineStr">
        <is>
          <t>STANDBY</t>
        </is>
      </c>
      <c r="G18873" s="8" t="n">
        <v>0</v>
      </c>
      <c r="H18873" s="8" t="inlineStr">
        <is>
          <t>CLOSED</t>
        </is>
      </c>
    </row>
    <row r="18874">
      <c r="A18874" s="8" t="inlineStr">
        <is>
          <t>2026-08-04</t>
        </is>
      </c>
      <c r="B18874" s="8" t="n">
        <v>10</v>
      </c>
      <c r="C18874" s="8" t="n">
        <v>15</v>
      </c>
      <c r="D18874" s="8" t="inlineStr">
        <is>
          <t>Disneyland Park</t>
        </is>
      </c>
      <c r="E18874" s="8" t="inlineStr">
        <is>
          <t>Dumbo the Flying Elephant</t>
        </is>
      </c>
      <c r="F18874" s="8" t="inlineStr">
        <is>
          <t>STANDBY</t>
        </is>
      </c>
      <c r="G18874" s="8" t="n">
        <v>20</v>
      </c>
      <c r="H18874" s="8" t="inlineStr">
        <is>
          <t>OPERATING</t>
        </is>
      </c>
    </row>
    <row r="18875">
      <c r="A18875" s="8" t="inlineStr">
        <is>
          <t>2026-08-04</t>
        </is>
      </c>
      <c r="B18875" s="8" t="n">
        <v>10</v>
      </c>
      <c r="C18875" s="8" t="n">
        <v>15</v>
      </c>
      <c r="D18875" s="8" t="inlineStr">
        <is>
          <t>Disneyland Park</t>
        </is>
      </c>
      <c r="E18875" s="8" t="inlineStr">
        <is>
          <t>La Tanière du Dragon</t>
        </is>
      </c>
      <c r="F18875" s="8" t="inlineStr">
        <is>
          <t>STANDBY</t>
        </is>
      </c>
      <c r="G18875" s="8" t="n">
        <v>0</v>
      </c>
      <c r="H18875" s="8" t="inlineStr">
        <is>
          <t>OPERATING</t>
        </is>
      </c>
    </row>
    <row r="18876">
      <c r="A18876" s="8" t="inlineStr">
        <is>
          <t>2026-08-04</t>
        </is>
      </c>
      <c r="B18876" s="8" t="n">
        <v>10</v>
      </c>
      <c r="C18876" s="8" t="n">
        <v>15</v>
      </c>
      <c r="D18876" s="8" t="inlineStr">
        <is>
          <t>Disneyland Park</t>
        </is>
      </c>
      <c r="E18876" s="8" t="inlineStr">
        <is>
          <t>Le Carrousel de Lancelot</t>
        </is>
      </c>
      <c r="F18876" s="8" t="inlineStr">
        <is>
          <t>STANDBY</t>
        </is>
      </c>
      <c r="G18876" s="8" t="n">
        <v>10</v>
      </c>
      <c r="H18876" s="8" t="inlineStr">
        <is>
          <t>OPERATING</t>
        </is>
      </c>
    </row>
    <row r="18877">
      <c r="A18877" s="8" t="inlineStr">
        <is>
          <t>2026-08-04</t>
        </is>
      </c>
      <c r="B18877" s="8" t="n">
        <v>10</v>
      </c>
      <c r="C18877" s="8" t="n">
        <v>15</v>
      </c>
      <c r="D18877" s="8" t="inlineStr">
        <is>
          <t>Disneyland Park</t>
        </is>
      </c>
      <c r="E18877" s="8" t="inlineStr">
        <is>
          <t>Le Pays des Contes de Fées, presented by Vittel</t>
        </is>
      </c>
      <c r="F18877" s="8" t="inlineStr">
        <is>
          <t>STANDBY</t>
        </is>
      </c>
      <c r="G18877" s="8" t="n">
        <v>5</v>
      </c>
      <c r="H18877" s="8" t="inlineStr">
        <is>
          <t>OPERATING</t>
        </is>
      </c>
    </row>
    <row r="18878">
      <c r="A18878" s="8" t="inlineStr">
        <is>
          <t>2026-08-04</t>
        </is>
      </c>
      <c r="B18878" s="8" t="n">
        <v>10</v>
      </c>
      <c r="C18878" s="8" t="n">
        <v>15</v>
      </c>
      <c r="D18878" s="8" t="inlineStr">
        <is>
          <t>Disneyland Park</t>
        </is>
      </c>
      <c r="E18878" s="8" t="inlineStr">
        <is>
          <t>Les Voyages de Pinocchio</t>
        </is>
      </c>
      <c r="F18878" s="8" t="inlineStr">
        <is>
          <t>STANDBY</t>
        </is>
      </c>
      <c r="G18878" s="8" t="n">
        <v>15</v>
      </c>
      <c r="H18878" s="8" t="inlineStr">
        <is>
          <t>OPERATING</t>
        </is>
      </c>
    </row>
    <row r="18879">
      <c r="A18879" s="8" t="inlineStr">
        <is>
          <t>2026-08-04</t>
        </is>
      </c>
      <c r="B18879" s="8" t="n">
        <v>10</v>
      </c>
      <c r="C18879" s="8" t="n">
        <v>15</v>
      </c>
      <c r="D18879" s="8" t="inlineStr">
        <is>
          <t>Disneyland Park</t>
        </is>
      </c>
      <c r="E18879" s="8" t="inlineStr">
        <is>
          <t>Mad Hatter's Tea Cups</t>
        </is>
      </c>
      <c r="F18879" s="8" t="inlineStr">
        <is>
          <t>STANDBY</t>
        </is>
      </c>
      <c r="G18879" s="8" t="n">
        <v>5</v>
      </c>
      <c r="H18879" s="8" t="inlineStr">
        <is>
          <t>OPERATING</t>
        </is>
      </c>
    </row>
    <row r="18880">
      <c r="A18880" s="8" t="inlineStr">
        <is>
          <t>2026-08-04</t>
        </is>
      </c>
      <c r="B18880" s="8" t="n">
        <v>10</v>
      </c>
      <c r="C18880" s="8" t="n">
        <v>15</v>
      </c>
      <c r="D18880" s="8" t="inlineStr">
        <is>
          <t>Disneyland Park</t>
        </is>
      </c>
      <c r="E18880" s="8" t="inlineStr">
        <is>
          <t>Meet Mickey Mouse</t>
        </is>
      </c>
      <c r="F18880" s="8" t="inlineStr">
        <is>
          <t>STANDBY</t>
        </is>
      </c>
      <c r="G18880" s="8" t="n">
        <v>0</v>
      </c>
      <c r="H18880" s="8" t="inlineStr">
        <is>
          <t>OPERATING</t>
        </is>
      </c>
    </row>
    <row r="18881">
      <c r="A18881" s="8" t="inlineStr">
        <is>
          <t>2026-08-04</t>
        </is>
      </c>
      <c r="B18881" s="8" t="n">
        <v>10</v>
      </c>
      <c r="C18881" s="8" t="n">
        <v>15</v>
      </c>
      <c r="D18881" s="8" t="inlineStr">
        <is>
          <t>Disneyland Park</t>
        </is>
      </c>
      <c r="E18881" s="8" t="inlineStr">
        <is>
          <t>Peter Pan's Flight</t>
        </is>
      </c>
      <c r="F18881" s="8" t="inlineStr">
        <is>
          <t>STANDBY</t>
        </is>
      </c>
      <c r="G18881" s="8" t="n">
        <v>40</v>
      </c>
      <c r="H18881" s="8" t="inlineStr">
        <is>
          <t>OPERATING</t>
        </is>
      </c>
    </row>
    <row r="18882">
      <c r="A18882" s="8" t="inlineStr">
        <is>
          <t>2026-08-04</t>
        </is>
      </c>
      <c r="B18882" s="8" t="n">
        <v>10</v>
      </c>
      <c r="C18882" s="8" t="n">
        <v>15</v>
      </c>
      <c r="D18882" s="8" t="inlineStr">
        <is>
          <t>Disneyland Park</t>
        </is>
      </c>
      <c r="E18882" s="8" t="inlineStr">
        <is>
          <t>Princess Pavilion</t>
        </is>
      </c>
      <c r="F18882" s="8" t="inlineStr">
        <is>
          <t>STANDBY</t>
        </is>
      </c>
      <c r="G18882" s="8" t="n">
        <v>0</v>
      </c>
      <c r="H18882" s="8" t="inlineStr">
        <is>
          <t>OPERATING</t>
        </is>
      </c>
    </row>
    <row r="18883">
      <c r="A18883" s="8" t="inlineStr">
        <is>
          <t>2026-08-04</t>
        </is>
      </c>
      <c r="B18883" s="8" t="n">
        <v>10</v>
      </c>
      <c r="C18883" s="8" t="n">
        <v>15</v>
      </c>
      <c r="D18883" s="8" t="inlineStr">
        <is>
          <t>Disneyland Park</t>
        </is>
      </c>
      <c r="E18883" s="8" t="inlineStr">
        <is>
          <t>Big Thunder Mountain</t>
        </is>
      </c>
      <c r="F18883" s="8" t="inlineStr">
        <is>
          <t>STANDBY</t>
        </is>
      </c>
      <c r="G18883" s="8" t="n">
        <v>65</v>
      </c>
      <c r="H18883" s="8" t="inlineStr">
        <is>
          <t>OPERATING</t>
        </is>
      </c>
    </row>
    <row r="18884">
      <c r="A18884" s="8" t="inlineStr">
        <is>
          <t>2026-08-04</t>
        </is>
      </c>
      <c r="B18884" s="8" t="n">
        <v>10</v>
      </c>
      <c r="C18884" s="8" t="n">
        <v>15</v>
      </c>
      <c r="D18884" s="8" t="inlineStr">
        <is>
          <t>Disneyland Park</t>
        </is>
      </c>
      <c r="E18884" s="8" t="inlineStr">
        <is>
          <t>Disneyland Railroad Frontierland Depot</t>
        </is>
      </c>
      <c r="F18884" s="8" t="inlineStr">
        <is>
          <t>STANDBY</t>
        </is>
      </c>
      <c r="G18884" s="8" t="n">
        <v>0</v>
      </c>
      <c r="H18884" s="8" t="inlineStr">
        <is>
          <t>CLOSED</t>
        </is>
      </c>
    </row>
    <row r="18885">
      <c r="A18885" s="8" t="inlineStr">
        <is>
          <t>2026-08-04</t>
        </is>
      </c>
      <c r="B18885" s="8" t="n">
        <v>10</v>
      </c>
      <c r="C18885" s="8" t="n">
        <v>15</v>
      </c>
      <c r="D18885" s="8" t="inlineStr">
        <is>
          <t>Disneyland Park</t>
        </is>
      </c>
      <c r="E18885" s="8" t="inlineStr">
        <is>
          <t>Frontierland Playground</t>
        </is>
      </c>
      <c r="F18885" s="8" t="inlineStr">
        <is>
          <t>STANDBY</t>
        </is>
      </c>
      <c r="G18885" s="8" t="n">
        <v>0</v>
      </c>
      <c r="H18885" s="8" t="inlineStr">
        <is>
          <t>OPERATING</t>
        </is>
      </c>
    </row>
    <row r="18886">
      <c r="A18886" s="8" t="inlineStr">
        <is>
          <t>2026-08-04</t>
        </is>
      </c>
      <c r="B18886" s="8" t="n">
        <v>10</v>
      </c>
      <c r="C18886" s="8" t="n">
        <v>15</v>
      </c>
      <c r="D18886" s="8" t="inlineStr">
        <is>
          <t>Disneyland Park</t>
        </is>
      </c>
      <c r="E18886" s="8" t="inlineStr">
        <is>
          <t>Phantom Manor</t>
        </is>
      </c>
      <c r="F18886" s="8" t="inlineStr">
        <is>
          <t>STANDBY</t>
        </is>
      </c>
      <c r="G18886" s="8" t="n">
        <v>5</v>
      </c>
      <c r="H18886" s="8" t="inlineStr">
        <is>
          <t>OPERATING</t>
        </is>
      </c>
    </row>
    <row r="18887">
      <c r="A18887" s="8" t="inlineStr">
        <is>
          <t>2026-08-04</t>
        </is>
      </c>
      <c r="B18887" s="8" t="n">
        <v>10</v>
      </c>
      <c r="C18887" s="8" t="n">
        <v>15</v>
      </c>
      <c r="D18887" s="8" t="inlineStr">
        <is>
          <t>Disneyland Park</t>
        </is>
      </c>
      <c r="E18887" s="8" t="inlineStr">
        <is>
          <t>River Rogue Keelboats</t>
        </is>
      </c>
      <c r="F18887" s="8" t="inlineStr">
        <is>
          <t>STANDBY</t>
        </is>
      </c>
      <c r="G18887" s="8" t="n">
        <v>0</v>
      </c>
      <c r="H18887" s="8" t="inlineStr">
        <is>
          <t>CLOSED</t>
        </is>
      </c>
    </row>
    <row r="18888">
      <c r="A18888" s="8" t="inlineStr">
        <is>
          <t>2026-08-04</t>
        </is>
      </c>
      <c r="B18888" s="8" t="n">
        <v>10</v>
      </c>
      <c r="C18888" s="8" t="n">
        <v>15</v>
      </c>
      <c r="D18888" s="8" t="inlineStr">
        <is>
          <t>Disneyland Park</t>
        </is>
      </c>
      <c r="E18888" s="8" t="inlineStr">
        <is>
          <t>Rustler Roundup Shootin' Gallery</t>
        </is>
      </c>
      <c r="F18888" s="8" t="inlineStr">
        <is>
          <t>STANDBY</t>
        </is>
      </c>
      <c r="G18888" s="8" t="n">
        <v>0</v>
      </c>
      <c r="H18888" s="8" t="inlineStr">
        <is>
          <t>OPERATING</t>
        </is>
      </c>
    </row>
    <row r="18889">
      <c r="A18889" s="8" t="inlineStr">
        <is>
          <t>2026-08-04</t>
        </is>
      </c>
      <c r="B18889" s="8" t="n">
        <v>10</v>
      </c>
      <c r="C18889" s="8" t="n">
        <v>15</v>
      </c>
      <c r="D18889" s="8" t="inlineStr">
        <is>
          <t>Disneyland Park</t>
        </is>
      </c>
      <c r="E18889" s="8" t="inlineStr">
        <is>
          <t>Thunder Mesa Riverboat Landing</t>
        </is>
      </c>
      <c r="F18889" s="8" t="inlineStr">
        <is>
          <t>STANDBY</t>
        </is>
      </c>
      <c r="G18889" s="8" t="n">
        <v>0</v>
      </c>
      <c r="H18889" s="8" t="inlineStr">
        <is>
          <t>CLOSED</t>
        </is>
      </c>
    </row>
    <row r="18890">
      <c r="A18890" s="8" t="inlineStr">
        <is>
          <t>2026-08-04</t>
        </is>
      </c>
      <c r="B18890" s="8" t="n">
        <v>10</v>
      </c>
      <c r="C18890" s="8" t="n">
        <v>15</v>
      </c>
      <c r="D18890" s="8" t="inlineStr">
        <is>
          <t>Disneyland Park</t>
        </is>
      </c>
      <c r="E18890" s="8" t="inlineStr">
        <is>
          <t>Disneyland Railroad Main Street Station</t>
        </is>
      </c>
      <c r="F18890" s="8" t="inlineStr">
        <is>
          <t>STANDBY</t>
        </is>
      </c>
      <c r="G18890" s="8" t="n">
        <v>0</v>
      </c>
      <c r="H18890" s="8" t="inlineStr">
        <is>
          <t>CLOSED</t>
        </is>
      </c>
    </row>
    <row r="18891">
      <c r="A18891" s="8" t="inlineStr">
        <is>
          <t>2026-08-04</t>
        </is>
      </c>
      <c r="B18891" s="8" t="n">
        <v>10</v>
      </c>
      <c r="C18891" s="8" t="n">
        <v>15</v>
      </c>
      <c r="D18891" s="8" t="inlineStr">
        <is>
          <t>Disneyland Park</t>
        </is>
      </c>
      <c r="E18891" s="8" t="inlineStr">
        <is>
          <t>Main Street Vehicles</t>
        </is>
      </c>
      <c r="F18891" s="8" t="inlineStr">
        <is>
          <t>STANDBY</t>
        </is>
      </c>
      <c r="G18891" s="8" t="n">
        <v>5</v>
      </c>
      <c r="H18891" s="8" t="inlineStr">
        <is>
          <t>OPERATING</t>
        </is>
      </c>
    </row>
    <row r="18892">
      <c r="A18892" s="8" t="inlineStr">
        <is>
          <t>2026-08-04</t>
        </is>
      </c>
      <c r="B18892" s="8" t="n">
        <v>10</v>
      </c>
      <c r="C18892" s="8" t="n">
        <v>15</v>
      </c>
      <c r="D18892" s="8" t="inlineStr">
        <is>
          <t>Disney Adventure World</t>
        </is>
      </c>
      <c r="E18892" s="8" t="inlineStr">
        <is>
          <t>Avengers Assemble: Flight Force</t>
        </is>
      </c>
      <c r="F18892" s="8" t="inlineStr">
        <is>
          <t>STANDBY</t>
        </is>
      </c>
      <c r="G18892" s="8" t="n">
        <v>10</v>
      </c>
      <c r="H18892" s="8" t="inlineStr">
        <is>
          <t>OPERATING</t>
        </is>
      </c>
    </row>
    <row r="18893">
      <c r="A18893" s="8" t="inlineStr">
        <is>
          <t>2026-08-04</t>
        </is>
      </c>
      <c r="B18893" s="8" t="n">
        <v>10</v>
      </c>
      <c r="C18893" s="8" t="n">
        <v>15</v>
      </c>
      <c r="D18893" s="8" t="inlineStr">
        <is>
          <t>Disney Adventure World</t>
        </is>
      </c>
      <c r="E18893" s="8" t="inlineStr">
        <is>
          <t>Avengers Assemble: Flight Force Single Rider</t>
        </is>
      </c>
      <c r="F18893" s="8" t="inlineStr">
        <is>
          <t>STANDBY</t>
        </is>
      </c>
      <c r="G18893" s="8" t="n">
        <v>5</v>
      </c>
      <c r="H18893" s="8" t="inlineStr">
        <is>
          <t>OPERATING</t>
        </is>
      </c>
    </row>
    <row r="18894">
      <c r="A18894" s="8" t="inlineStr">
        <is>
          <t>2026-08-04</t>
        </is>
      </c>
      <c r="B18894" s="8" t="n">
        <v>10</v>
      </c>
      <c r="C18894" s="8" t="n">
        <v>15</v>
      </c>
      <c r="D18894" s="8" t="inlineStr">
        <is>
          <t>Disney Adventure World</t>
        </is>
      </c>
      <c r="E18894" s="8" t="inlineStr">
        <is>
          <t>Spider-Man W.E.B. Adventure</t>
        </is>
      </c>
      <c r="F18894" s="8" t="inlineStr">
        <is>
          <t>STANDBY</t>
        </is>
      </c>
      <c r="G18894" s="8" t="n">
        <v>40</v>
      </c>
      <c r="H18894" s="8" t="inlineStr">
        <is>
          <t>OPERATING</t>
        </is>
      </c>
    </row>
    <row r="18895">
      <c r="A18895" s="8" t="inlineStr">
        <is>
          <t>2026-08-04</t>
        </is>
      </c>
      <c r="B18895" s="8" t="n">
        <v>10</v>
      </c>
      <c r="C18895" s="8" t="n">
        <v>15</v>
      </c>
      <c r="D18895" s="8" t="inlineStr">
        <is>
          <t>Disney Adventure World</t>
        </is>
      </c>
      <c r="E18895" s="8" t="inlineStr">
        <is>
          <t>Spider-Man W.E.B. Adventure Single Rider</t>
        </is>
      </c>
      <c r="F18895" s="8" t="inlineStr">
        <is>
          <t>STANDBY</t>
        </is>
      </c>
      <c r="G18895" s="8" t="n">
        <v>5</v>
      </c>
      <c r="H18895" s="8" t="inlineStr">
        <is>
          <t>OPERATING</t>
        </is>
      </c>
    </row>
    <row r="18896">
      <c r="A18896" s="8" t="inlineStr">
        <is>
          <t>2026-08-04</t>
        </is>
      </c>
      <c r="B18896" s="8" t="n">
        <v>10</v>
      </c>
      <c r="C18896" s="8" t="n">
        <v>15</v>
      </c>
      <c r="D18896" s="8" t="inlineStr">
        <is>
          <t>Disney Adventure World</t>
        </is>
      </c>
      <c r="E18896" s="8" t="inlineStr">
        <is>
          <t>The Twilight Zone Tower of Terror</t>
        </is>
      </c>
      <c r="F18896" s="8" t="inlineStr">
        <is>
          <t>STANDBY</t>
        </is>
      </c>
      <c r="G18896" s="8" t="n">
        <v>20</v>
      </c>
      <c r="H18896" s="8" t="inlineStr">
        <is>
          <t>OPERATING</t>
        </is>
      </c>
    </row>
    <row r="18897">
      <c r="A18897" s="8" t="inlineStr">
        <is>
          <t>2026-08-04</t>
        </is>
      </c>
      <c r="B18897" s="8" t="n">
        <v>10</v>
      </c>
      <c r="C18897" s="8" t="n">
        <v>15</v>
      </c>
      <c r="D18897" s="8" t="inlineStr">
        <is>
          <t>Disney Adventure World</t>
        </is>
      </c>
      <c r="E18897" s="8" t="inlineStr">
        <is>
          <t>Cars Quatre Roues Rallye</t>
        </is>
      </c>
      <c r="F18897" s="8" t="inlineStr">
        <is>
          <t>STANDBY</t>
        </is>
      </c>
      <c r="G18897" s="8" t="n">
        <v>0</v>
      </c>
      <c r="H18897" s="8" t="inlineStr">
        <is>
          <t>CLOSED</t>
        </is>
      </c>
    </row>
    <row r="18898">
      <c r="A18898" s="8" t="inlineStr">
        <is>
          <t>2026-08-04</t>
        </is>
      </c>
      <c r="B18898" s="8" t="n">
        <v>10</v>
      </c>
      <c r="C18898" s="8" t="n">
        <v>15</v>
      </c>
      <c r="D18898" s="8" t="inlineStr">
        <is>
          <t>Disney Adventure World</t>
        </is>
      </c>
      <c r="E18898" s="8" t="inlineStr">
        <is>
          <t>Cars ROAD TRIP</t>
        </is>
      </c>
      <c r="F18898" s="8" t="inlineStr">
        <is>
          <t>STANDBY</t>
        </is>
      </c>
      <c r="G18898" s="8" t="n">
        <v>10</v>
      </c>
      <c r="H18898" s="8" t="inlineStr">
        <is>
          <t>OPERATING</t>
        </is>
      </c>
    </row>
    <row r="18899">
      <c r="A18899" s="8" t="inlineStr">
        <is>
          <t>2026-08-04</t>
        </is>
      </c>
      <c r="B18899" s="8" t="n">
        <v>10</v>
      </c>
      <c r="C18899" s="8" t="n">
        <v>15</v>
      </c>
      <c r="D18899" s="8" t="inlineStr">
        <is>
          <t>Disney Adventure World</t>
        </is>
      </c>
      <c r="E18899" s="8" t="inlineStr">
        <is>
          <t>Crush's Coaster</t>
        </is>
      </c>
      <c r="F18899" s="8" t="inlineStr">
        <is>
          <t>STANDBY</t>
        </is>
      </c>
      <c r="G18899" s="8" t="n">
        <v>85</v>
      </c>
      <c r="H18899" s="8" t="inlineStr">
        <is>
          <t>OPERATING</t>
        </is>
      </c>
    </row>
    <row r="18900">
      <c r="A18900" s="8" t="inlineStr">
        <is>
          <t>2026-08-04</t>
        </is>
      </c>
      <c r="B18900" s="8" t="n">
        <v>10</v>
      </c>
      <c r="C18900" s="8" t="n">
        <v>15</v>
      </c>
      <c r="D18900" s="8" t="inlineStr">
        <is>
          <t>Disney Adventure World</t>
        </is>
      </c>
      <c r="E18900" s="8" t="inlineStr">
        <is>
          <t>Crush's Coaster Single Rider</t>
        </is>
      </c>
      <c r="F18900" s="8" t="inlineStr">
        <is>
          <t>STANDBY</t>
        </is>
      </c>
      <c r="G18900" s="8" t="n">
        <v>45</v>
      </c>
      <c r="H18900" s="8" t="inlineStr">
        <is>
          <t>OPERATING</t>
        </is>
      </c>
    </row>
    <row r="18901">
      <c r="A18901" s="8" t="inlineStr">
        <is>
          <t>2026-08-04</t>
        </is>
      </c>
      <c r="B18901" s="8" t="n">
        <v>10</v>
      </c>
      <c r="C18901" s="8" t="n">
        <v>15</v>
      </c>
      <c r="D18901" s="8" t="inlineStr">
        <is>
          <t>Disney Adventure World</t>
        </is>
      </c>
      <c r="E18901" s="8" t="inlineStr">
        <is>
          <t>Les Tapis Volants - Flying Carpets Over Agrabah®</t>
        </is>
      </c>
      <c r="F18901" s="8" t="inlineStr">
        <is>
          <t>STANDBY</t>
        </is>
      </c>
      <c r="G18901" s="8" t="n">
        <v>15</v>
      </c>
      <c r="H18901" s="8" t="inlineStr">
        <is>
          <t>OPERATING</t>
        </is>
      </c>
    </row>
    <row r="18902">
      <c r="A18902" s="8" t="inlineStr">
        <is>
          <t>2026-08-04</t>
        </is>
      </c>
      <c r="B18902" s="8" t="n">
        <v>10</v>
      </c>
      <c r="C18902" s="8" t="n">
        <v>15</v>
      </c>
      <c r="D18902" s="8" t="inlineStr">
        <is>
          <t>Disney Adventure World</t>
        </is>
      </c>
      <c r="E18902" s="8" t="inlineStr">
        <is>
          <t>Ratatouille : L’Aventure Totalement Toquée de Rémy​</t>
        </is>
      </c>
      <c r="F18902" s="8" t="inlineStr">
        <is>
          <t>STANDBY</t>
        </is>
      </c>
      <c r="G18902" s="8" t="n">
        <v>35</v>
      </c>
      <c r="H18902" s="8" t="inlineStr">
        <is>
          <t>OPERATING</t>
        </is>
      </c>
    </row>
    <row r="18903">
      <c r="A18903" s="8" t="inlineStr">
        <is>
          <t>2026-08-04</t>
        </is>
      </c>
      <c r="B18903" s="8" t="n">
        <v>10</v>
      </c>
      <c r="C18903" s="8" t="n">
        <v>15</v>
      </c>
      <c r="D18903" s="8" t="inlineStr">
        <is>
          <t>Disney Adventure World</t>
        </is>
      </c>
      <c r="E18903" s="8" t="inlineStr">
        <is>
          <t>Ratatouille: The Adventure Single Rider</t>
        </is>
      </c>
      <c r="F18903" s="8" t="inlineStr">
        <is>
          <t>STANDBY</t>
        </is>
      </c>
      <c r="G18903" s="8" t="n">
        <v>5</v>
      </c>
      <c r="H18903" s="8" t="inlineStr">
        <is>
          <t>OPERATING</t>
        </is>
      </c>
    </row>
    <row r="18904">
      <c r="A18904" s="8" t="inlineStr">
        <is>
          <t>2026-08-04</t>
        </is>
      </c>
      <c r="B18904" s="8" t="n">
        <v>10</v>
      </c>
      <c r="C18904" s="8" t="n">
        <v>15</v>
      </c>
      <c r="D18904" s="8" t="inlineStr">
        <is>
          <t>Disney Adventure World</t>
        </is>
      </c>
      <c r="E18904" s="8" t="inlineStr">
        <is>
          <t>RC Racer</t>
        </is>
      </c>
      <c r="F18904" s="8" t="inlineStr">
        <is>
          <t>STANDBY</t>
        </is>
      </c>
      <c r="G18904" s="8" t="n">
        <v>35</v>
      </c>
      <c r="H18904" s="8" t="inlineStr">
        <is>
          <t>OPERATING</t>
        </is>
      </c>
    </row>
    <row r="18905">
      <c r="A18905" s="8" t="inlineStr">
        <is>
          <t>2026-08-04</t>
        </is>
      </c>
      <c r="B18905" s="8" t="n">
        <v>10</v>
      </c>
      <c r="C18905" s="8" t="n">
        <v>15</v>
      </c>
      <c r="D18905" s="8" t="inlineStr">
        <is>
          <t>Disney Adventure World</t>
        </is>
      </c>
      <c r="E18905" s="8" t="inlineStr">
        <is>
          <t>RC Racer Single Rider</t>
        </is>
      </c>
      <c r="F18905" s="8" t="inlineStr">
        <is>
          <t>STANDBY</t>
        </is>
      </c>
      <c r="G18905" s="8" t="n">
        <v>30</v>
      </c>
      <c r="H18905" s="8" t="inlineStr">
        <is>
          <t>OPERATING</t>
        </is>
      </c>
    </row>
    <row r="18906">
      <c r="A18906" s="8" t="inlineStr">
        <is>
          <t>2026-08-04</t>
        </is>
      </c>
      <c r="B18906" s="8" t="n">
        <v>10</v>
      </c>
      <c r="C18906" s="8" t="n">
        <v>15</v>
      </c>
      <c r="D18906" s="8" t="inlineStr">
        <is>
          <t>Disney Adventure World</t>
        </is>
      </c>
      <c r="E18906" s="8" t="inlineStr">
        <is>
          <t>Slinky® Dog Zigzag Spin</t>
        </is>
      </c>
      <c r="F18906" s="8" t="inlineStr">
        <is>
          <t>STANDBY</t>
        </is>
      </c>
      <c r="G18906" s="8" t="n">
        <v>10</v>
      </c>
      <c r="H18906" s="8" t="inlineStr">
        <is>
          <t>OPERATING</t>
        </is>
      </c>
    </row>
    <row r="18907">
      <c r="A18907" s="8" t="inlineStr">
        <is>
          <t>2026-08-04</t>
        </is>
      </c>
      <c r="B18907" s="8" t="n">
        <v>10</v>
      </c>
      <c r="C18907" s="8" t="n">
        <v>15</v>
      </c>
      <c r="D18907" s="8" t="inlineStr">
        <is>
          <t>Disney Adventure World</t>
        </is>
      </c>
      <c r="E18907" s="8" t="inlineStr">
        <is>
          <t>Toy Soldiers Parachute Drop</t>
        </is>
      </c>
      <c r="F18907" s="8" t="inlineStr">
        <is>
          <t>STANDBY</t>
        </is>
      </c>
      <c r="G18907" s="8" t="n">
        <v>30</v>
      </c>
      <c r="H18907" s="8" t="inlineStr">
        <is>
          <t>OPERATING</t>
        </is>
      </c>
    </row>
    <row r="18908">
      <c r="A18908" s="8" t="inlineStr">
        <is>
          <t>2026-08-04</t>
        </is>
      </c>
      <c r="B18908" s="8" t="n">
        <v>10</v>
      </c>
      <c r="C18908" s="8" t="n">
        <v>15</v>
      </c>
      <c r="D18908" s="8" t="inlineStr">
        <is>
          <t>Disney Adventure World</t>
        </is>
      </c>
      <c r="E18908" s="8" t="inlineStr">
        <is>
          <t>Toy Soldiers Parachute Drop Single Rider</t>
        </is>
      </c>
      <c r="F18908" s="8" t="inlineStr">
        <is>
          <t>STANDBY</t>
        </is>
      </c>
      <c r="G18908" s="8" t="n">
        <v>15</v>
      </c>
      <c r="H18908" s="8" t="inlineStr">
        <is>
          <t>OPERATING</t>
        </is>
      </c>
    </row>
    <row r="18909">
      <c r="A18909" s="8" t="inlineStr">
        <is>
          <t>2026-08-04</t>
        </is>
      </c>
      <c r="B18909" s="8" t="n">
        <v>10</v>
      </c>
      <c r="C18909" s="8" t="n">
        <v>15</v>
      </c>
      <c r="D18909" s="8" t="inlineStr">
        <is>
          <t>Disney Adventure World</t>
        </is>
      </c>
      <c r="E18909" s="8" t="inlineStr">
        <is>
          <t>Entry to World of Frozen</t>
        </is>
      </c>
      <c r="F18909" s="8" t="inlineStr">
        <is>
          <t>STANDBY</t>
        </is>
      </c>
      <c r="G18909" s="8" t="n">
        <v>0</v>
      </c>
      <c r="H18909" s="8" t="inlineStr">
        <is>
          <t>OPERATING</t>
        </is>
      </c>
    </row>
    <row r="18910">
      <c r="A18910" s="8" t="inlineStr">
        <is>
          <t>2026-08-04</t>
        </is>
      </c>
      <c r="B18910" s="8" t="n">
        <v>10</v>
      </c>
      <c r="C18910" s="8" t="n">
        <v>15</v>
      </c>
      <c r="D18910" s="8" t="inlineStr">
        <is>
          <t>Disney Adventure World</t>
        </is>
      </c>
      <c r="E18910" s="8" t="inlineStr">
        <is>
          <t>Frozen Ever After</t>
        </is>
      </c>
      <c r="F18910" s="8" t="inlineStr">
        <is>
          <t>STANDBY</t>
        </is>
      </c>
      <c r="G18910" s="8" t="n">
        <v>50</v>
      </c>
      <c r="H18910" s="8" t="inlineStr">
        <is>
          <t>OPERATING</t>
        </is>
      </c>
    </row>
    <row r="18911">
      <c r="A18911" s="8" t="inlineStr">
        <is>
          <t>2026-08-04</t>
        </is>
      </c>
      <c r="B18911" s="8" t="n">
        <v>10</v>
      </c>
      <c r="C18911" s="8" t="n">
        <v>15</v>
      </c>
      <c r="D18911" s="8" t="inlineStr">
        <is>
          <t>Disney Adventure World</t>
        </is>
      </c>
      <c r="E18911" s="8" t="inlineStr">
        <is>
          <t>Raiponce Tangled Spin</t>
        </is>
      </c>
      <c r="F18911" s="8" t="inlineStr">
        <is>
          <t>STANDBY</t>
        </is>
      </c>
      <c r="G18911" s="8" t="n">
        <v>5</v>
      </c>
      <c r="H18911" s="8" t="inlineStr">
        <is>
          <t>OPERATING</t>
        </is>
      </c>
    </row>
  </sheetData>
  <autoFilter ref="A1:H1891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IFERROR(ROUND(AVERAGEIFS(Datos!$G$2:$G$18911,Datos!$E$2:$E$18911,$A5,Datos!$B$2:$B$18911,8,Datos!$C$2:$C$18911,"&lt;30",Datos!$F$2:$F$18911,"STANDBY"),0),"")</f>
        <v/>
      </c>
      <c r="C5" s="7">
        <f>IFERROR(ROUND(AVERAGEIFS(Datos!$G$2:$G$18911,Datos!$E$2:$E$18911,$A5,Datos!$B$2:$B$18911,8,Datos!$C$2:$C$18911,"&gt;=30",Datos!$F$2:$F$18911,"STANDBY"),0),"")</f>
        <v/>
      </c>
      <c r="D5" s="7">
        <f>IFERROR(ROUND(AVERAGEIFS(Datos!$G$2:$G$18911,Datos!$E$2:$E$18911,$A5,Datos!$B$2:$B$18911,9,Datos!$C$2:$C$18911,"&lt;30",Datos!$F$2:$F$18911,"STANDBY"),0),"")</f>
        <v/>
      </c>
      <c r="E5" s="7">
        <f>IFERROR(ROUND(AVERAGEIFS(Datos!$G$2:$G$18911,Datos!$E$2:$E$18911,$A5,Datos!$B$2:$B$18911,9,Datos!$C$2:$C$18911,"&gt;=30",Datos!$F$2:$F$18911,"STANDBY"),0),"")</f>
        <v/>
      </c>
      <c r="F5" s="7">
        <f>IFERROR(ROUND(AVERAGEIFS(Datos!$G$2:$G$18911,Datos!$E$2:$E$18911,$A5,Datos!$B$2:$B$18911,10,Datos!$C$2:$C$18911,"&lt;30",Datos!$F$2:$F$18911,"STANDBY"),0),"")</f>
        <v/>
      </c>
      <c r="G5" s="7">
        <f>IFERROR(ROUND(AVERAGEIFS(Datos!$G$2:$G$18911,Datos!$E$2:$E$18911,$A5,Datos!$B$2:$B$18911,10,Datos!$C$2:$C$18911,"&gt;=30",Datos!$F$2:$F$18911,"STANDBY"),0),"")</f>
        <v/>
      </c>
      <c r="H5" s="7">
        <f>IFERROR(ROUND(AVERAGEIFS(Datos!$G$2:$G$18911,Datos!$E$2:$E$18911,$A5,Datos!$B$2:$B$18911,11,Datos!$C$2:$C$18911,"&lt;30",Datos!$F$2:$F$18911,"STANDBY"),0),"")</f>
        <v/>
      </c>
      <c r="I5" s="7">
        <f>IFERROR(ROUND(AVERAGEIFS(Datos!$G$2:$G$18911,Datos!$E$2:$E$18911,$A5,Datos!$B$2:$B$18911,11,Datos!$C$2:$C$18911,"&gt;=30",Datos!$F$2:$F$18911,"STANDBY"),0),"")</f>
        <v/>
      </c>
      <c r="J5" s="7">
        <f>IFERROR(ROUND(AVERAGEIFS(Datos!$G$2:$G$18911,Datos!$E$2:$E$18911,$A5,Datos!$B$2:$B$18911,12,Datos!$C$2:$C$18911,"&lt;30",Datos!$F$2:$F$18911,"STANDBY"),0),"")</f>
        <v/>
      </c>
      <c r="K5" s="7">
        <f>IFERROR(ROUND(AVERAGEIFS(Datos!$G$2:$G$18911,Datos!$E$2:$E$18911,$A5,Datos!$B$2:$B$18911,12,Datos!$C$2:$C$18911,"&gt;=30",Datos!$F$2:$F$18911,"STANDBY"),0),"")</f>
        <v/>
      </c>
      <c r="L5" s="7">
        <f>IFERROR(ROUND(AVERAGEIFS(Datos!$G$2:$G$18911,Datos!$E$2:$E$18911,$A5,Datos!$B$2:$B$18911,13,Datos!$C$2:$C$18911,"&lt;30",Datos!$F$2:$F$18911,"STANDBY"),0),"")</f>
        <v/>
      </c>
      <c r="M5" s="7">
        <f>IFERROR(ROUND(AVERAGEIFS(Datos!$G$2:$G$18911,Datos!$E$2:$E$18911,$A5,Datos!$B$2:$B$18911,13,Datos!$C$2:$C$18911,"&gt;=30",Datos!$F$2:$F$18911,"STANDBY"),0),"")</f>
        <v/>
      </c>
      <c r="N5" s="7">
        <f>IFERROR(ROUND(AVERAGEIFS(Datos!$G$2:$G$18911,Datos!$E$2:$E$18911,$A5,Datos!$B$2:$B$18911,14,Datos!$C$2:$C$18911,"&lt;30",Datos!$F$2:$F$18911,"STANDBY"),0),"")</f>
        <v/>
      </c>
      <c r="O5" s="7">
        <f>IFERROR(ROUND(AVERAGEIFS(Datos!$G$2:$G$18911,Datos!$E$2:$E$18911,$A5,Datos!$B$2:$B$18911,14,Datos!$C$2:$C$18911,"&gt;=30",Datos!$F$2:$F$18911,"STANDBY"),0),"")</f>
        <v/>
      </c>
      <c r="P5" s="7">
        <f>IFERROR(ROUND(AVERAGEIFS(Datos!$G$2:$G$18911,Datos!$E$2:$E$18911,$A5,Datos!$B$2:$B$18911,15,Datos!$C$2:$C$18911,"&lt;30",Datos!$F$2:$F$18911,"STANDBY"),0),"")</f>
        <v/>
      </c>
      <c r="Q5" s="7">
        <f>IFERROR(ROUND(AVERAGEIFS(Datos!$G$2:$G$18911,Datos!$E$2:$E$18911,$A5,Datos!$B$2:$B$18911,15,Datos!$C$2:$C$18911,"&gt;=30",Datos!$F$2:$F$18911,"STANDBY"),0),"")</f>
        <v/>
      </c>
      <c r="R5" s="7">
        <f>IFERROR(ROUND(AVERAGEIFS(Datos!$G$2:$G$18911,Datos!$E$2:$E$18911,$A5,Datos!$B$2:$B$18911,16,Datos!$C$2:$C$18911,"&lt;30",Datos!$F$2:$F$18911,"STANDBY"),0),"")</f>
        <v/>
      </c>
      <c r="S5" s="7">
        <f>IFERROR(ROUND(AVERAGEIFS(Datos!$G$2:$G$18911,Datos!$E$2:$E$18911,$A5,Datos!$B$2:$B$18911,16,Datos!$C$2:$C$18911,"&gt;=30",Datos!$F$2:$F$18911,"STANDBY"),0),"")</f>
        <v/>
      </c>
      <c r="T5" s="7">
        <f>IFERROR(ROUND(AVERAGEIFS(Datos!$G$2:$G$18911,Datos!$E$2:$E$18911,$A5,Datos!$B$2:$B$18911,17,Datos!$C$2:$C$18911,"&lt;30",Datos!$F$2:$F$18911,"STANDBY"),0),"")</f>
        <v/>
      </c>
      <c r="U5" s="7">
        <f>IFERROR(ROUND(AVERAGEIFS(Datos!$G$2:$G$18911,Datos!$E$2:$E$18911,$A5,Datos!$B$2:$B$18911,17,Datos!$C$2:$C$18911,"&gt;=30",Datos!$F$2:$F$18911,"STANDBY"),0),"")</f>
        <v/>
      </c>
      <c r="V5" s="7">
        <f>IFERROR(ROUND(AVERAGEIFS(Datos!$G$2:$G$18911,Datos!$E$2:$E$18911,$A5,Datos!$B$2:$B$18911,18,Datos!$C$2:$C$18911,"&lt;30",Datos!$F$2:$F$18911,"STANDBY"),0),"")</f>
        <v/>
      </c>
      <c r="W5" s="7">
        <f>IFERROR(ROUND(AVERAGEIFS(Datos!$G$2:$G$18911,Datos!$E$2:$E$18911,$A5,Datos!$B$2:$B$18911,18,Datos!$C$2:$C$18911,"&gt;=30",Datos!$F$2:$F$18911,"STANDBY"),0),"")</f>
        <v/>
      </c>
      <c r="X5" s="7">
        <f>IFERROR(ROUND(AVERAGEIFS(Datos!$G$2:$G$18911,Datos!$E$2:$E$18911,$A5,Datos!$B$2:$B$18911,19,Datos!$C$2:$C$18911,"&lt;30",Datos!$F$2:$F$18911,"STANDBY"),0),"")</f>
        <v/>
      </c>
      <c r="Y5" s="7">
        <f>IFERROR(ROUND(AVERAGEIFS(Datos!$G$2:$G$18911,Datos!$E$2:$E$18911,$A5,Datos!$B$2:$B$18911,19,Datos!$C$2:$C$18911,"&gt;=30",Datos!$F$2:$F$18911,"STANDBY"),0),"")</f>
        <v/>
      </c>
      <c r="Z5" s="7">
        <f>IFERROR(ROUND(AVERAGEIFS(Datos!$G$2:$G$18911,Datos!$E$2:$E$18911,$A5,Datos!$B$2:$B$18911,20,Datos!$C$2:$C$18911,"&lt;30",Datos!$F$2:$F$18911,"STANDBY"),0),"")</f>
        <v/>
      </c>
      <c r="AA5" s="7">
        <f>IFERROR(ROUND(AVERAGEIFS(Datos!$G$2:$G$18911,Datos!$E$2:$E$18911,$A5,Datos!$B$2:$B$18911,20,Datos!$C$2:$C$18911,"&gt;=30",Datos!$F$2:$F$18911,"STANDBY"),0),"")</f>
        <v/>
      </c>
      <c r="AB5" s="7">
        <f>IFERROR(ROUND(AVERAGEIFS(Datos!$G$2:$G$18911,Datos!$E$2:$E$18911,$A5,Datos!$B$2:$B$18911,21,Datos!$C$2:$C$18911,"&lt;30",Datos!$F$2:$F$18911,"STANDBY"),0),"")</f>
        <v/>
      </c>
      <c r="AC5" s="7">
        <f>IFERROR(ROUND(AVERAGEIFS(Datos!$G$2:$G$18911,Datos!$E$2:$E$18911,$A5,Datos!$B$2:$B$18911,21,Datos!$C$2:$C$18911,"&gt;=30",Datos!$F$2:$F$18911,"STANDBY"),0),"")</f>
        <v/>
      </c>
      <c r="AD5" s="7">
        <f>IFERROR(ROUND(AVERAGEIFS(Datos!$G$2:$G$18911,Datos!$E$2:$E$18911,$A5,Datos!$B$2:$B$18911,22,Datos!$C$2:$C$18911,"&lt;30",Datos!$F$2:$F$18911,"STANDBY"),0),"")</f>
        <v/>
      </c>
      <c r="AE5" s="7">
        <f>IFERROR(ROUND(AVERAGEIFS(Datos!$G$2:$G$18911,Datos!$E$2:$E$18911,$A5,Datos!$B$2:$B$18911,22,Datos!$C$2:$C$18911,"&gt;=30",Datos!$F$2:$F$18911,"STANDBY"),0),"")</f>
        <v/>
      </c>
      <c r="AF5" s="7">
        <f>IFERROR(ROUND(AVERAGEIFS(Datos!$G$2:$G$18911,Datos!$E$2:$E$18911,$A5,Datos!$B$2:$B$18911,23,Datos!$C$2:$C$18911,"&lt;30",Datos!$F$2:$F$18911,"STANDBY"),0),"")</f>
        <v/>
      </c>
      <c r="AG5" s="7">
        <f>IFERROR(ROUND(AVERAGEIFS(Datos!$G$2:$G$18911,Datos!$E$2:$E$18911,$A5,Datos!$B$2:$B$18911,23,Datos!$C$2:$C$18911,"&gt;=30",Datos!$F$2:$F$18911,"STANDBY"),0),"")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IFERROR(ROUND(AVERAGEIFS(Datos!$G$2:$G$18911,Datos!$E$2:$E$18911,$A6,Datos!$B$2:$B$18911,8,Datos!$C$2:$C$18911,"&lt;30",Datos!$F$2:$F$18911,"STANDBY"),0),"")</f>
        <v/>
      </c>
      <c r="C6" s="7">
        <f>IFERROR(ROUND(AVERAGEIFS(Datos!$G$2:$G$18911,Datos!$E$2:$E$18911,$A6,Datos!$B$2:$B$18911,8,Datos!$C$2:$C$18911,"&gt;=30",Datos!$F$2:$F$18911,"STANDBY"),0),"")</f>
        <v/>
      </c>
      <c r="D6" s="7">
        <f>IFERROR(ROUND(AVERAGEIFS(Datos!$G$2:$G$18911,Datos!$E$2:$E$18911,$A6,Datos!$B$2:$B$18911,9,Datos!$C$2:$C$18911,"&lt;30",Datos!$F$2:$F$18911,"STANDBY"),0),"")</f>
        <v/>
      </c>
      <c r="E6" s="7">
        <f>IFERROR(ROUND(AVERAGEIFS(Datos!$G$2:$G$18911,Datos!$E$2:$E$18911,$A6,Datos!$B$2:$B$18911,9,Datos!$C$2:$C$18911,"&gt;=30",Datos!$F$2:$F$18911,"STANDBY"),0),"")</f>
        <v/>
      </c>
      <c r="F6" s="7">
        <f>IFERROR(ROUND(AVERAGEIFS(Datos!$G$2:$G$18911,Datos!$E$2:$E$18911,$A6,Datos!$B$2:$B$18911,10,Datos!$C$2:$C$18911,"&lt;30",Datos!$F$2:$F$18911,"STANDBY"),0),"")</f>
        <v/>
      </c>
      <c r="G6" s="7">
        <f>IFERROR(ROUND(AVERAGEIFS(Datos!$G$2:$G$18911,Datos!$E$2:$E$18911,$A6,Datos!$B$2:$B$18911,10,Datos!$C$2:$C$18911,"&gt;=30",Datos!$F$2:$F$18911,"STANDBY"),0),"")</f>
        <v/>
      </c>
      <c r="H6" s="7">
        <f>IFERROR(ROUND(AVERAGEIFS(Datos!$G$2:$G$18911,Datos!$E$2:$E$18911,$A6,Datos!$B$2:$B$18911,11,Datos!$C$2:$C$18911,"&lt;30",Datos!$F$2:$F$18911,"STANDBY"),0),"")</f>
        <v/>
      </c>
      <c r="I6" s="7">
        <f>IFERROR(ROUND(AVERAGEIFS(Datos!$G$2:$G$18911,Datos!$E$2:$E$18911,$A6,Datos!$B$2:$B$18911,11,Datos!$C$2:$C$18911,"&gt;=30",Datos!$F$2:$F$18911,"STANDBY"),0),"")</f>
        <v/>
      </c>
      <c r="J6" s="7">
        <f>IFERROR(ROUND(AVERAGEIFS(Datos!$G$2:$G$18911,Datos!$E$2:$E$18911,$A6,Datos!$B$2:$B$18911,12,Datos!$C$2:$C$18911,"&lt;30",Datos!$F$2:$F$18911,"STANDBY"),0),"")</f>
        <v/>
      </c>
      <c r="K6" s="7">
        <f>IFERROR(ROUND(AVERAGEIFS(Datos!$G$2:$G$18911,Datos!$E$2:$E$18911,$A6,Datos!$B$2:$B$18911,12,Datos!$C$2:$C$18911,"&gt;=30",Datos!$F$2:$F$18911,"STANDBY"),0),"")</f>
        <v/>
      </c>
      <c r="L6" s="7">
        <f>IFERROR(ROUND(AVERAGEIFS(Datos!$G$2:$G$18911,Datos!$E$2:$E$18911,$A6,Datos!$B$2:$B$18911,13,Datos!$C$2:$C$18911,"&lt;30",Datos!$F$2:$F$18911,"STANDBY"),0),"")</f>
        <v/>
      </c>
      <c r="M6" s="7">
        <f>IFERROR(ROUND(AVERAGEIFS(Datos!$G$2:$G$18911,Datos!$E$2:$E$18911,$A6,Datos!$B$2:$B$18911,13,Datos!$C$2:$C$18911,"&gt;=30",Datos!$F$2:$F$18911,"STANDBY"),0),"")</f>
        <v/>
      </c>
      <c r="N6" s="7">
        <f>IFERROR(ROUND(AVERAGEIFS(Datos!$G$2:$G$18911,Datos!$E$2:$E$18911,$A6,Datos!$B$2:$B$18911,14,Datos!$C$2:$C$18911,"&lt;30",Datos!$F$2:$F$18911,"STANDBY"),0),"")</f>
        <v/>
      </c>
      <c r="O6" s="7">
        <f>IFERROR(ROUND(AVERAGEIFS(Datos!$G$2:$G$18911,Datos!$E$2:$E$18911,$A6,Datos!$B$2:$B$18911,14,Datos!$C$2:$C$18911,"&gt;=30",Datos!$F$2:$F$18911,"STANDBY"),0),"")</f>
        <v/>
      </c>
      <c r="P6" s="7">
        <f>IFERROR(ROUND(AVERAGEIFS(Datos!$G$2:$G$18911,Datos!$E$2:$E$18911,$A6,Datos!$B$2:$B$18911,15,Datos!$C$2:$C$18911,"&lt;30",Datos!$F$2:$F$18911,"STANDBY"),0),"")</f>
        <v/>
      </c>
      <c r="Q6" s="7">
        <f>IFERROR(ROUND(AVERAGEIFS(Datos!$G$2:$G$18911,Datos!$E$2:$E$18911,$A6,Datos!$B$2:$B$18911,15,Datos!$C$2:$C$18911,"&gt;=30",Datos!$F$2:$F$18911,"STANDBY"),0),"")</f>
        <v/>
      </c>
      <c r="R6" s="7">
        <f>IFERROR(ROUND(AVERAGEIFS(Datos!$G$2:$G$18911,Datos!$E$2:$E$18911,$A6,Datos!$B$2:$B$18911,16,Datos!$C$2:$C$18911,"&lt;30",Datos!$F$2:$F$18911,"STANDBY"),0),"")</f>
        <v/>
      </c>
      <c r="S6" s="7">
        <f>IFERROR(ROUND(AVERAGEIFS(Datos!$G$2:$G$18911,Datos!$E$2:$E$18911,$A6,Datos!$B$2:$B$18911,16,Datos!$C$2:$C$18911,"&gt;=30",Datos!$F$2:$F$18911,"STANDBY"),0),"")</f>
        <v/>
      </c>
      <c r="T6" s="7">
        <f>IFERROR(ROUND(AVERAGEIFS(Datos!$G$2:$G$18911,Datos!$E$2:$E$18911,$A6,Datos!$B$2:$B$18911,17,Datos!$C$2:$C$18911,"&lt;30",Datos!$F$2:$F$18911,"STANDBY"),0),"")</f>
        <v/>
      </c>
      <c r="U6" s="7">
        <f>IFERROR(ROUND(AVERAGEIFS(Datos!$G$2:$G$18911,Datos!$E$2:$E$18911,$A6,Datos!$B$2:$B$18911,17,Datos!$C$2:$C$18911,"&gt;=30",Datos!$F$2:$F$18911,"STANDBY"),0),"")</f>
        <v/>
      </c>
      <c r="V6" s="7">
        <f>IFERROR(ROUND(AVERAGEIFS(Datos!$G$2:$G$18911,Datos!$E$2:$E$18911,$A6,Datos!$B$2:$B$18911,18,Datos!$C$2:$C$18911,"&lt;30",Datos!$F$2:$F$18911,"STANDBY"),0),"")</f>
        <v/>
      </c>
      <c r="W6" s="7">
        <f>IFERROR(ROUND(AVERAGEIFS(Datos!$G$2:$G$18911,Datos!$E$2:$E$18911,$A6,Datos!$B$2:$B$18911,18,Datos!$C$2:$C$18911,"&gt;=30",Datos!$F$2:$F$18911,"STANDBY"),0),"")</f>
        <v/>
      </c>
      <c r="X6" s="7">
        <f>IFERROR(ROUND(AVERAGEIFS(Datos!$G$2:$G$18911,Datos!$E$2:$E$18911,$A6,Datos!$B$2:$B$18911,19,Datos!$C$2:$C$18911,"&lt;30",Datos!$F$2:$F$18911,"STANDBY"),0),"")</f>
        <v/>
      </c>
      <c r="Y6" s="7">
        <f>IFERROR(ROUND(AVERAGEIFS(Datos!$G$2:$G$18911,Datos!$E$2:$E$18911,$A6,Datos!$B$2:$B$18911,19,Datos!$C$2:$C$18911,"&gt;=30",Datos!$F$2:$F$18911,"STANDBY"),0),"")</f>
        <v/>
      </c>
      <c r="Z6" s="7">
        <f>IFERROR(ROUND(AVERAGEIFS(Datos!$G$2:$G$18911,Datos!$E$2:$E$18911,$A6,Datos!$B$2:$B$18911,20,Datos!$C$2:$C$18911,"&lt;30",Datos!$F$2:$F$18911,"STANDBY"),0),"")</f>
        <v/>
      </c>
      <c r="AA6" s="7">
        <f>IFERROR(ROUND(AVERAGEIFS(Datos!$G$2:$G$18911,Datos!$E$2:$E$18911,$A6,Datos!$B$2:$B$18911,20,Datos!$C$2:$C$18911,"&gt;=30",Datos!$F$2:$F$18911,"STANDBY"),0),"")</f>
        <v/>
      </c>
      <c r="AB6" s="7">
        <f>IFERROR(ROUND(AVERAGEIFS(Datos!$G$2:$G$18911,Datos!$E$2:$E$18911,$A6,Datos!$B$2:$B$18911,21,Datos!$C$2:$C$18911,"&lt;30",Datos!$F$2:$F$18911,"STANDBY"),0),"")</f>
        <v/>
      </c>
      <c r="AC6" s="7">
        <f>IFERROR(ROUND(AVERAGEIFS(Datos!$G$2:$G$18911,Datos!$E$2:$E$18911,$A6,Datos!$B$2:$B$18911,21,Datos!$C$2:$C$18911,"&gt;=30",Datos!$F$2:$F$18911,"STANDBY"),0),"")</f>
        <v/>
      </c>
      <c r="AD6" s="7">
        <f>IFERROR(ROUND(AVERAGEIFS(Datos!$G$2:$G$18911,Datos!$E$2:$E$18911,$A6,Datos!$B$2:$B$18911,22,Datos!$C$2:$C$18911,"&lt;30",Datos!$F$2:$F$18911,"STANDBY"),0),"")</f>
        <v/>
      </c>
      <c r="AE6" s="7">
        <f>IFERROR(ROUND(AVERAGEIFS(Datos!$G$2:$G$18911,Datos!$E$2:$E$18911,$A6,Datos!$B$2:$B$18911,22,Datos!$C$2:$C$18911,"&gt;=30",Datos!$F$2:$F$18911,"STANDBY"),0),"")</f>
        <v/>
      </c>
      <c r="AF6" s="7">
        <f>IFERROR(ROUND(AVERAGEIFS(Datos!$G$2:$G$18911,Datos!$E$2:$E$18911,$A6,Datos!$B$2:$B$18911,23,Datos!$C$2:$C$18911,"&lt;30",Datos!$F$2:$F$18911,"STANDBY"),0),"")</f>
        <v/>
      </c>
      <c r="AG6" s="7">
        <f>IFERROR(ROUND(AVERAGEIFS(Datos!$G$2:$G$18911,Datos!$E$2:$E$18911,$A6,Datos!$B$2:$B$18911,23,Datos!$C$2:$C$18911,"&gt;=30",Datos!$F$2:$F$18911,"STANDBY"),0),"")</f>
        <v/>
      </c>
    </row>
    <row r="7">
      <c r="A7" s="6" t="inlineStr">
        <is>
          <t>Cars Quatre Roues Rallye</t>
        </is>
      </c>
      <c r="B7" s="7">
        <f>IFERROR(ROUND(AVERAGEIFS(Datos!$G$2:$G$18911,Datos!$E$2:$E$18911,$A7,Datos!$B$2:$B$18911,8,Datos!$C$2:$C$18911,"&lt;30",Datos!$F$2:$F$18911,"STANDBY"),0),"")</f>
        <v/>
      </c>
      <c r="C7" s="7">
        <f>IFERROR(ROUND(AVERAGEIFS(Datos!$G$2:$G$18911,Datos!$E$2:$E$18911,$A7,Datos!$B$2:$B$18911,8,Datos!$C$2:$C$18911,"&gt;=30",Datos!$F$2:$F$18911,"STANDBY"),0),"")</f>
        <v/>
      </c>
      <c r="D7" s="7">
        <f>IFERROR(ROUND(AVERAGEIFS(Datos!$G$2:$G$18911,Datos!$E$2:$E$18911,$A7,Datos!$B$2:$B$18911,9,Datos!$C$2:$C$18911,"&lt;30",Datos!$F$2:$F$18911,"STANDBY"),0),"")</f>
        <v/>
      </c>
      <c r="E7" s="7">
        <f>IFERROR(ROUND(AVERAGEIFS(Datos!$G$2:$G$18911,Datos!$E$2:$E$18911,$A7,Datos!$B$2:$B$18911,9,Datos!$C$2:$C$18911,"&gt;=30",Datos!$F$2:$F$18911,"STANDBY"),0),"")</f>
        <v/>
      </c>
      <c r="F7" s="7">
        <f>IFERROR(ROUND(AVERAGEIFS(Datos!$G$2:$G$18911,Datos!$E$2:$E$18911,$A7,Datos!$B$2:$B$18911,10,Datos!$C$2:$C$18911,"&lt;30",Datos!$F$2:$F$18911,"STANDBY"),0),"")</f>
        <v/>
      </c>
      <c r="G7" s="7">
        <f>IFERROR(ROUND(AVERAGEIFS(Datos!$G$2:$G$18911,Datos!$E$2:$E$18911,$A7,Datos!$B$2:$B$18911,10,Datos!$C$2:$C$18911,"&gt;=30",Datos!$F$2:$F$18911,"STANDBY"),0),"")</f>
        <v/>
      </c>
      <c r="H7" s="7">
        <f>IFERROR(ROUND(AVERAGEIFS(Datos!$G$2:$G$18911,Datos!$E$2:$E$18911,$A7,Datos!$B$2:$B$18911,11,Datos!$C$2:$C$18911,"&lt;30",Datos!$F$2:$F$18911,"STANDBY"),0),"")</f>
        <v/>
      </c>
      <c r="I7" s="7">
        <f>IFERROR(ROUND(AVERAGEIFS(Datos!$G$2:$G$18911,Datos!$E$2:$E$18911,$A7,Datos!$B$2:$B$18911,11,Datos!$C$2:$C$18911,"&gt;=30",Datos!$F$2:$F$18911,"STANDBY"),0),"")</f>
        <v/>
      </c>
      <c r="J7" s="7">
        <f>IFERROR(ROUND(AVERAGEIFS(Datos!$G$2:$G$18911,Datos!$E$2:$E$18911,$A7,Datos!$B$2:$B$18911,12,Datos!$C$2:$C$18911,"&lt;30",Datos!$F$2:$F$18911,"STANDBY"),0),"")</f>
        <v/>
      </c>
      <c r="K7" s="7">
        <f>IFERROR(ROUND(AVERAGEIFS(Datos!$G$2:$G$18911,Datos!$E$2:$E$18911,$A7,Datos!$B$2:$B$18911,12,Datos!$C$2:$C$18911,"&gt;=30",Datos!$F$2:$F$18911,"STANDBY"),0),"")</f>
        <v/>
      </c>
      <c r="L7" s="7">
        <f>IFERROR(ROUND(AVERAGEIFS(Datos!$G$2:$G$18911,Datos!$E$2:$E$18911,$A7,Datos!$B$2:$B$18911,13,Datos!$C$2:$C$18911,"&lt;30",Datos!$F$2:$F$18911,"STANDBY"),0),"")</f>
        <v/>
      </c>
      <c r="M7" s="7">
        <f>IFERROR(ROUND(AVERAGEIFS(Datos!$G$2:$G$18911,Datos!$E$2:$E$18911,$A7,Datos!$B$2:$B$18911,13,Datos!$C$2:$C$18911,"&gt;=30",Datos!$F$2:$F$18911,"STANDBY"),0),"")</f>
        <v/>
      </c>
      <c r="N7" s="7">
        <f>IFERROR(ROUND(AVERAGEIFS(Datos!$G$2:$G$18911,Datos!$E$2:$E$18911,$A7,Datos!$B$2:$B$18911,14,Datos!$C$2:$C$18911,"&lt;30",Datos!$F$2:$F$18911,"STANDBY"),0),"")</f>
        <v/>
      </c>
      <c r="O7" s="7">
        <f>IFERROR(ROUND(AVERAGEIFS(Datos!$G$2:$G$18911,Datos!$E$2:$E$18911,$A7,Datos!$B$2:$B$18911,14,Datos!$C$2:$C$18911,"&gt;=30",Datos!$F$2:$F$18911,"STANDBY"),0),"")</f>
        <v/>
      </c>
      <c r="P7" s="7">
        <f>IFERROR(ROUND(AVERAGEIFS(Datos!$G$2:$G$18911,Datos!$E$2:$E$18911,$A7,Datos!$B$2:$B$18911,15,Datos!$C$2:$C$18911,"&lt;30",Datos!$F$2:$F$18911,"STANDBY"),0),"")</f>
        <v/>
      </c>
      <c r="Q7" s="7">
        <f>IFERROR(ROUND(AVERAGEIFS(Datos!$G$2:$G$18911,Datos!$E$2:$E$18911,$A7,Datos!$B$2:$B$18911,15,Datos!$C$2:$C$18911,"&gt;=30",Datos!$F$2:$F$18911,"STANDBY"),0),"")</f>
        <v/>
      </c>
      <c r="R7" s="7">
        <f>IFERROR(ROUND(AVERAGEIFS(Datos!$G$2:$G$18911,Datos!$E$2:$E$18911,$A7,Datos!$B$2:$B$18911,16,Datos!$C$2:$C$18911,"&lt;30",Datos!$F$2:$F$18911,"STANDBY"),0),"")</f>
        <v/>
      </c>
      <c r="S7" s="7">
        <f>IFERROR(ROUND(AVERAGEIFS(Datos!$G$2:$G$18911,Datos!$E$2:$E$18911,$A7,Datos!$B$2:$B$18911,16,Datos!$C$2:$C$18911,"&gt;=30",Datos!$F$2:$F$18911,"STANDBY"),0),"")</f>
        <v/>
      </c>
      <c r="T7" s="7">
        <f>IFERROR(ROUND(AVERAGEIFS(Datos!$G$2:$G$18911,Datos!$E$2:$E$18911,$A7,Datos!$B$2:$B$18911,17,Datos!$C$2:$C$18911,"&lt;30",Datos!$F$2:$F$18911,"STANDBY"),0),"")</f>
        <v/>
      </c>
      <c r="U7" s="7">
        <f>IFERROR(ROUND(AVERAGEIFS(Datos!$G$2:$G$18911,Datos!$E$2:$E$18911,$A7,Datos!$B$2:$B$18911,17,Datos!$C$2:$C$18911,"&gt;=30",Datos!$F$2:$F$18911,"STANDBY"),0),"")</f>
        <v/>
      </c>
      <c r="V7" s="7">
        <f>IFERROR(ROUND(AVERAGEIFS(Datos!$G$2:$G$18911,Datos!$E$2:$E$18911,$A7,Datos!$B$2:$B$18911,18,Datos!$C$2:$C$18911,"&lt;30",Datos!$F$2:$F$18911,"STANDBY"),0),"")</f>
        <v/>
      </c>
      <c r="W7" s="7">
        <f>IFERROR(ROUND(AVERAGEIFS(Datos!$G$2:$G$18911,Datos!$E$2:$E$18911,$A7,Datos!$B$2:$B$18911,18,Datos!$C$2:$C$18911,"&gt;=30",Datos!$F$2:$F$18911,"STANDBY"),0),"")</f>
        <v/>
      </c>
      <c r="X7" s="7">
        <f>IFERROR(ROUND(AVERAGEIFS(Datos!$G$2:$G$18911,Datos!$E$2:$E$18911,$A7,Datos!$B$2:$B$18911,19,Datos!$C$2:$C$18911,"&lt;30",Datos!$F$2:$F$18911,"STANDBY"),0),"")</f>
        <v/>
      </c>
      <c r="Y7" s="7">
        <f>IFERROR(ROUND(AVERAGEIFS(Datos!$G$2:$G$18911,Datos!$E$2:$E$18911,$A7,Datos!$B$2:$B$18911,19,Datos!$C$2:$C$18911,"&gt;=30",Datos!$F$2:$F$18911,"STANDBY"),0),"")</f>
        <v/>
      </c>
      <c r="Z7" s="7">
        <f>IFERROR(ROUND(AVERAGEIFS(Datos!$G$2:$G$18911,Datos!$E$2:$E$18911,$A7,Datos!$B$2:$B$18911,20,Datos!$C$2:$C$18911,"&lt;30",Datos!$F$2:$F$18911,"STANDBY"),0),"")</f>
        <v/>
      </c>
      <c r="AA7" s="7">
        <f>IFERROR(ROUND(AVERAGEIFS(Datos!$G$2:$G$18911,Datos!$E$2:$E$18911,$A7,Datos!$B$2:$B$18911,20,Datos!$C$2:$C$18911,"&gt;=30",Datos!$F$2:$F$18911,"STANDBY"),0),"")</f>
        <v/>
      </c>
      <c r="AB7" s="7">
        <f>IFERROR(ROUND(AVERAGEIFS(Datos!$G$2:$G$18911,Datos!$E$2:$E$18911,$A7,Datos!$B$2:$B$18911,21,Datos!$C$2:$C$18911,"&lt;30",Datos!$F$2:$F$18911,"STANDBY"),0),"")</f>
        <v/>
      </c>
      <c r="AC7" s="7">
        <f>IFERROR(ROUND(AVERAGEIFS(Datos!$G$2:$G$18911,Datos!$E$2:$E$18911,$A7,Datos!$B$2:$B$18911,21,Datos!$C$2:$C$18911,"&gt;=30",Datos!$F$2:$F$18911,"STANDBY"),0),"")</f>
        <v/>
      </c>
      <c r="AD7" s="7">
        <f>IFERROR(ROUND(AVERAGEIFS(Datos!$G$2:$G$18911,Datos!$E$2:$E$18911,$A7,Datos!$B$2:$B$18911,22,Datos!$C$2:$C$18911,"&lt;30",Datos!$F$2:$F$18911,"STANDBY"),0),"")</f>
        <v/>
      </c>
      <c r="AE7" s="7">
        <f>IFERROR(ROUND(AVERAGEIFS(Datos!$G$2:$G$18911,Datos!$E$2:$E$18911,$A7,Datos!$B$2:$B$18911,22,Datos!$C$2:$C$18911,"&gt;=30",Datos!$F$2:$F$18911,"STANDBY"),0),"")</f>
        <v/>
      </c>
      <c r="AF7" s="7">
        <f>IFERROR(ROUND(AVERAGEIFS(Datos!$G$2:$G$18911,Datos!$E$2:$E$18911,$A7,Datos!$B$2:$B$18911,23,Datos!$C$2:$C$18911,"&lt;30",Datos!$F$2:$F$18911,"STANDBY"),0),"")</f>
        <v/>
      </c>
      <c r="AG7" s="7">
        <f>IFERROR(ROUND(AVERAGEIFS(Datos!$G$2:$G$18911,Datos!$E$2:$E$18911,$A7,Datos!$B$2:$B$18911,23,Datos!$C$2:$C$18911,"&gt;=30",Datos!$F$2:$F$18911,"STANDBY"),0),"")</f>
        <v/>
      </c>
    </row>
    <row r="8">
      <c r="A8" s="6" t="inlineStr">
        <is>
          <t>Cars ROAD TRIP</t>
        </is>
      </c>
      <c r="B8" s="7">
        <f>IFERROR(ROUND(AVERAGEIFS(Datos!$G$2:$G$18911,Datos!$E$2:$E$18911,$A8,Datos!$B$2:$B$18911,8,Datos!$C$2:$C$18911,"&lt;30",Datos!$F$2:$F$18911,"STANDBY"),0),"")</f>
        <v/>
      </c>
      <c r="C8" s="7">
        <f>IFERROR(ROUND(AVERAGEIFS(Datos!$G$2:$G$18911,Datos!$E$2:$E$18911,$A8,Datos!$B$2:$B$18911,8,Datos!$C$2:$C$18911,"&gt;=30",Datos!$F$2:$F$18911,"STANDBY"),0),"")</f>
        <v/>
      </c>
      <c r="D8" s="7">
        <f>IFERROR(ROUND(AVERAGEIFS(Datos!$G$2:$G$18911,Datos!$E$2:$E$18911,$A8,Datos!$B$2:$B$18911,9,Datos!$C$2:$C$18911,"&lt;30",Datos!$F$2:$F$18911,"STANDBY"),0),"")</f>
        <v/>
      </c>
      <c r="E8" s="7">
        <f>IFERROR(ROUND(AVERAGEIFS(Datos!$G$2:$G$18911,Datos!$E$2:$E$18911,$A8,Datos!$B$2:$B$18911,9,Datos!$C$2:$C$18911,"&gt;=30",Datos!$F$2:$F$18911,"STANDBY"),0),"")</f>
        <v/>
      </c>
      <c r="F8" s="7">
        <f>IFERROR(ROUND(AVERAGEIFS(Datos!$G$2:$G$18911,Datos!$E$2:$E$18911,$A8,Datos!$B$2:$B$18911,10,Datos!$C$2:$C$18911,"&lt;30",Datos!$F$2:$F$18911,"STANDBY"),0),"")</f>
        <v/>
      </c>
      <c r="G8" s="7">
        <f>IFERROR(ROUND(AVERAGEIFS(Datos!$G$2:$G$18911,Datos!$E$2:$E$18911,$A8,Datos!$B$2:$B$18911,10,Datos!$C$2:$C$18911,"&gt;=30",Datos!$F$2:$F$18911,"STANDBY"),0),"")</f>
        <v/>
      </c>
      <c r="H8" s="7">
        <f>IFERROR(ROUND(AVERAGEIFS(Datos!$G$2:$G$18911,Datos!$E$2:$E$18911,$A8,Datos!$B$2:$B$18911,11,Datos!$C$2:$C$18911,"&lt;30",Datos!$F$2:$F$18911,"STANDBY"),0),"")</f>
        <v/>
      </c>
      <c r="I8" s="7">
        <f>IFERROR(ROUND(AVERAGEIFS(Datos!$G$2:$G$18911,Datos!$E$2:$E$18911,$A8,Datos!$B$2:$B$18911,11,Datos!$C$2:$C$18911,"&gt;=30",Datos!$F$2:$F$18911,"STANDBY"),0),"")</f>
        <v/>
      </c>
      <c r="J8" s="7">
        <f>IFERROR(ROUND(AVERAGEIFS(Datos!$G$2:$G$18911,Datos!$E$2:$E$18911,$A8,Datos!$B$2:$B$18911,12,Datos!$C$2:$C$18911,"&lt;30",Datos!$F$2:$F$18911,"STANDBY"),0),"")</f>
        <v/>
      </c>
      <c r="K8" s="7">
        <f>IFERROR(ROUND(AVERAGEIFS(Datos!$G$2:$G$18911,Datos!$E$2:$E$18911,$A8,Datos!$B$2:$B$18911,12,Datos!$C$2:$C$18911,"&gt;=30",Datos!$F$2:$F$18911,"STANDBY"),0),"")</f>
        <v/>
      </c>
      <c r="L8" s="7">
        <f>IFERROR(ROUND(AVERAGEIFS(Datos!$G$2:$G$18911,Datos!$E$2:$E$18911,$A8,Datos!$B$2:$B$18911,13,Datos!$C$2:$C$18911,"&lt;30",Datos!$F$2:$F$18911,"STANDBY"),0),"")</f>
        <v/>
      </c>
      <c r="M8" s="7">
        <f>IFERROR(ROUND(AVERAGEIFS(Datos!$G$2:$G$18911,Datos!$E$2:$E$18911,$A8,Datos!$B$2:$B$18911,13,Datos!$C$2:$C$18911,"&gt;=30",Datos!$F$2:$F$18911,"STANDBY"),0),"")</f>
        <v/>
      </c>
      <c r="N8" s="7">
        <f>IFERROR(ROUND(AVERAGEIFS(Datos!$G$2:$G$18911,Datos!$E$2:$E$18911,$A8,Datos!$B$2:$B$18911,14,Datos!$C$2:$C$18911,"&lt;30",Datos!$F$2:$F$18911,"STANDBY"),0),"")</f>
        <v/>
      </c>
      <c r="O8" s="7">
        <f>IFERROR(ROUND(AVERAGEIFS(Datos!$G$2:$G$18911,Datos!$E$2:$E$18911,$A8,Datos!$B$2:$B$18911,14,Datos!$C$2:$C$18911,"&gt;=30",Datos!$F$2:$F$18911,"STANDBY"),0),"")</f>
        <v/>
      </c>
      <c r="P8" s="7">
        <f>IFERROR(ROUND(AVERAGEIFS(Datos!$G$2:$G$18911,Datos!$E$2:$E$18911,$A8,Datos!$B$2:$B$18911,15,Datos!$C$2:$C$18911,"&lt;30",Datos!$F$2:$F$18911,"STANDBY"),0),"")</f>
        <v/>
      </c>
      <c r="Q8" s="7">
        <f>IFERROR(ROUND(AVERAGEIFS(Datos!$G$2:$G$18911,Datos!$E$2:$E$18911,$A8,Datos!$B$2:$B$18911,15,Datos!$C$2:$C$18911,"&gt;=30",Datos!$F$2:$F$18911,"STANDBY"),0),"")</f>
        <v/>
      </c>
      <c r="R8" s="7">
        <f>IFERROR(ROUND(AVERAGEIFS(Datos!$G$2:$G$18911,Datos!$E$2:$E$18911,$A8,Datos!$B$2:$B$18911,16,Datos!$C$2:$C$18911,"&lt;30",Datos!$F$2:$F$18911,"STANDBY"),0),"")</f>
        <v/>
      </c>
      <c r="S8" s="7">
        <f>IFERROR(ROUND(AVERAGEIFS(Datos!$G$2:$G$18911,Datos!$E$2:$E$18911,$A8,Datos!$B$2:$B$18911,16,Datos!$C$2:$C$18911,"&gt;=30",Datos!$F$2:$F$18911,"STANDBY"),0),"")</f>
        <v/>
      </c>
      <c r="T8" s="7">
        <f>IFERROR(ROUND(AVERAGEIFS(Datos!$G$2:$G$18911,Datos!$E$2:$E$18911,$A8,Datos!$B$2:$B$18911,17,Datos!$C$2:$C$18911,"&lt;30",Datos!$F$2:$F$18911,"STANDBY"),0),"")</f>
        <v/>
      </c>
      <c r="U8" s="7">
        <f>IFERROR(ROUND(AVERAGEIFS(Datos!$G$2:$G$18911,Datos!$E$2:$E$18911,$A8,Datos!$B$2:$B$18911,17,Datos!$C$2:$C$18911,"&gt;=30",Datos!$F$2:$F$18911,"STANDBY"),0),"")</f>
        <v/>
      </c>
      <c r="V8" s="7">
        <f>IFERROR(ROUND(AVERAGEIFS(Datos!$G$2:$G$18911,Datos!$E$2:$E$18911,$A8,Datos!$B$2:$B$18911,18,Datos!$C$2:$C$18911,"&lt;30",Datos!$F$2:$F$18911,"STANDBY"),0),"")</f>
        <v/>
      </c>
      <c r="W8" s="7">
        <f>IFERROR(ROUND(AVERAGEIFS(Datos!$G$2:$G$18911,Datos!$E$2:$E$18911,$A8,Datos!$B$2:$B$18911,18,Datos!$C$2:$C$18911,"&gt;=30",Datos!$F$2:$F$18911,"STANDBY"),0),"")</f>
        <v/>
      </c>
      <c r="X8" s="7">
        <f>IFERROR(ROUND(AVERAGEIFS(Datos!$G$2:$G$18911,Datos!$E$2:$E$18911,$A8,Datos!$B$2:$B$18911,19,Datos!$C$2:$C$18911,"&lt;30",Datos!$F$2:$F$18911,"STANDBY"),0),"")</f>
        <v/>
      </c>
      <c r="Y8" s="7">
        <f>IFERROR(ROUND(AVERAGEIFS(Datos!$G$2:$G$18911,Datos!$E$2:$E$18911,$A8,Datos!$B$2:$B$18911,19,Datos!$C$2:$C$18911,"&gt;=30",Datos!$F$2:$F$18911,"STANDBY"),0),"")</f>
        <v/>
      </c>
      <c r="Z8" s="7">
        <f>IFERROR(ROUND(AVERAGEIFS(Datos!$G$2:$G$18911,Datos!$E$2:$E$18911,$A8,Datos!$B$2:$B$18911,20,Datos!$C$2:$C$18911,"&lt;30",Datos!$F$2:$F$18911,"STANDBY"),0),"")</f>
        <v/>
      </c>
      <c r="AA8" s="7">
        <f>IFERROR(ROUND(AVERAGEIFS(Datos!$G$2:$G$18911,Datos!$E$2:$E$18911,$A8,Datos!$B$2:$B$18911,20,Datos!$C$2:$C$18911,"&gt;=30",Datos!$F$2:$F$18911,"STANDBY"),0),"")</f>
        <v/>
      </c>
      <c r="AB8" s="7">
        <f>IFERROR(ROUND(AVERAGEIFS(Datos!$G$2:$G$18911,Datos!$E$2:$E$18911,$A8,Datos!$B$2:$B$18911,21,Datos!$C$2:$C$18911,"&lt;30",Datos!$F$2:$F$18911,"STANDBY"),0),"")</f>
        <v/>
      </c>
      <c r="AC8" s="7">
        <f>IFERROR(ROUND(AVERAGEIFS(Datos!$G$2:$G$18911,Datos!$E$2:$E$18911,$A8,Datos!$B$2:$B$18911,21,Datos!$C$2:$C$18911,"&gt;=30",Datos!$F$2:$F$18911,"STANDBY"),0),"")</f>
        <v/>
      </c>
      <c r="AD8" s="7">
        <f>IFERROR(ROUND(AVERAGEIFS(Datos!$G$2:$G$18911,Datos!$E$2:$E$18911,$A8,Datos!$B$2:$B$18911,22,Datos!$C$2:$C$18911,"&lt;30",Datos!$F$2:$F$18911,"STANDBY"),0),"")</f>
        <v/>
      </c>
      <c r="AE8" s="7">
        <f>IFERROR(ROUND(AVERAGEIFS(Datos!$G$2:$G$18911,Datos!$E$2:$E$18911,$A8,Datos!$B$2:$B$18911,22,Datos!$C$2:$C$18911,"&gt;=30",Datos!$F$2:$F$18911,"STANDBY"),0),"")</f>
        <v/>
      </c>
      <c r="AF8" s="7">
        <f>IFERROR(ROUND(AVERAGEIFS(Datos!$G$2:$G$18911,Datos!$E$2:$E$18911,$A8,Datos!$B$2:$B$18911,23,Datos!$C$2:$C$18911,"&lt;30",Datos!$F$2:$F$18911,"STANDBY"),0),"")</f>
        <v/>
      </c>
      <c r="AG8" s="7">
        <f>IFERROR(ROUND(AVERAGEIFS(Datos!$G$2:$G$18911,Datos!$E$2:$E$18911,$A8,Datos!$B$2:$B$18911,23,Datos!$C$2:$C$18911,"&gt;=30",Datos!$F$2:$F$18911,"STANDBY"),0),"")</f>
        <v/>
      </c>
    </row>
    <row r="9">
      <c r="A9" s="6" t="inlineStr">
        <is>
          <t>Crush's Coaster</t>
        </is>
      </c>
      <c r="B9" s="7">
        <f>IFERROR(ROUND(AVERAGEIFS(Datos!$G$2:$G$18911,Datos!$E$2:$E$18911,$A9,Datos!$B$2:$B$18911,8,Datos!$C$2:$C$18911,"&lt;30",Datos!$F$2:$F$18911,"STANDBY"),0),"")</f>
        <v/>
      </c>
      <c r="C9" s="7">
        <f>IFERROR(ROUND(AVERAGEIFS(Datos!$G$2:$G$18911,Datos!$E$2:$E$18911,$A9,Datos!$B$2:$B$18911,8,Datos!$C$2:$C$18911,"&gt;=30",Datos!$F$2:$F$18911,"STANDBY"),0),"")</f>
        <v/>
      </c>
      <c r="D9" s="7">
        <f>IFERROR(ROUND(AVERAGEIFS(Datos!$G$2:$G$18911,Datos!$E$2:$E$18911,$A9,Datos!$B$2:$B$18911,9,Datos!$C$2:$C$18911,"&lt;30",Datos!$F$2:$F$18911,"STANDBY"),0),"")</f>
        <v/>
      </c>
      <c r="E9" s="7">
        <f>IFERROR(ROUND(AVERAGEIFS(Datos!$G$2:$G$18911,Datos!$E$2:$E$18911,$A9,Datos!$B$2:$B$18911,9,Datos!$C$2:$C$18911,"&gt;=30",Datos!$F$2:$F$18911,"STANDBY"),0),"")</f>
        <v/>
      </c>
      <c r="F9" s="7">
        <f>IFERROR(ROUND(AVERAGEIFS(Datos!$G$2:$G$18911,Datos!$E$2:$E$18911,$A9,Datos!$B$2:$B$18911,10,Datos!$C$2:$C$18911,"&lt;30",Datos!$F$2:$F$18911,"STANDBY"),0),"")</f>
        <v/>
      </c>
      <c r="G9" s="7">
        <f>IFERROR(ROUND(AVERAGEIFS(Datos!$G$2:$G$18911,Datos!$E$2:$E$18911,$A9,Datos!$B$2:$B$18911,10,Datos!$C$2:$C$18911,"&gt;=30",Datos!$F$2:$F$18911,"STANDBY"),0),"")</f>
        <v/>
      </c>
      <c r="H9" s="7">
        <f>IFERROR(ROUND(AVERAGEIFS(Datos!$G$2:$G$18911,Datos!$E$2:$E$18911,$A9,Datos!$B$2:$B$18911,11,Datos!$C$2:$C$18911,"&lt;30",Datos!$F$2:$F$18911,"STANDBY"),0),"")</f>
        <v/>
      </c>
      <c r="I9" s="7">
        <f>IFERROR(ROUND(AVERAGEIFS(Datos!$G$2:$G$18911,Datos!$E$2:$E$18911,$A9,Datos!$B$2:$B$18911,11,Datos!$C$2:$C$18911,"&gt;=30",Datos!$F$2:$F$18911,"STANDBY"),0),"")</f>
        <v/>
      </c>
      <c r="J9" s="7">
        <f>IFERROR(ROUND(AVERAGEIFS(Datos!$G$2:$G$18911,Datos!$E$2:$E$18911,$A9,Datos!$B$2:$B$18911,12,Datos!$C$2:$C$18911,"&lt;30",Datos!$F$2:$F$18911,"STANDBY"),0),"")</f>
        <v/>
      </c>
      <c r="K9" s="7">
        <f>IFERROR(ROUND(AVERAGEIFS(Datos!$G$2:$G$18911,Datos!$E$2:$E$18911,$A9,Datos!$B$2:$B$18911,12,Datos!$C$2:$C$18911,"&gt;=30",Datos!$F$2:$F$18911,"STANDBY"),0),"")</f>
        <v/>
      </c>
      <c r="L9" s="7">
        <f>IFERROR(ROUND(AVERAGEIFS(Datos!$G$2:$G$18911,Datos!$E$2:$E$18911,$A9,Datos!$B$2:$B$18911,13,Datos!$C$2:$C$18911,"&lt;30",Datos!$F$2:$F$18911,"STANDBY"),0),"")</f>
        <v/>
      </c>
      <c r="M9" s="7">
        <f>IFERROR(ROUND(AVERAGEIFS(Datos!$G$2:$G$18911,Datos!$E$2:$E$18911,$A9,Datos!$B$2:$B$18911,13,Datos!$C$2:$C$18911,"&gt;=30",Datos!$F$2:$F$18911,"STANDBY"),0),"")</f>
        <v/>
      </c>
      <c r="N9" s="7">
        <f>IFERROR(ROUND(AVERAGEIFS(Datos!$G$2:$G$18911,Datos!$E$2:$E$18911,$A9,Datos!$B$2:$B$18911,14,Datos!$C$2:$C$18911,"&lt;30",Datos!$F$2:$F$18911,"STANDBY"),0),"")</f>
        <v/>
      </c>
      <c r="O9" s="7">
        <f>IFERROR(ROUND(AVERAGEIFS(Datos!$G$2:$G$18911,Datos!$E$2:$E$18911,$A9,Datos!$B$2:$B$18911,14,Datos!$C$2:$C$18911,"&gt;=30",Datos!$F$2:$F$18911,"STANDBY"),0),"")</f>
        <v/>
      </c>
      <c r="P9" s="7">
        <f>IFERROR(ROUND(AVERAGEIFS(Datos!$G$2:$G$18911,Datos!$E$2:$E$18911,$A9,Datos!$B$2:$B$18911,15,Datos!$C$2:$C$18911,"&lt;30",Datos!$F$2:$F$18911,"STANDBY"),0),"")</f>
        <v/>
      </c>
      <c r="Q9" s="7">
        <f>IFERROR(ROUND(AVERAGEIFS(Datos!$G$2:$G$18911,Datos!$E$2:$E$18911,$A9,Datos!$B$2:$B$18911,15,Datos!$C$2:$C$18911,"&gt;=30",Datos!$F$2:$F$18911,"STANDBY"),0),"")</f>
        <v/>
      </c>
      <c r="R9" s="7">
        <f>IFERROR(ROUND(AVERAGEIFS(Datos!$G$2:$G$18911,Datos!$E$2:$E$18911,$A9,Datos!$B$2:$B$18911,16,Datos!$C$2:$C$18911,"&lt;30",Datos!$F$2:$F$18911,"STANDBY"),0),"")</f>
        <v/>
      </c>
      <c r="S9" s="7">
        <f>IFERROR(ROUND(AVERAGEIFS(Datos!$G$2:$G$18911,Datos!$E$2:$E$18911,$A9,Datos!$B$2:$B$18911,16,Datos!$C$2:$C$18911,"&gt;=30",Datos!$F$2:$F$18911,"STANDBY"),0),"")</f>
        <v/>
      </c>
      <c r="T9" s="7">
        <f>IFERROR(ROUND(AVERAGEIFS(Datos!$G$2:$G$18911,Datos!$E$2:$E$18911,$A9,Datos!$B$2:$B$18911,17,Datos!$C$2:$C$18911,"&lt;30",Datos!$F$2:$F$18911,"STANDBY"),0),"")</f>
        <v/>
      </c>
      <c r="U9" s="7">
        <f>IFERROR(ROUND(AVERAGEIFS(Datos!$G$2:$G$18911,Datos!$E$2:$E$18911,$A9,Datos!$B$2:$B$18911,17,Datos!$C$2:$C$18911,"&gt;=30",Datos!$F$2:$F$18911,"STANDBY"),0),"")</f>
        <v/>
      </c>
      <c r="V9" s="7">
        <f>IFERROR(ROUND(AVERAGEIFS(Datos!$G$2:$G$18911,Datos!$E$2:$E$18911,$A9,Datos!$B$2:$B$18911,18,Datos!$C$2:$C$18911,"&lt;30",Datos!$F$2:$F$18911,"STANDBY"),0),"")</f>
        <v/>
      </c>
      <c r="W9" s="7">
        <f>IFERROR(ROUND(AVERAGEIFS(Datos!$G$2:$G$18911,Datos!$E$2:$E$18911,$A9,Datos!$B$2:$B$18911,18,Datos!$C$2:$C$18911,"&gt;=30",Datos!$F$2:$F$18911,"STANDBY"),0),"")</f>
        <v/>
      </c>
      <c r="X9" s="7">
        <f>IFERROR(ROUND(AVERAGEIFS(Datos!$G$2:$G$18911,Datos!$E$2:$E$18911,$A9,Datos!$B$2:$B$18911,19,Datos!$C$2:$C$18911,"&lt;30",Datos!$F$2:$F$18911,"STANDBY"),0),"")</f>
        <v/>
      </c>
      <c r="Y9" s="7">
        <f>IFERROR(ROUND(AVERAGEIFS(Datos!$G$2:$G$18911,Datos!$E$2:$E$18911,$A9,Datos!$B$2:$B$18911,19,Datos!$C$2:$C$18911,"&gt;=30",Datos!$F$2:$F$18911,"STANDBY"),0),"")</f>
        <v/>
      </c>
      <c r="Z9" s="7">
        <f>IFERROR(ROUND(AVERAGEIFS(Datos!$G$2:$G$18911,Datos!$E$2:$E$18911,$A9,Datos!$B$2:$B$18911,20,Datos!$C$2:$C$18911,"&lt;30",Datos!$F$2:$F$18911,"STANDBY"),0),"")</f>
        <v/>
      </c>
      <c r="AA9" s="7">
        <f>IFERROR(ROUND(AVERAGEIFS(Datos!$G$2:$G$18911,Datos!$E$2:$E$18911,$A9,Datos!$B$2:$B$18911,20,Datos!$C$2:$C$18911,"&gt;=30",Datos!$F$2:$F$18911,"STANDBY"),0),"")</f>
        <v/>
      </c>
      <c r="AB9" s="7">
        <f>IFERROR(ROUND(AVERAGEIFS(Datos!$G$2:$G$18911,Datos!$E$2:$E$18911,$A9,Datos!$B$2:$B$18911,21,Datos!$C$2:$C$18911,"&lt;30",Datos!$F$2:$F$18911,"STANDBY"),0),"")</f>
        <v/>
      </c>
      <c r="AC9" s="7">
        <f>IFERROR(ROUND(AVERAGEIFS(Datos!$G$2:$G$18911,Datos!$E$2:$E$18911,$A9,Datos!$B$2:$B$18911,21,Datos!$C$2:$C$18911,"&gt;=30",Datos!$F$2:$F$18911,"STANDBY"),0),"")</f>
        <v/>
      </c>
      <c r="AD9" s="7">
        <f>IFERROR(ROUND(AVERAGEIFS(Datos!$G$2:$G$18911,Datos!$E$2:$E$18911,$A9,Datos!$B$2:$B$18911,22,Datos!$C$2:$C$18911,"&lt;30",Datos!$F$2:$F$18911,"STANDBY"),0),"")</f>
        <v/>
      </c>
      <c r="AE9" s="7">
        <f>IFERROR(ROUND(AVERAGEIFS(Datos!$G$2:$G$18911,Datos!$E$2:$E$18911,$A9,Datos!$B$2:$B$18911,22,Datos!$C$2:$C$18911,"&gt;=30",Datos!$F$2:$F$18911,"STANDBY"),0),"")</f>
        <v/>
      </c>
      <c r="AF9" s="7">
        <f>IFERROR(ROUND(AVERAGEIFS(Datos!$G$2:$G$18911,Datos!$E$2:$E$18911,$A9,Datos!$B$2:$B$18911,23,Datos!$C$2:$C$18911,"&lt;30",Datos!$F$2:$F$18911,"STANDBY"),0),"")</f>
        <v/>
      </c>
      <c r="AG9" s="7">
        <f>IFERROR(ROUND(AVERAGEIFS(Datos!$G$2:$G$18911,Datos!$E$2:$E$18911,$A9,Datos!$B$2:$B$18911,23,Datos!$C$2:$C$18911,"&gt;=30",Datos!$F$2:$F$18911,"STANDBY"),0),"")</f>
        <v/>
      </c>
    </row>
    <row r="10">
      <c r="A10" s="6" t="inlineStr">
        <is>
          <t>Crush's Coaster Single Rider</t>
        </is>
      </c>
      <c r="B10" s="7">
        <f>IFERROR(ROUND(AVERAGEIFS(Datos!$G$2:$G$18911,Datos!$E$2:$E$18911,$A10,Datos!$B$2:$B$18911,8,Datos!$C$2:$C$18911,"&lt;30",Datos!$F$2:$F$18911,"STANDBY"),0),"")</f>
        <v/>
      </c>
      <c r="C10" s="7">
        <f>IFERROR(ROUND(AVERAGEIFS(Datos!$G$2:$G$18911,Datos!$E$2:$E$18911,$A10,Datos!$B$2:$B$18911,8,Datos!$C$2:$C$18911,"&gt;=30",Datos!$F$2:$F$18911,"STANDBY"),0),"")</f>
        <v/>
      </c>
      <c r="D10" s="7">
        <f>IFERROR(ROUND(AVERAGEIFS(Datos!$G$2:$G$18911,Datos!$E$2:$E$18911,$A10,Datos!$B$2:$B$18911,9,Datos!$C$2:$C$18911,"&lt;30",Datos!$F$2:$F$18911,"STANDBY"),0),"")</f>
        <v/>
      </c>
      <c r="E10" s="7">
        <f>IFERROR(ROUND(AVERAGEIFS(Datos!$G$2:$G$18911,Datos!$E$2:$E$18911,$A10,Datos!$B$2:$B$18911,9,Datos!$C$2:$C$18911,"&gt;=30",Datos!$F$2:$F$18911,"STANDBY"),0),"")</f>
        <v/>
      </c>
      <c r="F10" s="7">
        <f>IFERROR(ROUND(AVERAGEIFS(Datos!$G$2:$G$18911,Datos!$E$2:$E$18911,$A10,Datos!$B$2:$B$18911,10,Datos!$C$2:$C$18911,"&lt;30",Datos!$F$2:$F$18911,"STANDBY"),0),"")</f>
        <v/>
      </c>
      <c r="G10" s="7">
        <f>IFERROR(ROUND(AVERAGEIFS(Datos!$G$2:$G$18911,Datos!$E$2:$E$18911,$A10,Datos!$B$2:$B$18911,10,Datos!$C$2:$C$18911,"&gt;=30",Datos!$F$2:$F$18911,"STANDBY"),0),"")</f>
        <v/>
      </c>
      <c r="H10" s="7">
        <f>IFERROR(ROUND(AVERAGEIFS(Datos!$G$2:$G$18911,Datos!$E$2:$E$18911,$A10,Datos!$B$2:$B$18911,11,Datos!$C$2:$C$18911,"&lt;30",Datos!$F$2:$F$18911,"STANDBY"),0),"")</f>
        <v/>
      </c>
      <c r="I10" s="7">
        <f>IFERROR(ROUND(AVERAGEIFS(Datos!$G$2:$G$18911,Datos!$E$2:$E$18911,$A10,Datos!$B$2:$B$18911,11,Datos!$C$2:$C$18911,"&gt;=30",Datos!$F$2:$F$18911,"STANDBY"),0),"")</f>
        <v/>
      </c>
      <c r="J10" s="7">
        <f>IFERROR(ROUND(AVERAGEIFS(Datos!$G$2:$G$18911,Datos!$E$2:$E$18911,$A10,Datos!$B$2:$B$18911,12,Datos!$C$2:$C$18911,"&lt;30",Datos!$F$2:$F$18911,"STANDBY"),0),"")</f>
        <v/>
      </c>
      <c r="K10" s="7">
        <f>IFERROR(ROUND(AVERAGEIFS(Datos!$G$2:$G$18911,Datos!$E$2:$E$18911,$A10,Datos!$B$2:$B$18911,12,Datos!$C$2:$C$18911,"&gt;=30",Datos!$F$2:$F$18911,"STANDBY"),0),"")</f>
        <v/>
      </c>
      <c r="L10" s="7">
        <f>IFERROR(ROUND(AVERAGEIFS(Datos!$G$2:$G$18911,Datos!$E$2:$E$18911,$A10,Datos!$B$2:$B$18911,13,Datos!$C$2:$C$18911,"&lt;30",Datos!$F$2:$F$18911,"STANDBY"),0),"")</f>
        <v/>
      </c>
      <c r="M10" s="7">
        <f>IFERROR(ROUND(AVERAGEIFS(Datos!$G$2:$G$18911,Datos!$E$2:$E$18911,$A10,Datos!$B$2:$B$18911,13,Datos!$C$2:$C$18911,"&gt;=30",Datos!$F$2:$F$18911,"STANDBY"),0),"")</f>
        <v/>
      </c>
      <c r="N10" s="7">
        <f>IFERROR(ROUND(AVERAGEIFS(Datos!$G$2:$G$18911,Datos!$E$2:$E$18911,$A10,Datos!$B$2:$B$18911,14,Datos!$C$2:$C$18911,"&lt;30",Datos!$F$2:$F$18911,"STANDBY"),0),"")</f>
        <v/>
      </c>
      <c r="O10" s="7">
        <f>IFERROR(ROUND(AVERAGEIFS(Datos!$G$2:$G$18911,Datos!$E$2:$E$18911,$A10,Datos!$B$2:$B$18911,14,Datos!$C$2:$C$18911,"&gt;=30",Datos!$F$2:$F$18911,"STANDBY"),0),"")</f>
        <v/>
      </c>
      <c r="P10" s="7">
        <f>IFERROR(ROUND(AVERAGEIFS(Datos!$G$2:$G$18911,Datos!$E$2:$E$18911,$A10,Datos!$B$2:$B$18911,15,Datos!$C$2:$C$18911,"&lt;30",Datos!$F$2:$F$18911,"STANDBY"),0),"")</f>
        <v/>
      </c>
      <c r="Q10" s="7">
        <f>IFERROR(ROUND(AVERAGEIFS(Datos!$G$2:$G$18911,Datos!$E$2:$E$18911,$A10,Datos!$B$2:$B$18911,15,Datos!$C$2:$C$18911,"&gt;=30",Datos!$F$2:$F$18911,"STANDBY"),0),"")</f>
        <v/>
      </c>
      <c r="R10" s="7">
        <f>IFERROR(ROUND(AVERAGEIFS(Datos!$G$2:$G$18911,Datos!$E$2:$E$18911,$A10,Datos!$B$2:$B$18911,16,Datos!$C$2:$C$18911,"&lt;30",Datos!$F$2:$F$18911,"STANDBY"),0),"")</f>
        <v/>
      </c>
      <c r="S10" s="7">
        <f>IFERROR(ROUND(AVERAGEIFS(Datos!$G$2:$G$18911,Datos!$E$2:$E$18911,$A10,Datos!$B$2:$B$18911,16,Datos!$C$2:$C$18911,"&gt;=30",Datos!$F$2:$F$18911,"STANDBY"),0),"")</f>
        <v/>
      </c>
      <c r="T10" s="7">
        <f>IFERROR(ROUND(AVERAGEIFS(Datos!$G$2:$G$18911,Datos!$E$2:$E$18911,$A10,Datos!$B$2:$B$18911,17,Datos!$C$2:$C$18911,"&lt;30",Datos!$F$2:$F$18911,"STANDBY"),0),"")</f>
        <v/>
      </c>
      <c r="U10" s="7">
        <f>IFERROR(ROUND(AVERAGEIFS(Datos!$G$2:$G$18911,Datos!$E$2:$E$18911,$A10,Datos!$B$2:$B$18911,17,Datos!$C$2:$C$18911,"&gt;=30",Datos!$F$2:$F$18911,"STANDBY"),0),"")</f>
        <v/>
      </c>
      <c r="V10" s="7">
        <f>IFERROR(ROUND(AVERAGEIFS(Datos!$G$2:$G$18911,Datos!$E$2:$E$18911,$A10,Datos!$B$2:$B$18911,18,Datos!$C$2:$C$18911,"&lt;30",Datos!$F$2:$F$18911,"STANDBY"),0),"")</f>
        <v/>
      </c>
      <c r="W10" s="7">
        <f>IFERROR(ROUND(AVERAGEIFS(Datos!$G$2:$G$18911,Datos!$E$2:$E$18911,$A10,Datos!$B$2:$B$18911,18,Datos!$C$2:$C$18911,"&gt;=30",Datos!$F$2:$F$18911,"STANDBY"),0),"")</f>
        <v/>
      </c>
      <c r="X10" s="7">
        <f>IFERROR(ROUND(AVERAGEIFS(Datos!$G$2:$G$18911,Datos!$E$2:$E$18911,$A10,Datos!$B$2:$B$18911,19,Datos!$C$2:$C$18911,"&lt;30",Datos!$F$2:$F$18911,"STANDBY"),0),"")</f>
        <v/>
      </c>
      <c r="Y10" s="7">
        <f>IFERROR(ROUND(AVERAGEIFS(Datos!$G$2:$G$18911,Datos!$E$2:$E$18911,$A10,Datos!$B$2:$B$18911,19,Datos!$C$2:$C$18911,"&gt;=30",Datos!$F$2:$F$18911,"STANDBY"),0),"")</f>
        <v/>
      </c>
      <c r="Z10" s="7">
        <f>IFERROR(ROUND(AVERAGEIFS(Datos!$G$2:$G$18911,Datos!$E$2:$E$18911,$A10,Datos!$B$2:$B$18911,20,Datos!$C$2:$C$18911,"&lt;30",Datos!$F$2:$F$18911,"STANDBY"),0),"")</f>
        <v/>
      </c>
      <c r="AA10" s="7">
        <f>IFERROR(ROUND(AVERAGEIFS(Datos!$G$2:$G$18911,Datos!$E$2:$E$18911,$A10,Datos!$B$2:$B$18911,20,Datos!$C$2:$C$18911,"&gt;=30",Datos!$F$2:$F$18911,"STANDBY"),0),"")</f>
        <v/>
      </c>
      <c r="AB10" s="7">
        <f>IFERROR(ROUND(AVERAGEIFS(Datos!$G$2:$G$18911,Datos!$E$2:$E$18911,$A10,Datos!$B$2:$B$18911,21,Datos!$C$2:$C$18911,"&lt;30",Datos!$F$2:$F$18911,"STANDBY"),0),"")</f>
        <v/>
      </c>
      <c r="AC10" s="7">
        <f>IFERROR(ROUND(AVERAGEIFS(Datos!$G$2:$G$18911,Datos!$E$2:$E$18911,$A10,Datos!$B$2:$B$18911,21,Datos!$C$2:$C$18911,"&gt;=30",Datos!$F$2:$F$18911,"STANDBY"),0),"")</f>
        <v/>
      </c>
      <c r="AD10" s="7">
        <f>IFERROR(ROUND(AVERAGEIFS(Datos!$G$2:$G$18911,Datos!$E$2:$E$18911,$A10,Datos!$B$2:$B$18911,22,Datos!$C$2:$C$18911,"&lt;30",Datos!$F$2:$F$18911,"STANDBY"),0),"")</f>
        <v/>
      </c>
      <c r="AE10" s="7">
        <f>IFERROR(ROUND(AVERAGEIFS(Datos!$G$2:$G$18911,Datos!$E$2:$E$18911,$A10,Datos!$B$2:$B$18911,22,Datos!$C$2:$C$18911,"&gt;=30",Datos!$F$2:$F$18911,"STANDBY"),0),"")</f>
        <v/>
      </c>
      <c r="AF10" s="7">
        <f>IFERROR(ROUND(AVERAGEIFS(Datos!$G$2:$G$18911,Datos!$E$2:$E$18911,$A10,Datos!$B$2:$B$18911,23,Datos!$C$2:$C$18911,"&lt;30",Datos!$F$2:$F$18911,"STANDBY"),0),"")</f>
        <v/>
      </c>
      <c r="AG10" s="7">
        <f>IFERROR(ROUND(AVERAGEIFS(Datos!$G$2:$G$18911,Datos!$E$2:$E$18911,$A10,Datos!$B$2:$B$18911,23,Datos!$C$2:$C$18911,"&gt;=30",Datos!$F$2:$F$18911,"STANDBY"),0),"")</f>
        <v/>
      </c>
    </row>
    <row r="11">
      <c r="A11" s="6" t="inlineStr">
        <is>
          <t>Entry to World of Frozen</t>
        </is>
      </c>
      <c r="B11" s="7">
        <f>IFERROR(ROUND(AVERAGEIFS(Datos!$G$2:$G$18911,Datos!$E$2:$E$18911,$A11,Datos!$B$2:$B$18911,8,Datos!$C$2:$C$18911,"&lt;30",Datos!$F$2:$F$18911,"STANDBY"),0),"")</f>
        <v/>
      </c>
      <c r="C11" s="7">
        <f>IFERROR(ROUND(AVERAGEIFS(Datos!$G$2:$G$18911,Datos!$E$2:$E$18911,$A11,Datos!$B$2:$B$18911,8,Datos!$C$2:$C$18911,"&gt;=30",Datos!$F$2:$F$18911,"STANDBY"),0),"")</f>
        <v/>
      </c>
      <c r="D11" s="7">
        <f>IFERROR(ROUND(AVERAGEIFS(Datos!$G$2:$G$18911,Datos!$E$2:$E$18911,$A11,Datos!$B$2:$B$18911,9,Datos!$C$2:$C$18911,"&lt;30",Datos!$F$2:$F$18911,"STANDBY"),0),"")</f>
        <v/>
      </c>
      <c r="E11" s="7">
        <f>IFERROR(ROUND(AVERAGEIFS(Datos!$G$2:$G$18911,Datos!$E$2:$E$18911,$A11,Datos!$B$2:$B$18911,9,Datos!$C$2:$C$18911,"&gt;=30",Datos!$F$2:$F$18911,"STANDBY"),0),"")</f>
        <v/>
      </c>
      <c r="F11" s="7">
        <f>IFERROR(ROUND(AVERAGEIFS(Datos!$G$2:$G$18911,Datos!$E$2:$E$18911,$A11,Datos!$B$2:$B$18911,10,Datos!$C$2:$C$18911,"&lt;30",Datos!$F$2:$F$18911,"STANDBY"),0),"")</f>
        <v/>
      </c>
      <c r="G11" s="7">
        <f>IFERROR(ROUND(AVERAGEIFS(Datos!$G$2:$G$18911,Datos!$E$2:$E$18911,$A11,Datos!$B$2:$B$18911,10,Datos!$C$2:$C$18911,"&gt;=30",Datos!$F$2:$F$18911,"STANDBY"),0),"")</f>
        <v/>
      </c>
      <c r="H11" s="7">
        <f>IFERROR(ROUND(AVERAGEIFS(Datos!$G$2:$G$18911,Datos!$E$2:$E$18911,$A11,Datos!$B$2:$B$18911,11,Datos!$C$2:$C$18911,"&lt;30",Datos!$F$2:$F$18911,"STANDBY"),0),"")</f>
        <v/>
      </c>
      <c r="I11" s="7">
        <f>IFERROR(ROUND(AVERAGEIFS(Datos!$G$2:$G$18911,Datos!$E$2:$E$18911,$A11,Datos!$B$2:$B$18911,11,Datos!$C$2:$C$18911,"&gt;=30",Datos!$F$2:$F$18911,"STANDBY"),0),"")</f>
        <v/>
      </c>
      <c r="J11" s="7">
        <f>IFERROR(ROUND(AVERAGEIFS(Datos!$G$2:$G$18911,Datos!$E$2:$E$18911,$A11,Datos!$B$2:$B$18911,12,Datos!$C$2:$C$18911,"&lt;30",Datos!$F$2:$F$18911,"STANDBY"),0),"")</f>
        <v/>
      </c>
      <c r="K11" s="7">
        <f>IFERROR(ROUND(AVERAGEIFS(Datos!$G$2:$G$18911,Datos!$E$2:$E$18911,$A11,Datos!$B$2:$B$18911,12,Datos!$C$2:$C$18911,"&gt;=30",Datos!$F$2:$F$18911,"STANDBY"),0),"")</f>
        <v/>
      </c>
      <c r="L11" s="7">
        <f>IFERROR(ROUND(AVERAGEIFS(Datos!$G$2:$G$18911,Datos!$E$2:$E$18911,$A11,Datos!$B$2:$B$18911,13,Datos!$C$2:$C$18911,"&lt;30",Datos!$F$2:$F$18911,"STANDBY"),0),"")</f>
        <v/>
      </c>
      <c r="M11" s="7">
        <f>IFERROR(ROUND(AVERAGEIFS(Datos!$G$2:$G$18911,Datos!$E$2:$E$18911,$A11,Datos!$B$2:$B$18911,13,Datos!$C$2:$C$18911,"&gt;=30",Datos!$F$2:$F$18911,"STANDBY"),0),"")</f>
        <v/>
      </c>
      <c r="N11" s="7">
        <f>IFERROR(ROUND(AVERAGEIFS(Datos!$G$2:$G$18911,Datos!$E$2:$E$18911,$A11,Datos!$B$2:$B$18911,14,Datos!$C$2:$C$18911,"&lt;30",Datos!$F$2:$F$18911,"STANDBY"),0),"")</f>
        <v/>
      </c>
      <c r="O11" s="7">
        <f>IFERROR(ROUND(AVERAGEIFS(Datos!$G$2:$G$18911,Datos!$E$2:$E$18911,$A11,Datos!$B$2:$B$18911,14,Datos!$C$2:$C$18911,"&gt;=30",Datos!$F$2:$F$18911,"STANDBY"),0),"")</f>
        <v/>
      </c>
      <c r="P11" s="7">
        <f>IFERROR(ROUND(AVERAGEIFS(Datos!$G$2:$G$18911,Datos!$E$2:$E$18911,$A11,Datos!$B$2:$B$18911,15,Datos!$C$2:$C$18911,"&lt;30",Datos!$F$2:$F$18911,"STANDBY"),0),"")</f>
        <v/>
      </c>
      <c r="Q11" s="7">
        <f>IFERROR(ROUND(AVERAGEIFS(Datos!$G$2:$G$18911,Datos!$E$2:$E$18911,$A11,Datos!$B$2:$B$18911,15,Datos!$C$2:$C$18911,"&gt;=30",Datos!$F$2:$F$18911,"STANDBY"),0),"")</f>
        <v/>
      </c>
      <c r="R11" s="7">
        <f>IFERROR(ROUND(AVERAGEIFS(Datos!$G$2:$G$18911,Datos!$E$2:$E$18911,$A11,Datos!$B$2:$B$18911,16,Datos!$C$2:$C$18911,"&lt;30",Datos!$F$2:$F$18911,"STANDBY"),0),"")</f>
        <v/>
      </c>
      <c r="S11" s="7">
        <f>IFERROR(ROUND(AVERAGEIFS(Datos!$G$2:$G$18911,Datos!$E$2:$E$18911,$A11,Datos!$B$2:$B$18911,16,Datos!$C$2:$C$18911,"&gt;=30",Datos!$F$2:$F$18911,"STANDBY"),0),"")</f>
        <v/>
      </c>
      <c r="T11" s="7">
        <f>IFERROR(ROUND(AVERAGEIFS(Datos!$G$2:$G$18911,Datos!$E$2:$E$18911,$A11,Datos!$B$2:$B$18911,17,Datos!$C$2:$C$18911,"&lt;30",Datos!$F$2:$F$18911,"STANDBY"),0),"")</f>
        <v/>
      </c>
      <c r="U11" s="7">
        <f>IFERROR(ROUND(AVERAGEIFS(Datos!$G$2:$G$18911,Datos!$E$2:$E$18911,$A11,Datos!$B$2:$B$18911,17,Datos!$C$2:$C$18911,"&gt;=30",Datos!$F$2:$F$18911,"STANDBY"),0),"")</f>
        <v/>
      </c>
      <c r="V11" s="7">
        <f>IFERROR(ROUND(AVERAGEIFS(Datos!$G$2:$G$18911,Datos!$E$2:$E$18911,$A11,Datos!$B$2:$B$18911,18,Datos!$C$2:$C$18911,"&lt;30",Datos!$F$2:$F$18911,"STANDBY"),0),"")</f>
        <v/>
      </c>
      <c r="W11" s="7">
        <f>IFERROR(ROUND(AVERAGEIFS(Datos!$G$2:$G$18911,Datos!$E$2:$E$18911,$A11,Datos!$B$2:$B$18911,18,Datos!$C$2:$C$18911,"&gt;=30",Datos!$F$2:$F$18911,"STANDBY"),0),"")</f>
        <v/>
      </c>
      <c r="X11" s="7">
        <f>IFERROR(ROUND(AVERAGEIFS(Datos!$G$2:$G$18911,Datos!$E$2:$E$18911,$A11,Datos!$B$2:$B$18911,19,Datos!$C$2:$C$18911,"&lt;30",Datos!$F$2:$F$18911,"STANDBY"),0),"")</f>
        <v/>
      </c>
      <c r="Y11" s="7">
        <f>IFERROR(ROUND(AVERAGEIFS(Datos!$G$2:$G$18911,Datos!$E$2:$E$18911,$A11,Datos!$B$2:$B$18911,19,Datos!$C$2:$C$18911,"&gt;=30",Datos!$F$2:$F$18911,"STANDBY"),0),"")</f>
        <v/>
      </c>
      <c r="Z11" s="7">
        <f>IFERROR(ROUND(AVERAGEIFS(Datos!$G$2:$G$18911,Datos!$E$2:$E$18911,$A11,Datos!$B$2:$B$18911,20,Datos!$C$2:$C$18911,"&lt;30",Datos!$F$2:$F$18911,"STANDBY"),0),"")</f>
        <v/>
      </c>
      <c r="AA11" s="7">
        <f>IFERROR(ROUND(AVERAGEIFS(Datos!$G$2:$G$18911,Datos!$E$2:$E$18911,$A11,Datos!$B$2:$B$18911,20,Datos!$C$2:$C$18911,"&gt;=30",Datos!$F$2:$F$18911,"STANDBY"),0),"")</f>
        <v/>
      </c>
      <c r="AB11" s="7">
        <f>IFERROR(ROUND(AVERAGEIFS(Datos!$G$2:$G$18911,Datos!$E$2:$E$18911,$A11,Datos!$B$2:$B$18911,21,Datos!$C$2:$C$18911,"&lt;30",Datos!$F$2:$F$18911,"STANDBY"),0),"")</f>
        <v/>
      </c>
      <c r="AC11" s="7">
        <f>IFERROR(ROUND(AVERAGEIFS(Datos!$G$2:$G$18911,Datos!$E$2:$E$18911,$A11,Datos!$B$2:$B$18911,21,Datos!$C$2:$C$18911,"&gt;=30",Datos!$F$2:$F$18911,"STANDBY"),0),"")</f>
        <v/>
      </c>
      <c r="AD11" s="7">
        <f>IFERROR(ROUND(AVERAGEIFS(Datos!$G$2:$G$18911,Datos!$E$2:$E$18911,$A11,Datos!$B$2:$B$18911,22,Datos!$C$2:$C$18911,"&lt;30",Datos!$F$2:$F$18911,"STANDBY"),0),"")</f>
        <v/>
      </c>
      <c r="AE11" s="7">
        <f>IFERROR(ROUND(AVERAGEIFS(Datos!$G$2:$G$18911,Datos!$E$2:$E$18911,$A11,Datos!$B$2:$B$18911,22,Datos!$C$2:$C$18911,"&gt;=30",Datos!$F$2:$F$18911,"STANDBY"),0),"")</f>
        <v/>
      </c>
      <c r="AF11" s="7">
        <f>IFERROR(ROUND(AVERAGEIFS(Datos!$G$2:$G$18911,Datos!$E$2:$E$18911,$A11,Datos!$B$2:$B$18911,23,Datos!$C$2:$C$18911,"&lt;30",Datos!$F$2:$F$18911,"STANDBY"),0),"")</f>
        <v/>
      </c>
      <c r="AG11" s="7">
        <f>IFERROR(ROUND(AVERAGEIFS(Datos!$G$2:$G$18911,Datos!$E$2:$E$18911,$A11,Datos!$B$2:$B$18911,23,Datos!$C$2:$C$18911,"&gt;=30",Datos!$F$2:$F$18911,"STANDBY"),0),"")</f>
        <v/>
      </c>
    </row>
    <row r="12">
      <c r="A12" s="6" t="inlineStr">
        <is>
          <t>Frozen Ever After</t>
        </is>
      </c>
      <c r="B12" s="7">
        <f>IFERROR(ROUND(AVERAGEIFS(Datos!$G$2:$G$18911,Datos!$E$2:$E$18911,$A12,Datos!$B$2:$B$18911,8,Datos!$C$2:$C$18911,"&lt;30",Datos!$F$2:$F$18911,"STANDBY"),0),"")</f>
        <v/>
      </c>
      <c r="C12" s="7">
        <f>IFERROR(ROUND(AVERAGEIFS(Datos!$G$2:$G$18911,Datos!$E$2:$E$18911,$A12,Datos!$B$2:$B$18911,8,Datos!$C$2:$C$18911,"&gt;=30",Datos!$F$2:$F$18911,"STANDBY"),0),"")</f>
        <v/>
      </c>
      <c r="D12" s="7">
        <f>IFERROR(ROUND(AVERAGEIFS(Datos!$G$2:$G$18911,Datos!$E$2:$E$18911,$A12,Datos!$B$2:$B$18911,9,Datos!$C$2:$C$18911,"&lt;30",Datos!$F$2:$F$18911,"STANDBY"),0),"")</f>
        <v/>
      </c>
      <c r="E12" s="7">
        <f>IFERROR(ROUND(AVERAGEIFS(Datos!$G$2:$G$18911,Datos!$E$2:$E$18911,$A12,Datos!$B$2:$B$18911,9,Datos!$C$2:$C$18911,"&gt;=30",Datos!$F$2:$F$18911,"STANDBY"),0),"")</f>
        <v/>
      </c>
      <c r="F12" s="7">
        <f>IFERROR(ROUND(AVERAGEIFS(Datos!$G$2:$G$18911,Datos!$E$2:$E$18911,$A12,Datos!$B$2:$B$18911,10,Datos!$C$2:$C$18911,"&lt;30",Datos!$F$2:$F$18911,"STANDBY"),0),"")</f>
        <v/>
      </c>
      <c r="G12" s="7">
        <f>IFERROR(ROUND(AVERAGEIFS(Datos!$G$2:$G$18911,Datos!$E$2:$E$18911,$A12,Datos!$B$2:$B$18911,10,Datos!$C$2:$C$18911,"&gt;=30",Datos!$F$2:$F$18911,"STANDBY"),0),"")</f>
        <v/>
      </c>
      <c r="H12" s="7">
        <f>IFERROR(ROUND(AVERAGEIFS(Datos!$G$2:$G$18911,Datos!$E$2:$E$18911,$A12,Datos!$B$2:$B$18911,11,Datos!$C$2:$C$18911,"&lt;30",Datos!$F$2:$F$18911,"STANDBY"),0),"")</f>
        <v/>
      </c>
      <c r="I12" s="7">
        <f>IFERROR(ROUND(AVERAGEIFS(Datos!$G$2:$G$18911,Datos!$E$2:$E$18911,$A12,Datos!$B$2:$B$18911,11,Datos!$C$2:$C$18911,"&gt;=30",Datos!$F$2:$F$18911,"STANDBY"),0),"")</f>
        <v/>
      </c>
      <c r="J12" s="7">
        <f>IFERROR(ROUND(AVERAGEIFS(Datos!$G$2:$G$18911,Datos!$E$2:$E$18911,$A12,Datos!$B$2:$B$18911,12,Datos!$C$2:$C$18911,"&lt;30",Datos!$F$2:$F$18911,"STANDBY"),0),"")</f>
        <v/>
      </c>
      <c r="K12" s="7">
        <f>IFERROR(ROUND(AVERAGEIFS(Datos!$G$2:$G$18911,Datos!$E$2:$E$18911,$A12,Datos!$B$2:$B$18911,12,Datos!$C$2:$C$18911,"&gt;=30",Datos!$F$2:$F$18911,"STANDBY"),0),"")</f>
        <v/>
      </c>
      <c r="L12" s="7">
        <f>IFERROR(ROUND(AVERAGEIFS(Datos!$G$2:$G$18911,Datos!$E$2:$E$18911,$A12,Datos!$B$2:$B$18911,13,Datos!$C$2:$C$18911,"&lt;30",Datos!$F$2:$F$18911,"STANDBY"),0),"")</f>
        <v/>
      </c>
      <c r="M12" s="7">
        <f>IFERROR(ROUND(AVERAGEIFS(Datos!$G$2:$G$18911,Datos!$E$2:$E$18911,$A12,Datos!$B$2:$B$18911,13,Datos!$C$2:$C$18911,"&gt;=30",Datos!$F$2:$F$18911,"STANDBY"),0),"")</f>
        <v/>
      </c>
      <c r="N12" s="7">
        <f>IFERROR(ROUND(AVERAGEIFS(Datos!$G$2:$G$18911,Datos!$E$2:$E$18911,$A12,Datos!$B$2:$B$18911,14,Datos!$C$2:$C$18911,"&lt;30",Datos!$F$2:$F$18911,"STANDBY"),0),"")</f>
        <v/>
      </c>
      <c r="O12" s="7">
        <f>IFERROR(ROUND(AVERAGEIFS(Datos!$G$2:$G$18911,Datos!$E$2:$E$18911,$A12,Datos!$B$2:$B$18911,14,Datos!$C$2:$C$18911,"&gt;=30",Datos!$F$2:$F$18911,"STANDBY"),0),"")</f>
        <v/>
      </c>
      <c r="P12" s="7">
        <f>IFERROR(ROUND(AVERAGEIFS(Datos!$G$2:$G$18911,Datos!$E$2:$E$18911,$A12,Datos!$B$2:$B$18911,15,Datos!$C$2:$C$18911,"&lt;30",Datos!$F$2:$F$18911,"STANDBY"),0),"")</f>
        <v/>
      </c>
      <c r="Q12" s="7">
        <f>IFERROR(ROUND(AVERAGEIFS(Datos!$G$2:$G$18911,Datos!$E$2:$E$18911,$A12,Datos!$B$2:$B$18911,15,Datos!$C$2:$C$18911,"&gt;=30",Datos!$F$2:$F$18911,"STANDBY"),0),"")</f>
        <v/>
      </c>
      <c r="R12" s="7">
        <f>IFERROR(ROUND(AVERAGEIFS(Datos!$G$2:$G$18911,Datos!$E$2:$E$18911,$A12,Datos!$B$2:$B$18911,16,Datos!$C$2:$C$18911,"&lt;30",Datos!$F$2:$F$18911,"STANDBY"),0),"")</f>
        <v/>
      </c>
      <c r="S12" s="7">
        <f>IFERROR(ROUND(AVERAGEIFS(Datos!$G$2:$G$18911,Datos!$E$2:$E$18911,$A12,Datos!$B$2:$B$18911,16,Datos!$C$2:$C$18911,"&gt;=30",Datos!$F$2:$F$18911,"STANDBY"),0),"")</f>
        <v/>
      </c>
      <c r="T12" s="7">
        <f>IFERROR(ROUND(AVERAGEIFS(Datos!$G$2:$G$18911,Datos!$E$2:$E$18911,$A12,Datos!$B$2:$B$18911,17,Datos!$C$2:$C$18911,"&lt;30",Datos!$F$2:$F$18911,"STANDBY"),0),"")</f>
        <v/>
      </c>
      <c r="U12" s="7">
        <f>IFERROR(ROUND(AVERAGEIFS(Datos!$G$2:$G$18911,Datos!$E$2:$E$18911,$A12,Datos!$B$2:$B$18911,17,Datos!$C$2:$C$18911,"&gt;=30",Datos!$F$2:$F$18911,"STANDBY"),0),"")</f>
        <v/>
      </c>
      <c r="V12" s="7">
        <f>IFERROR(ROUND(AVERAGEIFS(Datos!$G$2:$G$18911,Datos!$E$2:$E$18911,$A12,Datos!$B$2:$B$18911,18,Datos!$C$2:$C$18911,"&lt;30",Datos!$F$2:$F$18911,"STANDBY"),0),"")</f>
        <v/>
      </c>
      <c r="W12" s="7">
        <f>IFERROR(ROUND(AVERAGEIFS(Datos!$G$2:$G$18911,Datos!$E$2:$E$18911,$A12,Datos!$B$2:$B$18911,18,Datos!$C$2:$C$18911,"&gt;=30",Datos!$F$2:$F$18911,"STANDBY"),0),"")</f>
        <v/>
      </c>
      <c r="X12" s="7">
        <f>IFERROR(ROUND(AVERAGEIFS(Datos!$G$2:$G$18911,Datos!$E$2:$E$18911,$A12,Datos!$B$2:$B$18911,19,Datos!$C$2:$C$18911,"&lt;30",Datos!$F$2:$F$18911,"STANDBY"),0),"")</f>
        <v/>
      </c>
      <c r="Y12" s="7">
        <f>IFERROR(ROUND(AVERAGEIFS(Datos!$G$2:$G$18911,Datos!$E$2:$E$18911,$A12,Datos!$B$2:$B$18911,19,Datos!$C$2:$C$18911,"&gt;=30",Datos!$F$2:$F$18911,"STANDBY"),0),"")</f>
        <v/>
      </c>
      <c r="Z12" s="7">
        <f>IFERROR(ROUND(AVERAGEIFS(Datos!$G$2:$G$18911,Datos!$E$2:$E$18911,$A12,Datos!$B$2:$B$18911,20,Datos!$C$2:$C$18911,"&lt;30",Datos!$F$2:$F$18911,"STANDBY"),0),"")</f>
        <v/>
      </c>
      <c r="AA12" s="7">
        <f>IFERROR(ROUND(AVERAGEIFS(Datos!$G$2:$G$18911,Datos!$E$2:$E$18911,$A12,Datos!$B$2:$B$18911,20,Datos!$C$2:$C$18911,"&gt;=30",Datos!$F$2:$F$18911,"STANDBY"),0),"")</f>
        <v/>
      </c>
      <c r="AB12" s="7">
        <f>IFERROR(ROUND(AVERAGEIFS(Datos!$G$2:$G$18911,Datos!$E$2:$E$18911,$A12,Datos!$B$2:$B$18911,21,Datos!$C$2:$C$18911,"&lt;30",Datos!$F$2:$F$18911,"STANDBY"),0),"")</f>
        <v/>
      </c>
      <c r="AC12" s="7">
        <f>IFERROR(ROUND(AVERAGEIFS(Datos!$G$2:$G$18911,Datos!$E$2:$E$18911,$A12,Datos!$B$2:$B$18911,21,Datos!$C$2:$C$18911,"&gt;=30",Datos!$F$2:$F$18911,"STANDBY"),0),"")</f>
        <v/>
      </c>
      <c r="AD12" s="7">
        <f>IFERROR(ROUND(AVERAGEIFS(Datos!$G$2:$G$18911,Datos!$E$2:$E$18911,$A12,Datos!$B$2:$B$18911,22,Datos!$C$2:$C$18911,"&lt;30",Datos!$F$2:$F$18911,"STANDBY"),0),"")</f>
        <v/>
      </c>
      <c r="AE12" s="7">
        <f>IFERROR(ROUND(AVERAGEIFS(Datos!$G$2:$G$18911,Datos!$E$2:$E$18911,$A12,Datos!$B$2:$B$18911,22,Datos!$C$2:$C$18911,"&gt;=30",Datos!$F$2:$F$18911,"STANDBY"),0),"")</f>
        <v/>
      </c>
      <c r="AF12" s="7">
        <f>IFERROR(ROUND(AVERAGEIFS(Datos!$G$2:$G$18911,Datos!$E$2:$E$18911,$A12,Datos!$B$2:$B$18911,23,Datos!$C$2:$C$18911,"&lt;30",Datos!$F$2:$F$18911,"STANDBY"),0),"")</f>
        <v/>
      </c>
      <c r="AG12" s="7">
        <f>IFERROR(ROUND(AVERAGEIFS(Datos!$G$2:$G$18911,Datos!$E$2:$E$18911,$A12,Datos!$B$2:$B$18911,23,Datos!$C$2:$C$18911,"&gt;=30",Datos!$F$2:$F$18911,"STANDBY"),0),"")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IFERROR(ROUND(AVERAGEIFS(Datos!$G$2:$G$18911,Datos!$E$2:$E$18911,$A13,Datos!$B$2:$B$18911,8,Datos!$C$2:$C$18911,"&lt;30",Datos!$F$2:$F$18911,"STANDBY"),0),"")</f>
        <v/>
      </c>
      <c r="C13" s="7">
        <f>IFERROR(ROUND(AVERAGEIFS(Datos!$G$2:$G$18911,Datos!$E$2:$E$18911,$A13,Datos!$B$2:$B$18911,8,Datos!$C$2:$C$18911,"&gt;=30",Datos!$F$2:$F$18911,"STANDBY"),0),"")</f>
        <v/>
      </c>
      <c r="D13" s="7">
        <f>IFERROR(ROUND(AVERAGEIFS(Datos!$G$2:$G$18911,Datos!$E$2:$E$18911,$A13,Datos!$B$2:$B$18911,9,Datos!$C$2:$C$18911,"&lt;30",Datos!$F$2:$F$18911,"STANDBY"),0),"")</f>
        <v/>
      </c>
      <c r="E13" s="7">
        <f>IFERROR(ROUND(AVERAGEIFS(Datos!$G$2:$G$18911,Datos!$E$2:$E$18911,$A13,Datos!$B$2:$B$18911,9,Datos!$C$2:$C$18911,"&gt;=30",Datos!$F$2:$F$18911,"STANDBY"),0),"")</f>
        <v/>
      </c>
      <c r="F13" s="7">
        <f>IFERROR(ROUND(AVERAGEIFS(Datos!$G$2:$G$18911,Datos!$E$2:$E$18911,$A13,Datos!$B$2:$B$18911,10,Datos!$C$2:$C$18911,"&lt;30",Datos!$F$2:$F$18911,"STANDBY"),0),"")</f>
        <v/>
      </c>
      <c r="G13" s="7">
        <f>IFERROR(ROUND(AVERAGEIFS(Datos!$G$2:$G$18911,Datos!$E$2:$E$18911,$A13,Datos!$B$2:$B$18911,10,Datos!$C$2:$C$18911,"&gt;=30",Datos!$F$2:$F$18911,"STANDBY"),0),"")</f>
        <v/>
      </c>
      <c r="H13" s="7">
        <f>IFERROR(ROUND(AVERAGEIFS(Datos!$G$2:$G$18911,Datos!$E$2:$E$18911,$A13,Datos!$B$2:$B$18911,11,Datos!$C$2:$C$18911,"&lt;30",Datos!$F$2:$F$18911,"STANDBY"),0),"")</f>
        <v/>
      </c>
      <c r="I13" s="7">
        <f>IFERROR(ROUND(AVERAGEIFS(Datos!$G$2:$G$18911,Datos!$E$2:$E$18911,$A13,Datos!$B$2:$B$18911,11,Datos!$C$2:$C$18911,"&gt;=30",Datos!$F$2:$F$18911,"STANDBY"),0),"")</f>
        <v/>
      </c>
      <c r="J13" s="7">
        <f>IFERROR(ROUND(AVERAGEIFS(Datos!$G$2:$G$18911,Datos!$E$2:$E$18911,$A13,Datos!$B$2:$B$18911,12,Datos!$C$2:$C$18911,"&lt;30",Datos!$F$2:$F$18911,"STANDBY"),0),"")</f>
        <v/>
      </c>
      <c r="K13" s="7">
        <f>IFERROR(ROUND(AVERAGEIFS(Datos!$G$2:$G$18911,Datos!$E$2:$E$18911,$A13,Datos!$B$2:$B$18911,12,Datos!$C$2:$C$18911,"&gt;=30",Datos!$F$2:$F$18911,"STANDBY"),0),"")</f>
        <v/>
      </c>
      <c r="L13" s="7">
        <f>IFERROR(ROUND(AVERAGEIFS(Datos!$G$2:$G$18911,Datos!$E$2:$E$18911,$A13,Datos!$B$2:$B$18911,13,Datos!$C$2:$C$18911,"&lt;30",Datos!$F$2:$F$18911,"STANDBY"),0),"")</f>
        <v/>
      </c>
      <c r="M13" s="7">
        <f>IFERROR(ROUND(AVERAGEIFS(Datos!$G$2:$G$18911,Datos!$E$2:$E$18911,$A13,Datos!$B$2:$B$18911,13,Datos!$C$2:$C$18911,"&gt;=30",Datos!$F$2:$F$18911,"STANDBY"),0),"")</f>
        <v/>
      </c>
      <c r="N13" s="7">
        <f>IFERROR(ROUND(AVERAGEIFS(Datos!$G$2:$G$18911,Datos!$E$2:$E$18911,$A13,Datos!$B$2:$B$18911,14,Datos!$C$2:$C$18911,"&lt;30",Datos!$F$2:$F$18911,"STANDBY"),0),"")</f>
        <v/>
      </c>
      <c r="O13" s="7">
        <f>IFERROR(ROUND(AVERAGEIFS(Datos!$G$2:$G$18911,Datos!$E$2:$E$18911,$A13,Datos!$B$2:$B$18911,14,Datos!$C$2:$C$18911,"&gt;=30",Datos!$F$2:$F$18911,"STANDBY"),0),"")</f>
        <v/>
      </c>
      <c r="P13" s="7">
        <f>IFERROR(ROUND(AVERAGEIFS(Datos!$G$2:$G$18911,Datos!$E$2:$E$18911,$A13,Datos!$B$2:$B$18911,15,Datos!$C$2:$C$18911,"&lt;30",Datos!$F$2:$F$18911,"STANDBY"),0),"")</f>
        <v/>
      </c>
      <c r="Q13" s="7">
        <f>IFERROR(ROUND(AVERAGEIFS(Datos!$G$2:$G$18911,Datos!$E$2:$E$18911,$A13,Datos!$B$2:$B$18911,15,Datos!$C$2:$C$18911,"&gt;=30",Datos!$F$2:$F$18911,"STANDBY"),0),"")</f>
        <v/>
      </c>
      <c r="R13" s="7">
        <f>IFERROR(ROUND(AVERAGEIFS(Datos!$G$2:$G$18911,Datos!$E$2:$E$18911,$A13,Datos!$B$2:$B$18911,16,Datos!$C$2:$C$18911,"&lt;30",Datos!$F$2:$F$18911,"STANDBY"),0),"")</f>
        <v/>
      </c>
      <c r="S13" s="7">
        <f>IFERROR(ROUND(AVERAGEIFS(Datos!$G$2:$G$18911,Datos!$E$2:$E$18911,$A13,Datos!$B$2:$B$18911,16,Datos!$C$2:$C$18911,"&gt;=30",Datos!$F$2:$F$18911,"STANDBY"),0),"")</f>
        <v/>
      </c>
      <c r="T13" s="7">
        <f>IFERROR(ROUND(AVERAGEIFS(Datos!$G$2:$G$18911,Datos!$E$2:$E$18911,$A13,Datos!$B$2:$B$18911,17,Datos!$C$2:$C$18911,"&lt;30",Datos!$F$2:$F$18911,"STANDBY"),0),"")</f>
        <v/>
      </c>
      <c r="U13" s="7">
        <f>IFERROR(ROUND(AVERAGEIFS(Datos!$G$2:$G$18911,Datos!$E$2:$E$18911,$A13,Datos!$B$2:$B$18911,17,Datos!$C$2:$C$18911,"&gt;=30",Datos!$F$2:$F$18911,"STANDBY"),0),"")</f>
        <v/>
      </c>
      <c r="V13" s="7">
        <f>IFERROR(ROUND(AVERAGEIFS(Datos!$G$2:$G$18911,Datos!$E$2:$E$18911,$A13,Datos!$B$2:$B$18911,18,Datos!$C$2:$C$18911,"&lt;30",Datos!$F$2:$F$18911,"STANDBY"),0),"")</f>
        <v/>
      </c>
      <c r="W13" s="7">
        <f>IFERROR(ROUND(AVERAGEIFS(Datos!$G$2:$G$18911,Datos!$E$2:$E$18911,$A13,Datos!$B$2:$B$18911,18,Datos!$C$2:$C$18911,"&gt;=30",Datos!$F$2:$F$18911,"STANDBY"),0),"")</f>
        <v/>
      </c>
      <c r="X13" s="7">
        <f>IFERROR(ROUND(AVERAGEIFS(Datos!$G$2:$G$18911,Datos!$E$2:$E$18911,$A13,Datos!$B$2:$B$18911,19,Datos!$C$2:$C$18911,"&lt;30",Datos!$F$2:$F$18911,"STANDBY"),0),"")</f>
        <v/>
      </c>
      <c r="Y13" s="7">
        <f>IFERROR(ROUND(AVERAGEIFS(Datos!$G$2:$G$18911,Datos!$E$2:$E$18911,$A13,Datos!$B$2:$B$18911,19,Datos!$C$2:$C$18911,"&gt;=30",Datos!$F$2:$F$18911,"STANDBY"),0),"")</f>
        <v/>
      </c>
      <c r="Z13" s="7">
        <f>IFERROR(ROUND(AVERAGEIFS(Datos!$G$2:$G$18911,Datos!$E$2:$E$18911,$A13,Datos!$B$2:$B$18911,20,Datos!$C$2:$C$18911,"&lt;30",Datos!$F$2:$F$18911,"STANDBY"),0),"")</f>
        <v/>
      </c>
      <c r="AA13" s="7">
        <f>IFERROR(ROUND(AVERAGEIFS(Datos!$G$2:$G$18911,Datos!$E$2:$E$18911,$A13,Datos!$B$2:$B$18911,20,Datos!$C$2:$C$18911,"&gt;=30",Datos!$F$2:$F$18911,"STANDBY"),0),"")</f>
        <v/>
      </c>
      <c r="AB13" s="7">
        <f>IFERROR(ROUND(AVERAGEIFS(Datos!$G$2:$G$18911,Datos!$E$2:$E$18911,$A13,Datos!$B$2:$B$18911,21,Datos!$C$2:$C$18911,"&lt;30",Datos!$F$2:$F$18911,"STANDBY"),0),"")</f>
        <v/>
      </c>
      <c r="AC13" s="7">
        <f>IFERROR(ROUND(AVERAGEIFS(Datos!$G$2:$G$18911,Datos!$E$2:$E$18911,$A13,Datos!$B$2:$B$18911,21,Datos!$C$2:$C$18911,"&gt;=30",Datos!$F$2:$F$18911,"STANDBY"),0),"")</f>
        <v/>
      </c>
      <c r="AD13" s="7">
        <f>IFERROR(ROUND(AVERAGEIFS(Datos!$G$2:$G$18911,Datos!$E$2:$E$18911,$A13,Datos!$B$2:$B$18911,22,Datos!$C$2:$C$18911,"&lt;30",Datos!$F$2:$F$18911,"STANDBY"),0),"")</f>
        <v/>
      </c>
      <c r="AE13" s="7">
        <f>IFERROR(ROUND(AVERAGEIFS(Datos!$G$2:$G$18911,Datos!$E$2:$E$18911,$A13,Datos!$B$2:$B$18911,22,Datos!$C$2:$C$18911,"&gt;=30",Datos!$F$2:$F$18911,"STANDBY"),0),"")</f>
        <v/>
      </c>
      <c r="AF13" s="7">
        <f>IFERROR(ROUND(AVERAGEIFS(Datos!$G$2:$G$18911,Datos!$E$2:$E$18911,$A13,Datos!$B$2:$B$18911,23,Datos!$C$2:$C$18911,"&lt;30",Datos!$F$2:$F$18911,"STANDBY"),0),"")</f>
        <v/>
      </c>
      <c r="AG13" s="7">
        <f>IFERROR(ROUND(AVERAGEIFS(Datos!$G$2:$G$18911,Datos!$E$2:$E$18911,$A13,Datos!$B$2:$B$18911,23,Datos!$C$2:$C$18911,"&gt;=30",Datos!$F$2:$F$18911,"STANDBY"),0),"")</f>
        <v/>
      </c>
    </row>
    <row r="14">
      <c r="A14" s="6" t="inlineStr">
        <is>
          <t>RC Racer</t>
        </is>
      </c>
      <c r="B14" s="7">
        <f>IFERROR(ROUND(AVERAGEIFS(Datos!$G$2:$G$18911,Datos!$E$2:$E$18911,$A14,Datos!$B$2:$B$18911,8,Datos!$C$2:$C$18911,"&lt;30",Datos!$F$2:$F$18911,"STANDBY"),0),"")</f>
        <v/>
      </c>
      <c r="C14" s="7">
        <f>IFERROR(ROUND(AVERAGEIFS(Datos!$G$2:$G$18911,Datos!$E$2:$E$18911,$A14,Datos!$B$2:$B$18911,8,Datos!$C$2:$C$18911,"&gt;=30",Datos!$F$2:$F$18911,"STANDBY"),0),"")</f>
        <v/>
      </c>
      <c r="D14" s="7">
        <f>IFERROR(ROUND(AVERAGEIFS(Datos!$G$2:$G$18911,Datos!$E$2:$E$18911,$A14,Datos!$B$2:$B$18911,9,Datos!$C$2:$C$18911,"&lt;30",Datos!$F$2:$F$18911,"STANDBY"),0),"")</f>
        <v/>
      </c>
      <c r="E14" s="7">
        <f>IFERROR(ROUND(AVERAGEIFS(Datos!$G$2:$G$18911,Datos!$E$2:$E$18911,$A14,Datos!$B$2:$B$18911,9,Datos!$C$2:$C$18911,"&gt;=30",Datos!$F$2:$F$18911,"STANDBY"),0),"")</f>
        <v/>
      </c>
      <c r="F14" s="7">
        <f>IFERROR(ROUND(AVERAGEIFS(Datos!$G$2:$G$18911,Datos!$E$2:$E$18911,$A14,Datos!$B$2:$B$18911,10,Datos!$C$2:$C$18911,"&lt;30",Datos!$F$2:$F$18911,"STANDBY"),0),"")</f>
        <v/>
      </c>
      <c r="G14" s="7">
        <f>IFERROR(ROUND(AVERAGEIFS(Datos!$G$2:$G$18911,Datos!$E$2:$E$18911,$A14,Datos!$B$2:$B$18911,10,Datos!$C$2:$C$18911,"&gt;=30",Datos!$F$2:$F$18911,"STANDBY"),0),"")</f>
        <v/>
      </c>
      <c r="H14" s="7">
        <f>IFERROR(ROUND(AVERAGEIFS(Datos!$G$2:$G$18911,Datos!$E$2:$E$18911,$A14,Datos!$B$2:$B$18911,11,Datos!$C$2:$C$18911,"&lt;30",Datos!$F$2:$F$18911,"STANDBY"),0),"")</f>
        <v/>
      </c>
      <c r="I14" s="7">
        <f>IFERROR(ROUND(AVERAGEIFS(Datos!$G$2:$G$18911,Datos!$E$2:$E$18911,$A14,Datos!$B$2:$B$18911,11,Datos!$C$2:$C$18911,"&gt;=30",Datos!$F$2:$F$18911,"STANDBY"),0),"")</f>
        <v/>
      </c>
      <c r="J14" s="7">
        <f>IFERROR(ROUND(AVERAGEIFS(Datos!$G$2:$G$18911,Datos!$E$2:$E$18911,$A14,Datos!$B$2:$B$18911,12,Datos!$C$2:$C$18911,"&lt;30",Datos!$F$2:$F$18911,"STANDBY"),0),"")</f>
        <v/>
      </c>
      <c r="K14" s="7">
        <f>IFERROR(ROUND(AVERAGEIFS(Datos!$G$2:$G$18911,Datos!$E$2:$E$18911,$A14,Datos!$B$2:$B$18911,12,Datos!$C$2:$C$18911,"&gt;=30",Datos!$F$2:$F$18911,"STANDBY"),0),"")</f>
        <v/>
      </c>
      <c r="L14" s="7">
        <f>IFERROR(ROUND(AVERAGEIFS(Datos!$G$2:$G$18911,Datos!$E$2:$E$18911,$A14,Datos!$B$2:$B$18911,13,Datos!$C$2:$C$18911,"&lt;30",Datos!$F$2:$F$18911,"STANDBY"),0),"")</f>
        <v/>
      </c>
      <c r="M14" s="7">
        <f>IFERROR(ROUND(AVERAGEIFS(Datos!$G$2:$G$18911,Datos!$E$2:$E$18911,$A14,Datos!$B$2:$B$18911,13,Datos!$C$2:$C$18911,"&gt;=30",Datos!$F$2:$F$18911,"STANDBY"),0),"")</f>
        <v/>
      </c>
      <c r="N14" s="7">
        <f>IFERROR(ROUND(AVERAGEIFS(Datos!$G$2:$G$18911,Datos!$E$2:$E$18911,$A14,Datos!$B$2:$B$18911,14,Datos!$C$2:$C$18911,"&lt;30",Datos!$F$2:$F$18911,"STANDBY"),0),"")</f>
        <v/>
      </c>
      <c r="O14" s="7">
        <f>IFERROR(ROUND(AVERAGEIFS(Datos!$G$2:$G$18911,Datos!$E$2:$E$18911,$A14,Datos!$B$2:$B$18911,14,Datos!$C$2:$C$18911,"&gt;=30",Datos!$F$2:$F$18911,"STANDBY"),0),"")</f>
        <v/>
      </c>
      <c r="P14" s="7">
        <f>IFERROR(ROUND(AVERAGEIFS(Datos!$G$2:$G$18911,Datos!$E$2:$E$18911,$A14,Datos!$B$2:$B$18911,15,Datos!$C$2:$C$18911,"&lt;30",Datos!$F$2:$F$18911,"STANDBY"),0),"")</f>
        <v/>
      </c>
      <c r="Q14" s="7">
        <f>IFERROR(ROUND(AVERAGEIFS(Datos!$G$2:$G$18911,Datos!$E$2:$E$18911,$A14,Datos!$B$2:$B$18911,15,Datos!$C$2:$C$18911,"&gt;=30",Datos!$F$2:$F$18911,"STANDBY"),0),"")</f>
        <v/>
      </c>
      <c r="R14" s="7">
        <f>IFERROR(ROUND(AVERAGEIFS(Datos!$G$2:$G$18911,Datos!$E$2:$E$18911,$A14,Datos!$B$2:$B$18911,16,Datos!$C$2:$C$18911,"&lt;30",Datos!$F$2:$F$18911,"STANDBY"),0),"")</f>
        <v/>
      </c>
      <c r="S14" s="7">
        <f>IFERROR(ROUND(AVERAGEIFS(Datos!$G$2:$G$18911,Datos!$E$2:$E$18911,$A14,Datos!$B$2:$B$18911,16,Datos!$C$2:$C$18911,"&gt;=30",Datos!$F$2:$F$18911,"STANDBY"),0),"")</f>
        <v/>
      </c>
      <c r="T14" s="7">
        <f>IFERROR(ROUND(AVERAGEIFS(Datos!$G$2:$G$18911,Datos!$E$2:$E$18911,$A14,Datos!$B$2:$B$18911,17,Datos!$C$2:$C$18911,"&lt;30",Datos!$F$2:$F$18911,"STANDBY"),0),"")</f>
        <v/>
      </c>
      <c r="U14" s="7">
        <f>IFERROR(ROUND(AVERAGEIFS(Datos!$G$2:$G$18911,Datos!$E$2:$E$18911,$A14,Datos!$B$2:$B$18911,17,Datos!$C$2:$C$18911,"&gt;=30",Datos!$F$2:$F$18911,"STANDBY"),0),"")</f>
        <v/>
      </c>
      <c r="V14" s="7">
        <f>IFERROR(ROUND(AVERAGEIFS(Datos!$G$2:$G$18911,Datos!$E$2:$E$18911,$A14,Datos!$B$2:$B$18911,18,Datos!$C$2:$C$18911,"&lt;30",Datos!$F$2:$F$18911,"STANDBY"),0),"")</f>
        <v/>
      </c>
      <c r="W14" s="7">
        <f>IFERROR(ROUND(AVERAGEIFS(Datos!$G$2:$G$18911,Datos!$E$2:$E$18911,$A14,Datos!$B$2:$B$18911,18,Datos!$C$2:$C$18911,"&gt;=30",Datos!$F$2:$F$18911,"STANDBY"),0),"")</f>
        <v/>
      </c>
      <c r="X14" s="7">
        <f>IFERROR(ROUND(AVERAGEIFS(Datos!$G$2:$G$18911,Datos!$E$2:$E$18911,$A14,Datos!$B$2:$B$18911,19,Datos!$C$2:$C$18911,"&lt;30",Datos!$F$2:$F$18911,"STANDBY"),0),"")</f>
        <v/>
      </c>
      <c r="Y14" s="7">
        <f>IFERROR(ROUND(AVERAGEIFS(Datos!$G$2:$G$18911,Datos!$E$2:$E$18911,$A14,Datos!$B$2:$B$18911,19,Datos!$C$2:$C$18911,"&gt;=30",Datos!$F$2:$F$18911,"STANDBY"),0),"")</f>
        <v/>
      </c>
      <c r="Z14" s="7">
        <f>IFERROR(ROUND(AVERAGEIFS(Datos!$G$2:$G$18911,Datos!$E$2:$E$18911,$A14,Datos!$B$2:$B$18911,20,Datos!$C$2:$C$18911,"&lt;30",Datos!$F$2:$F$18911,"STANDBY"),0),"")</f>
        <v/>
      </c>
      <c r="AA14" s="7">
        <f>IFERROR(ROUND(AVERAGEIFS(Datos!$G$2:$G$18911,Datos!$E$2:$E$18911,$A14,Datos!$B$2:$B$18911,20,Datos!$C$2:$C$18911,"&gt;=30",Datos!$F$2:$F$18911,"STANDBY"),0),"")</f>
        <v/>
      </c>
      <c r="AB14" s="7">
        <f>IFERROR(ROUND(AVERAGEIFS(Datos!$G$2:$G$18911,Datos!$E$2:$E$18911,$A14,Datos!$B$2:$B$18911,21,Datos!$C$2:$C$18911,"&lt;30",Datos!$F$2:$F$18911,"STANDBY"),0),"")</f>
        <v/>
      </c>
      <c r="AC14" s="7">
        <f>IFERROR(ROUND(AVERAGEIFS(Datos!$G$2:$G$18911,Datos!$E$2:$E$18911,$A14,Datos!$B$2:$B$18911,21,Datos!$C$2:$C$18911,"&gt;=30",Datos!$F$2:$F$18911,"STANDBY"),0),"")</f>
        <v/>
      </c>
      <c r="AD14" s="7">
        <f>IFERROR(ROUND(AVERAGEIFS(Datos!$G$2:$G$18911,Datos!$E$2:$E$18911,$A14,Datos!$B$2:$B$18911,22,Datos!$C$2:$C$18911,"&lt;30",Datos!$F$2:$F$18911,"STANDBY"),0),"")</f>
        <v/>
      </c>
      <c r="AE14" s="7">
        <f>IFERROR(ROUND(AVERAGEIFS(Datos!$G$2:$G$18911,Datos!$E$2:$E$18911,$A14,Datos!$B$2:$B$18911,22,Datos!$C$2:$C$18911,"&gt;=30",Datos!$F$2:$F$18911,"STANDBY"),0),"")</f>
        <v/>
      </c>
      <c r="AF14" s="7">
        <f>IFERROR(ROUND(AVERAGEIFS(Datos!$G$2:$G$18911,Datos!$E$2:$E$18911,$A14,Datos!$B$2:$B$18911,23,Datos!$C$2:$C$18911,"&lt;30",Datos!$F$2:$F$18911,"STANDBY"),0),"")</f>
        <v/>
      </c>
      <c r="AG14" s="7">
        <f>IFERROR(ROUND(AVERAGEIFS(Datos!$G$2:$G$18911,Datos!$E$2:$E$18911,$A14,Datos!$B$2:$B$18911,23,Datos!$C$2:$C$18911,"&gt;=30",Datos!$F$2:$F$18911,"STANDBY"),0),"")</f>
        <v/>
      </c>
    </row>
    <row r="15">
      <c r="A15" s="6" t="inlineStr">
        <is>
          <t>RC Racer Single Rider</t>
        </is>
      </c>
      <c r="B15" s="7">
        <f>IFERROR(ROUND(AVERAGEIFS(Datos!$G$2:$G$18911,Datos!$E$2:$E$18911,$A15,Datos!$B$2:$B$18911,8,Datos!$C$2:$C$18911,"&lt;30",Datos!$F$2:$F$18911,"STANDBY"),0),"")</f>
        <v/>
      </c>
      <c r="C15" s="7">
        <f>IFERROR(ROUND(AVERAGEIFS(Datos!$G$2:$G$18911,Datos!$E$2:$E$18911,$A15,Datos!$B$2:$B$18911,8,Datos!$C$2:$C$18911,"&gt;=30",Datos!$F$2:$F$18911,"STANDBY"),0),"")</f>
        <v/>
      </c>
      <c r="D15" s="7">
        <f>IFERROR(ROUND(AVERAGEIFS(Datos!$G$2:$G$18911,Datos!$E$2:$E$18911,$A15,Datos!$B$2:$B$18911,9,Datos!$C$2:$C$18911,"&lt;30",Datos!$F$2:$F$18911,"STANDBY"),0),"")</f>
        <v/>
      </c>
      <c r="E15" s="7">
        <f>IFERROR(ROUND(AVERAGEIFS(Datos!$G$2:$G$18911,Datos!$E$2:$E$18911,$A15,Datos!$B$2:$B$18911,9,Datos!$C$2:$C$18911,"&gt;=30",Datos!$F$2:$F$18911,"STANDBY"),0),"")</f>
        <v/>
      </c>
      <c r="F15" s="7">
        <f>IFERROR(ROUND(AVERAGEIFS(Datos!$G$2:$G$18911,Datos!$E$2:$E$18911,$A15,Datos!$B$2:$B$18911,10,Datos!$C$2:$C$18911,"&lt;30",Datos!$F$2:$F$18911,"STANDBY"),0),"")</f>
        <v/>
      </c>
      <c r="G15" s="7">
        <f>IFERROR(ROUND(AVERAGEIFS(Datos!$G$2:$G$18911,Datos!$E$2:$E$18911,$A15,Datos!$B$2:$B$18911,10,Datos!$C$2:$C$18911,"&gt;=30",Datos!$F$2:$F$18911,"STANDBY"),0),"")</f>
        <v/>
      </c>
      <c r="H15" s="7">
        <f>IFERROR(ROUND(AVERAGEIFS(Datos!$G$2:$G$18911,Datos!$E$2:$E$18911,$A15,Datos!$B$2:$B$18911,11,Datos!$C$2:$C$18911,"&lt;30",Datos!$F$2:$F$18911,"STANDBY"),0),"")</f>
        <v/>
      </c>
      <c r="I15" s="7">
        <f>IFERROR(ROUND(AVERAGEIFS(Datos!$G$2:$G$18911,Datos!$E$2:$E$18911,$A15,Datos!$B$2:$B$18911,11,Datos!$C$2:$C$18911,"&gt;=30",Datos!$F$2:$F$18911,"STANDBY"),0),"")</f>
        <v/>
      </c>
      <c r="J15" s="7">
        <f>IFERROR(ROUND(AVERAGEIFS(Datos!$G$2:$G$18911,Datos!$E$2:$E$18911,$A15,Datos!$B$2:$B$18911,12,Datos!$C$2:$C$18911,"&lt;30",Datos!$F$2:$F$18911,"STANDBY"),0),"")</f>
        <v/>
      </c>
      <c r="K15" s="7">
        <f>IFERROR(ROUND(AVERAGEIFS(Datos!$G$2:$G$18911,Datos!$E$2:$E$18911,$A15,Datos!$B$2:$B$18911,12,Datos!$C$2:$C$18911,"&gt;=30",Datos!$F$2:$F$18911,"STANDBY"),0),"")</f>
        <v/>
      </c>
      <c r="L15" s="7">
        <f>IFERROR(ROUND(AVERAGEIFS(Datos!$G$2:$G$18911,Datos!$E$2:$E$18911,$A15,Datos!$B$2:$B$18911,13,Datos!$C$2:$C$18911,"&lt;30",Datos!$F$2:$F$18911,"STANDBY"),0),"")</f>
        <v/>
      </c>
      <c r="M15" s="7">
        <f>IFERROR(ROUND(AVERAGEIFS(Datos!$G$2:$G$18911,Datos!$E$2:$E$18911,$A15,Datos!$B$2:$B$18911,13,Datos!$C$2:$C$18911,"&gt;=30",Datos!$F$2:$F$18911,"STANDBY"),0),"")</f>
        <v/>
      </c>
      <c r="N15" s="7">
        <f>IFERROR(ROUND(AVERAGEIFS(Datos!$G$2:$G$18911,Datos!$E$2:$E$18911,$A15,Datos!$B$2:$B$18911,14,Datos!$C$2:$C$18911,"&lt;30",Datos!$F$2:$F$18911,"STANDBY"),0),"")</f>
        <v/>
      </c>
      <c r="O15" s="7">
        <f>IFERROR(ROUND(AVERAGEIFS(Datos!$G$2:$G$18911,Datos!$E$2:$E$18911,$A15,Datos!$B$2:$B$18911,14,Datos!$C$2:$C$18911,"&gt;=30",Datos!$F$2:$F$18911,"STANDBY"),0),"")</f>
        <v/>
      </c>
      <c r="P15" s="7">
        <f>IFERROR(ROUND(AVERAGEIFS(Datos!$G$2:$G$18911,Datos!$E$2:$E$18911,$A15,Datos!$B$2:$B$18911,15,Datos!$C$2:$C$18911,"&lt;30",Datos!$F$2:$F$18911,"STANDBY"),0),"")</f>
        <v/>
      </c>
      <c r="Q15" s="7">
        <f>IFERROR(ROUND(AVERAGEIFS(Datos!$G$2:$G$18911,Datos!$E$2:$E$18911,$A15,Datos!$B$2:$B$18911,15,Datos!$C$2:$C$18911,"&gt;=30",Datos!$F$2:$F$18911,"STANDBY"),0),"")</f>
        <v/>
      </c>
      <c r="R15" s="7">
        <f>IFERROR(ROUND(AVERAGEIFS(Datos!$G$2:$G$18911,Datos!$E$2:$E$18911,$A15,Datos!$B$2:$B$18911,16,Datos!$C$2:$C$18911,"&lt;30",Datos!$F$2:$F$18911,"STANDBY"),0),"")</f>
        <v/>
      </c>
      <c r="S15" s="7">
        <f>IFERROR(ROUND(AVERAGEIFS(Datos!$G$2:$G$18911,Datos!$E$2:$E$18911,$A15,Datos!$B$2:$B$18911,16,Datos!$C$2:$C$18911,"&gt;=30",Datos!$F$2:$F$18911,"STANDBY"),0),"")</f>
        <v/>
      </c>
      <c r="T15" s="7">
        <f>IFERROR(ROUND(AVERAGEIFS(Datos!$G$2:$G$18911,Datos!$E$2:$E$18911,$A15,Datos!$B$2:$B$18911,17,Datos!$C$2:$C$18911,"&lt;30",Datos!$F$2:$F$18911,"STANDBY"),0),"")</f>
        <v/>
      </c>
      <c r="U15" s="7">
        <f>IFERROR(ROUND(AVERAGEIFS(Datos!$G$2:$G$18911,Datos!$E$2:$E$18911,$A15,Datos!$B$2:$B$18911,17,Datos!$C$2:$C$18911,"&gt;=30",Datos!$F$2:$F$18911,"STANDBY"),0),"")</f>
        <v/>
      </c>
      <c r="V15" s="7">
        <f>IFERROR(ROUND(AVERAGEIFS(Datos!$G$2:$G$18911,Datos!$E$2:$E$18911,$A15,Datos!$B$2:$B$18911,18,Datos!$C$2:$C$18911,"&lt;30",Datos!$F$2:$F$18911,"STANDBY"),0),"")</f>
        <v/>
      </c>
      <c r="W15" s="7">
        <f>IFERROR(ROUND(AVERAGEIFS(Datos!$G$2:$G$18911,Datos!$E$2:$E$18911,$A15,Datos!$B$2:$B$18911,18,Datos!$C$2:$C$18911,"&gt;=30",Datos!$F$2:$F$18911,"STANDBY"),0),"")</f>
        <v/>
      </c>
      <c r="X15" s="7">
        <f>IFERROR(ROUND(AVERAGEIFS(Datos!$G$2:$G$18911,Datos!$E$2:$E$18911,$A15,Datos!$B$2:$B$18911,19,Datos!$C$2:$C$18911,"&lt;30",Datos!$F$2:$F$18911,"STANDBY"),0),"")</f>
        <v/>
      </c>
      <c r="Y15" s="7">
        <f>IFERROR(ROUND(AVERAGEIFS(Datos!$G$2:$G$18911,Datos!$E$2:$E$18911,$A15,Datos!$B$2:$B$18911,19,Datos!$C$2:$C$18911,"&gt;=30",Datos!$F$2:$F$18911,"STANDBY"),0),"")</f>
        <v/>
      </c>
      <c r="Z15" s="7">
        <f>IFERROR(ROUND(AVERAGEIFS(Datos!$G$2:$G$18911,Datos!$E$2:$E$18911,$A15,Datos!$B$2:$B$18911,20,Datos!$C$2:$C$18911,"&lt;30",Datos!$F$2:$F$18911,"STANDBY"),0),"")</f>
        <v/>
      </c>
      <c r="AA15" s="7">
        <f>IFERROR(ROUND(AVERAGEIFS(Datos!$G$2:$G$18911,Datos!$E$2:$E$18911,$A15,Datos!$B$2:$B$18911,20,Datos!$C$2:$C$18911,"&gt;=30",Datos!$F$2:$F$18911,"STANDBY"),0),"")</f>
        <v/>
      </c>
      <c r="AB15" s="7">
        <f>IFERROR(ROUND(AVERAGEIFS(Datos!$G$2:$G$18911,Datos!$E$2:$E$18911,$A15,Datos!$B$2:$B$18911,21,Datos!$C$2:$C$18911,"&lt;30",Datos!$F$2:$F$18911,"STANDBY"),0),"")</f>
        <v/>
      </c>
      <c r="AC15" s="7">
        <f>IFERROR(ROUND(AVERAGEIFS(Datos!$G$2:$G$18911,Datos!$E$2:$E$18911,$A15,Datos!$B$2:$B$18911,21,Datos!$C$2:$C$18911,"&gt;=30",Datos!$F$2:$F$18911,"STANDBY"),0),"")</f>
        <v/>
      </c>
      <c r="AD15" s="7">
        <f>IFERROR(ROUND(AVERAGEIFS(Datos!$G$2:$G$18911,Datos!$E$2:$E$18911,$A15,Datos!$B$2:$B$18911,22,Datos!$C$2:$C$18911,"&lt;30",Datos!$F$2:$F$18911,"STANDBY"),0),"")</f>
        <v/>
      </c>
      <c r="AE15" s="7">
        <f>IFERROR(ROUND(AVERAGEIFS(Datos!$G$2:$G$18911,Datos!$E$2:$E$18911,$A15,Datos!$B$2:$B$18911,22,Datos!$C$2:$C$18911,"&gt;=30",Datos!$F$2:$F$18911,"STANDBY"),0),"")</f>
        <v/>
      </c>
      <c r="AF15" s="7">
        <f>IFERROR(ROUND(AVERAGEIFS(Datos!$G$2:$G$18911,Datos!$E$2:$E$18911,$A15,Datos!$B$2:$B$18911,23,Datos!$C$2:$C$18911,"&lt;30",Datos!$F$2:$F$18911,"STANDBY"),0),"")</f>
        <v/>
      </c>
      <c r="AG15" s="7">
        <f>IFERROR(ROUND(AVERAGEIFS(Datos!$G$2:$G$18911,Datos!$E$2:$E$18911,$A15,Datos!$B$2:$B$18911,23,Datos!$C$2:$C$18911,"&gt;=30",Datos!$F$2:$F$18911,"STANDBY"),0),"")</f>
        <v/>
      </c>
    </row>
    <row r="16">
      <c r="A16" s="6" t="inlineStr">
        <is>
          <t>Raiponce Tangled Spin</t>
        </is>
      </c>
      <c r="B16" s="7">
        <f>IFERROR(ROUND(AVERAGEIFS(Datos!$G$2:$G$18911,Datos!$E$2:$E$18911,$A16,Datos!$B$2:$B$18911,8,Datos!$C$2:$C$18911,"&lt;30",Datos!$F$2:$F$18911,"STANDBY"),0),"")</f>
        <v/>
      </c>
      <c r="C16" s="7">
        <f>IFERROR(ROUND(AVERAGEIFS(Datos!$G$2:$G$18911,Datos!$E$2:$E$18911,$A16,Datos!$B$2:$B$18911,8,Datos!$C$2:$C$18911,"&gt;=30",Datos!$F$2:$F$18911,"STANDBY"),0),"")</f>
        <v/>
      </c>
      <c r="D16" s="7">
        <f>IFERROR(ROUND(AVERAGEIFS(Datos!$G$2:$G$18911,Datos!$E$2:$E$18911,$A16,Datos!$B$2:$B$18911,9,Datos!$C$2:$C$18911,"&lt;30",Datos!$F$2:$F$18911,"STANDBY"),0),"")</f>
        <v/>
      </c>
      <c r="E16" s="7">
        <f>IFERROR(ROUND(AVERAGEIFS(Datos!$G$2:$G$18911,Datos!$E$2:$E$18911,$A16,Datos!$B$2:$B$18911,9,Datos!$C$2:$C$18911,"&gt;=30",Datos!$F$2:$F$18911,"STANDBY"),0),"")</f>
        <v/>
      </c>
      <c r="F16" s="7">
        <f>IFERROR(ROUND(AVERAGEIFS(Datos!$G$2:$G$18911,Datos!$E$2:$E$18911,$A16,Datos!$B$2:$B$18911,10,Datos!$C$2:$C$18911,"&lt;30",Datos!$F$2:$F$18911,"STANDBY"),0),"")</f>
        <v/>
      </c>
      <c r="G16" s="7">
        <f>IFERROR(ROUND(AVERAGEIFS(Datos!$G$2:$G$18911,Datos!$E$2:$E$18911,$A16,Datos!$B$2:$B$18911,10,Datos!$C$2:$C$18911,"&gt;=30",Datos!$F$2:$F$18911,"STANDBY"),0),"")</f>
        <v/>
      </c>
      <c r="H16" s="7">
        <f>IFERROR(ROUND(AVERAGEIFS(Datos!$G$2:$G$18911,Datos!$E$2:$E$18911,$A16,Datos!$B$2:$B$18911,11,Datos!$C$2:$C$18911,"&lt;30",Datos!$F$2:$F$18911,"STANDBY"),0),"")</f>
        <v/>
      </c>
      <c r="I16" s="7">
        <f>IFERROR(ROUND(AVERAGEIFS(Datos!$G$2:$G$18911,Datos!$E$2:$E$18911,$A16,Datos!$B$2:$B$18911,11,Datos!$C$2:$C$18911,"&gt;=30",Datos!$F$2:$F$18911,"STANDBY"),0),"")</f>
        <v/>
      </c>
      <c r="J16" s="7">
        <f>IFERROR(ROUND(AVERAGEIFS(Datos!$G$2:$G$18911,Datos!$E$2:$E$18911,$A16,Datos!$B$2:$B$18911,12,Datos!$C$2:$C$18911,"&lt;30",Datos!$F$2:$F$18911,"STANDBY"),0),"")</f>
        <v/>
      </c>
      <c r="K16" s="7">
        <f>IFERROR(ROUND(AVERAGEIFS(Datos!$G$2:$G$18911,Datos!$E$2:$E$18911,$A16,Datos!$B$2:$B$18911,12,Datos!$C$2:$C$18911,"&gt;=30",Datos!$F$2:$F$18911,"STANDBY"),0),"")</f>
        <v/>
      </c>
      <c r="L16" s="7">
        <f>IFERROR(ROUND(AVERAGEIFS(Datos!$G$2:$G$18911,Datos!$E$2:$E$18911,$A16,Datos!$B$2:$B$18911,13,Datos!$C$2:$C$18911,"&lt;30",Datos!$F$2:$F$18911,"STANDBY"),0),"")</f>
        <v/>
      </c>
      <c r="M16" s="7">
        <f>IFERROR(ROUND(AVERAGEIFS(Datos!$G$2:$G$18911,Datos!$E$2:$E$18911,$A16,Datos!$B$2:$B$18911,13,Datos!$C$2:$C$18911,"&gt;=30",Datos!$F$2:$F$18911,"STANDBY"),0),"")</f>
        <v/>
      </c>
      <c r="N16" s="7">
        <f>IFERROR(ROUND(AVERAGEIFS(Datos!$G$2:$G$18911,Datos!$E$2:$E$18911,$A16,Datos!$B$2:$B$18911,14,Datos!$C$2:$C$18911,"&lt;30",Datos!$F$2:$F$18911,"STANDBY"),0),"")</f>
        <v/>
      </c>
      <c r="O16" s="7">
        <f>IFERROR(ROUND(AVERAGEIFS(Datos!$G$2:$G$18911,Datos!$E$2:$E$18911,$A16,Datos!$B$2:$B$18911,14,Datos!$C$2:$C$18911,"&gt;=30",Datos!$F$2:$F$18911,"STANDBY"),0),"")</f>
        <v/>
      </c>
      <c r="P16" s="7">
        <f>IFERROR(ROUND(AVERAGEIFS(Datos!$G$2:$G$18911,Datos!$E$2:$E$18911,$A16,Datos!$B$2:$B$18911,15,Datos!$C$2:$C$18911,"&lt;30",Datos!$F$2:$F$18911,"STANDBY"),0),"")</f>
        <v/>
      </c>
      <c r="Q16" s="7">
        <f>IFERROR(ROUND(AVERAGEIFS(Datos!$G$2:$G$18911,Datos!$E$2:$E$18911,$A16,Datos!$B$2:$B$18911,15,Datos!$C$2:$C$18911,"&gt;=30",Datos!$F$2:$F$18911,"STANDBY"),0),"")</f>
        <v/>
      </c>
      <c r="R16" s="7">
        <f>IFERROR(ROUND(AVERAGEIFS(Datos!$G$2:$G$18911,Datos!$E$2:$E$18911,$A16,Datos!$B$2:$B$18911,16,Datos!$C$2:$C$18911,"&lt;30",Datos!$F$2:$F$18911,"STANDBY"),0),"")</f>
        <v/>
      </c>
      <c r="S16" s="7">
        <f>IFERROR(ROUND(AVERAGEIFS(Datos!$G$2:$G$18911,Datos!$E$2:$E$18911,$A16,Datos!$B$2:$B$18911,16,Datos!$C$2:$C$18911,"&gt;=30",Datos!$F$2:$F$18911,"STANDBY"),0),"")</f>
        <v/>
      </c>
      <c r="T16" s="7">
        <f>IFERROR(ROUND(AVERAGEIFS(Datos!$G$2:$G$18911,Datos!$E$2:$E$18911,$A16,Datos!$B$2:$B$18911,17,Datos!$C$2:$C$18911,"&lt;30",Datos!$F$2:$F$18911,"STANDBY"),0),"")</f>
        <v/>
      </c>
      <c r="U16" s="7">
        <f>IFERROR(ROUND(AVERAGEIFS(Datos!$G$2:$G$18911,Datos!$E$2:$E$18911,$A16,Datos!$B$2:$B$18911,17,Datos!$C$2:$C$18911,"&gt;=30",Datos!$F$2:$F$18911,"STANDBY"),0),"")</f>
        <v/>
      </c>
      <c r="V16" s="7">
        <f>IFERROR(ROUND(AVERAGEIFS(Datos!$G$2:$G$18911,Datos!$E$2:$E$18911,$A16,Datos!$B$2:$B$18911,18,Datos!$C$2:$C$18911,"&lt;30",Datos!$F$2:$F$18911,"STANDBY"),0),"")</f>
        <v/>
      </c>
      <c r="W16" s="7">
        <f>IFERROR(ROUND(AVERAGEIFS(Datos!$G$2:$G$18911,Datos!$E$2:$E$18911,$A16,Datos!$B$2:$B$18911,18,Datos!$C$2:$C$18911,"&gt;=30",Datos!$F$2:$F$18911,"STANDBY"),0),"")</f>
        <v/>
      </c>
      <c r="X16" s="7">
        <f>IFERROR(ROUND(AVERAGEIFS(Datos!$G$2:$G$18911,Datos!$E$2:$E$18911,$A16,Datos!$B$2:$B$18911,19,Datos!$C$2:$C$18911,"&lt;30",Datos!$F$2:$F$18911,"STANDBY"),0),"")</f>
        <v/>
      </c>
      <c r="Y16" s="7">
        <f>IFERROR(ROUND(AVERAGEIFS(Datos!$G$2:$G$18911,Datos!$E$2:$E$18911,$A16,Datos!$B$2:$B$18911,19,Datos!$C$2:$C$18911,"&gt;=30",Datos!$F$2:$F$18911,"STANDBY"),0),"")</f>
        <v/>
      </c>
      <c r="Z16" s="7">
        <f>IFERROR(ROUND(AVERAGEIFS(Datos!$G$2:$G$18911,Datos!$E$2:$E$18911,$A16,Datos!$B$2:$B$18911,20,Datos!$C$2:$C$18911,"&lt;30",Datos!$F$2:$F$18911,"STANDBY"),0),"")</f>
        <v/>
      </c>
      <c r="AA16" s="7">
        <f>IFERROR(ROUND(AVERAGEIFS(Datos!$G$2:$G$18911,Datos!$E$2:$E$18911,$A16,Datos!$B$2:$B$18911,20,Datos!$C$2:$C$18911,"&gt;=30",Datos!$F$2:$F$18911,"STANDBY"),0),"")</f>
        <v/>
      </c>
      <c r="AB16" s="7">
        <f>IFERROR(ROUND(AVERAGEIFS(Datos!$G$2:$G$18911,Datos!$E$2:$E$18911,$A16,Datos!$B$2:$B$18911,21,Datos!$C$2:$C$18911,"&lt;30",Datos!$F$2:$F$18911,"STANDBY"),0),"")</f>
        <v/>
      </c>
      <c r="AC16" s="7">
        <f>IFERROR(ROUND(AVERAGEIFS(Datos!$G$2:$G$18911,Datos!$E$2:$E$18911,$A16,Datos!$B$2:$B$18911,21,Datos!$C$2:$C$18911,"&gt;=30",Datos!$F$2:$F$18911,"STANDBY"),0),"")</f>
        <v/>
      </c>
      <c r="AD16" s="7">
        <f>IFERROR(ROUND(AVERAGEIFS(Datos!$G$2:$G$18911,Datos!$E$2:$E$18911,$A16,Datos!$B$2:$B$18911,22,Datos!$C$2:$C$18911,"&lt;30",Datos!$F$2:$F$18911,"STANDBY"),0),"")</f>
        <v/>
      </c>
      <c r="AE16" s="7">
        <f>IFERROR(ROUND(AVERAGEIFS(Datos!$G$2:$G$18911,Datos!$E$2:$E$18911,$A16,Datos!$B$2:$B$18911,22,Datos!$C$2:$C$18911,"&gt;=30",Datos!$F$2:$F$18911,"STANDBY"),0),"")</f>
        <v/>
      </c>
      <c r="AF16" s="7">
        <f>IFERROR(ROUND(AVERAGEIFS(Datos!$G$2:$G$18911,Datos!$E$2:$E$18911,$A16,Datos!$B$2:$B$18911,23,Datos!$C$2:$C$18911,"&lt;30",Datos!$F$2:$F$18911,"STANDBY"),0),"")</f>
        <v/>
      </c>
      <c r="AG16" s="7">
        <f>IFERROR(ROUND(AVERAGEIFS(Datos!$G$2:$G$18911,Datos!$E$2:$E$18911,$A16,Datos!$B$2:$B$18911,23,Datos!$C$2:$C$18911,"&gt;=30",Datos!$F$2:$F$18911,"STANDBY"),0),"")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IFERROR(ROUND(AVERAGEIFS(Datos!$G$2:$G$18911,Datos!$E$2:$E$18911,$A17,Datos!$B$2:$B$18911,8,Datos!$C$2:$C$18911,"&lt;30",Datos!$F$2:$F$18911,"STANDBY"),0),"")</f>
        <v/>
      </c>
      <c r="C17" s="7">
        <f>IFERROR(ROUND(AVERAGEIFS(Datos!$G$2:$G$18911,Datos!$E$2:$E$18911,$A17,Datos!$B$2:$B$18911,8,Datos!$C$2:$C$18911,"&gt;=30",Datos!$F$2:$F$18911,"STANDBY"),0),"")</f>
        <v/>
      </c>
      <c r="D17" s="7">
        <f>IFERROR(ROUND(AVERAGEIFS(Datos!$G$2:$G$18911,Datos!$E$2:$E$18911,$A17,Datos!$B$2:$B$18911,9,Datos!$C$2:$C$18911,"&lt;30",Datos!$F$2:$F$18911,"STANDBY"),0),"")</f>
        <v/>
      </c>
      <c r="E17" s="7">
        <f>IFERROR(ROUND(AVERAGEIFS(Datos!$G$2:$G$18911,Datos!$E$2:$E$18911,$A17,Datos!$B$2:$B$18911,9,Datos!$C$2:$C$18911,"&gt;=30",Datos!$F$2:$F$18911,"STANDBY"),0),"")</f>
        <v/>
      </c>
      <c r="F17" s="7">
        <f>IFERROR(ROUND(AVERAGEIFS(Datos!$G$2:$G$18911,Datos!$E$2:$E$18911,$A17,Datos!$B$2:$B$18911,10,Datos!$C$2:$C$18911,"&lt;30",Datos!$F$2:$F$18911,"STANDBY"),0),"")</f>
        <v/>
      </c>
      <c r="G17" s="7">
        <f>IFERROR(ROUND(AVERAGEIFS(Datos!$G$2:$G$18911,Datos!$E$2:$E$18911,$A17,Datos!$B$2:$B$18911,10,Datos!$C$2:$C$18911,"&gt;=30",Datos!$F$2:$F$18911,"STANDBY"),0),"")</f>
        <v/>
      </c>
      <c r="H17" s="7">
        <f>IFERROR(ROUND(AVERAGEIFS(Datos!$G$2:$G$18911,Datos!$E$2:$E$18911,$A17,Datos!$B$2:$B$18911,11,Datos!$C$2:$C$18911,"&lt;30",Datos!$F$2:$F$18911,"STANDBY"),0),"")</f>
        <v/>
      </c>
      <c r="I17" s="7">
        <f>IFERROR(ROUND(AVERAGEIFS(Datos!$G$2:$G$18911,Datos!$E$2:$E$18911,$A17,Datos!$B$2:$B$18911,11,Datos!$C$2:$C$18911,"&gt;=30",Datos!$F$2:$F$18911,"STANDBY"),0),"")</f>
        <v/>
      </c>
      <c r="J17" s="7">
        <f>IFERROR(ROUND(AVERAGEIFS(Datos!$G$2:$G$18911,Datos!$E$2:$E$18911,$A17,Datos!$B$2:$B$18911,12,Datos!$C$2:$C$18911,"&lt;30",Datos!$F$2:$F$18911,"STANDBY"),0),"")</f>
        <v/>
      </c>
      <c r="K17" s="7">
        <f>IFERROR(ROUND(AVERAGEIFS(Datos!$G$2:$G$18911,Datos!$E$2:$E$18911,$A17,Datos!$B$2:$B$18911,12,Datos!$C$2:$C$18911,"&gt;=30",Datos!$F$2:$F$18911,"STANDBY"),0),"")</f>
        <v/>
      </c>
      <c r="L17" s="7">
        <f>IFERROR(ROUND(AVERAGEIFS(Datos!$G$2:$G$18911,Datos!$E$2:$E$18911,$A17,Datos!$B$2:$B$18911,13,Datos!$C$2:$C$18911,"&lt;30",Datos!$F$2:$F$18911,"STANDBY"),0),"")</f>
        <v/>
      </c>
      <c r="M17" s="7">
        <f>IFERROR(ROUND(AVERAGEIFS(Datos!$G$2:$G$18911,Datos!$E$2:$E$18911,$A17,Datos!$B$2:$B$18911,13,Datos!$C$2:$C$18911,"&gt;=30",Datos!$F$2:$F$18911,"STANDBY"),0),"")</f>
        <v/>
      </c>
      <c r="N17" s="7">
        <f>IFERROR(ROUND(AVERAGEIFS(Datos!$G$2:$G$18911,Datos!$E$2:$E$18911,$A17,Datos!$B$2:$B$18911,14,Datos!$C$2:$C$18911,"&lt;30",Datos!$F$2:$F$18911,"STANDBY"),0),"")</f>
        <v/>
      </c>
      <c r="O17" s="7">
        <f>IFERROR(ROUND(AVERAGEIFS(Datos!$G$2:$G$18911,Datos!$E$2:$E$18911,$A17,Datos!$B$2:$B$18911,14,Datos!$C$2:$C$18911,"&gt;=30",Datos!$F$2:$F$18911,"STANDBY"),0),"")</f>
        <v/>
      </c>
      <c r="P17" s="7">
        <f>IFERROR(ROUND(AVERAGEIFS(Datos!$G$2:$G$18911,Datos!$E$2:$E$18911,$A17,Datos!$B$2:$B$18911,15,Datos!$C$2:$C$18911,"&lt;30",Datos!$F$2:$F$18911,"STANDBY"),0),"")</f>
        <v/>
      </c>
      <c r="Q17" s="7">
        <f>IFERROR(ROUND(AVERAGEIFS(Datos!$G$2:$G$18911,Datos!$E$2:$E$18911,$A17,Datos!$B$2:$B$18911,15,Datos!$C$2:$C$18911,"&gt;=30",Datos!$F$2:$F$18911,"STANDBY"),0),"")</f>
        <v/>
      </c>
      <c r="R17" s="7">
        <f>IFERROR(ROUND(AVERAGEIFS(Datos!$G$2:$G$18911,Datos!$E$2:$E$18911,$A17,Datos!$B$2:$B$18911,16,Datos!$C$2:$C$18911,"&lt;30",Datos!$F$2:$F$18911,"STANDBY"),0),"")</f>
        <v/>
      </c>
      <c r="S17" s="7">
        <f>IFERROR(ROUND(AVERAGEIFS(Datos!$G$2:$G$18911,Datos!$E$2:$E$18911,$A17,Datos!$B$2:$B$18911,16,Datos!$C$2:$C$18911,"&gt;=30",Datos!$F$2:$F$18911,"STANDBY"),0),"")</f>
        <v/>
      </c>
      <c r="T17" s="7">
        <f>IFERROR(ROUND(AVERAGEIFS(Datos!$G$2:$G$18911,Datos!$E$2:$E$18911,$A17,Datos!$B$2:$B$18911,17,Datos!$C$2:$C$18911,"&lt;30",Datos!$F$2:$F$18911,"STANDBY"),0),"")</f>
        <v/>
      </c>
      <c r="U17" s="7">
        <f>IFERROR(ROUND(AVERAGEIFS(Datos!$G$2:$G$18911,Datos!$E$2:$E$18911,$A17,Datos!$B$2:$B$18911,17,Datos!$C$2:$C$18911,"&gt;=30",Datos!$F$2:$F$18911,"STANDBY"),0),"")</f>
        <v/>
      </c>
      <c r="V17" s="7">
        <f>IFERROR(ROUND(AVERAGEIFS(Datos!$G$2:$G$18911,Datos!$E$2:$E$18911,$A17,Datos!$B$2:$B$18911,18,Datos!$C$2:$C$18911,"&lt;30",Datos!$F$2:$F$18911,"STANDBY"),0),"")</f>
        <v/>
      </c>
      <c r="W17" s="7">
        <f>IFERROR(ROUND(AVERAGEIFS(Datos!$G$2:$G$18911,Datos!$E$2:$E$18911,$A17,Datos!$B$2:$B$18911,18,Datos!$C$2:$C$18911,"&gt;=30",Datos!$F$2:$F$18911,"STANDBY"),0),"")</f>
        <v/>
      </c>
      <c r="X17" s="7">
        <f>IFERROR(ROUND(AVERAGEIFS(Datos!$G$2:$G$18911,Datos!$E$2:$E$18911,$A17,Datos!$B$2:$B$18911,19,Datos!$C$2:$C$18911,"&lt;30",Datos!$F$2:$F$18911,"STANDBY"),0),"")</f>
        <v/>
      </c>
      <c r="Y17" s="7">
        <f>IFERROR(ROUND(AVERAGEIFS(Datos!$G$2:$G$18911,Datos!$E$2:$E$18911,$A17,Datos!$B$2:$B$18911,19,Datos!$C$2:$C$18911,"&gt;=30",Datos!$F$2:$F$18911,"STANDBY"),0),"")</f>
        <v/>
      </c>
      <c r="Z17" s="7">
        <f>IFERROR(ROUND(AVERAGEIFS(Datos!$G$2:$G$18911,Datos!$E$2:$E$18911,$A17,Datos!$B$2:$B$18911,20,Datos!$C$2:$C$18911,"&lt;30",Datos!$F$2:$F$18911,"STANDBY"),0),"")</f>
        <v/>
      </c>
      <c r="AA17" s="7">
        <f>IFERROR(ROUND(AVERAGEIFS(Datos!$G$2:$G$18911,Datos!$E$2:$E$18911,$A17,Datos!$B$2:$B$18911,20,Datos!$C$2:$C$18911,"&gt;=30",Datos!$F$2:$F$18911,"STANDBY"),0),"")</f>
        <v/>
      </c>
      <c r="AB17" s="7">
        <f>IFERROR(ROUND(AVERAGEIFS(Datos!$G$2:$G$18911,Datos!$E$2:$E$18911,$A17,Datos!$B$2:$B$18911,21,Datos!$C$2:$C$18911,"&lt;30",Datos!$F$2:$F$18911,"STANDBY"),0),"")</f>
        <v/>
      </c>
      <c r="AC17" s="7">
        <f>IFERROR(ROUND(AVERAGEIFS(Datos!$G$2:$G$18911,Datos!$E$2:$E$18911,$A17,Datos!$B$2:$B$18911,21,Datos!$C$2:$C$18911,"&gt;=30",Datos!$F$2:$F$18911,"STANDBY"),0),"")</f>
        <v/>
      </c>
      <c r="AD17" s="7">
        <f>IFERROR(ROUND(AVERAGEIFS(Datos!$G$2:$G$18911,Datos!$E$2:$E$18911,$A17,Datos!$B$2:$B$18911,22,Datos!$C$2:$C$18911,"&lt;30",Datos!$F$2:$F$18911,"STANDBY"),0),"")</f>
        <v/>
      </c>
      <c r="AE17" s="7">
        <f>IFERROR(ROUND(AVERAGEIFS(Datos!$G$2:$G$18911,Datos!$E$2:$E$18911,$A17,Datos!$B$2:$B$18911,22,Datos!$C$2:$C$18911,"&gt;=30",Datos!$F$2:$F$18911,"STANDBY"),0),"")</f>
        <v/>
      </c>
      <c r="AF17" s="7">
        <f>IFERROR(ROUND(AVERAGEIFS(Datos!$G$2:$G$18911,Datos!$E$2:$E$18911,$A17,Datos!$B$2:$B$18911,23,Datos!$C$2:$C$18911,"&lt;30",Datos!$F$2:$F$18911,"STANDBY"),0),"")</f>
        <v/>
      </c>
      <c r="AG17" s="7">
        <f>IFERROR(ROUND(AVERAGEIFS(Datos!$G$2:$G$18911,Datos!$E$2:$E$18911,$A17,Datos!$B$2:$B$18911,23,Datos!$C$2:$C$18911,"&gt;=30",Datos!$F$2:$F$18911,"STANDBY"),0),"")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IFERROR(ROUND(AVERAGEIFS(Datos!$G$2:$G$18911,Datos!$E$2:$E$18911,$A18,Datos!$B$2:$B$18911,8,Datos!$C$2:$C$18911,"&lt;30",Datos!$F$2:$F$18911,"STANDBY"),0),"")</f>
        <v/>
      </c>
      <c r="C18" s="7">
        <f>IFERROR(ROUND(AVERAGEIFS(Datos!$G$2:$G$18911,Datos!$E$2:$E$18911,$A18,Datos!$B$2:$B$18911,8,Datos!$C$2:$C$18911,"&gt;=30",Datos!$F$2:$F$18911,"STANDBY"),0),"")</f>
        <v/>
      </c>
      <c r="D18" s="7">
        <f>IFERROR(ROUND(AVERAGEIFS(Datos!$G$2:$G$18911,Datos!$E$2:$E$18911,$A18,Datos!$B$2:$B$18911,9,Datos!$C$2:$C$18911,"&lt;30",Datos!$F$2:$F$18911,"STANDBY"),0),"")</f>
        <v/>
      </c>
      <c r="E18" s="7">
        <f>IFERROR(ROUND(AVERAGEIFS(Datos!$G$2:$G$18911,Datos!$E$2:$E$18911,$A18,Datos!$B$2:$B$18911,9,Datos!$C$2:$C$18911,"&gt;=30",Datos!$F$2:$F$18911,"STANDBY"),0),"")</f>
        <v/>
      </c>
      <c r="F18" s="7">
        <f>IFERROR(ROUND(AVERAGEIFS(Datos!$G$2:$G$18911,Datos!$E$2:$E$18911,$A18,Datos!$B$2:$B$18911,10,Datos!$C$2:$C$18911,"&lt;30",Datos!$F$2:$F$18911,"STANDBY"),0),"")</f>
        <v/>
      </c>
      <c r="G18" s="7">
        <f>IFERROR(ROUND(AVERAGEIFS(Datos!$G$2:$G$18911,Datos!$E$2:$E$18911,$A18,Datos!$B$2:$B$18911,10,Datos!$C$2:$C$18911,"&gt;=30",Datos!$F$2:$F$18911,"STANDBY"),0),"")</f>
        <v/>
      </c>
      <c r="H18" s="7">
        <f>IFERROR(ROUND(AVERAGEIFS(Datos!$G$2:$G$18911,Datos!$E$2:$E$18911,$A18,Datos!$B$2:$B$18911,11,Datos!$C$2:$C$18911,"&lt;30",Datos!$F$2:$F$18911,"STANDBY"),0),"")</f>
        <v/>
      </c>
      <c r="I18" s="7">
        <f>IFERROR(ROUND(AVERAGEIFS(Datos!$G$2:$G$18911,Datos!$E$2:$E$18911,$A18,Datos!$B$2:$B$18911,11,Datos!$C$2:$C$18911,"&gt;=30",Datos!$F$2:$F$18911,"STANDBY"),0),"")</f>
        <v/>
      </c>
      <c r="J18" s="7">
        <f>IFERROR(ROUND(AVERAGEIFS(Datos!$G$2:$G$18911,Datos!$E$2:$E$18911,$A18,Datos!$B$2:$B$18911,12,Datos!$C$2:$C$18911,"&lt;30",Datos!$F$2:$F$18911,"STANDBY"),0),"")</f>
        <v/>
      </c>
      <c r="K18" s="7">
        <f>IFERROR(ROUND(AVERAGEIFS(Datos!$G$2:$G$18911,Datos!$E$2:$E$18911,$A18,Datos!$B$2:$B$18911,12,Datos!$C$2:$C$18911,"&gt;=30",Datos!$F$2:$F$18911,"STANDBY"),0),"")</f>
        <v/>
      </c>
      <c r="L18" s="7">
        <f>IFERROR(ROUND(AVERAGEIFS(Datos!$G$2:$G$18911,Datos!$E$2:$E$18911,$A18,Datos!$B$2:$B$18911,13,Datos!$C$2:$C$18911,"&lt;30",Datos!$F$2:$F$18911,"STANDBY"),0),"")</f>
        <v/>
      </c>
      <c r="M18" s="7">
        <f>IFERROR(ROUND(AVERAGEIFS(Datos!$G$2:$G$18911,Datos!$E$2:$E$18911,$A18,Datos!$B$2:$B$18911,13,Datos!$C$2:$C$18911,"&gt;=30",Datos!$F$2:$F$18911,"STANDBY"),0),"")</f>
        <v/>
      </c>
      <c r="N18" s="7">
        <f>IFERROR(ROUND(AVERAGEIFS(Datos!$G$2:$G$18911,Datos!$E$2:$E$18911,$A18,Datos!$B$2:$B$18911,14,Datos!$C$2:$C$18911,"&lt;30",Datos!$F$2:$F$18911,"STANDBY"),0),"")</f>
        <v/>
      </c>
      <c r="O18" s="7">
        <f>IFERROR(ROUND(AVERAGEIFS(Datos!$G$2:$G$18911,Datos!$E$2:$E$18911,$A18,Datos!$B$2:$B$18911,14,Datos!$C$2:$C$18911,"&gt;=30",Datos!$F$2:$F$18911,"STANDBY"),0),"")</f>
        <v/>
      </c>
      <c r="P18" s="7">
        <f>IFERROR(ROUND(AVERAGEIFS(Datos!$G$2:$G$18911,Datos!$E$2:$E$18911,$A18,Datos!$B$2:$B$18911,15,Datos!$C$2:$C$18911,"&lt;30",Datos!$F$2:$F$18911,"STANDBY"),0),"")</f>
        <v/>
      </c>
      <c r="Q18" s="7">
        <f>IFERROR(ROUND(AVERAGEIFS(Datos!$G$2:$G$18911,Datos!$E$2:$E$18911,$A18,Datos!$B$2:$B$18911,15,Datos!$C$2:$C$18911,"&gt;=30",Datos!$F$2:$F$18911,"STANDBY"),0),"")</f>
        <v/>
      </c>
      <c r="R18" s="7">
        <f>IFERROR(ROUND(AVERAGEIFS(Datos!$G$2:$G$18911,Datos!$E$2:$E$18911,$A18,Datos!$B$2:$B$18911,16,Datos!$C$2:$C$18911,"&lt;30",Datos!$F$2:$F$18911,"STANDBY"),0),"")</f>
        <v/>
      </c>
      <c r="S18" s="7">
        <f>IFERROR(ROUND(AVERAGEIFS(Datos!$G$2:$G$18911,Datos!$E$2:$E$18911,$A18,Datos!$B$2:$B$18911,16,Datos!$C$2:$C$18911,"&gt;=30",Datos!$F$2:$F$18911,"STANDBY"),0),"")</f>
        <v/>
      </c>
      <c r="T18" s="7">
        <f>IFERROR(ROUND(AVERAGEIFS(Datos!$G$2:$G$18911,Datos!$E$2:$E$18911,$A18,Datos!$B$2:$B$18911,17,Datos!$C$2:$C$18911,"&lt;30",Datos!$F$2:$F$18911,"STANDBY"),0),"")</f>
        <v/>
      </c>
      <c r="U18" s="7">
        <f>IFERROR(ROUND(AVERAGEIFS(Datos!$G$2:$G$18911,Datos!$E$2:$E$18911,$A18,Datos!$B$2:$B$18911,17,Datos!$C$2:$C$18911,"&gt;=30",Datos!$F$2:$F$18911,"STANDBY"),0),"")</f>
        <v/>
      </c>
      <c r="V18" s="7">
        <f>IFERROR(ROUND(AVERAGEIFS(Datos!$G$2:$G$18911,Datos!$E$2:$E$18911,$A18,Datos!$B$2:$B$18911,18,Datos!$C$2:$C$18911,"&lt;30",Datos!$F$2:$F$18911,"STANDBY"),0),"")</f>
        <v/>
      </c>
      <c r="W18" s="7">
        <f>IFERROR(ROUND(AVERAGEIFS(Datos!$G$2:$G$18911,Datos!$E$2:$E$18911,$A18,Datos!$B$2:$B$18911,18,Datos!$C$2:$C$18911,"&gt;=30",Datos!$F$2:$F$18911,"STANDBY"),0),"")</f>
        <v/>
      </c>
      <c r="X18" s="7">
        <f>IFERROR(ROUND(AVERAGEIFS(Datos!$G$2:$G$18911,Datos!$E$2:$E$18911,$A18,Datos!$B$2:$B$18911,19,Datos!$C$2:$C$18911,"&lt;30",Datos!$F$2:$F$18911,"STANDBY"),0),"")</f>
        <v/>
      </c>
      <c r="Y18" s="7">
        <f>IFERROR(ROUND(AVERAGEIFS(Datos!$G$2:$G$18911,Datos!$E$2:$E$18911,$A18,Datos!$B$2:$B$18911,19,Datos!$C$2:$C$18911,"&gt;=30",Datos!$F$2:$F$18911,"STANDBY"),0),"")</f>
        <v/>
      </c>
      <c r="Z18" s="7">
        <f>IFERROR(ROUND(AVERAGEIFS(Datos!$G$2:$G$18911,Datos!$E$2:$E$18911,$A18,Datos!$B$2:$B$18911,20,Datos!$C$2:$C$18911,"&lt;30",Datos!$F$2:$F$18911,"STANDBY"),0),"")</f>
        <v/>
      </c>
      <c r="AA18" s="7">
        <f>IFERROR(ROUND(AVERAGEIFS(Datos!$G$2:$G$18911,Datos!$E$2:$E$18911,$A18,Datos!$B$2:$B$18911,20,Datos!$C$2:$C$18911,"&gt;=30",Datos!$F$2:$F$18911,"STANDBY"),0),"")</f>
        <v/>
      </c>
      <c r="AB18" s="7">
        <f>IFERROR(ROUND(AVERAGEIFS(Datos!$G$2:$G$18911,Datos!$E$2:$E$18911,$A18,Datos!$B$2:$B$18911,21,Datos!$C$2:$C$18911,"&lt;30",Datos!$F$2:$F$18911,"STANDBY"),0),"")</f>
        <v/>
      </c>
      <c r="AC18" s="7">
        <f>IFERROR(ROUND(AVERAGEIFS(Datos!$G$2:$G$18911,Datos!$E$2:$E$18911,$A18,Datos!$B$2:$B$18911,21,Datos!$C$2:$C$18911,"&gt;=30",Datos!$F$2:$F$18911,"STANDBY"),0),"")</f>
        <v/>
      </c>
      <c r="AD18" s="7">
        <f>IFERROR(ROUND(AVERAGEIFS(Datos!$G$2:$G$18911,Datos!$E$2:$E$18911,$A18,Datos!$B$2:$B$18911,22,Datos!$C$2:$C$18911,"&lt;30",Datos!$F$2:$F$18911,"STANDBY"),0),"")</f>
        <v/>
      </c>
      <c r="AE18" s="7">
        <f>IFERROR(ROUND(AVERAGEIFS(Datos!$G$2:$G$18911,Datos!$E$2:$E$18911,$A18,Datos!$B$2:$B$18911,22,Datos!$C$2:$C$18911,"&gt;=30",Datos!$F$2:$F$18911,"STANDBY"),0),"")</f>
        <v/>
      </c>
      <c r="AF18" s="7">
        <f>IFERROR(ROUND(AVERAGEIFS(Datos!$G$2:$G$18911,Datos!$E$2:$E$18911,$A18,Datos!$B$2:$B$18911,23,Datos!$C$2:$C$18911,"&lt;30",Datos!$F$2:$F$18911,"STANDBY"),0),"")</f>
        <v/>
      </c>
      <c r="AG18" s="7">
        <f>IFERROR(ROUND(AVERAGEIFS(Datos!$G$2:$G$18911,Datos!$E$2:$E$18911,$A18,Datos!$B$2:$B$18911,23,Datos!$C$2:$C$18911,"&gt;=30",Datos!$F$2:$F$18911,"STANDBY"),0),"")</f>
        <v/>
      </c>
    </row>
    <row r="19">
      <c r="A19" s="6" t="inlineStr">
        <is>
          <t>Slinky® Dog Zigzag Spin</t>
        </is>
      </c>
      <c r="B19" s="7">
        <f>IFERROR(ROUND(AVERAGEIFS(Datos!$G$2:$G$18911,Datos!$E$2:$E$18911,$A19,Datos!$B$2:$B$18911,8,Datos!$C$2:$C$18911,"&lt;30",Datos!$F$2:$F$18911,"STANDBY"),0),"")</f>
        <v/>
      </c>
      <c r="C19" s="7">
        <f>IFERROR(ROUND(AVERAGEIFS(Datos!$G$2:$G$18911,Datos!$E$2:$E$18911,$A19,Datos!$B$2:$B$18911,8,Datos!$C$2:$C$18911,"&gt;=30",Datos!$F$2:$F$18911,"STANDBY"),0),"")</f>
        <v/>
      </c>
      <c r="D19" s="7">
        <f>IFERROR(ROUND(AVERAGEIFS(Datos!$G$2:$G$18911,Datos!$E$2:$E$18911,$A19,Datos!$B$2:$B$18911,9,Datos!$C$2:$C$18911,"&lt;30",Datos!$F$2:$F$18911,"STANDBY"),0),"")</f>
        <v/>
      </c>
      <c r="E19" s="7">
        <f>IFERROR(ROUND(AVERAGEIFS(Datos!$G$2:$G$18911,Datos!$E$2:$E$18911,$A19,Datos!$B$2:$B$18911,9,Datos!$C$2:$C$18911,"&gt;=30",Datos!$F$2:$F$18911,"STANDBY"),0),"")</f>
        <v/>
      </c>
      <c r="F19" s="7">
        <f>IFERROR(ROUND(AVERAGEIFS(Datos!$G$2:$G$18911,Datos!$E$2:$E$18911,$A19,Datos!$B$2:$B$18911,10,Datos!$C$2:$C$18911,"&lt;30",Datos!$F$2:$F$18911,"STANDBY"),0),"")</f>
        <v/>
      </c>
      <c r="G19" s="7">
        <f>IFERROR(ROUND(AVERAGEIFS(Datos!$G$2:$G$18911,Datos!$E$2:$E$18911,$A19,Datos!$B$2:$B$18911,10,Datos!$C$2:$C$18911,"&gt;=30",Datos!$F$2:$F$18911,"STANDBY"),0),"")</f>
        <v/>
      </c>
      <c r="H19" s="7">
        <f>IFERROR(ROUND(AVERAGEIFS(Datos!$G$2:$G$18911,Datos!$E$2:$E$18911,$A19,Datos!$B$2:$B$18911,11,Datos!$C$2:$C$18911,"&lt;30",Datos!$F$2:$F$18911,"STANDBY"),0),"")</f>
        <v/>
      </c>
      <c r="I19" s="7">
        <f>IFERROR(ROUND(AVERAGEIFS(Datos!$G$2:$G$18911,Datos!$E$2:$E$18911,$A19,Datos!$B$2:$B$18911,11,Datos!$C$2:$C$18911,"&gt;=30",Datos!$F$2:$F$18911,"STANDBY"),0),"")</f>
        <v/>
      </c>
      <c r="J19" s="7">
        <f>IFERROR(ROUND(AVERAGEIFS(Datos!$G$2:$G$18911,Datos!$E$2:$E$18911,$A19,Datos!$B$2:$B$18911,12,Datos!$C$2:$C$18911,"&lt;30",Datos!$F$2:$F$18911,"STANDBY"),0),"")</f>
        <v/>
      </c>
      <c r="K19" s="7">
        <f>IFERROR(ROUND(AVERAGEIFS(Datos!$G$2:$G$18911,Datos!$E$2:$E$18911,$A19,Datos!$B$2:$B$18911,12,Datos!$C$2:$C$18911,"&gt;=30",Datos!$F$2:$F$18911,"STANDBY"),0),"")</f>
        <v/>
      </c>
      <c r="L19" s="7">
        <f>IFERROR(ROUND(AVERAGEIFS(Datos!$G$2:$G$18911,Datos!$E$2:$E$18911,$A19,Datos!$B$2:$B$18911,13,Datos!$C$2:$C$18911,"&lt;30",Datos!$F$2:$F$18911,"STANDBY"),0),"")</f>
        <v/>
      </c>
      <c r="M19" s="7">
        <f>IFERROR(ROUND(AVERAGEIFS(Datos!$G$2:$G$18911,Datos!$E$2:$E$18911,$A19,Datos!$B$2:$B$18911,13,Datos!$C$2:$C$18911,"&gt;=30",Datos!$F$2:$F$18911,"STANDBY"),0),"")</f>
        <v/>
      </c>
      <c r="N19" s="7">
        <f>IFERROR(ROUND(AVERAGEIFS(Datos!$G$2:$G$18911,Datos!$E$2:$E$18911,$A19,Datos!$B$2:$B$18911,14,Datos!$C$2:$C$18911,"&lt;30",Datos!$F$2:$F$18911,"STANDBY"),0),"")</f>
        <v/>
      </c>
      <c r="O19" s="7">
        <f>IFERROR(ROUND(AVERAGEIFS(Datos!$G$2:$G$18911,Datos!$E$2:$E$18911,$A19,Datos!$B$2:$B$18911,14,Datos!$C$2:$C$18911,"&gt;=30",Datos!$F$2:$F$18911,"STANDBY"),0),"")</f>
        <v/>
      </c>
      <c r="P19" s="7">
        <f>IFERROR(ROUND(AVERAGEIFS(Datos!$G$2:$G$18911,Datos!$E$2:$E$18911,$A19,Datos!$B$2:$B$18911,15,Datos!$C$2:$C$18911,"&lt;30",Datos!$F$2:$F$18911,"STANDBY"),0),"")</f>
        <v/>
      </c>
      <c r="Q19" s="7">
        <f>IFERROR(ROUND(AVERAGEIFS(Datos!$G$2:$G$18911,Datos!$E$2:$E$18911,$A19,Datos!$B$2:$B$18911,15,Datos!$C$2:$C$18911,"&gt;=30",Datos!$F$2:$F$18911,"STANDBY"),0),"")</f>
        <v/>
      </c>
      <c r="R19" s="7">
        <f>IFERROR(ROUND(AVERAGEIFS(Datos!$G$2:$G$18911,Datos!$E$2:$E$18911,$A19,Datos!$B$2:$B$18911,16,Datos!$C$2:$C$18911,"&lt;30",Datos!$F$2:$F$18911,"STANDBY"),0),"")</f>
        <v/>
      </c>
      <c r="S19" s="7">
        <f>IFERROR(ROUND(AVERAGEIFS(Datos!$G$2:$G$18911,Datos!$E$2:$E$18911,$A19,Datos!$B$2:$B$18911,16,Datos!$C$2:$C$18911,"&gt;=30",Datos!$F$2:$F$18911,"STANDBY"),0),"")</f>
        <v/>
      </c>
      <c r="T19" s="7">
        <f>IFERROR(ROUND(AVERAGEIFS(Datos!$G$2:$G$18911,Datos!$E$2:$E$18911,$A19,Datos!$B$2:$B$18911,17,Datos!$C$2:$C$18911,"&lt;30",Datos!$F$2:$F$18911,"STANDBY"),0),"")</f>
        <v/>
      </c>
      <c r="U19" s="7">
        <f>IFERROR(ROUND(AVERAGEIFS(Datos!$G$2:$G$18911,Datos!$E$2:$E$18911,$A19,Datos!$B$2:$B$18911,17,Datos!$C$2:$C$18911,"&gt;=30",Datos!$F$2:$F$18911,"STANDBY"),0),"")</f>
        <v/>
      </c>
      <c r="V19" s="7">
        <f>IFERROR(ROUND(AVERAGEIFS(Datos!$G$2:$G$18911,Datos!$E$2:$E$18911,$A19,Datos!$B$2:$B$18911,18,Datos!$C$2:$C$18911,"&lt;30",Datos!$F$2:$F$18911,"STANDBY"),0),"")</f>
        <v/>
      </c>
      <c r="W19" s="7">
        <f>IFERROR(ROUND(AVERAGEIFS(Datos!$G$2:$G$18911,Datos!$E$2:$E$18911,$A19,Datos!$B$2:$B$18911,18,Datos!$C$2:$C$18911,"&gt;=30",Datos!$F$2:$F$18911,"STANDBY"),0),"")</f>
        <v/>
      </c>
      <c r="X19" s="7">
        <f>IFERROR(ROUND(AVERAGEIFS(Datos!$G$2:$G$18911,Datos!$E$2:$E$18911,$A19,Datos!$B$2:$B$18911,19,Datos!$C$2:$C$18911,"&lt;30",Datos!$F$2:$F$18911,"STANDBY"),0),"")</f>
        <v/>
      </c>
      <c r="Y19" s="7">
        <f>IFERROR(ROUND(AVERAGEIFS(Datos!$G$2:$G$18911,Datos!$E$2:$E$18911,$A19,Datos!$B$2:$B$18911,19,Datos!$C$2:$C$18911,"&gt;=30",Datos!$F$2:$F$18911,"STANDBY"),0),"")</f>
        <v/>
      </c>
      <c r="Z19" s="7">
        <f>IFERROR(ROUND(AVERAGEIFS(Datos!$G$2:$G$18911,Datos!$E$2:$E$18911,$A19,Datos!$B$2:$B$18911,20,Datos!$C$2:$C$18911,"&lt;30",Datos!$F$2:$F$18911,"STANDBY"),0),"")</f>
        <v/>
      </c>
      <c r="AA19" s="7">
        <f>IFERROR(ROUND(AVERAGEIFS(Datos!$G$2:$G$18911,Datos!$E$2:$E$18911,$A19,Datos!$B$2:$B$18911,20,Datos!$C$2:$C$18911,"&gt;=30",Datos!$F$2:$F$18911,"STANDBY"),0),"")</f>
        <v/>
      </c>
      <c r="AB19" s="7">
        <f>IFERROR(ROUND(AVERAGEIFS(Datos!$G$2:$G$18911,Datos!$E$2:$E$18911,$A19,Datos!$B$2:$B$18911,21,Datos!$C$2:$C$18911,"&lt;30",Datos!$F$2:$F$18911,"STANDBY"),0),"")</f>
        <v/>
      </c>
      <c r="AC19" s="7">
        <f>IFERROR(ROUND(AVERAGEIFS(Datos!$G$2:$G$18911,Datos!$E$2:$E$18911,$A19,Datos!$B$2:$B$18911,21,Datos!$C$2:$C$18911,"&gt;=30",Datos!$F$2:$F$18911,"STANDBY"),0),"")</f>
        <v/>
      </c>
      <c r="AD19" s="7">
        <f>IFERROR(ROUND(AVERAGEIFS(Datos!$G$2:$G$18911,Datos!$E$2:$E$18911,$A19,Datos!$B$2:$B$18911,22,Datos!$C$2:$C$18911,"&lt;30",Datos!$F$2:$F$18911,"STANDBY"),0),"")</f>
        <v/>
      </c>
      <c r="AE19" s="7">
        <f>IFERROR(ROUND(AVERAGEIFS(Datos!$G$2:$G$18911,Datos!$E$2:$E$18911,$A19,Datos!$B$2:$B$18911,22,Datos!$C$2:$C$18911,"&gt;=30",Datos!$F$2:$F$18911,"STANDBY"),0),"")</f>
        <v/>
      </c>
      <c r="AF19" s="7">
        <f>IFERROR(ROUND(AVERAGEIFS(Datos!$G$2:$G$18911,Datos!$E$2:$E$18911,$A19,Datos!$B$2:$B$18911,23,Datos!$C$2:$C$18911,"&lt;30",Datos!$F$2:$F$18911,"STANDBY"),0),"")</f>
        <v/>
      </c>
      <c r="AG19" s="7">
        <f>IFERROR(ROUND(AVERAGEIFS(Datos!$G$2:$G$18911,Datos!$E$2:$E$18911,$A19,Datos!$B$2:$B$18911,23,Datos!$C$2:$C$18911,"&gt;=30",Datos!$F$2:$F$18911,"STANDBY"),0),"")</f>
        <v/>
      </c>
    </row>
    <row r="20">
      <c r="A20" s="6" t="inlineStr">
        <is>
          <t>Spider-Man W.E.B. Adventure</t>
        </is>
      </c>
      <c r="B20" s="7">
        <f>IFERROR(ROUND(AVERAGEIFS(Datos!$G$2:$G$18911,Datos!$E$2:$E$18911,$A20,Datos!$B$2:$B$18911,8,Datos!$C$2:$C$18911,"&lt;30",Datos!$F$2:$F$18911,"STANDBY"),0),"")</f>
        <v/>
      </c>
      <c r="C20" s="7">
        <f>IFERROR(ROUND(AVERAGEIFS(Datos!$G$2:$G$18911,Datos!$E$2:$E$18911,$A20,Datos!$B$2:$B$18911,8,Datos!$C$2:$C$18911,"&gt;=30",Datos!$F$2:$F$18911,"STANDBY"),0),"")</f>
        <v/>
      </c>
      <c r="D20" s="7">
        <f>IFERROR(ROUND(AVERAGEIFS(Datos!$G$2:$G$18911,Datos!$E$2:$E$18911,$A20,Datos!$B$2:$B$18911,9,Datos!$C$2:$C$18911,"&lt;30",Datos!$F$2:$F$18911,"STANDBY"),0),"")</f>
        <v/>
      </c>
      <c r="E20" s="7">
        <f>IFERROR(ROUND(AVERAGEIFS(Datos!$G$2:$G$18911,Datos!$E$2:$E$18911,$A20,Datos!$B$2:$B$18911,9,Datos!$C$2:$C$18911,"&gt;=30",Datos!$F$2:$F$18911,"STANDBY"),0),"")</f>
        <v/>
      </c>
      <c r="F20" s="7">
        <f>IFERROR(ROUND(AVERAGEIFS(Datos!$G$2:$G$18911,Datos!$E$2:$E$18911,$A20,Datos!$B$2:$B$18911,10,Datos!$C$2:$C$18911,"&lt;30",Datos!$F$2:$F$18911,"STANDBY"),0),"")</f>
        <v/>
      </c>
      <c r="G20" s="7">
        <f>IFERROR(ROUND(AVERAGEIFS(Datos!$G$2:$G$18911,Datos!$E$2:$E$18911,$A20,Datos!$B$2:$B$18911,10,Datos!$C$2:$C$18911,"&gt;=30",Datos!$F$2:$F$18911,"STANDBY"),0),"")</f>
        <v/>
      </c>
      <c r="H20" s="7">
        <f>IFERROR(ROUND(AVERAGEIFS(Datos!$G$2:$G$18911,Datos!$E$2:$E$18911,$A20,Datos!$B$2:$B$18911,11,Datos!$C$2:$C$18911,"&lt;30",Datos!$F$2:$F$18911,"STANDBY"),0),"")</f>
        <v/>
      </c>
      <c r="I20" s="7">
        <f>IFERROR(ROUND(AVERAGEIFS(Datos!$G$2:$G$18911,Datos!$E$2:$E$18911,$A20,Datos!$B$2:$B$18911,11,Datos!$C$2:$C$18911,"&gt;=30",Datos!$F$2:$F$18911,"STANDBY"),0),"")</f>
        <v/>
      </c>
      <c r="J20" s="7">
        <f>IFERROR(ROUND(AVERAGEIFS(Datos!$G$2:$G$18911,Datos!$E$2:$E$18911,$A20,Datos!$B$2:$B$18911,12,Datos!$C$2:$C$18911,"&lt;30",Datos!$F$2:$F$18911,"STANDBY"),0),"")</f>
        <v/>
      </c>
      <c r="K20" s="7">
        <f>IFERROR(ROUND(AVERAGEIFS(Datos!$G$2:$G$18911,Datos!$E$2:$E$18911,$A20,Datos!$B$2:$B$18911,12,Datos!$C$2:$C$18911,"&gt;=30",Datos!$F$2:$F$18911,"STANDBY"),0),"")</f>
        <v/>
      </c>
      <c r="L20" s="7">
        <f>IFERROR(ROUND(AVERAGEIFS(Datos!$G$2:$G$18911,Datos!$E$2:$E$18911,$A20,Datos!$B$2:$B$18911,13,Datos!$C$2:$C$18911,"&lt;30",Datos!$F$2:$F$18911,"STANDBY"),0),"")</f>
        <v/>
      </c>
      <c r="M20" s="7">
        <f>IFERROR(ROUND(AVERAGEIFS(Datos!$G$2:$G$18911,Datos!$E$2:$E$18911,$A20,Datos!$B$2:$B$18911,13,Datos!$C$2:$C$18911,"&gt;=30",Datos!$F$2:$F$18911,"STANDBY"),0),"")</f>
        <v/>
      </c>
      <c r="N20" s="7">
        <f>IFERROR(ROUND(AVERAGEIFS(Datos!$G$2:$G$18911,Datos!$E$2:$E$18911,$A20,Datos!$B$2:$B$18911,14,Datos!$C$2:$C$18911,"&lt;30",Datos!$F$2:$F$18911,"STANDBY"),0),"")</f>
        <v/>
      </c>
      <c r="O20" s="7">
        <f>IFERROR(ROUND(AVERAGEIFS(Datos!$G$2:$G$18911,Datos!$E$2:$E$18911,$A20,Datos!$B$2:$B$18911,14,Datos!$C$2:$C$18911,"&gt;=30",Datos!$F$2:$F$18911,"STANDBY"),0),"")</f>
        <v/>
      </c>
      <c r="P20" s="7">
        <f>IFERROR(ROUND(AVERAGEIFS(Datos!$G$2:$G$18911,Datos!$E$2:$E$18911,$A20,Datos!$B$2:$B$18911,15,Datos!$C$2:$C$18911,"&lt;30",Datos!$F$2:$F$18911,"STANDBY"),0),"")</f>
        <v/>
      </c>
      <c r="Q20" s="7">
        <f>IFERROR(ROUND(AVERAGEIFS(Datos!$G$2:$G$18911,Datos!$E$2:$E$18911,$A20,Datos!$B$2:$B$18911,15,Datos!$C$2:$C$18911,"&gt;=30",Datos!$F$2:$F$18911,"STANDBY"),0),"")</f>
        <v/>
      </c>
      <c r="R20" s="7">
        <f>IFERROR(ROUND(AVERAGEIFS(Datos!$G$2:$G$18911,Datos!$E$2:$E$18911,$A20,Datos!$B$2:$B$18911,16,Datos!$C$2:$C$18911,"&lt;30",Datos!$F$2:$F$18911,"STANDBY"),0),"")</f>
        <v/>
      </c>
      <c r="S20" s="7">
        <f>IFERROR(ROUND(AVERAGEIFS(Datos!$G$2:$G$18911,Datos!$E$2:$E$18911,$A20,Datos!$B$2:$B$18911,16,Datos!$C$2:$C$18911,"&gt;=30",Datos!$F$2:$F$18911,"STANDBY"),0),"")</f>
        <v/>
      </c>
      <c r="T20" s="7">
        <f>IFERROR(ROUND(AVERAGEIFS(Datos!$G$2:$G$18911,Datos!$E$2:$E$18911,$A20,Datos!$B$2:$B$18911,17,Datos!$C$2:$C$18911,"&lt;30",Datos!$F$2:$F$18911,"STANDBY"),0),"")</f>
        <v/>
      </c>
      <c r="U20" s="7">
        <f>IFERROR(ROUND(AVERAGEIFS(Datos!$G$2:$G$18911,Datos!$E$2:$E$18911,$A20,Datos!$B$2:$B$18911,17,Datos!$C$2:$C$18911,"&gt;=30",Datos!$F$2:$F$18911,"STANDBY"),0),"")</f>
        <v/>
      </c>
      <c r="V20" s="7">
        <f>IFERROR(ROUND(AVERAGEIFS(Datos!$G$2:$G$18911,Datos!$E$2:$E$18911,$A20,Datos!$B$2:$B$18911,18,Datos!$C$2:$C$18911,"&lt;30",Datos!$F$2:$F$18911,"STANDBY"),0),"")</f>
        <v/>
      </c>
      <c r="W20" s="7">
        <f>IFERROR(ROUND(AVERAGEIFS(Datos!$G$2:$G$18911,Datos!$E$2:$E$18911,$A20,Datos!$B$2:$B$18911,18,Datos!$C$2:$C$18911,"&gt;=30",Datos!$F$2:$F$18911,"STANDBY"),0),"")</f>
        <v/>
      </c>
      <c r="X20" s="7">
        <f>IFERROR(ROUND(AVERAGEIFS(Datos!$G$2:$G$18911,Datos!$E$2:$E$18911,$A20,Datos!$B$2:$B$18911,19,Datos!$C$2:$C$18911,"&lt;30",Datos!$F$2:$F$18911,"STANDBY"),0),"")</f>
        <v/>
      </c>
      <c r="Y20" s="7">
        <f>IFERROR(ROUND(AVERAGEIFS(Datos!$G$2:$G$18911,Datos!$E$2:$E$18911,$A20,Datos!$B$2:$B$18911,19,Datos!$C$2:$C$18911,"&gt;=30",Datos!$F$2:$F$18911,"STANDBY"),0),"")</f>
        <v/>
      </c>
      <c r="Z20" s="7">
        <f>IFERROR(ROUND(AVERAGEIFS(Datos!$G$2:$G$18911,Datos!$E$2:$E$18911,$A20,Datos!$B$2:$B$18911,20,Datos!$C$2:$C$18911,"&lt;30",Datos!$F$2:$F$18911,"STANDBY"),0),"")</f>
        <v/>
      </c>
      <c r="AA20" s="7">
        <f>IFERROR(ROUND(AVERAGEIFS(Datos!$G$2:$G$18911,Datos!$E$2:$E$18911,$A20,Datos!$B$2:$B$18911,20,Datos!$C$2:$C$18911,"&gt;=30",Datos!$F$2:$F$18911,"STANDBY"),0),"")</f>
        <v/>
      </c>
      <c r="AB20" s="7">
        <f>IFERROR(ROUND(AVERAGEIFS(Datos!$G$2:$G$18911,Datos!$E$2:$E$18911,$A20,Datos!$B$2:$B$18911,21,Datos!$C$2:$C$18911,"&lt;30",Datos!$F$2:$F$18911,"STANDBY"),0),"")</f>
        <v/>
      </c>
      <c r="AC20" s="7">
        <f>IFERROR(ROUND(AVERAGEIFS(Datos!$G$2:$G$18911,Datos!$E$2:$E$18911,$A20,Datos!$B$2:$B$18911,21,Datos!$C$2:$C$18911,"&gt;=30",Datos!$F$2:$F$18911,"STANDBY"),0),"")</f>
        <v/>
      </c>
      <c r="AD20" s="7">
        <f>IFERROR(ROUND(AVERAGEIFS(Datos!$G$2:$G$18911,Datos!$E$2:$E$18911,$A20,Datos!$B$2:$B$18911,22,Datos!$C$2:$C$18911,"&lt;30",Datos!$F$2:$F$18911,"STANDBY"),0),"")</f>
        <v/>
      </c>
      <c r="AE20" s="7">
        <f>IFERROR(ROUND(AVERAGEIFS(Datos!$G$2:$G$18911,Datos!$E$2:$E$18911,$A20,Datos!$B$2:$B$18911,22,Datos!$C$2:$C$18911,"&gt;=30",Datos!$F$2:$F$18911,"STANDBY"),0),"")</f>
        <v/>
      </c>
      <c r="AF20" s="7">
        <f>IFERROR(ROUND(AVERAGEIFS(Datos!$G$2:$G$18911,Datos!$E$2:$E$18911,$A20,Datos!$B$2:$B$18911,23,Datos!$C$2:$C$18911,"&lt;30",Datos!$F$2:$F$18911,"STANDBY"),0),"")</f>
        <v/>
      </c>
      <c r="AG20" s="7">
        <f>IFERROR(ROUND(AVERAGEIFS(Datos!$G$2:$G$18911,Datos!$E$2:$E$18911,$A20,Datos!$B$2:$B$18911,23,Datos!$C$2:$C$18911,"&gt;=30",Datos!$F$2:$F$18911,"STANDBY"),0),"")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IFERROR(ROUND(AVERAGEIFS(Datos!$G$2:$G$18911,Datos!$E$2:$E$18911,$A21,Datos!$B$2:$B$18911,8,Datos!$C$2:$C$18911,"&lt;30",Datos!$F$2:$F$18911,"STANDBY"),0),"")</f>
        <v/>
      </c>
      <c r="C21" s="7">
        <f>IFERROR(ROUND(AVERAGEIFS(Datos!$G$2:$G$18911,Datos!$E$2:$E$18911,$A21,Datos!$B$2:$B$18911,8,Datos!$C$2:$C$18911,"&gt;=30",Datos!$F$2:$F$18911,"STANDBY"),0),"")</f>
        <v/>
      </c>
      <c r="D21" s="7">
        <f>IFERROR(ROUND(AVERAGEIFS(Datos!$G$2:$G$18911,Datos!$E$2:$E$18911,$A21,Datos!$B$2:$B$18911,9,Datos!$C$2:$C$18911,"&lt;30",Datos!$F$2:$F$18911,"STANDBY"),0),"")</f>
        <v/>
      </c>
      <c r="E21" s="7">
        <f>IFERROR(ROUND(AVERAGEIFS(Datos!$G$2:$G$18911,Datos!$E$2:$E$18911,$A21,Datos!$B$2:$B$18911,9,Datos!$C$2:$C$18911,"&gt;=30",Datos!$F$2:$F$18911,"STANDBY"),0),"")</f>
        <v/>
      </c>
      <c r="F21" s="7">
        <f>IFERROR(ROUND(AVERAGEIFS(Datos!$G$2:$G$18911,Datos!$E$2:$E$18911,$A21,Datos!$B$2:$B$18911,10,Datos!$C$2:$C$18911,"&lt;30",Datos!$F$2:$F$18911,"STANDBY"),0),"")</f>
        <v/>
      </c>
      <c r="G21" s="7">
        <f>IFERROR(ROUND(AVERAGEIFS(Datos!$G$2:$G$18911,Datos!$E$2:$E$18911,$A21,Datos!$B$2:$B$18911,10,Datos!$C$2:$C$18911,"&gt;=30",Datos!$F$2:$F$18911,"STANDBY"),0),"")</f>
        <v/>
      </c>
      <c r="H21" s="7">
        <f>IFERROR(ROUND(AVERAGEIFS(Datos!$G$2:$G$18911,Datos!$E$2:$E$18911,$A21,Datos!$B$2:$B$18911,11,Datos!$C$2:$C$18911,"&lt;30",Datos!$F$2:$F$18911,"STANDBY"),0),"")</f>
        <v/>
      </c>
      <c r="I21" s="7">
        <f>IFERROR(ROUND(AVERAGEIFS(Datos!$G$2:$G$18911,Datos!$E$2:$E$18911,$A21,Datos!$B$2:$B$18911,11,Datos!$C$2:$C$18911,"&gt;=30",Datos!$F$2:$F$18911,"STANDBY"),0),"")</f>
        <v/>
      </c>
      <c r="J21" s="7">
        <f>IFERROR(ROUND(AVERAGEIFS(Datos!$G$2:$G$18911,Datos!$E$2:$E$18911,$A21,Datos!$B$2:$B$18911,12,Datos!$C$2:$C$18911,"&lt;30",Datos!$F$2:$F$18911,"STANDBY"),0),"")</f>
        <v/>
      </c>
      <c r="K21" s="7">
        <f>IFERROR(ROUND(AVERAGEIFS(Datos!$G$2:$G$18911,Datos!$E$2:$E$18911,$A21,Datos!$B$2:$B$18911,12,Datos!$C$2:$C$18911,"&gt;=30",Datos!$F$2:$F$18911,"STANDBY"),0),"")</f>
        <v/>
      </c>
      <c r="L21" s="7">
        <f>IFERROR(ROUND(AVERAGEIFS(Datos!$G$2:$G$18911,Datos!$E$2:$E$18911,$A21,Datos!$B$2:$B$18911,13,Datos!$C$2:$C$18911,"&lt;30",Datos!$F$2:$F$18911,"STANDBY"),0),"")</f>
        <v/>
      </c>
      <c r="M21" s="7">
        <f>IFERROR(ROUND(AVERAGEIFS(Datos!$G$2:$G$18911,Datos!$E$2:$E$18911,$A21,Datos!$B$2:$B$18911,13,Datos!$C$2:$C$18911,"&gt;=30",Datos!$F$2:$F$18911,"STANDBY"),0),"")</f>
        <v/>
      </c>
      <c r="N21" s="7">
        <f>IFERROR(ROUND(AVERAGEIFS(Datos!$G$2:$G$18911,Datos!$E$2:$E$18911,$A21,Datos!$B$2:$B$18911,14,Datos!$C$2:$C$18911,"&lt;30",Datos!$F$2:$F$18911,"STANDBY"),0),"")</f>
        <v/>
      </c>
      <c r="O21" s="7">
        <f>IFERROR(ROUND(AVERAGEIFS(Datos!$G$2:$G$18911,Datos!$E$2:$E$18911,$A21,Datos!$B$2:$B$18911,14,Datos!$C$2:$C$18911,"&gt;=30",Datos!$F$2:$F$18911,"STANDBY"),0),"")</f>
        <v/>
      </c>
      <c r="P21" s="7">
        <f>IFERROR(ROUND(AVERAGEIFS(Datos!$G$2:$G$18911,Datos!$E$2:$E$18911,$A21,Datos!$B$2:$B$18911,15,Datos!$C$2:$C$18911,"&lt;30",Datos!$F$2:$F$18911,"STANDBY"),0),"")</f>
        <v/>
      </c>
      <c r="Q21" s="7">
        <f>IFERROR(ROUND(AVERAGEIFS(Datos!$G$2:$G$18911,Datos!$E$2:$E$18911,$A21,Datos!$B$2:$B$18911,15,Datos!$C$2:$C$18911,"&gt;=30",Datos!$F$2:$F$18911,"STANDBY"),0),"")</f>
        <v/>
      </c>
      <c r="R21" s="7">
        <f>IFERROR(ROUND(AVERAGEIFS(Datos!$G$2:$G$18911,Datos!$E$2:$E$18911,$A21,Datos!$B$2:$B$18911,16,Datos!$C$2:$C$18911,"&lt;30",Datos!$F$2:$F$18911,"STANDBY"),0),"")</f>
        <v/>
      </c>
      <c r="S21" s="7">
        <f>IFERROR(ROUND(AVERAGEIFS(Datos!$G$2:$G$18911,Datos!$E$2:$E$18911,$A21,Datos!$B$2:$B$18911,16,Datos!$C$2:$C$18911,"&gt;=30",Datos!$F$2:$F$18911,"STANDBY"),0),"")</f>
        <v/>
      </c>
      <c r="T21" s="7">
        <f>IFERROR(ROUND(AVERAGEIFS(Datos!$G$2:$G$18911,Datos!$E$2:$E$18911,$A21,Datos!$B$2:$B$18911,17,Datos!$C$2:$C$18911,"&lt;30",Datos!$F$2:$F$18911,"STANDBY"),0),"")</f>
        <v/>
      </c>
      <c r="U21" s="7">
        <f>IFERROR(ROUND(AVERAGEIFS(Datos!$G$2:$G$18911,Datos!$E$2:$E$18911,$A21,Datos!$B$2:$B$18911,17,Datos!$C$2:$C$18911,"&gt;=30",Datos!$F$2:$F$18911,"STANDBY"),0),"")</f>
        <v/>
      </c>
      <c r="V21" s="7">
        <f>IFERROR(ROUND(AVERAGEIFS(Datos!$G$2:$G$18911,Datos!$E$2:$E$18911,$A21,Datos!$B$2:$B$18911,18,Datos!$C$2:$C$18911,"&lt;30",Datos!$F$2:$F$18911,"STANDBY"),0),"")</f>
        <v/>
      </c>
      <c r="W21" s="7">
        <f>IFERROR(ROUND(AVERAGEIFS(Datos!$G$2:$G$18911,Datos!$E$2:$E$18911,$A21,Datos!$B$2:$B$18911,18,Datos!$C$2:$C$18911,"&gt;=30",Datos!$F$2:$F$18911,"STANDBY"),0),"")</f>
        <v/>
      </c>
      <c r="X21" s="7">
        <f>IFERROR(ROUND(AVERAGEIFS(Datos!$G$2:$G$18911,Datos!$E$2:$E$18911,$A21,Datos!$B$2:$B$18911,19,Datos!$C$2:$C$18911,"&lt;30",Datos!$F$2:$F$18911,"STANDBY"),0),"")</f>
        <v/>
      </c>
      <c r="Y21" s="7">
        <f>IFERROR(ROUND(AVERAGEIFS(Datos!$G$2:$G$18911,Datos!$E$2:$E$18911,$A21,Datos!$B$2:$B$18911,19,Datos!$C$2:$C$18911,"&gt;=30",Datos!$F$2:$F$18911,"STANDBY"),0),"")</f>
        <v/>
      </c>
      <c r="Z21" s="7">
        <f>IFERROR(ROUND(AVERAGEIFS(Datos!$G$2:$G$18911,Datos!$E$2:$E$18911,$A21,Datos!$B$2:$B$18911,20,Datos!$C$2:$C$18911,"&lt;30",Datos!$F$2:$F$18911,"STANDBY"),0),"")</f>
        <v/>
      </c>
      <c r="AA21" s="7">
        <f>IFERROR(ROUND(AVERAGEIFS(Datos!$G$2:$G$18911,Datos!$E$2:$E$18911,$A21,Datos!$B$2:$B$18911,20,Datos!$C$2:$C$18911,"&gt;=30",Datos!$F$2:$F$18911,"STANDBY"),0),"")</f>
        <v/>
      </c>
      <c r="AB21" s="7">
        <f>IFERROR(ROUND(AVERAGEIFS(Datos!$G$2:$G$18911,Datos!$E$2:$E$18911,$A21,Datos!$B$2:$B$18911,21,Datos!$C$2:$C$18911,"&lt;30",Datos!$F$2:$F$18911,"STANDBY"),0),"")</f>
        <v/>
      </c>
      <c r="AC21" s="7">
        <f>IFERROR(ROUND(AVERAGEIFS(Datos!$G$2:$G$18911,Datos!$E$2:$E$18911,$A21,Datos!$B$2:$B$18911,21,Datos!$C$2:$C$18911,"&gt;=30",Datos!$F$2:$F$18911,"STANDBY"),0),"")</f>
        <v/>
      </c>
      <c r="AD21" s="7">
        <f>IFERROR(ROUND(AVERAGEIFS(Datos!$G$2:$G$18911,Datos!$E$2:$E$18911,$A21,Datos!$B$2:$B$18911,22,Datos!$C$2:$C$18911,"&lt;30",Datos!$F$2:$F$18911,"STANDBY"),0),"")</f>
        <v/>
      </c>
      <c r="AE21" s="7">
        <f>IFERROR(ROUND(AVERAGEIFS(Datos!$G$2:$G$18911,Datos!$E$2:$E$18911,$A21,Datos!$B$2:$B$18911,22,Datos!$C$2:$C$18911,"&gt;=30",Datos!$F$2:$F$18911,"STANDBY"),0),"")</f>
        <v/>
      </c>
      <c r="AF21" s="7">
        <f>IFERROR(ROUND(AVERAGEIFS(Datos!$G$2:$G$18911,Datos!$E$2:$E$18911,$A21,Datos!$B$2:$B$18911,23,Datos!$C$2:$C$18911,"&lt;30",Datos!$F$2:$F$18911,"STANDBY"),0),"")</f>
        <v/>
      </c>
      <c r="AG21" s="7">
        <f>IFERROR(ROUND(AVERAGEIFS(Datos!$G$2:$G$18911,Datos!$E$2:$E$18911,$A21,Datos!$B$2:$B$18911,23,Datos!$C$2:$C$18911,"&gt;=30",Datos!$F$2:$F$18911,"STANDBY"),0),"")</f>
        <v/>
      </c>
    </row>
    <row r="22">
      <c r="A22" s="6" t="inlineStr">
        <is>
          <t>The Twilight Zone Tower of Terror</t>
        </is>
      </c>
      <c r="B22" s="7">
        <f>IFERROR(ROUND(AVERAGEIFS(Datos!$G$2:$G$18911,Datos!$E$2:$E$18911,$A22,Datos!$B$2:$B$18911,8,Datos!$C$2:$C$18911,"&lt;30",Datos!$F$2:$F$18911,"STANDBY"),0),"")</f>
        <v/>
      </c>
      <c r="C22" s="7">
        <f>IFERROR(ROUND(AVERAGEIFS(Datos!$G$2:$G$18911,Datos!$E$2:$E$18911,$A22,Datos!$B$2:$B$18911,8,Datos!$C$2:$C$18911,"&gt;=30",Datos!$F$2:$F$18911,"STANDBY"),0),"")</f>
        <v/>
      </c>
      <c r="D22" s="7">
        <f>IFERROR(ROUND(AVERAGEIFS(Datos!$G$2:$G$18911,Datos!$E$2:$E$18911,$A22,Datos!$B$2:$B$18911,9,Datos!$C$2:$C$18911,"&lt;30",Datos!$F$2:$F$18911,"STANDBY"),0),"")</f>
        <v/>
      </c>
      <c r="E22" s="7">
        <f>IFERROR(ROUND(AVERAGEIFS(Datos!$G$2:$G$18911,Datos!$E$2:$E$18911,$A22,Datos!$B$2:$B$18911,9,Datos!$C$2:$C$18911,"&gt;=30",Datos!$F$2:$F$18911,"STANDBY"),0),"")</f>
        <v/>
      </c>
      <c r="F22" s="7">
        <f>IFERROR(ROUND(AVERAGEIFS(Datos!$G$2:$G$18911,Datos!$E$2:$E$18911,$A22,Datos!$B$2:$B$18911,10,Datos!$C$2:$C$18911,"&lt;30",Datos!$F$2:$F$18911,"STANDBY"),0),"")</f>
        <v/>
      </c>
      <c r="G22" s="7">
        <f>IFERROR(ROUND(AVERAGEIFS(Datos!$G$2:$G$18911,Datos!$E$2:$E$18911,$A22,Datos!$B$2:$B$18911,10,Datos!$C$2:$C$18911,"&gt;=30",Datos!$F$2:$F$18911,"STANDBY"),0),"")</f>
        <v/>
      </c>
      <c r="H22" s="7">
        <f>IFERROR(ROUND(AVERAGEIFS(Datos!$G$2:$G$18911,Datos!$E$2:$E$18911,$A22,Datos!$B$2:$B$18911,11,Datos!$C$2:$C$18911,"&lt;30",Datos!$F$2:$F$18911,"STANDBY"),0),"")</f>
        <v/>
      </c>
      <c r="I22" s="7">
        <f>IFERROR(ROUND(AVERAGEIFS(Datos!$G$2:$G$18911,Datos!$E$2:$E$18911,$A22,Datos!$B$2:$B$18911,11,Datos!$C$2:$C$18911,"&gt;=30",Datos!$F$2:$F$18911,"STANDBY"),0),"")</f>
        <v/>
      </c>
      <c r="J22" s="7">
        <f>IFERROR(ROUND(AVERAGEIFS(Datos!$G$2:$G$18911,Datos!$E$2:$E$18911,$A22,Datos!$B$2:$B$18911,12,Datos!$C$2:$C$18911,"&lt;30",Datos!$F$2:$F$18911,"STANDBY"),0),"")</f>
        <v/>
      </c>
      <c r="K22" s="7">
        <f>IFERROR(ROUND(AVERAGEIFS(Datos!$G$2:$G$18911,Datos!$E$2:$E$18911,$A22,Datos!$B$2:$B$18911,12,Datos!$C$2:$C$18911,"&gt;=30",Datos!$F$2:$F$18911,"STANDBY"),0),"")</f>
        <v/>
      </c>
      <c r="L22" s="7">
        <f>IFERROR(ROUND(AVERAGEIFS(Datos!$G$2:$G$18911,Datos!$E$2:$E$18911,$A22,Datos!$B$2:$B$18911,13,Datos!$C$2:$C$18911,"&lt;30",Datos!$F$2:$F$18911,"STANDBY"),0),"")</f>
        <v/>
      </c>
      <c r="M22" s="7">
        <f>IFERROR(ROUND(AVERAGEIFS(Datos!$G$2:$G$18911,Datos!$E$2:$E$18911,$A22,Datos!$B$2:$B$18911,13,Datos!$C$2:$C$18911,"&gt;=30",Datos!$F$2:$F$18911,"STANDBY"),0),"")</f>
        <v/>
      </c>
      <c r="N22" s="7">
        <f>IFERROR(ROUND(AVERAGEIFS(Datos!$G$2:$G$18911,Datos!$E$2:$E$18911,$A22,Datos!$B$2:$B$18911,14,Datos!$C$2:$C$18911,"&lt;30",Datos!$F$2:$F$18911,"STANDBY"),0),"")</f>
        <v/>
      </c>
      <c r="O22" s="7">
        <f>IFERROR(ROUND(AVERAGEIFS(Datos!$G$2:$G$18911,Datos!$E$2:$E$18911,$A22,Datos!$B$2:$B$18911,14,Datos!$C$2:$C$18911,"&gt;=30",Datos!$F$2:$F$18911,"STANDBY"),0),"")</f>
        <v/>
      </c>
      <c r="P22" s="7">
        <f>IFERROR(ROUND(AVERAGEIFS(Datos!$G$2:$G$18911,Datos!$E$2:$E$18911,$A22,Datos!$B$2:$B$18911,15,Datos!$C$2:$C$18911,"&lt;30",Datos!$F$2:$F$18911,"STANDBY"),0),"")</f>
        <v/>
      </c>
      <c r="Q22" s="7">
        <f>IFERROR(ROUND(AVERAGEIFS(Datos!$G$2:$G$18911,Datos!$E$2:$E$18911,$A22,Datos!$B$2:$B$18911,15,Datos!$C$2:$C$18911,"&gt;=30",Datos!$F$2:$F$18911,"STANDBY"),0),"")</f>
        <v/>
      </c>
      <c r="R22" s="7">
        <f>IFERROR(ROUND(AVERAGEIFS(Datos!$G$2:$G$18911,Datos!$E$2:$E$18911,$A22,Datos!$B$2:$B$18911,16,Datos!$C$2:$C$18911,"&lt;30",Datos!$F$2:$F$18911,"STANDBY"),0),"")</f>
        <v/>
      </c>
      <c r="S22" s="7">
        <f>IFERROR(ROUND(AVERAGEIFS(Datos!$G$2:$G$18911,Datos!$E$2:$E$18911,$A22,Datos!$B$2:$B$18911,16,Datos!$C$2:$C$18911,"&gt;=30",Datos!$F$2:$F$18911,"STANDBY"),0),"")</f>
        <v/>
      </c>
      <c r="T22" s="7">
        <f>IFERROR(ROUND(AVERAGEIFS(Datos!$G$2:$G$18911,Datos!$E$2:$E$18911,$A22,Datos!$B$2:$B$18911,17,Datos!$C$2:$C$18911,"&lt;30",Datos!$F$2:$F$18911,"STANDBY"),0),"")</f>
        <v/>
      </c>
      <c r="U22" s="7">
        <f>IFERROR(ROUND(AVERAGEIFS(Datos!$G$2:$G$18911,Datos!$E$2:$E$18911,$A22,Datos!$B$2:$B$18911,17,Datos!$C$2:$C$18911,"&gt;=30",Datos!$F$2:$F$18911,"STANDBY"),0),"")</f>
        <v/>
      </c>
      <c r="V22" s="7">
        <f>IFERROR(ROUND(AVERAGEIFS(Datos!$G$2:$G$18911,Datos!$E$2:$E$18911,$A22,Datos!$B$2:$B$18911,18,Datos!$C$2:$C$18911,"&lt;30",Datos!$F$2:$F$18911,"STANDBY"),0),"")</f>
        <v/>
      </c>
      <c r="W22" s="7">
        <f>IFERROR(ROUND(AVERAGEIFS(Datos!$G$2:$G$18911,Datos!$E$2:$E$18911,$A22,Datos!$B$2:$B$18911,18,Datos!$C$2:$C$18911,"&gt;=30",Datos!$F$2:$F$18911,"STANDBY"),0),"")</f>
        <v/>
      </c>
      <c r="X22" s="7">
        <f>IFERROR(ROUND(AVERAGEIFS(Datos!$G$2:$G$18911,Datos!$E$2:$E$18911,$A22,Datos!$B$2:$B$18911,19,Datos!$C$2:$C$18911,"&lt;30",Datos!$F$2:$F$18911,"STANDBY"),0),"")</f>
        <v/>
      </c>
      <c r="Y22" s="7">
        <f>IFERROR(ROUND(AVERAGEIFS(Datos!$G$2:$G$18911,Datos!$E$2:$E$18911,$A22,Datos!$B$2:$B$18911,19,Datos!$C$2:$C$18911,"&gt;=30",Datos!$F$2:$F$18911,"STANDBY"),0),"")</f>
        <v/>
      </c>
      <c r="Z22" s="7">
        <f>IFERROR(ROUND(AVERAGEIFS(Datos!$G$2:$G$18911,Datos!$E$2:$E$18911,$A22,Datos!$B$2:$B$18911,20,Datos!$C$2:$C$18911,"&lt;30",Datos!$F$2:$F$18911,"STANDBY"),0),"")</f>
        <v/>
      </c>
      <c r="AA22" s="7">
        <f>IFERROR(ROUND(AVERAGEIFS(Datos!$G$2:$G$18911,Datos!$E$2:$E$18911,$A22,Datos!$B$2:$B$18911,20,Datos!$C$2:$C$18911,"&gt;=30",Datos!$F$2:$F$18911,"STANDBY"),0),"")</f>
        <v/>
      </c>
      <c r="AB22" s="7">
        <f>IFERROR(ROUND(AVERAGEIFS(Datos!$G$2:$G$18911,Datos!$E$2:$E$18911,$A22,Datos!$B$2:$B$18911,21,Datos!$C$2:$C$18911,"&lt;30",Datos!$F$2:$F$18911,"STANDBY"),0),"")</f>
        <v/>
      </c>
      <c r="AC22" s="7">
        <f>IFERROR(ROUND(AVERAGEIFS(Datos!$G$2:$G$18911,Datos!$E$2:$E$18911,$A22,Datos!$B$2:$B$18911,21,Datos!$C$2:$C$18911,"&gt;=30",Datos!$F$2:$F$18911,"STANDBY"),0),"")</f>
        <v/>
      </c>
      <c r="AD22" s="7">
        <f>IFERROR(ROUND(AVERAGEIFS(Datos!$G$2:$G$18911,Datos!$E$2:$E$18911,$A22,Datos!$B$2:$B$18911,22,Datos!$C$2:$C$18911,"&lt;30",Datos!$F$2:$F$18911,"STANDBY"),0),"")</f>
        <v/>
      </c>
      <c r="AE22" s="7">
        <f>IFERROR(ROUND(AVERAGEIFS(Datos!$G$2:$G$18911,Datos!$E$2:$E$18911,$A22,Datos!$B$2:$B$18911,22,Datos!$C$2:$C$18911,"&gt;=30",Datos!$F$2:$F$18911,"STANDBY"),0),"")</f>
        <v/>
      </c>
      <c r="AF22" s="7">
        <f>IFERROR(ROUND(AVERAGEIFS(Datos!$G$2:$G$18911,Datos!$E$2:$E$18911,$A22,Datos!$B$2:$B$18911,23,Datos!$C$2:$C$18911,"&lt;30",Datos!$F$2:$F$18911,"STANDBY"),0),"")</f>
        <v/>
      </c>
      <c r="AG22" s="7">
        <f>IFERROR(ROUND(AVERAGEIFS(Datos!$G$2:$G$18911,Datos!$E$2:$E$18911,$A22,Datos!$B$2:$B$18911,23,Datos!$C$2:$C$18911,"&gt;=30",Datos!$F$2:$F$18911,"STANDBY"),0),"")</f>
        <v/>
      </c>
    </row>
    <row r="23">
      <c r="A23" s="6" t="inlineStr">
        <is>
          <t>Toy Soldiers Parachute Drop</t>
        </is>
      </c>
      <c r="B23" s="7">
        <f>IFERROR(ROUND(AVERAGEIFS(Datos!$G$2:$G$18911,Datos!$E$2:$E$18911,$A23,Datos!$B$2:$B$18911,8,Datos!$C$2:$C$18911,"&lt;30",Datos!$F$2:$F$18911,"STANDBY"),0),"")</f>
        <v/>
      </c>
      <c r="C23" s="7">
        <f>IFERROR(ROUND(AVERAGEIFS(Datos!$G$2:$G$18911,Datos!$E$2:$E$18911,$A23,Datos!$B$2:$B$18911,8,Datos!$C$2:$C$18911,"&gt;=30",Datos!$F$2:$F$18911,"STANDBY"),0),"")</f>
        <v/>
      </c>
      <c r="D23" s="7">
        <f>IFERROR(ROUND(AVERAGEIFS(Datos!$G$2:$G$18911,Datos!$E$2:$E$18911,$A23,Datos!$B$2:$B$18911,9,Datos!$C$2:$C$18911,"&lt;30",Datos!$F$2:$F$18911,"STANDBY"),0),"")</f>
        <v/>
      </c>
      <c r="E23" s="7">
        <f>IFERROR(ROUND(AVERAGEIFS(Datos!$G$2:$G$18911,Datos!$E$2:$E$18911,$A23,Datos!$B$2:$B$18911,9,Datos!$C$2:$C$18911,"&gt;=30",Datos!$F$2:$F$18911,"STANDBY"),0),"")</f>
        <v/>
      </c>
      <c r="F23" s="7">
        <f>IFERROR(ROUND(AVERAGEIFS(Datos!$G$2:$G$18911,Datos!$E$2:$E$18911,$A23,Datos!$B$2:$B$18911,10,Datos!$C$2:$C$18911,"&lt;30",Datos!$F$2:$F$18911,"STANDBY"),0),"")</f>
        <v/>
      </c>
      <c r="G23" s="7">
        <f>IFERROR(ROUND(AVERAGEIFS(Datos!$G$2:$G$18911,Datos!$E$2:$E$18911,$A23,Datos!$B$2:$B$18911,10,Datos!$C$2:$C$18911,"&gt;=30",Datos!$F$2:$F$18911,"STANDBY"),0),"")</f>
        <v/>
      </c>
      <c r="H23" s="7">
        <f>IFERROR(ROUND(AVERAGEIFS(Datos!$G$2:$G$18911,Datos!$E$2:$E$18911,$A23,Datos!$B$2:$B$18911,11,Datos!$C$2:$C$18911,"&lt;30",Datos!$F$2:$F$18911,"STANDBY"),0),"")</f>
        <v/>
      </c>
      <c r="I23" s="7">
        <f>IFERROR(ROUND(AVERAGEIFS(Datos!$G$2:$G$18911,Datos!$E$2:$E$18911,$A23,Datos!$B$2:$B$18911,11,Datos!$C$2:$C$18911,"&gt;=30",Datos!$F$2:$F$18911,"STANDBY"),0),"")</f>
        <v/>
      </c>
      <c r="J23" s="7">
        <f>IFERROR(ROUND(AVERAGEIFS(Datos!$G$2:$G$18911,Datos!$E$2:$E$18911,$A23,Datos!$B$2:$B$18911,12,Datos!$C$2:$C$18911,"&lt;30",Datos!$F$2:$F$18911,"STANDBY"),0),"")</f>
        <v/>
      </c>
      <c r="K23" s="7">
        <f>IFERROR(ROUND(AVERAGEIFS(Datos!$G$2:$G$18911,Datos!$E$2:$E$18911,$A23,Datos!$B$2:$B$18911,12,Datos!$C$2:$C$18911,"&gt;=30",Datos!$F$2:$F$18911,"STANDBY"),0),"")</f>
        <v/>
      </c>
      <c r="L23" s="7">
        <f>IFERROR(ROUND(AVERAGEIFS(Datos!$G$2:$G$18911,Datos!$E$2:$E$18911,$A23,Datos!$B$2:$B$18911,13,Datos!$C$2:$C$18911,"&lt;30",Datos!$F$2:$F$18911,"STANDBY"),0),"")</f>
        <v/>
      </c>
      <c r="M23" s="7">
        <f>IFERROR(ROUND(AVERAGEIFS(Datos!$G$2:$G$18911,Datos!$E$2:$E$18911,$A23,Datos!$B$2:$B$18911,13,Datos!$C$2:$C$18911,"&gt;=30",Datos!$F$2:$F$18911,"STANDBY"),0),"")</f>
        <v/>
      </c>
      <c r="N23" s="7">
        <f>IFERROR(ROUND(AVERAGEIFS(Datos!$G$2:$G$18911,Datos!$E$2:$E$18911,$A23,Datos!$B$2:$B$18911,14,Datos!$C$2:$C$18911,"&lt;30",Datos!$F$2:$F$18911,"STANDBY"),0),"")</f>
        <v/>
      </c>
      <c r="O23" s="7">
        <f>IFERROR(ROUND(AVERAGEIFS(Datos!$G$2:$G$18911,Datos!$E$2:$E$18911,$A23,Datos!$B$2:$B$18911,14,Datos!$C$2:$C$18911,"&gt;=30",Datos!$F$2:$F$18911,"STANDBY"),0),"")</f>
        <v/>
      </c>
      <c r="P23" s="7">
        <f>IFERROR(ROUND(AVERAGEIFS(Datos!$G$2:$G$18911,Datos!$E$2:$E$18911,$A23,Datos!$B$2:$B$18911,15,Datos!$C$2:$C$18911,"&lt;30",Datos!$F$2:$F$18911,"STANDBY"),0),"")</f>
        <v/>
      </c>
      <c r="Q23" s="7">
        <f>IFERROR(ROUND(AVERAGEIFS(Datos!$G$2:$G$18911,Datos!$E$2:$E$18911,$A23,Datos!$B$2:$B$18911,15,Datos!$C$2:$C$18911,"&gt;=30",Datos!$F$2:$F$18911,"STANDBY"),0),"")</f>
        <v/>
      </c>
      <c r="R23" s="7">
        <f>IFERROR(ROUND(AVERAGEIFS(Datos!$G$2:$G$18911,Datos!$E$2:$E$18911,$A23,Datos!$B$2:$B$18911,16,Datos!$C$2:$C$18911,"&lt;30",Datos!$F$2:$F$18911,"STANDBY"),0),"")</f>
        <v/>
      </c>
      <c r="S23" s="7">
        <f>IFERROR(ROUND(AVERAGEIFS(Datos!$G$2:$G$18911,Datos!$E$2:$E$18911,$A23,Datos!$B$2:$B$18911,16,Datos!$C$2:$C$18911,"&gt;=30",Datos!$F$2:$F$18911,"STANDBY"),0),"")</f>
        <v/>
      </c>
      <c r="T23" s="7">
        <f>IFERROR(ROUND(AVERAGEIFS(Datos!$G$2:$G$18911,Datos!$E$2:$E$18911,$A23,Datos!$B$2:$B$18911,17,Datos!$C$2:$C$18911,"&lt;30",Datos!$F$2:$F$18911,"STANDBY"),0),"")</f>
        <v/>
      </c>
      <c r="U23" s="7">
        <f>IFERROR(ROUND(AVERAGEIFS(Datos!$G$2:$G$18911,Datos!$E$2:$E$18911,$A23,Datos!$B$2:$B$18911,17,Datos!$C$2:$C$18911,"&gt;=30",Datos!$F$2:$F$18911,"STANDBY"),0),"")</f>
        <v/>
      </c>
      <c r="V23" s="7">
        <f>IFERROR(ROUND(AVERAGEIFS(Datos!$G$2:$G$18911,Datos!$E$2:$E$18911,$A23,Datos!$B$2:$B$18911,18,Datos!$C$2:$C$18911,"&lt;30",Datos!$F$2:$F$18911,"STANDBY"),0),"")</f>
        <v/>
      </c>
      <c r="W23" s="7">
        <f>IFERROR(ROUND(AVERAGEIFS(Datos!$G$2:$G$18911,Datos!$E$2:$E$18911,$A23,Datos!$B$2:$B$18911,18,Datos!$C$2:$C$18911,"&gt;=30",Datos!$F$2:$F$18911,"STANDBY"),0),"")</f>
        <v/>
      </c>
      <c r="X23" s="7">
        <f>IFERROR(ROUND(AVERAGEIFS(Datos!$G$2:$G$18911,Datos!$E$2:$E$18911,$A23,Datos!$B$2:$B$18911,19,Datos!$C$2:$C$18911,"&lt;30",Datos!$F$2:$F$18911,"STANDBY"),0),"")</f>
        <v/>
      </c>
      <c r="Y23" s="7">
        <f>IFERROR(ROUND(AVERAGEIFS(Datos!$G$2:$G$18911,Datos!$E$2:$E$18911,$A23,Datos!$B$2:$B$18911,19,Datos!$C$2:$C$18911,"&gt;=30",Datos!$F$2:$F$18911,"STANDBY"),0),"")</f>
        <v/>
      </c>
      <c r="Z23" s="7">
        <f>IFERROR(ROUND(AVERAGEIFS(Datos!$G$2:$G$18911,Datos!$E$2:$E$18911,$A23,Datos!$B$2:$B$18911,20,Datos!$C$2:$C$18911,"&lt;30",Datos!$F$2:$F$18911,"STANDBY"),0),"")</f>
        <v/>
      </c>
      <c r="AA23" s="7">
        <f>IFERROR(ROUND(AVERAGEIFS(Datos!$G$2:$G$18911,Datos!$E$2:$E$18911,$A23,Datos!$B$2:$B$18911,20,Datos!$C$2:$C$18911,"&gt;=30",Datos!$F$2:$F$18911,"STANDBY"),0),"")</f>
        <v/>
      </c>
      <c r="AB23" s="7">
        <f>IFERROR(ROUND(AVERAGEIFS(Datos!$G$2:$G$18911,Datos!$E$2:$E$18911,$A23,Datos!$B$2:$B$18911,21,Datos!$C$2:$C$18911,"&lt;30",Datos!$F$2:$F$18911,"STANDBY"),0),"")</f>
        <v/>
      </c>
      <c r="AC23" s="7">
        <f>IFERROR(ROUND(AVERAGEIFS(Datos!$G$2:$G$18911,Datos!$E$2:$E$18911,$A23,Datos!$B$2:$B$18911,21,Datos!$C$2:$C$18911,"&gt;=30",Datos!$F$2:$F$18911,"STANDBY"),0),"")</f>
        <v/>
      </c>
      <c r="AD23" s="7">
        <f>IFERROR(ROUND(AVERAGEIFS(Datos!$G$2:$G$18911,Datos!$E$2:$E$18911,$A23,Datos!$B$2:$B$18911,22,Datos!$C$2:$C$18911,"&lt;30",Datos!$F$2:$F$18911,"STANDBY"),0),"")</f>
        <v/>
      </c>
      <c r="AE23" s="7">
        <f>IFERROR(ROUND(AVERAGEIFS(Datos!$G$2:$G$18911,Datos!$E$2:$E$18911,$A23,Datos!$B$2:$B$18911,22,Datos!$C$2:$C$18911,"&gt;=30",Datos!$F$2:$F$18911,"STANDBY"),0),"")</f>
        <v/>
      </c>
      <c r="AF23" s="7">
        <f>IFERROR(ROUND(AVERAGEIFS(Datos!$G$2:$G$18911,Datos!$E$2:$E$18911,$A23,Datos!$B$2:$B$18911,23,Datos!$C$2:$C$18911,"&lt;30",Datos!$F$2:$F$18911,"STANDBY"),0),"")</f>
        <v/>
      </c>
      <c r="AG23" s="7">
        <f>IFERROR(ROUND(AVERAGEIFS(Datos!$G$2:$G$18911,Datos!$E$2:$E$18911,$A23,Datos!$B$2:$B$18911,23,Datos!$C$2:$C$18911,"&gt;=30",Datos!$F$2:$F$18911,"STANDBY"),0),"")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IFERROR(ROUND(AVERAGEIFS(Datos!$G$2:$G$18911,Datos!$E$2:$E$18911,$A24,Datos!$B$2:$B$18911,8,Datos!$C$2:$C$18911,"&lt;30",Datos!$F$2:$F$18911,"STANDBY"),0),"")</f>
        <v/>
      </c>
      <c r="C24" s="7">
        <f>IFERROR(ROUND(AVERAGEIFS(Datos!$G$2:$G$18911,Datos!$E$2:$E$18911,$A24,Datos!$B$2:$B$18911,8,Datos!$C$2:$C$18911,"&gt;=30",Datos!$F$2:$F$18911,"STANDBY"),0),"")</f>
        <v/>
      </c>
      <c r="D24" s="7">
        <f>IFERROR(ROUND(AVERAGEIFS(Datos!$G$2:$G$18911,Datos!$E$2:$E$18911,$A24,Datos!$B$2:$B$18911,9,Datos!$C$2:$C$18911,"&lt;30",Datos!$F$2:$F$18911,"STANDBY"),0),"")</f>
        <v/>
      </c>
      <c r="E24" s="7">
        <f>IFERROR(ROUND(AVERAGEIFS(Datos!$G$2:$G$18911,Datos!$E$2:$E$18911,$A24,Datos!$B$2:$B$18911,9,Datos!$C$2:$C$18911,"&gt;=30",Datos!$F$2:$F$18911,"STANDBY"),0),"")</f>
        <v/>
      </c>
      <c r="F24" s="7">
        <f>IFERROR(ROUND(AVERAGEIFS(Datos!$G$2:$G$18911,Datos!$E$2:$E$18911,$A24,Datos!$B$2:$B$18911,10,Datos!$C$2:$C$18911,"&lt;30",Datos!$F$2:$F$18911,"STANDBY"),0),"")</f>
        <v/>
      </c>
      <c r="G24" s="7">
        <f>IFERROR(ROUND(AVERAGEIFS(Datos!$G$2:$G$18911,Datos!$E$2:$E$18911,$A24,Datos!$B$2:$B$18911,10,Datos!$C$2:$C$18911,"&gt;=30",Datos!$F$2:$F$18911,"STANDBY"),0),"")</f>
        <v/>
      </c>
      <c r="H24" s="7">
        <f>IFERROR(ROUND(AVERAGEIFS(Datos!$G$2:$G$18911,Datos!$E$2:$E$18911,$A24,Datos!$B$2:$B$18911,11,Datos!$C$2:$C$18911,"&lt;30",Datos!$F$2:$F$18911,"STANDBY"),0),"")</f>
        <v/>
      </c>
      <c r="I24" s="7">
        <f>IFERROR(ROUND(AVERAGEIFS(Datos!$G$2:$G$18911,Datos!$E$2:$E$18911,$A24,Datos!$B$2:$B$18911,11,Datos!$C$2:$C$18911,"&gt;=30",Datos!$F$2:$F$18911,"STANDBY"),0),"")</f>
        <v/>
      </c>
      <c r="J24" s="7">
        <f>IFERROR(ROUND(AVERAGEIFS(Datos!$G$2:$G$18911,Datos!$E$2:$E$18911,$A24,Datos!$B$2:$B$18911,12,Datos!$C$2:$C$18911,"&lt;30",Datos!$F$2:$F$18911,"STANDBY"),0),"")</f>
        <v/>
      </c>
      <c r="K24" s="7">
        <f>IFERROR(ROUND(AVERAGEIFS(Datos!$G$2:$G$18911,Datos!$E$2:$E$18911,$A24,Datos!$B$2:$B$18911,12,Datos!$C$2:$C$18911,"&gt;=30",Datos!$F$2:$F$18911,"STANDBY"),0),"")</f>
        <v/>
      </c>
      <c r="L24" s="7">
        <f>IFERROR(ROUND(AVERAGEIFS(Datos!$G$2:$G$18911,Datos!$E$2:$E$18911,$A24,Datos!$B$2:$B$18911,13,Datos!$C$2:$C$18911,"&lt;30",Datos!$F$2:$F$18911,"STANDBY"),0),"")</f>
        <v/>
      </c>
      <c r="M24" s="7">
        <f>IFERROR(ROUND(AVERAGEIFS(Datos!$G$2:$G$18911,Datos!$E$2:$E$18911,$A24,Datos!$B$2:$B$18911,13,Datos!$C$2:$C$18911,"&gt;=30",Datos!$F$2:$F$18911,"STANDBY"),0),"")</f>
        <v/>
      </c>
      <c r="N24" s="7">
        <f>IFERROR(ROUND(AVERAGEIFS(Datos!$G$2:$G$18911,Datos!$E$2:$E$18911,$A24,Datos!$B$2:$B$18911,14,Datos!$C$2:$C$18911,"&lt;30",Datos!$F$2:$F$18911,"STANDBY"),0),"")</f>
        <v/>
      </c>
      <c r="O24" s="7">
        <f>IFERROR(ROUND(AVERAGEIFS(Datos!$G$2:$G$18911,Datos!$E$2:$E$18911,$A24,Datos!$B$2:$B$18911,14,Datos!$C$2:$C$18911,"&gt;=30",Datos!$F$2:$F$18911,"STANDBY"),0),"")</f>
        <v/>
      </c>
      <c r="P24" s="7">
        <f>IFERROR(ROUND(AVERAGEIFS(Datos!$G$2:$G$18911,Datos!$E$2:$E$18911,$A24,Datos!$B$2:$B$18911,15,Datos!$C$2:$C$18911,"&lt;30",Datos!$F$2:$F$18911,"STANDBY"),0),"")</f>
        <v/>
      </c>
      <c r="Q24" s="7">
        <f>IFERROR(ROUND(AVERAGEIFS(Datos!$G$2:$G$18911,Datos!$E$2:$E$18911,$A24,Datos!$B$2:$B$18911,15,Datos!$C$2:$C$18911,"&gt;=30",Datos!$F$2:$F$18911,"STANDBY"),0),"")</f>
        <v/>
      </c>
      <c r="R24" s="7">
        <f>IFERROR(ROUND(AVERAGEIFS(Datos!$G$2:$G$18911,Datos!$E$2:$E$18911,$A24,Datos!$B$2:$B$18911,16,Datos!$C$2:$C$18911,"&lt;30",Datos!$F$2:$F$18911,"STANDBY"),0),"")</f>
        <v/>
      </c>
      <c r="S24" s="7">
        <f>IFERROR(ROUND(AVERAGEIFS(Datos!$G$2:$G$18911,Datos!$E$2:$E$18911,$A24,Datos!$B$2:$B$18911,16,Datos!$C$2:$C$18911,"&gt;=30",Datos!$F$2:$F$18911,"STANDBY"),0),"")</f>
        <v/>
      </c>
      <c r="T24" s="7">
        <f>IFERROR(ROUND(AVERAGEIFS(Datos!$G$2:$G$18911,Datos!$E$2:$E$18911,$A24,Datos!$B$2:$B$18911,17,Datos!$C$2:$C$18911,"&lt;30",Datos!$F$2:$F$18911,"STANDBY"),0),"")</f>
        <v/>
      </c>
      <c r="U24" s="7">
        <f>IFERROR(ROUND(AVERAGEIFS(Datos!$G$2:$G$18911,Datos!$E$2:$E$18911,$A24,Datos!$B$2:$B$18911,17,Datos!$C$2:$C$18911,"&gt;=30",Datos!$F$2:$F$18911,"STANDBY"),0),"")</f>
        <v/>
      </c>
      <c r="V24" s="7">
        <f>IFERROR(ROUND(AVERAGEIFS(Datos!$G$2:$G$18911,Datos!$E$2:$E$18911,$A24,Datos!$B$2:$B$18911,18,Datos!$C$2:$C$18911,"&lt;30",Datos!$F$2:$F$18911,"STANDBY"),0),"")</f>
        <v/>
      </c>
      <c r="W24" s="7">
        <f>IFERROR(ROUND(AVERAGEIFS(Datos!$G$2:$G$18911,Datos!$E$2:$E$18911,$A24,Datos!$B$2:$B$18911,18,Datos!$C$2:$C$18911,"&gt;=30",Datos!$F$2:$F$18911,"STANDBY"),0),"")</f>
        <v/>
      </c>
      <c r="X24" s="7">
        <f>IFERROR(ROUND(AVERAGEIFS(Datos!$G$2:$G$18911,Datos!$E$2:$E$18911,$A24,Datos!$B$2:$B$18911,19,Datos!$C$2:$C$18911,"&lt;30",Datos!$F$2:$F$18911,"STANDBY"),0),"")</f>
        <v/>
      </c>
      <c r="Y24" s="7">
        <f>IFERROR(ROUND(AVERAGEIFS(Datos!$G$2:$G$18911,Datos!$E$2:$E$18911,$A24,Datos!$B$2:$B$18911,19,Datos!$C$2:$C$18911,"&gt;=30",Datos!$F$2:$F$18911,"STANDBY"),0),"")</f>
        <v/>
      </c>
      <c r="Z24" s="7">
        <f>IFERROR(ROUND(AVERAGEIFS(Datos!$G$2:$G$18911,Datos!$E$2:$E$18911,$A24,Datos!$B$2:$B$18911,20,Datos!$C$2:$C$18911,"&lt;30",Datos!$F$2:$F$18911,"STANDBY"),0),"")</f>
        <v/>
      </c>
      <c r="AA24" s="7">
        <f>IFERROR(ROUND(AVERAGEIFS(Datos!$G$2:$G$18911,Datos!$E$2:$E$18911,$A24,Datos!$B$2:$B$18911,20,Datos!$C$2:$C$18911,"&gt;=30",Datos!$F$2:$F$18911,"STANDBY"),0),"")</f>
        <v/>
      </c>
      <c r="AB24" s="7">
        <f>IFERROR(ROUND(AVERAGEIFS(Datos!$G$2:$G$18911,Datos!$E$2:$E$18911,$A24,Datos!$B$2:$B$18911,21,Datos!$C$2:$C$18911,"&lt;30",Datos!$F$2:$F$18911,"STANDBY"),0),"")</f>
        <v/>
      </c>
      <c r="AC24" s="7">
        <f>IFERROR(ROUND(AVERAGEIFS(Datos!$G$2:$G$18911,Datos!$E$2:$E$18911,$A24,Datos!$B$2:$B$18911,21,Datos!$C$2:$C$18911,"&gt;=30",Datos!$F$2:$F$18911,"STANDBY"),0),"")</f>
        <v/>
      </c>
      <c r="AD24" s="7">
        <f>IFERROR(ROUND(AVERAGEIFS(Datos!$G$2:$G$18911,Datos!$E$2:$E$18911,$A24,Datos!$B$2:$B$18911,22,Datos!$C$2:$C$18911,"&lt;30",Datos!$F$2:$F$18911,"STANDBY"),0),"")</f>
        <v/>
      </c>
      <c r="AE24" s="7">
        <f>IFERROR(ROUND(AVERAGEIFS(Datos!$G$2:$G$18911,Datos!$E$2:$E$18911,$A24,Datos!$B$2:$B$18911,22,Datos!$C$2:$C$18911,"&gt;=30",Datos!$F$2:$F$18911,"STANDBY"),0),"")</f>
        <v/>
      </c>
      <c r="AF24" s="7">
        <f>IFERROR(ROUND(AVERAGEIFS(Datos!$G$2:$G$18911,Datos!$E$2:$E$18911,$A24,Datos!$B$2:$B$18911,23,Datos!$C$2:$C$18911,"&lt;30",Datos!$F$2:$F$18911,"STANDBY"),0),"")</f>
        <v/>
      </c>
      <c r="AG24" s="7">
        <f>IFERROR(ROUND(AVERAGEIFS(Datos!$G$2:$G$18911,Datos!$E$2:$E$18911,$A24,Datos!$B$2:$B$18911,23,Datos!$C$2:$C$18911,"&gt;=30",Datos!$F$2:$F$18911,"STANDBY"),0),"")</f>
        <v/>
      </c>
    </row>
    <row r="25">
      <c r="A25" s="6" t="inlineStr">
        <is>
          <t>"it's a small world"</t>
        </is>
      </c>
      <c r="B25" s="7">
        <f>IFERROR(ROUND(AVERAGEIFS(Datos!$G$2:$G$18911,Datos!$E$2:$E$18911,$A25,Datos!$B$2:$B$18911,8,Datos!$C$2:$C$18911,"&lt;30",Datos!$F$2:$F$18911,"STANDBY"),0),"")</f>
        <v/>
      </c>
      <c r="C25" s="7">
        <f>IFERROR(ROUND(AVERAGEIFS(Datos!$G$2:$G$18911,Datos!$E$2:$E$18911,$A25,Datos!$B$2:$B$18911,8,Datos!$C$2:$C$18911,"&gt;=30",Datos!$F$2:$F$18911,"STANDBY"),0),"")</f>
        <v/>
      </c>
      <c r="D25" s="7">
        <f>IFERROR(ROUND(AVERAGEIFS(Datos!$G$2:$G$18911,Datos!$E$2:$E$18911,$A25,Datos!$B$2:$B$18911,9,Datos!$C$2:$C$18911,"&lt;30",Datos!$F$2:$F$18911,"STANDBY"),0),"")</f>
        <v/>
      </c>
      <c r="E25" s="7">
        <f>IFERROR(ROUND(AVERAGEIFS(Datos!$G$2:$G$18911,Datos!$E$2:$E$18911,$A25,Datos!$B$2:$B$18911,9,Datos!$C$2:$C$18911,"&gt;=30",Datos!$F$2:$F$18911,"STANDBY"),0),"")</f>
        <v/>
      </c>
      <c r="F25" s="7">
        <f>IFERROR(ROUND(AVERAGEIFS(Datos!$G$2:$G$18911,Datos!$E$2:$E$18911,$A25,Datos!$B$2:$B$18911,10,Datos!$C$2:$C$18911,"&lt;30",Datos!$F$2:$F$18911,"STANDBY"),0),"")</f>
        <v/>
      </c>
      <c r="G25" s="7">
        <f>IFERROR(ROUND(AVERAGEIFS(Datos!$G$2:$G$18911,Datos!$E$2:$E$18911,$A25,Datos!$B$2:$B$18911,10,Datos!$C$2:$C$18911,"&gt;=30",Datos!$F$2:$F$18911,"STANDBY"),0),"")</f>
        <v/>
      </c>
      <c r="H25" s="7">
        <f>IFERROR(ROUND(AVERAGEIFS(Datos!$G$2:$G$18911,Datos!$E$2:$E$18911,$A25,Datos!$B$2:$B$18911,11,Datos!$C$2:$C$18911,"&lt;30",Datos!$F$2:$F$18911,"STANDBY"),0),"")</f>
        <v/>
      </c>
      <c r="I25" s="7">
        <f>IFERROR(ROUND(AVERAGEIFS(Datos!$G$2:$G$18911,Datos!$E$2:$E$18911,$A25,Datos!$B$2:$B$18911,11,Datos!$C$2:$C$18911,"&gt;=30",Datos!$F$2:$F$18911,"STANDBY"),0),"")</f>
        <v/>
      </c>
      <c r="J25" s="7">
        <f>IFERROR(ROUND(AVERAGEIFS(Datos!$G$2:$G$18911,Datos!$E$2:$E$18911,$A25,Datos!$B$2:$B$18911,12,Datos!$C$2:$C$18911,"&lt;30",Datos!$F$2:$F$18911,"STANDBY"),0),"")</f>
        <v/>
      </c>
      <c r="K25" s="7">
        <f>IFERROR(ROUND(AVERAGEIFS(Datos!$G$2:$G$18911,Datos!$E$2:$E$18911,$A25,Datos!$B$2:$B$18911,12,Datos!$C$2:$C$18911,"&gt;=30",Datos!$F$2:$F$18911,"STANDBY"),0),"")</f>
        <v/>
      </c>
      <c r="L25" s="7">
        <f>IFERROR(ROUND(AVERAGEIFS(Datos!$G$2:$G$18911,Datos!$E$2:$E$18911,$A25,Datos!$B$2:$B$18911,13,Datos!$C$2:$C$18911,"&lt;30",Datos!$F$2:$F$18911,"STANDBY"),0),"")</f>
        <v/>
      </c>
      <c r="M25" s="7">
        <f>IFERROR(ROUND(AVERAGEIFS(Datos!$G$2:$G$18911,Datos!$E$2:$E$18911,$A25,Datos!$B$2:$B$18911,13,Datos!$C$2:$C$18911,"&gt;=30",Datos!$F$2:$F$18911,"STANDBY"),0),"")</f>
        <v/>
      </c>
      <c r="N25" s="7">
        <f>IFERROR(ROUND(AVERAGEIFS(Datos!$G$2:$G$18911,Datos!$E$2:$E$18911,$A25,Datos!$B$2:$B$18911,14,Datos!$C$2:$C$18911,"&lt;30",Datos!$F$2:$F$18911,"STANDBY"),0),"")</f>
        <v/>
      </c>
      <c r="O25" s="7">
        <f>IFERROR(ROUND(AVERAGEIFS(Datos!$G$2:$G$18911,Datos!$E$2:$E$18911,$A25,Datos!$B$2:$B$18911,14,Datos!$C$2:$C$18911,"&gt;=30",Datos!$F$2:$F$18911,"STANDBY"),0),"")</f>
        <v/>
      </c>
      <c r="P25" s="7">
        <f>IFERROR(ROUND(AVERAGEIFS(Datos!$G$2:$G$18911,Datos!$E$2:$E$18911,$A25,Datos!$B$2:$B$18911,15,Datos!$C$2:$C$18911,"&lt;30",Datos!$F$2:$F$18911,"STANDBY"),0),"")</f>
        <v/>
      </c>
      <c r="Q25" s="7">
        <f>IFERROR(ROUND(AVERAGEIFS(Datos!$G$2:$G$18911,Datos!$E$2:$E$18911,$A25,Datos!$B$2:$B$18911,15,Datos!$C$2:$C$18911,"&gt;=30",Datos!$F$2:$F$18911,"STANDBY"),0),"")</f>
        <v/>
      </c>
      <c r="R25" s="7">
        <f>IFERROR(ROUND(AVERAGEIFS(Datos!$G$2:$G$18911,Datos!$E$2:$E$18911,$A25,Datos!$B$2:$B$18911,16,Datos!$C$2:$C$18911,"&lt;30",Datos!$F$2:$F$18911,"STANDBY"),0),"")</f>
        <v/>
      </c>
      <c r="S25" s="7">
        <f>IFERROR(ROUND(AVERAGEIFS(Datos!$G$2:$G$18911,Datos!$E$2:$E$18911,$A25,Datos!$B$2:$B$18911,16,Datos!$C$2:$C$18911,"&gt;=30",Datos!$F$2:$F$18911,"STANDBY"),0),"")</f>
        <v/>
      </c>
      <c r="T25" s="7">
        <f>IFERROR(ROUND(AVERAGEIFS(Datos!$G$2:$G$18911,Datos!$E$2:$E$18911,$A25,Datos!$B$2:$B$18911,17,Datos!$C$2:$C$18911,"&lt;30",Datos!$F$2:$F$18911,"STANDBY"),0),"")</f>
        <v/>
      </c>
      <c r="U25" s="7">
        <f>IFERROR(ROUND(AVERAGEIFS(Datos!$G$2:$G$18911,Datos!$E$2:$E$18911,$A25,Datos!$B$2:$B$18911,17,Datos!$C$2:$C$18911,"&gt;=30",Datos!$F$2:$F$18911,"STANDBY"),0),"")</f>
        <v/>
      </c>
      <c r="V25" s="7">
        <f>IFERROR(ROUND(AVERAGEIFS(Datos!$G$2:$G$18911,Datos!$E$2:$E$18911,$A25,Datos!$B$2:$B$18911,18,Datos!$C$2:$C$18911,"&lt;30",Datos!$F$2:$F$18911,"STANDBY"),0),"")</f>
        <v/>
      </c>
      <c r="W25" s="7">
        <f>IFERROR(ROUND(AVERAGEIFS(Datos!$G$2:$G$18911,Datos!$E$2:$E$18911,$A25,Datos!$B$2:$B$18911,18,Datos!$C$2:$C$18911,"&gt;=30",Datos!$F$2:$F$18911,"STANDBY"),0),"")</f>
        <v/>
      </c>
      <c r="X25" s="7">
        <f>IFERROR(ROUND(AVERAGEIFS(Datos!$G$2:$G$18911,Datos!$E$2:$E$18911,$A25,Datos!$B$2:$B$18911,19,Datos!$C$2:$C$18911,"&lt;30",Datos!$F$2:$F$18911,"STANDBY"),0),"")</f>
        <v/>
      </c>
      <c r="Y25" s="7">
        <f>IFERROR(ROUND(AVERAGEIFS(Datos!$G$2:$G$18911,Datos!$E$2:$E$18911,$A25,Datos!$B$2:$B$18911,19,Datos!$C$2:$C$18911,"&gt;=30",Datos!$F$2:$F$18911,"STANDBY"),0),"")</f>
        <v/>
      </c>
      <c r="Z25" s="7">
        <f>IFERROR(ROUND(AVERAGEIFS(Datos!$G$2:$G$18911,Datos!$E$2:$E$18911,$A25,Datos!$B$2:$B$18911,20,Datos!$C$2:$C$18911,"&lt;30",Datos!$F$2:$F$18911,"STANDBY"),0),"")</f>
        <v/>
      </c>
      <c r="AA25" s="7">
        <f>IFERROR(ROUND(AVERAGEIFS(Datos!$G$2:$G$18911,Datos!$E$2:$E$18911,$A25,Datos!$B$2:$B$18911,20,Datos!$C$2:$C$18911,"&gt;=30",Datos!$F$2:$F$18911,"STANDBY"),0),"")</f>
        <v/>
      </c>
      <c r="AB25" s="7">
        <f>IFERROR(ROUND(AVERAGEIFS(Datos!$G$2:$G$18911,Datos!$E$2:$E$18911,$A25,Datos!$B$2:$B$18911,21,Datos!$C$2:$C$18911,"&lt;30",Datos!$F$2:$F$18911,"STANDBY"),0),"")</f>
        <v/>
      </c>
      <c r="AC25" s="7">
        <f>IFERROR(ROUND(AVERAGEIFS(Datos!$G$2:$G$18911,Datos!$E$2:$E$18911,$A25,Datos!$B$2:$B$18911,21,Datos!$C$2:$C$18911,"&gt;=30",Datos!$F$2:$F$18911,"STANDBY"),0),"")</f>
        <v/>
      </c>
      <c r="AD25" s="7">
        <f>IFERROR(ROUND(AVERAGEIFS(Datos!$G$2:$G$18911,Datos!$E$2:$E$18911,$A25,Datos!$B$2:$B$18911,22,Datos!$C$2:$C$18911,"&lt;30",Datos!$F$2:$F$18911,"STANDBY"),0),"")</f>
        <v/>
      </c>
      <c r="AE25" s="7">
        <f>IFERROR(ROUND(AVERAGEIFS(Datos!$G$2:$G$18911,Datos!$E$2:$E$18911,$A25,Datos!$B$2:$B$18911,22,Datos!$C$2:$C$18911,"&gt;=30",Datos!$F$2:$F$18911,"STANDBY"),0),"")</f>
        <v/>
      </c>
      <c r="AF25" s="7">
        <f>IFERROR(ROUND(AVERAGEIFS(Datos!$G$2:$G$18911,Datos!$E$2:$E$18911,$A25,Datos!$B$2:$B$18911,23,Datos!$C$2:$C$18911,"&lt;30",Datos!$F$2:$F$18911,"STANDBY"),0),"")</f>
        <v/>
      </c>
      <c r="AG25" s="7">
        <f>IFERROR(ROUND(AVERAGEIFS(Datos!$G$2:$G$18911,Datos!$E$2:$E$18911,$A25,Datos!$B$2:$B$18911,23,Datos!$C$2:$C$18911,"&gt;=30",Datos!$F$2:$F$18911,"STANDBY"),0),"")</f>
        <v/>
      </c>
    </row>
    <row r="26">
      <c r="A26" s="6" t="inlineStr">
        <is>
          <t>Adventure Isle</t>
        </is>
      </c>
      <c r="B26" s="7">
        <f>IFERROR(ROUND(AVERAGEIFS(Datos!$G$2:$G$18911,Datos!$E$2:$E$18911,$A26,Datos!$B$2:$B$18911,8,Datos!$C$2:$C$18911,"&lt;30",Datos!$F$2:$F$18911,"STANDBY"),0),"")</f>
        <v/>
      </c>
      <c r="C26" s="7">
        <f>IFERROR(ROUND(AVERAGEIFS(Datos!$G$2:$G$18911,Datos!$E$2:$E$18911,$A26,Datos!$B$2:$B$18911,8,Datos!$C$2:$C$18911,"&gt;=30",Datos!$F$2:$F$18911,"STANDBY"),0),"")</f>
        <v/>
      </c>
      <c r="D26" s="7">
        <f>IFERROR(ROUND(AVERAGEIFS(Datos!$G$2:$G$18911,Datos!$E$2:$E$18911,$A26,Datos!$B$2:$B$18911,9,Datos!$C$2:$C$18911,"&lt;30",Datos!$F$2:$F$18911,"STANDBY"),0),"")</f>
        <v/>
      </c>
      <c r="E26" s="7">
        <f>IFERROR(ROUND(AVERAGEIFS(Datos!$G$2:$G$18911,Datos!$E$2:$E$18911,$A26,Datos!$B$2:$B$18911,9,Datos!$C$2:$C$18911,"&gt;=30",Datos!$F$2:$F$18911,"STANDBY"),0),"")</f>
        <v/>
      </c>
      <c r="F26" s="7">
        <f>IFERROR(ROUND(AVERAGEIFS(Datos!$G$2:$G$18911,Datos!$E$2:$E$18911,$A26,Datos!$B$2:$B$18911,10,Datos!$C$2:$C$18911,"&lt;30",Datos!$F$2:$F$18911,"STANDBY"),0),"")</f>
        <v/>
      </c>
      <c r="G26" s="7">
        <f>IFERROR(ROUND(AVERAGEIFS(Datos!$G$2:$G$18911,Datos!$E$2:$E$18911,$A26,Datos!$B$2:$B$18911,10,Datos!$C$2:$C$18911,"&gt;=30",Datos!$F$2:$F$18911,"STANDBY"),0),"")</f>
        <v/>
      </c>
      <c r="H26" s="7">
        <f>IFERROR(ROUND(AVERAGEIFS(Datos!$G$2:$G$18911,Datos!$E$2:$E$18911,$A26,Datos!$B$2:$B$18911,11,Datos!$C$2:$C$18911,"&lt;30",Datos!$F$2:$F$18911,"STANDBY"),0),"")</f>
        <v/>
      </c>
      <c r="I26" s="7">
        <f>IFERROR(ROUND(AVERAGEIFS(Datos!$G$2:$G$18911,Datos!$E$2:$E$18911,$A26,Datos!$B$2:$B$18911,11,Datos!$C$2:$C$18911,"&gt;=30",Datos!$F$2:$F$18911,"STANDBY"),0),"")</f>
        <v/>
      </c>
      <c r="J26" s="7">
        <f>IFERROR(ROUND(AVERAGEIFS(Datos!$G$2:$G$18911,Datos!$E$2:$E$18911,$A26,Datos!$B$2:$B$18911,12,Datos!$C$2:$C$18911,"&lt;30",Datos!$F$2:$F$18911,"STANDBY"),0),"")</f>
        <v/>
      </c>
      <c r="K26" s="7">
        <f>IFERROR(ROUND(AVERAGEIFS(Datos!$G$2:$G$18911,Datos!$E$2:$E$18911,$A26,Datos!$B$2:$B$18911,12,Datos!$C$2:$C$18911,"&gt;=30",Datos!$F$2:$F$18911,"STANDBY"),0),"")</f>
        <v/>
      </c>
      <c r="L26" s="7">
        <f>IFERROR(ROUND(AVERAGEIFS(Datos!$G$2:$G$18911,Datos!$E$2:$E$18911,$A26,Datos!$B$2:$B$18911,13,Datos!$C$2:$C$18911,"&lt;30",Datos!$F$2:$F$18911,"STANDBY"),0),"")</f>
        <v/>
      </c>
      <c r="M26" s="7">
        <f>IFERROR(ROUND(AVERAGEIFS(Datos!$G$2:$G$18911,Datos!$E$2:$E$18911,$A26,Datos!$B$2:$B$18911,13,Datos!$C$2:$C$18911,"&gt;=30",Datos!$F$2:$F$18911,"STANDBY"),0),"")</f>
        <v/>
      </c>
      <c r="N26" s="7">
        <f>IFERROR(ROUND(AVERAGEIFS(Datos!$G$2:$G$18911,Datos!$E$2:$E$18911,$A26,Datos!$B$2:$B$18911,14,Datos!$C$2:$C$18911,"&lt;30",Datos!$F$2:$F$18911,"STANDBY"),0),"")</f>
        <v/>
      </c>
      <c r="O26" s="7">
        <f>IFERROR(ROUND(AVERAGEIFS(Datos!$G$2:$G$18911,Datos!$E$2:$E$18911,$A26,Datos!$B$2:$B$18911,14,Datos!$C$2:$C$18911,"&gt;=30",Datos!$F$2:$F$18911,"STANDBY"),0),"")</f>
        <v/>
      </c>
      <c r="P26" s="7">
        <f>IFERROR(ROUND(AVERAGEIFS(Datos!$G$2:$G$18911,Datos!$E$2:$E$18911,$A26,Datos!$B$2:$B$18911,15,Datos!$C$2:$C$18911,"&lt;30",Datos!$F$2:$F$18911,"STANDBY"),0),"")</f>
        <v/>
      </c>
      <c r="Q26" s="7">
        <f>IFERROR(ROUND(AVERAGEIFS(Datos!$G$2:$G$18911,Datos!$E$2:$E$18911,$A26,Datos!$B$2:$B$18911,15,Datos!$C$2:$C$18911,"&gt;=30",Datos!$F$2:$F$18911,"STANDBY"),0),"")</f>
        <v/>
      </c>
      <c r="R26" s="7">
        <f>IFERROR(ROUND(AVERAGEIFS(Datos!$G$2:$G$18911,Datos!$E$2:$E$18911,$A26,Datos!$B$2:$B$18911,16,Datos!$C$2:$C$18911,"&lt;30",Datos!$F$2:$F$18911,"STANDBY"),0),"")</f>
        <v/>
      </c>
      <c r="S26" s="7">
        <f>IFERROR(ROUND(AVERAGEIFS(Datos!$G$2:$G$18911,Datos!$E$2:$E$18911,$A26,Datos!$B$2:$B$18911,16,Datos!$C$2:$C$18911,"&gt;=30",Datos!$F$2:$F$18911,"STANDBY"),0),"")</f>
        <v/>
      </c>
      <c r="T26" s="7">
        <f>IFERROR(ROUND(AVERAGEIFS(Datos!$G$2:$G$18911,Datos!$E$2:$E$18911,$A26,Datos!$B$2:$B$18911,17,Datos!$C$2:$C$18911,"&lt;30",Datos!$F$2:$F$18911,"STANDBY"),0),"")</f>
        <v/>
      </c>
      <c r="U26" s="7">
        <f>IFERROR(ROUND(AVERAGEIFS(Datos!$G$2:$G$18911,Datos!$E$2:$E$18911,$A26,Datos!$B$2:$B$18911,17,Datos!$C$2:$C$18911,"&gt;=30",Datos!$F$2:$F$18911,"STANDBY"),0),"")</f>
        <v/>
      </c>
      <c r="V26" s="7">
        <f>IFERROR(ROUND(AVERAGEIFS(Datos!$G$2:$G$18911,Datos!$E$2:$E$18911,$A26,Datos!$B$2:$B$18911,18,Datos!$C$2:$C$18911,"&lt;30",Datos!$F$2:$F$18911,"STANDBY"),0),"")</f>
        <v/>
      </c>
      <c r="W26" s="7">
        <f>IFERROR(ROUND(AVERAGEIFS(Datos!$G$2:$G$18911,Datos!$E$2:$E$18911,$A26,Datos!$B$2:$B$18911,18,Datos!$C$2:$C$18911,"&gt;=30",Datos!$F$2:$F$18911,"STANDBY"),0),"")</f>
        <v/>
      </c>
      <c r="X26" s="7">
        <f>IFERROR(ROUND(AVERAGEIFS(Datos!$G$2:$G$18911,Datos!$E$2:$E$18911,$A26,Datos!$B$2:$B$18911,19,Datos!$C$2:$C$18911,"&lt;30",Datos!$F$2:$F$18911,"STANDBY"),0),"")</f>
        <v/>
      </c>
      <c r="Y26" s="7">
        <f>IFERROR(ROUND(AVERAGEIFS(Datos!$G$2:$G$18911,Datos!$E$2:$E$18911,$A26,Datos!$B$2:$B$18911,19,Datos!$C$2:$C$18911,"&gt;=30",Datos!$F$2:$F$18911,"STANDBY"),0),"")</f>
        <v/>
      </c>
      <c r="Z26" s="7">
        <f>IFERROR(ROUND(AVERAGEIFS(Datos!$G$2:$G$18911,Datos!$E$2:$E$18911,$A26,Datos!$B$2:$B$18911,20,Datos!$C$2:$C$18911,"&lt;30",Datos!$F$2:$F$18911,"STANDBY"),0),"")</f>
        <v/>
      </c>
      <c r="AA26" s="7">
        <f>IFERROR(ROUND(AVERAGEIFS(Datos!$G$2:$G$18911,Datos!$E$2:$E$18911,$A26,Datos!$B$2:$B$18911,20,Datos!$C$2:$C$18911,"&gt;=30",Datos!$F$2:$F$18911,"STANDBY"),0),"")</f>
        <v/>
      </c>
      <c r="AB26" s="7">
        <f>IFERROR(ROUND(AVERAGEIFS(Datos!$G$2:$G$18911,Datos!$E$2:$E$18911,$A26,Datos!$B$2:$B$18911,21,Datos!$C$2:$C$18911,"&lt;30",Datos!$F$2:$F$18911,"STANDBY"),0),"")</f>
        <v/>
      </c>
      <c r="AC26" s="7">
        <f>IFERROR(ROUND(AVERAGEIFS(Datos!$G$2:$G$18911,Datos!$E$2:$E$18911,$A26,Datos!$B$2:$B$18911,21,Datos!$C$2:$C$18911,"&gt;=30",Datos!$F$2:$F$18911,"STANDBY"),0),"")</f>
        <v/>
      </c>
      <c r="AD26" s="7">
        <f>IFERROR(ROUND(AVERAGEIFS(Datos!$G$2:$G$18911,Datos!$E$2:$E$18911,$A26,Datos!$B$2:$B$18911,22,Datos!$C$2:$C$18911,"&lt;30",Datos!$F$2:$F$18911,"STANDBY"),0),"")</f>
        <v/>
      </c>
      <c r="AE26" s="7">
        <f>IFERROR(ROUND(AVERAGEIFS(Datos!$G$2:$G$18911,Datos!$E$2:$E$18911,$A26,Datos!$B$2:$B$18911,22,Datos!$C$2:$C$18911,"&gt;=30",Datos!$F$2:$F$18911,"STANDBY"),0),"")</f>
        <v/>
      </c>
      <c r="AF26" s="7">
        <f>IFERROR(ROUND(AVERAGEIFS(Datos!$G$2:$G$18911,Datos!$E$2:$E$18911,$A26,Datos!$B$2:$B$18911,23,Datos!$C$2:$C$18911,"&lt;30",Datos!$F$2:$F$18911,"STANDBY"),0),"")</f>
        <v/>
      </c>
      <c r="AG26" s="7">
        <f>IFERROR(ROUND(AVERAGEIFS(Datos!$G$2:$G$18911,Datos!$E$2:$E$18911,$A26,Datos!$B$2:$B$18911,23,Datos!$C$2:$C$18911,"&gt;=30",Datos!$F$2:$F$18911,"STANDBY"),0),"")</f>
        <v/>
      </c>
    </row>
    <row r="27">
      <c r="A27" s="6" t="inlineStr">
        <is>
          <t>Alice's Curious Labyrinth</t>
        </is>
      </c>
      <c r="B27" s="7">
        <f>IFERROR(ROUND(AVERAGEIFS(Datos!$G$2:$G$18911,Datos!$E$2:$E$18911,$A27,Datos!$B$2:$B$18911,8,Datos!$C$2:$C$18911,"&lt;30",Datos!$F$2:$F$18911,"STANDBY"),0),"")</f>
        <v/>
      </c>
      <c r="C27" s="7">
        <f>IFERROR(ROUND(AVERAGEIFS(Datos!$G$2:$G$18911,Datos!$E$2:$E$18911,$A27,Datos!$B$2:$B$18911,8,Datos!$C$2:$C$18911,"&gt;=30",Datos!$F$2:$F$18911,"STANDBY"),0),"")</f>
        <v/>
      </c>
      <c r="D27" s="7">
        <f>IFERROR(ROUND(AVERAGEIFS(Datos!$G$2:$G$18911,Datos!$E$2:$E$18911,$A27,Datos!$B$2:$B$18911,9,Datos!$C$2:$C$18911,"&lt;30",Datos!$F$2:$F$18911,"STANDBY"),0),"")</f>
        <v/>
      </c>
      <c r="E27" s="7">
        <f>IFERROR(ROUND(AVERAGEIFS(Datos!$G$2:$G$18911,Datos!$E$2:$E$18911,$A27,Datos!$B$2:$B$18911,9,Datos!$C$2:$C$18911,"&gt;=30",Datos!$F$2:$F$18911,"STANDBY"),0),"")</f>
        <v/>
      </c>
      <c r="F27" s="7">
        <f>IFERROR(ROUND(AVERAGEIFS(Datos!$G$2:$G$18911,Datos!$E$2:$E$18911,$A27,Datos!$B$2:$B$18911,10,Datos!$C$2:$C$18911,"&lt;30",Datos!$F$2:$F$18911,"STANDBY"),0),"")</f>
        <v/>
      </c>
      <c r="G27" s="7">
        <f>IFERROR(ROUND(AVERAGEIFS(Datos!$G$2:$G$18911,Datos!$E$2:$E$18911,$A27,Datos!$B$2:$B$18911,10,Datos!$C$2:$C$18911,"&gt;=30",Datos!$F$2:$F$18911,"STANDBY"),0),"")</f>
        <v/>
      </c>
      <c r="H27" s="7">
        <f>IFERROR(ROUND(AVERAGEIFS(Datos!$G$2:$G$18911,Datos!$E$2:$E$18911,$A27,Datos!$B$2:$B$18911,11,Datos!$C$2:$C$18911,"&lt;30",Datos!$F$2:$F$18911,"STANDBY"),0),"")</f>
        <v/>
      </c>
      <c r="I27" s="7">
        <f>IFERROR(ROUND(AVERAGEIFS(Datos!$G$2:$G$18911,Datos!$E$2:$E$18911,$A27,Datos!$B$2:$B$18911,11,Datos!$C$2:$C$18911,"&gt;=30",Datos!$F$2:$F$18911,"STANDBY"),0),"")</f>
        <v/>
      </c>
      <c r="J27" s="7">
        <f>IFERROR(ROUND(AVERAGEIFS(Datos!$G$2:$G$18911,Datos!$E$2:$E$18911,$A27,Datos!$B$2:$B$18911,12,Datos!$C$2:$C$18911,"&lt;30",Datos!$F$2:$F$18911,"STANDBY"),0),"")</f>
        <v/>
      </c>
      <c r="K27" s="7">
        <f>IFERROR(ROUND(AVERAGEIFS(Datos!$G$2:$G$18911,Datos!$E$2:$E$18911,$A27,Datos!$B$2:$B$18911,12,Datos!$C$2:$C$18911,"&gt;=30",Datos!$F$2:$F$18911,"STANDBY"),0),"")</f>
        <v/>
      </c>
      <c r="L27" s="7">
        <f>IFERROR(ROUND(AVERAGEIFS(Datos!$G$2:$G$18911,Datos!$E$2:$E$18911,$A27,Datos!$B$2:$B$18911,13,Datos!$C$2:$C$18911,"&lt;30",Datos!$F$2:$F$18911,"STANDBY"),0),"")</f>
        <v/>
      </c>
      <c r="M27" s="7">
        <f>IFERROR(ROUND(AVERAGEIFS(Datos!$G$2:$G$18911,Datos!$E$2:$E$18911,$A27,Datos!$B$2:$B$18911,13,Datos!$C$2:$C$18911,"&gt;=30",Datos!$F$2:$F$18911,"STANDBY"),0),"")</f>
        <v/>
      </c>
      <c r="N27" s="7">
        <f>IFERROR(ROUND(AVERAGEIFS(Datos!$G$2:$G$18911,Datos!$E$2:$E$18911,$A27,Datos!$B$2:$B$18911,14,Datos!$C$2:$C$18911,"&lt;30",Datos!$F$2:$F$18911,"STANDBY"),0),"")</f>
        <v/>
      </c>
      <c r="O27" s="7">
        <f>IFERROR(ROUND(AVERAGEIFS(Datos!$G$2:$G$18911,Datos!$E$2:$E$18911,$A27,Datos!$B$2:$B$18911,14,Datos!$C$2:$C$18911,"&gt;=30",Datos!$F$2:$F$18911,"STANDBY"),0),"")</f>
        <v/>
      </c>
      <c r="P27" s="7">
        <f>IFERROR(ROUND(AVERAGEIFS(Datos!$G$2:$G$18911,Datos!$E$2:$E$18911,$A27,Datos!$B$2:$B$18911,15,Datos!$C$2:$C$18911,"&lt;30",Datos!$F$2:$F$18911,"STANDBY"),0),"")</f>
        <v/>
      </c>
      <c r="Q27" s="7">
        <f>IFERROR(ROUND(AVERAGEIFS(Datos!$G$2:$G$18911,Datos!$E$2:$E$18911,$A27,Datos!$B$2:$B$18911,15,Datos!$C$2:$C$18911,"&gt;=30",Datos!$F$2:$F$18911,"STANDBY"),0),"")</f>
        <v/>
      </c>
      <c r="R27" s="7">
        <f>IFERROR(ROUND(AVERAGEIFS(Datos!$G$2:$G$18911,Datos!$E$2:$E$18911,$A27,Datos!$B$2:$B$18911,16,Datos!$C$2:$C$18911,"&lt;30",Datos!$F$2:$F$18911,"STANDBY"),0),"")</f>
        <v/>
      </c>
      <c r="S27" s="7">
        <f>IFERROR(ROUND(AVERAGEIFS(Datos!$G$2:$G$18911,Datos!$E$2:$E$18911,$A27,Datos!$B$2:$B$18911,16,Datos!$C$2:$C$18911,"&gt;=30",Datos!$F$2:$F$18911,"STANDBY"),0),"")</f>
        <v/>
      </c>
      <c r="T27" s="7">
        <f>IFERROR(ROUND(AVERAGEIFS(Datos!$G$2:$G$18911,Datos!$E$2:$E$18911,$A27,Datos!$B$2:$B$18911,17,Datos!$C$2:$C$18911,"&lt;30",Datos!$F$2:$F$18911,"STANDBY"),0),"")</f>
        <v/>
      </c>
      <c r="U27" s="7">
        <f>IFERROR(ROUND(AVERAGEIFS(Datos!$G$2:$G$18911,Datos!$E$2:$E$18911,$A27,Datos!$B$2:$B$18911,17,Datos!$C$2:$C$18911,"&gt;=30",Datos!$F$2:$F$18911,"STANDBY"),0),"")</f>
        <v/>
      </c>
      <c r="V27" s="7">
        <f>IFERROR(ROUND(AVERAGEIFS(Datos!$G$2:$G$18911,Datos!$E$2:$E$18911,$A27,Datos!$B$2:$B$18911,18,Datos!$C$2:$C$18911,"&lt;30",Datos!$F$2:$F$18911,"STANDBY"),0),"")</f>
        <v/>
      </c>
      <c r="W27" s="7">
        <f>IFERROR(ROUND(AVERAGEIFS(Datos!$G$2:$G$18911,Datos!$E$2:$E$18911,$A27,Datos!$B$2:$B$18911,18,Datos!$C$2:$C$18911,"&gt;=30",Datos!$F$2:$F$18911,"STANDBY"),0),"")</f>
        <v/>
      </c>
      <c r="X27" s="7">
        <f>IFERROR(ROUND(AVERAGEIFS(Datos!$G$2:$G$18911,Datos!$E$2:$E$18911,$A27,Datos!$B$2:$B$18911,19,Datos!$C$2:$C$18911,"&lt;30",Datos!$F$2:$F$18911,"STANDBY"),0),"")</f>
        <v/>
      </c>
      <c r="Y27" s="7">
        <f>IFERROR(ROUND(AVERAGEIFS(Datos!$G$2:$G$18911,Datos!$E$2:$E$18911,$A27,Datos!$B$2:$B$18911,19,Datos!$C$2:$C$18911,"&gt;=30",Datos!$F$2:$F$18911,"STANDBY"),0),"")</f>
        <v/>
      </c>
      <c r="Z27" s="7">
        <f>IFERROR(ROUND(AVERAGEIFS(Datos!$G$2:$G$18911,Datos!$E$2:$E$18911,$A27,Datos!$B$2:$B$18911,20,Datos!$C$2:$C$18911,"&lt;30",Datos!$F$2:$F$18911,"STANDBY"),0),"")</f>
        <v/>
      </c>
      <c r="AA27" s="7">
        <f>IFERROR(ROUND(AVERAGEIFS(Datos!$G$2:$G$18911,Datos!$E$2:$E$18911,$A27,Datos!$B$2:$B$18911,20,Datos!$C$2:$C$18911,"&gt;=30",Datos!$F$2:$F$18911,"STANDBY"),0),"")</f>
        <v/>
      </c>
      <c r="AB27" s="7">
        <f>IFERROR(ROUND(AVERAGEIFS(Datos!$G$2:$G$18911,Datos!$E$2:$E$18911,$A27,Datos!$B$2:$B$18911,21,Datos!$C$2:$C$18911,"&lt;30",Datos!$F$2:$F$18911,"STANDBY"),0),"")</f>
        <v/>
      </c>
      <c r="AC27" s="7">
        <f>IFERROR(ROUND(AVERAGEIFS(Datos!$G$2:$G$18911,Datos!$E$2:$E$18911,$A27,Datos!$B$2:$B$18911,21,Datos!$C$2:$C$18911,"&gt;=30",Datos!$F$2:$F$18911,"STANDBY"),0),"")</f>
        <v/>
      </c>
      <c r="AD27" s="7">
        <f>IFERROR(ROUND(AVERAGEIFS(Datos!$G$2:$G$18911,Datos!$E$2:$E$18911,$A27,Datos!$B$2:$B$18911,22,Datos!$C$2:$C$18911,"&lt;30",Datos!$F$2:$F$18911,"STANDBY"),0),"")</f>
        <v/>
      </c>
      <c r="AE27" s="7">
        <f>IFERROR(ROUND(AVERAGEIFS(Datos!$G$2:$G$18911,Datos!$E$2:$E$18911,$A27,Datos!$B$2:$B$18911,22,Datos!$C$2:$C$18911,"&gt;=30",Datos!$F$2:$F$18911,"STANDBY"),0),"")</f>
        <v/>
      </c>
      <c r="AF27" s="7">
        <f>IFERROR(ROUND(AVERAGEIFS(Datos!$G$2:$G$18911,Datos!$E$2:$E$18911,$A27,Datos!$B$2:$B$18911,23,Datos!$C$2:$C$18911,"&lt;30",Datos!$F$2:$F$18911,"STANDBY"),0),"")</f>
        <v/>
      </c>
      <c r="AG27" s="7">
        <f>IFERROR(ROUND(AVERAGEIFS(Datos!$G$2:$G$18911,Datos!$E$2:$E$18911,$A27,Datos!$B$2:$B$18911,23,Datos!$C$2:$C$18911,"&gt;=30",Datos!$F$2:$F$18911,"STANDBY"),0),"")</f>
        <v/>
      </c>
    </row>
    <row r="28">
      <c r="A28" s="6" t="inlineStr">
        <is>
          <t>Autopia, presented by Avis</t>
        </is>
      </c>
      <c r="B28" s="7">
        <f>IFERROR(ROUND(AVERAGEIFS(Datos!$G$2:$G$18911,Datos!$E$2:$E$18911,$A28,Datos!$B$2:$B$18911,8,Datos!$C$2:$C$18911,"&lt;30",Datos!$F$2:$F$18911,"STANDBY"),0),"")</f>
        <v/>
      </c>
      <c r="C28" s="7">
        <f>IFERROR(ROUND(AVERAGEIFS(Datos!$G$2:$G$18911,Datos!$E$2:$E$18911,$A28,Datos!$B$2:$B$18911,8,Datos!$C$2:$C$18911,"&gt;=30",Datos!$F$2:$F$18911,"STANDBY"),0),"")</f>
        <v/>
      </c>
      <c r="D28" s="7">
        <f>IFERROR(ROUND(AVERAGEIFS(Datos!$G$2:$G$18911,Datos!$E$2:$E$18911,$A28,Datos!$B$2:$B$18911,9,Datos!$C$2:$C$18911,"&lt;30",Datos!$F$2:$F$18911,"STANDBY"),0),"")</f>
        <v/>
      </c>
      <c r="E28" s="7">
        <f>IFERROR(ROUND(AVERAGEIFS(Datos!$G$2:$G$18911,Datos!$E$2:$E$18911,$A28,Datos!$B$2:$B$18911,9,Datos!$C$2:$C$18911,"&gt;=30",Datos!$F$2:$F$18911,"STANDBY"),0),"")</f>
        <v/>
      </c>
      <c r="F28" s="7">
        <f>IFERROR(ROUND(AVERAGEIFS(Datos!$G$2:$G$18911,Datos!$E$2:$E$18911,$A28,Datos!$B$2:$B$18911,10,Datos!$C$2:$C$18911,"&lt;30",Datos!$F$2:$F$18911,"STANDBY"),0),"")</f>
        <v/>
      </c>
      <c r="G28" s="7">
        <f>IFERROR(ROUND(AVERAGEIFS(Datos!$G$2:$G$18911,Datos!$E$2:$E$18911,$A28,Datos!$B$2:$B$18911,10,Datos!$C$2:$C$18911,"&gt;=30",Datos!$F$2:$F$18911,"STANDBY"),0),"")</f>
        <v/>
      </c>
      <c r="H28" s="7">
        <f>IFERROR(ROUND(AVERAGEIFS(Datos!$G$2:$G$18911,Datos!$E$2:$E$18911,$A28,Datos!$B$2:$B$18911,11,Datos!$C$2:$C$18911,"&lt;30",Datos!$F$2:$F$18911,"STANDBY"),0),"")</f>
        <v/>
      </c>
      <c r="I28" s="7">
        <f>IFERROR(ROUND(AVERAGEIFS(Datos!$G$2:$G$18911,Datos!$E$2:$E$18911,$A28,Datos!$B$2:$B$18911,11,Datos!$C$2:$C$18911,"&gt;=30",Datos!$F$2:$F$18911,"STANDBY"),0),"")</f>
        <v/>
      </c>
      <c r="J28" s="7">
        <f>IFERROR(ROUND(AVERAGEIFS(Datos!$G$2:$G$18911,Datos!$E$2:$E$18911,$A28,Datos!$B$2:$B$18911,12,Datos!$C$2:$C$18911,"&lt;30",Datos!$F$2:$F$18911,"STANDBY"),0),"")</f>
        <v/>
      </c>
      <c r="K28" s="7">
        <f>IFERROR(ROUND(AVERAGEIFS(Datos!$G$2:$G$18911,Datos!$E$2:$E$18911,$A28,Datos!$B$2:$B$18911,12,Datos!$C$2:$C$18911,"&gt;=30",Datos!$F$2:$F$18911,"STANDBY"),0),"")</f>
        <v/>
      </c>
      <c r="L28" s="7">
        <f>IFERROR(ROUND(AVERAGEIFS(Datos!$G$2:$G$18911,Datos!$E$2:$E$18911,$A28,Datos!$B$2:$B$18911,13,Datos!$C$2:$C$18911,"&lt;30",Datos!$F$2:$F$18911,"STANDBY"),0),"")</f>
        <v/>
      </c>
      <c r="M28" s="7">
        <f>IFERROR(ROUND(AVERAGEIFS(Datos!$G$2:$G$18911,Datos!$E$2:$E$18911,$A28,Datos!$B$2:$B$18911,13,Datos!$C$2:$C$18911,"&gt;=30",Datos!$F$2:$F$18911,"STANDBY"),0),"")</f>
        <v/>
      </c>
      <c r="N28" s="7">
        <f>IFERROR(ROUND(AVERAGEIFS(Datos!$G$2:$G$18911,Datos!$E$2:$E$18911,$A28,Datos!$B$2:$B$18911,14,Datos!$C$2:$C$18911,"&lt;30",Datos!$F$2:$F$18911,"STANDBY"),0),"")</f>
        <v/>
      </c>
      <c r="O28" s="7">
        <f>IFERROR(ROUND(AVERAGEIFS(Datos!$G$2:$G$18911,Datos!$E$2:$E$18911,$A28,Datos!$B$2:$B$18911,14,Datos!$C$2:$C$18911,"&gt;=30",Datos!$F$2:$F$18911,"STANDBY"),0),"")</f>
        <v/>
      </c>
      <c r="P28" s="7">
        <f>IFERROR(ROUND(AVERAGEIFS(Datos!$G$2:$G$18911,Datos!$E$2:$E$18911,$A28,Datos!$B$2:$B$18911,15,Datos!$C$2:$C$18911,"&lt;30",Datos!$F$2:$F$18911,"STANDBY"),0),"")</f>
        <v/>
      </c>
      <c r="Q28" s="7">
        <f>IFERROR(ROUND(AVERAGEIFS(Datos!$G$2:$G$18911,Datos!$E$2:$E$18911,$A28,Datos!$B$2:$B$18911,15,Datos!$C$2:$C$18911,"&gt;=30",Datos!$F$2:$F$18911,"STANDBY"),0),"")</f>
        <v/>
      </c>
      <c r="R28" s="7">
        <f>IFERROR(ROUND(AVERAGEIFS(Datos!$G$2:$G$18911,Datos!$E$2:$E$18911,$A28,Datos!$B$2:$B$18911,16,Datos!$C$2:$C$18911,"&lt;30",Datos!$F$2:$F$18911,"STANDBY"),0),"")</f>
        <v/>
      </c>
      <c r="S28" s="7">
        <f>IFERROR(ROUND(AVERAGEIFS(Datos!$G$2:$G$18911,Datos!$E$2:$E$18911,$A28,Datos!$B$2:$B$18911,16,Datos!$C$2:$C$18911,"&gt;=30",Datos!$F$2:$F$18911,"STANDBY"),0),"")</f>
        <v/>
      </c>
      <c r="T28" s="7">
        <f>IFERROR(ROUND(AVERAGEIFS(Datos!$G$2:$G$18911,Datos!$E$2:$E$18911,$A28,Datos!$B$2:$B$18911,17,Datos!$C$2:$C$18911,"&lt;30",Datos!$F$2:$F$18911,"STANDBY"),0),"")</f>
        <v/>
      </c>
      <c r="U28" s="7">
        <f>IFERROR(ROUND(AVERAGEIFS(Datos!$G$2:$G$18911,Datos!$E$2:$E$18911,$A28,Datos!$B$2:$B$18911,17,Datos!$C$2:$C$18911,"&gt;=30",Datos!$F$2:$F$18911,"STANDBY"),0),"")</f>
        <v/>
      </c>
      <c r="V28" s="7">
        <f>IFERROR(ROUND(AVERAGEIFS(Datos!$G$2:$G$18911,Datos!$E$2:$E$18911,$A28,Datos!$B$2:$B$18911,18,Datos!$C$2:$C$18911,"&lt;30",Datos!$F$2:$F$18911,"STANDBY"),0),"")</f>
        <v/>
      </c>
      <c r="W28" s="7">
        <f>IFERROR(ROUND(AVERAGEIFS(Datos!$G$2:$G$18911,Datos!$E$2:$E$18911,$A28,Datos!$B$2:$B$18911,18,Datos!$C$2:$C$18911,"&gt;=30",Datos!$F$2:$F$18911,"STANDBY"),0),"")</f>
        <v/>
      </c>
      <c r="X28" s="7">
        <f>IFERROR(ROUND(AVERAGEIFS(Datos!$G$2:$G$18911,Datos!$E$2:$E$18911,$A28,Datos!$B$2:$B$18911,19,Datos!$C$2:$C$18911,"&lt;30",Datos!$F$2:$F$18911,"STANDBY"),0),"")</f>
        <v/>
      </c>
      <c r="Y28" s="7">
        <f>IFERROR(ROUND(AVERAGEIFS(Datos!$G$2:$G$18911,Datos!$E$2:$E$18911,$A28,Datos!$B$2:$B$18911,19,Datos!$C$2:$C$18911,"&gt;=30",Datos!$F$2:$F$18911,"STANDBY"),0),"")</f>
        <v/>
      </c>
      <c r="Z28" s="7">
        <f>IFERROR(ROUND(AVERAGEIFS(Datos!$G$2:$G$18911,Datos!$E$2:$E$18911,$A28,Datos!$B$2:$B$18911,20,Datos!$C$2:$C$18911,"&lt;30",Datos!$F$2:$F$18911,"STANDBY"),0),"")</f>
        <v/>
      </c>
      <c r="AA28" s="7">
        <f>IFERROR(ROUND(AVERAGEIFS(Datos!$G$2:$G$18911,Datos!$E$2:$E$18911,$A28,Datos!$B$2:$B$18911,20,Datos!$C$2:$C$18911,"&gt;=30",Datos!$F$2:$F$18911,"STANDBY"),0),"")</f>
        <v/>
      </c>
      <c r="AB28" s="7">
        <f>IFERROR(ROUND(AVERAGEIFS(Datos!$G$2:$G$18911,Datos!$E$2:$E$18911,$A28,Datos!$B$2:$B$18911,21,Datos!$C$2:$C$18911,"&lt;30",Datos!$F$2:$F$18911,"STANDBY"),0),"")</f>
        <v/>
      </c>
      <c r="AC28" s="7">
        <f>IFERROR(ROUND(AVERAGEIFS(Datos!$G$2:$G$18911,Datos!$E$2:$E$18911,$A28,Datos!$B$2:$B$18911,21,Datos!$C$2:$C$18911,"&gt;=30",Datos!$F$2:$F$18911,"STANDBY"),0),"")</f>
        <v/>
      </c>
      <c r="AD28" s="7">
        <f>IFERROR(ROUND(AVERAGEIFS(Datos!$G$2:$G$18911,Datos!$E$2:$E$18911,$A28,Datos!$B$2:$B$18911,22,Datos!$C$2:$C$18911,"&lt;30",Datos!$F$2:$F$18911,"STANDBY"),0),"")</f>
        <v/>
      </c>
      <c r="AE28" s="7">
        <f>IFERROR(ROUND(AVERAGEIFS(Datos!$G$2:$G$18911,Datos!$E$2:$E$18911,$A28,Datos!$B$2:$B$18911,22,Datos!$C$2:$C$18911,"&gt;=30",Datos!$F$2:$F$18911,"STANDBY"),0),"")</f>
        <v/>
      </c>
      <c r="AF28" s="7">
        <f>IFERROR(ROUND(AVERAGEIFS(Datos!$G$2:$G$18911,Datos!$E$2:$E$18911,$A28,Datos!$B$2:$B$18911,23,Datos!$C$2:$C$18911,"&lt;30",Datos!$F$2:$F$18911,"STANDBY"),0),"")</f>
        <v/>
      </c>
      <c r="AG28" s="7">
        <f>IFERROR(ROUND(AVERAGEIFS(Datos!$G$2:$G$18911,Datos!$E$2:$E$18911,$A28,Datos!$B$2:$B$18911,23,Datos!$C$2:$C$18911,"&gt;=30",Datos!$F$2:$F$18911,"STANDBY"),0),"")</f>
        <v/>
      </c>
    </row>
    <row r="29">
      <c r="A29" s="6" t="inlineStr">
        <is>
          <t>Big Thunder Mountain</t>
        </is>
      </c>
      <c r="B29" s="7">
        <f>IFERROR(ROUND(AVERAGEIFS(Datos!$G$2:$G$18911,Datos!$E$2:$E$18911,$A29,Datos!$B$2:$B$18911,8,Datos!$C$2:$C$18911,"&lt;30",Datos!$F$2:$F$18911,"STANDBY"),0),"")</f>
        <v/>
      </c>
      <c r="C29" s="7">
        <f>IFERROR(ROUND(AVERAGEIFS(Datos!$G$2:$G$18911,Datos!$E$2:$E$18911,$A29,Datos!$B$2:$B$18911,8,Datos!$C$2:$C$18911,"&gt;=30",Datos!$F$2:$F$18911,"STANDBY"),0),"")</f>
        <v/>
      </c>
      <c r="D29" s="7">
        <f>IFERROR(ROUND(AVERAGEIFS(Datos!$G$2:$G$18911,Datos!$E$2:$E$18911,$A29,Datos!$B$2:$B$18911,9,Datos!$C$2:$C$18911,"&lt;30",Datos!$F$2:$F$18911,"STANDBY"),0),"")</f>
        <v/>
      </c>
      <c r="E29" s="7">
        <f>IFERROR(ROUND(AVERAGEIFS(Datos!$G$2:$G$18911,Datos!$E$2:$E$18911,$A29,Datos!$B$2:$B$18911,9,Datos!$C$2:$C$18911,"&gt;=30",Datos!$F$2:$F$18911,"STANDBY"),0),"")</f>
        <v/>
      </c>
      <c r="F29" s="7">
        <f>IFERROR(ROUND(AVERAGEIFS(Datos!$G$2:$G$18911,Datos!$E$2:$E$18911,$A29,Datos!$B$2:$B$18911,10,Datos!$C$2:$C$18911,"&lt;30",Datos!$F$2:$F$18911,"STANDBY"),0),"")</f>
        <v/>
      </c>
      <c r="G29" s="7">
        <f>IFERROR(ROUND(AVERAGEIFS(Datos!$G$2:$G$18911,Datos!$E$2:$E$18911,$A29,Datos!$B$2:$B$18911,10,Datos!$C$2:$C$18911,"&gt;=30",Datos!$F$2:$F$18911,"STANDBY"),0),"")</f>
        <v/>
      </c>
      <c r="H29" s="7">
        <f>IFERROR(ROUND(AVERAGEIFS(Datos!$G$2:$G$18911,Datos!$E$2:$E$18911,$A29,Datos!$B$2:$B$18911,11,Datos!$C$2:$C$18911,"&lt;30",Datos!$F$2:$F$18911,"STANDBY"),0),"")</f>
        <v/>
      </c>
      <c r="I29" s="7">
        <f>IFERROR(ROUND(AVERAGEIFS(Datos!$G$2:$G$18911,Datos!$E$2:$E$18911,$A29,Datos!$B$2:$B$18911,11,Datos!$C$2:$C$18911,"&gt;=30",Datos!$F$2:$F$18911,"STANDBY"),0),"")</f>
        <v/>
      </c>
      <c r="J29" s="7">
        <f>IFERROR(ROUND(AVERAGEIFS(Datos!$G$2:$G$18911,Datos!$E$2:$E$18911,$A29,Datos!$B$2:$B$18911,12,Datos!$C$2:$C$18911,"&lt;30",Datos!$F$2:$F$18911,"STANDBY"),0),"")</f>
        <v/>
      </c>
      <c r="K29" s="7">
        <f>IFERROR(ROUND(AVERAGEIFS(Datos!$G$2:$G$18911,Datos!$E$2:$E$18911,$A29,Datos!$B$2:$B$18911,12,Datos!$C$2:$C$18911,"&gt;=30",Datos!$F$2:$F$18911,"STANDBY"),0),"")</f>
        <v/>
      </c>
      <c r="L29" s="7">
        <f>IFERROR(ROUND(AVERAGEIFS(Datos!$G$2:$G$18911,Datos!$E$2:$E$18911,$A29,Datos!$B$2:$B$18911,13,Datos!$C$2:$C$18911,"&lt;30",Datos!$F$2:$F$18911,"STANDBY"),0),"")</f>
        <v/>
      </c>
      <c r="M29" s="7">
        <f>IFERROR(ROUND(AVERAGEIFS(Datos!$G$2:$G$18911,Datos!$E$2:$E$18911,$A29,Datos!$B$2:$B$18911,13,Datos!$C$2:$C$18911,"&gt;=30",Datos!$F$2:$F$18911,"STANDBY"),0),"")</f>
        <v/>
      </c>
      <c r="N29" s="7">
        <f>IFERROR(ROUND(AVERAGEIFS(Datos!$G$2:$G$18911,Datos!$E$2:$E$18911,$A29,Datos!$B$2:$B$18911,14,Datos!$C$2:$C$18911,"&lt;30",Datos!$F$2:$F$18911,"STANDBY"),0),"")</f>
        <v/>
      </c>
      <c r="O29" s="7">
        <f>IFERROR(ROUND(AVERAGEIFS(Datos!$G$2:$G$18911,Datos!$E$2:$E$18911,$A29,Datos!$B$2:$B$18911,14,Datos!$C$2:$C$18911,"&gt;=30",Datos!$F$2:$F$18911,"STANDBY"),0),"")</f>
        <v/>
      </c>
      <c r="P29" s="7">
        <f>IFERROR(ROUND(AVERAGEIFS(Datos!$G$2:$G$18911,Datos!$E$2:$E$18911,$A29,Datos!$B$2:$B$18911,15,Datos!$C$2:$C$18911,"&lt;30",Datos!$F$2:$F$18911,"STANDBY"),0),"")</f>
        <v/>
      </c>
      <c r="Q29" s="7">
        <f>IFERROR(ROUND(AVERAGEIFS(Datos!$G$2:$G$18911,Datos!$E$2:$E$18911,$A29,Datos!$B$2:$B$18911,15,Datos!$C$2:$C$18911,"&gt;=30",Datos!$F$2:$F$18911,"STANDBY"),0),"")</f>
        <v/>
      </c>
      <c r="R29" s="7">
        <f>IFERROR(ROUND(AVERAGEIFS(Datos!$G$2:$G$18911,Datos!$E$2:$E$18911,$A29,Datos!$B$2:$B$18911,16,Datos!$C$2:$C$18911,"&lt;30",Datos!$F$2:$F$18911,"STANDBY"),0),"")</f>
        <v/>
      </c>
      <c r="S29" s="7">
        <f>IFERROR(ROUND(AVERAGEIFS(Datos!$G$2:$G$18911,Datos!$E$2:$E$18911,$A29,Datos!$B$2:$B$18911,16,Datos!$C$2:$C$18911,"&gt;=30",Datos!$F$2:$F$18911,"STANDBY"),0),"")</f>
        <v/>
      </c>
      <c r="T29" s="7">
        <f>IFERROR(ROUND(AVERAGEIFS(Datos!$G$2:$G$18911,Datos!$E$2:$E$18911,$A29,Datos!$B$2:$B$18911,17,Datos!$C$2:$C$18911,"&lt;30",Datos!$F$2:$F$18911,"STANDBY"),0),"")</f>
        <v/>
      </c>
      <c r="U29" s="7">
        <f>IFERROR(ROUND(AVERAGEIFS(Datos!$G$2:$G$18911,Datos!$E$2:$E$18911,$A29,Datos!$B$2:$B$18911,17,Datos!$C$2:$C$18911,"&gt;=30",Datos!$F$2:$F$18911,"STANDBY"),0),"")</f>
        <v/>
      </c>
      <c r="V29" s="7">
        <f>IFERROR(ROUND(AVERAGEIFS(Datos!$G$2:$G$18911,Datos!$E$2:$E$18911,$A29,Datos!$B$2:$B$18911,18,Datos!$C$2:$C$18911,"&lt;30",Datos!$F$2:$F$18911,"STANDBY"),0),"")</f>
        <v/>
      </c>
      <c r="W29" s="7">
        <f>IFERROR(ROUND(AVERAGEIFS(Datos!$G$2:$G$18911,Datos!$E$2:$E$18911,$A29,Datos!$B$2:$B$18911,18,Datos!$C$2:$C$18911,"&gt;=30",Datos!$F$2:$F$18911,"STANDBY"),0),"")</f>
        <v/>
      </c>
      <c r="X29" s="7">
        <f>IFERROR(ROUND(AVERAGEIFS(Datos!$G$2:$G$18911,Datos!$E$2:$E$18911,$A29,Datos!$B$2:$B$18911,19,Datos!$C$2:$C$18911,"&lt;30",Datos!$F$2:$F$18911,"STANDBY"),0),"")</f>
        <v/>
      </c>
      <c r="Y29" s="7">
        <f>IFERROR(ROUND(AVERAGEIFS(Datos!$G$2:$G$18911,Datos!$E$2:$E$18911,$A29,Datos!$B$2:$B$18911,19,Datos!$C$2:$C$18911,"&gt;=30",Datos!$F$2:$F$18911,"STANDBY"),0),"")</f>
        <v/>
      </c>
      <c r="Z29" s="7">
        <f>IFERROR(ROUND(AVERAGEIFS(Datos!$G$2:$G$18911,Datos!$E$2:$E$18911,$A29,Datos!$B$2:$B$18911,20,Datos!$C$2:$C$18911,"&lt;30",Datos!$F$2:$F$18911,"STANDBY"),0),"")</f>
        <v/>
      </c>
      <c r="AA29" s="7">
        <f>IFERROR(ROUND(AVERAGEIFS(Datos!$G$2:$G$18911,Datos!$E$2:$E$18911,$A29,Datos!$B$2:$B$18911,20,Datos!$C$2:$C$18911,"&gt;=30",Datos!$F$2:$F$18911,"STANDBY"),0),"")</f>
        <v/>
      </c>
      <c r="AB29" s="7">
        <f>IFERROR(ROUND(AVERAGEIFS(Datos!$G$2:$G$18911,Datos!$E$2:$E$18911,$A29,Datos!$B$2:$B$18911,21,Datos!$C$2:$C$18911,"&lt;30",Datos!$F$2:$F$18911,"STANDBY"),0),"")</f>
        <v/>
      </c>
      <c r="AC29" s="7">
        <f>IFERROR(ROUND(AVERAGEIFS(Datos!$G$2:$G$18911,Datos!$E$2:$E$18911,$A29,Datos!$B$2:$B$18911,21,Datos!$C$2:$C$18911,"&gt;=30",Datos!$F$2:$F$18911,"STANDBY"),0),"")</f>
        <v/>
      </c>
      <c r="AD29" s="7">
        <f>IFERROR(ROUND(AVERAGEIFS(Datos!$G$2:$G$18911,Datos!$E$2:$E$18911,$A29,Datos!$B$2:$B$18911,22,Datos!$C$2:$C$18911,"&lt;30",Datos!$F$2:$F$18911,"STANDBY"),0),"")</f>
        <v/>
      </c>
      <c r="AE29" s="7">
        <f>IFERROR(ROUND(AVERAGEIFS(Datos!$G$2:$G$18911,Datos!$E$2:$E$18911,$A29,Datos!$B$2:$B$18911,22,Datos!$C$2:$C$18911,"&gt;=30",Datos!$F$2:$F$18911,"STANDBY"),0),"")</f>
        <v/>
      </c>
      <c r="AF29" s="7">
        <f>IFERROR(ROUND(AVERAGEIFS(Datos!$G$2:$G$18911,Datos!$E$2:$E$18911,$A29,Datos!$B$2:$B$18911,23,Datos!$C$2:$C$18911,"&lt;30",Datos!$F$2:$F$18911,"STANDBY"),0),"")</f>
        <v/>
      </c>
      <c r="AG29" s="7">
        <f>IFERROR(ROUND(AVERAGEIFS(Datos!$G$2:$G$18911,Datos!$E$2:$E$18911,$A29,Datos!$B$2:$B$18911,23,Datos!$C$2:$C$18911,"&gt;=30",Datos!$F$2:$F$18911,"STANDBY"),0),"")</f>
        <v/>
      </c>
    </row>
    <row r="30">
      <c r="A30" s="6" t="inlineStr">
        <is>
          <t>Blanche-Neige et les Sept Nains®</t>
        </is>
      </c>
      <c r="B30" s="7">
        <f>IFERROR(ROUND(AVERAGEIFS(Datos!$G$2:$G$18911,Datos!$E$2:$E$18911,$A30,Datos!$B$2:$B$18911,8,Datos!$C$2:$C$18911,"&lt;30",Datos!$F$2:$F$18911,"STANDBY"),0),"")</f>
        <v/>
      </c>
      <c r="C30" s="7">
        <f>IFERROR(ROUND(AVERAGEIFS(Datos!$G$2:$G$18911,Datos!$E$2:$E$18911,$A30,Datos!$B$2:$B$18911,8,Datos!$C$2:$C$18911,"&gt;=30",Datos!$F$2:$F$18911,"STANDBY"),0),"")</f>
        <v/>
      </c>
      <c r="D30" s="7">
        <f>IFERROR(ROUND(AVERAGEIFS(Datos!$G$2:$G$18911,Datos!$E$2:$E$18911,$A30,Datos!$B$2:$B$18911,9,Datos!$C$2:$C$18911,"&lt;30",Datos!$F$2:$F$18911,"STANDBY"),0),"")</f>
        <v/>
      </c>
      <c r="E30" s="7">
        <f>IFERROR(ROUND(AVERAGEIFS(Datos!$G$2:$G$18911,Datos!$E$2:$E$18911,$A30,Datos!$B$2:$B$18911,9,Datos!$C$2:$C$18911,"&gt;=30",Datos!$F$2:$F$18911,"STANDBY"),0),"")</f>
        <v/>
      </c>
      <c r="F30" s="7">
        <f>IFERROR(ROUND(AVERAGEIFS(Datos!$G$2:$G$18911,Datos!$E$2:$E$18911,$A30,Datos!$B$2:$B$18911,10,Datos!$C$2:$C$18911,"&lt;30",Datos!$F$2:$F$18911,"STANDBY"),0),"")</f>
        <v/>
      </c>
      <c r="G30" s="7">
        <f>IFERROR(ROUND(AVERAGEIFS(Datos!$G$2:$G$18911,Datos!$E$2:$E$18911,$A30,Datos!$B$2:$B$18911,10,Datos!$C$2:$C$18911,"&gt;=30",Datos!$F$2:$F$18911,"STANDBY"),0),"")</f>
        <v/>
      </c>
      <c r="H30" s="7">
        <f>IFERROR(ROUND(AVERAGEIFS(Datos!$G$2:$G$18911,Datos!$E$2:$E$18911,$A30,Datos!$B$2:$B$18911,11,Datos!$C$2:$C$18911,"&lt;30",Datos!$F$2:$F$18911,"STANDBY"),0),"")</f>
        <v/>
      </c>
      <c r="I30" s="7">
        <f>IFERROR(ROUND(AVERAGEIFS(Datos!$G$2:$G$18911,Datos!$E$2:$E$18911,$A30,Datos!$B$2:$B$18911,11,Datos!$C$2:$C$18911,"&gt;=30",Datos!$F$2:$F$18911,"STANDBY"),0),"")</f>
        <v/>
      </c>
      <c r="J30" s="7">
        <f>IFERROR(ROUND(AVERAGEIFS(Datos!$G$2:$G$18911,Datos!$E$2:$E$18911,$A30,Datos!$B$2:$B$18911,12,Datos!$C$2:$C$18911,"&lt;30",Datos!$F$2:$F$18911,"STANDBY"),0),"")</f>
        <v/>
      </c>
      <c r="K30" s="7">
        <f>IFERROR(ROUND(AVERAGEIFS(Datos!$G$2:$G$18911,Datos!$E$2:$E$18911,$A30,Datos!$B$2:$B$18911,12,Datos!$C$2:$C$18911,"&gt;=30",Datos!$F$2:$F$18911,"STANDBY"),0),"")</f>
        <v/>
      </c>
      <c r="L30" s="7">
        <f>IFERROR(ROUND(AVERAGEIFS(Datos!$G$2:$G$18911,Datos!$E$2:$E$18911,$A30,Datos!$B$2:$B$18911,13,Datos!$C$2:$C$18911,"&lt;30",Datos!$F$2:$F$18911,"STANDBY"),0),"")</f>
        <v/>
      </c>
      <c r="M30" s="7">
        <f>IFERROR(ROUND(AVERAGEIFS(Datos!$G$2:$G$18911,Datos!$E$2:$E$18911,$A30,Datos!$B$2:$B$18911,13,Datos!$C$2:$C$18911,"&gt;=30",Datos!$F$2:$F$18911,"STANDBY"),0),"")</f>
        <v/>
      </c>
      <c r="N30" s="7">
        <f>IFERROR(ROUND(AVERAGEIFS(Datos!$G$2:$G$18911,Datos!$E$2:$E$18911,$A30,Datos!$B$2:$B$18911,14,Datos!$C$2:$C$18911,"&lt;30",Datos!$F$2:$F$18911,"STANDBY"),0),"")</f>
        <v/>
      </c>
      <c r="O30" s="7">
        <f>IFERROR(ROUND(AVERAGEIFS(Datos!$G$2:$G$18911,Datos!$E$2:$E$18911,$A30,Datos!$B$2:$B$18911,14,Datos!$C$2:$C$18911,"&gt;=30",Datos!$F$2:$F$18911,"STANDBY"),0),"")</f>
        <v/>
      </c>
      <c r="P30" s="7">
        <f>IFERROR(ROUND(AVERAGEIFS(Datos!$G$2:$G$18911,Datos!$E$2:$E$18911,$A30,Datos!$B$2:$B$18911,15,Datos!$C$2:$C$18911,"&lt;30",Datos!$F$2:$F$18911,"STANDBY"),0),"")</f>
        <v/>
      </c>
      <c r="Q30" s="7">
        <f>IFERROR(ROUND(AVERAGEIFS(Datos!$G$2:$G$18911,Datos!$E$2:$E$18911,$A30,Datos!$B$2:$B$18911,15,Datos!$C$2:$C$18911,"&gt;=30",Datos!$F$2:$F$18911,"STANDBY"),0),"")</f>
        <v/>
      </c>
      <c r="R30" s="7">
        <f>IFERROR(ROUND(AVERAGEIFS(Datos!$G$2:$G$18911,Datos!$E$2:$E$18911,$A30,Datos!$B$2:$B$18911,16,Datos!$C$2:$C$18911,"&lt;30",Datos!$F$2:$F$18911,"STANDBY"),0),"")</f>
        <v/>
      </c>
      <c r="S30" s="7">
        <f>IFERROR(ROUND(AVERAGEIFS(Datos!$G$2:$G$18911,Datos!$E$2:$E$18911,$A30,Datos!$B$2:$B$18911,16,Datos!$C$2:$C$18911,"&gt;=30",Datos!$F$2:$F$18911,"STANDBY"),0),"")</f>
        <v/>
      </c>
      <c r="T30" s="7">
        <f>IFERROR(ROUND(AVERAGEIFS(Datos!$G$2:$G$18911,Datos!$E$2:$E$18911,$A30,Datos!$B$2:$B$18911,17,Datos!$C$2:$C$18911,"&lt;30",Datos!$F$2:$F$18911,"STANDBY"),0),"")</f>
        <v/>
      </c>
      <c r="U30" s="7">
        <f>IFERROR(ROUND(AVERAGEIFS(Datos!$G$2:$G$18911,Datos!$E$2:$E$18911,$A30,Datos!$B$2:$B$18911,17,Datos!$C$2:$C$18911,"&gt;=30",Datos!$F$2:$F$18911,"STANDBY"),0),"")</f>
        <v/>
      </c>
      <c r="V30" s="7">
        <f>IFERROR(ROUND(AVERAGEIFS(Datos!$G$2:$G$18911,Datos!$E$2:$E$18911,$A30,Datos!$B$2:$B$18911,18,Datos!$C$2:$C$18911,"&lt;30",Datos!$F$2:$F$18911,"STANDBY"),0),"")</f>
        <v/>
      </c>
      <c r="W30" s="7">
        <f>IFERROR(ROUND(AVERAGEIFS(Datos!$G$2:$G$18911,Datos!$E$2:$E$18911,$A30,Datos!$B$2:$B$18911,18,Datos!$C$2:$C$18911,"&gt;=30",Datos!$F$2:$F$18911,"STANDBY"),0),"")</f>
        <v/>
      </c>
      <c r="X30" s="7">
        <f>IFERROR(ROUND(AVERAGEIFS(Datos!$G$2:$G$18911,Datos!$E$2:$E$18911,$A30,Datos!$B$2:$B$18911,19,Datos!$C$2:$C$18911,"&lt;30",Datos!$F$2:$F$18911,"STANDBY"),0),"")</f>
        <v/>
      </c>
      <c r="Y30" s="7">
        <f>IFERROR(ROUND(AVERAGEIFS(Datos!$G$2:$G$18911,Datos!$E$2:$E$18911,$A30,Datos!$B$2:$B$18911,19,Datos!$C$2:$C$18911,"&gt;=30",Datos!$F$2:$F$18911,"STANDBY"),0),"")</f>
        <v/>
      </c>
      <c r="Z30" s="7">
        <f>IFERROR(ROUND(AVERAGEIFS(Datos!$G$2:$G$18911,Datos!$E$2:$E$18911,$A30,Datos!$B$2:$B$18911,20,Datos!$C$2:$C$18911,"&lt;30",Datos!$F$2:$F$18911,"STANDBY"),0),"")</f>
        <v/>
      </c>
      <c r="AA30" s="7">
        <f>IFERROR(ROUND(AVERAGEIFS(Datos!$G$2:$G$18911,Datos!$E$2:$E$18911,$A30,Datos!$B$2:$B$18911,20,Datos!$C$2:$C$18911,"&gt;=30",Datos!$F$2:$F$18911,"STANDBY"),0),"")</f>
        <v/>
      </c>
      <c r="AB30" s="7">
        <f>IFERROR(ROUND(AVERAGEIFS(Datos!$G$2:$G$18911,Datos!$E$2:$E$18911,$A30,Datos!$B$2:$B$18911,21,Datos!$C$2:$C$18911,"&lt;30",Datos!$F$2:$F$18911,"STANDBY"),0),"")</f>
        <v/>
      </c>
      <c r="AC30" s="7">
        <f>IFERROR(ROUND(AVERAGEIFS(Datos!$G$2:$G$18911,Datos!$E$2:$E$18911,$A30,Datos!$B$2:$B$18911,21,Datos!$C$2:$C$18911,"&gt;=30",Datos!$F$2:$F$18911,"STANDBY"),0),"")</f>
        <v/>
      </c>
      <c r="AD30" s="7">
        <f>IFERROR(ROUND(AVERAGEIFS(Datos!$G$2:$G$18911,Datos!$E$2:$E$18911,$A30,Datos!$B$2:$B$18911,22,Datos!$C$2:$C$18911,"&lt;30",Datos!$F$2:$F$18911,"STANDBY"),0),"")</f>
        <v/>
      </c>
      <c r="AE30" s="7">
        <f>IFERROR(ROUND(AVERAGEIFS(Datos!$G$2:$G$18911,Datos!$E$2:$E$18911,$A30,Datos!$B$2:$B$18911,22,Datos!$C$2:$C$18911,"&gt;=30",Datos!$F$2:$F$18911,"STANDBY"),0),"")</f>
        <v/>
      </c>
      <c r="AF30" s="7">
        <f>IFERROR(ROUND(AVERAGEIFS(Datos!$G$2:$G$18911,Datos!$E$2:$E$18911,$A30,Datos!$B$2:$B$18911,23,Datos!$C$2:$C$18911,"&lt;30",Datos!$F$2:$F$18911,"STANDBY"),0),"")</f>
        <v/>
      </c>
      <c r="AG30" s="7">
        <f>IFERROR(ROUND(AVERAGEIFS(Datos!$G$2:$G$18911,Datos!$E$2:$E$18911,$A30,Datos!$B$2:$B$18911,23,Datos!$C$2:$C$18911,"&gt;=30",Datos!$F$2:$F$18911,"STANDBY"),0),"")</f>
        <v/>
      </c>
    </row>
    <row r="31">
      <c r="A31" s="6" t="inlineStr">
        <is>
          <t>Buzz Lightyear Laser Blast</t>
        </is>
      </c>
      <c r="B31" s="7">
        <f>IFERROR(ROUND(AVERAGEIFS(Datos!$G$2:$G$18911,Datos!$E$2:$E$18911,$A31,Datos!$B$2:$B$18911,8,Datos!$C$2:$C$18911,"&lt;30",Datos!$F$2:$F$18911,"STANDBY"),0),"")</f>
        <v/>
      </c>
      <c r="C31" s="7">
        <f>IFERROR(ROUND(AVERAGEIFS(Datos!$G$2:$G$18911,Datos!$E$2:$E$18911,$A31,Datos!$B$2:$B$18911,8,Datos!$C$2:$C$18911,"&gt;=30",Datos!$F$2:$F$18911,"STANDBY"),0),"")</f>
        <v/>
      </c>
      <c r="D31" s="7">
        <f>IFERROR(ROUND(AVERAGEIFS(Datos!$G$2:$G$18911,Datos!$E$2:$E$18911,$A31,Datos!$B$2:$B$18911,9,Datos!$C$2:$C$18911,"&lt;30",Datos!$F$2:$F$18911,"STANDBY"),0),"")</f>
        <v/>
      </c>
      <c r="E31" s="7">
        <f>IFERROR(ROUND(AVERAGEIFS(Datos!$G$2:$G$18911,Datos!$E$2:$E$18911,$A31,Datos!$B$2:$B$18911,9,Datos!$C$2:$C$18911,"&gt;=30",Datos!$F$2:$F$18911,"STANDBY"),0),"")</f>
        <v/>
      </c>
      <c r="F31" s="7">
        <f>IFERROR(ROUND(AVERAGEIFS(Datos!$G$2:$G$18911,Datos!$E$2:$E$18911,$A31,Datos!$B$2:$B$18911,10,Datos!$C$2:$C$18911,"&lt;30",Datos!$F$2:$F$18911,"STANDBY"),0),"")</f>
        <v/>
      </c>
      <c r="G31" s="7">
        <f>IFERROR(ROUND(AVERAGEIFS(Datos!$G$2:$G$18911,Datos!$E$2:$E$18911,$A31,Datos!$B$2:$B$18911,10,Datos!$C$2:$C$18911,"&gt;=30",Datos!$F$2:$F$18911,"STANDBY"),0),"")</f>
        <v/>
      </c>
      <c r="H31" s="7">
        <f>IFERROR(ROUND(AVERAGEIFS(Datos!$G$2:$G$18911,Datos!$E$2:$E$18911,$A31,Datos!$B$2:$B$18911,11,Datos!$C$2:$C$18911,"&lt;30",Datos!$F$2:$F$18911,"STANDBY"),0),"")</f>
        <v/>
      </c>
      <c r="I31" s="7">
        <f>IFERROR(ROUND(AVERAGEIFS(Datos!$G$2:$G$18911,Datos!$E$2:$E$18911,$A31,Datos!$B$2:$B$18911,11,Datos!$C$2:$C$18911,"&gt;=30",Datos!$F$2:$F$18911,"STANDBY"),0),"")</f>
        <v/>
      </c>
      <c r="J31" s="7">
        <f>IFERROR(ROUND(AVERAGEIFS(Datos!$G$2:$G$18911,Datos!$E$2:$E$18911,$A31,Datos!$B$2:$B$18911,12,Datos!$C$2:$C$18911,"&lt;30",Datos!$F$2:$F$18911,"STANDBY"),0),"")</f>
        <v/>
      </c>
      <c r="K31" s="7">
        <f>IFERROR(ROUND(AVERAGEIFS(Datos!$G$2:$G$18911,Datos!$E$2:$E$18911,$A31,Datos!$B$2:$B$18911,12,Datos!$C$2:$C$18911,"&gt;=30",Datos!$F$2:$F$18911,"STANDBY"),0),"")</f>
        <v/>
      </c>
      <c r="L31" s="7">
        <f>IFERROR(ROUND(AVERAGEIFS(Datos!$G$2:$G$18911,Datos!$E$2:$E$18911,$A31,Datos!$B$2:$B$18911,13,Datos!$C$2:$C$18911,"&lt;30",Datos!$F$2:$F$18911,"STANDBY"),0),"")</f>
        <v/>
      </c>
      <c r="M31" s="7">
        <f>IFERROR(ROUND(AVERAGEIFS(Datos!$G$2:$G$18911,Datos!$E$2:$E$18911,$A31,Datos!$B$2:$B$18911,13,Datos!$C$2:$C$18911,"&gt;=30",Datos!$F$2:$F$18911,"STANDBY"),0),"")</f>
        <v/>
      </c>
      <c r="N31" s="7">
        <f>IFERROR(ROUND(AVERAGEIFS(Datos!$G$2:$G$18911,Datos!$E$2:$E$18911,$A31,Datos!$B$2:$B$18911,14,Datos!$C$2:$C$18911,"&lt;30",Datos!$F$2:$F$18911,"STANDBY"),0),"")</f>
        <v/>
      </c>
      <c r="O31" s="7">
        <f>IFERROR(ROUND(AVERAGEIFS(Datos!$G$2:$G$18911,Datos!$E$2:$E$18911,$A31,Datos!$B$2:$B$18911,14,Datos!$C$2:$C$18911,"&gt;=30",Datos!$F$2:$F$18911,"STANDBY"),0),"")</f>
        <v/>
      </c>
      <c r="P31" s="7">
        <f>IFERROR(ROUND(AVERAGEIFS(Datos!$G$2:$G$18911,Datos!$E$2:$E$18911,$A31,Datos!$B$2:$B$18911,15,Datos!$C$2:$C$18911,"&lt;30",Datos!$F$2:$F$18911,"STANDBY"),0),"")</f>
        <v/>
      </c>
      <c r="Q31" s="7">
        <f>IFERROR(ROUND(AVERAGEIFS(Datos!$G$2:$G$18911,Datos!$E$2:$E$18911,$A31,Datos!$B$2:$B$18911,15,Datos!$C$2:$C$18911,"&gt;=30",Datos!$F$2:$F$18911,"STANDBY"),0),"")</f>
        <v/>
      </c>
      <c r="R31" s="7">
        <f>IFERROR(ROUND(AVERAGEIFS(Datos!$G$2:$G$18911,Datos!$E$2:$E$18911,$A31,Datos!$B$2:$B$18911,16,Datos!$C$2:$C$18911,"&lt;30",Datos!$F$2:$F$18911,"STANDBY"),0),"")</f>
        <v/>
      </c>
      <c r="S31" s="7">
        <f>IFERROR(ROUND(AVERAGEIFS(Datos!$G$2:$G$18911,Datos!$E$2:$E$18911,$A31,Datos!$B$2:$B$18911,16,Datos!$C$2:$C$18911,"&gt;=30",Datos!$F$2:$F$18911,"STANDBY"),0),"")</f>
        <v/>
      </c>
      <c r="T31" s="7">
        <f>IFERROR(ROUND(AVERAGEIFS(Datos!$G$2:$G$18911,Datos!$E$2:$E$18911,$A31,Datos!$B$2:$B$18911,17,Datos!$C$2:$C$18911,"&lt;30",Datos!$F$2:$F$18911,"STANDBY"),0),"")</f>
        <v/>
      </c>
      <c r="U31" s="7">
        <f>IFERROR(ROUND(AVERAGEIFS(Datos!$G$2:$G$18911,Datos!$E$2:$E$18911,$A31,Datos!$B$2:$B$18911,17,Datos!$C$2:$C$18911,"&gt;=30",Datos!$F$2:$F$18911,"STANDBY"),0),"")</f>
        <v/>
      </c>
      <c r="V31" s="7">
        <f>IFERROR(ROUND(AVERAGEIFS(Datos!$G$2:$G$18911,Datos!$E$2:$E$18911,$A31,Datos!$B$2:$B$18911,18,Datos!$C$2:$C$18911,"&lt;30",Datos!$F$2:$F$18911,"STANDBY"),0),"")</f>
        <v/>
      </c>
      <c r="W31" s="7">
        <f>IFERROR(ROUND(AVERAGEIFS(Datos!$G$2:$G$18911,Datos!$E$2:$E$18911,$A31,Datos!$B$2:$B$18911,18,Datos!$C$2:$C$18911,"&gt;=30",Datos!$F$2:$F$18911,"STANDBY"),0),"")</f>
        <v/>
      </c>
      <c r="X31" s="7">
        <f>IFERROR(ROUND(AVERAGEIFS(Datos!$G$2:$G$18911,Datos!$E$2:$E$18911,$A31,Datos!$B$2:$B$18911,19,Datos!$C$2:$C$18911,"&lt;30",Datos!$F$2:$F$18911,"STANDBY"),0),"")</f>
        <v/>
      </c>
      <c r="Y31" s="7">
        <f>IFERROR(ROUND(AVERAGEIFS(Datos!$G$2:$G$18911,Datos!$E$2:$E$18911,$A31,Datos!$B$2:$B$18911,19,Datos!$C$2:$C$18911,"&gt;=30",Datos!$F$2:$F$18911,"STANDBY"),0),"")</f>
        <v/>
      </c>
      <c r="Z31" s="7">
        <f>IFERROR(ROUND(AVERAGEIFS(Datos!$G$2:$G$18911,Datos!$E$2:$E$18911,$A31,Datos!$B$2:$B$18911,20,Datos!$C$2:$C$18911,"&lt;30",Datos!$F$2:$F$18911,"STANDBY"),0),"")</f>
        <v/>
      </c>
      <c r="AA31" s="7">
        <f>IFERROR(ROUND(AVERAGEIFS(Datos!$G$2:$G$18911,Datos!$E$2:$E$18911,$A31,Datos!$B$2:$B$18911,20,Datos!$C$2:$C$18911,"&gt;=30",Datos!$F$2:$F$18911,"STANDBY"),0),"")</f>
        <v/>
      </c>
      <c r="AB31" s="7">
        <f>IFERROR(ROUND(AVERAGEIFS(Datos!$G$2:$G$18911,Datos!$E$2:$E$18911,$A31,Datos!$B$2:$B$18911,21,Datos!$C$2:$C$18911,"&lt;30",Datos!$F$2:$F$18911,"STANDBY"),0),"")</f>
        <v/>
      </c>
      <c r="AC31" s="7">
        <f>IFERROR(ROUND(AVERAGEIFS(Datos!$G$2:$G$18911,Datos!$E$2:$E$18911,$A31,Datos!$B$2:$B$18911,21,Datos!$C$2:$C$18911,"&gt;=30",Datos!$F$2:$F$18911,"STANDBY"),0),"")</f>
        <v/>
      </c>
      <c r="AD31" s="7">
        <f>IFERROR(ROUND(AVERAGEIFS(Datos!$G$2:$G$18911,Datos!$E$2:$E$18911,$A31,Datos!$B$2:$B$18911,22,Datos!$C$2:$C$18911,"&lt;30",Datos!$F$2:$F$18911,"STANDBY"),0),"")</f>
        <v/>
      </c>
      <c r="AE31" s="7">
        <f>IFERROR(ROUND(AVERAGEIFS(Datos!$G$2:$G$18911,Datos!$E$2:$E$18911,$A31,Datos!$B$2:$B$18911,22,Datos!$C$2:$C$18911,"&gt;=30",Datos!$F$2:$F$18911,"STANDBY"),0),"")</f>
        <v/>
      </c>
      <c r="AF31" s="7">
        <f>IFERROR(ROUND(AVERAGEIFS(Datos!$G$2:$G$18911,Datos!$E$2:$E$18911,$A31,Datos!$B$2:$B$18911,23,Datos!$C$2:$C$18911,"&lt;30",Datos!$F$2:$F$18911,"STANDBY"),0),"")</f>
        <v/>
      </c>
      <c r="AG31" s="7">
        <f>IFERROR(ROUND(AVERAGEIFS(Datos!$G$2:$G$18911,Datos!$E$2:$E$18911,$A31,Datos!$B$2:$B$18911,23,Datos!$C$2:$C$18911,"&gt;=30",Datos!$F$2:$F$18911,"STANDBY"),0),"")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IFERROR(ROUND(AVERAGEIFS(Datos!$G$2:$G$18911,Datos!$E$2:$E$18911,$A32,Datos!$B$2:$B$18911,8,Datos!$C$2:$C$18911,"&lt;30",Datos!$F$2:$F$18911,"STANDBY"),0),"")</f>
        <v/>
      </c>
      <c r="C32" s="7">
        <f>IFERROR(ROUND(AVERAGEIFS(Datos!$G$2:$G$18911,Datos!$E$2:$E$18911,$A32,Datos!$B$2:$B$18911,8,Datos!$C$2:$C$18911,"&gt;=30",Datos!$F$2:$F$18911,"STANDBY"),0),"")</f>
        <v/>
      </c>
      <c r="D32" s="7">
        <f>IFERROR(ROUND(AVERAGEIFS(Datos!$G$2:$G$18911,Datos!$E$2:$E$18911,$A32,Datos!$B$2:$B$18911,9,Datos!$C$2:$C$18911,"&lt;30",Datos!$F$2:$F$18911,"STANDBY"),0),"")</f>
        <v/>
      </c>
      <c r="E32" s="7">
        <f>IFERROR(ROUND(AVERAGEIFS(Datos!$G$2:$G$18911,Datos!$E$2:$E$18911,$A32,Datos!$B$2:$B$18911,9,Datos!$C$2:$C$18911,"&gt;=30",Datos!$F$2:$F$18911,"STANDBY"),0),"")</f>
        <v/>
      </c>
      <c r="F32" s="7">
        <f>IFERROR(ROUND(AVERAGEIFS(Datos!$G$2:$G$18911,Datos!$E$2:$E$18911,$A32,Datos!$B$2:$B$18911,10,Datos!$C$2:$C$18911,"&lt;30",Datos!$F$2:$F$18911,"STANDBY"),0),"")</f>
        <v/>
      </c>
      <c r="G32" s="7">
        <f>IFERROR(ROUND(AVERAGEIFS(Datos!$G$2:$G$18911,Datos!$E$2:$E$18911,$A32,Datos!$B$2:$B$18911,10,Datos!$C$2:$C$18911,"&gt;=30",Datos!$F$2:$F$18911,"STANDBY"),0),"")</f>
        <v/>
      </c>
      <c r="H32" s="7">
        <f>IFERROR(ROUND(AVERAGEIFS(Datos!$G$2:$G$18911,Datos!$E$2:$E$18911,$A32,Datos!$B$2:$B$18911,11,Datos!$C$2:$C$18911,"&lt;30",Datos!$F$2:$F$18911,"STANDBY"),0),"")</f>
        <v/>
      </c>
      <c r="I32" s="7">
        <f>IFERROR(ROUND(AVERAGEIFS(Datos!$G$2:$G$18911,Datos!$E$2:$E$18911,$A32,Datos!$B$2:$B$18911,11,Datos!$C$2:$C$18911,"&gt;=30",Datos!$F$2:$F$18911,"STANDBY"),0),"")</f>
        <v/>
      </c>
      <c r="J32" s="7">
        <f>IFERROR(ROUND(AVERAGEIFS(Datos!$G$2:$G$18911,Datos!$E$2:$E$18911,$A32,Datos!$B$2:$B$18911,12,Datos!$C$2:$C$18911,"&lt;30",Datos!$F$2:$F$18911,"STANDBY"),0),"")</f>
        <v/>
      </c>
      <c r="K32" s="7">
        <f>IFERROR(ROUND(AVERAGEIFS(Datos!$G$2:$G$18911,Datos!$E$2:$E$18911,$A32,Datos!$B$2:$B$18911,12,Datos!$C$2:$C$18911,"&gt;=30",Datos!$F$2:$F$18911,"STANDBY"),0),"")</f>
        <v/>
      </c>
      <c r="L32" s="7">
        <f>IFERROR(ROUND(AVERAGEIFS(Datos!$G$2:$G$18911,Datos!$E$2:$E$18911,$A32,Datos!$B$2:$B$18911,13,Datos!$C$2:$C$18911,"&lt;30",Datos!$F$2:$F$18911,"STANDBY"),0),"")</f>
        <v/>
      </c>
      <c r="M32" s="7">
        <f>IFERROR(ROUND(AVERAGEIFS(Datos!$G$2:$G$18911,Datos!$E$2:$E$18911,$A32,Datos!$B$2:$B$18911,13,Datos!$C$2:$C$18911,"&gt;=30",Datos!$F$2:$F$18911,"STANDBY"),0),"")</f>
        <v/>
      </c>
      <c r="N32" s="7">
        <f>IFERROR(ROUND(AVERAGEIFS(Datos!$G$2:$G$18911,Datos!$E$2:$E$18911,$A32,Datos!$B$2:$B$18911,14,Datos!$C$2:$C$18911,"&lt;30",Datos!$F$2:$F$18911,"STANDBY"),0),"")</f>
        <v/>
      </c>
      <c r="O32" s="7">
        <f>IFERROR(ROUND(AVERAGEIFS(Datos!$G$2:$G$18911,Datos!$E$2:$E$18911,$A32,Datos!$B$2:$B$18911,14,Datos!$C$2:$C$18911,"&gt;=30",Datos!$F$2:$F$18911,"STANDBY"),0),"")</f>
        <v/>
      </c>
      <c r="P32" s="7">
        <f>IFERROR(ROUND(AVERAGEIFS(Datos!$G$2:$G$18911,Datos!$E$2:$E$18911,$A32,Datos!$B$2:$B$18911,15,Datos!$C$2:$C$18911,"&lt;30",Datos!$F$2:$F$18911,"STANDBY"),0),"")</f>
        <v/>
      </c>
      <c r="Q32" s="7">
        <f>IFERROR(ROUND(AVERAGEIFS(Datos!$G$2:$G$18911,Datos!$E$2:$E$18911,$A32,Datos!$B$2:$B$18911,15,Datos!$C$2:$C$18911,"&gt;=30",Datos!$F$2:$F$18911,"STANDBY"),0),"")</f>
        <v/>
      </c>
      <c r="R32" s="7">
        <f>IFERROR(ROUND(AVERAGEIFS(Datos!$G$2:$G$18911,Datos!$E$2:$E$18911,$A32,Datos!$B$2:$B$18911,16,Datos!$C$2:$C$18911,"&lt;30",Datos!$F$2:$F$18911,"STANDBY"),0),"")</f>
        <v/>
      </c>
      <c r="S32" s="7">
        <f>IFERROR(ROUND(AVERAGEIFS(Datos!$G$2:$G$18911,Datos!$E$2:$E$18911,$A32,Datos!$B$2:$B$18911,16,Datos!$C$2:$C$18911,"&gt;=30",Datos!$F$2:$F$18911,"STANDBY"),0),"")</f>
        <v/>
      </c>
      <c r="T32" s="7">
        <f>IFERROR(ROUND(AVERAGEIFS(Datos!$G$2:$G$18911,Datos!$E$2:$E$18911,$A32,Datos!$B$2:$B$18911,17,Datos!$C$2:$C$18911,"&lt;30",Datos!$F$2:$F$18911,"STANDBY"),0),"")</f>
        <v/>
      </c>
      <c r="U32" s="7">
        <f>IFERROR(ROUND(AVERAGEIFS(Datos!$G$2:$G$18911,Datos!$E$2:$E$18911,$A32,Datos!$B$2:$B$18911,17,Datos!$C$2:$C$18911,"&gt;=30",Datos!$F$2:$F$18911,"STANDBY"),0),"")</f>
        <v/>
      </c>
      <c r="V32" s="7">
        <f>IFERROR(ROUND(AVERAGEIFS(Datos!$G$2:$G$18911,Datos!$E$2:$E$18911,$A32,Datos!$B$2:$B$18911,18,Datos!$C$2:$C$18911,"&lt;30",Datos!$F$2:$F$18911,"STANDBY"),0),"")</f>
        <v/>
      </c>
      <c r="W32" s="7">
        <f>IFERROR(ROUND(AVERAGEIFS(Datos!$G$2:$G$18911,Datos!$E$2:$E$18911,$A32,Datos!$B$2:$B$18911,18,Datos!$C$2:$C$18911,"&gt;=30",Datos!$F$2:$F$18911,"STANDBY"),0),"")</f>
        <v/>
      </c>
      <c r="X32" s="7">
        <f>IFERROR(ROUND(AVERAGEIFS(Datos!$G$2:$G$18911,Datos!$E$2:$E$18911,$A32,Datos!$B$2:$B$18911,19,Datos!$C$2:$C$18911,"&lt;30",Datos!$F$2:$F$18911,"STANDBY"),0),"")</f>
        <v/>
      </c>
      <c r="Y32" s="7">
        <f>IFERROR(ROUND(AVERAGEIFS(Datos!$G$2:$G$18911,Datos!$E$2:$E$18911,$A32,Datos!$B$2:$B$18911,19,Datos!$C$2:$C$18911,"&gt;=30",Datos!$F$2:$F$18911,"STANDBY"),0),"")</f>
        <v/>
      </c>
      <c r="Z32" s="7">
        <f>IFERROR(ROUND(AVERAGEIFS(Datos!$G$2:$G$18911,Datos!$E$2:$E$18911,$A32,Datos!$B$2:$B$18911,20,Datos!$C$2:$C$18911,"&lt;30",Datos!$F$2:$F$18911,"STANDBY"),0),"")</f>
        <v/>
      </c>
      <c r="AA32" s="7">
        <f>IFERROR(ROUND(AVERAGEIFS(Datos!$G$2:$G$18911,Datos!$E$2:$E$18911,$A32,Datos!$B$2:$B$18911,20,Datos!$C$2:$C$18911,"&gt;=30",Datos!$F$2:$F$18911,"STANDBY"),0),"")</f>
        <v/>
      </c>
      <c r="AB32" s="7">
        <f>IFERROR(ROUND(AVERAGEIFS(Datos!$G$2:$G$18911,Datos!$E$2:$E$18911,$A32,Datos!$B$2:$B$18911,21,Datos!$C$2:$C$18911,"&lt;30",Datos!$F$2:$F$18911,"STANDBY"),0),"")</f>
        <v/>
      </c>
      <c r="AC32" s="7">
        <f>IFERROR(ROUND(AVERAGEIFS(Datos!$G$2:$G$18911,Datos!$E$2:$E$18911,$A32,Datos!$B$2:$B$18911,21,Datos!$C$2:$C$18911,"&gt;=30",Datos!$F$2:$F$18911,"STANDBY"),0),"")</f>
        <v/>
      </c>
      <c r="AD32" s="7">
        <f>IFERROR(ROUND(AVERAGEIFS(Datos!$G$2:$G$18911,Datos!$E$2:$E$18911,$A32,Datos!$B$2:$B$18911,22,Datos!$C$2:$C$18911,"&lt;30",Datos!$F$2:$F$18911,"STANDBY"),0),"")</f>
        <v/>
      </c>
      <c r="AE32" s="7">
        <f>IFERROR(ROUND(AVERAGEIFS(Datos!$G$2:$G$18911,Datos!$E$2:$E$18911,$A32,Datos!$B$2:$B$18911,22,Datos!$C$2:$C$18911,"&gt;=30",Datos!$F$2:$F$18911,"STANDBY"),0),"")</f>
        <v/>
      </c>
      <c r="AF32" s="7">
        <f>IFERROR(ROUND(AVERAGEIFS(Datos!$G$2:$G$18911,Datos!$E$2:$E$18911,$A32,Datos!$B$2:$B$18911,23,Datos!$C$2:$C$18911,"&lt;30",Datos!$F$2:$F$18911,"STANDBY"),0),"")</f>
        <v/>
      </c>
      <c r="AG32" s="7">
        <f>IFERROR(ROUND(AVERAGEIFS(Datos!$G$2:$G$18911,Datos!$E$2:$E$18911,$A32,Datos!$B$2:$B$18911,23,Datos!$C$2:$C$18911,"&gt;=30",Datos!$F$2:$F$18911,"STANDBY"),0),"")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IFERROR(ROUND(AVERAGEIFS(Datos!$G$2:$G$18911,Datos!$E$2:$E$18911,$A33,Datos!$B$2:$B$18911,8,Datos!$C$2:$C$18911,"&lt;30",Datos!$F$2:$F$18911,"STANDBY"),0),"")</f>
        <v/>
      </c>
      <c r="C33" s="7">
        <f>IFERROR(ROUND(AVERAGEIFS(Datos!$G$2:$G$18911,Datos!$E$2:$E$18911,$A33,Datos!$B$2:$B$18911,8,Datos!$C$2:$C$18911,"&gt;=30",Datos!$F$2:$F$18911,"STANDBY"),0),"")</f>
        <v/>
      </c>
      <c r="D33" s="7">
        <f>IFERROR(ROUND(AVERAGEIFS(Datos!$G$2:$G$18911,Datos!$E$2:$E$18911,$A33,Datos!$B$2:$B$18911,9,Datos!$C$2:$C$18911,"&lt;30",Datos!$F$2:$F$18911,"STANDBY"),0),"")</f>
        <v/>
      </c>
      <c r="E33" s="7">
        <f>IFERROR(ROUND(AVERAGEIFS(Datos!$G$2:$G$18911,Datos!$E$2:$E$18911,$A33,Datos!$B$2:$B$18911,9,Datos!$C$2:$C$18911,"&gt;=30",Datos!$F$2:$F$18911,"STANDBY"),0),"")</f>
        <v/>
      </c>
      <c r="F33" s="7">
        <f>IFERROR(ROUND(AVERAGEIFS(Datos!$G$2:$G$18911,Datos!$E$2:$E$18911,$A33,Datos!$B$2:$B$18911,10,Datos!$C$2:$C$18911,"&lt;30",Datos!$F$2:$F$18911,"STANDBY"),0),"")</f>
        <v/>
      </c>
      <c r="G33" s="7">
        <f>IFERROR(ROUND(AVERAGEIFS(Datos!$G$2:$G$18911,Datos!$E$2:$E$18911,$A33,Datos!$B$2:$B$18911,10,Datos!$C$2:$C$18911,"&gt;=30",Datos!$F$2:$F$18911,"STANDBY"),0),"")</f>
        <v/>
      </c>
      <c r="H33" s="7">
        <f>IFERROR(ROUND(AVERAGEIFS(Datos!$G$2:$G$18911,Datos!$E$2:$E$18911,$A33,Datos!$B$2:$B$18911,11,Datos!$C$2:$C$18911,"&lt;30",Datos!$F$2:$F$18911,"STANDBY"),0),"")</f>
        <v/>
      </c>
      <c r="I33" s="7">
        <f>IFERROR(ROUND(AVERAGEIFS(Datos!$G$2:$G$18911,Datos!$E$2:$E$18911,$A33,Datos!$B$2:$B$18911,11,Datos!$C$2:$C$18911,"&gt;=30",Datos!$F$2:$F$18911,"STANDBY"),0),"")</f>
        <v/>
      </c>
      <c r="J33" s="7">
        <f>IFERROR(ROUND(AVERAGEIFS(Datos!$G$2:$G$18911,Datos!$E$2:$E$18911,$A33,Datos!$B$2:$B$18911,12,Datos!$C$2:$C$18911,"&lt;30",Datos!$F$2:$F$18911,"STANDBY"),0),"")</f>
        <v/>
      </c>
      <c r="K33" s="7">
        <f>IFERROR(ROUND(AVERAGEIFS(Datos!$G$2:$G$18911,Datos!$E$2:$E$18911,$A33,Datos!$B$2:$B$18911,12,Datos!$C$2:$C$18911,"&gt;=30",Datos!$F$2:$F$18911,"STANDBY"),0),"")</f>
        <v/>
      </c>
      <c r="L33" s="7">
        <f>IFERROR(ROUND(AVERAGEIFS(Datos!$G$2:$G$18911,Datos!$E$2:$E$18911,$A33,Datos!$B$2:$B$18911,13,Datos!$C$2:$C$18911,"&lt;30",Datos!$F$2:$F$18911,"STANDBY"),0),"")</f>
        <v/>
      </c>
      <c r="M33" s="7">
        <f>IFERROR(ROUND(AVERAGEIFS(Datos!$G$2:$G$18911,Datos!$E$2:$E$18911,$A33,Datos!$B$2:$B$18911,13,Datos!$C$2:$C$18911,"&gt;=30",Datos!$F$2:$F$18911,"STANDBY"),0),"")</f>
        <v/>
      </c>
      <c r="N33" s="7">
        <f>IFERROR(ROUND(AVERAGEIFS(Datos!$G$2:$G$18911,Datos!$E$2:$E$18911,$A33,Datos!$B$2:$B$18911,14,Datos!$C$2:$C$18911,"&lt;30",Datos!$F$2:$F$18911,"STANDBY"),0),"")</f>
        <v/>
      </c>
      <c r="O33" s="7">
        <f>IFERROR(ROUND(AVERAGEIFS(Datos!$G$2:$G$18911,Datos!$E$2:$E$18911,$A33,Datos!$B$2:$B$18911,14,Datos!$C$2:$C$18911,"&gt;=30",Datos!$F$2:$F$18911,"STANDBY"),0),"")</f>
        <v/>
      </c>
      <c r="P33" s="7">
        <f>IFERROR(ROUND(AVERAGEIFS(Datos!$G$2:$G$18911,Datos!$E$2:$E$18911,$A33,Datos!$B$2:$B$18911,15,Datos!$C$2:$C$18911,"&lt;30",Datos!$F$2:$F$18911,"STANDBY"),0),"")</f>
        <v/>
      </c>
      <c r="Q33" s="7">
        <f>IFERROR(ROUND(AVERAGEIFS(Datos!$G$2:$G$18911,Datos!$E$2:$E$18911,$A33,Datos!$B$2:$B$18911,15,Datos!$C$2:$C$18911,"&gt;=30",Datos!$F$2:$F$18911,"STANDBY"),0),"")</f>
        <v/>
      </c>
      <c r="R33" s="7">
        <f>IFERROR(ROUND(AVERAGEIFS(Datos!$G$2:$G$18911,Datos!$E$2:$E$18911,$A33,Datos!$B$2:$B$18911,16,Datos!$C$2:$C$18911,"&lt;30",Datos!$F$2:$F$18911,"STANDBY"),0),"")</f>
        <v/>
      </c>
      <c r="S33" s="7">
        <f>IFERROR(ROUND(AVERAGEIFS(Datos!$G$2:$G$18911,Datos!$E$2:$E$18911,$A33,Datos!$B$2:$B$18911,16,Datos!$C$2:$C$18911,"&gt;=30",Datos!$F$2:$F$18911,"STANDBY"),0),"")</f>
        <v/>
      </c>
      <c r="T33" s="7">
        <f>IFERROR(ROUND(AVERAGEIFS(Datos!$G$2:$G$18911,Datos!$E$2:$E$18911,$A33,Datos!$B$2:$B$18911,17,Datos!$C$2:$C$18911,"&lt;30",Datos!$F$2:$F$18911,"STANDBY"),0),"")</f>
        <v/>
      </c>
      <c r="U33" s="7">
        <f>IFERROR(ROUND(AVERAGEIFS(Datos!$G$2:$G$18911,Datos!$E$2:$E$18911,$A33,Datos!$B$2:$B$18911,17,Datos!$C$2:$C$18911,"&gt;=30",Datos!$F$2:$F$18911,"STANDBY"),0),"")</f>
        <v/>
      </c>
      <c r="V33" s="7">
        <f>IFERROR(ROUND(AVERAGEIFS(Datos!$G$2:$G$18911,Datos!$E$2:$E$18911,$A33,Datos!$B$2:$B$18911,18,Datos!$C$2:$C$18911,"&lt;30",Datos!$F$2:$F$18911,"STANDBY"),0),"")</f>
        <v/>
      </c>
      <c r="W33" s="7">
        <f>IFERROR(ROUND(AVERAGEIFS(Datos!$G$2:$G$18911,Datos!$E$2:$E$18911,$A33,Datos!$B$2:$B$18911,18,Datos!$C$2:$C$18911,"&gt;=30",Datos!$F$2:$F$18911,"STANDBY"),0),"")</f>
        <v/>
      </c>
      <c r="X33" s="7">
        <f>IFERROR(ROUND(AVERAGEIFS(Datos!$G$2:$G$18911,Datos!$E$2:$E$18911,$A33,Datos!$B$2:$B$18911,19,Datos!$C$2:$C$18911,"&lt;30",Datos!$F$2:$F$18911,"STANDBY"),0),"")</f>
        <v/>
      </c>
      <c r="Y33" s="7">
        <f>IFERROR(ROUND(AVERAGEIFS(Datos!$G$2:$G$18911,Datos!$E$2:$E$18911,$A33,Datos!$B$2:$B$18911,19,Datos!$C$2:$C$18911,"&gt;=30",Datos!$F$2:$F$18911,"STANDBY"),0),"")</f>
        <v/>
      </c>
      <c r="Z33" s="7">
        <f>IFERROR(ROUND(AVERAGEIFS(Datos!$G$2:$G$18911,Datos!$E$2:$E$18911,$A33,Datos!$B$2:$B$18911,20,Datos!$C$2:$C$18911,"&lt;30",Datos!$F$2:$F$18911,"STANDBY"),0),"")</f>
        <v/>
      </c>
      <c r="AA33" s="7">
        <f>IFERROR(ROUND(AVERAGEIFS(Datos!$G$2:$G$18911,Datos!$E$2:$E$18911,$A33,Datos!$B$2:$B$18911,20,Datos!$C$2:$C$18911,"&gt;=30",Datos!$F$2:$F$18911,"STANDBY"),0),"")</f>
        <v/>
      </c>
      <c r="AB33" s="7">
        <f>IFERROR(ROUND(AVERAGEIFS(Datos!$G$2:$G$18911,Datos!$E$2:$E$18911,$A33,Datos!$B$2:$B$18911,21,Datos!$C$2:$C$18911,"&lt;30",Datos!$F$2:$F$18911,"STANDBY"),0),"")</f>
        <v/>
      </c>
      <c r="AC33" s="7">
        <f>IFERROR(ROUND(AVERAGEIFS(Datos!$G$2:$G$18911,Datos!$E$2:$E$18911,$A33,Datos!$B$2:$B$18911,21,Datos!$C$2:$C$18911,"&gt;=30",Datos!$F$2:$F$18911,"STANDBY"),0),"")</f>
        <v/>
      </c>
      <c r="AD33" s="7">
        <f>IFERROR(ROUND(AVERAGEIFS(Datos!$G$2:$G$18911,Datos!$E$2:$E$18911,$A33,Datos!$B$2:$B$18911,22,Datos!$C$2:$C$18911,"&lt;30",Datos!$F$2:$F$18911,"STANDBY"),0),"")</f>
        <v/>
      </c>
      <c r="AE33" s="7">
        <f>IFERROR(ROUND(AVERAGEIFS(Datos!$G$2:$G$18911,Datos!$E$2:$E$18911,$A33,Datos!$B$2:$B$18911,22,Datos!$C$2:$C$18911,"&gt;=30",Datos!$F$2:$F$18911,"STANDBY"),0),"")</f>
        <v/>
      </c>
      <c r="AF33" s="7">
        <f>IFERROR(ROUND(AVERAGEIFS(Datos!$G$2:$G$18911,Datos!$E$2:$E$18911,$A33,Datos!$B$2:$B$18911,23,Datos!$C$2:$C$18911,"&lt;30",Datos!$F$2:$F$18911,"STANDBY"),0),"")</f>
        <v/>
      </c>
      <c r="AG33" s="7">
        <f>IFERROR(ROUND(AVERAGEIFS(Datos!$G$2:$G$18911,Datos!$E$2:$E$18911,$A33,Datos!$B$2:$B$18911,23,Datos!$C$2:$C$18911,"&gt;=30",Datos!$F$2:$F$18911,"STANDBY"),0),"")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IFERROR(ROUND(AVERAGEIFS(Datos!$G$2:$G$18911,Datos!$E$2:$E$18911,$A34,Datos!$B$2:$B$18911,8,Datos!$C$2:$C$18911,"&lt;30",Datos!$F$2:$F$18911,"STANDBY"),0),"")</f>
        <v/>
      </c>
      <c r="C34" s="7">
        <f>IFERROR(ROUND(AVERAGEIFS(Datos!$G$2:$G$18911,Datos!$E$2:$E$18911,$A34,Datos!$B$2:$B$18911,8,Datos!$C$2:$C$18911,"&gt;=30",Datos!$F$2:$F$18911,"STANDBY"),0),"")</f>
        <v/>
      </c>
      <c r="D34" s="7">
        <f>IFERROR(ROUND(AVERAGEIFS(Datos!$G$2:$G$18911,Datos!$E$2:$E$18911,$A34,Datos!$B$2:$B$18911,9,Datos!$C$2:$C$18911,"&lt;30",Datos!$F$2:$F$18911,"STANDBY"),0),"")</f>
        <v/>
      </c>
      <c r="E34" s="7">
        <f>IFERROR(ROUND(AVERAGEIFS(Datos!$G$2:$G$18911,Datos!$E$2:$E$18911,$A34,Datos!$B$2:$B$18911,9,Datos!$C$2:$C$18911,"&gt;=30",Datos!$F$2:$F$18911,"STANDBY"),0),"")</f>
        <v/>
      </c>
      <c r="F34" s="7">
        <f>IFERROR(ROUND(AVERAGEIFS(Datos!$G$2:$G$18911,Datos!$E$2:$E$18911,$A34,Datos!$B$2:$B$18911,10,Datos!$C$2:$C$18911,"&lt;30",Datos!$F$2:$F$18911,"STANDBY"),0),"")</f>
        <v/>
      </c>
      <c r="G34" s="7">
        <f>IFERROR(ROUND(AVERAGEIFS(Datos!$G$2:$G$18911,Datos!$E$2:$E$18911,$A34,Datos!$B$2:$B$18911,10,Datos!$C$2:$C$18911,"&gt;=30",Datos!$F$2:$F$18911,"STANDBY"),0),"")</f>
        <v/>
      </c>
      <c r="H34" s="7">
        <f>IFERROR(ROUND(AVERAGEIFS(Datos!$G$2:$G$18911,Datos!$E$2:$E$18911,$A34,Datos!$B$2:$B$18911,11,Datos!$C$2:$C$18911,"&lt;30",Datos!$F$2:$F$18911,"STANDBY"),0),"")</f>
        <v/>
      </c>
      <c r="I34" s="7">
        <f>IFERROR(ROUND(AVERAGEIFS(Datos!$G$2:$G$18911,Datos!$E$2:$E$18911,$A34,Datos!$B$2:$B$18911,11,Datos!$C$2:$C$18911,"&gt;=30",Datos!$F$2:$F$18911,"STANDBY"),0),"")</f>
        <v/>
      </c>
      <c r="J34" s="7">
        <f>IFERROR(ROUND(AVERAGEIFS(Datos!$G$2:$G$18911,Datos!$E$2:$E$18911,$A34,Datos!$B$2:$B$18911,12,Datos!$C$2:$C$18911,"&lt;30",Datos!$F$2:$F$18911,"STANDBY"),0),"")</f>
        <v/>
      </c>
      <c r="K34" s="7">
        <f>IFERROR(ROUND(AVERAGEIFS(Datos!$G$2:$G$18911,Datos!$E$2:$E$18911,$A34,Datos!$B$2:$B$18911,12,Datos!$C$2:$C$18911,"&gt;=30",Datos!$F$2:$F$18911,"STANDBY"),0),"")</f>
        <v/>
      </c>
      <c r="L34" s="7">
        <f>IFERROR(ROUND(AVERAGEIFS(Datos!$G$2:$G$18911,Datos!$E$2:$E$18911,$A34,Datos!$B$2:$B$18911,13,Datos!$C$2:$C$18911,"&lt;30",Datos!$F$2:$F$18911,"STANDBY"),0),"")</f>
        <v/>
      </c>
      <c r="M34" s="7">
        <f>IFERROR(ROUND(AVERAGEIFS(Datos!$G$2:$G$18911,Datos!$E$2:$E$18911,$A34,Datos!$B$2:$B$18911,13,Datos!$C$2:$C$18911,"&gt;=30",Datos!$F$2:$F$18911,"STANDBY"),0),"")</f>
        <v/>
      </c>
      <c r="N34" s="7">
        <f>IFERROR(ROUND(AVERAGEIFS(Datos!$G$2:$G$18911,Datos!$E$2:$E$18911,$A34,Datos!$B$2:$B$18911,14,Datos!$C$2:$C$18911,"&lt;30",Datos!$F$2:$F$18911,"STANDBY"),0),"")</f>
        <v/>
      </c>
      <c r="O34" s="7">
        <f>IFERROR(ROUND(AVERAGEIFS(Datos!$G$2:$G$18911,Datos!$E$2:$E$18911,$A34,Datos!$B$2:$B$18911,14,Datos!$C$2:$C$18911,"&gt;=30",Datos!$F$2:$F$18911,"STANDBY"),0),"")</f>
        <v/>
      </c>
      <c r="P34" s="7">
        <f>IFERROR(ROUND(AVERAGEIFS(Datos!$G$2:$G$18911,Datos!$E$2:$E$18911,$A34,Datos!$B$2:$B$18911,15,Datos!$C$2:$C$18911,"&lt;30",Datos!$F$2:$F$18911,"STANDBY"),0),"")</f>
        <v/>
      </c>
      <c r="Q34" s="7">
        <f>IFERROR(ROUND(AVERAGEIFS(Datos!$G$2:$G$18911,Datos!$E$2:$E$18911,$A34,Datos!$B$2:$B$18911,15,Datos!$C$2:$C$18911,"&gt;=30",Datos!$F$2:$F$18911,"STANDBY"),0),"")</f>
        <v/>
      </c>
      <c r="R34" s="7">
        <f>IFERROR(ROUND(AVERAGEIFS(Datos!$G$2:$G$18911,Datos!$E$2:$E$18911,$A34,Datos!$B$2:$B$18911,16,Datos!$C$2:$C$18911,"&lt;30",Datos!$F$2:$F$18911,"STANDBY"),0),"")</f>
        <v/>
      </c>
      <c r="S34" s="7">
        <f>IFERROR(ROUND(AVERAGEIFS(Datos!$G$2:$G$18911,Datos!$E$2:$E$18911,$A34,Datos!$B$2:$B$18911,16,Datos!$C$2:$C$18911,"&gt;=30",Datos!$F$2:$F$18911,"STANDBY"),0),"")</f>
        <v/>
      </c>
      <c r="T34" s="7">
        <f>IFERROR(ROUND(AVERAGEIFS(Datos!$G$2:$G$18911,Datos!$E$2:$E$18911,$A34,Datos!$B$2:$B$18911,17,Datos!$C$2:$C$18911,"&lt;30",Datos!$F$2:$F$18911,"STANDBY"),0),"")</f>
        <v/>
      </c>
      <c r="U34" s="7">
        <f>IFERROR(ROUND(AVERAGEIFS(Datos!$G$2:$G$18911,Datos!$E$2:$E$18911,$A34,Datos!$B$2:$B$18911,17,Datos!$C$2:$C$18911,"&gt;=30",Datos!$F$2:$F$18911,"STANDBY"),0),"")</f>
        <v/>
      </c>
      <c r="V34" s="7">
        <f>IFERROR(ROUND(AVERAGEIFS(Datos!$G$2:$G$18911,Datos!$E$2:$E$18911,$A34,Datos!$B$2:$B$18911,18,Datos!$C$2:$C$18911,"&lt;30",Datos!$F$2:$F$18911,"STANDBY"),0),"")</f>
        <v/>
      </c>
      <c r="W34" s="7">
        <f>IFERROR(ROUND(AVERAGEIFS(Datos!$G$2:$G$18911,Datos!$E$2:$E$18911,$A34,Datos!$B$2:$B$18911,18,Datos!$C$2:$C$18911,"&gt;=30",Datos!$F$2:$F$18911,"STANDBY"),0),"")</f>
        <v/>
      </c>
      <c r="X34" s="7">
        <f>IFERROR(ROUND(AVERAGEIFS(Datos!$G$2:$G$18911,Datos!$E$2:$E$18911,$A34,Datos!$B$2:$B$18911,19,Datos!$C$2:$C$18911,"&lt;30",Datos!$F$2:$F$18911,"STANDBY"),0),"")</f>
        <v/>
      </c>
      <c r="Y34" s="7">
        <f>IFERROR(ROUND(AVERAGEIFS(Datos!$G$2:$G$18911,Datos!$E$2:$E$18911,$A34,Datos!$B$2:$B$18911,19,Datos!$C$2:$C$18911,"&gt;=30",Datos!$F$2:$F$18911,"STANDBY"),0),"")</f>
        <v/>
      </c>
      <c r="Z34" s="7">
        <f>IFERROR(ROUND(AVERAGEIFS(Datos!$G$2:$G$18911,Datos!$E$2:$E$18911,$A34,Datos!$B$2:$B$18911,20,Datos!$C$2:$C$18911,"&lt;30",Datos!$F$2:$F$18911,"STANDBY"),0),"")</f>
        <v/>
      </c>
      <c r="AA34" s="7">
        <f>IFERROR(ROUND(AVERAGEIFS(Datos!$G$2:$G$18911,Datos!$E$2:$E$18911,$A34,Datos!$B$2:$B$18911,20,Datos!$C$2:$C$18911,"&gt;=30",Datos!$F$2:$F$18911,"STANDBY"),0),"")</f>
        <v/>
      </c>
      <c r="AB34" s="7">
        <f>IFERROR(ROUND(AVERAGEIFS(Datos!$G$2:$G$18911,Datos!$E$2:$E$18911,$A34,Datos!$B$2:$B$18911,21,Datos!$C$2:$C$18911,"&lt;30",Datos!$F$2:$F$18911,"STANDBY"),0),"")</f>
        <v/>
      </c>
      <c r="AC34" s="7">
        <f>IFERROR(ROUND(AVERAGEIFS(Datos!$G$2:$G$18911,Datos!$E$2:$E$18911,$A34,Datos!$B$2:$B$18911,21,Datos!$C$2:$C$18911,"&gt;=30",Datos!$F$2:$F$18911,"STANDBY"),0),"")</f>
        <v/>
      </c>
      <c r="AD34" s="7">
        <f>IFERROR(ROUND(AVERAGEIFS(Datos!$G$2:$G$18911,Datos!$E$2:$E$18911,$A34,Datos!$B$2:$B$18911,22,Datos!$C$2:$C$18911,"&lt;30",Datos!$F$2:$F$18911,"STANDBY"),0),"")</f>
        <v/>
      </c>
      <c r="AE34" s="7">
        <f>IFERROR(ROUND(AVERAGEIFS(Datos!$G$2:$G$18911,Datos!$E$2:$E$18911,$A34,Datos!$B$2:$B$18911,22,Datos!$C$2:$C$18911,"&gt;=30",Datos!$F$2:$F$18911,"STANDBY"),0),"")</f>
        <v/>
      </c>
      <c r="AF34" s="7">
        <f>IFERROR(ROUND(AVERAGEIFS(Datos!$G$2:$G$18911,Datos!$E$2:$E$18911,$A34,Datos!$B$2:$B$18911,23,Datos!$C$2:$C$18911,"&lt;30",Datos!$F$2:$F$18911,"STANDBY"),0),"")</f>
        <v/>
      </c>
      <c r="AG34" s="7">
        <f>IFERROR(ROUND(AVERAGEIFS(Datos!$G$2:$G$18911,Datos!$E$2:$E$18911,$A34,Datos!$B$2:$B$18911,23,Datos!$C$2:$C$18911,"&gt;=30",Datos!$F$2:$F$18911,"STANDBY"),0),"")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IFERROR(ROUND(AVERAGEIFS(Datos!$G$2:$G$18911,Datos!$E$2:$E$18911,$A35,Datos!$B$2:$B$18911,8,Datos!$C$2:$C$18911,"&lt;30",Datos!$F$2:$F$18911,"STANDBY"),0),"")</f>
        <v/>
      </c>
      <c r="C35" s="7">
        <f>IFERROR(ROUND(AVERAGEIFS(Datos!$G$2:$G$18911,Datos!$E$2:$E$18911,$A35,Datos!$B$2:$B$18911,8,Datos!$C$2:$C$18911,"&gt;=30",Datos!$F$2:$F$18911,"STANDBY"),0),"")</f>
        <v/>
      </c>
      <c r="D35" s="7">
        <f>IFERROR(ROUND(AVERAGEIFS(Datos!$G$2:$G$18911,Datos!$E$2:$E$18911,$A35,Datos!$B$2:$B$18911,9,Datos!$C$2:$C$18911,"&lt;30",Datos!$F$2:$F$18911,"STANDBY"),0),"")</f>
        <v/>
      </c>
      <c r="E35" s="7">
        <f>IFERROR(ROUND(AVERAGEIFS(Datos!$G$2:$G$18911,Datos!$E$2:$E$18911,$A35,Datos!$B$2:$B$18911,9,Datos!$C$2:$C$18911,"&gt;=30",Datos!$F$2:$F$18911,"STANDBY"),0),"")</f>
        <v/>
      </c>
      <c r="F35" s="7">
        <f>IFERROR(ROUND(AVERAGEIFS(Datos!$G$2:$G$18911,Datos!$E$2:$E$18911,$A35,Datos!$B$2:$B$18911,10,Datos!$C$2:$C$18911,"&lt;30",Datos!$F$2:$F$18911,"STANDBY"),0),"")</f>
        <v/>
      </c>
      <c r="G35" s="7">
        <f>IFERROR(ROUND(AVERAGEIFS(Datos!$G$2:$G$18911,Datos!$E$2:$E$18911,$A35,Datos!$B$2:$B$18911,10,Datos!$C$2:$C$18911,"&gt;=30",Datos!$F$2:$F$18911,"STANDBY"),0),"")</f>
        <v/>
      </c>
      <c r="H35" s="7">
        <f>IFERROR(ROUND(AVERAGEIFS(Datos!$G$2:$G$18911,Datos!$E$2:$E$18911,$A35,Datos!$B$2:$B$18911,11,Datos!$C$2:$C$18911,"&lt;30",Datos!$F$2:$F$18911,"STANDBY"),0),"")</f>
        <v/>
      </c>
      <c r="I35" s="7">
        <f>IFERROR(ROUND(AVERAGEIFS(Datos!$G$2:$G$18911,Datos!$E$2:$E$18911,$A35,Datos!$B$2:$B$18911,11,Datos!$C$2:$C$18911,"&gt;=30",Datos!$F$2:$F$18911,"STANDBY"),0),"")</f>
        <v/>
      </c>
      <c r="J35" s="7">
        <f>IFERROR(ROUND(AVERAGEIFS(Datos!$G$2:$G$18911,Datos!$E$2:$E$18911,$A35,Datos!$B$2:$B$18911,12,Datos!$C$2:$C$18911,"&lt;30",Datos!$F$2:$F$18911,"STANDBY"),0),"")</f>
        <v/>
      </c>
      <c r="K35" s="7">
        <f>IFERROR(ROUND(AVERAGEIFS(Datos!$G$2:$G$18911,Datos!$E$2:$E$18911,$A35,Datos!$B$2:$B$18911,12,Datos!$C$2:$C$18911,"&gt;=30",Datos!$F$2:$F$18911,"STANDBY"),0),"")</f>
        <v/>
      </c>
      <c r="L35" s="7">
        <f>IFERROR(ROUND(AVERAGEIFS(Datos!$G$2:$G$18911,Datos!$E$2:$E$18911,$A35,Datos!$B$2:$B$18911,13,Datos!$C$2:$C$18911,"&lt;30",Datos!$F$2:$F$18911,"STANDBY"),0),"")</f>
        <v/>
      </c>
      <c r="M35" s="7">
        <f>IFERROR(ROUND(AVERAGEIFS(Datos!$G$2:$G$18911,Datos!$E$2:$E$18911,$A35,Datos!$B$2:$B$18911,13,Datos!$C$2:$C$18911,"&gt;=30",Datos!$F$2:$F$18911,"STANDBY"),0),"")</f>
        <v/>
      </c>
      <c r="N35" s="7">
        <f>IFERROR(ROUND(AVERAGEIFS(Datos!$G$2:$G$18911,Datos!$E$2:$E$18911,$A35,Datos!$B$2:$B$18911,14,Datos!$C$2:$C$18911,"&lt;30",Datos!$F$2:$F$18911,"STANDBY"),0),"")</f>
        <v/>
      </c>
      <c r="O35" s="7">
        <f>IFERROR(ROUND(AVERAGEIFS(Datos!$G$2:$G$18911,Datos!$E$2:$E$18911,$A35,Datos!$B$2:$B$18911,14,Datos!$C$2:$C$18911,"&gt;=30",Datos!$F$2:$F$18911,"STANDBY"),0),"")</f>
        <v/>
      </c>
      <c r="P35" s="7">
        <f>IFERROR(ROUND(AVERAGEIFS(Datos!$G$2:$G$18911,Datos!$E$2:$E$18911,$A35,Datos!$B$2:$B$18911,15,Datos!$C$2:$C$18911,"&lt;30",Datos!$F$2:$F$18911,"STANDBY"),0),"")</f>
        <v/>
      </c>
      <c r="Q35" s="7">
        <f>IFERROR(ROUND(AVERAGEIFS(Datos!$G$2:$G$18911,Datos!$E$2:$E$18911,$A35,Datos!$B$2:$B$18911,15,Datos!$C$2:$C$18911,"&gt;=30",Datos!$F$2:$F$18911,"STANDBY"),0),"")</f>
        <v/>
      </c>
      <c r="R35" s="7">
        <f>IFERROR(ROUND(AVERAGEIFS(Datos!$G$2:$G$18911,Datos!$E$2:$E$18911,$A35,Datos!$B$2:$B$18911,16,Datos!$C$2:$C$18911,"&lt;30",Datos!$F$2:$F$18911,"STANDBY"),0),"")</f>
        <v/>
      </c>
      <c r="S35" s="7">
        <f>IFERROR(ROUND(AVERAGEIFS(Datos!$G$2:$G$18911,Datos!$E$2:$E$18911,$A35,Datos!$B$2:$B$18911,16,Datos!$C$2:$C$18911,"&gt;=30",Datos!$F$2:$F$18911,"STANDBY"),0),"")</f>
        <v/>
      </c>
      <c r="T35" s="7">
        <f>IFERROR(ROUND(AVERAGEIFS(Datos!$G$2:$G$18911,Datos!$E$2:$E$18911,$A35,Datos!$B$2:$B$18911,17,Datos!$C$2:$C$18911,"&lt;30",Datos!$F$2:$F$18911,"STANDBY"),0),"")</f>
        <v/>
      </c>
      <c r="U35" s="7">
        <f>IFERROR(ROUND(AVERAGEIFS(Datos!$G$2:$G$18911,Datos!$E$2:$E$18911,$A35,Datos!$B$2:$B$18911,17,Datos!$C$2:$C$18911,"&gt;=30",Datos!$F$2:$F$18911,"STANDBY"),0),"")</f>
        <v/>
      </c>
      <c r="V35" s="7">
        <f>IFERROR(ROUND(AVERAGEIFS(Datos!$G$2:$G$18911,Datos!$E$2:$E$18911,$A35,Datos!$B$2:$B$18911,18,Datos!$C$2:$C$18911,"&lt;30",Datos!$F$2:$F$18911,"STANDBY"),0),"")</f>
        <v/>
      </c>
      <c r="W35" s="7">
        <f>IFERROR(ROUND(AVERAGEIFS(Datos!$G$2:$G$18911,Datos!$E$2:$E$18911,$A35,Datos!$B$2:$B$18911,18,Datos!$C$2:$C$18911,"&gt;=30",Datos!$F$2:$F$18911,"STANDBY"),0),"")</f>
        <v/>
      </c>
      <c r="X35" s="7">
        <f>IFERROR(ROUND(AVERAGEIFS(Datos!$G$2:$G$18911,Datos!$E$2:$E$18911,$A35,Datos!$B$2:$B$18911,19,Datos!$C$2:$C$18911,"&lt;30",Datos!$F$2:$F$18911,"STANDBY"),0),"")</f>
        <v/>
      </c>
      <c r="Y35" s="7">
        <f>IFERROR(ROUND(AVERAGEIFS(Datos!$G$2:$G$18911,Datos!$E$2:$E$18911,$A35,Datos!$B$2:$B$18911,19,Datos!$C$2:$C$18911,"&gt;=30",Datos!$F$2:$F$18911,"STANDBY"),0),"")</f>
        <v/>
      </c>
      <c r="Z35" s="7">
        <f>IFERROR(ROUND(AVERAGEIFS(Datos!$G$2:$G$18911,Datos!$E$2:$E$18911,$A35,Datos!$B$2:$B$18911,20,Datos!$C$2:$C$18911,"&lt;30",Datos!$F$2:$F$18911,"STANDBY"),0),"")</f>
        <v/>
      </c>
      <c r="AA35" s="7">
        <f>IFERROR(ROUND(AVERAGEIFS(Datos!$G$2:$G$18911,Datos!$E$2:$E$18911,$A35,Datos!$B$2:$B$18911,20,Datos!$C$2:$C$18911,"&gt;=30",Datos!$F$2:$F$18911,"STANDBY"),0),"")</f>
        <v/>
      </c>
      <c r="AB35" s="7">
        <f>IFERROR(ROUND(AVERAGEIFS(Datos!$G$2:$G$18911,Datos!$E$2:$E$18911,$A35,Datos!$B$2:$B$18911,21,Datos!$C$2:$C$18911,"&lt;30",Datos!$F$2:$F$18911,"STANDBY"),0),"")</f>
        <v/>
      </c>
      <c r="AC35" s="7">
        <f>IFERROR(ROUND(AVERAGEIFS(Datos!$G$2:$G$18911,Datos!$E$2:$E$18911,$A35,Datos!$B$2:$B$18911,21,Datos!$C$2:$C$18911,"&gt;=30",Datos!$F$2:$F$18911,"STANDBY"),0),"")</f>
        <v/>
      </c>
      <c r="AD35" s="7">
        <f>IFERROR(ROUND(AVERAGEIFS(Datos!$G$2:$G$18911,Datos!$E$2:$E$18911,$A35,Datos!$B$2:$B$18911,22,Datos!$C$2:$C$18911,"&lt;30",Datos!$F$2:$F$18911,"STANDBY"),0),"")</f>
        <v/>
      </c>
      <c r="AE35" s="7">
        <f>IFERROR(ROUND(AVERAGEIFS(Datos!$G$2:$G$18911,Datos!$E$2:$E$18911,$A35,Datos!$B$2:$B$18911,22,Datos!$C$2:$C$18911,"&gt;=30",Datos!$F$2:$F$18911,"STANDBY"),0),"")</f>
        <v/>
      </c>
      <c r="AF35" s="7">
        <f>IFERROR(ROUND(AVERAGEIFS(Datos!$G$2:$G$18911,Datos!$E$2:$E$18911,$A35,Datos!$B$2:$B$18911,23,Datos!$C$2:$C$18911,"&lt;30",Datos!$F$2:$F$18911,"STANDBY"),0),"")</f>
        <v/>
      </c>
      <c r="AG35" s="7">
        <f>IFERROR(ROUND(AVERAGEIFS(Datos!$G$2:$G$18911,Datos!$E$2:$E$18911,$A35,Datos!$B$2:$B$18911,23,Datos!$C$2:$C$18911,"&gt;=30",Datos!$F$2:$F$18911,"STANDBY"),0),"")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IFERROR(ROUND(AVERAGEIFS(Datos!$G$2:$G$18911,Datos!$E$2:$E$18911,$A36,Datos!$B$2:$B$18911,8,Datos!$C$2:$C$18911,"&lt;30",Datos!$F$2:$F$18911,"STANDBY"),0),"")</f>
        <v/>
      </c>
      <c r="C36" s="7">
        <f>IFERROR(ROUND(AVERAGEIFS(Datos!$G$2:$G$18911,Datos!$E$2:$E$18911,$A36,Datos!$B$2:$B$18911,8,Datos!$C$2:$C$18911,"&gt;=30",Datos!$F$2:$F$18911,"STANDBY"),0),"")</f>
        <v/>
      </c>
      <c r="D36" s="7">
        <f>IFERROR(ROUND(AVERAGEIFS(Datos!$G$2:$G$18911,Datos!$E$2:$E$18911,$A36,Datos!$B$2:$B$18911,9,Datos!$C$2:$C$18911,"&lt;30",Datos!$F$2:$F$18911,"STANDBY"),0),"")</f>
        <v/>
      </c>
      <c r="E36" s="7">
        <f>IFERROR(ROUND(AVERAGEIFS(Datos!$G$2:$G$18911,Datos!$E$2:$E$18911,$A36,Datos!$B$2:$B$18911,9,Datos!$C$2:$C$18911,"&gt;=30",Datos!$F$2:$F$18911,"STANDBY"),0),"")</f>
        <v/>
      </c>
      <c r="F36" s="7">
        <f>IFERROR(ROUND(AVERAGEIFS(Datos!$G$2:$G$18911,Datos!$E$2:$E$18911,$A36,Datos!$B$2:$B$18911,10,Datos!$C$2:$C$18911,"&lt;30",Datos!$F$2:$F$18911,"STANDBY"),0),"")</f>
        <v/>
      </c>
      <c r="G36" s="7">
        <f>IFERROR(ROUND(AVERAGEIFS(Datos!$G$2:$G$18911,Datos!$E$2:$E$18911,$A36,Datos!$B$2:$B$18911,10,Datos!$C$2:$C$18911,"&gt;=30",Datos!$F$2:$F$18911,"STANDBY"),0),"")</f>
        <v/>
      </c>
      <c r="H36" s="7">
        <f>IFERROR(ROUND(AVERAGEIFS(Datos!$G$2:$G$18911,Datos!$E$2:$E$18911,$A36,Datos!$B$2:$B$18911,11,Datos!$C$2:$C$18911,"&lt;30",Datos!$F$2:$F$18911,"STANDBY"),0),"")</f>
        <v/>
      </c>
      <c r="I36" s="7">
        <f>IFERROR(ROUND(AVERAGEIFS(Datos!$G$2:$G$18911,Datos!$E$2:$E$18911,$A36,Datos!$B$2:$B$18911,11,Datos!$C$2:$C$18911,"&gt;=30",Datos!$F$2:$F$18911,"STANDBY"),0),"")</f>
        <v/>
      </c>
      <c r="J36" s="7">
        <f>IFERROR(ROUND(AVERAGEIFS(Datos!$G$2:$G$18911,Datos!$E$2:$E$18911,$A36,Datos!$B$2:$B$18911,12,Datos!$C$2:$C$18911,"&lt;30",Datos!$F$2:$F$18911,"STANDBY"),0),"")</f>
        <v/>
      </c>
      <c r="K36" s="7">
        <f>IFERROR(ROUND(AVERAGEIFS(Datos!$G$2:$G$18911,Datos!$E$2:$E$18911,$A36,Datos!$B$2:$B$18911,12,Datos!$C$2:$C$18911,"&gt;=30",Datos!$F$2:$F$18911,"STANDBY"),0),"")</f>
        <v/>
      </c>
      <c r="L36" s="7">
        <f>IFERROR(ROUND(AVERAGEIFS(Datos!$G$2:$G$18911,Datos!$E$2:$E$18911,$A36,Datos!$B$2:$B$18911,13,Datos!$C$2:$C$18911,"&lt;30",Datos!$F$2:$F$18911,"STANDBY"),0),"")</f>
        <v/>
      </c>
      <c r="M36" s="7">
        <f>IFERROR(ROUND(AVERAGEIFS(Datos!$G$2:$G$18911,Datos!$E$2:$E$18911,$A36,Datos!$B$2:$B$18911,13,Datos!$C$2:$C$18911,"&gt;=30",Datos!$F$2:$F$18911,"STANDBY"),0),"")</f>
        <v/>
      </c>
      <c r="N36" s="7">
        <f>IFERROR(ROUND(AVERAGEIFS(Datos!$G$2:$G$18911,Datos!$E$2:$E$18911,$A36,Datos!$B$2:$B$18911,14,Datos!$C$2:$C$18911,"&lt;30",Datos!$F$2:$F$18911,"STANDBY"),0),"")</f>
        <v/>
      </c>
      <c r="O36" s="7">
        <f>IFERROR(ROUND(AVERAGEIFS(Datos!$G$2:$G$18911,Datos!$E$2:$E$18911,$A36,Datos!$B$2:$B$18911,14,Datos!$C$2:$C$18911,"&gt;=30",Datos!$F$2:$F$18911,"STANDBY"),0),"")</f>
        <v/>
      </c>
      <c r="P36" s="7">
        <f>IFERROR(ROUND(AVERAGEIFS(Datos!$G$2:$G$18911,Datos!$E$2:$E$18911,$A36,Datos!$B$2:$B$18911,15,Datos!$C$2:$C$18911,"&lt;30",Datos!$F$2:$F$18911,"STANDBY"),0),"")</f>
        <v/>
      </c>
      <c r="Q36" s="7">
        <f>IFERROR(ROUND(AVERAGEIFS(Datos!$G$2:$G$18911,Datos!$E$2:$E$18911,$A36,Datos!$B$2:$B$18911,15,Datos!$C$2:$C$18911,"&gt;=30",Datos!$F$2:$F$18911,"STANDBY"),0),"")</f>
        <v/>
      </c>
      <c r="R36" s="7">
        <f>IFERROR(ROUND(AVERAGEIFS(Datos!$G$2:$G$18911,Datos!$E$2:$E$18911,$A36,Datos!$B$2:$B$18911,16,Datos!$C$2:$C$18911,"&lt;30",Datos!$F$2:$F$18911,"STANDBY"),0),"")</f>
        <v/>
      </c>
      <c r="S36" s="7">
        <f>IFERROR(ROUND(AVERAGEIFS(Datos!$G$2:$G$18911,Datos!$E$2:$E$18911,$A36,Datos!$B$2:$B$18911,16,Datos!$C$2:$C$18911,"&gt;=30",Datos!$F$2:$F$18911,"STANDBY"),0),"")</f>
        <v/>
      </c>
      <c r="T36" s="7">
        <f>IFERROR(ROUND(AVERAGEIFS(Datos!$G$2:$G$18911,Datos!$E$2:$E$18911,$A36,Datos!$B$2:$B$18911,17,Datos!$C$2:$C$18911,"&lt;30",Datos!$F$2:$F$18911,"STANDBY"),0),"")</f>
        <v/>
      </c>
      <c r="U36" s="7">
        <f>IFERROR(ROUND(AVERAGEIFS(Datos!$G$2:$G$18911,Datos!$E$2:$E$18911,$A36,Datos!$B$2:$B$18911,17,Datos!$C$2:$C$18911,"&gt;=30",Datos!$F$2:$F$18911,"STANDBY"),0),"")</f>
        <v/>
      </c>
      <c r="V36" s="7">
        <f>IFERROR(ROUND(AVERAGEIFS(Datos!$G$2:$G$18911,Datos!$E$2:$E$18911,$A36,Datos!$B$2:$B$18911,18,Datos!$C$2:$C$18911,"&lt;30",Datos!$F$2:$F$18911,"STANDBY"),0),"")</f>
        <v/>
      </c>
      <c r="W36" s="7">
        <f>IFERROR(ROUND(AVERAGEIFS(Datos!$G$2:$G$18911,Datos!$E$2:$E$18911,$A36,Datos!$B$2:$B$18911,18,Datos!$C$2:$C$18911,"&gt;=30",Datos!$F$2:$F$18911,"STANDBY"),0),"")</f>
        <v/>
      </c>
      <c r="X36" s="7">
        <f>IFERROR(ROUND(AVERAGEIFS(Datos!$G$2:$G$18911,Datos!$E$2:$E$18911,$A36,Datos!$B$2:$B$18911,19,Datos!$C$2:$C$18911,"&lt;30",Datos!$F$2:$F$18911,"STANDBY"),0),"")</f>
        <v/>
      </c>
      <c r="Y36" s="7">
        <f>IFERROR(ROUND(AVERAGEIFS(Datos!$G$2:$G$18911,Datos!$E$2:$E$18911,$A36,Datos!$B$2:$B$18911,19,Datos!$C$2:$C$18911,"&gt;=30",Datos!$F$2:$F$18911,"STANDBY"),0),"")</f>
        <v/>
      </c>
      <c r="Z36" s="7">
        <f>IFERROR(ROUND(AVERAGEIFS(Datos!$G$2:$G$18911,Datos!$E$2:$E$18911,$A36,Datos!$B$2:$B$18911,20,Datos!$C$2:$C$18911,"&lt;30",Datos!$F$2:$F$18911,"STANDBY"),0),"")</f>
        <v/>
      </c>
      <c r="AA36" s="7">
        <f>IFERROR(ROUND(AVERAGEIFS(Datos!$G$2:$G$18911,Datos!$E$2:$E$18911,$A36,Datos!$B$2:$B$18911,20,Datos!$C$2:$C$18911,"&gt;=30",Datos!$F$2:$F$18911,"STANDBY"),0),"")</f>
        <v/>
      </c>
      <c r="AB36" s="7">
        <f>IFERROR(ROUND(AVERAGEIFS(Datos!$G$2:$G$18911,Datos!$E$2:$E$18911,$A36,Datos!$B$2:$B$18911,21,Datos!$C$2:$C$18911,"&lt;30",Datos!$F$2:$F$18911,"STANDBY"),0),"")</f>
        <v/>
      </c>
      <c r="AC36" s="7">
        <f>IFERROR(ROUND(AVERAGEIFS(Datos!$G$2:$G$18911,Datos!$E$2:$E$18911,$A36,Datos!$B$2:$B$18911,21,Datos!$C$2:$C$18911,"&gt;=30",Datos!$F$2:$F$18911,"STANDBY"),0),"")</f>
        <v/>
      </c>
      <c r="AD36" s="7">
        <f>IFERROR(ROUND(AVERAGEIFS(Datos!$G$2:$G$18911,Datos!$E$2:$E$18911,$A36,Datos!$B$2:$B$18911,22,Datos!$C$2:$C$18911,"&lt;30",Datos!$F$2:$F$18911,"STANDBY"),0),"")</f>
        <v/>
      </c>
      <c r="AE36" s="7">
        <f>IFERROR(ROUND(AVERAGEIFS(Datos!$G$2:$G$18911,Datos!$E$2:$E$18911,$A36,Datos!$B$2:$B$18911,22,Datos!$C$2:$C$18911,"&gt;=30",Datos!$F$2:$F$18911,"STANDBY"),0),"")</f>
        <v/>
      </c>
      <c r="AF36" s="7">
        <f>IFERROR(ROUND(AVERAGEIFS(Datos!$G$2:$G$18911,Datos!$E$2:$E$18911,$A36,Datos!$B$2:$B$18911,23,Datos!$C$2:$C$18911,"&lt;30",Datos!$F$2:$F$18911,"STANDBY"),0),"")</f>
        <v/>
      </c>
      <c r="AG36" s="7">
        <f>IFERROR(ROUND(AVERAGEIFS(Datos!$G$2:$G$18911,Datos!$E$2:$E$18911,$A36,Datos!$B$2:$B$18911,23,Datos!$C$2:$C$18911,"&gt;=30",Datos!$F$2:$F$18911,"STANDBY"),0),"")</f>
        <v/>
      </c>
    </row>
    <row r="37">
      <c r="A37" s="6" t="inlineStr">
        <is>
          <t>Dumbo the Flying Elephant</t>
        </is>
      </c>
      <c r="B37" s="7">
        <f>IFERROR(ROUND(AVERAGEIFS(Datos!$G$2:$G$18911,Datos!$E$2:$E$18911,$A37,Datos!$B$2:$B$18911,8,Datos!$C$2:$C$18911,"&lt;30",Datos!$F$2:$F$18911,"STANDBY"),0),"")</f>
        <v/>
      </c>
      <c r="C37" s="7">
        <f>IFERROR(ROUND(AVERAGEIFS(Datos!$G$2:$G$18911,Datos!$E$2:$E$18911,$A37,Datos!$B$2:$B$18911,8,Datos!$C$2:$C$18911,"&gt;=30",Datos!$F$2:$F$18911,"STANDBY"),0),"")</f>
        <v/>
      </c>
      <c r="D37" s="7">
        <f>IFERROR(ROUND(AVERAGEIFS(Datos!$G$2:$G$18911,Datos!$E$2:$E$18911,$A37,Datos!$B$2:$B$18911,9,Datos!$C$2:$C$18911,"&lt;30",Datos!$F$2:$F$18911,"STANDBY"),0),"")</f>
        <v/>
      </c>
      <c r="E37" s="7">
        <f>IFERROR(ROUND(AVERAGEIFS(Datos!$G$2:$G$18911,Datos!$E$2:$E$18911,$A37,Datos!$B$2:$B$18911,9,Datos!$C$2:$C$18911,"&gt;=30",Datos!$F$2:$F$18911,"STANDBY"),0),"")</f>
        <v/>
      </c>
      <c r="F37" s="7">
        <f>IFERROR(ROUND(AVERAGEIFS(Datos!$G$2:$G$18911,Datos!$E$2:$E$18911,$A37,Datos!$B$2:$B$18911,10,Datos!$C$2:$C$18911,"&lt;30",Datos!$F$2:$F$18911,"STANDBY"),0),"")</f>
        <v/>
      </c>
      <c r="G37" s="7">
        <f>IFERROR(ROUND(AVERAGEIFS(Datos!$G$2:$G$18911,Datos!$E$2:$E$18911,$A37,Datos!$B$2:$B$18911,10,Datos!$C$2:$C$18911,"&gt;=30",Datos!$F$2:$F$18911,"STANDBY"),0),"")</f>
        <v/>
      </c>
      <c r="H37" s="7">
        <f>IFERROR(ROUND(AVERAGEIFS(Datos!$G$2:$G$18911,Datos!$E$2:$E$18911,$A37,Datos!$B$2:$B$18911,11,Datos!$C$2:$C$18911,"&lt;30",Datos!$F$2:$F$18911,"STANDBY"),0),"")</f>
        <v/>
      </c>
      <c r="I37" s="7">
        <f>IFERROR(ROUND(AVERAGEIFS(Datos!$G$2:$G$18911,Datos!$E$2:$E$18911,$A37,Datos!$B$2:$B$18911,11,Datos!$C$2:$C$18911,"&gt;=30",Datos!$F$2:$F$18911,"STANDBY"),0),"")</f>
        <v/>
      </c>
      <c r="J37" s="7">
        <f>IFERROR(ROUND(AVERAGEIFS(Datos!$G$2:$G$18911,Datos!$E$2:$E$18911,$A37,Datos!$B$2:$B$18911,12,Datos!$C$2:$C$18911,"&lt;30",Datos!$F$2:$F$18911,"STANDBY"),0),"")</f>
        <v/>
      </c>
      <c r="K37" s="7">
        <f>IFERROR(ROUND(AVERAGEIFS(Datos!$G$2:$G$18911,Datos!$E$2:$E$18911,$A37,Datos!$B$2:$B$18911,12,Datos!$C$2:$C$18911,"&gt;=30",Datos!$F$2:$F$18911,"STANDBY"),0),"")</f>
        <v/>
      </c>
      <c r="L37" s="7">
        <f>IFERROR(ROUND(AVERAGEIFS(Datos!$G$2:$G$18911,Datos!$E$2:$E$18911,$A37,Datos!$B$2:$B$18911,13,Datos!$C$2:$C$18911,"&lt;30",Datos!$F$2:$F$18911,"STANDBY"),0),"")</f>
        <v/>
      </c>
      <c r="M37" s="7">
        <f>IFERROR(ROUND(AVERAGEIFS(Datos!$G$2:$G$18911,Datos!$E$2:$E$18911,$A37,Datos!$B$2:$B$18911,13,Datos!$C$2:$C$18911,"&gt;=30",Datos!$F$2:$F$18911,"STANDBY"),0),"")</f>
        <v/>
      </c>
      <c r="N37" s="7">
        <f>IFERROR(ROUND(AVERAGEIFS(Datos!$G$2:$G$18911,Datos!$E$2:$E$18911,$A37,Datos!$B$2:$B$18911,14,Datos!$C$2:$C$18911,"&lt;30",Datos!$F$2:$F$18911,"STANDBY"),0),"")</f>
        <v/>
      </c>
      <c r="O37" s="7">
        <f>IFERROR(ROUND(AVERAGEIFS(Datos!$G$2:$G$18911,Datos!$E$2:$E$18911,$A37,Datos!$B$2:$B$18911,14,Datos!$C$2:$C$18911,"&gt;=30",Datos!$F$2:$F$18911,"STANDBY"),0),"")</f>
        <v/>
      </c>
      <c r="P37" s="7">
        <f>IFERROR(ROUND(AVERAGEIFS(Datos!$G$2:$G$18911,Datos!$E$2:$E$18911,$A37,Datos!$B$2:$B$18911,15,Datos!$C$2:$C$18911,"&lt;30",Datos!$F$2:$F$18911,"STANDBY"),0),"")</f>
        <v/>
      </c>
      <c r="Q37" s="7">
        <f>IFERROR(ROUND(AVERAGEIFS(Datos!$G$2:$G$18911,Datos!$E$2:$E$18911,$A37,Datos!$B$2:$B$18911,15,Datos!$C$2:$C$18911,"&gt;=30",Datos!$F$2:$F$18911,"STANDBY"),0),"")</f>
        <v/>
      </c>
      <c r="R37" s="7">
        <f>IFERROR(ROUND(AVERAGEIFS(Datos!$G$2:$G$18911,Datos!$E$2:$E$18911,$A37,Datos!$B$2:$B$18911,16,Datos!$C$2:$C$18911,"&lt;30",Datos!$F$2:$F$18911,"STANDBY"),0),"")</f>
        <v/>
      </c>
      <c r="S37" s="7">
        <f>IFERROR(ROUND(AVERAGEIFS(Datos!$G$2:$G$18911,Datos!$E$2:$E$18911,$A37,Datos!$B$2:$B$18911,16,Datos!$C$2:$C$18911,"&gt;=30",Datos!$F$2:$F$18911,"STANDBY"),0),"")</f>
        <v/>
      </c>
      <c r="T37" s="7">
        <f>IFERROR(ROUND(AVERAGEIFS(Datos!$G$2:$G$18911,Datos!$E$2:$E$18911,$A37,Datos!$B$2:$B$18911,17,Datos!$C$2:$C$18911,"&lt;30",Datos!$F$2:$F$18911,"STANDBY"),0),"")</f>
        <v/>
      </c>
      <c r="U37" s="7">
        <f>IFERROR(ROUND(AVERAGEIFS(Datos!$G$2:$G$18911,Datos!$E$2:$E$18911,$A37,Datos!$B$2:$B$18911,17,Datos!$C$2:$C$18911,"&gt;=30",Datos!$F$2:$F$18911,"STANDBY"),0),"")</f>
        <v/>
      </c>
      <c r="V37" s="7">
        <f>IFERROR(ROUND(AVERAGEIFS(Datos!$G$2:$G$18911,Datos!$E$2:$E$18911,$A37,Datos!$B$2:$B$18911,18,Datos!$C$2:$C$18911,"&lt;30",Datos!$F$2:$F$18911,"STANDBY"),0),"")</f>
        <v/>
      </c>
      <c r="W37" s="7">
        <f>IFERROR(ROUND(AVERAGEIFS(Datos!$G$2:$G$18911,Datos!$E$2:$E$18911,$A37,Datos!$B$2:$B$18911,18,Datos!$C$2:$C$18911,"&gt;=30",Datos!$F$2:$F$18911,"STANDBY"),0),"")</f>
        <v/>
      </c>
      <c r="X37" s="7">
        <f>IFERROR(ROUND(AVERAGEIFS(Datos!$G$2:$G$18911,Datos!$E$2:$E$18911,$A37,Datos!$B$2:$B$18911,19,Datos!$C$2:$C$18911,"&lt;30",Datos!$F$2:$F$18911,"STANDBY"),0),"")</f>
        <v/>
      </c>
      <c r="Y37" s="7">
        <f>IFERROR(ROUND(AVERAGEIFS(Datos!$G$2:$G$18911,Datos!$E$2:$E$18911,$A37,Datos!$B$2:$B$18911,19,Datos!$C$2:$C$18911,"&gt;=30",Datos!$F$2:$F$18911,"STANDBY"),0),"")</f>
        <v/>
      </c>
      <c r="Z37" s="7">
        <f>IFERROR(ROUND(AVERAGEIFS(Datos!$G$2:$G$18911,Datos!$E$2:$E$18911,$A37,Datos!$B$2:$B$18911,20,Datos!$C$2:$C$18911,"&lt;30",Datos!$F$2:$F$18911,"STANDBY"),0),"")</f>
        <v/>
      </c>
      <c r="AA37" s="7">
        <f>IFERROR(ROUND(AVERAGEIFS(Datos!$G$2:$G$18911,Datos!$E$2:$E$18911,$A37,Datos!$B$2:$B$18911,20,Datos!$C$2:$C$18911,"&gt;=30",Datos!$F$2:$F$18911,"STANDBY"),0),"")</f>
        <v/>
      </c>
      <c r="AB37" s="7">
        <f>IFERROR(ROUND(AVERAGEIFS(Datos!$G$2:$G$18911,Datos!$E$2:$E$18911,$A37,Datos!$B$2:$B$18911,21,Datos!$C$2:$C$18911,"&lt;30",Datos!$F$2:$F$18911,"STANDBY"),0),"")</f>
        <v/>
      </c>
      <c r="AC37" s="7">
        <f>IFERROR(ROUND(AVERAGEIFS(Datos!$G$2:$G$18911,Datos!$E$2:$E$18911,$A37,Datos!$B$2:$B$18911,21,Datos!$C$2:$C$18911,"&gt;=30",Datos!$F$2:$F$18911,"STANDBY"),0),"")</f>
        <v/>
      </c>
      <c r="AD37" s="7">
        <f>IFERROR(ROUND(AVERAGEIFS(Datos!$G$2:$G$18911,Datos!$E$2:$E$18911,$A37,Datos!$B$2:$B$18911,22,Datos!$C$2:$C$18911,"&lt;30",Datos!$F$2:$F$18911,"STANDBY"),0),"")</f>
        <v/>
      </c>
      <c r="AE37" s="7">
        <f>IFERROR(ROUND(AVERAGEIFS(Datos!$G$2:$G$18911,Datos!$E$2:$E$18911,$A37,Datos!$B$2:$B$18911,22,Datos!$C$2:$C$18911,"&gt;=30",Datos!$F$2:$F$18911,"STANDBY"),0),"")</f>
        <v/>
      </c>
      <c r="AF37" s="7">
        <f>IFERROR(ROUND(AVERAGEIFS(Datos!$G$2:$G$18911,Datos!$E$2:$E$18911,$A37,Datos!$B$2:$B$18911,23,Datos!$C$2:$C$18911,"&lt;30",Datos!$F$2:$F$18911,"STANDBY"),0),"")</f>
        <v/>
      </c>
      <c r="AG37" s="7">
        <f>IFERROR(ROUND(AVERAGEIFS(Datos!$G$2:$G$18911,Datos!$E$2:$E$18911,$A37,Datos!$B$2:$B$18911,23,Datos!$C$2:$C$18911,"&gt;=30",Datos!$F$2:$F$18911,"STANDBY"),0),"")</f>
        <v/>
      </c>
    </row>
    <row r="38">
      <c r="A38" s="6" t="inlineStr">
        <is>
          <t>Frontierland Playground</t>
        </is>
      </c>
      <c r="B38" s="7">
        <f>IFERROR(ROUND(AVERAGEIFS(Datos!$G$2:$G$18911,Datos!$E$2:$E$18911,$A38,Datos!$B$2:$B$18911,8,Datos!$C$2:$C$18911,"&lt;30",Datos!$F$2:$F$18911,"STANDBY"),0),"")</f>
        <v/>
      </c>
      <c r="C38" s="7">
        <f>IFERROR(ROUND(AVERAGEIFS(Datos!$G$2:$G$18911,Datos!$E$2:$E$18911,$A38,Datos!$B$2:$B$18911,8,Datos!$C$2:$C$18911,"&gt;=30",Datos!$F$2:$F$18911,"STANDBY"),0),"")</f>
        <v/>
      </c>
      <c r="D38" s="7">
        <f>IFERROR(ROUND(AVERAGEIFS(Datos!$G$2:$G$18911,Datos!$E$2:$E$18911,$A38,Datos!$B$2:$B$18911,9,Datos!$C$2:$C$18911,"&lt;30",Datos!$F$2:$F$18911,"STANDBY"),0),"")</f>
        <v/>
      </c>
      <c r="E38" s="7">
        <f>IFERROR(ROUND(AVERAGEIFS(Datos!$G$2:$G$18911,Datos!$E$2:$E$18911,$A38,Datos!$B$2:$B$18911,9,Datos!$C$2:$C$18911,"&gt;=30",Datos!$F$2:$F$18911,"STANDBY"),0),"")</f>
        <v/>
      </c>
      <c r="F38" s="7">
        <f>IFERROR(ROUND(AVERAGEIFS(Datos!$G$2:$G$18911,Datos!$E$2:$E$18911,$A38,Datos!$B$2:$B$18911,10,Datos!$C$2:$C$18911,"&lt;30",Datos!$F$2:$F$18911,"STANDBY"),0),"")</f>
        <v/>
      </c>
      <c r="G38" s="7">
        <f>IFERROR(ROUND(AVERAGEIFS(Datos!$G$2:$G$18911,Datos!$E$2:$E$18911,$A38,Datos!$B$2:$B$18911,10,Datos!$C$2:$C$18911,"&gt;=30",Datos!$F$2:$F$18911,"STANDBY"),0),"")</f>
        <v/>
      </c>
      <c r="H38" s="7">
        <f>IFERROR(ROUND(AVERAGEIFS(Datos!$G$2:$G$18911,Datos!$E$2:$E$18911,$A38,Datos!$B$2:$B$18911,11,Datos!$C$2:$C$18911,"&lt;30",Datos!$F$2:$F$18911,"STANDBY"),0),"")</f>
        <v/>
      </c>
      <c r="I38" s="7">
        <f>IFERROR(ROUND(AVERAGEIFS(Datos!$G$2:$G$18911,Datos!$E$2:$E$18911,$A38,Datos!$B$2:$B$18911,11,Datos!$C$2:$C$18911,"&gt;=30",Datos!$F$2:$F$18911,"STANDBY"),0),"")</f>
        <v/>
      </c>
      <c r="J38" s="7">
        <f>IFERROR(ROUND(AVERAGEIFS(Datos!$G$2:$G$18911,Datos!$E$2:$E$18911,$A38,Datos!$B$2:$B$18911,12,Datos!$C$2:$C$18911,"&lt;30",Datos!$F$2:$F$18911,"STANDBY"),0),"")</f>
        <v/>
      </c>
      <c r="K38" s="7">
        <f>IFERROR(ROUND(AVERAGEIFS(Datos!$G$2:$G$18911,Datos!$E$2:$E$18911,$A38,Datos!$B$2:$B$18911,12,Datos!$C$2:$C$18911,"&gt;=30",Datos!$F$2:$F$18911,"STANDBY"),0),"")</f>
        <v/>
      </c>
      <c r="L38" s="7">
        <f>IFERROR(ROUND(AVERAGEIFS(Datos!$G$2:$G$18911,Datos!$E$2:$E$18911,$A38,Datos!$B$2:$B$18911,13,Datos!$C$2:$C$18911,"&lt;30",Datos!$F$2:$F$18911,"STANDBY"),0),"")</f>
        <v/>
      </c>
      <c r="M38" s="7">
        <f>IFERROR(ROUND(AVERAGEIFS(Datos!$G$2:$G$18911,Datos!$E$2:$E$18911,$A38,Datos!$B$2:$B$18911,13,Datos!$C$2:$C$18911,"&gt;=30",Datos!$F$2:$F$18911,"STANDBY"),0),"")</f>
        <v/>
      </c>
      <c r="N38" s="7">
        <f>IFERROR(ROUND(AVERAGEIFS(Datos!$G$2:$G$18911,Datos!$E$2:$E$18911,$A38,Datos!$B$2:$B$18911,14,Datos!$C$2:$C$18911,"&lt;30",Datos!$F$2:$F$18911,"STANDBY"),0),"")</f>
        <v/>
      </c>
      <c r="O38" s="7">
        <f>IFERROR(ROUND(AVERAGEIFS(Datos!$G$2:$G$18911,Datos!$E$2:$E$18911,$A38,Datos!$B$2:$B$18911,14,Datos!$C$2:$C$18911,"&gt;=30",Datos!$F$2:$F$18911,"STANDBY"),0),"")</f>
        <v/>
      </c>
      <c r="P38" s="7">
        <f>IFERROR(ROUND(AVERAGEIFS(Datos!$G$2:$G$18911,Datos!$E$2:$E$18911,$A38,Datos!$B$2:$B$18911,15,Datos!$C$2:$C$18911,"&lt;30",Datos!$F$2:$F$18911,"STANDBY"),0),"")</f>
        <v/>
      </c>
      <c r="Q38" s="7">
        <f>IFERROR(ROUND(AVERAGEIFS(Datos!$G$2:$G$18911,Datos!$E$2:$E$18911,$A38,Datos!$B$2:$B$18911,15,Datos!$C$2:$C$18911,"&gt;=30",Datos!$F$2:$F$18911,"STANDBY"),0),"")</f>
        <v/>
      </c>
      <c r="R38" s="7">
        <f>IFERROR(ROUND(AVERAGEIFS(Datos!$G$2:$G$18911,Datos!$E$2:$E$18911,$A38,Datos!$B$2:$B$18911,16,Datos!$C$2:$C$18911,"&lt;30",Datos!$F$2:$F$18911,"STANDBY"),0),"")</f>
        <v/>
      </c>
      <c r="S38" s="7">
        <f>IFERROR(ROUND(AVERAGEIFS(Datos!$G$2:$G$18911,Datos!$E$2:$E$18911,$A38,Datos!$B$2:$B$18911,16,Datos!$C$2:$C$18911,"&gt;=30",Datos!$F$2:$F$18911,"STANDBY"),0),"")</f>
        <v/>
      </c>
      <c r="T38" s="7">
        <f>IFERROR(ROUND(AVERAGEIFS(Datos!$G$2:$G$18911,Datos!$E$2:$E$18911,$A38,Datos!$B$2:$B$18911,17,Datos!$C$2:$C$18911,"&lt;30",Datos!$F$2:$F$18911,"STANDBY"),0),"")</f>
        <v/>
      </c>
      <c r="U38" s="7">
        <f>IFERROR(ROUND(AVERAGEIFS(Datos!$G$2:$G$18911,Datos!$E$2:$E$18911,$A38,Datos!$B$2:$B$18911,17,Datos!$C$2:$C$18911,"&gt;=30",Datos!$F$2:$F$18911,"STANDBY"),0),"")</f>
        <v/>
      </c>
      <c r="V38" s="7">
        <f>IFERROR(ROUND(AVERAGEIFS(Datos!$G$2:$G$18911,Datos!$E$2:$E$18911,$A38,Datos!$B$2:$B$18911,18,Datos!$C$2:$C$18911,"&lt;30",Datos!$F$2:$F$18911,"STANDBY"),0),"")</f>
        <v/>
      </c>
      <c r="W38" s="7">
        <f>IFERROR(ROUND(AVERAGEIFS(Datos!$G$2:$G$18911,Datos!$E$2:$E$18911,$A38,Datos!$B$2:$B$18911,18,Datos!$C$2:$C$18911,"&gt;=30",Datos!$F$2:$F$18911,"STANDBY"),0),"")</f>
        <v/>
      </c>
      <c r="X38" s="7">
        <f>IFERROR(ROUND(AVERAGEIFS(Datos!$G$2:$G$18911,Datos!$E$2:$E$18911,$A38,Datos!$B$2:$B$18911,19,Datos!$C$2:$C$18911,"&lt;30",Datos!$F$2:$F$18911,"STANDBY"),0),"")</f>
        <v/>
      </c>
      <c r="Y38" s="7">
        <f>IFERROR(ROUND(AVERAGEIFS(Datos!$G$2:$G$18911,Datos!$E$2:$E$18911,$A38,Datos!$B$2:$B$18911,19,Datos!$C$2:$C$18911,"&gt;=30",Datos!$F$2:$F$18911,"STANDBY"),0),"")</f>
        <v/>
      </c>
      <c r="Z38" s="7">
        <f>IFERROR(ROUND(AVERAGEIFS(Datos!$G$2:$G$18911,Datos!$E$2:$E$18911,$A38,Datos!$B$2:$B$18911,20,Datos!$C$2:$C$18911,"&lt;30",Datos!$F$2:$F$18911,"STANDBY"),0),"")</f>
        <v/>
      </c>
      <c r="AA38" s="7">
        <f>IFERROR(ROUND(AVERAGEIFS(Datos!$G$2:$G$18911,Datos!$E$2:$E$18911,$A38,Datos!$B$2:$B$18911,20,Datos!$C$2:$C$18911,"&gt;=30",Datos!$F$2:$F$18911,"STANDBY"),0),"")</f>
        <v/>
      </c>
      <c r="AB38" s="7">
        <f>IFERROR(ROUND(AVERAGEIFS(Datos!$G$2:$G$18911,Datos!$E$2:$E$18911,$A38,Datos!$B$2:$B$18911,21,Datos!$C$2:$C$18911,"&lt;30",Datos!$F$2:$F$18911,"STANDBY"),0),"")</f>
        <v/>
      </c>
      <c r="AC38" s="7">
        <f>IFERROR(ROUND(AVERAGEIFS(Datos!$G$2:$G$18911,Datos!$E$2:$E$18911,$A38,Datos!$B$2:$B$18911,21,Datos!$C$2:$C$18911,"&gt;=30",Datos!$F$2:$F$18911,"STANDBY"),0),"")</f>
        <v/>
      </c>
      <c r="AD38" s="7">
        <f>IFERROR(ROUND(AVERAGEIFS(Datos!$G$2:$G$18911,Datos!$E$2:$E$18911,$A38,Datos!$B$2:$B$18911,22,Datos!$C$2:$C$18911,"&lt;30",Datos!$F$2:$F$18911,"STANDBY"),0),"")</f>
        <v/>
      </c>
      <c r="AE38" s="7">
        <f>IFERROR(ROUND(AVERAGEIFS(Datos!$G$2:$G$18911,Datos!$E$2:$E$18911,$A38,Datos!$B$2:$B$18911,22,Datos!$C$2:$C$18911,"&gt;=30",Datos!$F$2:$F$18911,"STANDBY"),0),"")</f>
        <v/>
      </c>
      <c r="AF38" s="7">
        <f>IFERROR(ROUND(AVERAGEIFS(Datos!$G$2:$G$18911,Datos!$E$2:$E$18911,$A38,Datos!$B$2:$B$18911,23,Datos!$C$2:$C$18911,"&lt;30",Datos!$F$2:$F$18911,"STANDBY"),0),"")</f>
        <v/>
      </c>
      <c r="AG38" s="7">
        <f>IFERROR(ROUND(AVERAGEIFS(Datos!$G$2:$G$18911,Datos!$E$2:$E$18911,$A38,Datos!$B$2:$B$18911,23,Datos!$C$2:$C$18911,"&gt;=30",Datos!$F$2:$F$18911,"STANDBY"),0),"")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IFERROR(ROUND(AVERAGEIFS(Datos!$G$2:$G$18911,Datos!$E$2:$E$18911,$A39,Datos!$B$2:$B$18911,8,Datos!$C$2:$C$18911,"&lt;30",Datos!$F$2:$F$18911,"STANDBY"),0),"")</f>
        <v/>
      </c>
      <c r="C39" s="7">
        <f>IFERROR(ROUND(AVERAGEIFS(Datos!$G$2:$G$18911,Datos!$E$2:$E$18911,$A39,Datos!$B$2:$B$18911,8,Datos!$C$2:$C$18911,"&gt;=30",Datos!$F$2:$F$18911,"STANDBY"),0),"")</f>
        <v/>
      </c>
      <c r="D39" s="7">
        <f>IFERROR(ROUND(AVERAGEIFS(Datos!$G$2:$G$18911,Datos!$E$2:$E$18911,$A39,Datos!$B$2:$B$18911,9,Datos!$C$2:$C$18911,"&lt;30",Datos!$F$2:$F$18911,"STANDBY"),0),"")</f>
        <v/>
      </c>
      <c r="E39" s="7">
        <f>IFERROR(ROUND(AVERAGEIFS(Datos!$G$2:$G$18911,Datos!$E$2:$E$18911,$A39,Datos!$B$2:$B$18911,9,Datos!$C$2:$C$18911,"&gt;=30",Datos!$F$2:$F$18911,"STANDBY"),0),"")</f>
        <v/>
      </c>
      <c r="F39" s="7">
        <f>IFERROR(ROUND(AVERAGEIFS(Datos!$G$2:$G$18911,Datos!$E$2:$E$18911,$A39,Datos!$B$2:$B$18911,10,Datos!$C$2:$C$18911,"&lt;30",Datos!$F$2:$F$18911,"STANDBY"),0),"")</f>
        <v/>
      </c>
      <c r="G39" s="7">
        <f>IFERROR(ROUND(AVERAGEIFS(Datos!$G$2:$G$18911,Datos!$E$2:$E$18911,$A39,Datos!$B$2:$B$18911,10,Datos!$C$2:$C$18911,"&gt;=30",Datos!$F$2:$F$18911,"STANDBY"),0),"")</f>
        <v/>
      </c>
      <c r="H39" s="7">
        <f>IFERROR(ROUND(AVERAGEIFS(Datos!$G$2:$G$18911,Datos!$E$2:$E$18911,$A39,Datos!$B$2:$B$18911,11,Datos!$C$2:$C$18911,"&lt;30",Datos!$F$2:$F$18911,"STANDBY"),0),"")</f>
        <v/>
      </c>
      <c r="I39" s="7">
        <f>IFERROR(ROUND(AVERAGEIFS(Datos!$G$2:$G$18911,Datos!$E$2:$E$18911,$A39,Datos!$B$2:$B$18911,11,Datos!$C$2:$C$18911,"&gt;=30",Datos!$F$2:$F$18911,"STANDBY"),0),"")</f>
        <v/>
      </c>
      <c r="J39" s="7">
        <f>IFERROR(ROUND(AVERAGEIFS(Datos!$G$2:$G$18911,Datos!$E$2:$E$18911,$A39,Datos!$B$2:$B$18911,12,Datos!$C$2:$C$18911,"&lt;30",Datos!$F$2:$F$18911,"STANDBY"),0),"")</f>
        <v/>
      </c>
      <c r="K39" s="7">
        <f>IFERROR(ROUND(AVERAGEIFS(Datos!$G$2:$G$18911,Datos!$E$2:$E$18911,$A39,Datos!$B$2:$B$18911,12,Datos!$C$2:$C$18911,"&gt;=30",Datos!$F$2:$F$18911,"STANDBY"),0),"")</f>
        <v/>
      </c>
      <c r="L39" s="7">
        <f>IFERROR(ROUND(AVERAGEIFS(Datos!$G$2:$G$18911,Datos!$E$2:$E$18911,$A39,Datos!$B$2:$B$18911,13,Datos!$C$2:$C$18911,"&lt;30",Datos!$F$2:$F$18911,"STANDBY"),0),"")</f>
        <v/>
      </c>
      <c r="M39" s="7">
        <f>IFERROR(ROUND(AVERAGEIFS(Datos!$G$2:$G$18911,Datos!$E$2:$E$18911,$A39,Datos!$B$2:$B$18911,13,Datos!$C$2:$C$18911,"&gt;=30",Datos!$F$2:$F$18911,"STANDBY"),0),"")</f>
        <v/>
      </c>
      <c r="N39" s="7">
        <f>IFERROR(ROUND(AVERAGEIFS(Datos!$G$2:$G$18911,Datos!$E$2:$E$18911,$A39,Datos!$B$2:$B$18911,14,Datos!$C$2:$C$18911,"&lt;30",Datos!$F$2:$F$18911,"STANDBY"),0),"")</f>
        <v/>
      </c>
      <c r="O39" s="7">
        <f>IFERROR(ROUND(AVERAGEIFS(Datos!$G$2:$G$18911,Datos!$E$2:$E$18911,$A39,Datos!$B$2:$B$18911,14,Datos!$C$2:$C$18911,"&gt;=30",Datos!$F$2:$F$18911,"STANDBY"),0),"")</f>
        <v/>
      </c>
      <c r="P39" s="7">
        <f>IFERROR(ROUND(AVERAGEIFS(Datos!$G$2:$G$18911,Datos!$E$2:$E$18911,$A39,Datos!$B$2:$B$18911,15,Datos!$C$2:$C$18911,"&lt;30",Datos!$F$2:$F$18911,"STANDBY"),0),"")</f>
        <v/>
      </c>
      <c r="Q39" s="7">
        <f>IFERROR(ROUND(AVERAGEIFS(Datos!$G$2:$G$18911,Datos!$E$2:$E$18911,$A39,Datos!$B$2:$B$18911,15,Datos!$C$2:$C$18911,"&gt;=30",Datos!$F$2:$F$18911,"STANDBY"),0),"")</f>
        <v/>
      </c>
      <c r="R39" s="7">
        <f>IFERROR(ROUND(AVERAGEIFS(Datos!$G$2:$G$18911,Datos!$E$2:$E$18911,$A39,Datos!$B$2:$B$18911,16,Datos!$C$2:$C$18911,"&lt;30",Datos!$F$2:$F$18911,"STANDBY"),0),"")</f>
        <v/>
      </c>
      <c r="S39" s="7">
        <f>IFERROR(ROUND(AVERAGEIFS(Datos!$G$2:$G$18911,Datos!$E$2:$E$18911,$A39,Datos!$B$2:$B$18911,16,Datos!$C$2:$C$18911,"&gt;=30",Datos!$F$2:$F$18911,"STANDBY"),0),"")</f>
        <v/>
      </c>
      <c r="T39" s="7">
        <f>IFERROR(ROUND(AVERAGEIFS(Datos!$G$2:$G$18911,Datos!$E$2:$E$18911,$A39,Datos!$B$2:$B$18911,17,Datos!$C$2:$C$18911,"&lt;30",Datos!$F$2:$F$18911,"STANDBY"),0),"")</f>
        <v/>
      </c>
      <c r="U39" s="7">
        <f>IFERROR(ROUND(AVERAGEIFS(Datos!$G$2:$G$18911,Datos!$E$2:$E$18911,$A39,Datos!$B$2:$B$18911,17,Datos!$C$2:$C$18911,"&gt;=30",Datos!$F$2:$F$18911,"STANDBY"),0),"")</f>
        <v/>
      </c>
      <c r="V39" s="7">
        <f>IFERROR(ROUND(AVERAGEIFS(Datos!$G$2:$G$18911,Datos!$E$2:$E$18911,$A39,Datos!$B$2:$B$18911,18,Datos!$C$2:$C$18911,"&lt;30",Datos!$F$2:$F$18911,"STANDBY"),0),"")</f>
        <v/>
      </c>
      <c r="W39" s="7">
        <f>IFERROR(ROUND(AVERAGEIFS(Datos!$G$2:$G$18911,Datos!$E$2:$E$18911,$A39,Datos!$B$2:$B$18911,18,Datos!$C$2:$C$18911,"&gt;=30",Datos!$F$2:$F$18911,"STANDBY"),0),"")</f>
        <v/>
      </c>
      <c r="X39" s="7">
        <f>IFERROR(ROUND(AVERAGEIFS(Datos!$G$2:$G$18911,Datos!$E$2:$E$18911,$A39,Datos!$B$2:$B$18911,19,Datos!$C$2:$C$18911,"&lt;30",Datos!$F$2:$F$18911,"STANDBY"),0),"")</f>
        <v/>
      </c>
      <c r="Y39" s="7">
        <f>IFERROR(ROUND(AVERAGEIFS(Datos!$G$2:$G$18911,Datos!$E$2:$E$18911,$A39,Datos!$B$2:$B$18911,19,Datos!$C$2:$C$18911,"&gt;=30",Datos!$F$2:$F$18911,"STANDBY"),0),"")</f>
        <v/>
      </c>
      <c r="Z39" s="7">
        <f>IFERROR(ROUND(AVERAGEIFS(Datos!$G$2:$G$18911,Datos!$E$2:$E$18911,$A39,Datos!$B$2:$B$18911,20,Datos!$C$2:$C$18911,"&lt;30",Datos!$F$2:$F$18911,"STANDBY"),0),"")</f>
        <v/>
      </c>
      <c r="AA39" s="7">
        <f>IFERROR(ROUND(AVERAGEIFS(Datos!$G$2:$G$18911,Datos!$E$2:$E$18911,$A39,Datos!$B$2:$B$18911,20,Datos!$C$2:$C$18911,"&gt;=30",Datos!$F$2:$F$18911,"STANDBY"),0),"")</f>
        <v/>
      </c>
      <c r="AB39" s="7">
        <f>IFERROR(ROUND(AVERAGEIFS(Datos!$G$2:$G$18911,Datos!$E$2:$E$18911,$A39,Datos!$B$2:$B$18911,21,Datos!$C$2:$C$18911,"&lt;30",Datos!$F$2:$F$18911,"STANDBY"),0),"")</f>
        <v/>
      </c>
      <c r="AC39" s="7">
        <f>IFERROR(ROUND(AVERAGEIFS(Datos!$G$2:$G$18911,Datos!$E$2:$E$18911,$A39,Datos!$B$2:$B$18911,21,Datos!$C$2:$C$18911,"&gt;=30",Datos!$F$2:$F$18911,"STANDBY"),0),"")</f>
        <v/>
      </c>
      <c r="AD39" s="7">
        <f>IFERROR(ROUND(AVERAGEIFS(Datos!$G$2:$G$18911,Datos!$E$2:$E$18911,$A39,Datos!$B$2:$B$18911,22,Datos!$C$2:$C$18911,"&lt;30",Datos!$F$2:$F$18911,"STANDBY"),0),"")</f>
        <v/>
      </c>
      <c r="AE39" s="7">
        <f>IFERROR(ROUND(AVERAGEIFS(Datos!$G$2:$G$18911,Datos!$E$2:$E$18911,$A39,Datos!$B$2:$B$18911,22,Datos!$C$2:$C$18911,"&gt;=30",Datos!$F$2:$F$18911,"STANDBY"),0),"")</f>
        <v/>
      </c>
      <c r="AF39" s="7">
        <f>IFERROR(ROUND(AVERAGEIFS(Datos!$G$2:$G$18911,Datos!$E$2:$E$18911,$A39,Datos!$B$2:$B$18911,23,Datos!$C$2:$C$18911,"&lt;30",Datos!$F$2:$F$18911,"STANDBY"),0),"")</f>
        <v/>
      </c>
      <c r="AG39" s="7">
        <f>IFERROR(ROUND(AVERAGEIFS(Datos!$G$2:$G$18911,Datos!$E$2:$E$18911,$A39,Datos!$B$2:$B$18911,23,Datos!$C$2:$C$18911,"&gt;=30",Datos!$F$2:$F$18911,"STANDBY"),0),"")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IFERROR(ROUND(AVERAGEIFS(Datos!$G$2:$G$18911,Datos!$E$2:$E$18911,$A40,Datos!$B$2:$B$18911,8,Datos!$C$2:$C$18911,"&lt;30",Datos!$F$2:$F$18911,"STANDBY"),0),"")</f>
        <v/>
      </c>
      <c r="C40" s="7">
        <f>IFERROR(ROUND(AVERAGEIFS(Datos!$G$2:$G$18911,Datos!$E$2:$E$18911,$A40,Datos!$B$2:$B$18911,8,Datos!$C$2:$C$18911,"&gt;=30",Datos!$F$2:$F$18911,"STANDBY"),0),"")</f>
        <v/>
      </c>
      <c r="D40" s="7">
        <f>IFERROR(ROUND(AVERAGEIFS(Datos!$G$2:$G$18911,Datos!$E$2:$E$18911,$A40,Datos!$B$2:$B$18911,9,Datos!$C$2:$C$18911,"&lt;30",Datos!$F$2:$F$18911,"STANDBY"),0),"")</f>
        <v/>
      </c>
      <c r="E40" s="7">
        <f>IFERROR(ROUND(AVERAGEIFS(Datos!$G$2:$G$18911,Datos!$E$2:$E$18911,$A40,Datos!$B$2:$B$18911,9,Datos!$C$2:$C$18911,"&gt;=30",Datos!$F$2:$F$18911,"STANDBY"),0),"")</f>
        <v/>
      </c>
      <c r="F40" s="7">
        <f>IFERROR(ROUND(AVERAGEIFS(Datos!$G$2:$G$18911,Datos!$E$2:$E$18911,$A40,Datos!$B$2:$B$18911,10,Datos!$C$2:$C$18911,"&lt;30",Datos!$F$2:$F$18911,"STANDBY"),0),"")</f>
        <v/>
      </c>
      <c r="G40" s="7">
        <f>IFERROR(ROUND(AVERAGEIFS(Datos!$G$2:$G$18911,Datos!$E$2:$E$18911,$A40,Datos!$B$2:$B$18911,10,Datos!$C$2:$C$18911,"&gt;=30",Datos!$F$2:$F$18911,"STANDBY"),0),"")</f>
        <v/>
      </c>
      <c r="H40" s="7">
        <f>IFERROR(ROUND(AVERAGEIFS(Datos!$G$2:$G$18911,Datos!$E$2:$E$18911,$A40,Datos!$B$2:$B$18911,11,Datos!$C$2:$C$18911,"&lt;30",Datos!$F$2:$F$18911,"STANDBY"),0),"")</f>
        <v/>
      </c>
      <c r="I40" s="7">
        <f>IFERROR(ROUND(AVERAGEIFS(Datos!$G$2:$G$18911,Datos!$E$2:$E$18911,$A40,Datos!$B$2:$B$18911,11,Datos!$C$2:$C$18911,"&gt;=30",Datos!$F$2:$F$18911,"STANDBY"),0),"")</f>
        <v/>
      </c>
      <c r="J40" s="7">
        <f>IFERROR(ROUND(AVERAGEIFS(Datos!$G$2:$G$18911,Datos!$E$2:$E$18911,$A40,Datos!$B$2:$B$18911,12,Datos!$C$2:$C$18911,"&lt;30",Datos!$F$2:$F$18911,"STANDBY"),0),"")</f>
        <v/>
      </c>
      <c r="K40" s="7">
        <f>IFERROR(ROUND(AVERAGEIFS(Datos!$G$2:$G$18911,Datos!$E$2:$E$18911,$A40,Datos!$B$2:$B$18911,12,Datos!$C$2:$C$18911,"&gt;=30",Datos!$F$2:$F$18911,"STANDBY"),0),"")</f>
        <v/>
      </c>
      <c r="L40" s="7">
        <f>IFERROR(ROUND(AVERAGEIFS(Datos!$G$2:$G$18911,Datos!$E$2:$E$18911,$A40,Datos!$B$2:$B$18911,13,Datos!$C$2:$C$18911,"&lt;30",Datos!$F$2:$F$18911,"STANDBY"),0),"")</f>
        <v/>
      </c>
      <c r="M40" s="7">
        <f>IFERROR(ROUND(AVERAGEIFS(Datos!$G$2:$G$18911,Datos!$E$2:$E$18911,$A40,Datos!$B$2:$B$18911,13,Datos!$C$2:$C$18911,"&gt;=30",Datos!$F$2:$F$18911,"STANDBY"),0),"")</f>
        <v/>
      </c>
      <c r="N40" s="7">
        <f>IFERROR(ROUND(AVERAGEIFS(Datos!$G$2:$G$18911,Datos!$E$2:$E$18911,$A40,Datos!$B$2:$B$18911,14,Datos!$C$2:$C$18911,"&lt;30",Datos!$F$2:$F$18911,"STANDBY"),0),"")</f>
        <v/>
      </c>
      <c r="O40" s="7">
        <f>IFERROR(ROUND(AVERAGEIFS(Datos!$G$2:$G$18911,Datos!$E$2:$E$18911,$A40,Datos!$B$2:$B$18911,14,Datos!$C$2:$C$18911,"&gt;=30",Datos!$F$2:$F$18911,"STANDBY"),0),"")</f>
        <v/>
      </c>
      <c r="P40" s="7">
        <f>IFERROR(ROUND(AVERAGEIFS(Datos!$G$2:$G$18911,Datos!$E$2:$E$18911,$A40,Datos!$B$2:$B$18911,15,Datos!$C$2:$C$18911,"&lt;30",Datos!$F$2:$F$18911,"STANDBY"),0),"")</f>
        <v/>
      </c>
      <c r="Q40" s="7">
        <f>IFERROR(ROUND(AVERAGEIFS(Datos!$G$2:$G$18911,Datos!$E$2:$E$18911,$A40,Datos!$B$2:$B$18911,15,Datos!$C$2:$C$18911,"&gt;=30",Datos!$F$2:$F$18911,"STANDBY"),0),"")</f>
        <v/>
      </c>
      <c r="R40" s="7">
        <f>IFERROR(ROUND(AVERAGEIFS(Datos!$G$2:$G$18911,Datos!$E$2:$E$18911,$A40,Datos!$B$2:$B$18911,16,Datos!$C$2:$C$18911,"&lt;30",Datos!$F$2:$F$18911,"STANDBY"),0),"")</f>
        <v/>
      </c>
      <c r="S40" s="7">
        <f>IFERROR(ROUND(AVERAGEIFS(Datos!$G$2:$G$18911,Datos!$E$2:$E$18911,$A40,Datos!$B$2:$B$18911,16,Datos!$C$2:$C$18911,"&gt;=30",Datos!$F$2:$F$18911,"STANDBY"),0),"")</f>
        <v/>
      </c>
      <c r="T40" s="7">
        <f>IFERROR(ROUND(AVERAGEIFS(Datos!$G$2:$G$18911,Datos!$E$2:$E$18911,$A40,Datos!$B$2:$B$18911,17,Datos!$C$2:$C$18911,"&lt;30",Datos!$F$2:$F$18911,"STANDBY"),0),"")</f>
        <v/>
      </c>
      <c r="U40" s="7">
        <f>IFERROR(ROUND(AVERAGEIFS(Datos!$G$2:$G$18911,Datos!$E$2:$E$18911,$A40,Datos!$B$2:$B$18911,17,Datos!$C$2:$C$18911,"&gt;=30",Datos!$F$2:$F$18911,"STANDBY"),0),"")</f>
        <v/>
      </c>
      <c r="V40" s="7">
        <f>IFERROR(ROUND(AVERAGEIFS(Datos!$G$2:$G$18911,Datos!$E$2:$E$18911,$A40,Datos!$B$2:$B$18911,18,Datos!$C$2:$C$18911,"&lt;30",Datos!$F$2:$F$18911,"STANDBY"),0),"")</f>
        <v/>
      </c>
      <c r="W40" s="7">
        <f>IFERROR(ROUND(AVERAGEIFS(Datos!$G$2:$G$18911,Datos!$E$2:$E$18911,$A40,Datos!$B$2:$B$18911,18,Datos!$C$2:$C$18911,"&gt;=30",Datos!$F$2:$F$18911,"STANDBY"),0),"")</f>
        <v/>
      </c>
      <c r="X40" s="7">
        <f>IFERROR(ROUND(AVERAGEIFS(Datos!$G$2:$G$18911,Datos!$E$2:$E$18911,$A40,Datos!$B$2:$B$18911,19,Datos!$C$2:$C$18911,"&lt;30",Datos!$F$2:$F$18911,"STANDBY"),0),"")</f>
        <v/>
      </c>
      <c r="Y40" s="7">
        <f>IFERROR(ROUND(AVERAGEIFS(Datos!$G$2:$G$18911,Datos!$E$2:$E$18911,$A40,Datos!$B$2:$B$18911,19,Datos!$C$2:$C$18911,"&gt;=30",Datos!$F$2:$F$18911,"STANDBY"),0),"")</f>
        <v/>
      </c>
      <c r="Z40" s="7">
        <f>IFERROR(ROUND(AVERAGEIFS(Datos!$G$2:$G$18911,Datos!$E$2:$E$18911,$A40,Datos!$B$2:$B$18911,20,Datos!$C$2:$C$18911,"&lt;30",Datos!$F$2:$F$18911,"STANDBY"),0),"")</f>
        <v/>
      </c>
      <c r="AA40" s="7">
        <f>IFERROR(ROUND(AVERAGEIFS(Datos!$G$2:$G$18911,Datos!$E$2:$E$18911,$A40,Datos!$B$2:$B$18911,20,Datos!$C$2:$C$18911,"&gt;=30",Datos!$F$2:$F$18911,"STANDBY"),0),"")</f>
        <v/>
      </c>
      <c r="AB40" s="7">
        <f>IFERROR(ROUND(AVERAGEIFS(Datos!$G$2:$G$18911,Datos!$E$2:$E$18911,$A40,Datos!$B$2:$B$18911,21,Datos!$C$2:$C$18911,"&lt;30",Datos!$F$2:$F$18911,"STANDBY"),0),"")</f>
        <v/>
      </c>
      <c r="AC40" s="7">
        <f>IFERROR(ROUND(AVERAGEIFS(Datos!$G$2:$G$18911,Datos!$E$2:$E$18911,$A40,Datos!$B$2:$B$18911,21,Datos!$C$2:$C$18911,"&gt;=30",Datos!$F$2:$F$18911,"STANDBY"),0),"")</f>
        <v/>
      </c>
      <c r="AD40" s="7">
        <f>IFERROR(ROUND(AVERAGEIFS(Datos!$G$2:$G$18911,Datos!$E$2:$E$18911,$A40,Datos!$B$2:$B$18911,22,Datos!$C$2:$C$18911,"&lt;30",Datos!$F$2:$F$18911,"STANDBY"),0),"")</f>
        <v/>
      </c>
      <c r="AE40" s="7">
        <f>IFERROR(ROUND(AVERAGEIFS(Datos!$G$2:$G$18911,Datos!$E$2:$E$18911,$A40,Datos!$B$2:$B$18911,22,Datos!$C$2:$C$18911,"&gt;=30",Datos!$F$2:$F$18911,"STANDBY"),0),"")</f>
        <v/>
      </c>
      <c r="AF40" s="7">
        <f>IFERROR(ROUND(AVERAGEIFS(Datos!$G$2:$G$18911,Datos!$E$2:$E$18911,$A40,Datos!$B$2:$B$18911,23,Datos!$C$2:$C$18911,"&lt;30",Datos!$F$2:$F$18911,"STANDBY"),0),"")</f>
        <v/>
      </c>
      <c r="AG40" s="7">
        <f>IFERROR(ROUND(AVERAGEIFS(Datos!$G$2:$G$18911,Datos!$E$2:$E$18911,$A40,Datos!$B$2:$B$18911,23,Datos!$C$2:$C$18911,"&gt;=30",Datos!$F$2:$F$18911,"STANDBY"),0),"")</f>
        <v/>
      </c>
    </row>
    <row r="41">
      <c r="A41" s="6" t="inlineStr">
        <is>
          <t>La Cabane des Robinson</t>
        </is>
      </c>
      <c r="B41" s="7">
        <f>IFERROR(ROUND(AVERAGEIFS(Datos!$G$2:$G$18911,Datos!$E$2:$E$18911,$A41,Datos!$B$2:$B$18911,8,Datos!$C$2:$C$18911,"&lt;30",Datos!$F$2:$F$18911,"STANDBY"),0),"")</f>
        <v/>
      </c>
      <c r="C41" s="7">
        <f>IFERROR(ROUND(AVERAGEIFS(Datos!$G$2:$G$18911,Datos!$E$2:$E$18911,$A41,Datos!$B$2:$B$18911,8,Datos!$C$2:$C$18911,"&gt;=30",Datos!$F$2:$F$18911,"STANDBY"),0),"")</f>
        <v/>
      </c>
      <c r="D41" s="7">
        <f>IFERROR(ROUND(AVERAGEIFS(Datos!$G$2:$G$18911,Datos!$E$2:$E$18911,$A41,Datos!$B$2:$B$18911,9,Datos!$C$2:$C$18911,"&lt;30",Datos!$F$2:$F$18911,"STANDBY"),0),"")</f>
        <v/>
      </c>
      <c r="E41" s="7">
        <f>IFERROR(ROUND(AVERAGEIFS(Datos!$G$2:$G$18911,Datos!$E$2:$E$18911,$A41,Datos!$B$2:$B$18911,9,Datos!$C$2:$C$18911,"&gt;=30",Datos!$F$2:$F$18911,"STANDBY"),0),"")</f>
        <v/>
      </c>
      <c r="F41" s="7">
        <f>IFERROR(ROUND(AVERAGEIFS(Datos!$G$2:$G$18911,Datos!$E$2:$E$18911,$A41,Datos!$B$2:$B$18911,10,Datos!$C$2:$C$18911,"&lt;30",Datos!$F$2:$F$18911,"STANDBY"),0),"")</f>
        <v/>
      </c>
      <c r="G41" s="7">
        <f>IFERROR(ROUND(AVERAGEIFS(Datos!$G$2:$G$18911,Datos!$E$2:$E$18911,$A41,Datos!$B$2:$B$18911,10,Datos!$C$2:$C$18911,"&gt;=30",Datos!$F$2:$F$18911,"STANDBY"),0),"")</f>
        <v/>
      </c>
      <c r="H41" s="7">
        <f>IFERROR(ROUND(AVERAGEIFS(Datos!$G$2:$G$18911,Datos!$E$2:$E$18911,$A41,Datos!$B$2:$B$18911,11,Datos!$C$2:$C$18911,"&lt;30",Datos!$F$2:$F$18911,"STANDBY"),0),"")</f>
        <v/>
      </c>
      <c r="I41" s="7">
        <f>IFERROR(ROUND(AVERAGEIFS(Datos!$G$2:$G$18911,Datos!$E$2:$E$18911,$A41,Datos!$B$2:$B$18911,11,Datos!$C$2:$C$18911,"&gt;=30",Datos!$F$2:$F$18911,"STANDBY"),0),"")</f>
        <v/>
      </c>
      <c r="J41" s="7">
        <f>IFERROR(ROUND(AVERAGEIFS(Datos!$G$2:$G$18911,Datos!$E$2:$E$18911,$A41,Datos!$B$2:$B$18911,12,Datos!$C$2:$C$18911,"&lt;30",Datos!$F$2:$F$18911,"STANDBY"),0),"")</f>
        <v/>
      </c>
      <c r="K41" s="7">
        <f>IFERROR(ROUND(AVERAGEIFS(Datos!$G$2:$G$18911,Datos!$E$2:$E$18911,$A41,Datos!$B$2:$B$18911,12,Datos!$C$2:$C$18911,"&gt;=30",Datos!$F$2:$F$18911,"STANDBY"),0),"")</f>
        <v/>
      </c>
      <c r="L41" s="7">
        <f>IFERROR(ROUND(AVERAGEIFS(Datos!$G$2:$G$18911,Datos!$E$2:$E$18911,$A41,Datos!$B$2:$B$18911,13,Datos!$C$2:$C$18911,"&lt;30",Datos!$F$2:$F$18911,"STANDBY"),0),"")</f>
        <v/>
      </c>
      <c r="M41" s="7">
        <f>IFERROR(ROUND(AVERAGEIFS(Datos!$G$2:$G$18911,Datos!$E$2:$E$18911,$A41,Datos!$B$2:$B$18911,13,Datos!$C$2:$C$18911,"&gt;=30",Datos!$F$2:$F$18911,"STANDBY"),0),"")</f>
        <v/>
      </c>
      <c r="N41" s="7">
        <f>IFERROR(ROUND(AVERAGEIFS(Datos!$G$2:$G$18911,Datos!$E$2:$E$18911,$A41,Datos!$B$2:$B$18911,14,Datos!$C$2:$C$18911,"&lt;30",Datos!$F$2:$F$18911,"STANDBY"),0),"")</f>
        <v/>
      </c>
      <c r="O41" s="7">
        <f>IFERROR(ROUND(AVERAGEIFS(Datos!$G$2:$G$18911,Datos!$E$2:$E$18911,$A41,Datos!$B$2:$B$18911,14,Datos!$C$2:$C$18911,"&gt;=30",Datos!$F$2:$F$18911,"STANDBY"),0),"")</f>
        <v/>
      </c>
      <c r="P41" s="7">
        <f>IFERROR(ROUND(AVERAGEIFS(Datos!$G$2:$G$18911,Datos!$E$2:$E$18911,$A41,Datos!$B$2:$B$18911,15,Datos!$C$2:$C$18911,"&lt;30",Datos!$F$2:$F$18911,"STANDBY"),0),"")</f>
        <v/>
      </c>
      <c r="Q41" s="7">
        <f>IFERROR(ROUND(AVERAGEIFS(Datos!$G$2:$G$18911,Datos!$E$2:$E$18911,$A41,Datos!$B$2:$B$18911,15,Datos!$C$2:$C$18911,"&gt;=30",Datos!$F$2:$F$18911,"STANDBY"),0),"")</f>
        <v/>
      </c>
      <c r="R41" s="7">
        <f>IFERROR(ROUND(AVERAGEIFS(Datos!$G$2:$G$18911,Datos!$E$2:$E$18911,$A41,Datos!$B$2:$B$18911,16,Datos!$C$2:$C$18911,"&lt;30",Datos!$F$2:$F$18911,"STANDBY"),0),"")</f>
        <v/>
      </c>
      <c r="S41" s="7">
        <f>IFERROR(ROUND(AVERAGEIFS(Datos!$G$2:$G$18911,Datos!$E$2:$E$18911,$A41,Datos!$B$2:$B$18911,16,Datos!$C$2:$C$18911,"&gt;=30",Datos!$F$2:$F$18911,"STANDBY"),0),"")</f>
        <v/>
      </c>
      <c r="T41" s="7">
        <f>IFERROR(ROUND(AVERAGEIFS(Datos!$G$2:$G$18911,Datos!$E$2:$E$18911,$A41,Datos!$B$2:$B$18911,17,Datos!$C$2:$C$18911,"&lt;30",Datos!$F$2:$F$18911,"STANDBY"),0),"")</f>
        <v/>
      </c>
      <c r="U41" s="7">
        <f>IFERROR(ROUND(AVERAGEIFS(Datos!$G$2:$G$18911,Datos!$E$2:$E$18911,$A41,Datos!$B$2:$B$18911,17,Datos!$C$2:$C$18911,"&gt;=30",Datos!$F$2:$F$18911,"STANDBY"),0),"")</f>
        <v/>
      </c>
      <c r="V41" s="7">
        <f>IFERROR(ROUND(AVERAGEIFS(Datos!$G$2:$G$18911,Datos!$E$2:$E$18911,$A41,Datos!$B$2:$B$18911,18,Datos!$C$2:$C$18911,"&lt;30",Datos!$F$2:$F$18911,"STANDBY"),0),"")</f>
        <v/>
      </c>
      <c r="W41" s="7">
        <f>IFERROR(ROUND(AVERAGEIFS(Datos!$G$2:$G$18911,Datos!$E$2:$E$18911,$A41,Datos!$B$2:$B$18911,18,Datos!$C$2:$C$18911,"&gt;=30",Datos!$F$2:$F$18911,"STANDBY"),0),"")</f>
        <v/>
      </c>
      <c r="X41" s="7">
        <f>IFERROR(ROUND(AVERAGEIFS(Datos!$G$2:$G$18911,Datos!$E$2:$E$18911,$A41,Datos!$B$2:$B$18911,19,Datos!$C$2:$C$18911,"&lt;30",Datos!$F$2:$F$18911,"STANDBY"),0),"")</f>
        <v/>
      </c>
      <c r="Y41" s="7">
        <f>IFERROR(ROUND(AVERAGEIFS(Datos!$G$2:$G$18911,Datos!$E$2:$E$18911,$A41,Datos!$B$2:$B$18911,19,Datos!$C$2:$C$18911,"&gt;=30",Datos!$F$2:$F$18911,"STANDBY"),0),"")</f>
        <v/>
      </c>
      <c r="Z41" s="7">
        <f>IFERROR(ROUND(AVERAGEIFS(Datos!$G$2:$G$18911,Datos!$E$2:$E$18911,$A41,Datos!$B$2:$B$18911,20,Datos!$C$2:$C$18911,"&lt;30",Datos!$F$2:$F$18911,"STANDBY"),0),"")</f>
        <v/>
      </c>
      <c r="AA41" s="7">
        <f>IFERROR(ROUND(AVERAGEIFS(Datos!$G$2:$G$18911,Datos!$E$2:$E$18911,$A41,Datos!$B$2:$B$18911,20,Datos!$C$2:$C$18911,"&gt;=30",Datos!$F$2:$F$18911,"STANDBY"),0),"")</f>
        <v/>
      </c>
      <c r="AB41" s="7">
        <f>IFERROR(ROUND(AVERAGEIFS(Datos!$G$2:$G$18911,Datos!$E$2:$E$18911,$A41,Datos!$B$2:$B$18911,21,Datos!$C$2:$C$18911,"&lt;30",Datos!$F$2:$F$18911,"STANDBY"),0),"")</f>
        <v/>
      </c>
      <c r="AC41" s="7">
        <f>IFERROR(ROUND(AVERAGEIFS(Datos!$G$2:$G$18911,Datos!$E$2:$E$18911,$A41,Datos!$B$2:$B$18911,21,Datos!$C$2:$C$18911,"&gt;=30",Datos!$F$2:$F$18911,"STANDBY"),0),"")</f>
        <v/>
      </c>
      <c r="AD41" s="7">
        <f>IFERROR(ROUND(AVERAGEIFS(Datos!$G$2:$G$18911,Datos!$E$2:$E$18911,$A41,Datos!$B$2:$B$18911,22,Datos!$C$2:$C$18911,"&lt;30",Datos!$F$2:$F$18911,"STANDBY"),0),"")</f>
        <v/>
      </c>
      <c r="AE41" s="7">
        <f>IFERROR(ROUND(AVERAGEIFS(Datos!$G$2:$G$18911,Datos!$E$2:$E$18911,$A41,Datos!$B$2:$B$18911,22,Datos!$C$2:$C$18911,"&gt;=30",Datos!$F$2:$F$18911,"STANDBY"),0),"")</f>
        <v/>
      </c>
      <c r="AF41" s="7">
        <f>IFERROR(ROUND(AVERAGEIFS(Datos!$G$2:$G$18911,Datos!$E$2:$E$18911,$A41,Datos!$B$2:$B$18911,23,Datos!$C$2:$C$18911,"&lt;30",Datos!$F$2:$F$18911,"STANDBY"),0),"")</f>
        <v/>
      </c>
      <c r="AG41" s="7">
        <f>IFERROR(ROUND(AVERAGEIFS(Datos!$G$2:$G$18911,Datos!$E$2:$E$18911,$A41,Datos!$B$2:$B$18911,23,Datos!$C$2:$C$18911,"&gt;=30",Datos!$F$2:$F$18911,"STANDBY"),0),"")</f>
        <v/>
      </c>
    </row>
    <row r="42">
      <c r="A42" s="6" t="inlineStr">
        <is>
          <t>La Tanière du Dragon</t>
        </is>
      </c>
      <c r="B42" s="7">
        <f>IFERROR(ROUND(AVERAGEIFS(Datos!$G$2:$G$18911,Datos!$E$2:$E$18911,$A42,Datos!$B$2:$B$18911,8,Datos!$C$2:$C$18911,"&lt;30",Datos!$F$2:$F$18911,"STANDBY"),0),"")</f>
        <v/>
      </c>
      <c r="C42" s="7">
        <f>IFERROR(ROUND(AVERAGEIFS(Datos!$G$2:$G$18911,Datos!$E$2:$E$18911,$A42,Datos!$B$2:$B$18911,8,Datos!$C$2:$C$18911,"&gt;=30",Datos!$F$2:$F$18911,"STANDBY"),0),"")</f>
        <v/>
      </c>
      <c r="D42" s="7">
        <f>IFERROR(ROUND(AVERAGEIFS(Datos!$G$2:$G$18911,Datos!$E$2:$E$18911,$A42,Datos!$B$2:$B$18911,9,Datos!$C$2:$C$18911,"&lt;30",Datos!$F$2:$F$18911,"STANDBY"),0),"")</f>
        <v/>
      </c>
      <c r="E42" s="7">
        <f>IFERROR(ROUND(AVERAGEIFS(Datos!$G$2:$G$18911,Datos!$E$2:$E$18911,$A42,Datos!$B$2:$B$18911,9,Datos!$C$2:$C$18911,"&gt;=30",Datos!$F$2:$F$18911,"STANDBY"),0),"")</f>
        <v/>
      </c>
      <c r="F42" s="7">
        <f>IFERROR(ROUND(AVERAGEIFS(Datos!$G$2:$G$18911,Datos!$E$2:$E$18911,$A42,Datos!$B$2:$B$18911,10,Datos!$C$2:$C$18911,"&lt;30",Datos!$F$2:$F$18911,"STANDBY"),0),"")</f>
        <v/>
      </c>
      <c r="G42" s="7">
        <f>IFERROR(ROUND(AVERAGEIFS(Datos!$G$2:$G$18911,Datos!$E$2:$E$18911,$A42,Datos!$B$2:$B$18911,10,Datos!$C$2:$C$18911,"&gt;=30",Datos!$F$2:$F$18911,"STANDBY"),0),"")</f>
        <v/>
      </c>
      <c r="H42" s="7">
        <f>IFERROR(ROUND(AVERAGEIFS(Datos!$G$2:$G$18911,Datos!$E$2:$E$18911,$A42,Datos!$B$2:$B$18911,11,Datos!$C$2:$C$18911,"&lt;30",Datos!$F$2:$F$18911,"STANDBY"),0),"")</f>
        <v/>
      </c>
      <c r="I42" s="7">
        <f>IFERROR(ROUND(AVERAGEIFS(Datos!$G$2:$G$18911,Datos!$E$2:$E$18911,$A42,Datos!$B$2:$B$18911,11,Datos!$C$2:$C$18911,"&gt;=30",Datos!$F$2:$F$18911,"STANDBY"),0),"")</f>
        <v/>
      </c>
      <c r="J42" s="7">
        <f>IFERROR(ROUND(AVERAGEIFS(Datos!$G$2:$G$18911,Datos!$E$2:$E$18911,$A42,Datos!$B$2:$B$18911,12,Datos!$C$2:$C$18911,"&lt;30",Datos!$F$2:$F$18911,"STANDBY"),0),"")</f>
        <v/>
      </c>
      <c r="K42" s="7">
        <f>IFERROR(ROUND(AVERAGEIFS(Datos!$G$2:$G$18911,Datos!$E$2:$E$18911,$A42,Datos!$B$2:$B$18911,12,Datos!$C$2:$C$18911,"&gt;=30",Datos!$F$2:$F$18911,"STANDBY"),0),"")</f>
        <v/>
      </c>
      <c r="L42" s="7">
        <f>IFERROR(ROUND(AVERAGEIFS(Datos!$G$2:$G$18911,Datos!$E$2:$E$18911,$A42,Datos!$B$2:$B$18911,13,Datos!$C$2:$C$18911,"&lt;30",Datos!$F$2:$F$18911,"STANDBY"),0),"")</f>
        <v/>
      </c>
      <c r="M42" s="7">
        <f>IFERROR(ROUND(AVERAGEIFS(Datos!$G$2:$G$18911,Datos!$E$2:$E$18911,$A42,Datos!$B$2:$B$18911,13,Datos!$C$2:$C$18911,"&gt;=30",Datos!$F$2:$F$18911,"STANDBY"),0),"")</f>
        <v/>
      </c>
      <c r="N42" s="7">
        <f>IFERROR(ROUND(AVERAGEIFS(Datos!$G$2:$G$18911,Datos!$E$2:$E$18911,$A42,Datos!$B$2:$B$18911,14,Datos!$C$2:$C$18911,"&lt;30",Datos!$F$2:$F$18911,"STANDBY"),0),"")</f>
        <v/>
      </c>
      <c r="O42" s="7">
        <f>IFERROR(ROUND(AVERAGEIFS(Datos!$G$2:$G$18911,Datos!$E$2:$E$18911,$A42,Datos!$B$2:$B$18911,14,Datos!$C$2:$C$18911,"&gt;=30",Datos!$F$2:$F$18911,"STANDBY"),0),"")</f>
        <v/>
      </c>
      <c r="P42" s="7">
        <f>IFERROR(ROUND(AVERAGEIFS(Datos!$G$2:$G$18911,Datos!$E$2:$E$18911,$A42,Datos!$B$2:$B$18911,15,Datos!$C$2:$C$18911,"&lt;30",Datos!$F$2:$F$18911,"STANDBY"),0),"")</f>
        <v/>
      </c>
      <c r="Q42" s="7">
        <f>IFERROR(ROUND(AVERAGEIFS(Datos!$G$2:$G$18911,Datos!$E$2:$E$18911,$A42,Datos!$B$2:$B$18911,15,Datos!$C$2:$C$18911,"&gt;=30",Datos!$F$2:$F$18911,"STANDBY"),0),"")</f>
        <v/>
      </c>
      <c r="R42" s="7">
        <f>IFERROR(ROUND(AVERAGEIFS(Datos!$G$2:$G$18911,Datos!$E$2:$E$18911,$A42,Datos!$B$2:$B$18911,16,Datos!$C$2:$C$18911,"&lt;30",Datos!$F$2:$F$18911,"STANDBY"),0),"")</f>
        <v/>
      </c>
      <c r="S42" s="7">
        <f>IFERROR(ROUND(AVERAGEIFS(Datos!$G$2:$G$18911,Datos!$E$2:$E$18911,$A42,Datos!$B$2:$B$18911,16,Datos!$C$2:$C$18911,"&gt;=30",Datos!$F$2:$F$18911,"STANDBY"),0),"")</f>
        <v/>
      </c>
      <c r="T42" s="7">
        <f>IFERROR(ROUND(AVERAGEIFS(Datos!$G$2:$G$18911,Datos!$E$2:$E$18911,$A42,Datos!$B$2:$B$18911,17,Datos!$C$2:$C$18911,"&lt;30",Datos!$F$2:$F$18911,"STANDBY"),0),"")</f>
        <v/>
      </c>
      <c r="U42" s="7">
        <f>IFERROR(ROUND(AVERAGEIFS(Datos!$G$2:$G$18911,Datos!$E$2:$E$18911,$A42,Datos!$B$2:$B$18911,17,Datos!$C$2:$C$18911,"&gt;=30",Datos!$F$2:$F$18911,"STANDBY"),0),"")</f>
        <v/>
      </c>
      <c r="V42" s="7">
        <f>IFERROR(ROUND(AVERAGEIFS(Datos!$G$2:$G$18911,Datos!$E$2:$E$18911,$A42,Datos!$B$2:$B$18911,18,Datos!$C$2:$C$18911,"&lt;30",Datos!$F$2:$F$18911,"STANDBY"),0),"")</f>
        <v/>
      </c>
      <c r="W42" s="7">
        <f>IFERROR(ROUND(AVERAGEIFS(Datos!$G$2:$G$18911,Datos!$E$2:$E$18911,$A42,Datos!$B$2:$B$18911,18,Datos!$C$2:$C$18911,"&gt;=30",Datos!$F$2:$F$18911,"STANDBY"),0),"")</f>
        <v/>
      </c>
      <c r="X42" s="7">
        <f>IFERROR(ROUND(AVERAGEIFS(Datos!$G$2:$G$18911,Datos!$E$2:$E$18911,$A42,Datos!$B$2:$B$18911,19,Datos!$C$2:$C$18911,"&lt;30",Datos!$F$2:$F$18911,"STANDBY"),0),"")</f>
        <v/>
      </c>
      <c r="Y42" s="7">
        <f>IFERROR(ROUND(AVERAGEIFS(Datos!$G$2:$G$18911,Datos!$E$2:$E$18911,$A42,Datos!$B$2:$B$18911,19,Datos!$C$2:$C$18911,"&gt;=30",Datos!$F$2:$F$18911,"STANDBY"),0),"")</f>
        <v/>
      </c>
      <c r="Z42" s="7">
        <f>IFERROR(ROUND(AVERAGEIFS(Datos!$G$2:$G$18911,Datos!$E$2:$E$18911,$A42,Datos!$B$2:$B$18911,20,Datos!$C$2:$C$18911,"&lt;30",Datos!$F$2:$F$18911,"STANDBY"),0),"")</f>
        <v/>
      </c>
      <c r="AA42" s="7">
        <f>IFERROR(ROUND(AVERAGEIFS(Datos!$G$2:$G$18911,Datos!$E$2:$E$18911,$A42,Datos!$B$2:$B$18911,20,Datos!$C$2:$C$18911,"&gt;=30",Datos!$F$2:$F$18911,"STANDBY"),0),"")</f>
        <v/>
      </c>
      <c r="AB42" s="7">
        <f>IFERROR(ROUND(AVERAGEIFS(Datos!$G$2:$G$18911,Datos!$E$2:$E$18911,$A42,Datos!$B$2:$B$18911,21,Datos!$C$2:$C$18911,"&lt;30",Datos!$F$2:$F$18911,"STANDBY"),0),"")</f>
        <v/>
      </c>
      <c r="AC42" s="7">
        <f>IFERROR(ROUND(AVERAGEIFS(Datos!$G$2:$G$18911,Datos!$E$2:$E$18911,$A42,Datos!$B$2:$B$18911,21,Datos!$C$2:$C$18911,"&gt;=30",Datos!$F$2:$F$18911,"STANDBY"),0),"")</f>
        <v/>
      </c>
      <c r="AD42" s="7">
        <f>IFERROR(ROUND(AVERAGEIFS(Datos!$G$2:$G$18911,Datos!$E$2:$E$18911,$A42,Datos!$B$2:$B$18911,22,Datos!$C$2:$C$18911,"&lt;30",Datos!$F$2:$F$18911,"STANDBY"),0),"")</f>
        <v/>
      </c>
      <c r="AE42" s="7">
        <f>IFERROR(ROUND(AVERAGEIFS(Datos!$G$2:$G$18911,Datos!$E$2:$E$18911,$A42,Datos!$B$2:$B$18911,22,Datos!$C$2:$C$18911,"&gt;=30",Datos!$F$2:$F$18911,"STANDBY"),0),"")</f>
        <v/>
      </c>
      <c r="AF42" s="7">
        <f>IFERROR(ROUND(AVERAGEIFS(Datos!$G$2:$G$18911,Datos!$E$2:$E$18911,$A42,Datos!$B$2:$B$18911,23,Datos!$C$2:$C$18911,"&lt;30",Datos!$F$2:$F$18911,"STANDBY"),0),"")</f>
        <v/>
      </c>
      <c r="AG42" s="7">
        <f>IFERROR(ROUND(AVERAGEIFS(Datos!$G$2:$G$18911,Datos!$E$2:$E$18911,$A42,Datos!$B$2:$B$18911,23,Datos!$C$2:$C$18911,"&gt;=30",Datos!$F$2:$F$18911,"STANDBY"),0),"")</f>
        <v/>
      </c>
    </row>
    <row r="43">
      <c r="A43" s="6" t="inlineStr">
        <is>
          <t>Le Carrousel de Lancelot</t>
        </is>
      </c>
      <c r="B43" s="7">
        <f>IFERROR(ROUND(AVERAGEIFS(Datos!$G$2:$G$18911,Datos!$E$2:$E$18911,$A43,Datos!$B$2:$B$18911,8,Datos!$C$2:$C$18911,"&lt;30",Datos!$F$2:$F$18911,"STANDBY"),0),"")</f>
        <v/>
      </c>
      <c r="C43" s="7">
        <f>IFERROR(ROUND(AVERAGEIFS(Datos!$G$2:$G$18911,Datos!$E$2:$E$18911,$A43,Datos!$B$2:$B$18911,8,Datos!$C$2:$C$18911,"&gt;=30",Datos!$F$2:$F$18911,"STANDBY"),0),"")</f>
        <v/>
      </c>
      <c r="D43" s="7">
        <f>IFERROR(ROUND(AVERAGEIFS(Datos!$G$2:$G$18911,Datos!$E$2:$E$18911,$A43,Datos!$B$2:$B$18911,9,Datos!$C$2:$C$18911,"&lt;30",Datos!$F$2:$F$18911,"STANDBY"),0),"")</f>
        <v/>
      </c>
      <c r="E43" s="7">
        <f>IFERROR(ROUND(AVERAGEIFS(Datos!$G$2:$G$18911,Datos!$E$2:$E$18911,$A43,Datos!$B$2:$B$18911,9,Datos!$C$2:$C$18911,"&gt;=30",Datos!$F$2:$F$18911,"STANDBY"),0),"")</f>
        <v/>
      </c>
      <c r="F43" s="7">
        <f>IFERROR(ROUND(AVERAGEIFS(Datos!$G$2:$G$18911,Datos!$E$2:$E$18911,$A43,Datos!$B$2:$B$18911,10,Datos!$C$2:$C$18911,"&lt;30",Datos!$F$2:$F$18911,"STANDBY"),0),"")</f>
        <v/>
      </c>
      <c r="G43" s="7">
        <f>IFERROR(ROUND(AVERAGEIFS(Datos!$G$2:$G$18911,Datos!$E$2:$E$18911,$A43,Datos!$B$2:$B$18911,10,Datos!$C$2:$C$18911,"&gt;=30",Datos!$F$2:$F$18911,"STANDBY"),0),"")</f>
        <v/>
      </c>
      <c r="H43" s="7">
        <f>IFERROR(ROUND(AVERAGEIFS(Datos!$G$2:$G$18911,Datos!$E$2:$E$18911,$A43,Datos!$B$2:$B$18911,11,Datos!$C$2:$C$18911,"&lt;30",Datos!$F$2:$F$18911,"STANDBY"),0),"")</f>
        <v/>
      </c>
      <c r="I43" s="7">
        <f>IFERROR(ROUND(AVERAGEIFS(Datos!$G$2:$G$18911,Datos!$E$2:$E$18911,$A43,Datos!$B$2:$B$18911,11,Datos!$C$2:$C$18911,"&gt;=30",Datos!$F$2:$F$18911,"STANDBY"),0),"")</f>
        <v/>
      </c>
      <c r="J43" s="7">
        <f>IFERROR(ROUND(AVERAGEIFS(Datos!$G$2:$G$18911,Datos!$E$2:$E$18911,$A43,Datos!$B$2:$B$18911,12,Datos!$C$2:$C$18911,"&lt;30",Datos!$F$2:$F$18911,"STANDBY"),0),"")</f>
        <v/>
      </c>
      <c r="K43" s="7">
        <f>IFERROR(ROUND(AVERAGEIFS(Datos!$G$2:$G$18911,Datos!$E$2:$E$18911,$A43,Datos!$B$2:$B$18911,12,Datos!$C$2:$C$18911,"&gt;=30",Datos!$F$2:$F$18911,"STANDBY"),0),"")</f>
        <v/>
      </c>
      <c r="L43" s="7">
        <f>IFERROR(ROUND(AVERAGEIFS(Datos!$G$2:$G$18911,Datos!$E$2:$E$18911,$A43,Datos!$B$2:$B$18911,13,Datos!$C$2:$C$18911,"&lt;30",Datos!$F$2:$F$18911,"STANDBY"),0),"")</f>
        <v/>
      </c>
      <c r="M43" s="7">
        <f>IFERROR(ROUND(AVERAGEIFS(Datos!$G$2:$G$18911,Datos!$E$2:$E$18911,$A43,Datos!$B$2:$B$18911,13,Datos!$C$2:$C$18911,"&gt;=30",Datos!$F$2:$F$18911,"STANDBY"),0),"")</f>
        <v/>
      </c>
      <c r="N43" s="7">
        <f>IFERROR(ROUND(AVERAGEIFS(Datos!$G$2:$G$18911,Datos!$E$2:$E$18911,$A43,Datos!$B$2:$B$18911,14,Datos!$C$2:$C$18911,"&lt;30",Datos!$F$2:$F$18911,"STANDBY"),0),"")</f>
        <v/>
      </c>
      <c r="O43" s="7">
        <f>IFERROR(ROUND(AVERAGEIFS(Datos!$G$2:$G$18911,Datos!$E$2:$E$18911,$A43,Datos!$B$2:$B$18911,14,Datos!$C$2:$C$18911,"&gt;=30",Datos!$F$2:$F$18911,"STANDBY"),0),"")</f>
        <v/>
      </c>
      <c r="P43" s="7">
        <f>IFERROR(ROUND(AVERAGEIFS(Datos!$G$2:$G$18911,Datos!$E$2:$E$18911,$A43,Datos!$B$2:$B$18911,15,Datos!$C$2:$C$18911,"&lt;30",Datos!$F$2:$F$18911,"STANDBY"),0),"")</f>
        <v/>
      </c>
      <c r="Q43" s="7">
        <f>IFERROR(ROUND(AVERAGEIFS(Datos!$G$2:$G$18911,Datos!$E$2:$E$18911,$A43,Datos!$B$2:$B$18911,15,Datos!$C$2:$C$18911,"&gt;=30",Datos!$F$2:$F$18911,"STANDBY"),0),"")</f>
        <v/>
      </c>
      <c r="R43" s="7">
        <f>IFERROR(ROUND(AVERAGEIFS(Datos!$G$2:$G$18911,Datos!$E$2:$E$18911,$A43,Datos!$B$2:$B$18911,16,Datos!$C$2:$C$18911,"&lt;30",Datos!$F$2:$F$18911,"STANDBY"),0),"")</f>
        <v/>
      </c>
      <c r="S43" s="7">
        <f>IFERROR(ROUND(AVERAGEIFS(Datos!$G$2:$G$18911,Datos!$E$2:$E$18911,$A43,Datos!$B$2:$B$18911,16,Datos!$C$2:$C$18911,"&gt;=30",Datos!$F$2:$F$18911,"STANDBY"),0),"")</f>
        <v/>
      </c>
      <c r="T43" s="7">
        <f>IFERROR(ROUND(AVERAGEIFS(Datos!$G$2:$G$18911,Datos!$E$2:$E$18911,$A43,Datos!$B$2:$B$18911,17,Datos!$C$2:$C$18911,"&lt;30",Datos!$F$2:$F$18911,"STANDBY"),0),"")</f>
        <v/>
      </c>
      <c r="U43" s="7">
        <f>IFERROR(ROUND(AVERAGEIFS(Datos!$G$2:$G$18911,Datos!$E$2:$E$18911,$A43,Datos!$B$2:$B$18911,17,Datos!$C$2:$C$18911,"&gt;=30",Datos!$F$2:$F$18911,"STANDBY"),0),"")</f>
        <v/>
      </c>
      <c r="V43" s="7">
        <f>IFERROR(ROUND(AVERAGEIFS(Datos!$G$2:$G$18911,Datos!$E$2:$E$18911,$A43,Datos!$B$2:$B$18911,18,Datos!$C$2:$C$18911,"&lt;30",Datos!$F$2:$F$18911,"STANDBY"),0),"")</f>
        <v/>
      </c>
      <c r="W43" s="7">
        <f>IFERROR(ROUND(AVERAGEIFS(Datos!$G$2:$G$18911,Datos!$E$2:$E$18911,$A43,Datos!$B$2:$B$18911,18,Datos!$C$2:$C$18911,"&gt;=30",Datos!$F$2:$F$18911,"STANDBY"),0),"")</f>
        <v/>
      </c>
      <c r="X43" s="7">
        <f>IFERROR(ROUND(AVERAGEIFS(Datos!$G$2:$G$18911,Datos!$E$2:$E$18911,$A43,Datos!$B$2:$B$18911,19,Datos!$C$2:$C$18911,"&lt;30",Datos!$F$2:$F$18911,"STANDBY"),0),"")</f>
        <v/>
      </c>
      <c r="Y43" s="7">
        <f>IFERROR(ROUND(AVERAGEIFS(Datos!$G$2:$G$18911,Datos!$E$2:$E$18911,$A43,Datos!$B$2:$B$18911,19,Datos!$C$2:$C$18911,"&gt;=30",Datos!$F$2:$F$18911,"STANDBY"),0),"")</f>
        <v/>
      </c>
      <c r="Z43" s="7">
        <f>IFERROR(ROUND(AVERAGEIFS(Datos!$G$2:$G$18911,Datos!$E$2:$E$18911,$A43,Datos!$B$2:$B$18911,20,Datos!$C$2:$C$18911,"&lt;30",Datos!$F$2:$F$18911,"STANDBY"),0),"")</f>
        <v/>
      </c>
      <c r="AA43" s="7">
        <f>IFERROR(ROUND(AVERAGEIFS(Datos!$G$2:$G$18911,Datos!$E$2:$E$18911,$A43,Datos!$B$2:$B$18911,20,Datos!$C$2:$C$18911,"&gt;=30",Datos!$F$2:$F$18911,"STANDBY"),0),"")</f>
        <v/>
      </c>
      <c r="AB43" s="7">
        <f>IFERROR(ROUND(AVERAGEIFS(Datos!$G$2:$G$18911,Datos!$E$2:$E$18911,$A43,Datos!$B$2:$B$18911,21,Datos!$C$2:$C$18911,"&lt;30",Datos!$F$2:$F$18911,"STANDBY"),0),"")</f>
        <v/>
      </c>
      <c r="AC43" s="7">
        <f>IFERROR(ROUND(AVERAGEIFS(Datos!$G$2:$G$18911,Datos!$E$2:$E$18911,$A43,Datos!$B$2:$B$18911,21,Datos!$C$2:$C$18911,"&gt;=30",Datos!$F$2:$F$18911,"STANDBY"),0),"")</f>
        <v/>
      </c>
      <c r="AD43" s="7">
        <f>IFERROR(ROUND(AVERAGEIFS(Datos!$G$2:$G$18911,Datos!$E$2:$E$18911,$A43,Datos!$B$2:$B$18911,22,Datos!$C$2:$C$18911,"&lt;30",Datos!$F$2:$F$18911,"STANDBY"),0),"")</f>
        <v/>
      </c>
      <c r="AE43" s="7">
        <f>IFERROR(ROUND(AVERAGEIFS(Datos!$G$2:$G$18911,Datos!$E$2:$E$18911,$A43,Datos!$B$2:$B$18911,22,Datos!$C$2:$C$18911,"&gt;=30",Datos!$F$2:$F$18911,"STANDBY"),0),"")</f>
        <v/>
      </c>
      <c r="AF43" s="7">
        <f>IFERROR(ROUND(AVERAGEIFS(Datos!$G$2:$G$18911,Datos!$E$2:$E$18911,$A43,Datos!$B$2:$B$18911,23,Datos!$C$2:$C$18911,"&lt;30",Datos!$F$2:$F$18911,"STANDBY"),0),"")</f>
        <v/>
      </c>
      <c r="AG43" s="7">
        <f>IFERROR(ROUND(AVERAGEIFS(Datos!$G$2:$G$18911,Datos!$E$2:$E$18911,$A43,Datos!$B$2:$B$18911,23,Datos!$C$2:$C$18911,"&gt;=30",Datos!$F$2:$F$18911,"STANDBY"),0),"")</f>
        <v/>
      </c>
    </row>
    <row r="44">
      <c r="A44" s="6" t="inlineStr">
        <is>
          <t>Le Passage Enchanté d'Aladdin</t>
        </is>
      </c>
      <c r="B44" s="7">
        <f>IFERROR(ROUND(AVERAGEIFS(Datos!$G$2:$G$18911,Datos!$E$2:$E$18911,$A44,Datos!$B$2:$B$18911,8,Datos!$C$2:$C$18911,"&lt;30",Datos!$F$2:$F$18911,"STANDBY"),0),"")</f>
        <v/>
      </c>
      <c r="C44" s="7">
        <f>IFERROR(ROUND(AVERAGEIFS(Datos!$G$2:$G$18911,Datos!$E$2:$E$18911,$A44,Datos!$B$2:$B$18911,8,Datos!$C$2:$C$18911,"&gt;=30",Datos!$F$2:$F$18911,"STANDBY"),0),"")</f>
        <v/>
      </c>
      <c r="D44" s="7">
        <f>IFERROR(ROUND(AVERAGEIFS(Datos!$G$2:$G$18911,Datos!$E$2:$E$18911,$A44,Datos!$B$2:$B$18911,9,Datos!$C$2:$C$18911,"&lt;30",Datos!$F$2:$F$18911,"STANDBY"),0),"")</f>
        <v/>
      </c>
      <c r="E44" s="7">
        <f>IFERROR(ROUND(AVERAGEIFS(Datos!$G$2:$G$18911,Datos!$E$2:$E$18911,$A44,Datos!$B$2:$B$18911,9,Datos!$C$2:$C$18911,"&gt;=30",Datos!$F$2:$F$18911,"STANDBY"),0),"")</f>
        <v/>
      </c>
      <c r="F44" s="7">
        <f>IFERROR(ROUND(AVERAGEIFS(Datos!$G$2:$G$18911,Datos!$E$2:$E$18911,$A44,Datos!$B$2:$B$18911,10,Datos!$C$2:$C$18911,"&lt;30",Datos!$F$2:$F$18911,"STANDBY"),0),"")</f>
        <v/>
      </c>
      <c r="G44" s="7">
        <f>IFERROR(ROUND(AVERAGEIFS(Datos!$G$2:$G$18911,Datos!$E$2:$E$18911,$A44,Datos!$B$2:$B$18911,10,Datos!$C$2:$C$18911,"&gt;=30",Datos!$F$2:$F$18911,"STANDBY"),0),"")</f>
        <v/>
      </c>
      <c r="H44" s="7">
        <f>IFERROR(ROUND(AVERAGEIFS(Datos!$G$2:$G$18911,Datos!$E$2:$E$18911,$A44,Datos!$B$2:$B$18911,11,Datos!$C$2:$C$18911,"&lt;30",Datos!$F$2:$F$18911,"STANDBY"),0),"")</f>
        <v/>
      </c>
      <c r="I44" s="7">
        <f>IFERROR(ROUND(AVERAGEIFS(Datos!$G$2:$G$18911,Datos!$E$2:$E$18911,$A44,Datos!$B$2:$B$18911,11,Datos!$C$2:$C$18911,"&gt;=30",Datos!$F$2:$F$18911,"STANDBY"),0),"")</f>
        <v/>
      </c>
      <c r="J44" s="7">
        <f>IFERROR(ROUND(AVERAGEIFS(Datos!$G$2:$G$18911,Datos!$E$2:$E$18911,$A44,Datos!$B$2:$B$18911,12,Datos!$C$2:$C$18911,"&lt;30",Datos!$F$2:$F$18911,"STANDBY"),0),"")</f>
        <v/>
      </c>
      <c r="K44" s="7">
        <f>IFERROR(ROUND(AVERAGEIFS(Datos!$G$2:$G$18911,Datos!$E$2:$E$18911,$A44,Datos!$B$2:$B$18911,12,Datos!$C$2:$C$18911,"&gt;=30",Datos!$F$2:$F$18911,"STANDBY"),0),"")</f>
        <v/>
      </c>
      <c r="L44" s="7">
        <f>IFERROR(ROUND(AVERAGEIFS(Datos!$G$2:$G$18911,Datos!$E$2:$E$18911,$A44,Datos!$B$2:$B$18911,13,Datos!$C$2:$C$18911,"&lt;30",Datos!$F$2:$F$18911,"STANDBY"),0),"")</f>
        <v/>
      </c>
      <c r="M44" s="7">
        <f>IFERROR(ROUND(AVERAGEIFS(Datos!$G$2:$G$18911,Datos!$E$2:$E$18911,$A44,Datos!$B$2:$B$18911,13,Datos!$C$2:$C$18911,"&gt;=30",Datos!$F$2:$F$18911,"STANDBY"),0),"")</f>
        <v/>
      </c>
      <c r="N44" s="7">
        <f>IFERROR(ROUND(AVERAGEIFS(Datos!$G$2:$G$18911,Datos!$E$2:$E$18911,$A44,Datos!$B$2:$B$18911,14,Datos!$C$2:$C$18911,"&lt;30",Datos!$F$2:$F$18911,"STANDBY"),0),"")</f>
        <v/>
      </c>
      <c r="O44" s="7">
        <f>IFERROR(ROUND(AVERAGEIFS(Datos!$G$2:$G$18911,Datos!$E$2:$E$18911,$A44,Datos!$B$2:$B$18911,14,Datos!$C$2:$C$18911,"&gt;=30",Datos!$F$2:$F$18911,"STANDBY"),0),"")</f>
        <v/>
      </c>
      <c r="P44" s="7">
        <f>IFERROR(ROUND(AVERAGEIFS(Datos!$G$2:$G$18911,Datos!$E$2:$E$18911,$A44,Datos!$B$2:$B$18911,15,Datos!$C$2:$C$18911,"&lt;30",Datos!$F$2:$F$18911,"STANDBY"),0),"")</f>
        <v/>
      </c>
      <c r="Q44" s="7">
        <f>IFERROR(ROUND(AVERAGEIFS(Datos!$G$2:$G$18911,Datos!$E$2:$E$18911,$A44,Datos!$B$2:$B$18911,15,Datos!$C$2:$C$18911,"&gt;=30",Datos!$F$2:$F$18911,"STANDBY"),0),"")</f>
        <v/>
      </c>
      <c r="R44" s="7">
        <f>IFERROR(ROUND(AVERAGEIFS(Datos!$G$2:$G$18911,Datos!$E$2:$E$18911,$A44,Datos!$B$2:$B$18911,16,Datos!$C$2:$C$18911,"&lt;30",Datos!$F$2:$F$18911,"STANDBY"),0),"")</f>
        <v/>
      </c>
      <c r="S44" s="7">
        <f>IFERROR(ROUND(AVERAGEIFS(Datos!$G$2:$G$18911,Datos!$E$2:$E$18911,$A44,Datos!$B$2:$B$18911,16,Datos!$C$2:$C$18911,"&gt;=30",Datos!$F$2:$F$18911,"STANDBY"),0),"")</f>
        <v/>
      </c>
      <c r="T44" s="7">
        <f>IFERROR(ROUND(AVERAGEIFS(Datos!$G$2:$G$18911,Datos!$E$2:$E$18911,$A44,Datos!$B$2:$B$18911,17,Datos!$C$2:$C$18911,"&lt;30",Datos!$F$2:$F$18911,"STANDBY"),0),"")</f>
        <v/>
      </c>
      <c r="U44" s="7">
        <f>IFERROR(ROUND(AVERAGEIFS(Datos!$G$2:$G$18911,Datos!$E$2:$E$18911,$A44,Datos!$B$2:$B$18911,17,Datos!$C$2:$C$18911,"&gt;=30",Datos!$F$2:$F$18911,"STANDBY"),0),"")</f>
        <v/>
      </c>
      <c r="V44" s="7">
        <f>IFERROR(ROUND(AVERAGEIFS(Datos!$G$2:$G$18911,Datos!$E$2:$E$18911,$A44,Datos!$B$2:$B$18911,18,Datos!$C$2:$C$18911,"&lt;30",Datos!$F$2:$F$18911,"STANDBY"),0),"")</f>
        <v/>
      </c>
      <c r="W44" s="7">
        <f>IFERROR(ROUND(AVERAGEIFS(Datos!$G$2:$G$18911,Datos!$E$2:$E$18911,$A44,Datos!$B$2:$B$18911,18,Datos!$C$2:$C$18911,"&gt;=30",Datos!$F$2:$F$18911,"STANDBY"),0),"")</f>
        <v/>
      </c>
      <c r="X44" s="7">
        <f>IFERROR(ROUND(AVERAGEIFS(Datos!$G$2:$G$18911,Datos!$E$2:$E$18911,$A44,Datos!$B$2:$B$18911,19,Datos!$C$2:$C$18911,"&lt;30",Datos!$F$2:$F$18911,"STANDBY"),0),"")</f>
        <v/>
      </c>
      <c r="Y44" s="7">
        <f>IFERROR(ROUND(AVERAGEIFS(Datos!$G$2:$G$18911,Datos!$E$2:$E$18911,$A44,Datos!$B$2:$B$18911,19,Datos!$C$2:$C$18911,"&gt;=30",Datos!$F$2:$F$18911,"STANDBY"),0),"")</f>
        <v/>
      </c>
      <c r="Z44" s="7">
        <f>IFERROR(ROUND(AVERAGEIFS(Datos!$G$2:$G$18911,Datos!$E$2:$E$18911,$A44,Datos!$B$2:$B$18911,20,Datos!$C$2:$C$18911,"&lt;30",Datos!$F$2:$F$18911,"STANDBY"),0),"")</f>
        <v/>
      </c>
      <c r="AA44" s="7">
        <f>IFERROR(ROUND(AVERAGEIFS(Datos!$G$2:$G$18911,Datos!$E$2:$E$18911,$A44,Datos!$B$2:$B$18911,20,Datos!$C$2:$C$18911,"&gt;=30",Datos!$F$2:$F$18911,"STANDBY"),0),"")</f>
        <v/>
      </c>
      <c r="AB44" s="7">
        <f>IFERROR(ROUND(AVERAGEIFS(Datos!$G$2:$G$18911,Datos!$E$2:$E$18911,$A44,Datos!$B$2:$B$18911,21,Datos!$C$2:$C$18911,"&lt;30",Datos!$F$2:$F$18911,"STANDBY"),0),"")</f>
        <v/>
      </c>
      <c r="AC44" s="7">
        <f>IFERROR(ROUND(AVERAGEIFS(Datos!$G$2:$G$18911,Datos!$E$2:$E$18911,$A44,Datos!$B$2:$B$18911,21,Datos!$C$2:$C$18911,"&gt;=30",Datos!$F$2:$F$18911,"STANDBY"),0),"")</f>
        <v/>
      </c>
      <c r="AD44" s="7">
        <f>IFERROR(ROUND(AVERAGEIFS(Datos!$G$2:$G$18911,Datos!$E$2:$E$18911,$A44,Datos!$B$2:$B$18911,22,Datos!$C$2:$C$18911,"&lt;30",Datos!$F$2:$F$18911,"STANDBY"),0),"")</f>
        <v/>
      </c>
      <c r="AE44" s="7">
        <f>IFERROR(ROUND(AVERAGEIFS(Datos!$G$2:$G$18911,Datos!$E$2:$E$18911,$A44,Datos!$B$2:$B$18911,22,Datos!$C$2:$C$18911,"&gt;=30",Datos!$F$2:$F$18911,"STANDBY"),0),"")</f>
        <v/>
      </c>
      <c r="AF44" s="7">
        <f>IFERROR(ROUND(AVERAGEIFS(Datos!$G$2:$G$18911,Datos!$E$2:$E$18911,$A44,Datos!$B$2:$B$18911,23,Datos!$C$2:$C$18911,"&lt;30",Datos!$F$2:$F$18911,"STANDBY"),0),"")</f>
        <v/>
      </c>
      <c r="AG44" s="7">
        <f>IFERROR(ROUND(AVERAGEIFS(Datos!$G$2:$G$18911,Datos!$E$2:$E$18911,$A44,Datos!$B$2:$B$18911,23,Datos!$C$2:$C$18911,"&gt;=30",Datos!$F$2:$F$18911,"STANDBY"),0),"")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IFERROR(ROUND(AVERAGEIFS(Datos!$G$2:$G$18911,Datos!$E$2:$E$18911,$A45,Datos!$B$2:$B$18911,8,Datos!$C$2:$C$18911,"&lt;30",Datos!$F$2:$F$18911,"STANDBY"),0),"")</f>
        <v/>
      </c>
      <c r="C45" s="7">
        <f>IFERROR(ROUND(AVERAGEIFS(Datos!$G$2:$G$18911,Datos!$E$2:$E$18911,$A45,Datos!$B$2:$B$18911,8,Datos!$C$2:$C$18911,"&gt;=30",Datos!$F$2:$F$18911,"STANDBY"),0),"")</f>
        <v/>
      </c>
      <c r="D45" s="7">
        <f>IFERROR(ROUND(AVERAGEIFS(Datos!$G$2:$G$18911,Datos!$E$2:$E$18911,$A45,Datos!$B$2:$B$18911,9,Datos!$C$2:$C$18911,"&lt;30",Datos!$F$2:$F$18911,"STANDBY"),0),"")</f>
        <v/>
      </c>
      <c r="E45" s="7">
        <f>IFERROR(ROUND(AVERAGEIFS(Datos!$G$2:$G$18911,Datos!$E$2:$E$18911,$A45,Datos!$B$2:$B$18911,9,Datos!$C$2:$C$18911,"&gt;=30",Datos!$F$2:$F$18911,"STANDBY"),0),"")</f>
        <v/>
      </c>
      <c r="F45" s="7">
        <f>IFERROR(ROUND(AVERAGEIFS(Datos!$G$2:$G$18911,Datos!$E$2:$E$18911,$A45,Datos!$B$2:$B$18911,10,Datos!$C$2:$C$18911,"&lt;30",Datos!$F$2:$F$18911,"STANDBY"),0),"")</f>
        <v/>
      </c>
      <c r="G45" s="7">
        <f>IFERROR(ROUND(AVERAGEIFS(Datos!$G$2:$G$18911,Datos!$E$2:$E$18911,$A45,Datos!$B$2:$B$18911,10,Datos!$C$2:$C$18911,"&gt;=30",Datos!$F$2:$F$18911,"STANDBY"),0),"")</f>
        <v/>
      </c>
      <c r="H45" s="7">
        <f>IFERROR(ROUND(AVERAGEIFS(Datos!$G$2:$G$18911,Datos!$E$2:$E$18911,$A45,Datos!$B$2:$B$18911,11,Datos!$C$2:$C$18911,"&lt;30",Datos!$F$2:$F$18911,"STANDBY"),0),"")</f>
        <v/>
      </c>
      <c r="I45" s="7">
        <f>IFERROR(ROUND(AVERAGEIFS(Datos!$G$2:$G$18911,Datos!$E$2:$E$18911,$A45,Datos!$B$2:$B$18911,11,Datos!$C$2:$C$18911,"&gt;=30",Datos!$F$2:$F$18911,"STANDBY"),0),"")</f>
        <v/>
      </c>
      <c r="J45" s="7">
        <f>IFERROR(ROUND(AVERAGEIFS(Datos!$G$2:$G$18911,Datos!$E$2:$E$18911,$A45,Datos!$B$2:$B$18911,12,Datos!$C$2:$C$18911,"&lt;30",Datos!$F$2:$F$18911,"STANDBY"),0),"")</f>
        <v/>
      </c>
      <c r="K45" s="7">
        <f>IFERROR(ROUND(AVERAGEIFS(Datos!$G$2:$G$18911,Datos!$E$2:$E$18911,$A45,Datos!$B$2:$B$18911,12,Datos!$C$2:$C$18911,"&gt;=30",Datos!$F$2:$F$18911,"STANDBY"),0),"")</f>
        <v/>
      </c>
      <c r="L45" s="7">
        <f>IFERROR(ROUND(AVERAGEIFS(Datos!$G$2:$G$18911,Datos!$E$2:$E$18911,$A45,Datos!$B$2:$B$18911,13,Datos!$C$2:$C$18911,"&lt;30",Datos!$F$2:$F$18911,"STANDBY"),0),"")</f>
        <v/>
      </c>
      <c r="M45" s="7">
        <f>IFERROR(ROUND(AVERAGEIFS(Datos!$G$2:$G$18911,Datos!$E$2:$E$18911,$A45,Datos!$B$2:$B$18911,13,Datos!$C$2:$C$18911,"&gt;=30",Datos!$F$2:$F$18911,"STANDBY"),0),"")</f>
        <v/>
      </c>
      <c r="N45" s="7">
        <f>IFERROR(ROUND(AVERAGEIFS(Datos!$G$2:$G$18911,Datos!$E$2:$E$18911,$A45,Datos!$B$2:$B$18911,14,Datos!$C$2:$C$18911,"&lt;30",Datos!$F$2:$F$18911,"STANDBY"),0),"")</f>
        <v/>
      </c>
      <c r="O45" s="7">
        <f>IFERROR(ROUND(AVERAGEIFS(Datos!$G$2:$G$18911,Datos!$E$2:$E$18911,$A45,Datos!$B$2:$B$18911,14,Datos!$C$2:$C$18911,"&gt;=30",Datos!$F$2:$F$18911,"STANDBY"),0),"")</f>
        <v/>
      </c>
      <c r="P45" s="7">
        <f>IFERROR(ROUND(AVERAGEIFS(Datos!$G$2:$G$18911,Datos!$E$2:$E$18911,$A45,Datos!$B$2:$B$18911,15,Datos!$C$2:$C$18911,"&lt;30",Datos!$F$2:$F$18911,"STANDBY"),0),"")</f>
        <v/>
      </c>
      <c r="Q45" s="7">
        <f>IFERROR(ROUND(AVERAGEIFS(Datos!$G$2:$G$18911,Datos!$E$2:$E$18911,$A45,Datos!$B$2:$B$18911,15,Datos!$C$2:$C$18911,"&gt;=30",Datos!$F$2:$F$18911,"STANDBY"),0),"")</f>
        <v/>
      </c>
      <c r="R45" s="7">
        <f>IFERROR(ROUND(AVERAGEIFS(Datos!$G$2:$G$18911,Datos!$E$2:$E$18911,$A45,Datos!$B$2:$B$18911,16,Datos!$C$2:$C$18911,"&lt;30",Datos!$F$2:$F$18911,"STANDBY"),0),"")</f>
        <v/>
      </c>
      <c r="S45" s="7">
        <f>IFERROR(ROUND(AVERAGEIFS(Datos!$G$2:$G$18911,Datos!$E$2:$E$18911,$A45,Datos!$B$2:$B$18911,16,Datos!$C$2:$C$18911,"&gt;=30",Datos!$F$2:$F$18911,"STANDBY"),0),"")</f>
        <v/>
      </c>
      <c r="T45" s="7">
        <f>IFERROR(ROUND(AVERAGEIFS(Datos!$G$2:$G$18911,Datos!$E$2:$E$18911,$A45,Datos!$B$2:$B$18911,17,Datos!$C$2:$C$18911,"&lt;30",Datos!$F$2:$F$18911,"STANDBY"),0),"")</f>
        <v/>
      </c>
      <c r="U45" s="7">
        <f>IFERROR(ROUND(AVERAGEIFS(Datos!$G$2:$G$18911,Datos!$E$2:$E$18911,$A45,Datos!$B$2:$B$18911,17,Datos!$C$2:$C$18911,"&gt;=30",Datos!$F$2:$F$18911,"STANDBY"),0),"")</f>
        <v/>
      </c>
      <c r="V45" s="7">
        <f>IFERROR(ROUND(AVERAGEIFS(Datos!$G$2:$G$18911,Datos!$E$2:$E$18911,$A45,Datos!$B$2:$B$18911,18,Datos!$C$2:$C$18911,"&lt;30",Datos!$F$2:$F$18911,"STANDBY"),0),"")</f>
        <v/>
      </c>
      <c r="W45" s="7">
        <f>IFERROR(ROUND(AVERAGEIFS(Datos!$G$2:$G$18911,Datos!$E$2:$E$18911,$A45,Datos!$B$2:$B$18911,18,Datos!$C$2:$C$18911,"&gt;=30",Datos!$F$2:$F$18911,"STANDBY"),0),"")</f>
        <v/>
      </c>
      <c r="X45" s="7">
        <f>IFERROR(ROUND(AVERAGEIFS(Datos!$G$2:$G$18911,Datos!$E$2:$E$18911,$A45,Datos!$B$2:$B$18911,19,Datos!$C$2:$C$18911,"&lt;30",Datos!$F$2:$F$18911,"STANDBY"),0),"")</f>
        <v/>
      </c>
      <c r="Y45" s="7">
        <f>IFERROR(ROUND(AVERAGEIFS(Datos!$G$2:$G$18911,Datos!$E$2:$E$18911,$A45,Datos!$B$2:$B$18911,19,Datos!$C$2:$C$18911,"&gt;=30",Datos!$F$2:$F$18911,"STANDBY"),0),"")</f>
        <v/>
      </c>
      <c r="Z45" s="7">
        <f>IFERROR(ROUND(AVERAGEIFS(Datos!$G$2:$G$18911,Datos!$E$2:$E$18911,$A45,Datos!$B$2:$B$18911,20,Datos!$C$2:$C$18911,"&lt;30",Datos!$F$2:$F$18911,"STANDBY"),0),"")</f>
        <v/>
      </c>
      <c r="AA45" s="7">
        <f>IFERROR(ROUND(AVERAGEIFS(Datos!$G$2:$G$18911,Datos!$E$2:$E$18911,$A45,Datos!$B$2:$B$18911,20,Datos!$C$2:$C$18911,"&gt;=30",Datos!$F$2:$F$18911,"STANDBY"),0),"")</f>
        <v/>
      </c>
      <c r="AB45" s="7">
        <f>IFERROR(ROUND(AVERAGEIFS(Datos!$G$2:$G$18911,Datos!$E$2:$E$18911,$A45,Datos!$B$2:$B$18911,21,Datos!$C$2:$C$18911,"&lt;30",Datos!$F$2:$F$18911,"STANDBY"),0),"")</f>
        <v/>
      </c>
      <c r="AC45" s="7">
        <f>IFERROR(ROUND(AVERAGEIFS(Datos!$G$2:$G$18911,Datos!$E$2:$E$18911,$A45,Datos!$B$2:$B$18911,21,Datos!$C$2:$C$18911,"&gt;=30",Datos!$F$2:$F$18911,"STANDBY"),0),"")</f>
        <v/>
      </c>
      <c r="AD45" s="7">
        <f>IFERROR(ROUND(AVERAGEIFS(Datos!$G$2:$G$18911,Datos!$E$2:$E$18911,$A45,Datos!$B$2:$B$18911,22,Datos!$C$2:$C$18911,"&lt;30",Datos!$F$2:$F$18911,"STANDBY"),0),"")</f>
        <v/>
      </c>
      <c r="AE45" s="7">
        <f>IFERROR(ROUND(AVERAGEIFS(Datos!$G$2:$G$18911,Datos!$E$2:$E$18911,$A45,Datos!$B$2:$B$18911,22,Datos!$C$2:$C$18911,"&gt;=30",Datos!$F$2:$F$18911,"STANDBY"),0),"")</f>
        <v/>
      </c>
      <c r="AF45" s="7">
        <f>IFERROR(ROUND(AVERAGEIFS(Datos!$G$2:$G$18911,Datos!$E$2:$E$18911,$A45,Datos!$B$2:$B$18911,23,Datos!$C$2:$C$18911,"&lt;30",Datos!$F$2:$F$18911,"STANDBY"),0),"")</f>
        <v/>
      </c>
      <c r="AG45" s="7">
        <f>IFERROR(ROUND(AVERAGEIFS(Datos!$G$2:$G$18911,Datos!$E$2:$E$18911,$A45,Datos!$B$2:$B$18911,23,Datos!$C$2:$C$18911,"&gt;=30",Datos!$F$2:$F$18911,"STANDBY"),0),"")</f>
        <v/>
      </c>
    </row>
    <row r="46">
      <c r="A46" s="6" t="inlineStr">
        <is>
          <t>Les Mystères du Nautilus</t>
        </is>
      </c>
      <c r="B46" s="7">
        <f>IFERROR(ROUND(AVERAGEIFS(Datos!$G$2:$G$18911,Datos!$E$2:$E$18911,$A46,Datos!$B$2:$B$18911,8,Datos!$C$2:$C$18911,"&lt;30",Datos!$F$2:$F$18911,"STANDBY"),0),"")</f>
        <v/>
      </c>
      <c r="C46" s="7">
        <f>IFERROR(ROUND(AVERAGEIFS(Datos!$G$2:$G$18911,Datos!$E$2:$E$18911,$A46,Datos!$B$2:$B$18911,8,Datos!$C$2:$C$18911,"&gt;=30",Datos!$F$2:$F$18911,"STANDBY"),0),"")</f>
        <v/>
      </c>
      <c r="D46" s="7">
        <f>IFERROR(ROUND(AVERAGEIFS(Datos!$G$2:$G$18911,Datos!$E$2:$E$18911,$A46,Datos!$B$2:$B$18911,9,Datos!$C$2:$C$18911,"&lt;30",Datos!$F$2:$F$18911,"STANDBY"),0),"")</f>
        <v/>
      </c>
      <c r="E46" s="7">
        <f>IFERROR(ROUND(AVERAGEIFS(Datos!$G$2:$G$18911,Datos!$E$2:$E$18911,$A46,Datos!$B$2:$B$18911,9,Datos!$C$2:$C$18911,"&gt;=30",Datos!$F$2:$F$18911,"STANDBY"),0),"")</f>
        <v/>
      </c>
      <c r="F46" s="7">
        <f>IFERROR(ROUND(AVERAGEIFS(Datos!$G$2:$G$18911,Datos!$E$2:$E$18911,$A46,Datos!$B$2:$B$18911,10,Datos!$C$2:$C$18911,"&lt;30",Datos!$F$2:$F$18911,"STANDBY"),0),"")</f>
        <v/>
      </c>
      <c r="G46" s="7">
        <f>IFERROR(ROUND(AVERAGEIFS(Datos!$G$2:$G$18911,Datos!$E$2:$E$18911,$A46,Datos!$B$2:$B$18911,10,Datos!$C$2:$C$18911,"&gt;=30",Datos!$F$2:$F$18911,"STANDBY"),0),"")</f>
        <v/>
      </c>
      <c r="H46" s="7">
        <f>IFERROR(ROUND(AVERAGEIFS(Datos!$G$2:$G$18911,Datos!$E$2:$E$18911,$A46,Datos!$B$2:$B$18911,11,Datos!$C$2:$C$18911,"&lt;30",Datos!$F$2:$F$18911,"STANDBY"),0),"")</f>
        <v/>
      </c>
      <c r="I46" s="7">
        <f>IFERROR(ROUND(AVERAGEIFS(Datos!$G$2:$G$18911,Datos!$E$2:$E$18911,$A46,Datos!$B$2:$B$18911,11,Datos!$C$2:$C$18911,"&gt;=30",Datos!$F$2:$F$18911,"STANDBY"),0),"")</f>
        <v/>
      </c>
      <c r="J46" s="7">
        <f>IFERROR(ROUND(AVERAGEIFS(Datos!$G$2:$G$18911,Datos!$E$2:$E$18911,$A46,Datos!$B$2:$B$18911,12,Datos!$C$2:$C$18911,"&lt;30",Datos!$F$2:$F$18911,"STANDBY"),0),"")</f>
        <v/>
      </c>
      <c r="K46" s="7">
        <f>IFERROR(ROUND(AVERAGEIFS(Datos!$G$2:$G$18911,Datos!$E$2:$E$18911,$A46,Datos!$B$2:$B$18911,12,Datos!$C$2:$C$18911,"&gt;=30",Datos!$F$2:$F$18911,"STANDBY"),0),"")</f>
        <v/>
      </c>
      <c r="L46" s="7">
        <f>IFERROR(ROUND(AVERAGEIFS(Datos!$G$2:$G$18911,Datos!$E$2:$E$18911,$A46,Datos!$B$2:$B$18911,13,Datos!$C$2:$C$18911,"&lt;30",Datos!$F$2:$F$18911,"STANDBY"),0),"")</f>
        <v/>
      </c>
      <c r="M46" s="7">
        <f>IFERROR(ROUND(AVERAGEIFS(Datos!$G$2:$G$18911,Datos!$E$2:$E$18911,$A46,Datos!$B$2:$B$18911,13,Datos!$C$2:$C$18911,"&gt;=30",Datos!$F$2:$F$18911,"STANDBY"),0),"")</f>
        <v/>
      </c>
      <c r="N46" s="7">
        <f>IFERROR(ROUND(AVERAGEIFS(Datos!$G$2:$G$18911,Datos!$E$2:$E$18911,$A46,Datos!$B$2:$B$18911,14,Datos!$C$2:$C$18911,"&lt;30",Datos!$F$2:$F$18911,"STANDBY"),0),"")</f>
        <v/>
      </c>
      <c r="O46" s="7">
        <f>IFERROR(ROUND(AVERAGEIFS(Datos!$G$2:$G$18911,Datos!$E$2:$E$18911,$A46,Datos!$B$2:$B$18911,14,Datos!$C$2:$C$18911,"&gt;=30",Datos!$F$2:$F$18911,"STANDBY"),0),"")</f>
        <v/>
      </c>
      <c r="P46" s="7">
        <f>IFERROR(ROUND(AVERAGEIFS(Datos!$G$2:$G$18911,Datos!$E$2:$E$18911,$A46,Datos!$B$2:$B$18911,15,Datos!$C$2:$C$18911,"&lt;30",Datos!$F$2:$F$18911,"STANDBY"),0),"")</f>
        <v/>
      </c>
      <c r="Q46" s="7">
        <f>IFERROR(ROUND(AVERAGEIFS(Datos!$G$2:$G$18911,Datos!$E$2:$E$18911,$A46,Datos!$B$2:$B$18911,15,Datos!$C$2:$C$18911,"&gt;=30",Datos!$F$2:$F$18911,"STANDBY"),0),"")</f>
        <v/>
      </c>
      <c r="R46" s="7">
        <f>IFERROR(ROUND(AVERAGEIFS(Datos!$G$2:$G$18911,Datos!$E$2:$E$18911,$A46,Datos!$B$2:$B$18911,16,Datos!$C$2:$C$18911,"&lt;30",Datos!$F$2:$F$18911,"STANDBY"),0),"")</f>
        <v/>
      </c>
      <c r="S46" s="7">
        <f>IFERROR(ROUND(AVERAGEIFS(Datos!$G$2:$G$18911,Datos!$E$2:$E$18911,$A46,Datos!$B$2:$B$18911,16,Datos!$C$2:$C$18911,"&gt;=30",Datos!$F$2:$F$18911,"STANDBY"),0),"")</f>
        <v/>
      </c>
      <c r="T46" s="7">
        <f>IFERROR(ROUND(AVERAGEIFS(Datos!$G$2:$G$18911,Datos!$E$2:$E$18911,$A46,Datos!$B$2:$B$18911,17,Datos!$C$2:$C$18911,"&lt;30",Datos!$F$2:$F$18911,"STANDBY"),0),"")</f>
        <v/>
      </c>
      <c r="U46" s="7">
        <f>IFERROR(ROUND(AVERAGEIFS(Datos!$G$2:$G$18911,Datos!$E$2:$E$18911,$A46,Datos!$B$2:$B$18911,17,Datos!$C$2:$C$18911,"&gt;=30",Datos!$F$2:$F$18911,"STANDBY"),0),"")</f>
        <v/>
      </c>
      <c r="V46" s="7">
        <f>IFERROR(ROUND(AVERAGEIFS(Datos!$G$2:$G$18911,Datos!$E$2:$E$18911,$A46,Datos!$B$2:$B$18911,18,Datos!$C$2:$C$18911,"&lt;30",Datos!$F$2:$F$18911,"STANDBY"),0),"")</f>
        <v/>
      </c>
      <c r="W46" s="7">
        <f>IFERROR(ROUND(AVERAGEIFS(Datos!$G$2:$G$18911,Datos!$E$2:$E$18911,$A46,Datos!$B$2:$B$18911,18,Datos!$C$2:$C$18911,"&gt;=30",Datos!$F$2:$F$18911,"STANDBY"),0),"")</f>
        <v/>
      </c>
      <c r="X46" s="7">
        <f>IFERROR(ROUND(AVERAGEIFS(Datos!$G$2:$G$18911,Datos!$E$2:$E$18911,$A46,Datos!$B$2:$B$18911,19,Datos!$C$2:$C$18911,"&lt;30",Datos!$F$2:$F$18911,"STANDBY"),0),"")</f>
        <v/>
      </c>
      <c r="Y46" s="7">
        <f>IFERROR(ROUND(AVERAGEIFS(Datos!$G$2:$G$18911,Datos!$E$2:$E$18911,$A46,Datos!$B$2:$B$18911,19,Datos!$C$2:$C$18911,"&gt;=30",Datos!$F$2:$F$18911,"STANDBY"),0),"")</f>
        <v/>
      </c>
      <c r="Z46" s="7">
        <f>IFERROR(ROUND(AVERAGEIFS(Datos!$G$2:$G$18911,Datos!$E$2:$E$18911,$A46,Datos!$B$2:$B$18911,20,Datos!$C$2:$C$18911,"&lt;30",Datos!$F$2:$F$18911,"STANDBY"),0),"")</f>
        <v/>
      </c>
      <c r="AA46" s="7">
        <f>IFERROR(ROUND(AVERAGEIFS(Datos!$G$2:$G$18911,Datos!$E$2:$E$18911,$A46,Datos!$B$2:$B$18911,20,Datos!$C$2:$C$18911,"&gt;=30",Datos!$F$2:$F$18911,"STANDBY"),0),"")</f>
        <v/>
      </c>
      <c r="AB46" s="7">
        <f>IFERROR(ROUND(AVERAGEIFS(Datos!$G$2:$G$18911,Datos!$E$2:$E$18911,$A46,Datos!$B$2:$B$18911,21,Datos!$C$2:$C$18911,"&lt;30",Datos!$F$2:$F$18911,"STANDBY"),0),"")</f>
        <v/>
      </c>
      <c r="AC46" s="7">
        <f>IFERROR(ROUND(AVERAGEIFS(Datos!$G$2:$G$18911,Datos!$E$2:$E$18911,$A46,Datos!$B$2:$B$18911,21,Datos!$C$2:$C$18911,"&gt;=30",Datos!$F$2:$F$18911,"STANDBY"),0),"")</f>
        <v/>
      </c>
      <c r="AD46" s="7">
        <f>IFERROR(ROUND(AVERAGEIFS(Datos!$G$2:$G$18911,Datos!$E$2:$E$18911,$A46,Datos!$B$2:$B$18911,22,Datos!$C$2:$C$18911,"&lt;30",Datos!$F$2:$F$18911,"STANDBY"),0),"")</f>
        <v/>
      </c>
      <c r="AE46" s="7">
        <f>IFERROR(ROUND(AVERAGEIFS(Datos!$G$2:$G$18911,Datos!$E$2:$E$18911,$A46,Datos!$B$2:$B$18911,22,Datos!$C$2:$C$18911,"&gt;=30",Datos!$F$2:$F$18911,"STANDBY"),0),"")</f>
        <v/>
      </c>
      <c r="AF46" s="7">
        <f>IFERROR(ROUND(AVERAGEIFS(Datos!$G$2:$G$18911,Datos!$E$2:$E$18911,$A46,Datos!$B$2:$B$18911,23,Datos!$C$2:$C$18911,"&lt;30",Datos!$F$2:$F$18911,"STANDBY"),0),"")</f>
        <v/>
      </c>
      <c r="AG46" s="7">
        <f>IFERROR(ROUND(AVERAGEIFS(Datos!$G$2:$G$18911,Datos!$E$2:$E$18911,$A46,Datos!$B$2:$B$18911,23,Datos!$C$2:$C$18911,"&gt;=30",Datos!$F$2:$F$18911,"STANDBY"),0),"")</f>
        <v/>
      </c>
    </row>
    <row r="47">
      <c r="A47" s="6" t="inlineStr">
        <is>
          <t>Les Voyages de Pinocchio</t>
        </is>
      </c>
      <c r="B47" s="7">
        <f>IFERROR(ROUND(AVERAGEIFS(Datos!$G$2:$G$18911,Datos!$E$2:$E$18911,$A47,Datos!$B$2:$B$18911,8,Datos!$C$2:$C$18911,"&lt;30",Datos!$F$2:$F$18911,"STANDBY"),0),"")</f>
        <v/>
      </c>
      <c r="C47" s="7">
        <f>IFERROR(ROUND(AVERAGEIFS(Datos!$G$2:$G$18911,Datos!$E$2:$E$18911,$A47,Datos!$B$2:$B$18911,8,Datos!$C$2:$C$18911,"&gt;=30",Datos!$F$2:$F$18911,"STANDBY"),0),"")</f>
        <v/>
      </c>
      <c r="D47" s="7">
        <f>IFERROR(ROUND(AVERAGEIFS(Datos!$G$2:$G$18911,Datos!$E$2:$E$18911,$A47,Datos!$B$2:$B$18911,9,Datos!$C$2:$C$18911,"&lt;30",Datos!$F$2:$F$18911,"STANDBY"),0),"")</f>
        <v/>
      </c>
      <c r="E47" s="7">
        <f>IFERROR(ROUND(AVERAGEIFS(Datos!$G$2:$G$18911,Datos!$E$2:$E$18911,$A47,Datos!$B$2:$B$18911,9,Datos!$C$2:$C$18911,"&gt;=30",Datos!$F$2:$F$18911,"STANDBY"),0),"")</f>
        <v/>
      </c>
      <c r="F47" s="7">
        <f>IFERROR(ROUND(AVERAGEIFS(Datos!$G$2:$G$18911,Datos!$E$2:$E$18911,$A47,Datos!$B$2:$B$18911,10,Datos!$C$2:$C$18911,"&lt;30",Datos!$F$2:$F$18911,"STANDBY"),0),"")</f>
        <v/>
      </c>
      <c r="G47" s="7">
        <f>IFERROR(ROUND(AVERAGEIFS(Datos!$G$2:$G$18911,Datos!$E$2:$E$18911,$A47,Datos!$B$2:$B$18911,10,Datos!$C$2:$C$18911,"&gt;=30",Datos!$F$2:$F$18911,"STANDBY"),0),"")</f>
        <v/>
      </c>
      <c r="H47" s="7">
        <f>IFERROR(ROUND(AVERAGEIFS(Datos!$G$2:$G$18911,Datos!$E$2:$E$18911,$A47,Datos!$B$2:$B$18911,11,Datos!$C$2:$C$18911,"&lt;30",Datos!$F$2:$F$18911,"STANDBY"),0),"")</f>
        <v/>
      </c>
      <c r="I47" s="7">
        <f>IFERROR(ROUND(AVERAGEIFS(Datos!$G$2:$G$18911,Datos!$E$2:$E$18911,$A47,Datos!$B$2:$B$18911,11,Datos!$C$2:$C$18911,"&gt;=30",Datos!$F$2:$F$18911,"STANDBY"),0),"")</f>
        <v/>
      </c>
      <c r="J47" s="7">
        <f>IFERROR(ROUND(AVERAGEIFS(Datos!$G$2:$G$18911,Datos!$E$2:$E$18911,$A47,Datos!$B$2:$B$18911,12,Datos!$C$2:$C$18911,"&lt;30",Datos!$F$2:$F$18911,"STANDBY"),0),"")</f>
        <v/>
      </c>
      <c r="K47" s="7">
        <f>IFERROR(ROUND(AVERAGEIFS(Datos!$G$2:$G$18911,Datos!$E$2:$E$18911,$A47,Datos!$B$2:$B$18911,12,Datos!$C$2:$C$18911,"&gt;=30",Datos!$F$2:$F$18911,"STANDBY"),0),"")</f>
        <v/>
      </c>
      <c r="L47" s="7">
        <f>IFERROR(ROUND(AVERAGEIFS(Datos!$G$2:$G$18911,Datos!$E$2:$E$18911,$A47,Datos!$B$2:$B$18911,13,Datos!$C$2:$C$18911,"&lt;30",Datos!$F$2:$F$18911,"STANDBY"),0),"")</f>
        <v/>
      </c>
      <c r="M47" s="7">
        <f>IFERROR(ROUND(AVERAGEIFS(Datos!$G$2:$G$18911,Datos!$E$2:$E$18911,$A47,Datos!$B$2:$B$18911,13,Datos!$C$2:$C$18911,"&gt;=30",Datos!$F$2:$F$18911,"STANDBY"),0),"")</f>
        <v/>
      </c>
      <c r="N47" s="7">
        <f>IFERROR(ROUND(AVERAGEIFS(Datos!$G$2:$G$18911,Datos!$E$2:$E$18911,$A47,Datos!$B$2:$B$18911,14,Datos!$C$2:$C$18911,"&lt;30",Datos!$F$2:$F$18911,"STANDBY"),0),"")</f>
        <v/>
      </c>
      <c r="O47" s="7">
        <f>IFERROR(ROUND(AVERAGEIFS(Datos!$G$2:$G$18911,Datos!$E$2:$E$18911,$A47,Datos!$B$2:$B$18911,14,Datos!$C$2:$C$18911,"&gt;=30",Datos!$F$2:$F$18911,"STANDBY"),0),"")</f>
        <v/>
      </c>
      <c r="P47" s="7">
        <f>IFERROR(ROUND(AVERAGEIFS(Datos!$G$2:$G$18911,Datos!$E$2:$E$18911,$A47,Datos!$B$2:$B$18911,15,Datos!$C$2:$C$18911,"&lt;30",Datos!$F$2:$F$18911,"STANDBY"),0),"")</f>
        <v/>
      </c>
      <c r="Q47" s="7">
        <f>IFERROR(ROUND(AVERAGEIFS(Datos!$G$2:$G$18911,Datos!$E$2:$E$18911,$A47,Datos!$B$2:$B$18911,15,Datos!$C$2:$C$18911,"&gt;=30",Datos!$F$2:$F$18911,"STANDBY"),0),"")</f>
        <v/>
      </c>
      <c r="R47" s="7">
        <f>IFERROR(ROUND(AVERAGEIFS(Datos!$G$2:$G$18911,Datos!$E$2:$E$18911,$A47,Datos!$B$2:$B$18911,16,Datos!$C$2:$C$18911,"&lt;30",Datos!$F$2:$F$18911,"STANDBY"),0),"")</f>
        <v/>
      </c>
      <c r="S47" s="7">
        <f>IFERROR(ROUND(AVERAGEIFS(Datos!$G$2:$G$18911,Datos!$E$2:$E$18911,$A47,Datos!$B$2:$B$18911,16,Datos!$C$2:$C$18911,"&gt;=30",Datos!$F$2:$F$18911,"STANDBY"),0),"")</f>
        <v/>
      </c>
      <c r="T47" s="7">
        <f>IFERROR(ROUND(AVERAGEIFS(Datos!$G$2:$G$18911,Datos!$E$2:$E$18911,$A47,Datos!$B$2:$B$18911,17,Datos!$C$2:$C$18911,"&lt;30",Datos!$F$2:$F$18911,"STANDBY"),0),"")</f>
        <v/>
      </c>
      <c r="U47" s="7">
        <f>IFERROR(ROUND(AVERAGEIFS(Datos!$G$2:$G$18911,Datos!$E$2:$E$18911,$A47,Datos!$B$2:$B$18911,17,Datos!$C$2:$C$18911,"&gt;=30",Datos!$F$2:$F$18911,"STANDBY"),0),"")</f>
        <v/>
      </c>
      <c r="V47" s="7">
        <f>IFERROR(ROUND(AVERAGEIFS(Datos!$G$2:$G$18911,Datos!$E$2:$E$18911,$A47,Datos!$B$2:$B$18911,18,Datos!$C$2:$C$18911,"&lt;30",Datos!$F$2:$F$18911,"STANDBY"),0),"")</f>
        <v/>
      </c>
      <c r="W47" s="7">
        <f>IFERROR(ROUND(AVERAGEIFS(Datos!$G$2:$G$18911,Datos!$E$2:$E$18911,$A47,Datos!$B$2:$B$18911,18,Datos!$C$2:$C$18911,"&gt;=30",Datos!$F$2:$F$18911,"STANDBY"),0),"")</f>
        <v/>
      </c>
      <c r="X47" s="7">
        <f>IFERROR(ROUND(AVERAGEIFS(Datos!$G$2:$G$18911,Datos!$E$2:$E$18911,$A47,Datos!$B$2:$B$18911,19,Datos!$C$2:$C$18911,"&lt;30",Datos!$F$2:$F$18911,"STANDBY"),0),"")</f>
        <v/>
      </c>
      <c r="Y47" s="7">
        <f>IFERROR(ROUND(AVERAGEIFS(Datos!$G$2:$G$18911,Datos!$E$2:$E$18911,$A47,Datos!$B$2:$B$18911,19,Datos!$C$2:$C$18911,"&gt;=30",Datos!$F$2:$F$18911,"STANDBY"),0),"")</f>
        <v/>
      </c>
      <c r="Z47" s="7">
        <f>IFERROR(ROUND(AVERAGEIFS(Datos!$G$2:$G$18911,Datos!$E$2:$E$18911,$A47,Datos!$B$2:$B$18911,20,Datos!$C$2:$C$18911,"&lt;30",Datos!$F$2:$F$18911,"STANDBY"),0),"")</f>
        <v/>
      </c>
      <c r="AA47" s="7">
        <f>IFERROR(ROUND(AVERAGEIFS(Datos!$G$2:$G$18911,Datos!$E$2:$E$18911,$A47,Datos!$B$2:$B$18911,20,Datos!$C$2:$C$18911,"&gt;=30",Datos!$F$2:$F$18911,"STANDBY"),0),"")</f>
        <v/>
      </c>
      <c r="AB47" s="7">
        <f>IFERROR(ROUND(AVERAGEIFS(Datos!$G$2:$G$18911,Datos!$E$2:$E$18911,$A47,Datos!$B$2:$B$18911,21,Datos!$C$2:$C$18911,"&lt;30",Datos!$F$2:$F$18911,"STANDBY"),0),"")</f>
        <v/>
      </c>
      <c r="AC47" s="7">
        <f>IFERROR(ROUND(AVERAGEIFS(Datos!$G$2:$G$18911,Datos!$E$2:$E$18911,$A47,Datos!$B$2:$B$18911,21,Datos!$C$2:$C$18911,"&gt;=30",Datos!$F$2:$F$18911,"STANDBY"),0),"")</f>
        <v/>
      </c>
      <c r="AD47" s="7">
        <f>IFERROR(ROUND(AVERAGEIFS(Datos!$G$2:$G$18911,Datos!$E$2:$E$18911,$A47,Datos!$B$2:$B$18911,22,Datos!$C$2:$C$18911,"&lt;30",Datos!$F$2:$F$18911,"STANDBY"),0),"")</f>
        <v/>
      </c>
      <c r="AE47" s="7">
        <f>IFERROR(ROUND(AVERAGEIFS(Datos!$G$2:$G$18911,Datos!$E$2:$E$18911,$A47,Datos!$B$2:$B$18911,22,Datos!$C$2:$C$18911,"&gt;=30",Datos!$F$2:$F$18911,"STANDBY"),0),"")</f>
        <v/>
      </c>
      <c r="AF47" s="7">
        <f>IFERROR(ROUND(AVERAGEIFS(Datos!$G$2:$G$18911,Datos!$E$2:$E$18911,$A47,Datos!$B$2:$B$18911,23,Datos!$C$2:$C$18911,"&lt;30",Datos!$F$2:$F$18911,"STANDBY"),0),"")</f>
        <v/>
      </c>
      <c r="AG47" s="7">
        <f>IFERROR(ROUND(AVERAGEIFS(Datos!$G$2:$G$18911,Datos!$E$2:$E$18911,$A47,Datos!$B$2:$B$18911,23,Datos!$C$2:$C$18911,"&gt;=30",Datos!$F$2:$F$18911,"STANDBY"),0),"")</f>
        <v/>
      </c>
    </row>
    <row r="48">
      <c r="A48" s="6" t="inlineStr">
        <is>
          <t>Mad Hatter's Tea Cups</t>
        </is>
      </c>
      <c r="B48" s="7">
        <f>IFERROR(ROUND(AVERAGEIFS(Datos!$G$2:$G$18911,Datos!$E$2:$E$18911,$A48,Datos!$B$2:$B$18911,8,Datos!$C$2:$C$18911,"&lt;30",Datos!$F$2:$F$18911,"STANDBY"),0),"")</f>
        <v/>
      </c>
      <c r="C48" s="7">
        <f>IFERROR(ROUND(AVERAGEIFS(Datos!$G$2:$G$18911,Datos!$E$2:$E$18911,$A48,Datos!$B$2:$B$18911,8,Datos!$C$2:$C$18911,"&gt;=30",Datos!$F$2:$F$18911,"STANDBY"),0),"")</f>
        <v/>
      </c>
      <c r="D48" s="7">
        <f>IFERROR(ROUND(AVERAGEIFS(Datos!$G$2:$G$18911,Datos!$E$2:$E$18911,$A48,Datos!$B$2:$B$18911,9,Datos!$C$2:$C$18911,"&lt;30",Datos!$F$2:$F$18911,"STANDBY"),0),"")</f>
        <v/>
      </c>
      <c r="E48" s="7">
        <f>IFERROR(ROUND(AVERAGEIFS(Datos!$G$2:$G$18911,Datos!$E$2:$E$18911,$A48,Datos!$B$2:$B$18911,9,Datos!$C$2:$C$18911,"&gt;=30",Datos!$F$2:$F$18911,"STANDBY"),0),"")</f>
        <v/>
      </c>
      <c r="F48" s="7">
        <f>IFERROR(ROUND(AVERAGEIFS(Datos!$G$2:$G$18911,Datos!$E$2:$E$18911,$A48,Datos!$B$2:$B$18911,10,Datos!$C$2:$C$18911,"&lt;30",Datos!$F$2:$F$18911,"STANDBY"),0),"")</f>
        <v/>
      </c>
      <c r="G48" s="7">
        <f>IFERROR(ROUND(AVERAGEIFS(Datos!$G$2:$G$18911,Datos!$E$2:$E$18911,$A48,Datos!$B$2:$B$18911,10,Datos!$C$2:$C$18911,"&gt;=30",Datos!$F$2:$F$18911,"STANDBY"),0),"")</f>
        <v/>
      </c>
      <c r="H48" s="7">
        <f>IFERROR(ROUND(AVERAGEIFS(Datos!$G$2:$G$18911,Datos!$E$2:$E$18911,$A48,Datos!$B$2:$B$18911,11,Datos!$C$2:$C$18911,"&lt;30",Datos!$F$2:$F$18911,"STANDBY"),0),"")</f>
        <v/>
      </c>
      <c r="I48" s="7">
        <f>IFERROR(ROUND(AVERAGEIFS(Datos!$G$2:$G$18911,Datos!$E$2:$E$18911,$A48,Datos!$B$2:$B$18911,11,Datos!$C$2:$C$18911,"&gt;=30",Datos!$F$2:$F$18911,"STANDBY"),0),"")</f>
        <v/>
      </c>
      <c r="J48" s="7">
        <f>IFERROR(ROUND(AVERAGEIFS(Datos!$G$2:$G$18911,Datos!$E$2:$E$18911,$A48,Datos!$B$2:$B$18911,12,Datos!$C$2:$C$18911,"&lt;30",Datos!$F$2:$F$18911,"STANDBY"),0),"")</f>
        <v/>
      </c>
      <c r="K48" s="7">
        <f>IFERROR(ROUND(AVERAGEIFS(Datos!$G$2:$G$18911,Datos!$E$2:$E$18911,$A48,Datos!$B$2:$B$18911,12,Datos!$C$2:$C$18911,"&gt;=30",Datos!$F$2:$F$18911,"STANDBY"),0),"")</f>
        <v/>
      </c>
      <c r="L48" s="7">
        <f>IFERROR(ROUND(AVERAGEIFS(Datos!$G$2:$G$18911,Datos!$E$2:$E$18911,$A48,Datos!$B$2:$B$18911,13,Datos!$C$2:$C$18911,"&lt;30",Datos!$F$2:$F$18911,"STANDBY"),0),"")</f>
        <v/>
      </c>
      <c r="M48" s="7">
        <f>IFERROR(ROUND(AVERAGEIFS(Datos!$G$2:$G$18911,Datos!$E$2:$E$18911,$A48,Datos!$B$2:$B$18911,13,Datos!$C$2:$C$18911,"&gt;=30",Datos!$F$2:$F$18911,"STANDBY"),0),"")</f>
        <v/>
      </c>
      <c r="N48" s="7">
        <f>IFERROR(ROUND(AVERAGEIFS(Datos!$G$2:$G$18911,Datos!$E$2:$E$18911,$A48,Datos!$B$2:$B$18911,14,Datos!$C$2:$C$18911,"&lt;30",Datos!$F$2:$F$18911,"STANDBY"),0),"")</f>
        <v/>
      </c>
      <c r="O48" s="7">
        <f>IFERROR(ROUND(AVERAGEIFS(Datos!$G$2:$G$18911,Datos!$E$2:$E$18911,$A48,Datos!$B$2:$B$18911,14,Datos!$C$2:$C$18911,"&gt;=30",Datos!$F$2:$F$18911,"STANDBY"),0),"")</f>
        <v/>
      </c>
      <c r="P48" s="7">
        <f>IFERROR(ROUND(AVERAGEIFS(Datos!$G$2:$G$18911,Datos!$E$2:$E$18911,$A48,Datos!$B$2:$B$18911,15,Datos!$C$2:$C$18911,"&lt;30",Datos!$F$2:$F$18911,"STANDBY"),0),"")</f>
        <v/>
      </c>
      <c r="Q48" s="7">
        <f>IFERROR(ROUND(AVERAGEIFS(Datos!$G$2:$G$18911,Datos!$E$2:$E$18911,$A48,Datos!$B$2:$B$18911,15,Datos!$C$2:$C$18911,"&gt;=30",Datos!$F$2:$F$18911,"STANDBY"),0),"")</f>
        <v/>
      </c>
      <c r="R48" s="7">
        <f>IFERROR(ROUND(AVERAGEIFS(Datos!$G$2:$G$18911,Datos!$E$2:$E$18911,$A48,Datos!$B$2:$B$18911,16,Datos!$C$2:$C$18911,"&lt;30",Datos!$F$2:$F$18911,"STANDBY"),0),"")</f>
        <v/>
      </c>
      <c r="S48" s="7">
        <f>IFERROR(ROUND(AVERAGEIFS(Datos!$G$2:$G$18911,Datos!$E$2:$E$18911,$A48,Datos!$B$2:$B$18911,16,Datos!$C$2:$C$18911,"&gt;=30",Datos!$F$2:$F$18911,"STANDBY"),0),"")</f>
        <v/>
      </c>
      <c r="T48" s="7">
        <f>IFERROR(ROUND(AVERAGEIFS(Datos!$G$2:$G$18911,Datos!$E$2:$E$18911,$A48,Datos!$B$2:$B$18911,17,Datos!$C$2:$C$18911,"&lt;30",Datos!$F$2:$F$18911,"STANDBY"),0),"")</f>
        <v/>
      </c>
      <c r="U48" s="7">
        <f>IFERROR(ROUND(AVERAGEIFS(Datos!$G$2:$G$18911,Datos!$E$2:$E$18911,$A48,Datos!$B$2:$B$18911,17,Datos!$C$2:$C$18911,"&gt;=30",Datos!$F$2:$F$18911,"STANDBY"),0),"")</f>
        <v/>
      </c>
      <c r="V48" s="7">
        <f>IFERROR(ROUND(AVERAGEIFS(Datos!$G$2:$G$18911,Datos!$E$2:$E$18911,$A48,Datos!$B$2:$B$18911,18,Datos!$C$2:$C$18911,"&lt;30",Datos!$F$2:$F$18911,"STANDBY"),0),"")</f>
        <v/>
      </c>
      <c r="W48" s="7">
        <f>IFERROR(ROUND(AVERAGEIFS(Datos!$G$2:$G$18911,Datos!$E$2:$E$18911,$A48,Datos!$B$2:$B$18911,18,Datos!$C$2:$C$18911,"&gt;=30",Datos!$F$2:$F$18911,"STANDBY"),0),"")</f>
        <v/>
      </c>
      <c r="X48" s="7">
        <f>IFERROR(ROUND(AVERAGEIFS(Datos!$G$2:$G$18911,Datos!$E$2:$E$18911,$A48,Datos!$B$2:$B$18911,19,Datos!$C$2:$C$18911,"&lt;30",Datos!$F$2:$F$18911,"STANDBY"),0),"")</f>
        <v/>
      </c>
      <c r="Y48" s="7">
        <f>IFERROR(ROUND(AVERAGEIFS(Datos!$G$2:$G$18911,Datos!$E$2:$E$18911,$A48,Datos!$B$2:$B$18911,19,Datos!$C$2:$C$18911,"&gt;=30",Datos!$F$2:$F$18911,"STANDBY"),0),"")</f>
        <v/>
      </c>
      <c r="Z48" s="7">
        <f>IFERROR(ROUND(AVERAGEIFS(Datos!$G$2:$G$18911,Datos!$E$2:$E$18911,$A48,Datos!$B$2:$B$18911,20,Datos!$C$2:$C$18911,"&lt;30",Datos!$F$2:$F$18911,"STANDBY"),0),"")</f>
        <v/>
      </c>
      <c r="AA48" s="7">
        <f>IFERROR(ROUND(AVERAGEIFS(Datos!$G$2:$G$18911,Datos!$E$2:$E$18911,$A48,Datos!$B$2:$B$18911,20,Datos!$C$2:$C$18911,"&gt;=30",Datos!$F$2:$F$18911,"STANDBY"),0),"")</f>
        <v/>
      </c>
      <c r="AB48" s="7">
        <f>IFERROR(ROUND(AVERAGEIFS(Datos!$G$2:$G$18911,Datos!$E$2:$E$18911,$A48,Datos!$B$2:$B$18911,21,Datos!$C$2:$C$18911,"&lt;30",Datos!$F$2:$F$18911,"STANDBY"),0),"")</f>
        <v/>
      </c>
      <c r="AC48" s="7">
        <f>IFERROR(ROUND(AVERAGEIFS(Datos!$G$2:$G$18911,Datos!$E$2:$E$18911,$A48,Datos!$B$2:$B$18911,21,Datos!$C$2:$C$18911,"&gt;=30",Datos!$F$2:$F$18911,"STANDBY"),0),"")</f>
        <v/>
      </c>
      <c r="AD48" s="7">
        <f>IFERROR(ROUND(AVERAGEIFS(Datos!$G$2:$G$18911,Datos!$E$2:$E$18911,$A48,Datos!$B$2:$B$18911,22,Datos!$C$2:$C$18911,"&lt;30",Datos!$F$2:$F$18911,"STANDBY"),0),"")</f>
        <v/>
      </c>
      <c r="AE48" s="7">
        <f>IFERROR(ROUND(AVERAGEIFS(Datos!$G$2:$G$18911,Datos!$E$2:$E$18911,$A48,Datos!$B$2:$B$18911,22,Datos!$C$2:$C$18911,"&gt;=30",Datos!$F$2:$F$18911,"STANDBY"),0),"")</f>
        <v/>
      </c>
      <c r="AF48" s="7">
        <f>IFERROR(ROUND(AVERAGEIFS(Datos!$G$2:$G$18911,Datos!$E$2:$E$18911,$A48,Datos!$B$2:$B$18911,23,Datos!$C$2:$C$18911,"&lt;30",Datos!$F$2:$F$18911,"STANDBY"),0),"")</f>
        <v/>
      </c>
      <c r="AG48" s="7">
        <f>IFERROR(ROUND(AVERAGEIFS(Datos!$G$2:$G$18911,Datos!$E$2:$E$18911,$A48,Datos!$B$2:$B$18911,23,Datos!$C$2:$C$18911,"&gt;=30",Datos!$F$2:$F$18911,"STANDBY"),0),"")</f>
        <v/>
      </c>
    </row>
    <row r="49">
      <c r="A49" s="6" t="inlineStr">
        <is>
          <t>Main Street Vehicles</t>
        </is>
      </c>
      <c r="B49" s="7">
        <f>IFERROR(ROUND(AVERAGEIFS(Datos!$G$2:$G$18911,Datos!$E$2:$E$18911,$A49,Datos!$B$2:$B$18911,8,Datos!$C$2:$C$18911,"&lt;30",Datos!$F$2:$F$18911,"STANDBY"),0),"")</f>
        <v/>
      </c>
      <c r="C49" s="7">
        <f>IFERROR(ROUND(AVERAGEIFS(Datos!$G$2:$G$18911,Datos!$E$2:$E$18911,$A49,Datos!$B$2:$B$18911,8,Datos!$C$2:$C$18911,"&gt;=30",Datos!$F$2:$F$18911,"STANDBY"),0),"")</f>
        <v/>
      </c>
      <c r="D49" s="7">
        <f>IFERROR(ROUND(AVERAGEIFS(Datos!$G$2:$G$18911,Datos!$E$2:$E$18911,$A49,Datos!$B$2:$B$18911,9,Datos!$C$2:$C$18911,"&lt;30",Datos!$F$2:$F$18911,"STANDBY"),0),"")</f>
        <v/>
      </c>
      <c r="E49" s="7">
        <f>IFERROR(ROUND(AVERAGEIFS(Datos!$G$2:$G$18911,Datos!$E$2:$E$18911,$A49,Datos!$B$2:$B$18911,9,Datos!$C$2:$C$18911,"&gt;=30",Datos!$F$2:$F$18911,"STANDBY"),0),"")</f>
        <v/>
      </c>
      <c r="F49" s="7">
        <f>IFERROR(ROUND(AVERAGEIFS(Datos!$G$2:$G$18911,Datos!$E$2:$E$18911,$A49,Datos!$B$2:$B$18911,10,Datos!$C$2:$C$18911,"&lt;30",Datos!$F$2:$F$18911,"STANDBY"),0),"")</f>
        <v/>
      </c>
      <c r="G49" s="7">
        <f>IFERROR(ROUND(AVERAGEIFS(Datos!$G$2:$G$18911,Datos!$E$2:$E$18911,$A49,Datos!$B$2:$B$18911,10,Datos!$C$2:$C$18911,"&gt;=30",Datos!$F$2:$F$18911,"STANDBY"),0),"")</f>
        <v/>
      </c>
      <c r="H49" s="7">
        <f>IFERROR(ROUND(AVERAGEIFS(Datos!$G$2:$G$18911,Datos!$E$2:$E$18911,$A49,Datos!$B$2:$B$18911,11,Datos!$C$2:$C$18911,"&lt;30",Datos!$F$2:$F$18911,"STANDBY"),0),"")</f>
        <v/>
      </c>
      <c r="I49" s="7">
        <f>IFERROR(ROUND(AVERAGEIFS(Datos!$G$2:$G$18911,Datos!$E$2:$E$18911,$A49,Datos!$B$2:$B$18911,11,Datos!$C$2:$C$18911,"&gt;=30",Datos!$F$2:$F$18911,"STANDBY"),0),"")</f>
        <v/>
      </c>
      <c r="J49" s="7">
        <f>IFERROR(ROUND(AVERAGEIFS(Datos!$G$2:$G$18911,Datos!$E$2:$E$18911,$A49,Datos!$B$2:$B$18911,12,Datos!$C$2:$C$18911,"&lt;30",Datos!$F$2:$F$18911,"STANDBY"),0),"")</f>
        <v/>
      </c>
      <c r="K49" s="7">
        <f>IFERROR(ROUND(AVERAGEIFS(Datos!$G$2:$G$18911,Datos!$E$2:$E$18911,$A49,Datos!$B$2:$B$18911,12,Datos!$C$2:$C$18911,"&gt;=30",Datos!$F$2:$F$18911,"STANDBY"),0),"")</f>
        <v/>
      </c>
      <c r="L49" s="7">
        <f>IFERROR(ROUND(AVERAGEIFS(Datos!$G$2:$G$18911,Datos!$E$2:$E$18911,$A49,Datos!$B$2:$B$18911,13,Datos!$C$2:$C$18911,"&lt;30",Datos!$F$2:$F$18911,"STANDBY"),0),"")</f>
        <v/>
      </c>
      <c r="M49" s="7">
        <f>IFERROR(ROUND(AVERAGEIFS(Datos!$G$2:$G$18911,Datos!$E$2:$E$18911,$A49,Datos!$B$2:$B$18911,13,Datos!$C$2:$C$18911,"&gt;=30",Datos!$F$2:$F$18911,"STANDBY"),0),"")</f>
        <v/>
      </c>
      <c r="N49" s="7">
        <f>IFERROR(ROUND(AVERAGEIFS(Datos!$G$2:$G$18911,Datos!$E$2:$E$18911,$A49,Datos!$B$2:$B$18911,14,Datos!$C$2:$C$18911,"&lt;30",Datos!$F$2:$F$18911,"STANDBY"),0),"")</f>
        <v/>
      </c>
      <c r="O49" s="7">
        <f>IFERROR(ROUND(AVERAGEIFS(Datos!$G$2:$G$18911,Datos!$E$2:$E$18911,$A49,Datos!$B$2:$B$18911,14,Datos!$C$2:$C$18911,"&gt;=30",Datos!$F$2:$F$18911,"STANDBY"),0),"")</f>
        <v/>
      </c>
      <c r="P49" s="7">
        <f>IFERROR(ROUND(AVERAGEIFS(Datos!$G$2:$G$18911,Datos!$E$2:$E$18911,$A49,Datos!$B$2:$B$18911,15,Datos!$C$2:$C$18911,"&lt;30",Datos!$F$2:$F$18911,"STANDBY"),0),"")</f>
        <v/>
      </c>
      <c r="Q49" s="7">
        <f>IFERROR(ROUND(AVERAGEIFS(Datos!$G$2:$G$18911,Datos!$E$2:$E$18911,$A49,Datos!$B$2:$B$18911,15,Datos!$C$2:$C$18911,"&gt;=30",Datos!$F$2:$F$18911,"STANDBY"),0),"")</f>
        <v/>
      </c>
      <c r="R49" s="7">
        <f>IFERROR(ROUND(AVERAGEIFS(Datos!$G$2:$G$18911,Datos!$E$2:$E$18911,$A49,Datos!$B$2:$B$18911,16,Datos!$C$2:$C$18911,"&lt;30",Datos!$F$2:$F$18911,"STANDBY"),0),"")</f>
        <v/>
      </c>
      <c r="S49" s="7">
        <f>IFERROR(ROUND(AVERAGEIFS(Datos!$G$2:$G$18911,Datos!$E$2:$E$18911,$A49,Datos!$B$2:$B$18911,16,Datos!$C$2:$C$18911,"&gt;=30",Datos!$F$2:$F$18911,"STANDBY"),0),"")</f>
        <v/>
      </c>
      <c r="T49" s="7">
        <f>IFERROR(ROUND(AVERAGEIFS(Datos!$G$2:$G$18911,Datos!$E$2:$E$18911,$A49,Datos!$B$2:$B$18911,17,Datos!$C$2:$C$18911,"&lt;30",Datos!$F$2:$F$18911,"STANDBY"),0),"")</f>
        <v/>
      </c>
      <c r="U49" s="7">
        <f>IFERROR(ROUND(AVERAGEIFS(Datos!$G$2:$G$18911,Datos!$E$2:$E$18911,$A49,Datos!$B$2:$B$18911,17,Datos!$C$2:$C$18911,"&gt;=30",Datos!$F$2:$F$18911,"STANDBY"),0),"")</f>
        <v/>
      </c>
      <c r="V49" s="7">
        <f>IFERROR(ROUND(AVERAGEIFS(Datos!$G$2:$G$18911,Datos!$E$2:$E$18911,$A49,Datos!$B$2:$B$18911,18,Datos!$C$2:$C$18911,"&lt;30",Datos!$F$2:$F$18911,"STANDBY"),0),"")</f>
        <v/>
      </c>
      <c r="W49" s="7">
        <f>IFERROR(ROUND(AVERAGEIFS(Datos!$G$2:$G$18911,Datos!$E$2:$E$18911,$A49,Datos!$B$2:$B$18911,18,Datos!$C$2:$C$18911,"&gt;=30",Datos!$F$2:$F$18911,"STANDBY"),0),"")</f>
        <v/>
      </c>
      <c r="X49" s="7">
        <f>IFERROR(ROUND(AVERAGEIFS(Datos!$G$2:$G$18911,Datos!$E$2:$E$18911,$A49,Datos!$B$2:$B$18911,19,Datos!$C$2:$C$18911,"&lt;30",Datos!$F$2:$F$18911,"STANDBY"),0),"")</f>
        <v/>
      </c>
      <c r="Y49" s="7">
        <f>IFERROR(ROUND(AVERAGEIFS(Datos!$G$2:$G$18911,Datos!$E$2:$E$18911,$A49,Datos!$B$2:$B$18911,19,Datos!$C$2:$C$18911,"&gt;=30",Datos!$F$2:$F$18911,"STANDBY"),0),"")</f>
        <v/>
      </c>
      <c r="Z49" s="7">
        <f>IFERROR(ROUND(AVERAGEIFS(Datos!$G$2:$G$18911,Datos!$E$2:$E$18911,$A49,Datos!$B$2:$B$18911,20,Datos!$C$2:$C$18911,"&lt;30",Datos!$F$2:$F$18911,"STANDBY"),0),"")</f>
        <v/>
      </c>
      <c r="AA49" s="7">
        <f>IFERROR(ROUND(AVERAGEIFS(Datos!$G$2:$G$18911,Datos!$E$2:$E$18911,$A49,Datos!$B$2:$B$18911,20,Datos!$C$2:$C$18911,"&gt;=30",Datos!$F$2:$F$18911,"STANDBY"),0),"")</f>
        <v/>
      </c>
      <c r="AB49" s="7">
        <f>IFERROR(ROUND(AVERAGEIFS(Datos!$G$2:$G$18911,Datos!$E$2:$E$18911,$A49,Datos!$B$2:$B$18911,21,Datos!$C$2:$C$18911,"&lt;30",Datos!$F$2:$F$18911,"STANDBY"),0),"")</f>
        <v/>
      </c>
      <c r="AC49" s="7">
        <f>IFERROR(ROUND(AVERAGEIFS(Datos!$G$2:$G$18911,Datos!$E$2:$E$18911,$A49,Datos!$B$2:$B$18911,21,Datos!$C$2:$C$18911,"&gt;=30",Datos!$F$2:$F$18911,"STANDBY"),0),"")</f>
        <v/>
      </c>
      <c r="AD49" s="7">
        <f>IFERROR(ROUND(AVERAGEIFS(Datos!$G$2:$G$18911,Datos!$E$2:$E$18911,$A49,Datos!$B$2:$B$18911,22,Datos!$C$2:$C$18911,"&lt;30",Datos!$F$2:$F$18911,"STANDBY"),0),"")</f>
        <v/>
      </c>
      <c r="AE49" s="7">
        <f>IFERROR(ROUND(AVERAGEIFS(Datos!$G$2:$G$18911,Datos!$E$2:$E$18911,$A49,Datos!$B$2:$B$18911,22,Datos!$C$2:$C$18911,"&gt;=30",Datos!$F$2:$F$18911,"STANDBY"),0),"")</f>
        <v/>
      </c>
      <c r="AF49" s="7">
        <f>IFERROR(ROUND(AVERAGEIFS(Datos!$G$2:$G$18911,Datos!$E$2:$E$18911,$A49,Datos!$B$2:$B$18911,23,Datos!$C$2:$C$18911,"&lt;30",Datos!$F$2:$F$18911,"STANDBY"),0),"")</f>
        <v/>
      </c>
      <c r="AG49" s="7">
        <f>IFERROR(ROUND(AVERAGEIFS(Datos!$G$2:$G$18911,Datos!$E$2:$E$18911,$A49,Datos!$B$2:$B$18911,23,Datos!$C$2:$C$18911,"&gt;=30",Datos!$F$2:$F$18911,"STANDBY"),0),"")</f>
        <v/>
      </c>
    </row>
    <row r="50">
      <c r="A50" s="6" t="inlineStr">
        <is>
          <t>Meet Mickey Mouse</t>
        </is>
      </c>
      <c r="B50" s="7">
        <f>IFERROR(ROUND(AVERAGEIFS(Datos!$G$2:$G$18911,Datos!$E$2:$E$18911,$A50,Datos!$B$2:$B$18911,8,Datos!$C$2:$C$18911,"&lt;30",Datos!$F$2:$F$18911,"STANDBY"),0),"")</f>
        <v/>
      </c>
      <c r="C50" s="7">
        <f>IFERROR(ROUND(AVERAGEIFS(Datos!$G$2:$G$18911,Datos!$E$2:$E$18911,$A50,Datos!$B$2:$B$18911,8,Datos!$C$2:$C$18911,"&gt;=30",Datos!$F$2:$F$18911,"STANDBY"),0),"")</f>
        <v/>
      </c>
      <c r="D50" s="7">
        <f>IFERROR(ROUND(AVERAGEIFS(Datos!$G$2:$G$18911,Datos!$E$2:$E$18911,$A50,Datos!$B$2:$B$18911,9,Datos!$C$2:$C$18911,"&lt;30",Datos!$F$2:$F$18911,"STANDBY"),0),"")</f>
        <v/>
      </c>
      <c r="E50" s="7">
        <f>IFERROR(ROUND(AVERAGEIFS(Datos!$G$2:$G$18911,Datos!$E$2:$E$18911,$A50,Datos!$B$2:$B$18911,9,Datos!$C$2:$C$18911,"&gt;=30",Datos!$F$2:$F$18911,"STANDBY"),0),"")</f>
        <v/>
      </c>
      <c r="F50" s="7">
        <f>IFERROR(ROUND(AVERAGEIFS(Datos!$G$2:$G$18911,Datos!$E$2:$E$18911,$A50,Datos!$B$2:$B$18911,10,Datos!$C$2:$C$18911,"&lt;30",Datos!$F$2:$F$18911,"STANDBY"),0),"")</f>
        <v/>
      </c>
      <c r="G50" s="7">
        <f>IFERROR(ROUND(AVERAGEIFS(Datos!$G$2:$G$18911,Datos!$E$2:$E$18911,$A50,Datos!$B$2:$B$18911,10,Datos!$C$2:$C$18911,"&gt;=30",Datos!$F$2:$F$18911,"STANDBY"),0),"")</f>
        <v/>
      </c>
      <c r="H50" s="7">
        <f>IFERROR(ROUND(AVERAGEIFS(Datos!$G$2:$G$18911,Datos!$E$2:$E$18911,$A50,Datos!$B$2:$B$18911,11,Datos!$C$2:$C$18911,"&lt;30",Datos!$F$2:$F$18911,"STANDBY"),0),"")</f>
        <v/>
      </c>
      <c r="I50" s="7">
        <f>IFERROR(ROUND(AVERAGEIFS(Datos!$G$2:$G$18911,Datos!$E$2:$E$18911,$A50,Datos!$B$2:$B$18911,11,Datos!$C$2:$C$18911,"&gt;=30",Datos!$F$2:$F$18911,"STANDBY"),0),"")</f>
        <v/>
      </c>
      <c r="J50" s="7">
        <f>IFERROR(ROUND(AVERAGEIFS(Datos!$G$2:$G$18911,Datos!$E$2:$E$18911,$A50,Datos!$B$2:$B$18911,12,Datos!$C$2:$C$18911,"&lt;30",Datos!$F$2:$F$18911,"STANDBY"),0),"")</f>
        <v/>
      </c>
      <c r="K50" s="7">
        <f>IFERROR(ROUND(AVERAGEIFS(Datos!$G$2:$G$18911,Datos!$E$2:$E$18911,$A50,Datos!$B$2:$B$18911,12,Datos!$C$2:$C$18911,"&gt;=30",Datos!$F$2:$F$18911,"STANDBY"),0),"")</f>
        <v/>
      </c>
      <c r="L50" s="7">
        <f>IFERROR(ROUND(AVERAGEIFS(Datos!$G$2:$G$18911,Datos!$E$2:$E$18911,$A50,Datos!$B$2:$B$18911,13,Datos!$C$2:$C$18911,"&lt;30",Datos!$F$2:$F$18911,"STANDBY"),0),"")</f>
        <v/>
      </c>
      <c r="M50" s="7">
        <f>IFERROR(ROUND(AVERAGEIFS(Datos!$G$2:$G$18911,Datos!$E$2:$E$18911,$A50,Datos!$B$2:$B$18911,13,Datos!$C$2:$C$18911,"&gt;=30",Datos!$F$2:$F$18911,"STANDBY"),0),"")</f>
        <v/>
      </c>
      <c r="N50" s="7">
        <f>IFERROR(ROUND(AVERAGEIFS(Datos!$G$2:$G$18911,Datos!$E$2:$E$18911,$A50,Datos!$B$2:$B$18911,14,Datos!$C$2:$C$18911,"&lt;30",Datos!$F$2:$F$18911,"STANDBY"),0),"")</f>
        <v/>
      </c>
      <c r="O50" s="7">
        <f>IFERROR(ROUND(AVERAGEIFS(Datos!$G$2:$G$18911,Datos!$E$2:$E$18911,$A50,Datos!$B$2:$B$18911,14,Datos!$C$2:$C$18911,"&gt;=30",Datos!$F$2:$F$18911,"STANDBY"),0),"")</f>
        <v/>
      </c>
      <c r="P50" s="7">
        <f>IFERROR(ROUND(AVERAGEIFS(Datos!$G$2:$G$18911,Datos!$E$2:$E$18911,$A50,Datos!$B$2:$B$18911,15,Datos!$C$2:$C$18911,"&lt;30",Datos!$F$2:$F$18911,"STANDBY"),0),"")</f>
        <v/>
      </c>
      <c r="Q50" s="7">
        <f>IFERROR(ROUND(AVERAGEIFS(Datos!$G$2:$G$18911,Datos!$E$2:$E$18911,$A50,Datos!$B$2:$B$18911,15,Datos!$C$2:$C$18911,"&gt;=30",Datos!$F$2:$F$18911,"STANDBY"),0),"")</f>
        <v/>
      </c>
      <c r="R50" s="7">
        <f>IFERROR(ROUND(AVERAGEIFS(Datos!$G$2:$G$18911,Datos!$E$2:$E$18911,$A50,Datos!$B$2:$B$18911,16,Datos!$C$2:$C$18911,"&lt;30",Datos!$F$2:$F$18911,"STANDBY"),0),"")</f>
        <v/>
      </c>
      <c r="S50" s="7">
        <f>IFERROR(ROUND(AVERAGEIFS(Datos!$G$2:$G$18911,Datos!$E$2:$E$18911,$A50,Datos!$B$2:$B$18911,16,Datos!$C$2:$C$18911,"&gt;=30",Datos!$F$2:$F$18911,"STANDBY"),0),"")</f>
        <v/>
      </c>
      <c r="T50" s="7">
        <f>IFERROR(ROUND(AVERAGEIFS(Datos!$G$2:$G$18911,Datos!$E$2:$E$18911,$A50,Datos!$B$2:$B$18911,17,Datos!$C$2:$C$18911,"&lt;30",Datos!$F$2:$F$18911,"STANDBY"),0),"")</f>
        <v/>
      </c>
      <c r="U50" s="7">
        <f>IFERROR(ROUND(AVERAGEIFS(Datos!$G$2:$G$18911,Datos!$E$2:$E$18911,$A50,Datos!$B$2:$B$18911,17,Datos!$C$2:$C$18911,"&gt;=30",Datos!$F$2:$F$18911,"STANDBY"),0),"")</f>
        <v/>
      </c>
      <c r="V50" s="7">
        <f>IFERROR(ROUND(AVERAGEIFS(Datos!$G$2:$G$18911,Datos!$E$2:$E$18911,$A50,Datos!$B$2:$B$18911,18,Datos!$C$2:$C$18911,"&lt;30",Datos!$F$2:$F$18911,"STANDBY"),0),"")</f>
        <v/>
      </c>
      <c r="W50" s="7">
        <f>IFERROR(ROUND(AVERAGEIFS(Datos!$G$2:$G$18911,Datos!$E$2:$E$18911,$A50,Datos!$B$2:$B$18911,18,Datos!$C$2:$C$18911,"&gt;=30",Datos!$F$2:$F$18911,"STANDBY"),0),"")</f>
        <v/>
      </c>
      <c r="X50" s="7">
        <f>IFERROR(ROUND(AVERAGEIFS(Datos!$G$2:$G$18911,Datos!$E$2:$E$18911,$A50,Datos!$B$2:$B$18911,19,Datos!$C$2:$C$18911,"&lt;30",Datos!$F$2:$F$18911,"STANDBY"),0),"")</f>
        <v/>
      </c>
      <c r="Y50" s="7">
        <f>IFERROR(ROUND(AVERAGEIFS(Datos!$G$2:$G$18911,Datos!$E$2:$E$18911,$A50,Datos!$B$2:$B$18911,19,Datos!$C$2:$C$18911,"&gt;=30",Datos!$F$2:$F$18911,"STANDBY"),0),"")</f>
        <v/>
      </c>
      <c r="Z50" s="7">
        <f>IFERROR(ROUND(AVERAGEIFS(Datos!$G$2:$G$18911,Datos!$E$2:$E$18911,$A50,Datos!$B$2:$B$18911,20,Datos!$C$2:$C$18911,"&lt;30",Datos!$F$2:$F$18911,"STANDBY"),0),"")</f>
        <v/>
      </c>
      <c r="AA50" s="7">
        <f>IFERROR(ROUND(AVERAGEIFS(Datos!$G$2:$G$18911,Datos!$E$2:$E$18911,$A50,Datos!$B$2:$B$18911,20,Datos!$C$2:$C$18911,"&gt;=30",Datos!$F$2:$F$18911,"STANDBY"),0),"")</f>
        <v/>
      </c>
      <c r="AB50" s="7">
        <f>IFERROR(ROUND(AVERAGEIFS(Datos!$G$2:$G$18911,Datos!$E$2:$E$18911,$A50,Datos!$B$2:$B$18911,21,Datos!$C$2:$C$18911,"&lt;30",Datos!$F$2:$F$18911,"STANDBY"),0),"")</f>
        <v/>
      </c>
      <c r="AC50" s="7">
        <f>IFERROR(ROUND(AVERAGEIFS(Datos!$G$2:$G$18911,Datos!$E$2:$E$18911,$A50,Datos!$B$2:$B$18911,21,Datos!$C$2:$C$18911,"&gt;=30",Datos!$F$2:$F$18911,"STANDBY"),0),"")</f>
        <v/>
      </c>
      <c r="AD50" s="7">
        <f>IFERROR(ROUND(AVERAGEIFS(Datos!$G$2:$G$18911,Datos!$E$2:$E$18911,$A50,Datos!$B$2:$B$18911,22,Datos!$C$2:$C$18911,"&lt;30",Datos!$F$2:$F$18911,"STANDBY"),0),"")</f>
        <v/>
      </c>
      <c r="AE50" s="7">
        <f>IFERROR(ROUND(AVERAGEIFS(Datos!$G$2:$G$18911,Datos!$E$2:$E$18911,$A50,Datos!$B$2:$B$18911,22,Datos!$C$2:$C$18911,"&gt;=30",Datos!$F$2:$F$18911,"STANDBY"),0),"")</f>
        <v/>
      </c>
      <c r="AF50" s="7">
        <f>IFERROR(ROUND(AVERAGEIFS(Datos!$G$2:$G$18911,Datos!$E$2:$E$18911,$A50,Datos!$B$2:$B$18911,23,Datos!$C$2:$C$18911,"&lt;30",Datos!$F$2:$F$18911,"STANDBY"),0),"")</f>
        <v/>
      </c>
      <c r="AG50" s="7">
        <f>IFERROR(ROUND(AVERAGEIFS(Datos!$G$2:$G$18911,Datos!$E$2:$E$18911,$A50,Datos!$B$2:$B$18911,23,Datos!$C$2:$C$18911,"&gt;=30",Datos!$F$2:$F$18911,"STANDBY"),0),"")</f>
        <v/>
      </c>
    </row>
    <row r="51">
      <c r="A51" s="6" t="inlineStr">
        <is>
          <t>Mickey’s PhilharMagic</t>
        </is>
      </c>
      <c r="B51" s="7">
        <f>IFERROR(ROUND(AVERAGEIFS(Datos!$G$2:$G$18911,Datos!$E$2:$E$18911,$A51,Datos!$B$2:$B$18911,8,Datos!$C$2:$C$18911,"&lt;30",Datos!$F$2:$F$18911,"STANDBY"),0),"")</f>
        <v/>
      </c>
      <c r="C51" s="7">
        <f>IFERROR(ROUND(AVERAGEIFS(Datos!$G$2:$G$18911,Datos!$E$2:$E$18911,$A51,Datos!$B$2:$B$18911,8,Datos!$C$2:$C$18911,"&gt;=30",Datos!$F$2:$F$18911,"STANDBY"),0),"")</f>
        <v/>
      </c>
      <c r="D51" s="7">
        <f>IFERROR(ROUND(AVERAGEIFS(Datos!$G$2:$G$18911,Datos!$E$2:$E$18911,$A51,Datos!$B$2:$B$18911,9,Datos!$C$2:$C$18911,"&lt;30",Datos!$F$2:$F$18911,"STANDBY"),0),"")</f>
        <v/>
      </c>
      <c r="E51" s="7">
        <f>IFERROR(ROUND(AVERAGEIFS(Datos!$G$2:$G$18911,Datos!$E$2:$E$18911,$A51,Datos!$B$2:$B$18911,9,Datos!$C$2:$C$18911,"&gt;=30",Datos!$F$2:$F$18911,"STANDBY"),0),"")</f>
        <v/>
      </c>
      <c r="F51" s="7">
        <f>IFERROR(ROUND(AVERAGEIFS(Datos!$G$2:$G$18911,Datos!$E$2:$E$18911,$A51,Datos!$B$2:$B$18911,10,Datos!$C$2:$C$18911,"&lt;30",Datos!$F$2:$F$18911,"STANDBY"),0),"")</f>
        <v/>
      </c>
      <c r="G51" s="7">
        <f>IFERROR(ROUND(AVERAGEIFS(Datos!$G$2:$G$18911,Datos!$E$2:$E$18911,$A51,Datos!$B$2:$B$18911,10,Datos!$C$2:$C$18911,"&gt;=30",Datos!$F$2:$F$18911,"STANDBY"),0),"")</f>
        <v/>
      </c>
      <c r="H51" s="7">
        <f>IFERROR(ROUND(AVERAGEIFS(Datos!$G$2:$G$18911,Datos!$E$2:$E$18911,$A51,Datos!$B$2:$B$18911,11,Datos!$C$2:$C$18911,"&lt;30",Datos!$F$2:$F$18911,"STANDBY"),0),"")</f>
        <v/>
      </c>
      <c r="I51" s="7">
        <f>IFERROR(ROUND(AVERAGEIFS(Datos!$G$2:$G$18911,Datos!$E$2:$E$18911,$A51,Datos!$B$2:$B$18911,11,Datos!$C$2:$C$18911,"&gt;=30",Datos!$F$2:$F$18911,"STANDBY"),0),"")</f>
        <v/>
      </c>
      <c r="J51" s="7">
        <f>IFERROR(ROUND(AVERAGEIFS(Datos!$G$2:$G$18911,Datos!$E$2:$E$18911,$A51,Datos!$B$2:$B$18911,12,Datos!$C$2:$C$18911,"&lt;30",Datos!$F$2:$F$18911,"STANDBY"),0),"")</f>
        <v/>
      </c>
      <c r="K51" s="7">
        <f>IFERROR(ROUND(AVERAGEIFS(Datos!$G$2:$G$18911,Datos!$E$2:$E$18911,$A51,Datos!$B$2:$B$18911,12,Datos!$C$2:$C$18911,"&gt;=30",Datos!$F$2:$F$18911,"STANDBY"),0),"")</f>
        <v/>
      </c>
      <c r="L51" s="7">
        <f>IFERROR(ROUND(AVERAGEIFS(Datos!$G$2:$G$18911,Datos!$E$2:$E$18911,$A51,Datos!$B$2:$B$18911,13,Datos!$C$2:$C$18911,"&lt;30",Datos!$F$2:$F$18911,"STANDBY"),0),"")</f>
        <v/>
      </c>
      <c r="M51" s="7">
        <f>IFERROR(ROUND(AVERAGEIFS(Datos!$G$2:$G$18911,Datos!$E$2:$E$18911,$A51,Datos!$B$2:$B$18911,13,Datos!$C$2:$C$18911,"&gt;=30",Datos!$F$2:$F$18911,"STANDBY"),0),"")</f>
        <v/>
      </c>
      <c r="N51" s="7">
        <f>IFERROR(ROUND(AVERAGEIFS(Datos!$G$2:$G$18911,Datos!$E$2:$E$18911,$A51,Datos!$B$2:$B$18911,14,Datos!$C$2:$C$18911,"&lt;30",Datos!$F$2:$F$18911,"STANDBY"),0),"")</f>
        <v/>
      </c>
      <c r="O51" s="7">
        <f>IFERROR(ROUND(AVERAGEIFS(Datos!$G$2:$G$18911,Datos!$E$2:$E$18911,$A51,Datos!$B$2:$B$18911,14,Datos!$C$2:$C$18911,"&gt;=30",Datos!$F$2:$F$18911,"STANDBY"),0),"")</f>
        <v/>
      </c>
      <c r="P51" s="7">
        <f>IFERROR(ROUND(AVERAGEIFS(Datos!$G$2:$G$18911,Datos!$E$2:$E$18911,$A51,Datos!$B$2:$B$18911,15,Datos!$C$2:$C$18911,"&lt;30",Datos!$F$2:$F$18911,"STANDBY"),0),"")</f>
        <v/>
      </c>
      <c r="Q51" s="7">
        <f>IFERROR(ROUND(AVERAGEIFS(Datos!$G$2:$G$18911,Datos!$E$2:$E$18911,$A51,Datos!$B$2:$B$18911,15,Datos!$C$2:$C$18911,"&gt;=30",Datos!$F$2:$F$18911,"STANDBY"),0),"")</f>
        <v/>
      </c>
      <c r="R51" s="7">
        <f>IFERROR(ROUND(AVERAGEIFS(Datos!$G$2:$G$18911,Datos!$E$2:$E$18911,$A51,Datos!$B$2:$B$18911,16,Datos!$C$2:$C$18911,"&lt;30",Datos!$F$2:$F$18911,"STANDBY"),0),"")</f>
        <v/>
      </c>
      <c r="S51" s="7">
        <f>IFERROR(ROUND(AVERAGEIFS(Datos!$G$2:$G$18911,Datos!$E$2:$E$18911,$A51,Datos!$B$2:$B$18911,16,Datos!$C$2:$C$18911,"&gt;=30",Datos!$F$2:$F$18911,"STANDBY"),0),"")</f>
        <v/>
      </c>
      <c r="T51" s="7">
        <f>IFERROR(ROUND(AVERAGEIFS(Datos!$G$2:$G$18911,Datos!$E$2:$E$18911,$A51,Datos!$B$2:$B$18911,17,Datos!$C$2:$C$18911,"&lt;30",Datos!$F$2:$F$18911,"STANDBY"),0),"")</f>
        <v/>
      </c>
      <c r="U51" s="7">
        <f>IFERROR(ROUND(AVERAGEIFS(Datos!$G$2:$G$18911,Datos!$E$2:$E$18911,$A51,Datos!$B$2:$B$18911,17,Datos!$C$2:$C$18911,"&gt;=30",Datos!$F$2:$F$18911,"STANDBY"),0),"")</f>
        <v/>
      </c>
      <c r="V51" s="7">
        <f>IFERROR(ROUND(AVERAGEIFS(Datos!$G$2:$G$18911,Datos!$E$2:$E$18911,$A51,Datos!$B$2:$B$18911,18,Datos!$C$2:$C$18911,"&lt;30",Datos!$F$2:$F$18911,"STANDBY"),0),"")</f>
        <v/>
      </c>
      <c r="W51" s="7">
        <f>IFERROR(ROUND(AVERAGEIFS(Datos!$G$2:$G$18911,Datos!$E$2:$E$18911,$A51,Datos!$B$2:$B$18911,18,Datos!$C$2:$C$18911,"&gt;=30",Datos!$F$2:$F$18911,"STANDBY"),0),"")</f>
        <v/>
      </c>
      <c r="X51" s="7">
        <f>IFERROR(ROUND(AVERAGEIFS(Datos!$G$2:$G$18911,Datos!$E$2:$E$18911,$A51,Datos!$B$2:$B$18911,19,Datos!$C$2:$C$18911,"&lt;30",Datos!$F$2:$F$18911,"STANDBY"),0),"")</f>
        <v/>
      </c>
      <c r="Y51" s="7">
        <f>IFERROR(ROUND(AVERAGEIFS(Datos!$G$2:$G$18911,Datos!$E$2:$E$18911,$A51,Datos!$B$2:$B$18911,19,Datos!$C$2:$C$18911,"&gt;=30",Datos!$F$2:$F$18911,"STANDBY"),0),"")</f>
        <v/>
      </c>
      <c r="Z51" s="7">
        <f>IFERROR(ROUND(AVERAGEIFS(Datos!$G$2:$G$18911,Datos!$E$2:$E$18911,$A51,Datos!$B$2:$B$18911,20,Datos!$C$2:$C$18911,"&lt;30",Datos!$F$2:$F$18911,"STANDBY"),0),"")</f>
        <v/>
      </c>
      <c r="AA51" s="7">
        <f>IFERROR(ROUND(AVERAGEIFS(Datos!$G$2:$G$18911,Datos!$E$2:$E$18911,$A51,Datos!$B$2:$B$18911,20,Datos!$C$2:$C$18911,"&gt;=30",Datos!$F$2:$F$18911,"STANDBY"),0),"")</f>
        <v/>
      </c>
      <c r="AB51" s="7">
        <f>IFERROR(ROUND(AVERAGEIFS(Datos!$G$2:$G$18911,Datos!$E$2:$E$18911,$A51,Datos!$B$2:$B$18911,21,Datos!$C$2:$C$18911,"&lt;30",Datos!$F$2:$F$18911,"STANDBY"),0),"")</f>
        <v/>
      </c>
      <c r="AC51" s="7">
        <f>IFERROR(ROUND(AVERAGEIFS(Datos!$G$2:$G$18911,Datos!$E$2:$E$18911,$A51,Datos!$B$2:$B$18911,21,Datos!$C$2:$C$18911,"&gt;=30",Datos!$F$2:$F$18911,"STANDBY"),0),"")</f>
        <v/>
      </c>
      <c r="AD51" s="7">
        <f>IFERROR(ROUND(AVERAGEIFS(Datos!$G$2:$G$18911,Datos!$E$2:$E$18911,$A51,Datos!$B$2:$B$18911,22,Datos!$C$2:$C$18911,"&lt;30",Datos!$F$2:$F$18911,"STANDBY"),0),"")</f>
        <v/>
      </c>
      <c r="AE51" s="7">
        <f>IFERROR(ROUND(AVERAGEIFS(Datos!$G$2:$G$18911,Datos!$E$2:$E$18911,$A51,Datos!$B$2:$B$18911,22,Datos!$C$2:$C$18911,"&gt;=30",Datos!$F$2:$F$18911,"STANDBY"),0),"")</f>
        <v/>
      </c>
      <c r="AF51" s="7">
        <f>IFERROR(ROUND(AVERAGEIFS(Datos!$G$2:$G$18911,Datos!$E$2:$E$18911,$A51,Datos!$B$2:$B$18911,23,Datos!$C$2:$C$18911,"&lt;30",Datos!$F$2:$F$18911,"STANDBY"),0),"")</f>
        <v/>
      </c>
      <c r="AG51" s="7">
        <f>IFERROR(ROUND(AVERAGEIFS(Datos!$G$2:$G$18911,Datos!$E$2:$E$18911,$A51,Datos!$B$2:$B$18911,23,Datos!$C$2:$C$18911,"&gt;=30",Datos!$F$2:$F$18911,"STANDBY"),0),"")</f>
        <v/>
      </c>
    </row>
    <row r="52">
      <c r="A52" s="6" t="inlineStr">
        <is>
          <t>Orbitron®</t>
        </is>
      </c>
      <c r="B52" s="7">
        <f>IFERROR(ROUND(AVERAGEIFS(Datos!$G$2:$G$18911,Datos!$E$2:$E$18911,$A52,Datos!$B$2:$B$18911,8,Datos!$C$2:$C$18911,"&lt;30",Datos!$F$2:$F$18911,"STANDBY"),0),"")</f>
        <v/>
      </c>
      <c r="C52" s="7">
        <f>IFERROR(ROUND(AVERAGEIFS(Datos!$G$2:$G$18911,Datos!$E$2:$E$18911,$A52,Datos!$B$2:$B$18911,8,Datos!$C$2:$C$18911,"&gt;=30",Datos!$F$2:$F$18911,"STANDBY"),0),"")</f>
        <v/>
      </c>
      <c r="D52" s="7">
        <f>IFERROR(ROUND(AVERAGEIFS(Datos!$G$2:$G$18911,Datos!$E$2:$E$18911,$A52,Datos!$B$2:$B$18911,9,Datos!$C$2:$C$18911,"&lt;30",Datos!$F$2:$F$18911,"STANDBY"),0),"")</f>
        <v/>
      </c>
      <c r="E52" s="7">
        <f>IFERROR(ROUND(AVERAGEIFS(Datos!$G$2:$G$18911,Datos!$E$2:$E$18911,$A52,Datos!$B$2:$B$18911,9,Datos!$C$2:$C$18911,"&gt;=30",Datos!$F$2:$F$18911,"STANDBY"),0),"")</f>
        <v/>
      </c>
      <c r="F52" s="7">
        <f>IFERROR(ROUND(AVERAGEIFS(Datos!$G$2:$G$18911,Datos!$E$2:$E$18911,$A52,Datos!$B$2:$B$18911,10,Datos!$C$2:$C$18911,"&lt;30",Datos!$F$2:$F$18911,"STANDBY"),0),"")</f>
        <v/>
      </c>
      <c r="G52" s="7">
        <f>IFERROR(ROUND(AVERAGEIFS(Datos!$G$2:$G$18911,Datos!$E$2:$E$18911,$A52,Datos!$B$2:$B$18911,10,Datos!$C$2:$C$18911,"&gt;=30",Datos!$F$2:$F$18911,"STANDBY"),0),"")</f>
        <v/>
      </c>
      <c r="H52" s="7">
        <f>IFERROR(ROUND(AVERAGEIFS(Datos!$G$2:$G$18911,Datos!$E$2:$E$18911,$A52,Datos!$B$2:$B$18911,11,Datos!$C$2:$C$18911,"&lt;30",Datos!$F$2:$F$18911,"STANDBY"),0),"")</f>
        <v/>
      </c>
      <c r="I52" s="7">
        <f>IFERROR(ROUND(AVERAGEIFS(Datos!$G$2:$G$18911,Datos!$E$2:$E$18911,$A52,Datos!$B$2:$B$18911,11,Datos!$C$2:$C$18911,"&gt;=30",Datos!$F$2:$F$18911,"STANDBY"),0),"")</f>
        <v/>
      </c>
      <c r="J52" s="7">
        <f>IFERROR(ROUND(AVERAGEIFS(Datos!$G$2:$G$18911,Datos!$E$2:$E$18911,$A52,Datos!$B$2:$B$18911,12,Datos!$C$2:$C$18911,"&lt;30",Datos!$F$2:$F$18911,"STANDBY"),0),"")</f>
        <v/>
      </c>
      <c r="K52" s="7">
        <f>IFERROR(ROUND(AVERAGEIFS(Datos!$G$2:$G$18911,Datos!$E$2:$E$18911,$A52,Datos!$B$2:$B$18911,12,Datos!$C$2:$C$18911,"&gt;=30",Datos!$F$2:$F$18911,"STANDBY"),0),"")</f>
        <v/>
      </c>
      <c r="L52" s="7">
        <f>IFERROR(ROUND(AVERAGEIFS(Datos!$G$2:$G$18911,Datos!$E$2:$E$18911,$A52,Datos!$B$2:$B$18911,13,Datos!$C$2:$C$18911,"&lt;30",Datos!$F$2:$F$18911,"STANDBY"),0),"")</f>
        <v/>
      </c>
      <c r="M52" s="7">
        <f>IFERROR(ROUND(AVERAGEIFS(Datos!$G$2:$G$18911,Datos!$E$2:$E$18911,$A52,Datos!$B$2:$B$18911,13,Datos!$C$2:$C$18911,"&gt;=30",Datos!$F$2:$F$18911,"STANDBY"),0),"")</f>
        <v/>
      </c>
      <c r="N52" s="7">
        <f>IFERROR(ROUND(AVERAGEIFS(Datos!$G$2:$G$18911,Datos!$E$2:$E$18911,$A52,Datos!$B$2:$B$18911,14,Datos!$C$2:$C$18911,"&lt;30",Datos!$F$2:$F$18911,"STANDBY"),0),"")</f>
        <v/>
      </c>
      <c r="O52" s="7">
        <f>IFERROR(ROUND(AVERAGEIFS(Datos!$G$2:$G$18911,Datos!$E$2:$E$18911,$A52,Datos!$B$2:$B$18911,14,Datos!$C$2:$C$18911,"&gt;=30",Datos!$F$2:$F$18911,"STANDBY"),0),"")</f>
        <v/>
      </c>
      <c r="P52" s="7">
        <f>IFERROR(ROUND(AVERAGEIFS(Datos!$G$2:$G$18911,Datos!$E$2:$E$18911,$A52,Datos!$B$2:$B$18911,15,Datos!$C$2:$C$18911,"&lt;30",Datos!$F$2:$F$18911,"STANDBY"),0),"")</f>
        <v/>
      </c>
      <c r="Q52" s="7">
        <f>IFERROR(ROUND(AVERAGEIFS(Datos!$G$2:$G$18911,Datos!$E$2:$E$18911,$A52,Datos!$B$2:$B$18911,15,Datos!$C$2:$C$18911,"&gt;=30",Datos!$F$2:$F$18911,"STANDBY"),0),"")</f>
        <v/>
      </c>
      <c r="R52" s="7">
        <f>IFERROR(ROUND(AVERAGEIFS(Datos!$G$2:$G$18911,Datos!$E$2:$E$18911,$A52,Datos!$B$2:$B$18911,16,Datos!$C$2:$C$18911,"&lt;30",Datos!$F$2:$F$18911,"STANDBY"),0),"")</f>
        <v/>
      </c>
      <c r="S52" s="7">
        <f>IFERROR(ROUND(AVERAGEIFS(Datos!$G$2:$G$18911,Datos!$E$2:$E$18911,$A52,Datos!$B$2:$B$18911,16,Datos!$C$2:$C$18911,"&gt;=30",Datos!$F$2:$F$18911,"STANDBY"),0),"")</f>
        <v/>
      </c>
      <c r="T52" s="7">
        <f>IFERROR(ROUND(AVERAGEIFS(Datos!$G$2:$G$18911,Datos!$E$2:$E$18911,$A52,Datos!$B$2:$B$18911,17,Datos!$C$2:$C$18911,"&lt;30",Datos!$F$2:$F$18911,"STANDBY"),0),"")</f>
        <v/>
      </c>
      <c r="U52" s="7">
        <f>IFERROR(ROUND(AVERAGEIFS(Datos!$G$2:$G$18911,Datos!$E$2:$E$18911,$A52,Datos!$B$2:$B$18911,17,Datos!$C$2:$C$18911,"&gt;=30",Datos!$F$2:$F$18911,"STANDBY"),0),"")</f>
        <v/>
      </c>
      <c r="V52" s="7">
        <f>IFERROR(ROUND(AVERAGEIFS(Datos!$G$2:$G$18911,Datos!$E$2:$E$18911,$A52,Datos!$B$2:$B$18911,18,Datos!$C$2:$C$18911,"&lt;30",Datos!$F$2:$F$18911,"STANDBY"),0),"")</f>
        <v/>
      </c>
      <c r="W52" s="7">
        <f>IFERROR(ROUND(AVERAGEIFS(Datos!$G$2:$G$18911,Datos!$E$2:$E$18911,$A52,Datos!$B$2:$B$18911,18,Datos!$C$2:$C$18911,"&gt;=30",Datos!$F$2:$F$18911,"STANDBY"),0),"")</f>
        <v/>
      </c>
      <c r="X52" s="7">
        <f>IFERROR(ROUND(AVERAGEIFS(Datos!$G$2:$G$18911,Datos!$E$2:$E$18911,$A52,Datos!$B$2:$B$18911,19,Datos!$C$2:$C$18911,"&lt;30",Datos!$F$2:$F$18911,"STANDBY"),0),"")</f>
        <v/>
      </c>
      <c r="Y52" s="7">
        <f>IFERROR(ROUND(AVERAGEIFS(Datos!$G$2:$G$18911,Datos!$E$2:$E$18911,$A52,Datos!$B$2:$B$18911,19,Datos!$C$2:$C$18911,"&gt;=30",Datos!$F$2:$F$18911,"STANDBY"),0),"")</f>
        <v/>
      </c>
      <c r="Z52" s="7">
        <f>IFERROR(ROUND(AVERAGEIFS(Datos!$G$2:$G$18911,Datos!$E$2:$E$18911,$A52,Datos!$B$2:$B$18911,20,Datos!$C$2:$C$18911,"&lt;30",Datos!$F$2:$F$18911,"STANDBY"),0),"")</f>
        <v/>
      </c>
      <c r="AA52" s="7">
        <f>IFERROR(ROUND(AVERAGEIFS(Datos!$G$2:$G$18911,Datos!$E$2:$E$18911,$A52,Datos!$B$2:$B$18911,20,Datos!$C$2:$C$18911,"&gt;=30",Datos!$F$2:$F$18911,"STANDBY"),0),"")</f>
        <v/>
      </c>
      <c r="AB52" s="7">
        <f>IFERROR(ROUND(AVERAGEIFS(Datos!$G$2:$G$18911,Datos!$E$2:$E$18911,$A52,Datos!$B$2:$B$18911,21,Datos!$C$2:$C$18911,"&lt;30",Datos!$F$2:$F$18911,"STANDBY"),0),"")</f>
        <v/>
      </c>
      <c r="AC52" s="7">
        <f>IFERROR(ROUND(AVERAGEIFS(Datos!$G$2:$G$18911,Datos!$E$2:$E$18911,$A52,Datos!$B$2:$B$18911,21,Datos!$C$2:$C$18911,"&gt;=30",Datos!$F$2:$F$18911,"STANDBY"),0),"")</f>
        <v/>
      </c>
      <c r="AD52" s="7">
        <f>IFERROR(ROUND(AVERAGEIFS(Datos!$G$2:$G$18911,Datos!$E$2:$E$18911,$A52,Datos!$B$2:$B$18911,22,Datos!$C$2:$C$18911,"&lt;30",Datos!$F$2:$F$18911,"STANDBY"),0),"")</f>
        <v/>
      </c>
      <c r="AE52" s="7">
        <f>IFERROR(ROUND(AVERAGEIFS(Datos!$G$2:$G$18911,Datos!$E$2:$E$18911,$A52,Datos!$B$2:$B$18911,22,Datos!$C$2:$C$18911,"&gt;=30",Datos!$F$2:$F$18911,"STANDBY"),0),"")</f>
        <v/>
      </c>
      <c r="AF52" s="7">
        <f>IFERROR(ROUND(AVERAGEIFS(Datos!$G$2:$G$18911,Datos!$E$2:$E$18911,$A52,Datos!$B$2:$B$18911,23,Datos!$C$2:$C$18911,"&lt;30",Datos!$F$2:$F$18911,"STANDBY"),0),"")</f>
        <v/>
      </c>
      <c r="AG52" s="7">
        <f>IFERROR(ROUND(AVERAGEIFS(Datos!$G$2:$G$18911,Datos!$E$2:$E$18911,$A52,Datos!$B$2:$B$18911,23,Datos!$C$2:$C$18911,"&gt;=30",Datos!$F$2:$F$18911,"STANDBY"),0),"")</f>
        <v/>
      </c>
    </row>
    <row r="53">
      <c r="A53" s="6" t="inlineStr">
        <is>
          <t>Peter Pan's Flight</t>
        </is>
      </c>
      <c r="B53" s="7">
        <f>IFERROR(ROUND(AVERAGEIFS(Datos!$G$2:$G$18911,Datos!$E$2:$E$18911,$A53,Datos!$B$2:$B$18911,8,Datos!$C$2:$C$18911,"&lt;30",Datos!$F$2:$F$18911,"STANDBY"),0),"")</f>
        <v/>
      </c>
      <c r="C53" s="7">
        <f>IFERROR(ROUND(AVERAGEIFS(Datos!$G$2:$G$18911,Datos!$E$2:$E$18911,$A53,Datos!$B$2:$B$18911,8,Datos!$C$2:$C$18911,"&gt;=30",Datos!$F$2:$F$18911,"STANDBY"),0),"")</f>
        <v/>
      </c>
      <c r="D53" s="7">
        <f>IFERROR(ROUND(AVERAGEIFS(Datos!$G$2:$G$18911,Datos!$E$2:$E$18911,$A53,Datos!$B$2:$B$18911,9,Datos!$C$2:$C$18911,"&lt;30",Datos!$F$2:$F$18911,"STANDBY"),0),"")</f>
        <v/>
      </c>
      <c r="E53" s="7">
        <f>IFERROR(ROUND(AVERAGEIFS(Datos!$G$2:$G$18911,Datos!$E$2:$E$18911,$A53,Datos!$B$2:$B$18911,9,Datos!$C$2:$C$18911,"&gt;=30",Datos!$F$2:$F$18911,"STANDBY"),0),"")</f>
        <v/>
      </c>
      <c r="F53" s="7">
        <f>IFERROR(ROUND(AVERAGEIFS(Datos!$G$2:$G$18911,Datos!$E$2:$E$18911,$A53,Datos!$B$2:$B$18911,10,Datos!$C$2:$C$18911,"&lt;30",Datos!$F$2:$F$18911,"STANDBY"),0),"")</f>
        <v/>
      </c>
      <c r="G53" s="7">
        <f>IFERROR(ROUND(AVERAGEIFS(Datos!$G$2:$G$18911,Datos!$E$2:$E$18911,$A53,Datos!$B$2:$B$18911,10,Datos!$C$2:$C$18911,"&gt;=30",Datos!$F$2:$F$18911,"STANDBY"),0),"")</f>
        <v/>
      </c>
      <c r="H53" s="7">
        <f>IFERROR(ROUND(AVERAGEIFS(Datos!$G$2:$G$18911,Datos!$E$2:$E$18911,$A53,Datos!$B$2:$B$18911,11,Datos!$C$2:$C$18911,"&lt;30",Datos!$F$2:$F$18911,"STANDBY"),0),"")</f>
        <v/>
      </c>
      <c r="I53" s="7">
        <f>IFERROR(ROUND(AVERAGEIFS(Datos!$G$2:$G$18911,Datos!$E$2:$E$18911,$A53,Datos!$B$2:$B$18911,11,Datos!$C$2:$C$18911,"&gt;=30",Datos!$F$2:$F$18911,"STANDBY"),0),"")</f>
        <v/>
      </c>
      <c r="J53" s="7">
        <f>IFERROR(ROUND(AVERAGEIFS(Datos!$G$2:$G$18911,Datos!$E$2:$E$18911,$A53,Datos!$B$2:$B$18911,12,Datos!$C$2:$C$18911,"&lt;30",Datos!$F$2:$F$18911,"STANDBY"),0),"")</f>
        <v/>
      </c>
      <c r="K53" s="7">
        <f>IFERROR(ROUND(AVERAGEIFS(Datos!$G$2:$G$18911,Datos!$E$2:$E$18911,$A53,Datos!$B$2:$B$18911,12,Datos!$C$2:$C$18911,"&gt;=30",Datos!$F$2:$F$18911,"STANDBY"),0),"")</f>
        <v/>
      </c>
      <c r="L53" s="7">
        <f>IFERROR(ROUND(AVERAGEIFS(Datos!$G$2:$G$18911,Datos!$E$2:$E$18911,$A53,Datos!$B$2:$B$18911,13,Datos!$C$2:$C$18911,"&lt;30",Datos!$F$2:$F$18911,"STANDBY"),0),"")</f>
        <v/>
      </c>
      <c r="M53" s="7">
        <f>IFERROR(ROUND(AVERAGEIFS(Datos!$G$2:$G$18911,Datos!$E$2:$E$18911,$A53,Datos!$B$2:$B$18911,13,Datos!$C$2:$C$18911,"&gt;=30",Datos!$F$2:$F$18911,"STANDBY"),0),"")</f>
        <v/>
      </c>
      <c r="N53" s="7">
        <f>IFERROR(ROUND(AVERAGEIFS(Datos!$G$2:$G$18911,Datos!$E$2:$E$18911,$A53,Datos!$B$2:$B$18911,14,Datos!$C$2:$C$18911,"&lt;30",Datos!$F$2:$F$18911,"STANDBY"),0),"")</f>
        <v/>
      </c>
      <c r="O53" s="7">
        <f>IFERROR(ROUND(AVERAGEIFS(Datos!$G$2:$G$18911,Datos!$E$2:$E$18911,$A53,Datos!$B$2:$B$18911,14,Datos!$C$2:$C$18911,"&gt;=30",Datos!$F$2:$F$18911,"STANDBY"),0),"")</f>
        <v/>
      </c>
      <c r="P53" s="7">
        <f>IFERROR(ROUND(AVERAGEIFS(Datos!$G$2:$G$18911,Datos!$E$2:$E$18911,$A53,Datos!$B$2:$B$18911,15,Datos!$C$2:$C$18911,"&lt;30",Datos!$F$2:$F$18911,"STANDBY"),0),"")</f>
        <v/>
      </c>
      <c r="Q53" s="7">
        <f>IFERROR(ROUND(AVERAGEIFS(Datos!$G$2:$G$18911,Datos!$E$2:$E$18911,$A53,Datos!$B$2:$B$18911,15,Datos!$C$2:$C$18911,"&gt;=30",Datos!$F$2:$F$18911,"STANDBY"),0),"")</f>
        <v/>
      </c>
      <c r="R53" s="7">
        <f>IFERROR(ROUND(AVERAGEIFS(Datos!$G$2:$G$18911,Datos!$E$2:$E$18911,$A53,Datos!$B$2:$B$18911,16,Datos!$C$2:$C$18911,"&lt;30",Datos!$F$2:$F$18911,"STANDBY"),0),"")</f>
        <v/>
      </c>
      <c r="S53" s="7">
        <f>IFERROR(ROUND(AVERAGEIFS(Datos!$G$2:$G$18911,Datos!$E$2:$E$18911,$A53,Datos!$B$2:$B$18911,16,Datos!$C$2:$C$18911,"&gt;=30",Datos!$F$2:$F$18911,"STANDBY"),0),"")</f>
        <v/>
      </c>
      <c r="T53" s="7">
        <f>IFERROR(ROUND(AVERAGEIFS(Datos!$G$2:$G$18911,Datos!$E$2:$E$18911,$A53,Datos!$B$2:$B$18911,17,Datos!$C$2:$C$18911,"&lt;30",Datos!$F$2:$F$18911,"STANDBY"),0),"")</f>
        <v/>
      </c>
      <c r="U53" s="7">
        <f>IFERROR(ROUND(AVERAGEIFS(Datos!$G$2:$G$18911,Datos!$E$2:$E$18911,$A53,Datos!$B$2:$B$18911,17,Datos!$C$2:$C$18911,"&gt;=30",Datos!$F$2:$F$18911,"STANDBY"),0),"")</f>
        <v/>
      </c>
      <c r="V53" s="7">
        <f>IFERROR(ROUND(AVERAGEIFS(Datos!$G$2:$G$18911,Datos!$E$2:$E$18911,$A53,Datos!$B$2:$B$18911,18,Datos!$C$2:$C$18911,"&lt;30",Datos!$F$2:$F$18911,"STANDBY"),0),"")</f>
        <v/>
      </c>
      <c r="W53" s="7">
        <f>IFERROR(ROUND(AVERAGEIFS(Datos!$G$2:$G$18911,Datos!$E$2:$E$18911,$A53,Datos!$B$2:$B$18911,18,Datos!$C$2:$C$18911,"&gt;=30",Datos!$F$2:$F$18911,"STANDBY"),0),"")</f>
        <v/>
      </c>
      <c r="X53" s="7">
        <f>IFERROR(ROUND(AVERAGEIFS(Datos!$G$2:$G$18911,Datos!$E$2:$E$18911,$A53,Datos!$B$2:$B$18911,19,Datos!$C$2:$C$18911,"&lt;30",Datos!$F$2:$F$18911,"STANDBY"),0),"")</f>
        <v/>
      </c>
      <c r="Y53" s="7">
        <f>IFERROR(ROUND(AVERAGEIFS(Datos!$G$2:$G$18911,Datos!$E$2:$E$18911,$A53,Datos!$B$2:$B$18911,19,Datos!$C$2:$C$18911,"&gt;=30",Datos!$F$2:$F$18911,"STANDBY"),0),"")</f>
        <v/>
      </c>
      <c r="Z53" s="7">
        <f>IFERROR(ROUND(AVERAGEIFS(Datos!$G$2:$G$18911,Datos!$E$2:$E$18911,$A53,Datos!$B$2:$B$18911,20,Datos!$C$2:$C$18911,"&lt;30",Datos!$F$2:$F$18911,"STANDBY"),0),"")</f>
        <v/>
      </c>
      <c r="AA53" s="7">
        <f>IFERROR(ROUND(AVERAGEIFS(Datos!$G$2:$G$18911,Datos!$E$2:$E$18911,$A53,Datos!$B$2:$B$18911,20,Datos!$C$2:$C$18911,"&gt;=30",Datos!$F$2:$F$18911,"STANDBY"),0),"")</f>
        <v/>
      </c>
      <c r="AB53" s="7">
        <f>IFERROR(ROUND(AVERAGEIFS(Datos!$G$2:$G$18911,Datos!$E$2:$E$18911,$A53,Datos!$B$2:$B$18911,21,Datos!$C$2:$C$18911,"&lt;30",Datos!$F$2:$F$18911,"STANDBY"),0),"")</f>
        <v/>
      </c>
      <c r="AC53" s="7">
        <f>IFERROR(ROUND(AVERAGEIFS(Datos!$G$2:$G$18911,Datos!$E$2:$E$18911,$A53,Datos!$B$2:$B$18911,21,Datos!$C$2:$C$18911,"&gt;=30",Datos!$F$2:$F$18911,"STANDBY"),0),"")</f>
        <v/>
      </c>
      <c r="AD53" s="7">
        <f>IFERROR(ROUND(AVERAGEIFS(Datos!$G$2:$G$18911,Datos!$E$2:$E$18911,$A53,Datos!$B$2:$B$18911,22,Datos!$C$2:$C$18911,"&lt;30",Datos!$F$2:$F$18911,"STANDBY"),0),"")</f>
        <v/>
      </c>
      <c r="AE53" s="7">
        <f>IFERROR(ROUND(AVERAGEIFS(Datos!$G$2:$G$18911,Datos!$E$2:$E$18911,$A53,Datos!$B$2:$B$18911,22,Datos!$C$2:$C$18911,"&gt;=30",Datos!$F$2:$F$18911,"STANDBY"),0),"")</f>
        <v/>
      </c>
      <c r="AF53" s="7">
        <f>IFERROR(ROUND(AVERAGEIFS(Datos!$G$2:$G$18911,Datos!$E$2:$E$18911,$A53,Datos!$B$2:$B$18911,23,Datos!$C$2:$C$18911,"&lt;30",Datos!$F$2:$F$18911,"STANDBY"),0),"")</f>
        <v/>
      </c>
      <c r="AG53" s="7">
        <f>IFERROR(ROUND(AVERAGEIFS(Datos!$G$2:$G$18911,Datos!$E$2:$E$18911,$A53,Datos!$B$2:$B$18911,23,Datos!$C$2:$C$18911,"&gt;=30",Datos!$F$2:$F$18911,"STANDBY"),0),"")</f>
        <v/>
      </c>
    </row>
    <row r="54">
      <c r="A54" s="6" t="inlineStr">
        <is>
          <t>Phantom Manor</t>
        </is>
      </c>
      <c r="B54" s="7">
        <f>IFERROR(ROUND(AVERAGEIFS(Datos!$G$2:$G$18911,Datos!$E$2:$E$18911,$A54,Datos!$B$2:$B$18911,8,Datos!$C$2:$C$18911,"&lt;30",Datos!$F$2:$F$18911,"STANDBY"),0),"")</f>
        <v/>
      </c>
      <c r="C54" s="7">
        <f>IFERROR(ROUND(AVERAGEIFS(Datos!$G$2:$G$18911,Datos!$E$2:$E$18911,$A54,Datos!$B$2:$B$18911,8,Datos!$C$2:$C$18911,"&gt;=30",Datos!$F$2:$F$18911,"STANDBY"),0),"")</f>
        <v/>
      </c>
      <c r="D54" s="7">
        <f>IFERROR(ROUND(AVERAGEIFS(Datos!$G$2:$G$18911,Datos!$E$2:$E$18911,$A54,Datos!$B$2:$B$18911,9,Datos!$C$2:$C$18911,"&lt;30",Datos!$F$2:$F$18911,"STANDBY"),0),"")</f>
        <v/>
      </c>
      <c r="E54" s="7">
        <f>IFERROR(ROUND(AVERAGEIFS(Datos!$G$2:$G$18911,Datos!$E$2:$E$18911,$A54,Datos!$B$2:$B$18911,9,Datos!$C$2:$C$18911,"&gt;=30",Datos!$F$2:$F$18911,"STANDBY"),0),"")</f>
        <v/>
      </c>
      <c r="F54" s="7">
        <f>IFERROR(ROUND(AVERAGEIFS(Datos!$G$2:$G$18911,Datos!$E$2:$E$18911,$A54,Datos!$B$2:$B$18911,10,Datos!$C$2:$C$18911,"&lt;30",Datos!$F$2:$F$18911,"STANDBY"),0),"")</f>
        <v/>
      </c>
      <c r="G54" s="7">
        <f>IFERROR(ROUND(AVERAGEIFS(Datos!$G$2:$G$18911,Datos!$E$2:$E$18911,$A54,Datos!$B$2:$B$18911,10,Datos!$C$2:$C$18911,"&gt;=30",Datos!$F$2:$F$18911,"STANDBY"),0),"")</f>
        <v/>
      </c>
      <c r="H54" s="7">
        <f>IFERROR(ROUND(AVERAGEIFS(Datos!$G$2:$G$18911,Datos!$E$2:$E$18911,$A54,Datos!$B$2:$B$18911,11,Datos!$C$2:$C$18911,"&lt;30",Datos!$F$2:$F$18911,"STANDBY"),0),"")</f>
        <v/>
      </c>
      <c r="I54" s="7">
        <f>IFERROR(ROUND(AVERAGEIFS(Datos!$G$2:$G$18911,Datos!$E$2:$E$18911,$A54,Datos!$B$2:$B$18911,11,Datos!$C$2:$C$18911,"&gt;=30",Datos!$F$2:$F$18911,"STANDBY"),0),"")</f>
        <v/>
      </c>
      <c r="J54" s="7">
        <f>IFERROR(ROUND(AVERAGEIFS(Datos!$G$2:$G$18911,Datos!$E$2:$E$18911,$A54,Datos!$B$2:$B$18911,12,Datos!$C$2:$C$18911,"&lt;30",Datos!$F$2:$F$18911,"STANDBY"),0),"")</f>
        <v/>
      </c>
      <c r="K54" s="7">
        <f>IFERROR(ROUND(AVERAGEIFS(Datos!$G$2:$G$18911,Datos!$E$2:$E$18911,$A54,Datos!$B$2:$B$18911,12,Datos!$C$2:$C$18911,"&gt;=30",Datos!$F$2:$F$18911,"STANDBY"),0),"")</f>
        <v/>
      </c>
      <c r="L54" s="7">
        <f>IFERROR(ROUND(AVERAGEIFS(Datos!$G$2:$G$18911,Datos!$E$2:$E$18911,$A54,Datos!$B$2:$B$18911,13,Datos!$C$2:$C$18911,"&lt;30",Datos!$F$2:$F$18911,"STANDBY"),0),"")</f>
        <v/>
      </c>
      <c r="M54" s="7">
        <f>IFERROR(ROUND(AVERAGEIFS(Datos!$G$2:$G$18911,Datos!$E$2:$E$18911,$A54,Datos!$B$2:$B$18911,13,Datos!$C$2:$C$18911,"&gt;=30",Datos!$F$2:$F$18911,"STANDBY"),0),"")</f>
        <v/>
      </c>
      <c r="N54" s="7">
        <f>IFERROR(ROUND(AVERAGEIFS(Datos!$G$2:$G$18911,Datos!$E$2:$E$18911,$A54,Datos!$B$2:$B$18911,14,Datos!$C$2:$C$18911,"&lt;30",Datos!$F$2:$F$18911,"STANDBY"),0),"")</f>
        <v/>
      </c>
      <c r="O54" s="7">
        <f>IFERROR(ROUND(AVERAGEIFS(Datos!$G$2:$G$18911,Datos!$E$2:$E$18911,$A54,Datos!$B$2:$B$18911,14,Datos!$C$2:$C$18911,"&gt;=30",Datos!$F$2:$F$18911,"STANDBY"),0),"")</f>
        <v/>
      </c>
      <c r="P54" s="7">
        <f>IFERROR(ROUND(AVERAGEIFS(Datos!$G$2:$G$18911,Datos!$E$2:$E$18911,$A54,Datos!$B$2:$B$18911,15,Datos!$C$2:$C$18911,"&lt;30",Datos!$F$2:$F$18911,"STANDBY"),0),"")</f>
        <v/>
      </c>
      <c r="Q54" s="7">
        <f>IFERROR(ROUND(AVERAGEIFS(Datos!$G$2:$G$18911,Datos!$E$2:$E$18911,$A54,Datos!$B$2:$B$18911,15,Datos!$C$2:$C$18911,"&gt;=30",Datos!$F$2:$F$18911,"STANDBY"),0),"")</f>
        <v/>
      </c>
      <c r="R54" s="7">
        <f>IFERROR(ROUND(AVERAGEIFS(Datos!$G$2:$G$18911,Datos!$E$2:$E$18911,$A54,Datos!$B$2:$B$18911,16,Datos!$C$2:$C$18911,"&lt;30",Datos!$F$2:$F$18911,"STANDBY"),0),"")</f>
        <v/>
      </c>
      <c r="S54" s="7">
        <f>IFERROR(ROUND(AVERAGEIFS(Datos!$G$2:$G$18911,Datos!$E$2:$E$18911,$A54,Datos!$B$2:$B$18911,16,Datos!$C$2:$C$18911,"&gt;=30",Datos!$F$2:$F$18911,"STANDBY"),0),"")</f>
        <v/>
      </c>
      <c r="T54" s="7">
        <f>IFERROR(ROUND(AVERAGEIFS(Datos!$G$2:$G$18911,Datos!$E$2:$E$18911,$A54,Datos!$B$2:$B$18911,17,Datos!$C$2:$C$18911,"&lt;30",Datos!$F$2:$F$18911,"STANDBY"),0),"")</f>
        <v/>
      </c>
      <c r="U54" s="7">
        <f>IFERROR(ROUND(AVERAGEIFS(Datos!$G$2:$G$18911,Datos!$E$2:$E$18911,$A54,Datos!$B$2:$B$18911,17,Datos!$C$2:$C$18911,"&gt;=30",Datos!$F$2:$F$18911,"STANDBY"),0),"")</f>
        <v/>
      </c>
      <c r="V54" s="7">
        <f>IFERROR(ROUND(AVERAGEIFS(Datos!$G$2:$G$18911,Datos!$E$2:$E$18911,$A54,Datos!$B$2:$B$18911,18,Datos!$C$2:$C$18911,"&lt;30",Datos!$F$2:$F$18911,"STANDBY"),0),"")</f>
        <v/>
      </c>
      <c r="W54" s="7">
        <f>IFERROR(ROUND(AVERAGEIFS(Datos!$G$2:$G$18911,Datos!$E$2:$E$18911,$A54,Datos!$B$2:$B$18911,18,Datos!$C$2:$C$18911,"&gt;=30",Datos!$F$2:$F$18911,"STANDBY"),0),"")</f>
        <v/>
      </c>
      <c r="X54" s="7">
        <f>IFERROR(ROUND(AVERAGEIFS(Datos!$G$2:$G$18911,Datos!$E$2:$E$18911,$A54,Datos!$B$2:$B$18911,19,Datos!$C$2:$C$18911,"&lt;30",Datos!$F$2:$F$18911,"STANDBY"),0),"")</f>
        <v/>
      </c>
      <c r="Y54" s="7">
        <f>IFERROR(ROUND(AVERAGEIFS(Datos!$G$2:$G$18911,Datos!$E$2:$E$18911,$A54,Datos!$B$2:$B$18911,19,Datos!$C$2:$C$18911,"&gt;=30",Datos!$F$2:$F$18911,"STANDBY"),0),"")</f>
        <v/>
      </c>
      <c r="Z54" s="7">
        <f>IFERROR(ROUND(AVERAGEIFS(Datos!$G$2:$G$18911,Datos!$E$2:$E$18911,$A54,Datos!$B$2:$B$18911,20,Datos!$C$2:$C$18911,"&lt;30",Datos!$F$2:$F$18911,"STANDBY"),0),"")</f>
        <v/>
      </c>
      <c r="AA54" s="7">
        <f>IFERROR(ROUND(AVERAGEIFS(Datos!$G$2:$G$18911,Datos!$E$2:$E$18911,$A54,Datos!$B$2:$B$18911,20,Datos!$C$2:$C$18911,"&gt;=30",Datos!$F$2:$F$18911,"STANDBY"),0),"")</f>
        <v/>
      </c>
      <c r="AB54" s="7">
        <f>IFERROR(ROUND(AVERAGEIFS(Datos!$G$2:$G$18911,Datos!$E$2:$E$18911,$A54,Datos!$B$2:$B$18911,21,Datos!$C$2:$C$18911,"&lt;30",Datos!$F$2:$F$18911,"STANDBY"),0),"")</f>
        <v/>
      </c>
      <c r="AC54" s="7">
        <f>IFERROR(ROUND(AVERAGEIFS(Datos!$G$2:$G$18911,Datos!$E$2:$E$18911,$A54,Datos!$B$2:$B$18911,21,Datos!$C$2:$C$18911,"&gt;=30",Datos!$F$2:$F$18911,"STANDBY"),0),"")</f>
        <v/>
      </c>
      <c r="AD54" s="7">
        <f>IFERROR(ROUND(AVERAGEIFS(Datos!$G$2:$G$18911,Datos!$E$2:$E$18911,$A54,Datos!$B$2:$B$18911,22,Datos!$C$2:$C$18911,"&lt;30",Datos!$F$2:$F$18911,"STANDBY"),0),"")</f>
        <v/>
      </c>
      <c r="AE54" s="7">
        <f>IFERROR(ROUND(AVERAGEIFS(Datos!$G$2:$G$18911,Datos!$E$2:$E$18911,$A54,Datos!$B$2:$B$18911,22,Datos!$C$2:$C$18911,"&gt;=30",Datos!$F$2:$F$18911,"STANDBY"),0),"")</f>
        <v/>
      </c>
      <c r="AF54" s="7">
        <f>IFERROR(ROUND(AVERAGEIFS(Datos!$G$2:$G$18911,Datos!$E$2:$E$18911,$A54,Datos!$B$2:$B$18911,23,Datos!$C$2:$C$18911,"&lt;30",Datos!$F$2:$F$18911,"STANDBY"),0),"")</f>
        <v/>
      </c>
      <c r="AG54" s="7">
        <f>IFERROR(ROUND(AVERAGEIFS(Datos!$G$2:$G$18911,Datos!$E$2:$E$18911,$A54,Datos!$B$2:$B$18911,23,Datos!$C$2:$C$18911,"&gt;=30",Datos!$F$2:$F$18911,"STANDBY"),0),"")</f>
        <v/>
      </c>
    </row>
    <row r="55">
      <c r="A55" s="6" t="inlineStr">
        <is>
          <t>Pirate Galleon</t>
        </is>
      </c>
      <c r="B55" s="7">
        <f>IFERROR(ROUND(AVERAGEIFS(Datos!$G$2:$G$18911,Datos!$E$2:$E$18911,$A55,Datos!$B$2:$B$18911,8,Datos!$C$2:$C$18911,"&lt;30",Datos!$F$2:$F$18911,"STANDBY"),0),"")</f>
        <v/>
      </c>
      <c r="C55" s="7">
        <f>IFERROR(ROUND(AVERAGEIFS(Datos!$G$2:$G$18911,Datos!$E$2:$E$18911,$A55,Datos!$B$2:$B$18911,8,Datos!$C$2:$C$18911,"&gt;=30",Datos!$F$2:$F$18911,"STANDBY"),0),"")</f>
        <v/>
      </c>
      <c r="D55" s="7">
        <f>IFERROR(ROUND(AVERAGEIFS(Datos!$G$2:$G$18911,Datos!$E$2:$E$18911,$A55,Datos!$B$2:$B$18911,9,Datos!$C$2:$C$18911,"&lt;30",Datos!$F$2:$F$18911,"STANDBY"),0),"")</f>
        <v/>
      </c>
      <c r="E55" s="7">
        <f>IFERROR(ROUND(AVERAGEIFS(Datos!$G$2:$G$18911,Datos!$E$2:$E$18911,$A55,Datos!$B$2:$B$18911,9,Datos!$C$2:$C$18911,"&gt;=30",Datos!$F$2:$F$18911,"STANDBY"),0),"")</f>
        <v/>
      </c>
      <c r="F55" s="7">
        <f>IFERROR(ROUND(AVERAGEIFS(Datos!$G$2:$G$18911,Datos!$E$2:$E$18911,$A55,Datos!$B$2:$B$18911,10,Datos!$C$2:$C$18911,"&lt;30",Datos!$F$2:$F$18911,"STANDBY"),0),"")</f>
        <v/>
      </c>
      <c r="G55" s="7">
        <f>IFERROR(ROUND(AVERAGEIFS(Datos!$G$2:$G$18911,Datos!$E$2:$E$18911,$A55,Datos!$B$2:$B$18911,10,Datos!$C$2:$C$18911,"&gt;=30",Datos!$F$2:$F$18911,"STANDBY"),0),"")</f>
        <v/>
      </c>
      <c r="H55" s="7">
        <f>IFERROR(ROUND(AVERAGEIFS(Datos!$G$2:$G$18911,Datos!$E$2:$E$18911,$A55,Datos!$B$2:$B$18911,11,Datos!$C$2:$C$18911,"&lt;30",Datos!$F$2:$F$18911,"STANDBY"),0),"")</f>
        <v/>
      </c>
      <c r="I55" s="7">
        <f>IFERROR(ROUND(AVERAGEIFS(Datos!$G$2:$G$18911,Datos!$E$2:$E$18911,$A55,Datos!$B$2:$B$18911,11,Datos!$C$2:$C$18911,"&gt;=30",Datos!$F$2:$F$18911,"STANDBY"),0),"")</f>
        <v/>
      </c>
      <c r="J55" s="7">
        <f>IFERROR(ROUND(AVERAGEIFS(Datos!$G$2:$G$18911,Datos!$E$2:$E$18911,$A55,Datos!$B$2:$B$18911,12,Datos!$C$2:$C$18911,"&lt;30",Datos!$F$2:$F$18911,"STANDBY"),0),"")</f>
        <v/>
      </c>
      <c r="K55" s="7">
        <f>IFERROR(ROUND(AVERAGEIFS(Datos!$G$2:$G$18911,Datos!$E$2:$E$18911,$A55,Datos!$B$2:$B$18911,12,Datos!$C$2:$C$18911,"&gt;=30",Datos!$F$2:$F$18911,"STANDBY"),0),"")</f>
        <v/>
      </c>
      <c r="L55" s="7">
        <f>IFERROR(ROUND(AVERAGEIFS(Datos!$G$2:$G$18911,Datos!$E$2:$E$18911,$A55,Datos!$B$2:$B$18911,13,Datos!$C$2:$C$18911,"&lt;30",Datos!$F$2:$F$18911,"STANDBY"),0),"")</f>
        <v/>
      </c>
      <c r="M55" s="7">
        <f>IFERROR(ROUND(AVERAGEIFS(Datos!$G$2:$G$18911,Datos!$E$2:$E$18911,$A55,Datos!$B$2:$B$18911,13,Datos!$C$2:$C$18911,"&gt;=30",Datos!$F$2:$F$18911,"STANDBY"),0),"")</f>
        <v/>
      </c>
      <c r="N55" s="7">
        <f>IFERROR(ROUND(AVERAGEIFS(Datos!$G$2:$G$18911,Datos!$E$2:$E$18911,$A55,Datos!$B$2:$B$18911,14,Datos!$C$2:$C$18911,"&lt;30",Datos!$F$2:$F$18911,"STANDBY"),0),"")</f>
        <v/>
      </c>
      <c r="O55" s="7">
        <f>IFERROR(ROUND(AVERAGEIFS(Datos!$G$2:$G$18911,Datos!$E$2:$E$18911,$A55,Datos!$B$2:$B$18911,14,Datos!$C$2:$C$18911,"&gt;=30",Datos!$F$2:$F$18911,"STANDBY"),0),"")</f>
        <v/>
      </c>
      <c r="P55" s="7">
        <f>IFERROR(ROUND(AVERAGEIFS(Datos!$G$2:$G$18911,Datos!$E$2:$E$18911,$A55,Datos!$B$2:$B$18911,15,Datos!$C$2:$C$18911,"&lt;30",Datos!$F$2:$F$18911,"STANDBY"),0),"")</f>
        <v/>
      </c>
      <c r="Q55" s="7">
        <f>IFERROR(ROUND(AVERAGEIFS(Datos!$G$2:$G$18911,Datos!$E$2:$E$18911,$A55,Datos!$B$2:$B$18911,15,Datos!$C$2:$C$18911,"&gt;=30",Datos!$F$2:$F$18911,"STANDBY"),0),"")</f>
        <v/>
      </c>
      <c r="R55" s="7">
        <f>IFERROR(ROUND(AVERAGEIFS(Datos!$G$2:$G$18911,Datos!$E$2:$E$18911,$A55,Datos!$B$2:$B$18911,16,Datos!$C$2:$C$18911,"&lt;30",Datos!$F$2:$F$18911,"STANDBY"),0),"")</f>
        <v/>
      </c>
      <c r="S55" s="7">
        <f>IFERROR(ROUND(AVERAGEIFS(Datos!$G$2:$G$18911,Datos!$E$2:$E$18911,$A55,Datos!$B$2:$B$18911,16,Datos!$C$2:$C$18911,"&gt;=30",Datos!$F$2:$F$18911,"STANDBY"),0),"")</f>
        <v/>
      </c>
      <c r="T55" s="7">
        <f>IFERROR(ROUND(AVERAGEIFS(Datos!$G$2:$G$18911,Datos!$E$2:$E$18911,$A55,Datos!$B$2:$B$18911,17,Datos!$C$2:$C$18911,"&lt;30",Datos!$F$2:$F$18911,"STANDBY"),0),"")</f>
        <v/>
      </c>
      <c r="U55" s="7">
        <f>IFERROR(ROUND(AVERAGEIFS(Datos!$G$2:$G$18911,Datos!$E$2:$E$18911,$A55,Datos!$B$2:$B$18911,17,Datos!$C$2:$C$18911,"&gt;=30",Datos!$F$2:$F$18911,"STANDBY"),0),"")</f>
        <v/>
      </c>
      <c r="V55" s="7">
        <f>IFERROR(ROUND(AVERAGEIFS(Datos!$G$2:$G$18911,Datos!$E$2:$E$18911,$A55,Datos!$B$2:$B$18911,18,Datos!$C$2:$C$18911,"&lt;30",Datos!$F$2:$F$18911,"STANDBY"),0),"")</f>
        <v/>
      </c>
      <c r="W55" s="7">
        <f>IFERROR(ROUND(AVERAGEIFS(Datos!$G$2:$G$18911,Datos!$E$2:$E$18911,$A55,Datos!$B$2:$B$18911,18,Datos!$C$2:$C$18911,"&gt;=30",Datos!$F$2:$F$18911,"STANDBY"),0),"")</f>
        <v/>
      </c>
      <c r="X55" s="7">
        <f>IFERROR(ROUND(AVERAGEIFS(Datos!$G$2:$G$18911,Datos!$E$2:$E$18911,$A55,Datos!$B$2:$B$18911,19,Datos!$C$2:$C$18911,"&lt;30",Datos!$F$2:$F$18911,"STANDBY"),0),"")</f>
        <v/>
      </c>
      <c r="Y55" s="7">
        <f>IFERROR(ROUND(AVERAGEIFS(Datos!$G$2:$G$18911,Datos!$E$2:$E$18911,$A55,Datos!$B$2:$B$18911,19,Datos!$C$2:$C$18911,"&gt;=30",Datos!$F$2:$F$18911,"STANDBY"),0),"")</f>
        <v/>
      </c>
      <c r="Z55" s="7">
        <f>IFERROR(ROUND(AVERAGEIFS(Datos!$G$2:$G$18911,Datos!$E$2:$E$18911,$A55,Datos!$B$2:$B$18911,20,Datos!$C$2:$C$18911,"&lt;30",Datos!$F$2:$F$18911,"STANDBY"),0),"")</f>
        <v/>
      </c>
      <c r="AA55" s="7">
        <f>IFERROR(ROUND(AVERAGEIFS(Datos!$G$2:$G$18911,Datos!$E$2:$E$18911,$A55,Datos!$B$2:$B$18911,20,Datos!$C$2:$C$18911,"&gt;=30",Datos!$F$2:$F$18911,"STANDBY"),0),"")</f>
        <v/>
      </c>
      <c r="AB55" s="7">
        <f>IFERROR(ROUND(AVERAGEIFS(Datos!$G$2:$G$18911,Datos!$E$2:$E$18911,$A55,Datos!$B$2:$B$18911,21,Datos!$C$2:$C$18911,"&lt;30",Datos!$F$2:$F$18911,"STANDBY"),0),"")</f>
        <v/>
      </c>
      <c r="AC55" s="7">
        <f>IFERROR(ROUND(AVERAGEIFS(Datos!$G$2:$G$18911,Datos!$E$2:$E$18911,$A55,Datos!$B$2:$B$18911,21,Datos!$C$2:$C$18911,"&gt;=30",Datos!$F$2:$F$18911,"STANDBY"),0),"")</f>
        <v/>
      </c>
      <c r="AD55" s="7">
        <f>IFERROR(ROUND(AVERAGEIFS(Datos!$G$2:$G$18911,Datos!$E$2:$E$18911,$A55,Datos!$B$2:$B$18911,22,Datos!$C$2:$C$18911,"&lt;30",Datos!$F$2:$F$18911,"STANDBY"),0),"")</f>
        <v/>
      </c>
      <c r="AE55" s="7">
        <f>IFERROR(ROUND(AVERAGEIFS(Datos!$G$2:$G$18911,Datos!$E$2:$E$18911,$A55,Datos!$B$2:$B$18911,22,Datos!$C$2:$C$18911,"&gt;=30",Datos!$F$2:$F$18911,"STANDBY"),0),"")</f>
        <v/>
      </c>
      <c r="AF55" s="7">
        <f>IFERROR(ROUND(AVERAGEIFS(Datos!$G$2:$G$18911,Datos!$E$2:$E$18911,$A55,Datos!$B$2:$B$18911,23,Datos!$C$2:$C$18911,"&lt;30",Datos!$F$2:$F$18911,"STANDBY"),0),"")</f>
        <v/>
      </c>
      <c r="AG55" s="7">
        <f>IFERROR(ROUND(AVERAGEIFS(Datos!$G$2:$G$18911,Datos!$E$2:$E$18911,$A55,Datos!$B$2:$B$18911,23,Datos!$C$2:$C$18911,"&gt;=30",Datos!$F$2:$F$18911,"STANDBY"),0),"")</f>
        <v/>
      </c>
    </row>
    <row r="56">
      <c r="A56" s="6" t="inlineStr">
        <is>
          <t>Pirates of the Caribbean</t>
        </is>
      </c>
      <c r="B56" s="7">
        <f>IFERROR(ROUND(AVERAGEIFS(Datos!$G$2:$G$18911,Datos!$E$2:$E$18911,$A56,Datos!$B$2:$B$18911,8,Datos!$C$2:$C$18911,"&lt;30",Datos!$F$2:$F$18911,"STANDBY"),0),"")</f>
        <v/>
      </c>
      <c r="C56" s="7">
        <f>IFERROR(ROUND(AVERAGEIFS(Datos!$G$2:$G$18911,Datos!$E$2:$E$18911,$A56,Datos!$B$2:$B$18911,8,Datos!$C$2:$C$18911,"&gt;=30",Datos!$F$2:$F$18911,"STANDBY"),0),"")</f>
        <v/>
      </c>
      <c r="D56" s="7">
        <f>IFERROR(ROUND(AVERAGEIFS(Datos!$G$2:$G$18911,Datos!$E$2:$E$18911,$A56,Datos!$B$2:$B$18911,9,Datos!$C$2:$C$18911,"&lt;30",Datos!$F$2:$F$18911,"STANDBY"),0),"")</f>
        <v/>
      </c>
      <c r="E56" s="7">
        <f>IFERROR(ROUND(AVERAGEIFS(Datos!$G$2:$G$18911,Datos!$E$2:$E$18911,$A56,Datos!$B$2:$B$18911,9,Datos!$C$2:$C$18911,"&gt;=30",Datos!$F$2:$F$18911,"STANDBY"),0),"")</f>
        <v/>
      </c>
      <c r="F56" s="7">
        <f>IFERROR(ROUND(AVERAGEIFS(Datos!$G$2:$G$18911,Datos!$E$2:$E$18911,$A56,Datos!$B$2:$B$18911,10,Datos!$C$2:$C$18911,"&lt;30",Datos!$F$2:$F$18911,"STANDBY"),0),"")</f>
        <v/>
      </c>
      <c r="G56" s="7">
        <f>IFERROR(ROUND(AVERAGEIFS(Datos!$G$2:$G$18911,Datos!$E$2:$E$18911,$A56,Datos!$B$2:$B$18911,10,Datos!$C$2:$C$18911,"&gt;=30",Datos!$F$2:$F$18911,"STANDBY"),0),"")</f>
        <v/>
      </c>
      <c r="H56" s="7">
        <f>IFERROR(ROUND(AVERAGEIFS(Datos!$G$2:$G$18911,Datos!$E$2:$E$18911,$A56,Datos!$B$2:$B$18911,11,Datos!$C$2:$C$18911,"&lt;30",Datos!$F$2:$F$18911,"STANDBY"),0),"")</f>
        <v/>
      </c>
      <c r="I56" s="7">
        <f>IFERROR(ROUND(AVERAGEIFS(Datos!$G$2:$G$18911,Datos!$E$2:$E$18911,$A56,Datos!$B$2:$B$18911,11,Datos!$C$2:$C$18911,"&gt;=30",Datos!$F$2:$F$18911,"STANDBY"),0),"")</f>
        <v/>
      </c>
      <c r="J56" s="7">
        <f>IFERROR(ROUND(AVERAGEIFS(Datos!$G$2:$G$18911,Datos!$E$2:$E$18911,$A56,Datos!$B$2:$B$18911,12,Datos!$C$2:$C$18911,"&lt;30",Datos!$F$2:$F$18911,"STANDBY"),0),"")</f>
        <v/>
      </c>
      <c r="K56" s="7">
        <f>IFERROR(ROUND(AVERAGEIFS(Datos!$G$2:$G$18911,Datos!$E$2:$E$18911,$A56,Datos!$B$2:$B$18911,12,Datos!$C$2:$C$18911,"&gt;=30",Datos!$F$2:$F$18911,"STANDBY"),0),"")</f>
        <v/>
      </c>
      <c r="L56" s="7">
        <f>IFERROR(ROUND(AVERAGEIFS(Datos!$G$2:$G$18911,Datos!$E$2:$E$18911,$A56,Datos!$B$2:$B$18911,13,Datos!$C$2:$C$18911,"&lt;30",Datos!$F$2:$F$18911,"STANDBY"),0),"")</f>
        <v/>
      </c>
      <c r="M56" s="7">
        <f>IFERROR(ROUND(AVERAGEIFS(Datos!$G$2:$G$18911,Datos!$E$2:$E$18911,$A56,Datos!$B$2:$B$18911,13,Datos!$C$2:$C$18911,"&gt;=30",Datos!$F$2:$F$18911,"STANDBY"),0),"")</f>
        <v/>
      </c>
      <c r="N56" s="7">
        <f>IFERROR(ROUND(AVERAGEIFS(Datos!$G$2:$G$18911,Datos!$E$2:$E$18911,$A56,Datos!$B$2:$B$18911,14,Datos!$C$2:$C$18911,"&lt;30",Datos!$F$2:$F$18911,"STANDBY"),0),"")</f>
        <v/>
      </c>
      <c r="O56" s="7">
        <f>IFERROR(ROUND(AVERAGEIFS(Datos!$G$2:$G$18911,Datos!$E$2:$E$18911,$A56,Datos!$B$2:$B$18911,14,Datos!$C$2:$C$18911,"&gt;=30",Datos!$F$2:$F$18911,"STANDBY"),0),"")</f>
        <v/>
      </c>
      <c r="P56" s="7">
        <f>IFERROR(ROUND(AVERAGEIFS(Datos!$G$2:$G$18911,Datos!$E$2:$E$18911,$A56,Datos!$B$2:$B$18911,15,Datos!$C$2:$C$18911,"&lt;30",Datos!$F$2:$F$18911,"STANDBY"),0),"")</f>
        <v/>
      </c>
      <c r="Q56" s="7">
        <f>IFERROR(ROUND(AVERAGEIFS(Datos!$G$2:$G$18911,Datos!$E$2:$E$18911,$A56,Datos!$B$2:$B$18911,15,Datos!$C$2:$C$18911,"&gt;=30",Datos!$F$2:$F$18911,"STANDBY"),0),"")</f>
        <v/>
      </c>
      <c r="R56" s="7">
        <f>IFERROR(ROUND(AVERAGEIFS(Datos!$G$2:$G$18911,Datos!$E$2:$E$18911,$A56,Datos!$B$2:$B$18911,16,Datos!$C$2:$C$18911,"&lt;30",Datos!$F$2:$F$18911,"STANDBY"),0),"")</f>
        <v/>
      </c>
      <c r="S56" s="7">
        <f>IFERROR(ROUND(AVERAGEIFS(Datos!$G$2:$G$18911,Datos!$E$2:$E$18911,$A56,Datos!$B$2:$B$18911,16,Datos!$C$2:$C$18911,"&gt;=30",Datos!$F$2:$F$18911,"STANDBY"),0),"")</f>
        <v/>
      </c>
      <c r="T56" s="7">
        <f>IFERROR(ROUND(AVERAGEIFS(Datos!$G$2:$G$18911,Datos!$E$2:$E$18911,$A56,Datos!$B$2:$B$18911,17,Datos!$C$2:$C$18911,"&lt;30",Datos!$F$2:$F$18911,"STANDBY"),0),"")</f>
        <v/>
      </c>
      <c r="U56" s="7">
        <f>IFERROR(ROUND(AVERAGEIFS(Datos!$G$2:$G$18911,Datos!$E$2:$E$18911,$A56,Datos!$B$2:$B$18911,17,Datos!$C$2:$C$18911,"&gt;=30",Datos!$F$2:$F$18911,"STANDBY"),0),"")</f>
        <v/>
      </c>
      <c r="V56" s="7">
        <f>IFERROR(ROUND(AVERAGEIFS(Datos!$G$2:$G$18911,Datos!$E$2:$E$18911,$A56,Datos!$B$2:$B$18911,18,Datos!$C$2:$C$18911,"&lt;30",Datos!$F$2:$F$18911,"STANDBY"),0),"")</f>
        <v/>
      </c>
      <c r="W56" s="7">
        <f>IFERROR(ROUND(AVERAGEIFS(Datos!$G$2:$G$18911,Datos!$E$2:$E$18911,$A56,Datos!$B$2:$B$18911,18,Datos!$C$2:$C$18911,"&gt;=30",Datos!$F$2:$F$18911,"STANDBY"),0),"")</f>
        <v/>
      </c>
      <c r="X56" s="7">
        <f>IFERROR(ROUND(AVERAGEIFS(Datos!$G$2:$G$18911,Datos!$E$2:$E$18911,$A56,Datos!$B$2:$B$18911,19,Datos!$C$2:$C$18911,"&lt;30",Datos!$F$2:$F$18911,"STANDBY"),0),"")</f>
        <v/>
      </c>
      <c r="Y56" s="7">
        <f>IFERROR(ROUND(AVERAGEIFS(Datos!$G$2:$G$18911,Datos!$E$2:$E$18911,$A56,Datos!$B$2:$B$18911,19,Datos!$C$2:$C$18911,"&gt;=30",Datos!$F$2:$F$18911,"STANDBY"),0),"")</f>
        <v/>
      </c>
      <c r="Z56" s="7">
        <f>IFERROR(ROUND(AVERAGEIFS(Datos!$G$2:$G$18911,Datos!$E$2:$E$18911,$A56,Datos!$B$2:$B$18911,20,Datos!$C$2:$C$18911,"&lt;30",Datos!$F$2:$F$18911,"STANDBY"),0),"")</f>
        <v/>
      </c>
      <c r="AA56" s="7">
        <f>IFERROR(ROUND(AVERAGEIFS(Datos!$G$2:$G$18911,Datos!$E$2:$E$18911,$A56,Datos!$B$2:$B$18911,20,Datos!$C$2:$C$18911,"&gt;=30",Datos!$F$2:$F$18911,"STANDBY"),0),"")</f>
        <v/>
      </c>
      <c r="AB56" s="7">
        <f>IFERROR(ROUND(AVERAGEIFS(Datos!$G$2:$G$18911,Datos!$E$2:$E$18911,$A56,Datos!$B$2:$B$18911,21,Datos!$C$2:$C$18911,"&lt;30",Datos!$F$2:$F$18911,"STANDBY"),0),"")</f>
        <v/>
      </c>
      <c r="AC56" s="7">
        <f>IFERROR(ROUND(AVERAGEIFS(Datos!$G$2:$G$18911,Datos!$E$2:$E$18911,$A56,Datos!$B$2:$B$18911,21,Datos!$C$2:$C$18911,"&gt;=30",Datos!$F$2:$F$18911,"STANDBY"),0),"")</f>
        <v/>
      </c>
      <c r="AD56" s="7">
        <f>IFERROR(ROUND(AVERAGEIFS(Datos!$G$2:$G$18911,Datos!$E$2:$E$18911,$A56,Datos!$B$2:$B$18911,22,Datos!$C$2:$C$18911,"&lt;30",Datos!$F$2:$F$18911,"STANDBY"),0),"")</f>
        <v/>
      </c>
      <c r="AE56" s="7">
        <f>IFERROR(ROUND(AVERAGEIFS(Datos!$G$2:$G$18911,Datos!$E$2:$E$18911,$A56,Datos!$B$2:$B$18911,22,Datos!$C$2:$C$18911,"&gt;=30",Datos!$F$2:$F$18911,"STANDBY"),0),"")</f>
        <v/>
      </c>
      <c r="AF56" s="7">
        <f>IFERROR(ROUND(AVERAGEIFS(Datos!$G$2:$G$18911,Datos!$E$2:$E$18911,$A56,Datos!$B$2:$B$18911,23,Datos!$C$2:$C$18911,"&lt;30",Datos!$F$2:$F$18911,"STANDBY"),0),"")</f>
        <v/>
      </c>
      <c r="AG56" s="7">
        <f>IFERROR(ROUND(AVERAGEIFS(Datos!$G$2:$G$18911,Datos!$E$2:$E$18911,$A56,Datos!$B$2:$B$18911,23,Datos!$C$2:$C$18911,"&gt;=30",Datos!$F$2:$F$18911,"STANDBY"),0),"")</f>
        <v/>
      </c>
    </row>
    <row r="57">
      <c r="A57" s="6" t="inlineStr">
        <is>
          <t>Pirates' Beach</t>
        </is>
      </c>
      <c r="B57" s="7">
        <f>IFERROR(ROUND(AVERAGEIFS(Datos!$G$2:$G$18911,Datos!$E$2:$E$18911,$A57,Datos!$B$2:$B$18911,8,Datos!$C$2:$C$18911,"&lt;30",Datos!$F$2:$F$18911,"STANDBY"),0),"")</f>
        <v/>
      </c>
      <c r="C57" s="7">
        <f>IFERROR(ROUND(AVERAGEIFS(Datos!$G$2:$G$18911,Datos!$E$2:$E$18911,$A57,Datos!$B$2:$B$18911,8,Datos!$C$2:$C$18911,"&gt;=30",Datos!$F$2:$F$18911,"STANDBY"),0),"")</f>
        <v/>
      </c>
      <c r="D57" s="7">
        <f>IFERROR(ROUND(AVERAGEIFS(Datos!$G$2:$G$18911,Datos!$E$2:$E$18911,$A57,Datos!$B$2:$B$18911,9,Datos!$C$2:$C$18911,"&lt;30",Datos!$F$2:$F$18911,"STANDBY"),0),"")</f>
        <v/>
      </c>
      <c r="E57" s="7">
        <f>IFERROR(ROUND(AVERAGEIFS(Datos!$G$2:$G$18911,Datos!$E$2:$E$18911,$A57,Datos!$B$2:$B$18911,9,Datos!$C$2:$C$18911,"&gt;=30",Datos!$F$2:$F$18911,"STANDBY"),0),"")</f>
        <v/>
      </c>
      <c r="F57" s="7">
        <f>IFERROR(ROUND(AVERAGEIFS(Datos!$G$2:$G$18911,Datos!$E$2:$E$18911,$A57,Datos!$B$2:$B$18911,10,Datos!$C$2:$C$18911,"&lt;30",Datos!$F$2:$F$18911,"STANDBY"),0),"")</f>
        <v/>
      </c>
      <c r="G57" s="7">
        <f>IFERROR(ROUND(AVERAGEIFS(Datos!$G$2:$G$18911,Datos!$E$2:$E$18911,$A57,Datos!$B$2:$B$18911,10,Datos!$C$2:$C$18911,"&gt;=30",Datos!$F$2:$F$18911,"STANDBY"),0),"")</f>
        <v/>
      </c>
      <c r="H57" s="7">
        <f>IFERROR(ROUND(AVERAGEIFS(Datos!$G$2:$G$18911,Datos!$E$2:$E$18911,$A57,Datos!$B$2:$B$18911,11,Datos!$C$2:$C$18911,"&lt;30",Datos!$F$2:$F$18911,"STANDBY"),0),"")</f>
        <v/>
      </c>
      <c r="I57" s="7">
        <f>IFERROR(ROUND(AVERAGEIFS(Datos!$G$2:$G$18911,Datos!$E$2:$E$18911,$A57,Datos!$B$2:$B$18911,11,Datos!$C$2:$C$18911,"&gt;=30",Datos!$F$2:$F$18911,"STANDBY"),0),"")</f>
        <v/>
      </c>
      <c r="J57" s="7">
        <f>IFERROR(ROUND(AVERAGEIFS(Datos!$G$2:$G$18911,Datos!$E$2:$E$18911,$A57,Datos!$B$2:$B$18911,12,Datos!$C$2:$C$18911,"&lt;30",Datos!$F$2:$F$18911,"STANDBY"),0),"")</f>
        <v/>
      </c>
      <c r="K57" s="7">
        <f>IFERROR(ROUND(AVERAGEIFS(Datos!$G$2:$G$18911,Datos!$E$2:$E$18911,$A57,Datos!$B$2:$B$18911,12,Datos!$C$2:$C$18911,"&gt;=30",Datos!$F$2:$F$18911,"STANDBY"),0),"")</f>
        <v/>
      </c>
      <c r="L57" s="7">
        <f>IFERROR(ROUND(AVERAGEIFS(Datos!$G$2:$G$18911,Datos!$E$2:$E$18911,$A57,Datos!$B$2:$B$18911,13,Datos!$C$2:$C$18911,"&lt;30",Datos!$F$2:$F$18911,"STANDBY"),0),"")</f>
        <v/>
      </c>
      <c r="M57" s="7">
        <f>IFERROR(ROUND(AVERAGEIFS(Datos!$G$2:$G$18911,Datos!$E$2:$E$18911,$A57,Datos!$B$2:$B$18911,13,Datos!$C$2:$C$18911,"&gt;=30",Datos!$F$2:$F$18911,"STANDBY"),0),"")</f>
        <v/>
      </c>
      <c r="N57" s="7">
        <f>IFERROR(ROUND(AVERAGEIFS(Datos!$G$2:$G$18911,Datos!$E$2:$E$18911,$A57,Datos!$B$2:$B$18911,14,Datos!$C$2:$C$18911,"&lt;30",Datos!$F$2:$F$18911,"STANDBY"),0),"")</f>
        <v/>
      </c>
      <c r="O57" s="7">
        <f>IFERROR(ROUND(AVERAGEIFS(Datos!$G$2:$G$18911,Datos!$E$2:$E$18911,$A57,Datos!$B$2:$B$18911,14,Datos!$C$2:$C$18911,"&gt;=30",Datos!$F$2:$F$18911,"STANDBY"),0),"")</f>
        <v/>
      </c>
      <c r="P57" s="7">
        <f>IFERROR(ROUND(AVERAGEIFS(Datos!$G$2:$G$18911,Datos!$E$2:$E$18911,$A57,Datos!$B$2:$B$18911,15,Datos!$C$2:$C$18911,"&lt;30",Datos!$F$2:$F$18911,"STANDBY"),0),"")</f>
        <v/>
      </c>
      <c r="Q57" s="7">
        <f>IFERROR(ROUND(AVERAGEIFS(Datos!$G$2:$G$18911,Datos!$E$2:$E$18911,$A57,Datos!$B$2:$B$18911,15,Datos!$C$2:$C$18911,"&gt;=30",Datos!$F$2:$F$18911,"STANDBY"),0),"")</f>
        <v/>
      </c>
      <c r="R57" s="7">
        <f>IFERROR(ROUND(AVERAGEIFS(Datos!$G$2:$G$18911,Datos!$E$2:$E$18911,$A57,Datos!$B$2:$B$18911,16,Datos!$C$2:$C$18911,"&lt;30",Datos!$F$2:$F$18911,"STANDBY"),0),"")</f>
        <v/>
      </c>
      <c r="S57" s="7">
        <f>IFERROR(ROUND(AVERAGEIFS(Datos!$G$2:$G$18911,Datos!$E$2:$E$18911,$A57,Datos!$B$2:$B$18911,16,Datos!$C$2:$C$18911,"&gt;=30",Datos!$F$2:$F$18911,"STANDBY"),0),"")</f>
        <v/>
      </c>
      <c r="T57" s="7">
        <f>IFERROR(ROUND(AVERAGEIFS(Datos!$G$2:$G$18911,Datos!$E$2:$E$18911,$A57,Datos!$B$2:$B$18911,17,Datos!$C$2:$C$18911,"&lt;30",Datos!$F$2:$F$18911,"STANDBY"),0),"")</f>
        <v/>
      </c>
      <c r="U57" s="7">
        <f>IFERROR(ROUND(AVERAGEIFS(Datos!$G$2:$G$18911,Datos!$E$2:$E$18911,$A57,Datos!$B$2:$B$18911,17,Datos!$C$2:$C$18911,"&gt;=30",Datos!$F$2:$F$18911,"STANDBY"),0),"")</f>
        <v/>
      </c>
      <c r="V57" s="7">
        <f>IFERROR(ROUND(AVERAGEIFS(Datos!$G$2:$G$18911,Datos!$E$2:$E$18911,$A57,Datos!$B$2:$B$18911,18,Datos!$C$2:$C$18911,"&lt;30",Datos!$F$2:$F$18911,"STANDBY"),0),"")</f>
        <v/>
      </c>
      <c r="W57" s="7">
        <f>IFERROR(ROUND(AVERAGEIFS(Datos!$G$2:$G$18911,Datos!$E$2:$E$18911,$A57,Datos!$B$2:$B$18911,18,Datos!$C$2:$C$18911,"&gt;=30",Datos!$F$2:$F$18911,"STANDBY"),0),"")</f>
        <v/>
      </c>
      <c r="X57" s="7">
        <f>IFERROR(ROUND(AVERAGEIFS(Datos!$G$2:$G$18911,Datos!$E$2:$E$18911,$A57,Datos!$B$2:$B$18911,19,Datos!$C$2:$C$18911,"&lt;30",Datos!$F$2:$F$18911,"STANDBY"),0),"")</f>
        <v/>
      </c>
      <c r="Y57" s="7">
        <f>IFERROR(ROUND(AVERAGEIFS(Datos!$G$2:$G$18911,Datos!$E$2:$E$18911,$A57,Datos!$B$2:$B$18911,19,Datos!$C$2:$C$18911,"&gt;=30",Datos!$F$2:$F$18911,"STANDBY"),0),"")</f>
        <v/>
      </c>
      <c r="Z57" s="7">
        <f>IFERROR(ROUND(AVERAGEIFS(Datos!$G$2:$G$18911,Datos!$E$2:$E$18911,$A57,Datos!$B$2:$B$18911,20,Datos!$C$2:$C$18911,"&lt;30",Datos!$F$2:$F$18911,"STANDBY"),0),"")</f>
        <v/>
      </c>
      <c r="AA57" s="7">
        <f>IFERROR(ROUND(AVERAGEIFS(Datos!$G$2:$G$18911,Datos!$E$2:$E$18911,$A57,Datos!$B$2:$B$18911,20,Datos!$C$2:$C$18911,"&gt;=30",Datos!$F$2:$F$18911,"STANDBY"),0),"")</f>
        <v/>
      </c>
      <c r="AB57" s="7">
        <f>IFERROR(ROUND(AVERAGEIFS(Datos!$G$2:$G$18911,Datos!$E$2:$E$18911,$A57,Datos!$B$2:$B$18911,21,Datos!$C$2:$C$18911,"&lt;30",Datos!$F$2:$F$18911,"STANDBY"),0),"")</f>
        <v/>
      </c>
      <c r="AC57" s="7">
        <f>IFERROR(ROUND(AVERAGEIFS(Datos!$G$2:$G$18911,Datos!$E$2:$E$18911,$A57,Datos!$B$2:$B$18911,21,Datos!$C$2:$C$18911,"&gt;=30",Datos!$F$2:$F$18911,"STANDBY"),0),"")</f>
        <v/>
      </c>
      <c r="AD57" s="7">
        <f>IFERROR(ROUND(AVERAGEIFS(Datos!$G$2:$G$18911,Datos!$E$2:$E$18911,$A57,Datos!$B$2:$B$18911,22,Datos!$C$2:$C$18911,"&lt;30",Datos!$F$2:$F$18911,"STANDBY"),0),"")</f>
        <v/>
      </c>
      <c r="AE57" s="7">
        <f>IFERROR(ROUND(AVERAGEIFS(Datos!$G$2:$G$18911,Datos!$E$2:$E$18911,$A57,Datos!$B$2:$B$18911,22,Datos!$C$2:$C$18911,"&gt;=30",Datos!$F$2:$F$18911,"STANDBY"),0),"")</f>
        <v/>
      </c>
      <c r="AF57" s="7">
        <f>IFERROR(ROUND(AVERAGEIFS(Datos!$G$2:$G$18911,Datos!$E$2:$E$18911,$A57,Datos!$B$2:$B$18911,23,Datos!$C$2:$C$18911,"&lt;30",Datos!$F$2:$F$18911,"STANDBY"),0),"")</f>
        <v/>
      </c>
      <c r="AG57" s="7">
        <f>IFERROR(ROUND(AVERAGEIFS(Datos!$G$2:$G$18911,Datos!$E$2:$E$18911,$A57,Datos!$B$2:$B$18911,23,Datos!$C$2:$C$18911,"&gt;=30",Datos!$F$2:$F$18911,"STANDBY"),0),"")</f>
        <v/>
      </c>
    </row>
    <row r="58">
      <c r="A58" s="6" t="inlineStr">
        <is>
          <t>Princess Pavilion</t>
        </is>
      </c>
      <c r="B58" s="7">
        <f>IFERROR(ROUND(AVERAGEIFS(Datos!$G$2:$G$18911,Datos!$E$2:$E$18911,$A58,Datos!$B$2:$B$18911,8,Datos!$C$2:$C$18911,"&lt;30",Datos!$F$2:$F$18911,"STANDBY"),0),"")</f>
        <v/>
      </c>
      <c r="C58" s="7">
        <f>IFERROR(ROUND(AVERAGEIFS(Datos!$G$2:$G$18911,Datos!$E$2:$E$18911,$A58,Datos!$B$2:$B$18911,8,Datos!$C$2:$C$18911,"&gt;=30",Datos!$F$2:$F$18911,"STANDBY"),0),"")</f>
        <v/>
      </c>
      <c r="D58" s="7">
        <f>IFERROR(ROUND(AVERAGEIFS(Datos!$G$2:$G$18911,Datos!$E$2:$E$18911,$A58,Datos!$B$2:$B$18911,9,Datos!$C$2:$C$18911,"&lt;30",Datos!$F$2:$F$18911,"STANDBY"),0),"")</f>
        <v/>
      </c>
      <c r="E58" s="7">
        <f>IFERROR(ROUND(AVERAGEIFS(Datos!$G$2:$G$18911,Datos!$E$2:$E$18911,$A58,Datos!$B$2:$B$18911,9,Datos!$C$2:$C$18911,"&gt;=30",Datos!$F$2:$F$18911,"STANDBY"),0),"")</f>
        <v/>
      </c>
      <c r="F58" s="7">
        <f>IFERROR(ROUND(AVERAGEIFS(Datos!$G$2:$G$18911,Datos!$E$2:$E$18911,$A58,Datos!$B$2:$B$18911,10,Datos!$C$2:$C$18911,"&lt;30",Datos!$F$2:$F$18911,"STANDBY"),0),"")</f>
        <v/>
      </c>
      <c r="G58" s="7">
        <f>IFERROR(ROUND(AVERAGEIFS(Datos!$G$2:$G$18911,Datos!$E$2:$E$18911,$A58,Datos!$B$2:$B$18911,10,Datos!$C$2:$C$18911,"&gt;=30",Datos!$F$2:$F$18911,"STANDBY"),0),"")</f>
        <v/>
      </c>
      <c r="H58" s="7">
        <f>IFERROR(ROUND(AVERAGEIFS(Datos!$G$2:$G$18911,Datos!$E$2:$E$18911,$A58,Datos!$B$2:$B$18911,11,Datos!$C$2:$C$18911,"&lt;30",Datos!$F$2:$F$18911,"STANDBY"),0),"")</f>
        <v/>
      </c>
      <c r="I58" s="7">
        <f>IFERROR(ROUND(AVERAGEIFS(Datos!$G$2:$G$18911,Datos!$E$2:$E$18911,$A58,Datos!$B$2:$B$18911,11,Datos!$C$2:$C$18911,"&gt;=30",Datos!$F$2:$F$18911,"STANDBY"),0),"")</f>
        <v/>
      </c>
      <c r="J58" s="7">
        <f>IFERROR(ROUND(AVERAGEIFS(Datos!$G$2:$G$18911,Datos!$E$2:$E$18911,$A58,Datos!$B$2:$B$18911,12,Datos!$C$2:$C$18911,"&lt;30",Datos!$F$2:$F$18911,"STANDBY"),0),"")</f>
        <v/>
      </c>
      <c r="K58" s="7">
        <f>IFERROR(ROUND(AVERAGEIFS(Datos!$G$2:$G$18911,Datos!$E$2:$E$18911,$A58,Datos!$B$2:$B$18911,12,Datos!$C$2:$C$18911,"&gt;=30",Datos!$F$2:$F$18911,"STANDBY"),0),"")</f>
        <v/>
      </c>
      <c r="L58" s="7">
        <f>IFERROR(ROUND(AVERAGEIFS(Datos!$G$2:$G$18911,Datos!$E$2:$E$18911,$A58,Datos!$B$2:$B$18911,13,Datos!$C$2:$C$18911,"&lt;30",Datos!$F$2:$F$18911,"STANDBY"),0),"")</f>
        <v/>
      </c>
      <c r="M58" s="7">
        <f>IFERROR(ROUND(AVERAGEIFS(Datos!$G$2:$G$18911,Datos!$E$2:$E$18911,$A58,Datos!$B$2:$B$18911,13,Datos!$C$2:$C$18911,"&gt;=30",Datos!$F$2:$F$18911,"STANDBY"),0),"")</f>
        <v/>
      </c>
      <c r="N58" s="7">
        <f>IFERROR(ROUND(AVERAGEIFS(Datos!$G$2:$G$18911,Datos!$E$2:$E$18911,$A58,Datos!$B$2:$B$18911,14,Datos!$C$2:$C$18911,"&lt;30",Datos!$F$2:$F$18911,"STANDBY"),0),"")</f>
        <v/>
      </c>
      <c r="O58" s="7">
        <f>IFERROR(ROUND(AVERAGEIFS(Datos!$G$2:$G$18911,Datos!$E$2:$E$18911,$A58,Datos!$B$2:$B$18911,14,Datos!$C$2:$C$18911,"&gt;=30",Datos!$F$2:$F$18911,"STANDBY"),0),"")</f>
        <v/>
      </c>
      <c r="P58" s="7">
        <f>IFERROR(ROUND(AVERAGEIFS(Datos!$G$2:$G$18911,Datos!$E$2:$E$18911,$A58,Datos!$B$2:$B$18911,15,Datos!$C$2:$C$18911,"&lt;30",Datos!$F$2:$F$18911,"STANDBY"),0),"")</f>
        <v/>
      </c>
      <c r="Q58" s="7">
        <f>IFERROR(ROUND(AVERAGEIFS(Datos!$G$2:$G$18911,Datos!$E$2:$E$18911,$A58,Datos!$B$2:$B$18911,15,Datos!$C$2:$C$18911,"&gt;=30",Datos!$F$2:$F$18911,"STANDBY"),0),"")</f>
        <v/>
      </c>
      <c r="R58" s="7">
        <f>IFERROR(ROUND(AVERAGEIFS(Datos!$G$2:$G$18911,Datos!$E$2:$E$18911,$A58,Datos!$B$2:$B$18911,16,Datos!$C$2:$C$18911,"&lt;30",Datos!$F$2:$F$18911,"STANDBY"),0),"")</f>
        <v/>
      </c>
      <c r="S58" s="7">
        <f>IFERROR(ROUND(AVERAGEIFS(Datos!$G$2:$G$18911,Datos!$E$2:$E$18911,$A58,Datos!$B$2:$B$18911,16,Datos!$C$2:$C$18911,"&gt;=30",Datos!$F$2:$F$18911,"STANDBY"),0),"")</f>
        <v/>
      </c>
      <c r="T58" s="7">
        <f>IFERROR(ROUND(AVERAGEIFS(Datos!$G$2:$G$18911,Datos!$E$2:$E$18911,$A58,Datos!$B$2:$B$18911,17,Datos!$C$2:$C$18911,"&lt;30",Datos!$F$2:$F$18911,"STANDBY"),0),"")</f>
        <v/>
      </c>
      <c r="U58" s="7">
        <f>IFERROR(ROUND(AVERAGEIFS(Datos!$G$2:$G$18911,Datos!$E$2:$E$18911,$A58,Datos!$B$2:$B$18911,17,Datos!$C$2:$C$18911,"&gt;=30",Datos!$F$2:$F$18911,"STANDBY"),0),"")</f>
        <v/>
      </c>
      <c r="V58" s="7">
        <f>IFERROR(ROUND(AVERAGEIFS(Datos!$G$2:$G$18911,Datos!$E$2:$E$18911,$A58,Datos!$B$2:$B$18911,18,Datos!$C$2:$C$18911,"&lt;30",Datos!$F$2:$F$18911,"STANDBY"),0),"")</f>
        <v/>
      </c>
      <c r="W58" s="7">
        <f>IFERROR(ROUND(AVERAGEIFS(Datos!$G$2:$G$18911,Datos!$E$2:$E$18911,$A58,Datos!$B$2:$B$18911,18,Datos!$C$2:$C$18911,"&gt;=30",Datos!$F$2:$F$18911,"STANDBY"),0),"")</f>
        <v/>
      </c>
      <c r="X58" s="7">
        <f>IFERROR(ROUND(AVERAGEIFS(Datos!$G$2:$G$18911,Datos!$E$2:$E$18911,$A58,Datos!$B$2:$B$18911,19,Datos!$C$2:$C$18911,"&lt;30",Datos!$F$2:$F$18911,"STANDBY"),0),"")</f>
        <v/>
      </c>
      <c r="Y58" s="7">
        <f>IFERROR(ROUND(AVERAGEIFS(Datos!$G$2:$G$18911,Datos!$E$2:$E$18911,$A58,Datos!$B$2:$B$18911,19,Datos!$C$2:$C$18911,"&gt;=30",Datos!$F$2:$F$18911,"STANDBY"),0),"")</f>
        <v/>
      </c>
      <c r="Z58" s="7">
        <f>IFERROR(ROUND(AVERAGEIFS(Datos!$G$2:$G$18911,Datos!$E$2:$E$18911,$A58,Datos!$B$2:$B$18911,20,Datos!$C$2:$C$18911,"&lt;30",Datos!$F$2:$F$18911,"STANDBY"),0),"")</f>
        <v/>
      </c>
      <c r="AA58" s="7">
        <f>IFERROR(ROUND(AVERAGEIFS(Datos!$G$2:$G$18911,Datos!$E$2:$E$18911,$A58,Datos!$B$2:$B$18911,20,Datos!$C$2:$C$18911,"&gt;=30",Datos!$F$2:$F$18911,"STANDBY"),0),"")</f>
        <v/>
      </c>
      <c r="AB58" s="7">
        <f>IFERROR(ROUND(AVERAGEIFS(Datos!$G$2:$G$18911,Datos!$E$2:$E$18911,$A58,Datos!$B$2:$B$18911,21,Datos!$C$2:$C$18911,"&lt;30",Datos!$F$2:$F$18911,"STANDBY"),0),"")</f>
        <v/>
      </c>
      <c r="AC58" s="7">
        <f>IFERROR(ROUND(AVERAGEIFS(Datos!$G$2:$G$18911,Datos!$E$2:$E$18911,$A58,Datos!$B$2:$B$18911,21,Datos!$C$2:$C$18911,"&gt;=30",Datos!$F$2:$F$18911,"STANDBY"),0),"")</f>
        <v/>
      </c>
      <c r="AD58" s="7">
        <f>IFERROR(ROUND(AVERAGEIFS(Datos!$G$2:$G$18911,Datos!$E$2:$E$18911,$A58,Datos!$B$2:$B$18911,22,Datos!$C$2:$C$18911,"&lt;30",Datos!$F$2:$F$18911,"STANDBY"),0),"")</f>
        <v/>
      </c>
      <c r="AE58" s="7">
        <f>IFERROR(ROUND(AVERAGEIFS(Datos!$G$2:$G$18911,Datos!$E$2:$E$18911,$A58,Datos!$B$2:$B$18911,22,Datos!$C$2:$C$18911,"&gt;=30",Datos!$F$2:$F$18911,"STANDBY"),0),"")</f>
        <v/>
      </c>
      <c r="AF58" s="7">
        <f>IFERROR(ROUND(AVERAGEIFS(Datos!$G$2:$G$18911,Datos!$E$2:$E$18911,$A58,Datos!$B$2:$B$18911,23,Datos!$C$2:$C$18911,"&lt;30",Datos!$F$2:$F$18911,"STANDBY"),0),"")</f>
        <v/>
      </c>
      <c r="AG58" s="7">
        <f>IFERROR(ROUND(AVERAGEIFS(Datos!$G$2:$G$18911,Datos!$E$2:$E$18911,$A58,Datos!$B$2:$B$18911,23,Datos!$C$2:$C$18911,"&gt;=30",Datos!$F$2:$F$18911,"STANDBY"),0),"")</f>
        <v/>
      </c>
    </row>
    <row r="59">
      <c r="A59" s="6" t="inlineStr">
        <is>
          <t>River Rogue Keelboats</t>
        </is>
      </c>
      <c r="B59" s="7">
        <f>IFERROR(ROUND(AVERAGEIFS(Datos!$G$2:$G$18911,Datos!$E$2:$E$18911,$A59,Datos!$B$2:$B$18911,8,Datos!$C$2:$C$18911,"&lt;30",Datos!$F$2:$F$18911,"STANDBY"),0),"")</f>
        <v/>
      </c>
      <c r="C59" s="7">
        <f>IFERROR(ROUND(AVERAGEIFS(Datos!$G$2:$G$18911,Datos!$E$2:$E$18911,$A59,Datos!$B$2:$B$18911,8,Datos!$C$2:$C$18911,"&gt;=30",Datos!$F$2:$F$18911,"STANDBY"),0),"")</f>
        <v/>
      </c>
      <c r="D59" s="7">
        <f>IFERROR(ROUND(AVERAGEIFS(Datos!$G$2:$G$18911,Datos!$E$2:$E$18911,$A59,Datos!$B$2:$B$18911,9,Datos!$C$2:$C$18911,"&lt;30",Datos!$F$2:$F$18911,"STANDBY"),0),"")</f>
        <v/>
      </c>
      <c r="E59" s="7">
        <f>IFERROR(ROUND(AVERAGEIFS(Datos!$G$2:$G$18911,Datos!$E$2:$E$18911,$A59,Datos!$B$2:$B$18911,9,Datos!$C$2:$C$18911,"&gt;=30",Datos!$F$2:$F$18911,"STANDBY"),0),"")</f>
        <v/>
      </c>
      <c r="F59" s="7">
        <f>IFERROR(ROUND(AVERAGEIFS(Datos!$G$2:$G$18911,Datos!$E$2:$E$18911,$A59,Datos!$B$2:$B$18911,10,Datos!$C$2:$C$18911,"&lt;30",Datos!$F$2:$F$18911,"STANDBY"),0),"")</f>
        <v/>
      </c>
      <c r="G59" s="7">
        <f>IFERROR(ROUND(AVERAGEIFS(Datos!$G$2:$G$18911,Datos!$E$2:$E$18911,$A59,Datos!$B$2:$B$18911,10,Datos!$C$2:$C$18911,"&gt;=30",Datos!$F$2:$F$18911,"STANDBY"),0),"")</f>
        <v/>
      </c>
      <c r="H59" s="7">
        <f>IFERROR(ROUND(AVERAGEIFS(Datos!$G$2:$G$18911,Datos!$E$2:$E$18911,$A59,Datos!$B$2:$B$18911,11,Datos!$C$2:$C$18911,"&lt;30",Datos!$F$2:$F$18911,"STANDBY"),0),"")</f>
        <v/>
      </c>
      <c r="I59" s="7">
        <f>IFERROR(ROUND(AVERAGEIFS(Datos!$G$2:$G$18911,Datos!$E$2:$E$18911,$A59,Datos!$B$2:$B$18911,11,Datos!$C$2:$C$18911,"&gt;=30",Datos!$F$2:$F$18911,"STANDBY"),0),"")</f>
        <v/>
      </c>
      <c r="J59" s="7">
        <f>IFERROR(ROUND(AVERAGEIFS(Datos!$G$2:$G$18911,Datos!$E$2:$E$18911,$A59,Datos!$B$2:$B$18911,12,Datos!$C$2:$C$18911,"&lt;30",Datos!$F$2:$F$18911,"STANDBY"),0),"")</f>
        <v/>
      </c>
      <c r="K59" s="7">
        <f>IFERROR(ROUND(AVERAGEIFS(Datos!$G$2:$G$18911,Datos!$E$2:$E$18911,$A59,Datos!$B$2:$B$18911,12,Datos!$C$2:$C$18911,"&gt;=30",Datos!$F$2:$F$18911,"STANDBY"),0),"")</f>
        <v/>
      </c>
      <c r="L59" s="7">
        <f>IFERROR(ROUND(AVERAGEIFS(Datos!$G$2:$G$18911,Datos!$E$2:$E$18911,$A59,Datos!$B$2:$B$18911,13,Datos!$C$2:$C$18911,"&lt;30",Datos!$F$2:$F$18911,"STANDBY"),0),"")</f>
        <v/>
      </c>
      <c r="M59" s="7">
        <f>IFERROR(ROUND(AVERAGEIFS(Datos!$G$2:$G$18911,Datos!$E$2:$E$18911,$A59,Datos!$B$2:$B$18911,13,Datos!$C$2:$C$18911,"&gt;=30",Datos!$F$2:$F$18911,"STANDBY"),0),"")</f>
        <v/>
      </c>
      <c r="N59" s="7">
        <f>IFERROR(ROUND(AVERAGEIFS(Datos!$G$2:$G$18911,Datos!$E$2:$E$18911,$A59,Datos!$B$2:$B$18911,14,Datos!$C$2:$C$18911,"&lt;30",Datos!$F$2:$F$18911,"STANDBY"),0),"")</f>
        <v/>
      </c>
      <c r="O59" s="7">
        <f>IFERROR(ROUND(AVERAGEIFS(Datos!$G$2:$G$18911,Datos!$E$2:$E$18911,$A59,Datos!$B$2:$B$18911,14,Datos!$C$2:$C$18911,"&gt;=30",Datos!$F$2:$F$18911,"STANDBY"),0),"")</f>
        <v/>
      </c>
      <c r="P59" s="7">
        <f>IFERROR(ROUND(AVERAGEIFS(Datos!$G$2:$G$18911,Datos!$E$2:$E$18911,$A59,Datos!$B$2:$B$18911,15,Datos!$C$2:$C$18911,"&lt;30",Datos!$F$2:$F$18911,"STANDBY"),0),"")</f>
        <v/>
      </c>
      <c r="Q59" s="7">
        <f>IFERROR(ROUND(AVERAGEIFS(Datos!$G$2:$G$18911,Datos!$E$2:$E$18911,$A59,Datos!$B$2:$B$18911,15,Datos!$C$2:$C$18911,"&gt;=30",Datos!$F$2:$F$18911,"STANDBY"),0),"")</f>
        <v/>
      </c>
      <c r="R59" s="7">
        <f>IFERROR(ROUND(AVERAGEIFS(Datos!$G$2:$G$18911,Datos!$E$2:$E$18911,$A59,Datos!$B$2:$B$18911,16,Datos!$C$2:$C$18911,"&lt;30",Datos!$F$2:$F$18911,"STANDBY"),0),"")</f>
        <v/>
      </c>
      <c r="S59" s="7">
        <f>IFERROR(ROUND(AVERAGEIFS(Datos!$G$2:$G$18911,Datos!$E$2:$E$18911,$A59,Datos!$B$2:$B$18911,16,Datos!$C$2:$C$18911,"&gt;=30",Datos!$F$2:$F$18911,"STANDBY"),0),"")</f>
        <v/>
      </c>
      <c r="T59" s="7">
        <f>IFERROR(ROUND(AVERAGEIFS(Datos!$G$2:$G$18911,Datos!$E$2:$E$18911,$A59,Datos!$B$2:$B$18911,17,Datos!$C$2:$C$18911,"&lt;30",Datos!$F$2:$F$18911,"STANDBY"),0),"")</f>
        <v/>
      </c>
      <c r="U59" s="7">
        <f>IFERROR(ROUND(AVERAGEIFS(Datos!$G$2:$G$18911,Datos!$E$2:$E$18911,$A59,Datos!$B$2:$B$18911,17,Datos!$C$2:$C$18911,"&gt;=30",Datos!$F$2:$F$18911,"STANDBY"),0),"")</f>
        <v/>
      </c>
      <c r="V59" s="7">
        <f>IFERROR(ROUND(AVERAGEIFS(Datos!$G$2:$G$18911,Datos!$E$2:$E$18911,$A59,Datos!$B$2:$B$18911,18,Datos!$C$2:$C$18911,"&lt;30",Datos!$F$2:$F$18911,"STANDBY"),0),"")</f>
        <v/>
      </c>
      <c r="W59" s="7">
        <f>IFERROR(ROUND(AVERAGEIFS(Datos!$G$2:$G$18911,Datos!$E$2:$E$18911,$A59,Datos!$B$2:$B$18911,18,Datos!$C$2:$C$18911,"&gt;=30",Datos!$F$2:$F$18911,"STANDBY"),0),"")</f>
        <v/>
      </c>
      <c r="X59" s="7">
        <f>IFERROR(ROUND(AVERAGEIFS(Datos!$G$2:$G$18911,Datos!$E$2:$E$18911,$A59,Datos!$B$2:$B$18911,19,Datos!$C$2:$C$18911,"&lt;30",Datos!$F$2:$F$18911,"STANDBY"),0),"")</f>
        <v/>
      </c>
      <c r="Y59" s="7">
        <f>IFERROR(ROUND(AVERAGEIFS(Datos!$G$2:$G$18911,Datos!$E$2:$E$18911,$A59,Datos!$B$2:$B$18911,19,Datos!$C$2:$C$18911,"&gt;=30",Datos!$F$2:$F$18911,"STANDBY"),0),"")</f>
        <v/>
      </c>
      <c r="Z59" s="7">
        <f>IFERROR(ROUND(AVERAGEIFS(Datos!$G$2:$G$18911,Datos!$E$2:$E$18911,$A59,Datos!$B$2:$B$18911,20,Datos!$C$2:$C$18911,"&lt;30",Datos!$F$2:$F$18911,"STANDBY"),0),"")</f>
        <v/>
      </c>
      <c r="AA59" s="7">
        <f>IFERROR(ROUND(AVERAGEIFS(Datos!$G$2:$G$18911,Datos!$E$2:$E$18911,$A59,Datos!$B$2:$B$18911,20,Datos!$C$2:$C$18911,"&gt;=30",Datos!$F$2:$F$18911,"STANDBY"),0),"")</f>
        <v/>
      </c>
      <c r="AB59" s="7">
        <f>IFERROR(ROUND(AVERAGEIFS(Datos!$G$2:$G$18911,Datos!$E$2:$E$18911,$A59,Datos!$B$2:$B$18911,21,Datos!$C$2:$C$18911,"&lt;30",Datos!$F$2:$F$18911,"STANDBY"),0),"")</f>
        <v/>
      </c>
      <c r="AC59" s="7">
        <f>IFERROR(ROUND(AVERAGEIFS(Datos!$G$2:$G$18911,Datos!$E$2:$E$18911,$A59,Datos!$B$2:$B$18911,21,Datos!$C$2:$C$18911,"&gt;=30",Datos!$F$2:$F$18911,"STANDBY"),0),"")</f>
        <v/>
      </c>
      <c r="AD59" s="7">
        <f>IFERROR(ROUND(AVERAGEIFS(Datos!$G$2:$G$18911,Datos!$E$2:$E$18911,$A59,Datos!$B$2:$B$18911,22,Datos!$C$2:$C$18911,"&lt;30",Datos!$F$2:$F$18911,"STANDBY"),0),"")</f>
        <v/>
      </c>
      <c r="AE59" s="7">
        <f>IFERROR(ROUND(AVERAGEIFS(Datos!$G$2:$G$18911,Datos!$E$2:$E$18911,$A59,Datos!$B$2:$B$18911,22,Datos!$C$2:$C$18911,"&gt;=30",Datos!$F$2:$F$18911,"STANDBY"),0),"")</f>
        <v/>
      </c>
      <c r="AF59" s="7">
        <f>IFERROR(ROUND(AVERAGEIFS(Datos!$G$2:$G$18911,Datos!$E$2:$E$18911,$A59,Datos!$B$2:$B$18911,23,Datos!$C$2:$C$18911,"&lt;30",Datos!$F$2:$F$18911,"STANDBY"),0),"")</f>
        <v/>
      </c>
      <c r="AG59" s="7">
        <f>IFERROR(ROUND(AVERAGEIFS(Datos!$G$2:$G$18911,Datos!$E$2:$E$18911,$A59,Datos!$B$2:$B$18911,23,Datos!$C$2:$C$18911,"&gt;=30",Datos!$F$2:$F$18911,"STANDBY"),0),"")</f>
        <v/>
      </c>
    </row>
    <row r="60">
      <c r="A60" s="6" t="inlineStr">
        <is>
          <t>Rustler Roundup Shootin' Gallery</t>
        </is>
      </c>
      <c r="B60" s="7">
        <f>IFERROR(ROUND(AVERAGEIFS(Datos!$G$2:$G$18911,Datos!$E$2:$E$18911,$A60,Datos!$B$2:$B$18911,8,Datos!$C$2:$C$18911,"&lt;30",Datos!$F$2:$F$18911,"STANDBY"),0),"")</f>
        <v/>
      </c>
      <c r="C60" s="7">
        <f>IFERROR(ROUND(AVERAGEIFS(Datos!$G$2:$G$18911,Datos!$E$2:$E$18911,$A60,Datos!$B$2:$B$18911,8,Datos!$C$2:$C$18911,"&gt;=30",Datos!$F$2:$F$18911,"STANDBY"),0),"")</f>
        <v/>
      </c>
      <c r="D60" s="7">
        <f>IFERROR(ROUND(AVERAGEIFS(Datos!$G$2:$G$18911,Datos!$E$2:$E$18911,$A60,Datos!$B$2:$B$18911,9,Datos!$C$2:$C$18911,"&lt;30",Datos!$F$2:$F$18911,"STANDBY"),0),"")</f>
        <v/>
      </c>
      <c r="E60" s="7">
        <f>IFERROR(ROUND(AVERAGEIFS(Datos!$G$2:$G$18911,Datos!$E$2:$E$18911,$A60,Datos!$B$2:$B$18911,9,Datos!$C$2:$C$18911,"&gt;=30",Datos!$F$2:$F$18911,"STANDBY"),0),"")</f>
        <v/>
      </c>
      <c r="F60" s="7">
        <f>IFERROR(ROUND(AVERAGEIFS(Datos!$G$2:$G$18911,Datos!$E$2:$E$18911,$A60,Datos!$B$2:$B$18911,10,Datos!$C$2:$C$18911,"&lt;30",Datos!$F$2:$F$18911,"STANDBY"),0),"")</f>
        <v/>
      </c>
      <c r="G60" s="7">
        <f>IFERROR(ROUND(AVERAGEIFS(Datos!$G$2:$G$18911,Datos!$E$2:$E$18911,$A60,Datos!$B$2:$B$18911,10,Datos!$C$2:$C$18911,"&gt;=30",Datos!$F$2:$F$18911,"STANDBY"),0),"")</f>
        <v/>
      </c>
      <c r="H60" s="7">
        <f>IFERROR(ROUND(AVERAGEIFS(Datos!$G$2:$G$18911,Datos!$E$2:$E$18911,$A60,Datos!$B$2:$B$18911,11,Datos!$C$2:$C$18911,"&lt;30",Datos!$F$2:$F$18911,"STANDBY"),0),"")</f>
        <v/>
      </c>
      <c r="I60" s="7">
        <f>IFERROR(ROUND(AVERAGEIFS(Datos!$G$2:$G$18911,Datos!$E$2:$E$18911,$A60,Datos!$B$2:$B$18911,11,Datos!$C$2:$C$18911,"&gt;=30",Datos!$F$2:$F$18911,"STANDBY"),0),"")</f>
        <v/>
      </c>
      <c r="J60" s="7">
        <f>IFERROR(ROUND(AVERAGEIFS(Datos!$G$2:$G$18911,Datos!$E$2:$E$18911,$A60,Datos!$B$2:$B$18911,12,Datos!$C$2:$C$18911,"&lt;30",Datos!$F$2:$F$18911,"STANDBY"),0),"")</f>
        <v/>
      </c>
      <c r="K60" s="7">
        <f>IFERROR(ROUND(AVERAGEIFS(Datos!$G$2:$G$18911,Datos!$E$2:$E$18911,$A60,Datos!$B$2:$B$18911,12,Datos!$C$2:$C$18911,"&gt;=30",Datos!$F$2:$F$18911,"STANDBY"),0),"")</f>
        <v/>
      </c>
      <c r="L60" s="7">
        <f>IFERROR(ROUND(AVERAGEIFS(Datos!$G$2:$G$18911,Datos!$E$2:$E$18911,$A60,Datos!$B$2:$B$18911,13,Datos!$C$2:$C$18911,"&lt;30",Datos!$F$2:$F$18911,"STANDBY"),0),"")</f>
        <v/>
      </c>
      <c r="M60" s="7">
        <f>IFERROR(ROUND(AVERAGEIFS(Datos!$G$2:$G$18911,Datos!$E$2:$E$18911,$A60,Datos!$B$2:$B$18911,13,Datos!$C$2:$C$18911,"&gt;=30",Datos!$F$2:$F$18911,"STANDBY"),0),"")</f>
        <v/>
      </c>
      <c r="N60" s="7">
        <f>IFERROR(ROUND(AVERAGEIFS(Datos!$G$2:$G$18911,Datos!$E$2:$E$18911,$A60,Datos!$B$2:$B$18911,14,Datos!$C$2:$C$18911,"&lt;30",Datos!$F$2:$F$18911,"STANDBY"),0),"")</f>
        <v/>
      </c>
      <c r="O60" s="7">
        <f>IFERROR(ROUND(AVERAGEIFS(Datos!$G$2:$G$18911,Datos!$E$2:$E$18911,$A60,Datos!$B$2:$B$18911,14,Datos!$C$2:$C$18911,"&gt;=30",Datos!$F$2:$F$18911,"STANDBY"),0),"")</f>
        <v/>
      </c>
      <c r="P60" s="7">
        <f>IFERROR(ROUND(AVERAGEIFS(Datos!$G$2:$G$18911,Datos!$E$2:$E$18911,$A60,Datos!$B$2:$B$18911,15,Datos!$C$2:$C$18911,"&lt;30",Datos!$F$2:$F$18911,"STANDBY"),0),"")</f>
        <v/>
      </c>
      <c r="Q60" s="7">
        <f>IFERROR(ROUND(AVERAGEIFS(Datos!$G$2:$G$18911,Datos!$E$2:$E$18911,$A60,Datos!$B$2:$B$18911,15,Datos!$C$2:$C$18911,"&gt;=30",Datos!$F$2:$F$18911,"STANDBY"),0),"")</f>
        <v/>
      </c>
      <c r="R60" s="7">
        <f>IFERROR(ROUND(AVERAGEIFS(Datos!$G$2:$G$18911,Datos!$E$2:$E$18911,$A60,Datos!$B$2:$B$18911,16,Datos!$C$2:$C$18911,"&lt;30",Datos!$F$2:$F$18911,"STANDBY"),0),"")</f>
        <v/>
      </c>
      <c r="S60" s="7">
        <f>IFERROR(ROUND(AVERAGEIFS(Datos!$G$2:$G$18911,Datos!$E$2:$E$18911,$A60,Datos!$B$2:$B$18911,16,Datos!$C$2:$C$18911,"&gt;=30",Datos!$F$2:$F$18911,"STANDBY"),0),"")</f>
        <v/>
      </c>
      <c r="T60" s="7">
        <f>IFERROR(ROUND(AVERAGEIFS(Datos!$G$2:$G$18911,Datos!$E$2:$E$18911,$A60,Datos!$B$2:$B$18911,17,Datos!$C$2:$C$18911,"&lt;30",Datos!$F$2:$F$18911,"STANDBY"),0),"")</f>
        <v/>
      </c>
      <c r="U60" s="7">
        <f>IFERROR(ROUND(AVERAGEIFS(Datos!$G$2:$G$18911,Datos!$E$2:$E$18911,$A60,Datos!$B$2:$B$18911,17,Datos!$C$2:$C$18911,"&gt;=30",Datos!$F$2:$F$18911,"STANDBY"),0),"")</f>
        <v/>
      </c>
      <c r="V60" s="7">
        <f>IFERROR(ROUND(AVERAGEIFS(Datos!$G$2:$G$18911,Datos!$E$2:$E$18911,$A60,Datos!$B$2:$B$18911,18,Datos!$C$2:$C$18911,"&lt;30",Datos!$F$2:$F$18911,"STANDBY"),0),"")</f>
        <v/>
      </c>
      <c r="W60" s="7">
        <f>IFERROR(ROUND(AVERAGEIFS(Datos!$G$2:$G$18911,Datos!$E$2:$E$18911,$A60,Datos!$B$2:$B$18911,18,Datos!$C$2:$C$18911,"&gt;=30",Datos!$F$2:$F$18911,"STANDBY"),0),"")</f>
        <v/>
      </c>
      <c r="X60" s="7">
        <f>IFERROR(ROUND(AVERAGEIFS(Datos!$G$2:$G$18911,Datos!$E$2:$E$18911,$A60,Datos!$B$2:$B$18911,19,Datos!$C$2:$C$18911,"&lt;30",Datos!$F$2:$F$18911,"STANDBY"),0),"")</f>
        <v/>
      </c>
      <c r="Y60" s="7">
        <f>IFERROR(ROUND(AVERAGEIFS(Datos!$G$2:$G$18911,Datos!$E$2:$E$18911,$A60,Datos!$B$2:$B$18911,19,Datos!$C$2:$C$18911,"&gt;=30",Datos!$F$2:$F$18911,"STANDBY"),0),"")</f>
        <v/>
      </c>
      <c r="Z60" s="7">
        <f>IFERROR(ROUND(AVERAGEIFS(Datos!$G$2:$G$18911,Datos!$E$2:$E$18911,$A60,Datos!$B$2:$B$18911,20,Datos!$C$2:$C$18911,"&lt;30",Datos!$F$2:$F$18911,"STANDBY"),0),"")</f>
        <v/>
      </c>
      <c r="AA60" s="7">
        <f>IFERROR(ROUND(AVERAGEIFS(Datos!$G$2:$G$18911,Datos!$E$2:$E$18911,$A60,Datos!$B$2:$B$18911,20,Datos!$C$2:$C$18911,"&gt;=30",Datos!$F$2:$F$18911,"STANDBY"),0),"")</f>
        <v/>
      </c>
      <c r="AB60" s="7">
        <f>IFERROR(ROUND(AVERAGEIFS(Datos!$G$2:$G$18911,Datos!$E$2:$E$18911,$A60,Datos!$B$2:$B$18911,21,Datos!$C$2:$C$18911,"&lt;30",Datos!$F$2:$F$18911,"STANDBY"),0),"")</f>
        <v/>
      </c>
      <c r="AC60" s="7">
        <f>IFERROR(ROUND(AVERAGEIFS(Datos!$G$2:$G$18911,Datos!$E$2:$E$18911,$A60,Datos!$B$2:$B$18911,21,Datos!$C$2:$C$18911,"&gt;=30",Datos!$F$2:$F$18911,"STANDBY"),0),"")</f>
        <v/>
      </c>
      <c r="AD60" s="7">
        <f>IFERROR(ROUND(AVERAGEIFS(Datos!$G$2:$G$18911,Datos!$E$2:$E$18911,$A60,Datos!$B$2:$B$18911,22,Datos!$C$2:$C$18911,"&lt;30",Datos!$F$2:$F$18911,"STANDBY"),0),"")</f>
        <v/>
      </c>
      <c r="AE60" s="7">
        <f>IFERROR(ROUND(AVERAGEIFS(Datos!$G$2:$G$18911,Datos!$E$2:$E$18911,$A60,Datos!$B$2:$B$18911,22,Datos!$C$2:$C$18911,"&gt;=30",Datos!$F$2:$F$18911,"STANDBY"),0),"")</f>
        <v/>
      </c>
      <c r="AF60" s="7">
        <f>IFERROR(ROUND(AVERAGEIFS(Datos!$G$2:$G$18911,Datos!$E$2:$E$18911,$A60,Datos!$B$2:$B$18911,23,Datos!$C$2:$C$18911,"&lt;30",Datos!$F$2:$F$18911,"STANDBY"),0),"")</f>
        <v/>
      </c>
      <c r="AG60" s="7">
        <f>IFERROR(ROUND(AVERAGEIFS(Datos!$G$2:$G$18911,Datos!$E$2:$E$18911,$A60,Datos!$B$2:$B$18911,23,Datos!$C$2:$C$18911,"&gt;=30",Datos!$F$2:$F$18911,"STANDBY"),0),"")</f>
        <v/>
      </c>
    </row>
    <row r="61">
      <c r="A61" s="6" t="inlineStr">
        <is>
          <t>Star Tours: The Adventures Continue*</t>
        </is>
      </c>
      <c r="B61" s="7">
        <f>IFERROR(ROUND(AVERAGEIFS(Datos!$G$2:$G$18911,Datos!$E$2:$E$18911,$A61,Datos!$B$2:$B$18911,8,Datos!$C$2:$C$18911,"&lt;30",Datos!$F$2:$F$18911,"STANDBY"),0),"")</f>
        <v/>
      </c>
      <c r="C61" s="7">
        <f>IFERROR(ROUND(AVERAGEIFS(Datos!$G$2:$G$18911,Datos!$E$2:$E$18911,$A61,Datos!$B$2:$B$18911,8,Datos!$C$2:$C$18911,"&gt;=30",Datos!$F$2:$F$18911,"STANDBY"),0),"")</f>
        <v/>
      </c>
      <c r="D61" s="7">
        <f>IFERROR(ROUND(AVERAGEIFS(Datos!$G$2:$G$18911,Datos!$E$2:$E$18911,$A61,Datos!$B$2:$B$18911,9,Datos!$C$2:$C$18911,"&lt;30",Datos!$F$2:$F$18911,"STANDBY"),0),"")</f>
        <v/>
      </c>
      <c r="E61" s="7">
        <f>IFERROR(ROUND(AVERAGEIFS(Datos!$G$2:$G$18911,Datos!$E$2:$E$18911,$A61,Datos!$B$2:$B$18911,9,Datos!$C$2:$C$18911,"&gt;=30",Datos!$F$2:$F$18911,"STANDBY"),0),"")</f>
        <v/>
      </c>
      <c r="F61" s="7">
        <f>IFERROR(ROUND(AVERAGEIFS(Datos!$G$2:$G$18911,Datos!$E$2:$E$18911,$A61,Datos!$B$2:$B$18911,10,Datos!$C$2:$C$18911,"&lt;30",Datos!$F$2:$F$18911,"STANDBY"),0),"")</f>
        <v/>
      </c>
      <c r="G61" s="7">
        <f>IFERROR(ROUND(AVERAGEIFS(Datos!$G$2:$G$18911,Datos!$E$2:$E$18911,$A61,Datos!$B$2:$B$18911,10,Datos!$C$2:$C$18911,"&gt;=30",Datos!$F$2:$F$18911,"STANDBY"),0),"")</f>
        <v/>
      </c>
      <c r="H61" s="7">
        <f>IFERROR(ROUND(AVERAGEIFS(Datos!$G$2:$G$18911,Datos!$E$2:$E$18911,$A61,Datos!$B$2:$B$18911,11,Datos!$C$2:$C$18911,"&lt;30",Datos!$F$2:$F$18911,"STANDBY"),0),"")</f>
        <v/>
      </c>
      <c r="I61" s="7">
        <f>IFERROR(ROUND(AVERAGEIFS(Datos!$G$2:$G$18911,Datos!$E$2:$E$18911,$A61,Datos!$B$2:$B$18911,11,Datos!$C$2:$C$18911,"&gt;=30",Datos!$F$2:$F$18911,"STANDBY"),0),"")</f>
        <v/>
      </c>
      <c r="J61" s="7">
        <f>IFERROR(ROUND(AVERAGEIFS(Datos!$G$2:$G$18911,Datos!$E$2:$E$18911,$A61,Datos!$B$2:$B$18911,12,Datos!$C$2:$C$18911,"&lt;30",Datos!$F$2:$F$18911,"STANDBY"),0),"")</f>
        <v/>
      </c>
      <c r="K61" s="7">
        <f>IFERROR(ROUND(AVERAGEIFS(Datos!$G$2:$G$18911,Datos!$E$2:$E$18911,$A61,Datos!$B$2:$B$18911,12,Datos!$C$2:$C$18911,"&gt;=30",Datos!$F$2:$F$18911,"STANDBY"),0),"")</f>
        <v/>
      </c>
      <c r="L61" s="7">
        <f>IFERROR(ROUND(AVERAGEIFS(Datos!$G$2:$G$18911,Datos!$E$2:$E$18911,$A61,Datos!$B$2:$B$18911,13,Datos!$C$2:$C$18911,"&lt;30",Datos!$F$2:$F$18911,"STANDBY"),0),"")</f>
        <v/>
      </c>
      <c r="M61" s="7">
        <f>IFERROR(ROUND(AVERAGEIFS(Datos!$G$2:$G$18911,Datos!$E$2:$E$18911,$A61,Datos!$B$2:$B$18911,13,Datos!$C$2:$C$18911,"&gt;=30",Datos!$F$2:$F$18911,"STANDBY"),0),"")</f>
        <v/>
      </c>
      <c r="N61" s="7">
        <f>IFERROR(ROUND(AVERAGEIFS(Datos!$G$2:$G$18911,Datos!$E$2:$E$18911,$A61,Datos!$B$2:$B$18911,14,Datos!$C$2:$C$18911,"&lt;30",Datos!$F$2:$F$18911,"STANDBY"),0),"")</f>
        <v/>
      </c>
      <c r="O61" s="7">
        <f>IFERROR(ROUND(AVERAGEIFS(Datos!$G$2:$G$18911,Datos!$E$2:$E$18911,$A61,Datos!$B$2:$B$18911,14,Datos!$C$2:$C$18911,"&gt;=30",Datos!$F$2:$F$18911,"STANDBY"),0),"")</f>
        <v/>
      </c>
      <c r="P61" s="7">
        <f>IFERROR(ROUND(AVERAGEIFS(Datos!$G$2:$G$18911,Datos!$E$2:$E$18911,$A61,Datos!$B$2:$B$18911,15,Datos!$C$2:$C$18911,"&lt;30",Datos!$F$2:$F$18911,"STANDBY"),0),"")</f>
        <v/>
      </c>
      <c r="Q61" s="7">
        <f>IFERROR(ROUND(AVERAGEIFS(Datos!$G$2:$G$18911,Datos!$E$2:$E$18911,$A61,Datos!$B$2:$B$18911,15,Datos!$C$2:$C$18911,"&gt;=30",Datos!$F$2:$F$18911,"STANDBY"),0),"")</f>
        <v/>
      </c>
      <c r="R61" s="7">
        <f>IFERROR(ROUND(AVERAGEIFS(Datos!$G$2:$G$18911,Datos!$E$2:$E$18911,$A61,Datos!$B$2:$B$18911,16,Datos!$C$2:$C$18911,"&lt;30",Datos!$F$2:$F$18911,"STANDBY"),0),"")</f>
        <v/>
      </c>
      <c r="S61" s="7">
        <f>IFERROR(ROUND(AVERAGEIFS(Datos!$G$2:$G$18911,Datos!$E$2:$E$18911,$A61,Datos!$B$2:$B$18911,16,Datos!$C$2:$C$18911,"&gt;=30",Datos!$F$2:$F$18911,"STANDBY"),0),"")</f>
        <v/>
      </c>
      <c r="T61" s="7">
        <f>IFERROR(ROUND(AVERAGEIFS(Datos!$G$2:$G$18911,Datos!$E$2:$E$18911,$A61,Datos!$B$2:$B$18911,17,Datos!$C$2:$C$18911,"&lt;30",Datos!$F$2:$F$18911,"STANDBY"),0),"")</f>
        <v/>
      </c>
      <c r="U61" s="7">
        <f>IFERROR(ROUND(AVERAGEIFS(Datos!$G$2:$G$18911,Datos!$E$2:$E$18911,$A61,Datos!$B$2:$B$18911,17,Datos!$C$2:$C$18911,"&gt;=30",Datos!$F$2:$F$18911,"STANDBY"),0),"")</f>
        <v/>
      </c>
      <c r="V61" s="7">
        <f>IFERROR(ROUND(AVERAGEIFS(Datos!$G$2:$G$18911,Datos!$E$2:$E$18911,$A61,Datos!$B$2:$B$18911,18,Datos!$C$2:$C$18911,"&lt;30",Datos!$F$2:$F$18911,"STANDBY"),0),"")</f>
        <v/>
      </c>
      <c r="W61" s="7">
        <f>IFERROR(ROUND(AVERAGEIFS(Datos!$G$2:$G$18911,Datos!$E$2:$E$18911,$A61,Datos!$B$2:$B$18911,18,Datos!$C$2:$C$18911,"&gt;=30",Datos!$F$2:$F$18911,"STANDBY"),0),"")</f>
        <v/>
      </c>
      <c r="X61" s="7">
        <f>IFERROR(ROUND(AVERAGEIFS(Datos!$G$2:$G$18911,Datos!$E$2:$E$18911,$A61,Datos!$B$2:$B$18911,19,Datos!$C$2:$C$18911,"&lt;30",Datos!$F$2:$F$18911,"STANDBY"),0),"")</f>
        <v/>
      </c>
      <c r="Y61" s="7">
        <f>IFERROR(ROUND(AVERAGEIFS(Datos!$G$2:$G$18911,Datos!$E$2:$E$18911,$A61,Datos!$B$2:$B$18911,19,Datos!$C$2:$C$18911,"&gt;=30",Datos!$F$2:$F$18911,"STANDBY"),0),"")</f>
        <v/>
      </c>
      <c r="Z61" s="7">
        <f>IFERROR(ROUND(AVERAGEIFS(Datos!$G$2:$G$18911,Datos!$E$2:$E$18911,$A61,Datos!$B$2:$B$18911,20,Datos!$C$2:$C$18911,"&lt;30",Datos!$F$2:$F$18911,"STANDBY"),0),"")</f>
        <v/>
      </c>
      <c r="AA61" s="7">
        <f>IFERROR(ROUND(AVERAGEIFS(Datos!$G$2:$G$18911,Datos!$E$2:$E$18911,$A61,Datos!$B$2:$B$18911,20,Datos!$C$2:$C$18911,"&gt;=30",Datos!$F$2:$F$18911,"STANDBY"),0),"")</f>
        <v/>
      </c>
      <c r="AB61" s="7">
        <f>IFERROR(ROUND(AVERAGEIFS(Datos!$G$2:$G$18911,Datos!$E$2:$E$18911,$A61,Datos!$B$2:$B$18911,21,Datos!$C$2:$C$18911,"&lt;30",Datos!$F$2:$F$18911,"STANDBY"),0),"")</f>
        <v/>
      </c>
      <c r="AC61" s="7">
        <f>IFERROR(ROUND(AVERAGEIFS(Datos!$G$2:$G$18911,Datos!$E$2:$E$18911,$A61,Datos!$B$2:$B$18911,21,Datos!$C$2:$C$18911,"&gt;=30",Datos!$F$2:$F$18911,"STANDBY"),0),"")</f>
        <v/>
      </c>
      <c r="AD61" s="7">
        <f>IFERROR(ROUND(AVERAGEIFS(Datos!$G$2:$G$18911,Datos!$E$2:$E$18911,$A61,Datos!$B$2:$B$18911,22,Datos!$C$2:$C$18911,"&lt;30",Datos!$F$2:$F$18911,"STANDBY"),0),"")</f>
        <v/>
      </c>
      <c r="AE61" s="7">
        <f>IFERROR(ROUND(AVERAGEIFS(Datos!$G$2:$G$18911,Datos!$E$2:$E$18911,$A61,Datos!$B$2:$B$18911,22,Datos!$C$2:$C$18911,"&gt;=30",Datos!$F$2:$F$18911,"STANDBY"),0),"")</f>
        <v/>
      </c>
      <c r="AF61" s="7">
        <f>IFERROR(ROUND(AVERAGEIFS(Datos!$G$2:$G$18911,Datos!$E$2:$E$18911,$A61,Datos!$B$2:$B$18911,23,Datos!$C$2:$C$18911,"&lt;30",Datos!$F$2:$F$18911,"STANDBY"),0),"")</f>
        <v/>
      </c>
      <c r="AG61" s="7">
        <f>IFERROR(ROUND(AVERAGEIFS(Datos!$G$2:$G$18911,Datos!$E$2:$E$18911,$A61,Datos!$B$2:$B$18911,23,Datos!$C$2:$C$18911,"&gt;=30",Datos!$F$2:$F$18911,"STANDBY"),0),"")</f>
        <v/>
      </c>
    </row>
    <row r="62">
      <c r="A62" s="6" t="inlineStr">
        <is>
          <t>Star Wars Hyperspace Mountain</t>
        </is>
      </c>
      <c r="B62" s="7">
        <f>IFERROR(ROUND(AVERAGEIFS(Datos!$G$2:$G$18911,Datos!$E$2:$E$18911,$A62,Datos!$B$2:$B$18911,8,Datos!$C$2:$C$18911,"&lt;30",Datos!$F$2:$F$18911,"STANDBY"),0),"")</f>
        <v/>
      </c>
      <c r="C62" s="7">
        <f>IFERROR(ROUND(AVERAGEIFS(Datos!$G$2:$G$18911,Datos!$E$2:$E$18911,$A62,Datos!$B$2:$B$18911,8,Datos!$C$2:$C$18911,"&gt;=30",Datos!$F$2:$F$18911,"STANDBY"),0),"")</f>
        <v/>
      </c>
      <c r="D62" s="7">
        <f>IFERROR(ROUND(AVERAGEIFS(Datos!$G$2:$G$18911,Datos!$E$2:$E$18911,$A62,Datos!$B$2:$B$18911,9,Datos!$C$2:$C$18911,"&lt;30",Datos!$F$2:$F$18911,"STANDBY"),0),"")</f>
        <v/>
      </c>
      <c r="E62" s="7">
        <f>IFERROR(ROUND(AVERAGEIFS(Datos!$G$2:$G$18911,Datos!$E$2:$E$18911,$A62,Datos!$B$2:$B$18911,9,Datos!$C$2:$C$18911,"&gt;=30",Datos!$F$2:$F$18911,"STANDBY"),0),"")</f>
        <v/>
      </c>
      <c r="F62" s="7">
        <f>IFERROR(ROUND(AVERAGEIFS(Datos!$G$2:$G$18911,Datos!$E$2:$E$18911,$A62,Datos!$B$2:$B$18911,10,Datos!$C$2:$C$18911,"&lt;30",Datos!$F$2:$F$18911,"STANDBY"),0),"")</f>
        <v/>
      </c>
      <c r="G62" s="7">
        <f>IFERROR(ROUND(AVERAGEIFS(Datos!$G$2:$G$18911,Datos!$E$2:$E$18911,$A62,Datos!$B$2:$B$18911,10,Datos!$C$2:$C$18911,"&gt;=30",Datos!$F$2:$F$18911,"STANDBY"),0),"")</f>
        <v/>
      </c>
      <c r="H62" s="7">
        <f>IFERROR(ROUND(AVERAGEIFS(Datos!$G$2:$G$18911,Datos!$E$2:$E$18911,$A62,Datos!$B$2:$B$18911,11,Datos!$C$2:$C$18911,"&lt;30",Datos!$F$2:$F$18911,"STANDBY"),0),"")</f>
        <v/>
      </c>
      <c r="I62" s="7">
        <f>IFERROR(ROUND(AVERAGEIFS(Datos!$G$2:$G$18911,Datos!$E$2:$E$18911,$A62,Datos!$B$2:$B$18911,11,Datos!$C$2:$C$18911,"&gt;=30",Datos!$F$2:$F$18911,"STANDBY"),0),"")</f>
        <v/>
      </c>
      <c r="J62" s="7">
        <f>IFERROR(ROUND(AVERAGEIFS(Datos!$G$2:$G$18911,Datos!$E$2:$E$18911,$A62,Datos!$B$2:$B$18911,12,Datos!$C$2:$C$18911,"&lt;30",Datos!$F$2:$F$18911,"STANDBY"),0),"")</f>
        <v/>
      </c>
      <c r="K62" s="7">
        <f>IFERROR(ROUND(AVERAGEIFS(Datos!$G$2:$G$18911,Datos!$E$2:$E$18911,$A62,Datos!$B$2:$B$18911,12,Datos!$C$2:$C$18911,"&gt;=30",Datos!$F$2:$F$18911,"STANDBY"),0),"")</f>
        <v/>
      </c>
      <c r="L62" s="7">
        <f>IFERROR(ROUND(AVERAGEIFS(Datos!$G$2:$G$18911,Datos!$E$2:$E$18911,$A62,Datos!$B$2:$B$18911,13,Datos!$C$2:$C$18911,"&lt;30",Datos!$F$2:$F$18911,"STANDBY"),0),"")</f>
        <v/>
      </c>
      <c r="M62" s="7">
        <f>IFERROR(ROUND(AVERAGEIFS(Datos!$G$2:$G$18911,Datos!$E$2:$E$18911,$A62,Datos!$B$2:$B$18911,13,Datos!$C$2:$C$18911,"&gt;=30",Datos!$F$2:$F$18911,"STANDBY"),0),"")</f>
        <v/>
      </c>
      <c r="N62" s="7">
        <f>IFERROR(ROUND(AVERAGEIFS(Datos!$G$2:$G$18911,Datos!$E$2:$E$18911,$A62,Datos!$B$2:$B$18911,14,Datos!$C$2:$C$18911,"&lt;30",Datos!$F$2:$F$18911,"STANDBY"),0),"")</f>
        <v/>
      </c>
      <c r="O62" s="7">
        <f>IFERROR(ROUND(AVERAGEIFS(Datos!$G$2:$G$18911,Datos!$E$2:$E$18911,$A62,Datos!$B$2:$B$18911,14,Datos!$C$2:$C$18911,"&gt;=30",Datos!$F$2:$F$18911,"STANDBY"),0),"")</f>
        <v/>
      </c>
      <c r="P62" s="7">
        <f>IFERROR(ROUND(AVERAGEIFS(Datos!$G$2:$G$18911,Datos!$E$2:$E$18911,$A62,Datos!$B$2:$B$18911,15,Datos!$C$2:$C$18911,"&lt;30",Datos!$F$2:$F$18911,"STANDBY"),0),"")</f>
        <v/>
      </c>
      <c r="Q62" s="7">
        <f>IFERROR(ROUND(AVERAGEIFS(Datos!$G$2:$G$18911,Datos!$E$2:$E$18911,$A62,Datos!$B$2:$B$18911,15,Datos!$C$2:$C$18911,"&gt;=30",Datos!$F$2:$F$18911,"STANDBY"),0),"")</f>
        <v/>
      </c>
      <c r="R62" s="7">
        <f>IFERROR(ROUND(AVERAGEIFS(Datos!$G$2:$G$18911,Datos!$E$2:$E$18911,$A62,Datos!$B$2:$B$18911,16,Datos!$C$2:$C$18911,"&lt;30",Datos!$F$2:$F$18911,"STANDBY"),0),"")</f>
        <v/>
      </c>
      <c r="S62" s="7">
        <f>IFERROR(ROUND(AVERAGEIFS(Datos!$G$2:$G$18911,Datos!$E$2:$E$18911,$A62,Datos!$B$2:$B$18911,16,Datos!$C$2:$C$18911,"&gt;=30",Datos!$F$2:$F$18911,"STANDBY"),0),"")</f>
        <v/>
      </c>
      <c r="T62" s="7">
        <f>IFERROR(ROUND(AVERAGEIFS(Datos!$G$2:$G$18911,Datos!$E$2:$E$18911,$A62,Datos!$B$2:$B$18911,17,Datos!$C$2:$C$18911,"&lt;30",Datos!$F$2:$F$18911,"STANDBY"),0),"")</f>
        <v/>
      </c>
      <c r="U62" s="7">
        <f>IFERROR(ROUND(AVERAGEIFS(Datos!$G$2:$G$18911,Datos!$E$2:$E$18911,$A62,Datos!$B$2:$B$18911,17,Datos!$C$2:$C$18911,"&gt;=30",Datos!$F$2:$F$18911,"STANDBY"),0),"")</f>
        <v/>
      </c>
      <c r="V62" s="7">
        <f>IFERROR(ROUND(AVERAGEIFS(Datos!$G$2:$G$18911,Datos!$E$2:$E$18911,$A62,Datos!$B$2:$B$18911,18,Datos!$C$2:$C$18911,"&lt;30",Datos!$F$2:$F$18911,"STANDBY"),0),"")</f>
        <v/>
      </c>
      <c r="W62" s="7">
        <f>IFERROR(ROUND(AVERAGEIFS(Datos!$G$2:$G$18911,Datos!$E$2:$E$18911,$A62,Datos!$B$2:$B$18911,18,Datos!$C$2:$C$18911,"&gt;=30",Datos!$F$2:$F$18911,"STANDBY"),0),"")</f>
        <v/>
      </c>
      <c r="X62" s="7">
        <f>IFERROR(ROUND(AVERAGEIFS(Datos!$G$2:$G$18911,Datos!$E$2:$E$18911,$A62,Datos!$B$2:$B$18911,19,Datos!$C$2:$C$18911,"&lt;30",Datos!$F$2:$F$18911,"STANDBY"),0),"")</f>
        <v/>
      </c>
      <c r="Y62" s="7">
        <f>IFERROR(ROUND(AVERAGEIFS(Datos!$G$2:$G$18911,Datos!$E$2:$E$18911,$A62,Datos!$B$2:$B$18911,19,Datos!$C$2:$C$18911,"&gt;=30",Datos!$F$2:$F$18911,"STANDBY"),0),"")</f>
        <v/>
      </c>
      <c r="Z62" s="7">
        <f>IFERROR(ROUND(AVERAGEIFS(Datos!$G$2:$G$18911,Datos!$E$2:$E$18911,$A62,Datos!$B$2:$B$18911,20,Datos!$C$2:$C$18911,"&lt;30",Datos!$F$2:$F$18911,"STANDBY"),0),"")</f>
        <v/>
      </c>
      <c r="AA62" s="7">
        <f>IFERROR(ROUND(AVERAGEIFS(Datos!$G$2:$G$18911,Datos!$E$2:$E$18911,$A62,Datos!$B$2:$B$18911,20,Datos!$C$2:$C$18911,"&gt;=30",Datos!$F$2:$F$18911,"STANDBY"),0),"")</f>
        <v/>
      </c>
      <c r="AB62" s="7">
        <f>IFERROR(ROUND(AVERAGEIFS(Datos!$G$2:$G$18911,Datos!$E$2:$E$18911,$A62,Datos!$B$2:$B$18911,21,Datos!$C$2:$C$18911,"&lt;30",Datos!$F$2:$F$18911,"STANDBY"),0),"")</f>
        <v/>
      </c>
      <c r="AC62" s="7">
        <f>IFERROR(ROUND(AVERAGEIFS(Datos!$G$2:$G$18911,Datos!$E$2:$E$18911,$A62,Datos!$B$2:$B$18911,21,Datos!$C$2:$C$18911,"&gt;=30",Datos!$F$2:$F$18911,"STANDBY"),0),"")</f>
        <v/>
      </c>
      <c r="AD62" s="7">
        <f>IFERROR(ROUND(AVERAGEIFS(Datos!$G$2:$G$18911,Datos!$E$2:$E$18911,$A62,Datos!$B$2:$B$18911,22,Datos!$C$2:$C$18911,"&lt;30",Datos!$F$2:$F$18911,"STANDBY"),0),"")</f>
        <v/>
      </c>
      <c r="AE62" s="7">
        <f>IFERROR(ROUND(AVERAGEIFS(Datos!$G$2:$G$18911,Datos!$E$2:$E$18911,$A62,Datos!$B$2:$B$18911,22,Datos!$C$2:$C$18911,"&gt;=30",Datos!$F$2:$F$18911,"STANDBY"),0),"")</f>
        <v/>
      </c>
      <c r="AF62" s="7">
        <f>IFERROR(ROUND(AVERAGEIFS(Datos!$G$2:$G$18911,Datos!$E$2:$E$18911,$A62,Datos!$B$2:$B$18911,23,Datos!$C$2:$C$18911,"&lt;30",Datos!$F$2:$F$18911,"STANDBY"),0),"")</f>
        <v/>
      </c>
      <c r="AG62" s="7">
        <f>IFERROR(ROUND(AVERAGEIFS(Datos!$G$2:$G$18911,Datos!$E$2:$E$18911,$A62,Datos!$B$2:$B$18911,23,Datos!$C$2:$C$18911,"&gt;=30",Datos!$F$2:$F$18911,"STANDBY"),0),"")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IFERROR(ROUND(AVERAGEIFS(Datos!$G$2:$G$18911,Datos!$E$2:$E$18911,$A63,Datos!$B$2:$B$18911,8,Datos!$C$2:$C$18911,"&lt;30",Datos!$F$2:$F$18911,"STANDBY"),0),"")</f>
        <v/>
      </c>
      <c r="C63" s="7">
        <f>IFERROR(ROUND(AVERAGEIFS(Datos!$G$2:$G$18911,Datos!$E$2:$E$18911,$A63,Datos!$B$2:$B$18911,8,Datos!$C$2:$C$18911,"&gt;=30",Datos!$F$2:$F$18911,"STANDBY"),0),"")</f>
        <v/>
      </c>
      <c r="D63" s="7">
        <f>IFERROR(ROUND(AVERAGEIFS(Datos!$G$2:$G$18911,Datos!$E$2:$E$18911,$A63,Datos!$B$2:$B$18911,9,Datos!$C$2:$C$18911,"&lt;30",Datos!$F$2:$F$18911,"STANDBY"),0),"")</f>
        <v/>
      </c>
      <c r="E63" s="7">
        <f>IFERROR(ROUND(AVERAGEIFS(Datos!$G$2:$G$18911,Datos!$E$2:$E$18911,$A63,Datos!$B$2:$B$18911,9,Datos!$C$2:$C$18911,"&gt;=30",Datos!$F$2:$F$18911,"STANDBY"),0),"")</f>
        <v/>
      </c>
      <c r="F63" s="7">
        <f>IFERROR(ROUND(AVERAGEIFS(Datos!$G$2:$G$18911,Datos!$E$2:$E$18911,$A63,Datos!$B$2:$B$18911,10,Datos!$C$2:$C$18911,"&lt;30",Datos!$F$2:$F$18911,"STANDBY"),0),"")</f>
        <v/>
      </c>
      <c r="G63" s="7">
        <f>IFERROR(ROUND(AVERAGEIFS(Datos!$G$2:$G$18911,Datos!$E$2:$E$18911,$A63,Datos!$B$2:$B$18911,10,Datos!$C$2:$C$18911,"&gt;=30",Datos!$F$2:$F$18911,"STANDBY"),0),"")</f>
        <v/>
      </c>
      <c r="H63" s="7">
        <f>IFERROR(ROUND(AVERAGEIFS(Datos!$G$2:$G$18911,Datos!$E$2:$E$18911,$A63,Datos!$B$2:$B$18911,11,Datos!$C$2:$C$18911,"&lt;30",Datos!$F$2:$F$18911,"STANDBY"),0),"")</f>
        <v/>
      </c>
      <c r="I63" s="7">
        <f>IFERROR(ROUND(AVERAGEIFS(Datos!$G$2:$G$18911,Datos!$E$2:$E$18911,$A63,Datos!$B$2:$B$18911,11,Datos!$C$2:$C$18911,"&gt;=30",Datos!$F$2:$F$18911,"STANDBY"),0),"")</f>
        <v/>
      </c>
      <c r="J63" s="7">
        <f>IFERROR(ROUND(AVERAGEIFS(Datos!$G$2:$G$18911,Datos!$E$2:$E$18911,$A63,Datos!$B$2:$B$18911,12,Datos!$C$2:$C$18911,"&lt;30",Datos!$F$2:$F$18911,"STANDBY"),0),"")</f>
        <v/>
      </c>
      <c r="K63" s="7">
        <f>IFERROR(ROUND(AVERAGEIFS(Datos!$G$2:$G$18911,Datos!$E$2:$E$18911,$A63,Datos!$B$2:$B$18911,12,Datos!$C$2:$C$18911,"&gt;=30",Datos!$F$2:$F$18911,"STANDBY"),0),"")</f>
        <v/>
      </c>
      <c r="L63" s="7">
        <f>IFERROR(ROUND(AVERAGEIFS(Datos!$G$2:$G$18911,Datos!$E$2:$E$18911,$A63,Datos!$B$2:$B$18911,13,Datos!$C$2:$C$18911,"&lt;30",Datos!$F$2:$F$18911,"STANDBY"),0),"")</f>
        <v/>
      </c>
      <c r="M63" s="7">
        <f>IFERROR(ROUND(AVERAGEIFS(Datos!$G$2:$G$18911,Datos!$E$2:$E$18911,$A63,Datos!$B$2:$B$18911,13,Datos!$C$2:$C$18911,"&gt;=30",Datos!$F$2:$F$18911,"STANDBY"),0),"")</f>
        <v/>
      </c>
      <c r="N63" s="7">
        <f>IFERROR(ROUND(AVERAGEIFS(Datos!$G$2:$G$18911,Datos!$E$2:$E$18911,$A63,Datos!$B$2:$B$18911,14,Datos!$C$2:$C$18911,"&lt;30",Datos!$F$2:$F$18911,"STANDBY"),0),"")</f>
        <v/>
      </c>
      <c r="O63" s="7">
        <f>IFERROR(ROUND(AVERAGEIFS(Datos!$G$2:$G$18911,Datos!$E$2:$E$18911,$A63,Datos!$B$2:$B$18911,14,Datos!$C$2:$C$18911,"&gt;=30",Datos!$F$2:$F$18911,"STANDBY"),0),"")</f>
        <v/>
      </c>
      <c r="P63" s="7">
        <f>IFERROR(ROUND(AVERAGEIFS(Datos!$G$2:$G$18911,Datos!$E$2:$E$18911,$A63,Datos!$B$2:$B$18911,15,Datos!$C$2:$C$18911,"&lt;30",Datos!$F$2:$F$18911,"STANDBY"),0),"")</f>
        <v/>
      </c>
      <c r="Q63" s="7">
        <f>IFERROR(ROUND(AVERAGEIFS(Datos!$G$2:$G$18911,Datos!$E$2:$E$18911,$A63,Datos!$B$2:$B$18911,15,Datos!$C$2:$C$18911,"&gt;=30",Datos!$F$2:$F$18911,"STANDBY"),0),"")</f>
        <v/>
      </c>
      <c r="R63" s="7">
        <f>IFERROR(ROUND(AVERAGEIFS(Datos!$G$2:$G$18911,Datos!$E$2:$E$18911,$A63,Datos!$B$2:$B$18911,16,Datos!$C$2:$C$18911,"&lt;30",Datos!$F$2:$F$18911,"STANDBY"),0),"")</f>
        <v/>
      </c>
      <c r="S63" s="7">
        <f>IFERROR(ROUND(AVERAGEIFS(Datos!$G$2:$G$18911,Datos!$E$2:$E$18911,$A63,Datos!$B$2:$B$18911,16,Datos!$C$2:$C$18911,"&gt;=30",Datos!$F$2:$F$18911,"STANDBY"),0),"")</f>
        <v/>
      </c>
      <c r="T63" s="7">
        <f>IFERROR(ROUND(AVERAGEIFS(Datos!$G$2:$G$18911,Datos!$E$2:$E$18911,$A63,Datos!$B$2:$B$18911,17,Datos!$C$2:$C$18911,"&lt;30",Datos!$F$2:$F$18911,"STANDBY"),0),"")</f>
        <v/>
      </c>
      <c r="U63" s="7">
        <f>IFERROR(ROUND(AVERAGEIFS(Datos!$G$2:$G$18911,Datos!$E$2:$E$18911,$A63,Datos!$B$2:$B$18911,17,Datos!$C$2:$C$18911,"&gt;=30",Datos!$F$2:$F$18911,"STANDBY"),0),"")</f>
        <v/>
      </c>
      <c r="V63" s="7">
        <f>IFERROR(ROUND(AVERAGEIFS(Datos!$G$2:$G$18911,Datos!$E$2:$E$18911,$A63,Datos!$B$2:$B$18911,18,Datos!$C$2:$C$18911,"&lt;30",Datos!$F$2:$F$18911,"STANDBY"),0),"")</f>
        <v/>
      </c>
      <c r="W63" s="7">
        <f>IFERROR(ROUND(AVERAGEIFS(Datos!$G$2:$G$18911,Datos!$E$2:$E$18911,$A63,Datos!$B$2:$B$18911,18,Datos!$C$2:$C$18911,"&gt;=30",Datos!$F$2:$F$18911,"STANDBY"),0),"")</f>
        <v/>
      </c>
      <c r="X63" s="7">
        <f>IFERROR(ROUND(AVERAGEIFS(Datos!$G$2:$G$18911,Datos!$E$2:$E$18911,$A63,Datos!$B$2:$B$18911,19,Datos!$C$2:$C$18911,"&lt;30",Datos!$F$2:$F$18911,"STANDBY"),0),"")</f>
        <v/>
      </c>
      <c r="Y63" s="7">
        <f>IFERROR(ROUND(AVERAGEIFS(Datos!$G$2:$G$18911,Datos!$E$2:$E$18911,$A63,Datos!$B$2:$B$18911,19,Datos!$C$2:$C$18911,"&gt;=30",Datos!$F$2:$F$18911,"STANDBY"),0),"")</f>
        <v/>
      </c>
      <c r="Z63" s="7">
        <f>IFERROR(ROUND(AVERAGEIFS(Datos!$G$2:$G$18911,Datos!$E$2:$E$18911,$A63,Datos!$B$2:$B$18911,20,Datos!$C$2:$C$18911,"&lt;30",Datos!$F$2:$F$18911,"STANDBY"),0),"")</f>
        <v/>
      </c>
      <c r="AA63" s="7">
        <f>IFERROR(ROUND(AVERAGEIFS(Datos!$G$2:$G$18911,Datos!$E$2:$E$18911,$A63,Datos!$B$2:$B$18911,20,Datos!$C$2:$C$18911,"&gt;=30",Datos!$F$2:$F$18911,"STANDBY"),0),"")</f>
        <v/>
      </c>
      <c r="AB63" s="7">
        <f>IFERROR(ROUND(AVERAGEIFS(Datos!$G$2:$G$18911,Datos!$E$2:$E$18911,$A63,Datos!$B$2:$B$18911,21,Datos!$C$2:$C$18911,"&lt;30",Datos!$F$2:$F$18911,"STANDBY"),0),"")</f>
        <v/>
      </c>
      <c r="AC63" s="7">
        <f>IFERROR(ROUND(AVERAGEIFS(Datos!$G$2:$G$18911,Datos!$E$2:$E$18911,$A63,Datos!$B$2:$B$18911,21,Datos!$C$2:$C$18911,"&gt;=30",Datos!$F$2:$F$18911,"STANDBY"),0),"")</f>
        <v/>
      </c>
      <c r="AD63" s="7">
        <f>IFERROR(ROUND(AVERAGEIFS(Datos!$G$2:$G$18911,Datos!$E$2:$E$18911,$A63,Datos!$B$2:$B$18911,22,Datos!$C$2:$C$18911,"&lt;30",Datos!$F$2:$F$18911,"STANDBY"),0),"")</f>
        <v/>
      </c>
      <c r="AE63" s="7">
        <f>IFERROR(ROUND(AVERAGEIFS(Datos!$G$2:$G$18911,Datos!$E$2:$E$18911,$A63,Datos!$B$2:$B$18911,22,Datos!$C$2:$C$18911,"&gt;=30",Datos!$F$2:$F$18911,"STANDBY"),0),"")</f>
        <v/>
      </c>
      <c r="AF63" s="7">
        <f>IFERROR(ROUND(AVERAGEIFS(Datos!$G$2:$G$18911,Datos!$E$2:$E$18911,$A63,Datos!$B$2:$B$18911,23,Datos!$C$2:$C$18911,"&lt;30",Datos!$F$2:$F$18911,"STANDBY"),0),"")</f>
        <v/>
      </c>
      <c r="AG63" s="7">
        <f>IFERROR(ROUND(AVERAGEIFS(Datos!$G$2:$G$18911,Datos!$E$2:$E$18911,$A63,Datos!$B$2:$B$18911,23,Datos!$C$2:$C$18911,"&gt;=30",Datos!$F$2:$F$18911,"STANDBY"),0),"")</f>
        <v/>
      </c>
    </row>
    <row r="64">
      <c r="A64" s="6" t="inlineStr">
        <is>
          <t>Thunder Mesa Riverboat Landing</t>
        </is>
      </c>
      <c r="B64" s="7">
        <f>IFERROR(ROUND(AVERAGEIFS(Datos!$G$2:$G$18911,Datos!$E$2:$E$18911,$A64,Datos!$B$2:$B$18911,8,Datos!$C$2:$C$18911,"&lt;30",Datos!$F$2:$F$18911,"STANDBY"),0),"")</f>
        <v/>
      </c>
      <c r="C64" s="7">
        <f>IFERROR(ROUND(AVERAGEIFS(Datos!$G$2:$G$18911,Datos!$E$2:$E$18911,$A64,Datos!$B$2:$B$18911,8,Datos!$C$2:$C$18911,"&gt;=30",Datos!$F$2:$F$18911,"STANDBY"),0),"")</f>
        <v/>
      </c>
      <c r="D64" s="7">
        <f>IFERROR(ROUND(AVERAGEIFS(Datos!$G$2:$G$18911,Datos!$E$2:$E$18911,$A64,Datos!$B$2:$B$18911,9,Datos!$C$2:$C$18911,"&lt;30",Datos!$F$2:$F$18911,"STANDBY"),0),"")</f>
        <v/>
      </c>
      <c r="E64" s="7">
        <f>IFERROR(ROUND(AVERAGEIFS(Datos!$G$2:$G$18911,Datos!$E$2:$E$18911,$A64,Datos!$B$2:$B$18911,9,Datos!$C$2:$C$18911,"&gt;=30",Datos!$F$2:$F$18911,"STANDBY"),0),"")</f>
        <v/>
      </c>
      <c r="F64" s="7">
        <f>IFERROR(ROUND(AVERAGEIFS(Datos!$G$2:$G$18911,Datos!$E$2:$E$18911,$A64,Datos!$B$2:$B$18911,10,Datos!$C$2:$C$18911,"&lt;30",Datos!$F$2:$F$18911,"STANDBY"),0),"")</f>
        <v/>
      </c>
      <c r="G64" s="7">
        <f>IFERROR(ROUND(AVERAGEIFS(Datos!$G$2:$G$18911,Datos!$E$2:$E$18911,$A64,Datos!$B$2:$B$18911,10,Datos!$C$2:$C$18911,"&gt;=30",Datos!$F$2:$F$18911,"STANDBY"),0),"")</f>
        <v/>
      </c>
      <c r="H64" s="7">
        <f>IFERROR(ROUND(AVERAGEIFS(Datos!$G$2:$G$18911,Datos!$E$2:$E$18911,$A64,Datos!$B$2:$B$18911,11,Datos!$C$2:$C$18911,"&lt;30",Datos!$F$2:$F$18911,"STANDBY"),0),"")</f>
        <v/>
      </c>
      <c r="I64" s="7">
        <f>IFERROR(ROUND(AVERAGEIFS(Datos!$G$2:$G$18911,Datos!$E$2:$E$18911,$A64,Datos!$B$2:$B$18911,11,Datos!$C$2:$C$18911,"&gt;=30",Datos!$F$2:$F$18911,"STANDBY"),0),"")</f>
        <v/>
      </c>
      <c r="J64" s="7">
        <f>IFERROR(ROUND(AVERAGEIFS(Datos!$G$2:$G$18911,Datos!$E$2:$E$18911,$A64,Datos!$B$2:$B$18911,12,Datos!$C$2:$C$18911,"&lt;30",Datos!$F$2:$F$18911,"STANDBY"),0),"")</f>
        <v/>
      </c>
      <c r="K64" s="7">
        <f>IFERROR(ROUND(AVERAGEIFS(Datos!$G$2:$G$18911,Datos!$E$2:$E$18911,$A64,Datos!$B$2:$B$18911,12,Datos!$C$2:$C$18911,"&gt;=30",Datos!$F$2:$F$18911,"STANDBY"),0),"")</f>
        <v/>
      </c>
      <c r="L64" s="7">
        <f>IFERROR(ROUND(AVERAGEIFS(Datos!$G$2:$G$18911,Datos!$E$2:$E$18911,$A64,Datos!$B$2:$B$18911,13,Datos!$C$2:$C$18911,"&lt;30",Datos!$F$2:$F$18911,"STANDBY"),0),"")</f>
        <v/>
      </c>
      <c r="M64" s="7">
        <f>IFERROR(ROUND(AVERAGEIFS(Datos!$G$2:$G$18911,Datos!$E$2:$E$18911,$A64,Datos!$B$2:$B$18911,13,Datos!$C$2:$C$18911,"&gt;=30",Datos!$F$2:$F$18911,"STANDBY"),0),"")</f>
        <v/>
      </c>
      <c r="N64" s="7">
        <f>IFERROR(ROUND(AVERAGEIFS(Datos!$G$2:$G$18911,Datos!$E$2:$E$18911,$A64,Datos!$B$2:$B$18911,14,Datos!$C$2:$C$18911,"&lt;30",Datos!$F$2:$F$18911,"STANDBY"),0),"")</f>
        <v/>
      </c>
      <c r="O64" s="7">
        <f>IFERROR(ROUND(AVERAGEIFS(Datos!$G$2:$G$18911,Datos!$E$2:$E$18911,$A64,Datos!$B$2:$B$18911,14,Datos!$C$2:$C$18911,"&gt;=30",Datos!$F$2:$F$18911,"STANDBY"),0),"")</f>
        <v/>
      </c>
      <c r="P64" s="7">
        <f>IFERROR(ROUND(AVERAGEIFS(Datos!$G$2:$G$18911,Datos!$E$2:$E$18911,$A64,Datos!$B$2:$B$18911,15,Datos!$C$2:$C$18911,"&lt;30",Datos!$F$2:$F$18911,"STANDBY"),0),"")</f>
        <v/>
      </c>
      <c r="Q64" s="7">
        <f>IFERROR(ROUND(AVERAGEIFS(Datos!$G$2:$G$18911,Datos!$E$2:$E$18911,$A64,Datos!$B$2:$B$18911,15,Datos!$C$2:$C$18911,"&gt;=30",Datos!$F$2:$F$18911,"STANDBY"),0),"")</f>
        <v/>
      </c>
      <c r="R64" s="7">
        <f>IFERROR(ROUND(AVERAGEIFS(Datos!$G$2:$G$18911,Datos!$E$2:$E$18911,$A64,Datos!$B$2:$B$18911,16,Datos!$C$2:$C$18911,"&lt;30",Datos!$F$2:$F$18911,"STANDBY"),0),"")</f>
        <v/>
      </c>
      <c r="S64" s="7">
        <f>IFERROR(ROUND(AVERAGEIFS(Datos!$G$2:$G$18911,Datos!$E$2:$E$18911,$A64,Datos!$B$2:$B$18911,16,Datos!$C$2:$C$18911,"&gt;=30",Datos!$F$2:$F$18911,"STANDBY"),0),"")</f>
        <v/>
      </c>
      <c r="T64" s="7">
        <f>IFERROR(ROUND(AVERAGEIFS(Datos!$G$2:$G$18911,Datos!$E$2:$E$18911,$A64,Datos!$B$2:$B$18911,17,Datos!$C$2:$C$18911,"&lt;30",Datos!$F$2:$F$18911,"STANDBY"),0),"")</f>
        <v/>
      </c>
      <c r="U64" s="7">
        <f>IFERROR(ROUND(AVERAGEIFS(Datos!$G$2:$G$18911,Datos!$E$2:$E$18911,$A64,Datos!$B$2:$B$18911,17,Datos!$C$2:$C$18911,"&gt;=30",Datos!$F$2:$F$18911,"STANDBY"),0),"")</f>
        <v/>
      </c>
      <c r="V64" s="7">
        <f>IFERROR(ROUND(AVERAGEIFS(Datos!$G$2:$G$18911,Datos!$E$2:$E$18911,$A64,Datos!$B$2:$B$18911,18,Datos!$C$2:$C$18911,"&lt;30",Datos!$F$2:$F$18911,"STANDBY"),0),"")</f>
        <v/>
      </c>
      <c r="W64" s="7">
        <f>IFERROR(ROUND(AVERAGEIFS(Datos!$G$2:$G$18911,Datos!$E$2:$E$18911,$A64,Datos!$B$2:$B$18911,18,Datos!$C$2:$C$18911,"&gt;=30",Datos!$F$2:$F$18911,"STANDBY"),0),"")</f>
        <v/>
      </c>
      <c r="X64" s="7">
        <f>IFERROR(ROUND(AVERAGEIFS(Datos!$G$2:$G$18911,Datos!$E$2:$E$18911,$A64,Datos!$B$2:$B$18911,19,Datos!$C$2:$C$18911,"&lt;30",Datos!$F$2:$F$18911,"STANDBY"),0),"")</f>
        <v/>
      </c>
      <c r="Y64" s="7">
        <f>IFERROR(ROUND(AVERAGEIFS(Datos!$G$2:$G$18911,Datos!$E$2:$E$18911,$A64,Datos!$B$2:$B$18911,19,Datos!$C$2:$C$18911,"&gt;=30",Datos!$F$2:$F$18911,"STANDBY"),0),"")</f>
        <v/>
      </c>
      <c r="Z64" s="7">
        <f>IFERROR(ROUND(AVERAGEIFS(Datos!$G$2:$G$18911,Datos!$E$2:$E$18911,$A64,Datos!$B$2:$B$18911,20,Datos!$C$2:$C$18911,"&lt;30",Datos!$F$2:$F$18911,"STANDBY"),0),"")</f>
        <v/>
      </c>
      <c r="AA64" s="7">
        <f>IFERROR(ROUND(AVERAGEIFS(Datos!$G$2:$G$18911,Datos!$E$2:$E$18911,$A64,Datos!$B$2:$B$18911,20,Datos!$C$2:$C$18911,"&gt;=30",Datos!$F$2:$F$18911,"STANDBY"),0),"")</f>
        <v/>
      </c>
      <c r="AB64" s="7">
        <f>IFERROR(ROUND(AVERAGEIFS(Datos!$G$2:$G$18911,Datos!$E$2:$E$18911,$A64,Datos!$B$2:$B$18911,21,Datos!$C$2:$C$18911,"&lt;30",Datos!$F$2:$F$18911,"STANDBY"),0),"")</f>
        <v/>
      </c>
      <c r="AC64" s="7">
        <f>IFERROR(ROUND(AVERAGEIFS(Datos!$G$2:$G$18911,Datos!$E$2:$E$18911,$A64,Datos!$B$2:$B$18911,21,Datos!$C$2:$C$18911,"&gt;=30",Datos!$F$2:$F$18911,"STANDBY"),0),"")</f>
        <v/>
      </c>
      <c r="AD64" s="7">
        <f>IFERROR(ROUND(AVERAGEIFS(Datos!$G$2:$G$18911,Datos!$E$2:$E$18911,$A64,Datos!$B$2:$B$18911,22,Datos!$C$2:$C$18911,"&lt;30",Datos!$F$2:$F$18911,"STANDBY"),0),"")</f>
        <v/>
      </c>
      <c r="AE64" s="7">
        <f>IFERROR(ROUND(AVERAGEIFS(Datos!$G$2:$G$18911,Datos!$E$2:$E$18911,$A64,Datos!$B$2:$B$18911,22,Datos!$C$2:$C$18911,"&gt;=30",Datos!$F$2:$F$18911,"STANDBY"),0),"")</f>
        <v/>
      </c>
      <c r="AF64" s="7">
        <f>IFERROR(ROUND(AVERAGEIFS(Datos!$G$2:$G$18911,Datos!$E$2:$E$18911,$A64,Datos!$B$2:$B$18911,23,Datos!$C$2:$C$18911,"&lt;30",Datos!$F$2:$F$18911,"STANDBY"),0),"")</f>
        <v/>
      </c>
      <c r="AG64" s="7">
        <f>IFERROR(ROUND(AVERAGEIFS(Datos!$G$2:$G$18911,Datos!$E$2:$E$18911,$A64,Datos!$B$2:$B$18911,23,Datos!$C$2:$C$18911,"&gt;=30",Datos!$F$2:$F$18911,"STANDBY"),0),"")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IFERROR(ROUND(AVERAGEIFS(Datos!$G$2:$G$18911,Datos!$E$2:$E$18911,$A65,Datos!$B$2:$B$18911,8,Datos!$C$2:$C$18911,"&lt;30",Datos!$F$2:$F$18911,"STANDBY"),0),"")</f>
        <v/>
      </c>
      <c r="C65" s="7">
        <f>IFERROR(ROUND(AVERAGEIFS(Datos!$G$2:$G$18911,Datos!$E$2:$E$18911,$A65,Datos!$B$2:$B$18911,8,Datos!$C$2:$C$18911,"&gt;=30",Datos!$F$2:$F$18911,"STANDBY"),0),"")</f>
        <v/>
      </c>
      <c r="D65" s="7">
        <f>IFERROR(ROUND(AVERAGEIFS(Datos!$G$2:$G$18911,Datos!$E$2:$E$18911,$A65,Datos!$B$2:$B$18911,9,Datos!$C$2:$C$18911,"&lt;30",Datos!$F$2:$F$18911,"STANDBY"),0),"")</f>
        <v/>
      </c>
      <c r="E65" s="7">
        <f>IFERROR(ROUND(AVERAGEIFS(Datos!$G$2:$G$18911,Datos!$E$2:$E$18911,$A65,Datos!$B$2:$B$18911,9,Datos!$C$2:$C$18911,"&gt;=30",Datos!$F$2:$F$18911,"STANDBY"),0),"")</f>
        <v/>
      </c>
      <c r="F65" s="7">
        <f>IFERROR(ROUND(AVERAGEIFS(Datos!$G$2:$G$18911,Datos!$E$2:$E$18911,$A65,Datos!$B$2:$B$18911,10,Datos!$C$2:$C$18911,"&lt;30",Datos!$F$2:$F$18911,"STANDBY"),0),"")</f>
        <v/>
      </c>
      <c r="G65" s="7">
        <f>IFERROR(ROUND(AVERAGEIFS(Datos!$G$2:$G$18911,Datos!$E$2:$E$18911,$A65,Datos!$B$2:$B$18911,10,Datos!$C$2:$C$18911,"&gt;=30",Datos!$F$2:$F$18911,"STANDBY"),0),"")</f>
        <v/>
      </c>
      <c r="H65" s="7">
        <f>IFERROR(ROUND(AVERAGEIFS(Datos!$G$2:$G$18911,Datos!$E$2:$E$18911,$A65,Datos!$B$2:$B$18911,11,Datos!$C$2:$C$18911,"&lt;30",Datos!$F$2:$F$18911,"STANDBY"),0),"")</f>
        <v/>
      </c>
      <c r="I65" s="7">
        <f>IFERROR(ROUND(AVERAGEIFS(Datos!$G$2:$G$18911,Datos!$E$2:$E$18911,$A65,Datos!$B$2:$B$18911,11,Datos!$C$2:$C$18911,"&gt;=30",Datos!$F$2:$F$18911,"STANDBY"),0),"")</f>
        <v/>
      </c>
      <c r="J65" s="7">
        <f>IFERROR(ROUND(AVERAGEIFS(Datos!$G$2:$G$18911,Datos!$E$2:$E$18911,$A65,Datos!$B$2:$B$18911,12,Datos!$C$2:$C$18911,"&lt;30",Datos!$F$2:$F$18911,"STANDBY"),0),"")</f>
        <v/>
      </c>
      <c r="K65" s="7">
        <f>IFERROR(ROUND(AVERAGEIFS(Datos!$G$2:$G$18911,Datos!$E$2:$E$18911,$A65,Datos!$B$2:$B$18911,12,Datos!$C$2:$C$18911,"&gt;=30",Datos!$F$2:$F$18911,"STANDBY"),0),"")</f>
        <v/>
      </c>
      <c r="L65" s="7">
        <f>IFERROR(ROUND(AVERAGEIFS(Datos!$G$2:$G$18911,Datos!$E$2:$E$18911,$A65,Datos!$B$2:$B$18911,13,Datos!$C$2:$C$18911,"&lt;30",Datos!$F$2:$F$18911,"STANDBY"),0),"")</f>
        <v/>
      </c>
      <c r="M65" s="7">
        <f>IFERROR(ROUND(AVERAGEIFS(Datos!$G$2:$G$18911,Datos!$E$2:$E$18911,$A65,Datos!$B$2:$B$18911,13,Datos!$C$2:$C$18911,"&gt;=30",Datos!$F$2:$F$18911,"STANDBY"),0),"")</f>
        <v/>
      </c>
      <c r="N65" s="7">
        <f>IFERROR(ROUND(AVERAGEIFS(Datos!$G$2:$G$18911,Datos!$E$2:$E$18911,$A65,Datos!$B$2:$B$18911,14,Datos!$C$2:$C$18911,"&lt;30",Datos!$F$2:$F$18911,"STANDBY"),0),"")</f>
        <v/>
      </c>
      <c r="O65" s="7">
        <f>IFERROR(ROUND(AVERAGEIFS(Datos!$G$2:$G$18911,Datos!$E$2:$E$18911,$A65,Datos!$B$2:$B$18911,14,Datos!$C$2:$C$18911,"&gt;=30",Datos!$F$2:$F$18911,"STANDBY"),0),"")</f>
        <v/>
      </c>
      <c r="P65" s="7">
        <f>IFERROR(ROUND(AVERAGEIFS(Datos!$G$2:$G$18911,Datos!$E$2:$E$18911,$A65,Datos!$B$2:$B$18911,15,Datos!$C$2:$C$18911,"&lt;30",Datos!$F$2:$F$18911,"STANDBY"),0),"")</f>
        <v/>
      </c>
      <c r="Q65" s="7">
        <f>IFERROR(ROUND(AVERAGEIFS(Datos!$G$2:$G$18911,Datos!$E$2:$E$18911,$A65,Datos!$B$2:$B$18911,15,Datos!$C$2:$C$18911,"&gt;=30",Datos!$F$2:$F$18911,"STANDBY"),0),"")</f>
        <v/>
      </c>
      <c r="R65" s="7">
        <f>IFERROR(ROUND(AVERAGEIFS(Datos!$G$2:$G$18911,Datos!$E$2:$E$18911,$A65,Datos!$B$2:$B$18911,16,Datos!$C$2:$C$18911,"&lt;30",Datos!$F$2:$F$18911,"STANDBY"),0),"")</f>
        <v/>
      </c>
      <c r="S65" s="7">
        <f>IFERROR(ROUND(AVERAGEIFS(Datos!$G$2:$G$18911,Datos!$E$2:$E$18911,$A65,Datos!$B$2:$B$18911,16,Datos!$C$2:$C$18911,"&gt;=30",Datos!$F$2:$F$18911,"STANDBY"),0),"")</f>
        <v/>
      </c>
      <c r="T65" s="7">
        <f>IFERROR(ROUND(AVERAGEIFS(Datos!$G$2:$G$18911,Datos!$E$2:$E$18911,$A65,Datos!$B$2:$B$18911,17,Datos!$C$2:$C$18911,"&lt;30",Datos!$F$2:$F$18911,"STANDBY"),0),"")</f>
        <v/>
      </c>
      <c r="U65" s="7">
        <f>IFERROR(ROUND(AVERAGEIFS(Datos!$G$2:$G$18911,Datos!$E$2:$E$18911,$A65,Datos!$B$2:$B$18911,17,Datos!$C$2:$C$18911,"&gt;=30",Datos!$F$2:$F$18911,"STANDBY"),0),"")</f>
        <v/>
      </c>
      <c r="V65" s="7">
        <f>IFERROR(ROUND(AVERAGEIFS(Datos!$G$2:$G$18911,Datos!$E$2:$E$18911,$A65,Datos!$B$2:$B$18911,18,Datos!$C$2:$C$18911,"&lt;30",Datos!$F$2:$F$18911,"STANDBY"),0),"")</f>
        <v/>
      </c>
      <c r="W65" s="7">
        <f>IFERROR(ROUND(AVERAGEIFS(Datos!$G$2:$G$18911,Datos!$E$2:$E$18911,$A65,Datos!$B$2:$B$18911,18,Datos!$C$2:$C$18911,"&gt;=30",Datos!$F$2:$F$18911,"STANDBY"),0),"")</f>
        <v/>
      </c>
      <c r="X65" s="7">
        <f>IFERROR(ROUND(AVERAGEIFS(Datos!$G$2:$G$18911,Datos!$E$2:$E$18911,$A65,Datos!$B$2:$B$18911,19,Datos!$C$2:$C$18911,"&lt;30",Datos!$F$2:$F$18911,"STANDBY"),0),"")</f>
        <v/>
      </c>
      <c r="Y65" s="7">
        <f>IFERROR(ROUND(AVERAGEIFS(Datos!$G$2:$G$18911,Datos!$E$2:$E$18911,$A65,Datos!$B$2:$B$18911,19,Datos!$C$2:$C$18911,"&gt;=30",Datos!$F$2:$F$18911,"STANDBY"),0),"")</f>
        <v/>
      </c>
      <c r="Z65" s="7">
        <f>IFERROR(ROUND(AVERAGEIFS(Datos!$G$2:$G$18911,Datos!$E$2:$E$18911,$A65,Datos!$B$2:$B$18911,20,Datos!$C$2:$C$18911,"&lt;30",Datos!$F$2:$F$18911,"STANDBY"),0),"")</f>
        <v/>
      </c>
      <c r="AA65" s="7">
        <f>IFERROR(ROUND(AVERAGEIFS(Datos!$G$2:$G$18911,Datos!$E$2:$E$18911,$A65,Datos!$B$2:$B$18911,20,Datos!$C$2:$C$18911,"&gt;=30",Datos!$F$2:$F$18911,"STANDBY"),0),"")</f>
        <v/>
      </c>
      <c r="AB65" s="7">
        <f>IFERROR(ROUND(AVERAGEIFS(Datos!$G$2:$G$18911,Datos!$E$2:$E$18911,$A65,Datos!$B$2:$B$18911,21,Datos!$C$2:$C$18911,"&lt;30",Datos!$F$2:$F$18911,"STANDBY"),0),"")</f>
        <v/>
      </c>
      <c r="AC65" s="7">
        <f>IFERROR(ROUND(AVERAGEIFS(Datos!$G$2:$G$18911,Datos!$E$2:$E$18911,$A65,Datos!$B$2:$B$18911,21,Datos!$C$2:$C$18911,"&gt;=30",Datos!$F$2:$F$18911,"STANDBY"),0),"")</f>
        <v/>
      </c>
      <c r="AD65" s="7">
        <f>IFERROR(ROUND(AVERAGEIFS(Datos!$G$2:$G$18911,Datos!$E$2:$E$18911,$A65,Datos!$B$2:$B$18911,22,Datos!$C$2:$C$18911,"&lt;30",Datos!$F$2:$F$18911,"STANDBY"),0),"")</f>
        <v/>
      </c>
      <c r="AE65" s="7">
        <f>IFERROR(ROUND(AVERAGEIFS(Datos!$G$2:$G$18911,Datos!$E$2:$E$18911,$A65,Datos!$B$2:$B$18911,22,Datos!$C$2:$C$18911,"&gt;=30",Datos!$F$2:$F$18911,"STANDBY"),0),"")</f>
        <v/>
      </c>
      <c r="AF65" s="7">
        <f>IFERROR(ROUND(AVERAGEIFS(Datos!$G$2:$G$18911,Datos!$E$2:$E$18911,$A65,Datos!$B$2:$B$18911,23,Datos!$C$2:$C$18911,"&lt;30",Datos!$F$2:$F$18911,"STANDBY"),0),"")</f>
        <v/>
      </c>
      <c r="AG65" s="7">
        <f>IFERROR(ROUND(AVERAGEIFS(Datos!$G$2:$G$18911,Datos!$E$2:$E$18911,$A65,Datos!$B$2:$B$18911,23,Datos!$C$2:$C$18911,"&gt;=30",Datos!$F$2:$F$18911,"STANDBY"),0),"")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2026-08-04T08:15:47Z</dcterms:created>
  <dcterms:modified xsi:type="dcterms:W3CDTF">2026-08-04T08:15:49Z</dcterms:modified>
</cp:coreProperties>
</file>